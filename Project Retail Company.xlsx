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ata analysis\T&amp;A in E\"/>
    </mc:Choice>
  </mc:AlternateContent>
  <xr:revisionPtr revIDLastSave="0" documentId="13_ncr:1_{4F65CEB6-C271-4B08-AF82-C25562C712B4}" xr6:coauthVersionLast="47" xr6:coauthVersionMax="47" xr10:uidLastSave="{00000000-0000-0000-0000-000000000000}"/>
  <bookViews>
    <workbookView xWindow="-108" yWindow="-108" windowWidth="23256" windowHeight="12456" tabRatio="829" firstSheet="2" activeTab="6" xr2:uid="{00000000-000D-0000-FFFF-FFFF00000000}"/>
  </bookViews>
  <sheets>
    <sheet name="Business Case" sheetId="2" r:id="rId1"/>
    <sheet name="Course" sheetId="10" r:id="rId2"/>
    <sheet name="Product_Master" sheetId="3" r:id="rId3"/>
    <sheet name="Branch_Master" sheetId="4" r:id="rId4"/>
    <sheet name="Sales_Clean_Reference" sheetId="6" r:id="rId5"/>
    <sheet name="pivot table" sheetId="11" r:id="rId6"/>
    <sheet name="dashboard" sheetId="12" r:id="rId7"/>
    <sheet name="Data Dictionary" sheetId="7" r:id="rId8"/>
    <sheet name="Business Questions" sheetId="9" r:id="rId9"/>
  </sheets>
  <definedNames>
    <definedName name="Slicer_Months__Order_Date">#N/A</definedName>
  </definedNames>
  <calcPr calcId="191029"/>
  <pivotCaches>
    <pivotCache cacheId="1" r:id="rId10"/>
    <pivotCache cacheId="1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26" i="11" l="1"/>
  <c r="W26" i="11"/>
  <c r="X26" i="11" s="1"/>
  <c r="AP16" i="11"/>
  <c r="AO16" i="11"/>
  <c r="AQ13" i="11"/>
  <c r="AQ6" i="11"/>
  <c r="AQ7" i="11"/>
  <c r="AQ8" i="11"/>
  <c r="AQ9" i="11"/>
  <c r="AQ10" i="11"/>
  <c r="AQ11" i="11"/>
  <c r="AQ12" i="11"/>
  <c r="AQ5" i="11"/>
  <c r="AE2" i="6"/>
  <c r="AE3" i="6"/>
  <c r="AE4" i="6"/>
  <c r="AE5" i="6"/>
  <c r="AE6" i="6"/>
  <c r="AE7" i="6"/>
  <c r="AE8" i="6"/>
  <c r="AE9" i="6"/>
  <c r="AE10" i="6"/>
  <c r="AE11" i="6"/>
  <c r="AE12" i="6"/>
  <c r="AE13" i="6"/>
  <c r="AE14" i="6"/>
  <c r="AE15" i="6"/>
  <c r="AE16" i="6"/>
  <c r="AE17" i="6"/>
  <c r="AE18" i="6"/>
  <c r="AE19" i="6"/>
  <c r="AE20" i="6"/>
  <c r="AE21" i="6"/>
  <c r="AE22" i="6"/>
  <c r="AE23" i="6"/>
  <c r="AE24" i="6"/>
  <c r="AE25" i="6"/>
  <c r="AE26" i="6"/>
  <c r="AE27" i="6"/>
  <c r="AE28" i="6"/>
  <c r="AE29" i="6"/>
  <c r="AE30" i="6"/>
  <c r="AE31" i="6"/>
  <c r="AE32" i="6"/>
  <c r="AE33" i="6"/>
  <c r="AE34" i="6"/>
  <c r="AE35" i="6"/>
  <c r="AE36" i="6"/>
  <c r="AE37" i="6"/>
  <c r="AE38" i="6"/>
  <c r="AE39" i="6"/>
  <c r="AE40" i="6"/>
  <c r="AE41" i="6"/>
  <c r="AE42" i="6"/>
  <c r="AE43" i="6"/>
  <c r="AE44" i="6"/>
  <c r="AE45" i="6"/>
  <c r="AE46" i="6"/>
  <c r="AE47" i="6"/>
  <c r="AE48" i="6"/>
  <c r="AE49" i="6"/>
  <c r="AE50" i="6"/>
  <c r="AE51" i="6"/>
  <c r="AE52" i="6"/>
  <c r="AE53" i="6"/>
  <c r="AE54" i="6"/>
  <c r="AE55" i="6"/>
  <c r="AE56" i="6"/>
  <c r="AE57" i="6"/>
  <c r="AE58" i="6"/>
  <c r="AE59" i="6"/>
  <c r="AE60" i="6"/>
  <c r="AE61" i="6"/>
  <c r="AE62" i="6"/>
  <c r="AE63" i="6"/>
  <c r="AE64" i="6"/>
  <c r="AE65" i="6"/>
  <c r="AE66" i="6"/>
  <c r="AE67" i="6"/>
  <c r="AE68" i="6"/>
  <c r="AE69" i="6"/>
  <c r="AE70" i="6"/>
  <c r="AE71" i="6"/>
  <c r="AE72" i="6"/>
  <c r="AE73" i="6"/>
  <c r="AE74" i="6"/>
  <c r="AE75" i="6"/>
  <c r="AE76" i="6"/>
  <c r="AE77" i="6"/>
  <c r="AE78" i="6"/>
  <c r="AE79" i="6"/>
  <c r="AE80" i="6"/>
  <c r="AE81" i="6"/>
  <c r="AE82" i="6"/>
  <c r="AE83" i="6"/>
  <c r="AE84" i="6"/>
  <c r="AE85" i="6"/>
  <c r="AE86" i="6"/>
  <c r="AE87" i="6"/>
  <c r="AE88" i="6"/>
  <c r="AE89" i="6"/>
  <c r="AE90" i="6"/>
  <c r="AE91" i="6"/>
  <c r="AE92" i="6"/>
  <c r="AE93" i="6"/>
  <c r="AE94" i="6"/>
  <c r="AE95" i="6"/>
  <c r="AE96" i="6"/>
  <c r="AE97" i="6"/>
  <c r="AE98" i="6"/>
  <c r="AE99" i="6"/>
  <c r="AE100" i="6"/>
  <c r="AE101" i="6"/>
  <c r="AE102" i="6"/>
  <c r="AE103" i="6"/>
  <c r="AE104" i="6"/>
  <c r="AE105" i="6"/>
  <c r="AE106" i="6"/>
  <c r="AE107" i="6"/>
  <c r="AE108" i="6"/>
  <c r="AE109" i="6"/>
  <c r="AE110" i="6"/>
  <c r="AE111" i="6"/>
  <c r="AE112" i="6"/>
  <c r="AE113" i="6"/>
  <c r="AE114" i="6"/>
  <c r="AE115" i="6"/>
  <c r="AE116" i="6"/>
  <c r="AE117" i="6"/>
  <c r="AE118" i="6"/>
  <c r="AE119" i="6"/>
  <c r="AE120" i="6"/>
  <c r="AE121" i="6"/>
  <c r="AE122" i="6"/>
  <c r="AE123" i="6"/>
  <c r="AE124" i="6"/>
  <c r="AE125" i="6"/>
  <c r="AE126" i="6"/>
  <c r="AE127" i="6"/>
  <c r="AE128" i="6"/>
  <c r="AE129" i="6"/>
  <c r="AE130" i="6"/>
  <c r="AE131" i="6"/>
  <c r="AE132" i="6"/>
  <c r="AE133" i="6"/>
  <c r="AE134" i="6"/>
  <c r="AE135" i="6"/>
  <c r="AE136" i="6"/>
  <c r="AE137" i="6"/>
  <c r="AE138" i="6"/>
  <c r="AE139" i="6"/>
  <c r="AE140" i="6"/>
  <c r="AE141" i="6"/>
  <c r="AE142" i="6"/>
  <c r="AE143" i="6"/>
  <c r="AE144" i="6"/>
  <c r="AE145" i="6"/>
  <c r="AE146" i="6"/>
  <c r="AE147" i="6"/>
  <c r="AE148" i="6"/>
  <c r="AE149" i="6"/>
  <c r="AE150" i="6"/>
  <c r="AE151" i="6"/>
  <c r="AE152" i="6"/>
  <c r="AE153" i="6"/>
  <c r="AE154" i="6"/>
  <c r="AE155" i="6"/>
  <c r="AE156" i="6"/>
  <c r="AE157" i="6"/>
  <c r="AE158" i="6"/>
  <c r="AE159" i="6"/>
  <c r="AE160" i="6"/>
  <c r="AE161" i="6"/>
  <c r="AE162" i="6"/>
  <c r="AE163" i="6"/>
  <c r="AE164" i="6"/>
  <c r="AE165" i="6"/>
  <c r="AE166" i="6"/>
  <c r="AE167" i="6"/>
  <c r="AE168" i="6"/>
  <c r="AE169" i="6"/>
  <c r="AE170" i="6"/>
  <c r="AE171" i="6"/>
  <c r="AE172" i="6"/>
  <c r="AE173" i="6"/>
  <c r="AE174" i="6"/>
  <c r="AE175" i="6"/>
  <c r="AE176" i="6"/>
  <c r="AE177" i="6"/>
  <c r="AE178" i="6"/>
  <c r="AE179" i="6"/>
  <c r="AE180" i="6"/>
  <c r="AE181" i="6"/>
  <c r="AE182" i="6"/>
  <c r="AE183" i="6"/>
  <c r="AE184" i="6"/>
  <c r="AE185" i="6"/>
  <c r="AE186" i="6"/>
  <c r="AE187" i="6"/>
  <c r="AE188" i="6"/>
  <c r="AE189" i="6"/>
  <c r="AE190" i="6"/>
  <c r="AE191" i="6"/>
  <c r="AE192" i="6"/>
  <c r="AE193" i="6"/>
  <c r="AE194" i="6"/>
  <c r="AE195" i="6"/>
  <c r="AE196" i="6"/>
  <c r="AE197" i="6"/>
  <c r="AE198" i="6"/>
  <c r="AE199" i="6"/>
  <c r="AE200" i="6"/>
  <c r="AE201" i="6"/>
  <c r="AE202" i="6"/>
  <c r="AE203" i="6"/>
  <c r="AE204" i="6"/>
  <c r="AE205" i="6"/>
  <c r="AE206" i="6"/>
  <c r="AE207" i="6"/>
  <c r="AE208" i="6"/>
  <c r="AE209" i="6"/>
  <c r="AE210" i="6"/>
  <c r="AE211" i="6"/>
  <c r="AE212" i="6"/>
  <c r="AE213" i="6"/>
  <c r="AE214" i="6"/>
  <c r="AE215" i="6"/>
  <c r="AE216" i="6"/>
  <c r="AE217" i="6"/>
  <c r="AE218" i="6"/>
  <c r="AE219" i="6"/>
  <c r="AE220" i="6"/>
  <c r="AE221" i="6"/>
  <c r="AE222" i="6"/>
  <c r="AE223" i="6"/>
  <c r="AE224" i="6"/>
  <c r="AE225" i="6"/>
  <c r="AE226" i="6"/>
  <c r="AE227" i="6"/>
  <c r="AE228" i="6"/>
  <c r="AE229" i="6"/>
  <c r="AE230" i="6"/>
  <c r="AE231" i="6"/>
  <c r="AE232" i="6"/>
  <c r="AE233" i="6"/>
  <c r="AE234" i="6"/>
  <c r="AE235" i="6"/>
  <c r="AE236" i="6"/>
  <c r="AE237" i="6"/>
  <c r="AE238" i="6"/>
  <c r="AE239" i="6"/>
  <c r="AE240" i="6"/>
  <c r="AE241" i="6"/>
  <c r="AE242" i="6"/>
  <c r="AE243" i="6"/>
  <c r="AE244" i="6"/>
  <c r="AE245" i="6"/>
  <c r="AE246" i="6"/>
  <c r="AE247" i="6"/>
  <c r="AE248" i="6"/>
  <c r="AE249" i="6"/>
  <c r="AE250" i="6"/>
  <c r="AE251" i="6"/>
  <c r="AE252" i="6"/>
  <c r="AE253" i="6"/>
  <c r="AE254" i="6"/>
  <c r="AE255" i="6"/>
  <c r="AE256" i="6"/>
  <c r="AE257" i="6"/>
  <c r="AE258" i="6"/>
  <c r="AE259" i="6"/>
  <c r="AE260" i="6"/>
  <c r="AE261" i="6"/>
  <c r="AE262" i="6"/>
  <c r="AE263" i="6"/>
  <c r="AE264" i="6"/>
  <c r="AE265" i="6"/>
  <c r="AE266" i="6"/>
  <c r="AE267" i="6"/>
  <c r="AE268" i="6"/>
  <c r="AE269" i="6"/>
  <c r="AE270" i="6"/>
  <c r="AE271" i="6"/>
  <c r="AE272" i="6"/>
  <c r="AE273" i="6"/>
  <c r="AE274" i="6"/>
  <c r="AE275" i="6"/>
  <c r="AE276" i="6"/>
  <c r="AE277" i="6"/>
  <c r="AE278" i="6"/>
  <c r="AE279" i="6"/>
  <c r="AE280" i="6"/>
  <c r="AE281" i="6"/>
  <c r="AE282" i="6"/>
  <c r="AE283" i="6"/>
  <c r="AE284" i="6"/>
  <c r="AE285" i="6"/>
  <c r="AE286" i="6"/>
  <c r="AE287" i="6"/>
  <c r="AE288" i="6"/>
  <c r="AE289" i="6"/>
  <c r="AE290" i="6"/>
  <c r="AE291" i="6"/>
  <c r="AE292" i="6"/>
  <c r="AE293" i="6"/>
  <c r="AE294" i="6"/>
  <c r="AE295" i="6"/>
  <c r="AE296" i="6"/>
  <c r="AE297" i="6"/>
  <c r="AE298" i="6"/>
  <c r="AE299" i="6"/>
  <c r="AE300" i="6"/>
  <c r="AE301" i="6"/>
  <c r="AE302" i="6"/>
  <c r="AE303" i="6"/>
  <c r="AE304" i="6"/>
  <c r="AE305" i="6"/>
  <c r="AE306" i="6"/>
  <c r="AE307" i="6"/>
  <c r="AE308" i="6"/>
  <c r="AE309" i="6"/>
  <c r="AE310" i="6"/>
  <c r="AE311" i="6"/>
  <c r="AE312" i="6"/>
  <c r="AE313" i="6"/>
  <c r="AE314" i="6"/>
  <c r="AE315" i="6"/>
  <c r="AE316" i="6"/>
  <c r="AE317" i="6"/>
  <c r="AE318" i="6"/>
  <c r="AE319" i="6"/>
  <c r="AE320" i="6"/>
  <c r="AE321" i="6"/>
  <c r="AE322" i="6"/>
  <c r="AE323" i="6"/>
  <c r="AE324" i="6"/>
  <c r="AE325" i="6"/>
  <c r="AE326" i="6"/>
  <c r="AE327" i="6"/>
  <c r="AE328" i="6"/>
  <c r="AE329" i="6"/>
  <c r="AE330" i="6"/>
  <c r="AE331" i="6"/>
  <c r="AE332" i="6"/>
  <c r="AE333" i="6"/>
  <c r="AE334" i="6"/>
  <c r="AE335" i="6"/>
  <c r="AE336" i="6"/>
  <c r="AE337" i="6"/>
  <c r="AE338" i="6"/>
  <c r="AE339" i="6"/>
  <c r="AE340" i="6"/>
  <c r="AE341" i="6"/>
  <c r="AE342" i="6"/>
  <c r="AE343" i="6"/>
  <c r="AE344" i="6"/>
  <c r="AE345" i="6"/>
  <c r="AE346" i="6"/>
  <c r="AE347" i="6"/>
  <c r="AE348" i="6"/>
  <c r="AE349" i="6"/>
  <c r="AE350" i="6"/>
  <c r="AE351" i="6"/>
  <c r="AE352" i="6"/>
  <c r="AE353" i="6"/>
  <c r="AE354" i="6"/>
  <c r="AE355" i="6"/>
  <c r="AE356" i="6"/>
  <c r="AE357" i="6"/>
  <c r="AE358" i="6"/>
  <c r="AE359" i="6"/>
  <c r="AE360" i="6"/>
  <c r="AE361" i="6"/>
  <c r="AE362" i="6"/>
  <c r="AE363" i="6"/>
  <c r="AE364" i="6"/>
  <c r="AE365" i="6"/>
  <c r="AE366" i="6"/>
  <c r="AE367" i="6"/>
  <c r="AE368" i="6"/>
  <c r="AE369" i="6"/>
  <c r="AE370" i="6"/>
  <c r="AE371" i="6"/>
  <c r="AE372" i="6"/>
  <c r="AE373" i="6"/>
  <c r="AE374" i="6"/>
  <c r="AE375" i="6"/>
  <c r="AE376" i="6"/>
  <c r="AE377" i="6"/>
  <c r="AE378" i="6"/>
  <c r="AE379" i="6"/>
  <c r="AE380" i="6"/>
  <c r="AE381" i="6"/>
  <c r="AE382" i="6"/>
  <c r="AE383" i="6"/>
  <c r="AE384" i="6"/>
  <c r="AE385" i="6"/>
  <c r="AE386" i="6"/>
  <c r="AE387" i="6"/>
  <c r="AE388" i="6"/>
  <c r="AE389" i="6"/>
  <c r="AE390" i="6"/>
  <c r="AE391" i="6"/>
  <c r="AE392" i="6"/>
  <c r="AE393" i="6"/>
  <c r="AE394" i="6"/>
  <c r="AE395" i="6"/>
  <c r="AE396" i="6"/>
  <c r="AE397" i="6"/>
  <c r="AE398" i="6"/>
  <c r="AE399" i="6"/>
  <c r="AE400" i="6"/>
  <c r="AE401" i="6"/>
  <c r="AE402" i="6"/>
  <c r="AE403" i="6"/>
  <c r="AE404" i="6"/>
  <c r="AE405" i="6"/>
  <c r="AE406" i="6"/>
  <c r="AE407" i="6"/>
  <c r="AE408" i="6"/>
  <c r="AE409" i="6"/>
  <c r="AE410" i="6"/>
  <c r="AE411" i="6"/>
  <c r="AE412" i="6"/>
  <c r="AE413" i="6"/>
  <c r="AE414" i="6"/>
  <c r="AE415" i="6"/>
  <c r="AE416" i="6"/>
  <c r="AE417" i="6"/>
  <c r="AE418" i="6"/>
  <c r="AE419" i="6"/>
  <c r="AE420" i="6"/>
  <c r="AE421" i="6"/>
  <c r="AE422" i="6"/>
  <c r="AE423" i="6"/>
  <c r="AE424" i="6"/>
  <c r="AE425" i="6"/>
  <c r="AE426" i="6"/>
  <c r="AE427" i="6"/>
  <c r="AE428" i="6"/>
  <c r="AE429" i="6"/>
  <c r="AE430" i="6"/>
  <c r="AE431" i="6"/>
  <c r="AE432" i="6"/>
  <c r="AE433" i="6"/>
  <c r="AE434" i="6"/>
  <c r="AE435" i="6"/>
  <c r="AE436" i="6"/>
  <c r="AE437" i="6"/>
  <c r="AE438" i="6"/>
  <c r="AE439" i="6"/>
  <c r="AE440" i="6"/>
  <c r="AE441" i="6"/>
  <c r="AE442" i="6"/>
  <c r="AE443" i="6"/>
  <c r="AE444" i="6"/>
  <c r="AE445" i="6"/>
  <c r="AE446" i="6"/>
  <c r="AE447" i="6"/>
  <c r="AE448" i="6"/>
  <c r="AE449" i="6"/>
  <c r="AE450" i="6"/>
  <c r="AE451" i="6"/>
  <c r="AE452" i="6"/>
  <c r="AE453" i="6"/>
  <c r="AE454" i="6"/>
  <c r="AE455" i="6"/>
  <c r="AE456" i="6"/>
  <c r="AE457" i="6"/>
  <c r="AE458" i="6"/>
  <c r="AE459" i="6"/>
  <c r="AE460" i="6"/>
  <c r="AE461" i="6"/>
  <c r="AE462" i="6"/>
  <c r="AE463" i="6"/>
  <c r="AE464" i="6"/>
  <c r="AE465" i="6"/>
  <c r="AE466" i="6"/>
  <c r="AE467" i="6"/>
  <c r="AE468" i="6"/>
  <c r="AE469" i="6"/>
  <c r="AE470" i="6"/>
  <c r="AE471" i="6"/>
  <c r="AE472" i="6"/>
  <c r="AE473" i="6"/>
  <c r="AE474" i="6"/>
  <c r="AE475" i="6"/>
  <c r="AE476" i="6"/>
  <c r="AE477" i="6"/>
  <c r="AE478" i="6"/>
  <c r="AE479" i="6"/>
  <c r="AE480" i="6"/>
  <c r="AE481" i="6"/>
  <c r="AE482" i="6"/>
  <c r="AE483" i="6"/>
  <c r="AE484" i="6"/>
  <c r="AE485" i="6"/>
  <c r="AE486" i="6"/>
  <c r="AE487" i="6"/>
  <c r="AE488" i="6"/>
  <c r="AE489" i="6"/>
  <c r="AE490" i="6"/>
  <c r="AE491" i="6"/>
  <c r="AE492" i="6"/>
  <c r="AE493" i="6"/>
  <c r="AE494" i="6"/>
  <c r="AE495" i="6"/>
  <c r="AE496" i="6"/>
  <c r="AE497" i="6"/>
  <c r="AE498" i="6"/>
  <c r="AE499" i="6"/>
  <c r="AE500" i="6"/>
  <c r="AE501" i="6"/>
  <c r="AE502" i="6"/>
  <c r="AE503" i="6"/>
  <c r="AE504" i="6"/>
  <c r="AE505" i="6"/>
  <c r="AE506" i="6"/>
  <c r="AE507" i="6"/>
  <c r="AE508" i="6"/>
  <c r="AE509" i="6"/>
  <c r="AE510" i="6"/>
  <c r="AE511" i="6"/>
  <c r="AE512" i="6"/>
  <c r="AE513" i="6"/>
  <c r="AE514" i="6"/>
  <c r="AE515" i="6"/>
  <c r="AE516" i="6"/>
  <c r="AE517" i="6"/>
  <c r="AE518" i="6"/>
  <c r="AE519" i="6"/>
  <c r="AE520" i="6"/>
  <c r="AE521" i="6"/>
  <c r="AE522" i="6"/>
  <c r="AE523" i="6"/>
  <c r="AE524" i="6"/>
  <c r="AE525" i="6"/>
  <c r="AE526" i="6"/>
  <c r="AE527" i="6"/>
  <c r="AE528" i="6"/>
  <c r="AE529" i="6"/>
  <c r="AE530" i="6"/>
  <c r="AE531" i="6"/>
  <c r="AE532" i="6"/>
  <c r="AE533" i="6"/>
  <c r="AE534" i="6"/>
  <c r="AE535" i="6"/>
  <c r="AE536" i="6"/>
  <c r="AE537" i="6"/>
  <c r="AE538" i="6"/>
  <c r="AE539" i="6"/>
  <c r="AE540" i="6"/>
  <c r="AE541" i="6"/>
  <c r="AE542" i="6"/>
  <c r="AE543" i="6"/>
  <c r="AE544" i="6"/>
  <c r="AE545" i="6"/>
  <c r="AE546" i="6"/>
  <c r="AE547" i="6"/>
  <c r="AE548" i="6"/>
  <c r="AE549" i="6"/>
  <c r="AE550" i="6"/>
  <c r="AE551" i="6"/>
  <c r="AE552" i="6"/>
  <c r="AE553" i="6"/>
  <c r="AE554" i="6"/>
  <c r="AE555" i="6"/>
  <c r="AE556" i="6"/>
  <c r="AE557" i="6"/>
  <c r="AE558" i="6"/>
  <c r="AE559" i="6"/>
  <c r="AE560" i="6"/>
  <c r="AE561" i="6"/>
  <c r="AE562" i="6"/>
  <c r="AE563" i="6"/>
  <c r="AE564" i="6"/>
  <c r="AE565" i="6"/>
  <c r="AE566" i="6"/>
  <c r="AE567" i="6"/>
  <c r="AE568" i="6"/>
  <c r="AE569" i="6"/>
  <c r="AE570" i="6"/>
  <c r="AE571" i="6"/>
  <c r="AE572" i="6"/>
  <c r="AE573" i="6"/>
  <c r="AE574" i="6"/>
  <c r="AE575" i="6"/>
  <c r="AE576" i="6"/>
  <c r="AE577" i="6"/>
  <c r="AE578" i="6"/>
  <c r="AE579" i="6"/>
  <c r="AE580" i="6"/>
  <c r="AE581" i="6"/>
  <c r="AE582" i="6"/>
  <c r="AE583" i="6"/>
  <c r="AE584" i="6"/>
  <c r="AE585" i="6"/>
  <c r="AE586" i="6"/>
  <c r="AE587" i="6"/>
  <c r="AE588" i="6"/>
  <c r="AE589" i="6"/>
  <c r="AE590" i="6"/>
  <c r="AE591" i="6"/>
  <c r="AE592" i="6"/>
  <c r="AE593" i="6"/>
  <c r="AE594" i="6"/>
  <c r="AE595" i="6"/>
  <c r="AE596" i="6"/>
  <c r="AE597" i="6"/>
  <c r="AE598" i="6"/>
  <c r="AE599" i="6"/>
  <c r="AE600" i="6"/>
  <c r="AE601" i="6"/>
  <c r="AE602" i="6"/>
  <c r="AE603" i="6"/>
  <c r="AE604" i="6"/>
  <c r="AE605" i="6"/>
  <c r="AE606" i="6"/>
  <c r="AE607" i="6"/>
  <c r="AE608" i="6"/>
  <c r="AE609" i="6"/>
  <c r="AE610" i="6"/>
  <c r="AE611" i="6"/>
  <c r="AE612" i="6"/>
  <c r="AE613" i="6"/>
  <c r="AE614" i="6"/>
  <c r="AE615" i="6"/>
  <c r="AE616" i="6"/>
  <c r="AE617" i="6"/>
  <c r="AE618" i="6"/>
  <c r="AE619" i="6"/>
  <c r="AE620" i="6"/>
  <c r="AE621" i="6"/>
  <c r="AE622" i="6"/>
  <c r="AE623" i="6"/>
  <c r="AE624" i="6"/>
  <c r="AE625" i="6"/>
  <c r="AE626" i="6"/>
  <c r="AE627" i="6"/>
  <c r="AE628" i="6"/>
  <c r="AE629" i="6"/>
  <c r="AE630" i="6"/>
  <c r="AE631" i="6"/>
  <c r="AE632" i="6"/>
  <c r="AE633" i="6"/>
  <c r="AE634" i="6"/>
  <c r="AE635" i="6"/>
  <c r="AE636" i="6"/>
  <c r="AE637" i="6"/>
  <c r="AE638" i="6"/>
  <c r="AE639" i="6"/>
  <c r="AE640" i="6"/>
  <c r="AE641" i="6"/>
  <c r="AE642" i="6"/>
  <c r="AE643" i="6"/>
  <c r="AE644" i="6"/>
  <c r="AE645" i="6"/>
  <c r="AE646" i="6"/>
  <c r="AE647" i="6"/>
  <c r="AE648" i="6"/>
  <c r="AE649" i="6"/>
  <c r="AE650" i="6"/>
  <c r="AE651" i="6"/>
  <c r="AE652" i="6"/>
  <c r="AE653" i="6"/>
  <c r="AE654" i="6"/>
  <c r="AE655" i="6"/>
  <c r="AE656" i="6"/>
  <c r="AE657" i="6"/>
  <c r="AE658" i="6"/>
  <c r="AE659" i="6"/>
  <c r="AE660" i="6"/>
  <c r="AE661" i="6"/>
  <c r="AE662" i="6"/>
  <c r="AE663" i="6"/>
  <c r="AE664" i="6"/>
  <c r="AE665" i="6"/>
  <c r="AE666" i="6"/>
  <c r="AE667" i="6"/>
  <c r="AE668" i="6"/>
  <c r="AE669" i="6"/>
  <c r="AE670" i="6"/>
  <c r="AE671" i="6"/>
  <c r="AE672" i="6"/>
  <c r="AE673" i="6"/>
  <c r="AE674" i="6"/>
  <c r="AE675" i="6"/>
  <c r="AE676" i="6"/>
  <c r="AE677" i="6"/>
  <c r="AE678" i="6"/>
  <c r="AE679" i="6"/>
  <c r="AE680" i="6"/>
  <c r="AE681" i="6"/>
  <c r="AE682" i="6"/>
  <c r="AE683" i="6"/>
  <c r="AE684" i="6"/>
  <c r="AE685" i="6"/>
  <c r="AE686" i="6"/>
  <c r="AE687" i="6"/>
  <c r="AE688" i="6"/>
  <c r="AE689" i="6"/>
  <c r="AE690" i="6"/>
  <c r="AE691" i="6"/>
  <c r="AE692" i="6"/>
  <c r="AE693" i="6"/>
  <c r="AE694" i="6"/>
  <c r="AE695" i="6"/>
  <c r="AE696" i="6"/>
  <c r="AE697" i="6"/>
  <c r="AE698" i="6"/>
  <c r="AE699" i="6"/>
  <c r="AE700" i="6"/>
  <c r="AE701" i="6"/>
  <c r="AE702" i="6"/>
  <c r="AE703" i="6"/>
  <c r="AE704" i="6"/>
  <c r="AE705" i="6"/>
  <c r="AE706" i="6"/>
  <c r="AE707" i="6"/>
  <c r="AE708" i="6"/>
  <c r="AE709" i="6"/>
  <c r="AE710" i="6"/>
  <c r="AE711" i="6"/>
  <c r="AE712" i="6"/>
  <c r="AE713" i="6"/>
  <c r="AE714" i="6"/>
  <c r="AE715" i="6"/>
  <c r="AE716" i="6"/>
  <c r="AE717" i="6"/>
  <c r="AE718" i="6"/>
  <c r="AE719" i="6"/>
  <c r="AE720" i="6"/>
  <c r="AE721" i="6"/>
  <c r="AE722" i="6"/>
  <c r="AE723" i="6"/>
  <c r="AE724" i="6"/>
  <c r="AE725" i="6"/>
  <c r="AE726" i="6"/>
  <c r="AE727" i="6"/>
  <c r="AE728" i="6"/>
  <c r="AE729" i="6"/>
  <c r="AE730" i="6"/>
  <c r="AE731" i="6"/>
  <c r="AE732" i="6"/>
  <c r="AE733" i="6"/>
  <c r="AE734" i="6"/>
  <c r="AE735" i="6"/>
  <c r="AE736" i="6"/>
  <c r="AE737" i="6"/>
  <c r="AE738" i="6"/>
  <c r="AE739" i="6"/>
  <c r="AE740" i="6"/>
  <c r="AE741" i="6"/>
  <c r="AE742" i="6"/>
  <c r="AE743" i="6"/>
  <c r="AE744" i="6"/>
  <c r="AE745" i="6"/>
  <c r="AE746" i="6"/>
  <c r="AE747" i="6"/>
  <c r="AE748" i="6"/>
  <c r="AE749" i="6"/>
  <c r="AE750" i="6"/>
  <c r="AE751" i="6"/>
  <c r="AE752" i="6"/>
  <c r="AE753" i="6"/>
  <c r="AE754" i="6"/>
  <c r="AE755" i="6"/>
  <c r="AE756" i="6"/>
  <c r="AE757" i="6"/>
  <c r="AE758" i="6"/>
  <c r="AE759" i="6"/>
  <c r="AE760" i="6"/>
  <c r="AE761" i="6"/>
  <c r="AE762" i="6"/>
  <c r="AE763" i="6"/>
  <c r="AE764" i="6"/>
  <c r="AE765" i="6"/>
  <c r="AE766" i="6"/>
  <c r="AE767" i="6"/>
  <c r="AE768" i="6"/>
  <c r="AE769" i="6"/>
  <c r="AE770" i="6"/>
  <c r="AE771" i="6"/>
  <c r="AE772" i="6"/>
  <c r="AE773" i="6"/>
  <c r="AE774" i="6"/>
  <c r="AE775" i="6"/>
  <c r="AE776" i="6"/>
  <c r="AE777" i="6"/>
  <c r="AE778" i="6"/>
  <c r="AE779" i="6"/>
  <c r="AE780" i="6"/>
  <c r="AE781" i="6"/>
  <c r="AE782" i="6"/>
  <c r="AE783" i="6"/>
  <c r="AE784" i="6"/>
  <c r="AE785" i="6"/>
  <c r="AE786" i="6"/>
  <c r="AE787" i="6"/>
  <c r="AE788" i="6"/>
  <c r="AE789" i="6"/>
  <c r="AE790" i="6"/>
  <c r="AE791" i="6"/>
  <c r="AE792" i="6"/>
  <c r="AE793" i="6"/>
  <c r="AE794" i="6"/>
  <c r="AE795" i="6"/>
  <c r="AE796" i="6"/>
  <c r="AE797" i="6"/>
  <c r="AE798" i="6"/>
  <c r="AE799" i="6"/>
  <c r="AE800" i="6"/>
  <c r="AE801" i="6"/>
  <c r="AE802" i="6"/>
  <c r="AE803" i="6"/>
  <c r="AE804" i="6"/>
  <c r="AE805" i="6"/>
  <c r="AE806" i="6"/>
  <c r="AE807" i="6"/>
  <c r="AE808" i="6"/>
  <c r="AE809" i="6"/>
  <c r="AE810" i="6"/>
  <c r="AE811" i="6"/>
  <c r="AE812" i="6"/>
  <c r="AE813" i="6"/>
  <c r="AE814" i="6"/>
  <c r="AE815" i="6"/>
  <c r="AE816" i="6"/>
  <c r="AE817" i="6"/>
  <c r="AE818" i="6"/>
  <c r="AE819" i="6"/>
  <c r="AE820" i="6"/>
  <c r="AE821" i="6"/>
  <c r="AE822" i="6"/>
  <c r="AE823" i="6"/>
  <c r="AE824" i="6"/>
  <c r="AE825" i="6"/>
  <c r="AE826" i="6"/>
  <c r="AE827" i="6"/>
  <c r="AE828" i="6"/>
  <c r="AE829" i="6"/>
  <c r="AE830" i="6"/>
  <c r="AE831" i="6"/>
  <c r="AE832" i="6"/>
  <c r="AE833" i="6"/>
  <c r="AE834" i="6"/>
  <c r="AE835" i="6"/>
  <c r="AE836" i="6"/>
  <c r="AE837" i="6"/>
  <c r="AE838" i="6"/>
  <c r="AE839" i="6"/>
  <c r="AE840" i="6"/>
  <c r="AE841" i="6"/>
  <c r="AE842" i="6"/>
  <c r="AE843" i="6"/>
  <c r="AE844" i="6"/>
  <c r="AE845" i="6"/>
  <c r="AE846" i="6"/>
  <c r="AE847" i="6"/>
  <c r="AE848" i="6"/>
  <c r="AE849" i="6"/>
  <c r="AE850" i="6"/>
  <c r="AE851" i="6"/>
  <c r="AE852" i="6"/>
  <c r="AE853" i="6"/>
  <c r="AE854" i="6"/>
  <c r="AE855" i="6"/>
  <c r="AE856" i="6"/>
  <c r="AE857" i="6"/>
  <c r="AE858" i="6"/>
  <c r="AE859" i="6"/>
  <c r="AE860" i="6"/>
  <c r="AE861" i="6"/>
  <c r="AE862" i="6"/>
  <c r="AE863" i="6"/>
  <c r="AE864" i="6"/>
  <c r="AE865" i="6"/>
  <c r="AE866" i="6"/>
  <c r="AE867" i="6"/>
  <c r="AE868" i="6"/>
  <c r="AE869" i="6"/>
  <c r="AE870" i="6"/>
  <c r="AE871" i="6"/>
  <c r="AE872" i="6"/>
  <c r="AE873" i="6"/>
  <c r="AE874" i="6"/>
  <c r="AE875" i="6"/>
  <c r="AE876" i="6"/>
  <c r="AE877" i="6"/>
  <c r="AE878" i="6"/>
  <c r="AE879" i="6"/>
  <c r="AE880" i="6"/>
  <c r="AE881" i="6"/>
  <c r="AE882" i="6"/>
  <c r="AE883" i="6"/>
  <c r="AE884" i="6"/>
  <c r="AE885" i="6"/>
  <c r="AE886" i="6"/>
  <c r="AE887" i="6"/>
  <c r="AE888" i="6"/>
  <c r="AE889" i="6"/>
  <c r="AE890" i="6"/>
  <c r="AE891" i="6"/>
  <c r="AE892" i="6"/>
  <c r="AE893" i="6"/>
  <c r="AE894" i="6"/>
  <c r="AE895" i="6"/>
  <c r="AE896" i="6"/>
  <c r="AE897" i="6"/>
  <c r="AE898" i="6"/>
  <c r="AE899" i="6"/>
  <c r="AE900" i="6"/>
  <c r="AE901" i="6"/>
  <c r="AE902" i="6"/>
  <c r="AE903" i="6"/>
  <c r="AE904" i="6"/>
  <c r="AE905" i="6"/>
  <c r="AE906" i="6"/>
  <c r="AE907" i="6"/>
  <c r="AE908" i="6"/>
  <c r="AE909" i="6"/>
  <c r="AE910" i="6"/>
  <c r="AE911" i="6"/>
  <c r="AE912" i="6"/>
  <c r="AE913" i="6"/>
  <c r="AE914" i="6"/>
  <c r="AE915" i="6"/>
  <c r="AE916" i="6"/>
  <c r="AE917" i="6"/>
  <c r="AE918" i="6"/>
  <c r="AE919" i="6"/>
  <c r="AE920" i="6"/>
  <c r="AE921" i="6"/>
  <c r="AE922" i="6"/>
  <c r="AE923" i="6"/>
  <c r="AE924" i="6"/>
  <c r="AE925" i="6"/>
  <c r="AE926" i="6"/>
  <c r="AE927" i="6"/>
  <c r="AE928" i="6"/>
  <c r="AE929" i="6"/>
  <c r="AE930" i="6"/>
  <c r="AE931" i="6"/>
  <c r="AE932" i="6"/>
  <c r="AE933" i="6"/>
  <c r="AE934" i="6"/>
  <c r="AE935" i="6"/>
  <c r="AE936" i="6"/>
  <c r="AE937" i="6"/>
  <c r="AE938" i="6"/>
  <c r="AE939" i="6"/>
  <c r="AE940" i="6"/>
  <c r="AE941" i="6"/>
  <c r="AE942" i="6"/>
  <c r="AE943" i="6"/>
  <c r="AE944" i="6"/>
  <c r="AE945" i="6"/>
  <c r="AE946" i="6"/>
  <c r="AE947" i="6"/>
  <c r="AE948" i="6"/>
  <c r="AE949" i="6"/>
  <c r="AE950" i="6"/>
  <c r="AE951" i="6"/>
  <c r="AE952" i="6"/>
  <c r="AE953" i="6"/>
  <c r="AE954" i="6"/>
  <c r="AE955" i="6"/>
  <c r="AE956" i="6"/>
  <c r="AE957" i="6"/>
  <c r="AE958" i="6"/>
  <c r="AE959" i="6"/>
  <c r="AE960" i="6"/>
  <c r="AE961" i="6"/>
  <c r="AE962" i="6"/>
  <c r="AE963" i="6"/>
  <c r="AE964" i="6"/>
  <c r="AE965" i="6"/>
  <c r="AE966" i="6"/>
  <c r="AE967" i="6"/>
  <c r="AE968" i="6"/>
  <c r="AE969" i="6"/>
  <c r="AE970" i="6"/>
  <c r="AE971" i="6"/>
  <c r="AE972" i="6"/>
  <c r="AE973" i="6"/>
  <c r="AE974" i="6"/>
  <c r="AE975" i="6"/>
  <c r="AE976" i="6"/>
  <c r="AE977" i="6"/>
  <c r="AE978" i="6"/>
  <c r="AE979" i="6"/>
  <c r="AE980" i="6"/>
  <c r="AE981" i="6"/>
  <c r="AE982" i="6"/>
  <c r="AE983" i="6"/>
  <c r="AE984" i="6"/>
  <c r="AE985" i="6"/>
  <c r="AE986" i="6"/>
  <c r="AE987" i="6"/>
  <c r="AE988" i="6"/>
  <c r="AE989" i="6"/>
  <c r="AE990" i="6"/>
  <c r="AE991" i="6"/>
  <c r="AE992" i="6"/>
  <c r="AE993" i="6"/>
  <c r="AE994" i="6"/>
  <c r="AE995" i="6"/>
  <c r="AE996" i="6"/>
  <c r="AE997" i="6"/>
  <c r="AE998" i="6"/>
  <c r="AE999" i="6"/>
  <c r="AE1000" i="6"/>
  <c r="AE1001" i="6"/>
  <c r="AE1002" i="6"/>
  <c r="AE1003" i="6"/>
  <c r="AE1004" i="6"/>
  <c r="AE1005" i="6"/>
  <c r="AE1006" i="6"/>
  <c r="AE1007" i="6"/>
  <c r="AE1008" i="6"/>
  <c r="AE1009" i="6"/>
  <c r="AE1010" i="6"/>
  <c r="AE1011" i="6"/>
  <c r="AE1012" i="6"/>
  <c r="AE1013" i="6"/>
  <c r="AE1014" i="6"/>
  <c r="AE1015" i="6"/>
  <c r="AE1016" i="6"/>
  <c r="AE1017" i="6"/>
  <c r="AE1018" i="6"/>
  <c r="AE1019" i="6"/>
  <c r="AE1020" i="6"/>
  <c r="AE1021" i="6"/>
  <c r="AE1022" i="6"/>
  <c r="AE1023" i="6"/>
  <c r="AE1024" i="6"/>
  <c r="AE1025" i="6"/>
  <c r="AE1026" i="6"/>
  <c r="AE1027" i="6"/>
  <c r="AE1028" i="6"/>
  <c r="AE1029" i="6"/>
  <c r="AE1030" i="6"/>
  <c r="AE1031" i="6"/>
  <c r="AE1032" i="6"/>
  <c r="AE1033" i="6"/>
  <c r="AE1034" i="6"/>
  <c r="AE1035" i="6"/>
  <c r="AE1036" i="6"/>
  <c r="AE1037" i="6"/>
  <c r="AE1038" i="6"/>
  <c r="AE1039" i="6"/>
  <c r="AE1040" i="6"/>
  <c r="AE1041" i="6"/>
  <c r="AE1042" i="6"/>
  <c r="AE1043" i="6"/>
  <c r="AE1044" i="6"/>
  <c r="AE1045" i="6"/>
  <c r="AE1046" i="6"/>
  <c r="AE1047" i="6"/>
  <c r="AE1048" i="6"/>
  <c r="AE1049" i="6"/>
  <c r="AE1050" i="6"/>
  <c r="AE1051" i="6"/>
  <c r="AE1052" i="6"/>
  <c r="AE1053" i="6"/>
  <c r="AE1054" i="6"/>
  <c r="AE1055" i="6"/>
  <c r="AE1056" i="6"/>
  <c r="AE1057" i="6"/>
  <c r="AE1058" i="6"/>
  <c r="AE1059" i="6"/>
  <c r="AE1060" i="6"/>
  <c r="AE1061" i="6"/>
  <c r="AE1062" i="6"/>
  <c r="AE1063" i="6"/>
  <c r="AE1064" i="6"/>
  <c r="AE1065" i="6"/>
  <c r="AE1066" i="6"/>
  <c r="AE1067" i="6"/>
  <c r="AE1068" i="6"/>
  <c r="AE1069" i="6"/>
  <c r="AE1070" i="6"/>
  <c r="AE1071" i="6"/>
  <c r="AE1072" i="6"/>
  <c r="AE1073" i="6"/>
  <c r="AE1074" i="6"/>
  <c r="AE1075" i="6"/>
  <c r="AE1076" i="6"/>
  <c r="AE1077" i="6"/>
  <c r="AE1078" i="6"/>
  <c r="AE1079" i="6"/>
  <c r="AE1080" i="6"/>
  <c r="AE1081" i="6"/>
  <c r="AE1082" i="6"/>
  <c r="AE1083" i="6"/>
  <c r="AE1084" i="6"/>
  <c r="AE1085" i="6"/>
  <c r="AE1086" i="6"/>
  <c r="AE1087" i="6"/>
  <c r="AE1088" i="6"/>
  <c r="AE1089" i="6"/>
  <c r="AE1090" i="6"/>
  <c r="AE1091" i="6"/>
  <c r="AE1092" i="6"/>
  <c r="AE1093" i="6"/>
  <c r="AE1094" i="6"/>
  <c r="AE1095" i="6"/>
  <c r="AE1096" i="6"/>
  <c r="AE1097" i="6"/>
  <c r="AE1098" i="6"/>
  <c r="AE1099" i="6"/>
  <c r="AE1100" i="6"/>
  <c r="AE1101" i="6"/>
  <c r="AE1102" i="6"/>
  <c r="AE1103" i="6"/>
  <c r="AE1104" i="6"/>
  <c r="AE1105" i="6"/>
  <c r="AE1106" i="6"/>
  <c r="AE1107" i="6"/>
  <c r="AE1108" i="6"/>
  <c r="AE1109" i="6"/>
  <c r="AE1110" i="6"/>
  <c r="AE1111" i="6"/>
  <c r="AE1112" i="6"/>
  <c r="AE1113" i="6"/>
  <c r="AE1114" i="6"/>
  <c r="AE1115" i="6"/>
  <c r="AE1116" i="6"/>
  <c r="AE1117" i="6"/>
  <c r="AE1118" i="6"/>
  <c r="AE1119" i="6"/>
  <c r="AE1120" i="6"/>
  <c r="AE1121" i="6"/>
  <c r="AE1122" i="6"/>
  <c r="AE1123" i="6"/>
  <c r="AE1124" i="6"/>
  <c r="AE1125" i="6"/>
  <c r="AE1126" i="6"/>
  <c r="AE1127" i="6"/>
  <c r="AE1128" i="6"/>
  <c r="AE1129" i="6"/>
  <c r="AE1130" i="6"/>
  <c r="AE1131" i="6"/>
  <c r="AE1132" i="6"/>
  <c r="AE1133" i="6"/>
  <c r="AE1134" i="6"/>
  <c r="AE1135" i="6"/>
  <c r="AE1136" i="6"/>
  <c r="AE1137" i="6"/>
  <c r="AE1138" i="6"/>
  <c r="AE1139" i="6"/>
  <c r="AE1140" i="6"/>
  <c r="AE1141" i="6"/>
  <c r="AE1142" i="6"/>
  <c r="AE1143" i="6"/>
  <c r="AE1144" i="6"/>
  <c r="AE1145" i="6"/>
  <c r="AE1146" i="6"/>
  <c r="AE1147" i="6"/>
  <c r="AE1148" i="6"/>
  <c r="AE1149" i="6"/>
  <c r="AE1150" i="6"/>
  <c r="AE1151" i="6"/>
  <c r="AE1152" i="6"/>
  <c r="AE1153" i="6"/>
  <c r="AE1154" i="6"/>
  <c r="AE1155" i="6"/>
  <c r="AE1156" i="6"/>
  <c r="AE1157" i="6"/>
  <c r="AE1158" i="6"/>
  <c r="AE1159" i="6"/>
  <c r="AE1160" i="6"/>
  <c r="AE1161" i="6"/>
  <c r="AE1162" i="6"/>
  <c r="AE1163" i="6"/>
  <c r="AE1164" i="6"/>
  <c r="AE1165" i="6"/>
  <c r="AE1166" i="6"/>
  <c r="AE1167" i="6"/>
  <c r="AE1168" i="6"/>
  <c r="AE1169" i="6"/>
  <c r="AE1170" i="6"/>
  <c r="AE1171" i="6"/>
  <c r="AE1172" i="6"/>
  <c r="AE1173" i="6"/>
  <c r="AE1174" i="6"/>
  <c r="AE1175" i="6"/>
  <c r="AE1176" i="6"/>
  <c r="AE1177" i="6"/>
  <c r="AE1178" i="6"/>
  <c r="AE1179" i="6"/>
  <c r="AE1180" i="6"/>
  <c r="AE1181" i="6"/>
  <c r="AE1182" i="6"/>
  <c r="AE1183" i="6"/>
  <c r="AE1184" i="6"/>
  <c r="AE1185" i="6"/>
  <c r="AE1186" i="6"/>
  <c r="AE1187" i="6"/>
  <c r="AE1188" i="6"/>
  <c r="AE1189" i="6"/>
  <c r="AE1190" i="6"/>
  <c r="AE1191" i="6"/>
  <c r="AE1192" i="6"/>
  <c r="AE1193" i="6"/>
  <c r="AE1194" i="6"/>
  <c r="AE1195" i="6"/>
  <c r="AE1196" i="6"/>
  <c r="AE1197" i="6"/>
  <c r="AE1198" i="6"/>
  <c r="AE1199" i="6"/>
  <c r="AE1200" i="6"/>
  <c r="AE1201" i="6"/>
  <c r="AE1202" i="6"/>
  <c r="AE1203" i="6"/>
  <c r="AE1204" i="6"/>
  <c r="AE1205" i="6"/>
  <c r="AE1206" i="6"/>
  <c r="AE1207" i="6"/>
  <c r="AE1208" i="6"/>
  <c r="AE1209" i="6"/>
  <c r="AE1210" i="6"/>
  <c r="AE1211" i="6"/>
  <c r="AE1212" i="6"/>
  <c r="AE1213" i="6"/>
  <c r="AE1214" i="6"/>
  <c r="AE1215" i="6"/>
  <c r="AE1216" i="6"/>
  <c r="AE1217" i="6"/>
  <c r="AE1218" i="6"/>
  <c r="AE1219" i="6"/>
  <c r="AE1220" i="6"/>
  <c r="AE1221" i="6"/>
  <c r="AE1222" i="6"/>
  <c r="AE1223" i="6"/>
  <c r="AE1224" i="6"/>
  <c r="AE1225" i="6"/>
  <c r="AE1226" i="6"/>
  <c r="AE1227" i="6"/>
  <c r="AE1228" i="6"/>
  <c r="AE1229" i="6"/>
  <c r="AE1230" i="6"/>
  <c r="AE1231" i="6"/>
  <c r="AE1232" i="6"/>
  <c r="AE1233" i="6"/>
  <c r="AE1234" i="6"/>
  <c r="AE1235" i="6"/>
  <c r="AE1236" i="6"/>
  <c r="AE1237" i="6"/>
  <c r="AE1238" i="6"/>
  <c r="AE1239" i="6"/>
  <c r="AE1240" i="6"/>
  <c r="AE1241" i="6"/>
  <c r="AE1242" i="6"/>
  <c r="AE1243" i="6"/>
  <c r="AE1244" i="6"/>
  <c r="AE1245" i="6"/>
  <c r="AE1246" i="6"/>
  <c r="AE1247" i="6"/>
  <c r="AE1248" i="6"/>
  <c r="AE1249" i="6"/>
  <c r="AE1250" i="6"/>
  <c r="AE1251" i="6"/>
  <c r="AE1252" i="6"/>
  <c r="AE1253" i="6"/>
  <c r="AE1254" i="6"/>
  <c r="AE1255" i="6"/>
  <c r="AE1256" i="6"/>
  <c r="AE1257" i="6"/>
  <c r="AE1258" i="6"/>
  <c r="AE1259" i="6"/>
  <c r="AE1260" i="6"/>
  <c r="AE1261" i="6"/>
  <c r="AE1262" i="6"/>
  <c r="AE1263" i="6"/>
  <c r="AE1264" i="6"/>
  <c r="AE1265" i="6"/>
  <c r="AE1266" i="6"/>
  <c r="AE1267" i="6"/>
  <c r="AE1268" i="6"/>
  <c r="AE1269" i="6"/>
  <c r="AE1270" i="6"/>
  <c r="AE1271" i="6"/>
  <c r="AE1272" i="6"/>
  <c r="AE1273" i="6"/>
  <c r="AE1274" i="6"/>
  <c r="AE1275" i="6"/>
  <c r="AE1276" i="6"/>
  <c r="AE1277" i="6"/>
  <c r="AE1278" i="6"/>
  <c r="AE1279" i="6"/>
  <c r="AE1280" i="6"/>
  <c r="AE1281" i="6"/>
  <c r="AE1282" i="6"/>
  <c r="AE1283" i="6"/>
  <c r="AE1284" i="6"/>
  <c r="AE1285" i="6"/>
  <c r="AE1286" i="6"/>
  <c r="AE1287" i="6"/>
  <c r="AE1288" i="6"/>
  <c r="AE1289" i="6"/>
  <c r="AE1290" i="6"/>
  <c r="AE1291" i="6"/>
  <c r="AE1292" i="6"/>
  <c r="AE1293" i="6"/>
  <c r="AE1294" i="6"/>
  <c r="AE1295" i="6"/>
  <c r="AE1296" i="6"/>
  <c r="AE1297" i="6"/>
  <c r="AE1298" i="6"/>
  <c r="AE1299" i="6"/>
  <c r="AE1300" i="6"/>
  <c r="AE1301" i="6"/>
  <c r="AE1302" i="6"/>
  <c r="AE1303" i="6"/>
  <c r="AE1304" i="6"/>
  <c r="AE1305" i="6"/>
  <c r="AE1306" i="6"/>
  <c r="AE1307" i="6"/>
  <c r="AE1308" i="6"/>
  <c r="AE1309" i="6"/>
  <c r="AE1310" i="6"/>
  <c r="AE1311" i="6"/>
  <c r="AE1312" i="6"/>
  <c r="AE1313" i="6"/>
  <c r="AE1314" i="6"/>
  <c r="AE1315" i="6"/>
  <c r="AE1316" i="6"/>
  <c r="AE1317" i="6"/>
  <c r="AE1318" i="6"/>
  <c r="AE1319" i="6"/>
  <c r="AE1320" i="6"/>
  <c r="AE1321" i="6"/>
  <c r="AE1322" i="6"/>
  <c r="AE1323" i="6"/>
  <c r="AE1324" i="6"/>
  <c r="AE1325" i="6"/>
  <c r="AE1326" i="6"/>
  <c r="AE1327" i="6"/>
  <c r="AE1328" i="6"/>
  <c r="AE1329" i="6"/>
  <c r="AE1330" i="6"/>
  <c r="AE1331" i="6"/>
  <c r="AE1332" i="6"/>
  <c r="AE1333" i="6"/>
  <c r="AE1334" i="6"/>
  <c r="AE1335" i="6"/>
  <c r="AE1336" i="6"/>
  <c r="AE1337" i="6"/>
  <c r="AE1338" i="6"/>
  <c r="AE1339" i="6"/>
  <c r="AE1340" i="6"/>
  <c r="AE1341" i="6"/>
  <c r="AE1342" i="6"/>
  <c r="AE1343" i="6"/>
  <c r="AE1344" i="6"/>
  <c r="AE1345" i="6"/>
  <c r="AE1346" i="6"/>
  <c r="AE1347" i="6"/>
  <c r="AE1348" i="6"/>
  <c r="AE1349" i="6"/>
  <c r="AE1350" i="6"/>
  <c r="AE1351" i="6"/>
  <c r="AE1352" i="6"/>
  <c r="AE1353" i="6"/>
  <c r="AE1354" i="6"/>
  <c r="AE1355" i="6"/>
  <c r="AE1356" i="6"/>
  <c r="AE1357" i="6"/>
  <c r="AE1358" i="6"/>
  <c r="AE1359" i="6"/>
  <c r="AE1360" i="6"/>
  <c r="AE1361" i="6"/>
  <c r="AE1362" i="6"/>
  <c r="AE1363" i="6"/>
  <c r="AE1364" i="6"/>
  <c r="AE1365" i="6"/>
  <c r="AE1366" i="6"/>
  <c r="AE1367" i="6"/>
  <c r="AE1368" i="6"/>
  <c r="AE1369" i="6"/>
  <c r="AE1370" i="6"/>
  <c r="AE1371" i="6"/>
  <c r="AE1372" i="6"/>
  <c r="AE1373" i="6"/>
  <c r="AE1374" i="6"/>
  <c r="AE1375" i="6"/>
  <c r="AE1376" i="6"/>
  <c r="AE1377" i="6"/>
  <c r="AE1378" i="6"/>
  <c r="AE1379" i="6"/>
  <c r="AE1380" i="6"/>
  <c r="AE1381" i="6"/>
  <c r="AE1382" i="6"/>
  <c r="AE1383" i="6"/>
  <c r="AE1384" i="6"/>
  <c r="AE1385" i="6"/>
  <c r="AE1386" i="6"/>
  <c r="AE1387" i="6"/>
  <c r="AE1388" i="6"/>
  <c r="AE1389" i="6"/>
  <c r="AE1390" i="6"/>
  <c r="AE1391" i="6"/>
  <c r="AE1392" i="6"/>
  <c r="AE1393" i="6"/>
  <c r="AE1394" i="6"/>
  <c r="AE1395" i="6"/>
  <c r="AE1396" i="6"/>
  <c r="AE1397" i="6"/>
  <c r="AE1398" i="6"/>
  <c r="AE1399" i="6"/>
  <c r="AE1400" i="6"/>
  <c r="AE1401" i="6"/>
  <c r="AE1402" i="6"/>
  <c r="AE1403" i="6"/>
  <c r="AE1404" i="6"/>
  <c r="AE1405" i="6"/>
  <c r="AE1406" i="6"/>
  <c r="AE1407" i="6"/>
  <c r="AE1408" i="6"/>
  <c r="AE1409" i="6"/>
  <c r="AE1410" i="6"/>
  <c r="AE1411" i="6"/>
  <c r="AE1412" i="6"/>
  <c r="AE1413" i="6"/>
  <c r="AE1414" i="6"/>
  <c r="AE1415" i="6"/>
  <c r="AE1416" i="6"/>
  <c r="AE1417" i="6"/>
  <c r="AE1418" i="6"/>
  <c r="AE1419" i="6"/>
  <c r="AE1420" i="6"/>
  <c r="AE1421" i="6"/>
  <c r="AE1422" i="6"/>
  <c r="AE1423" i="6"/>
  <c r="AE1424" i="6"/>
  <c r="AE1425" i="6"/>
  <c r="AE1426" i="6"/>
  <c r="AE1427" i="6"/>
  <c r="AE1428" i="6"/>
  <c r="AE1429" i="6"/>
  <c r="AE1430" i="6"/>
  <c r="AE1431" i="6"/>
  <c r="AE1432" i="6"/>
  <c r="AE1433" i="6"/>
  <c r="AE1434" i="6"/>
  <c r="AE1435" i="6"/>
  <c r="AE1436" i="6"/>
  <c r="AE1437" i="6"/>
  <c r="AE1438" i="6"/>
  <c r="AE1439" i="6"/>
  <c r="AE1440" i="6"/>
  <c r="AE1441" i="6"/>
  <c r="AE1442" i="6"/>
  <c r="AE1443" i="6"/>
  <c r="AE1444" i="6"/>
  <c r="AE1445" i="6"/>
  <c r="AE1446" i="6"/>
  <c r="AE1447" i="6"/>
  <c r="AE1448" i="6"/>
  <c r="AE1449" i="6"/>
  <c r="AE1450" i="6"/>
  <c r="AE1451" i="6"/>
  <c r="AE1452" i="6"/>
  <c r="AE1453" i="6"/>
  <c r="AE1454" i="6"/>
  <c r="AE1455" i="6"/>
  <c r="AE1456" i="6"/>
  <c r="AE1457" i="6"/>
  <c r="AE1458" i="6"/>
  <c r="AE1459" i="6"/>
  <c r="AE1460" i="6"/>
  <c r="AE1461" i="6"/>
  <c r="AE1462" i="6"/>
  <c r="AE1463" i="6"/>
  <c r="AE1464" i="6"/>
  <c r="AE1465" i="6"/>
  <c r="AE1466" i="6"/>
  <c r="AE1467" i="6"/>
  <c r="AE1468" i="6"/>
  <c r="AE1469" i="6"/>
  <c r="AE1470" i="6"/>
  <c r="AE1471" i="6"/>
  <c r="AE1472" i="6"/>
  <c r="AE1473" i="6"/>
  <c r="AE1474" i="6"/>
  <c r="AE1475" i="6"/>
  <c r="AE1476" i="6"/>
  <c r="AE1477" i="6"/>
  <c r="AE1478" i="6"/>
  <c r="AE1479" i="6"/>
  <c r="AE1480" i="6"/>
  <c r="AE1481" i="6"/>
  <c r="AE1482" i="6"/>
  <c r="AE1483" i="6"/>
  <c r="AE1484" i="6"/>
  <c r="AE1485" i="6"/>
  <c r="AE1486" i="6"/>
  <c r="AE1487" i="6"/>
  <c r="AE1488" i="6"/>
  <c r="AE1489" i="6"/>
  <c r="AE1490" i="6"/>
  <c r="AE1491" i="6"/>
  <c r="AE1492" i="6"/>
  <c r="AE1493" i="6"/>
  <c r="AE1494" i="6"/>
  <c r="AE1495" i="6"/>
  <c r="AE1496" i="6"/>
  <c r="AE1497" i="6"/>
  <c r="AE1498" i="6"/>
  <c r="AE1499" i="6"/>
  <c r="AE1500" i="6"/>
  <c r="AE1501" i="6"/>
  <c r="AE1502" i="6"/>
  <c r="AE1503" i="6"/>
  <c r="AE1504" i="6"/>
  <c r="AE1505" i="6"/>
  <c r="AE1506" i="6"/>
  <c r="AE1507" i="6"/>
  <c r="AE1508" i="6"/>
  <c r="AE1509" i="6"/>
  <c r="AE1510" i="6"/>
  <c r="AE1511" i="6"/>
  <c r="AE1512" i="6"/>
  <c r="AE1513" i="6"/>
  <c r="AE1514" i="6"/>
  <c r="AE1515" i="6"/>
  <c r="AE1516" i="6"/>
  <c r="AE1517" i="6"/>
  <c r="AE1518" i="6"/>
  <c r="AE1519" i="6"/>
  <c r="AE1520" i="6"/>
  <c r="AE1521" i="6"/>
  <c r="AE1522" i="6"/>
  <c r="AE1523" i="6"/>
  <c r="AE1524" i="6"/>
  <c r="AE1525" i="6"/>
  <c r="AE1526" i="6"/>
  <c r="AE1527" i="6"/>
  <c r="AE1528" i="6"/>
  <c r="AE1529" i="6"/>
  <c r="AE1530" i="6"/>
  <c r="AE1531" i="6"/>
  <c r="AE1532" i="6"/>
  <c r="AE1533" i="6"/>
  <c r="AE1534" i="6"/>
  <c r="AE1535" i="6"/>
  <c r="AE1536" i="6"/>
  <c r="AE1537" i="6"/>
  <c r="AE1538" i="6"/>
  <c r="AE1539" i="6"/>
  <c r="AE1540" i="6"/>
  <c r="AE1541" i="6"/>
  <c r="AE1542" i="6"/>
  <c r="AE1543" i="6"/>
  <c r="AE1544" i="6"/>
  <c r="AE1545" i="6"/>
  <c r="AE1546" i="6"/>
  <c r="AE1547" i="6"/>
  <c r="AE1548" i="6"/>
  <c r="AE1549" i="6"/>
  <c r="AE1550" i="6"/>
  <c r="AE1551" i="6"/>
  <c r="AE1552" i="6"/>
  <c r="AE1553" i="6"/>
  <c r="AE1554" i="6"/>
  <c r="AE1555" i="6"/>
  <c r="AE1556" i="6"/>
  <c r="AE1557" i="6"/>
  <c r="AE1558" i="6"/>
  <c r="AE1559" i="6"/>
  <c r="AE1560" i="6"/>
  <c r="AE1561" i="6"/>
  <c r="AE1562" i="6"/>
  <c r="AE1563" i="6"/>
  <c r="AE1564" i="6"/>
  <c r="AE1565" i="6"/>
  <c r="AE1566" i="6"/>
  <c r="AE1567" i="6"/>
  <c r="AE1568" i="6"/>
  <c r="AE1569" i="6"/>
  <c r="AE1570" i="6"/>
  <c r="AE1571" i="6"/>
  <c r="AE1572" i="6"/>
  <c r="AE1573" i="6"/>
  <c r="AE1574" i="6"/>
  <c r="AE1575" i="6"/>
  <c r="AE1576" i="6"/>
  <c r="AE1577" i="6"/>
  <c r="AE1578" i="6"/>
  <c r="AE1579" i="6"/>
  <c r="AE1580" i="6"/>
  <c r="AE1581" i="6"/>
  <c r="AE1582" i="6"/>
  <c r="AE1583" i="6"/>
  <c r="AE1584" i="6"/>
  <c r="AE1585" i="6"/>
  <c r="AE1586" i="6"/>
  <c r="AE1587" i="6"/>
  <c r="AE1588" i="6"/>
  <c r="AE1589" i="6"/>
  <c r="AE1590" i="6"/>
  <c r="AE1591" i="6"/>
  <c r="AE1592" i="6"/>
  <c r="AE1593" i="6"/>
  <c r="AE1594" i="6"/>
  <c r="AE1595" i="6"/>
  <c r="AE1596" i="6"/>
  <c r="AE1597" i="6"/>
  <c r="AE1598" i="6"/>
  <c r="AE1599" i="6"/>
  <c r="AE1600" i="6"/>
  <c r="AE1601" i="6"/>
  <c r="AE1602" i="6"/>
  <c r="AE1603" i="6"/>
  <c r="AE1604" i="6"/>
  <c r="AE1605" i="6"/>
  <c r="AE1606" i="6"/>
  <c r="AE1607" i="6"/>
  <c r="AE1608" i="6"/>
  <c r="AE1609" i="6"/>
  <c r="AE1610" i="6"/>
  <c r="AE1611" i="6"/>
  <c r="AE1612" i="6"/>
  <c r="AE1613" i="6"/>
  <c r="AE1614" i="6"/>
  <c r="AE1615" i="6"/>
  <c r="AE1616" i="6"/>
  <c r="AE1617" i="6"/>
  <c r="AE1618" i="6"/>
  <c r="AE1619" i="6"/>
  <c r="AE1620" i="6"/>
  <c r="AE1621" i="6"/>
  <c r="AE1622" i="6"/>
  <c r="AE1623" i="6"/>
  <c r="AE1624" i="6"/>
  <c r="AE1625" i="6"/>
  <c r="AE1626" i="6"/>
  <c r="AE1627" i="6"/>
  <c r="AE1628" i="6"/>
  <c r="AE1629" i="6"/>
  <c r="AE1630" i="6"/>
  <c r="AE1631" i="6"/>
  <c r="AE1632" i="6"/>
  <c r="AE1633" i="6"/>
  <c r="AE1634" i="6"/>
  <c r="AE1635" i="6"/>
  <c r="AE1636" i="6"/>
  <c r="AE1637" i="6"/>
  <c r="AE1638" i="6"/>
  <c r="AE1639" i="6"/>
  <c r="AE1640" i="6"/>
  <c r="AE1641" i="6"/>
  <c r="AE1642" i="6"/>
  <c r="AE1643" i="6"/>
  <c r="AE1644" i="6"/>
  <c r="AE1645" i="6"/>
  <c r="AE1646" i="6"/>
  <c r="AE1647" i="6"/>
  <c r="AE1648" i="6"/>
  <c r="AE1649" i="6"/>
  <c r="AE1650" i="6"/>
  <c r="AE1651" i="6"/>
  <c r="AE1652" i="6"/>
  <c r="AE1653" i="6"/>
  <c r="AE1654" i="6"/>
  <c r="AE1655" i="6"/>
  <c r="AE1656" i="6"/>
  <c r="AE1657" i="6"/>
  <c r="AE1658" i="6"/>
  <c r="AE1659" i="6"/>
  <c r="AE1660" i="6"/>
  <c r="AE1661" i="6"/>
  <c r="AE1662" i="6"/>
  <c r="AE1663" i="6"/>
  <c r="AE1664" i="6"/>
  <c r="AE1665" i="6"/>
  <c r="AE1666" i="6"/>
  <c r="AE1667" i="6"/>
  <c r="AE1668" i="6"/>
  <c r="AE1669" i="6"/>
  <c r="AE1670" i="6"/>
  <c r="AE1671" i="6"/>
  <c r="AE1672" i="6"/>
  <c r="AE1673" i="6"/>
  <c r="AE1674" i="6"/>
  <c r="AE1675" i="6"/>
  <c r="AE1676" i="6"/>
  <c r="AE1677" i="6"/>
  <c r="AE1678" i="6"/>
  <c r="AE1679" i="6"/>
  <c r="AE1680" i="6"/>
  <c r="AE1681" i="6"/>
  <c r="AE1682" i="6"/>
  <c r="AE1683" i="6"/>
  <c r="AE1684" i="6"/>
  <c r="AE1685" i="6"/>
  <c r="AE1686" i="6"/>
  <c r="AE1687" i="6"/>
  <c r="AE1688" i="6"/>
  <c r="AE1689" i="6"/>
  <c r="AE1690" i="6"/>
  <c r="AE1691" i="6"/>
  <c r="AE1692" i="6"/>
  <c r="AE1693" i="6"/>
  <c r="AE1694" i="6"/>
  <c r="AE1695" i="6"/>
  <c r="AE1696" i="6"/>
  <c r="AE1697" i="6"/>
  <c r="AE1698" i="6"/>
  <c r="AE1699" i="6"/>
  <c r="AE1700" i="6"/>
  <c r="AE1701" i="6"/>
  <c r="AE1702" i="6"/>
  <c r="AE1703" i="6"/>
  <c r="AE1704" i="6"/>
  <c r="AE1705" i="6"/>
  <c r="AE1706" i="6"/>
  <c r="AE1707" i="6"/>
  <c r="AE1708" i="6"/>
  <c r="AE1709" i="6"/>
  <c r="AE1710" i="6"/>
  <c r="AE1711" i="6"/>
  <c r="AE1712" i="6"/>
  <c r="AE1713" i="6"/>
  <c r="AE1714" i="6"/>
  <c r="AE1715" i="6"/>
  <c r="AE1716" i="6"/>
  <c r="AE1717" i="6"/>
  <c r="AE1718" i="6"/>
  <c r="AE1719" i="6"/>
  <c r="AE1720" i="6"/>
  <c r="AE1721" i="6"/>
  <c r="AE1722" i="6"/>
  <c r="AE1723" i="6"/>
  <c r="AE1724" i="6"/>
  <c r="AE1725" i="6"/>
  <c r="AE1726" i="6"/>
  <c r="AE1727" i="6"/>
  <c r="AE1728" i="6"/>
  <c r="AE1729" i="6"/>
  <c r="AE1730" i="6"/>
  <c r="AE1731" i="6"/>
  <c r="AE1732" i="6"/>
  <c r="AE1733" i="6"/>
  <c r="AE1734" i="6"/>
  <c r="AE1735" i="6"/>
  <c r="AE1736" i="6"/>
  <c r="AE1737" i="6"/>
  <c r="AE1738" i="6"/>
  <c r="AE1739" i="6"/>
  <c r="AE1740" i="6"/>
  <c r="AE1741" i="6"/>
  <c r="AE1742" i="6"/>
  <c r="AE1743" i="6"/>
  <c r="AE1744" i="6"/>
  <c r="AE1745" i="6"/>
  <c r="AE1746" i="6"/>
  <c r="AE1747" i="6"/>
  <c r="AE1748" i="6"/>
  <c r="AE1749" i="6"/>
  <c r="AE1750" i="6"/>
  <c r="AE1751" i="6"/>
  <c r="AE1752" i="6"/>
  <c r="AE1753" i="6"/>
  <c r="AE1754" i="6"/>
  <c r="AE1755" i="6"/>
  <c r="AE1756" i="6"/>
  <c r="AE1757" i="6"/>
  <c r="AE1758" i="6"/>
  <c r="AE1759" i="6"/>
  <c r="AE1760" i="6"/>
  <c r="AE1761" i="6"/>
  <c r="AE1762" i="6"/>
  <c r="AE1763" i="6"/>
  <c r="AE1764" i="6"/>
  <c r="AE1765" i="6"/>
  <c r="AE1766" i="6"/>
  <c r="AE1767" i="6"/>
  <c r="AE1768" i="6"/>
  <c r="AE1769" i="6"/>
  <c r="AE1770" i="6"/>
  <c r="AE1771" i="6"/>
  <c r="AE1772" i="6"/>
  <c r="AE1773" i="6"/>
  <c r="AE1774" i="6"/>
  <c r="AE1775" i="6"/>
  <c r="AE1776" i="6"/>
  <c r="AE1777" i="6"/>
  <c r="AE1778" i="6"/>
  <c r="AE1779" i="6"/>
  <c r="AE1780" i="6"/>
  <c r="AE1781" i="6"/>
  <c r="AE1782" i="6"/>
  <c r="AE1783" i="6"/>
  <c r="AE1784" i="6"/>
  <c r="AE1785" i="6"/>
  <c r="AE1786" i="6"/>
  <c r="AE1787" i="6"/>
  <c r="AE1788" i="6"/>
  <c r="AE1789" i="6"/>
  <c r="AE1790" i="6"/>
  <c r="AE1791" i="6"/>
  <c r="AE1792" i="6"/>
  <c r="AE1793" i="6"/>
  <c r="AE1794" i="6"/>
  <c r="AE1795" i="6"/>
  <c r="AE1796" i="6"/>
  <c r="AE1797" i="6"/>
  <c r="AE1798" i="6"/>
  <c r="AE1799" i="6"/>
  <c r="AE1800" i="6"/>
  <c r="AE1801" i="6"/>
  <c r="AE1802" i="6"/>
  <c r="AE1803" i="6"/>
  <c r="AE1804" i="6"/>
  <c r="AE1805" i="6"/>
  <c r="AE1806" i="6"/>
  <c r="AE1807" i="6"/>
  <c r="AE1808" i="6"/>
  <c r="AE1809" i="6"/>
  <c r="AE1810" i="6"/>
  <c r="AE1811" i="6"/>
  <c r="AE1812" i="6"/>
  <c r="AE1813" i="6"/>
  <c r="AE1814" i="6"/>
  <c r="AE1815" i="6"/>
  <c r="AE1816" i="6"/>
  <c r="AE1817" i="6"/>
  <c r="AE1818" i="6"/>
  <c r="AE1819" i="6"/>
  <c r="AE1820" i="6"/>
  <c r="AE1821" i="6"/>
  <c r="AE1822" i="6"/>
  <c r="AE1823" i="6"/>
  <c r="AE1824" i="6"/>
  <c r="AE1825" i="6"/>
  <c r="AE1826" i="6"/>
  <c r="AE1827" i="6"/>
  <c r="AE1828" i="6"/>
  <c r="AE1829" i="6"/>
  <c r="AE1830" i="6"/>
  <c r="AE1831" i="6"/>
  <c r="AE1832" i="6"/>
  <c r="AE1833" i="6"/>
  <c r="AE1834" i="6"/>
  <c r="AE1835" i="6"/>
  <c r="AE1836" i="6"/>
  <c r="AE1837" i="6"/>
  <c r="AE1838" i="6"/>
  <c r="AE1839" i="6"/>
  <c r="AE1840" i="6"/>
  <c r="AE1841" i="6"/>
  <c r="AE1842" i="6"/>
  <c r="AE1843" i="6"/>
  <c r="AE1844" i="6"/>
  <c r="AE1845" i="6"/>
  <c r="AE1846" i="6"/>
  <c r="AE1847" i="6"/>
  <c r="AE1848" i="6"/>
  <c r="AE1849" i="6"/>
  <c r="AE1850" i="6"/>
  <c r="AE1851" i="6"/>
  <c r="AE1852" i="6"/>
  <c r="AE1853" i="6"/>
  <c r="AE1854" i="6"/>
  <c r="AE1855" i="6"/>
  <c r="AE1856" i="6"/>
  <c r="AE1857" i="6"/>
  <c r="AE1858" i="6"/>
  <c r="AE1859" i="6"/>
  <c r="AE1860" i="6"/>
  <c r="AE1861" i="6"/>
  <c r="AE1862" i="6"/>
  <c r="AE1863" i="6"/>
  <c r="AE1864" i="6"/>
  <c r="AE1865" i="6"/>
  <c r="AE1866" i="6"/>
  <c r="AE1867" i="6"/>
  <c r="AE1868" i="6"/>
  <c r="AE1869" i="6"/>
  <c r="AE1870" i="6"/>
  <c r="AE1871" i="6"/>
  <c r="AE1872" i="6"/>
  <c r="AE1873" i="6"/>
  <c r="AE1874" i="6"/>
  <c r="AE1875" i="6"/>
  <c r="AE1876" i="6"/>
  <c r="AE1877" i="6"/>
  <c r="AE1878" i="6"/>
  <c r="AE1879" i="6"/>
  <c r="AE1880" i="6"/>
  <c r="AE1881" i="6"/>
  <c r="AE1882" i="6"/>
  <c r="AE1883" i="6"/>
  <c r="AE1884" i="6"/>
  <c r="AE1885" i="6"/>
  <c r="AE1886" i="6"/>
  <c r="AE1887" i="6"/>
  <c r="AE1888" i="6"/>
  <c r="AE1889" i="6"/>
  <c r="AE1890" i="6"/>
  <c r="AE1891" i="6"/>
  <c r="AE1892" i="6"/>
  <c r="AE1893" i="6"/>
  <c r="AE1894" i="6"/>
  <c r="AE1895" i="6"/>
  <c r="AE1896" i="6"/>
  <c r="AE1897" i="6"/>
  <c r="AE1898" i="6"/>
  <c r="AE1899" i="6"/>
  <c r="AE1900" i="6"/>
  <c r="AE1901" i="6"/>
  <c r="AE1902" i="6"/>
  <c r="AE1903" i="6"/>
  <c r="AE1904" i="6"/>
  <c r="AE1905" i="6"/>
  <c r="AE1906" i="6"/>
  <c r="AE1907" i="6"/>
  <c r="AE1908" i="6"/>
  <c r="AE1909" i="6"/>
  <c r="AE1910" i="6"/>
  <c r="AE1911" i="6"/>
  <c r="AE1912" i="6"/>
  <c r="AE1913" i="6"/>
  <c r="AE1914" i="6"/>
  <c r="AE1915" i="6"/>
  <c r="AE1916" i="6"/>
  <c r="AE1917" i="6"/>
  <c r="AE1918" i="6"/>
  <c r="AE1919" i="6"/>
  <c r="AE1920" i="6"/>
  <c r="AE1921" i="6"/>
  <c r="AE1922" i="6"/>
  <c r="AE1923" i="6"/>
  <c r="AE1924" i="6"/>
  <c r="AE1925" i="6"/>
  <c r="AE1926" i="6"/>
  <c r="AE1927" i="6"/>
  <c r="AE1928" i="6"/>
  <c r="AE1929" i="6"/>
  <c r="AE1930" i="6"/>
  <c r="AE1931" i="6"/>
  <c r="AE1932" i="6"/>
  <c r="AE1933" i="6"/>
  <c r="AE1934" i="6"/>
  <c r="AE1935" i="6"/>
  <c r="AE1936" i="6"/>
  <c r="AE1937" i="6"/>
  <c r="AE1938" i="6"/>
  <c r="AE1939" i="6"/>
  <c r="AE1940" i="6"/>
  <c r="AE1941" i="6"/>
  <c r="AE1942" i="6"/>
  <c r="AE1943" i="6"/>
  <c r="AE1944" i="6"/>
  <c r="AE1945" i="6"/>
  <c r="AE1946" i="6"/>
  <c r="AE1947" i="6"/>
  <c r="AE1948" i="6"/>
  <c r="AE1949" i="6"/>
  <c r="AE1950" i="6"/>
  <c r="AE1951" i="6"/>
  <c r="AE1952" i="6"/>
  <c r="AE1953" i="6"/>
  <c r="AE1954" i="6"/>
  <c r="AE1955" i="6"/>
  <c r="AE1956" i="6"/>
  <c r="AE1957" i="6"/>
  <c r="AE1958" i="6"/>
  <c r="AE1959" i="6"/>
  <c r="AE1960" i="6"/>
  <c r="AE1961" i="6"/>
  <c r="AE1962" i="6"/>
  <c r="AE1963" i="6"/>
  <c r="AE1964" i="6"/>
  <c r="AE1965" i="6"/>
  <c r="AE1966" i="6"/>
  <c r="AE1967" i="6"/>
  <c r="AE1968" i="6"/>
  <c r="AE1969" i="6"/>
  <c r="AE1970" i="6"/>
  <c r="AE1971" i="6"/>
  <c r="AE1972" i="6"/>
  <c r="AE1973" i="6"/>
  <c r="AE1974" i="6"/>
  <c r="AE1975" i="6"/>
  <c r="AE1976" i="6"/>
  <c r="AE1977" i="6"/>
  <c r="AE1978" i="6"/>
  <c r="AE1979" i="6"/>
  <c r="AE1980" i="6"/>
  <c r="AE1981" i="6"/>
  <c r="AE1982" i="6"/>
  <c r="AE1983" i="6"/>
  <c r="AE1984" i="6"/>
  <c r="AE1985" i="6"/>
  <c r="AE1986" i="6"/>
  <c r="AE1987" i="6"/>
  <c r="AE1988" i="6"/>
  <c r="AE1989" i="6"/>
  <c r="AE1990" i="6"/>
  <c r="AE1991" i="6"/>
  <c r="AE1992" i="6"/>
  <c r="AE1993" i="6"/>
  <c r="AE1994" i="6"/>
  <c r="AE1995" i="6"/>
  <c r="AE1996" i="6"/>
  <c r="AE1997" i="6"/>
  <c r="AE1998" i="6"/>
  <c r="AE1999" i="6"/>
  <c r="AE2000" i="6"/>
  <c r="AE2001" i="6"/>
  <c r="AE2002" i="6"/>
  <c r="AE2003" i="6"/>
  <c r="AE2004" i="6"/>
  <c r="AE2005" i="6"/>
  <c r="AE2006" i="6"/>
  <c r="AE2007" i="6"/>
  <c r="AE2008" i="6"/>
  <c r="AE2009" i="6"/>
  <c r="AE2010" i="6"/>
  <c r="AE2011" i="6"/>
  <c r="AE2012" i="6"/>
  <c r="AE2013" i="6"/>
  <c r="AE2014" i="6"/>
  <c r="AE2015" i="6"/>
  <c r="AE2016" i="6"/>
  <c r="AE2017" i="6"/>
  <c r="AE2018" i="6"/>
  <c r="AE2019" i="6"/>
  <c r="AE2020" i="6"/>
  <c r="AE2021" i="6"/>
  <c r="AE2022" i="6"/>
  <c r="AE2023" i="6"/>
  <c r="AE2024" i="6"/>
  <c r="AE2025" i="6"/>
  <c r="AE2026" i="6"/>
  <c r="AE2027" i="6"/>
  <c r="AE2028" i="6"/>
  <c r="AE2029" i="6"/>
  <c r="AE2030" i="6"/>
  <c r="AE2031" i="6"/>
  <c r="AE2032" i="6"/>
  <c r="AE2033" i="6"/>
  <c r="AE2034" i="6"/>
  <c r="AE2035" i="6"/>
  <c r="AE2036" i="6"/>
  <c r="AE2037" i="6"/>
  <c r="AE2038" i="6"/>
  <c r="AE2039" i="6"/>
  <c r="AE2040" i="6"/>
  <c r="AE2041" i="6"/>
  <c r="AE2042" i="6"/>
  <c r="AE2043" i="6"/>
  <c r="AE2044" i="6"/>
  <c r="AE2045" i="6"/>
  <c r="AE2046" i="6"/>
  <c r="AE2047" i="6"/>
  <c r="AE2048" i="6"/>
  <c r="AE2049" i="6"/>
  <c r="AE2050" i="6"/>
  <c r="AE2051" i="6"/>
  <c r="AE2052" i="6"/>
  <c r="AE2053" i="6"/>
  <c r="AE2054" i="6"/>
  <c r="AE2055" i="6"/>
  <c r="AE2056" i="6"/>
  <c r="AE2057" i="6"/>
  <c r="AE2058" i="6"/>
  <c r="AE2059" i="6"/>
  <c r="AE2060" i="6"/>
  <c r="AE2061" i="6"/>
  <c r="AE2062" i="6"/>
  <c r="AE2063" i="6"/>
  <c r="AE2064" i="6"/>
  <c r="AE2065" i="6"/>
  <c r="AE2066" i="6"/>
  <c r="AE2067" i="6"/>
  <c r="AE2068" i="6"/>
  <c r="AE2069" i="6"/>
  <c r="AE2070" i="6"/>
  <c r="AE2071" i="6"/>
  <c r="AE2072" i="6"/>
  <c r="AE2073" i="6"/>
  <c r="AE2074" i="6"/>
  <c r="AE2075" i="6"/>
  <c r="AE2076" i="6"/>
  <c r="AE2077" i="6"/>
  <c r="AE2078" i="6"/>
  <c r="AE2079" i="6"/>
  <c r="AE2080" i="6"/>
  <c r="AE2081" i="6"/>
  <c r="AE2082" i="6"/>
  <c r="AE2083" i="6"/>
  <c r="AE2084" i="6"/>
  <c r="AE2085" i="6"/>
  <c r="AE2086" i="6"/>
  <c r="AE2087" i="6"/>
  <c r="AE2088" i="6"/>
  <c r="AE2089" i="6"/>
  <c r="AE2090" i="6"/>
  <c r="AE2091" i="6"/>
  <c r="AE2092" i="6"/>
  <c r="AE2093" i="6"/>
  <c r="AE2094" i="6"/>
  <c r="AE2095" i="6"/>
  <c r="AE2096" i="6"/>
  <c r="AE2097" i="6"/>
  <c r="AE2098" i="6"/>
  <c r="AE2099" i="6"/>
  <c r="AE2100" i="6"/>
  <c r="AE2101" i="6"/>
  <c r="AE2102" i="6"/>
  <c r="AE2103" i="6"/>
  <c r="AE2104" i="6"/>
  <c r="AE2105" i="6"/>
  <c r="AE2106" i="6"/>
  <c r="AE2107" i="6"/>
  <c r="AE2108" i="6"/>
  <c r="AE2109" i="6"/>
  <c r="AE2110" i="6"/>
  <c r="AE2111" i="6"/>
  <c r="AE2112" i="6"/>
  <c r="AE2113" i="6"/>
  <c r="AE2114" i="6"/>
  <c r="AE2115" i="6"/>
  <c r="AE2116" i="6"/>
  <c r="AE2117" i="6"/>
  <c r="AE2118" i="6"/>
  <c r="AE2119" i="6"/>
  <c r="AE2120" i="6"/>
  <c r="AE2121" i="6"/>
  <c r="AE2122" i="6"/>
  <c r="AE2123" i="6"/>
  <c r="AE2124" i="6"/>
  <c r="AE2125" i="6"/>
  <c r="AE2126" i="6"/>
  <c r="AE2127" i="6"/>
  <c r="AE2128" i="6"/>
  <c r="AE2129" i="6"/>
  <c r="AE2130" i="6"/>
  <c r="AE2131" i="6"/>
  <c r="AE2132" i="6"/>
  <c r="AE2133" i="6"/>
  <c r="AE2134" i="6"/>
  <c r="AE2135" i="6"/>
  <c r="AE2136" i="6"/>
  <c r="AE2137" i="6"/>
  <c r="AE2138" i="6"/>
  <c r="AE2139" i="6"/>
  <c r="AE2140" i="6"/>
  <c r="AE2141" i="6"/>
  <c r="AE2142" i="6"/>
  <c r="AE2143" i="6"/>
  <c r="AE2144" i="6"/>
  <c r="AE2145" i="6"/>
  <c r="AE2146" i="6"/>
  <c r="AE2147" i="6"/>
  <c r="AE2148" i="6"/>
  <c r="AE2149" i="6"/>
  <c r="AE2150" i="6"/>
  <c r="AE2151" i="6"/>
  <c r="AE2152" i="6"/>
  <c r="AE2153" i="6"/>
  <c r="AE2154" i="6"/>
  <c r="AE2155" i="6"/>
  <c r="AE2156" i="6"/>
  <c r="AE2157" i="6"/>
  <c r="AE2158" i="6"/>
  <c r="AE2159" i="6"/>
  <c r="AE2160" i="6"/>
  <c r="AE2161" i="6"/>
  <c r="AE2162" i="6"/>
  <c r="AE2163" i="6"/>
  <c r="AE2164" i="6"/>
  <c r="AE2165" i="6"/>
  <c r="AE2166" i="6"/>
  <c r="AE2167" i="6"/>
  <c r="AE2168" i="6"/>
  <c r="AE2169" i="6"/>
  <c r="AE2170" i="6"/>
  <c r="AE2171" i="6"/>
  <c r="AE2172" i="6"/>
  <c r="AE2173" i="6"/>
  <c r="AE2174" i="6"/>
  <c r="AE2175" i="6"/>
  <c r="AE2176" i="6"/>
  <c r="AE2177" i="6"/>
  <c r="AE2178" i="6"/>
  <c r="AE2179" i="6"/>
  <c r="AE2180" i="6"/>
  <c r="AE2181" i="6"/>
  <c r="AE2182" i="6"/>
  <c r="AE2183" i="6"/>
  <c r="AE2184" i="6"/>
  <c r="AE2185" i="6"/>
  <c r="AE2186" i="6"/>
  <c r="AE2187" i="6"/>
  <c r="AE2188" i="6"/>
  <c r="AE2189" i="6"/>
  <c r="AE2190" i="6"/>
  <c r="AE2191" i="6"/>
  <c r="AE2192" i="6"/>
  <c r="AE2193" i="6"/>
  <c r="AE2194" i="6"/>
  <c r="AE2195" i="6"/>
  <c r="AE2196" i="6"/>
  <c r="AE2197" i="6"/>
  <c r="AE2198" i="6"/>
  <c r="AE2199" i="6"/>
  <c r="AE2200" i="6"/>
  <c r="AE2201" i="6"/>
  <c r="AE2202" i="6"/>
  <c r="AE2203" i="6"/>
  <c r="AE2204" i="6"/>
  <c r="AE2205" i="6"/>
  <c r="AE2206" i="6"/>
  <c r="AE2207" i="6"/>
  <c r="AE2208" i="6"/>
  <c r="AE2209" i="6"/>
  <c r="AE2210" i="6"/>
  <c r="AE2211" i="6"/>
  <c r="AE2212" i="6"/>
  <c r="AE2213" i="6"/>
  <c r="AE2214" i="6"/>
  <c r="AE2215" i="6"/>
  <c r="AE2216" i="6"/>
  <c r="AE2217" i="6"/>
  <c r="AE2218" i="6"/>
  <c r="AE2219" i="6"/>
  <c r="AE2220" i="6"/>
  <c r="AE2221" i="6"/>
  <c r="AE2222" i="6"/>
  <c r="AE2223" i="6"/>
  <c r="AE2224" i="6"/>
  <c r="AE2225" i="6"/>
  <c r="AE2226" i="6"/>
  <c r="AE2227" i="6"/>
  <c r="AE2228" i="6"/>
  <c r="AE2229" i="6"/>
  <c r="AE2230" i="6"/>
  <c r="AE2231" i="6"/>
  <c r="AE2232" i="6"/>
  <c r="AE2233" i="6"/>
  <c r="AE2234" i="6"/>
  <c r="AE2235" i="6"/>
  <c r="AE2236" i="6"/>
  <c r="AE2237" i="6"/>
  <c r="AE2238" i="6"/>
  <c r="AE2239" i="6"/>
  <c r="AE2240" i="6"/>
  <c r="AE2241" i="6"/>
  <c r="AE2242" i="6"/>
  <c r="AE2243" i="6"/>
  <c r="AE2244" i="6"/>
  <c r="AE2245" i="6"/>
  <c r="AE2246" i="6"/>
  <c r="AE2247" i="6"/>
  <c r="AE2248" i="6"/>
  <c r="AE2249" i="6"/>
  <c r="AE2250" i="6"/>
  <c r="AE2251" i="6"/>
  <c r="AE2252" i="6"/>
  <c r="AE2253" i="6"/>
  <c r="AE2254" i="6"/>
  <c r="AE2255" i="6"/>
  <c r="AE2256" i="6"/>
  <c r="AE2257" i="6"/>
  <c r="AE2258" i="6"/>
  <c r="AE2259" i="6"/>
  <c r="AE2260" i="6"/>
  <c r="AE2261" i="6"/>
  <c r="AE2262" i="6"/>
  <c r="AE2263" i="6"/>
  <c r="AE2264" i="6"/>
  <c r="AE2265" i="6"/>
  <c r="AE2266" i="6"/>
  <c r="AE2267" i="6"/>
  <c r="AE2268" i="6"/>
  <c r="AE2269" i="6"/>
  <c r="AE2270" i="6"/>
  <c r="AE2271" i="6"/>
  <c r="AE2272" i="6"/>
  <c r="AE2273" i="6"/>
  <c r="AE2274" i="6"/>
  <c r="AE2275" i="6"/>
  <c r="AE2276" i="6"/>
  <c r="AE2277" i="6"/>
  <c r="AE2278" i="6"/>
  <c r="AE2279" i="6"/>
  <c r="AE2280" i="6"/>
  <c r="AE2281" i="6"/>
  <c r="AE2282" i="6"/>
  <c r="AE2283" i="6"/>
  <c r="AE2284" i="6"/>
  <c r="AE2285" i="6"/>
  <c r="AE2286" i="6"/>
  <c r="AE2287" i="6"/>
  <c r="AE2288" i="6"/>
  <c r="AE2289" i="6"/>
  <c r="AE2290" i="6"/>
  <c r="AE2291" i="6"/>
  <c r="AE2292" i="6"/>
  <c r="AE2293" i="6"/>
  <c r="AE2294" i="6"/>
  <c r="AE2295" i="6"/>
  <c r="AE2296" i="6"/>
  <c r="AE2297" i="6"/>
  <c r="AE2298" i="6"/>
  <c r="AE2299" i="6"/>
  <c r="AE2300" i="6"/>
  <c r="AE2301" i="6"/>
  <c r="AE2302" i="6"/>
  <c r="AE2303" i="6"/>
  <c r="AE2304" i="6"/>
  <c r="AE2305" i="6"/>
  <c r="AE2306" i="6"/>
  <c r="AE2307" i="6"/>
  <c r="AE2308" i="6"/>
  <c r="AE2309" i="6"/>
  <c r="AE2310" i="6"/>
  <c r="AE2311" i="6"/>
  <c r="AE2312" i="6"/>
  <c r="AE2313" i="6"/>
  <c r="AE2314" i="6"/>
  <c r="AE2315" i="6"/>
  <c r="AE2316" i="6"/>
  <c r="AE2317" i="6"/>
  <c r="AE2318" i="6"/>
  <c r="AE2319" i="6"/>
  <c r="AE2320" i="6"/>
  <c r="AE2321" i="6"/>
  <c r="AE2322" i="6"/>
  <c r="AE2323" i="6"/>
  <c r="AE2324" i="6"/>
  <c r="AE2325" i="6"/>
  <c r="AE2326" i="6"/>
  <c r="AE2327" i="6"/>
  <c r="AE2328" i="6"/>
  <c r="AE2329" i="6"/>
  <c r="AE2330" i="6"/>
  <c r="AE2331" i="6"/>
  <c r="AE2332" i="6"/>
  <c r="AE2333" i="6"/>
  <c r="AE2334" i="6"/>
  <c r="AE2335" i="6"/>
  <c r="AE2336" i="6"/>
  <c r="AE2337" i="6"/>
  <c r="AE2338" i="6"/>
  <c r="AE2339" i="6"/>
  <c r="AE2340" i="6"/>
  <c r="AE2341" i="6"/>
  <c r="AE2342" i="6"/>
  <c r="AE2343" i="6"/>
  <c r="AE2344" i="6"/>
  <c r="AE2345" i="6"/>
  <c r="AE2346" i="6"/>
  <c r="AE2347" i="6"/>
  <c r="AE2348" i="6"/>
  <c r="AE2349" i="6"/>
  <c r="AE2350" i="6"/>
  <c r="AE2351" i="6"/>
  <c r="AE2352" i="6"/>
  <c r="AE2353" i="6"/>
  <c r="AE2354" i="6"/>
  <c r="AE2355" i="6"/>
  <c r="AE2356" i="6"/>
  <c r="AE2357" i="6"/>
  <c r="AE2358" i="6"/>
  <c r="AE2359" i="6"/>
  <c r="AE2360" i="6"/>
  <c r="AE2361" i="6"/>
  <c r="AE2362" i="6"/>
  <c r="AE2363" i="6"/>
  <c r="AE2364" i="6"/>
  <c r="AE2365" i="6"/>
  <c r="AE2366" i="6"/>
  <c r="AE2367" i="6"/>
  <c r="AE2368" i="6"/>
  <c r="AE2369" i="6"/>
  <c r="AE2370" i="6"/>
  <c r="AE2371" i="6"/>
  <c r="AE2372" i="6"/>
  <c r="AE2373" i="6"/>
  <c r="AE2374" i="6"/>
  <c r="AE2375" i="6"/>
  <c r="AE2376" i="6"/>
  <c r="AE2377" i="6"/>
  <c r="AE2378" i="6"/>
  <c r="AE2379" i="6"/>
  <c r="AE2380" i="6"/>
  <c r="AE2381" i="6"/>
  <c r="AE2382" i="6"/>
  <c r="AE2383" i="6"/>
  <c r="AE2384" i="6"/>
  <c r="AE2385" i="6"/>
  <c r="AE2386" i="6"/>
  <c r="AE2387" i="6"/>
  <c r="AE2388" i="6"/>
  <c r="AE2389" i="6"/>
  <c r="AE2390" i="6"/>
  <c r="AE2391" i="6"/>
  <c r="AE2392" i="6"/>
  <c r="AE2393" i="6"/>
  <c r="AE2394" i="6"/>
  <c r="AE2395" i="6"/>
  <c r="AE2396" i="6"/>
  <c r="AE2397" i="6"/>
  <c r="AE2398" i="6"/>
  <c r="AE2399" i="6"/>
  <c r="AE2400" i="6"/>
  <c r="AE2401" i="6"/>
  <c r="AE2402" i="6"/>
  <c r="AE2403" i="6"/>
  <c r="AE2404" i="6"/>
  <c r="AE2405" i="6"/>
  <c r="AE2406" i="6"/>
  <c r="AE2407" i="6"/>
  <c r="AE2408" i="6"/>
  <c r="AE2409" i="6"/>
  <c r="AE2410" i="6"/>
  <c r="AE2411" i="6"/>
  <c r="AE2412" i="6"/>
  <c r="AE2413" i="6"/>
  <c r="AE2414" i="6"/>
  <c r="AE2415" i="6"/>
  <c r="AE2416" i="6"/>
  <c r="AE2417" i="6"/>
  <c r="AE2418" i="6"/>
  <c r="AE2419" i="6"/>
  <c r="AE2420" i="6"/>
  <c r="AE2421" i="6"/>
  <c r="AE2422" i="6"/>
  <c r="AE2423" i="6"/>
  <c r="AE2424" i="6"/>
  <c r="AE2425" i="6"/>
  <c r="AE2426" i="6"/>
  <c r="AE2427" i="6"/>
  <c r="AE2428" i="6"/>
  <c r="AE2429" i="6"/>
  <c r="AE2430" i="6"/>
  <c r="AE2431" i="6"/>
  <c r="AE2432" i="6"/>
  <c r="AE2433" i="6"/>
  <c r="AE2434" i="6"/>
  <c r="AE2435" i="6"/>
  <c r="AE2436" i="6"/>
  <c r="AE2437" i="6"/>
  <c r="AE2438" i="6"/>
  <c r="AE2439" i="6"/>
  <c r="AE2440" i="6"/>
  <c r="AE2441" i="6"/>
  <c r="AE2442" i="6"/>
  <c r="AE2443" i="6"/>
  <c r="AE2444" i="6"/>
  <c r="AE2445" i="6"/>
  <c r="AE2446" i="6"/>
  <c r="AE2447" i="6"/>
  <c r="AE2448" i="6"/>
  <c r="AE2449" i="6"/>
  <c r="AE2450" i="6"/>
  <c r="AE2451" i="6"/>
  <c r="AE2452" i="6"/>
  <c r="AE2453" i="6"/>
  <c r="AE2454" i="6"/>
  <c r="AE2455" i="6"/>
  <c r="AE2456" i="6"/>
  <c r="AE2457" i="6"/>
  <c r="AE2458" i="6"/>
  <c r="AE2459" i="6"/>
  <c r="AE2460" i="6"/>
  <c r="AE2461" i="6"/>
  <c r="AE2462" i="6"/>
  <c r="AE2463" i="6"/>
  <c r="AE2464" i="6"/>
  <c r="AE2465" i="6"/>
  <c r="AE2466" i="6"/>
  <c r="AE2467" i="6"/>
  <c r="AE2468" i="6"/>
  <c r="AE2469" i="6"/>
  <c r="AE2470" i="6"/>
  <c r="AE2471" i="6"/>
  <c r="AE2472" i="6"/>
  <c r="AE2473" i="6"/>
  <c r="AE2474" i="6"/>
  <c r="AE2475" i="6"/>
  <c r="AE2476" i="6"/>
  <c r="AE2477" i="6"/>
  <c r="AE2478" i="6"/>
  <c r="AE2479" i="6"/>
  <c r="AE2480" i="6"/>
  <c r="AE2481" i="6"/>
  <c r="AE2482" i="6"/>
  <c r="AE2483" i="6"/>
  <c r="AE2484" i="6"/>
  <c r="AE2485" i="6"/>
  <c r="AE2486" i="6"/>
  <c r="AE2487" i="6"/>
  <c r="AE2488" i="6"/>
  <c r="AE2489" i="6"/>
  <c r="AE2490" i="6"/>
  <c r="AE2491" i="6"/>
  <c r="AE2492" i="6"/>
  <c r="AE2493" i="6"/>
  <c r="AE2494" i="6"/>
  <c r="AE2495" i="6"/>
  <c r="AE2496" i="6"/>
  <c r="AE2497" i="6"/>
  <c r="AE2498" i="6"/>
  <c r="AE2499" i="6"/>
  <c r="AE2500" i="6"/>
  <c r="AE2501" i="6"/>
  <c r="AE2502" i="6"/>
  <c r="AE2503" i="6"/>
  <c r="AE2504" i="6"/>
  <c r="AE2505" i="6"/>
  <c r="AE2506" i="6"/>
  <c r="AE2507" i="6"/>
  <c r="AE2508" i="6"/>
  <c r="AE2509" i="6"/>
  <c r="AE2510" i="6"/>
  <c r="AE2511" i="6"/>
  <c r="AE2512" i="6"/>
  <c r="AE2513" i="6"/>
  <c r="AE2514" i="6"/>
  <c r="AE2515" i="6"/>
  <c r="AE2516" i="6"/>
  <c r="AE2517" i="6"/>
  <c r="AE2518" i="6"/>
  <c r="AE2519" i="6"/>
  <c r="AE2520" i="6"/>
  <c r="AE2521" i="6"/>
  <c r="AE2522" i="6"/>
  <c r="AE2523" i="6"/>
  <c r="AE2524" i="6"/>
  <c r="AE2525" i="6"/>
  <c r="AE2526" i="6"/>
  <c r="AE2527" i="6"/>
  <c r="AE2528" i="6"/>
  <c r="AE2529" i="6"/>
  <c r="AE2530" i="6"/>
  <c r="AE2531" i="6"/>
  <c r="AE2532" i="6"/>
  <c r="AE2533" i="6"/>
  <c r="AE2534" i="6"/>
  <c r="AE2535" i="6"/>
  <c r="AE2536" i="6"/>
  <c r="AE2537" i="6"/>
  <c r="AE2538" i="6"/>
  <c r="AE2539" i="6"/>
  <c r="AE2540" i="6"/>
  <c r="AE2541" i="6"/>
  <c r="AE2542" i="6"/>
  <c r="AE2543" i="6"/>
  <c r="AE2544" i="6"/>
  <c r="AE2545" i="6"/>
  <c r="AE2546" i="6"/>
  <c r="AE2547" i="6"/>
  <c r="AE2548" i="6"/>
  <c r="AE2549" i="6"/>
  <c r="AE2550" i="6"/>
  <c r="AE2551" i="6"/>
  <c r="AE2552" i="6"/>
  <c r="AE2553" i="6"/>
  <c r="AE2554" i="6"/>
  <c r="AE2555" i="6"/>
  <c r="AE2556" i="6"/>
  <c r="AE2557" i="6"/>
  <c r="AE2558" i="6"/>
  <c r="AE2559" i="6"/>
  <c r="AE2560" i="6"/>
  <c r="AE2561" i="6"/>
  <c r="AE2562" i="6"/>
  <c r="AE2563" i="6"/>
  <c r="AE2564" i="6"/>
  <c r="AE2565" i="6"/>
  <c r="AE2566" i="6"/>
  <c r="AE2567" i="6"/>
  <c r="AE2568" i="6"/>
  <c r="AE2569" i="6"/>
  <c r="AE2570" i="6"/>
  <c r="AE2571" i="6"/>
  <c r="AE2572" i="6"/>
  <c r="AE2573" i="6"/>
  <c r="AE2574" i="6"/>
  <c r="AE2575" i="6"/>
  <c r="AE2576" i="6"/>
  <c r="AE2577" i="6"/>
  <c r="AE2578" i="6"/>
  <c r="AE2579" i="6"/>
  <c r="AE2580" i="6"/>
  <c r="AE2581" i="6"/>
  <c r="AE2582" i="6"/>
  <c r="AE2583" i="6"/>
  <c r="AE2584" i="6"/>
  <c r="AE2585" i="6"/>
  <c r="AE2586" i="6"/>
  <c r="AE2587" i="6"/>
  <c r="AE2588" i="6"/>
  <c r="AE2589" i="6"/>
  <c r="AE2590" i="6"/>
  <c r="AE2591" i="6"/>
  <c r="AE2592" i="6"/>
  <c r="AE2593" i="6"/>
  <c r="AE2594" i="6"/>
  <c r="AE2595" i="6"/>
  <c r="AE2596" i="6"/>
  <c r="AE2597" i="6"/>
  <c r="AE2598" i="6"/>
  <c r="AE2599" i="6"/>
  <c r="AE2600" i="6"/>
  <c r="AE2601" i="6"/>
  <c r="AE2602" i="6"/>
  <c r="AE2603" i="6"/>
  <c r="AE2604" i="6"/>
  <c r="AE2605" i="6"/>
  <c r="AE2606" i="6"/>
  <c r="AE2607" i="6"/>
  <c r="AE2608" i="6"/>
  <c r="AE2609" i="6"/>
  <c r="AE2610" i="6"/>
  <c r="AE2611" i="6"/>
  <c r="AE2612" i="6"/>
  <c r="AE2613" i="6"/>
  <c r="AE2614" i="6"/>
  <c r="AE2615" i="6"/>
  <c r="AE2616" i="6"/>
  <c r="AE2617" i="6"/>
  <c r="AE2618" i="6"/>
  <c r="AE2619" i="6"/>
  <c r="AE2620" i="6"/>
  <c r="AE2621" i="6"/>
  <c r="AE2622" i="6"/>
  <c r="AE2623" i="6"/>
  <c r="AE2624" i="6"/>
  <c r="AE2625" i="6"/>
  <c r="AE2626" i="6"/>
  <c r="AE2627" i="6"/>
  <c r="AE2628" i="6"/>
  <c r="AE2629" i="6"/>
  <c r="AE2630" i="6"/>
  <c r="AE2631" i="6"/>
  <c r="AE2632" i="6"/>
  <c r="AE2633" i="6"/>
  <c r="AE2634" i="6"/>
  <c r="AE2635" i="6"/>
  <c r="AE2636" i="6"/>
  <c r="AE2637" i="6"/>
  <c r="AE2638" i="6"/>
  <c r="AE2639" i="6"/>
  <c r="AE2640" i="6"/>
  <c r="AE2641" i="6"/>
  <c r="AE2642" i="6"/>
  <c r="AE2643" i="6"/>
  <c r="AE2644" i="6"/>
  <c r="AE2645" i="6"/>
  <c r="AE2646" i="6"/>
  <c r="AE2647" i="6"/>
  <c r="AE2648" i="6"/>
  <c r="AE2649" i="6"/>
  <c r="AE2650" i="6"/>
  <c r="AE2651" i="6"/>
  <c r="AE2652" i="6"/>
  <c r="AE2653" i="6"/>
  <c r="AE2654" i="6"/>
  <c r="AE2655" i="6"/>
  <c r="AE2656" i="6"/>
  <c r="AE2657" i="6"/>
  <c r="AE2658" i="6"/>
  <c r="AE2659" i="6"/>
  <c r="AE2660" i="6"/>
  <c r="AE2661" i="6"/>
  <c r="AE2662" i="6"/>
  <c r="AE2663" i="6"/>
  <c r="AE2664" i="6"/>
  <c r="AE2665" i="6"/>
  <c r="AE2666" i="6"/>
  <c r="AE2667" i="6"/>
  <c r="AE2668" i="6"/>
  <c r="AE2669" i="6"/>
  <c r="AE2670" i="6"/>
  <c r="AE2671" i="6"/>
  <c r="AE2672" i="6"/>
  <c r="AE2673" i="6"/>
  <c r="AE2674" i="6"/>
  <c r="AE2675" i="6"/>
  <c r="AE2676" i="6"/>
  <c r="AE2677" i="6"/>
  <c r="AE2678" i="6"/>
  <c r="AE2679" i="6"/>
  <c r="AE2680" i="6"/>
  <c r="AE2681" i="6"/>
  <c r="AE2682" i="6"/>
  <c r="AE2683" i="6"/>
  <c r="AE2684" i="6"/>
  <c r="AE2685" i="6"/>
  <c r="AE2686" i="6"/>
  <c r="AE2687" i="6"/>
  <c r="AE2688" i="6"/>
  <c r="AE2689" i="6"/>
  <c r="AE2690" i="6"/>
  <c r="AE2691" i="6"/>
  <c r="AE2692" i="6"/>
  <c r="AE2693" i="6"/>
  <c r="AE2694" i="6"/>
  <c r="AE2695" i="6"/>
  <c r="AE2696" i="6"/>
  <c r="AE2697" i="6"/>
  <c r="AE2698" i="6"/>
  <c r="AE2699" i="6"/>
  <c r="AE2700" i="6"/>
  <c r="AE2701" i="6"/>
  <c r="AE2702" i="6"/>
  <c r="AE2703" i="6"/>
  <c r="AE2704" i="6"/>
  <c r="AE2705" i="6"/>
  <c r="AE2706" i="6"/>
  <c r="AE2707" i="6"/>
  <c r="AE2708" i="6"/>
  <c r="AE2709" i="6"/>
  <c r="AE2710" i="6"/>
  <c r="AE2711" i="6"/>
  <c r="AE2712" i="6"/>
  <c r="AE2713" i="6"/>
  <c r="AE2714" i="6"/>
  <c r="AE2715" i="6"/>
  <c r="AE2716" i="6"/>
  <c r="AE2717" i="6"/>
  <c r="AE2718" i="6"/>
  <c r="AE2719" i="6"/>
  <c r="AE2720" i="6"/>
  <c r="AE2721" i="6"/>
  <c r="AE2722" i="6"/>
  <c r="AE2723" i="6"/>
  <c r="AE2724" i="6"/>
  <c r="AE2725" i="6"/>
  <c r="AE2726" i="6"/>
  <c r="AE2727" i="6"/>
  <c r="AE2728" i="6"/>
  <c r="AE2729" i="6"/>
  <c r="AE2730" i="6"/>
  <c r="AE2731" i="6"/>
  <c r="AE2732" i="6"/>
  <c r="AE2733" i="6"/>
  <c r="AE2734" i="6"/>
  <c r="AE2735" i="6"/>
  <c r="AE2736" i="6"/>
  <c r="AE2737" i="6"/>
  <c r="AE2738" i="6"/>
  <c r="AE2739" i="6"/>
  <c r="AE2740" i="6"/>
  <c r="AE2741" i="6"/>
  <c r="AE2742" i="6"/>
  <c r="AE2743" i="6"/>
  <c r="AE2744" i="6"/>
  <c r="AE2745" i="6"/>
  <c r="AE2746" i="6"/>
  <c r="AE2747" i="6"/>
  <c r="AE2748" i="6"/>
  <c r="AE2749" i="6"/>
  <c r="AE2750" i="6"/>
  <c r="AE2751" i="6"/>
  <c r="AE2752" i="6"/>
  <c r="AE2753" i="6"/>
  <c r="AE2754" i="6"/>
  <c r="AE2755" i="6"/>
  <c r="AE2756" i="6"/>
  <c r="AE2757" i="6"/>
  <c r="AE2758" i="6"/>
  <c r="AE2759" i="6"/>
  <c r="AE2760" i="6"/>
  <c r="AE2761" i="6"/>
  <c r="AE2762" i="6"/>
  <c r="AE2763" i="6"/>
  <c r="AE2764" i="6"/>
  <c r="AE2765" i="6"/>
  <c r="AE2766" i="6"/>
  <c r="AE2767" i="6"/>
  <c r="AE2768" i="6"/>
  <c r="AE2769" i="6"/>
  <c r="AE2770" i="6"/>
  <c r="AE2771" i="6"/>
  <c r="AE2772" i="6"/>
  <c r="AE2773" i="6"/>
  <c r="AE2774" i="6"/>
  <c r="AE2775" i="6"/>
  <c r="AE2776" i="6"/>
  <c r="AE2777" i="6"/>
  <c r="AE2778" i="6"/>
  <c r="AE2779" i="6"/>
  <c r="AE2780" i="6"/>
  <c r="AE2781" i="6"/>
  <c r="AE2782" i="6"/>
  <c r="AE2783" i="6"/>
  <c r="AE2784" i="6"/>
  <c r="AE2785" i="6"/>
  <c r="AE2786" i="6"/>
  <c r="AE2787" i="6"/>
  <c r="AE2788" i="6"/>
  <c r="AE2789" i="6"/>
  <c r="AE2790" i="6"/>
  <c r="AE2791" i="6"/>
  <c r="AE2792" i="6"/>
  <c r="AE2793" i="6"/>
  <c r="AE2794" i="6"/>
  <c r="AE2795" i="6"/>
  <c r="AE2796" i="6"/>
  <c r="AE2797" i="6"/>
  <c r="AE2798" i="6"/>
  <c r="AE2799" i="6"/>
  <c r="AE2800" i="6"/>
  <c r="AE2801" i="6"/>
  <c r="AE2802" i="6"/>
  <c r="AD2" i="6"/>
  <c r="AD3" i="6"/>
  <c r="AD4" i="6"/>
  <c r="AD5" i="6"/>
  <c r="AD6" i="6"/>
  <c r="AD7" i="6"/>
  <c r="AD8" i="6"/>
  <c r="AD9" i="6"/>
  <c r="AD10" i="6"/>
  <c r="AD11" i="6"/>
  <c r="AD12" i="6"/>
  <c r="AD13" i="6"/>
  <c r="AD14" i="6"/>
  <c r="AD15" i="6"/>
  <c r="AD16" i="6"/>
  <c r="AD17" i="6"/>
  <c r="AD18" i="6"/>
  <c r="AD19" i="6"/>
  <c r="AD20" i="6"/>
  <c r="AD21" i="6"/>
  <c r="AD22" i="6"/>
  <c r="AD23" i="6"/>
  <c r="AD24" i="6"/>
  <c r="AD25" i="6"/>
  <c r="AD26" i="6"/>
  <c r="AD27" i="6"/>
  <c r="AD28" i="6"/>
  <c r="AD29" i="6"/>
  <c r="AD30" i="6"/>
  <c r="AD31" i="6"/>
  <c r="AD32" i="6"/>
  <c r="AD33" i="6"/>
  <c r="AD34" i="6"/>
  <c r="AD35" i="6"/>
  <c r="AD36" i="6"/>
  <c r="AD37" i="6"/>
  <c r="AD38" i="6"/>
  <c r="AD39" i="6"/>
  <c r="AD40" i="6"/>
  <c r="AD41" i="6"/>
  <c r="AD42" i="6"/>
  <c r="AD43" i="6"/>
  <c r="AD44" i="6"/>
  <c r="AD45" i="6"/>
  <c r="AD46" i="6"/>
  <c r="AD47" i="6"/>
  <c r="AD48" i="6"/>
  <c r="AD49" i="6"/>
  <c r="AD50" i="6"/>
  <c r="AD51" i="6"/>
  <c r="AD52" i="6"/>
  <c r="AD53" i="6"/>
  <c r="AD54" i="6"/>
  <c r="AD55" i="6"/>
  <c r="AD56" i="6"/>
  <c r="AD57" i="6"/>
  <c r="AD58" i="6"/>
  <c r="AD59" i="6"/>
  <c r="AD60" i="6"/>
  <c r="AD61" i="6"/>
  <c r="AD62" i="6"/>
  <c r="AD63" i="6"/>
  <c r="AD64" i="6"/>
  <c r="AD65" i="6"/>
  <c r="AD66" i="6"/>
  <c r="AD67" i="6"/>
  <c r="AD68" i="6"/>
  <c r="AD69" i="6"/>
  <c r="AD70" i="6"/>
  <c r="AD71" i="6"/>
  <c r="AD72" i="6"/>
  <c r="AD73" i="6"/>
  <c r="AD74" i="6"/>
  <c r="AD75" i="6"/>
  <c r="AD76" i="6"/>
  <c r="AD77" i="6"/>
  <c r="AD78" i="6"/>
  <c r="AD79" i="6"/>
  <c r="AD80" i="6"/>
  <c r="AD81" i="6"/>
  <c r="AD82" i="6"/>
  <c r="AD83" i="6"/>
  <c r="AD84" i="6"/>
  <c r="AD85" i="6"/>
  <c r="AD86" i="6"/>
  <c r="AD87" i="6"/>
  <c r="AD88" i="6"/>
  <c r="AD89" i="6"/>
  <c r="AD90" i="6"/>
  <c r="AD91" i="6"/>
  <c r="AD92" i="6"/>
  <c r="AD93" i="6"/>
  <c r="AD94" i="6"/>
  <c r="AD95" i="6"/>
  <c r="AD96" i="6"/>
  <c r="AD97" i="6"/>
  <c r="AD98" i="6"/>
  <c r="AD99" i="6"/>
  <c r="AD100" i="6"/>
  <c r="AD101" i="6"/>
  <c r="AD102" i="6"/>
  <c r="AD103" i="6"/>
  <c r="AD104" i="6"/>
  <c r="AD105" i="6"/>
  <c r="AD106" i="6"/>
  <c r="AD107" i="6"/>
  <c r="AD108" i="6"/>
  <c r="AD109" i="6"/>
  <c r="AD110" i="6"/>
  <c r="AD111" i="6"/>
  <c r="AD112" i="6"/>
  <c r="AD113" i="6"/>
  <c r="AD114" i="6"/>
  <c r="AD115" i="6"/>
  <c r="AD116" i="6"/>
  <c r="AD117" i="6"/>
  <c r="AD118" i="6"/>
  <c r="AD119" i="6"/>
  <c r="AD120" i="6"/>
  <c r="AD121" i="6"/>
  <c r="AD122" i="6"/>
  <c r="AD123" i="6"/>
  <c r="AD124" i="6"/>
  <c r="AD125" i="6"/>
  <c r="AD126" i="6"/>
  <c r="AD127" i="6"/>
  <c r="AD128" i="6"/>
  <c r="AD129" i="6"/>
  <c r="AD130" i="6"/>
  <c r="AD131" i="6"/>
  <c r="AD132" i="6"/>
  <c r="AD133" i="6"/>
  <c r="AD134" i="6"/>
  <c r="AD135" i="6"/>
  <c r="AD136" i="6"/>
  <c r="AD137" i="6"/>
  <c r="AD138" i="6"/>
  <c r="AD139" i="6"/>
  <c r="AD140" i="6"/>
  <c r="AD141" i="6"/>
  <c r="AD142" i="6"/>
  <c r="AD143" i="6"/>
  <c r="AD144" i="6"/>
  <c r="AD145" i="6"/>
  <c r="AD146" i="6"/>
  <c r="AD147" i="6"/>
  <c r="AD148" i="6"/>
  <c r="AD149" i="6"/>
  <c r="AD150" i="6"/>
  <c r="AD151" i="6"/>
  <c r="AD152" i="6"/>
  <c r="AD153" i="6"/>
  <c r="AD154" i="6"/>
  <c r="AD155" i="6"/>
  <c r="AD156" i="6"/>
  <c r="AD157" i="6"/>
  <c r="AD158" i="6"/>
  <c r="AD159" i="6"/>
  <c r="AD160" i="6"/>
  <c r="AD161" i="6"/>
  <c r="AD162" i="6"/>
  <c r="AD163" i="6"/>
  <c r="AD164" i="6"/>
  <c r="AD165" i="6"/>
  <c r="AD166" i="6"/>
  <c r="AD167" i="6"/>
  <c r="AD168" i="6"/>
  <c r="AD169" i="6"/>
  <c r="AD170" i="6"/>
  <c r="AD171" i="6"/>
  <c r="AD172" i="6"/>
  <c r="AD173" i="6"/>
  <c r="AD174" i="6"/>
  <c r="AD175" i="6"/>
  <c r="AD176" i="6"/>
  <c r="AD177" i="6"/>
  <c r="AD178" i="6"/>
  <c r="AD179" i="6"/>
  <c r="AD180" i="6"/>
  <c r="AD181" i="6"/>
  <c r="AD182" i="6"/>
  <c r="AD183" i="6"/>
  <c r="AD184" i="6"/>
  <c r="AD185" i="6"/>
  <c r="AD186" i="6"/>
  <c r="AD187" i="6"/>
  <c r="AD188" i="6"/>
  <c r="AD189" i="6"/>
  <c r="AD190" i="6"/>
  <c r="AD191" i="6"/>
  <c r="AD192" i="6"/>
  <c r="AD193" i="6"/>
  <c r="AD194" i="6"/>
  <c r="AD195" i="6"/>
  <c r="AD196" i="6"/>
  <c r="AD197" i="6"/>
  <c r="AD198" i="6"/>
  <c r="AD199" i="6"/>
  <c r="AD200" i="6"/>
  <c r="AD201" i="6"/>
  <c r="AD202" i="6"/>
  <c r="AD203" i="6"/>
  <c r="AD204" i="6"/>
  <c r="AD205" i="6"/>
  <c r="AD206" i="6"/>
  <c r="AD207" i="6"/>
  <c r="AD208" i="6"/>
  <c r="AD209" i="6"/>
  <c r="AD210" i="6"/>
  <c r="AD211" i="6"/>
  <c r="AD212" i="6"/>
  <c r="AD213" i="6"/>
  <c r="AD214" i="6"/>
  <c r="AD215" i="6"/>
  <c r="AD216" i="6"/>
  <c r="AD217" i="6"/>
  <c r="AD218" i="6"/>
  <c r="AD219" i="6"/>
  <c r="AD220" i="6"/>
  <c r="AD221" i="6"/>
  <c r="AD222" i="6"/>
  <c r="AD223" i="6"/>
  <c r="AD224" i="6"/>
  <c r="AD225" i="6"/>
  <c r="AD226" i="6"/>
  <c r="AD227" i="6"/>
  <c r="AD228" i="6"/>
  <c r="AD229" i="6"/>
  <c r="AD230" i="6"/>
  <c r="AD231" i="6"/>
  <c r="AD232" i="6"/>
  <c r="AD233" i="6"/>
  <c r="AD234" i="6"/>
  <c r="AD235" i="6"/>
  <c r="AD236" i="6"/>
  <c r="AD237" i="6"/>
  <c r="AD238" i="6"/>
  <c r="AD239" i="6"/>
  <c r="AD240" i="6"/>
  <c r="AD241" i="6"/>
  <c r="AD242" i="6"/>
  <c r="AD243" i="6"/>
  <c r="AD244" i="6"/>
  <c r="AD245" i="6"/>
  <c r="AD246" i="6"/>
  <c r="AD247" i="6"/>
  <c r="AD248" i="6"/>
  <c r="AD249" i="6"/>
  <c r="AD250" i="6"/>
  <c r="AD251" i="6"/>
  <c r="AD252" i="6"/>
  <c r="AD253" i="6"/>
  <c r="AD254" i="6"/>
  <c r="AD255" i="6"/>
  <c r="AD256" i="6"/>
  <c r="AD257" i="6"/>
  <c r="AD258" i="6"/>
  <c r="AD259" i="6"/>
  <c r="AD260" i="6"/>
  <c r="AD261" i="6"/>
  <c r="AD262" i="6"/>
  <c r="AD263" i="6"/>
  <c r="AD264" i="6"/>
  <c r="AD265" i="6"/>
  <c r="AD266" i="6"/>
  <c r="AD267" i="6"/>
  <c r="AD268" i="6"/>
  <c r="AD269" i="6"/>
  <c r="AD270" i="6"/>
  <c r="AD271" i="6"/>
  <c r="AD272" i="6"/>
  <c r="AD273" i="6"/>
  <c r="AD274" i="6"/>
  <c r="AD275" i="6"/>
  <c r="AD276" i="6"/>
  <c r="AD277" i="6"/>
  <c r="AD278" i="6"/>
  <c r="AD279" i="6"/>
  <c r="AD280" i="6"/>
  <c r="AD281" i="6"/>
  <c r="AD282" i="6"/>
  <c r="AD283" i="6"/>
  <c r="AD284" i="6"/>
  <c r="AD285" i="6"/>
  <c r="AD286" i="6"/>
  <c r="AD287" i="6"/>
  <c r="AD288" i="6"/>
  <c r="AD289" i="6"/>
  <c r="AD290" i="6"/>
  <c r="AD291" i="6"/>
  <c r="AD292" i="6"/>
  <c r="AD293" i="6"/>
  <c r="AD294" i="6"/>
  <c r="AD295" i="6"/>
  <c r="AD296" i="6"/>
  <c r="AD297" i="6"/>
  <c r="AD298" i="6"/>
  <c r="AD299" i="6"/>
  <c r="AD300" i="6"/>
  <c r="AD301" i="6"/>
  <c r="AD302" i="6"/>
  <c r="AD303" i="6"/>
  <c r="AD304" i="6"/>
  <c r="AD305" i="6"/>
  <c r="AD306" i="6"/>
  <c r="AD307" i="6"/>
  <c r="AD308" i="6"/>
  <c r="AD309" i="6"/>
  <c r="AD310" i="6"/>
  <c r="AD311" i="6"/>
  <c r="AD312" i="6"/>
  <c r="AD313" i="6"/>
  <c r="AD314" i="6"/>
  <c r="AD315" i="6"/>
  <c r="AD316" i="6"/>
  <c r="AD317" i="6"/>
  <c r="AD318" i="6"/>
  <c r="AD319" i="6"/>
  <c r="AD320" i="6"/>
  <c r="AD321" i="6"/>
  <c r="AD322" i="6"/>
  <c r="AD323" i="6"/>
  <c r="AD324" i="6"/>
  <c r="AD325" i="6"/>
  <c r="AD326" i="6"/>
  <c r="AD327" i="6"/>
  <c r="AD328" i="6"/>
  <c r="AD329" i="6"/>
  <c r="AD330" i="6"/>
  <c r="AD331" i="6"/>
  <c r="AD332" i="6"/>
  <c r="AD333" i="6"/>
  <c r="AD334" i="6"/>
  <c r="AD335" i="6"/>
  <c r="AD336" i="6"/>
  <c r="AD337" i="6"/>
  <c r="AD338" i="6"/>
  <c r="AD339" i="6"/>
  <c r="AD340" i="6"/>
  <c r="AD341" i="6"/>
  <c r="AD342" i="6"/>
  <c r="AD343" i="6"/>
  <c r="AD344" i="6"/>
  <c r="AD345" i="6"/>
  <c r="AD346" i="6"/>
  <c r="AD347" i="6"/>
  <c r="AD348" i="6"/>
  <c r="AD349" i="6"/>
  <c r="AD350" i="6"/>
  <c r="AD351" i="6"/>
  <c r="AD352" i="6"/>
  <c r="AD353" i="6"/>
  <c r="AD354" i="6"/>
  <c r="AD355" i="6"/>
  <c r="AD356" i="6"/>
  <c r="AD357" i="6"/>
  <c r="AD358" i="6"/>
  <c r="AD359" i="6"/>
  <c r="AD360" i="6"/>
  <c r="AD361" i="6"/>
  <c r="AD362" i="6"/>
  <c r="AD363" i="6"/>
  <c r="AD364" i="6"/>
  <c r="AD365" i="6"/>
  <c r="AD366" i="6"/>
  <c r="AD367" i="6"/>
  <c r="AD368" i="6"/>
  <c r="AD369" i="6"/>
  <c r="AD370" i="6"/>
  <c r="AD371" i="6"/>
  <c r="AD372" i="6"/>
  <c r="AD373" i="6"/>
  <c r="AD374" i="6"/>
  <c r="AD375" i="6"/>
  <c r="AD376" i="6"/>
  <c r="AD377" i="6"/>
  <c r="AD378" i="6"/>
  <c r="AD379" i="6"/>
  <c r="AD380" i="6"/>
  <c r="AD381" i="6"/>
  <c r="AD382" i="6"/>
  <c r="AD383" i="6"/>
  <c r="AD384" i="6"/>
  <c r="AD385" i="6"/>
  <c r="AD386" i="6"/>
  <c r="AD387" i="6"/>
  <c r="AD388" i="6"/>
  <c r="AD389" i="6"/>
  <c r="AD390" i="6"/>
  <c r="AD391" i="6"/>
  <c r="AD392" i="6"/>
  <c r="AD393" i="6"/>
  <c r="AD394" i="6"/>
  <c r="AD395" i="6"/>
  <c r="AD396" i="6"/>
  <c r="AD397" i="6"/>
  <c r="AD398" i="6"/>
  <c r="AD399" i="6"/>
  <c r="AD400" i="6"/>
  <c r="AD401" i="6"/>
  <c r="AD402" i="6"/>
  <c r="AD403" i="6"/>
  <c r="AD404" i="6"/>
  <c r="AD405" i="6"/>
  <c r="AD406" i="6"/>
  <c r="AD407" i="6"/>
  <c r="AD408" i="6"/>
  <c r="AD409" i="6"/>
  <c r="AD410" i="6"/>
  <c r="AD411" i="6"/>
  <c r="AD412" i="6"/>
  <c r="AD413" i="6"/>
  <c r="AD414" i="6"/>
  <c r="AD415" i="6"/>
  <c r="AD416" i="6"/>
  <c r="AD417" i="6"/>
  <c r="AD418" i="6"/>
  <c r="AD419" i="6"/>
  <c r="AD420" i="6"/>
  <c r="AD421" i="6"/>
  <c r="AD422" i="6"/>
  <c r="AD423" i="6"/>
  <c r="AD424" i="6"/>
  <c r="AD425" i="6"/>
  <c r="AD426" i="6"/>
  <c r="AD427" i="6"/>
  <c r="AD428" i="6"/>
  <c r="AD429" i="6"/>
  <c r="AD430" i="6"/>
  <c r="AD431" i="6"/>
  <c r="AD432" i="6"/>
  <c r="AD433" i="6"/>
  <c r="AD434" i="6"/>
  <c r="AD435" i="6"/>
  <c r="AD436" i="6"/>
  <c r="AD437" i="6"/>
  <c r="AD438" i="6"/>
  <c r="AD439" i="6"/>
  <c r="AD440" i="6"/>
  <c r="AD441" i="6"/>
  <c r="AD442" i="6"/>
  <c r="AD443" i="6"/>
  <c r="AD444" i="6"/>
  <c r="AD445" i="6"/>
  <c r="AD446" i="6"/>
  <c r="AD447" i="6"/>
  <c r="AD448" i="6"/>
  <c r="AD449" i="6"/>
  <c r="AD450" i="6"/>
  <c r="AD451" i="6"/>
  <c r="AD452" i="6"/>
  <c r="AD453" i="6"/>
  <c r="AD454" i="6"/>
  <c r="AD455" i="6"/>
  <c r="AD456" i="6"/>
  <c r="AD457" i="6"/>
  <c r="AD458" i="6"/>
  <c r="AD459" i="6"/>
  <c r="AD460" i="6"/>
  <c r="AD461" i="6"/>
  <c r="AD462" i="6"/>
  <c r="AD463" i="6"/>
  <c r="AD464" i="6"/>
  <c r="AD465" i="6"/>
  <c r="AD466" i="6"/>
  <c r="AD467" i="6"/>
  <c r="AD468" i="6"/>
  <c r="AD469" i="6"/>
  <c r="AD470" i="6"/>
  <c r="AD471" i="6"/>
  <c r="AD472" i="6"/>
  <c r="AD473" i="6"/>
  <c r="AD474" i="6"/>
  <c r="AD475" i="6"/>
  <c r="AD476" i="6"/>
  <c r="AD477" i="6"/>
  <c r="AD478" i="6"/>
  <c r="AD479" i="6"/>
  <c r="AD480" i="6"/>
  <c r="AD481" i="6"/>
  <c r="AD482" i="6"/>
  <c r="AD483" i="6"/>
  <c r="AD484" i="6"/>
  <c r="AD485" i="6"/>
  <c r="AD486" i="6"/>
  <c r="AD487" i="6"/>
  <c r="AD488" i="6"/>
  <c r="AD489" i="6"/>
  <c r="AD490" i="6"/>
  <c r="AD491" i="6"/>
  <c r="AD492" i="6"/>
  <c r="AD493" i="6"/>
  <c r="AD494" i="6"/>
  <c r="AD495" i="6"/>
  <c r="AD496" i="6"/>
  <c r="AD497" i="6"/>
  <c r="AD498" i="6"/>
  <c r="AD499" i="6"/>
  <c r="AD500" i="6"/>
  <c r="AD501" i="6"/>
  <c r="AD502" i="6"/>
  <c r="AD503" i="6"/>
  <c r="AD504" i="6"/>
  <c r="AD505" i="6"/>
  <c r="AD506" i="6"/>
  <c r="AD507" i="6"/>
  <c r="AD508" i="6"/>
  <c r="AD509" i="6"/>
  <c r="AD510" i="6"/>
  <c r="AD511" i="6"/>
  <c r="AD512" i="6"/>
  <c r="AD513" i="6"/>
  <c r="AD514" i="6"/>
  <c r="AD515" i="6"/>
  <c r="AD516" i="6"/>
  <c r="AD517" i="6"/>
  <c r="AD518" i="6"/>
  <c r="AD519" i="6"/>
  <c r="AD520" i="6"/>
  <c r="AD521" i="6"/>
  <c r="AD522" i="6"/>
  <c r="AD523" i="6"/>
  <c r="AD524" i="6"/>
  <c r="AD525" i="6"/>
  <c r="AD526" i="6"/>
  <c r="AD527" i="6"/>
  <c r="AD528" i="6"/>
  <c r="AD529" i="6"/>
  <c r="AD530" i="6"/>
  <c r="AD531" i="6"/>
  <c r="AD532" i="6"/>
  <c r="AD533" i="6"/>
  <c r="AD534" i="6"/>
  <c r="AD535" i="6"/>
  <c r="AD536" i="6"/>
  <c r="AD537" i="6"/>
  <c r="AD538" i="6"/>
  <c r="AD539" i="6"/>
  <c r="AD540" i="6"/>
  <c r="AD541" i="6"/>
  <c r="AD542" i="6"/>
  <c r="AD543" i="6"/>
  <c r="AD544" i="6"/>
  <c r="AD545" i="6"/>
  <c r="AD546" i="6"/>
  <c r="AD547" i="6"/>
  <c r="AD548" i="6"/>
  <c r="AD549" i="6"/>
  <c r="AD550" i="6"/>
  <c r="AD551" i="6"/>
  <c r="AD552" i="6"/>
  <c r="AD553" i="6"/>
  <c r="AD554" i="6"/>
  <c r="AD555" i="6"/>
  <c r="AD556" i="6"/>
  <c r="AD557" i="6"/>
  <c r="AD558" i="6"/>
  <c r="AD559" i="6"/>
  <c r="AD560" i="6"/>
  <c r="AD561" i="6"/>
  <c r="AD562" i="6"/>
  <c r="AD563" i="6"/>
  <c r="AD564" i="6"/>
  <c r="AD565" i="6"/>
  <c r="AD566" i="6"/>
  <c r="AD567" i="6"/>
  <c r="AD568" i="6"/>
  <c r="AD569" i="6"/>
  <c r="AD570" i="6"/>
  <c r="AD571" i="6"/>
  <c r="AD572" i="6"/>
  <c r="AD573" i="6"/>
  <c r="AD574" i="6"/>
  <c r="AD575" i="6"/>
  <c r="AD576" i="6"/>
  <c r="AD577" i="6"/>
  <c r="AD578" i="6"/>
  <c r="AD579" i="6"/>
  <c r="AD580" i="6"/>
  <c r="AD581" i="6"/>
  <c r="AD582" i="6"/>
  <c r="AD583" i="6"/>
  <c r="AD584" i="6"/>
  <c r="AD585" i="6"/>
  <c r="AD586" i="6"/>
  <c r="AD587" i="6"/>
  <c r="AD588" i="6"/>
  <c r="AD589" i="6"/>
  <c r="AD590" i="6"/>
  <c r="AD591" i="6"/>
  <c r="AD592" i="6"/>
  <c r="AD593" i="6"/>
  <c r="AD594" i="6"/>
  <c r="AD595" i="6"/>
  <c r="AD596" i="6"/>
  <c r="AD597" i="6"/>
  <c r="AD598" i="6"/>
  <c r="AD599" i="6"/>
  <c r="AD600" i="6"/>
  <c r="AD601" i="6"/>
  <c r="AD602" i="6"/>
  <c r="AD603" i="6"/>
  <c r="AD604" i="6"/>
  <c r="AD605" i="6"/>
  <c r="AD606" i="6"/>
  <c r="AD607" i="6"/>
  <c r="AD608" i="6"/>
  <c r="AD609" i="6"/>
  <c r="AD610" i="6"/>
  <c r="AD611" i="6"/>
  <c r="AD612" i="6"/>
  <c r="AD613" i="6"/>
  <c r="AD614" i="6"/>
  <c r="AD615" i="6"/>
  <c r="AD616" i="6"/>
  <c r="AD617" i="6"/>
  <c r="AD618" i="6"/>
  <c r="AD619" i="6"/>
  <c r="AD620" i="6"/>
  <c r="AD621" i="6"/>
  <c r="AD622" i="6"/>
  <c r="AD623" i="6"/>
  <c r="AD624" i="6"/>
  <c r="AD625" i="6"/>
  <c r="AD626" i="6"/>
  <c r="AD627" i="6"/>
  <c r="AD628" i="6"/>
  <c r="AD629" i="6"/>
  <c r="AD630" i="6"/>
  <c r="AD631" i="6"/>
  <c r="AD632" i="6"/>
  <c r="AD633" i="6"/>
  <c r="AD634" i="6"/>
  <c r="AD635" i="6"/>
  <c r="AD636" i="6"/>
  <c r="AD637" i="6"/>
  <c r="AD638" i="6"/>
  <c r="AD639" i="6"/>
  <c r="AD640" i="6"/>
  <c r="AD641" i="6"/>
  <c r="AD642" i="6"/>
  <c r="AD643" i="6"/>
  <c r="AD644" i="6"/>
  <c r="AD645" i="6"/>
  <c r="AD646" i="6"/>
  <c r="AD647" i="6"/>
  <c r="AD648" i="6"/>
  <c r="AD649" i="6"/>
  <c r="AD650" i="6"/>
  <c r="AD651" i="6"/>
  <c r="AD652" i="6"/>
  <c r="AD653" i="6"/>
  <c r="AD654" i="6"/>
  <c r="AD655" i="6"/>
  <c r="AD656" i="6"/>
  <c r="AD657" i="6"/>
  <c r="AD658" i="6"/>
  <c r="AD659" i="6"/>
  <c r="AD660" i="6"/>
  <c r="AD661" i="6"/>
  <c r="AD662" i="6"/>
  <c r="AD663" i="6"/>
  <c r="AD664" i="6"/>
  <c r="AD665" i="6"/>
  <c r="AD666" i="6"/>
  <c r="AD667" i="6"/>
  <c r="AD668" i="6"/>
  <c r="AD669" i="6"/>
  <c r="AD670" i="6"/>
  <c r="AD671" i="6"/>
  <c r="AD672" i="6"/>
  <c r="AD673" i="6"/>
  <c r="AD674" i="6"/>
  <c r="AD675" i="6"/>
  <c r="AD676" i="6"/>
  <c r="AD677" i="6"/>
  <c r="AD678" i="6"/>
  <c r="AD679" i="6"/>
  <c r="AD680" i="6"/>
  <c r="AD681" i="6"/>
  <c r="AD682" i="6"/>
  <c r="AD683" i="6"/>
  <c r="AD684" i="6"/>
  <c r="AD685" i="6"/>
  <c r="AD686" i="6"/>
  <c r="AD687" i="6"/>
  <c r="AD688" i="6"/>
  <c r="AD689" i="6"/>
  <c r="AD690" i="6"/>
  <c r="AD691" i="6"/>
  <c r="AD692" i="6"/>
  <c r="AD693" i="6"/>
  <c r="AD694" i="6"/>
  <c r="AD695" i="6"/>
  <c r="AD696" i="6"/>
  <c r="AD697" i="6"/>
  <c r="AD698" i="6"/>
  <c r="AD699" i="6"/>
  <c r="AD700" i="6"/>
  <c r="AD701" i="6"/>
  <c r="AD702" i="6"/>
  <c r="AD703" i="6"/>
  <c r="AD704" i="6"/>
  <c r="AD705" i="6"/>
  <c r="AD706" i="6"/>
  <c r="AD707" i="6"/>
  <c r="AD708" i="6"/>
  <c r="AD709" i="6"/>
  <c r="AD710" i="6"/>
  <c r="AD711" i="6"/>
  <c r="AD712" i="6"/>
  <c r="AD713" i="6"/>
  <c r="AD714" i="6"/>
  <c r="AD715" i="6"/>
  <c r="AD716" i="6"/>
  <c r="AD717" i="6"/>
  <c r="AD718" i="6"/>
  <c r="AD719" i="6"/>
  <c r="AD720" i="6"/>
  <c r="AD721" i="6"/>
  <c r="AD722" i="6"/>
  <c r="AD723" i="6"/>
  <c r="AD724" i="6"/>
  <c r="AD725" i="6"/>
  <c r="AD726" i="6"/>
  <c r="AD727" i="6"/>
  <c r="AD728" i="6"/>
  <c r="AD729" i="6"/>
  <c r="AD730" i="6"/>
  <c r="AD731" i="6"/>
  <c r="AD732" i="6"/>
  <c r="AD733" i="6"/>
  <c r="AD734" i="6"/>
  <c r="AD735" i="6"/>
  <c r="AD736" i="6"/>
  <c r="AD737" i="6"/>
  <c r="AD738" i="6"/>
  <c r="AD739" i="6"/>
  <c r="AD740" i="6"/>
  <c r="AD741" i="6"/>
  <c r="AD742" i="6"/>
  <c r="AD743" i="6"/>
  <c r="AD744" i="6"/>
  <c r="AD745" i="6"/>
  <c r="AD746" i="6"/>
  <c r="AD747" i="6"/>
  <c r="AD748" i="6"/>
  <c r="AD749" i="6"/>
  <c r="AD750" i="6"/>
  <c r="AD751" i="6"/>
  <c r="AD752" i="6"/>
  <c r="AD753" i="6"/>
  <c r="AD754" i="6"/>
  <c r="AD755" i="6"/>
  <c r="AD756" i="6"/>
  <c r="AD757" i="6"/>
  <c r="AD758" i="6"/>
  <c r="AD759" i="6"/>
  <c r="AD760" i="6"/>
  <c r="AD761" i="6"/>
  <c r="AD762" i="6"/>
  <c r="AD763" i="6"/>
  <c r="AD764" i="6"/>
  <c r="AD765" i="6"/>
  <c r="AD766" i="6"/>
  <c r="AD767" i="6"/>
  <c r="AD768" i="6"/>
  <c r="AD769" i="6"/>
  <c r="AD770" i="6"/>
  <c r="AD771" i="6"/>
  <c r="AD772" i="6"/>
  <c r="AD773" i="6"/>
  <c r="AD774" i="6"/>
  <c r="AD775" i="6"/>
  <c r="AD776" i="6"/>
  <c r="AD777" i="6"/>
  <c r="AD778" i="6"/>
  <c r="AD779" i="6"/>
  <c r="AD780" i="6"/>
  <c r="AD781" i="6"/>
  <c r="AD782" i="6"/>
  <c r="AD783" i="6"/>
  <c r="AD784" i="6"/>
  <c r="AD785" i="6"/>
  <c r="AD786" i="6"/>
  <c r="AD787" i="6"/>
  <c r="AD788" i="6"/>
  <c r="AD789" i="6"/>
  <c r="AD790" i="6"/>
  <c r="AD791" i="6"/>
  <c r="AD792" i="6"/>
  <c r="AD793" i="6"/>
  <c r="AD794" i="6"/>
  <c r="AD795" i="6"/>
  <c r="AD796" i="6"/>
  <c r="AD797" i="6"/>
  <c r="AD798" i="6"/>
  <c r="AD799" i="6"/>
  <c r="AD800" i="6"/>
  <c r="AD801" i="6"/>
  <c r="AD802" i="6"/>
  <c r="AD803" i="6"/>
  <c r="AD804" i="6"/>
  <c r="AD805" i="6"/>
  <c r="AD806" i="6"/>
  <c r="AD807" i="6"/>
  <c r="AD808" i="6"/>
  <c r="AD809" i="6"/>
  <c r="AD810" i="6"/>
  <c r="AD811" i="6"/>
  <c r="AD812" i="6"/>
  <c r="AD813" i="6"/>
  <c r="AD814" i="6"/>
  <c r="AD815" i="6"/>
  <c r="AD816" i="6"/>
  <c r="AD817" i="6"/>
  <c r="AD818" i="6"/>
  <c r="AD819" i="6"/>
  <c r="AD820" i="6"/>
  <c r="AD821" i="6"/>
  <c r="AD822" i="6"/>
  <c r="AD823" i="6"/>
  <c r="AD824" i="6"/>
  <c r="AD825" i="6"/>
  <c r="AD826" i="6"/>
  <c r="AD827" i="6"/>
  <c r="AD828" i="6"/>
  <c r="AD829" i="6"/>
  <c r="AD830" i="6"/>
  <c r="AD831" i="6"/>
  <c r="AD832" i="6"/>
  <c r="AD833" i="6"/>
  <c r="AD834" i="6"/>
  <c r="AD835" i="6"/>
  <c r="AD836" i="6"/>
  <c r="AD837" i="6"/>
  <c r="AD838" i="6"/>
  <c r="AD839" i="6"/>
  <c r="AD840" i="6"/>
  <c r="AD841" i="6"/>
  <c r="AD842" i="6"/>
  <c r="AD843" i="6"/>
  <c r="AD844" i="6"/>
  <c r="AD845" i="6"/>
  <c r="AD846" i="6"/>
  <c r="AD847" i="6"/>
  <c r="AD848" i="6"/>
  <c r="AD849" i="6"/>
  <c r="AD850" i="6"/>
  <c r="AD851" i="6"/>
  <c r="AD852" i="6"/>
  <c r="AD853" i="6"/>
  <c r="AD854" i="6"/>
  <c r="AD855" i="6"/>
  <c r="AD856" i="6"/>
  <c r="AD857" i="6"/>
  <c r="AD858" i="6"/>
  <c r="AD859" i="6"/>
  <c r="AD860" i="6"/>
  <c r="AD861" i="6"/>
  <c r="AD862" i="6"/>
  <c r="AD863" i="6"/>
  <c r="AD864" i="6"/>
  <c r="AD865" i="6"/>
  <c r="AD866" i="6"/>
  <c r="AD867" i="6"/>
  <c r="AD868" i="6"/>
  <c r="AD869" i="6"/>
  <c r="AD870" i="6"/>
  <c r="AD871" i="6"/>
  <c r="AD872" i="6"/>
  <c r="AD873" i="6"/>
  <c r="AD874" i="6"/>
  <c r="AD875" i="6"/>
  <c r="AD876" i="6"/>
  <c r="AD877" i="6"/>
  <c r="AD878" i="6"/>
  <c r="AD879" i="6"/>
  <c r="AD880" i="6"/>
  <c r="AD881" i="6"/>
  <c r="AD882" i="6"/>
  <c r="AD883" i="6"/>
  <c r="AD884" i="6"/>
  <c r="AD885" i="6"/>
  <c r="AD886" i="6"/>
  <c r="AD887" i="6"/>
  <c r="AD888" i="6"/>
  <c r="AD889" i="6"/>
  <c r="AD890" i="6"/>
  <c r="AD891" i="6"/>
  <c r="AD892" i="6"/>
  <c r="AD893" i="6"/>
  <c r="AD894" i="6"/>
  <c r="AD895" i="6"/>
  <c r="AD896" i="6"/>
  <c r="AD897" i="6"/>
  <c r="AD898" i="6"/>
  <c r="AD899" i="6"/>
  <c r="AD900" i="6"/>
  <c r="AD901" i="6"/>
  <c r="AD902" i="6"/>
  <c r="AD903" i="6"/>
  <c r="AD904" i="6"/>
  <c r="AD905" i="6"/>
  <c r="AD906" i="6"/>
  <c r="AD907" i="6"/>
  <c r="AD908" i="6"/>
  <c r="AD909" i="6"/>
  <c r="AD910" i="6"/>
  <c r="AD911" i="6"/>
  <c r="AD912" i="6"/>
  <c r="AD913" i="6"/>
  <c r="AD914" i="6"/>
  <c r="AD915" i="6"/>
  <c r="AD916" i="6"/>
  <c r="AD917" i="6"/>
  <c r="AD918" i="6"/>
  <c r="AD919" i="6"/>
  <c r="AD920" i="6"/>
  <c r="AD921" i="6"/>
  <c r="AD922" i="6"/>
  <c r="AD923" i="6"/>
  <c r="AD924" i="6"/>
  <c r="AD925" i="6"/>
  <c r="AD926" i="6"/>
  <c r="AD927" i="6"/>
  <c r="AD928" i="6"/>
  <c r="AD929" i="6"/>
  <c r="AD930" i="6"/>
  <c r="AD931" i="6"/>
  <c r="AD932" i="6"/>
  <c r="AD933" i="6"/>
  <c r="AD934" i="6"/>
  <c r="AD935" i="6"/>
  <c r="AD936" i="6"/>
  <c r="AD937" i="6"/>
  <c r="AD938" i="6"/>
  <c r="AD939" i="6"/>
  <c r="AD940" i="6"/>
  <c r="AD941" i="6"/>
  <c r="AD942" i="6"/>
  <c r="AD943" i="6"/>
  <c r="AD944" i="6"/>
  <c r="AD945" i="6"/>
  <c r="AD946" i="6"/>
  <c r="AD947" i="6"/>
  <c r="AD948" i="6"/>
  <c r="AD949" i="6"/>
  <c r="AD950" i="6"/>
  <c r="AD951" i="6"/>
  <c r="AD952" i="6"/>
  <c r="AD953" i="6"/>
  <c r="AD954" i="6"/>
  <c r="AD955" i="6"/>
  <c r="AD956" i="6"/>
  <c r="AD957" i="6"/>
  <c r="AD958" i="6"/>
  <c r="AD959" i="6"/>
  <c r="AD960" i="6"/>
  <c r="AD961" i="6"/>
  <c r="AD962" i="6"/>
  <c r="AD963" i="6"/>
  <c r="AD964" i="6"/>
  <c r="AD965" i="6"/>
  <c r="AD966" i="6"/>
  <c r="AD967" i="6"/>
  <c r="AD968" i="6"/>
  <c r="AD969" i="6"/>
  <c r="AD970" i="6"/>
  <c r="AD971" i="6"/>
  <c r="AD972" i="6"/>
  <c r="AD973" i="6"/>
  <c r="AD974" i="6"/>
  <c r="AD975" i="6"/>
  <c r="AD976" i="6"/>
  <c r="AD977" i="6"/>
  <c r="AD978" i="6"/>
  <c r="AD979" i="6"/>
  <c r="AD980" i="6"/>
  <c r="AD981" i="6"/>
  <c r="AD982" i="6"/>
  <c r="AD983" i="6"/>
  <c r="AD984" i="6"/>
  <c r="AD985" i="6"/>
  <c r="AD986" i="6"/>
  <c r="AD987" i="6"/>
  <c r="AD988" i="6"/>
  <c r="AD989" i="6"/>
  <c r="AD990" i="6"/>
  <c r="AD991" i="6"/>
  <c r="AD992" i="6"/>
  <c r="AD993" i="6"/>
  <c r="AD994" i="6"/>
  <c r="AD995" i="6"/>
  <c r="AD996" i="6"/>
  <c r="AD997" i="6"/>
  <c r="AD998" i="6"/>
  <c r="AD999" i="6"/>
  <c r="AD1000" i="6"/>
  <c r="AD1001" i="6"/>
  <c r="AD1002" i="6"/>
  <c r="AD1003" i="6"/>
  <c r="AD1004" i="6"/>
  <c r="AD1005" i="6"/>
  <c r="AD1006" i="6"/>
  <c r="AD1007" i="6"/>
  <c r="AD1008" i="6"/>
  <c r="AD1009" i="6"/>
  <c r="AD1010" i="6"/>
  <c r="AD1011" i="6"/>
  <c r="AD1012" i="6"/>
  <c r="AD1013" i="6"/>
  <c r="AD1014" i="6"/>
  <c r="AD1015" i="6"/>
  <c r="AD1016" i="6"/>
  <c r="AD1017" i="6"/>
  <c r="AD1018" i="6"/>
  <c r="AD1019" i="6"/>
  <c r="AD1020" i="6"/>
  <c r="AD1021" i="6"/>
  <c r="AD1022" i="6"/>
  <c r="AD1023" i="6"/>
  <c r="AD1024" i="6"/>
  <c r="AD1025" i="6"/>
  <c r="AD1026" i="6"/>
  <c r="AD1027" i="6"/>
  <c r="AD1028" i="6"/>
  <c r="AD1029" i="6"/>
  <c r="AD1030" i="6"/>
  <c r="AD1031" i="6"/>
  <c r="AD1032" i="6"/>
  <c r="AD1033" i="6"/>
  <c r="AD1034" i="6"/>
  <c r="AD1035" i="6"/>
  <c r="AD1036" i="6"/>
  <c r="AD1037" i="6"/>
  <c r="AD1038" i="6"/>
  <c r="AD1039" i="6"/>
  <c r="AD1040" i="6"/>
  <c r="AD1041" i="6"/>
  <c r="AD1042" i="6"/>
  <c r="AD1043" i="6"/>
  <c r="AD1044" i="6"/>
  <c r="AD1045" i="6"/>
  <c r="AD1046" i="6"/>
  <c r="AD1047" i="6"/>
  <c r="AD1048" i="6"/>
  <c r="AD1049" i="6"/>
  <c r="AD1050" i="6"/>
  <c r="AD1051" i="6"/>
  <c r="AD1052" i="6"/>
  <c r="AD1053" i="6"/>
  <c r="AD1054" i="6"/>
  <c r="AD1055" i="6"/>
  <c r="AD1056" i="6"/>
  <c r="AD1057" i="6"/>
  <c r="AD1058" i="6"/>
  <c r="AD1059" i="6"/>
  <c r="AD1060" i="6"/>
  <c r="AD1061" i="6"/>
  <c r="AD1062" i="6"/>
  <c r="AD1063" i="6"/>
  <c r="AD1064" i="6"/>
  <c r="AD1065" i="6"/>
  <c r="AD1066" i="6"/>
  <c r="AD1067" i="6"/>
  <c r="AD1068" i="6"/>
  <c r="AD1069" i="6"/>
  <c r="AD1070" i="6"/>
  <c r="AD1071" i="6"/>
  <c r="AD1072" i="6"/>
  <c r="AD1073" i="6"/>
  <c r="AD1074" i="6"/>
  <c r="AD1075" i="6"/>
  <c r="AD1076" i="6"/>
  <c r="AD1077" i="6"/>
  <c r="AD1078" i="6"/>
  <c r="AD1079" i="6"/>
  <c r="AD1080" i="6"/>
  <c r="AD1081" i="6"/>
  <c r="AD1082" i="6"/>
  <c r="AD1083" i="6"/>
  <c r="AD1084" i="6"/>
  <c r="AD1085" i="6"/>
  <c r="AD1086" i="6"/>
  <c r="AD1087" i="6"/>
  <c r="AD1088" i="6"/>
  <c r="AD1089" i="6"/>
  <c r="AD1090" i="6"/>
  <c r="AD1091" i="6"/>
  <c r="AD1092" i="6"/>
  <c r="AD1093" i="6"/>
  <c r="AD1094" i="6"/>
  <c r="AD1095" i="6"/>
  <c r="AD1096" i="6"/>
  <c r="AD1097" i="6"/>
  <c r="AD1098" i="6"/>
  <c r="AD1099" i="6"/>
  <c r="AD1100" i="6"/>
  <c r="AD1101" i="6"/>
  <c r="AD1102" i="6"/>
  <c r="AD1103" i="6"/>
  <c r="AD1104" i="6"/>
  <c r="AD1105" i="6"/>
  <c r="AD1106" i="6"/>
  <c r="AD1107" i="6"/>
  <c r="AD1108" i="6"/>
  <c r="AD1109" i="6"/>
  <c r="AD1110" i="6"/>
  <c r="AD1111" i="6"/>
  <c r="AD1112" i="6"/>
  <c r="AD1113" i="6"/>
  <c r="AD1114" i="6"/>
  <c r="AD1115" i="6"/>
  <c r="AD1116" i="6"/>
  <c r="AD1117" i="6"/>
  <c r="AD1118" i="6"/>
  <c r="AD1119" i="6"/>
  <c r="AD1120" i="6"/>
  <c r="AD1121" i="6"/>
  <c r="AD1122" i="6"/>
  <c r="AD1123" i="6"/>
  <c r="AD1124" i="6"/>
  <c r="AD1125" i="6"/>
  <c r="AD1126" i="6"/>
  <c r="AD1127" i="6"/>
  <c r="AD1128" i="6"/>
  <c r="AD1129" i="6"/>
  <c r="AD1130" i="6"/>
  <c r="AD1131" i="6"/>
  <c r="AD1132" i="6"/>
  <c r="AD1133" i="6"/>
  <c r="AD1134" i="6"/>
  <c r="AD1135" i="6"/>
  <c r="AD1136" i="6"/>
  <c r="AD1137" i="6"/>
  <c r="AD1138" i="6"/>
  <c r="AD1139" i="6"/>
  <c r="AD1140" i="6"/>
  <c r="AD1141" i="6"/>
  <c r="AD1142" i="6"/>
  <c r="AD1143" i="6"/>
  <c r="AD1144" i="6"/>
  <c r="AD1145" i="6"/>
  <c r="AD1146" i="6"/>
  <c r="AD1147" i="6"/>
  <c r="AD1148" i="6"/>
  <c r="AD1149" i="6"/>
  <c r="AD1150" i="6"/>
  <c r="AD1151" i="6"/>
  <c r="AD1152" i="6"/>
  <c r="AD1153" i="6"/>
  <c r="AD1154" i="6"/>
  <c r="AD1155" i="6"/>
  <c r="AD1156" i="6"/>
  <c r="AD1157" i="6"/>
  <c r="AD1158" i="6"/>
  <c r="AD1159" i="6"/>
  <c r="AD1160" i="6"/>
  <c r="AD1161" i="6"/>
  <c r="AD1162" i="6"/>
  <c r="AD1163" i="6"/>
  <c r="AD1164" i="6"/>
  <c r="AD1165" i="6"/>
  <c r="AD1166" i="6"/>
  <c r="AD1167" i="6"/>
  <c r="AD1168" i="6"/>
  <c r="AD1169" i="6"/>
  <c r="AD1170" i="6"/>
  <c r="AD1171" i="6"/>
  <c r="AD1172" i="6"/>
  <c r="AD1173" i="6"/>
  <c r="AD1174" i="6"/>
  <c r="AD1175" i="6"/>
  <c r="AD1176" i="6"/>
  <c r="AD1177" i="6"/>
  <c r="AD1178" i="6"/>
  <c r="AD1179" i="6"/>
  <c r="AD1180" i="6"/>
  <c r="AD1181" i="6"/>
  <c r="AD1182" i="6"/>
  <c r="AD1183" i="6"/>
  <c r="AD1184" i="6"/>
  <c r="AD1185" i="6"/>
  <c r="AD1186" i="6"/>
  <c r="AD1187" i="6"/>
  <c r="AD1188" i="6"/>
  <c r="AD1189" i="6"/>
  <c r="AD1190" i="6"/>
  <c r="AD1191" i="6"/>
  <c r="AD1192" i="6"/>
  <c r="AD1193" i="6"/>
  <c r="AD1194" i="6"/>
  <c r="AD1195" i="6"/>
  <c r="AD1196" i="6"/>
  <c r="AD1197" i="6"/>
  <c r="AD1198" i="6"/>
  <c r="AD1199" i="6"/>
  <c r="AD1200" i="6"/>
  <c r="AD1201" i="6"/>
  <c r="AD1202" i="6"/>
  <c r="AD1203" i="6"/>
  <c r="AD1204" i="6"/>
  <c r="AD1205" i="6"/>
  <c r="AD1206" i="6"/>
  <c r="AD1207" i="6"/>
  <c r="AD1208" i="6"/>
  <c r="AD1209" i="6"/>
  <c r="AD1210" i="6"/>
  <c r="AD1211" i="6"/>
  <c r="AD1212" i="6"/>
  <c r="AD1213" i="6"/>
  <c r="AD1214" i="6"/>
  <c r="AD1215" i="6"/>
  <c r="AD1216" i="6"/>
  <c r="AD1217" i="6"/>
  <c r="AD1218" i="6"/>
  <c r="AD1219" i="6"/>
  <c r="AD1220" i="6"/>
  <c r="AD1221" i="6"/>
  <c r="AD1222" i="6"/>
  <c r="AD1223" i="6"/>
  <c r="AD1224" i="6"/>
  <c r="AD1225" i="6"/>
  <c r="AD1226" i="6"/>
  <c r="AD1227" i="6"/>
  <c r="AD1228" i="6"/>
  <c r="AD1229" i="6"/>
  <c r="AD1230" i="6"/>
  <c r="AD1231" i="6"/>
  <c r="AD1232" i="6"/>
  <c r="AD1233" i="6"/>
  <c r="AD1234" i="6"/>
  <c r="AD1235" i="6"/>
  <c r="AD1236" i="6"/>
  <c r="AD1237" i="6"/>
  <c r="AD1238" i="6"/>
  <c r="AD1239" i="6"/>
  <c r="AD1240" i="6"/>
  <c r="AD1241" i="6"/>
  <c r="AD1242" i="6"/>
  <c r="AD1243" i="6"/>
  <c r="AD1244" i="6"/>
  <c r="AD1245" i="6"/>
  <c r="AD1246" i="6"/>
  <c r="AD1247" i="6"/>
  <c r="AD1248" i="6"/>
  <c r="AD1249" i="6"/>
  <c r="AD1250" i="6"/>
  <c r="AD1251" i="6"/>
  <c r="AD1252" i="6"/>
  <c r="AD1253" i="6"/>
  <c r="AD1254" i="6"/>
  <c r="AD1255" i="6"/>
  <c r="AD1256" i="6"/>
  <c r="AD1257" i="6"/>
  <c r="AD1258" i="6"/>
  <c r="AD1259" i="6"/>
  <c r="AD1260" i="6"/>
  <c r="AD1261" i="6"/>
  <c r="AD1262" i="6"/>
  <c r="AD1263" i="6"/>
  <c r="AD1264" i="6"/>
  <c r="AD1265" i="6"/>
  <c r="AD1266" i="6"/>
  <c r="AD1267" i="6"/>
  <c r="AD1268" i="6"/>
  <c r="AD1269" i="6"/>
  <c r="AD1270" i="6"/>
  <c r="AD1271" i="6"/>
  <c r="AD1272" i="6"/>
  <c r="AD1273" i="6"/>
  <c r="AD1274" i="6"/>
  <c r="AD1275" i="6"/>
  <c r="AD1276" i="6"/>
  <c r="AD1277" i="6"/>
  <c r="AD1278" i="6"/>
  <c r="AD1279" i="6"/>
  <c r="AD1280" i="6"/>
  <c r="AD1281" i="6"/>
  <c r="AD1282" i="6"/>
  <c r="AD1283" i="6"/>
  <c r="AD1284" i="6"/>
  <c r="AD1285" i="6"/>
  <c r="AD1286" i="6"/>
  <c r="AD1287" i="6"/>
  <c r="AD1288" i="6"/>
  <c r="AD1289" i="6"/>
  <c r="AD1290" i="6"/>
  <c r="AD1291" i="6"/>
  <c r="AD1292" i="6"/>
  <c r="AD1293" i="6"/>
  <c r="AD1294" i="6"/>
  <c r="AD1295" i="6"/>
  <c r="AD1296" i="6"/>
  <c r="AD1297" i="6"/>
  <c r="AD1298" i="6"/>
  <c r="AD1299" i="6"/>
  <c r="AD1300" i="6"/>
  <c r="AD1301" i="6"/>
  <c r="AD1302" i="6"/>
  <c r="AD1303" i="6"/>
  <c r="AD1304" i="6"/>
  <c r="AD1305" i="6"/>
  <c r="AD1306" i="6"/>
  <c r="AD1307" i="6"/>
  <c r="AD1308" i="6"/>
  <c r="AD1309" i="6"/>
  <c r="AD1310" i="6"/>
  <c r="AD1311" i="6"/>
  <c r="AD1312" i="6"/>
  <c r="AD1313" i="6"/>
  <c r="AD1314" i="6"/>
  <c r="AD1315" i="6"/>
  <c r="AD1316" i="6"/>
  <c r="AD1317" i="6"/>
  <c r="AD1318" i="6"/>
  <c r="AD1319" i="6"/>
  <c r="AD1320" i="6"/>
  <c r="AD1321" i="6"/>
  <c r="AD1322" i="6"/>
  <c r="AD1323" i="6"/>
  <c r="AD1324" i="6"/>
  <c r="AD1325" i="6"/>
  <c r="AD1326" i="6"/>
  <c r="AD1327" i="6"/>
  <c r="AD1328" i="6"/>
  <c r="AD1329" i="6"/>
  <c r="AD1330" i="6"/>
  <c r="AD1331" i="6"/>
  <c r="AD1332" i="6"/>
  <c r="AD1333" i="6"/>
  <c r="AD1334" i="6"/>
  <c r="AD1335" i="6"/>
  <c r="AD1336" i="6"/>
  <c r="AD1337" i="6"/>
  <c r="AD1338" i="6"/>
  <c r="AD1339" i="6"/>
  <c r="AD1340" i="6"/>
  <c r="AD1341" i="6"/>
  <c r="AD1342" i="6"/>
  <c r="AD1343" i="6"/>
  <c r="AD1344" i="6"/>
  <c r="AD1345" i="6"/>
  <c r="AD1346" i="6"/>
  <c r="AD1347" i="6"/>
  <c r="AD1348" i="6"/>
  <c r="AD1349" i="6"/>
  <c r="AD1350" i="6"/>
  <c r="AD1351" i="6"/>
  <c r="AD1352" i="6"/>
  <c r="AD1353" i="6"/>
  <c r="AD1354" i="6"/>
  <c r="AD1355" i="6"/>
  <c r="AD1356" i="6"/>
  <c r="AD1357" i="6"/>
  <c r="AD1358" i="6"/>
  <c r="AD1359" i="6"/>
  <c r="AD1360" i="6"/>
  <c r="AD1361" i="6"/>
  <c r="AD1362" i="6"/>
  <c r="AD1363" i="6"/>
  <c r="AD1364" i="6"/>
  <c r="AD1365" i="6"/>
  <c r="AD1366" i="6"/>
  <c r="AD1367" i="6"/>
  <c r="AD1368" i="6"/>
  <c r="AD1369" i="6"/>
  <c r="AD1370" i="6"/>
  <c r="AD1371" i="6"/>
  <c r="AD1372" i="6"/>
  <c r="AD1373" i="6"/>
  <c r="AD1374" i="6"/>
  <c r="AD1375" i="6"/>
  <c r="AD1376" i="6"/>
  <c r="AD1377" i="6"/>
  <c r="AD1378" i="6"/>
  <c r="AD1379" i="6"/>
  <c r="AD1380" i="6"/>
  <c r="AD1381" i="6"/>
  <c r="AD1382" i="6"/>
  <c r="AD1383" i="6"/>
  <c r="AD1384" i="6"/>
  <c r="AD1385" i="6"/>
  <c r="AD1386" i="6"/>
  <c r="AD1387" i="6"/>
  <c r="AD1388" i="6"/>
  <c r="AD1389" i="6"/>
  <c r="AD1390" i="6"/>
  <c r="AD1391" i="6"/>
  <c r="AD1392" i="6"/>
  <c r="AD1393" i="6"/>
  <c r="AD1394" i="6"/>
  <c r="AD1395" i="6"/>
  <c r="AD1396" i="6"/>
  <c r="AD1397" i="6"/>
  <c r="AD1398" i="6"/>
  <c r="AD1399" i="6"/>
  <c r="AD1400" i="6"/>
  <c r="AD1401" i="6"/>
  <c r="AD1402" i="6"/>
  <c r="AD1403" i="6"/>
  <c r="AD1404" i="6"/>
  <c r="AD1405" i="6"/>
  <c r="AD1406" i="6"/>
  <c r="AD1407" i="6"/>
  <c r="AD1408" i="6"/>
  <c r="AD1409" i="6"/>
  <c r="AD1410" i="6"/>
  <c r="AD1411" i="6"/>
  <c r="AD1412" i="6"/>
  <c r="AD1413" i="6"/>
  <c r="AD1414" i="6"/>
  <c r="AD1415" i="6"/>
  <c r="AD1416" i="6"/>
  <c r="AD1417" i="6"/>
  <c r="AD1418" i="6"/>
  <c r="AD1419" i="6"/>
  <c r="AD1420" i="6"/>
  <c r="AD1421" i="6"/>
  <c r="AD1422" i="6"/>
  <c r="AD1423" i="6"/>
  <c r="AD1424" i="6"/>
  <c r="AD1425" i="6"/>
  <c r="AD1426" i="6"/>
  <c r="AD1427" i="6"/>
  <c r="AD1428" i="6"/>
  <c r="AD1429" i="6"/>
  <c r="AD1430" i="6"/>
  <c r="AD1431" i="6"/>
  <c r="AD1432" i="6"/>
  <c r="AD1433" i="6"/>
  <c r="AD1434" i="6"/>
  <c r="AD1435" i="6"/>
  <c r="AD1436" i="6"/>
  <c r="AD1437" i="6"/>
  <c r="AD1438" i="6"/>
  <c r="AD1439" i="6"/>
  <c r="AD1440" i="6"/>
  <c r="AD1441" i="6"/>
  <c r="AD1442" i="6"/>
  <c r="AD1443" i="6"/>
  <c r="AD1444" i="6"/>
  <c r="AD1445" i="6"/>
  <c r="AD1446" i="6"/>
  <c r="AD1447" i="6"/>
  <c r="AD1448" i="6"/>
  <c r="AD1449" i="6"/>
  <c r="AD1450" i="6"/>
  <c r="AD1451" i="6"/>
  <c r="AD1452" i="6"/>
  <c r="AD1453" i="6"/>
  <c r="AD1454" i="6"/>
  <c r="AD1455" i="6"/>
  <c r="AD1456" i="6"/>
  <c r="AD1457" i="6"/>
  <c r="AD1458" i="6"/>
  <c r="AD1459" i="6"/>
  <c r="AD1460" i="6"/>
  <c r="AD1461" i="6"/>
  <c r="AD1462" i="6"/>
  <c r="AD1463" i="6"/>
  <c r="AD1464" i="6"/>
  <c r="AD1465" i="6"/>
  <c r="AD1466" i="6"/>
  <c r="AD1467" i="6"/>
  <c r="AD1468" i="6"/>
  <c r="AD1469" i="6"/>
  <c r="AD1470" i="6"/>
  <c r="AD1471" i="6"/>
  <c r="AD1472" i="6"/>
  <c r="AD1473" i="6"/>
  <c r="AD1474" i="6"/>
  <c r="AD1475" i="6"/>
  <c r="AD1476" i="6"/>
  <c r="AD1477" i="6"/>
  <c r="AD1478" i="6"/>
  <c r="AD1479" i="6"/>
  <c r="AD1480" i="6"/>
  <c r="AD1481" i="6"/>
  <c r="AD1482" i="6"/>
  <c r="AD1483" i="6"/>
  <c r="AD1484" i="6"/>
  <c r="AD1485" i="6"/>
  <c r="AD1486" i="6"/>
  <c r="AD1487" i="6"/>
  <c r="AD1488" i="6"/>
  <c r="AD1489" i="6"/>
  <c r="AD1490" i="6"/>
  <c r="AD1491" i="6"/>
  <c r="AD1492" i="6"/>
  <c r="AD1493" i="6"/>
  <c r="AD1494" i="6"/>
  <c r="AD1495" i="6"/>
  <c r="AD1496" i="6"/>
  <c r="AD1497" i="6"/>
  <c r="AD1498" i="6"/>
  <c r="AD1499" i="6"/>
  <c r="AD1500" i="6"/>
  <c r="AD1501" i="6"/>
  <c r="AD1502" i="6"/>
  <c r="AD1503" i="6"/>
  <c r="AD1504" i="6"/>
  <c r="AD1505" i="6"/>
  <c r="AD1506" i="6"/>
  <c r="AD1507" i="6"/>
  <c r="AD1508" i="6"/>
  <c r="AD1509" i="6"/>
  <c r="AD1510" i="6"/>
  <c r="AD1511" i="6"/>
  <c r="AD1512" i="6"/>
  <c r="AD1513" i="6"/>
  <c r="AD1514" i="6"/>
  <c r="AD1515" i="6"/>
  <c r="AD1516" i="6"/>
  <c r="AD1517" i="6"/>
  <c r="AD1518" i="6"/>
  <c r="AD1519" i="6"/>
  <c r="AD1520" i="6"/>
  <c r="AD1521" i="6"/>
  <c r="AD1522" i="6"/>
  <c r="AD1523" i="6"/>
  <c r="AD1524" i="6"/>
  <c r="AD1525" i="6"/>
  <c r="AD1526" i="6"/>
  <c r="AD1527" i="6"/>
  <c r="AD1528" i="6"/>
  <c r="AD1529" i="6"/>
  <c r="AD1530" i="6"/>
  <c r="AD1531" i="6"/>
  <c r="AD1532" i="6"/>
  <c r="AD1533" i="6"/>
  <c r="AD1534" i="6"/>
  <c r="AD1535" i="6"/>
  <c r="AD1536" i="6"/>
  <c r="AD1537" i="6"/>
  <c r="AD1538" i="6"/>
  <c r="AD1539" i="6"/>
  <c r="AD1540" i="6"/>
  <c r="AD1541" i="6"/>
  <c r="AD1542" i="6"/>
  <c r="AD1543" i="6"/>
  <c r="AD1544" i="6"/>
  <c r="AD1545" i="6"/>
  <c r="AD1546" i="6"/>
  <c r="AD1547" i="6"/>
  <c r="AD1548" i="6"/>
  <c r="AD1549" i="6"/>
  <c r="AD1550" i="6"/>
  <c r="AD1551" i="6"/>
  <c r="AD1552" i="6"/>
  <c r="AD1553" i="6"/>
  <c r="AD1554" i="6"/>
  <c r="AD1555" i="6"/>
  <c r="AD1556" i="6"/>
  <c r="AD1557" i="6"/>
  <c r="AD1558" i="6"/>
  <c r="AD1559" i="6"/>
  <c r="AD1560" i="6"/>
  <c r="AD1561" i="6"/>
  <c r="AD1562" i="6"/>
  <c r="AD1563" i="6"/>
  <c r="AD1564" i="6"/>
  <c r="AD1565" i="6"/>
  <c r="AD1566" i="6"/>
  <c r="AD1567" i="6"/>
  <c r="AD1568" i="6"/>
  <c r="AD1569" i="6"/>
  <c r="AD1570" i="6"/>
  <c r="AD1571" i="6"/>
  <c r="AD1572" i="6"/>
  <c r="AD1573" i="6"/>
  <c r="AD1574" i="6"/>
  <c r="AD1575" i="6"/>
  <c r="AD1576" i="6"/>
  <c r="AD1577" i="6"/>
  <c r="AD1578" i="6"/>
  <c r="AD1579" i="6"/>
  <c r="AD1580" i="6"/>
  <c r="AD1581" i="6"/>
  <c r="AD1582" i="6"/>
  <c r="AD1583" i="6"/>
  <c r="AD1584" i="6"/>
  <c r="AD1585" i="6"/>
  <c r="AD1586" i="6"/>
  <c r="AD1587" i="6"/>
  <c r="AD1588" i="6"/>
  <c r="AD1589" i="6"/>
  <c r="AD1590" i="6"/>
  <c r="AD1591" i="6"/>
  <c r="AD1592" i="6"/>
  <c r="AD1593" i="6"/>
  <c r="AD1594" i="6"/>
  <c r="AD1595" i="6"/>
  <c r="AD1596" i="6"/>
  <c r="AD1597" i="6"/>
  <c r="AD1598" i="6"/>
  <c r="AD1599" i="6"/>
  <c r="AD1600" i="6"/>
  <c r="AD1601" i="6"/>
  <c r="AD1602" i="6"/>
  <c r="AD1603" i="6"/>
  <c r="AD1604" i="6"/>
  <c r="AD1605" i="6"/>
  <c r="AD1606" i="6"/>
  <c r="AD1607" i="6"/>
  <c r="AD1608" i="6"/>
  <c r="AD1609" i="6"/>
  <c r="AD1610" i="6"/>
  <c r="AD1611" i="6"/>
  <c r="AD1612" i="6"/>
  <c r="AD1613" i="6"/>
  <c r="AD1614" i="6"/>
  <c r="AD1615" i="6"/>
  <c r="AD1616" i="6"/>
  <c r="AD1617" i="6"/>
  <c r="AD1618" i="6"/>
  <c r="AD1619" i="6"/>
  <c r="AD1620" i="6"/>
  <c r="AD1621" i="6"/>
  <c r="AD1622" i="6"/>
  <c r="AD1623" i="6"/>
  <c r="AD1624" i="6"/>
  <c r="AD1625" i="6"/>
  <c r="AD1626" i="6"/>
  <c r="AD1627" i="6"/>
  <c r="AD1628" i="6"/>
  <c r="AD1629" i="6"/>
  <c r="AD1630" i="6"/>
  <c r="AD1631" i="6"/>
  <c r="AD1632" i="6"/>
  <c r="AD1633" i="6"/>
  <c r="AD1634" i="6"/>
  <c r="AD1635" i="6"/>
  <c r="AD1636" i="6"/>
  <c r="AD1637" i="6"/>
  <c r="AD1638" i="6"/>
  <c r="AD1639" i="6"/>
  <c r="AD1640" i="6"/>
  <c r="AD1641" i="6"/>
  <c r="AD1642" i="6"/>
  <c r="AD1643" i="6"/>
  <c r="AD1644" i="6"/>
  <c r="AD1645" i="6"/>
  <c r="AD1646" i="6"/>
  <c r="AD1647" i="6"/>
  <c r="AD1648" i="6"/>
  <c r="AD1649" i="6"/>
  <c r="AD1650" i="6"/>
  <c r="AD1651" i="6"/>
  <c r="AD1652" i="6"/>
  <c r="AD1653" i="6"/>
  <c r="AD1654" i="6"/>
  <c r="AD1655" i="6"/>
  <c r="AD1656" i="6"/>
  <c r="AD1657" i="6"/>
  <c r="AD1658" i="6"/>
  <c r="AD1659" i="6"/>
  <c r="AD1660" i="6"/>
  <c r="AD1661" i="6"/>
  <c r="AD1662" i="6"/>
  <c r="AD1663" i="6"/>
  <c r="AD1664" i="6"/>
  <c r="AD1665" i="6"/>
  <c r="AD1666" i="6"/>
  <c r="AD1667" i="6"/>
  <c r="AD1668" i="6"/>
  <c r="AD1669" i="6"/>
  <c r="AD1670" i="6"/>
  <c r="AD1671" i="6"/>
  <c r="AD1672" i="6"/>
  <c r="AD1673" i="6"/>
  <c r="AD1674" i="6"/>
  <c r="AD1675" i="6"/>
  <c r="AD1676" i="6"/>
  <c r="AD1677" i="6"/>
  <c r="AD1678" i="6"/>
  <c r="AD1679" i="6"/>
  <c r="AD1680" i="6"/>
  <c r="AD1681" i="6"/>
  <c r="AD1682" i="6"/>
  <c r="AD1683" i="6"/>
  <c r="AD1684" i="6"/>
  <c r="AD1685" i="6"/>
  <c r="AD1686" i="6"/>
  <c r="AD1687" i="6"/>
  <c r="AD1688" i="6"/>
  <c r="AD1689" i="6"/>
  <c r="AD1690" i="6"/>
  <c r="AD1691" i="6"/>
  <c r="AD1692" i="6"/>
  <c r="AD1693" i="6"/>
  <c r="AD1694" i="6"/>
  <c r="AD1695" i="6"/>
  <c r="AD1696" i="6"/>
  <c r="AD1697" i="6"/>
  <c r="AD1698" i="6"/>
  <c r="AD1699" i="6"/>
  <c r="AD1700" i="6"/>
  <c r="AD1701" i="6"/>
  <c r="AD1702" i="6"/>
  <c r="AD1703" i="6"/>
  <c r="AD1704" i="6"/>
  <c r="AD1705" i="6"/>
  <c r="AD1706" i="6"/>
  <c r="AD1707" i="6"/>
  <c r="AD1708" i="6"/>
  <c r="AD1709" i="6"/>
  <c r="AD1710" i="6"/>
  <c r="AD1711" i="6"/>
  <c r="AD1712" i="6"/>
  <c r="AD1713" i="6"/>
  <c r="AD1714" i="6"/>
  <c r="AD1715" i="6"/>
  <c r="AD1716" i="6"/>
  <c r="AD1717" i="6"/>
  <c r="AD1718" i="6"/>
  <c r="AD1719" i="6"/>
  <c r="AD1720" i="6"/>
  <c r="AD1721" i="6"/>
  <c r="AD1722" i="6"/>
  <c r="AD1723" i="6"/>
  <c r="AD1724" i="6"/>
  <c r="AD1725" i="6"/>
  <c r="AD1726" i="6"/>
  <c r="AD1727" i="6"/>
  <c r="AD1728" i="6"/>
  <c r="AD1729" i="6"/>
  <c r="AD1730" i="6"/>
  <c r="AD1731" i="6"/>
  <c r="AD1732" i="6"/>
  <c r="AD1733" i="6"/>
  <c r="AD1734" i="6"/>
  <c r="AD1735" i="6"/>
  <c r="AD1736" i="6"/>
  <c r="AD1737" i="6"/>
  <c r="AD1738" i="6"/>
  <c r="AD1739" i="6"/>
  <c r="AD1740" i="6"/>
  <c r="AD1741" i="6"/>
  <c r="AD1742" i="6"/>
  <c r="AD1743" i="6"/>
  <c r="AD1744" i="6"/>
  <c r="AD1745" i="6"/>
  <c r="AD1746" i="6"/>
  <c r="AD1747" i="6"/>
  <c r="AD1748" i="6"/>
  <c r="AD1749" i="6"/>
  <c r="AD1750" i="6"/>
  <c r="AD1751" i="6"/>
  <c r="AD1752" i="6"/>
  <c r="AD1753" i="6"/>
  <c r="AD1754" i="6"/>
  <c r="AD1755" i="6"/>
  <c r="AD1756" i="6"/>
  <c r="AD1757" i="6"/>
  <c r="AD1758" i="6"/>
  <c r="AD1759" i="6"/>
  <c r="AD1760" i="6"/>
  <c r="AD1761" i="6"/>
  <c r="AD1762" i="6"/>
  <c r="AD1763" i="6"/>
  <c r="AD1764" i="6"/>
  <c r="AD1765" i="6"/>
  <c r="AD1766" i="6"/>
  <c r="AD1767" i="6"/>
  <c r="AD1768" i="6"/>
  <c r="AD1769" i="6"/>
  <c r="AD1770" i="6"/>
  <c r="AD1771" i="6"/>
  <c r="AD1772" i="6"/>
  <c r="AD1773" i="6"/>
  <c r="AD1774" i="6"/>
  <c r="AD1775" i="6"/>
  <c r="AD1776" i="6"/>
  <c r="AD1777" i="6"/>
  <c r="AD1778" i="6"/>
  <c r="AD1779" i="6"/>
  <c r="AD1780" i="6"/>
  <c r="AD1781" i="6"/>
  <c r="AD1782" i="6"/>
  <c r="AD1783" i="6"/>
  <c r="AD1784" i="6"/>
  <c r="AD1785" i="6"/>
  <c r="AD1786" i="6"/>
  <c r="AD1787" i="6"/>
  <c r="AD1788" i="6"/>
  <c r="AD1789" i="6"/>
  <c r="AD1790" i="6"/>
  <c r="AD1791" i="6"/>
  <c r="AD1792" i="6"/>
  <c r="AD1793" i="6"/>
  <c r="AD1794" i="6"/>
  <c r="AD1795" i="6"/>
  <c r="AD1796" i="6"/>
  <c r="AD1797" i="6"/>
  <c r="AD1798" i="6"/>
  <c r="AD1799" i="6"/>
  <c r="AD1800" i="6"/>
  <c r="AD1801" i="6"/>
  <c r="AD1802" i="6"/>
  <c r="AD1803" i="6"/>
  <c r="AD1804" i="6"/>
  <c r="AD1805" i="6"/>
  <c r="AD1806" i="6"/>
  <c r="AD1807" i="6"/>
  <c r="AD1808" i="6"/>
  <c r="AD1809" i="6"/>
  <c r="AD1810" i="6"/>
  <c r="AD1811" i="6"/>
  <c r="AD1812" i="6"/>
  <c r="AD1813" i="6"/>
  <c r="AD1814" i="6"/>
  <c r="AD1815" i="6"/>
  <c r="AD1816" i="6"/>
  <c r="AD1817" i="6"/>
  <c r="AD1818" i="6"/>
  <c r="AD1819" i="6"/>
  <c r="AD1820" i="6"/>
  <c r="AD1821" i="6"/>
  <c r="AD1822" i="6"/>
  <c r="AD1823" i="6"/>
  <c r="AD1824" i="6"/>
  <c r="AD1825" i="6"/>
  <c r="AD1826" i="6"/>
  <c r="AD1827" i="6"/>
  <c r="AD1828" i="6"/>
  <c r="AD1829" i="6"/>
  <c r="AD1830" i="6"/>
  <c r="AD1831" i="6"/>
  <c r="AD1832" i="6"/>
  <c r="AD1833" i="6"/>
  <c r="AD1834" i="6"/>
  <c r="AD1835" i="6"/>
  <c r="AD1836" i="6"/>
  <c r="AD1837" i="6"/>
  <c r="AD1838" i="6"/>
  <c r="AD1839" i="6"/>
  <c r="AD1840" i="6"/>
  <c r="AD1841" i="6"/>
  <c r="AD1842" i="6"/>
  <c r="AD1843" i="6"/>
  <c r="AD1844" i="6"/>
  <c r="AD1845" i="6"/>
  <c r="AD1846" i="6"/>
  <c r="AD1847" i="6"/>
  <c r="AD1848" i="6"/>
  <c r="AD1849" i="6"/>
  <c r="AD1850" i="6"/>
  <c r="AD1851" i="6"/>
  <c r="AD1852" i="6"/>
  <c r="AD1853" i="6"/>
  <c r="AD1854" i="6"/>
  <c r="AD1855" i="6"/>
  <c r="AD1856" i="6"/>
  <c r="AD1857" i="6"/>
  <c r="AD1858" i="6"/>
  <c r="AD1859" i="6"/>
  <c r="AD1860" i="6"/>
  <c r="AD1861" i="6"/>
  <c r="AD1862" i="6"/>
  <c r="AD1863" i="6"/>
  <c r="AD1864" i="6"/>
  <c r="AD1865" i="6"/>
  <c r="AD1866" i="6"/>
  <c r="AD1867" i="6"/>
  <c r="AD1868" i="6"/>
  <c r="AD1869" i="6"/>
  <c r="AD1870" i="6"/>
  <c r="AD1871" i="6"/>
  <c r="AD1872" i="6"/>
  <c r="AD1873" i="6"/>
  <c r="AD1874" i="6"/>
  <c r="AD1875" i="6"/>
  <c r="AD1876" i="6"/>
  <c r="AD1877" i="6"/>
  <c r="AD1878" i="6"/>
  <c r="AD1879" i="6"/>
  <c r="AD1880" i="6"/>
  <c r="AD1881" i="6"/>
  <c r="AD1882" i="6"/>
  <c r="AD1883" i="6"/>
  <c r="AD1884" i="6"/>
  <c r="AD1885" i="6"/>
  <c r="AD1886" i="6"/>
  <c r="AD1887" i="6"/>
  <c r="AD1888" i="6"/>
  <c r="AD1889" i="6"/>
  <c r="AD1890" i="6"/>
  <c r="AD1891" i="6"/>
  <c r="AD1892" i="6"/>
  <c r="AD1893" i="6"/>
  <c r="AD1894" i="6"/>
  <c r="AD1895" i="6"/>
  <c r="AD1896" i="6"/>
  <c r="AD1897" i="6"/>
  <c r="AD1898" i="6"/>
  <c r="AD1899" i="6"/>
  <c r="AD1900" i="6"/>
  <c r="AD1901" i="6"/>
  <c r="AD1902" i="6"/>
  <c r="AD1903" i="6"/>
  <c r="AD1904" i="6"/>
  <c r="AD1905" i="6"/>
  <c r="AD1906" i="6"/>
  <c r="AD1907" i="6"/>
  <c r="AD1908" i="6"/>
  <c r="AD1909" i="6"/>
  <c r="AD1910" i="6"/>
  <c r="AD1911" i="6"/>
  <c r="AD1912" i="6"/>
  <c r="AD1913" i="6"/>
  <c r="AD1914" i="6"/>
  <c r="AD1915" i="6"/>
  <c r="AD1916" i="6"/>
  <c r="AD1917" i="6"/>
  <c r="AD1918" i="6"/>
  <c r="AD1919" i="6"/>
  <c r="AD1920" i="6"/>
  <c r="AD1921" i="6"/>
  <c r="AD1922" i="6"/>
  <c r="AD1923" i="6"/>
  <c r="AD1924" i="6"/>
  <c r="AD1925" i="6"/>
  <c r="AD1926" i="6"/>
  <c r="AD1927" i="6"/>
  <c r="AD1928" i="6"/>
  <c r="AD1929" i="6"/>
  <c r="AD1930" i="6"/>
  <c r="AD1931" i="6"/>
  <c r="AD1932" i="6"/>
  <c r="AD1933" i="6"/>
  <c r="AD1934" i="6"/>
  <c r="AD1935" i="6"/>
  <c r="AD1936" i="6"/>
  <c r="AD1937" i="6"/>
  <c r="AD1938" i="6"/>
  <c r="AD1939" i="6"/>
  <c r="AD1940" i="6"/>
  <c r="AD1941" i="6"/>
  <c r="AD1942" i="6"/>
  <c r="AD1943" i="6"/>
  <c r="AD1944" i="6"/>
  <c r="AD1945" i="6"/>
  <c r="AD1946" i="6"/>
  <c r="AD1947" i="6"/>
  <c r="AD1948" i="6"/>
  <c r="AD1949" i="6"/>
  <c r="AD1950" i="6"/>
  <c r="AD1951" i="6"/>
  <c r="AD1952" i="6"/>
  <c r="AD1953" i="6"/>
  <c r="AD1954" i="6"/>
  <c r="AD1955" i="6"/>
  <c r="AD1956" i="6"/>
  <c r="AD1957" i="6"/>
  <c r="AD1958" i="6"/>
  <c r="AD1959" i="6"/>
  <c r="AD1960" i="6"/>
  <c r="AD1961" i="6"/>
  <c r="AD1962" i="6"/>
  <c r="AD1963" i="6"/>
  <c r="AD1964" i="6"/>
  <c r="AD1965" i="6"/>
  <c r="AD1966" i="6"/>
  <c r="AD1967" i="6"/>
  <c r="AD1968" i="6"/>
  <c r="AD1969" i="6"/>
  <c r="AD1970" i="6"/>
  <c r="AD1971" i="6"/>
  <c r="AD1972" i="6"/>
  <c r="AD1973" i="6"/>
  <c r="AD1974" i="6"/>
  <c r="AD1975" i="6"/>
  <c r="AD1976" i="6"/>
  <c r="AD1977" i="6"/>
  <c r="AD1978" i="6"/>
  <c r="AD1979" i="6"/>
  <c r="AD1980" i="6"/>
  <c r="AD1981" i="6"/>
  <c r="AD1982" i="6"/>
  <c r="AD1983" i="6"/>
  <c r="AD1984" i="6"/>
  <c r="AD1985" i="6"/>
  <c r="AD1986" i="6"/>
  <c r="AD1987" i="6"/>
  <c r="AD1988" i="6"/>
  <c r="AD1989" i="6"/>
  <c r="AD1990" i="6"/>
  <c r="AD1991" i="6"/>
  <c r="AD1992" i="6"/>
  <c r="AD1993" i="6"/>
  <c r="AD1994" i="6"/>
  <c r="AD1995" i="6"/>
  <c r="AD1996" i="6"/>
  <c r="AD1997" i="6"/>
  <c r="AD1998" i="6"/>
  <c r="AD1999" i="6"/>
  <c r="AD2000" i="6"/>
  <c r="AD2001" i="6"/>
  <c r="AD2002" i="6"/>
  <c r="AD2003" i="6"/>
  <c r="AD2004" i="6"/>
  <c r="AD2005" i="6"/>
  <c r="AD2006" i="6"/>
  <c r="AD2007" i="6"/>
  <c r="AD2008" i="6"/>
  <c r="AD2009" i="6"/>
  <c r="AD2010" i="6"/>
  <c r="AD2011" i="6"/>
  <c r="AD2012" i="6"/>
  <c r="AD2013" i="6"/>
  <c r="AD2014" i="6"/>
  <c r="AD2015" i="6"/>
  <c r="AD2016" i="6"/>
  <c r="AD2017" i="6"/>
  <c r="AD2018" i="6"/>
  <c r="AD2019" i="6"/>
  <c r="AD2020" i="6"/>
  <c r="AD2021" i="6"/>
  <c r="AD2022" i="6"/>
  <c r="AD2023" i="6"/>
  <c r="AD2024" i="6"/>
  <c r="AD2025" i="6"/>
  <c r="AD2026" i="6"/>
  <c r="AD2027" i="6"/>
  <c r="AD2028" i="6"/>
  <c r="AD2029" i="6"/>
  <c r="AD2030" i="6"/>
  <c r="AD2031" i="6"/>
  <c r="AD2032" i="6"/>
  <c r="AD2033" i="6"/>
  <c r="AD2034" i="6"/>
  <c r="AD2035" i="6"/>
  <c r="AD2036" i="6"/>
  <c r="AD2037" i="6"/>
  <c r="AD2038" i="6"/>
  <c r="AD2039" i="6"/>
  <c r="AD2040" i="6"/>
  <c r="AD2041" i="6"/>
  <c r="AD2042" i="6"/>
  <c r="AD2043" i="6"/>
  <c r="AD2044" i="6"/>
  <c r="AD2045" i="6"/>
  <c r="AD2046" i="6"/>
  <c r="AD2047" i="6"/>
  <c r="AD2048" i="6"/>
  <c r="AD2049" i="6"/>
  <c r="AD2050" i="6"/>
  <c r="AD2051" i="6"/>
  <c r="AD2052" i="6"/>
  <c r="AD2053" i="6"/>
  <c r="AD2054" i="6"/>
  <c r="AD2055" i="6"/>
  <c r="AD2056" i="6"/>
  <c r="AD2057" i="6"/>
  <c r="AD2058" i="6"/>
  <c r="AD2059" i="6"/>
  <c r="AD2060" i="6"/>
  <c r="AD2061" i="6"/>
  <c r="AD2062" i="6"/>
  <c r="AD2063" i="6"/>
  <c r="AD2064" i="6"/>
  <c r="AD2065" i="6"/>
  <c r="AD2066" i="6"/>
  <c r="AD2067" i="6"/>
  <c r="AD2068" i="6"/>
  <c r="AD2069" i="6"/>
  <c r="AD2070" i="6"/>
  <c r="AD2071" i="6"/>
  <c r="AD2072" i="6"/>
  <c r="AD2073" i="6"/>
  <c r="AD2074" i="6"/>
  <c r="AD2075" i="6"/>
  <c r="AD2076" i="6"/>
  <c r="AD2077" i="6"/>
  <c r="AD2078" i="6"/>
  <c r="AD2079" i="6"/>
  <c r="AD2080" i="6"/>
  <c r="AD2081" i="6"/>
  <c r="AD2082" i="6"/>
  <c r="AD2083" i="6"/>
  <c r="AD2084" i="6"/>
  <c r="AD2085" i="6"/>
  <c r="AD2086" i="6"/>
  <c r="AD2087" i="6"/>
  <c r="AD2088" i="6"/>
  <c r="AD2089" i="6"/>
  <c r="AD2090" i="6"/>
  <c r="AD2091" i="6"/>
  <c r="AD2092" i="6"/>
  <c r="AD2093" i="6"/>
  <c r="AD2094" i="6"/>
  <c r="AD2095" i="6"/>
  <c r="AD2096" i="6"/>
  <c r="AD2097" i="6"/>
  <c r="AD2098" i="6"/>
  <c r="AD2099" i="6"/>
  <c r="AD2100" i="6"/>
  <c r="AD2101" i="6"/>
  <c r="AD2102" i="6"/>
  <c r="AD2103" i="6"/>
  <c r="AD2104" i="6"/>
  <c r="AD2105" i="6"/>
  <c r="AD2106" i="6"/>
  <c r="AD2107" i="6"/>
  <c r="AD2108" i="6"/>
  <c r="AD2109" i="6"/>
  <c r="AD2110" i="6"/>
  <c r="AD2111" i="6"/>
  <c r="AD2112" i="6"/>
  <c r="AD2113" i="6"/>
  <c r="AD2114" i="6"/>
  <c r="AD2115" i="6"/>
  <c r="AD2116" i="6"/>
  <c r="AD2117" i="6"/>
  <c r="AD2118" i="6"/>
  <c r="AD2119" i="6"/>
  <c r="AD2120" i="6"/>
  <c r="AD2121" i="6"/>
  <c r="AD2122" i="6"/>
  <c r="AD2123" i="6"/>
  <c r="AD2124" i="6"/>
  <c r="AD2125" i="6"/>
  <c r="AD2126" i="6"/>
  <c r="AD2127" i="6"/>
  <c r="AD2128" i="6"/>
  <c r="AD2129" i="6"/>
  <c r="AD2130" i="6"/>
  <c r="AD2131" i="6"/>
  <c r="AD2132" i="6"/>
  <c r="AD2133" i="6"/>
  <c r="AD2134" i="6"/>
  <c r="AD2135" i="6"/>
  <c r="AD2136" i="6"/>
  <c r="AD2137" i="6"/>
  <c r="AD2138" i="6"/>
  <c r="AD2139" i="6"/>
  <c r="AD2140" i="6"/>
  <c r="AD2141" i="6"/>
  <c r="AD2142" i="6"/>
  <c r="AD2143" i="6"/>
  <c r="AD2144" i="6"/>
  <c r="AD2145" i="6"/>
  <c r="AD2146" i="6"/>
  <c r="AD2147" i="6"/>
  <c r="AD2148" i="6"/>
  <c r="AD2149" i="6"/>
  <c r="AD2150" i="6"/>
  <c r="AD2151" i="6"/>
  <c r="AD2152" i="6"/>
  <c r="AD2153" i="6"/>
  <c r="AD2154" i="6"/>
  <c r="AD2155" i="6"/>
  <c r="AD2156" i="6"/>
  <c r="AD2157" i="6"/>
  <c r="AD2158" i="6"/>
  <c r="AD2159" i="6"/>
  <c r="AD2160" i="6"/>
  <c r="AD2161" i="6"/>
  <c r="AD2162" i="6"/>
  <c r="AD2163" i="6"/>
  <c r="AD2164" i="6"/>
  <c r="AD2165" i="6"/>
  <c r="AD2166" i="6"/>
  <c r="AD2167" i="6"/>
  <c r="AD2168" i="6"/>
  <c r="AD2169" i="6"/>
  <c r="AD2170" i="6"/>
  <c r="AD2171" i="6"/>
  <c r="AD2172" i="6"/>
  <c r="AD2173" i="6"/>
  <c r="AD2174" i="6"/>
  <c r="AD2175" i="6"/>
  <c r="AD2176" i="6"/>
  <c r="AD2177" i="6"/>
  <c r="AD2178" i="6"/>
  <c r="AD2179" i="6"/>
  <c r="AD2180" i="6"/>
  <c r="AD2181" i="6"/>
  <c r="AD2182" i="6"/>
  <c r="AD2183" i="6"/>
  <c r="AD2184" i="6"/>
  <c r="AD2185" i="6"/>
  <c r="AD2186" i="6"/>
  <c r="AD2187" i="6"/>
  <c r="AD2188" i="6"/>
  <c r="AD2189" i="6"/>
  <c r="AD2190" i="6"/>
  <c r="AD2191" i="6"/>
  <c r="AD2192" i="6"/>
  <c r="AD2193" i="6"/>
  <c r="AD2194" i="6"/>
  <c r="AD2195" i="6"/>
  <c r="AD2196" i="6"/>
  <c r="AD2197" i="6"/>
  <c r="AD2198" i="6"/>
  <c r="AD2199" i="6"/>
  <c r="AD2200" i="6"/>
  <c r="AD2201" i="6"/>
  <c r="AD2202" i="6"/>
  <c r="AD2203" i="6"/>
  <c r="AD2204" i="6"/>
  <c r="AD2205" i="6"/>
  <c r="AD2206" i="6"/>
  <c r="AD2207" i="6"/>
  <c r="AD2208" i="6"/>
  <c r="AD2209" i="6"/>
  <c r="AD2210" i="6"/>
  <c r="AD2211" i="6"/>
  <c r="AD2212" i="6"/>
  <c r="AD2213" i="6"/>
  <c r="AD2214" i="6"/>
  <c r="AD2215" i="6"/>
  <c r="AD2216" i="6"/>
  <c r="AD2217" i="6"/>
  <c r="AD2218" i="6"/>
  <c r="AD2219" i="6"/>
  <c r="AD2220" i="6"/>
  <c r="AD2221" i="6"/>
  <c r="AD2222" i="6"/>
  <c r="AD2223" i="6"/>
  <c r="AD2224" i="6"/>
  <c r="AD2225" i="6"/>
  <c r="AD2226" i="6"/>
  <c r="AD2227" i="6"/>
  <c r="AD2228" i="6"/>
  <c r="AD2229" i="6"/>
  <c r="AD2230" i="6"/>
  <c r="AD2231" i="6"/>
  <c r="AD2232" i="6"/>
  <c r="AD2233" i="6"/>
  <c r="AD2234" i="6"/>
  <c r="AD2235" i="6"/>
  <c r="AD2236" i="6"/>
  <c r="AD2237" i="6"/>
  <c r="AD2238" i="6"/>
  <c r="AD2239" i="6"/>
  <c r="AD2240" i="6"/>
  <c r="AD2241" i="6"/>
  <c r="AD2242" i="6"/>
  <c r="AD2243" i="6"/>
  <c r="AD2244" i="6"/>
  <c r="AD2245" i="6"/>
  <c r="AD2246" i="6"/>
  <c r="AD2247" i="6"/>
  <c r="AD2248" i="6"/>
  <c r="AD2249" i="6"/>
  <c r="AD2250" i="6"/>
  <c r="AD2251" i="6"/>
  <c r="AD2252" i="6"/>
  <c r="AD2253" i="6"/>
  <c r="AD2254" i="6"/>
  <c r="AD2255" i="6"/>
  <c r="AD2256" i="6"/>
  <c r="AD2257" i="6"/>
  <c r="AD2258" i="6"/>
  <c r="AD2259" i="6"/>
  <c r="AD2260" i="6"/>
  <c r="AD2261" i="6"/>
  <c r="AD2262" i="6"/>
  <c r="AD2263" i="6"/>
  <c r="AD2264" i="6"/>
  <c r="AD2265" i="6"/>
  <c r="AD2266" i="6"/>
  <c r="AD2267" i="6"/>
  <c r="AD2268" i="6"/>
  <c r="AD2269" i="6"/>
  <c r="AD2270" i="6"/>
  <c r="AD2271" i="6"/>
  <c r="AD2272" i="6"/>
  <c r="AD2273" i="6"/>
  <c r="AD2274" i="6"/>
  <c r="AD2275" i="6"/>
  <c r="AD2276" i="6"/>
  <c r="AD2277" i="6"/>
  <c r="AD2278" i="6"/>
  <c r="AD2279" i="6"/>
  <c r="AD2280" i="6"/>
  <c r="AD2281" i="6"/>
  <c r="AD2282" i="6"/>
  <c r="AD2283" i="6"/>
  <c r="AD2284" i="6"/>
  <c r="AD2285" i="6"/>
  <c r="AD2286" i="6"/>
  <c r="AD2287" i="6"/>
  <c r="AD2288" i="6"/>
  <c r="AD2289" i="6"/>
  <c r="AD2290" i="6"/>
  <c r="AD2291" i="6"/>
  <c r="AD2292" i="6"/>
  <c r="AD2293" i="6"/>
  <c r="AD2294" i="6"/>
  <c r="AD2295" i="6"/>
  <c r="AD2296" i="6"/>
  <c r="AD2297" i="6"/>
  <c r="AD2298" i="6"/>
  <c r="AD2299" i="6"/>
  <c r="AD2300" i="6"/>
  <c r="AD2301" i="6"/>
  <c r="AD2302" i="6"/>
  <c r="AD2303" i="6"/>
  <c r="AD2304" i="6"/>
  <c r="AD2305" i="6"/>
  <c r="AD2306" i="6"/>
  <c r="AD2307" i="6"/>
  <c r="AD2308" i="6"/>
  <c r="AD2309" i="6"/>
  <c r="AD2310" i="6"/>
  <c r="AD2311" i="6"/>
  <c r="AD2312" i="6"/>
  <c r="AD2313" i="6"/>
  <c r="AD2314" i="6"/>
  <c r="AD2315" i="6"/>
  <c r="AD2316" i="6"/>
  <c r="AD2317" i="6"/>
  <c r="AD2318" i="6"/>
  <c r="AD2319" i="6"/>
  <c r="AD2320" i="6"/>
  <c r="AD2321" i="6"/>
  <c r="AD2322" i="6"/>
  <c r="AD2323" i="6"/>
  <c r="AD2324" i="6"/>
  <c r="AD2325" i="6"/>
  <c r="AD2326" i="6"/>
  <c r="AD2327" i="6"/>
  <c r="AD2328" i="6"/>
  <c r="AD2329" i="6"/>
  <c r="AD2330" i="6"/>
  <c r="AD2331" i="6"/>
  <c r="AD2332" i="6"/>
  <c r="AD2333" i="6"/>
  <c r="AD2334" i="6"/>
  <c r="AD2335" i="6"/>
  <c r="AD2336" i="6"/>
  <c r="AD2337" i="6"/>
  <c r="AD2338" i="6"/>
  <c r="AD2339" i="6"/>
  <c r="AD2340" i="6"/>
  <c r="AD2341" i="6"/>
  <c r="AD2342" i="6"/>
  <c r="AD2343" i="6"/>
  <c r="AD2344" i="6"/>
  <c r="AD2345" i="6"/>
  <c r="AD2346" i="6"/>
  <c r="AD2347" i="6"/>
  <c r="AD2348" i="6"/>
  <c r="AD2349" i="6"/>
  <c r="AD2350" i="6"/>
  <c r="AD2351" i="6"/>
  <c r="AD2352" i="6"/>
  <c r="AD2353" i="6"/>
  <c r="AD2354" i="6"/>
  <c r="AD2355" i="6"/>
  <c r="AD2356" i="6"/>
  <c r="AD2357" i="6"/>
  <c r="AD2358" i="6"/>
  <c r="AD2359" i="6"/>
  <c r="AD2360" i="6"/>
  <c r="AD2361" i="6"/>
  <c r="AD2362" i="6"/>
  <c r="AD2363" i="6"/>
  <c r="AD2364" i="6"/>
  <c r="AD2365" i="6"/>
  <c r="AD2366" i="6"/>
  <c r="AD2367" i="6"/>
  <c r="AD2368" i="6"/>
  <c r="AD2369" i="6"/>
  <c r="AD2370" i="6"/>
  <c r="AD2371" i="6"/>
  <c r="AD2372" i="6"/>
  <c r="AD2373" i="6"/>
  <c r="AD2374" i="6"/>
  <c r="AD2375" i="6"/>
  <c r="AD2376" i="6"/>
  <c r="AD2377" i="6"/>
  <c r="AD2378" i="6"/>
  <c r="AD2379" i="6"/>
  <c r="AD2380" i="6"/>
  <c r="AD2381" i="6"/>
  <c r="AD2382" i="6"/>
  <c r="AD2383" i="6"/>
  <c r="AD2384" i="6"/>
  <c r="AD2385" i="6"/>
  <c r="AD2386" i="6"/>
  <c r="AD2387" i="6"/>
  <c r="AD2388" i="6"/>
  <c r="AD2389" i="6"/>
  <c r="AD2390" i="6"/>
  <c r="AD2391" i="6"/>
  <c r="AD2392" i="6"/>
  <c r="AD2393" i="6"/>
  <c r="AD2394" i="6"/>
  <c r="AD2395" i="6"/>
  <c r="AD2396" i="6"/>
  <c r="AD2397" i="6"/>
  <c r="AD2398" i="6"/>
  <c r="AD2399" i="6"/>
  <c r="AD2400" i="6"/>
  <c r="AD2401" i="6"/>
  <c r="AD2402" i="6"/>
  <c r="AD2403" i="6"/>
  <c r="AD2404" i="6"/>
  <c r="AD2405" i="6"/>
  <c r="AD2406" i="6"/>
  <c r="AD2407" i="6"/>
  <c r="AD2408" i="6"/>
  <c r="AD2409" i="6"/>
  <c r="AD2410" i="6"/>
  <c r="AD2411" i="6"/>
  <c r="AD2412" i="6"/>
  <c r="AD2413" i="6"/>
  <c r="AD2414" i="6"/>
  <c r="AD2415" i="6"/>
  <c r="AD2416" i="6"/>
  <c r="AD2417" i="6"/>
  <c r="AD2418" i="6"/>
  <c r="AD2419" i="6"/>
  <c r="AD2420" i="6"/>
  <c r="AD2421" i="6"/>
  <c r="AD2422" i="6"/>
  <c r="AD2423" i="6"/>
  <c r="AD2424" i="6"/>
  <c r="AD2425" i="6"/>
  <c r="AD2426" i="6"/>
  <c r="AD2427" i="6"/>
  <c r="AD2428" i="6"/>
  <c r="AD2429" i="6"/>
  <c r="AD2430" i="6"/>
  <c r="AD2431" i="6"/>
  <c r="AD2432" i="6"/>
  <c r="AD2433" i="6"/>
  <c r="AD2434" i="6"/>
  <c r="AD2435" i="6"/>
  <c r="AD2436" i="6"/>
  <c r="AD2437" i="6"/>
  <c r="AD2438" i="6"/>
  <c r="AD2439" i="6"/>
  <c r="AD2440" i="6"/>
  <c r="AD2441" i="6"/>
  <c r="AD2442" i="6"/>
  <c r="AD2443" i="6"/>
  <c r="AD2444" i="6"/>
  <c r="AD2445" i="6"/>
  <c r="AD2446" i="6"/>
  <c r="AD2447" i="6"/>
  <c r="AD2448" i="6"/>
  <c r="AD2449" i="6"/>
  <c r="AD2450" i="6"/>
  <c r="AD2451" i="6"/>
  <c r="AD2452" i="6"/>
  <c r="AD2453" i="6"/>
  <c r="AD2454" i="6"/>
  <c r="AD2455" i="6"/>
  <c r="AD2456" i="6"/>
  <c r="AD2457" i="6"/>
  <c r="AD2458" i="6"/>
  <c r="AD2459" i="6"/>
  <c r="AD2460" i="6"/>
  <c r="AD2461" i="6"/>
  <c r="AD2462" i="6"/>
  <c r="AD2463" i="6"/>
  <c r="AD2464" i="6"/>
  <c r="AD2465" i="6"/>
  <c r="AD2466" i="6"/>
  <c r="AD2467" i="6"/>
  <c r="AD2468" i="6"/>
  <c r="AD2469" i="6"/>
  <c r="AD2470" i="6"/>
  <c r="AD2471" i="6"/>
  <c r="AD2472" i="6"/>
  <c r="AD2473" i="6"/>
  <c r="AD2474" i="6"/>
  <c r="AD2475" i="6"/>
  <c r="AD2476" i="6"/>
  <c r="AD2477" i="6"/>
  <c r="AD2478" i="6"/>
  <c r="AD2479" i="6"/>
  <c r="AD2480" i="6"/>
  <c r="AD2481" i="6"/>
  <c r="AD2482" i="6"/>
  <c r="AD2483" i="6"/>
  <c r="AD2484" i="6"/>
  <c r="AD2485" i="6"/>
  <c r="AD2486" i="6"/>
  <c r="AD2487" i="6"/>
  <c r="AD2488" i="6"/>
  <c r="AD2489" i="6"/>
  <c r="AD2490" i="6"/>
  <c r="AD2491" i="6"/>
  <c r="AD2492" i="6"/>
  <c r="AD2493" i="6"/>
  <c r="AD2494" i="6"/>
  <c r="AD2495" i="6"/>
  <c r="AD2496" i="6"/>
  <c r="AD2497" i="6"/>
  <c r="AD2498" i="6"/>
  <c r="AD2499" i="6"/>
  <c r="AD2500" i="6"/>
  <c r="AD2501" i="6"/>
  <c r="AD2502" i="6"/>
  <c r="AD2503" i="6"/>
  <c r="AD2504" i="6"/>
  <c r="AD2505" i="6"/>
  <c r="AD2506" i="6"/>
  <c r="AD2507" i="6"/>
  <c r="AD2508" i="6"/>
  <c r="AD2509" i="6"/>
  <c r="AD2510" i="6"/>
  <c r="AD2511" i="6"/>
  <c r="AD2512" i="6"/>
  <c r="AD2513" i="6"/>
  <c r="AD2514" i="6"/>
  <c r="AD2515" i="6"/>
  <c r="AD2516" i="6"/>
  <c r="AD2517" i="6"/>
  <c r="AD2518" i="6"/>
  <c r="AD2519" i="6"/>
  <c r="AD2520" i="6"/>
  <c r="AD2521" i="6"/>
  <c r="AD2522" i="6"/>
  <c r="AD2523" i="6"/>
  <c r="AD2524" i="6"/>
  <c r="AD2525" i="6"/>
  <c r="AD2526" i="6"/>
  <c r="AD2527" i="6"/>
  <c r="AD2528" i="6"/>
  <c r="AD2529" i="6"/>
  <c r="AD2530" i="6"/>
  <c r="AD2531" i="6"/>
  <c r="AD2532" i="6"/>
  <c r="AD2533" i="6"/>
  <c r="AD2534" i="6"/>
  <c r="AD2535" i="6"/>
  <c r="AD2536" i="6"/>
  <c r="AD2537" i="6"/>
  <c r="AD2538" i="6"/>
  <c r="AD2539" i="6"/>
  <c r="AD2540" i="6"/>
  <c r="AD2541" i="6"/>
  <c r="AD2542" i="6"/>
  <c r="AD2543" i="6"/>
  <c r="AD2544" i="6"/>
  <c r="AD2545" i="6"/>
  <c r="AD2546" i="6"/>
  <c r="AD2547" i="6"/>
  <c r="AD2548" i="6"/>
  <c r="AD2549" i="6"/>
  <c r="AD2550" i="6"/>
  <c r="AD2551" i="6"/>
  <c r="AD2552" i="6"/>
  <c r="AD2553" i="6"/>
  <c r="AD2554" i="6"/>
  <c r="AD2555" i="6"/>
  <c r="AD2556" i="6"/>
  <c r="AD2557" i="6"/>
  <c r="AD2558" i="6"/>
  <c r="AD2559" i="6"/>
  <c r="AD2560" i="6"/>
  <c r="AD2561" i="6"/>
  <c r="AD2562" i="6"/>
  <c r="AD2563" i="6"/>
  <c r="AD2564" i="6"/>
  <c r="AD2565" i="6"/>
  <c r="AD2566" i="6"/>
  <c r="AD2567" i="6"/>
  <c r="AD2568" i="6"/>
  <c r="AD2569" i="6"/>
  <c r="AD2570" i="6"/>
  <c r="AD2571" i="6"/>
  <c r="AD2572" i="6"/>
  <c r="AD2573" i="6"/>
  <c r="AD2574" i="6"/>
  <c r="AD2575" i="6"/>
  <c r="AD2576" i="6"/>
  <c r="AD2577" i="6"/>
  <c r="AD2578" i="6"/>
  <c r="AD2579" i="6"/>
  <c r="AD2580" i="6"/>
  <c r="AD2581" i="6"/>
  <c r="AD2582" i="6"/>
  <c r="AD2583" i="6"/>
  <c r="AD2584" i="6"/>
  <c r="AD2585" i="6"/>
  <c r="AD2586" i="6"/>
  <c r="AD2587" i="6"/>
  <c r="AD2588" i="6"/>
  <c r="AD2589" i="6"/>
  <c r="AD2590" i="6"/>
  <c r="AD2591" i="6"/>
  <c r="AD2592" i="6"/>
  <c r="AD2593" i="6"/>
  <c r="AD2594" i="6"/>
  <c r="AD2595" i="6"/>
  <c r="AD2596" i="6"/>
  <c r="AD2597" i="6"/>
  <c r="AD2598" i="6"/>
  <c r="AD2599" i="6"/>
  <c r="AD2600" i="6"/>
  <c r="AD2601" i="6"/>
  <c r="AD2602" i="6"/>
  <c r="AD2603" i="6"/>
  <c r="AD2604" i="6"/>
  <c r="AD2605" i="6"/>
  <c r="AD2606" i="6"/>
  <c r="AD2607" i="6"/>
  <c r="AD2608" i="6"/>
  <c r="AD2609" i="6"/>
  <c r="AD2610" i="6"/>
  <c r="AD2611" i="6"/>
  <c r="AD2612" i="6"/>
  <c r="AD2613" i="6"/>
  <c r="AD2614" i="6"/>
  <c r="AD2615" i="6"/>
  <c r="AD2616" i="6"/>
  <c r="AD2617" i="6"/>
  <c r="AD2618" i="6"/>
  <c r="AD2619" i="6"/>
  <c r="AD2620" i="6"/>
  <c r="AD2621" i="6"/>
  <c r="AD2622" i="6"/>
  <c r="AD2623" i="6"/>
  <c r="AD2624" i="6"/>
  <c r="AD2625" i="6"/>
  <c r="AD2626" i="6"/>
  <c r="AD2627" i="6"/>
  <c r="AD2628" i="6"/>
  <c r="AD2629" i="6"/>
  <c r="AD2630" i="6"/>
  <c r="AD2631" i="6"/>
  <c r="AD2632" i="6"/>
  <c r="AD2633" i="6"/>
  <c r="AD2634" i="6"/>
  <c r="AD2635" i="6"/>
  <c r="AD2636" i="6"/>
  <c r="AD2637" i="6"/>
  <c r="AD2638" i="6"/>
  <c r="AD2639" i="6"/>
  <c r="AD2640" i="6"/>
  <c r="AD2641" i="6"/>
  <c r="AD2642" i="6"/>
  <c r="AD2643" i="6"/>
  <c r="AD2644" i="6"/>
  <c r="AD2645" i="6"/>
  <c r="AD2646" i="6"/>
  <c r="AD2647" i="6"/>
  <c r="AD2648" i="6"/>
  <c r="AD2649" i="6"/>
  <c r="AD2650" i="6"/>
  <c r="AD2651" i="6"/>
  <c r="AD2652" i="6"/>
  <c r="AD2653" i="6"/>
  <c r="AD2654" i="6"/>
  <c r="AD2655" i="6"/>
  <c r="AD2656" i="6"/>
  <c r="AD2657" i="6"/>
  <c r="AD2658" i="6"/>
  <c r="AD2659" i="6"/>
  <c r="AD2660" i="6"/>
  <c r="AD2661" i="6"/>
  <c r="AD2662" i="6"/>
  <c r="AD2663" i="6"/>
  <c r="AD2664" i="6"/>
  <c r="AD2665" i="6"/>
  <c r="AD2666" i="6"/>
  <c r="AD2667" i="6"/>
  <c r="AD2668" i="6"/>
  <c r="AD2669" i="6"/>
  <c r="AD2670" i="6"/>
  <c r="AD2671" i="6"/>
  <c r="AD2672" i="6"/>
  <c r="AD2673" i="6"/>
  <c r="AD2674" i="6"/>
  <c r="AD2675" i="6"/>
  <c r="AD2676" i="6"/>
  <c r="AD2677" i="6"/>
  <c r="AD2678" i="6"/>
  <c r="AD2679" i="6"/>
  <c r="AD2680" i="6"/>
  <c r="AD2681" i="6"/>
  <c r="AD2682" i="6"/>
  <c r="AD2683" i="6"/>
  <c r="AD2684" i="6"/>
  <c r="AD2685" i="6"/>
  <c r="AD2686" i="6"/>
  <c r="AD2687" i="6"/>
  <c r="AD2688" i="6"/>
  <c r="AD2689" i="6"/>
  <c r="AD2690" i="6"/>
  <c r="AD2691" i="6"/>
  <c r="AD2692" i="6"/>
  <c r="AD2693" i="6"/>
  <c r="AD2694" i="6"/>
  <c r="AD2695" i="6"/>
  <c r="AD2696" i="6"/>
  <c r="AD2697" i="6"/>
  <c r="AD2698" i="6"/>
  <c r="AD2699" i="6"/>
  <c r="AD2700" i="6"/>
  <c r="AD2701" i="6"/>
  <c r="AD2702" i="6"/>
  <c r="AD2703" i="6"/>
  <c r="AD2704" i="6"/>
  <c r="AD2705" i="6"/>
  <c r="AD2706" i="6"/>
  <c r="AD2707" i="6"/>
  <c r="AD2708" i="6"/>
  <c r="AD2709" i="6"/>
  <c r="AD2710" i="6"/>
  <c r="AD2711" i="6"/>
  <c r="AD2712" i="6"/>
  <c r="AD2713" i="6"/>
  <c r="AD2714" i="6"/>
  <c r="AD2715" i="6"/>
  <c r="AD2716" i="6"/>
  <c r="AD2717" i="6"/>
  <c r="AD2718" i="6"/>
  <c r="AD2719" i="6"/>
  <c r="AD2720" i="6"/>
  <c r="AD2721" i="6"/>
  <c r="AD2722" i="6"/>
  <c r="AD2723" i="6"/>
  <c r="AD2724" i="6"/>
  <c r="AD2725" i="6"/>
  <c r="AD2726" i="6"/>
  <c r="AD2727" i="6"/>
  <c r="AD2728" i="6"/>
  <c r="AD2729" i="6"/>
  <c r="AD2730" i="6"/>
  <c r="AD2731" i="6"/>
  <c r="AD2732" i="6"/>
  <c r="AD2733" i="6"/>
  <c r="AD2734" i="6"/>
  <c r="AD2735" i="6"/>
  <c r="AD2736" i="6"/>
  <c r="AD2737" i="6"/>
  <c r="AD2738" i="6"/>
  <c r="AD2739" i="6"/>
  <c r="AD2740" i="6"/>
  <c r="AD2741" i="6"/>
  <c r="AD2742" i="6"/>
  <c r="AD2743" i="6"/>
  <c r="AD2744" i="6"/>
  <c r="AD2745" i="6"/>
  <c r="AD2746" i="6"/>
  <c r="AD2747" i="6"/>
  <c r="AD2748" i="6"/>
  <c r="AD2749" i="6"/>
  <c r="AD2750" i="6"/>
  <c r="AD2751" i="6"/>
  <c r="AD2752" i="6"/>
  <c r="AD2753" i="6"/>
  <c r="AD2754" i="6"/>
  <c r="AD2755" i="6"/>
  <c r="AD2756" i="6"/>
  <c r="AD2757" i="6"/>
  <c r="AD2758" i="6"/>
  <c r="AD2759" i="6"/>
  <c r="AD2760" i="6"/>
  <c r="AD2761" i="6"/>
  <c r="AD2762" i="6"/>
  <c r="AD2763" i="6"/>
  <c r="AD2764" i="6"/>
  <c r="AD2765" i="6"/>
  <c r="AD2766" i="6"/>
  <c r="AD2767" i="6"/>
  <c r="AD2768" i="6"/>
  <c r="AD2769" i="6"/>
  <c r="AD2770" i="6"/>
  <c r="AD2771" i="6"/>
  <c r="AD2772" i="6"/>
  <c r="AD2773" i="6"/>
  <c r="AD2774" i="6"/>
  <c r="AD2775" i="6"/>
  <c r="AD2776" i="6"/>
  <c r="AD2777" i="6"/>
  <c r="AD2778" i="6"/>
  <c r="AD2779" i="6"/>
  <c r="AD2780" i="6"/>
  <c r="AD2781" i="6"/>
  <c r="AD2782" i="6"/>
  <c r="AD2783" i="6"/>
  <c r="AD2784" i="6"/>
  <c r="AD2785" i="6"/>
  <c r="AD2786" i="6"/>
  <c r="AD2787" i="6"/>
  <c r="AD2788" i="6"/>
  <c r="AD2789" i="6"/>
  <c r="AD2790" i="6"/>
  <c r="AD2791" i="6"/>
  <c r="AD2792" i="6"/>
  <c r="AD2793" i="6"/>
  <c r="AD2794" i="6"/>
  <c r="AD2795" i="6"/>
  <c r="AD2796" i="6"/>
  <c r="AD2797" i="6"/>
  <c r="AD2798" i="6"/>
  <c r="AD2799" i="6"/>
  <c r="AD2800" i="6"/>
  <c r="AD2801" i="6"/>
  <c r="AD2802" i="6"/>
  <c r="CS16" i="11"/>
  <c r="CP22" i="11"/>
  <c r="CO20" i="11"/>
  <c r="CO11" i="11"/>
  <c r="CT13" i="11"/>
  <c r="CO13" i="11"/>
  <c r="CO15" i="11" s="1"/>
  <c r="AC759" i="6"/>
  <c r="AC760" i="6"/>
  <c r="AC761" i="6"/>
  <c r="AC762" i="6"/>
  <c r="AC763" i="6"/>
  <c r="AC764" i="6"/>
  <c r="AC765" i="6"/>
  <c r="AC766" i="6"/>
  <c r="AC767" i="6"/>
  <c r="AC768" i="6"/>
  <c r="AC769" i="6"/>
  <c r="AC770" i="6"/>
  <c r="AC771" i="6"/>
  <c r="AC772" i="6"/>
  <c r="AC773" i="6"/>
  <c r="AC774" i="6"/>
  <c r="AC775" i="6"/>
  <c r="AC776" i="6"/>
  <c r="AC777" i="6"/>
  <c r="AC778" i="6"/>
  <c r="AC779" i="6"/>
  <c r="AC780" i="6"/>
  <c r="AC781" i="6"/>
  <c r="AC782" i="6"/>
  <c r="AC783" i="6"/>
  <c r="AC784" i="6"/>
  <c r="AC785" i="6"/>
  <c r="AC786" i="6"/>
  <c r="AC787" i="6"/>
  <c r="AC788" i="6"/>
  <c r="AC789" i="6"/>
  <c r="AC790" i="6"/>
  <c r="AC791" i="6"/>
  <c r="AC792" i="6"/>
  <c r="AC1556" i="6"/>
  <c r="AC1557" i="6"/>
  <c r="AC1558" i="6"/>
  <c r="AC1559" i="6"/>
  <c r="AC1560" i="6"/>
  <c r="AC1561" i="6"/>
  <c r="AC1562" i="6"/>
  <c r="AC1563" i="6"/>
  <c r="AC1564" i="6"/>
  <c r="AB2" i="6"/>
  <c r="AC2" i="6" s="1"/>
  <c r="AB3" i="6"/>
  <c r="AC3" i="6" s="1"/>
  <c r="AB4" i="6"/>
  <c r="AC4" i="6" s="1"/>
  <c r="AB5" i="6"/>
  <c r="AC5" i="6" s="1"/>
  <c r="AB6" i="6"/>
  <c r="AC6" i="6" s="1"/>
  <c r="AB7" i="6"/>
  <c r="AC7" i="6" s="1"/>
  <c r="AB8" i="6"/>
  <c r="AC8" i="6" s="1"/>
  <c r="AB9" i="6"/>
  <c r="AC9" i="6" s="1"/>
  <c r="AB10" i="6"/>
  <c r="AC10" i="6" s="1"/>
  <c r="AB11" i="6"/>
  <c r="AC11" i="6" s="1"/>
  <c r="AB12" i="6"/>
  <c r="AC12" i="6" s="1"/>
  <c r="AB13" i="6"/>
  <c r="AC13" i="6" s="1"/>
  <c r="AB14" i="6"/>
  <c r="AC14" i="6" s="1"/>
  <c r="AB15" i="6"/>
  <c r="AC15" i="6" s="1"/>
  <c r="AB16" i="6"/>
  <c r="AC16" i="6" s="1"/>
  <c r="AB17" i="6"/>
  <c r="AC17" i="6" s="1"/>
  <c r="AB18" i="6"/>
  <c r="AC18" i="6" s="1"/>
  <c r="AB19" i="6"/>
  <c r="AC19" i="6" s="1"/>
  <c r="AB20" i="6"/>
  <c r="AC20" i="6" s="1"/>
  <c r="AB21" i="6"/>
  <c r="AC21" i="6" s="1"/>
  <c r="AB22" i="6"/>
  <c r="AC22" i="6" s="1"/>
  <c r="AB23" i="6"/>
  <c r="AC23" i="6" s="1"/>
  <c r="AB24" i="6"/>
  <c r="AC24" i="6" s="1"/>
  <c r="AB25" i="6"/>
  <c r="AC25" i="6" s="1"/>
  <c r="AB26" i="6"/>
  <c r="AC26" i="6" s="1"/>
  <c r="AB27" i="6"/>
  <c r="AC27" i="6" s="1"/>
  <c r="AB28" i="6"/>
  <c r="AC28" i="6" s="1"/>
  <c r="AB29" i="6"/>
  <c r="AC29" i="6" s="1"/>
  <c r="AB30" i="6"/>
  <c r="AC30" i="6" s="1"/>
  <c r="AB31" i="6"/>
  <c r="AC31" i="6" s="1"/>
  <c r="AB32" i="6"/>
  <c r="AC32" i="6" s="1"/>
  <c r="AB33" i="6"/>
  <c r="AC33" i="6" s="1"/>
  <c r="AB34" i="6"/>
  <c r="AC34" i="6" s="1"/>
  <c r="AB35" i="6"/>
  <c r="AC35" i="6" s="1"/>
  <c r="AB36" i="6"/>
  <c r="AC36" i="6" s="1"/>
  <c r="AB37" i="6"/>
  <c r="AC37" i="6" s="1"/>
  <c r="AB38" i="6"/>
  <c r="AC38" i="6" s="1"/>
  <c r="AB39" i="6"/>
  <c r="AC39" i="6" s="1"/>
  <c r="AB40" i="6"/>
  <c r="AC40" i="6" s="1"/>
  <c r="AB41" i="6"/>
  <c r="AC41" i="6" s="1"/>
  <c r="AB42" i="6"/>
  <c r="AC42" i="6" s="1"/>
  <c r="AB43" i="6"/>
  <c r="AC43" i="6" s="1"/>
  <c r="AB44" i="6"/>
  <c r="AC44" i="6" s="1"/>
  <c r="AB45" i="6"/>
  <c r="AC45" i="6" s="1"/>
  <c r="AB46" i="6"/>
  <c r="AC46" i="6" s="1"/>
  <c r="AB47" i="6"/>
  <c r="AC47" i="6" s="1"/>
  <c r="AB48" i="6"/>
  <c r="AC48" i="6" s="1"/>
  <c r="AB49" i="6"/>
  <c r="AC49" i="6" s="1"/>
  <c r="AB50" i="6"/>
  <c r="AC50" i="6" s="1"/>
  <c r="AB51" i="6"/>
  <c r="AC51" i="6" s="1"/>
  <c r="AB52" i="6"/>
  <c r="AC52" i="6" s="1"/>
  <c r="AB53" i="6"/>
  <c r="AC53" i="6" s="1"/>
  <c r="AB54" i="6"/>
  <c r="AC54" i="6" s="1"/>
  <c r="AB55" i="6"/>
  <c r="AC55" i="6" s="1"/>
  <c r="AB56" i="6"/>
  <c r="AC56" i="6" s="1"/>
  <c r="AB57" i="6"/>
  <c r="AC57" i="6" s="1"/>
  <c r="AB58" i="6"/>
  <c r="AC58" i="6" s="1"/>
  <c r="AB59" i="6"/>
  <c r="AC59" i="6" s="1"/>
  <c r="AB60" i="6"/>
  <c r="AC60" i="6" s="1"/>
  <c r="AB61" i="6"/>
  <c r="AC61" i="6" s="1"/>
  <c r="AB62" i="6"/>
  <c r="AC62" i="6" s="1"/>
  <c r="AB63" i="6"/>
  <c r="AC63" i="6" s="1"/>
  <c r="AB64" i="6"/>
  <c r="AC64" i="6" s="1"/>
  <c r="AB65" i="6"/>
  <c r="AC65" i="6" s="1"/>
  <c r="AB66" i="6"/>
  <c r="AC66" i="6" s="1"/>
  <c r="AB67" i="6"/>
  <c r="AC67" i="6" s="1"/>
  <c r="AB68" i="6"/>
  <c r="AC68" i="6" s="1"/>
  <c r="AB69" i="6"/>
  <c r="AC69" i="6" s="1"/>
  <c r="AB70" i="6"/>
  <c r="AC70" i="6" s="1"/>
  <c r="AB71" i="6"/>
  <c r="AC71" i="6" s="1"/>
  <c r="AB72" i="6"/>
  <c r="AC72" i="6" s="1"/>
  <c r="AB73" i="6"/>
  <c r="AC73" i="6" s="1"/>
  <c r="AB74" i="6"/>
  <c r="AC74" i="6" s="1"/>
  <c r="AB75" i="6"/>
  <c r="AC75" i="6" s="1"/>
  <c r="AB76" i="6"/>
  <c r="AC76" i="6" s="1"/>
  <c r="AB77" i="6"/>
  <c r="AC77" i="6" s="1"/>
  <c r="AB78" i="6"/>
  <c r="AC78" i="6" s="1"/>
  <c r="AB79" i="6"/>
  <c r="AC79" i="6" s="1"/>
  <c r="AB80" i="6"/>
  <c r="AC80" i="6" s="1"/>
  <c r="AB81" i="6"/>
  <c r="AC81" i="6" s="1"/>
  <c r="AB82" i="6"/>
  <c r="AC82" i="6" s="1"/>
  <c r="AB83" i="6"/>
  <c r="AC83" i="6" s="1"/>
  <c r="AB84" i="6"/>
  <c r="AC84" i="6" s="1"/>
  <c r="AB85" i="6"/>
  <c r="AC85" i="6" s="1"/>
  <c r="AB86" i="6"/>
  <c r="AC86" i="6" s="1"/>
  <c r="AB87" i="6"/>
  <c r="AC87" i="6" s="1"/>
  <c r="AB88" i="6"/>
  <c r="AC88" i="6" s="1"/>
  <c r="AB89" i="6"/>
  <c r="AC89" i="6" s="1"/>
  <c r="AB90" i="6"/>
  <c r="AC90" i="6" s="1"/>
  <c r="AB91" i="6"/>
  <c r="AC91" i="6" s="1"/>
  <c r="AB92" i="6"/>
  <c r="AC92" i="6" s="1"/>
  <c r="AB93" i="6"/>
  <c r="AC93" i="6" s="1"/>
  <c r="AB94" i="6"/>
  <c r="AC94" i="6" s="1"/>
  <c r="AB95" i="6"/>
  <c r="AC95" i="6" s="1"/>
  <c r="AB96" i="6"/>
  <c r="AC96" i="6" s="1"/>
  <c r="AB97" i="6"/>
  <c r="AC97" i="6" s="1"/>
  <c r="AB98" i="6"/>
  <c r="AC98" i="6" s="1"/>
  <c r="AB99" i="6"/>
  <c r="AC99" i="6" s="1"/>
  <c r="AB100" i="6"/>
  <c r="AC100" i="6" s="1"/>
  <c r="AB101" i="6"/>
  <c r="AC101" i="6" s="1"/>
  <c r="AB102" i="6"/>
  <c r="AC102" i="6" s="1"/>
  <c r="AB103" i="6"/>
  <c r="AC103" i="6" s="1"/>
  <c r="AB104" i="6"/>
  <c r="AC104" i="6" s="1"/>
  <c r="AB105" i="6"/>
  <c r="AC105" i="6" s="1"/>
  <c r="AB106" i="6"/>
  <c r="AC106" i="6" s="1"/>
  <c r="AB107" i="6"/>
  <c r="AC107" i="6" s="1"/>
  <c r="AB108" i="6"/>
  <c r="AC108" i="6" s="1"/>
  <c r="AB109" i="6"/>
  <c r="AC109" i="6" s="1"/>
  <c r="AB110" i="6"/>
  <c r="AC110" i="6" s="1"/>
  <c r="AB111" i="6"/>
  <c r="AC111" i="6" s="1"/>
  <c r="AB112" i="6"/>
  <c r="AC112" i="6" s="1"/>
  <c r="AB113" i="6"/>
  <c r="AC113" i="6" s="1"/>
  <c r="AB114" i="6"/>
  <c r="AC114" i="6" s="1"/>
  <c r="AB115" i="6"/>
  <c r="AC115" i="6" s="1"/>
  <c r="AB116" i="6"/>
  <c r="AC116" i="6" s="1"/>
  <c r="AB117" i="6"/>
  <c r="AC117" i="6" s="1"/>
  <c r="AB118" i="6"/>
  <c r="AC118" i="6" s="1"/>
  <c r="AB119" i="6"/>
  <c r="AC119" i="6" s="1"/>
  <c r="AB120" i="6"/>
  <c r="AC120" i="6" s="1"/>
  <c r="AB121" i="6"/>
  <c r="AC121" i="6" s="1"/>
  <c r="AB122" i="6"/>
  <c r="AC122" i="6" s="1"/>
  <c r="AB123" i="6"/>
  <c r="AC123" i="6" s="1"/>
  <c r="AB124" i="6"/>
  <c r="AC124" i="6" s="1"/>
  <c r="AB125" i="6"/>
  <c r="AC125" i="6" s="1"/>
  <c r="AB126" i="6"/>
  <c r="AC126" i="6" s="1"/>
  <c r="AB127" i="6"/>
  <c r="AC127" i="6" s="1"/>
  <c r="AB128" i="6"/>
  <c r="AC128" i="6" s="1"/>
  <c r="AB129" i="6"/>
  <c r="AC129" i="6" s="1"/>
  <c r="AB130" i="6"/>
  <c r="AC130" i="6" s="1"/>
  <c r="AB131" i="6"/>
  <c r="AC131" i="6" s="1"/>
  <c r="AB132" i="6"/>
  <c r="AC132" i="6" s="1"/>
  <c r="AB133" i="6"/>
  <c r="AC133" i="6" s="1"/>
  <c r="AB134" i="6"/>
  <c r="AC134" i="6" s="1"/>
  <c r="AB135" i="6"/>
  <c r="AC135" i="6" s="1"/>
  <c r="AB136" i="6"/>
  <c r="AC136" i="6" s="1"/>
  <c r="AB137" i="6"/>
  <c r="AC137" i="6" s="1"/>
  <c r="AB138" i="6"/>
  <c r="AC138" i="6" s="1"/>
  <c r="AB139" i="6"/>
  <c r="AC139" i="6" s="1"/>
  <c r="AB140" i="6"/>
  <c r="AC140" i="6" s="1"/>
  <c r="AB141" i="6"/>
  <c r="AC141" i="6" s="1"/>
  <c r="AB142" i="6"/>
  <c r="AC142" i="6" s="1"/>
  <c r="AB143" i="6"/>
  <c r="AC143" i="6" s="1"/>
  <c r="AB144" i="6"/>
  <c r="AC144" i="6" s="1"/>
  <c r="AB145" i="6"/>
  <c r="AC145" i="6" s="1"/>
  <c r="AB146" i="6"/>
  <c r="AC146" i="6" s="1"/>
  <c r="AB147" i="6"/>
  <c r="AC147" i="6" s="1"/>
  <c r="AB148" i="6"/>
  <c r="AC148" i="6" s="1"/>
  <c r="AB149" i="6"/>
  <c r="AC149" i="6" s="1"/>
  <c r="AB150" i="6"/>
  <c r="AC150" i="6" s="1"/>
  <c r="AB151" i="6"/>
  <c r="AC151" i="6" s="1"/>
  <c r="AB152" i="6"/>
  <c r="AC152" i="6" s="1"/>
  <c r="AB153" i="6"/>
  <c r="AC153" i="6" s="1"/>
  <c r="AB154" i="6"/>
  <c r="AC154" i="6" s="1"/>
  <c r="AB155" i="6"/>
  <c r="AC155" i="6" s="1"/>
  <c r="AB156" i="6"/>
  <c r="AC156" i="6" s="1"/>
  <c r="AB157" i="6"/>
  <c r="AC157" i="6" s="1"/>
  <c r="AB158" i="6"/>
  <c r="AC158" i="6" s="1"/>
  <c r="AB159" i="6"/>
  <c r="AC159" i="6" s="1"/>
  <c r="AB160" i="6"/>
  <c r="AC160" i="6" s="1"/>
  <c r="AB161" i="6"/>
  <c r="AC161" i="6" s="1"/>
  <c r="AB162" i="6"/>
  <c r="AC162" i="6" s="1"/>
  <c r="AB163" i="6"/>
  <c r="AC163" i="6" s="1"/>
  <c r="AB164" i="6"/>
  <c r="AC164" i="6" s="1"/>
  <c r="AB165" i="6"/>
  <c r="AC165" i="6" s="1"/>
  <c r="AB166" i="6"/>
  <c r="AC166" i="6" s="1"/>
  <c r="AB167" i="6"/>
  <c r="AC167" i="6" s="1"/>
  <c r="AB168" i="6"/>
  <c r="AC168" i="6" s="1"/>
  <c r="AB169" i="6"/>
  <c r="AC169" i="6" s="1"/>
  <c r="AB170" i="6"/>
  <c r="AC170" i="6" s="1"/>
  <c r="AB171" i="6"/>
  <c r="AC171" i="6" s="1"/>
  <c r="AB172" i="6"/>
  <c r="AC172" i="6" s="1"/>
  <c r="AB173" i="6"/>
  <c r="AC173" i="6" s="1"/>
  <c r="AB174" i="6"/>
  <c r="AC174" i="6" s="1"/>
  <c r="AB175" i="6"/>
  <c r="AC175" i="6" s="1"/>
  <c r="AB176" i="6"/>
  <c r="AC176" i="6" s="1"/>
  <c r="AB177" i="6"/>
  <c r="AC177" i="6" s="1"/>
  <c r="AB178" i="6"/>
  <c r="AC178" i="6" s="1"/>
  <c r="AB179" i="6"/>
  <c r="AC179" i="6" s="1"/>
  <c r="AB180" i="6"/>
  <c r="AC180" i="6" s="1"/>
  <c r="AB181" i="6"/>
  <c r="AC181" i="6" s="1"/>
  <c r="AB182" i="6"/>
  <c r="AC182" i="6" s="1"/>
  <c r="AB183" i="6"/>
  <c r="AC183" i="6" s="1"/>
  <c r="AB184" i="6"/>
  <c r="AC184" i="6" s="1"/>
  <c r="AB185" i="6"/>
  <c r="AC185" i="6" s="1"/>
  <c r="AB186" i="6"/>
  <c r="AC186" i="6" s="1"/>
  <c r="AB187" i="6"/>
  <c r="AC187" i="6" s="1"/>
  <c r="AB188" i="6"/>
  <c r="AC188" i="6" s="1"/>
  <c r="AB189" i="6"/>
  <c r="AC189" i="6" s="1"/>
  <c r="AB190" i="6"/>
  <c r="AC190" i="6" s="1"/>
  <c r="AB191" i="6"/>
  <c r="AC191" i="6" s="1"/>
  <c r="AB192" i="6"/>
  <c r="AC192" i="6" s="1"/>
  <c r="AB193" i="6"/>
  <c r="AC193" i="6" s="1"/>
  <c r="AB194" i="6"/>
  <c r="AC194" i="6" s="1"/>
  <c r="AB195" i="6"/>
  <c r="AC195" i="6" s="1"/>
  <c r="AB196" i="6"/>
  <c r="AC196" i="6" s="1"/>
  <c r="AB197" i="6"/>
  <c r="AC197" i="6" s="1"/>
  <c r="AB198" i="6"/>
  <c r="AC198" i="6" s="1"/>
  <c r="AB199" i="6"/>
  <c r="AC199" i="6" s="1"/>
  <c r="AB200" i="6"/>
  <c r="AC200" i="6" s="1"/>
  <c r="AB201" i="6"/>
  <c r="AC201" i="6" s="1"/>
  <c r="AB202" i="6"/>
  <c r="AC202" i="6" s="1"/>
  <c r="AB203" i="6"/>
  <c r="AC203" i="6" s="1"/>
  <c r="AB204" i="6"/>
  <c r="AC204" i="6" s="1"/>
  <c r="AB205" i="6"/>
  <c r="AC205" i="6" s="1"/>
  <c r="AB206" i="6"/>
  <c r="AC206" i="6" s="1"/>
  <c r="AB207" i="6"/>
  <c r="AC207" i="6" s="1"/>
  <c r="AB208" i="6"/>
  <c r="AC208" i="6" s="1"/>
  <c r="AB209" i="6"/>
  <c r="AC209" i="6" s="1"/>
  <c r="AB210" i="6"/>
  <c r="AC210" i="6" s="1"/>
  <c r="AB211" i="6"/>
  <c r="AC211" i="6" s="1"/>
  <c r="AB212" i="6"/>
  <c r="AC212" i="6" s="1"/>
  <c r="AB213" i="6"/>
  <c r="AC213" i="6" s="1"/>
  <c r="AB214" i="6"/>
  <c r="AC214" i="6" s="1"/>
  <c r="AB215" i="6"/>
  <c r="AC215" i="6" s="1"/>
  <c r="AB216" i="6"/>
  <c r="AC216" i="6" s="1"/>
  <c r="AB217" i="6"/>
  <c r="AC217" i="6" s="1"/>
  <c r="AB218" i="6"/>
  <c r="AC218" i="6" s="1"/>
  <c r="AB219" i="6"/>
  <c r="AC219" i="6" s="1"/>
  <c r="AB220" i="6"/>
  <c r="AC220" i="6" s="1"/>
  <c r="AB221" i="6"/>
  <c r="AC221" i="6" s="1"/>
  <c r="AB222" i="6"/>
  <c r="AC222" i="6" s="1"/>
  <c r="AB223" i="6"/>
  <c r="AC223" i="6" s="1"/>
  <c r="AB224" i="6"/>
  <c r="AC224" i="6" s="1"/>
  <c r="AB225" i="6"/>
  <c r="AC225" i="6" s="1"/>
  <c r="AB226" i="6"/>
  <c r="AC226" i="6" s="1"/>
  <c r="AB227" i="6"/>
  <c r="AC227" i="6" s="1"/>
  <c r="AB228" i="6"/>
  <c r="AC228" i="6" s="1"/>
  <c r="AB229" i="6"/>
  <c r="AC229" i="6" s="1"/>
  <c r="AB230" i="6"/>
  <c r="AC230" i="6" s="1"/>
  <c r="AB231" i="6"/>
  <c r="AC231" i="6" s="1"/>
  <c r="AB232" i="6"/>
  <c r="AC232" i="6" s="1"/>
  <c r="AB233" i="6"/>
  <c r="AC233" i="6" s="1"/>
  <c r="AB234" i="6"/>
  <c r="AC234" i="6" s="1"/>
  <c r="AB235" i="6"/>
  <c r="AC235" i="6" s="1"/>
  <c r="AB236" i="6"/>
  <c r="AC236" i="6" s="1"/>
  <c r="AB237" i="6"/>
  <c r="AC237" i="6" s="1"/>
  <c r="AB238" i="6"/>
  <c r="AC238" i="6" s="1"/>
  <c r="AB239" i="6"/>
  <c r="AC239" i="6" s="1"/>
  <c r="AB240" i="6"/>
  <c r="AC240" i="6" s="1"/>
  <c r="AB241" i="6"/>
  <c r="AC241" i="6" s="1"/>
  <c r="AB242" i="6"/>
  <c r="AC242" i="6" s="1"/>
  <c r="AB243" i="6"/>
  <c r="AC243" i="6" s="1"/>
  <c r="AB244" i="6"/>
  <c r="AC244" i="6" s="1"/>
  <c r="AB245" i="6"/>
  <c r="AC245" i="6" s="1"/>
  <c r="AB246" i="6"/>
  <c r="AC246" i="6" s="1"/>
  <c r="AB247" i="6"/>
  <c r="AC247" i="6" s="1"/>
  <c r="AB248" i="6"/>
  <c r="AC248" i="6" s="1"/>
  <c r="AB249" i="6"/>
  <c r="AC249" i="6" s="1"/>
  <c r="AB250" i="6"/>
  <c r="AC250" i="6" s="1"/>
  <c r="AB251" i="6"/>
  <c r="AC251" i="6" s="1"/>
  <c r="AB252" i="6"/>
  <c r="AC252" i="6" s="1"/>
  <c r="AB253" i="6"/>
  <c r="AC253" i="6" s="1"/>
  <c r="AB254" i="6"/>
  <c r="AC254" i="6" s="1"/>
  <c r="AB255" i="6"/>
  <c r="AC255" i="6" s="1"/>
  <c r="AB256" i="6"/>
  <c r="AC256" i="6" s="1"/>
  <c r="AB257" i="6"/>
  <c r="AC257" i="6" s="1"/>
  <c r="AB258" i="6"/>
  <c r="AC258" i="6" s="1"/>
  <c r="AB259" i="6"/>
  <c r="AC259" i="6" s="1"/>
  <c r="AB260" i="6"/>
  <c r="AC260" i="6" s="1"/>
  <c r="AB261" i="6"/>
  <c r="AC261" i="6" s="1"/>
  <c r="AB262" i="6"/>
  <c r="AC262" i="6" s="1"/>
  <c r="AB263" i="6"/>
  <c r="AC263" i="6" s="1"/>
  <c r="AB264" i="6"/>
  <c r="AC264" i="6" s="1"/>
  <c r="AB265" i="6"/>
  <c r="AC265" i="6" s="1"/>
  <c r="AB266" i="6"/>
  <c r="AC266" i="6" s="1"/>
  <c r="AB267" i="6"/>
  <c r="AC267" i="6" s="1"/>
  <c r="AB268" i="6"/>
  <c r="AC268" i="6" s="1"/>
  <c r="AB269" i="6"/>
  <c r="AC269" i="6" s="1"/>
  <c r="AB270" i="6"/>
  <c r="AC270" i="6" s="1"/>
  <c r="AB271" i="6"/>
  <c r="AC271" i="6" s="1"/>
  <c r="AB272" i="6"/>
  <c r="AC272" i="6" s="1"/>
  <c r="AB273" i="6"/>
  <c r="AC273" i="6" s="1"/>
  <c r="AB274" i="6"/>
  <c r="AC274" i="6" s="1"/>
  <c r="AB275" i="6"/>
  <c r="AC275" i="6" s="1"/>
  <c r="AB276" i="6"/>
  <c r="AC276" i="6" s="1"/>
  <c r="AB277" i="6"/>
  <c r="AC277" i="6" s="1"/>
  <c r="AB278" i="6"/>
  <c r="AC278" i="6" s="1"/>
  <c r="AB279" i="6"/>
  <c r="AC279" i="6" s="1"/>
  <c r="AB280" i="6"/>
  <c r="AC280" i="6" s="1"/>
  <c r="AB281" i="6"/>
  <c r="AC281" i="6" s="1"/>
  <c r="AB282" i="6"/>
  <c r="AC282" i="6" s="1"/>
  <c r="AB283" i="6"/>
  <c r="AC283" i="6" s="1"/>
  <c r="AB284" i="6"/>
  <c r="AC284" i="6" s="1"/>
  <c r="AB285" i="6"/>
  <c r="AC285" i="6" s="1"/>
  <c r="AB286" i="6"/>
  <c r="AC286" i="6" s="1"/>
  <c r="AB287" i="6"/>
  <c r="AC287" i="6" s="1"/>
  <c r="AB288" i="6"/>
  <c r="AC288" i="6" s="1"/>
  <c r="AB289" i="6"/>
  <c r="AC289" i="6" s="1"/>
  <c r="AB290" i="6"/>
  <c r="AC290" i="6" s="1"/>
  <c r="AB291" i="6"/>
  <c r="AC291" i="6" s="1"/>
  <c r="AB292" i="6"/>
  <c r="AC292" i="6" s="1"/>
  <c r="AB293" i="6"/>
  <c r="AC293" i="6" s="1"/>
  <c r="AB294" i="6"/>
  <c r="AC294" i="6" s="1"/>
  <c r="AB295" i="6"/>
  <c r="AC295" i="6" s="1"/>
  <c r="AB296" i="6"/>
  <c r="AC296" i="6" s="1"/>
  <c r="AB297" i="6"/>
  <c r="AC297" i="6" s="1"/>
  <c r="AB298" i="6"/>
  <c r="AC298" i="6" s="1"/>
  <c r="AB299" i="6"/>
  <c r="AC299" i="6" s="1"/>
  <c r="AB300" i="6"/>
  <c r="AC300" i="6" s="1"/>
  <c r="AB301" i="6"/>
  <c r="AC301" i="6" s="1"/>
  <c r="AB302" i="6"/>
  <c r="AC302" i="6" s="1"/>
  <c r="AB303" i="6"/>
  <c r="AC303" i="6" s="1"/>
  <c r="AB304" i="6"/>
  <c r="AC304" i="6" s="1"/>
  <c r="AB305" i="6"/>
  <c r="AC305" i="6" s="1"/>
  <c r="AB306" i="6"/>
  <c r="AC306" i="6" s="1"/>
  <c r="AB307" i="6"/>
  <c r="AC307" i="6" s="1"/>
  <c r="AB308" i="6"/>
  <c r="AC308" i="6" s="1"/>
  <c r="AB309" i="6"/>
  <c r="AC309" i="6" s="1"/>
  <c r="AB310" i="6"/>
  <c r="AC310" i="6" s="1"/>
  <c r="AB311" i="6"/>
  <c r="AC311" i="6" s="1"/>
  <c r="AB312" i="6"/>
  <c r="AC312" i="6" s="1"/>
  <c r="AB313" i="6"/>
  <c r="AC313" i="6" s="1"/>
  <c r="AB314" i="6"/>
  <c r="AC314" i="6" s="1"/>
  <c r="AB315" i="6"/>
  <c r="AC315" i="6" s="1"/>
  <c r="AB316" i="6"/>
  <c r="AC316" i="6" s="1"/>
  <c r="AB317" i="6"/>
  <c r="AC317" i="6" s="1"/>
  <c r="AB318" i="6"/>
  <c r="AC318" i="6" s="1"/>
  <c r="AB319" i="6"/>
  <c r="AC319" i="6" s="1"/>
  <c r="AB320" i="6"/>
  <c r="AC320" i="6" s="1"/>
  <c r="AB321" i="6"/>
  <c r="AC321" i="6" s="1"/>
  <c r="AB322" i="6"/>
  <c r="AC322" i="6" s="1"/>
  <c r="AB323" i="6"/>
  <c r="AC323" i="6" s="1"/>
  <c r="AB324" i="6"/>
  <c r="AC324" i="6" s="1"/>
  <c r="AB325" i="6"/>
  <c r="AC325" i="6" s="1"/>
  <c r="AB326" i="6"/>
  <c r="AC326" i="6" s="1"/>
  <c r="AB327" i="6"/>
  <c r="AC327" i="6" s="1"/>
  <c r="AB328" i="6"/>
  <c r="AC328" i="6" s="1"/>
  <c r="AB329" i="6"/>
  <c r="AC329" i="6" s="1"/>
  <c r="AB330" i="6"/>
  <c r="AC330" i="6" s="1"/>
  <c r="AB331" i="6"/>
  <c r="AC331" i="6" s="1"/>
  <c r="AB332" i="6"/>
  <c r="AC332" i="6" s="1"/>
  <c r="AB333" i="6"/>
  <c r="AC333" i="6" s="1"/>
  <c r="AB334" i="6"/>
  <c r="AC334" i="6" s="1"/>
  <c r="AB335" i="6"/>
  <c r="AC335" i="6" s="1"/>
  <c r="AB336" i="6"/>
  <c r="AC336" i="6" s="1"/>
  <c r="AB337" i="6"/>
  <c r="AC337" i="6" s="1"/>
  <c r="AB338" i="6"/>
  <c r="AC338" i="6" s="1"/>
  <c r="AB339" i="6"/>
  <c r="AC339" i="6" s="1"/>
  <c r="AB340" i="6"/>
  <c r="AC340" i="6" s="1"/>
  <c r="AB341" i="6"/>
  <c r="AC341" i="6" s="1"/>
  <c r="AB342" i="6"/>
  <c r="AC342" i="6" s="1"/>
  <c r="AB343" i="6"/>
  <c r="AC343" i="6" s="1"/>
  <c r="AB344" i="6"/>
  <c r="AC344" i="6" s="1"/>
  <c r="AB345" i="6"/>
  <c r="AC345" i="6" s="1"/>
  <c r="AB346" i="6"/>
  <c r="AC346" i="6" s="1"/>
  <c r="AB347" i="6"/>
  <c r="AC347" i="6" s="1"/>
  <c r="AB348" i="6"/>
  <c r="AC348" i="6" s="1"/>
  <c r="AB349" i="6"/>
  <c r="AC349" i="6" s="1"/>
  <c r="AB350" i="6"/>
  <c r="AC350" i="6" s="1"/>
  <c r="AB351" i="6"/>
  <c r="AC351" i="6" s="1"/>
  <c r="AB352" i="6"/>
  <c r="AC352" i="6" s="1"/>
  <c r="AB353" i="6"/>
  <c r="AC353" i="6" s="1"/>
  <c r="AB354" i="6"/>
  <c r="AC354" i="6" s="1"/>
  <c r="AB355" i="6"/>
  <c r="AC355" i="6" s="1"/>
  <c r="AB356" i="6"/>
  <c r="AC356" i="6" s="1"/>
  <c r="AB357" i="6"/>
  <c r="AC357" i="6" s="1"/>
  <c r="AB358" i="6"/>
  <c r="AC358" i="6" s="1"/>
  <c r="AB359" i="6"/>
  <c r="AC359" i="6" s="1"/>
  <c r="AB360" i="6"/>
  <c r="AC360" i="6" s="1"/>
  <c r="AB361" i="6"/>
  <c r="AC361" i="6" s="1"/>
  <c r="AB362" i="6"/>
  <c r="AC362" i="6" s="1"/>
  <c r="AB363" i="6"/>
  <c r="AC363" i="6" s="1"/>
  <c r="AB364" i="6"/>
  <c r="AC364" i="6" s="1"/>
  <c r="AB365" i="6"/>
  <c r="AC365" i="6" s="1"/>
  <c r="AB366" i="6"/>
  <c r="AC366" i="6" s="1"/>
  <c r="AB367" i="6"/>
  <c r="AC367" i="6" s="1"/>
  <c r="AB368" i="6"/>
  <c r="AC368" i="6" s="1"/>
  <c r="AB369" i="6"/>
  <c r="AC369" i="6" s="1"/>
  <c r="AB370" i="6"/>
  <c r="AC370" i="6" s="1"/>
  <c r="AB371" i="6"/>
  <c r="AC371" i="6" s="1"/>
  <c r="AB372" i="6"/>
  <c r="AC372" i="6" s="1"/>
  <c r="AB373" i="6"/>
  <c r="AC373" i="6" s="1"/>
  <c r="AB374" i="6"/>
  <c r="AC374" i="6" s="1"/>
  <c r="AB375" i="6"/>
  <c r="AC375" i="6" s="1"/>
  <c r="AB376" i="6"/>
  <c r="AC376" i="6" s="1"/>
  <c r="AB377" i="6"/>
  <c r="AC377" i="6" s="1"/>
  <c r="AB378" i="6"/>
  <c r="AC378" i="6" s="1"/>
  <c r="AB379" i="6"/>
  <c r="AC379" i="6" s="1"/>
  <c r="AB380" i="6"/>
  <c r="AC380" i="6" s="1"/>
  <c r="AB381" i="6"/>
  <c r="AC381" i="6" s="1"/>
  <c r="AB382" i="6"/>
  <c r="AC382" i="6" s="1"/>
  <c r="AB383" i="6"/>
  <c r="AC383" i="6" s="1"/>
  <c r="AB384" i="6"/>
  <c r="AC384" i="6" s="1"/>
  <c r="AB385" i="6"/>
  <c r="AC385" i="6" s="1"/>
  <c r="AB386" i="6"/>
  <c r="AC386" i="6" s="1"/>
  <c r="AB387" i="6"/>
  <c r="AC387" i="6" s="1"/>
  <c r="AB388" i="6"/>
  <c r="AC388" i="6" s="1"/>
  <c r="AB389" i="6"/>
  <c r="AC389" i="6" s="1"/>
  <c r="AB390" i="6"/>
  <c r="AC390" i="6" s="1"/>
  <c r="AB391" i="6"/>
  <c r="AC391" i="6" s="1"/>
  <c r="AB392" i="6"/>
  <c r="AC392" i="6" s="1"/>
  <c r="AB393" i="6"/>
  <c r="AC393" i="6" s="1"/>
  <c r="AB394" i="6"/>
  <c r="AC394" i="6" s="1"/>
  <c r="AB395" i="6"/>
  <c r="AC395" i="6" s="1"/>
  <c r="AB396" i="6"/>
  <c r="AC396" i="6" s="1"/>
  <c r="AB397" i="6"/>
  <c r="AC397" i="6" s="1"/>
  <c r="AB398" i="6"/>
  <c r="AC398" i="6" s="1"/>
  <c r="AB399" i="6"/>
  <c r="AC399" i="6" s="1"/>
  <c r="AB400" i="6"/>
  <c r="AC400" i="6" s="1"/>
  <c r="AB401" i="6"/>
  <c r="AC401" i="6" s="1"/>
  <c r="AB402" i="6"/>
  <c r="AC402" i="6" s="1"/>
  <c r="AB403" i="6"/>
  <c r="AC403" i="6" s="1"/>
  <c r="AB404" i="6"/>
  <c r="AC404" i="6" s="1"/>
  <c r="AB405" i="6"/>
  <c r="AC405" i="6" s="1"/>
  <c r="AB406" i="6"/>
  <c r="AC406" i="6" s="1"/>
  <c r="AB407" i="6"/>
  <c r="AC407" i="6" s="1"/>
  <c r="AB408" i="6"/>
  <c r="AC408" i="6" s="1"/>
  <c r="AB409" i="6"/>
  <c r="AC409" i="6" s="1"/>
  <c r="AB410" i="6"/>
  <c r="AC410" i="6" s="1"/>
  <c r="AB411" i="6"/>
  <c r="AC411" i="6" s="1"/>
  <c r="AB412" i="6"/>
  <c r="AC412" i="6" s="1"/>
  <c r="AB413" i="6"/>
  <c r="AC413" i="6" s="1"/>
  <c r="AB414" i="6"/>
  <c r="AC414" i="6" s="1"/>
  <c r="AB415" i="6"/>
  <c r="AC415" i="6" s="1"/>
  <c r="AB416" i="6"/>
  <c r="AC416" i="6" s="1"/>
  <c r="AB417" i="6"/>
  <c r="AC417" i="6" s="1"/>
  <c r="AB418" i="6"/>
  <c r="AC418" i="6" s="1"/>
  <c r="AB419" i="6"/>
  <c r="AC419" i="6" s="1"/>
  <c r="AB420" i="6"/>
  <c r="AC420" i="6" s="1"/>
  <c r="AB421" i="6"/>
  <c r="AC421" i="6" s="1"/>
  <c r="AB422" i="6"/>
  <c r="AC422" i="6" s="1"/>
  <c r="AB423" i="6"/>
  <c r="AC423" i="6" s="1"/>
  <c r="AB424" i="6"/>
  <c r="AC424" i="6" s="1"/>
  <c r="AB425" i="6"/>
  <c r="AC425" i="6" s="1"/>
  <c r="AB426" i="6"/>
  <c r="AC426" i="6" s="1"/>
  <c r="AB427" i="6"/>
  <c r="AC427" i="6" s="1"/>
  <c r="AB428" i="6"/>
  <c r="AC428" i="6" s="1"/>
  <c r="AB429" i="6"/>
  <c r="AC429" i="6" s="1"/>
  <c r="AB430" i="6"/>
  <c r="AC430" i="6" s="1"/>
  <c r="AB431" i="6"/>
  <c r="AC431" i="6" s="1"/>
  <c r="AB432" i="6"/>
  <c r="AC432" i="6" s="1"/>
  <c r="AB433" i="6"/>
  <c r="AC433" i="6" s="1"/>
  <c r="AB434" i="6"/>
  <c r="AC434" i="6" s="1"/>
  <c r="AB435" i="6"/>
  <c r="AC435" i="6" s="1"/>
  <c r="AB436" i="6"/>
  <c r="AC436" i="6" s="1"/>
  <c r="AB437" i="6"/>
  <c r="AC437" i="6" s="1"/>
  <c r="AB438" i="6"/>
  <c r="AC438" i="6" s="1"/>
  <c r="AB439" i="6"/>
  <c r="AC439" i="6" s="1"/>
  <c r="AB440" i="6"/>
  <c r="AC440" i="6" s="1"/>
  <c r="AB441" i="6"/>
  <c r="AC441" i="6" s="1"/>
  <c r="AB442" i="6"/>
  <c r="AC442" i="6" s="1"/>
  <c r="AB443" i="6"/>
  <c r="AC443" i="6" s="1"/>
  <c r="AB444" i="6"/>
  <c r="AC444" i="6" s="1"/>
  <c r="AB445" i="6"/>
  <c r="AC445" i="6" s="1"/>
  <c r="AB446" i="6"/>
  <c r="AC446" i="6" s="1"/>
  <c r="AB447" i="6"/>
  <c r="AC447" i="6" s="1"/>
  <c r="AB448" i="6"/>
  <c r="AC448" i="6" s="1"/>
  <c r="AB449" i="6"/>
  <c r="AC449" i="6" s="1"/>
  <c r="AB450" i="6"/>
  <c r="AC450" i="6" s="1"/>
  <c r="AB451" i="6"/>
  <c r="AC451" i="6" s="1"/>
  <c r="AB452" i="6"/>
  <c r="AC452" i="6" s="1"/>
  <c r="AB453" i="6"/>
  <c r="AC453" i="6" s="1"/>
  <c r="AB454" i="6"/>
  <c r="AC454" i="6" s="1"/>
  <c r="AB455" i="6"/>
  <c r="AC455" i="6" s="1"/>
  <c r="AB456" i="6"/>
  <c r="AC456" i="6" s="1"/>
  <c r="AB457" i="6"/>
  <c r="AC457" i="6" s="1"/>
  <c r="AB458" i="6"/>
  <c r="AC458" i="6" s="1"/>
  <c r="AB459" i="6"/>
  <c r="AC459" i="6" s="1"/>
  <c r="AB460" i="6"/>
  <c r="AC460" i="6" s="1"/>
  <c r="AB461" i="6"/>
  <c r="AC461" i="6" s="1"/>
  <c r="AB462" i="6"/>
  <c r="AC462" i="6" s="1"/>
  <c r="AB463" i="6"/>
  <c r="AC463" i="6" s="1"/>
  <c r="AB464" i="6"/>
  <c r="AC464" i="6" s="1"/>
  <c r="AB465" i="6"/>
  <c r="AC465" i="6" s="1"/>
  <c r="AB466" i="6"/>
  <c r="AC466" i="6" s="1"/>
  <c r="AB467" i="6"/>
  <c r="AC467" i="6" s="1"/>
  <c r="AB468" i="6"/>
  <c r="AC468" i="6" s="1"/>
  <c r="AB469" i="6"/>
  <c r="AC469" i="6" s="1"/>
  <c r="AB470" i="6"/>
  <c r="AC470" i="6" s="1"/>
  <c r="AB471" i="6"/>
  <c r="AC471" i="6" s="1"/>
  <c r="AB472" i="6"/>
  <c r="AC472" i="6" s="1"/>
  <c r="AB473" i="6"/>
  <c r="AC473" i="6" s="1"/>
  <c r="AB474" i="6"/>
  <c r="AC474" i="6" s="1"/>
  <c r="AB475" i="6"/>
  <c r="AC475" i="6" s="1"/>
  <c r="AB476" i="6"/>
  <c r="AC476" i="6" s="1"/>
  <c r="AB477" i="6"/>
  <c r="AC477" i="6" s="1"/>
  <c r="AB478" i="6"/>
  <c r="AC478" i="6" s="1"/>
  <c r="AB479" i="6"/>
  <c r="AC479" i="6" s="1"/>
  <c r="AB480" i="6"/>
  <c r="AC480" i="6" s="1"/>
  <c r="AB481" i="6"/>
  <c r="AC481" i="6" s="1"/>
  <c r="AB482" i="6"/>
  <c r="AC482" i="6" s="1"/>
  <c r="AB483" i="6"/>
  <c r="AC483" i="6" s="1"/>
  <c r="AB484" i="6"/>
  <c r="AC484" i="6" s="1"/>
  <c r="AB485" i="6"/>
  <c r="AC485" i="6" s="1"/>
  <c r="AB486" i="6"/>
  <c r="AC486" i="6" s="1"/>
  <c r="AB487" i="6"/>
  <c r="AC487" i="6" s="1"/>
  <c r="AB488" i="6"/>
  <c r="AC488" i="6" s="1"/>
  <c r="AB489" i="6"/>
  <c r="AC489" i="6" s="1"/>
  <c r="AB490" i="6"/>
  <c r="AC490" i="6" s="1"/>
  <c r="AB491" i="6"/>
  <c r="AC491" i="6" s="1"/>
  <c r="AB492" i="6"/>
  <c r="AC492" i="6" s="1"/>
  <c r="AB493" i="6"/>
  <c r="AC493" i="6" s="1"/>
  <c r="AB494" i="6"/>
  <c r="AC494" i="6" s="1"/>
  <c r="AB495" i="6"/>
  <c r="AC495" i="6" s="1"/>
  <c r="AB496" i="6"/>
  <c r="AC496" i="6" s="1"/>
  <c r="AB497" i="6"/>
  <c r="AC497" i="6" s="1"/>
  <c r="AB498" i="6"/>
  <c r="AC498" i="6" s="1"/>
  <c r="AB499" i="6"/>
  <c r="AC499" i="6" s="1"/>
  <c r="AB500" i="6"/>
  <c r="AC500" i="6" s="1"/>
  <c r="AB501" i="6"/>
  <c r="AC501" i="6" s="1"/>
  <c r="AB502" i="6"/>
  <c r="AC502" i="6" s="1"/>
  <c r="AB503" i="6"/>
  <c r="AC503" i="6" s="1"/>
  <c r="AB504" i="6"/>
  <c r="AC504" i="6" s="1"/>
  <c r="AB505" i="6"/>
  <c r="AC505" i="6" s="1"/>
  <c r="AB506" i="6"/>
  <c r="AC506" i="6" s="1"/>
  <c r="AB507" i="6"/>
  <c r="AC507" i="6" s="1"/>
  <c r="AB508" i="6"/>
  <c r="AC508" i="6" s="1"/>
  <c r="AB509" i="6"/>
  <c r="AC509" i="6" s="1"/>
  <c r="AB510" i="6"/>
  <c r="AC510" i="6" s="1"/>
  <c r="AB511" i="6"/>
  <c r="AC511" i="6" s="1"/>
  <c r="AB512" i="6"/>
  <c r="AC512" i="6" s="1"/>
  <c r="AB513" i="6"/>
  <c r="AC513" i="6" s="1"/>
  <c r="AB514" i="6"/>
  <c r="AC514" i="6" s="1"/>
  <c r="AB515" i="6"/>
  <c r="AC515" i="6" s="1"/>
  <c r="AB516" i="6"/>
  <c r="AC516" i="6" s="1"/>
  <c r="AB517" i="6"/>
  <c r="AC517" i="6" s="1"/>
  <c r="AB518" i="6"/>
  <c r="AC518" i="6" s="1"/>
  <c r="AB519" i="6"/>
  <c r="AC519" i="6" s="1"/>
  <c r="AB520" i="6"/>
  <c r="AC520" i="6" s="1"/>
  <c r="AB521" i="6"/>
  <c r="AC521" i="6" s="1"/>
  <c r="AB522" i="6"/>
  <c r="AC522" i="6" s="1"/>
  <c r="AB523" i="6"/>
  <c r="AC523" i="6" s="1"/>
  <c r="AB524" i="6"/>
  <c r="AC524" i="6" s="1"/>
  <c r="AB525" i="6"/>
  <c r="AC525" i="6" s="1"/>
  <c r="AB526" i="6"/>
  <c r="AC526" i="6" s="1"/>
  <c r="AB527" i="6"/>
  <c r="AC527" i="6" s="1"/>
  <c r="AB528" i="6"/>
  <c r="AC528" i="6" s="1"/>
  <c r="AB529" i="6"/>
  <c r="AC529" i="6" s="1"/>
  <c r="AB530" i="6"/>
  <c r="AC530" i="6" s="1"/>
  <c r="AB531" i="6"/>
  <c r="AC531" i="6" s="1"/>
  <c r="AB532" i="6"/>
  <c r="AC532" i="6" s="1"/>
  <c r="AB533" i="6"/>
  <c r="AC533" i="6" s="1"/>
  <c r="AB534" i="6"/>
  <c r="AC534" i="6" s="1"/>
  <c r="AB535" i="6"/>
  <c r="AC535" i="6" s="1"/>
  <c r="AB536" i="6"/>
  <c r="AC536" i="6" s="1"/>
  <c r="AB537" i="6"/>
  <c r="AC537" i="6" s="1"/>
  <c r="AB538" i="6"/>
  <c r="AC538" i="6" s="1"/>
  <c r="AB539" i="6"/>
  <c r="AC539" i="6" s="1"/>
  <c r="AB540" i="6"/>
  <c r="AC540" i="6" s="1"/>
  <c r="AB541" i="6"/>
  <c r="AC541" i="6" s="1"/>
  <c r="AB542" i="6"/>
  <c r="AC542" i="6" s="1"/>
  <c r="AB543" i="6"/>
  <c r="AC543" i="6" s="1"/>
  <c r="AB544" i="6"/>
  <c r="AC544" i="6" s="1"/>
  <c r="AB545" i="6"/>
  <c r="AC545" i="6" s="1"/>
  <c r="AB546" i="6"/>
  <c r="AC546" i="6" s="1"/>
  <c r="AB547" i="6"/>
  <c r="AC547" i="6" s="1"/>
  <c r="AB548" i="6"/>
  <c r="AC548" i="6" s="1"/>
  <c r="AB549" i="6"/>
  <c r="AC549" i="6" s="1"/>
  <c r="AB550" i="6"/>
  <c r="AC550" i="6" s="1"/>
  <c r="AB551" i="6"/>
  <c r="AC551" i="6" s="1"/>
  <c r="AB552" i="6"/>
  <c r="AC552" i="6" s="1"/>
  <c r="AB553" i="6"/>
  <c r="AC553" i="6" s="1"/>
  <c r="AB554" i="6"/>
  <c r="AC554" i="6" s="1"/>
  <c r="AB555" i="6"/>
  <c r="AC555" i="6" s="1"/>
  <c r="AB556" i="6"/>
  <c r="AC556" i="6" s="1"/>
  <c r="AB557" i="6"/>
  <c r="AC557" i="6" s="1"/>
  <c r="AB558" i="6"/>
  <c r="AC558" i="6" s="1"/>
  <c r="AB559" i="6"/>
  <c r="AC559" i="6" s="1"/>
  <c r="AB560" i="6"/>
  <c r="AC560" i="6" s="1"/>
  <c r="AB561" i="6"/>
  <c r="AC561" i="6" s="1"/>
  <c r="AB562" i="6"/>
  <c r="AC562" i="6" s="1"/>
  <c r="AB563" i="6"/>
  <c r="AC563" i="6" s="1"/>
  <c r="AB564" i="6"/>
  <c r="AC564" i="6" s="1"/>
  <c r="AB565" i="6"/>
  <c r="AC565" i="6" s="1"/>
  <c r="AB566" i="6"/>
  <c r="AC566" i="6" s="1"/>
  <c r="AB567" i="6"/>
  <c r="AC567" i="6" s="1"/>
  <c r="AB568" i="6"/>
  <c r="AC568" i="6" s="1"/>
  <c r="AB569" i="6"/>
  <c r="AC569" i="6" s="1"/>
  <c r="AB570" i="6"/>
  <c r="AC570" i="6" s="1"/>
  <c r="AB571" i="6"/>
  <c r="AC571" i="6" s="1"/>
  <c r="AB572" i="6"/>
  <c r="AC572" i="6" s="1"/>
  <c r="AB573" i="6"/>
  <c r="AC573" i="6" s="1"/>
  <c r="AB574" i="6"/>
  <c r="AC574" i="6" s="1"/>
  <c r="AB575" i="6"/>
  <c r="AC575" i="6" s="1"/>
  <c r="AB576" i="6"/>
  <c r="AC576" i="6" s="1"/>
  <c r="AB577" i="6"/>
  <c r="AC577" i="6" s="1"/>
  <c r="AB578" i="6"/>
  <c r="AC578" i="6" s="1"/>
  <c r="AB579" i="6"/>
  <c r="AC579" i="6" s="1"/>
  <c r="AB580" i="6"/>
  <c r="AC580" i="6" s="1"/>
  <c r="AB581" i="6"/>
  <c r="AC581" i="6" s="1"/>
  <c r="AB582" i="6"/>
  <c r="AC582" i="6" s="1"/>
  <c r="AB583" i="6"/>
  <c r="AC583" i="6" s="1"/>
  <c r="AB584" i="6"/>
  <c r="AC584" i="6" s="1"/>
  <c r="AB585" i="6"/>
  <c r="AC585" i="6" s="1"/>
  <c r="AB586" i="6"/>
  <c r="AC586" i="6" s="1"/>
  <c r="AB587" i="6"/>
  <c r="AC587" i="6" s="1"/>
  <c r="AB588" i="6"/>
  <c r="AC588" i="6" s="1"/>
  <c r="AB589" i="6"/>
  <c r="AC589" i="6" s="1"/>
  <c r="AB590" i="6"/>
  <c r="AC590" i="6" s="1"/>
  <c r="AB591" i="6"/>
  <c r="AC591" i="6" s="1"/>
  <c r="AB592" i="6"/>
  <c r="AC592" i="6" s="1"/>
  <c r="AB593" i="6"/>
  <c r="AC593" i="6" s="1"/>
  <c r="AB594" i="6"/>
  <c r="AC594" i="6" s="1"/>
  <c r="AB595" i="6"/>
  <c r="AC595" i="6" s="1"/>
  <c r="AB596" i="6"/>
  <c r="AC596" i="6" s="1"/>
  <c r="AB597" i="6"/>
  <c r="AC597" i="6" s="1"/>
  <c r="AB598" i="6"/>
  <c r="AC598" i="6" s="1"/>
  <c r="AB599" i="6"/>
  <c r="AC599" i="6" s="1"/>
  <c r="AB600" i="6"/>
  <c r="AC600" i="6" s="1"/>
  <c r="AB601" i="6"/>
  <c r="AC601" i="6" s="1"/>
  <c r="AB602" i="6"/>
  <c r="AC602" i="6" s="1"/>
  <c r="AB603" i="6"/>
  <c r="AC603" i="6" s="1"/>
  <c r="AB604" i="6"/>
  <c r="AC604" i="6" s="1"/>
  <c r="AB605" i="6"/>
  <c r="AC605" i="6" s="1"/>
  <c r="AB606" i="6"/>
  <c r="AC606" i="6" s="1"/>
  <c r="AB607" i="6"/>
  <c r="AC607" i="6" s="1"/>
  <c r="AB608" i="6"/>
  <c r="AC608" i="6" s="1"/>
  <c r="AB609" i="6"/>
  <c r="AC609" i="6" s="1"/>
  <c r="AB610" i="6"/>
  <c r="AC610" i="6" s="1"/>
  <c r="AB611" i="6"/>
  <c r="AC611" i="6" s="1"/>
  <c r="AB612" i="6"/>
  <c r="AC612" i="6" s="1"/>
  <c r="AB613" i="6"/>
  <c r="AC613" i="6" s="1"/>
  <c r="AB614" i="6"/>
  <c r="AC614" i="6" s="1"/>
  <c r="AB615" i="6"/>
  <c r="AC615" i="6" s="1"/>
  <c r="AB616" i="6"/>
  <c r="AC616" i="6" s="1"/>
  <c r="AB617" i="6"/>
  <c r="AC617" i="6" s="1"/>
  <c r="AB618" i="6"/>
  <c r="AC618" i="6" s="1"/>
  <c r="AB619" i="6"/>
  <c r="AC619" i="6" s="1"/>
  <c r="AB620" i="6"/>
  <c r="AC620" i="6" s="1"/>
  <c r="AB621" i="6"/>
  <c r="AC621" i="6" s="1"/>
  <c r="AB622" i="6"/>
  <c r="AC622" i="6" s="1"/>
  <c r="AB623" i="6"/>
  <c r="AC623" i="6" s="1"/>
  <c r="AB624" i="6"/>
  <c r="AC624" i="6" s="1"/>
  <c r="AB625" i="6"/>
  <c r="AC625" i="6" s="1"/>
  <c r="AB626" i="6"/>
  <c r="AC626" i="6" s="1"/>
  <c r="AB627" i="6"/>
  <c r="AC627" i="6" s="1"/>
  <c r="AB628" i="6"/>
  <c r="AC628" i="6" s="1"/>
  <c r="AB629" i="6"/>
  <c r="AC629" i="6" s="1"/>
  <c r="AB630" i="6"/>
  <c r="AC630" i="6" s="1"/>
  <c r="AB631" i="6"/>
  <c r="AC631" i="6" s="1"/>
  <c r="AB632" i="6"/>
  <c r="AC632" i="6" s="1"/>
  <c r="AB633" i="6"/>
  <c r="AC633" i="6" s="1"/>
  <c r="AB634" i="6"/>
  <c r="AC634" i="6" s="1"/>
  <c r="AB635" i="6"/>
  <c r="AC635" i="6" s="1"/>
  <c r="AB636" i="6"/>
  <c r="AC636" i="6" s="1"/>
  <c r="AB637" i="6"/>
  <c r="AC637" i="6" s="1"/>
  <c r="AB638" i="6"/>
  <c r="AC638" i="6" s="1"/>
  <c r="AB639" i="6"/>
  <c r="AC639" i="6" s="1"/>
  <c r="AB640" i="6"/>
  <c r="AC640" i="6" s="1"/>
  <c r="AB641" i="6"/>
  <c r="AC641" i="6" s="1"/>
  <c r="AB642" i="6"/>
  <c r="AC642" i="6" s="1"/>
  <c r="AB643" i="6"/>
  <c r="AC643" i="6" s="1"/>
  <c r="AB644" i="6"/>
  <c r="AC644" i="6" s="1"/>
  <c r="AB645" i="6"/>
  <c r="AC645" i="6" s="1"/>
  <c r="AB646" i="6"/>
  <c r="AC646" i="6" s="1"/>
  <c r="AB647" i="6"/>
  <c r="AC647" i="6" s="1"/>
  <c r="AB648" i="6"/>
  <c r="AC648" i="6" s="1"/>
  <c r="AB649" i="6"/>
  <c r="AC649" i="6" s="1"/>
  <c r="AB650" i="6"/>
  <c r="AC650" i="6" s="1"/>
  <c r="AB651" i="6"/>
  <c r="AC651" i="6" s="1"/>
  <c r="AB652" i="6"/>
  <c r="AC652" i="6" s="1"/>
  <c r="AB653" i="6"/>
  <c r="AC653" i="6" s="1"/>
  <c r="AB654" i="6"/>
  <c r="AC654" i="6" s="1"/>
  <c r="AB655" i="6"/>
  <c r="AC655" i="6" s="1"/>
  <c r="AB656" i="6"/>
  <c r="AC656" i="6" s="1"/>
  <c r="AB657" i="6"/>
  <c r="AC657" i="6" s="1"/>
  <c r="AB658" i="6"/>
  <c r="AC658" i="6" s="1"/>
  <c r="AB659" i="6"/>
  <c r="AC659" i="6" s="1"/>
  <c r="AB660" i="6"/>
  <c r="AC660" i="6" s="1"/>
  <c r="AB661" i="6"/>
  <c r="AC661" i="6" s="1"/>
  <c r="AB662" i="6"/>
  <c r="AC662" i="6" s="1"/>
  <c r="AB663" i="6"/>
  <c r="AC663" i="6" s="1"/>
  <c r="AB664" i="6"/>
  <c r="AC664" i="6" s="1"/>
  <c r="AB665" i="6"/>
  <c r="AC665" i="6" s="1"/>
  <c r="AB666" i="6"/>
  <c r="AC666" i="6" s="1"/>
  <c r="AB667" i="6"/>
  <c r="AC667" i="6" s="1"/>
  <c r="AB668" i="6"/>
  <c r="AC668" i="6" s="1"/>
  <c r="AB669" i="6"/>
  <c r="AC669" i="6" s="1"/>
  <c r="AB670" i="6"/>
  <c r="AC670" i="6" s="1"/>
  <c r="AB671" i="6"/>
  <c r="AC671" i="6" s="1"/>
  <c r="AB672" i="6"/>
  <c r="AC672" i="6" s="1"/>
  <c r="AB673" i="6"/>
  <c r="AC673" i="6" s="1"/>
  <c r="AB674" i="6"/>
  <c r="AC674" i="6" s="1"/>
  <c r="AB675" i="6"/>
  <c r="AC675" i="6" s="1"/>
  <c r="AB676" i="6"/>
  <c r="AC676" i="6" s="1"/>
  <c r="AB677" i="6"/>
  <c r="AC677" i="6" s="1"/>
  <c r="AB678" i="6"/>
  <c r="AC678" i="6" s="1"/>
  <c r="AB679" i="6"/>
  <c r="AC679" i="6" s="1"/>
  <c r="AB680" i="6"/>
  <c r="AC680" i="6" s="1"/>
  <c r="AB681" i="6"/>
  <c r="AC681" i="6" s="1"/>
  <c r="AB682" i="6"/>
  <c r="AC682" i="6" s="1"/>
  <c r="AB683" i="6"/>
  <c r="AC683" i="6" s="1"/>
  <c r="AB684" i="6"/>
  <c r="AC684" i="6" s="1"/>
  <c r="AB685" i="6"/>
  <c r="AC685" i="6" s="1"/>
  <c r="AB686" i="6"/>
  <c r="AC686" i="6" s="1"/>
  <c r="AB687" i="6"/>
  <c r="AC687" i="6" s="1"/>
  <c r="AB688" i="6"/>
  <c r="AC688" i="6" s="1"/>
  <c r="AB689" i="6"/>
  <c r="AC689" i="6" s="1"/>
  <c r="AB690" i="6"/>
  <c r="AC690" i="6" s="1"/>
  <c r="AB691" i="6"/>
  <c r="AC691" i="6" s="1"/>
  <c r="AB692" i="6"/>
  <c r="AC692" i="6" s="1"/>
  <c r="AB693" i="6"/>
  <c r="AC693" i="6" s="1"/>
  <c r="AB694" i="6"/>
  <c r="AC694" i="6" s="1"/>
  <c r="AB695" i="6"/>
  <c r="AC695" i="6" s="1"/>
  <c r="AB696" i="6"/>
  <c r="AC696" i="6" s="1"/>
  <c r="AB697" i="6"/>
  <c r="AC697" i="6" s="1"/>
  <c r="AB698" i="6"/>
  <c r="AC698" i="6" s="1"/>
  <c r="AB699" i="6"/>
  <c r="AC699" i="6" s="1"/>
  <c r="AB700" i="6"/>
  <c r="AC700" i="6" s="1"/>
  <c r="AB701" i="6"/>
  <c r="AC701" i="6" s="1"/>
  <c r="AB702" i="6"/>
  <c r="AC702" i="6" s="1"/>
  <c r="AB703" i="6"/>
  <c r="AC703" i="6" s="1"/>
  <c r="AB704" i="6"/>
  <c r="AC704" i="6" s="1"/>
  <c r="AB705" i="6"/>
  <c r="AC705" i="6" s="1"/>
  <c r="AB706" i="6"/>
  <c r="AC706" i="6" s="1"/>
  <c r="AB707" i="6"/>
  <c r="AC707" i="6" s="1"/>
  <c r="AB708" i="6"/>
  <c r="AC708" i="6" s="1"/>
  <c r="AB709" i="6"/>
  <c r="AC709" i="6" s="1"/>
  <c r="AB710" i="6"/>
  <c r="AC710" i="6" s="1"/>
  <c r="AB711" i="6"/>
  <c r="AC711" i="6" s="1"/>
  <c r="AB712" i="6"/>
  <c r="AC712" i="6" s="1"/>
  <c r="AB713" i="6"/>
  <c r="AC713" i="6" s="1"/>
  <c r="AB714" i="6"/>
  <c r="AC714" i="6" s="1"/>
  <c r="AB715" i="6"/>
  <c r="AC715" i="6" s="1"/>
  <c r="AB716" i="6"/>
  <c r="AC716" i="6" s="1"/>
  <c r="AB717" i="6"/>
  <c r="AC717" i="6" s="1"/>
  <c r="AB718" i="6"/>
  <c r="AC718" i="6" s="1"/>
  <c r="AB719" i="6"/>
  <c r="AC719" i="6" s="1"/>
  <c r="AB720" i="6"/>
  <c r="AC720" i="6" s="1"/>
  <c r="AB721" i="6"/>
  <c r="AC721" i="6" s="1"/>
  <c r="AB722" i="6"/>
  <c r="AC722" i="6" s="1"/>
  <c r="AB723" i="6"/>
  <c r="AC723" i="6" s="1"/>
  <c r="AB724" i="6"/>
  <c r="AC724" i="6" s="1"/>
  <c r="AB725" i="6"/>
  <c r="AC725" i="6" s="1"/>
  <c r="AB726" i="6"/>
  <c r="AC726" i="6" s="1"/>
  <c r="AB727" i="6"/>
  <c r="AC727" i="6" s="1"/>
  <c r="AB728" i="6"/>
  <c r="AC728" i="6" s="1"/>
  <c r="AB729" i="6"/>
  <c r="AC729" i="6" s="1"/>
  <c r="AB730" i="6"/>
  <c r="AC730" i="6" s="1"/>
  <c r="AB731" i="6"/>
  <c r="AC731" i="6" s="1"/>
  <c r="AB732" i="6"/>
  <c r="AC732" i="6" s="1"/>
  <c r="AB733" i="6"/>
  <c r="AC733" i="6" s="1"/>
  <c r="AB734" i="6"/>
  <c r="AC734" i="6" s="1"/>
  <c r="AB735" i="6"/>
  <c r="AC735" i="6" s="1"/>
  <c r="AB736" i="6"/>
  <c r="AC736" i="6" s="1"/>
  <c r="AB737" i="6"/>
  <c r="AC737" i="6" s="1"/>
  <c r="AB738" i="6"/>
  <c r="AC738" i="6" s="1"/>
  <c r="AB739" i="6"/>
  <c r="AC739" i="6" s="1"/>
  <c r="AB740" i="6"/>
  <c r="AC740" i="6" s="1"/>
  <c r="AB741" i="6"/>
  <c r="AC741" i="6" s="1"/>
  <c r="AB742" i="6"/>
  <c r="AC742" i="6" s="1"/>
  <c r="AB743" i="6"/>
  <c r="AC743" i="6" s="1"/>
  <c r="AB744" i="6"/>
  <c r="AC744" i="6" s="1"/>
  <c r="AB745" i="6"/>
  <c r="AC745" i="6" s="1"/>
  <c r="AB746" i="6"/>
  <c r="AC746" i="6" s="1"/>
  <c r="AB747" i="6"/>
  <c r="AC747" i="6" s="1"/>
  <c r="AB748" i="6"/>
  <c r="AC748" i="6" s="1"/>
  <c r="AB749" i="6"/>
  <c r="AC749" i="6" s="1"/>
  <c r="AB750" i="6"/>
  <c r="AC750" i="6" s="1"/>
  <c r="AB751" i="6"/>
  <c r="AC751" i="6" s="1"/>
  <c r="AB752" i="6"/>
  <c r="AC752" i="6" s="1"/>
  <c r="AB753" i="6"/>
  <c r="AC753" i="6" s="1"/>
  <c r="AB754" i="6"/>
  <c r="AC754" i="6" s="1"/>
  <c r="AB755" i="6"/>
  <c r="AC755" i="6" s="1"/>
  <c r="AB756" i="6"/>
  <c r="AC756" i="6" s="1"/>
  <c r="AB757" i="6"/>
  <c r="AC757" i="6" s="1"/>
  <c r="AB758" i="6"/>
  <c r="AC758" i="6" s="1"/>
  <c r="AB759" i="6"/>
  <c r="AB760" i="6"/>
  <c r="AB761" i="6"/>
  <c r="AB762" i="6"/>
  <c r="AB763" i="6"/>
  <c r="AB764" i="6"/>
  <c r="AB765" i="6"/>
  <c r="AB766" i="6"/>
  <c r="AB767" i="6"/>
  <c r="AB768" i="6"/>
  <c r="AB769" i="6"/>
  <c r="AB770" i="6"/>
  <c r="AB771" i="6"/>
  <c r="AB772" i="6"/>
  <c r="AB773" i="6"/>
  <c r="AB774" i="6"/>
  <c r="AB775" i="6"/>
  <c r="AB776" i="6"/>
  <c r="AB777" i="6"/>
  <c r="AB778" i="6"/>
  <c r="AB779" i="6"/>
  <c r="AB780" i="6"/>
  <c r="AB781" i="6"/>
  <c r="AB782" i="6"/>
  <c r="AB783" i="6"/>
  <c r="AB784" i="6"/>
  <c r="AB785" i="6"/>
  <c r="AB786" i="6"/>
  <c r="AB787" i="6"/>
  <c r="AB788" i="6"/>
  <c r="AB789" i="6"/>
  <c r="AB790" i="6"/>
  <c r="AB791" i="6"/>
  <c r="AB792" i="6"/>
  <c r="AB793" i="6"/>
  <c r="AC793" i="6" s="1"/>
  <c r="AB794" i="6"/>
  <c r="AC794" i="6" s="1"/>
  <c r="AB795" i="6"/>
  <c r="AC795" i="6" s="1"/>
  <c r="AB796" i="6"/>
  <c r="AC796" i="6" s="1"/>
  <c r="AB797" i="6"/>
  <c r="AC797" i="6" s="1"/>
  <c r="AB798" i="6"/>
  <c r="AC798" i="6" s="1"/>
  <c r="AB799" i="6"/>
  <c r="AC799" i="6" s="1"/>
  <c r="AB800" i="6"/>
  <c r="AC800" i="6" s="1"/>
  <c r="AB801" i="6"/>
  <c r="AC801" i="6" s="1"/>
  <c r="AB802" i="6"/>
  <c r="AC802" i="6" s="1"/>
  <c r="AB803" i="6"/>
  <c r="AC803" i="6" s="1"/>
  <c r="AB804" i="6"/>
  <c r="AC804" i="6" s="1"/>
  <c r="AB805" i="6"/>
  <c r="AC805" i="6" s="1"/>
  <c r="AB806" i="6"/>
  <c r="AC806" i="6" s="1"/>
  <c r="AB807" i="6"/>
  <c r="AC807" i="6" s="1"/>
  <c r="AB808" i="6"/>
  <c r="AC808" i="6" s="1"/>
  <c r="AB809" i="6"/>
  <c r="AC809" i="6" s="1"/>
  <c r="AB810" i="6"/>
  <c r="AC810" i="6" s="1"/>
  <c r="AB811" i="6"/>
  <c r="AC811" i="6" s="1"/>
  <c r="AB812" i="6"/>
  <c r="AC812" i="6" s="1"/>
  <c r="AB813" i="6"/>
  <c r="AC813" i="6" s="1"/>
  <c r="AB814" i="6"/>
  <c r="AC814" i="6" s="1"/>
  <c r="AB815" i="6"/>
  <c r="AC815" i="6" s="1"/>
  <c r="AB816" i="6"/>
  <c r="AC816" i="6" s="1"/>
  <c r="AB817" i="6"/>
  <c r="AC817" i="6" s="1"/>
  <c r="AB818" i="6"/>
  <c r="AC818" i="6" s="1"/>
  <c r="AB819" i="6"/>
  <c r="AC819" i="6" s="1"/>
  <c r="AB820" i="6"/>
  <c r="AC820" i="6" s="1"/>
  <c r="AB821" i="6"/>
  <c r="AC821" i="6" s="1"/>
  <c r="AB822" i="6"/>
  <c r="AC822" i="6" s="1"/>
  <c r="AB823" i="6"/>
  <c r="AC823" i="6" s="1"/>
  <c r="AB824" i="6"/>
  <c r="AC824" i="6" s="1"/>
  <c r="AB825" i="6"/>
  <c r="AC825" i="6" s="1"/>
  <c r="AB826" i="6"/>
  <c r="AC826" i="6" s="1"/>
  <c r="AB827" i="6"/>
  <c r="AC827" i="6" s="1"/>
  <c r="AB828" i="6"/>
  <c r="AC828" i="6" s="1"/>
  <c r="AB829" i="6"/>
  <c r="AC829" i="6" s="1"/>
  <c r="AB830" i="6"/>
  <c r="AC830" i="6" s="1"/>
  <c r="AB831" i="6"/>
  <c r="AC831" i="6" s="1"/>
  <c r="AB832" i="6"/>
  <c r="AC832" i="6" s="1"/>
  <c r="AB833" i="6"/>
  <c r="AC833" i="6" s="1"/>
  <c r="AB834" i="6"/>
  <c r="AC834" i="6" s="1"/>
  <c r="AB835" i="6"/>
  <c r="AC835" i="6" s="1"/>
  <c r="AB836" i="6"/>
  <c r="AC836" i="6" s="1"/>
  <c r="AB837" i="6"/>
  <c r="AC837" i="6" s="1"/>
  <c r="AB838" i="6"/>
  <c r="AC838" i="6" s="1"/>
  <c r="AB839" i="6"/>
  <c r="AC839" i="6" s="1"/>
  <c r="AB840" i="6"/>
  <c r="AC840" i="6" s="1"/>
  <c r="AB841" i="6"/>
  <c r="AC841" i="6" s="1"/>
  <c r="AB842" i="6"/>
  <c r="AC842" i="6" s="1"/>
  <c r="AB843" i="6"/>
  <c r="AC843" i="6" s="1"/>
  <c r="AB844" i="6"/>
  <c r="AC844" i="6" s="1"/>
  <c r="AB845" i="6"/>
  <c r="AC845" i="6" s="1"/>
  <c r="AB846" i="6"/>
  <c r="AC846" i="6" s="1"/>
  <c r="AB847" i="6"/>
  <c r="AC847" i="6" s="1"/>
  <c r="AB848" i="6"/>
  <c r="AC848" i="6" s="1"/>
  <c r="AB849" i="6"/>
  <c r="AC849" i="6" s="1"/>
  <c r="AB850" i="6"/>
  <c r="AC850" i="6" s="1"/>
  <c r="AB851" i="6"/>
  <c r="AC851" i="6" s="1"/>
  <c r="AB852" i="6"/>
  <c r="AC852" i="6" s="1"/>
  <c r="AB853" i="6"/>
  <c r="AC853" i="6" s="1"/>
  <c r="AB854" i="6"/>
  <c r="AC854" i="6" s="1"/>
  <c r="AB855" i="6"/>
  <c r="AC855" i="6" s="1"/>
  <c r="AB856" i="6"/>
  <c r="AC856" i="6" s="1"/>
  <c r="AB857" i="6"/>
  <c r="AC857" i="6" s="1"/>
  <c r="AB858" i="6"/>
  <c r="AC858" i="6" s="1"/>
  <c r="AB859" i="6"/>
  <c r="AC859" i="6" s="1"/>
  <c r="AB860" i="6"/>
  <c r="AC860" i="6" s="1"/>
  <c r="AB861" i="6"/>
  <c r="AC861" i="6" s="1"/>
  <c r="AB862" i="6"/>
  <c r="AC862" i="6" s="1"/>
  <c r="AB863" i="6"/>
  <c r="AC863" i="6" s="1"/>
  <c r="AB864" i="6"/>
  <c r="AC864" i="6" s="1"/>
  <c r="AB865" i="6"/>
  <c r="AC865" i="6" s="1"/>
  <c r="AB866" i="6"/>
  <c r="AC866" i="6" s="1"/>
  <c r="AB867" i="6"/>
  <c r="AC867" i="6" s="1"/>
  <c r="AB868" i="6"/>
  <c r="AC868" i="6" s="1"/>
  <c r="AB869" i="6"/>
  <c r="AC869" i="6" s="1"/>
  <c r="AB870" i="6"/>
  <c r="AC870" i="6" s="1"/>
  <c r="AB871" i="6"/>
  <c r="AC871" i="6" s="1"/>
  <c r="AB872" i="6"/>
  <c r="AC872" i="6" s="1"/>
  <c r="AB873" i="6"/>
  <c r="AC873" i="6" s="1"/>
  <c r="AB874" i="6"/>
  <c r="AC874" i="6" s="1"/>
  <c r="AB875" i="6"/>
  <c r="AC875" i="6" s="1"/>
  <c r="AB876" i="6"/>
  <c r="AC876" i="6" s="1"/>
  <c r="AB877" i="6"/>
  <c r="AC877" i="6" s="1"/>
  <c r="AB878" i="6"/>
  <c r="AC878" i="6" s="1"/>
  <c r="AB879" i="6"/>
  <c r="AC879" i="6" s="1"/>
  <c r="AB880" i="6"/>
  <c r="AC880" i="6" s="1"/>
  <c r="AB881" i="6"/>
  <c r="AC881" i="6" s="1"/>
  <c r="AB882" i="6"/>
  <c r="AC882" i="6" s="1"/>
  <c r="AB883" i="6"/>
  <c r="AC883" i="6" s="1"/>
  <c r="AB884" i="6"/>
  <c r="AC884" i="6" s="1"/>
  <c r="AB885" i="6"/>
  <c r="AC885" i="6" s="1"/>
  <c r="AB886" i="6"/>
  <c r="AC886" i="6" s="1"/>
  <c r="AB887" i="6"/>
  <c r="AC887" i="6" s="1"/>
  <c r="AB888" i="6"/>
  <c r="AC888" i="6" s="1"/>
  <c r="AB889" i="6"/>
  <c r="AC889" i="6" s="1"/>
  <c r="AB890" i="6"/>
  <c r="AC890" i="6" s="1"/>
  <c r="AB891" i="6"/>
  <c r="AC891" i="6" s="1"/>
  <c r="AB892" i="6"/>
  <c r="AC892" i="6" s="1"/>
  <c r="AB893" i="6"/>
  <c r="AC893" i="6" s="1"/>
  <c r="AB894" i="6"/>
  <c r="AC894" i="6" s="1"/>
  <c r="AB895" i="6"/>
  <c r="AC895" i="6" s="1"/>
  <c r="AB896" i="6"/>
  <c r="AC896" i="6" s="1"/>
  <c r="AB897" i="6"/>
  <c r="AC897" i="6" s="1"/>
  <c r="AB898" i="6"/>
  <c r="AC898" i="6" s="1"/>
  <c r="AB899" i="6"/>
  <c r="AC899" i="6" s="1"/>
  <c r="AB900" i="6"/>
  <c r="AC900" i="6" s="1"/>
  <c r="AB901" i="6"/>
  <c r="AC901" i="6" s="1"/>
  <c r="AB902" i="6"/>
  <c r="AC902" i="6" s="1"/>
  <c r="AB903" i="6"/>
  <c r="AC903" i="6" s="1"/>
  <c r="AB904" i="6"/>
  <c r="AC904" i="6" s="1"/>
  <c r="AB905" i="6"/>
  <c r="AC905" i="6" s="1"/>
  <c r="AB906" i="6"/>
  <c r="AC906" i="6" s="1"/>
  <c r="AB907" i="6"/>
  <c r="AC907" i="6" s="1"/>
  <c r="AB908" i="6"/>
  <c r="AC908" i="6" s="1"/>
  <c r="AB909" i="6"/>
  <c r="AC909" i="6" s="1"/>
  <c r="AB910" i="6"/>
  <c r="AC910" i="6" s="1"/>
  <c r="AB911" i="6"/>
  <c r="AC911" i="6" s="1"/>
  <c r="AB912" i="6"/>
  <c r="AC912" i="6" s="1"/>
  <c r="AB913" i="6"/>
  <c r="AC913" i="6" s="1"/>
  <c r="AB914" i="6"/>
  <c r="AC914" i="6" s="1"/>
  <c r="AB915" i="6"/>
  <c r="AC915" i="6" s="1"/>
  <c r="AB916" i="6"/>
  <c r="AC916" i="6" s="1"/>
  <c r="AB917" i="6"/>
  <c r="AC917" i="6" s="1"/>
  <c r="AB918" i="6"/>
  <c r="AC918" i="6" s="1"/>
  <c r="AB919" i="6"/>
  <c r="AC919" i="6" s="1"/>
  <c r="AB920" i="6"/>
  <c r="AC920" i="6" s="1"/>
  <c r="AB921" i="6"/>
  <c r="AC921" i="6" s="1"/>
  <c r="AB922" i="6"/>
  <c r="AC922" i="6" s="1"/>
  <c r="AB923" i="6"/>
  <c r="AC923" i="6" s="1"/>
  <c r="AB924" i="6"/>
  <c r="AC924" i="6" s="1"/>
  <c r="AB925" i="6"/>
  <c r="AC925" i="6" s="1"/>
  <c r="AB926" i="6"/>
  <c r="AC926" i="6" s="1"/>
  <c r="AB927" i="6"/>
  <c r="AC927" i="6" s="1"/>
  <c r="AB928" i="6"/>
  <c r="AC928" i="6" s="1"/>
  <c r="AB929" i="6"/>
  <c r="AC929" i="6" s="1"/>
  <c r="AB930" i="6"/>
  <c r="AC930" i="6" s="1"/>
  <c r="AB931" i="6"/>
  <c r="AC931" i="6" s="1"/>
  <c r="AB932" i="6"/>
  <c r="AC932" i="6" s="1"/>
  <c r="AB933" i="6"/>
  <c r="AC933" i="6" s="1"/>
  <c r="AB934" i="6"/>
  <c r="AC934" i="6" s="1"/>
  <c r="AB935" i="6"/>
  <c r="AC935" i="6" s="1"/>
  <c r="AB936" i="6"/>
  <c r="AC936" i="6" s="1"/>
  <c r="AB937" i="6"/>
  <c r="AC937" i="6" s="1"/>
  <c r="AB938" i="6"/>
  <c r="AC938" i="6" s="1"/>
  <c r="AB939" i="6"/>
  <c r="AC939" i="6" s="1"/>
  <c r="AB940" i="6"/>
  <c r="AC940" i="6" s="1"/>
  <c r="AB941" i="6"/>
  <c r="AC941" i="6" s="1"/>
  <c r="AB942" i="6"/>
  <c r="AC942" i="6" s="1"/>
  <c r="AB943" i="6"/>
  <c r="AC943" i="6" s="1"/>
  <c r="AB944" i="6"/>
  <c r="AC944" i="6" s="1"/>
  <c r="AB945" i="6"/>
  <c r="AC945" i="6" s="1"/>
  <c r="AB946" i="6"/>
  <c r="AC946" i="6" s="1"/>
  <c r="AB947" i="6"/>
  <c r="AC947" i="6" s="1"/>
  <c r="AB948" i="6"/>
  <c r="AC948" i="6" s="1"/>
  <c r="AB949" i="6"/>
  <c r="AC949" i="6" s="1"/>
  <c r="AB950" i="6"/>
  <c r="AC950" i="6" s="1"/>
  <c r="AB951" i="6"/>
  <c r="AC951" i="6" s="1"/>
  <c r="AB952" i="6"/>
  <c r="AC952" i="6" s="1"/>
  <c r="AB953" i="6"/>
  <c r="AC953" i="6" s="1"/>
  <c r="AB954" i="6"/>
  <c r="AC954" i="6" s="1"/>
  <c r="AB955" i="6"/>
  <c r="AC955" i="6" s="1"/>
  <c r="AB956" i="6"/>
  <c r="AC956" i="6" s="1"/>
  <c r="AB957" i="6"/>
  <c r="AC957" i="6" s="1"/>
  <c r="AB958" i="6"/>
  <c r="AC958" i="6" s="1"/>
  <c r="AB959" i="6"/>
  <c r="AC959" i="6" s="1"/>
  <c r="AB960" i="6"/>
  <c r="AC960" i="6" s="1"/>
  <c r="AB961" i="6"/>
  <c r="AC961" i="6" s="1"/>
  <c r="AB962" i="6"/>
  <c r="AC962" i="6" s="1"/>
  <c r="AB963" i="6"/>
  <c r="AC963" i="6" s="1"/>
  <c r="AB964" i="6"/>
  <c r="AC964" i="6" s="1"/>
  <c r="AB965" i="6"/>
  <c r="AC965" i="6" s="1"/>
  <c r="AB966" i="6"/>
  <c r="AC966" i="6" s="1"/>
  <c r="AB967" i="6"/>
  <c r="AC967" i="6" s="1"/>
  <c r="AB968" i="6"/>
  <c r="AC968" i="6" s="1"/>
  <c r="AB969" i="6"/>
  <c r="AC969" i="6" s="1"/>
  <c r="AB970" i="6"/>
  <c r="AC970" i="6" s="1"/>
  <c r="AB971" i="6"/>
  <c r="AC971" i="6" s="1"/>
  <c r="AB972" i="6"/>
  <c r="AC972" i="6" s="1"/>
  <c r="AB973" i="6"/>
  <c r="AC973" i="6" s="1"/>
  <c r="AB974" i="6"/>
  <c r="AC974" i="6" s="1"/>
  <c r="AB975" i="6"/>
  <c r="AC975" i="6" s="1"/>
  <c r="AB976" i="6"/>
  <c r="AC976" i="6" s="1"/>
  <c r="AB977" i="6"/>
  <c r="AC977" i="6" s="1"/>
  <c r="AB978" i="6"/>
  <c r="AC978" i="6" s="1"/>
  <c r="AB979" i="6"/>
  <c r="AC979" i="6" s="1"/>
  <c r="AB980" i="6"/>
  <c r="AC980" i="6" s="1"/>
  <c r="AB981" i="6"/>
  <c r="AC981" i="6" s="1"/>
  <c r="AB982" i="6"/>
  <c r="AC982" i="6" s="1"/>
  <c r="AB983" i="6"/>
  <c r="AC983" i="6" s="1"/>
  <c r="AB984" i="6"/>
  <c r="AC984" i="6" s="1"/>
  <c r="AB985" i="6"/>
  <c r="AC985" i="6" s="1"/>
  <c r="AB986" i="6"/>
  <c r="AC986" i="6" s="1"/>
  <c r="AB987" i="6"/>
  <c r="AC987" i="6" s="1"/>
  <c r="AB988" i="6"/>
  <c r="AC988" i="6" s="1"/>
  <c r="AB989" i="6"/>
  <c r="AC989" i="6" s="1"/>
  <c r="AB990" i="6"/>
  <c r="AC990" i="6" s="1"/>
  <c r="AB991" i="6"/>
  <c r="AC991" i="6" s="1"/>
  <c r="AB992" i="6"/>
  <c r="AC992" i="6" s="1"/>
  <c r="AB993" i="6"/>
  <c r="AC993" i="6" s="1"/>
  <c r="AB994" i="6"/>
  <c r="AC994" i="6" s="1"/>
  <c r="AB995" i="6"/>
  <c r="AC995" i="6" s="1"/>
  <c r="AB996" i="6"/>
  <c r="AC996" i="6" s="1"/>
  <c r="AB997" i="6"/>
  <c r="AC997" i="6" s="1"/>
  <c r="AB998" i="6"/>
  <c r="AC998" i="6" s="1"/>
  <c r="AB999" i="6"/>
  <c r="AC999" i="6" s="1"/>
  <c r="AB1000" i="6"/>
  <c r="AC1000" i="6" s="1"/>
  <c r="AB1001" i="6"/>
  <c r="AC1001" i="6" s="1"/>
  <c r="AB1002" i="6"/>
  <c r="AC1002" i="6" s="1"/>
  <c r="AB1003" i="6"/>
  <c r="AC1003" i="6" s="1"/>
  <c r="AB1004" i="6"/>
  <c r="AC1004" i="6" s="1"/>
  <c r="AB1005" i="6"/>
  <c r="AC1005" i="6" s="1"/>
  <c r="AB1006" i="6"/>
  <c r="AC1006" i="6" s="1"/>
  <c r="AB1007" i="6"/>
  <c r="AC1007" i="6" s="1"/>
  <c r="AB1008" i="6"/>
  <c r="AC1008" i="6" s="1"/>
  <c r="AB1009" i="6"/>
  <c r="AC1009" i="6" s="1"/>
  <c r="AB1010" i="6"/>
  <c r="AC1010" i="6" s="1"/>
  <c r="AB1011" i="6"/>
  <c r="AC1011" i="6" s="1"/>
  <c r="AB1012" i="6"/>
  <c r="AC1012" i="6" s="1"/>
  <c r="AB1013" i="6"/>
  <c r="AC1013" i="6" s="1"/>
  <c r="AB1014" i="6"/>
  <c r="AC1014" i="6" s="1"/>
  <c r="AB1015" i="6"/>
  <c r="AC1015" i="6" s="1"/>
  <c r="AB1016" i="6"/>
  <c r="AC1016" i="6" s="1"/>
  <c r="AB1017" i="6"/>
  <c r="AC1017" i="6" s="1"/>
  <c r="AB1018" i="6"/>
  <c r="AC1018" i="6" s="1"/>
  <c r="AB1019" i="6"/>
  <c r="AC1019" i="6" s="1"/>
  <c r="AB1020" i="6"/>
  <c r="AC1020" i="6" s="1"/>
  <c r="AB1021" i="6"/>
  <c r="AC1021" i="6" s="1"/>
  <c r="AB1022" i="6"/>
  <c r="AC1022" i="6" s="1"/>
  <c r="AB1023" i="6"/>
  <c r="AC1023" i="6" s="1"/>
  <c r="AB1024" i="6"/>
  <c r="AC1024" i="6" s="1"/>
  <c r="AB1025" i="6"/>
  <c r="AC1025" i="6" s="1"/>
  <c r="AB1026" i="6"/>
  <c r="AC1026" i="6" s="1"/>
  <c r="AB1027" i="6"/>
  <c r="AC1027" i="6" s="1"/>
  <c r="AB1028" i="6"/>
  <c r="AC1028" i="6" s="1"/>
  <c r="AB1029" i="6"/>
  <c r="AC1029" i="6" s="1"/>
  <c r="AB1030" i="6"/>
  <c r="AC1030" i="6" s="1"/>
  <c r="AB1031" i="6"/>
  <c r="AC1031" i="6" s="1"/>
  <c r="AB1032" i="6"/>
  <c r="AC1032" i="6" s="1"/>
  <c r="AB1033" i="6"/>
  <c r="AC1033" i="6" s="1"/>
  <c r="AB1034" i="6"/>
  <c r="AC1034" i="6" s="1"/>
  <c r="AB1035" i="6"/>
  <c r="AC1035" i="6" s="1"/>
  <c r="AB1036" i="6"/>
  <c r="AC1036" i="6" s="1"/>
  <c r="AB1037" i="6"/>
  <c r="AC1037" i="6" s="1"/>
  <c r="AB1038" i="6"/>
  <c r="AC1038" i="6" s="1"/>
  <c r="AB1039" i="6"/>
  <c r="AC1039" i="6" s="1"/>
  <c r="AB1040" i="6"/>
  <c r="AC1040" i="6" s="1"/>
  <c r="AB1041" i="6"/>
  <c r="AC1041" i="6" s="1"/>
  <c r="AB1042" i="6"/>
  <c r="AC1042" i="6" s="1"/>
  <c r="AB1043" i="6"/>
  <c r="AC1043" i="6" s="1"/>
  <c r="AB1044" i="6"/>
  <c r="AC1044" i="6" s="1"/>
  <c r="AB1045" i="6"/>
  <c r="AC1045" i="6" s="1"/>
  <c r="AB1046" i="6"/>
  <c r="AC1046" i="6" s="1"/>
  <c r="AB1047" i="6"/>
  <c r="AC1047" i="6" s="1"/>
  <c r="AB1048" i="6"/>
  <c r="AC1048" i="6" s="1"/>
  <c r="AB1049" i="6"/>
  <c r="AC1049" i="6" s="1"/>
  <c r="AB1050" i="6"/>
  <c r="AC1050" i="6" s="1"/>
  <c r="AB1051" i="6"/>
  <c r="AC1051" i="6" s="1"/>
  <c r="AB1052" i="6"/>
  <c r="AC1052" i="6" s="1"/>
  <c r="AB1053" i="6"/>
  <c r="AC1053" i="6" s="1"/>
  <c r="AB1054" i="6"/>
  <c r="AC1054" i="6" s="1"/>
  <c r="AB1055" i="6"/>
  <c r="AC1055" i="6" s="1"/>
  <c r="AB1056" i="6"/>
  <c r="AC1056" i="6" s="1"/>
  <c r="AB1057" i="6"/>
  <c r="AC1057" i="6" s="1"/>
  <c r="AB1058" i="6"/>
  <c r="AC1058" i="6" s="1"/>
  <c r="AB1059" i="6"/>
  <c r="AC1059" i="6" s="1"/>
  <c r="AB1060" i="6"/>
  <c r="AC1060" i="6" s="1"/>
  <c r="AB1061" i="6"/>
  <c r="AC1061" i="6" s="1"/>
  <c r="AB1062" i="6"/>
  <c r="AC1062" i="6" s="1"/>
  <c r="AB1063" i="6"/>
  <c r="AC1063" i="6" s="1"/>
  <c r="AB1064" i="6"/>
  <c r="AC1064" i="6" s="1"/>
  <c r="AB1065" i="6"/>
  <c r="AC1065" i="6" s="1"/>
  <c r="AB1066" i="6"/>
  <c r="AC1066" i="6" s="1"/>
  <c r="AB1067" i="6"/>
  <c r="AC1067" i="6" s="1"/>
  <c r="AB1068" i="6"/>
  <c r="AC1068" i="6" s="1"/>
  <c r="AB1069" i="6"/>
  <c r="AC1069" i="6" s="1"/>
  <c r="AB1070" i="6"/>
  <c r="AC1070" i="6" s="1"/>
  <c r="AB1071" i="6"/>
  <c r="AC1071" i="6" s="1"/>
  <c r="AB1072" i="6"/>
  <c r="AC1072" i="6" s="1"/>
  <c r="AB1073" i="6"/>
  <c r="AC1073" i="6" s="1"/>
  <c r="AB1074" i="6"/>
  <c r="AC1074" i="6" s="1"/>
  <c r="AB1075" i="6"/>
  <c r="AC1075" i="6" s="1"/>
  <c r="AB1076" i="6"/>
  <c r="AC1076" i="6" s="1"/>
  <c r="AB1077" i="6"/>
  <c r="AC1077" i="6" s="1"/>
  <c r="AB1078" i="6"/>
  <c r="AC1078" i="6" s="1"/>
  <c r="AB1079" i="6"/>
  <c r="AC1079" i="6" s="1"/>
  <c r="AB1080" i="6"/>
  <c r="AC1080" i="6" s="1"/>
  <c r="AB1081" i="6"/>
  <c r="AC1081" i="6" s="1"/>
  <c r="AB1082" i="6"/>
  <c r="AC1082" i="6" s="1"/>
  <c r="AB1083" i="6"/>
  <c r="AC1083" i="6" s="1"/>
  <c r="AB1084" i="6"/>
  <c r="AC1084" i="6" s="1"/>
  <c r="AB1085" i="6"/>
  <c r="AC1085" i="6" s="1"/>
  <c r="AB1086" i="6"/>
  <c r="AC1086" i="6" s="1"/>
  <c r="AB1087" i="6"/>
  <c r="AC1087" i="6" s="1"/>
  <c r="AB1088" i="6"/>
  <c r="AC1088" i="6" s="1"/>
  <c r="AB1089" i="6"/>
  <c r="AC1089" i="6" s="1"/>
  <c r="AB1090" i="6"/>
  <c r="AC1090" i="6" s="1"/>
  <c r="AB1091" i="6"/>
  <c r="AC1091" i="6" s="1"/>
  <c r="AB1092" i="6"/>
  <c r="AC1092" i="6" s="1"/>
  <c r="AB1093" i="6"/>
  <c r="AC1093" i="6" s="1"/>
  <c r="AB1094" i="6"/>
  <c r="AC1094" i="6" s="1"/>
  <c r="AB1095" i="6"/>
  <c r="AC1095" i="6" s="1"/>
  <c r="AB1096" i="6"/>
  <c r="AC1096" i="6" s="1"/>
  <c r="AB1097" i="6"/>
  <c r="AC1097" i="6" s="1"/>
  <c r="AB1098" i="6"/>
  <c r="AC1098" i="6" s="1"/>
  <c r="AB1099" i="6"/>
  <c r="AC1099" i="6" s="1"/>
  <c r="AB1100" i="6"/>
  <c r="AC1100" i="6" s="1"/>
  <c r="AB1101" i="6"/>
  <c r="AC1101" i="6" s="1"/>
  <c r="AB1102" i="6"/>
  <c r="AC1102" i="6" s="1"/>
  <c r="AB1103" i="6"/>
  <c r="AC1103" i="6" s="1"/>
  <c r="AB1104" i="6"/>
  <c r="AC1104" i="6" s="1"/>
  <c r="AB1105" i="6"/>
  <c r="AC1105" i="6" s="1"/>
  <c r="AB1106" i="6"/>
  <c r="AC1106" i="6" s="1"/>
  <c r="AB1107" i="6"/>
  <c r="AC1107" i="6" s="1"/>
  <c r="AB1108" i="6"/>
  <c r="AC1108" i="6" s="1"/>
  <c r="AB1109" i="6"/>
  <c r="AC1109" i="6" s="1"/>
  <c r="AB1110" i="6"/>
  <c r="AC1110" i="6" s="1"/>
  <c r="AB1111" i="6"/>
  <c r="AC1111" i="6" s="1"/>
  <c r="AB1112" i="6"/>
  <c r="AC1112" i="6" s="1"/>
  <c r="AB1113" i="6"/>
  <c r="AC1113" i="6" s="1"/>
  <c r="AB1114" i="6"/>
  <c r="AC1114" i="6" s="1"/>
  <c r="AB1115" i="6"/>
  <c r="AC1115" i="6" s="1"/>
  <c r="AB1116" i="6"/>
  <c r="AC1116" i="6" s="1"/>
  <c r="AB1117" i="6"/>
  <c r="AC1117" i="6" s="1"/>
  <c r="AB1118" i="6"/>
  <c r="AC1118" i="6" s="1"/>
  <c r="AB1119" i="6"/>
  <c r="AC1119" i="6" s="1"/>
  <c r="AB1120" i="6"/>
  <c r="AC1120" i="6" s="1"/>
  <c r="AB1121" i="6"/>
  <c r="AC1121" i="6" s="1"/>
  <c r="AB1122" i="6"/>
  <c r="AC1122" i="6" s="1"/>
  <c r="AB1123" i="6"/>
  <c r="AC1123" i="6" s="1"/>
  <c r="AB1124" i="6"/>
  <c r="AC1124" i="6" s="1"/>
  <c r="AB1125" i="6"/>
  <c r="AC1125" i="6" s="1"/>
  <c r="AB1126" i="6"/>
  <c r="AC1126" i="6" s="1"/>
  <c r="AB1127" i="6"/>
  <c r="AC1127" i="6" s="1"/>
  <c r="AB1128" i="6"/>
  <c r="AC1128" i="6" s="1"/>
  <c r="AB1129" i="6"/>
  <c r="AC1129" i="6" s="1"/>
  <c r="AB1130" i="6"/>
  <c r="AC1130" i="6" s="1"/>
  <c r="AB1131" i="6"/>
  <c r="AC1131" i="6" s="1"/>
  <c r="AB1132" i="6"/>
  <c r="AC1132" i="6" s="1"/>
  <c r="AB1133" i="6"/>
  <c r="AC1133" i="6" s="1"/>
  <c r="AB1134" i="6"/>
  <c r="AC1134" i="6" s="1"/>
  <c r="AB1135" i="6"/>
  <c r="AC1135" i="6" s="1"/>
  <c r="AB1136" i="6"/>
  <c r="AC1136" i="6" s="1"/>
  <c r="AB1137" i="6"/>
  <c r="AC1137" i="6" s="1"/>
  <c r="AB1138" i="6"/>
  <c r="AC1138" i="6" s="1"/>
  <c r="AB1139" i="6"/>
  <c r="AC1139" i="6" s="1"/>
  <c r="AB1140" i="6"/>
  <c r="AC1140" i="6" s="1"/>
  <c r="AB1141" i="6"/>
  <c r="AC1141" i="6" s="1"/>
  <c r="AB1142" i="6"/>
  <c r="AC1142" i="6" s="1"/>
  <c r="AB1143" i="6"/>
  <c r="AC1143" i="6" s="1"/>
  <c r="AB1144" i="6"/>
  <c r="AC1144" i="6" s="1"/>
  <c r="AB1145" i="6"/>
  <c r="AC1145" i="6" s="1"/>
  <c r="AB1146" i="6"/>
  <c r="AC1146" i="6" s="1"/>
  <c r="AB1147" i="6"/>
  <c r="AC1147" i="6" s="1"/>
  <c r="AB1148" i="6"/>
  <c r="AC1148" i="6" s="1"/>
  <c r="AB1149" i="6"/>
  <c r="AC1149" i="6" s="1"/>
  <c r="AB1150" i="6"/>
  <c r="AC1150" i="6" s="1"/>
  <c r="AB1151" i="6"/>
  <c r="AC1151" i="6" s="1"/>
  <c r="AB1152" i="6"/>
  <c r="AC1152" i="6" s="1"/>
  <c r="AB1153" i="6"/>
  <c r="AC1153" i="6" s="1"/>
  <c r="AB1154" i="6"/>
  <c r="AC1154" i="6" s="1"/>
  <c r="AB1155" i="6"/>
  <c r="AC1155" i="6" s="1"/>
  <c r="AB1156" i="6"/>
  <c r="AC1156" i="6" s="1"/>
  <c r="AB1157" i="6"/>
  <c r="AC1157" i="6" s="1"/>
  <c r="AB1158" i="6"/>
  <c r="AC1158" i="6" s="1"/>
  <c r="AB1159" i="6"/>
  <c r="AC1159" i="6" s="1"/>
  <c r="AB1160" i="6"/>
  <c r="AC1160" i="6" s="1"/>
  <c r="AB1161" i="6"/>
  <c r="AC1161" i="6" s="1"/>
  <c r="AB1162" i="6"/>
  <c r="AC1162" i="6" s="1"/>
  <c r="AB1163" i="6"/>
  <c r="AC1163" i="6" s="1"/>
  <c r="AB1164" i="6"/>
  <c r="AC1164" i="6" s="1"/>
  <c r="AB1165" i="6"/>
  <c r="AC1165" i="6" s="1"/>
  <c r="AB1166" i="6"/>
  <c r="AC1166" i="6" s="1"/>
  <c r="AB1167" i="6"/>
  <c r="AC1167" i="6" s="1"/>
  <c r="AB1168" i="6"/>
  <c r="AC1168" i="6" s="1"/>
  <c r="AB1169" i="6"/>
  <c r="AC1169" i="6" s="1"/>
  <c r="AB1170" i="6"/>
  <c r="AC1170" i="6" s="1"/>
  <c r="AB1171" i="6"/>
  <c r="AC1171" i="6" s="1"/>
  <c r="AB1172" i="6"/>
  <c r="AC1172" i="6" s="1"/>
  <c r="AB1173" i="6"/>
  <c r="AC1173" i="6" s="1"/>
  <c r="AB1174" i="6"/>
  <c r="AC1174" i="6" s="1"/>
  <c r="AB1175" i="6"/>
  <c r="AC1175" i="6" s="1"/>
  <c r="AB1176" i="6"/>
  <c r="AC1176" i="6" s="1"/>
  <c r="AB1177" i="6"/>
  <c r="AC1177" i="6" s="1"/>
  <c r="AB1178" i="6"/>
  <c r="AC1178" i="6" s="1"/>
  <c r="AB1179" i="6"/>
  <c r="AC1179" i="6" s="1"/>
  <c r="AB1180" i="6"/>
  <c r="AC1180" i="6" s="1"/>
  <c r="AB1181" i="6"/>
  <c r="AC1181" i="6" s="1"/>
  <c r="AB1182" i="6"/>
  <c r="AC1182" i="6" s="1"/>
  <c r="AB1183" i="6"/>
  <c r="AC1183" i="6" s="1"/>
  <c r="AB1184" i="6"/>
  <c r="AC1184" i="6" s="1"/>
  <c r="AB1185" i="6"/>
  <c r="AC1185" i="6" s="1"/>
  <c r="AB1186" i="6"/>
  <c r="AC1186" i="6" s="1"/>
  <c r="AB1187" i="6"/>
  <c r="AC1187" i="6" s="1"/>
  <c r="AB1188" i="6"/>
  <c r="AC1188" i="6" s="1"/>
  <c r="AB1189" i="6"/>
  <c r="AC1189" i="6" s="1"/>
  <c r="AB1190" i="6"/>
  <c r="AC1190" i="6" s="1"/>
  <c r="AB1191" i="6"/>
  <c r="AC1191" i="6" s="1"/>
  <c r="AB1192" i="6"/>
  <c r="AC1192" i="6" s="1"/>
  <c r="AB1193" i="6"/>
  <c r="AC1193" i="6" s="1"/>
  <c r="AB1194" i="6"/>
  <c r="AC1194" i="6" s="1"/>
  <c r="AB1195" i="6"/>
  <c r="AC1195" i="6" s="1"/>
  <c r="AB1196" i="6"/>
  <c r="AC1196" i="6" s="1"/>
  <c r="AB1197" i="6"/>
  <c r="AC1197" i="6" s="1"/>
  <c r="AB1198" i="6"/>
  <c r="AC1198" i="6" s="1"/>
  <c r="AB1199" i="6"/>
  <c r="AC1199" i="6" s="1"/>
  <c r="AB1200" i="6"/>
  <c r="AC1200" i="6" s="1"/>
  <c r="AB1201" i="6"/>
  <c r="AC1201" i="6" s="1"/>
  <c r="AB1202" i="6"/>
  <c r="AC1202" i="6" s="1"/>
  <c r="AB1203" i="6"/>
  <c r="AC1203" i="6" s="1"/>
  <c r="AB1204" i="6"/>
  <c r="AC1204" i="6" s="1"/>
  <c r="AB1205" i="6"/>
  <c r="AC1205" i="6" s="1"/>
  <c r="AB1206" i="6"/>
  <c r="AC1206" i="6" s="1"/>
  <c r="AB1207" i="6"/>
  <c r="AC1207" i="6" s="1"/>
  <c r="AB1208" i="6"/>
  <c r="AC1208" i="6" s="1"/>
  <c r="AB1209" i="6"/>
  <c r="AC1209" i="6" s="1"/>
  <c r="AB1210" i="6"/>
  <c r="AC1210" i="6" s="1"/>
  <c r="AB1211" i="6"/>
  <c r="AC1211" i="6" s="1"/>
  <c r="AB1212" i="6"/>
  <c r="AC1212" i="6" s="1"/>
  <c r="AB1213" i="6"/>
  <c r="AC1213" i="6" s="1"/>
  <c r="AB1214" i="6"/>
  <c r="AC1214" i="6" s="1"/>
  <c r="AB1215" i="6"/>
  <c r="AC1215" i="6" s="1"/>
  <c r="AB1216" i="6"/>
  <c r="AC1216" i="6" s="1"/>
  <c r="AB1217" i="6"/>
  <c r="AC1217" i="6" s="1"/>
  <c r="AB1218" i="6"/>
  <c r="AC1218" i="6" s="1"/>
  <c r="AB1219" i="6"/>
  <c r="AC1219" i="6" s="1"/>
  <c r="AB1220" i="6"/>
  <c r="AC1220" i="6" s="1"/>
  <c r="AB1221" i="6"/>
  <c r="AC1221" i="6" s="1"/>
  <c r="AB1222" i="6"/>
  <c r="AC1222" i="6" s="1"/>
  <c r="AB1223" i="6"/>
  <c r="AC1223" i="6" s="1"/>
  <c r="AB1224" i="6"/>
  <c r="AC1224" i="6" s="1"/>
  <c r="AB1225" i="6"/>
  <c r="AC1225" i="6" s="1"/>
  <c r="AB1226" i="6"/>
  <c r="AC1226" i="6" s="1"/>
  <c r="AB1227" i="6"/>
  <c r="AC1227" i="6" s="1"/>
  <c r="AB1228" i="6"/>
  <c r="AC1228" i="6" s="1"/>
  <c r="AB1229" i="6"/>
  <c r="AC1229" i="6" s="1"/>
  <c r="AB1230" i="6"/>
  <c r="AC1230" i="6" s="1"/>
  <c r="AB1231" i="6"/>
  <c r="AC1231" i="6" s="1"/>
  <c r="AB1232" i="6"/>
  <c r="AC1232" i="6" s="1"/>
  <c r="AB1233" i="6"/>
  <c r="AC1233" i="6" s="1"/>
  <c r="AB1234" i="6"/>
  <c r="AC1234" i="6" s="1"/>
  <c r="AB1235" i="6"/>
  <c r="AC1235" i="6" s="1"/>
  <c r="AB1236" i="6"/>
  <c r="AC1236" i="6" s="1"/>
  <c r="AB1237" i="6"/>
  <c r="AC1237" i="6" s="1"/>
  <c r="AB1238" i="6"/>
  <c r="AC1238" i="6" s="1"/>
  <c r="AB1239" i="6"/>
  <c r="AC1239" i="6" s="1"/>
  <c r="AB1240" i="6"/>
  <c r="AC1240" i="6" s="1"/>
  <c r="AB1241" i="6"/>
  <c r="AC1241" i="6" s="1"/>
  <c r="AB1242" i="6"/>
  <c r="AC1242" i="6" s="1"/>
  <c r="AB1243" i="6"/>
  <c r="AC1243" i="6" s="1"/>
  <c r="AB1244" i="6"/>
  <c r="AC1244" i="6" s="1"/>
  <c r="AB1245" i="6"/>
  <c r="AC1245" i="6" s="1"/>
  <c r="AB1246" i="6"/>
  <c r="AC1246" i="6" s="1"/>
  <c r="AB1247" i="6"/>
  <c r="AC1247" i="6" s="1"/>
  <c r="AB1248" i="6"/>
  <c r="AC1248" i="6" s="1"/>
  <c r="AB1249" i="6"/>
  <c r="AC1249" i="6" s="1"/>
  <c r="AB1250" i="6"/>
  <c r="AC1250" i="6" s="1"/>
  <c r="AB1251" i="6"/>
  <c r="AC1251" i="6" s="1"/>
  <c r="AB1252" i="6"/>
  <c r="AC1252" i="6" s="1"/>
  <c r="AB1253" i="6"/>
  <c r="AC1253" i="6" s="1"/>
  <c r="AB1254" i="6"/>
  <c r="AC1254" i="6" s="1"/>
  <c r="AB1255" i="6"/>
  <c r="AC1255" i="6" s="1"/>
  <c r="AB1256" i="6"/>
  <c r="AC1256" i="6" s="1"/>
  <c r="AB1257" i="6"/>
  <c r="AC1257" i="6" s="1"/>
  <c r="AB1258" i="6"/>
  <c r="AC1258" i="6" s="1"/>
  <c r="AB1259" i="6"/>
  <c r="AC1259" i="6" s="1"/>
  <c r="AB1260" i="6"/>
  <c r="AC1260" i="6" s="1"/>
  <c r="AB1261" i="6"/>
  <c r="AC1261" i="6" s="1"/>
  <c r="AB1262" i="6"/>
  <c r="AC1262" i="6" s="1"/>
  <c r="AB1263" i="6"/>
  <c r="AC1263" i="6" s="1"/>
  <c r="AB1264" i="6"/>
  <c r="AC1264" i="6" s="1"/>
  <c r="AB1265" i="6"/>
  <c r="AC1265" i="6" s="1"/>
  <c r="AB1266" i="6"/>
  <c r="AC1266" i="6" s="1"/>
  <c r="AB1267" i="6"/>
  <c r="AC1267" i="6" s="1"/>
  <c r="AB1268" i="6"/>
  <c r="AC1268" i="6" s="1"/>
  <c r="AB1269" i="6"/>
  <c r="AC1269" i="6" s="1"/>
  <c r="AB1270" i="6"/>
  <c r="AC1270" i="6" s="1"/>
  <c r="AB1271" i="6"/>
  <c r="AC1271" i="6" s="1"/>
  <c r="AB1272" i="6"/>
  <c r="AC1272" i="6" s="1"/>
  <c r="AB1273" i="6"/>
  <c r="AC1273" i="6" s="1"/>
  <c r="AB1274" i="6"/>
  <c r="AC1274" i="6" s="1"/>
  <c r="AB1275" i="6"/>
  <c r="AC1275" i="6" s="1"/>
  <c r="AB1276" i="6"/>
  <c r="AC1276" i="6" s="1"/>
  <c r="AB1277" i="6"/>
  <c r="AC1277" i="6" s="1"/>
  <c r="AB1278" i="6"/>
  <c r="AC1278" i="6" s="1"/>
  <c r="AB1279" i="6"/>
  <c r="AC1279" i="6" s="1"/>
  <c r="AB1280" i="6"/>
  <c r="AC1280" i="6" s="1"/>
  <c r="AB1281" i="6"/>
  <c r="AC1281" i="6" s="1"/>
  <c r="AB1282" i="6"/>
  <c r="AC1282" i="6" s="1"/>
  <c r="AB1283" i="6"/>
  <c r="AC1283" i="6" s="1"/>
  <c r="AB1284" i="6"/>
  <c r="AC1284" i="6" s="1"/>
  <c r="AB1285" i="6"/>
  <c r="AC1285" i="6" s="1"/>
  <c r="AB1286" i="6"/>
  <c r="AC1286" i="6" s="1"/>
  <c r="AB1287" i="6"/>
  <c r="AC1287" i="6" s="1"/>
  <c r="AB1288" i="6"/>
  <c r="AC1288" i="6" s="1"/>
  <c r="AB1289" i="6"/>
  <c r="AC1289" i="6" s="1"/>
  <c r="AB1290" i="6"/>
  <c r="AC1290" i="6" s="1"/>
  <c r="AB1291" i="6"/>
  <c r="AC1291" i="6" s="1"/>
  <c r="AB1292" i="6"/>
  <c r="AC1292" i="6" s="1"/>
  <c r="AB1293" i="6"/>
  <c r="AC1293" i="6" s="1"/>
  <c r="AB1294" i="6"/>
  <c r="AC1294" i="6" s="1"/>
  <c r="AB1295" i="6"/>
  <c r="AC1295" i="6" s="1"/>
  <c r="AB1296" i="6"/>
  <c r="AC1296" i="6" s="1"/>
  <c r="AB1297" i="6"/>
  <c r="AC1297" i="6" s="1"/>
  <c r="AB1298" i="6"/>
  <c r="AC1298" i="6" s="1"/>
  <c r="AB1299" i="6"/>
  <c r="AC1299" i="6" s="1"/>
  <c r="AB1300" i="6"/>
  <c r="AC1300" i="6" s="1"/>
  <c r="AB1301" i="6"/>
  <c r="AC1301" i="6" s="1"/>
  <c r="AB1302" i="6"/>
  <c r="AC1302" i="6" s="1"/>
  <c r="AB1303" i="6"/>
  <c r="AC1303" i="6" s="1"/>
  <c r="AB1304" i="6"/>
  <c r="AC1304" i="6" s="1"/>
  <c r="AB1305" i="6"/>
  <c r="AC1305" i="6" s="1"/>
  <c r="AB1306" i="6"/>
  <c r="AC1306" i="6" s="1"/>
  <c r="AB1307" i="6"/>
  <c r="AC1307" i="6" s="1"/>
  <c r="AB1308" i="6"/>
  <c r="AC1308" i="6" s="1"/>
  <c r="AB1309" i="6"/>
  <c r="AC1309" i="6" s="1"/>
  <c r="AB1310" i="6"/>
  <c r="AC1310" i="6" s="1"/>
  <c r="AB1311" i="6"/>
  <c r="AC1311" i="6" s="1"/>
  <c r="AB1312" i="6"/>
  <c r="AC1312" i="6" s="1"/>
  <c r="AB1313" i="6"/>
  <c r="AC1313" i="6" s="1"/>
  <c r="AB1314" i="6"/>
  <c r="AC1314" i="6" s="1"/>
  <c r="AB1315" i="6"/>
  <c r="AC1315" i="6" s="1"/>
  <c r="AB1316" i="6"/>
  <c r="AC1316" i="6" s="1"/>
  <c r="AB1317" i="6"/>
  <c r="AC1317" i="6" s="1"/>
  <c r="AB1318" i="6"/>
  <c r="AC1318" i="6" s="1"/>
  <c r="AB1319" i="6"/>
  <c r="AC1319" i="6" s="1"/>
  <c r="AB1320" i="6"/>
  <c r="AC1320" i="6" s="1"/>
  <c r="AB1321" i="6"/>
  <c r="AC1321" i="6" s="1"/>
  <c r="AB1322" i="6"/>
  <c r="AC1322" i="6" s="1"/>
  <c r="AB1323" i="6"/>
  <c r="AC1323" i="6" s="1"/>
  <c r="AB1324" i="6"/>
  <c r="AC1324" i="6" s="1"/>
  <c r="AB1325" i="6"/>
  <c r="AC1325" i="6" s="1"/>
  <c r="AB1326" i="6"/>
  <c r="AC1326" i="6" s="1"/>
  <c r="AB1327" i="6"/>
  <c r="AC1327" i="6" s="1"/>
  <c r="AB1328" i="6"/>
  <c r="AC1328" i="6" s="1"/>
  <c r="AB1329" i="6"/>
  <c r="AC1329" i="6" s="1"/>
  <c r="AB1330" i="6"/>
  <c r="AC1330" i="6" s="1"/>
  <c r="AB1331" i="6"/>
  <c r="AC1331" i="6" s="1"/>
  <c r="AB1332" i="6"/>
  <c r="AC1332" i="6" s="1"/>
  <c r="AB1333" i="6"/>
  <c r="AC1333" i="6" s="1"/>
  <c r="AB1334" i="6"/>
  <c r="AC1334" i="6" s="1"/>
  <c r="AB1335" i="6"/>
  <c r="AC1335" i="6" s="1"/>
  <c r="AB1336" i="6"/>
  <c r="AC1336" i="6" s="1"/>
  <c r="AB1337" i="6"/>
  <c r="AC1337" i="6" s="1"/>
  <c r="AB1338" i="6"/>
  <c r="AC1338" i="6" s="1"/>
  <c r="AB1339" i="6"/>
  <c r="AC1339" i="6" s="1"/>
  <c r="AB1340" i="6"/>
  <c r="AC1340" i="6" s="1"/>
  <c r="AB1341" i="6"/>
  <c r="AC1341" i="6" s="1"/>
  <c r="AB1342" i="6"/>
  <c r="AC1342" i="6" s="1"/>
  <c r="AB1343" i="6"/>
  <c r="AC1343" i="6" s="1"/>
  <c r="AB1344" i="6"/>
  <c r="AC1344" i="6" s="1"/>
  <c r="AB1345" i="6"/>
  <c r="AC1345" i="6" s="1"/>
  <c r="AB1346" i="6"/>
  <c r="AC1346" i="6" s="1"/>
  <c r="AB1347" i="6"/>
  <c r="AC1347" i="6" s="1"/>
  <c r="AB1348" i="6"/>
  <c r="AC1348" i="6" s="1"/>
  <c r="AB1349" i="6"/>
  <c r="AC1349" i="6" s="1"/>
  <c r="AB1350" i="6"/>
  <c r="AC1350" i="6" s="1"/>
  <c r="AB1351" i="6"/>
  <c r="AC1351" i="6" s="1"/>
  <c r="AB1352" i="6"/>
  <c r="AC1352" i="6" s="1"/>
  <c r="AB1353" i="6"/>
  <c r="AC1353" i="6" s="1"/>
  <c r="AB1354" i="6"/>
  <c r="AC1354" i="6" s="1"/>
  <c r="AB1355" i="6"/>
  <c r="AC1355" i="6" s="1"/>
  <c r="AB1356" i="6"/>
  <c r="AC1356" i="6" s="1"/>
  <c r="AB1357" i="6"/>
  <c r="AC1357" i="6" s="1"/>
  <c r="AB1358" i="6"/>
  <c r="AC1358" i="6" s="1"/>
  <c r="AB1359" i="6"/>
  <c r="AC1359" i="6" s="1"/>
  <c r="AB1360" i="6"/>
  <c r="AC1360" i="6" s="1"/>
  <c r="AB1361" i="6"/>
  <c r="AC1361" i="6" s="1"/>
  <c r="AB1362" i="6"/>
  <c r="AC1362" i="6" s="1"/>
  <c r="AB1363" i="6"/>
  <c r="AC1363" i="6" s="1"/>
  <c r="AB1364" i="6"/>
  <c r="AC1364" i="6" s="1"/>
  <c r="AB1365" i="6"/>
  <c r="AC1365" i="6" s="1"/>
  <c r="AB1366" i="6"/>
  <c r="AC1366" i="6" s="1"/>
  <c r="AB1367" i="6"/>
  <c r="AC1367" i="6" s="1"/>
  <c r="AB1368" i="6"/>
  <c r="AC1368" i="6" s="1"/>
  <c r="AB1369" i="6"/>
  <c r="AC1369" i="6" s="1"/>
  <c r="AB1370" i="6"/>
  <c r="AC1370" i="6" s="1"/>
  <c r="AB1371" i="6"/>
  <c r="AC1371" i="6" s="1"/>
  <c r="AB1372" i="6"/>
  <c r="AC1372" i="6" s="1"/>
  <c r="AB1373" i="6"/>
  <c r="AC1373" i="6" s="1"/>
  <c r="AB1374" i="6"/>
  <c r="AC1374" i="6" s="1"/>
  <c r="AB1375" i="6"/>
  <c r="AC1375" i="6" s="1"/>
  <c r="AB1376" i="6"/>
  <c r="AC1376" i="6" s="1"/>
  <c r="AB1377" i="6"/>
  <c r="AC1377" i="6" s="1"/>
  <c r="AB1378" i="6"/>
  <c r="AC1378" i="6" s="1"/>
  <c r="AB1379" i="6"/>
  <c r="AC1379" i="6" s="1"/>
  <c r="AB1380" i="6"/>
  <c r="AC1380" i="6" s="1"/>
  <c r="AB1381" i="6"/>
  <c r="AC1381" i="6" s="1"/>
  <c r="AB1382" i="6"/>
  <c r="AC1382" i="6" s="1"/>
  <c r="AB1383" i="6"/>
  <c r="AC1383" i="6" s="1"/>
  <c r="AB1384" i="6"/>
  <c r="AC1384" i="6" s="1"/>
  <c r="AB1385" i="6"/>
  <c r="AC1385" i="6" s="1"/>
  <c r="AB1386" i="6"/>
  <c r="AC1386" i="6" s="1"/>
  <c r="AB1387" i="6"/>
  <c r="AC1387" i="6" s="1"/>
  <c r="AB1388" i="6"/>
  <c r="AC1388" i="6" s="1"/>
  <c r="AB1389" i="6"/>
  <c r="AC1389" i="6" s="1"/>
  <c r="AB1390" i="6"/>
  <c r="AC1390" i="6" s="1"/>
  <c r="AB1391" i="6"/>
  <c r="AC1391" i="6" s="1"/>
  <c r="AB1392" i="6"/>
  <c r="AC1392" i="6" s="1"/>
  <c r="AB1393" i="6"/>
  <c r="AC1393" i="6" s="1"/>
  <c r="AB1394" i="6"/>
  <c r="AC1394" i="6" s="1"/>
  <c r="AB1395" i="6"/>
  <c r="AC1395" i="6" s="1"/>
  <c r="AB1396" i="6"/>
  <c r="AC1396" i="6" s="1"/>
  <c r="AB1397" i="6"/>
  <c r="AC1397" i="6" s="1"/>
  <c r="AB1398" i="6"/>
  <c r="AC1398" i="6" s="1"/>
  <c r="AB1399" i="6"/>
  <c r="AC1399" i="6" s="1"/>
  <c r="AB1400" i="6"/>
  <c r="AC1400" i="6" s="1"/>
  <c r="AB1401" i="6"/>
  <c r="AC1401" i="6" s="1"/>
  <c r="AB1402" i="6"/>
  <c r="AC1402" i="6" s="1"/>
  <c r="AB1403" i="6"/>
  <c r="AC1403" i="6" s="1"/>
  <c r="AB1404" i="6"/>
  <c r="AC1404" i="6" s="1"/>
  <c r="AB1405" i="6"/>
  <c r="AC1405" i="6" s="1"/>
  <c r="AB1406" i="6"/>
  <c r="AC1406" i="6" s="1"/>
  <c r="AB1407" i="6"/>
  <c r="AC1407" i="6" s="1"/>
  <c r="AB1408" i="6"/>
  <c r="AC1408" i="6" s="1"/>
  <c r="AB1409" i="6"/>
  <c r="AC1409" i="6" s="1"/>
  <c r="AB1410" i="6"/>
  <c r="AC1410" i="6" s="1"/>
  <c r="AB1411" i="6"/>
  <c r="AC1411" i="6" s="1"/>
  <c r="AB1412" i="6"/>
  <c r="AC1412" i="6" s="1"/>
  <c r="AB1413" i="6"/>
  <c r="AC1413" i="6" s="1"/>
  <c r="AB1414" i="6"/>
  <c r="AC1414" i="6" s="1"/>
  <c r="AB1415" i="6"/>
  <c r="AC1415" i="6" s="1"/>
  <c r="AB1416" i="6"/>
  <c r="AC1416" i="6" s="1"/>
  <c r="AB1417" i="6"/>
  <c r="AC1417" i="6" s="1"/>
  <c r="AB1418" i="6"/>
  <c r="AC1418" i="6" s="1"/>
  <c r="AB1419" i="6"/>
  <c r="AC1419" i="6" s="1"/>
  <c r="AB1420" i="6"/>
  <c r="AC1420" i="6" s="1"/>
  <c r="AB1421" i="6"/>
  <c r="AC1421" i="6" s="1"/>
  <c r="AB1422" i="6"/>
  <c r="AC1422" i="6" s="1"/>
  <c r="AB1423" i="6"/>
  <c r="AC1423" i="6" s="1"/>
  <c r="AB1424" i="6"/>
  <c r="AC1424" i="6" s="1"/>
  <c r="AB1425" i="6"/>
  <c r="AC1425" i="6" s="1"/>
  <c r="AB1426" i="6"/>
  <c r="AC1426" i="6" s="1"/>
  <c r="AB1427" i="6"/>
  <c r="AC1427" i="6" s="1"/>
  <c r="AB1428" i="6"/>
  <c r="AC1428" i="6" s="1"/>
  <c r="AB1429" i="6"/>
  <c r="AC1429" i="6" s="1"/>
  <c r="AB1430" i="6"/>
  <c r="AC1430" i="6" s="1"/>
  <c r="AB1431" i="6"/>
  <c r="AC1431" i="6" s="1"/>
  <c r="AB1432" i="6"/>
  <c r="AC1432" i="6" s="1"/>
  <c r="AB1433" i="6"/>
  <c r="AC1433" i="6" s="1"/>
  <c r="AB1434" i="6"/>
  <c r="AC1434" i="6" s="1"/>
  <c r="AB1435" i="6"/>
  <c r="AC1435" i="6" s="1"/>
  <c r="AB1436" i="6"/>
  <c r="AC1436" i="6" s="1"/>
  <c r="AB1437" i="6"/>
  <c r="AC1437" i="6" s="1"/>
  <c r="AB1438" i="6"/>
  <c r="AC1438" i="6" s="1"/>
  <c r="AB1439" i="6"/>
  <c r="AC1439" i="6" s="1"/>
  <c r="AB1440" i="6"/>
  <c r="AC1440" i="6" s="1"/>
  <c r="AB1441" i="6"/>
  <c r="AC1441" i="6" s="1"/>
  <c r="AB1442" i="6"/>
  <c r="AC1442" i="6" s="1"/>
  <c r="AB1443" i="6"/>
  <c r="AC1443" i="6" s="1"/>
  <c r="AB1444" i="6"/>
  <c r="AC1444" i="6" s="1"/>
  <c r="AB1445" i="6"/>
  <c r="AC1445" i="6" s="1"/>
  <c r="AB1446" i="6"/>
  <c r="AC1446" i="6" s="1"/>
  <c r="AB1447" i="6"/>
  <c r="AC1447" i="6" s="1"/>
  <c r="AB1448" i="6"/>
  <c r="AC1448" i="6" s="1"/>
  <c r="AB1449" i="6"/>
  <c r="AC1449" i="6" s="1"/>
  <c r="AB1450" i="6"/>
  <c r="AC1450" i="6" s="1"/>
  <c r="AB1451" i="6"/>
  <c r="AC1451" i="6" s="1"/>
  <c r="AB1452" i="6"/>
  <c r="AC1452" i="6" s="1"/>
  <c r="AB1453" i="6"/>
  <c r="AC1453" i="6" s="1"/>
  <c r="AB1454" i="6"/>
  <c r="AC1454" i="6" s="1"/>
  <c r="AB1455" i="6"/>
  <c r="AC1455" i="6" s="1"/>
  <c r="AB1456" i="6"/>
  <c r="AC1456" i="6" s="1"/>
  <c r="AB1457" i="6"/>
  <c r="AC1457" i="6" s="1"/>
  <c r="AB1458" i="6"/>
  <c r="AC1458" i="6" s="1"/>
  <c r="AB1459" i="6"/>
  <c r="AC1459" i="6" s="1"/>
  <c r="AB1460" i="6"/>
  <c r="AC1460" i="6" s="1"/>
  <c r="AB1461" i="6"/>
  <c r="AC1461" i="6" s="1"/>
  <c r="AB1462" i="6"/>
  <c r="AC1462" i="6" s="1"/>
  <c r="AB1463" i="6"/>
  <c r="AC1463" i="6" s="1"/>
  <c r="AB1464" i="6"/>
  <c r="AC1464" i="6" s="1"/>
  <c r="AB1465" i="6"/>
  <c r="AC1465" i="6" s="1"/>
  <c r="AB1466" i="6"/>
  <c r="AC1466" i="6" s="1"/>
  <c r="AB1467" i="6"/>
  <c r="AC1467" i="6" s="1"/>
  <c r="AB1468" i="6"/>
  <c r="AC1468" i="6" s="1"/>
  <c r="AB1469" i="6"/>
  <c r="AC1469" i="6" s="1"/>
  <c r="AB1470" i="6"/>
  <c r="AC1470" i="6" s="1"/>
  <c r="AB1471" i="6"/>
  <c r="AC1471" i="6" s="1"/>
  <c r="AB1472" i="6"/>
  <c r="AC1472" i="6" s="1"/>
  <c r="AB1473" i="6"/>
  <c r="AC1473" i="6" s="1"/>
  <c r="AB1474" i="6"/>
  <c r="AC1474" i="6" s="1"/>
  <c r="AB1475" i="6"/>
  <c r="AC1475" i="6" s="1"/>
  <c r="AB1476" i="6"/>
  <c r="AC1476" i="6" s="1"/>
  <c r="AB1477" i="6"/>
  <c r="AC1477" i="6" s="1"/>
  <c r="AB1478" i="6"/>
  <c r="AC1478" i="6" s="1"/>
  <c r="AB1479" i="6"/>
  <c r="AC1479" i="6" s="1"/>
  <c r="AB1480" i="6"/>
  <c r="AC1480" i="6" s="1"/>
  <c r="AB1481" i="6"/>
  <c r="AC1481" i="6" s="1"/>
  <c r="AB1482" i="6"/>
  <c r="AC1482" i="6" s="1"/>
  <c r="AB1483" i="6"/>
  <c r="AC1483" i="6" s="1"/>
  <c r="AB1484" i="6"/>
  <c r="AC1484" i="6" s="1"/>
  <c r="AB1485" i="6"/>
  <c r="AC1485" i="6" s="1"/>
  <c r="AB1486" i="6"/>
  <c r="AC1486" i="6" s="1"/>
  <c r="AB1487" i="6"/>
  <c r="AC1487" i="6" s="1"/>
  <c r="AB1488" i="6"/>
  <c r="AC1488" i="6" s="1"/>
  <c r="AB1489" i="6"/>
  <c r="AC1489" i="6" s="1"/>
  <c r="AB1490" i="6"/>
  <c r="AC1490" i="6" s="1"/>
  <c r="AB1491" i="6"/>
  <c r="AC1491" i="6" s="1"/>
  <c r="AB1492" i="6"/>
  <c r="AC1492" i="6" s="1"/>
  <c r="AB1493" i="6"/>
  <c r="AC1493" i="6" s="1"/>
  <c r="AB1494" i="6"/>
  <c r="AC1494" i="6" s="1"/>
  <c r="AB1495" i="6"/>
  <c r="AC1495" i="6" s="1"/>
  <c r="AB1496" i="6"/>
  <c r="AC1496" i="6" s="1"/>
  <c r="AB1497" i="6"/>
  <c r="AC1497" i="6" s="1"/>
  <c r="AB1498" i="6"/>
  <c r="AC1498" i="6" s="1"/>
  <c r="AB1499" i="6"/>
  <c r="AC1499" i="6" s="1"/>
  <c r="AB1500" i="6"/>
  <c r="AC1500" i="6" s="1"/>
  <c r="AB1501" i="6"/>
  <c r="AC1501" i="6" s="1"/>
  <c r="AB1502" i="6"/>
  <c r="AC1502" i="6" s="1"/>
  <c r="AB1503" i="6"/>
  <c r="AC1503" i="6" s="1"/>
  <c r="AB1504" i="6"/>
  <c r="AC1504" i="6" s="1"/>
  <c r="AB1505" i="6"/>
  <c r="AC1505" i="6" s="1"/>
  <c r="AB1506" i="6"/>
  <c r="AC1506" i="6" s="1"/>
  <c r="AB1507" i="6"/>
  <c r="AC1507" i="6" s="1"/>
  <c r="AB1508" i="6"/>
  <c r="AC1508" i="6" s="1"/>
  <c r="AB1509" i="6"/>
  <c r="AC1509" i="6" s="1"/>
  <c r="AB1510" i="6"/>
  <c r="AC1510" i="6" s="1"/>
  <c r="AB1511" i="6"/>
  <c r="AC1511" i="6" s="1"/>
  <c r="AB1512" i="6"/>
  <c r="AC1512" i="6" s="1"/>
  <c r="AB1513" i="6"/>
  <c r="AC1513" i="6" s="1"/>
  <c r="AB1514" i="6"/>
  <c r="AC1514" i="6" s="1"/>
  <c r="AB1515" i="6"/>
  <c r="AC1515" i="6" s="1"/>
  <c r="AB1516" i="6"/>
  <c r="AC1516" i="6" s="1"/>
  <c r="AB1517" i="6"/>
  <c r="AC1517" i="6" s="1"/>
  <c r="AB1518" i="6"/>
  <c r="AC1518" i="6" s="1"/>
  <c r="AB1519" i="6"/>
  <c r="AC1519" i="6" s="1"/>
  <c r="AB1520" i="6"/>
  <c r="AC1520" i="6" s="1"/>
  <c r="AB1521" i="6"/>
  <c r="AC1521" i="6" s="1"/>
  <c r="AB1522" i="6"/>
  <c r="AC1522" i="6" s="1"/>
  <c r="AB1523" i="6"/>
  <c r="AC1523" i="6" s="1"/>
  <c r="AB1524" i="6"/>
  <c r="AC1524" i="6" s="1"/>
  <c r="AB1525" i="6"/>
  <c r="AC1525" i="6" s="1"/>
  <c r="AB1526" i="6"/>
  <c r="AC1526" i="6" s="1"/>
  <c r="AB1527" i="6"/>
  <c r="AC1527" i="6" s="1"/>
  <c r="AB1528" i="6"/>
  <c r="AC1528" i="6" s="1"/>
  <c r="AB1529" i="6"/>
  <c r="AC1529" i="6" s="1"/>
  <c r="AB1530" i="6"/>
  <c r="AC1530" i="6" s="1"/>
  <c r="AB1531" i="6"/>
  <c r="AC1531" i="6" s="1"/>
  <c r="AB1532" i="6"/>
  <c r="AC1532" i="6" s="1"/>
  <c r="AB1533" i="6"/>
  <c r="AC1533" i="6" s="1"/>
  <c r="AB1534" i="6"/>
  <c r="AC1534" i="6" s="1"/>
  <c r="AB1535" i="6"/>
  <c r="AC1535" i="6" s="1"/>
  <c r="AB1536" i="6"/>
  <c r="AC1536" i="6" s="1"/>
  <c r="AB1537" i="6"/>
  <c r="AC1537" i="6" s="1"/>
  <c r="AB1538" i="6"/>
  <c r="AC1538" i="6" s="1"/>
  <c r="AB1539" i="6"/>
  <c r="AC1539" i="6" s="1"/>
  <c r="AB1540" i="6"/>
  <c r="AC1540" i="6" s="1"/>
  <c r="AB1541" i="6"/>
  <c r="AC1541" i="6" s="1"/>
  <c r="AB1542" i="6"/>
  <c r="AC1542" i="6" s="1"/>
  <c r="AB1543" i="6"/>
  <c r="AC1543" i="6" s="1"/>
  <c r="AB1544" i="6"/>
  <c r="AC1544" i="6" s="1"/>
  <c r="AB1545" i="6"/>
  <c r="AC1545" i="6" s="1"/>
  <c r="AB1546" i="6"/>
  <c r="AC1546" i="6" s="1"/>
  <c r="AB1547" i="6"/>
  <c r="AC1547" i="6" s="1"/>
  <c r="AB1548" i="6"/>
  <c r="AC1548" i="6" s="1"/>
  <c r="AB1549" i="6"/>
  <c r="AC1549" i="6" s="1"/>
  <c r="AB1550" i="6"/>
  <c r="AC1550" i="6" s="1"/>
  <c r="AB1551" i="6"/>
  <c r="AC1551" i="6" s="1"/>
  <c r="AB1552" i="6"/>
  <c r="AC1552" i="6" s="1"/>
  <c r="AB1553" i="6"/>
  <c r="AC1553" i="6" s="1"/>
  <c r="AB1554" i="6"/>
  <c r="AC1554" i="6" s="1"/>
  <c r="AB1555" i="6"/>
  <c r="AC1555" i="6" s="1"/>
  <c r="AB1556" i="6"/>
  <c r="AB1557" i="6"/>
  <c r="AB1558" i="6"/>
  <c r="AB1559" i="6"/>
  <c r="AB1560" i="6"/>
  <c r="AB1561" i="6"/>
  <c r="AB1562" i="6"/>
  <c r="AB1563" i="6"/>
  <c r="AB1564" i="6"/>
  <c r="AB1565" i="6"/>
  <c r="AC1565" i="6" s="1"/>
  <c r="AB1566" i="6"/>
  <c r="AC1566" i="6" s="1"/>
  <c r="AB1567" i="6"/>
  <c r="AC1567" i="6" s="1"/>
  <c r="AB1568" i="6"/>
  <c r="AC1568" i="6" s="1"/>
  <c r="AB1569" i="6"/>
  <c r="AC1569" i="6" s="1"/>
  <c r="AB1570" i="6"/>
  <c r="AC1570" i="6" s="1"/>
  <c r="AB1571" i="6"/>
  <c r="AC1571" i="6" s="1"/>
  <c r="AB1572" i="6"/>
  <c r="AC1572" i="6" s="1"/>
  <c r="AB1573" i="6"/>
  <c r="AC1573" i="6" s="1"/>
  <c r="AB1574" i="6"/>
  <c r="AC1574" i="6" s="1"/>
  <c r="AB1575" i="6"/>
  <c r="AC1575" i="6" s="1"/>
  <c r="AB1576" i="6"/>
  <c r="AC1576" i="6" s="1"/>
  <c r="AB1577" i="6"/>
  <c r="AC1577" i="6" s="1"/>
  <c r="AB1578" i="6"/>
  <c r="AC1578" i="6" s="1"/>
  <c r="AB1579" i="6"/>
  <c r="AC1579" i="6" s="1"/>
  <c r="AB1580" i="6"/>
  <c r="AC1580" i="6" s="1"/>
  <c r="AB1581" i="6"/>
  <c r="AC1581" i="6" s="1"/>
  <c r="AB1582" i="6"/>
  <c r="AC1582" i="6" s="1"/>
  <c r="AB1583" i="6"/>
  <c r="AC1583" i="6" s="1"/>
  <c r="AB1584" i="6"/>
  <c r="AC1584" i="6" s="1"/>
  <c r="AB1585" i="6"/>
  <c r="AC1585" i="6" s="1"/>
  <c r="AB1586" i="6"/>
  <c r="AC1586" i="6" s="1"/>
  <c r="AB1587" i="6"/>
  <c r="AC1587" i="6" s="1"/>
  <c r="AB1588" i="6"/>
  <c r="AC1588" i="6" s="1"/>
  <c r="AB1589" i="6"/>
  <c r="AC1589" i="6" s="1"/>
  <c r="AB1590" i="6"/>
  <c r="AC1590" i="6" s="1"/>
  <c r="AB1591" i="6"/>
  <c r="AC1591" i="6" s="1"/>
  <c r="AB1592" i="6"/>
  <c r="AC1592" i="6" s="1"/>
  <c r="AB1593" i="6"/>
  <c r="AC1593" i="6" s="1"/>
  <c r="AB1594" i="6"/>
  <c r="AC1594" i="6" s="1"/>
  <c r="AB1595" i="6"/>
  <c r="AC1595" i="6" s="1"/>
  <c r="AB1596" i="6"/>
  <c r="AC1596" i="6" s="1"/>
  <c r="AB1597" i="6"/>
  <c r="AC1597" i="6" s="1"/>
  <c r="AB1598" i="6"/>
  <c r="AC1598" i="6" s="1"/>
  <c r="AB1599" i="6"/>
  <c r="AC1599" i="6" s="1"/>
  <c r="AB1600" i="6"/>
  <c r="AC1600" i="6" s="1"/>
  <c r="AB1601" i="6"/>
  <c r="AC1601" i="6" s="1"/>
  <c r="AB1602" i="6"/>
  <c r="AC1602" i="6" s="1"/>
  <c r="AB1603" i="6"/>
  <c r="AC1603" i="6" s="1"/>
  <c r="AB1604" i="6"/>
  <c r="AC1604" i="6" s="1"/>
  <c r="AB1605" i="6"/>
  <c r="AC1605" i="6" s="1"/>
  <c r="AB1606" i="6"/>
  <c r="AC1606" i="6" s="1"/>
  <c r="AB1607" i="6"/>
  <c r="AC1607" i="6" s="1"/>
  <c r="AB1608" i="6"/>
  <c r="AC1608" i="6" s="1"/>
  <c r="AB1609" i="6"/>
  <c r="AC1609" i="6" s="1"/>
  <c r="AB1610" i="6"/>
  <c r="AC1610" i="6" s="1"/>
  <c r="AB1611" i="6"/>
  <c r="AC1611" i="6" s="1"/>
  <c r="AB1612" i="6"/>
  <c r="AC1612" i="6" s="1"/>
  <c r="AB1613" i="6"/>
  <c r="AC1613" i="6" s="1"/>
  <c r="AB1614" i="6"/>
  <c r="AC1614" i="6" s="1"/>
  <c r="AB1615" i="6"/>
  <c r="AC1615" i="6" s="1"/>
  <c r="AB1616" i="6"/>
  <c r="AC1616" i="6" s="1"/>
  <c r="AB1617" i="6"/>
  <c r="AC1617" i="6" s="1"/>
  <c r="AB1618" i="6"/>
  <c r="AC1618" i="6" s="1"/>
  <c r="AB1619" i="6"/>
  <c r="AC1619" i="6" s="1"/>
  <c r="AB1620" i="6"/>
  <c r="AC1620" i="6" s="1"/>
  <c r="AB1621" i="6"/>
  <c r="AC1621" i="6" s="1"/>
  <c r="AB1622" i="6"/>
  <c r="AC1622" i="6" s="1"/>
  <c r="AB1623" i="6"/>
  <c r="AC1623" i="6" s="1"/>
  <c r="AB1624" i="6"/>
  <c r="AC1624" i="6" s="1"/>
  <c r="AB1625" i="6"/>
  <c r="AC1625" i="6" s="1"/>
  <c r="AB1626" i="6"/>
  <c r="AC1626" i="6" s="1"/>
  <c r="AB1627" i="6"/>
  <c r="AC1627" i="6" s="1"/>
  <c r="AB1628" i="6"/>
  <c r="AC1628" i="6" s="1"/>
  <c r="AB1629" i="6"/>
  <c r="AC1629" i="6" s="1"/>
  <c r="AB1630" i="6"/>
  <c r="AC1630" i="6" s="1"/>
  <c r="AB1631" i="6"/>
  <c r="AC1631" i="6" s="1"/>
  <c r="AB1632" i="6"/>
  <c r="AC1632" i="6" s="1"/>
  <c r="AB1633" i="6"/>
  <c r="AC1633" i="6" s="1"/>
  <c r="AB1634" i="6"/>
  <c r="AC1634" i="6" s="1"/>
  <c r="AB1635" i="6"/>
  <c r="AC1635" i="6" s="1"/>
  <c r="AB1636" i="6"/>
  <c r="AC1636" i="6" s="1"/>
  <c r="AB1637" i="6"/>
  <c r="AC1637" i="6" s="1"/>
  <c r="AB1638" i="6"/>
  <c r="AC1638" i="6" s="1"/>
  <c r="AB1639" i="6"/>
  <c r="AC1639" i="6" s="1"/>
  <c r="AB1640" i="6"/>
  <c r="AC1640" i="6" s="1"/>
  <c r="AB1641" i="6"/>
  <c r="AC1641" i="6" s="1"/>
  <c r="AB1642" i="6"/>
  <c r="AC1642" i="6" s="1"/>
  <c r="AB1643" i="6"/>
  <c r="AC1643" i="6" s="1"/>
  <c r="AB1644" i="6"/>
  <c r="AC1644" i="6" s="1"/>
  <c r="AB1645" i="6"/>
  <c r="AC1645" i="6" s="1"/>
  <c r="AB1646" i="6"/>
  <c r="AC1646" i="6" s="1"/>
  <c r="AB1647" i="6"/>
  <c r="AC1647" i="6" s="1"/>
  <c r="AB1648" i="6"/>
  <c r="AC1648" i="6" s="1"/>
  <c r="AB1649" i="6"/>
  <c r="AC1649" i="6" s="1"/>
  <c r="AB1650" i="6"/>
  <c r="AC1650" i="6" s="1"/>
  <c r="AB1651" i="6"/>
  <c r="AC1651" i="6" s="1"/>
  <c r="AB1652" i="6"/>
  <c r="AC1652" i="6" s="1"/>
  <c r="AB1653" i="6"/>
  <c r="AC1653" i="6" s="1"/>
  <c r="AB1654" i="6"/>
  <c r="AC1654" i="6" s="1"/>
  <c r="AB1655" i="6"/>
  <c r="AC1655" i="6" s="1"/>
  <c r="AB1656" i="6"/>
  <c r="AC1656" i="6" s="1"/>
  <c r="AB1657" i="6"/>
  <c r="AC1657" i="6" s="1"/>
  <c r="AB1658" i="6"/>
  <c r="AC1658" i="6" s="1"/>
  <c r="AB1659" i="6"/>
  <c r="AC1659" i="6" s="1"/>
  <c r="AB1660" i="6"/>
  <c r="AC1660" i="6" s="1"/>
  <c r="AB1661" i="6"/>
  <c r="AC1661" i="6" s="1"/>
  <c r="AB1662" i="6"/>
  <c r="AC1662" i="6" s="1"/>
  <c r="AB1663" i="6"/>
  <c r="AC1663" i="6" s="1"/>
  <c r="AB1664" i="6"/>
  <c r="AC1664" i="6" s="1"/>
  <c r="AB1665" i="6"/>
  <c r="AC1665" i="6" s="1"/>
  <c r="AB1666" i="6"/>
  <c r="AC1666" i="6" s="1"/>
  <c r="AB1667" i="6"/>
  <c r="AC1667" i="6" s="1"/>
  <c r="AB1668" i="6"/>
  <c r="AC1668" i="6" s="1"/>
  <c r="AB1669" i="6"/>
  <c r="AC1669" i="6" s="1"/>
  <c r="AB1670" i="6"/>
  <c r="AC1670" i="6" s="1"/>
  <c r="AB1671" i="6"/>
  <c r="AC1671" i="6" s="1"/>
  <c r="AB1672" i="6"/>
  <c r="AC1672" i="6" s="1"/>
  <c r="AB1673" i="6"/>
  <c r="AC1673" i="6" s="1"/>
  <c r="AB1674" i="6"/>
  <c r="AC1674" i="6" s="1"/>
  <c r="AB1675" i="6"/>
  <c r="AC1675" i="6" s="1"/>
  <c r="AB1676" i="6"/>
  <c r="AC1676" i="6" s="1"/>
  <c r="AB1677" i="6"/>
  <c r="AC1677" i="6" s="1"/>
  <c r="AB1678" i="6"/>
  <c r="AC1678" i="6" s="1"/>
  <c r="AB1679" i="6"/>
  <c r="AC1679" i="6" s="1"/>
  <c r="AB1680" i="6"/>
  <c r="AC1680" i="6" s="1"/>
  <c r="AB1681" i="6"/>
  <c r="AC1681" i="6" s="1"/>
  <c r="AB1682" i="6"/>
  <c r="AC1682" i="6" s="1"/>
  <c r="AB1683" i="6"/>
  <c r="AC1683" i="6" s="1"/>
  <c r="AB1684" i="6"/>
  <c r="AC1684" i="6" s="1"/>
  <c r="AB1685" i="6"/>
  <c r="AC1685" i="6" s="1"/>
  <c r="AB1686" i="6"/>
  <c r="AC1686" i="6" s="1"/>
  <c r="AB1687" i="6"/>
  <c r="AC1687" i="6" s="1"/>
  <c r="AB1688" i="6"/>
  <c r="AC1688" i="6" s="1"/>
  <c r="AB1689" i="6"/>
  <c r="AC1689" i="6" s="1"/>
  <c r="AB1690" i="6"/>
  <c r="AC1690" i="6" s="1"/>
  <c r="AB1691" i="6"/>
  <c r="AC1691" i="6" s="1"/>
  <c r="AB1692" i="6"/>
  <c r="AC1692" i="6" s="1"/>
  <c r="AB1693" i="6"/>
  <c r="AC1693" i="6" s="1"/>
  <c r="AB1694" i="6"/>
  <c r="AC1694" i="6" s="1"/>
  <c r="AB1695" i="6"/>
  <c r="AC1695" i="6" s="1"/>
  <c r="AB1696" i="6"/>
  <c r="AC1696" i="6" s="1"/>
  <c r="AB1697" i="6"/>
  <c r="AC1697" i="6" s="1"/>
  <c r="AB1698" i="6"/>
  <c r="AC1698" i="6" s="1"/>
  <c r="AB1699" i="6"/>
  <c r="AC1699" i="6" s="1"/>
  <c r="AB1700" i="6"/>
  <c r="AC1700" i="6" s="1"/>
  <c r="AB1701" i="6"/>
  <c r="AC1701" i="6" s="1"/>
  <c r="AB1702" i="6"/>
  <c r="AC1702" i="6" s="1"/>
  <c r="AB1703" i="6"/>
  <c r="AC1703" i="6" s="1"/>
  <c r="AB1704" i="6"/>
  <c r="AC1704" i="6" s="1"/>
  <c r="AB1705" i="6"/>
  <c r="AC1705" i="6" s="1"/>
  <c r="AB1706" i="6"/>
  <c r="AC1706" i="6" s="1"/>
  <c r="AB1707" i="6"/>
  <c r="AC1707" i="6" s="1"/>
  <c r="AB1708" i="6"/>
  <c r="AC1708" i="6" s="1"/>
  <c r="AB1709" i="6"/>
  <c r="AC1709" i="6" s="1"/>
  <c r="AB1710" i="6"/>
  <c r="AC1710" i="6" s="1"/>
  <c r="AB1711" i="6"/>
  <c r="AC1711" i="6" s="1"/>
  <c r="AB1712" i="6"/>
  <c r="AC1712" i="6" s="1"/>
  <c r="AB1713" i="6"/>
  <c r="AC1713" i="6" s="1"/>
  <c r="AB1714" i="6"/>
  <c r="AC1714" i="6" s="1"/>
  <c r="AB1715" i="6"/>
  <c r="AC1715" i="6" s="1"/>
  <c r="AB1716" i="6"/>
  <c r="AC1716" i="6" s="1"/>
  <c r="AB1717" i="6"/>
  <c r="AC1717" i="6" s="1"/>
  <c r="AB1718" i="6"/>
  <c r="AC1718" i="6" s="1"/>
  <c r="AB1719" i="6"/>
  <c r="AC1719" i="6" s="1"/>
  <c r="AB1720" i="6"/>
  <c r="AC1720" i="6" s="1"/>
  <c r="AB1721" i="6"/>
  <c r="AC1721" i="6" s="1"/>
  <c r="AB1722" i="6"/>
  <c r="AC1722" i="6" s="1"/>
  <c r="AB1723" i="6"/>
  <c r="AC1723" i="6" s="1"/>
  <c r="AB1724" i="6"/>
  <c r="AC1724" i="6" s="1"/>
  <c r="AB1725" i="6"/>
  <c r="AC1725" i="6" s="1"/>
  <c r="AB1726" i="6"/>
  <c r="AC1726" i="6" s="1"/>
  <c r="AB1727" i="6"/>
  <c r="AC1727" i="6" s="1"/>
  <c r="AB1728" i="6"/>
  <c r="AC1728" i="6" s="1"/>
  <c r="AB1729" i="6"/>
  <c r="AC1729" i="6" s="1"/>
  <c r="AB1730" i="6"/>
  <c r="AC1730" i="6" s="1"/>
  <c r="AB1731" i="6"/>
  <c r="AC1731" i="6" s="1"/>
  <c r="AB1732" i="6"/>
  <c r="AC1732" i="6" s="1"/>
  <c r="AB1733" i="6"/>
  <c r="AC1733" i="6" s="1"/>
  <c r="AB1734" i="6"/>
  <c r="AC1734" i="6" s="1"/>
  <c r="AB1735" i="6"/>
  <c r="AC1735" i="6" s="1"/>
  <c r="AB1736" i="6"/>
  <c r="AC1736" i="6" s="1"/>
  <c r="AB1737" i="6"/>
  <c r="AC1737" i="6" s="1"/>
  <c r="AB1738" i="6"/>
  <c r="AC1738" i="6" s="1"/>
  <c r="AB1739" i="6"/>
  <c r="AC1739" i="6" s="1"/>
  <c r="AB1740" i="6"/>
  <c r="AC1740" i="6" s="1"/>
  <c r="AB1741" i="6"/>
  <c r="AC1741" i="6" s="1"/>
  <c r="AB1742" i="6"/>
  <c r="AC1742" i="6" s="1"/>
  <c r="AB1743" i="6"/>
  <c r="AC1743" i="6" s="1"/>
  <c r="AB1744" i="6"/>
  <c r="AC1744" i="6" s="1"/>
  <c r="AB1745" i="6"/>
  <c r="AC1745" i="6" s="1"/>
  <c r="AB1746" i="6"/>
  <c r="AC1746" i="6" s="1"/>
  <c r="AB1747" i="6"/>
  <c r="AC1747" i="6" s="1"/>
  <c r="AB1748" i="6"/>
  <c r="AC1748" i="6" s="1"/>
  <c r="AB1749" i="6"/>
  <c r="AC1749" i="6" s="1"/>
  <c r="AB1750" i="6"/>
  <c r="AC1750" i="6" s="1"/>
  <c r="AB1751" i="6"/>
  <c r="AC1751" i="6" s="1"/>
  <c r="AB1752" i="6"/>
  <c r="AC1752" i="6" s="1"/>
  <c r="AB1753" i="6"/>
  <c r="AC1753" i="6" s="1"/>
  <c r="AB1754" i="6"/>
  <c r="AC1754" i="6" s="1"/>
  <c r="AB1755" i="6"/>
  <c r="AC1755" i="6" s="1"/>
  <c r="AB1756" i="6"/>
  <c r="AC1756" i="6" s="1"/>
  <c r="AB1757" i="6"/>
  <c r="AC1757" i="6" s="1"/>
  <c r="AB1758" i="6"/>
  <c r="AC1758" i="6" s="1"/>
  <c r="AB1759" i="6"/>
  <c r="AC1759" i="6" s="1"/>
  <c r="AB1760" i="6"/>
  <c r="AC1760" i="6" s="1"/>
  <c r="AB1761" i="6"/>
  <c r="AC1761" i="6" s="1"/>
  <c r="AB1762" i="6"/>
  <c r="AC1762" i="6" s="1"/>
  <c r="AB1763" i="6"/>
  <c r="AC1763" i="6" s="1"/>
  <c r="AB1764" i="6"/>
  <c r="AC1764" i="6" s="1"/>
  <c r="AB1765" i="6"/>
  <c r="AC1765" i="6" s="1"/>
  <c r="AB1766" i="6"/>
  <c r="AC1766" i="6" s="1"/>
  <c r="AB1767" i="6"/>
  <c r="AC1767" i="6" s="1"/>
  <c r="AB1768" i="6"/>
  <c r="AC1768" i="6" s="1"/>
  <c r="AB1769" i="6"/>
  <c r="AC1769" i="6" s="1"/>
  <c r="AB1770" i="6"/>
  <c r="AC1770" i="6" s="1"/>
  <c r="AB1771" i="6"/>
  <c r="AC1771" i="6" s="1"/>
  <c r="AB1772" i="6"/>
  <c r="AC1772" i="6" s="1"/>
  <c r="AB1773" i="6"/>
  <c r="AC1773" i="6" s="1"/>
  <c r="AB1774" i="6"/>
  <c r="AC1774" i="6" s="1"/>
  <c r="AB1775" i="6"/>
  <c r="AC1775" i="6" s="1"/>
  <c r="AB1776" i="6"/>
  <c r="AC1776" i="6" s="1"/>
  <c r="AB1777" i="6"/>
  <c r="AC1777" i="6" s="1"/>
  <c r="AB1778" i="6"/>
  <c r="AC1778" i="6" s="1"/>
  <c r="AB1779" i="6"/>
  <c r="AC1779" i="6" s="1"/>
  <c r="AB1780" i="6"/>
  <c r="AC1780" i="6" s="1"/>
  <c r="AB1781" i="6"/>
  <c r="AC1781" i="6" s="1"/>
  <c r="AB1782" i="6"/>
  <c r="AC1782" i="6" s="1"/>
  <c r="AB1783" i="6"/>
  <c r="AC1783" i="6" s="1"/>
  <c r="AB1784" i="6"/>
  <c r="AC1784" i="6" s="1"/>
  <c r="AB1785" i="6"/>
  <c r="AC1785" i="6" s="1"/>
  <c r="AB1786" i="6"/>
  <c r="AC1786" i="6" s="1"/>
  <c r="AB1787" i="6"/>
  <c r="AC1787" i="6" s="1"/>
  <c r="AB1788" i="6"/>
  <c r="AC1788" i="6" s="1"/>
  <c r="AB1789" i="6"/>
  <c r="AC1789" i="6" s="1"/>
  <c r="AB1790" i="6"/>
  <c r="AC1790" i="6" s="1"/>
  <c r="AB1791" i="6"/>
  <c r="AC1791" i="6" s="1"/>
  <c r="AB1792" i="6"/>
  <c r="AC1792" i="6" s="1"/>
  <c r="AB1793" i="6"/>
  <c r="AC1793" i="6" s="1"/>
  <c r="AB1794" i="6"/>
  <c r="AC1794" i="6" s="1"/>
  <c r="AB1795" i="6"/>
  <c r="AC1795" i="6" s="1"/>
  <c r="AB1796" i="6"/>
  <c r="AC1796" i="6" s="1"/>
  <c r="AB1797" i="6"/>
  <c r="AC1797" i="6" s="1"/>
  <c r="AB1798" i="6"/>
  <c r="AC1798" i="6" s="1"/>
  <c r="AB1799" i="6"/>
  <c r="AC1799" i="6" s="1"/>
  <c r="AB1800" i="6"/>
  <c r="AC1800" i="6" s="1"/>
  <c r="AB1801" i="6"/>
  <c r="AC1801" i="6" s="1"/>
  <c r="AB1802" i="6"/>
  <c r="AC1802" i="6" s="1"/>
  <c r="AB1803" i="6"/>
  <c r="AC1803" i="6" s="1"/>
  <c r="AB1804" i="6"/>
  <c r="AC1804" i="6" s="1"/>
  <c r="AB1805" i="6"/>
  <c r="AC1805" i="6" s="1"/>
  <c r="AB1806" i="6"/>
  <c r="AC1806" i="6" s="1"/>
  <c r="AB1807" i="6"/>
  <c r="AC1807" i="6" s="1"/>
  <c r="AB1808" i="6"/>
  <c r="AC1808" i="6" s="1"/>
  <c r="AB1809" i="6"/>
  <c r="AC1809" i="6" s="1"/>
  <c r="AB1810" i="6"/>
  <c r="AC1810" i="6" s="1"/>
  <c r="AB1811" i="6"/>
  <c r="AC1811" i="6" s="1"/>
  <c r="AB1812" i="6"/>
  <c r="AC1812" i="6" s="1"/>
  <c r="AB1813" i="6"/>
  <c r="AC1813" i="6" s="1"/>
  <c r="AB1814" i="6"/>
  <c r="AC1814" i="6" s="1"/>
  <c r="AB1815" i="6"/>
  <c r="AC1815" i="6" s="1"/>
  <c r="AB1816" i="6"/>
  <c r="AC1816" i="6" s="1"/>
  <c r="AB1817" i="6"/>
  <c r="AC1817" i="6" s="1"/>
  <c r="AB1818" i="6"/>
  <c r="AC1818" i="6" s="1"/>
  <c r="AB1819" i="6"/>
  <c r="AC1819" i="6" s="1"/>
  <c r="AB1820" i="6"/>
  <c r="AC1820" i="6" s="1"/>
  <c r="AB1821" i="6"/>
  <c r="AC1821" i="6" s="1"/>
  <c r="AB1822" i="6"/>
  <c r="AC1822" i="6" s="1"/>
  <c r="AB1823" i="6"/>
  <c r="AC1823" i="6" s="1"/>
  <c r="AB1824" i="6"/>
  <c r="AC1824" i="6" s="1"/>
  <c r="AB1825" i="6"/>
  <c r="AC1825" i="6" s="1"/>
  <c r="AB1826" i="6"/>
  <c r="AC1826" i="6" s="1"/>
  <c r="AB1827" i="6"/>
  <c r="AC1827" i="6" s="1"/>
  <c r="AB1828" i="6"/>
  <c r="AC1828" i="6" s="1"/>
  <c r="AB1829" i="6"/>
  <c r="AC1829" i="6" s="1"/>
  <c r="AB1830" i="6"/>
  <c r="AC1830" i="6" s="1"/>
  <c r="AB1831" i="6"/>
  <c r="AC1831" i="6" s="1"/>
  <c r="AB1832" i="6"/>
  <c r="AC1832" i="6" s="1"/>
  <c r="AB1833" i="6"/>
  <c r="AC1833" i="6" s="1"/>
  <c r="AB1834" i="6"/>
  <c r="AC1834" i="6" s="1"/>
  <c r="AB1835" i="6"/>
  <c r="AC1835" i="6" s="1"/>
  <c r="AB1836" i="6"/>
  <c r="AC1836" i="6" s="1"/>
  <c r="AB1837" i="6"/>
  <c r="AC1837" i="6" s="1"/>
  <c r="AB1838" i="6"/>
  <c r="AC1838" i="6" s="1"/>
  <c r="AB1839" i="6"/>
  <c r="AC1839" i="6" s="1"/>
  <c r="AB1840" i="6"/>
  <c r="AC1840" i="6" s="1"/>
  <c r="AB1841" i="6"/>
  <c r="AC1841" i="6" s="1"/>
  <c r="AB1842" i="6"/>
  <c r="AC1842" i="6" s="1"/>
  <c r="AB1843" i="6"/>
  <c r="AC1843" i="6" s="1"/>
  <c r="AB1844" i="6"/>
  <c r="AC1844" i="6" s="1"/>
  <c r="AB1845" i="6"/>
  <c r="AC1845" i="6" s="1"/>
  <c r="AB1846" i="6"/>
  <c r="AC1846" i="6" s="1"/>
  <c r="AB1847" i="6"/>
  <c r="AC1847" i="6" s="1"/>
  <c r="AB1848" i="6"/>
  <c r="AC1848" i="6" s="1"/>
  <c r="AB1849" i="6"/>
  <c r="AC1849" i="6" s="1"/>
  <c r="AB1850" i="6"/>
  <c r="AC1850" i="6" s="1"/>
  <c r="AB1851" i="6"/>
  <c r="AC1851" i="6" s="1"/>
  <c r="AB1852" i="6"/>
  <c r="AC1852" i="6" s="1"/>
  <c r="AB1853" i="6"/>
  <c r="AC1853" i="6" s="1"/>
  <c r="AB1854" i="6"/>
  <c r="AC1854" i="6" s="1"/>
  <c r="AB1855" i="6"/>
  <c r="AC1855" i="6" s="1"/>
  <c r="AB1856" i="6"/>
  <c r="AC1856" i="6" s="1"/>
  <c r="AB1857" i="6"/>
  <c r="AC1857" i="6" s="1"/>
  <c r="AB1858" i="6"/>
  <c r="AC1858" i="6" s="1"/>
  <c r="AB1859" i="6"/>
  <c r="AC1859" i="6" s="1"/>
  <c r="AB1860" i="6"/>
  <c r="AC1860" i="6" s="1"/>
  <c r="AB1861" i="6"/>
  <c r="AC1861" i="6" s="1"/>
  <c r="AB1862" i="6"/>
  <c r="AC1862" i="6" s="1"/>
  <c r="AB1863" i="6"/>
  <c r="AC1863" i="6" s="1"/>
  <c r="AB1864" i="6"/>
  <c r="AC1864" i="6" s="1"/>
  <c r="AB1865" i="6"/>
  <c r="AC1865" i="6" s="1"/>
  <c r="AB1866" i="6"/>
  <c r="AC1866" i="6" s="1"/>
  <c r="AB1867" i="6"/>
  <c r="AC1867" i="6" s="1"/>
  <c r="AB1868" i="6"/>
  <c r="AC1868" i="6" s="1"/>
  <c r="AB1869" i="6"/>
  <c r="AC1869" i="6" s="1"/>
  <c r="AB1870" i="6"/>
  <c r="AC1870" i="6" s="1"/>
  <c r="AB1871" i="6"/>
  <c r="AC1871" i="6" s="1"/>
  <c r="AB1872" i="6"/>
  <c r="AC1872" i="6" s="1"/>
  <c r="AB1873" i="6"/>
  <c r="AC1873" i="6" s="1"/>
  <c r="AB1874" i="6"/>
  <c r="AC1874" i="6" s="1"/>
  <c r="AB1875" i="6"/>
  <c r="AC1875" i="6" s="1"/>
  <c r="AB1876" i="6"/>
  <c r="AC1876" i="6" s="1"/>
  <c r="AB1877" i="6"/>
  <c r="AC1877" i="6" s="1"/>
  <c r="AB1878" i="6"/>
  <c r="AC1878" i="6" s="1"/>
  <c r="AB1879" i="6"/>
  <c r="AC1879" i="6" s="1"/>
  <c r="AB1880" i="6"/>
  <c r="AC1880" i="6" s="1"/>
  <c r="AB1881" i="6"/>
  <c r="AC1881" i="6" s="1"/>
  <c r="AB1882" i="6"/>
  <c r="AC1882" i="6" s="1"/>
  <c r="AB1883" i="6"/>
  <c r="AC1883" i="6" s="1"/>
  <c r="AB1884" i="6"/>
  <c r="AC1884" i="6" s="1"/>
  <c r="AB1885" i="6"/>
  <c r="AC1885" i="6" s="1"/>
  <c r="AB1886" i="6"/>
  <c r="AC1886" i="6" s="1"/>
  <c r="AB1887" i="6"/>
  <c r="AC1887" i="6" s="1"/>
  <c r="AB1888" i="6"/>
  <c r="AC1888" i="6" s="1"/>
  <c r="AB1889" i="6"/>
  <c r="AC1889" i="6" s="1"/>
  <c r="AB1890" i="6"/>
  <c r="AC1890" i="6" s="1"/>
  <c r="AB1891" i="6"/>
  <c r="AC1891" i="6" s="1"/>
  <c r="AB1892" i="6"/>
  <c r="AC1892" i="6" s="1"/>
  <c r="AB1893" i="6"/>
  <c r="AC1893" i="6" s="1"/>
  <c r="AB1894" i="6"/>
  <c r="AC1894" i="6" s="1"/>
  <c r="AB1895" i="6"/>
  <c r="AC1895" i="6" s="1"/>
  <c r="AB1896" i="6"/>
  <c r="AC1896" i="6" s="1"/>
  <c r="AB1897" i="6"/>
  <c r="AC1897" i="6" s="1"/>
  <c r="AB1898" i="6"/>
  <c r="AC1898" i="6" s="1"/>
  <c r="AB1899" i="6"/>
  <c r="AC1899" i="6" s="1"/>
  <c r="AB1900" i="6"/>
  <c r="AC1900" i="6" s="1"/>
  <c r="AB1901" i="6"/>
  <c r="AC1901" i="6" s="1"/>
  <c r="AB1902" i="6"/>
  <c r="AC1902" i="6" s="1"/>
  <c r="AB1903" i="6"/>
  <c r="AC1903" i="6" s="1"/>
  <c r="AB1904" i="6"/>
  <c r="AC1904" i="6" s="1"/>
  <c r="AB1905" i="6"/>
  <c r="AC1905" i="6" s="1"/>
  <c r="AB1906" i="6"/>
  <c r="AC1906" i="6" s="1"/>
  <c r="AB1907" i="6"/>
  <c r="AC1907" i="6" s="1"/>
  <c r="AB1908" i="6"/>
  <c r="AC1908" i="6" s="1"/>
  <c r="AB1909" i="6"/>
  <c r="AC1909" i="6" s="1"/>
  <c r="AB1910" i="6"/>
  <c r="AC1910" i="6" s="1"/>
  <c r="AB1911" i="6"/>
  <c r="AC1911" i="6" s="1"/>
  <c r="AB1912" i="6"/>
  <c r="AC1912" i="6" s="1"/>
  <c r="AB1913" i="6"/>
  <c r="AC1913" i="6" s="1"/>
  <c r="AB1914" i="6"/>
  <c r="AC1914" i="6" s="1"/>
  <c r="AB1915" i="6"/>
  <c r="AC1915" i="6" s="1"/>
  <c r="AB1916" i="6"/>
  <c r="AC1916" i="6" s="1"/>
  <c r="AB1917" i="6"/>
  <c r="AC1917" i="6" s="1"/>
  <c r="AB1918" i="6"/>
  <c r="AC1918" i="6" s="1"/>
  <c r="AB1919" i="6"/>
  <c r="AC1919" i="6" s="1"/>
  <c r="AB1920" i="6"/>
  <c r="AC1920" i="6" s="1"/>
  <c r="AB1921" i="6"/>
  <c r="AC1921" i="6" s="1"/>
  <c r="AB1922" i="6"/>
  <c r="AC1922" i="6" s="1"/>
  <c r="AB1923" i="6"/>
  <c r="AC1923" i="6" s="1"/>
  <c r="AB1924" i="6"/>
  <c r="AC1924" i="6" s="1"/>
  <c r="AB1925" i="6"/>
  <c r="AC1925" i="6" s="1"/>
  <c r="AB1926" i="6"/>
  <c r="AC1926" i="6" s="1"/>
  <c r="AB1927" i="6"/>
  <c r="AC1927" i="6" s="1"/>
  <c r="AB1928" i="6"/>
  <c r="AC1928" i="6" s="1"/>
  <c r="AB1929" i="6"/>
  <c r="AC1929" i="6" s="1"/>
  <c r="AB1930" i="6"/>
  <c r="AC1930" i="6" s="1"/>
  <c r="AB1931" i="6"/>
  <c r="AC1931" i="6" s="1"/>
  <c r="AB1932" i="6"/>
  <c r="AC1932" i="6" s="1"/>
  <c r="AB1933" i="6"/>
  <c r="AC1933" i="6" s="1"/>
  <c r="AB1934" i="6"/>
  <c r="AC1934" i="6" s="1"/>
  <c r="AB1935" i="6"/>
  <c r="AC1935" i="6" s="1"/>
  <c r="AB1936" i="6"/>
  <c r="AC1936" i="6" s="1"/>
  <c r="AB1937" i="6"/>
  <c r="AC1937" i="6" s="1"/>
  <c r="AB1938" i="6"/>
  <c r="AC1938" i="6" s="1"/>
  <c r="AB1939" i="6"/>
  <c r="AC1939" i="6" s="1"/>
  <c r="AB1940" i="6"/>
  <c r="AC1940" i="6" s="1"/>
  <c r="AB1941" i="6"/>
  <c r="AC1941" i="6" s="1"/>
  <c r="AB1942" i="6"/>
  <c r="AC1942" i="6" s="1"/>
  <c r="AB1943" i="6"/>
  <c r="AC1943" i="6" s="1"/>
  <c r="AB1944" i="6"/>
  <c r="AC1944" i="6" s="1"/>
  <c r="AB1945" i="6"/>
  <c r="AC1945" i="6" s="1"/>
  <c r="AB1946" i="6"/>
  <c r="AC1946" i="6" s="1"/>
  <c r="AB1947" i="6"/>
  <c r="AC1947" i="6" s="1"/>
  <c r="AB1948" i="6"/>
  <c r="AC1948" i="6" s="1"/>
  <c r="AB1949" i="6"/>
  <c r="AC1949" i="6" s="1"/>
  <c r="AB1950" i="6"/>
  <c r="AC1950" i="6" s="1"/>
  <c r="AB1951" i="6"/>
  <c r="AC1951" i="6" s="1"/>
  <c r="AB1952" i="6"/>
  <c r="AC1952" i="6" s="1"/>
  <c r="AB1953" i="6"/>
  <c r="AC1953" i="6" s="1"/>
  <c r="AB1954" i="6"/>
  <c r="AC1954" i="6" s="1"/>
  <c r="AB1955" i="6"/>
  <c r="AC1955" i="6" s="1"/>
  <c r="AB1956" i="6"/>
  <c r="AC1956" i="6" s="1"/>
  <c r="AB1957" i="6"/>
  <c r="AC1957" i="6" s="1"/>
  <c r="AB1958" i="6"/>
  <c r="AC1958" i="6" s="1"/>
  <c r="AB1959" i="6"/>
  <c r="AC1959" i="6" s="1"/>
  <c r="AB1960" i="6"/>
  <c r="AC1960" i="6" s="1"/>
  <c r="AB1961" i="6"/>
  <c r="AC1961" i="6" s="1"/>
  <c r="AB1962" i="6"/>
  <c r="AC1962" i="6" s="1"/>
  <c r="AB1963" i="6"/>
  <c r="AC1963" i="6" s="1"/>
  <c r="AB1964" i="6"/>
  <c r="AC1964" i="6" s="1"/>
  <c r="AB1965" i="6"/>
  <c r="AC1965" i="6" s="1"/>
  <c r="AB1966" i="6"/>
  <c r="AC1966" i="6" s="1"/>
  <c r="AB1967" i="6"/>
  <c r="AC1967" i="6" s="1"/>
  <c r="AB1968" i="6"/>
  <c r="AC1968" i="6" s="1"/>
  <c r="AB1969" i="6"/>
  <c r="AC1969" i="6" s="1"/>
  <c r="AB1970" i="6"/>
  <c r="AC1970" i="6" s="1"/>
  <c r="AB1971" i="6"/>
  <c r="AC1971" i="6" s="1"/>
  <c r="AB1972" i="6"/>
  <c r="AC1972" i="6" s="1"/>
  <c r="AB1973" i="6"/>
  <c r="AC1973" i="6" s="1"/>
  <c r="AB1974" i="6"/>
  <c r="AC1974" i="6" s="1"/>
  <c r="AB1975" i="6"/>
  <c r="AC1975" i="6" s="1"/>
  <c r="AB1976" i="6"/>
  <c r="AC1976" i="6" s="1"/>
  <c r="AB1977" i="6"/>
  <c r="AC1977" i="6" s="1"/>
  <c r="AB1978" i="6"/>
  <c r="AC1978" i="6" s="1"/>
  <c r="AB1979" i="6"/>
  <c r="AC1979" i="6" s="1"/>
  <c r="AB1980" i="6"/>
  <c r="AC1980" i="6" s="1"/>
  <c r="AB1981" i="6"/>
  <c r="AC1981" i="6" s="1"/>
  <c r="AB1982" i="6"/>
  <c r="AC1982" i="6" s="1"/>
  <c r="AB1983" i="6"/>
  <c r="AC1983" i="6" s="1"/>
  <c r="AB1984" i="6"/>
  <c r="AC1984" i="6" s="1"/>
  <c r="AB1985" i="6"/>
  <c r="AC1985" i="6" s="1"/>
  <c r="AB1986" i="6"/>
  <c r="AC1986" i="6" s="1"/>
  <c r="AB1987" i="6"/>
  <c r="AC1987" i="6" s="1"/>
  <c r="AB1988" i="6"/>
  <c r="AC1988" i="6" s="1"/>
  <c r="AB1989" i="6"/>
  <c r="AC1989" i="6" s="1"/>
  <c r="AB1990" i="6"/>
  <c r="AC1990" i="6" s="1"/>
  <c r="AB1991" i="6"/>
  <c r="AC1991" i="6" s="1"/>
  <c r="AB1992" i="6"/>
  <c r="AC1992" i="6" s="1"/>
  <c r="AB1993" i="6"/>
  <c r="AC1993" i="6" s="1"/>
  <c r="AB1994" i="6"/>
  <c r="AC1994" i="6" s="1"/>
  <c r="AB1995" i="6"/>
  <c r="AC1995" i="6" s="1"/>
  <c r="AB1996" i="6"/>
  <c r="AC1996" i="6" s="1"/>
  <c r="AB1997" i="6"/>
  <c r="AC1997" i="6" s="1"/>
  <c r="AB1998" i="6"/>
  <c r="AC1998" i="6" s="1"/>
  <c r="AB1999" i="6"/>
  <c r="AC1999" i="6" s="1"/>
  <c r="AB2000" i="6"/>
  <c r="AC2000" i="6" s="1"/>
  <c r="AB2001" i="6"/>
  <c r="AC2001" i="6" s="1"/>
  <c r="AB2002" i="6"/>
  <c r="AC2002" i="6" s="1"/>
  <c r="AB2003" i="6"/>
  <c r="AC2003" i="6" s="1"/>
  <c r="AB2004" i="6"/>
  <c r="AC2004" i="6" s="1"/>
  <c r="AB2005" i="6"/>
  <c r="AC2005" i="6" s="1"/>
  <c r="AB2006" i="6"/>
  <c r="AC2006" i="6" s="1"/>
  <c r="AB2007" i="6"/>
  <c r="AC2007" i="6" s="1"/>
  <c r="AB2008" i="6"/>
  <c r="AC2008" i="6" s="1"/>
  <c r="AB2009" i="6"/>
  <c r="AC2009" i="6" s="1"/>
  <c r="AB2010" i="6"/>
  <c r="AC2010" i="6" s="1"/>
  <c r="AB2011" i="6"/>
  <c r="AC2011" i="6" s="1"/>
  <c r="AB2012" i="6"/>
  <c r="AC2012" i="6" s="1"/>
  <c r="AB2013" i="6"/>
  <c r="AC2013" i="6" s="1"/>
  <c r="AB2014" i="6"/>
  <c r="AC2014" i="6" s="1"/>
  <c r="AB2015" i="6"/>
  <c r="AC2015" i="6" s="1"/>
  <c r="AB2016" i="6"/>
  <c r="AC2016" i="6" s="1"/>
  <c r="AB2017" i="6"/>
  <c r="AC2017" i="6" s="1"/>
  <c r="AB2018" i="6"/>
  <c r="AC2018" i="6" s="1"/>
  <c r="AB2019" i="6"/>
  <c r="AC2019" i="6" s="1"/>
  <c r="AB2020" i="6"/>
  <c r="AC2020" i="6" s="1"/>
  <c r="AB2021" i="6"/>
  <c r="AC2021" i="6" s="1"/>
  <c r="AB2022" i="6"/>
  <c r="AC2022" i="6" s="1"/>
  <c r="AB2023" i="6"/>
  <c r="AC2023" i="6" s="1"/>
  <c r="AB2024" i="6"/>
  <c r="AC2024" i="6" s="1"/>
  <c r="AB2025" i="6"/>
  <c r="AC2025" i="6" s="1"/>
  <c r="AB2026" i="6"/>
  <c r="AC2026" i="6" s="1"/>
  <c r="AB2027" i="6"/>
  <c r="AC2027" i="6" s="1"/>
  <c r="AB2028" i="6"/>
  <c r="AC2028" i="6" s="1"/>
  <c r="AB2029" i="6"/>
  <c r="AC2029" i="6" s="1"/>
  <c r="AB2030" i="6"/>
  <c r="AC2030" i="6" s="1"/>
  <c r="AB2031" i="6"/>
  <c r="AC2031" i="6" s="1"/>
  <c r="AB2032" i="6"/>
  <c r="AC2032" i="6" s="1"/>
  <c r="AB2033" i="6"/>
  <c r="AC2033" i="6" s="1"/>
  <c r="AB2034" i="6"/>
  <c r="AC2034" i="6" s="1"/>
  <c r="AB2035" i="6"/>
  <c r="AC2035" i="6" s="1"/>
  <c r="AB2036" i="6"/>
  <c r="AC2036" i="6" s="1"/>
  <c r="AB2037" i="6"/>
  <c r="AC2037" i="6" s="1"/>
  <c r="AB2038" i="6"/>
  <c r="AC2038" i="6" s="1"/>
  <c r="AB2039" i="6"/>
  <c r="AC2039" i="6" s="1"/>
  <c r="AB2040" i="6"/>
  <c r="AC2040" i="6" s="1"/>
  <c r="AB2041" i="6"/>
  <c r="AC2041" i="6" s="1"/>
  <c r="AB2042" i="6"/>
  <c r="AC2042" i="6" s="1"/>
  <c r="AB2043" i="6"/>
  <c r="AC2043" i="6" s="1"/>
  <c r="AB2044" i="6"/>
  <c r="AC2044" i="6" s="1"/>
  <c r="AB2045" i="6"/>
  <c r="AC2045" i="6" s="1"/>
  <c r="AB2046" i="6"/>
  <c r="AC2046" i="6" s="1"/>
  <c r="AB2047" i="6"/>
  <c r="AC2047" i="6" s="1"/>
  <c r="AB2048" i="6"/>
  <c r="AC2048" i="6" s="1"/>
  <c r="AB2049" i="6"/>
  <c r="AC2049" i="6" s="1"/>
  <c r="AB2050" i="6"/>
  <c r="AC2050" i="6" s="1"/>
  <c r="AB2051" i="6"/>
  <c r="AC2051" i="6" s="1"/>
  <c r="AB2052" i="6"/>
  <c r="AC2052" i="6" s="1"/>
  <c r="AB2053" i="6"/>
  <c r="AC2053" i="6" s="1"/>
  <c r="AB2054" i="6"/>
  <c r="AC2054" i="6" s="1"/>
  <c r="AB2055" i="6"/>
  <c r="AC2055" i="6" s="1"/>
  <c r="AB2056" i="6"/>
  <c r="AC2056" i="6" s="1"/>
  <c r="AB2057" i="6"/>
  <c r="AC2057" i="6" s="1"/>
  <c r="AB2058" i="6"/>
  <c r="AC2058" i="6" s="1"/>
  <c r="AB2059" i="6"/>
  <c r="AC2059" i="6" s="1"/>
  <c r="AB2060" i="6"/>
  <c r="AC2060" i="6" s="1"/>
  <c r="AB2061" i="6"/>
  <c r="AC2061" i="6" s="1"/>
  <c r="AB2062" i="6"/>
  <c r="AC2062" i="6" s="1"/>
  <c r="AB2063" i="6"/>
  <c r="AC2063" i="6" s="1"/>
  <c r="AB2064" i="6"/>
  <c r="AC2064" i="6" s="1"/>
  <c r="AB2065" i="6"/>
  <c r="AC2065" i="6" s="1"/>
  <c r="AB2066" i="6"/>
  <c r="AC2066" i="6" s="1"/>
  <c r="AB2067" i="6"/>
  <c r="AC2067" i="6" s="1"/>
  <c r="AB2068" i="6"/>
  <c r="AC2068" i="6" s="1"/>
  <c r="AB2069" i="6"/>
  <c r="AC2069" i="6" s="1"/>
  <c r="AB2070" i="6"/>
  <c r="AC2070" i="6" s="1"/>
  <c r="AB2071" i="6"/>
  <c r="AC2071" i="6" s="1"/>
  <c r="AB2072" i="6"/>
  <c r="AC2072" i="6" s="1"/>
  <c r="AB2073" i="6"/>
  <c r="AC2073" i="6" s="1"/>
  <c r="AB2074" i="6"/>
  <c r="AC2074" i="6" s="1"/>
  <c r="AB2075" i="6"/>
  <c r="AC2075" i="6" s="1"/>
  <c r="AB2076" i="6"/>
  <c r="AC2076" i="6" s="1"/>
  <c r="AB2077" i="6"/>
  <c r="AC2077" i="6" s="1"/>
  <c r="AB2078" i="6"/>
  <c r="AC2078" i="6" s="1"/>
  <c r="AB2079" i="6"/>
  <c r="AC2079" i="6" s="1"/>
  <c r="AB2080" i="6"/>
  <c r="AC2080" i="6" s="1"/>
  <c r="AB2081" i="6"/>
  <c r="AC2081" i="6" s="1"/>
  <c r="AB2082" i="6"/>
  <c r="AC2082" i="6" s="1"/>
  <c r="AB2083" i="6"/>
  <c r="AC2083" i="6" s="1"/>
  <c r="AB2084" i="6"/>
  <c r="AC2084" i="6" s="1"/>
  <c r="AB2085" i="6"/>
  <c r="AC2085" i="6" s="1"/>
  <c r="AB2086" i="6"/>
  <c r="AC2086" i="6" s="1"/>
  <c r="AB2087" i="6"/>
  <c r="AC2087" i="6" s="1"/>
  <c r="AB2088" i="6"/>
  <c r="AC2088" i="6" s="1"/>
  <c r="AB2089" i="6"/>
  <c r="AC2089" i="6" s="1"/>
  <c r="AB2090" i="6"/>
  <c r="AC2090" i="6" s="1"/>
  <c r="AB2091" i="6"/>
  <c r="AC2091" i="6" s="1"/>
  <c r="AB2092" i="6"/>
  <c r="AC2092" i="6" s="1"/>
  <c r="AB2093" i="6"/>
  <c r="AC2093" i="6" s="1"/>
  <c r="AB2094" i="6"/>
  <c r="AC2094" i="6" s="1"/>
  <c r="AB2095" i="6"/>
  <c r="AC2095" i="6" s="1"/>
  <c r="AB2096" i="6"/>
  <c r="AC2096" i="6" s="1"/>
  <c r="AB2097" i="6"/>
  <c r="AC2097" i="6" s="1"/>
  <c r="AB2098" i="6"/>
  <c r="AC2098" i="6" s="1"/>
  <c r="AB2099" i="6"/>
  <c r="AC2099" i="6" s="1"/>
  <c r="AB2100" i="6"/>
  <c r="AC2100" i="6" s="1"/>
  <c r="AB2101" i="6"/>
  <c r="AC2101" i="6" s="1"/>
  <c r="AB2102" i="6"/>
  <c r="AC2102" i="6" s="1"/>
  <c r="AB2103" i="6"/>
  <c r="AC2103" i="6" s="1"/>
  <c r="AB2104" i="6"/>
  <c r="AC2104" i="6" s="1"/>
  <c r="AB2105" i="6"/>
  <c r="AC2105" i="6" s="1"/>
  <c r="AB2106" i="6"/>
  <c r="AC2106" i="6" s="1"/>
  <c r="AB2107" i="6"/>
  <c r="AC2107" i="6" s="1"/>
  <c r="AB2108" i="6"/>
  <c r="AC2108" i="6" s="1"/>
  <c r="AB2109" i="6"/>
  <c r="AC2109" i="6" s="1"/>
  <c r="AB2110" i="6"/>
  <c r="AC2110" i="6" s="1"/>
  <c r="AB2111" i="6"/>
  <c r="AC2111" i="6" s="1"/>
  <c r="AB2112" i="6"/>
  <c r="AC2112" i="6" s="1"/>
  <c r="AB2113" i="6"/>
  <c r="AC2113" i="6" s="1"/>
  <c r="AB2114" i="6"/>
  <c r="AC2114" i="6" s="1"/>
  <c r="AB2115" i="6"/>
  <c r="AC2115" i="6" s="1"/>
  <c r="AB2116" i="6"/>
  <c r="AC2116" i="6" s="1"/>
  <c r="AB2117" i="6"/>
  <c r="AC2117" i="6" s="1"/>
  <c r="AB2118" i="6"/>
  <c r="AC2118" i="6" s="1"/>
  <c r="AB2119" i="6"/>
  <c r="AC2119" i="6" s="1"/>
  <c r="AB2120" i="6"/>
  <c r="AC2120" i="6" s="1"/>
  <c r="AB2121" i="6"/>
  <c r="AC2121" i="6" s="1"/>
  <c r="AB2122" i="6"/>
  <c r="AC2122" i="6" s="1"/>
  <c r="AB2123" i="6"/>
  <c r="AC2123" i="6" s="1"/>
  <c r="AB2124" i="6"/>
  <c r="AC2124" i="6" s="1"/>
  <c r="AB2125" i="6"/>
  <c r="AC2125" i="6" s="1"/>
  <c r="AB2126" i="6"/>
  <c r="AC2126" i="6" s="1"/>
  <c r="AB2127" i="6"/>
  <c r="AC2127" i="6" s="1"/>
  <c r="AB2128" i="6"/>
  <c r="AC2128" i="6" s="1"/>
  <c r="AB2129" i="6"/>
  <c r="AC2129" i="6" s="1"/>
  <c r="AB2130" i="6"/>
  <c r="AC2130" i="6" s="1"/>
  <c r="AB2131" i="6"/>
  <c r="AC2131" i="6" s="1"/>
  <c r="AB2132" i="6"/>
  <c r="AC2132" i="6" s="1"/>
  <c r="AB2133" i="6"/>
  <c r="AC2133" i="6" s="1"/>
  <c r="AB2134" i="6"/>
  <c r="AC2134" i="6" s="1"/>
  <c r="AB2135" i="6"/>
  <c r="AC2135" i="6" s="1"/>
  <c r="AB2136" i="6"/>
  <c r="AC2136" i="6" s="1"/>
  <c r="AB2137" i="6"/>
  <c r="AC2137" i="6" s="1"/>
  <c r="AB2138" i="6"/>
  <c r="AC2138" i="6" s="1"/>
  <c r="AB2139" i="6"/>
  <c r="AC2139" i="6" s="1"/>
  <c r="AB2140" i="6"/>
  <c r="AC2140" i="6" s="1"/>
  <c r="AB2141" i="6"/>
  <c r="AC2141" i="6" s="1"/>
  <c r="AB2142" i="6"/>
  <c r="AC2142" i="6" s="1"/>
  <c r="AB2143" i="6"/>
  <c r="AC2143" i="6" s="1"/>
  <c r="AB2144" i="6"/>
  <c r="AC2144" i="6" s="1"/>
  <c r="AB2145" i="6"/>
  <c r="AC2145" i="6" s="1"/>
  <c r="AB2146" i="6"/>
  <c r="AC2146" i="6" s="1"/>
  <c r="AB2147" i="6"/>
  <c r="AC2147" i="6" s="1"/>
  <c r="AB2148" i="6"/>
  <c r="AC2148" i="6" s="1"/>
  <c r="AB2149" i="6"/>
  <c r="AC2149" i="6" s="1"/>
  <c r="AB2150" i="6"/>
  <c r="AC2150" i="6" s="1"/>
  <c r="AB2151" i="6"/>
  <c r="AC2151" i="6" s="1"/>
  <c r="AB2152" i="6"/>
  <c r="AC2152" i="6" s="1"/>
  <c r="AB2153" i="6"/>
  <c r="AC2153" i="6" s="1"/>
  <c r="AB2154" i="6"/>
  <c r="AC2154" i="6" s="1"/>
  <c r="AB2155" i="6"/>
  <c r="AC2155" i="6" s="1"/>
  <c r="AB2156" i="6"/>
  <c r="AC2156" i="6" s="1"/>
  <c r="AB2157" i="6"/>
  <c r="AC2157" i="6" s="1"/>
  <c r="AB2158" i="6"/>
  <c r="AC2158" i="6" s="1"/>
  <c r="AB2159" i="6"/>
  <c r="AC2159" i="6" s="1"/>
  <c r="AB2160" i="6"/>
  <c r="AC2160" i="6" s="1"/>
  <c r="AB2161" i="6"/>
  <c r="AC2161" i="6" s="1"/>
  <c r="AB2162" i="6"/>
  <c r="AC2162" i="6" s="1"/>
  <c r="AB2163" i="6"/>
  <c r="AC2163" i="6" s="1"/>
  <c r="AB2164" i="6"/>
  <c r="AC2164" i="6" s="1"/>
  <c r="AB2165" i="6"/>
  <c r="AC2165" i="6" s="1"/>
  <c r="AB2166" i="6"/>
  <c r="AC2166" i="6" s="1"/>
  <c r="AB2167" i="6"/>
  <c r="AC2167" i="6" s="1"/>
  <c r="AB2168" i="6"/>
  <c r="AC2168" i="6" s="1"/>
  <c r="AB2169" i="6"/>
  <c r="AC2169" i="6" s="1"/>
  <c r="AB2170" i="6"/>
  <c r="AC2170" i="6" s="1"/>
  <c r="AB2171" i="6"/>
  <c r="AC2171" i="6" s="1"/>
  <c r="AB2172" i="6"/>
  <c r="AC2172" i="6" s="1"/>
  <c r="AB2173" i="6"/>
  <c r="AC2173" i="6" s="1"/>
  <c r="AB2174" i="6"/>
  <c r="AC2174" i="6" s="1"/>
  <c r="AB2175" i="6"/>
  <c r="AC2175" i="6" s="1"/>
  <c r="AB2176" i="6"/>
  <c r="AC2176" i="6" s="1"/>
  <c r="AB2177" i="6"/>
  <c r="AC2177" i="6" s="1"/>
  <c r="AB2178" i="6"/>
  <c r="AC2178" i="6" s="1"/>
  <c r="AB2179" i="6"/>
  <c r="AC2179" i="6" s="1"/>
  <c r="AB2180" i="6"/>
  <c r="AC2180" i="6" s="1"/>
  <c r="AB2181" i="6"/>
  <c r="AC2181" i="6" s="1"/>
  <c r="AB2182" i="6"/>
  <c r="AC2182" i="6" s="1"/>
  <c r="AB2183" i="6"/>
  <c r="AC2183" i="6" s="1"/>
  <c r="AB2184" i="6"/>
  <c r="AC2184" i="6" s="1"/>
  <c r="AB2185" i="6"/>
  <c r="AC2185" i="6" s="1"/>
  <c r="AB2186" i="6"/>
  <c r="AC2186" i="6" s="1"/>
  <c r="AB2187" i="6"/>
  <c r="AC2187" i="6" s="1"/>
  <c r="AB2188" i="6"/>
  <c r="AC2188" i="6" s="1"/>
  <c r="AB2189" i="6"/>
  <c r="AC2189" i="6" s="1"/>
  <c r="AB2190" i="6"/>
  <c r="AC2190" i="6" s="1"/>
  <c r="AB2191" i="6"/>
  <c r="AC2191" i="6" s="1"/>
  <c r="AB2192" i="6"/>
  <c r="AC2192" i="6" s="1"/>
  <c r="AB2193" i="6"/>
  <c r="AC2193" i="6" s="1"/>
  <c r="AB2194" i="6"/>
  <c r="AC2194" i="6" s="1"/>
  <c r="AB2195" i="6"/>
  <c r="AC2195" i="6" s="1"/>
  <c r="AB2196" i="6"/>
  <c r="AC2196" i="6" s="1"/>
  <c r="AB2197" i="6"/>
  <c r="AC2197" i="6" s="1"/>
  <c r="AB2198" i="6"/>
  <c r="AC2198" i="6" s="1"/>
  <c r="AB2199" i="6"/>
  <c r="AC2199" i="6" s="1"/>
  <c r="AB2200" i="6"/>
  <c r="AC2200" i="6" s="1"/>
  <c r="AB2201" i="6"/>
  <c r="AC2201" i="6" s="1"/>
  <c r="AB2202" i="6"/>
  <c r="AC2202" i="6" s="1"/>
  <c r="AB2203" i="6"/>
  <c r="AC2203" i="6" s="1"/>
  <c r="AB2204" i="6"/>
  <c r="AC2204" i="6" s="1"/>
  <c r="AB2205" i="6"/>
  <c r="AC2205" i="6" s="1"/>
  <c r="AB2206" i="6"/>
  <c r="AC2206" i="6" s="1"/>
  <c r="AB2207" i="6"/>
  <c r="AC2207" i="6" s="1"/>
  <c r="AB2208" i="6"/>
  <c r="AC2208" i="6" s="1"/>
  <c r="AB2209" i="6"/>
  <c r="AC2209" i="6" s="1"/>
  <c r="AB2210" i="6"/>
  <c r="AC2210" i="6" s="1"/>
  <c r="AB2211" i="6"/>
  <c r="AC2211" i="6" s="1"/>
  <c r="AB2212" i="6"/>
  <c r="AC2212" i="6" s="1"/>
  <c r="AB2213" i="6"/>
  <c r="AC2213" i="6" s="1"/>
  <c r="AB2214" i="6"/>
  <c r="AC2214" i="6" s="1"/>
  <c r="AB2215" i="6"/>
  <c r="AC2215" i="6" s="1"/>
  <c r="AB2216" i="6"/>
  <c r="AC2216" i="6" s="1"/>
  <c r="AB2217" i="6"/>
  <c r="AC2217" i="6" s="1"/>
  <c r="AB2218" i="6"/>
  <c r="AC2218" i="6" s="1"/>
  <c r="AB2219" i="6"/>
  <c r="AC2219" i="6" s="1"/>
  <c r="AB2220" i="6"/>
  <c r="AC2220" i="6" s="1"/>
  <c r="AB2221" i="6"/>
  <c r="AC2221" i="6" s="1"/>
  <c r="AB2222" i="6"/>
  <c r="AC2222" i="6" s="1"/>
  <c r="AB2223" i="6"/>
  <c r="AC2223" i="6" s="1"/>
  <c r="AB2224" i="6"/>
  <c r="AC2224" i="6" s="1"/>
  <c r="AB2225" i="6"/>
  <c r="AC2225" i="6" s="1"/>
  <c r="AB2226" i="6"/>
  <c r="AC2226" i="6" s="1"/>
  <c r="AB2227" i="6"/>
  <c r="AC2227" i="6" s="1"/>
  <c r="AB2228" i="6"/>
  <c r="AC2228" i="6" s="1"/>
  <c r="AB2229" i="6"/>
  <c r="AC2229" i="6" s="1"/>
  <c r="AB2230" i="6"/>
  <c r="AC2230" i="6" s="1"/>
  <c r="AB2231" i="6"/>
  <c r="AC2231" i="6" s="1"/>
  <c r="AB2232" i="6"/>
  <c r="AC2232" i="6" s="1"/>
  <c r="AB2233" i="6"/>
  <c r="AC2233" i="6" s="1"/>
  <c r="AB2234" i="6"/>
  <c r="AC2234" i="6" s="1"/>
  <c r="AB2235" i="6"/>
  <c r="AC2235" i="6" s="1"/>
  <c r="AB2236" i="6"/>
  <c r="AC2236" i="6" s="1"/>
  <c r="AB2237" i="6"/>
  <c r="AC2237" i="6" s="1"/>
  <c r="AB2238" i="6"/>
  <c r="AC2238" i="6" s="1"/>
  <c r="AB2239" i="6"/>
  <c r="AC2239" i="6" s="1"/>
  <c r="AB2240" i="6"/>
  <c r="AC2240" i="6" s="1"/>
  <c r="AB2241" i="6"/>
  <c r="AC2241" i="6" s="1"/>
  <c r="AB2242" i="6"/>
  <c r="AC2242" i="6" s="1"/>
  <c r="AB2243" i="6"/>
  <c r="AC2243" i="6" s="1"/>
  <c r="AB2244" i="6"/>
  <c r="AC2244" i="6" s="1"/>
  <c r="AB2245" i="6"/>
  <c r="AC2245" i="6" s="1"/>
  <c r="AB2246" i="6"/>
  <c r="AC2246" i="6" s="1"/>
  <c r="AB2247" i="6"/>
  <c r="AC2247" i="6" s="1"/>
  <c r="AB2248" i="6"/>
  <c r="AC2248" i="6" s="1"/>
  <c r="AB2249" i="6"/>
  <c r="AC2249" i="6" s="1"/>
  <c r="AB2250" i="6"/>
  <c r="AC2250" i="6" s="1"/>
  <c r="AB2251" i="6"/>
  <c r="AC2251" i="6" s="1"/>
  <c r="AB2252" i="6"/>
  <c r="AC2252" i="6" s="1"/>
  <c r="AB2253" i="6"/>
  <c r="AC2253" i="6" s="1"/>
  <c r="AB2254" i="6"/>
  <c r="AC2254" i="6" s="1"/>
  <c r="AB2255" i="6"/>
  <c r="AC2255" i="6" s="1"/>
  <c r="AB2256" i="6"/>
  <c r="AC2256" i="6" s="1"/>
  <c r="AB2257" i="6"/>
  <c r="AC2257" i="6" s="1"/>
  <c r="AB2258" i="6"/>
  <c r="AC2258" i="6" s="1"/>
  <c r="AB2259" i="6"/>
  <c r="AC2259" i="6" s="1"/>
  <c r="AB2260" i="6"/>
  <c r="AC2260" i="6" s="1"/>
  <c r="AB2261" i="6"/>
  <c r="AC2261" i="6" s="1"/>
  <c r="AB2262" i="6"/>
  <c r="AC2262" i="6" s="1"/>
  <c r="AB2263" i="6"/>
  <c r="AC2263" i="6" s="1"/>
  <c r="AB2264" i="6"/>
  <c r="AC2264" i="6" s="1"/>
  <c r="AB2265" i="6"/>
  <c r="AC2265" i="6" s="1"/>
  <c r="AB2266" i="6"/>
  <c r="AC2266" i="6" s="1"/>
  <c r="AB2267" i="6"/>
  <c r="AC2267" i="6" s="1"/>
  <c r="AB2268" i="6"/>
  <c r="AC2268" i="6" s="1"/>
  <c r="AB2269" i="6"/>
  <c r="AC2269" i="6" s="1"/>
  <c r="AB2270" i="6"/>
  <c r="AC2270" i="6" s="1"/>
  <c r="AB2271" i="6"/>
  <c r="AC2271" i="6" s="1"/>
  <c r="AB2272" i="6"/>
  <c r="AC2272" i="6" s="1"/>
  <c r="AB2273" i="6"/>
  <c r="AC2273" i="6" s="1"/>
  <c r="AB2274" i="6"/>
  <c r="AC2274" i="6" s="1"/>
  <c r="AB2275" i="6"/>
  <c r="AC2275" i="6" s="1"/>
  <c r="AB2276" i="6"/>
  <c r="AC2276" i="6" s="1"/>
  <c r="AB2277" i="6"/>
  <c r="AC2277" i="6" s="1"/>
  <c r="AB2278" i="6"/>
  <c r="AC2278" i="6" s="1"/>
  <c r="AB2279" i="6"/>
  <c r="AC2279" i="6" s="1"/>
  <c r="AB2280" i="6"/>
  <c r="AC2280" i="6" s="1"/>
  <c r="AB2281" i="6"/>
  <c r="AC2281" i="6" s="1"/>
  <c r="AB2282" i="6"/>
  <c r="AC2282" i="6" s="1"/>
  <c r="AB2283" i="6"/>
  <c r="AC2283" i="6" s="1"/>
  <c r="AB2284" i="6"/>
  <c r="AC2284" i="6" s="1"/>
  <c r="AB2285" i="6"/>
  <c r="AC2285" i="6" s="1"/>
  <c r="AB2286" i="6"/>
  <c r="AC2286" i="6" s="1"/>
  <c r="AB2287" i="6"/>
  <c r="AC2287" i="6" s="1"/>
  <c r="AB2288" i="6"/>
  <c r="AC2288" i="6" s="1"/>
  <c r="AB2289" i="6"/>
  <c r="AC2289" i="6" s="1"/>
  <c r="AB2290" i="6"/>
  <c r="AC2290" i="6" s="1"/>
  <c r="AB2291" i="6"/>
  <c r="AC2291" i="6" s="1"/>
  <c r="AB2292" i="6"/>
  <c r="AC2292" i="6" s="1"/>
  <c r="AB2293" i="6"/>
  <c r="AC2293" i="6" s="1"/>
  <c r="AB2294" i="6"/>
  <c r="AC2294" i="6" s="1"/>
  <c r="AB2295" i="6"/>
  <c r="AC2295" i="6" s="1"/>
  <c r="AB2296" i="6"/>
  <c r="AC2296" i="6" s="1"/>
  <c r="AB2297" i="6"/>
  <c r="AC2297" i="6" s="1"/>
  <c r="AB2298" i="6"/>
  <c r="AC2298" i="6" s="1"/>
  <c r="AB2299" i="6"/>
  <c r="AC2299" i="6" s="1"/>
  <c r="AB2300" i="6"/>
  <c r="AC2300" i="6" s="1"/>
  <c r="AB2301" i="6"/>
  <c r="AC2301" i="6" s="1"/>
  <c r="AB2302" i="6"/>
  <c r="AC2302" i="6" s="1"/>
  <c r="AB2303" i="6"/>
  <c r="AC2303" i="6" s="1"/>
  <c r="AB2304" i="6"/>
  <c r="AC2304" i="6" s="1"/>
  <c r="AB2305" i="6"/>
  <c r="AC2305" i="6" s="1"/>
  <c r="AB2306" i="6"/>
  <c r="AC2306" i="6" s="1"/>
  <c r="AB2307" i="6"/>
  <c r="AC2307" i="6" s="1"/>
  <c r="AB2308" i="6"/>
  <c r="AC2308" i="6" s="1"/>
  <c r="AB2309" i="6"/>
  <c r="AC2309" i="6" s="1"/>
  <c r="AB2310" i="6"/>
  <c r="AC2310" i="6" s="1"/>
  <c r="AB2311" i="6"/>
  <c r="AC2311" i="6" s="1"/>
  <c r="AB2312" i="6"/>
  <c r="AC2312" i="6" s="1"/>
  <c r="AB2313" i="6"/>
  <c r="AC2313" i="6" s="1"/>
  <c r="AB2314" i="6"/>
  <c r="AC2314" i="6" s="1"/>
  <c r="AB2315" i="6"/>
  <c r="AC2315" i="6" s="1"/>
  <c r="AB2316" i="6"/>
  <c r="AC2316" i="6" s="1"/>
  <c r="AB2317" i="6"/>
  <c r="AC2317" i="6" s="1"/>
  <c r="AB2318" i="6"/>
  <c r="AC2318" i="6" s="1"/>
  <c r="AB2319" i="6"/>
  <c r="AC2319" i="6" s="1"/>
  <c r="AB2320" i="6"/>
  <c r="AC2320" i="6" s="1"/>
  <c r="AB2321" i="6"/>
  <c r="AC2321" i="6" s="1"/>
  <c r="AB2322" i="6"/>
  <c r="AC2322" i="6" s="1"/>
  <c r="AB2323" i="6"/>
  <c r="AC2323" i="6" s="1"/>
  <c r="AB2324" i="6"/>
  <c r="AC2324" i="6" s="1"/>
  <c r="AB2325" i="6"/>
  <c r="AC2325" i="6" s="1"/>
  <c r="AB2326" i="6"/>
  <c r="AC2326" i="6" s="1"/>
  <c r="AB2327" i="6"/>
  <c r="AC2327" i="6" s="1"/>
  <c r="AB2328" i="6"/>
  <c r="AC2328" i="6" s="1"/>
  <c r="AB2329" i="6"/>
  <c r="AC2329" i="6" s="1"/>
  <c r="AB2330" i="6"/>
  <c r="AC2330" i="6" s="1"/>
  <c r="AB2331" i="6"/>
  <c r="AC2331" i="6" s="1"/>
  <c r="AB2332" i="6"/>
  <c r="AC2332" i="6" s="1"/>
  <c r="AB2333" i="6"/>
  <c r="AC2333" i="6" s="1"/>
  <c r="AB2334" i="6"/>
  <c r="AC2334" i="6" s="1"/>
  <c r="AB2335" i="6"/>
  <c r="AC2335" i="6" s="1"/>
  <c r="AB2336" i="6"/>
  <c r="AC2336" i="6" s="1"/>
  <c r="AB2337" i="6"/>
  <c r="AC2337" i="6" s="1"/>
  <c r="AB2338" i="6"/>
  <c r="AC2338" i="6" s="1"/>
  <c r="AB2339" i="6"/>
  <c r="AC2339" i="6" s="1"/>
  <c r="AB2340" i="6"/>
  <c r="AC2340" i="6" s="1"/>
  <c r="AB2341" i="6"/>
  <c r="AC2341" i="6" s="1"/>
  <c r="AB2342" i="6"/>
  <c r="AC2342" i="6" s="1"/>
  <c r="AB2343" i="6"/>
  <c r="AC2343" i="6" s="1"/>
  <c r="AB2344" i="6"/>
  <c r="AC2344" i="6" s="1"/>
  <c r="AB2345" i="6"/>
  <c r="AC2345" i="6" s="1"/>
  <c r="AB2346" i="6"/>
  <c r="AC2346" i="6" s="1"/>
  <c r="AB2347" i="6"/>
  <c r="AC2347" i="6" s="1"/>
  <c r="AB2348" i="6"/>
  <c r="AC2348" i="6" s="1"/>
  <c r="AB2349" i="6"/>
  <c r="AC2349" i="6" s="1"/>
  <c r="AB2350" i="6"/>
  <c r="AC2350" i="6" s="1"/>
  <c r="AB2351" i="6"/>
  <c r="AC2351" i="6" s="1"/>
  <c r="AB2352" i="6"/>
  <c r="AC2352" i="6" s="1"/>
  <c r="AB2353" i="6"/>
  <c r="AC2353" i="6" s="1"/>
  <c r="AB2354" i="6"/>
  <c r="AC2354" i="6" s="1"/>
  <c r="AB2355" i="6"/>
  <c r="AC2355" i="6" s="1"/>
  <c r="AB2356" i="6"/>
  <c r="AC2356" i="6" s="1"/>
  <c r="AB2357" i="6"/>
  <c r="AC2357" i="6" s="1"/>
  <c r="AB2358" i="6"/>
  <c r="AC2358" i="6" s="1"/>
  <c r="AB2359" i="6"/>
  <c r="AC2359" i="6" s="1"/>
  <c r="AB2360" i="6"/>
  <c r="AC2360" i="6" s="1"/>
  <c r="AB2361" i="6"/>
  <c r="AC2361" i="6" s="1"/>
  <c r="AB2362" i="6"/>
  <c r="AC2362" i="6" s="1"/>
  <c r="AB2363" i="6"/>
  <c r="AC2363" i="6" s="1"/>
  <c r="AB2364" i="6"/>
  <c r="AC2364" i="6" s="1"/>
  <c r="AB2365" i="6"/>
  <c r="AC2365" i="6" s="1"/>
  <c r="AB2366" i="6"/>
  <c r="AC2366" i="6" s="1"/>
  <c r="AB2367" i="6"/>
  <c r="AC2367" i="6" s="1"/>
  <c r="AB2368" i="6"/>
  <c r="AC2368" i="6" s="1"/>
  <c r="AB2369" i="6"/>
  <c r="AC2369" i="6" s="1"/>
  <c r="AB2370" i="6"/>
  <c r="AC2370" i="6" s="1"/>
  <c r="AB2371" i="6"/>
  <c r="AC2371" i="6" s="1"/>
  <c r="AB2372" i="6"/>
  <c r="AC2372" i="6" s="1"/>
  <c r="AB2373" i="6"/>
  <c r="AC2373" i="6" s="1"/>
  <c r="AB2374" i="6"/>
  <c r="AC2374" i="6" s="1"/>
  <c r="AB2375" i="6"/>
  <c r="AC2375" i="6" s="1"/>
  <c r="AB2376" i="6"/>
  <c r="AC2376" i="6" s="1"/>
  <c r="AB2377" i="6"/>
  <c r="AC2377" i="6" s="1"/>
  <c r="AB2378" i="6"/>
  <c r="AC2378" i="6" s="1"/>
  <c r="AB2379" i="6"/>
  <c r="AC2379" i="6" s="1"/>
  <c r="AB2380" i="6"/>
  <c r="AC2380" i="6" s="1"/>
  <c r="AB2381" i="6"/>
  <c r="AC2381" i="6" s="1"/>
  <c r="AB2382" i="6"/>
  <c r="AC2382" i="6" s="1"/>
  <c r="AB2383" i="6"/>
  <c r="AC2383" i="6" s="1"/>
  <c r="AB2384" i="6"/>
  <c r="AC2384" i="6" s="1"/>
  <c r="AB2385" i="6"/>
  <c r="AC2385" i="6" s="1"/>
  <c r="AB2386" i="6"/>
  <c r="AC2386" i="6" s="1"/>
  <c r="AB2387" i="6"/>
  <c r="AC2387" i="6" s="1"/>
  <c r="AB2388" i="6"/>
  <c r="AC2388" i="6" s="1"/>
  <c r="AB2389" i="6"/>
  <c r="AC2389" i="6" s="1"/>
  <c r="AB2390" i="6"/>
  <c r="AC2390" i="6" s="1"/>
  <c r="AB2391" i="6"/>
  <c r="AC2391" i="6" s="1"/>
  <c r="AB2392" i="6"/>
  <c r="AC2392" i="6" s="1"/>
  <c r="AB2393" i="6"/>
  <c r="AC2393" i="6" s="1"/>
  <c r="AB2394" i="6"/>
  <c r="AC2394" i="6" s="1"/>
  <c r="AB2395" i="6"/>
  <c r="AC2395" i="6" s="1"/>
  <c r="AB2396" i="6"/>
  <c r="AC2396" i="6" s="1"/>
  <c r="AB2397" i="6"/>
  <c r="AC2397" i="6" s="1"/>
  <c r="AB2398" i="6"/>
  <c r="AC2398" i="6" s="1"/>
  <c r="AB2399" i="6"/>
  <c r="AC2399" i="6" s="1"/>
  <c r="AB2400" i="6"/>
  <c r="AC2400" i="6" s="1"/>
  <c r="AB2401" i="6"/>
  <c r="AC2401" i="6" s="1"/>
  <c r="AB2402" i="6"/>
  <c r="AC2402" i="6" s="1"/>
  <c r="AB2403" i="6"/>
  <c r="AC2403" i="6" s="1"/>
  <c r="AB2404" i="6"/>
  <c r="AC2404" i="6" s="1"/>
  <c r="AB2405" i="6"/>
  <c r="AC2405" i="6" s="1"/>
  <c r="AB2406" i="6"/>
  <c r="AC2406" i="6" s="1"/>
  <c r="AB2407" i="6"/>
  <c r="AC2407" i="6" s="1"/>
  <c r="AB2408" i="6"/>
  <c r="AC2408" i="6" s="1"/>
  <c r="AB2409" i="6"/>
  <c r="AC2409" i="6" s="1"/>
  <c r="AB2410" i="6"/>
  <c r="AC2410" i="6" s="1"/>
  <c r="AB2411" i="6"/>
  <c r="AC2411" i="6" s="1"/>
  <c r="AB2412" i="6"/>
  <c r="AC2412" i="6" s="1"/>
  <c r="AB2413" i="6"/>
  <c r="AC2413" i="6" s="1"/>
  <c r="AB2414" i="6"/>
  <c r="AC2414" i="6" s="1"/>
  <c r="AB2415" i="6"/>
  <c r="AC2415" i="6" s="1"/>
  <c r="AB2416" i="6"/>
  <c r="AC2416" i="6" s="1"/>
  <c r="AB2417" i="6"/>
  <c r="AC2417" i="6" s="1"/>
  <c r="AB2418" i="6"/>
  <c r="AC2418" i="6" s="1"/>
  <c r="AB2419" i="6"/>
  <c r="AC2419" i="6" s="1"/>
  <c r="AB2420" i="6"/>
  <c r="AC2420" i="6" s="1"/>
  <c r="AB2421" i="6"/>
  <c r="AC2421" i="6" s="1"/>
  <c r="AB2422" i="6"/>
  <c r="AC2422" i="6" s="1"/>
  <c r="AB2423" i="6"/>
  <c r="AC2423" i="6" s="1"/>
  <c r="AB2424" i="6"/>
  <c r="AC2424" i="6" s="1"/>
  <c r="AB2425" i="6"/>
  <c r="AC2425" i="6" s="1"/>
  <c r="AB2426" i="6"/>
  <c r="AC2426" i="6" s="1"/>
  <c r="AB2427" i="6"/>
  <c r="AC2427" i="6" s="1"/>
  <c r="AB2428" i="6"/>
  <c r="AC2428" i="6" s="1"/>
  <c r="AB2429" i="6"/>
  <c r="AC2429" i="6" s="1"/>
  <c r="AB2430" i="6"/>
  <c r="AC2430" i="6" s="1"/>
  <c r="AB2431" i="6"/>
  <c r="AC2431" i="6" s="1"/>
  <c r="AB2432" i="6"/>
  <c r="AC2432" i="6" s="1"/>
  <c r="AB2433" i="6"/>
  <c r="AC2433" i="6" s="1"/>
  <c r="AB2434" i="6"/>
  <c r="AC2434" i="6" s="1"/>
  <c r="AB2435" i="6"/>
  <c r="AC2435" i="6" s="1"/>
  <c r="AB2436" i="6"/>
  <c r="AC2436" i="6" s="1"/>
  <c r="AB2437" i="6"/>
  <c r="AC2437" i="6" s="1"/>
  <c r="AB2438" i="6"/>
  <c r="AC2438" i="6" s="1"/>
  <c r="AB2439" i="6"/>
  <c r="AC2439" i="6" s="1"/>
  <c r="AB2440" i="6"/>
  <c r="AC2440" i="6" s="1"/>
  <c r="AB2441" i="6"/>
  <c r="AC2441" i="6" s="1"/>
  <c r="AB2442" i="6"/>
  <c r="AC2442" i="6" s="1"/>
  <c r="AB2443" i="6"/>
  <c r="AC2443" i="6" s="1"/>
  <c r="AB2444" i="6"/>
  <c r="AC2444" i="6" s="1"/>
  <c r="AB2445" i="6"/>
  <c r="AC2445" i="6" s="1"/>
  <c r="AB2446" i="6"/>
  <c r="AC2446" i="6" s="1"/>
  <c r="AB2447" i="6"/>
  <c r="AC2447" i="6" s="1"/>
  <c r="AB2448" i="6"/>
  <c r="AC2448" i="6" s="1"/>
  <c r="AB2449" i="6"/>
  <c r="AC2449" i="6" s="1"/>
  <c r="AB2450" i="6"/>
  <c r="AC2450" i="6" s="1"/>
  <c r="AB2451" i="6"/>
  <c r="AC2451" i="6" s="1"/>
  <c r="AB2452" i="6"/>
  <c r="AC2452" i="6" s="1"/>
  <c r="AB2453" i="6"/>
  <c r="AC2453" i="6" s="1"/>
  <c r="AB2454" i="6"/>
  <c r="AC2454" i="6" s="1"/>
  <c r="AB2455" i="6"/>
  <c r="AC2455" i="6" s="1"/>
  <c r="AB2456" i="6"/>
  <c r="AC2456" i="6" s="1"/>
  <c r="AB2457" i="6"/>
  <c r="AC2457" i="6" s="1"/>
  <c r="AB2458" i="6"/>
  <c r="AC2458" i="6" s="1"/>
  <c r="AB2459" i="6"/>
  <c r="AC2459" i="6" s="1"/>
  <c r="AB2460" i="6"/>
  <c r="AC2460" i="6" s="1"/>
  <c r="AB2461" i="6"/>
  <c r="AC2461" i="6" s="1"/>
  <c r="AB2462" i="6"/>
  <c r="AC2462" i="6" s="1"/>
  <c r="AB2463" i="6"/>
  <c r="AC2463" i="6" s="1"/>
  <c r="AB2464" i="6"/>
  <c r="AC2464" i="6" s="1"/>
  <c r="AB2465" i="6"/>
  <c r="AC2465" i="6" s="1"/>
  <c r="AB2466" i="6"/>
  <c r="AC2466" i="6" s="1"/>
  <c r="AB2467" i="6"/>
  <c r="AC2467" i="6" s="1"/>
  <c r="AB2468" i="6"/>
  <c r="AC2468" i="6" s="1"/>
  <c r="AB2469" i="6"/>
  <c r="AC2469" i="6" s="1"/>
  <c r="AB2470" i="6"/>
  <c r="AC2470" i="6" s="1"/>
  <c r="AB2471" i="6"/>
  <c r="AC2471" i="6" s="1"/>
  <c r="AB2472" i="6"/>
  <c r="AC2472" i="6" s="1"/>
  <c r="AB2473" i="6"/>
  <c r="AC2473" i="6" s="1"/>
  <c r="AB2474" i="6"/>
  <c r="AC2474" i="6" s="1"/>
  <c r="AB2475" i="6"/>
  <c r="AC2475" i="6" s="1"/>
  <c r="AB2476" i="6"/>
  <c r="AC2476" i="6" s="1"/>
  <c r="AB2477" i="6"/>
  <c r="AC2477" i="6" s="1"/>
  <c r="AB2478" i="6"/>
  <c r="AC2478" i="6" s="1"/>
  <c r="AB2479" i="6"/>
  <c r="AC2479" i="6" s="1"/>
  <c r="AB2480" i="6"/>
  <c r="AC2480" i="6" s="1"/>
  <c r="AB2481" i="6"/>
  <c r="AC2481" i="6" s="1"/>
  <c r="AB2482" i="6"/>
  <c r="AC2482" i="6" s="1"/>
  <c r="AB2483" i="6"/>
  <c r="AC2483" i="6" s="1"/>
  <c r="AB2484" i="6"/>
  <c r="AC2484" i="6" s="1"/>
  <c r="AB2485" i="6"/>
  <c r="AC2485" i="6" s="1"/>
  <c r="AB2486" i="6"/>
  <c r="AC2486" i="6" s="1"/>
  <c r="AB2487" i="6"/>
  <c r="AC2487" i="6" s="1"/>
  <c r="AB2488" i="6"/>
  <c r="AC2488" i="6" s="1"/>
  <c r="AB2489" i="6"/>
  <c r="AC2489" i="6" s="1"/>
  <c r="AB2490" i="6"/>
  <c r="AC2490" i="6" s="1"/>
  <c r="AB2491" i="6"/>
  <c r="AC2491" i="6" s="1"/>
  <c r="AB2492" i="6"/>
  <c r="AC2492" i="6" s="1"/>
  <c r="AB2493" i="6"/>
  <c r="AC2493" i="6" s="1"/>
  <c r="AB2494" i="6"/>
  <c r="AC2494" i="6" s="1"/>
  <c r="AB2495" i="6"/>
  <c r="AC2495" i="6" s="1"/>
  <c r="AB2496" i="6"/>
  <c r="AC2496" i="6" s="1"/>
  <c r="AB2497" i="6"/>
  <c r="AC2497" i="6" s="1"/>
  <c r="AB2498" i="6"/>
  <c r="AC2498" i="6" s="1"/>
  <c r="AB2499" i="6"/>
  <c r="AC2499" i="6" s="1"/>
  <c r="AB2500" i="6"/>
  <c r="AC2500" i="6" s="1"/>
  <c r="AB2501" i="6"/>
  <c r="AC2501" i="6" s="1"/>
  <c r="AB2502" i="6"/>
  <c r="AC2502" i="6" s="1"/>
  <c r="AB2503" i="6"/>
  <c r="AC2503" i="6" s="1"/>
  <c r="AB2504" i="6"/>
  <c r="AC2504" i="6" s="1"/>
  <c r="AB2505" i="6"/>
  <c r="AC2505" i="6" s="1"/>
  <c r="AB2506" i="6"/>
  <c r="AC2506" i="6" s="1"/>
  <c r="AB2507" i="6"/>
  <c r="AC2507" i="6" s="1"/>
  <c r="AB2508" i="6"/>
  <c r="AC2508" i="6" s="1"/>
  <c r="AB2509" i="6"/>
  <c r="AC2509" i="6" s="1"/>
  <c r="AB2510" i="6"/>
  <c r="AC2510" i="6" s="1"/>
  <c r="AB2511" i="6"/>
  <c r="AC2511" i="6" s="1"/>
  <c r="AB2512" i="6"/>
  <c r="AC2512" i="6" s="1"/>
  <c r="AB2513" i="6"/>
  <c r="AC2513" i="6" s="1"/>
  <c r="AB2514" i="6"/>
  <c r="AC2514" i="6" s="1"/>
  <c r="AB2515" i="6"/>
  <c r="AC2515" i="6" s="1"/>
  <c r="AB2516" i="6"/>
  <c r="AC2516" i="6" s="1"/>
  <c r="AB2517" i="6"/>
  <c r="AC2517" i="6" s="1"/>
  <c r="AB2518" i="6"/>
  <c r="AC2518" i="6" s="1"/>
  <c r="AB2519" i="6"/>
  <c r="AC2519" i="6" s="1"/>
  <c r="AB2520" i="6"/>
  <c r="AC2520" i="6" s="1"/>
  <c r="AB2521" i="6"/>
  <c r="AC2521" i="6" s="1"/>
  <c r="AB2522" i="6"/>
  <c r="AC2522" i="6" s="1"/>
  <c r="AB2523" i="6"/>
  <c r="AC2523" i="6" s="1"/>
  <c r="AB2524" i="6"/>
  <c r="AC2524" i="6" s="1"/>
  <c r="AB2525" i="6"/>
  <c r="AC2525" i="6" s="1"/>
  <c r="AB2526" i="6"/>
  <c r="AC2526" i="6" s="1"/>
  <c r="AB2527" i="6"/>
  <c r="AC2527" i="6" s="1"/>
  <c r="AB2528" i="6"/>
  <c r="AC2528" i="6" s="1"/>
  <c r="AB2529" i="6"/>
  <c r="AC2529" i="6" s="1"/>
  <c r="AB2530" i="6"/>
  <c r="AC2530" i="6" s="1"/>
  <c r="AB2531" i="6"/>
  <c r="AC2531" i="6" s="1"/>
  <c r="AB2532" i="6"/>
  <c r="AC2532" i="6" s="1"/>
  <c r="AB2533" i="6"/>
  <c r="AC2533" i="6" s="1"/>
  <c r="AB2534" i="6"/>
  <c r="AC2534" i="6" s="1"/>
  <c r="AB2535" i="6"/>
  <c r="AC2535" i="6" s="1"/>
  <c r="AB2536" i="6"/>
  <c r="AC2536" i="6" s="1"/>
  <c r="AB2537" i="6"/>
  <c r="AC2537" i="6" s="1"/>
  <c r="AB2538" i="6"/>
  <c r="AC2538" i="6" s="1"/>
  <c r="AB2539" i="6"/>
  <c r="AC2539" i="6" s="1"/>
  <c r="AB2540" i="6"/>
  <c r="AC2540" i="6" s="1"/>
  <c r="AB2541" i="6"/>
  <c r="AC2541" i="6" s="1"/>
  <c r="AB2542" i="6"/>
  <c r="AC2542" i="6" s="1"/>
  <c r="AB2543" i="6"/>
  <c r="AC2543" i="6" s="1"/>
  <c r="AB2544" i="6"/>
  <c r="AC2544" i="6" s="1"/>
  <c r="AB2545" i="6"/>
  <c r="AC2545" i="6" s="1"/>
  <c r="AB2546" i="6"/>
  <c r="AC2546" i="6" s="1"/>
  <c r="AB2547" i="6"/>
  <c r="AC2547" i="6" s="1"/>
  <c r="AB2548" i="6"/>
  <c r="AC2548" i="6" s="1"/>
  <c r="AB2549" i="6"/>
  <c r="AC2549" i="6" s="1"/>
  <c r="AB2550" i="6"/>
  <c r="AC2550" i="6" s="1"/>
  <c r="AB2551" i="6"/>
  <c r="AC2551" i="6" s="1"/>
  <c r="AB2552" i="6"/>
  <c r="AC2552" i="6" s="1"/>
  <c r="AB2553" i="6"/>
  <c r="AC2553" i="6" s="1"/>
  <c r="AB2554" i="6"/>
  <c r="AC2554" i="6" s="1"/>
  <c r="AB2555" i="6"/>
  <c r="AC2555" i="6" s="1"/>
  <c r="AB2556" i="6"/>
  <c r="AC2556" i="6" s="1"/>
  <c r="AB2557" i="6"/>
  <c r="AC2557" i="6" s="1"/>
  <c r="AB2558" i="6"/>
  <c r="AC2558" i="6" s="1"/>
  <c r="AB2559" i="6"/>
  <c r="AC2559" i="6" s="1"/>
  <c r="AB2560" i="6"/>
  <c r="AC2560" i="6" s="1"/>
  <c r="AB2561" i="6"/>
  <c r="AC2561" i="6" s="1"/>
  <c r="AB2562" i="6"/>
  <c r="AC2562" i="6" s="1"/>
  <c r="AB2563" i="6"/>
  <c r="AC2563" i="6" s="1"/>
  <c r="AB2564" i="6"/>
  <c r="AC2564" i="6" s="1"/>
  <c r="AB2565" i="6"/>
  <c r="AC2565" i="6" s="1"/>
  <c r="AB2566" i="6"/>
  <c r="AC2566" i="6" s="1"/>
  <c r="AB2567" i="6"/>
  <c r="AC2567" i="6" s="1"/>
  <c r="AB2568" i="6"/>
  <c r="AC2568" i="6" s="1"/>
  <c r="AB2569" i="6"/>
  <c r="AC2569" i="6" s="1"/>
  <c r="AB2570" i="6"/>
  <c r="AC2570" i="6" s="1"/>
  <c r="AB2571" i="6"/>
  <c r="AC2571" i="6" s="1"/>
  <c r="AB2572" i="6"/>
  <c r="AC2572" i="6" s="1"/>
  <c r="AB2573" i="6"/>
  <c r="AC2573" i="6" s="1"/>
  <c r="AB2574" i="6"/>
  <c r="AC2574" i="6" s="1"/>
  <c r="AB2575" i="6"/>
  <c r="AC2575" i="6" s="1"/>
  <c r="AB2576" i="6"/>
  <c r="AC2576" i="6" s="1"/>
  <c r="AB2577" i="6"/>
  <c r="AC2577" i="6" s="1"/>
  <c r="AB2578" i="6"/>
  <c r="AC2578" i="6" s="1"/>
  <c r="AB2579" i="6"/>
  <c r="AC2579" i="6" s="1"/>
  <c r="AB2580" i="6"/>
  <c r="AC2580" i="6" s="1"/>
  <c r="AB2581" i="6"/>
  <c r="AC2581" i="6" s="1"/>
  <c r="AB2582" i="6"/>
  <c r="AC2582" i="6" s="1"/>
  <c r="AB2583" i="6"/>
  <c r="AC2583" i="6" s="1"/>
  <c r="AB2584" i="6"/>
  <c r="AC2584" i="6" s="1"/>
  <c r="AB2585" i="6"/>
  <c r="AC2585" i="6" s="1"/>
  <c r="AB2586" i="6"/>
  <c r="AC2586" i="6" s="1"/>
  <c r="AB2587" i="6"/>
  <c r="AC2587" i="6" s="1"/>
  <c r="AB2588" i="6"/>
  <c r="AC2588" i="6" s="1"/>
  <c r="AB2589" i="6"/>
  <c r="AC2589" i="6" s="1"/>
  <c r="AB2590" i="6"/>
  <c r="AC2590" i="6" s="1"/>
  <c r="AB2591" i="6"/>
  <c r="AC2591" i="6" s="1"/>
  <c r="AB2592" i="6"/>
  <c r="AC2592" i="6" s="1"/>
  <c r="AB2593" i="6"/>
  <c r="AC2593" i="6" s="1"/>
  <c r="AB2594" i="6"/>
  <c r="AC2594" i="6" s="1"/>
  <c r="AB2595" i="6"/>
  <c r="AC2595" i="6" s="1"/>
  <c r="AB2596" i="6"/>
  <c r="AC2596" i="6" s="1"/>
  <c r="AB2597" i="6"/>
  <c r="AC2597" i="6" s="1"/>
  <c r="AB2598" i="6"/>
  <c r="AC2598" i="6" s="1"/>
  <c r="AB2599" i="6"/>
  <c r="AC2599" i="6" s="1"/>
  <c r="AB2600" i="6"/>
  <c r="AC2600" i="6" s="1"/>
  <c r="AB2601" i="6"/>
  <c r="AC2601" i="6" s="1"/>
  <c r="AB2602" i="6"/>
  <c r="AC2602" i="6" s="1"/>
  <c r="AB2603" i="6"/>
  <c r="AC2603" i="6" s="1"/>
  <c r="AB2604" i="6"/>
  <c r="AC2604" i="6" s="1"/>
  <c r="AB2605" i="6"/>
  <c r="AC2605" i="6" s="1"/>
  <c r="AB2606" i="6"/>
  <c r="AC2606" i="6" s="1"/>
  <c r="AB2607" i="6"/>
  <c r="AC2607" i="6" s="1"/>
  <c r="AB2608" i="6"/>
  <c r="AC2608" i="6" s="1"/>
  <c r="AB2609" i="6"/>
  <c r="AC2609" i="6" s="1"/>
  <c r="AB2610" i="6"/>
  <c r="AC2610" i="6" s="1"/>
  <c r="AB2611" i="6"/>
  <c r="AC2611" i="6" s="1"/>
  <c r="AB2612" i="6"/>
  <c r="AC2612" i="6" s="1"/>
  <c r="AB2613" i="6"/>
  <c r="AC2613" i="6" s="1"/>
  <c r="AB2614" i="6"/>
  <c r="AC2614" i="6" s="1"/>
  <c r="AB2615" i="6"/>
  <c r="AC2615" i="6" s="1"/>
  <c r="AB2616" i="6"/>
  <c r="AC2616" i="6" s="1"/>
  <c r="AB2617" i="6"/>
  <c r="AC2617" i="6" s="1"/>
  <c r="AB2618" i="6"/>
  <c r="AC2618" i="6" s="1"/>
  <c r="AB2619" i="6"/>
  <c r="AC2619" i="6" s="1"/>
  <c r="AB2620" i="6"/>
  <c r="AC2620" i="6" s="1"/>
  <c r="AB2621" i="6"/>
  <c r="AC2621" i="6" s="1"/>
  <c r="AB2622" i="6"/>
  <c r="AC2622" i="6" s="1"/>
  <c r="AB2623" i="6"/>
  <c r="AC2623" i="6" s="1"/>
  <c r="AB2624" i="6"/>
  <c r="AC2624" i="6" s="1"/>
  <c r="AB2625" i="6"/>
  <c r="AC2625" i="6" s="1"/>
  <c r="AB2626" i="6"/>
  <c r="AC2626" i="6" s="1"/>
  <c r="AB2627" i="6"/>
  <c r="AC2627" i="6" s="1"/>
  <c r="AB2628" i="6"/>
  <c r="AC2628" i="6" s="1"/>
  <c r="AB2629" i="6"/>
  <c r="AC2629" i="6" s="1"/>
  <c r="AB2630" i="6"/>
  <c r="AC2630" i="6" s="1"/>
  <c r="AB2631" i="6"/>
  <c r="AC2631" i="6" s="1"/>
  <c r="AB2632" i="6"/>
  <c r="AC2632" i="6" s="1"/>
  <c r="AB2633" i="6"/>
  <c r="AC2633" i="6" s="1"/>
  <c r="AB2634" i="6"/>
  <c r="AC2634" i="6" s="1"/>
  <c r="AB2635" i="6"/>
  <c r="AC2635" i="6" s="1"/>
  <c r="AB2636" i="6"/>
  <c r="AC2636" i="6" s="1"/>
  <c r="AB2637" i="6"/>
  <c r="AC2637" i="6" s="1"/>
  <c r="AB2638" i="6"/>
  <c r="AC2638" i="6" s="1"/>
  <c r="AB2639" i="6"/>
  <c r="AC2639" i="6" s="1"/>
  <c r="AB2640" i="6"/>
  <c r="AC2640" i="6" s="1"/>
  <c r="AB2641" i="6"/>
  <c r="AC2641" i="6" s="1"/>
  <c r="AB2642" i="6"/>
  <c r="AC2642" i="6" s="1"/>
  <c r="AB2643" i="6"/>
  <c r="AC2643" i="6" s="1"/>
  <c r="AB2644" i="6"/>
  <c r="AC2644" i="6" s="1"/>
  <c r="AB2645" i="6"/>
  <c r="AC2645" i="6" s="1"/>
  <c r="AB2646" i="6"/>
  <c r="AC2646" i="6" s="1"/>
  <c r="AB2647" i="6"/>
  <c r="AC2647" i="6" s="1"/>
  <c r="AB2648" i="6"/>
  <c r="AC2648" i="6" s="1"/>
  <c r="AB2649" i="6"/>
  <c r="AC2649" i="6" s="1"/>
  <c r="AB2650" i="6"/>
  <c r="AC2650" i="6" s="1"/>
  <c r="AB2651" i="6"/>
  <c r="AC2651" i="6" s="1"/>
  <c r="AB2652" i="6"/>
  <c r="AC2652" i="6" s="1"/>
  <c r="AB2653" i="6"/>
  <c r="AC2653" i="6" s="1"/>
  <c r="AB2654" i="6"/>
  <c r="AC2654" i="6" s="1"/>
  <c r="AB2655" i="6"/>
  <c r="AC2655" i="6" s="1"/>
  <c r="AB2656" i="6"/>
  <c r="AC2656" i="6" s="1"/>
  <c r="AB2657" i="6"/>
  <c r="AC2657" i="6" s="1"/>
  <c r="AB2658" i="6"/>
  <c r="AC2658" i="6" s="1"/>
  <c r="AB2659" i="6"/>
  <c r="AC2659" i="6" s="1"/>
  <c r="AB2660" i="6"/>
  <c r="AC2660" i="6" s="1"/>
  <c r="AB2661" i="6"/>
  <c r="AC2661" i="6" s="1"/>
  <c r="AB2662" i="6"/>
  <c r="AC2662" i="6" s="1"/>
  <c r="AB2663" i="6"/>
  <c r="AC2663" i="6" s="1"/>
  <c r="AB2664" i="6"/>
  <c r="AC2664" i="6" s="1"/>
  <c r="AB2665" i="6"/>
  <c r="AC2665" i="6" s="1"/>
  <c r="AB2666" i="6"/>
  <c r="AC2666" i="6" s="1"/>
  <c r="AB2667" i="6"/>
  <c r="AC2667" i="6" s="1"/>
  <c r="AB2668" i="6"/>
  <c r="AC2668" i="6" s="1"/>
  <c r="AB2669" i="6"/>
  <c r="AC2669" i="6" s="1"/>
  <c r="AB2670" i="6"/>
  <c r="AC2670" i="6" s="1"/>
  <c r="AB2671" i="6"/>
  <c r="AC2671" i="6" s="1"/>
  <c r="AB2672" i="6"/>
  <c r="AC2672" i="6" s="1"/>
  <c r="AB2673" i="6"/>
  <c r="AC2673" i="6" s="1"/>
  <c r="AB2674" i="6"/>
  <c r="AC2674" i="6" s="1"/>
  <c r="AB2675" i="6"/>
  <c r="AC2675" i="6" s="1"/>
  <c r="AB2676" i="6"/>
  <c r="AC2676" i="6" s="1"/>
  <c r="AB2677" i="6"/>
  <c r="AC2677" i="6" s="1"/>
  <c r="AB2678" i="6"/>
  <c r="AC2678" i="6" s="1"/>
  <c r="AB2679" i="6"/>
  <c r="AC2679" i="6" s="1"/>
  <c r="AB2680" i="6"/>
  <c r="AC2680" i="6" s="1"/>
  <c r="AB2681" i="6"/>
  <c r="AC2681" i="6" s="1"/>
  <c r="AB2682" i="6"/>
  <c r="AC2682" i="6" s="1"/>
  <c r="AB2683" i="6"/>
  <c r="AC2683" i="6" s="1"/>
  <c r="AB2684" i="6"/>
  <c r="AC2684" i="6" s="1"/>
  <c r="AB2685" i="6"/>
  <c r="AC2685" i="6" s="1"/>
  <c r="AB2686" i="6"/>
  <c r="AC2686" i="6" s="1"/>
  <c r="AB2687" i="6"/>
  <c r="AC2687" i="6" s="1"/>
  <c r="AB2688" i="6"/>
  <c r="AC2688" i="6" s="1"/>
  <c r="AB2689" i="6"/>
  <c r="AC2689" i="6" s="1"/>
  <c r="AB2690" i="6"/>
  <c r="AC2690" i="6" s="1"/>
  <c r="AB2691" i="6"/>
  <c r="AC2691" i="6" s="1"/>
  <c r="AB2692" i="6"/>
  <c r="AC2692" i="6" s="1"/>
  <c r="AB2693" i="6"/>
  <c r="AC2693" i="6" s="1"/>
  <c r="AB2694" i="6"/>
  <c r="AC2694" i="6" s="1"/>
  <c r="AB2695" i="6"/>
  <c r="AC2695" i="6" s="1"/>
  <c r="AB2696" i="6"/>
  <c r="AC2696" i="6" s="1"/>
  <c r="AB2697" i="6"/>
  <c r="AC2697" i="6" s="1"/>
  <c r="AB2698" i="6"/>
  <c r="AC2698" i="6" s="1"/>
  <c r="AB2699" i="6"/>
  <c r="AC2699" i="6" s="1"/>
  <c r="AB2700" i="6"/>
  <c r="AC2700" i="6" s="1"/>
  <c r="AB2701" i="6"/>
  <c r="AC2701" i="6" s="1"/>
  <c r="AB2702" i="6"/>
  <c r="AC2702" i="6" s="1"/>
  <c r="AB2703" i="6"/>
  <c r="AC2703" i="6" s="1"/>
  <c r="AB2704" i="6"/>
  <c r="AC2704" i="6" s="1"/>
  <c r="AB2705" i="6"/>
  <c r="AC2705" i="6" s="1"/>
  <c r="AB2706" i="6"/>
  <c r="AC2706" i="6" s="1"/>
  <c r="AB2707" i="6"/>
  <c r="AC2707" i="6" s="1"/>
  <c r="AB2708" i="6"/>
  <c r="AC2708" i="6" s="1"/>
  <c r="AB2709" i="6"/>
  <c r="AC2709" i="6" s="1"/>
  <c r="AB2710" i="6"/>
  <c r="AC2710" i="6" s="1"/>
  <c r="AB2711" i="6"/>
  <c r="AC2711" i="6" s="1"/>
  <c r="AB2712" i="6"/>
  <c r="AC2712" i="6" s="1"/>
  <c r="AB2713" i="6"/>
  <c r="AC2713" i="6" s="1"/>
  <c r="AB2714" i="6"/>
  <c r="AC2714" i="6" s="1"/>
  <c r="AB2715" i="6"/>
  <c r="AC2715" i="6" s="1"/>
  <c r="AB2716" i="6"/>
  <c r="AC2716" i="6" s="1"/>
  <c r="AB2717" i="6"/>
  <c r="AC2717" i="6" s="1"/>
  <c r="AB2718" i="6"/>
  <c r="AC2718" i="6" s="1"/>
  <c r="AB2719" i="6"/>
  <c r="AC2719" i="6" s="1"/>
  <c r="AB2720" i="6"/>
  <c r="AC2720" i="6" s="1"/>
  <c r="AB2721" i="6"/>
  <c r="AC2721" i="6" s="1"/>
  <c r="AB2722" i="6"/>
  <c r="AC2722" i="6" s="1"/>
  <c r="AB2723" i="6"/>
  <c r="AC2723" i="6" s="1"/>
  <c r="AB2724" i="6"/>
  <c r="AC2724" i="6" s="1"/>
  <c r="AB2725" i="6"/>
  <c r="AC2725" i="6" s="1"/>
  <c r="AB2726" i="6"/>
  <c r="AC2726" i="6" s="1"/>
  <c r="AB2727" i="6"/>
  <c r="AC2727" i="6" s="1"/>
  <c r="AB2728" i="6"/>
  <c r="AC2728" i="6" s="1"/>
  <c r="AB2729" i="6"/>
  <c r="AC2729" i="6" s="1"/>
  <c r="AB2730" i="6"/>
  <c r="AC2730" i="6" s="1"/>
  <c r="AB2731" i="6"/>
  <c r="AC2731" i="6" s="1"/>
  <c r="AB2732" i="6"/>
  <c r="AC2732" i="6" s="1"/>
  <c r="AB2733" i="6"/>
  <c r="AC2733" i="6" s="1"/>
  <c r="AB2734" i="6"/>
  <c r="AC2734" i="6" s="1"/>
  <c r="AB2735" i="6"/>
  <c r="AC2735" i="6" s="1"/>
  <c r="AB2736" i="6"/>
  <c r="AC2736" i="6" s="1"/>
  <c r="AB2737" i="6"/>
  <c r="AC2737" i="6" s="1"/>
  <c r="AB2738" i="6"/>
  <c r="AC2738" i="6" s="1"/>
  <c r="AB2739" i="6"/>
  <c r="AC2739" i="6" s="1"/>
  <c r="AB2740" i="6"/>
  <c r="AC2740" i="6" s="1"/>
  <c r="AB2741" i="6"/>
  <c r="AC2741" i="6" s="1"/>
  <c r="AB2742" i="6"/>
  <c r="AC2742" i="6" s="1"/>
  <c r="AB2743" i="6"/>
  <c r="AC2743" i="6" s="1"/>
  <c r="AB2744" i="6"/>
  <c r="AC2744" i="6" s="1"/>
  <c r="AB2745" i="6"/>
  <c r="AC2745" i="6" s="1"/>
  <c r="AB2746" i="6"/>
  <c r="AC2746" i="6" s="1"/>
  <c r="AB2747" i="6"/>
  <c r="AC2747" i="6" s="1"/>
  <c r="AB2748" i="6"/>
  <c r="AC2748" i="6" s="1"/>
  <c r="AB2749" i="6"/>
  <c r="AC2749" i="6" s="1"/>
  <c r="AB2750" i="6"/>
  <c r="AC2750" i="6" s="1"/>
  <c r="AB2751" i="6"/>
  <c r="AC2751" i="6" s="1"/>
  <c r="AB2752" i="6"/>
  <c r="AC2752" i="6" s="1"/>
  <c r="AB2753" i="6"/>
  <c r="AC2753" i="6" s="1"/>
  <c r="AB2754" i="6"/>
  <c r="AC2754" i="6" s="1"/>
  <c r="AB2755" i="6"/>
  <c r="AC2755" i="6" s="1"/>
  <c r="AB2756" i="6"/>
  <c r="AC2756" i="6" s="1"/>
  <c r="AB2757" i="6"/>
  <c r="AC2757" i="6" s="1"/>
  <c r="AB2758" i="6"/>
  <c r="AC2758" i="6" s="1"/>
  <c r="AB2759" i="6"/>
  <c r="AC2759" i="6" s="1"/>
  <c r="AB2760" i="6"/>
  <c r="AC2760" i="6" s="1"/>
  <c r="AB2761" i="6"/>
  <c r="AC2761" i="6" s="1"/>
  <c r="AB2762" i="6"/>
  <c r="AC2762" i="6" s="1"/>
  <c r="AB2763" i="6"/>
  <c r="AC2763" i="6" s="1"/>
  <c r="AB2764" i="6"/>
  <c r="AC2764" i="6" s="1"/>
  <c r="AB2765" i="6"/>
  <c r="AC2765" i="6" s="1"/>
  <c r="AB2766" i="6"/>
  <c r="AC2766" i="6" s="1"/>
  <c r="AB2767" i="6"/>
  <c r="AC2767" i="6" s="1"/>
  <c r="AB2768" i="6"/>
  <c r="AC2768" i="6" s="1"/>
  <c r="AB2769" i="6"/>
  <c r="AC2769" i="6" s="1"/>
  <c r="AB2770" i="6"/>
  <c r="AC2770" i="6" s="1"/>
  <c r="AB2771" i="6"/>
  <c r="AC2771" i="6" s="1"/>
  <c r="AB2772" i="6"/>
  <c r="AC2772" i="6" s="1"/>
  <c r="AB2773" i="6"/>
  <c r="AC2773" i="6" s="1"/>
  <c r="AB2774" i="6"/>
  <c r="AC2774" i="6" s="1"/>
  <c r="AB2775" i="6"/>
  <c r="AC2775" i="6" s="1"/>
  <c r="AB2776" i="6"/>
  <c r="AC2776" i="6" s="1"/>
  <c r="AB2777" i="6"/>
  <c r="AC2777" i="6" s="1"/>
  <c r="AB2778" i="6"/>
  <c r="AC2778" i="6" s="1"/>
  <c r="AB2779" i="6"/>
  <c r="AC2779" i="6" s="1"/>
  <c r="AB2780" i="6"/>
  <c r="AC2780" i="6" s="1"/>
  <c r="AB2781" i="6"/>
  <c r="AC2781" i="6" s="1"/>
  <c r="AB2782" i="6"/>
  <c r="AC2782" i="6" s="1"/>
  <c r="AB2783" i="6"/>
  <c r="AC2783" i="6" s="1"/>
  <c r="AB2784" i="6"/>
  <c r="AC2784" i="6" s="1"/>
  <c r="AB2785" i="6"/>
  <c r="AC2785" i="6" s="1"/>
  <c r="AB2786" i="6"/>
  <c r="AC2786" i="6" s="1"/>
  <c r="AB2787" i="6"/>
  <c r="AC2787" i="6" s="1"/>
  <c r="AB2788" i="6"/>
  <c r="AC2788" i="6" s="1"/>
  <c r="AB2789" i="6"/>
  <c r="AC2789" i="6" s="1"/>
  <c r="AB2790" i="6"/>
  <c r="AC2790" i="6" s="1"/>
  <c r="AB2791" i="6"/>
  <c r="AC2791" i="6" s="1"/>
  <c r="AB2792" i="6"/>
  <c r="AC2792" i="6" s="1"/>
  <c r="AB2793" i="6"/>
  <c r="AC2793" i="6" s="1"/>
  <c r="AB2794" i="6"/>
  <c r="AC2794" i="6" s="1"/>
  <c r="AB2795" i="6"/>
  <c r="AC2795" i="6" s="1"/>
  <c r="AB2796" i="6"/>
  <c r="AC2796" i="6" s="1"/>
  <c r="AB2797" i="6"/>
  <c r="AC2797" i="6" s="1"/>
  <c r="AB2798" i="6"/>
  <c r="AC2798" i="6" s="1"/>
  <c r="AB2799" i="6"/>
  <c r="AC2799" i="6" s="1"/>
  <c r="AB2800" i="6"/>
  <c r="AC2800" i="6" s="1"/>
  <c r="AB2801" i="6"/>
  <c r="AC2801" i="6" s="1"/>
  <c r="AB2802" i="6"/>
  <c r="AC2802" i="6" s="1"/>
  <c r="AA2" i="6"/>
  <c r="AA3" i="6"/>
  <c r="AA4"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136" i="6"/>
  <c r="AA137" i="6"/>
  <c r="AA138" i="6"/>
  <c r="AA139" i="6"/>
  <c r="AA140" i="6"/>
  <c r="AA141" i="6"/>
  <c r="AA142" i="6"/>
  <c r="AA143" i="6"/>
  <c r="AA144" i="6"/>
  <c r="AA145" i="6"/>
  <c r="AA146" i="6"/>
  <c r="AA147" i="6"/>
  <c r="AA148" i="6"/>
  <c r="AA149" i="6"/>
  <c r="AA150" i="6"/>
  <c r="AA151" i="6"/>
  <c r="AA152" i="6"/>
  <c r="AA153" i="6"/>
  <c r="AA154" i="6"/>
  <c r="AA155" i="6"/>
  <c r="AA156" i="6"/>
  <c r="AA157" i="6"/>
  <c r="AA158" i="6"/>
  <c r="AA159" i="6"/>
  <c r="AA160" i="6"/>
  <c r="AA161" i="6"/>
  <c r="AA162" i="6"/>
  <c r="AA163" i="6"/>
  <c r="AA164" i="6"/>
  <c r="AA165" i="6"/>
  <c r="AA166" i="6"/>
  <c r="AA167" i="6"/>
  <c r="AA168" i="6"/>
  <c r="AA169" i="6"/>
  <c r="AA170" i="6"/>
  <c r="AA171" i="6"/>
  <c r="AA172" i="6"/>
  <c r="AA173" i="6"/>
  <c r="AA174" i="6"/>
  <c r="AA175" i="6"/>
  <c r="AA176" i="6"/>
  <c r="AA177" i="6"/>
  <c r="AA178" i="6"/>
  <c r="AA179" i="6"/>
  <c r="AA180" i="6"/>
  <c r="AA181" i="6"/>
  <c r="AA182" i="6"/>
  <c r="AA183" i="6"/>
  <c r="AA184" i="6"/>
  <c r="AA185" i="6"/>
  <c r="AA186" i="6"/>
  <c r="AA187" i="6"/>
  <c r="AA188" i="6"/>
  <c r="AA189" i="6"/>
  <c r="AA190" i="6"/>
  <c r="AA191" i="6"/>
  <c r="AA192" i="6"/>
  <c r="AA193" i="6"/>
  <c r="AA194" i="6"/>
  <c r="AA195" i="6"/>
  <c r="AA196" i="6"/>
  <c r="AA197" i="6"/>
  <c r="AA198" i="6"/>
  <c r="AA199" i="6"/>
  <c r="AA200" i="6"/>
  <c r="AA201" i="6"/>
  <c r="AA202" i="6"/>
  <c r="AA203" i="6"/>
  <c r="AA204" i="6"/>
  <c r="AA205" i="6"/>
  <c r="AA206" i="6"/>
  <c r="AA207" i="6"/>
  <c r="AA208" i="6"/>
  <c r="AA209" i="6"/>
  <c r="AA210" i="6"/>
  <c r="AA211" i="6"/>
  <c r="AA212" i="6"/>
  <c r="AA213" i="6"/>
  <c r="AA214" i="6"/>
  <c r="AA215" i="6"/>
  <c r="AA216" i="6"/>
  <c r="AA217" i="6"/>
  <c r="AA218" i="6"/>
  <c r="AA219" i="6"/>
  <c r="AA220" i="6"/>
  <c r="AA221" i="6"/>
  <c r="AA222" i="6"/>
  <c r="AA223" i="6"/>
  <c r="AA224" i="6"/>
  <c r="AA225" i="6"/>
  <c r="AA226" i="6"/>
  <c r="AA227" i="6"/>
  <c r="AA228" i="6"/>
  <c r="AA229" i="6"/>
  <c r="AA230" i="6"/>
  <c r="AA231" i="6"/>
  <c r="AA232" i="6"/>
  <c r="AA233" i="6"/>
  <c r="AA234" i="6"/>
  <c r="AA235" i="6"/>
  <c r="AA236" i="6"/>
  <c r="AA237" i="6"/>
  <c r="AA238" i="6"/>
  <c r="AA239" i="6"/>
  <c r="AA240" i="6"/>
  <c r="AA241" i="6"/>
  <c r="AA242" i="6"/>
  <c r="AA243" i="6"/>
  <c r="AA244" i="6"/>
  <c r="AA245" i="6"/>
  <c r="AA246" i="6"/>
  <c r="AA247" i="6"/>
  <c r="AA248" i="6"/>
  <c r="AA249" i="6"/>
  <c r="AA250" i="6"/>
  <c r="AA251" i="6"/>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AA281" i="6"/>
  <c r="AA282" i="6"/>
  <c r="AA283" i="6"/>
  <c r="AA284" i="6"/>
  <c r="AA285" i="6"/>
  <c r="AA286" i="6"/>
  <c r="AA287" i="6"/>
  <c r="AA288" i="6"/>
  <c r="AA289" i="6"/>
  <c r="AA290" i="6"/>
  <c r="AA291" i="6"/>
  <c r="AA292" i="6"/>
  <c r="AA293" i="6"/>
  <c r="AA294" i="6"/>
  <c r="AA295" i="6"/>
  <c r="AA296" i="6"/>
  <c r="AA297" i="6"/>
  <c r="AA298" i="6"/>
  <c r="AA299" i="6"/>
  <c r="AA300" i="6"/>
  <c r="AA301" i="6"/>
  <c r="AA302" i="6"/>
  <c r="AA303" i="6"/>
  <c r="AA304" i="6"/>
  <c r="AA305" i="6"/>
  <c r="AA306" i="6"/>
  <c r="AA307" i="6"/>
  <c r="AA308" i="6"/>
  <c r="AA309" i="6"/>
  <c r="AA310" i="6"/>
  <c r="AA311" i="6"/>
  <c r="AA312" i="6"/>
  <c r="AA313" i="6"/>
  <c r="AA314" i="6"/>
  <c r="AA315" i="6"/>
  <c r="AA316" i="6"/>
  <c r="AA317" i="6"/>
  <c r="AA318" i="6"/>
  <c r="AA319" i="6"/>
  <c r="AA320" i="6"/>
  <c r="AA321" i="6"/>
  <c r="AA322" i="6"/>
  <c r="AA323" i="6"/>
  <c r="AA324" i="6"/>
  <c r="AA325" i="6"/>
  <c r="AA326" i="6"/>
  <c r="AA327" i="6"/>
  <c r="AA328" i="6"/>
  <c r="AA329" i="6"/>
  <c r="AA330" i="6"/>
  <c r="AA331" i="6"/>
  <c r="AA332" i="6"/>
  <c r="AA333" i="6"/>
  <c r="AA334" i="6"/>
  <c r="AA335" i="6"/>
  <c r="AA336" i="6"/>
  <c r="AA337" i="6"/>
  <c r="AA338" i="6"/>
  <c r="AA339" i="6"/>
  <c r="AA340" i="6"/>
  <c r="AA341" i="6"/>
  <c r="AA342" i="6"/>
  <c r="AA343" i="6"/>
  <c r="AA344" i="6"/>
  <c r="AA345" i="6"/>
  <c r="AA346" i="6"/>
  <c r="AA347" i="6"/>
  <c r="AA348" i="6"/>
  <c r="AA349" i="6"/>
  <c r="AA350" i="6"/>
  <c r="AA351" i="6"/>
  <c r="AA352" i="6"/>
  <c r="AA353" i="6"/>
  <c r="AA354" i="6"/>
  <c r="AA355" i="6"/>
  <c r="AA356" i="6"/>
  <c r="AA357" i="6"/>
  <c r="AA358" i="6"/>
  <c r="AA359" i="6"/>
  <c r="AA360" i="6"/>
  <c r="AA361" i="6"/>
  <c r="AA362" i="6"/>
  <c r="AA363" i="6"/>
  <c r="AA364" i="6"/>
  <c r="AA365" i="6"/>
  <c r="AA366" i="6"/>
  <c r="AA367" i="6"/>
  <c r="AA368" i="6"/>
  <c r="AA369" i="6"/>
  <c r="AA370" i="6"/>
  <c r="AA371" i="6"/>
  <c r="AA372" i="6"/>
  <c r="AA373" i="6"/>
  <c r="AA374" i="6"/>
  <c r="AA375" i="6"/>
  <c r="AA376" i="6"/>
  <c r="AA377" i="6"/>
  <c r="AA378" i="6"/>
  <c r="AA379" i="6"/>
  <c r="AA380" i="6"/>
  <c r="AA381" i="6"/>
  <c r="AA382" i="6"/>
  <c r="AA383" i="6"/>
  <c r="AA384" i="6"/>
  <c r="AA385" i="6"/>
  <c r="AA386" i="6"/>
  <c r="AA387" i="6"/>
  <c r="AA388" i="6"/>
  <c r="AA389" i="6"/>
  <c r="AA390" i="6"/>
  <c r="AA391" i="6"/>
  <c r="AA392" i="6"/>
  <c r="AA393" i="6"/>
  <c r="AA394" i="6"/>
  <c r="AA395" i="6"/>
  <c r="AA396" i="6"/>
  <c r="AA397" i="6"/>
  <c r="AA398" i="6"/>
  <c r="AA399" i="6"/>
  <c r="AA400" i="6"/>
  <c r="AA401" i="6"/>
  <c r="AA402" i="6"/>
  <c r="AA403" i="6"/>
  <c r="AA404" i="6"/>
  <c r="AA405" i="6"/>
  <c r="AA406" i="6"/>
  <c r="AA407" i="6"/>
  <c r="AA408" i="6"/>
  <c r="AA409" i="6"/>
  <c r="AA410" i="6"/>
  <c r="AA411" i="6"/>
  <c r="AA412" i="6"/>
  <c r="AA413" i="6"/>
  <c r="AA414" i="6"/>
  <c r="AA415" i="6"/>
  <c r="AA416" i="6"/>
  <c r="AA417" i="6"/>
  <c r="AA418" i="6"/>
  <c r="AA419" i="6"/>
  <c r="AA420" i="6"/>
  <c r="AA421" i="6"/>
  <c r="AA422" i="6"/>
  <c r="AA423" i="6"/>
  <c r="AA424" i="6"/>
  <c r="AA425" i="6"/>
  <c r="AA426" i="6"/>
  <c r="AA427" i="6"/>
  <c r="AA428" i="6"/>
  <c r="AA429" i="6"/>
  <c r="AA430" i="6"/>
  <c r="AA431" i="6"/>
  <c r="AA432" i="6"/>
  <c r="AA433" i="6"/>
  <c r="AA434" i="6"/>
  <c r="AA435" i="6"/>
  <c r="AA436" i="6"/>
  <c r="AA437" i="6"/>
  <c r="AA438" i="6"/>
  <c r="AA439" i="6"/>
  <c r="AA440" i="6"/>
  <c r="AA441" i="6"/>
  <c r="AA442" i="6"/>
  <c r="AA443" i="6"/>
  <c r="AA444" i="6"/>
  <c r="AA445" i="6"/>
  <c r="AA446" i="6"/>
  <c r="AA447" i="6"/>
  <c r="AA448" i="6"/>
  <c r="AA449" i="6"/>
  <c r="AA450" i="6"/>
  <c r="AA451" i="6"/>
  <c r="AA452" i="6"/>
  <c r="AA453" i="6"/>
  <c r="AA454" i="6"/>
  <c r="AA455" i="6"/>
  <c r="AA456" i="6"/>
  <c r="AA457" i="6"/>
  <c r="AA458" i="6"/>
  <c r="AA459" i="6"/>
  <c r="AA460" i="6"/>
  <c r="AA461" i="6"/>
  <c r="AA462" i="6"/>
  <c r="AA463" i="6"/>
  <c r="AA464" i="6"/>
  <c r="AA465" i="6"/>
  <c r="AA466" i="6"/>
  <c r="AA467" i="6"/>
  <c r="AA468" i="6"/>
  <c r="AA469" i="6"/>
  <c r="AA470" i="6"/>
  <c r="AA471" i="6"/>
  <c r="AA472" i="6"/>
  <c r="AA473" i="6"/>
  <c r="AA474" i="6"/>
  <c r="AA475" i="6"/>
  <c r="AA476" i="6"/>
  <c r="AA477" i="6"/>
  <c r="AA478" i="6"/>
  <c r="AA479" i="6"/>
  <c r="AA480" i="6"/>
  <c r="AA481" i="6"/>
  <c r="AA482" i="6"/>
  <c r="AA483" i="6"/>
  <c r="AA484" i="6"/>
  <c r="AA485" i="6"/>
  <c r="AA486" i="6"/>
  <c r="AA487" i="6"/>
  <c r="AA488" i="6"/>
  <c r="AA489" i="6"/>
  <c r="AA490" i="6"/>
  <c r="AA491" i="6"/>
  <c r="AA492" i="6"/>
  <c r="AA493" i="6"/>
  <c r="AA494" i="6"/>
  <c r="AA495" i="6"/>
  <c r="AA496" i="6"/>
  <c r="AA497" i="6"/>
  <c r="AA498" i="6"/>
  <c r="AA499" i="6"/>
  <c r="AA500" i="6"/>
  <c r="AA501" i="6"/>
  <c r="AA502" i="6"/>
  <c r="AA503" i="6"/>
  <c r="AA504" i="6"/>
  <c r="AA505" i="6"/>
  <c r="AA506" i="6"/>
  <c r="AA507" i="6"/>
  <c r="AA508" i="6"/>
  <c r="AA509" i="6"/>
  <c r="AA510" i="6"/>
  <c r="AA511" i="6"/>
  <c r="AA512" i="6"/>
  <c r="AA513" i="6"/>
  <c r="AA514" i="6"/>
  <c r="AA515" i="6"/>
  <c r="AA516" i="6"/>
  <c r="AA517" i="6"/>
  <c r="AA518" i="6"/>
  <c r="AA519" i="6"/>
  <c r="AA520" i="6"/>
  <c r="AA521" i="6"/>
  <c r="AA522" i="6"/>
  <c r="AA523" i="6"/>
  <c r="AA524" i="6"/>
  <c r="AA525" i="6"/>
  <c r="AA526" i="6"/>
  <c r="AA527" i="6"/>
  <c r="AA528" i="6"/>
  <c r="AA529" i="6"/>
  <c r="AA530" i="6"/>
  <c r="AA531" i="6"/>
  <c r="AA532" i="6"/>
  <c r="AA533" i="6"/>
  <c r="AA534" i="6"/>
  <c r="AA535" i="6"/>
  <c r="AA536" i="6"/>
  <c r="AA537" i="6"/>
  <c r="AA538" i="6"/>
  <c r="AA539" i="6"/>
  <c r="AA540" i="6"/>
  <c r="AA541" i="6"/>
  <c r="AA542" i="6"/>
  <c r="AA543" i="6"/>
  <c r="AA544" i="6"/>
  <c r="AA545" i="6"/>
  <c r="AA546" i="6"/>
  <c r="AA547" i="6"/>
  <c r="AA548" i="6"/>
  <c r="AA549" i="6"/>
  <c r="AA550" i="6"/>
  <c r="AA551" i="6"/>
  <c r="AA552" i="6"/>
  <c r="AA553" i="6"/>
  <c r="AA554" i="6"/>
  <c r="AA555" i="6"/>
  <c r="AA556" i="6"/>
  <c r="AA557" i="6"/>
  <c r="AA558" i="6"/>
  <c r="AA559" i="6"/>
  <c r="AA560" i="6"/>
  <c r="AA561" i="6"/>
  <c r="AA562" i="6"/>
  <c r="AA563" i="6"/>
  <c r="AA564" i="6"/>
  <c r="AA565" i="6"/>
  <c r="AA566" i="6"/>
  <c r="AA567" i="6"/>
  <c r="AA568" i="6"/>
  <c r="AA569" i="6"/>
  <c r="AA570" i="6"/>
  <c r="AA571" i="6"/>
  <c r="AA572" i="6"/>
  <c r="AA573" i="6"/>
  <c r="AA574" i="6"/>
  <c r="AA575" i="6"/>
  <c r="AA576" i="6"/>
  <c r="AA577" i="6"/>
  <c r="AA578" i="6"/>
  <c r="AA579" i="6"/>
  <c r="AA580" i="6"/>
  <c r="AA581" i="6"/>
  <c r="AA582" i="6"/>
  <c r="AA583" i="6"/>
  <c r="AA584" i="6"/>
  <c r="AA585" i="6"/>
  <c r="AA586" i="6"/>
  <c r="AA587" i="6"/>
  <c r="AA588" i="6"/>
  <c r="AA589" i="6"/>
  <c r="AA590" i="6"/>
  <c r="AA591" i="6"/>
  <c r="AA592" i="6"/>
  <c r="AA593" i="6"/>
  <c r="AA594" i="6"/>
  <c r="AA595" i="6"/>
  <c r="AA596" i="6"/>
  <c r="AA597" i="6"/>
  <c r="AA598" i="6"/>
  <c r="AA599" i="6"/>
  <c r="AA600" i="6"/>
  <c r="AA601" i="6"/>
  <c r="AA602" i="6"/>
  <c r="AA603" i="6"/>
  <c r="AA604" i="6"/>
  <c r="AA605" i="6"/>
  <c r="AA606" i="6"/>
  <c r="AA607" i="6"/>
  <c r="AA608" i="6"/>
  <c r="AA609" i="6"/>
  <c r="AA610" i="6"/>
  <c r="AA611" i="6"/>
  <c r="AA612" i="6"/>
  <c r="AA613" i="6"/>
  <c r="AA614" i="6"/>
  <c r="AA615" i="6"/>
  <c r="AA616" i="6"/>
  <c r="AA617" i="6"/>
  <c r="AA618" i="6"/>
  <c r="AA619" i="6"/>
  <c r="AA620" i="6"/>
  <c r="AA621" i="6"/>
  <c r="AA622" i="6"/>
  <c r="AA623" i="6"/>
  <c r="AA624" i="6"/>
  <c r="AA625" i="6"/>
  <c r="AA626" i="6"/>
  <c r="AA627" i="6"/>
  <c r="AA628" i="6"/>
  <c r="AA629" i="6"/>
  <c r="AA630" i="6"/>
  <c r="AA631" i="6"/>
  <c r="AA632" i="6"/>
  <c r="AA633" i="6"/>
  <c r="AA634" i="6"/>
  <c r="AA635" i="6"/>
  <c r="AA636" i="6"/>
  <c r="AA637" i="6"/>
  <c r="AA638" i="6"/>
  <c r="AA639" i="6"/>
  <c r="AA640" i="6"/>
  <c r="AA641" i="6"/>
  <c r="AA642" i="6"/>
  <c r="AA643" i="6"/>
  <c r="AA644" i="6"/>
  <c r="AA645" i="6"/>
  <c r="AA646" i="6"/>
  <c r="AA647" i="6"/>
  <c r="AA648" i="6"/>
  <c r="AA649" i="6"/>
  <c r="AA650" i="6"/>
  <c r="AA651" i="6"/>
  <c r="AA652" i="6"/>
  <c r="AA653" i="6"/>
  <c r="AA654" i="6"/>
  <c r="AA655" i="6"/>
  <c r="AA656" i="6"/>
  <c r="AA657" i="6"/>
  <c r="AA658" i="6"/>
  <c r="AA659" i="6"/>
  <c r="AA660" i="6"/>
  <c r="AA661" i="6"/>
  <c r="AA662" i="6"/>
  <c r="AA663" i="6"/>
  <c r="AA664" i="6"/>
  <c r="AA665" i="6"/>
  <c r="AA666" i="6"/>
  <c r="AA667" i="6"/>
  <c r="AA668" i="6"/>
  <c r="AA669" i="6"/>
  <c r="AA670" i="6"/>
  <c r="AA671" i="6"/>
  <c r="AA672" i="6"/>
  <c r="AA673" i="6"/>
  <c r="AA674" i="6"/>
  <c r="AA675" i="6"/>
  <c r="AA676" i="6"/>
  <c r="AA677" i="6"/>
  <c r="AA678" i="6"/>
  <c r="AA679" i="6"/>
  <c r="AA680" i="6"/>
  <c r="AA681" i="6"/>
  <c r="AA682" i="6"/>
  <c r="AA683" i="6"/>
  <c r="AA684" i="6"/>
  <c r="AA685" i="6"/>
  <c r="AA686" i="6"/>
  <c r="AA687" i="6"/>
  <c r="AA688" i="6"/>
  <c r="AA689" i="6"/>
  <c r="AA690" i="6"/>
  <c r="AA691" i="6"/>
  <c r="AA692" i="6"/>
  <c r="AA693" i="6"/>
  <c r="AA694" i="6"/>
  <c r="AA695" i="6"/>
  <c r="AA696" i="6"/>
  <c r="AA697" i="6"/>
  <c r="AA698" i="6"/>
  <c r="AA699" i="6"/>
  <c r="AA700" i="6"/>
  <c r="AA701" i="6"/>
  <c r="AA702" i="6"/>
  <c r="AA703" i="6"/>
  <c r="AA704" i="6"/>
  <c r="AA705" i="6"/>
  <c r="AA706" i="6"/>
  <c r="AA707" i="6"/>
  <c r="AA708" i="6"/>
  <c r="AA709" i="6"/>
  <c r="AA710" i="6"/>
  <c r="AA711" i="6"/>
  <c r="AA712" i="6"/>
  <c r="AA713" i="6"/>
  <c r="AA714" i="6"/>
  <c r="AA715" i="6"/>
  <c r="AA716" i="6"/>
  <c r="AA717" i="6"/>
  <c r="AA718" i="6"/>
  <c r="AA719" i="6"/>
  <c r="AA720" i="6"/>
  <c r="AA721" i="6"/>
  <c r="AA722" i="6"/>
  <c r="AA723" i="6"/>
  <c r="AA724" i="6"/>
  <c r="AA725" i="6"/>
  <c r="AA726" i="6"/>
  <c r="AA727" i="6"/>
  <c r="AA728" i="6"/>
  <c r="AA729" i="6"/>
  <c r="AA730" i="6"/>
  <c r="AA731" i="6"/>
  <c r="AA732" i="6"/>
  <c r="AA733" i="6"/>
  <c r="AA734" i="6"/>
  <c r="AA735" i="6"/>
  <c r="AA736" i="6"/>
  <c r="AA737" i="6"/>
  <c r="AA738" i="6"/>
  <c r="AA739" i="6"/>
  <c r="AA740" i="6"/>
  <c r="AA741" i="6"/>
  <c r="AA742" i="6"/>
  <c r="AA743" i="6"/>
  <c r="AA744" i="6"/>
  <c r="AA745" i="6"/>
  <c r="AA746" i="6"/>
  <c r="AA747" i="6"/>
  <c r="AA748" i="6"/>
  <c r="AA749" i="6"/>
  <c r="AA750" i="6"/>
  <c r="AA751" i="6"/>
  <c r="AA752" i="6"/>
  <c r="AA753" i="6"/>
  <c r="AA754" i="6"/>
  <c r="AA755" i="6"/>
  <c r="AA756" i="6"/>
  <c r="AA757" i="6"/>
  <c r="AA758" i="6"/>
  <c r="AA759" i="6"/>
  <c r="AA760" i="6"/>
  <c r="AA761" i="6"/>
  <c r="AA762" i="6"/>
  <c r="AA763" i="6"/>
  <c r="AA764" i="6"/>
  <c r="AA765" i="6"/>
  <c r="AA766" i="6"/>
  <c r="AA767" i="6"/>
  <c r="AA768" i="6"/>
  <c r="AA769" i="6"/>
  <c r="AA770" i="6"/>
  <c r="AA771" i="6"/>
  <c r="AA772" i="6"/>
  <c r="AA773" i="6"/>
  <c r="AA774" i="6"/>
  <c r="AA775" i="6"/>
  <c r="AA776" i="6"/>
  <c r="AA777" i="6"/>
  <c r="AA778" i="6"/>
  <c r="AA779" i="6"/>
  <c r="AA780" i="6"/>
  <c r="AA781" i="6"/>
  <c r="AA782" i="6"/>
  <c r="AA783" i="6"/>
  <c r="AA784" i="6"/>
  <c r="AA785" i="6"/>
  <c r="AA786" i="6"/>
  <c r="AA787" i="6"/>
  <c r="AA788" i="6"/>
  <c r="AA789" i="6"/>
  <c r="AA790" i="6"/>
  <c r="AA791" i="6"/>
  <c r="AA792" i="6"/>
  <c r="AA793" i="6"/>
  <c r="AA794" i="6"/>
  <c r="AA795" i="6"/>
  <c r="AA796" i="6"/>
  <c r="AA797" i="6"/>
  <c r="AA798" i="6"/>
  <c r="AA799" i="6"/>
  <c r="AA800" i="6"/>
  <c r="AA801" i="6"/>
  <c r="AA802" i="6"/>
  <c r="AA803" i="6"/>
  <c r="AA804" i="6"/>
  <c r="AA805" i="6"/>
  <c r="AA806" i="6"/>
  <c r="AA807" i="6"/>
  <c r="AA808" i="6"/>
  <c r="AA809" i="6"/>
  <c r="AA810" i="6"/>
  <c r="AA811" i="6"/>
  <c r="AA812" i="6"/>
  <c r="AA813" i="6"/>
  <c r="AA814" i="6"/>
  <c r="AA815" i="6"/>
  <c r="AA816" i="6"/>
  <c r="AA817" i="6"/>
  <c r="AA818" i="6"/>
  <c r="AA819" i="6"/>
  <c r="AA820" i="6"/>
  <c r="AA821" i="6"/>
  <c r="AA822" i="6"/>
  <c r="AA823" i="6"/>
  <c r="AA824" i="6"/>
  <c r="AA825" i="6"/>
  <c r="AA826" i="6"/>
  <c r="AA827" i="6"/>
  <c r="AA828" i="6"/>
  <c r="AA829" i="6"/>
  <c r="AA830" i="6"/>
  <c r="AA831" i="6"/>
  <c r="AA832" i="6"/>
  <c r="AA833" i="6"/>
  <c r="AA834" i="6"/>
  <c r="AA835" i="6"/>
  <c r="AA836" i="6"/>
  <c r="AA837" i="6"/>
  <c r="AA838" i="6"/>
  <c r="AA839" i="6"/>
  <c r="AA840" i="6"/>
  <c r="AA841" i="6"/>
  <c r="AA842" i="6"/>
  <c r="AA843" i="6"/>
  <c r="AA844" i="6"/>
  <c r="AA845" i="6"/>
  <c r="AA846" i="6"/>
  <c r="AA847" i="6"/>
  <c r="AA848" i="6"/>
  <c r="AA849" i="6"/>
  <c r="AA850" i="6"/>
  <c r="AA851" i="6"/>
  <c r="AA852" i="6"/>
  <c r="AA853" i="6"/>
  <c r="AA854" i="6"/>
  <c r="AA855" i="6"/>
  <c r="AA856" i="6"/>
  <c r="AA857" i="6"/>
  <c r="AA858" i="6"/>
  <c r="AA859" i="6"/>
  <c r="AA860" i="6"/>
  <c r="AA861" i="6"/>
  <c r="AA862" i="6"/>
  <c r="AA863" i="6"/>
  <c r="AA864" i="6"/>
  <c r="AA865" i="6"/>
  <c r="AA866" i="6"/>
  <c r="AA867" i="6"/>
  <c r="AA868" i="6"/>
  <c r="AA869" i="6"/>
  <c r="AA870" i="6"/>
  <c r="AA871" i="6"/>
  <c r="AA872" i="6"/>
  <c r="AA873" i="6"/>
  <c r="AA874" i="6"/>
  <c r="AA875" i="6"/>
  <c r="AA876" i="6"/>
  <c r="AA877" i="6"/>
  <c r="AA878" i="6"/>
  <c r="AA879" i="6"/>
  <c r="AA880" i="6"/>
  <c r="AA881" i="6"/>
  <c r="AA882" i="6"/>
  <c r="AA883" i="6"/>
  <c r="AA884" i="6"/>
  <c r="AA885" i="6"/>
  <c r="AA886" i="6"/>
  <c r="AA887" i="6"/>
  <c r="AA888" i="6"/>
  <c r="AA889" i="6"/>
  <c r="AA890" i="6"/>
  <c r="AA891" i="6"/>
  <c r="AA892" i="6"/>
  <c r="AA893" i="6"/>
  <c r="AA894" i="6"/>
  <c r="AA895" i="6"/>
  <c r="AA896" i="6"/>
  <c r="AA897" i="6"/>
  <c r="AA898" i="6"/>
  <c r="AA899" i="6"/>
  <c r="AA900" i="6"/>
  <c r="AA901" i="6"/>
  <c r="AA902" i="6"/>
  <c r="AA903" i="6"/>
  <c r="AA904" i="6"/>
  <c r="AA905" i="6"/>
  <c r="AA906" i="6"/>
  <c r="AA907" i="6"/>
  <c r="AA908" i="6"/>
  <c r="AA909" i="6"/>
  <c r="AA910" i="6"/>
  <c r="AA911" i="6"/>
  <c r="AA912" i="6"/>
  <c r="AA913" i="6"/>
  <c r="AA914" i="6"/>
  <c r="AA915" i="6"/>
  <c r="AA916" i="6"/>
  <c r="AA917" i="6"/>
  <c r="AA918" i="6"/>
  <c r="AA919" i="6"/>
  <c r="AA920" i="6"/>
  <c r="AA921" i="6"/>
  <c r="AA922" i="6"/>
  <c r="AA923" i="6"/>
  <c r="AA924" i="6"/>
  <c r="AA925" i="6"/>
  <c r="AA926" i="6"/>
  <c r="AA927" i="6"/>
  <c r="AA928" i="6"/>
  <c r="AA929" i="6"/>
  <c r="AA930" i="6"/>
  <c r="AA931" i="6"/>
  <c r="AA932" i="6"/>
  <c r="AA933" i="6"/>
  <c r="AA934" i="6"/>
  <c r="AA935" i="6"/>
  <c r="AA936" i="6"/>
  <c r="AA937" i="6"/>
  <c r="AA938" i="6"/>
  <c r="AA939" i="6"/>
  <c r="AA940" i="6"/>
  <c r="AA941" i="6"/>
  <c r="AA942" i="6"/>
  <c r="AA943" i="6"/>
  <c r="AA944" i="6"/>
  <c r="AA945" i="6"/>
  <c r="AA946" i="6"/>
  <c r="AA947" i="6"/>
  <c r="AA948" i="6"/>
  <c r="AA949" i="6"/>
  <c r="AA950" i="6"/>
  <c r="AA951" i="6"/>
  <c r="AA952" i="6"/>
  <c r="AA953" i="6"/>
  <c r="AA954" i="6"/>
  <c r="AA955" i="6"/>
  <c r="AA956" i="6"/>
  <c r="AA957" i="6"/>
  <c r="AA958" i="6"/>
  <c r="AA959" i="6"/>
  <c r="AA960" i="6"/>
  <c r="AA961" i="6"/>
  <c r="AA962" i="6"/>
  <c r="AA963" i="6"/>
  <c r="AA964" i="6"/>
  <c r="AA965" i="6"/>
  <c r="AA966" i="6"/>
  <c r="AA967" i="6"/>
  <c r="AA968" i="6"/>
  <c r="AA969" i="6"/>
  <c r="AA970" i="6"/>
  <c r="AA971" i="6"/>
  <c r="AA972" i="6"/>
  <c r="AA973" i="6"/>
  <c r="AA974" i="6"/>
  <c r="AA975" i="6"/>
  <c r="AA976" i="6"/>
  <c r="AA977" i="6"/>
  <c r="AA978" i="6"/>
  <c r="AA979" i="6"/>
  <c r="AA980" i="6"/>
  <c r="AA981" i="6"/>
  <c r="AA982" i="6"/>
  <c r="AA983" i="6"/>
  <c r="AA984" i="6"/>
  <c r="AA985" i="6"/>
  <c r="AA986" i="6"/>
  <c r="AA987" i="6"/>
  <c r="AA988" i="6"/>
  <c r="AA989" i="6"/>
  <c r="AA990" i="6"/>
  <c r="AA991" i="6"/>
  <c r="AA992" i="6"/>
  <c r="AA993" i="6"/>
  <c r="AA994" i="6"/>
  <c r="AA995" i="6"/>
  <c r="AA996" i="6"/>
  <c r="AA997" i="6"/>
  <c r="AA998" i="6"/>
  <c r="AA999" i="6"/>
  <c r="AA1000" i="6"/>
  <c r="AA1001" i="6"/>
  <c r="AA1002" i="6"/>
  <c r="AA1003" i="6"/>
  <c r="AA1004" i="6"/>
  <c r="AA1005" i="6"/>
  <c r="AA1006" i="6"/>
  <c r="AA1007" i="6"/>
  <c r="AA1008" i="6"/>
  <c r="AA1009" i="6"/>
  <c r="AA1010" i="6"/>
  <c r="AA1011" i="6"/>
  <c r="AA1012" i="6"/>
  <c r="AA1013" i="6"/>
  <c r="AA1014" i="6"/>
  <c r="AA1015" i="6"/>
  <c r="AA1016" i="6"/>
  <c r="AA1017" i="6"/>
  <c r="AA1018" i="6"/>
  <c r="AA1019" i="6"/>
  <c r="AA1020" i="6"/>
  <c r="AA1021" i="6"/>
  <c r="AA1022" i="6"/>
  <c r="AA1023" i="6"/>
  <c r="AA1024" i="6"/>
  <c r="AA1025" i="6"/>
  <c r="AA1026" i="6"/>
  <c r="AA1027" i="6"/>
  <c r="AA1028" i="6"/>
  <c r="AA1029" i="6"/>
  <c r="AA1030" i="6"/>
  <c r="AA1031" i="6"/>
  <c r="AA1032" i="6"/>
  <c r="AA1033" i="6"/>
  <c r="AA1034" i="6"/>
  <c r="AA1035" i="6"/>
  <c r="AA1036" i="6"/>
  <c r="AA1037" i="6"/>
  <c r="AA1038" i="6"/>
  <c r="AA1039" i="6"/>
  <c r="AA1040" i="6"/>
  <c r="AA1041" i="6"/>
  <c r="AA1042" i="6"/>
  <c r="AA1043" i="6"/>
  <c r="AA1044" i="6"/>
  <c r="AA1045" i="6"/>
  <c r="AA1046" i="6"/>
  <c r="AA1047" i="6"/>
  <c r="AA1048" i="6"/>
  <c r="AA1049" i="6"/>
  <c r="AA1050" i="6"/>
  <c r="AA1051" i="6"/>
  <c r="AA1052" i="6"/>
  <c r="AA1053" i="6"/>
  <c r="AA1054" i="6"/>
  <c r="AA1055" i="6"/>
  <c r="AA1056" i="6"/>
  <c r="AA1057" i="6"/>
  <c r="AA1058" i="6"/>
  <c r="AA1059" i="6"/>
  <c r="AA1060" i="6"/>
  <c r="AA1061" i="6"/>
  <c r="AA1062" i="6"/>
  <c r="AA1063" i="6"/>
  <c r="AA1064" i="6"/>
  <c r="AA1065" i="6"/>
  <c r="AA1066" i="6"/>
  <c r="AA1067" i="6"/>
  <c r="AA1068" i="6"/>
  <c r="AA1069" i="6"/>
  <c r="AA1070" i="6"/>
  <c r="AA1071" i="6"/>
  <c r="AA1072" i="6"/>
  <c r="AA1073" i="6"/>
  <c r="AA1074" i="6"/>
  <c r="AA1075" i="6"/>
  <c r="AA1076" i="6"/>
  <c r="AA1077" i="6"/>
  <c r="AA1078" i="6"/>
  <c r="AA1079" i="6"/>
  <c r="AA1080" i="6"/>
  <c r="AA1081" i="6"/>
  <c r="AA1082" i="6"/>
  <c r="AA1083" i="6"/>
  <c r="AA1084" i="6"/>
  <c r="AA1085" i="6"/>
  <c r="AA1086" i="6"/>
  <c r="AA1087" i="6"/>
  <c r="AA1088" i="6"/>
  <c r="AA1089" i="6"/>
  <c r="AA1090" i="6"/>
  <c r="AA1091" i="6"/>
  <c r="AA1092" i="6"/>
  <c r="AA1093" i="6"/>
  <c r="AA1094" i="6"/>
  <c r="AA1095" i="6"/>
  <c r="AA1096" i="6"/>
  <c r="AA1097" i="6"/>
  <c r="AA1098" i="6"/>
  <c r="AA1099" i="6"/>
  <c r="AA1100" i="6"/>
  <c r="AA1101" i="6"/>
  <c r="AA1102" i="6"/>
  <c r="AA1103" i="6"/>
  <c r="AA1104" i="6"/>
  <c r="AA1105" i="6"/>
  <c r="AA1106" i="6"/>
  <c r="AA1107" i="6"/>
  <c r="AA1108" i="6"/>
  <c r="AA1109" i="6"/>
  <c r="AA1110" i="6"/>
  <c r="AA1111" i="6"/>
  <c r="AA1112" i="6"/>
  <c r="AA1113" i="6"/>
  <c r="AA1114" i="6"/>
  <c r="AA1115" i="6"/>
  <c r="AA1116" i="6"/>
  <c r="AA1117" i="6"/>
  <c r="AA1118" i="6"/>
  <c r="AA1119" i="6"/>
  <c r="AA1120" i="6"/>
  <c r="AA1121" i="6"/>
  <c r="AA1122" i="6"/>
  <c r="AA1123" i="6"/>
  <c r="AA1124" i="6"/>
  <c r="AA1125" i="6"/>
  <c r="AA1126" i="6"/>
  <c r="AA1127" i="6"/>
  <c r="AA1128" i="6"/>
  <c r="AA1129" i="6"/>
  <c r="AA1130" i="6"/>
  <c r="AA1131" i="6"/>
  <c r="AA1132" i="6"/>
  <c r="AA1133" i="6"/>
  <c r="AA1134" i="6"/>
  <c r="AA1135" i="6"/>
  <c r="AA1136" i="6"/>
  <c r="AA1137" i="6"/>
  <c r="AA1138" i="6"/>
  <c r="AA1139" i="6"/>
  <c r="AA1140" i="6"/>
  <c r="AA1141" i="6"/>
  <c r="AA1142" i="6"/>
  <c r="AA1143" i="6"/>
  <c r="AA1144" i="6"/>
  <c r="AA1145" i="6"/>
  <c r="AA1146" i="6"/>
  <c r="AA1147" i="6"/>
  <c r="AA1148" i="6"/>
  <c r="AA1149" i="6"/>
  <c r="AA1150" i="6"/>
  <c r="AA1151" i="6"/>
  <c r="AA1152" i="6"/>
  <c r="AA1153" i="6"/>
  <c r="AA1154" i="6"/>
  <c r="AA1155" i="6"/>
  <c r="AA1156" i="6"/>
  <c r="AA1157" i="6"/>
  <c r="AA1158" i="6"/>
  <c r="AA1159" i="6"/>
  <c r="AA1160" i="6"/>
  <c r="AA1161" i="6"/>
  <c r="AA1162" i="6"/>
  <c r="AA1163" i="6"/>
  <c r="AA1164" i="6"/>
  <c r="AA1165" i="6"/>
  <c r="AA1166" i="6"/>
  <c r="AA1167" i="6"/>
  <c r="AA1168" i="6"/>
  <c r="AA1169" i="6"/>
  <c r="AA1170" i="6"/>
  <c r="AA1171" i="6"/>
  <c r="AA1172" i="6"/>
  <c r="AA1173" i="6"/>
  <c r="AA1174" i="6"/>
  <c r="AA1175" i="6"/>
  <c r="AA1176" i="6"/>
  <c r="AA1177" i="6"/>
  <c r="AA1178" i="6"/>
  <c r="AA1179" i="6"/>
  <c r="AA1180" i="6"/>
  <c r="AA1181" i="6"/>
  <c r="AA1182" i="6"/>
  <c r="AA1183" i="6"/>
  <c r="AA1184" i="6"/>
  <c r="AA1185" i="6"/>
  <c r="AA1186" i="6"/>
  <c r="AA1187" i="6"/>
  <c r="AA1188" i="6"/>
  <c r="AA1189" i="6"/>
  <c r="AA1190" i="6"/>
  <c r="AA1191" i="6"/>
  <c r="AA1192" i="6"/>
  <c r="AA1193" i="6"/>
  <c r="AA1194" i="6"/>
  <c r="AA1195" i="6"/>
  <c r="AA1196" i="6"/>
  <c r="AA1197" i="6"/>
  <c r="AA1198" i="6"/>
  <c r="AA1199" i="6"/>
  <c r="AA1200" i="6"/>
  <c r="AA1201" i="6"/>
  <c r="AA1202" i="6"/>
  <c r="AA1203" i="6"/>
  <c r="AA1204" i="6"/>
  <c r="AA1205" i="6"/>
  <c r="AA1206" i="6"/>
  <c r="AA1207" i="6"/>
  <c r="AA1208" i="6"/>
  <c r="AA1209" i="6"/>
  <c r="AA1210" i="6"/>
  <c r="AA1211" i="6"/>
  <c r="AA1212" i="6"/>
  <c r="AA1213" i="6"/>
  <c r="AA1214" i="6"/>
  <c r="AA1215" i="6"/>
  <c r="AA1216" i="6"/>
  <c r="AA1217" i="6"/>
  <c r="AA1218" i="6"/>
  <c r="AA1219" i="6"/>
  <c r="AA1220" i="6"/>
  <c r="AA1221" i="6"/>
  <c r="AA1222" i="6"/>
  <c r="AA1223" i="6"/>
  <c r="AA1224" i="6"/>
  <c r="AA1225" i="6"/>
  <c r="AA1226" i="6"/>
  <c r="AA1227" i="6"/>
  <c r="AA1228" i="6"/>
  <c r="AA1229" i="6"/>
  <c r="AA1230" i="6"/>
  <c r="AA1231" i="6"/>
  <c r="AA1232" i="6"/>
  <c r="AA1233" i="6"/>
  <c r="AA1234" i="6"/>
  <c r="AA1235" i="6"/>
  <c r="AA1236" i="6"/>
  <c r="AA1237" i="6"/>
  <c r="AA1238" i="6"/>
  <c r="AA1239" i="6"/>
  <c r="AA1240" i="6"/>
  <c r="AA1241" i="6"/>
  <c r="AA1242" i="6"/>
  <c r="AA1243" i="6"/>
  <c r="AA1244" i="6"/>
  <c r="AA1245" i="6"/>
  <c r="AA1246" i="6"/>
  <c r="AA1247" i="6"/>
  <c r="AA1248" i="6"/>
  <c r="AA1249" i="6"/>
  <c r="AA1250" i="6"/>
  <c r="AA1251" i="6"/>
  <c r="AA1252" i="6"/>
  <c r="AA1253" i="6"/>
  <c r="AA1254" i="6"/>
  <c r="AA1255" i="6"/>
  <c r="AA1256" i="6"/>
  <c r="AA1257" i="6"/>
  <c r="AA1258" i="6"/>
  <c r="AA1259" i="6"/>
  <c r="AA1260" i="6"/>
  <c r="AA1261" i="6"/>
  <c r="AA1262" i="6"/>
  <c r="AA1263" i="6"/>
  <c r="AA1264" i="6"/>
  <c r="AA1265" i="6"/>
  <c r="AA1266" i="6"/>
  <c r="AA1267" i="6"/>
  <c r="AA1268" i="6"/>
  <c r="AA1269" i="6"/>
  <c r="AA1270" i="6"/>
  <c r="AA1271" i="6"/>
  <c r="AA1272" i="6"/>
  <c r="AA1273" i="6"/>
  <c r="AA1274" i="6"/>
  <c r="AA1275" i="6"/>
  <c r="AA1276" i="6"/>
  <c r="AA1277" i="6"/>
  <c r="AA1278" i="6"/>
  <c r="AA1279" i="6"/>
  <c r="AA1280" i="6"/>
  <c r="AA1281" i="6"/>
  <c r="AA1282" i="6"/>
  <c r="AA1283" i="6"/>
  <c r="AA1284" i="6"/>
  <c r="AA1285" i="6"/>
  <c r="AA1286" i="6"/>
  <c r="AA1287" i="6"/>
  <c r="AA1288" i="6"/>
  <c r="AA1289" i="6"/>
  <c r="AA1290" i="6"/>
  <c r="AA1291" i="6"/>
  <c r="AA1292" i="6"/>
  <c r="AA1293" i="6"/>
  <c r="AA1294" i="6"/>
  <c r="AA1295" i="6"/>
  <c r="AA1296" i="6"/>
  <c r="AA1297" i="6"/>
  <c r="AA1298" i="6"/>
  <c r="AA1299" i="6"/>
  <c r="AA1300" i="6"/>
  <c r="AA1301" i="6"/>
  <c r="AA1302" i="6"/>
  <c r="AA1303" i="6"/>
  <c r="AA1304" i="6"/>
  <c r="AA1305" i="6"/>
  <c r="AA1306" i="6"/>
  <c r="AA1307" i="6"/>
  <c r="AA1308" i="6"/>
  <c r="AA1309" i="6"/>
  <c r="AA1310" i="6"/>
  <c r="AA1311" i="6"/>
  <c r="AA1312" i="6"/>
  <c r="AA1313" i="6"/>
  <c r="AA1314" i="6"/>
  <c r="AA1315" i="6"/>
  <c r="AA1316" i="6"/>
  <c r="AA1317" i="6"/>
  <c r="AA1318" i="6"/>
  <c r="AA1319" i="6"/>
  <c r="AA1320" i="6"/>
  <c r="AA1321" i="6"/>
  <c r="AA1322" i="6"/>
  <c r="AA1323" i="6"/>
  <c r="AA1324" i="6"/>
  <c r="AA1325" i="6"/>
  <c r="AA1326" i="6"/>
  <c r="AA1327" i="6"/>
  <c r="AA1328" i="6"/>
  <c r="AA1329" i="6"/>
  <c r="AA1330" i="6"/>
  <c r="AA1331" i="6"/>
  <c r="AA1332" i="6"/>
  <c r="AA1333" i="6"/>
  <c r="AA1334" i="6"/>
  <c r="AA1335" i="6"/>
  <c r="AA1336" i="6"/>
  <c r="AA1337" i="6"/>
  <c r="AA1338" i="6"/>
  <c r="AA1339" i="6"/>
  <c r="AA1340" i="6"/>
  <c r="AA1341" i="6"/>
  <c r="AA1342" i="6"/>
  <c r="AA1343" i="6"/>
  <c r="AA1344" i="6"/>
  <c r="AA1345" i="6"/>
  <c r="AA1346" i="6"/>
  <c r="AA1347" i="6"/>
  <c r="AA1348" i="6"/>
  <c r="AA1349" i="6"/>
  <c r="AA1350" i="6"/>
  <c r="AA1351" i="6"/>
  <c r="AA1352" i="6"/>
  <c r="AA1353" i="6"/>
  <c r="AA1354" i="6"/>
  <c r="AA1355" i="6"/>
  <c r="AA1356" i="6"/>
  <c r="AA1357" i="6"/>
  <c r="AA1358" i="6"/>
  <c r="AA1359" i="6"/>
  <c r="AA1360" i="6"/>
  <c r="AA1361" i="6"/>
  <c r="AA1362" i="6"/>
  <c r="AA1363" i="6"/>
  <c r="AA1364" i="6"/>
  <c r="AA1365" i="6"/>
  <c r="AA1366" i="6"/>
  <c r="AA1367" i="6"/>
  <c r="AA1368" i="6"/>
  <c r="AA1369" i="6"/>
  <c r="AA1370" i="6"/>
  <c r="AA1371" i="6"/>
  <c r="AA1372" i="6"/>
  <c r="AA1373" i="6"/>
  <c r="AA1374" i="6"/>
  <c r="AA1375" i="6"/>
  <c r="AA1376" i="6"/>
  <c r="AA1377" i="6"/>
  <c r="AA1378" i="6"/>
  <c r="AA1379" i="6"/>
  <c r="AA1380" i="6"/>
  <c r="AA1381" i="6"/>
  <c r="AA1382" i="6"/>
  <c r="AA1383" i="6"/>
  <c r="AA1384" i="6"/>
  <c r="AA1385" i="6"/>
  <c r="AA1386" i="6"/>
  <c r="AA1387" i="6"/>
  <c r="AA1388" i="6"/>
  <c r="AA1389" i="6"/>
  <c r="AA1390" i="6"/>
  <c r="AA1391" i="6"/>
  <c r="AA1392" i="6"/>
  <c r="AA1393" i="6"/>
  <c r="AA1394" i="6"/>
  <c r="AA1395" i="6"/>
  <c r="AA1396" i="6"/>
  <c r="AA1397" i="6"/>
  <c r="AA1398" i="6"/>
  <c r="AA1399" i="6"/>
  <c r="AA1400" i="6"/>
  <c r="AA1401" i="6"/>
  <c r="AA1402" i="6"/>
  <c r="AA1403" i="6"/>
  <c r="AA1404" i="6"/>
  <c r="AA1405" i="6"/>
  <c r="AA1406" i="6"/>
  <c r="AA1407" i="6"/>
  <c r="AA1408" i="6"/>
  <c r="AA1409" i="6"/>
  <c r="AA1410" i="6"/>
  <c r="AA1411" i="6"/>
  <c r="AA1412" i="6"/>
  <c r="AA1413" i="6"/>
  <c r="AA1414" i="6"/>
  <c r="AA1415" i="6"/>
  <c r="AA1416" i="6"/>
  <c r="AA1417" i="6"/>
  <c r="AA1418" i="6"/>
  <c r="AA1419" i="6"/>
  <c r="AA1420" i="6"/>
  <c r="AA1421" i="6"/>
  <c r="AA1422" i="6"/>
  <c r="AA1423" i="6"/>
  <c r="AA1424" i="6"/>
  <c r="AA1425" i="6"/>
  <c r="AA1426" i="6"/>
  <c r="AA1427" i="6"/>
  <c r="AA1428" i="6"/>
  <c r="AA1429" i="6"/>
  <c r="AA1430" i="6"/>
  <c r="AA1431" i="6"/>
  <c r="AA1432" i="6"/>
  <c r="AA1433" i="6"/>
  <c r="AA1434" i="6"/>
  <c r="AA1435" i="6"/>
  <c r="AA1436" i="6"/>
  <c r="AA1437" i="6"/>
  <c r="AA1438" i="6"/>
  <c r="AA1439" i="6"/>
  <c r="AA1440" i="6"/>
  <c r="AA1441" i="6"/>
  <c r="AA1442" i="6"/>
  <c r="AA1443" i="6"/>
  <c r="AA1444" i="6"/>
  <c r="AA1445" i="6"/>
  <c r="AA1446" i="6"/>
  <c r="AA1447" i="6"/>
  <c r="AA1448" i="6"/>
  <c r="AA1449" i="6"/>
  <c r="AA1450" i="6"/>
  <c r="AA1451" i="6"/>
  <c r="AA1452" i="6"/>
  <c r="AA1453" i="6"/>
  <c r="AA1454" i="6"/>
  <c r="AA1455" i="6"/>
  <c r="AA1456" i="6"/>
  <c r="AA1457" i="6"/>
  <c r="AA1458" i="6"/>
  <c r="AA1459" i="6"/>
  <c r="AA1460" i="6"/>
  <c r="AA1461" i="6"/>
  <c r="AA1462" i="6"/>
  <c r="AA1463" i="6"/>
  <c r="AA1464" i="6"/>
  <c r="AA1465" i="6"/>
  <c r="AA1466" i="6"/>
  <c r="AA1467" i="6"/>
  <c r="AA1468" i="6"/>
  <c r="AA1469" i="6"/>
  <c r="AA1470" i="6"/>
  <c r="AA1471" i="6"/>
  <c r="AA1472" i="6"/>
  <c r="AA1473" i="6"/>
  <c r="AA1474" i="6"/>
  <c r="AA1475" i="6"/>
  <c r="AA1476" i="6"/>
  <c r="AA1477" i="6"/>
  <c r="AA1478" i="6"/>
  <c r="AA1479" i="6"/>
  <c r="AA1480" i="6"/>
  <c r="AA1481" i="6"/>
  <c r="AA1482" i="6"/>
  <c r="AA1483" i="6"/>
  <c r="AA1484" i="6"/>
  <c r="AA1485" i="6"/>
  <c r="AA1486" i="6"/>
  <c r="AA1487" i="6"/>
  <c r="AA1488" i="6"/>
  <c r="AA1489" i="6"/>
  <c r="AA1490" i="6"/>
  <c r="AA1491" i="6"/>
  <c r="AA1492" i="6"/>
  <c r="AA1493" i="6"/>
  <c r="AA1494" i="6"/>
  <c r="AA1495" i="6"/>
  <c r="AA1496" i="6"/>
  <c r="AA1497" i="6"/>
  <c r="AA1498" i="6"/>
  <c r="AA1499" i="6"/>
  <c r="AA1500" i="6"/>
  <c r="AA1501" i="6"/>
  <c r="AA1502" i="6"/>
  <c r="AA1503" i="6"/>
  <c r="AA1504" i="6"/>
  <c r="AA1505" i="6"/>
  <c r="AA1506" i="6"/>
  <c r="AA1507" i="6"/>
  <c r="AA1508" i="6"/>
  <c r="AA1509" i="6"/>
  <c r="AA1510" i="6"/>
  <c r="AA1511" i="6"/>
  <c r="AA1512" i="6"/>
  <c r="AA1513" i="6"/>
  <c r="AA1514" i="6"/>
  <c r="AA1515" i="6"/>
  <c r="AA1516" i="6"/>
  <c r="AA1517" i="6"/>
  <c r="AA1518" i="6"/>
  <c r="AA1519" i="6"/>
  <c r="AA1520" i="6"/>
  <c r="AA1521" i="6"/>
  <c r="AA1522" i="6"/>
  <c r="AA1523" i="6"/>
  <c r="AA1524" i="6"/>
  <c r="AA1525" i="6"/>
  <c r="AA1526" i="6"/>
  <c r="AA1527" i="6"/>
  <c r="AA1528" i="6"/>
  <c r="AA1529" i="6"/>
  <c r="AA1530" i="6"/>
  <c r="AA1531" i="6"/>
  <c r="AA1532" i="6"/>
  <c r="AA1533" i="6"/>
  <c r="AA1534" i="6"/>
  <c r="AA1535" i="6"/>
  <c r="AA1536" i="6"/>
  <c r="AA1537" i="6"/>
  <c r="AA1538" i="6"/>
  <c r="AA1539" i="6"/>
  <c r="AA1540" i="6"/>
  <c r="AA1541" i="6"/>
  <c r="AA1542" i="6"/>
  <c r="AA1543" i="6"/>
  <c r="AA1544" i="6"/>
  <c r="AA1545" i="6"/>
  <c r="AA1546" i="6"/>
  <c r="AA1547" i="6"/>
  <c r="AA1548" i="6"/>
  <c r="AA1549" i="6"/>
  <c r="AA1550" i="6"/>
  <c r="AA1551" i="6"/>
  <c r="AA1552" i="6"/>
  <c r="AA1553" i="6"/>
  <c r="AA1554" i="6"/>
  <c r="AA1555" i="6"/>
  <c r="AA1556" i="6"/>
  <c r="AA1557" i="6"/>
  <c r="AA1558" i="6"/>
  <c r="AA1559" i="6"/>
  <c r="AA1560" i="6"/>
  <c r="AA1561" i="6"/>
  <c r="AA1562" i="6"/>
  <c r="AA1563" i="6"/>
  <c r="AA1564" i="6"/>
  <c r="AA1565" i="6"/>
  <c r="AA1566" i="6"/>
  <c r="AA1567" i="6"/>
  <c r="AA1568" i="6"/>
  <c r="AA1569" i="6"/>
  <c r="AA1570" i="6"/>
  <c r="AA1571" i="6"/>
  <c r="AA1572" i="6"/>
  <c r="AA1573" i="6"/>
  <c r="AA1574" i="6"/>
  <c r="AA1575" i="6"/>
  <c r="AA1576" i="6"/>
  <c r="AA1577" i="6"/>
  <c r="AA1578" i="6"/>
  <c r="AA1579" i="6"/>
  <c r="AA1580" i="6"/>
  <c r="AA1581" i="6"/>
  <c r="AA1582" i="6"/>
  <c r="AA1583" i="6"/>
  <c r="AA1584" i="6"/>
  <c r="AA1585" i="6"/>
  <c r="AA1586" i="6"/>
  <c r="AA1587" i="6"/>
  <c r="AA1588" i="6"/>
  <c r="AA1589" i="6"/>
  <c r="AA1590" i="6"/>
  <c r="AA1591" i="6"/>
  <c r="AA1592" i="6"/>
  <c r="AA1593" i="6"/>
  <c r="AA1594" i="6"/>
  <c r="AA1595" i="6"/>
  <c r="AA1596" i="6"/>
  <c r="AA1597" i="6"/>
  <c r="AA1598" i="6"/>
  <c r="AA1599" i="6"/>
  <c r="AA1600" i="6"/>
  <c r="AA1601" i="6"/>
  <c r="AA1602" i="6"/>
  <c r="AA1603" i="6"/>
  <c r="AA1604" i="6"/>
  <c r="AA1605" i="6"/>
  <c r="AA1606" i="6"/>
  <c r="AA1607" i="6"/>
  <c r="AA1608" i="6"/>
  <c r="AA1609" i="6"/>
  <c r="AA1610" i="6"/>
  <c r="AA1611" i="6"/>
  <c r="AA1612" i="6"/>
  <c r="AA1613" i="6"/>
  <c r="AA1614" i="6"/>
  <c r="AA1615" i="6"/>
  <c r="AA1616" i="6"/>
  <c r="AA1617" i="6"/>
  <c r="AA1618" i="6"/>
  <c r="AA1619" i="6"/>
  <c r="AA1620" i="6"/>
  <c r="AA1621" i="6"/>
  <c r="AA1622" i="6"/>
  <c r="AA1623" i="6"/>
  <c r="AA1624" i="6"/>
  <c r="AA1625" i="6"/>
  <c r="AA1626" i="6"/>
  <c r="AA1627" i="6"/>
  <c r="AA1628" i="6"/>
  <c r="AA1629" i="6"/>
  <c r="AA1630" i="6"/>
  <c r="AA1631" i="6"/>
  <c r="AA1632" i="6"/>
  <c r="AA1633" i="6"/>
  <c r="AA1634" i="6"/>
  <c r="AA1635" i="6"/>
  <c r="AA1636" i="6"/>
  <c r="AA1637" i="6"/>
  <c r="AA1638" i="6"/>
  <c r="AA1639" i="6"/>
  <c r="AA1640" i="6"/>
  <c r="AA1641" i="6"/>
  <c r="AA1642" i="6"/>
  <c r="AA1643" i="6"/>
  <c r="AA1644" i="6"/>
  <c r="AA1645" i="6"/>
  <c r="AA1646" i="6"/>
  <c r="AA1647" i="6"/>
  <c r="AA1648" i="6"/>
  <c r="AA1649" i="6"/>
  <c r="AA1650" i="6"/>
  <c r="AA1651" i="6"/>
  <c r="AA1652" i="6"/>
  <c r="AA1653" i="6"/>
  <c r="AA1654" i="6"/>
  <c r="AA1655" i="6"/>
  <c r="AA1656" i="6"/>
  <c r="AA1657" i="6"/>
  <c r="AA1658" i="6"/>
  <c r="AA1659" i="6"/>
  <c r="AA1660" i="6"/>
  <c r="AA1661" i="6"/>
  <c r="AA1662" i="6"/>
  <c r="AA1663" i="6"/>
  <c r="AA1664" i="6"/>
  <c r="AA1665" i="6"/>
  <c r="AA1666" i="6"/>
  <c r="AA1667" i="6"/>
  <c r="AA1668" i="6"/>
  <c r="AA1669" i="6"/>
  <c r="AA1670" i="6"/>
  <c r="AA1671" i="6"/>
  <c r="AA1672" i="6"/>
  <c r="AA1673" i="6"/>
  <c r="AA1674" i="6"/>
  <c r="AA1675" i="6"/>
  <c r="AA1676" i="6"/>
  <c r="AA1677" i="6"/>
  <c r="AA1678" i="6"/>
  <c r="AA1679" i="6"/>
  <c r="AA1680" i="6"/>
  <c r="AA1681" i="6"/>
  <c r="AA1682" i="6"/>
  <c r="AA1683" i="6"/>
  <c r="AA1684" i="6"/>
  <c r="AA1685" i="6"/>
  <c r="AA1686" i="6"/>
  <c r="AA1687" i="6"/>
  <c r="AA1688" i="6"/>
  <c r="AA1689" i="6"/>
  <c r="AA1690" i="6"/>
  <c r="AA1691" i="6"/>
  <c r="AA1692" i="6"/>
  <c r="AA1693" i="6"/>
  <c r="AA1694" i="6"/>
  <c r="AA1695" i="6"/>
  <c r="AA1696" i="6"/>
  <c r="AA1697" i="6"/>
  <c r="AA1698" i="6"/>
  <c r="AA1699" i="6"/>
  <c r="AA1700" i="6"/>
  <c r="AA1701" i="6"/>
  <c r="AA1702" i="6"/>
  <c r="AA1703" i="6"/>
  <c r="AA1704" i="6"/>
  <c r="AA1705" i="6"/>
  <c r="AA1706" i="6"/>
  <c r="AA1707" i="6"/>
  <c r="AA1708" i="6"/>
  <c r="AA1709" i="6"/>
  <c r="AA1710" i="6"/>
  <c r="AA1711" i="6"/>
  <c r="AA1712" i="6"/>
  <c r="AA1713" i="6"/>
  <c r="AA1714" i="6"/>
  <c r="AA1715" i="6"/>
  <c r="AA1716" i="6"/>
  <c r="AA1717" i="6"/>
  <c r="AA1718" i="6"/>
  <c r="AA1719" i="6"/>
  <c r="AA1720" i="6"/>
  <c r="AA1721" i="6"/>
  <c r="AA1722" i="6"/>
  <c r="AA1723" i="6"/>
  <c r="AA1724" i="6"/>
  <c r="AA1725" i="6"/>
  <c r="AA1726" i="6"/>
  <c r="AA1727" i="6"/>
  <c r="AA1728" i="6"/>
  <c r="AA1729" i="6"/>
  <c r="AA1730" i="6"/>
  <c r="AA1731" i="6"/>
  <c r="AA1732" i="6"/>
  <c r="AA1733" i="6"/>
  <c r="AA1734" i="6"/>
  <c r="AA1735" i="6"/>
  <c r="AA1736" i="6"/>
  <c r="AA1737" i="6"/>
  <c r="AA1738" i="6"/>
  <c r="AA1739" i="6"/>
  <c r="AA1740" i="6"/>
  <c r="AA1741" i="6"/>
  <c r="AA1742" i="6"/>
  <c r="AA1743" i="6"/>
  <c r="AA1744" i="6"/>
  <c r="AA1745" i="6"/>
  <c r="AA1746" i="6"/>
  <c r="AA1747" i="6"/>
  <c r="AA1748" i="6"/>
  <c r="AA1749" i="6"/>
  <c r="AA1750" i="6"/>
  <c r="AA1751" i="6"/>
  <c r="AA1752" i="6"/>
  <c r="AA1753" i="6"/>
  <c r="AA1754" i="6"/>
  <c r="AA1755" i="6"/>
  <c r="AA1756" i="6"/>
  <c r="AA1757" i="6"/>
  <c r="AA1758" i="6"/>
  <c r="AA1759" i="6"/>
  <c r="AA1760" i="6"/>
  <c r="AA1761" i="6"/>
  <c r="AA1762" i="6"/>
  <c r="AA1763" i="6"/>
  <c r="AA1764" i="6"/>
  <c r="AA1765" i="6"/>
  <c r="AA1766" i="6"/>
  <c r="AA1767" i="6"/>
  <c r="AA1768" i="6"/>
  <c r="AA1769" i="6"/>
  <c r="AA1770" i="6"/>
  <c r="AA1771" i="6"/>
  <c r="AA1772" i="6"/>
  <c r="AA1773" i="6"/>
  <c r="AA1774" i="6"/>
  <c r="AA1775" i="6"/>
  <c r="AA1776" i="6"/>
  <c r="AA1777" i="6"/>
  <c r="AA1778" i="6"/>
  <c r="AA1779" i="6"/>
  <c r="AA1780" i="6"/>
  <c r="AA1781" i="6"/>
  <c r="AA1782" i="6"/>
  <c r="AA1783" i="6"/>
  <c r="AA1784" i="6"/>
  <c r="AA1785" i="6"/>
  <c r="AA1786" i="6"/>
  <c r="AA1787" i="6"/>
  <c r="AA1788" i="6"/>
  <c r="AA1789" i="6"/>
  <c r="AA1790" i="6"/>
  <c r="AA1791" i="6"/>
  <c r="AA1792" i="6"/>
  <c r="AA1793" i="6"/>
  <c r="AA1794" i="6"/>
  <c r="AA1795" i="6"/>
  <c r="AA1796" i="6"/>
  <c r="AA1797" i="6"/>
  <c r="AA1798" i="6"/>
  <c r="AA1799" i="6"/>
  <c r="AA1800" i="6"/>
  <c r="AA1801" i="6"/>
  <c r="AA1802" i="6"/>
  <c r="AA1803" i="6"/>
  <c r="AA1804" i="6"/>
  <c r="AA1805" i="6"/>
  <c r="AA1806" i="6"/>
  <c r="AA1807" i="6"/>
  <c r="AA1808" i="6"/>
  <c r="AA1809" i="6"/>
  <c r="AA1810" i="6"/>
  <c r="AA1811" i="6"/>
  <c r="AA1812" i="6"/>
  <c r="AA1813" i="6"/>
  <c r="AA1814" i="6"/>
  <c r="AA1815" i="6"/>
  <c r="AA1816" i="6"/>
  <c r="AA1817" i="6"/>
  <c r="AA1818" i="6"/>
  <c r="AA1819" i="6"/>
  <c r="AA1820" i="6"/>
  <c r="AA1821" i="6"/>
  <c r="AA1822" i="6"/>
  <c r="AA1823" i="6"/>
  <c r="AA1824" i="6"/>
  <c r="AA1825" i="6"/>
  <c r="AA1826" i="6"/>
  <c r="AA1827" i="6"/>
  <c r="AA1828" i="6"/>
  <c r="AA1829" i="6"/>
  <c r="AA1830" i="6"/>
  <c r="AA1831" i="6"/>
  <c r="AA1832" i="6"/>
  <c r="AA1833" i="6"/>
  <c r="AA1834" i="6"/>
  <c r="AA1835" i="6"/>
  <c r="AA1836" i="6"/>
  <c r="AA1837" i="6"/>
  <c r="AA1838" i="6"/>
  <c r="AA1839" i="6"/>
  <c r="AA1840" i="6"/>
  <c r="AA1841" i="6"/>
  <c r="AA1842" i="6"/>
  <c r="AA1843" i="6"/>
  <c r="AA1844" i="6"/>
  <c r="AA1845" i="6"/>
  <c r="AA1846" i="6"/>
  <c r="AA1847" i="6"/>
  <c r="AA1848" i="6"/>
  <c r="AA1849" i="6"/>
  <c r="AA1850" i="6"/>
  <c r="AA1851" i="6"/>
  <c r="AA1852" i="6"/>
  <c r="AA1853" i="6"/>
  <c r="AA1854" i="6"/>
  <c r="AA1855" i="6"/>
  <c r="AA1856" i="6"/>
  <c r="AA1857" i="6"/>
  <c r="AA1858" i="6"/>
  <c r="AA1859" i="6"/>
  <c r="AA1860" i="6"/>
  <c r="AA1861" i="6"/>
  <c r="AA1862" i="6"/>
  <c r="AA1863" i="6"/>
  <c r="AA1864" i="6"/>
  <c r="AA1865" i="6"/>
  <c r="AA1866" i="6"/>
  <c r="AA1867" i="6"/>
  <c r="AA1868" i="6"/>
  <c r="AA1869" i="6"/>
  <c r="AA1870" i="6"/>
  <c r="AA1871" i="6"/>
  <c r="AA1872" i="6"/>
  <c r="AA1873" i="6"/>
  <c r="AA1874" i="6"/>
  <c r="AA1875" i="6"/>
  <c r="AA1876" i="6"/>
  <c r="AA1877" i="6"/>
  <c r="AA1878" i="6"/>
  <c r="AA1879" i="6"/>
  <c r="AA1880" i="6"/>
  <c r="AA1881" i="6"/>
  <c r="AA1882" i="6"/>
  <c r="AA1883" i="6"/>
  <c r="AA1884" i="6"/>
  <c r="AA1885" i="6"/>
  <c r="AA1886" i="6"/>
  <c r="AA1887" i="6"/>
  <c r="AA1888" i="6"/>
  <c r="AA1889" i="6"/>
  <c r="AA1890" i="6"/>
  <c r="AA1891" i="6"/>
  <c r="AA1892" i="6"/>
  <c r="AA1893" i="6"/>
  <c r="AA1894" i="6"/>
  <c r="AA1895" i="6"/>
  <c r="AA1896" i="6"/>
  <c r="AA1897" i="6"/>
  <c r="AA1898" i="6"/>
  <c r="AA1899" i="6"/>
  <c r="AA1900" i="6"/>
  <c r="AA1901" i="6"/>
  <c r="AA1902" i="6"/>
  <c r="AA1903" i="6"/>
  <c r="AA1904" i="6"/>
  <c r="AA1905" i="6"/>
  <c r="AA1906" i="6"/>
  <c r="AA1907" i="6"/>
  <c r="AA1908" i="6"/>
  <c r="AA1909" i="6"/>
  <c r="AA1910" i="6"/>
  <c r="AA1911" i="6"/>
  <c r="AA1912" i="6"/>
  <c r="AA1913" i="6"/>
  <c r="AA1914" i="6"/>
  <c r="AA1915" i="6"/>
  <c r="AA1916" i="6"/>
  <c r="AA1917" i="6"/>
  <c r="AA1918" i="6"/>
  <c r="AA1919" i="6"/>
  <c r="AA1920" i="6"/>
  <c r="AA1921" i="6"/>
  <c r="AA1922" i="6"/>
  <c r="AA1923" i="6"/>
  <c r="AA1924" i="6"/>
  <c r="AA1925" i="6"/>
  <c r="AA1926" i="6"/>
  <c r="AA1927" i="6"/>
  <c r="AA1928" i="6"/>
  <c r="AA1929" i="6"/>
  <c r="AA1930" i="6"/>
  <c r="AA1931" i="6"/>
  <c r="AA1932" i="6"/>
  <c r="AA1933" i="6"/>
  <c r="AA1934" i="6"/>
  <c r="AA1935" i="6"/>
  <c r="AA1936" i="6"/>
  <c r="AA1937" i="6"/>
  <c r="AA1938" i="6"/>
  <c r="AA1939" i="6"/>
  <c r="AA1940" i="6"/>
  <c r="AA1941" i="6"/>
  <c r="AA1942" i="6"/>
  <c r="AA1943" i="6"/>
  <c r="AA1944" i="6"/>
  <c r="AA1945" i="6"/>
  <c r="AA1946" i="6"/>
  <c r="AA1947" i="6"/>
  <c r="AA1948" i="6"/>
  <c r="AA1949" i="6"/>
  <c r="AA1950" i="6"/>
  <c r="AA1951" i="6"/>
  <c r="AA1952" i="6"/>
  <c r="AA1953" i="6"/>
  <c r="AA1954" i="6"/>
  <c r="AA1955" i="6"/>
  <c r="AA1956" i="6"/>
  <c r="AA1957" i="6"/>
  <c r="AA1958" i="6"/>
  <c r="AA1959" i="6"/>
  <c r="AA1960" i="6"/>
  <c r="AA1961" i="6"/>
  <c r="AA1962" i="6"/>
  <c r="AA1963" i="6"/>
  <c r="AA1964" i="6"/>
  <c r="AA1965" i="6"/>
  <c r="AA1966" i="6"/>
  <c r="AA1967" i="6"/>
  <c r="AA1968" i="6"/>
  <c r="AA1969" i="6"/>
  <c r="AA1970" i="6"/>
  <c r="AA1971" i="6"/>
  <c r="AA1972" i="6"/>
  <c r="AA1973" i="6"/>
  <c r="AA1974" i="6"/>
  <c r="AA1975" i="6"/>
  <c r="AA1976" i="6"/>
  <c r="AA1977" i="6"/>
  <c r="AA1978" i="6"/>
  <c r="AA1979" i="6"/>
  <c r="AA1980" i="6"/>
  <c r="AA1981" i="6"/>
  <c r="AA1982" i="6"/>
  <c r="AA1983" i="6"/>
  <c r="AA1984" i="6"/>
  <c r="AA1985" i="6"/>
  <c r="AA1986" i="6"/>
  <c r="AA1987" i="6"/>
  <c r="AA1988" i="6"/>
  <c r="AA1989" i="6"/>
  <c r="AA1990" i="6"/>
  <c r="AA1991" i="6"/>
  <c r="AA1992" i="6"/>
  <c r="AA1993" i="6"/>
  <c r="AA1994" i="6"/>
  <c r="AA1995" i="6"/>
  <c r="AA1996" i="6"/>
  <c r="AA1997" i="6"/>
  <c r="AA1998" i="6"/>
  <c r="AA1999" i="6"/>
  <c r="AA2000" i="6"/>
  <c r="AA2001" i="6"/>
  <c r="AA2002" i="6"/>
  <c r="AA2003" i="6"/>
  <c r="AA2004" i="6"/>
  <c r="AA2005" i="6"/>
  <c r="AA2006" i="6"/>
  <c r="AA2007" i="6"/>
  <c r="AA2008" i="6"/>
  <c r="AA2009" i="6"/>
  <c r="AA2010" i="6"/>
  <c r="AA2011" i="6"/>
  <c r="AA2012" i="6"/>
  <c r="AA2013" i="6"/>
  <c r="AA2014" i="6"/>
  <c r="AA2015" i="6"/>
  <c r="AA2016" i="6"/>
  <c r="AA2017" i="6"/>
  <c r="AA2018" i="6"/>
  <c r="AA2019" i="6"/>
  <c r="AA2020" i="6"/>
  <c r="AA2021" i="6"/>
  <c r="AA2022" i="6"/>
  <c r="AA2023" i="6"/>
  <c r="AA2024" i="6"/>
  <c r="AA2025" i="6"/>
  <c r="AA2026" i="6"/>
  <c r="AA2027" i="6"/>
  <c r="AA2028" i="6"/>
  <c r="AA2029" i="6"/>
  <c r="AA2030" i="6"/>
  <c r="AA2031" i="6"/>
  <c r="AA2032" i="6"/>
  <c r="AA2033" i="6"/>
  <c r="AA2034" i="6"/>
  <c r="AA2035" i="6"/>
  <c r="AA2036" i="6"/>
  <c r="AA2037" i="6"/>
  <c r="AA2038" i="6"/>
  <c r="AA2039" i="6"/>
  <c r="AA2040" i="6"/>
  <c r="AA2041" i="6"/>
  <c r="AA2042" i="6"/>
  <c r="AA2043" i="6"/>
  <c r="AA2044" i="6"/>
  <c r="AA2045" i="6"/>
  <c r="AA2046" i="6"/>
  <c r="AA2047" i="6"/>
  <c r="AA2048" i="6"/>
  <c r="AA2049" i="6"/>
  <c r="AA2050" i="6"/>
  <c r="AA2051" i="6"/>
  <c r="AA2052" i="6"/>
  <c r="AA2053" i="6"/>
  <c r="AA2054" i="6"/>
  <c r="AA2055" i="6"/>
  <c r="AA2056" i="6"/>
  <c r="AA2057" i="6"/>
  <c r="AA2058" i="6"/>
  <c r="AA2059" i="6"/>
  <c r="AA2060" i="6"/>
  <c r="AA2061" i="6"/>
  <c r="AA2062" i="6"/>
  <c r="AA2063" i="6"/>
  <c r="AA2064" i="6"/>
  <c r="AA2065" i="6"/>
  <c r="AA2066" i="6"/>
  <c r="AA2067" i="6"/>
  <c r="AA2068" i="6"/>
  <c r="AA2069" i="6"/>
  <c r="AA2070" i="6"/>
  <c r="AA2071" i="6"/>
  <c r="AA2072" i="6"/>
  <c r="AA2073" i="6"/>
  <c r="AA2074" i="6"/>
  <c r="AA2075" i="6"/>
  <c r="AA2076" i="6"/>
  <c r="AA2077" i="6"/>
  <c r="AA2078" i="6"/>
  <c r="AA2079" i="6"/>
  <c r="AA2080" i="6"/>
  <c r="AA2081" i="6"/>
  <c r="AA2082" i="6"/>
  <c r="AA2083" i="6"/>
  <c r="AA2084" i="6"/>
  <c r="AA2085" i="6"/>
  <c r="AA2086" i="6"/>
  <c r="AA2087" i="6"/>
  <c r="AA2088" i="6"/>
  <c r="AA2089" i="6"/>
  <c r="AA2090" i="6"/>
  <c r="AA2091" i="6"/>
  <c r="AA2092" i="6"/>
  <c r="AA2093" i="6"/>
  <c r="AA2094" i="6"/>
  <c r="AA2095" i="6"/>
  <c r="AA2096" i="6"/>
  <c r="AA2097" i="6"/>
  <c r="AA2098" i="6"/>
  <c r="AA2099" i="6"/>
  <c r="AA2100" i="6"/>
  <c r="AA2101" i="6"/>
  <c r="AA2102" i="6"/>
  <c r="AA2103" i="6"/>
  <c r="AA2104" i="6"/>
  <c r="AA2105" i="6"/>
  <c r="AA2106" i="6"/>
  <c r="AA2107" i="6"/>
  <c r="AA2108" i="6"/>
  <c r="AA2109" i="6"/>
  <c r="AA2110" i="6"/>
  <c r="AA2111" i="6"/>
  <c r="AA2112" i="6"/>
  <c r="AA2113" i="6"/>
  <c r="AA2114" i="6"/>
  <c r="AA2115" i="6"/>
  <c r="AA2116" i="6"/>
  <c r="AA2117" i="6"/>
  <c r="AA2118" i="6"/>
  <c r="AA2119" i="6"/>
  <c r="AA2120" i="6"/>
  <c r="AA2121" i="6"/>
  <c r="AA2122" i="6"/>
  <c r="AA2123" i="6"/>
  <c r="AA2124" i="6"/>
  <c r="AA2125" i="6"/>
  <c r="AA2126" i="6"/>
  <c r="AA2127" i="6"/>
  <c r="AA2128" i="6"/>
  <c r="AA2129" i="6"/>
  <c r="AA2130" i="6"/>
  <c r="AA2131" i="6"/>
  <c r="AA2132" i="6"/>
  <c r="AA2133" i="6"/>
  <c r="AA2134" i="6"/>
  <c r="AA2135" i="6"/>
  <c r="AA2136" i="6"/>
  <c r="AA2137" i="6"/>
  <c r="AA2138" i="6"/>
  <c r="AA2139" i="6"/>
  <c r="AA2140" i="6"/>
  <c r="AA2141" i="6"/>
  <c r="AA2142" i="6"/>
  <c r="AA2143" i="6"/>
  <c r="AA2144" i="6"/>
  <c r="AA2145" i="6"/>
  <c r="AA2146" i="6"/>
  <c r="AA2147" i="6"/>
  <c r="AA2148" i="6"/>
  <c r="AA2149" i="6"/>
  <c r="AA2150" i="6"/>
  <c r="AA2151" i="6"/>
  <c r="AA2152" i="6"/>
  <c r="AA2153" i="6"/>
  <c r="AA2154" i="6"/>
  <c r="AA2155" i="6"/>
  <c r="AA2156" i="6"/>
  <c r="AA2157" i="6"/>
  <c r="AA2158" i="6"/>
  <c r="AA2159" i="6"/>
  <c r="AA2160" i="6"/>
  <c r="AA2161" i="6"/>
  <c r="AA2162" i="6"/>
  <c r="AA2163" i="6"/>
  <c r="AA2164" i="6"/>
  <c r="AA2165" i="6"/>
  <c r="AA2166" i="6"/>
  <c r="AA2167" i="6"/>
  <c r="AA2168" i="6"/>
  <c r="AA2169" i="6"/>
  <c r="AA2170" i="6"/>
  <c r="AA2171" i="6"/>
  <c r="AA2172" i="6"/>
  <c r="AA2173" i="6"/>
  <c r="AA2174" i="6"/>
  <c r="AA2175" i="6"/>
  <c r="AA2176" i="6"/>
  <c r="AA2177" i="6"/>
  <c r="AA2178" i="6"/>
  <c r="AA2179" i="6"/>
  <c r="AA2180" i="6"/>
  <c r="AA2181" i="6"/>
  <c r="AA2182" i="6"/>
  <c r="AA2183" i="6"/>
  <c r="AA2184" i="6"/>
  <c r="AA2185" i="6"/>
  <c r="AA2186" i="6"/>
  <c r="AA2187" i="6"/>
  <c r="AA2188" i="6"/>
  <c r="AA2189" i="6"/>
  <c r="AA2190" i="6"/>
  <c r="AA2191" i="6"/>
  <c r="AA2192" i="6"/>
  <c r="AA2193" i="6"/>
  <c r="AA2194" i="6"/>
  <c r="AA2195" i="6"/>
  <c r="AA2196" i="6"/>
  <c r="AA2197" i="6"/>
  <c r="AA2198" i="6"/>
  <c r="AA2199" i="6"/>
  <c r="AA2200" i="6"/>
  <c r="AA2201" i="6"/>
  <c r="AA2202" i="6"/>
  <c r="AA2203" i="6"/>
  <c r="AA2204" i="6"/>
  <c r="AA2205" i="6"/>
  <c r="AA2206" i="6"/>
  <c r="AA2207" i="6"/>
  <c r="AA2208" i="6"/>
  <c r="AA2209" i="6"/>
  <c r="AA2210" i="6"/>
  <c r="AA2211" i="6"/>
  <c r="AA2212" i="6"/>
  <c r="AA2213" i="6"/>
  <c r="AA2214" i="6"/>
  <c r="AA2215" i="6"/>
  <c r="AA2216" i="6"/>
  <c r="AA2217" i="6"/>
  <c r="AA2218" i="6"/>
  <c r="AA2219" i="6"/>
  <c r="AA2220" i="6"/>
  <c r="AA2221" i="6"/>
  <c r="AA2222" i="6"/>
  <c r="AA2223" i="6"/>
  <c r="AA2224" i="6"/>
  <c r="AA2225" i="6"/>
  <c r="AA2226" i="6"/>
  <c r="AA2227" i="6"/>
  <c r="AA2228" i="6"/>
  <c r="AA2229" i="6"/>
  <c r="AA2230" i="6"/>
  <c r="AA2231" i="6"/>
  <c r="AA2232" i="6"/>
  <c r="AA2233" i="6"/>
  <c r="AA2234" i="6"/>
  <c r="AA2235" i="6"/>
  <c r="AA2236" i="6"/>
  <c r="AA2237" i="6"/>
  <c r="AA2238" i="6"/>
  <c r="AA2239" i="6"/>
  <c r="AA2240" i="6"/>
  <c r="AA2241" i="6"/>
  <c r="AA2242" i="6"/>
  <c r="AA2243" i="6"/>
  <c r="AA2244" i="6"/>
  <c r="AA2245" i="6"/>
  <c r="AA2246" i="6"/>
  <c r="AA2247" i="6"/>
  <c r="AA2248" i="6"/>
  <c r="AA2249" i="6"/>
  <c r="AA2250" i="6"/>
  <c r="AA2251" i="6"/>
  <c r="AA2252" i="6"/>
  <c r="AA2253" i="6"/>
  <c r="AA2254" i="6"/>
  <c r="AA2255" i="6"/>
  <c r="AA2256" i="6"/>
  <c r="AA2257" i="6"/>
  <c r="AA2258" i="6"/>
  <c r="AA2259" i="6"/>
  <c r="AA2260" i="6"/>
  <c r="AA2261" i="6"/>
  <c r="AA2262" i="6"/>
  <c r="AA2263" i="6"/>
  <c r="AA2264" i="6"/>
  <c r="AA2265" i="6"/>
  <c r="AA2266" i="6"/>
  <c r="AA2267" i="6"/>
  <c r="AA2268" i="6"/>
  <c r="AA2269" i="6"/>
  <c r="AA2270" i="6"/>
  <c r="AA2271" i="6"/>
  <c r="AA2272" i="6"/>
  <c r="AA2273" i="6"/>
  <c r="AA2274" i="6"/>
  <c r="AA2275" i="6"/>
  <c r="AA2276" i="6"/>
  <c r="AA2277" i="6"/>
  <c r="AA2278" i="6"/>
  <c r="AA2279" i="6"/>
  <c r="AA2280" i="6"/>
  <c r="AA2281" i="6"/>
  <c r="AA2282" i="6"/>
  <c r="AA2283" i="6"/>
  <c r="AA2284" i="6"/>
  <c r="AA2285" i="6"/>
  <c r="AA2286" i="6"/>
  <c r="AA2287" i="6"/>
  <c r="AA2288" i="6"/>
  <c r="AA2289" i="6"/>
  <c r="AA2290" i="6"/>
  <c r="AA2291" i="6"/>
  <c r="AA2292" i="6"/>
  <c r="AA2293" i="6"/>
  <c r="AA2294" i="6"/>
  <c r="AA2295" i="6"/>
  <c r="AA2296" i="6"/>
  <c r="AA2297" i="6"/>
  <c r="AA2298" i="6"/>
  <c r="AA2299" i="6"/>
  <c r="AA2300" i="6"/>
  <c r="AA2301" i="6"/>
  <c r="AA2302" i="6"/>
  <c r="AA2303" i="6"/>
  <c r="AA2304" i="6"/>
  <c r="AA2305" i="6"/>
  <c r="AA2306" i="6"/>
  <c r="AA2307" i="6"/>
  <c r="AA2308" i="6"/>
  <c r="AA2309" i="6"/>
  <c r="AA2310" i="6"/>
  <c r="AA2311" i="6"/>
  <c r="AA2312" i="6"/>
  <c r="AA2313" i="6"/>
  <c r="AA2314" i="6"/>
  <c r="AA2315" i="6"/>
  <c r="AA2316" i="6"/>
  <c r="AA2317" i="6"/>
  <c r="AA2318" i="6"/>
  <c r="AA2319" i="6"/>
  <c r="AA2320" i="6"/>
  <c r="AA2321" i="6"/>
  <c r="AA2322" i="6"/>
  <c r="AA2323" i="6"/>
  <c r="AA2324" i="6"/>
  <c r="AA2325" i="6"/>
  <c r="AA2326" i="6"/>
  <c r="AA2327" i="6"/>
  <c r="AA2328" i="6"/>
  <c r="AA2329" i="6"/>
  <c r="AA2330" i="6"/>
  <c r="AA2331" i="6"/>
  <c r="AA2332" i="6"/>
  <c r="AA2333" i="6"/>
  <c r="AA2334" i="6"/>
  <c r="AA2335" i="6"/>
  <c r="AA2336" i="6"/>
  <c r="AA2337" i="6"/>
  <c r="AA2338" i="6"/>
  <c r="AA2339" i="6"/>
  <c r="AA2340" i="6"/>
  <c r="AA2341" i="6"/>
  <c r="AA2342" i="6"/>
  <c r="AA2343" i="6"/>
  <c r="AA2344" i="6"/>
  <c r="AA2345" i="6"/>
  <c r="AA2346" i="6"/>
  <c r="AA2347" i="6"/>
  <c r="AA2348" i="6"/>
  <c r="AA2349" i="6"/>
  <c r="AA2350" i="6"/>
  <c r="AA2351" i="6"/>
  <c r="AA2352" i="6"/>
  <c r="AA2353" i="6"/>
  <c r="AA2354" i="6"/>
  <c r="AA2355" i="6"/>
  <c r="AA2356" i="6"/>
  <c r="AA2357" i="6"/>
  <c r="AA2358" i="6"/>
  <c r="AA2359" i="6"/>
  <c r="AA2360" i="6"/>
  <c r="AA2361" i="6"/>
  <c r="AA2362" i="6"/>
  <c r="AA2363" i="6"/>
  <c r="AA2364" i="6"/>
  <c r="AA2365" i="6"/>
  <c r="AA2366" i="6"/>
  <c r="AA2367" i="6"/>
  <c r="AA2368" i="6"/>
  <c r="AA2369" i="6"/>
  <c r="AA2370" i="6"/>
  <c r="AA2371" i="6"/>
  <c r="AA2372" i="6"/>
  <c r="AA2373" i="6"/>
  <c r="AA2374" i="6"/>
  <c r="AA2375" i="6"/>
  <c r="AA2376" i="6"/>
  <c r="AA2377" i="6"/>
  <c r="AA2378" i="6"/>
  <c r="AA2379" i="6"/>
  <c r="AA2380" i="6"/>
  <c r="AA2381" i="6"/>
  <c r="AA2382" i="6"/>
  <c r="AA2383" i="6"/>
  <c r="AA2384" i="6"/>
  <c r="AA2385" i="6"/>
  <c r="AA2386" i="6"/>
  <c r="AA2387" i="6"/>
  <c r="AA2388" i="6"/>
  <c r="AA2389" i="6"/>
  <c r="AA2390" i="6"/>
  <c r="AA2391" i="6"/>
  <c r="AA2392" i="6"/>
  <c r="AA2393" i="6"/>
  <c r="AA2394" i="6"/>
  <c r="AA2395" i="6"/>
  <c r="AA2396" i="6"/>
  <c r="AA2397" i="6"/>
  <c r="AA2398" i="6"/>
  <c r="AA2399" i="6"/>
  <c r="AA2400" i="6"/>
  <c r="AA2401" i="6"/>
  <c r="AA2402" i="6"/>
  <c r="AA2403" i="6"/>
  <c r="AA2404" i="6"/>
  <c r="AA2405" i="6"/>
  <c r="AA2406" i="6"/>
  <c r="AA2407" i="6"/>
  <c r="AA2408" i="6"/>
  <c r="AA2409" i="6"/>
  <c r="AA2410" i="6"/>
  <c r="AA2411" i="6"/>
  <c r="AA2412" i="6"/>
  <c r="AA2413" i="6"/>
  <c r="AA2414" i="6"/>
  <c r="AA2415" i="6"/>
  <c r="AA2416" i="6"/>
  <c r="AA2417" i="6"/>
  <c r="AA2418" i="6"/>
  <c r="AA2419" i="6"/>
  <c r="AA2420" i="6"/>
  <c r="AA2421" i="6"/>
  <c r="AA2422" i="6"/>
  <c r="AA2423" i="6"/>
  <c r="AA2424" i="6"/>
  <c r="AA2425" i="6"/>
  <c r="AA2426" i="6"/>
  <c r="AA2427" i="6"/>
  <c r="AA2428" i="6"/>
  <c r="AA2429" i="6"/>
  <c r="AA2430" i="6"/>
  <c r="AA2431" i="6"/>
  <c r="AA2432" i="6"/>
  <c r="AA2433" i="6"/>
  <c r="AA2434" i="6"/>
  <c r="AA2435" i="6"/>
  <c r="AA2436" i="6"/>
  <c r="AA2437" i="6"/>
  <c r="AA2438" i="6"/>
  <c r="AA2439" i="6"/>
  <c r="AA2440" i="6"/>
  <c r="AA2441" i="6"/>
  <c r="AA2442" i="6"/>
  <c r="AA2443" i="6"/>
  <c r="AA2444" i="6"/>
  <c r="AA2445" i="6"/>
  <c r="AA2446" i="6"/>
  <c r="AA2447" i="6"/>
  <c r="AA2448" i="6"/>
  <c r="AA2449" i="6"/>
  <c r="AA2450" i="6"/>
  <c r="AA2451" i="6"/>
  <c r="AA2452" i="6"/>
  <c r="AA2453" i="6"/>
  <c r="AA2454" i="6"/>
  <c r="AA2455" i="6"/>
  <c r="AA2456" i="6"/>
  <c r="AA2457" i="6"/>
  <c r="AA2458" i="6"/>
  <c r="AA2459" i="6"/>
  <c r="AA2460" i="6"/>
  <c r="AA2461" i="6"/>
  <c r="AA2462" i="6"/>
  <c r="AA2463" i="6"/>
  <c r="AA2464" i="6"/>
  <c r="AA2465" i="6"/>
  <c r="AA2466" i="6"/>
  <c r="AA2467" i="6"/>
  <c r="AA2468" i="6"/>
  <c r="AA2469" i="6"/>
  <c r="AA2470" i="6"/>
  <c r="AA2471" i="6"/>
  <c r="AA2472" i="6"/>
  <c r="AA2473" i="6"/>
  <c r="AA2474" i="6"/>
  <c r="AA2475" i="6"/>
  <c r="AA2476" i="6"/>
  <c r="AA2477" i="6"/>
  <c r="AA2478" i="6"/>
  <c r="AA2479" i="6"/>
  <c r="AA2480" i="6"/>
  <c r="AA2481" i="6"/>
  <c r="AA2482" i="6"/>
  <c r="AA2483" i="6"/>
  <c r="AA2484" i="6"/>
  <c r="AA2485" i="6"/>
  <c r="AA2486" i="6"/>
  <c r="AA2487" i="6"/>
  <c r="AA2488" i="6"/>
  <c r="AA2489" i="6"/>
  <c r="AA2490" i="6"/>
  <c r="AA2491" i="6"/>
  <c r="AA2492" i="6"/>
  <c r="AA2493" i="6"/>
  <c r="AA2494" i="6"/>
  <c r="AA2495" i="6"/>
  <c r="AA2496" i="6"/>
  <c r="AA2497" i="6"/>
  <c r="AA2498" i="6"/>
  <c r="AA2499" i="6"/>
  <c r="AA2500" i="6"/>
  <c r="AA2501" i="6"/>
  <c r="AA2502" i="6"/>
  <c r="AA2503" i="6"/>
  <c r="AA2504" i="6"/>
  <c r="AA2505" i="6"/>
  <c r="AA2506" i="6"/>
  <c r="AA2507" i="6"/>
  <c r="AA2508" i="6"/>
  <c r="AA2509" i="6"/>
  <c r="AA2510" i="6"/>
  <c r="AA2511" i="6"/>
  <c r="AA2512" i="6"/>
  <c r="AA2513" i="6"/>
  <c r="AA2514" i="6"/>
  <c r="AA2515" i="6"/>
  <c r="AA2516" i="6"/>
  <c r="AA2517" i="6"/>
  <c r="AA2518" i="6"/>
  <c r="AA2519" i="6"/>
  <c r="AA2520" i="6"/>
  <c r="AA2521" i="6"/>
  <c r="AA2522" i="6"/>
  <c r="AA2523" i="6"/>
  <c r="AA2524" i="6"/>
  <c r="AA2525" i="6"/>
  <c r="AA2526" i="6"/>
  <c r="AA2527" i="6"/>
  <c r="AA2528" i="6"/>
  <c r="AA2529" i="6"/>
  <c r="AA2530" i="6"/>
  <c r="AA2531" i="6"/>
  <c r="AA2532" i="6"/>
  <c r="AA2533" i="6"/>
  <c r="AA2534" i="6"/>
  <c r="AA2535" i="6"/>
  <c r="AA2536" i="6"/>
  <c r="AA2537" i="6"/>
  <c r="AA2538" i="6"/>
  <c r="AA2539" i="6"/>
  <c r="AA2540" i="6"/>
  <c r="AA2541" i="6"/>
  <c r="AA2542" i="6"/>
  <c r="AA2543" i="6"/>
  <c r="AA2544" i="6"/>
  <c r="AA2545" i="6"/>
  <c r="AA2546" i="6"/>
  <c r="AA2547" i="6"/>
  <c r="AA2548" i="6"/>
  <c r="AA2549" i="6"/>
  <c r="AA2550" i="6"/>
  <c r="AA2551" i="6"/>
  <c r="AA2552" i="6"/>
  <c r="AA2553" i="6"/>
  <c r="AA2554" i="6"/>
  <c r="AA2555" i="6"/>
  <c r="AA2556" i="6"/>
  <c r="AA2557" i="6"/>
  <c r="AA2558" i="6"/>
  <c r="AA2559" i="6"/>
  <c r="AA2560" i="6"/>
  <c r="AA2561" i="6"/>
  <c r="AA2562" i="6"/>
  <c r="AA2563" i="6"/>
  <c r="AA2564" i="6"/>
  <c r="AA2565" i="6"/>
  <c r="AA2566" i="6"/>
  <c r="AA2567" i="6"/>
  <c r="AA2568" i="6"/>
  <c r="AA2569" i="6"/>
  <c r="AA2570" i="6"/>
  <c r="AA2571" i="6"/>
  <c r="AA2572" i="6"/>
  <c r="AA2573" i="6"/>
  <c r="AA2574" i="6"/>
  <c r="AA2575" i="6"/>
  <c r="AA2576" i="6"/>
  <c r="AA2577" i="6"/>
  <c r="AA2578" i="6"/>
  <c r="AA2579" i="6"/>
  <c r="AA2580" i="6"/>
  <c r="AA2581" i="6"/>
  <c r="AA2582" i="6"/>
  <c r="AA2583" i="6"/>
  <c r="AA2584" i="6"/>
  <c r="AA2585" i="6"/>
  <c r="AA2586" i="6"/>
  <c r="AA2587" i="6"/>
  <c r="AA2588" i="6"/>
  <c r="AA2589" i="6"/>
  <c r="AA2590" i="6"/>
  <c r="AA2591" i="6"/>
  <c r="AA2592" i="6"/>
  <c r="AA2593" i="6"/>
  <c r="AA2594" i="6"/>
  <c r="AA2595" i="6"/>
  <c r="AA2596" i="6"/>
  <c r="AA2597" i="6"/>
  <c r="AA2598" i="6"/>
  <c r="AA2599" i="6"/>
  <c r="AA2600" i="6"/>
  <c r="AA2601" i="6"/>
  <c r="AA2602" i="6"/>
  <c r="AA2603" i="6"/>
  <c r="AA2604" i="6"/>
  <c r="AA2605" i="6"/>
  <c r="AA2606" i="6"/>
  <c r="AA2607" i="6"/>
  <c r="AA2608" i="6"/>
  <c r="AA2609" i="6"/>
  <c r="AA2610" i="6"/>
  <c r="AA2611" i="6"/>
  <c r="AA2612" i="6"/>
  <c r="AA2613" i="6"/>
  <c r="AA2614" i="6"/>
  <c r="AA2615" i="6"/>
  <c r="AA2616" i="6"/>
  <c r="AA2617" i="6"/>
  <c r="AA2618" i="6"/>
  <c r="AA2619" i="6"/>
  <c r="AA2620" i="6"/>
  <c r="AA2621" i="6"/>
  <c r="AA2622" i="6"/>
  <c r="AA2623" i="6"/>
  <c r="AA2624" i="6"/>
  <c r="AA2625" i="6"/>
  <c r="AA2626" i="6"/>
  <c r="AA2627" i="6"/>
  <c r="AA2628" i="6"/>
  <c r="AA2629" i="6"/>
  <c r="AA2630" i="6"/>
  <c r="AA2631" i="6"/>
  <c r="AA2632" i="6"/>
  <c r="AA2633" i="6"/>
  <c r="AA2634" i="6"/>
  <c r="AA2635" i="6"/>
  <c r="AA2636" i="6"/>
  <c r="AA2637" i="6"/>
  <c r="AA2638" i="6"/>
  <c r="AA2639" i="6"/>
  <c r="AA2640" i="6"/>
  <c r="AA2641" i="6"/>
  <c r="AA2642" i="6"/>
  <c r="AA2643" i="6"/>
  <c r="AA2644" i="6"/>
  <c r="AA2645" i="6"/>
  <c r="AA2646" i="6"/>
  <c r="AA2647" i="6"/>
  <c r="AA2648" i="6"/>
  <c r="AA2649" i="6"/>
  <c r="AA2650" i="6"/>
  <c r="AA2651" i="6"/>
  <c r="AA2652" i="6"/>
  <c r="AA2653" i="6"/>
  <c r="AA2654" i="6"/>
  <c r="AA2655" i="6"/>
  <c r="AA2656" i="6"/>
  <c r="AA2657" i="6"/>
  <c r="AA2658" i="6"/>
  <c r="AA2659" i="6"/>
  <c r="AA2660" i="6"/>
  <c r="AA2661" i="6"/>
  <c r="AA2662" i="6"/>
  <c r="AA2663" i="6"/>
  <c r="AA2664" i="6"/>
  <c r="AA2665" i="6"/>
  <c r="AA2666" i="6"/>
  <c r="AA2667" i="6"/>
  <c r="AA2668" i="6"/>
  <c r="AA2669" i="6"/>
  <c r="AA2670" i="6"/>
  <c r="AA2671" i="6"/>
  <c r="AA2672" i="6"/>
  <c r="AA2673" i="6"/>
  <c r="AA2674" i="6"/>
  <c r="AA2675" i="6"/>
  <c r="AA2676" i="6"/>
  <c r="AA2677" i="6"/>
  <c r="AA2678" i="6"/>
  <c r="AA2679" i="6"/>
  <c r="AA2680" i="6"/>
  <c r="AA2681" i="6"/>
  <c r="AA2682" i="6"/>
  <c r="AA2683" i="6"/>
  <c r="AA2684" i="6"/>
  <c r="AA2685" i="6"/>
  <c r="AA2686" i="6"/>
  <c r="AA2687" i="6"/>
  <c r="AA2688" i="6"/>
  <c r="AA2689" i="6"/>
  <c r="AA2690" i="6"/>
  <c r="AA2691" i="6"/>
  <c r="AA2692" i="6"/>
  <c r="AA2693" i="6"/>
  <c r="AA2694" i="6"/>
  <c r="AA2695" i="6"/>
  <c r="AA2696" i="6"/>
  <c r="AA2697" i="6"/>
  <c r="AA2698" i="6"/>
  <c r="AA2699" i="6"/>
  <c r="AA2700" i="6"/>
  <c r="AA2701" i="6"/>
  <c r="AA2702" i="6"/>
  <c r="AA2703" i="6"/>
  <c r="AA2704" i="6"/>
  <c r="AA2705" i="6"/>
  <c r="AA2706" i="6"/>
  <c r="AA2707" i="6"/>
  <c r="AA2708" i="6"/>
  <c r="AA2709" i="6"/>
  <c r="AA2710" i="6"/>
  <c r="AA2711" i="6"/>
  <c r="AA2712" i="6"/>
  <c r="AA2713" i="6"/>
  <c r="AA2714" i="6"/>
  <c r="AA2715" i="6"/>
  <c r="AA2716" i="6"/>
  <c r="AA2717" i="6"/>
  <c r="AA2718" i="6"/>
  <c r="AA2719" i="6"/>
  <c r="AA2720" i="6"/>
  <c r="AA2721" i="6"/>
  <c r="AA2722" i="6"/>
  <c r="AA2723" i="6"/>
  <c r="AA2724" i="6"/>
  <c r="AA2725" i="6"/>
  <c r="AA2726" i="6"/>
  <c r="AA2727" i="6"/>
  <c r="AA2728" i="6"/>
  <c r="AA2729" i="6"/>
  <c r="AA2730" i="6"/>
  <c r="AA2731" i="6"/>
  <c r="AA2732" i="6"/>
  <c r="AA2733" i="6"/>
  <c r="AA2734" i="6"/>
  <c r="AA2735" i="6"/>
  <c r="AA2736" i="6"/>
  <c r="AA2737" i="6"/>
  <c r="AA2738" i="6"/>
  <c r="AA2739" i="6"/>
  <c r="AA2740" i="6"/>
  <c r="AA2741" i="6"/>
  <c r="AA2742" i="6"/>
  <c r="AA2743" i="6"/>
  <c r="AA2744" i="6"/>
  <c r="AA2745" i="6"/>
  <c r="AA2746" i="6"/>
  <c r="AA2747" i="6"/>
  <c r="AA2748" i="6"/>
  <c r="AA2749" i="6"/>
  <c r="AA2750" i="6"/>
  <c r="AA2751" i="6"/>
  <c r="AA2752" i="6"/>
  <c r="AA2753" i="6"/>
  <c r="AA2754" i="6"/>
  <c r="AA2755" i="6"/>
  <c r="AA2756" i="6"/>
  <c r="AA2757" i="6"/>
  <c r="AA2758" i="6"/>
  <c r="AA2759" i="6"/>
  <c r="AA2760" i="6"/>
  <c r="AA2761" i="6"/>
  <c r="AA2762" i="6"/>
  <c r="AA2763" i="6"/>
  <c r="AA2764" i="6"/>
  <c r="AA2765" i="6"/>
  <c r="AA2766" i="6"/>
  <c r="AA2767" i="6"/>
  <c r="AA2768" i="6"/>
  <c r="AA2769" i="6"/>
  <c r="AA2770" i="6"/>
  <c r="AA2771" i="6"/>
  <c r="AA2772" i="6"/>
  <c r="AA2773" i="6"/>
  <c r="AA2774" i="6"/>
  <c r="AA2775" i="6"/>
  <c r="AA2776" i="6"/>
  <c r="AA2777" i="6"/>
  <c r="AA2778" i="6"/>
  <c r="AA2779" i="6"/>
  <c r="AA2780" i="6"/>
  <c r="AA2781" i="6"/>
  <c r="AA2782" i="6"/>
  <c r="AA2783" i="6"/>
  <c r="AA2784" i="6"/>
  <c r="AA2785" i="6"/>
  <c r="AA2786" i="6"/>
  <c r="AA2787" i="6"/>
  <c r="AA2788" i="6"/>
  <c r="AA2789" i="6"/>
  <c r="AA2790" i="6"/>
  <c r="AA2791" i="6"/>
  <c r="AA2792" i="6"/>
  <c r="AA2793" i="6"/>
  <c r="AA2794" i="6"/>
  <c r="AA2795" i="6"/>
  <c r="AA2796" i="6"/>
  <c r="AA2797" i="6"/>
  <c r="AA2798" i="6"/>
  <c r="AA2799" i="6"/>
  <c r="AA2800" i="6"/>
  <c r="AA2801" i="6"/>
  <c r="AA2802" i="6"/>
  <c r="CN8" i="11"/>
  <c r="CF8" i="11"/>
  <c r="CE5" i="11"/>
  <c r="BP6" i="11"/>
  <c r="BP7" i="11"/>
  <c r="BP8" i="11"/>
  <c r="BP9" i="11"/>
  <c r="BP10" i="11"/>
  <c r="BP11" i="11"/>
  <c r="BP12" i="11"/>
  <c r="BP13" i="11"/>
  <c r="BP14" i="11"/>
  <c r="BP15" i="11"/>
  <c r="BP16" i="11"/>
  <c r="BP17" i="11"/>
  <c r="BP18" i="11"/>
  <c r="BP19" i="11"/>
  <c r="BP20" i="11"/>
  <c r="BP21" i="11"/>
  <c r="BP22" i="11"/>
  <c r="BP23" i="11"/>
  <c r="BP24" i="11"/>
  <c r="BP25" i="11"/>
  <c r="BP26" i="11"/>
  <c r="BP27" i="11"/>
  <c r="BP28" i="11"/>
  <c r="BP5" i="11"/>
  <c r="BO31" i="11" s="1"/>
  <c r="BO6" i="11"/>
  <c r="BO7" i="11"/>
  <c r="BO8" i="11"/>
  <c r="BO9" i="11"/>
  <c r="BO10" i="11"/>
  <c r="BO11" i="11"/>
  <c r="BO12" i="11"/>
  <c r="BO13" i="11"/>
  <c r="BO14" i="11"/>
  <c r="BO15" i="11"/>
  <c r="BO16" i="11"/>
  <c r="BO17" i="11"/>
  <c r="BO18" i="11"/>
  <c r="BO19" i="11"/>
  <c r="BO20" i="11"/>
  <c r="BO21" i="11"/>
  <c r="BO22" i="11"/>
  <c r="BO23" i="11"/>
  <c r="BO24" i="11"/>
  <c r="BO25" i="11"/>
  <c r="BO26" i="11"/>
  <c r="BO27" i="11"/>
  <c r="BO28" i="11"/>
  <c r="BO5" i="11"/>
  <c r="BN6" i="11"/>
  <c r="BN7" i="11"/>
  <c r="BN8" i="11"/>
  <c r="BN9" i="11"/>
  <c r="BN10" i="11"/>
  <c r="BN11" i="11"/>
  <c r="BN12" i="11"/>
  <c r="BN13" i="11"/>
  <c r="BN14" i="11"/>
  <c r="BN15" i="11"/>
  <c r="BN16" i="11"/>
  <c r="BN17" i="11"/>
  <c r="BN18" i="11"/>
  <c r="BN19" i="11"/>
  <c r="BN20" i="11"/>
  <c r="BN21" i="11"/>
  <c r="BN22" i="11"/>
  <c r="BN23" i="11"/>
  <c r="BN24" i="11"/>
  <c r="BN25" i="11"/>
  <c r="BN26" i="11"/>
  <c r="BN27" i="11"/>
  <c r="BN5" i="11"/>
  <c r="L2" i="3"/>
  <c r="L3" i="3"/>
  <c r="L4" i="3"/>
  <c r="L5" i="3"/>
  <c r="L6" i="3"/>
  <c r="L7" i="3"/>
  <c r="L8" i="3"/>
  <c r="L9" i="3"/>
  <c r="L10" i="3"/>
  <c r="L11" i="3"/>
  <c r="L12" i="3"/>
  <c r="L13" i="3"/>
  <c r="L14" i="3"/>
  <c r="L15" i="3"/>
  <c r="L16" i="3"/>
  <c r="L17" i="3"/>
  <c r="L18" i="3"/>
  <c r="L19" i="3"/>
  <c r="L20" i="3"/>
  <c r="L21" i="3"/>
  <c r="L22" i="3"/>
  <c r="L23" i="3"/>
  <c r="L24" i="3"/>
  <c r="L25" i="3"/>
  <c r="O7" i="11"/>
  <c r="O8" i="11"/>
  <c r="O9" i="11"/>
  <c r="O10" i="11"/>
  <c r="O11" i="11"/>
  <c r="O12" i="11"/>
  <c r="O13" i="11"/>
  <c r="O14" i="11"/>
  <c r="O15" i="11"/>
  <c r="O16" i="11"/>
  <c r="O6" i="11"/>
  <c r="S13" i="11"/>
  <c r="S7" i="11"/>
  <c r="R21" i="11" s="1"/>
  <c r="AB27" i="11" s="1"/>
  <c r="N6" i="11"/>
  <c r="N7" i="11"/>
  <c r="N8" i="11"/>
  <c r="N9" i="11"/>
  <c r="N10" i="11"/>
  <c r="N11" i="11"/>
  <c r="N12" i="11"/>
  <c r="N13" i="11"/>
  <c r="N14" i="11"/>
  <c r="N15" i="11"/>
  <c r="N16" i="11"/>
  <c r="N5" i="11"/>
  <c r="D16" i="11"/>
  <c r="D13" i="11"/>
  <c r="E13" i="11" s="1"/>
  <c r="D10" i="11"/>
  <c r="D11" i="11"/>
  <c r="E11" i="11" s="1"/>
  <c r="D9" i="11"/>
  <c r="D15" i="11" s="1"/>
  <c r="BO32" i="11" l="1"/>
  <c r="CI8" i="11"/>
  <c r="CP27" i="11"/>
  <c r="CQ25" i="11"/>
  <c r="CF9" i="11"/>
  <c r="BV6" i="11"/>
  <c r="BU6" i="11"/>
  <c r="BR6" i="11"/>
  <c r="BQ6" i="11"/>
  <c r="BT6" i="11"/>
  <c r="BS6" i="11"/>
  <c r="BS7" i="11"/>
  <c r="BQ7" i="11"/>
  <c r="BR7" i="11"/>
  <c r="BU7" i="11"/>
  <c r="BV7" i="11"/>
  <c r="BT7" i="11"/>
  <c r="BQ8" i="11"/>
  <c r="BV8" i="11"/>
  <c r="BU8" i="11"/>
  <c r="BR8" i="11"/>
  <c r="BS8" i="11"/>
  <c r="BT8" i="11"/>
  <c r="BS9" i="11"/>
  <c r="BQ9" i="11"/>
  <c r="BR9" i="11"/>
  <c r="BU9" i="11"/>
  <c r="BT9" i="11"/>
  <c r="BV9" i="11"/>
  <c r="BR10" i="11"/>
  <c r="BU10" i="11"/>
  <c r="BQ10" i="11"/>
  <c r="BV10" i="11"/>
  <c r="BS10" i="11"/>
  <c r="BT10" i="11"/>
  <c r="BQ11" i="11"/>
  <c r="BV11" i="11"/>
  <c r="BT11" i="11"/>
  <c r="BR11" i="11"/>
  <c r="BS11" i="11"/>
  <c r="BU11" i="11"/>
  <c r="BU12" i="11"/>
  <c r="BV12" i="11"/>
  <c r="BR12" i="11"/>
  <c r="BS12" i="11"/>
  <c r="BT12" i="11"/>
  <c r="BQ12" i="11"/>
  <c r="BQ13" i="11"/>
  <c r="BT13" i="11"/>
  <c r="BS13" i="11"/>
  <c r="BV13" i="11"/>
  <c r="BR13" i="11"/>
  <c r="BU13" i="11"/>
  <c r="BS14" i="11"/>
  <c r="BT14" i="11"/>
  <c r="BR14" i="11"/>
  <c r="BU14" i="11"/>
  <c r="BV14" i="11"/>
  <c r="BQ14" i="11"/>
  <c r="BR15" i="11"/>
  <c r="BT15" i="11"/>
  <c r="BQ15" i="11"/>
  <c r="BS15" i="11"/>
  <c r="BV15" i="11"/>
  <c r="BU15" i="11"/>
  <c r="BQ16" i="11"/>
  <c r="BV16" i="11"/>
  <c r="BU16" i="11"/>
  <c r="BR16" i="11"/>
  <c r="BT16" i="11"/>
  <c r="BS16" i="11"/>
  <c r="BR17" i="11"/>
  <c r="BS17" i="11"/>
  <c r="BQ17" i="11"/>
  <c r="BV17" i="11"/>
  <c r="BU17" i="11"/>
  <c r="BT17" i="11"/>
  <c r="BQ18" i="11"/>
  <c r="BV18" i="11"/>
  <c r="BU18" i="11"/>
  <c r="BS18" i="11"/>
  <c r="BR18" i="11"/>
  <c r="BT18" i="11"/>
  <c r="BQ19" i="11"/>
  <c r="BT19" i="11"/>
  <c r="BR19" i="11"/>
  <c r="BV19" i="11"/>
  <c r="BU19" i="11"/>
  <c r="BS19" i="11"/>
  <c r="BS20" i="11"/>
  <c r="BR20" i="11"/>
  <c r="BQ20" i="11"/>
  <c r="BV20" i="11"/>
  <c r="BU20" i="11"/>
  <c r="BT20" i="11"/>
  <c r="BS21" i="11"/>
  <c r="BU21" i="11"/>
  <c r="BV21" i="11"/>
  <c r="BR21" i="11"/>
  <c r="BQ21" i="11"/>
  <c r="BT21" i="11"/>
  <c r="BV22" i="11"/>
  <c r="BQ22" i="11"/>
  <c r="BS22" i="11"/>
  <c r="BR22" i="11"/>
  <c r="BT22" i="11"/>
  <c r="BU22" i="11"/>
  <c r="BQ23" i="11"/>
  <c r="BV23" i="11"/>
  <c r="BR23" i="11"/>
  <c r="BS23" i="11"/>
  <c r="BU23" i="11"/>
  <c r="BT23" i="11"/>
  <c r="BV24" i="11"/>
  <c r="BS24" i="11"/>
  <c r="BT24" i="11"/>
  <c r="BQ24" i="11"/>
  <c r="BU24" i="11"/>
  <c r="BR24" i="11"/>
  <c r="BT25" i="11"/>
  <c r="BU25" i="11"/>
  <c r="BR25" i="11"/>
  <c r="BS25" i="11"/>
  <c r="BV25" i="11"/>
  <c r="BQ25" i="11"/>
  <c r="BR26" i="11"/>
  <c r="BU26" i="11"/>
  <c r="BS26" i="11"/>
  <c r="BT26" i="11"/>
  <c r="BQ26" i="11"/>
  <c r="BV26" i="11"/>
  <c r="BT27" i="11"/>
  <c r="BU27" i="11"/>
  <c r="BR27" i="11"/>
  <c r="BQ27" i="11"/>
  <c r="BS27" i="11"/>
  <c r="BV27" i="11"/>
  <c r="BU28" i="11"/>
  <c r="BS28" i="11"/>
  <c r="BT28" i="11"/>
  <c r="BR28" i="11"/>
  <c r="BV28" i="11"/>
  <c r="BQ28" i="11"/>
  <c r="BR5" i="11"/>
  <c r="BT5" i="11"/>
  <c r="BV5" i="11"/>
  <c r="BU5" i="11"/>
  <c r="BS5" i="11"/>
  <c r="BQ5" i="11"/>
  <c r="E16" i="11"/>
  <c r="D17" i="11"/>
  <c r="E17" i="11" s="1"/>
  <c r="AB24" i="11"/>
  <c r="W24" i="11"/>
  <c r="R24" i="11"/>
  <c r="S10" i="11"/>
  <c r="R22" i="11" s="1"/>
  <c r="AB25" i="11" s="1"/>
  <c r="E15" i="11"/>
  <c r="E9" i="11"/>
  <c r="D14" i="11"/>
  <c r="E14" i="11" s="1"/>
  <c r="D12" i="11"/>
  <c r="E12" i="11" s="1"/>
  <c r="E10" i="11"/>
  <c r="AC26" i="11" l="1"/>
  <c r="X24" i="11"/>
  <c r="R25" i="11"/>
  <c r="W25" i="11"/>
  <c r="R28" i="11"/>
  <c r="S25" i="11" l="1"/>
  <c r="R27" i="11"/>
  <c r="S27" i="11" s="1"/>
  <c r="X25" i="11"/>
</calcChain>
</file>

<file path=xl/sharedStrings.xml><?xml version="1.0" encoding="utf-8"?>
<sst xmlns="http://schemas.openxmlformats.org/spreadsheetml/2006/main" count="39810" uniqueCount="3190">
  <si>
    <t>Business Case and Project Brief</t>
  </si>
  <si>
    <t>Company</t>
  </si>
  <si>
    <t>DecisionMart Retail Ltd</t>
  </si>
  <si>
    <t>Background</t>
  </si>
  <si>
    <t>DecisionMart operates eight branches across Nigeria and sells food, beverages, household products, personal care items, electronics and office supplies.</t>
  </si>
  <si>
    <t>Problem</t>
  </si>
  <si>
    <t>Management has observed that revenue is improving, but profit margin is weakening. Fast-moving products are experiencing stock pressure while some slow-moving items remain overstocked.</t>
  </si>
  <si>
    <t>Your role</t>
  </si>
  <si>
    <t>Audience</t>
  </si>
  <si>
    <t>Managing Director, Head of Sales, Branch Managers and Inventory Manager.</t>
  </si>
  <si>
    <t>Decision required</t>
  </si>
  <si>
    <t>Which products, branches and operational practices should management prioritise to improve profit and inventory efficiency?</t>
  </si>
  <si>
    <t>Deliverable</t>
  </si>
  <si>
    <t>Product ID</t>
  </si>
  <si>
    <t>Product Name</t>
  </si>
  <si>
    <t>Category</t>
  </si>
  <si>
    <t>Subcategory</t>
  </si>
  <si>
    <t>Brand</t>
  </si>
  <si>
    <t>Unit Cost</t>
  </si>
  <si>
    <t>Unit Price</t>
  </si>
  <si>
    <t>Reorder Level</t>
  </si>
  <si>
    <t>Opening Stock</t>
  </si>
  <si>
    <t>Stock Received</t>
  </si>
  <si>
    <t>Closing Stock</t>
  </si>
  <si>
    <t>P001</t>
  </si>
  <si>
    <t>Golden Harvest Rice 5kg</t>
  </si>
  <si>
    <t>Food</t>
  </si>
  <si>
    <t>Grains</t>
  </si>
  <si>
    <t>Golden Harvest</t>
  </si>
  <si>
    <t>P002</t>
  </si>
  <si>
    <t>Mama's Pride Beans 2kg</t>
  </si>
  <si>
    <t>Mama's Pride</t>
  </si>
  <si>
    <t>P003</t>
  </si>
  <si>
    <t>SunGold Vegetable Oil 2L</t>
  </si>
  <si>
    <t>Cooking Oil</t>
  </si>
  <si>
    <t>SunGold</t>
  </si>
  <si>
    <t>P004</t>
  </si>
  <si>
    <t>FreshDay Milk 1L</t>
  </si>
  <si>
    <t>Beverages</t>
  </si>
  <si>
    <t>Dairy</t>
  </si>
  <si>
    <t>FreshDay</t>
  </si>
  <si>
    <t>P005</t>
  </si>
  <si>
    <t>CrispyBite Biscuits Pack</t>
  </si>
  <si>
    <t>Snacks</t>
  </si>
  <si>
    <t>CrispyBite</t>
  </si>
  <si>
    <t>P006</t>
  </si>
  <si>
    <t>AquaPure Water 75cl</t>
  </si>
  <si>
    <t>Water</t>
  </si>
  <si>
    <t>AquaPure</t>
  </si>
  <si>
    <t>P007</t>
  </si>
  <si>
    <t>Naija Malt Can</t>
  </si>
  <si>
    <t>Malt</t>
  </si>
  <si>
    <t>Naija Malt</t>
  </si>
  <si>
    <t>P008</t>
  </si>
  <si>
    <t>Sparkle Cola 50cl</t>
  </si>
  <si>
    <t>Soft Drinks</t>
  </si>
  <si>
    <t>Sparkle</t>
  </si>
  <si>
    <t>P009</t>
  </si>
  <si>
    <t>BrightWash Detergent 1kg</t>
  </si>
  <si>
    <t>Household</t>
  </si>
  <si>
    <t>Cleaning</t>
  </si>
  <si>
    <t>BrightWash</t>
  </si>
  <si>
    <t>P010</t>
  </si>
  <si>
    <t>SoftCare Tissue 10 Rolls</t>
  </si>
  <si>
    <t>Paper Products</t>
  </si>
  <si>
    <t>SoftCare</t>
  </si>
  <si>
    <t>P011</t>
  </si>
  <si>
    <t>CleanPro Disinfectant 1L</t>
  </si>
  <si>
    <t>CleanPro</t>
  </si>
  <si>
    <t>P012</t>
  </si>
  <si>
    <t>HomeFresh Air Freshener</t>
  </si>
  <si>
    <t>Home Care</t>
  </si>
  <si>
    <t>HomeFresh</t>
  </si>
  <si>
    <t>P013</t>
  </si>
  <si>
    <t>GlowPlus Body Lotion</t>
  </si>
  <si>
    <t>Personal Care</t>
  </si>
  <si>
    <t>Skin Care</t>
  </si>
  <si>
    <t>GlowPlus</t>
  </si>
  <si>
    <t>P014</t>
  </si>
  <si>
    <t>FreshMint Toothpaste</t>
  </si>
  <si>
    <t>Oral Care</t>
  </si>
  <si>
    <t>FreshMint</t>
  </si>
  <si>
    <t>P015</t>
  </si>
  <si>
    <t>SilkyTouch Bath Soap</t>
  </si>
  <si>
    <t>Bath</t>
  </si>
  <si>
    <t>SilkyTouch</t>
  </si>
  <si>
    <t>P016</t>
  </si>
  <si>
    <t>RoyalScent Perfume 50ml</t>
  </si>
  <si>
    <t>Fragrance</t>
  </si>
  <si>
    <t>RoyalScent</t>
  </si>
  <si>
    <t>P017</t>
  </si>
  <si>
    <t>PowerMax Extension Box</t>
  </si>
  <si>
    <t>Electronics</t>
  </si>
  <si>
    <t>Accessories</t>
  </si>
  <si>
    <t>PowerMax</t>
  </si>
  <si>
    <t>P018</t>
  </si>
  <si>
    <t>VoltSafe Power Bank 20k</t>
  </si>
  <si>
    <t>Mobile Accessories</t>
  </si>
  <si>
    <t>VoltSafe</t>
  </si>
  <si>
    <t>P019</t>
  </si>
  <si>
    <t>SoundBeat Earbuds</t>
  </si>
  <si>
    <t>Audio</t>
  </si>
  <si>
    <t>SoundBeat</t>
  </si>
  <si>
    <t>P020</t>
  </si>
  <si>
    <t>Luma LED Bulb 12W</t>
  </si>
  <si>
    <t>Lighting</t>
  </si>
  <si>
    <t>Luma</t>
  </si>
  <si>
    <t>P021</t>
  </si>
  <si>
    <t>OfficeMate A4 Paper</t>
  </si>
  <si>
    <t>Office Supplies</t>
  </si>
  <si>
    <t>Paper</t>
  </si>
  <si>
    <t>OfficeMate</t>
  </si>
  <si>
    <t>P022</t>
  </si>
  <si>
    <t>WriteWell Pen Pack</t>
  </si>
  <si>
    <t>Writing</t>
  </si>
  <si>
    <t>WriteWell</t>
  </si>
  <si>
    <t>P023</t>
  </si>
  <si>
    <t>StudyPro Notebook Pack</t>
  </si>
  <si>
    <t>Stationery</t>
  </si>
  <si>
    <t>StudyPro</t>
  </si>
  <si>
    <t>P024</t>
  </si>
  <si>
    <t>ErgoDesk Mouse Pad</t>
  </si>
  <si>
    <t>ErgoDesk</t>
  </si>
  <si>
    <t>Branch ID</t>
  </si>
  <si>
    <t>Branch Name</t>
  </si>
  <si>
    <t>State</t>
  </si>
  <si>
    <t>Region</t>
  </si>
  <si>
    <t>Location Type</t>
  </si>
  <si>
    <t>B01</t>
  </si>
  <si>
    <t>Wuse Central</t>
  </si>
  <si>
    <t>Abuja</t>
  </si>
  <si>
    <t>North Central</t>
  </si>
  <si>
    <t>Urban</t>
  </si>
  <si>
    <t>B02</t>
  </si>
  <si>
    <t>Garki Market</t>
  </si>
  <si>
    <t>B03</t>
  </si>
  <si>
    <t>Ikeja City</t>
  </si>
  <si>
    <t>Lagos</t>
  </si>
  <si>
    <t>South West</t>
  </si>
  <si>
    <t>B04</t>
  </si>
  <si>
    <t>Lekki Mall</t>
  </si>
  <si>
    <t>B05</t>
  </si>
  <si>
    <t>Kano Central</t>
  </si>
  <si>
    <t>Kano</t>
  </si>
  <si>
    <t>North West</t>
  </si>
  <si>
    <t>B06</t>
  </si>
  <si>
    <t>Port Harcourt Hub</t>
  </si>
  <si>
    <t>Rivers</t>
  </si>
  <si>
    <t>South South</t>
  </si>
  <si>
    <t>B07</t>
  </si>
  <si>
    <t>Enugu Main</t>
  </si>
  <si>
    <t>Enugu</t>
  </si>
  <si>
    <t>South East</t>
  </si>
  <si>
    <t>B08</t>
  </si>
  <si>
    <t>Ilorin Retail</t>
  </si>
  <si>
    <t>Kwara</t>
  </si>
  <si>
    <t>Semi-Urban</t>
  </si>
  <si>
    <t>Order ID</t>
  </si>
  <si>
    <t>Order Date</t>
  </si>
  <si>
    <t>Customer Type</t>
  </si>
  <si>
    <t>Payment Method</t>
  </si>
  <si>
    <t>Quantity</t>
  </si>
  <si>
    <t>Discount %</t>
  </si>
  <si>
    <t>Supplier</t>
  </si>
  <si>
    <t>Delivery Days</t>
  </si>
  <si>
    <t>ORD-10001</t>
  </si>
  <si>
    <t>Walk-in</t>
  </si>
  <si>
    <t>Card</t>
  </si>
  <si>
    <t>Metro Drinks</t>
  </si>
  <si>
    <t>ORD-10002</t>
  </si>
  <si>
    <t>Corporate</t>
  </si>
  <si>
    <t>POS</t>
  </si>
  <si>
    <t>ORD-10003</t>
  </si>
  <si>
    <t>Prime Grocery Ltd</t>
  </si>
  <si>
    <t>ORD-10004</t>
  </si>
  <si>
    <t>Refresh Nigeria</t>
  </si>
  <si>
    <t>ORD-10005</t>
  </si>
  <si>
    <t>Cash</t>
  </si>
  <si>
    <t>BlueWave Distributors</t>
  </si>
  <si>
    <t>ORD-10006</t>
  </si>
  <si>
    <t>ORD-10007</t>
  </si>
  <si>
    <t>TechBridge Africa</t>
  </si>
  <si>
    <t>ORD-10008</t>
  </si>
  <si>
    <t>Member</t>
  </si>
  <si>
    <t>Metro Stationery</t>
  </si>
  <si>
    <t>ORD-10009</t>
  </si>
  <si>
    <t>Transfer</t>
  </si>
  <si>
    <t>CarePlus Wholesale</t>
  </si>
  <si>
    <t>ORD-10010</t>
  </si>
  <si>
    <t>ORD-10011</t>
  </si>
  <si>
    <t>ORD-10012</t>
  </si>
  <si>
    <t>ORD-10013</t>
  </si>
  <si>
    <t>CleanHome Supply</t>
  </si>
  <si>
    <t>ORD-10014</t>
  </si>
  <si>
    <t>AgroLink Nigeria</t>
  </si>
  <si>
    <t>ORD-10015</t>
  </si>
  <si>
    <t>ORD-10016</t>
  </si>
  <si>
    <t>NorthStar Foods</t>
  </si>
  <si>
    <t>ORD-10017</t>
  </si>
  <si>
    <t>ORD-10018</t>
  </si>
  <si>
    <t>ORD-10019</t>
  </si>
  <si>
    <t>ORD-10020</t>
  </si>
  <si>
    <t>ORD-10021</t>
  </si>
  <si>
    <t>ORD-10022</t>
  </si>
  <si>
    <t>Everyday Essentials</t>
  </si>
  <si>
    <t>ORD-10023</t>
  </si>
  <si>
    <t>ORD-10024</t>
  </si>
  <si>
    <t>ORD-10025</t>
  </si>
  <si>
    <t>BeautyHub Distribution</t>
  </si>
  <si>
    <t>ORD-10026</t>
  </si>
  <si>
    <t>ORD-10027</t>
  </si>
  <si>
    <t>ORD-10028</t>
  </si>
  <si>
    <t>ORD-10029</t>
  </si>
  <si>
    <t>ORD-10030</t>
  </si>
  <si>
    <t>ORD-10031</t>
  </si>
  <si>
    <t>VoltEdge Ltd</t>
  </si>
  <si>
    <t>ORD-10032</t>
  </si>
  <si>
    <t>Digital Market Supply</t>
  </si>
  <si>
    <t>ORD-10033</t>
  </si>
  <si>
    <t>ORD-10034</t>
  </si>
  <si>
    <t>PaperLine Ltd</t>
  </si>
  <si>
    <t>ORD-10035</t>
  </si>
  <si>
    <t>ORD-10036</t>
  </si>
  <si>
    <t>ORD-10037</t>
  </si>
  <si>
    <t>ORD-10038</t>
  </si>
  <si>
    <t>ORD-10039</t>
  </si>
  <si>
    <t>ORD-10040</t>
  </si>
  <si>
    <t>ORD-10041</t>
  </si>
  <si>
    <t>ORD-10042</t>
  </si>
  <si>
    <t>ORD-10043</t>
  </si>
  <si>
    <t>ORD-10044</t>
  </si>
  <si>
    <t>ORD-10045</t>
  </si>
  <si>
    <t>ORD-10046</t>
  </si>
  <si>
    <t>ORD-10047</t>
  </si>
  <si>
    <t>ORD-10048</t>
  </si>
  <si>
    <t>OfficeSource Nigeria</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</si>
  <si>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</si>
  <si>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</si>
  <si>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</si>
  <si>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</si>
  <si>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</si>
  <si>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</si>
  <si>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</si>
  <si>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</si>
  <si>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</si>
  <si>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</si>
  <si>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</si>
  <si>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</si>
  <si>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</si>
  <si>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</si>
  <si>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</si>
  <si>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</si>
  <si>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</si>
  <si>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</si>
  <si>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</si>
  <si>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</si>
  <si>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</si>
  <si>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</si>
  <si>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</si>
  <si>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</si>
  <si>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</si>
  <si>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</si>
  <si>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</si>
  <si>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</si>
  <si>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</si>
  <si>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</si>
  <si>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</si>
  <si>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</si>
  <si>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</si>
  <si>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</si>
  <si>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</si>
  <si>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</si>
  <si>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</si>
  <si>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</si>
  <si>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</si>
  <si>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</si>
  <si>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</si>
  <si>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</si>
  <si>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</si>
  <si>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</si>
  <si>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</si>
  <si>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</si>
  <si>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</si>
  <si>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</si>
  <si>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</si>
  <si>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</si>
  <si>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</si>
  <si>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</si>
  <si>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</si>
  <si>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</si>
  <si>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</si>
  <si>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</si>
  <si>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</si>
  <si>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</si>
  <si>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</si>
  <si>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</si>
  <si>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</si>
  <si>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</si>
  <si>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</si>
  <si>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</si>
  <si>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</si>
  <si>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</si>
  <si>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</si>
  <si>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</si>
  <si>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</si>
  <si>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</si>
  <si>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</si>
  <si>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</si>
  <si>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</si>
  <si>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</si>
  <si>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</si>
  <si>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</si>
  <si>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</si>
  <si>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</si>
  <si>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</si>
  <si>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</si>
  <si>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</si>
  <si>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</si>
  <si>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</si>
  <si>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</si>
  <si>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</si>
  <si>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</si>
  <si>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</si>
  <si>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</si>
  <si>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</si>
  <si>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</si>
  <si>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</si>
  <si>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</si>
  <si>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</si>
  <si>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</si>
  <si>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</si>
  <si>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</si>
  <si>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</si>
  <si>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</si>
  <si>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</si>
  <si>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</si>
  <si>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</si>
  <si>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</si>
  <si>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</si>
  <si>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</si>
  <si>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</si>
  <si>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</si>
  <si>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</si>
  <si>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</si>
  <si>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</si>
  <si>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</si>
  <si>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</si>
  <si>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</si>
  <si>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</si>
  <si>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</si>
  <si>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</si>
  <si>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</si>
  <si>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</si>
  <si>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</si>
  <si>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</si>
  <si>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</si>
  <si>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</si>
  <si>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</si>
  <si>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</si>
  <si>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</si>
  <si>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</si>
  <si>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</si>
  <si>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</si>
  <si>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</si>
  <si>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</si>
  <si>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</si>
  <si>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</si>
  <si>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</si>
  <si>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</si>
  <si>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</si>
  <si>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</si>
  <si>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</si>
  <si>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</si>
  <si>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</si>
  <si>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</si>
  <si>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</si>
  <si>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</si>
  <si>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</si>
  <si>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</si>
  <si>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</si>
  <si>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</si>
  <si>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</si>
  <si>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</si>
  <si>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</si>
  <si>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</si>
  <si>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</si>
  <si>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</si>
  <si>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</si>
  <si>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</si>
  <si>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</si>
  <si>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</si>
  <si>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</si>
  <si>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</si>
  <si>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</si>
  <si>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</si>
  <si>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</si>
  <si>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</si>
  <si>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</si>
  <si>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</si>
  <si>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</si>
  <si>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</si>
  <si>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</si>
  <si>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</si>
  <si>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</si>
  <si>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</si>
  <si>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</si>
  <si>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</si>
  <si>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</si>
  <si>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</si>
  <si>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</si>
  <si>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</si>
  <si>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</si>
  <si>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</si>
  <si>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</si>
  <si>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</si>
  <si>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</si>
  <si>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</si>
  <si>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</si>
  <si>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</si>
  <si>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</si>
  <si>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</si>
  <si>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</si>
  <si>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</si>
  <si>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</si>
  <si>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</si>
  <si>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</si>
  <si>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</si>
  <si>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</si>
  <si>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</si>
  <si>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</si>
  <si>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</si>
  <si>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</si>
  <si>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</si>
  <si>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</si>
  <si>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</si>
  <si>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</si>
  <si>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</si>
  <si>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</si>
  <si>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</si>
  <si>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</si>
  <si>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</si>
  <si>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</si>
  <si>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</si>
  <si>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</si>
  <si>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</si>
  <si>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</si>
  <si>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</si>
  <si>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</si>
  <si>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</si>
  <si>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</si>
  <si>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</si>
  <si>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</si>
  <si>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</si>
  <si>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</si>
  <si>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</si>
  <si>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</si>
  <si>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</si>
  <si>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</si>
  <si>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</si>
  <si>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</si>
  <si>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</si>
  <si>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</si>
  <si>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</si>
  <si>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</si>
  <si>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</si>
  <si>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</si>
  <si>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</si>
  <si>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</si>
  <si>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</si>
  <si>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</si>
  <si>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</si>
  <si>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</si>
  <si>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</si>
  <si>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</si>
  <si>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</si>
  <si>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</si>
  <si>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</si>
  <si>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</si>
  <si>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</si>
  <si>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</si>
  <si>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</si>
  <si>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</si>
  <si>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</si>
  <si>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</si>
  <si>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</si>
  <si>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</si>
  <si>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</si>
  <si>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</si>
  <si>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</si>
  <si>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</si>
  <si>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</si>
  <si>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</si>
  <si>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</si>
  <si>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</si>
  <si>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</si>
  <si>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</si>
  <si>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</si>
  <si>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</si>
  <si>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</si>
  <si>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</si>
  <si>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</si>
  <si>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</si>
  <si>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</si>
  <si>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</si>
  <si>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</si>
  <si>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</si>
  <si>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</si>
  <si>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</si>
  <si>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</si>
  <si>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</si>
  <si>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</si>
  <si>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</si>
  <si>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</si>
  <si>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</si>
  <si>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</si>
  <si>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</si>
  <si>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</si>
  <si>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</si>
  <si>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</si>
  <si>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</si>
  <si>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</si>
  <si>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</si>
  <si>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</si>
  <si>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</si>
  <si>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</si>
  <si>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</si>
  <si>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</si>
  <si>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</si>
  <si>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</si>
  <si>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</si>
  <si>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</si>
  <si>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</si>
  <si>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</si>
  <si>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</si>
  <si>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</si>
  <si>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</si>
  <si>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</si>
  <si>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</si>
  <si>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</si>
  <si>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</si>
  <si>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</si>
  <si>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</si>
  <si>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</si>
  <si>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</si>
  <si>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</si>
  <si>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</si>
  <si>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</si>
  <si>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</si>
  <si>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</si>
  <si>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</si>
  <si>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</si>
  <si>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</si>
  <si>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</si>
  <si>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</si>
  <si>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</si>
  <si>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</si>
  <si>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</si>
  <si>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</si>
  <si>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</si>
  <si>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</si>
  <si>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</si>
  <si>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</si>
  <si>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</si>
  <si>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</si>
  <si>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</si>
  <si>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</si>
  <si>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</si>
  <si>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</si>
  <si>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</si>
  <si>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</si>
  <si>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</si>
  <si>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</si>
  <si>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</si>
  <si>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</si>
  <si>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</si>
  <si>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</si>
  <si>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</si>
  <si>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</si>
  <si>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</si>
  <si>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</si>
  <si>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</si>
  <si>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</si>
  <si>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</si>
  <si>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</si>
  <si>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</si>
  <si>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</si>
  <si>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</si>
  <si>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</si>
  <si>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</si>
  <si>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</si>
  <si>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</si>
  <si>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</si>
  <si>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</si>
  <si>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</si>
  <si>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</si>
  <si>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</si>
  <si>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</si>
  <si>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</si>
  <si>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</si>
  <si>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</si>
  <si>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</si>
  <si>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</si>
  <si>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</si>
  <si>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</si>
  <si>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</si>
  <si>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</si>
  <si>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</si>
  <si>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</si>
  <si>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</si>
  <si>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</si>
  <si>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</si>
  <si>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</si>
  <si>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</si>
  <si>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</si>
  <si>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</si>
  <si>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</si>
  <si>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</si>
  <si>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</si>
  <si>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</si>
  <si>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</si>
  <si>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</si>
  <si>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</si>
  <si>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</si>
  <si>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</si>
  <si>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</si>
  <si>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</si>
  <si>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</si>
  <si>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</si>
  <si>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</si>
  <si>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</si>
  <si>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</si>
  <si>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</si>
  <si>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</si>
  <si>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</si>
  <si>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</si>
  <si>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</si>
  <si>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</si>
  <si>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</si>
  <si>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</si>
  <si>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</si>
  <si>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</si>
  <si>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</si>
  <si>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</si>
  <si>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</si>
  <si>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</si>
  <si>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</si>
  <si>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</si>
  <si>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</si>
  <si>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</si>
  <si>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</si>
  <si>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</si>
  <si>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</si>
  <si>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</si>
  <si>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</si>
  <si>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</si>
  <si>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</si>
  <si>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</si>
  <si>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</si>
  <si>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</si>
  <si>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</si>
  <si>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</si>
  <si>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</si>
  <si>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</si>
  <si>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</si>
  <si>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</si>
  <si>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</si>
  <si>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</si>
  <si>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</si>
  <si>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</si>
  <si>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</si>
  <si>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</si>
  <si>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</si>
  <si>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</si>
  <si>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</si>
  <si>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</si>
  <si>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</si>
  <si>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</si>
  <si>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</si>
  <si>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</si>
  <si>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</si>
  <si>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</si>
  <si>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</si>
  <si>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</si>
  <si>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</si>
  <si>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</si>
  <si>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</si>
  <si>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</si>
  <si>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</si>
  <si>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</si>
  <si>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</si>
  <si>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</si>
  <si>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</si>
  <si>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</si>
  <si>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</si>
  <si>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</si>
  <si>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</si>
  <si>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</si>
  <si>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</si>
  <si>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</si>
  <si>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</si>
  <si>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</si>
  <si>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</si>
  <si>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</si>
  <si>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</si>
  <si>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</si>
  <si>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</si>
  <si>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</si>
  <si>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</si>
  <si>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</si>
  <si>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</si>
  <si>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</si>
  <si>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</si>
  <si>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</si>
  <si>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</si>
  <si>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</si>
  <si>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</si>
  <si>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</si>
  <si>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</si>
  <si>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</si>
  <si>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</si>
  <si>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</si>
  <si>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</si>
  <si>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</si>
  <si>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</si>
  <si>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</si>
  <si>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</si>
  <si>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</si>
  <si>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</si>
  <si>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</si>
  <si>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</si>
  <si>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</si>
  <si>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</si>
  <si>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</si>
  <si>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</si>
  <si>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</si>
  <si>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</si>
  <si>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</si>
  <si>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</si>
  <si>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</si>
  <si>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</si>
  <si>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</si>
  <si>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</si>
  <si>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</si>
  <si>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</si>
  <si>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</si>
  <si>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</si>
  <si>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</si>
  <si>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</si>
  <si>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</si>
  <si>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</si>
  <si>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</si>
  <si>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</si>
  <si>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</si>
  <si>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</si>
  <si>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</si>
  <si>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</si>
  <si>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</si>
  <si>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</si>
  <si>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</si>
  <si>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</si>
  <si>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</si>
  <si>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</si>
  <si>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</si>
  <si>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</si>
  <si>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</si>
  <si>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</si>
  <si>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</si>
  <si>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</si>
  <si>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</si>
  <si>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</si>
  <si>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</si>
  <si>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</si>
  <si>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</si>
  <si>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</si>
  <si>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</si>
  <si>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</si>
  <si>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</si>
  <si>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</si>
  <si>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</si>
  <si>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</si>
  <si>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</si>
  <si>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</si>
  <si>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</si>
  <si>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</si>
  <si>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</si>
  <si>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</si>
  <si>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</si>
  <si>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</si>
  <si>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</si>
  <si>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</si>
  <si>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</si>
  <si>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</si>
  <si>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</si>
  <si>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</si>
  <si>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</si>
  <si>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</si>
  <si>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</si>
  <si>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</si>
  <si>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</si>
  <si>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</si>
  <si>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</si>
  <si>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</si>
  <si>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</si>
  <si>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</si>
  <si>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</si>
  <si>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</si>
  <si>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</si>
  <si>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</si>
  <si>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</si>
  <si>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</si>
  <si>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</si>
  <si>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</si>
  <si>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</si>
  <si>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</si>
  <si>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</si>
  <si>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</si>
  <si>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</si>
  <si>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</si>
  <si>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</si>
  <si>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</si>
  <si>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</si>
  <si>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</si>
  <si>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</si>
  <si>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</si>
  <si>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</si>
  <si>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</si>
  <si>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</si>
  <si>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</si>
  <si>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</si>
  <si>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</si>
  <si>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</si>
  <si>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</si>
  <si>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</si>
  <si>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</si>
  <si>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</si>
  <si>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</si>
  <si>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</si>
  <si>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</si>
  <si>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</si>
  <si>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</si>
  <si>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</si>
  <si>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</si>
  <si>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</si>
  <si>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</si>
  <si>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</si>
  <si>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</si>
  <si>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</si>
  <si>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</si>
  <si>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</si>
  <si>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</si>
  <si>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</si>
  <si>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</si>
  <si>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</si>
  <si>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</si>
  <si>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</si>
  <si>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</si>
  <si>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</si>
  <si>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</si>
  <si>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</si>
  <si>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</si>
  <si>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</si>
  <si>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</si>
  <si>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</si>
  <si>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</si>
  <si>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</si>
  <si>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</si>
  <si>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</si>
  <si>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</si>
  <si>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</si>
  <si>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</si>
  <si>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</si>
  <si>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</si>
  <si>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</si>
  <si>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</si>
  <si>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</si>
  <si>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</si>
  <si>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</si>
  <si>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</si>
  <si>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</si>
  <si>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</si>
  <si>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</si>
  <si>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</si>
  <si>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</si>
  <si>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</si>
  <si>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</si>
  <si>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</si>
  <si>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</si>
  <si>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</si>
  <si>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</si>
  <si>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</si>
  <si>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</si>
  <si>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</si>
  <si>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</si>
  <si>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</si>
  <si>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</si>
  <si>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</si>
  <si>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</si>
  <si>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</si>
  <si>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</si>
  <si>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</si>
  <si>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</si>
  <si>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</si>
  <si>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</si>
  <si>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</si>
  <si>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</si>
  <si>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</si>
  <si>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</si>
  <si>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</si>
  <si>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</si>
  <si>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</si>
  <si>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</si>
  <si>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</si>
  <si>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</si>
  <si>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</si>
  <si>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</si>
  <si>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</si>
  <si>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</si>
  <si>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</si>
  <si>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</si>
  <si>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</si>
  <si>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</si>
  <si>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</si>
  <si>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</si>
  <si>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</si>
  <si>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</si>
  <si>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</si>
  <si>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</si>
  <si>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</si>
  <si>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</si>
  <si>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</si>
  <si>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</si>
  <si>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</si>
  <si>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</si>
  <si>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</si>
  <si>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</si>
  <si>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</si>
  <si>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</si>
  <si>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</si>
  <si>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</si>
  <si>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</si>
  <si>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</si>
  <si>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</si>
  <si>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</si>
  <si>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</si>
  <si>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</si>
  <si>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</si>
  <si>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</si>
  <si>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</si>
  <si>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</si>
  <si>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</si>
  <si>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</si>
  <si>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</si>
  <si>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</si>
  <si>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</si>
  <si>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</si>
  <si>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</si>
  <si>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</si>
  <si>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</si>
  <si>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</si>
  <si>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</si>
  <si>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</si>
  <si>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</si>
  <si>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</si>
  <si>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</si>
  <si>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</si>
  <si>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</si>
  <si>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</si>
  <si>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</si>
  <si>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</si>
  <si>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</si>
  <si>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</si>
  <si>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</si>
  <si>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</si>
  <si>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</si>
  <si>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</si>
  <si>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</si>
  <si>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</si>
  <si>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</si>
  <si>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</si>
  <si>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</si>
  <si>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</si>
  <si>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</si>
  <si>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</si>
  <si>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</si>
  <si>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</si>
  <si>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</si>
  <si>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</si>
  <si>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</si>
  <si>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</si>
  <si>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</si>
  <si>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</si>
  <si>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</si>
  <si>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</si>
  <si>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</si>
  <si>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</si>
  <si>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</si>
  <si>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</si>
  <si>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</si>
  <si>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</si>
  <si>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</si>
  <si>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</si>
  <si>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</si>
  <si>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</si>
  <si>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</si>
  <si>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</si>
  <si>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</si>
  <si>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</si>
  <si>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</si>
  <si>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</si>
  <si>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</si>
  <si>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</si>
  <si>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</si>
  <si>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</si>
  <si>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</si>
  <si>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</si>
  <si>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</si>
  <si>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</si>
  <si>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</si>
  <si>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</si>
  <si>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</si>
  <si>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</si>
  <si>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</si>
  <si>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</si>
  <si>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</si>
  <si>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</si>
  <si>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</si>
  <si>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</si>
  <si>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</si>
  <si>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</si>
  <si>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</si>
  <si>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</si>
  <si>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</si>
  <si>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</si>
  <si>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</si>
  <si>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</si>
  <si>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</si>
  <si>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</si>
  <si>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</si>
  <si>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</si>
  <si>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</si>
  <si>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</si>
  <si>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</si>
  <si>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</si>
  <si>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</si>
  <si>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</si>
  <si>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</si>
  <si>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</si>
  <si>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</si>
  <si>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</si>
  <si>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</si>
  <si>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</si>
  <si>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</si>
  <si>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</si>
  <si>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</si>
  <si>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</si>
  <si>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</si>
  <si>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</si>
  <si>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</si>
  <si>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</si>
  <si>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</si>
  <si>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</si>
  <si>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</si>
  <si>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</si>
  <si>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</si>
  <si>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</si>
  <si>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</si>
  <si>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</si>
  <si>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</si>
  <si>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</si>
  <si>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</si>
  <si>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</si>
  <si>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</si>
  <si>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</si>
  <si>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</si>
  <si>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</si>
  <si>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</si>
  <si>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</si>
  <si>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</si>
  <si>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</si>
  <si>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</si>
  <si>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</si>
  <si>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</si>
  <si>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</si>
  <si>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</si>
  <si>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</si>
  <si>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</si>
  <si>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</si>
  <si>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</si>
  <si>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</si>
  <si>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</si>
  <si>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</si>
  <si>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</si>
  <si>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</si>
  <si>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</si>
  <si>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</si>
  <si>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</si>
  <si>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</si>
  <si>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</si>
  <si>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</si>
  <si>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</si>
  <si>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</si>
  <si>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</si>
  <si>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</si>
  <si>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</si>
  <si>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</si>
  <si>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</si>
  <si>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</si>
  <si>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</si>
  <si>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</si>
  <si>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</si>
  <si>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</si>
  <si>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</si>
  <si>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</si>
  <si>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</si>
  <si>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</si>
  <si>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</si>
  <si>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</si>
  <si>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</si>
  <si>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</si>
  <si>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</si>
  <si>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</si>
  <si>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</si>
  <si>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</si>
  <si>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</si>
  <si>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</si>
  <si>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</si>
  <si>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</si>
  <si>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</si>
  <si>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</si>
  <si>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</si>
  <si>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</si>
  <si>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</si>
  <si>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</si>
  <si>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</si>
  <si>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</si>
  <si>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</si>
  <si>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</si>
  <si>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</si>
  <si>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</si>
  <si>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</si>
  <si>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</si>
  <si>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</si>
  <si>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</si>
  <si>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</si>
  <si>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</si>
  <si>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</si>
  <si>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</si>
  <si>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</si>
  <si>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</si>
  <si>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</si>
  <si>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</si>
  <si>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</si>
  <si>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</si>
  <si>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</si>
  <si>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</si>
  <si>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</si>
  <si>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</si>
  <si>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</si>
  <si>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</si>
  <si>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</si>
  <si>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</si>
  <si>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</si>
  <si>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</si>
  <si>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</si>
  <si>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</si>
  <si>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</si>
  <si>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</si>
  <si>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</si>
  <si>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</si>
  <si>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</si>
  <si>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</si>
  <si>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</si>
  <si>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</si>
  <si>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</si>
  <si>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</si>
  <si>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</si>
  <si>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</si>
  <si>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</si>
  <si>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</si>
  <si>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</si>
  <si>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</si>
  <si>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</si>
  <si>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</si>
  <si>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</si>
  <si>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</si>
  <si>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</si>
  <si>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</si>
  <si>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</si>
  <si>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</si>
  <si>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</si>
  <si>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</si>
  <si>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</si>
  <si>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</si>
  <si>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</si>
  <si>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</si>
  <si>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</si>
  <si>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</si>
  <si>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</si>
  <si>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</si>
  <si>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</si>
  <si>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</si>
  <si>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</si>
  <si>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</si>
  <si>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</si>
  <si>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</si>
  <si>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</si>
  <si>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</si>
  <si>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</si>
  <si>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</si>
  <si>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</si>
  <si>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</si>
  <si>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</si>
  <si>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</si>
  <si>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</si>
  <si>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</si>
  <si>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</si>
  <si>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</si>
  <si>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</si>
  <si>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</si>
  <si>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</si>
  <si>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</si>
  <si>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</si>
  <si>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</si>
  <si>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</si>
  <si>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</si>
  <si>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</si>
  <si>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</si>
  <si>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</si>
  <si>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</si>
  <si>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</si>
  <si>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</si>
  <si>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</si>
  <si>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</si>
  <si>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</si>
  <si>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</si>
  <si>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</si>
  <si>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</si>
  <si>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</si>
  <si>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</si>
  <si>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</si>
  <si>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</si>
  <si>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</si>
  <si>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</si>
  <si>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</si>
  <si>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</si>
  <si>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</si>
  <si>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</si>
  <si>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</si>
  <si>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</si>
  <si>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</si>
  <si>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</si>
  <si>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</si>
  <si>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</si>
  <si>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</si>
  <si>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</si>
  <si>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</si>
  <si>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</si>
  <si>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</si>
  <si>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</si>
  <si>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</si>
  <si>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</si>
  <si>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</si>
  <si>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</si>
  <si>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</si>
  <si>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</si>
  <si>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</si>
  <si>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</si>
  <si>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</si>
  <si>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</si>
  <si>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</si>
  <si>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</si>
  <si>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</si>
  <si>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</si>
  <si>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</si>
  <si>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</si>
  <si>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</si>
  <si>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</si>
  <si>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</si>
  <si>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</si>
  <si>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</si>
  <si>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</si>
  <si>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</si>
  <si>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</si>
  <si>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</si>
  <si>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</si>
  <si>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</si>
  <si>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</si>
  <si>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</si>
  <si>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</si>
  <si>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</si>
  <si>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</si>
  <si>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</si>
  <si>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</si>
  <si>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</si>
  <si>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</si>
  <si>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</si>
  <si>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</si>
  <si>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</si>
  <si>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</si>
  <si>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</si>
  <si>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</si>
  <si>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</si>
  <si>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</si>
  <si>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</si>
  <si>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</si>
  <si>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</si>
  <si>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</si>
  <si>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</si>
  <si>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</si>
  <si>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</si>
  <si>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</si>
  <si>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</si>
  <si>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</si>
  <si>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</si>
  <si>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</si>
  <si>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</si>
  <si>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</si>
  <si>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</si>
  <si>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</si>
  <si>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</si>
  <si>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</si>
  <si>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</si>
  <si>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</si>
  <si>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</si>
  <si>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</si>
  <si>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</si>
  <si>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</si>
  <si>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</si>
  <si>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</si>
  <si>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</si>
  <si>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</si>
  <si>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</si>
  <si>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</si>
  <si>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</si>
  <si>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</si>
  <si>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</si>
  <si>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</si>
  <si>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</si>
  <si>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</si>
  <si>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</si>
  <si>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</si>
  <si>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</si>
  <si>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</si>
  <si>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</si>
  <si>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</si>
  <si>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</si>
  <si>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</si>
  <si>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</si>
  <si>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</si>
  <si>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</si>
  <si>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</si>
  <si>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</si>
  <si>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</si>
  <si>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</si>
  <si>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</si>
  <si>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</si>
  <si>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</si>
  <si>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</si>
  <si>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</si>
  <si>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</si>
  <si>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</si>
  <si>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</si>
  <si>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</si>
  <si>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</si>
  <si>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</si>
  <si>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</si>
  <si>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</si>
  <si>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</si>
  <si>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</si>
  <si>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</si>
  <si>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</si>
  <si>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</si>
  <si>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</si>
  <si>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</si>
  <si>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</si>
  <si>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</si>
  <si>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</si>
  <si>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</si>
  <si>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</si>
  <si>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</si>
  <si>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</si>
  <si>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</si>
  <si>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</si>
  <si>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</si>
  <si>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</si>
  <si>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</si>
  <si>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</si>
  <si>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</si>
  <si>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</si>
  <si>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</si>
  <si>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</si>
  <si>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</si>
  <si>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</si>
  <si>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</si>
  <si>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</si>
  <si>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</si>
  <si>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</si>
  <si>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</si>
  <si>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</si>
  <si>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</si>
  <si>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</si>
  <si>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</si>
  <si>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</si>
  <si>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</si>
  <si>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</si>
  <si>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</si>
  <si>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</si>
  <si>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</si>
  <si>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</si>
  <si>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</si>
  <si>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</si>
  <si>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</si>
  <si>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</si>
  <si>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</si>
  <si>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</si>
  <si>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</si>
  <si>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</si>
  <si>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</si>
  <si>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</si>
  <si>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</si>
  <si>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</si>
  <si>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</si>
  <si>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</si>
  <si>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</si>
  <si>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</si>
  <si>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</si>
  <si>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</si>
  <si>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</si>
  <si>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</si>
  <si>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</si>
  <si>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</si>
  <si>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</si>
  <si>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</si>
  <si>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</si>
  <si>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</si>
  <si>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</si>
  <si>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</si>
  <si>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</si>
  <si>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</si>
  <si>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</si>
  <si>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</si>
  <si>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</si>
  <si>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</si>
  <si>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</si>
  <si>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</si>
  <si>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</si>
  <si>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</si>
  <si>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</si>
  <si>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</si>
  <si>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</si>
  <si>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</si>
  <si>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</si>
  <si>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</si>
  <si>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</si>
  <si>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</si>
  <si>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</si>
  <si>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</si>
  <si>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</si>
  <si>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</si>
  <si>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</si>
  <si>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</si>
  <si>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</si>
  <si>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</si>
  <si>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</si>
  <si>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</si>
  <si>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</si>
  <si>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</si>
  <si>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</si>
  <si>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</si>
  <si>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</si>
  <si>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</si>
  <si>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</si>
  <si>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</si>
  <si>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</si>
  <si>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</si>
  <si>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</si>
  <si>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</si>
  <si>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</si>
  <si>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</si>
  <si>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</si>
  <si>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</si>
  <si>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</si>
  <si>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</si>
  <si>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</si>
  <si>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</si>
  <si>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</si>
  <si>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</si>
  <si>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</si>
  <si>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</si>
  <si>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</si>
  <si>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</si>
  <si>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</si>
  <si>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</si>
  <si>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</si>
  <si>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</si>
  <si>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</si>
  <si>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</si>
  <si>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</si>
  <si>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</si>
  <si>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</si>
  <si>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</si>
  <si>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</si>
  <si>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</si>
  <si>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</si>
  <si>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</si>
  <si>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</si>
  <si>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</si>
  <si>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</si>
  <si>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</si>
  <si>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</si>
  <si>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</si>
  <si>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</si>
  <si>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</si>
  <si>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</si>
  <si>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</si>
  <si>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</si>
  <si>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</si>
  <si>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</si>
  <si>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</si>
  <si>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</si>
  <si>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</si>
  <si>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</si>
  <si>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</si>
  <si>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</si>
  <si>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</si>
  <si>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</si>
  <si>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</si>
  <si>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</si>
  <si>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</si>
  <si>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</si>
  <si>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</si>
  <si>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</si>
  <si>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</si>
  <si>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</si>
  <si>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</si>
  <si>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</si>
  <si>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</si>
  <si>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</si>
  <si>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</si>
  <si>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</si>
  <si>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</si>
  <si>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</si>
  <si>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</si>
  <si>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</si>
  <si>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</si>
  <si>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</si>
  <si>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</si>
  <si>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</si>
  <si>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</si>
  <si>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</si>
  <si>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</si>
  <si>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</si>
  <si>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</si>
  <si>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</si>
  <si>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</si>
  <si>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</si>
  <si>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</si>
  <si>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</si>
  <si>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</si>
  <si>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</si>
  <si>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</si>
  <si>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</si>
  <si>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</si>
  <si>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</si>
  <si>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</si>
  <si>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</si>
  <si>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</si>
  <si>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</si>
  <si>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</si>
  <si>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</si>
  <si>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</si>
  <si>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</si>
  <si>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</si>
  <si>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</si>
  <si>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</si>
  <si>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</si>
  <si>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</si>
  <si>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</si>
  <si>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</si>
  <si>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</si>
  <si>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</si>
  <si>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</si>
  <si>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</si>
  <si>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</si>
  <si>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</si>
  <si>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</si>
  <si>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</si>
  <si>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</si>
  <si>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</si>
  <si>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</si>
  <si>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</si>
  <si>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</si>
  <si>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</si>
  <si>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</si>
  <si>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</si>
  <si>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</si>
  <si>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</si>
  <si>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</si>
  <si>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</si>
  <si>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</si>
  <si>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</si>
  <si>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</si>
  <si>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</si>
  <si>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</si>
  <si>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</si>
  <si>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</si>
  <si>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</si>
  <si>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</si>
  <si>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</si>
  <si>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</si>
  <si>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</si>
  <si>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</si>
  <si>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</si>
  <si>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</si>
  <si>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</si>
  <si>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</si>
  <si>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</si>
  <si>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</si>
  <si>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</si>
  <si>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</si>
  <si>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</si>
  <si>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</si>
  <si>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</si>
  <si>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</si>
  <si>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</si>
  <si>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</si>
  <si>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</si>
  <si>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</si>
  <si>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</si>
  <si>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</si>
  <si>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</si>
  <si>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</si>
  <si>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</si>
  <si>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</si>
  <si>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</si>
  <si>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</si>
  <si>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</si>
  <si>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</si>
  <si>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</si>
  <si>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</si>
  <si>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</si>
  <si>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</si>
  <si>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</si>
  <si>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</si>
  <si>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</si>
  <si>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</si>
  <si>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</si>
  <si>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</si>
  <si>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</si>
  <si>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</si>
  <si>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</si>
  <si>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</si>
  <si>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</si>
  <si>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</si>
  <si>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</si>
  <si>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</si>
  <si>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</si>
  <si>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</si>
  <si>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</si>
  <si>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</si>
  <si>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</si>
  <si>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</si>
  <si>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</si>
  <si>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</si>
  <si>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</si>
  <si>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</si>
  <si>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</si>
  <si>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</si>
  <si>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</si>
  <si>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</si>
  <si>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</si>
  <si>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</si>
  <si>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</si>
  <si>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</si>
  <si>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</si>
  <si>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</si>
  <si>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</si>
  <si>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</si>
  <si>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</si>
  <si>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</si>
  <si>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</si>
  <si>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</si>
  <si>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</si>
  <si>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</si>
  <si>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</si>
  <si>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</si>
  <si>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</si>
  <si>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</si>
  <si>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</si>
  <si>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</si>
  <si>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</si>
  <si>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</si>
  <si>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</si>
  <si>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</si>
  <si>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</si>
  <si>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</si>
  <si>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</si>
  <si>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</si>
  <si>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</si>
  <si>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</si>
  <si>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</si>
  <si>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</si>
  <si>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</si>
  <si>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</si>
  <si>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</si>
  <si>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</si>
  <si>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</si>
  <si>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</si>
  <si>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</si>
  <si>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</si>
  <si>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</si>
  <si>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</si>
  <si>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</si>
  <si>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</si>
  <si>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</si>
  <si>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</si>
  <si>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</si>
  <si>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</si>
  <si>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</si>
  <si>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</si>
  <si>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</si>
  <si>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</si>
  <si>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</si>
  <si>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</si>
  <si>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</si>
  <si>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</si>
  <si>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</si>
  <si>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</si>
  <si>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</si>
  <si>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</si>
  <si>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</si>
  <si>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</si>
  <si>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</si>
  <si>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</si>
  <si>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</si>
  <si>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</si>
  <si>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</si>
  <si>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</si>
  <si>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</si>
  <si>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</si>
  <si>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</si>
  <si>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</si>
  <si>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</si>
  <si>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</si>
  <si>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</si>
  <si>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</si>
  <si>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</si>
  <si>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</si>
  <si>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</si>
  <si>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</si>
  <si>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</si>
  <si>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</si>
  <si>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</si>
  <si>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</si>
  <si>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</si>
  <si>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</si>
  <si>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</si>
  <si>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</si>
  <si>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</si>
  <si>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</si>
  <si>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</si>
  <si>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</si>
  <si>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</si>
  <si>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</si>
  <si>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</si>
  <si>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</si>
  <si>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</si>
  <si>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</si>
  <si>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</si>
  <si>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</si>
  <si>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</si>
  <si>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</si>
  <si>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</si>
  <si>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</si>
  <si>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</si>
  <si>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</si>
  <si>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</si>
  <si>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</si>
  <si>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</si>
  <si>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</si>
  <si>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</si>
  <si>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</si>
  <si>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</si>
  <si>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</si>
  <si>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</si>
  <si>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</si>
  <si>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</si>
  <si>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</si>
  <si>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</si>
  <si>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</si>
  <si>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</si>
  <si>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</si>
  <si>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</si>
  <si>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</si>
  <si>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</si>
  <si>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</si>
  <si>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</si>
  <si>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</si>
  <si>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</si>
  <si>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</si>
  <si>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</si>
  <si>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</si>
  <si>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</si>
  <si>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</si>
  <si>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</si>
  <si>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</si>
  <si>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</si>
  <si>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</si>
  <si>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</si>
  <si>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</si>
  <si>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</si>
  <si>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</si>
  <si>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</si>
  <si>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</si>
  <si>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</si>
  <si>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</si>
  <si>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</si>
  <si>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</si>
  <si>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</si>
  <si>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</si>
  <si>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</si>
  <si>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</si>
  <si>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</si>
  <si>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</si>
  <si>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</si>
  <si>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</si>
  <si>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</si>
  <si>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</si>
  <si>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</si>
  <si>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</si>
  <si>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</si>
  <si>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</si>
  <si>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</si>
  <si>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</si>
  <si>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</si>
  <si>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</si>
  <si>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</si>
  <si>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</si>
  <si>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</si>
  <si>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</si>
  <si>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</si>
  <si>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</si>
  <si>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</si>
  <si>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</si>
  <si>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</si>
  <si>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</si>
  <si>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</si>
  <si>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</si>
  <si>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</si>
  <si>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</si>
  <si>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</si>
  <si>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</si>
  <si>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</si>
  <si>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</si>
  <si>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</si>
  <si>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</si>
  <si>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</si>
  <si>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</si>
  <si>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</si>
  <si>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</si>
  <si>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</si>
  <si>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</si>
  <si>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</si>
  <si>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</si>
  <si>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</si>
  <si>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</si>
  <si>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</si>
  <si>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</si>
  <si>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</si>
  <si>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</si>
  <si>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</si>
  <si>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</si>
  <si>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</si>
  <si>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</si>
  <si>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</si>
  <si>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</si>
  <si>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</si>
  <si>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</si>
  <si>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</si>
  <si>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</si>
  <si>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</si>
  <si>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</si>
  <si>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</si>
  <si>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</si>
  <si>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</si>
  <si>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</si>
  <si>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</si>
  <si>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</si>
  <si>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</si>
  <si>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</si>
  <si>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</si>
  <si>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</si>
  <si>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</si>
  <si>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</si>
  <si>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</si>
  <si>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</si>
  <si>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</si>
  <si>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</si>
  <si>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</si>
  <si>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</si>
  <si>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</si>
  <si>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</si>
  <si>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</si>
  <si>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</si>
  <si>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</si>
  <si>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</si>
  <si>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</si>
  <si>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</si>
  <si>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</si>
  <si>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</si>
  <si>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</si>
  <si>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</si>
  <si>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</si>
  <si>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</si>
  <si>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</si>
  <si>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</si>
  <si>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</si>
  <si>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</si>
  <si>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</si>
  <si>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</si>
  <si>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</si>
  <si>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</si>
  <si>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</si>
  <si>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</si>
  <si>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</si>
  <si>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</si>
  <si>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</si>
  <si>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</si>
  <si>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</si>
  <si>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</si>
  <si>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</si>
  <si>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</si>
  <si>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</si>
  <si>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</si>
  <si>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</si>
  <si>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</si>
  <si>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</si>
  <si>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</si>
  <si>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</si>
  <si>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</si>
  <si>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</si>
  <si>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</si>
  <si>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</si>
  <si>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</si>
  <si>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</si>
  <si>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</si>
  <si>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</si>
  <si>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</si>
  <si>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</si>
  <si>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</si>
  <si>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</si>
  <si>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</si>
  <si>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</si>
  <si>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</si>
  <si>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</si>
  <si>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</si>
  <si>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</si>
  <si>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</si>
  <si>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</si>
  <si>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</si>
  <si>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</si>
  <si>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</si>
  <si>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</si>
  <si>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</si>
  <si>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</si>
  <si>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</si>
  <si>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</si>
  <si>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</si>
  <si>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</si>
  <si>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</si>
  <si>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</si>
  <si>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</si>
  <si>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</si>
  <si>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</si>
  <si>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</si>
  <si>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</si>
  <si>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</si>
  <si>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</si>
  <si>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</si>
  <si>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</si>
  <si>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</si>
  <si>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</si>
  <si>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</si>
  <si>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</si>
  <si>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</si>
  <si>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</si>
  <si>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</si>
  <si>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</si>
  <si>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</si>
  <si>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</si>
  <si>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</si>
  <si>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</si>
  <si>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</si>
  <si>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</si>
  <si>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</si>
  <si>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</si>
  <si>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</si>
  <si>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</si>
  <si>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</si>
  <si>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</si>
  <si>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</si>
  <si>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</si>
  <si>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</si>
  <si>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</si>
  <si>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</si>
  <si>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</si>
  <si>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</si>
  <si>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</si>
  <si>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</si>
  <si>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</si>
  <si>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</si>
  <si>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</si>
  <si>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</si>
  <si>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</si>
  <si>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</si>
  <si>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</si>
  <si>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</si>
  <si>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</si>
  <si>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</si>
  <si>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</si>
  <si>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</si>
  <si>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</si>
  <si>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</si>
  <si>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</si>
  <si>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</si>
  <si>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</si>
  <si>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</si>
  <si>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</si>
  <si>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</si>
  <si>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</si>
  <si>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</si>
  <si>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</si>
  <si>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</si>
  <si>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</si>
  <si>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</si>
  <si>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</si>
  <si>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</si>
  <si>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</si>
  <si>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</si>
  <si>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</si>
  <si>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</si>
  <si>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</si>
  <si>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</si>
  <si>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</si>
  <si>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</si>
  <si>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</si>
  <si>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</si>
  <si>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</si>
  <si>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</si>
  <si>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</si>
  <si>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</si>
  <si>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</si>
  <si>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</si>
  <si>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</si>
  <si>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</si>
  <si>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</si>
  <si>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</si>
  <si>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</si>
  <si>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</si>
  <si>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</si>
  <si>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</si>
  <si>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</si>
  <si>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</si>
  <si>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</si>
  <si>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</si>
  <si>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</si>
  <si>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</si>
  <si>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</si>
  <si>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</si>
  <si>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</si>
  <si>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</si>
  <si>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</si>
  <si>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</si>
  <si>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</si>
  <si>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</si>
  <si>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</si>
  <si>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</si>
  <si>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</si>
  <si>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</si>
  <si>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</si>
  <si>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</si>
  <si>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</si>
  <si>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</si>
  <si>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</si>
  <si>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</si>
  <si>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</si>
  <si>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</si>
  <si>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</si>
  <si>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</si>
  <si>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</si>
  <si>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</si>
  <si>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</si>
  <si>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</si>
  <si>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</si>
  <si>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</si>
  <si>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</si>
  <si>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</si>
  <si>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</si>
  <si>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</si>
  <si>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</si>
  <si>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</si>
  <si>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</si>
  <si>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</si>
  <si>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</si>
  <si>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</si>
  <si>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</si>
  <si>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</si>
  <si>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</si>
  <si>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</si>
  <si>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</si>
  <si>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</si>
  <si>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</si>
  <si>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</si>
  <si>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</si>
  <si>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</si>
  <si>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</si>
  <si>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</si>
  <si>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</si>
  <si>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</si>
  <si>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</si>
  <si>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</si>
  <si>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</si>
  <si>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</si>
  <si>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</si>
  <si>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</si>
  <si>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</si>
  <si>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</si>
  <si>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</si>
  <si>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</si>
  <si>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</si>
  <si>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</si>
  <si>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</si>
  <si>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</si>
  <si>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</si>
  <si>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</si>
  <si>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</si>
  <si>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</si>
  <si>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</si>
  <si>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</si>
  <si>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</si>
  <si>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</si>
  <si>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</si>
  <si>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</si>
  <si>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</si>
  <si>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</si>
  <si>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</si>
  <si>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</si>
  <si>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</si>
  <si>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</si>
  <si>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</si>
  <si>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</si>
  <si>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</si>
  <si>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</si>
  <si>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</si>
  <si>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</si>
  <si>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</si>
  <si>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</si>
  <si>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</si>
  <si>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</si>
  <si>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</si>
  <si>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</si>
  <si>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</si>
  <si>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</si>
  <si>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</si>
  <si>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</si>
  <si>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</si>
  <si>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</si>
  <si>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</si>
  <si>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</si>
  <si>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</si>
  <si>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</si>
  <si>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</si>
  <si>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</si>
  <si>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</si>
  <si>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</si>
  <si>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</si>
  <si>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</si>
  <si>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</si>
  <si>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</si>
  <si>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</si>
  <si>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</si>
  <si>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</si>
  <si>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</si>
  <si>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</si>
  <si>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</si>
  <si>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</si>
  <si>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</si>
  <si>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</si>
  <si>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</si>
  <si>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</si>
  <si>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</si>
  <si>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</si>
  <si>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</si>
  <si>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</si>
  <si>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</si>
  <si>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</si>
  <si>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</si>
  <si>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</si>
  <si>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</si>
  <si>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</si>
  <si>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</si>
  <si>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</si>
  <si>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</si>
  <si>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</si>
  <si>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</si>
  <si>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</si>
  <si>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</si>
  <si>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</si>
  <si>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</si>
  <si>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</si>
  <si>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</si>
  <si>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</si>
  <si>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</si>
  <si>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</si>
  <si>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</si>
  <si>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</si>
  <si>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</si>
  <si>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</si>
  <si>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</si>
  <si>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</si>
  <si>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</si>
  <si>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</si>
  <si>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</si>
  <si>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</si>
  <si>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</si>
  <si>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</si>
  <si>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</si>
  <si>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</si>
  <si>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</si>
  <si>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</si>
  <si>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</si>
  <si>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</si>
  <si>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</si>
  <si>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</si>
  <si>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</si>
  <si>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</si>
  <si>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</si>
  <si>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</si>
  <si>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</si>
  <si>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</si>
  <si>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</si>
  <si>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</si>
  <si>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</si>
  <si>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</si>
  <si>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</si>
  <si>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</si>
  <si>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</si>
  <si>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</si>
  <si>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</si>
  <si>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</si>
  <si>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</si>
  <si>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</si>
  <si>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</si>
  <si>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</si>
  <si>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</si>
  <si>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</si>
  <si>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</si>
  <si>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</si>
  <si>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</si>
  <si>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</si>
  <si>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</si>
  <si>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</si>
  <si>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</si>
  <si>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</si>
  <si>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</si>
  <si>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</si>
  <si>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</si>
  <si>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</si>
  <si>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</si>
  <si>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</si>
  <si>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</si>
  <si>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</si>
  <si>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</si>
  <si>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</si>
  <si>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</si>
  <si>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</si>
  <si>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</si>
  <si>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</si>
  <si>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</si>
  <si>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</si>
  <si>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</si>
  <si>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</si>
  <si>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</si>
  <si>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</si>
  <si>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</si>
  <si>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</si>
  <si>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</si>
  <si>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</si>
  <si>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</si>
  <si>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</si>
  <si>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</si>
  <si>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</si>
  <si>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</si>
  <si>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</si>
  <si>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</si>
  <si>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</si>
  <si>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</si>
  <si>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</si>
  <si>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</si>
  <si>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</si>
  <si>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</si>
  <si>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</si>
  <si>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</si>
  <si>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</si>
  <si>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</si>
  <si>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</si>
  <si>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</si>
  <si>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</si>
  <si>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</si>
  <si>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</si>
  <si>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</si>
  <si>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</si>
  <si>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</si>
  <si>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</si>
  <si>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</si>
  <si>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</si>
  <si>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</si>
  <si>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</si>
  <si>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</si>
  <si>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</si>
  <si>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</si>
  <si>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</si>
  <si>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</si>
  <si>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</si>
  <si>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</si>
  <si>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</si>
  <si>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</si>
  <si>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</si>
  <si>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</si>
  <si>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</si>
  <si>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</si>
  <si>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</si>
  <si>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</si>
  <si>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</si>
  <si>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</si>
  <si>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</si>
  <si>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</si>
  <si>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</si>
  <si>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</si>
  <si>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</si>
  <si>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</si>
  <si>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</si>
  <si>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</si>
  <si>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</si>
  <si>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</si>
  <si>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</si>
  <si>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</si>
  <si>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</si>
  <si>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</si>
  <si>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</si>
  <si>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</si>
  <si>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</si>
  <si>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</si>
  <si>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</si>
  <si>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</si>
  <si>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</si>
  <si>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</si>
  <si>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</si>
  <si>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</si>
  <si>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</si>
  <si>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</si>
  <si>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</si>
  <si>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</si>
  <si>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</si>
  <si>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</si>
  <si>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</si>
  <si>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</si>
  <si>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</si>
  <si>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</si>
  <si>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</si>
  <si>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</si>
  <si>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</si>
  <si>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</si>
  <si>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</si>
  <si>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</si>
  <si>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</si>
  <si>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</si>
  <si>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</si>
  <si>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</si>
  <si>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</si>
  <si>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</si>
  <si>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</si>
  <si>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</si>
  <si>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</si>
  <si>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</si>
  <si>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</si>
  <si>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</si>
  <si>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</si>
  <si>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</si>
  <si>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</si>
  <si>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</si>
  <si>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</si>
  <si>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</si>
  <si>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</si>
  <si>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</si>
  <si>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</si>
  <si>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</si>
  <si>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</si>
  <si>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</si>
  <si>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</si>
  <si>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</si>
  <si>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</si>
  <si>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</si>
  <si>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</si>
  <si>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</si>
  <si>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</si>
  <si>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</si>
  <si>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</si>
  <si>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</si>
  <si>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</si>
  <si>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</si>
  <si>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</si>
  <si>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</si>
  <si>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</si>
  <si>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</si>
  <si>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</si>
  <si>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</si>
  <si>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</si>
  <si>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</si>
  <si>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</si>
  <si>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</si>
  <si>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</si>
  <si>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</si>
  <si>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</si>
  <si>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</si>
  <si>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</si>
  <si>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</si>
  <si>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</si>
  <si>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</si>
  <si>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</si>
  <si>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</si>
  <si>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</si>
  <si>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</si>
  <si>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</si>
  <si>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</si>
  <si>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</si>
  <si>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</si>
  <si>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</si>
  <si>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</si>
  <si>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</si>
  <si>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</si>
  <si>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</si>
  <si>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</si>
  <si>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</si>
  <si>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</si>
  <si>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</si>
  <si>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</si>
  <si>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</si>
  <si>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</si>
  <si>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</si>
  <si>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</si>
  <si>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</si>
  <si>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</si>
  <si>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</si>
  <si>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</si>
  <si>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</si>
  <si>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</si>
  <si>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</si>
  <si>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</si>
  <si>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</si>
  <si>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</si>
  <si>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</si>
  <si>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</si>
  <si>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</si>
  <si>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</si>
  <si>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</si>
  <si>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</si>
  <si>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</si>
  <si>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</si>
  <si>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</si>
  <si>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</si>
  <si>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</si>
  <si>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</si>
  <si>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</si>
  <si>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</si>
  <si>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</si>
  <si>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</si>
  <si>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</si>
  <si>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</si>
  <si>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</si>
  <si>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</si>
  <si>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</si>
  <si>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</si>
  <si>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</si>
  <si>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</si>
  <si>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</si>
  <si>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</si>
  <si>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</si>
  <si>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</si>
  <si>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</si>
  <si>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</si>
  <si>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</si>
  <si>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</si>
  <si>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</si>
  <si>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</si>
  <si>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</si>
  <si>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</si>
  <si>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</si>
  <si>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</si>
  <si>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</si>
  <si>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</si>
  <si>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</si>
  <si>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</si>
  <si>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</si>
  <si>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</si>
  <si>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</si>
  <si>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</si>
  <si>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</si>
  <si>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</si>
  <si>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</si>
  <si>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</si>
  <si>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</si>
  <si>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</si>
  <si>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</si>
  <si>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</si>
  <si>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</si>
  <si>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</si>
  <si>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</si>
  <si>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</si>
  <si>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</si>
  <si>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</si>
  <si>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</si>
  <si>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</si>
  <si>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</si>
  <si>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</si>
  <si>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</si>
  <si>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</si>
  <si>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</si>
  <si>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</si>
  <si>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</si>
  <si>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</si>
  <si>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</si>
  <si>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</si>
  <si>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</si>
  <si>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</si>
  <si>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</si>
  <si>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</si>
  <si>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</si>
  <si>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</si>
  <si>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</si>
  <si>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</si>
  <si>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</si>
  <si>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</si>
  <si>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</si>
  <si>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</si>
  <si>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</si>
  <si>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</si>
  <si>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</si>
  <si>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</si>
  <si>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</si>
  <si>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</si>
  <si>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</si>
  <si>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</si>
  <si>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</si>
  <si>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</si>
  <si>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</si>
  <si>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</si>
  <si>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</si>
  <si>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</si>
  <si>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</si>
  <si>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</si>
  <si>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</si>
  <si>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</si>
  <si>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</si>
  <si>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</si>
  <si>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</si>
  <si>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</si>
  <si>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</si>
  <si>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</si>
  <si>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</si>
  <si>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</si>
  <si>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</si>
  <si>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</si>
  <si>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</si>
  <si>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</si>
  <si>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</si>
  <si>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</si>
  <si>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</si>
  <si>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</si>
  <si>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</si>
  <si>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</si>
  <si>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</si>
  <si>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</si>
  <si>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</si>
  <si>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</si>
  <si>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</si>
  <si>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</si>
  <si>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</si>
  <si>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</si>
  <si>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</si>
  <si>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</si>
  <si>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</si>
  <si>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</si>
  <si>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</si>
  <si>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</si>
  <si>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</si>
  <si>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</si>
  <si>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</si>
  <si>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</si>
  <si>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</si>
  <si>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</si>
  <si>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</si>
  <si>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</si>
  <si>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</si>
  <si>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</si>
  <si>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</si>
  <si>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</si>
  <si>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</si>
  <si>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</si>
  <si>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</si>
  <si>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</si>
  <si>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</si>
  <si>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</si>
  <si>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</si>
  <si>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</si>
  <si>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</si>
  <si>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</si>
  <si>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</si>
  <si>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</si>
  <si>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</si>
  <si>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</si>
  <si>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</si>
  <si>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</si>
  <si>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</si>
  <si>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</si>
  <si>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</si>
  <si>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</si>
  <si>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</si>
  <si>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</si>
  <si>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</si>
  <si>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</si>
  <si>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</si>
  <si>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</si>
  <si>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</si>
  <si>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</si>
  <si>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</si>
  <si>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</si>
  <si>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</si>
  <si>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</si>
  <si>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</si>
  <si>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</si>
  <si>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</si>
  <si>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</si>
  <si>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</si>
  <si>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</si>
  <si>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</si>
  <si>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</si>
  <si>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</si>
  <si>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</si>
  <si>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</si>
  <si>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</si>
  <si>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</si>
  <si>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</si>
  <si>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</si>
  <si>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</si>
  <si>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</si>
  <si>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</si>
  <si>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</si>
  <si>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</si>
  <si>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</si>
  <si>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</si>
  <si>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</si>
  <si>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</si>
  <si>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</si>
  <si>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</si>
  <si>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</si>
  <si>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</si>
  <si>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</si>
  <si>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</si>
  <si>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</si>
  <si>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</si>
  <si>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</si>
  <si>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</si>
  <si>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</si>
  <si>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</si>
  <si>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</si>
  <si>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</si>
  <si>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</si>
  <si>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</si>
  <si>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</si>
  <si>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</si>
  <si>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</si>
  <si>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</si>
  <si>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</si>
  <si>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</si>
  <si>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</si>
  <si>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</si>
  <si>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</si>
  <si>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</si>
  <si>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</si>
  <si>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</si>
  <si>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</si>
  <si>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</si>
  <si>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</si>
  <si>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</si>
  <si>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</si>
  <si>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</si>
  <si>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</si>
  <si>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</si>
  <si>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</si>
  <si>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</si>
  <si>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</si>
  <si>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</si>
  <si>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</si>
  <si>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</si>
  <si>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</si>
  <si>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</si>
  <si>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</si>
  <si>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</si>
  <si>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</si>
  <si>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</si>
  <si>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</si>
  <si>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</si>
  <si>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</si>
  <si>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</si>
  <si>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</si>
  <si>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</si>
  <si>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</si>
  <si>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</si>
  <si>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</si>
  <si>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</si>
  <si>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</si>
  <si>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</si>
  <si>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</si>
  <si>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</si>
  <si>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</si>
  <si>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</si>
  <si>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</si>
  <si>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</si>
  <si>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</si>
  <si>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</si>
  <si>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</si>
  <si>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</si>
  <si>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</si>
  <si>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</si>
  <si>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</si>
  <si>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</si>
  <si>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</si>
  <si>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</si>
  <si>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</si>
  <si>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</si>
  <si>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</si>
  <si>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</si>
  <si>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</si>
  <si>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</si>
  <si>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</si>
  <si>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</si>
  <si>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</si>
  <si>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</si>
  <si>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</si>
  <si>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</si>
  <si>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</si>
  <si>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</si>
  <si>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</si>
  <si>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</si>
  <si>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</si>
  <si>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</si>
  <si>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</si>
  <si>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</si>
  <si>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</si>
  <si>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</si>
  <si>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</si>
  <si>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</si>
  <si>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</si>
  <si>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</si>
  <si>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</si>
  <si>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</si>
  <si>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</si>
  <si>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</si>
  <si>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</si>
  <si>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</si>
  <si>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</si>
  <si>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</si>
  <si>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</si>
  <si>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</si>
  <si>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</si>
  <si>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</si>
  <si>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</si>
  <si>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</si>
  <si>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</si>
  <si>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</si>
  <si>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</si>
  <si>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</si>
  <si>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</si>
  <si>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</si>
  <si>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</si>
  <si>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</si>
  <si>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</si>
  <si>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</si>
  <si>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</si>
  <si>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</si>
  <si>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</si>
  <si>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</si>
  <si>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</si>
  <si>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</si>
  <si>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</si>
  <si>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</si>
  <si>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</si>
  <si>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</si>
  <si>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</si>
  <si>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</si>
  <si>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</si>
  <si>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</si>
  <si>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</si>
  <si>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</si>
  <si>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</si>
  <si>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</si>
  <si>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</si>
  <si>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</si>
  <si>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</si>
  <si>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</si>
  <si>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</si>
  <si>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</si>
  <si>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</si>
  <si>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</si>
  <si>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</si>
  <si>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</si>
  <si>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</si>
  <si>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</si>
  <si>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</si>
  <si>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</si>
  <si>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</si>
  <si>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</si>
  <si>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</si>
  <si>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</si>
  <si>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</si>
  <si>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</si>
  <si>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</si>
  <si>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</si>
  <si>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</si>
  <si>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</si>
  <si>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</si>
  <si>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</si>
  <si>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</si>
  <si>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</si>
  <si>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</si>
  <si>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</si>
  <si>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</si>
  <si>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</si>
  <si>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</si>
  <si>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</si>
  <si>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</si>
  <si>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</si>
  <si>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</si>
  <si>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</si>
  <si>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</si>
  <si>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</si>
  <si>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</si>
  <si>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</si>
  <si>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</si>
  <si>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</si>
  <si>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</si>
  <si>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</si>
  <si>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</si>
  <si>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</si>
  <si>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</si>
  <si>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</si>
  <si>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</si>
  <si>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</si>
  <si>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</si>
  <si>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</si>
  <si>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</si>
  <si>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</si>
  <si>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</si>
  <si>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</si>
  <si>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</si>
  <si>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</si>
  <si>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</si>
  <si>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</si>
  <si>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</si>
  <si>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</si>
  <si>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</si>
  <si>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</si>
  <si>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</si>
  <si>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</si>
  <si>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</si>
  <si>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</si>
  <si>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</si>
  <si>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</si>
  <si>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</si>
  <si>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</si>
  <si>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</si>
  <si>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</si>
  <si>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</si>
  <si>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</si>
  <si>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</si>
  <si>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</si>
  <si>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</si>
  <si>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</si>
  <si>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</si>
  <si>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</si>
  <si>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</si>
  <si>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</si>
  <si>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</si>
  <si>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</si>
  <si>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</si>
  <si>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</si>
  <si>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</si>
  <si>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</si>
  <si>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</si>
  <si>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</si>
  <si>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</si>
  <si>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</si>
  <si>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</si>
  <si>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</si>
  <si>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</si>
  <si>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</si>
  <si>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</si>
  <si>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</si>
  <si>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</si>
  <si>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</si>
  <si>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</si>
  <si>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</si>
  <si>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</si>
  <si>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</si>
  <si>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</si>
  <si>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</si>
  <si>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</si>
  <si>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</si>
  <si>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</si>
  <si>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</si>
  <si>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</si>
  <si>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</si>
  <si>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</si>
  <si>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</si>
  <si>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</si>
  <si>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</si>
  <si>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</si>
  <si>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</si>
  <si>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</si>
  <si>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</si>
  <si>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</si>
  <si>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</si>
  <si>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</si>
  <si>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</si>
  <si>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</si>
  <si>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</si>
  <si>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</si>
  <si>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</si>
  <si>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</si>
  <si>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</si>
  <si>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</si>
  <si>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</si>
  <si>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</si>
  <si>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</si>
  <si>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</si>
  <si>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</si>
  <si>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</si>
  <si>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</si>
  <si>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</si>
  <si>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</si>
  <si>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</si>
  <si>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</si>
  <si>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</si>
  <si>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</si>
  <si>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</si>
  <si>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</si>
  <si>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</si>
  <si>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</si>
  <si>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</si>
  <si>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</si>
  <si>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</si>
  <si>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</si>
  <si>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</si>
  <si>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</si>
  <si>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</si>
  <si>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</si>
  <si>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</si>
  <si>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</si>
  <si>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</si>
  <si>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</si>
  <si>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</si>
  <si>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</si>
  <si>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</si>
  <si>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</si>
  <si>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</si>
  <si>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</si>
  <si>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</si>
  <si>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</si>
  <si>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</si>
  <si>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</si>
  <si>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</si>
  <si>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</si>
  <si>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</si>
  <si>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</si>
  <si>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</si>
  <si>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</si>
  <si>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</si>
  <si>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Gross Sales</t>
  </si>
  <si>
    <t>Discount Amount</t>
  </si>
  <si>
    <t>Net Revenue</t>
  </si>
  <si>
    <t>Total Cost</t>
  </si>
  <si>
    <t>Profit</t>
  </si>
  <si>
    <t>Profit Margin</t>
  </si>
  <si>
    <t>Inventory Status</t>
  </si>
  <si>
    <t>Understocked</t>
  </si>
  <si>
    <t>Healthy</t>
  </si>
  <si>
    <t>Overstocked</t>
  </si>
  <si>
    <t>Field</t>
  </si>
  <si>
    <t>Meaning</t>
  </si>
  <si>
    <t>Data Type</t>
  </si>
  <si>
    <t>Analyst Note</t>
  </si>
  <si>
    <t>Unique transaction identifier</t>
  </si>
  <si>
    <t>Text</t>
  </si>
  <si>
    <t>Check duplicates</t>
  </si>
  <si>
    <t>Date of sale</t>
  </si>
  <si>
    <t>Date</t>
  </si>
  <si>
    <t>Create Month and Year fields during analysis</t>
  </si>
  <si>
    <t>Unique product code</t>
  </si>
  <si>
    <t>Join to Product_Master</t>
  </si>
  <si>
    <t>Product description</t>
  </si>
  <si>
    <t>Some raw values should be validated against Product_Master</t>
  </si>
  <si>
    <t>High-level product group</t>
  </si>
  <si>
    <t>Some blanks exist in raw data</t>
  </si>
  <si>
    <t>Detailed product group</t>
  </si>
  <si>
    <t>Use for drill-down</t>
  </si>
  <si>
    <t>Product brand</t>
  </si>
  <si>
    <t>Use for product comparison</t>
  </si>
  <si>
    <t>Unique branch code</t>
  </si>
  <si>
    <t>Join to Branch_Master</t>
  </si>
  <si>
    <t>Retail branch</t>
  </si>
  <si>
    <t>Contains spaces or spelling issues in raw data</t>
  </si>
  <si>
    <t>Nigerian state</t>
  </si>
  <si>
    <t>Geographic analysis</t>
  </si>
  <si>
    <t>Business region</t>
  </si>
  <si>
    <t>Contains inconsistent case in raw data</t>
  </si>
  <si>
    <t>Walk-in, Member or Corporate</t>
  </si>
  <si>
    <t>Walk In should be standardised to Walk-in</t>
  </si>
  <si>
    <t>Cash, Card, Transfer or POS</t>
  </si>
  <si>
    <t>Bank Transfer should be standardised</t>
  </si>
  <si>
    <t>Units sold; negative values represent returns</t>
  </si>
  <si>
    <t>Whole number</t>
  </si>
  <si>
    <t>Do not automatically delete negative quantities</t>
  </si>
  <si>
    <t>Cost per unit</t>
  </si>
  <si>
    <t>Currency</t>
  </si>
  <si>
    <t>Used to calculate total cost</t>
  </si>
  <si>
    <t>Selling price before discount</t>
  </si>
  <si>
    <t>Used to calculate gross sales</t>
  </si>
  <si>
    <t>Discount rate</t>
  </si>
  <si>
    <t>Percentage</t>
  </si>
  <si>
    <t>Primary profitability driver</t>
  </si>
  <si>
    <t>Product supplier</t>
  </si>
  <si>
    <t>Some blanks exist</t>
  </si>
  <si>
    <t>Supplier delivery lead time</t>
  </si>
  <si>
    <t>Use for supply-risk analysis</t>
  </si>
  <si>
    <t>Quantity × Unit Price</t>
  </si>
  <si>
    <t>Calculated field</t>
  </si>
  <si>
    <t>Gross Sales × Discount %</t>
  </si>
  <si>
    <t>Gross Sales − Discount Amount</t>
  </si>
  <si>
    <t>Quantity × Unit Cost</t>
  </si>
  <si>
    <t>Net Revenue − Total Cost</t>
  </si>
  <si>
    <t>Profit ÷ Net Revenue</t>
  </si>
  <si>
    <t>Handle divide-by-zero</t>
  </si>
  <si>
    <t>Understocked, Healthy or Overstocked</t>
  </si>
  <si>
    <t>Based on Closing Stock and Reorder Level</t>
  </si>
  <si>
    <t>Priority</t>
  </si>
  <si>
    <t>Business Question</t>
  </si>
  <si>
    <t>Recommended Analysis</t>
  </si>
  <si>
    <t>Suggested Visual</t>
  </si>
  <si>
    <t>Core</t>
  </si>
  <si>
    <t>Are sales increasing while profit margin is declining?</t>
  </si>
  <si>
    <t>Monthly Net Revenue, Profit and Profit Margin</t>
  </si>
  <si>
    <t>Combo or line chart</t>
  </si>
  <si>
    <t>Scatter plot or ranked bar chart</t>
  </si>
  <si>
    <t>Which branches generate the strongest and weakest profitability?</t>
  </si>
  <si>
    <t>Revenue, Profit and Margin by Branch</t>
  </si>
  <si>
    <t>Clustered bar chart</t>
  </si>
  <si>
    <t>How much revenue is being sacrificed through discounts?</t>
  </si>
  <si>
    <t>Discount Amount and Profit Margin by Category</t>
  </si>
  <si>
    <t>Column chart</t>
  </si>
  <si>
    <t>Which products are understocked or overstocked?</t>
  </si>
  <si>
    <t>Closing Stock compared with Reorder Level</t>
  </si>
  <si>
    <t>Inventory status bar/table</t>
  </si>
  <si>
    <t>Which fast-selling products require urgent replenishment?</t>
  </si>
  <si>
    <t>Quantity Sold + Inventory Status</t>
  </si>
  <si>
    <t>Priority matrix</t>
  </si>
  <si>
    <t>Supporting</t>
  </si>
  <si>
    <t>Which customer type generates the highest profit?</t>
  </si>
  <si>
    <t>Revenue, Profit and Average Order Value by Customer Type</t>
  </si>
  <si>
    <t>Bar chart</t>
  </si>
  <si>
    <t>Which payment methods dominate each branch?</t>
  </si>
  <si>
    <t>Transaction count and Revenue by Payment Method</t>
  </si>
  <si>
    <t>100% stacked column</t>
  </si>
  <si>
    <t>Which suppliers have long delivery times and understocked products?</t>
  </si>
  <si>
    <t>Average Delivery Days + Inventory Status</t>
  </si>
  <si>
    <t>Supplier risk table</t>
  </si>
  <si>
    <t>What is the value and frequency of product returns?</t>
  </si>
  <si>
    <t>Negative quantities by Product and Branch</t>
  </si>
  <si>
    <t>Decision</t>
  </si>
  <si>
    <t>What three actions should management take immediately?</t>
  </si>
  <si>
    <t>Synthesis of evidence</t>
  </si>
  <si>
    <t>Recommendation cards</t>
  </si>
  <si>
    <t>A one-page or Multiple pages interactive Excel dashboard plus five evidence-based findings and recommendations.</t>
  </si>
  <si>
    <t>Product opportunity matrix ( Revenue vs Margin)</t>
  </si>
  <si>
    <t>Revenue versus Profit share</t>
  </si>
  <si>
    <t>You are the junior data analyst assigned to look into the data, investigate the causes, build an Excel dashboard and recommend practical actions.</t>
  </si>
  <si>
    <t>Get This course on how to make money as a Data Analyst: https://datawithdecision.selar.com/a70371o75j</t>
  </si>
  <si>
    <t>Sum of Net Revenue</t>
  </si>
  <si>
    <t>Sum of Profit</t>
  </si>
  <si>
    <t>Average of Profit Margin</t>
  </si>
  <si>
    <t>Column1</t>
  </si>
  <si>
    <t>profit</t>
  </si>
  <si>
    <t>transaction</t>
  </si>
  <si>
    <t>profit margin</t>
  </si>
  <si>
    <t>Count of Product Name</t>
  </si>
  <si>
    <t>formatting</t>
  </si>
  <si>
    <t>value</t>
  </si>
  <si>
    <t>docx</t>
  </si>
  <si>
    <t>Sum of Total Cost</t>
  </si>
  <si>
    <t>total cost</t>
  </si>
  <si>
    <t>blue</t>
  </si>
  <si>
    <t>green</t>
  </si>
  <si>
    <t>blacke</t>
  </si>
  <si>
    <t>pink</t>
  </si>
  <si>
    <t>Jan</t>
  </si>
  <si>
    <t>Feb</t>
  </si>
  <si>
    <t>Mar</t>
  </si>
  <si>
    <t>Apr</t>
  </si>
  <si>
    <t>May</t>
  </si>
  <si>
    <t>Jun</t>
  </si>
  <si>
    <t>Jul</t>
  </si>
  <si>
    <t>Aug</t>
  </si>
  <si>
    <t>Sep</t>
  </si>
  <si>
    <t>Oct</t>
  </si>
  <si>
    <t>Nov</t>
  </si>
  <si>
    <t>Dec</t>
  </si>
  <si>
    <t>Months (Order Date)</t>
  </si>
  <si>
    <t>avg month Revenue</t>
  </si>
  <si>
    <t>count of month</t>
  </si>
  <si>
    <t>AVG month Revenue</t>
  </si>
  <si>
    <t>margin</t>
  </si>
  <si>
    <t>current month</t>
  </si>
  <si>
    <t>prevous month</t>
  </si>
  <si>
    <t>count of months</t>
  </si>
  <si>
    <t>current month postion</t>
  </si>
  <si>
    <t>Helper</t>
  </si>
  <si>
    <t>current month revevue</t>
  </si>
  <si>
    <t>prevous month revevue</t>
  </si>
  <si>
    <t>mom change</t>
  </si>
  <si>
    <t>UP</t>
  </si>
  <si>
    <t>DOWN</t>
  </si>
  <si>
    <t>▲</t>
  </si>
  <si>
    <t>▼</t>
  </si>
  <si>
    <t>TITEL</t>
  </si>
  <si>
    <t>AVG month profit</t>
  </si>
  <si>
    <t>current month profit</t>
  </si>
  <si>
    <t>pervous month profit</t>
  </si>
  <si>
    <t>current month p_margin</t>
  </si>
  <si>
    <t>pervous month p-margin</t>
  </si>
  <si>
    <t>mom Revenue GR</t>
  </si>
  <si>
    <t xml:space="preserve"> Net Revenue</t>
  </si>
  <si>
    <t xml:space="preserve"> Profit</t>
  </si>
  <si>
    <t xml:space="preserve"> margin2</t>
  </si>
  <si>
    <t>Months</t>
  </si>
  <si>
    <t>Stock status</t>
  </si>
  <si>
    <t>Row Labels</t>
  </si>
  <si>
    <t>Health</t>
  </si>
  <si>
    <t>overStocked</t>
  </si>
  <si>
    <t>underStocked</t>
  </si>
  <si>
    <t>Grand Total</t>
  </si>
  <si>
    <t>Count of Stock status</t>
  </si>
  <si>
    <t>Sum of Quantity</t>
  </si>
  <si>
    <t>inventory status</t>
  </si>
  <si>
    <t>Revenue</t>
  </si>
  <si>
    <t>margin understocked</t>
  </si>
  <si>
    <t>Qty understocked</t>
  </si>
  <si>
    <t>margin Health</t>
  </si>
  <si>
    <t>Qty Health</t>
  </si>
  <si>
    <t>margin over stocked</t>
  </si>
  <si>
    <t>Qty overstocked</t>
  </si>
  <si>
    <t>Average revenue</t>
  </si>
  <si>
    <t>Average profit margin</t>
  </si>
  <si>
    <t>total revenuo</t>
  </si>
  <si>
    <t>Top 5</t>
  </si>
  <si>
    <t>others</t>
  </si>
  <si>
    <t>precntge share</t>
  </si>
  <si>
    <t>Correlation discount &amp; profit margin</t>
  </si>
  <si>
    <t>Discount  Impact</t>
  </si>
  <si>
    <t>Max Allowed Discount</t>
  </si>
  <si>
    <t>Total Losses Caused by Discounts</t>
  </si>
  <si>
    <t>Number of Loss Transactions Due to Discounts</t>
  </si>
  <si>
    <t>Percentage of Losing Orders Out of Total Sales</t>
  </si>
  <si>
    <t>Transactions</t>
  </si>
  <si>
    <t>Total Losses from All Negative Orders of profit</t>
  </si>
  <si>
    <t>Discount loss as a percentage of total total losses</t>
  </si>
  <si>
    <t>Total Net Profit</t>
  </si>
  <si>
    <t>Discount Loss % of Total Profit</t>
  </si>
  <si>
    <t>Unit Margin</t>
  </si>
  <si>
    <t>Unit Margin %</t>
  </si>
  <si>
    <t>avrege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</si>
</sst>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
    <numFmt numFmtId="165" formatCode="dd\-mmm\-yyyy"/>
    <numFmt numFmtId="166" formatCode="0.0%"/>
    <numFmt numFmtId="167" formatCode="0.0"/>
    <numFmt numFmtId="168" formatCode="_(* #,##0_);_(* \(#,##0\);_(* &quot;-&quot;??_);_(@_)"/>
    <numFmt numFmtId="169" formatCode="[&gt;=1000000]#,##0.0,,&quot;M&quot;;[&gt;=1000]#,##0.0,&quot;K&quot;;#,##0"/>
    <numFmt numFmtId="170" formatCode="[&gt;=1000000]#,##0.00,,&quot;M&quot;;[&gt;=1000]#,##0.00,&quot;K&quot;;#,##0.0"/>
    <numFmt numFmtId="171" formatCode="#,##0.0"/>
    <numFmt numFmtId="172" formatCode="yyyy"/>
  </numFmts>
  <fonts count="16">
    <font>
      <sz val="11"/>
      <name val="Carlito"/>
    </font>
    <font>
      <b/>
      <sz val="18"/>
      <color rgb="FFFFFFFF"/>
      <name val="Carlito"/>
    </font>
    <font>
      <b/>
      <sz val="11"/>
      <color rgb="FFFFFFFF"/>
      <name val="Carlito"/>
    </font>
    <font>
      <b/>
      <sz val="11"/>
      <color rgb="FF1F2937"/>
      <name val="Carlito"/>
    </font>
    <font>
      <u/>
      <sz val="11"/>
      <color theme="10"/>
      <name val="Carlito"/>
    </font>
    <font>
      <u/>
      <sz val="14"/>
      <color theme="10"/>
      <name val="Carlito"/>
    </font>
    <font>
      <sz val="11"/>
      <name val="Carlito"/>
    </font>
    <font>
      <i/>
      <u val="double"/>
      <sz val="10"/>
      <name val="Carlito"/>
    </font>
    <font>
      <b/>
      <sz val="12"/>
      <name val="Carlito"/>
    </font>
    <font>
      <b/>
      <sz val="14"/>
      <name val="Carlito"/>
    </font>
    <font>
      <b/>
      <sz val="11"/>
      <name val="Carlito"/>
    </font>
    <font>
      <b/>
      <sz val="11"/>
      <color rgb="FFFF0000"/>
      <name val="Carlito"/>
    </font>
    <font>
      <sz val="11"/>
      <color rgb="FFFF0000"/>
      <name val="Carlito"/>
    </font>
    <font>
      <sz val="11"/>
      <color theme="0"/>
      <name val="Carlito"/>
    </font>
    <font>
      <sz val="8"/>
      <name val="Carlito"/>
    </font>
    <font>
      <sz val="10"/>
      <name val="Arial Unicode MS"/>
    </font>
  </fonts>
  <fills count="11">
    <fill>
      <patternFill patternType="none"/>
    </fill>
    <fill>
      <patternFill patternType="gray125"/>
    </fill>
    <fill>
      <patternFill patternType="solid">
        <fgColor rgb="FF102A43"/>
      </patternFill>
    </fill>
    <fill>
      <patternFill patternType="solid">
        <fgColor rgb="FF2563EB"/>
      </patternFill>
    </fill>
    <fill>
      <patternFill patternType="solid">
        <fgColor rgb="FFEAF2FF"/>
      </patternFill>
    </fill>
    <fill>
      <patternFill patternType="solid">
        <fgColor rgb="FFFFFF0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4" tint="-0.499984740745262"/>
        <bgColor indexed="64"/>
      </patternFill>
    </fill>
  </fills>
  <borders count="1">
    <border>
      <left/>
      <right/>
      <top/>
      <bottom/>
      <diagonal/>
    </border>
  </borders>
  <cellStyleXfs count="4">
    <xf numFmtId="0" fontId="0" fillId="0" borderId="0"/>
    <xf numFmtId="0" fontId="4" fillId="0" borderId="0" applyNumberForma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43">
    <xf numFmtId="0" fontId="0" fillId="0" borderId="0" xfId="0"/>
    <xf numFmtId="0" fontId="2" fillId="3" borderId="0" xfId="0" applyFont="1" applyFill="1" applyAlignment="1">
      <alignment horizontal="center" vertical="center" wrapText="1"/>
    </xf>
    <xf numFmtId="0" fontId="3" fillId="4" borderId="0" xfId="0" applyFont="1" applyFill="1" applyAlignment="1">
      <alignment wrapText="1"/>
    </xf>
    <xf numFmtId="0" fontId="0" fillId="0" borderId="0" xfId="0" applyAlignment="1">
      <alignment wrapText="1"/>
    </xf>
    <xf numFmtId="164" fontId="0" fillId="0" borderId="0" xfId="0" applyNumberFormat="1"/>
    <xf numFmtId="1" fontId="0" fillId="0" borderId="0" xfId="0" applyNumberFormat="1"/>
    <xf numFmtId="165" fontId="0" fillId="0" borderId="0" xfId="0" applyNumberFormat="1"/>
    <xf numFmtId="9" fontId="0" fillId="0" borderId="0" xfId="0" applyNumberFormat="1"/>
    <xf numFmtId="166" fontId="0" fillId="0" borderId="0" xfId="0" applyNumberFormat="1"/>
    <xf numFmtId="0" fontId="0" fillId="5" borderId="0" xfId="0" applyFill="1" applyAlignment="1">
      <alignment wrapText="1"/>
    </xf>
    <xf numFmtId="0" fontId="5" fillId="0" borderId="0" xfId="1" applyFont="1" applyAlignment="1">
      <alignment horizontal="center" vertical="center" wrapText="1"/>
    </xf>
    <xf numFmtId="10" fontId="0" fillId="0" borderId="0" xfId="3" applyNumberFormat="1" applyFont="1"/>
    <xf numFmtId="43" fontId="0" fillId="0" borderId="0" xfId="2" applyFont="1"/>
    <xf numFmtId="0" fontId="0" fillId="6" borderId="0" xfId="0" applyFill="1"/>
    <xf numFmtId="0" fontId="0" fillId="7" borderId="0" xfId="0" applyFill="1"/>
    <xf numFmtId="0" fontId="0" fillId="0" borderId="0" xfId="0" pivotButton="1"/>
    <xf numFmtId="43" fontId="0" fillId="0" borderId="0" xfId="0" applyNumberFormat="1"/>
    <xf numFmtId="0" fontId="7" fillId="6" borderId="0" xfId="0" applyFont="1" applyFill="1"/>
    <xf numFmtId="10" fontId="0" fillId="0" borderId="0" xfId="0" applyNumberFormat="1"/>
    <xf numFmtId="0" fontId="0" fillId="8" borderId="0" xfId="0" applyFill="1"/>
    <xf numFmtId="0" fontId="8" fillId="0" borderId="0" xfId="0" applyFont="1"/>
    <xf numFmtId="0" fontId="0" fillId="5" borderId="0" xfId="0" applyFill="1"/>
    <xf numFmtId="166" fontId="9" fillId="0" borderId="0" xfId="0" applyNumberFormat="1" applyFont="1"/>
    <xf numFmtId="0" fontId="10" fillId="0" borderId="0" xfId="0" applyFont="1"/>
    <xf numFmtId="10" fontId="10" fillId="0" borderId="0" xfId="0" applyNumberFormat="1" applyFont="1"/>
    <xf numFmtId="166" fontId="0" fillId="0" borderId="0" xfId="3" applyNumberFormat="1" applyFont="1"/>
    <xf numFmtId="0" fontId="11" fillId="5" borderId="0" xfId="0" applyFont="1" applyFill="1"/>
    <xf numFmtId="0" fontId="0" fillId="9" borderId="0" xfId="0" applyFill="1"/>
    <xf numFmtId="169" fontId="0" fillId="0" borderId="0" xfId="0" applyNumberFormat="1"/>
    <xf numFmtId="0" fontId="0" fillId="0" borderId="0" xfId="0" applyAlignment="1">
      <alignment horizontal="left"/>
    </xf>
    <xf numFmtId="0" fontId="12" fillId="5" borderId="0" xfId="0" applyFont="1" applyFill="1"/>
    <xf numFmtId="0" fontId="13" fillId="10" borderId="0" xfId="0" applyFont="1" applyFill="1"/>
    <xf numFmtId="170" fontId="0" fillId="0" borderId="0" xfId="0" applyNumberFormat="1"/>
    <xf numFmtId="171" fontId="0" fillId="0" borderId="0" xfId="0" applyNumberFormat="1"/>
    <xf numFmtId="9" fontId="0" fillId="0" borderId="0" xfId="3" applyFont="1"/>
    <xf numFmtId="0" fontId="15" fillId="0" borderId="0" xfId="0" applyFont="1"/>
    <xf numFmtId="0" fontId="0" fillId="0" borderId="0" xfId="0" applyAlignment="1">
      <alignment wrapText="1"/>
    </xf>
    <xf numFmtId="0" fontId="1" fillId="2" borderId="0" xfId="0" applyFont="1" applyFill="1" applyAlignment="1">
      <alignment horizontal="left" vertical="center"/>
    </xf>
    <xf numFmtId="0" fontId="0" fillId="0" borderId="0" xfId="0" applyAlignment="1">
      <alignment horizontal="center"/>
    </xf>
    <xf numFmtId="166" fontId="0" fillId="0" borderId="0" xfId="3" applyNumberFormat="1" applyFont="1" applyAlignment="1">
      <alignment horizontal="center"/>
    </xf>
    <xf numFmtId="2" fontId="0" fillId="0" borderId="0" xfId="0" applyNumberFormat="1" applyAlignment="1">
      <alignment horizontal="center"/>
    </xf>
    <xf numFmtId="9" fontId="0" fillId="0" borderId="0" xfId="3" applyNumberFormat="1" applyFont="1"/>
    <xf numFmtId="0" fontId="0" fillId="0" borderId="0" xfId="0" applyNumberFormat="1"/>
  </cellXfs>
  <cellStyles count="4">
    <cellStyle name="Comma" xfId="2" builtinId="3"/>
    <cellStyle name="Hyperlink" xfId="1" builtinId="8"/>
    <cellStyle name="Normal" xfId="0" builtinId="0"/>
    <cellStyle name="Percent" xfId="3" builtinId="5"/>
  </cellStyles>
  <dxfs count="111">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 formatCode="0"/>
    </dxf>
    <dxf>
      <numFmt numFmtId="1" formatCode="0"/>
    </dxf>
    <dxf>
      <numFmt numFmtId="168" formatCode="_(* #,##0_);_(* \(#,##0\);_(* &quot;-&quot;??_);_(@_)"/>
    </dxf>
    <dxf>
      <numFmt numFmtId="169" formatCode="[&gt;=1000000]#,##0.0,,&quot;M&quot;;[&gt;=1000]#,##0.0,&quot;K&quot;;#,##0"/>
    </dxf>
    <dxf>
      <numFmt numFmtId="1" formatCode="0"/>
    </dxf>
    <dxf>
      <numFmt numFmtId="168" formatCode="_(* #,##0_);_(* \(#,##0\);_(* &quot;-&quot;??_);_(@_)"/>
    </dxf>
    <dxf>
      <numFmt numFmtId="169" formatCode="[&gt;=1000000]#,##0.0,,&quot;M&quot;;[&gt;=1000]#,##0.0,&quot;K&quot;;#,##0"/>
    </dxf>
    <dxf>
      <numFmt numFmtId="13" formatCode="0%"/>
    </dxf>
    <dxf>
      <numFmt numFmtId="164" formatCode="\₦#,##0"/>
    </dxf>
    <dxf>
      <numFmt numFmtId="1" formatCode="0"/>
    </dxf>
    <dxf>
      <font>
        <b/>
        <i val="0"/>
        <color rgb="FF00B050"/>
      </font>
    </dxf>
    <dxf>
      <font>
        <color rgb="FFFF0000"/>
      </font>
    </dxf>
    <dxf>
      <font>
        <color rgb="FF00B050"/>
      </font>
    </dxf>
    <dxf>
      <font>
        <color rgb="FFFF0000"/>
      </font>
    </dxf>
    <dxf>
      <font>
        <color rgb="FF166534"/>
      </font>
      <fill>
        <patternFill>
          <bgColor rgb="FFDCFCE7"/>
        </patternFill>
      </fill>
    </dxf>
    <dxf>
      <font>
        <color rgb="FF92400E"/>
      </font>
      <fill>
        <patternFill>
          <bgColor rgb="FFFEF3C7"/>
        </patternFill>
      </fill>
    </dxf>
    <dxf>
      <font>
        <color rgb="FFB91C1C"/>
      </font>
      <fill>
        <patternFill>
          <bgColor rgb="FFFEE2E2"/>
        </patternFill>
      </fill>
    </dxf>
    <dxf>
      <numFmt numFmtId="169" formatCode="[&gt;=1000000]#,##0.0,,&quot;M&quot;;[&gt;=1000]#,##0.0,&quot;K&quot;;#,##0"/>
    </dxf>
    <dxf>
      <numFmt numFmtId="168" formatCode="_(* #,##0_);_(* \(#,##0\);_(* &quot;-&quot;??_);_(@_)"/>
    </dxf>
    <dxf>
      <numFmt numFmtId="1" formatCode="0"/>
    </dxf>
    <dxf>
      <numFmt numFmtId="169" formatCode="[&gt;=1000000]#,##0.0,,&quot;M&quot;;[&gt;=1000]#,##0.0,&quot;K&quot;;#,##0"/>
    </dxf>
    <dxf>
      <numFmt numFmtId="168" formatCode="_(* #,##0_);_(* \(#,##0\);_(* &quot;-&quot;??_);_(@_)"/>
    </dxf>
    <dxf>
      <numFmt numFmtId="169" formatCode="[&gt;=1000000]#,##0.0,,&quot;M&quot;;[&gt;=1000]#,##0.0,&quot;K&quot;;#,##0"/>
    </dxf>
    <dxf>
      <numFmt numFmtId="168" formatCode="_(* #,##0_);_(* \(#,##0\);_(* &quot;-&quot;??_);_(@_)"/>
    </dxf>
    <dxf>
      <numFmt numFmtId="1" formatCode="0"/>
    </dxf>
    <dxf>
      <numFmt numFmtId="169" formatCode="[&gt;=1000000]#,##0.0,,&quot;M&quot;;[&gt;=1000]#,##0.0,&quot;K&quot;;#,##0"/>
    </dxf>
    <dxf>
      <numFmt numFmtId="168" formatCode="_(* #,##0_);_(* \(#,##0\);_(* &quot;-&quot;??_);_(@_)"/>
    </dxf>
    <dxf>
      <numFmt numFmtId="166" formatCode="0.0%"/>
    </dxf>
    <dxf>
      <numFmt numFmtId="1" formatCode="0"/>
    </dxf>
    <dxf>
      <numFmt numFmtId="169" formatCode="[&gt;=1000000]#,##0.0,,&quot;M&quot;;[&gt;=1000]#,##0.0,&quot;K&quot;;#,##0"/>
    </dxf>
    <dxf>
      <numFmt numFmtId="168" formatCode="_(* #,##0_);_(* \(#,##0\);_(* &quot;-&quot;??_);_(@_)"/>
    </dxf>
    <dxf>
      <numFmt numFmtId="1" formatCode="0"/>
    </dxf>
    <dxf>
      <numFmt numFmtId="0" formatCode="General"/>
    </dxf>
    <dxf>
      <numFmt numFmtId="166"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D8551"/>
      <color rgb="FFF2AA86"/>
      <color rgb="FF1B7AA5"/>
      <color rgb="FFFF6565"/>
      <color rgb="FFA8A400"/>
      <color rgb="FFD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Sales_Clean_Reference!$Y$1</c:f>
              <c:strCache>
                <c:ptCount val="1"/>
                <c:pt idx="0">
                  <c:v>Profit Margin</c:v>
                </c:pt>
              </c:strCache>
            </c:strRef>
          </c:tx>
          <c:spPr>
            <a:ln w="38100" cap="rnd">
              <a:noFill/>
              <a:round/>
            </a:ln>
            <a:effectLst/>
          </c:spPr>
          <c:marker>
            <c:symbol val="circle"/>
            <c:size val="5"/>
            <c:spPr>
              <a:solidFill>
                <a:schemeClr val="accent1"/>
              </a:solidFill>
              <a:ln w="9525">
                <a:solidFill>
                  <a:schemeClr val="accent1"/>
                </a:solidFill>
              </a:ln>
              <a:effectLst/>
            </c:spPr>
          </c:marker>
          <c:xVal>
            <c:numRef>
              <c:f>Sales_Clean_Reference!$Q$2:$Q$2802</c:f>
              <c:numCache>
                <c:formatCode>0%</c:formatCode>
                <c:ptCount val="2801"/>
                <c:pt idx="0">
                  <c:v>0.05</c:v>
                </c:pt>
                <c:pt idx="1">
                  <c:v>0.05</c:v>
                </c:pt>
                <c:pt idx="2">
                  <c:v>0</c:v>
                </c:pt>
                <c:pt idx="3">
                  <c:v>0</c:v>
                </c:pt>
                <c:pt idx="4">
                  <c:v>0.05</c:v>
                </c:pt>
                <c:pt idx="5">
                  <c:v>0.2</c:v>
                </c:pt>
                <c:pt idx="6">
                  <c:v>0.05</c:v>
                </c:pt>
                <c:pt idx="7">
                  <c:v>0</c:v>
                </c:pt>
                <c:pt idx="8">
                  <c:v>0.15</c:v>
                </c:pt>
                <c:pt idx="9">
                  <c:v>0</c:v>
                </c:pt>
                <c:pt idx="10">
                  <c:v>0.15</c:v>
                </c:pt>
                <c:pt idx="11">
                  <c:v>0.05</c:v>
                </c:pt>
                <c:pt idx="12">
                  <c:v>0</c:v>
                </c:pt>
                <c:pt idx="13">
                  <c:v>0</c:v>
                </c:pt>
                <c:pt idx="14">
                  <c:v>0.05</c:v>
                </c:pt>
                <c:pt idx="15">
                  <c:v>0</c:v>
                </c:pt>
                <c:pt idx="16">
                  <c:v>0.15</c:v>
                </c:pt>
                <c:pt idx="17">
                  <c:v>0.05</c:v>
                </c:pt>
                <c:pt idx="18">
                  <c:v>0.15</c:v>
                </c:pt>
                <c:pt idx="19">
                  <c:v>0</c:v>
                </c:pt>
                <c:pt idx="20">
                  <c:v>0.1</c:v>
                </c:pt>
                <c:pt idx="21">
                  <c:v>0.05</c:v>
                </c:pt>
                <c:pt idx="22">
                  <c:v>0.2</c:v>
                </c:pt>
                <c:pt idx="23">
                  <c:v>0.05</c:v>
                </c:pt>
                <c:pt idx="24">
                  <c:v>0.1</c:v>
                </c:pt>
                <c:pt idx="25">
                  <c:v>0</c:v>
                </c:pt>
                <c:pt idx="26">
                  <c:v>0</c:v>
                </c:pt>
                <c:pt idx="27">
                  <c:v>0.1</c:v>
                </c:pt>
                <c:pt idx="28">
                  <c:v>0.05</c:v>
                </c:pt>
                <c:pt idx="29">
                  <c:v>0.15</c:v>
                </c:pt>
                <c:pt idx="30">
                  <c:v>0.05</c:v>
                </c:pt>
                <c:pt idx="31">
                  <c:v>0.15</c:v>
                </c:pt>
                <c:pt idx="32">
                  <c:v>0</c:v>
                </c:pt>
                <c:pt idx="33">
                  <c:v>0</c:v>
                </c:pt>
                <c:pt idx="34">
                  <c:v>0.2</c:v>
                </c:pt>
                <c:pt idx="35">
                  <c:v>0.1</c:v>
                </c:pt>
                <c:pt idx="36">
                  <c:v>0</c:v>
                </c:pt>
                <c:pt idx="37">
                  <c:v>0.2</c:v>
                </c:pt>
                <c:pt idx="38">
                  <c:v>0.15</c:v>
                </c:pt>
                <c:pt idx="39">
                  <c:v>0</c:v>
                </c:pt>
                <c:pt idx="40">
                  <c:v>0</c:v>
                </c:pt>
                <c:pt idx="41">
                  <c:v>0.05</c:v>
                </c:pt>
                <c:pt idx="42">
                  <c:v>0.1</c:v>
                </c:pt>
                <c:pt idx="43">
                  <c:v>0.25</c:v>
                </c:pt>
                <c:pt idx="44">
                  <c:v>0.05</c:v>
                </c:pt>
                <c:pt idx="45">
                  <c:v>0</c:v>
                </c:pt>
                <c:pt idx="46">
                  <c:v>0.05</c:v>
                </c:pt>
                <c:pt idx="47">
                  <c:v>0.25</c:v>
                </c:pt>
                <c:pt idx="48">
                  <c:v>0.1</c:v>
                </c:pt>
                <c:pt idx="49">
                  <c:v>0.15</c:v>
                </c:pt>
                <c:pt idx="50">
                  <c:v>0.05</c:v>
                </c:pt>
                <c:pt idx="51">
                  <c:v>0.1</c:v>
                </c:pt>
                <c:pt idx="52">
                  <c:v>0</c:v>
                </c:pt>
                <c:pt idx="53">
                  <c:v>0</c:v>
                </c:pt>
                <c:pt idx="54">
                  <c:v>0.15</c:v>
                </c:pt>
                <c:pt idx="55">
                  <c:v>0.1</c:v>
                </c:pt>
                <c:pt idx="56">
                  <c:v>0.05</c:v>
                </c:pt>
                <c:pt idx="57">
                  <c:v>0.15</c:v>
                </c:pt>
                <c:pt idx="58">
                  <c:v>0.05</c:v>
                </c:pt>
                <c:pt idx="59">
                  <c:v>0.1</c:v>
                </c:pt>
                <c:pt idx="60">
                  <c:v>0.15</c:v>
                </c:pt>
                <c:pt idx="61">
                  <c:v>0</c:v>
                </c:pt>
                <c:pt idx="62">
                  <c:v>0.05</c:v>
                </c:pt>
                <c:pt idx="63">
                  <c:v>0.1</c:v>
                </c:pt>
                <c:pt idx="64">
                  <c:v>0.1</c:v>
                </c:pt>
                <c:pt idx="65">
                  <c:v>0.2</c:v>
                </c:pt>
                <c:pt idx="66">
                  <c:v>0.05</c:v>
                </c:pt>
                <c:pt idx="67">
                  <c:v>0</c:v>
                </c:pt>
                <c:pt idx="68">
                  <c:v>0.1</c:v>
                </c:pt>
                <c:pt idx="69">
                  <c:v>0.1</c:v>
                </c:pt>
                <c:pt idx="70">
                  <c:v>0.05</c:v>
                </c:pt>
                <c:pt idx="71">
                  <c:v>0.2</c:v>
                </c:pt>
                <c:pt idx="72">
                  <c:v>0</c:v>
                </c:pt>
                <c:pt idx="73">
                  <c:v>0.05</c:v>
                </c:pt>
                <c:pt idx="74">
                  <c:v>0</c:v>
                </c:pt>
                <c:pt idx="75">
                  <c:v>0</c:v>
                </c:pt>
                <c:pt idx="76">
                  <c:v>0.05</c:v>
                </c:pt>
                <c:pt idx="77">
                  <c:v>0.1</c:v>
                </c:pt>
                <c:pt idx="78">
                  <c:v>0.15</c:v>
                </c:pt>
                <c:pt idx="79">
                  <c:v>0.05</c:v>
                </c:pt>
                <c:pt idx="80">
                  <c:v>0.1</c:v>
                </c:pt>
                <c:pt idx="81">
                  <c:v>0.05</c:v>
                </c:pt>
                <c:pt idx="82">
                  <c:v>0.15</c:v>
                </c:pt>
                <c:pt idx="83">
                  <c:v>0.15</c:v>
                </c:pt>
                <c:pt idx="84">
                  <c:v>0.2</c:v>
                </c:pt>
                <c:pt idx="85">
                  <c:v>0.15</c:v>
                </c:pt>
                <c:pt idx="86">
                  <c:v>0</c:v>
                </c:pt>
                <c:pt idx="87">
                  <c:v>0.15</c:v>
                </c:pt>
                <c:pt idx="88">
                  <c:v>0.05</c:v>
                </c:pt>
                <c:pt idx="89">
                  <c:v>0.1</c:v>
                </c:pt>
                <c:pt idx="90">
                  <c:v>0.05</c:v>
                </c:pt>
                <c:pt idx="91">
                  <c:v>0</c:v>
                </c:pt>
                <c:pt idx="92">
                  <c:v>0.1</c:v>
                </c:pt>
                <c:pt idx="93">
                  <c:v>0.1</c:v>
                </c:pt>
                <c:pt idx="94">
                  <c:v>0</c:v>
                </c:pt>
                <c:pt idx="95">
                  <c:v>0.15</c:v>
                </c:pt>
                <c:pt idx="96">
                  <c:v>0</c:v>
                </c:pt>
                <c:pt idx="97">
                  <c:v>0.15</c:v>
                </c:pt>
                <c:pt idx="98">
                  <c:v>0.2</c:v>
                </c:pt>
                <c:pt idx="99">
                  <c:v>0.15</c:v>
                </c:pt>
                <c:pt idx="100">
                  <c:v>0.05</c:v>
                </c:pt>
                <c:pt idx="101">
                  <c:v>0.1</c:v>
                </c:pt>
                <c:pt idx="102">
                  <c:v>0.1</c:v>
                </c:pt>
                <c:pt idx="103">
                  <c:v>0</c:v>
                </c:pt>
                <c:pt idx="104">
                  <c:v>0</c:v>
                </c:pt>
                <c:pt idx="105">
                  <c:v>0.2</c:v>
                </c:pt>
                <c:pt idx="106">
                  <c:v>0</c:v>
                </c:pt>
                <c:pt idx="107">
                  <c:v>0.2</c:v>
                </c:pt>
                <c:pt idx="108">
                  <c:v>0</c:v>
                </c:pt>
                <c:pt idx="109">
                  <c:v>0.05</c:v>
                </c:pt>
                <c:pt idx="110">
                  <c:v>0.05</c:v>
                </c:pt>
                <c:pt idx="111">
                  <c:v>0.05</c:v>
                </c:pt>
                <c:pt idx="112">
                  <c:v>0</c:v>
                </c:pt>
                <c:pt idx="113">
                  <c:v>0.1</c:v>
                </c:pt>
                <c:pt idx="114">
                  <c:v>0.1</c:v>
                </c:pt>
                <c:pt idx="115">
                  <c:v>0.05</c:v>
                </c:pt>
                <c:pt idx="116">
                  <c:v>0.15</c:v>
                </c:pt>
                <c:pt idx="117">
                  <c:v>0.05</c:v>
                </c:pt>
                <c:pt idx="118">
                  <c:v>0</c:v>
                </c:pt>
                <c:pt idx="119">
                  <c:v>0.1</c:v>
                </c:pt>
                <c:pt idx="120">
                  <c:v>0.1</c:v>
                </c:pt>
                <c:pt idx="121">
                  <c:v>0.2</c:v>
                </c:pt>
                <c:pt idx="122">
                  <c:v>0.1</c:v>
                </c:pt>
                <c:pt idx="123">
                  <c:v>0.1</c:v>
                </c:pt>
                <c:pt idx="124">
                  <c:v>0.1</c:v>
                </c:pt>
                <c:pt idx="125">
                  <c:v>0.05</c:v>
                </c:pt>
                <c:pt idx="126">
                  <c:v>0</c:v>
                </c:pt>
                <c:pt idx="127">
                  <c:v>0.05</c:v>
                </c:pt>
                <c:pt idx="128">
                  <c:v>0.05</c:v>
                </c:pt>
                <c:pt idx="129">
                  <c:v>0</c:v>
                </c:pt>
                <c:pt idx="130">
                  <c:v>0</c:v>
                </c:pt>
                <c:pt idx="131">
                  <c:v>0.05</c:v>
                </c:pt>
                <c:pt idx="132">
                  <c:v>0.1</c:v>
                </c:pt>
                <c:pt idx="133">
                  <c:v>0</c:v>
                </c:pt>
                <c:pt idx="134">
                  <c:v>0</c:v>
                </c:pt>
                <c:pt idx="135">
                  <c:v>0.15</c:v>
                </c:pt>
                <c:pt idx="136">
                  <c:v>0.1</c:v>
                </c:pt>
                <c:pt idx="137">
                  <c:v>0</c:v>
                </c:pt>
                <c:pt idx="138">
                  <c:v>0</c:v>
                </c:pt>
                <c:pt idx="139">
                  <c:v>0.1</c:v>
                </c:pt>
                <c:pt idx="140">
                  <c:v>0.05</c:v>
                </c:pt>
                <c:pt idx="141">
                  <c:v>0</c:v>
                </c:pt>
                <c:pt idx="142">
                  <c:v>0</c:v>
                </c:pt>
                <c:pt idx="143">
                  <c:v>0.1</c:v>
                </c:pt>
                <c:pt idx="144">
                  <c:v>0.15</c:v>
                </c:pt>
                <c:pt idx="145">
                  <c:v>0.05</c:v>
                </c:pt>
                <c:pt idx="146">
                  <c:v>0.15</c:v>
                </c:pt>
                <c:pt idx="147">
                  <c:v>0.15</c:v>
                </c:pt>
                <c:pt idx="148">
                  <c:v>0</c:v>
                </c:pt>
                <c:pt idx="149">
                  <c:v>0.15</c:v>
                </c:pt>
                <c:pt idx="150">
                  <c:v>0.1</c:v>
                </c:pt>
                <c:pt idx="151">
                  <c:v>0</c:v>
                </c:pt>
                <c:pt idx="152">
                  <c:v>0.1</c:v>
                </c:pt>
                <c:pt idx="153">
                  <c:v>0.2</c:v>
                </c:pt>
                <c:pt idx="154">
                  <c:v>0.05</c:v>
                </c:pt>
                <c:pt idx="155">
                  <c:v>0</c:v>
                </c:pt>
                <c:pt idx="156">
                  <c:v>0</c:v>
                </c:pt>
                <c:pt idx="157">
                  <c:v>0</c:v>
                </c:pt>
                <c:pt idx="158">
                  <c:v>0.1</c:v>
                </c:pt>
                <c:pt idx="159">
                  <c:v>0.1</c:v>
                </c:pt>
                <c:pt idx="160">
                  <c:v>0.1</c:v>
                </c:pt>
                <c:pt idx="161">
                  <c:v>0.15</c:v>
                </c:pt>
                <c:pt idx="162">
                  <c:v>0.1</c:v>
                </c:pt>
                <c:pt idx="163">
                  <c:v>0.1</c:v>
                </c:pt>
                <c:pt idx="164">
                  <c:v>0</c:v>
                </c:pt>
                <c:pt idx="165">
                  <c:v>0.1</c:v>
                </c:pt>
                <c:pt idx="166">
                  <c:v>0.2</c:v>
                </c:pt>
                <c:pt idx="167">
                  <c:v>0.1</c:v>
                </c:pt>
                <c:pt idx="168">
                  <c:v>0.05</c:v>
                </c:pt>
                <c:pt idx="169">
                  <c:v>0.05</c:v>
                </c:pt>
                <c:pt idx="170">
                  <c:v>0.05</c:v>
                </c:pt>
                <c:pt idx="171">
                  <c:v>0</c:v>
                </c:pt>
                <c:pt idx="172">
                  <c:v>0.2</c:v>
                </c:pt>
                <c:pt idx="173">
                  <c:v>0</c:v>
                </c:pt>
                <c:pt idx="174">
                  <c:v>0.1</c:v>
                </c:pt>
                <c:pt idx="175">
                  <c:v>0.2</c:v>
                </c:pt>
                <c:pt idx="176">
                  <c:v>0.05</c:v>
                </c:pt>
                <c:pt idx="177">
                  <c:v>0.1</c:v>
                </c:pt>
                <c:pt idx="178">
                  <c:v>0.05</c:v>
                </c:pt>
                <c:pt idx="179">
                  <c:v>0.15</c:v>
                </c:pt>
                <c:pt idx="180">
                  <c:v>0.05</c:v>
                </c:pt>
                <c:pt idx="181">
                  <c:v>0.1</c:v>
                </c:pt>
                <c:pt idx="182">
                  <c:v>0.05</c:v>
                </c:pt>
                <c:pt idx="183">
                  <c:v>0.2</c:v>
                </c:pt>
                <c:pt idx="184">
                  <c:v>0.05</c:v>
                </c:pt>
                <c:pt idx="185">
                  <c:v>0</c:v>
                </c:pt>
                <c:pt idx="186">
                  <c:v>0</c:v>
                </c:pt>
                <c:pt idx="187">
                  <c:v>0.2</c:v>
                </c:pt>
                <c:pt idx="188">
                  <c:v>0</c:v>
                </c:pt>
                <c:pt idx="189">
                  <c:v>0.05</c:v>
                </c:pt>
                <c:pt idx="190">
                  <c:v>0.05</c:v>
                </c:pt>
                <c:pt idx="191">
                  <c:v>0.15</c:v>
                </c:pt>
                <c:pt idx="192">
                  <c:v>0.1</c:v>
                </c:pt>
                <c:pt idx="193">
                  <c:v>0.15</c:v>
                </c:pt>
                <c:pt idx="194">
                  <c:v>0.05</c:v>
                </c:pt>
                <c:pt idx="195">
                  <c:v>0.1</c:v>
                </c:pt>
                <c:pt idx="196">
                  <c:v>0.1</c:v>
                </c:pt>
                <c:pt idx="197">
                  <c:v>0</c:v>
                </c:pt>
                <c:pt idx="198">
                  <c:v>0</c:v>
                </c:pt>
                <c:pt idx="199">
                  <c:v>0</c:v>
                </c:pt>
                <c:pt idx="200">
                  <c:v>0</c:v>
                </c:pt>
                <c:pt idx="201">
                  <c:v>0</c:v>
                </c:pt>
                <c:pt idx="202">
                  <c:v>0.05</c:v>
                </c:pt>
                <c:pt idx="203">
                  <c:v>0.1</c:v>
                </c:pt>
                <c:pt idx="204">
                  <c:v>0.1</c:v>
                </c:pt>
                <c:pt idx="205">
                  <c:v>0.2</c:v>
                </c:pt>
                <c:pt idx="206">
                  <c:v>0.1</c:v>
                </c:pt>
                <c:pt idx="207">
                  <c:v>0</c:v>
                </c:pt>
                <c:pt idx="208">
                  <c:v>0.05</c:v>
                </c:pt>
                <c:pt idx="209">
                  <c:v>0.05</c:v>
                </c:pt>
                <c:pt idx="210">
                  <c:v>0.15</c:v>
                </c:pt>
                <c:pt idx="211">
                  <c:v>0.15</c:v>
                </c:pt>
                <c:pt idx="212">
                  <c:v>0</c:v>
                </c:pt>
                <c:pt idx="213">
                  <c:v>0.1</c:v>
                </c:pt>
                <c:pt idx="214">
                  <c:v>0</c:v>
                </c:pt>
                <c:pt idx="215">
                  <c:v>0.15</c:v>
                </c:pt>
                <c:pt idx="216">
                  <c:v>0.15</c:v>
                </c:pt>
                <c:pt idx="217">
                  <c:v>0.05</c:v>
                </c:pt>
                <c:pt idx="218">
                  <c:v>0.05</c:v>
                </c:pt>
                <c:pt idx="219">
                  <c:v>0.05</c:v>
                </c:pt>
                <c:pt idx="220">
                  <c:v>0</c:v>
                </c:pt>
                <c:pt idx="221">
                  <c:v>0</c:v>
                </c:pt>
                <c:pt idx="222">
                  <c:v>0.15</c:v>
                </c:pt>
                <c:pt idx="223">
                  <c:v>0.1</c:v>
                </c:pt>
                <c:pt idx="224">
                  <c:v>0</c:v>
                </c:pt>
                <c:pt idx="225">
                  <c:v>0.1</c:v>
                </c:pt>
                <c:pt idx="226">
                  <c:v>0.05</c:v>
                </c:pt>
                <c:pt idx="227">
                  <c:v>0.1</c:v>
                </c:pt>
                <c:pt idx="228">
                  <c:v>0.05</c:v>
                </c:pt>
                <c:pt idx="229">
                  <c:v>0.1</c:v>
                </c:pt>
                <c:pt idx="230">
                  <c:v>0.05</c:v>
                </c:pt>
                <c:pt idx="231">
                  <c:v>0.1</c:v>
                </c:pt>
                <c:pt idx="232">
                  <c:v>0.15</c:v>
                </c:pt>
                <c:pt idx="233">
                  <c:v>0.25</c:v>
                </c:pt>
                <c:pt idx="234">
                  <c:v>0</c:v>
                </c:pt>
                <c:pt idx="235">
                  <c:v>0.25</c:v>
                </c:pt>
                <c:pt idx="236">
                  <c:v>0</c:v>
                </c:pt>
                <c:pt idx="237">
                  <c:v>0.1</c:v>
                </c:pt>
                <c:pt idx="238">
                  <c:v>0.1</c:v>
                </c:pt>
                <c:pt idx="239">
                  <c:v>0.2</c:v>
                </c:pt>
                <c:pt idx="240">
                  <c:v>0.1</c:v>
                </c:pt>
                <c:pt idx="241">
                  <c:v>0.1</c:v>
                </c:pt>
                <c:pt idx="242">
                  <c:v>0.1</c:v>
                </c:pt>
                <c:pt idx="243">
                  <c:v>0</c:v>
                </c:pt>
                <c:pt idx="244">
                  <c:v>0</c:v>
                </c:pt>
                <c:pt idx="245">
                  <c:v>0.05</c:v>
                </c:pt>
                <c:pt idx="246">
                  <c:v>0.05</c:v>
                </c:pt>
                <c:pt idx="247">
                  <c:v>0</c:v>
                </c:pt>
                <c:pt idx="248">
                  <c:v>0.2</c:v>
                </c:pt>
                <c:pt idx="249">
                  <c:v>0.05</c:v>
                </c:pt>
                <c:pt idx="250">
                  <c:v>0</c:v>
                </c:pt>
                <c:pt idx="251">
                  <c:v>0.2</c:v>
                </c:pt>
                <c:pt idx="252">
                  <c:v>0</c:v>
                </c:pt>
                <c:pt idx="253">
                  <c:v>0.2</c:v>
                </c:pt>
                <c:pt idx="254">
                  <c:v>0.05</c:v>
                </c:pt>
                <c:pt idx="255">
                  <c:v>0</c:v>
                </c:pt>
                <c:pt idx="256">
                  <c:v>0.1</c:v>
                </c:pt>
                <c:pt idx="257">
                  <c:v>0</c:v>
                </c:pt>
                <c:pt idx="258">
                  <c:v>0.1</c:v>
                </c:pt>
                <c:pt idx="259">
                  <c:v>0</c:v>
                </c:pt>
                <c:pt idx="260">
                  <c:v>0</c:v>
                </c:pt>
                <c:pt idx="261">
                  <c:v>0.05</c:v>
                </c:pt>
                <c:pt idx="262">
                  <c:v>0</c:v>
                </c:pt>
                <c:pt idx="263">
                  <c:v>0.15</c:v>
                </c:pt>
                <c:pt idx="264">
                  <c:v>0.05</c:v>
                </c:pt>
                <c:pt idx="265">
                  <c:v>0.05</c:v>
                </c:pt>
                <c:pt idx="266">
                  <c:v>0.1</c:v>
                </c:pt>
                <c:pt idx="267">
                  <c:v>0</c:v>
                </c:pt>
                <c:pt idx="268">
                  <c:v>0.05</c:v>
                </c:pt>
                <c:pt idx="269">
                  <c:v>0.15</c:v>
                </c:pt>
                <c:pt idx="270">
                  <c:v>0.1</c:v>
                </c:pt>
                <c:pt idx="271">
                  <c:v>0.2</c:v>
                </c:pt>
                <c:pt idx="272">
                  <c:v>0.15</c:v>
                </c:pt>
                <c:pt idx="273">
                  <c:v>0.15</c:v>
                </c:pt>
                <c:pt idx="274">
                  <c:v>0.15</c:v>
                </c:pt>
                <c:pt idx="275">
                  <c:v>0.2</c:v>
                </c:pt>
                <c:pt idx="276">
                  <c:v>0.05</c:v>
                </c:pt>
                <c:pt idx="277">
                  <c:v>0.05</c:v>
                </c:pt>
                <c:pt idx="278">
                  <c:v>0.1</c:v>
                </c:pt>
                <c:pt idx="279">
                  <c:v>0.1</c:v>
                </c:pt>
                <c:pt idx="280">
                  <c:v>0.05</c:v>
                </c:pt>
                <c:pt idx="281">
                  <c:v>0.05</c:v>
                </c:pt>
                <c:pt idx="282">
                  <c:v>0</c:v>
                </c:pt>
                <c:pt idx="283">
                  <c:v>0</c:v>
                </c:pt>
                <c:pt idx="284">
                  <c:v>0</c:v>
                </c:pt>
                <c:pt idx="285">
                  <c:v>0.05</c:v>
                </c:pt>
                <c:pt idx="286">
                  <c:v>0.1</c:v>
                </c:pt>
                <c:pt idx="287">
                  <c:v>0.05</c:v>
                </c:pt>
                <c:pt idx="288">
                  <c:v>0</c:v>
                </c:pt>
                <c:pt idx="289">
                  <c:v>0.05</c:v>
                </c:pt>
                <c:pt idx="290">
                  <c:v>0</c:v>
                </c:pt>
                <c:pt idx="291">
                  <c:v>0.1</c:v>
                </c:pt>
                <c:pt idx="292">
                  <c:v>0.15</c:v>
                </c:pt>
                <c:pt idx="293">
                  <c:v>0.05</c:v>
                </c:pt>
                <c:pt idx="294">
                  <c:v>0.05</c:v>
                </c:pt>
                <c:pt idx="295">
                  <c:v>0</c:v>
                </c:pt>
                <c:pt idx="296">
                  <c:v>0.15</c:v>
                </c:pt>
                <c:pt idx="297">
                  <c:v>0.05</c:v>
                </c:pt>
                <c:pt idx="298">
                  <c:v>0.05</c:v>
                </c:pt>
                <c:pt idx="299">
                  <c:v>0.2</c:v>
                </c:pt>
                <c:pt idx="300">
                  <c:v>0.05</c:v>
                </c:pt>
                <c:pt idx="301">
                  <c:v>0.05</c:v>
                </c:pt>
                <c:pt idx="302">
                  <c:v>0.05</c:v>
                </c:pt>
                <c:pt idx="303">
                  <c:v>0.1</c:v>
                </c:pt>
                <c:pt idx="304">
                  <c:v>0.05</c:v>
                </c:pt>
                <c:pt idx="305">
                  <c:v>0.05</c:v>
                </c:pt>
                <c:pt idx="306">
                  <c:v>0.05</c:v>
                </c:pt>
                <c:pt idx="307">
                  <c:v>0.05</c:v>
                </c:pt>
                <c:pt idx="308">
                  <c:v>0</c:v>
                </c:pt>
                <c:pt idx="309">
                  <c:v>0.1</c:v>
                </c:pt>
                <c:pt idx="310">
                  <c:v>0</c:v>
                </c:pt>
                <c:pt idx="311">
                  <c:v>0.05</c:v>
                </c:pt>
                <c:pt idx="312">
                  <c:v>0.1</c:v>
                </c:pt>
                <c:pt idx="313">
                  <c:v>0</c:v>
                </c:pt>
                <c:pt idx="314">
                  <c:v>0.15</c:v>
                </c:pt>
                <c:pt idx="315">
                  <c:v>0.15</c:v>
                </c:pt>
                <c:pt idx="316">
                  <c:v>0.2</c:v>
                </c:pt>
                <c:pt idx="317">
                  <c:v>0.2</c:v>
                </c:pt>
                <c:pt idx="318">
                  <c:v>0.05</c:v>
                </c:pt>
                <c:pt idx="319">
                  <c:v>0</c:v>
                </c:pt>
                <c:pt idx="320">
                  <c:v>0.15</c:v>
                </c:pt>
                <c:pt idx="321">
                  <c:v>0.25</c:v>
                </c:pt>
                <c:pt idx="322">
                  <c:v>0.05</c:v>
                </c:pt>
                <c:pt idx="323">
                  <c:v>0</c:v>
                </c:pt>
                <c:pt idx="324">
                  <c:v>0.1</c:v>
                </c:pt>
                <c:pt idx="325">
                  <c:v>0.1</c:v>
                </c:pt>
                <c:pt idx="326">
                  <c:v>0.1</c:v>
                </c:pt>
                <c:pt idx="327">
                  <c:v>0.1</c:v>
                </c:pt>
                <c:pt idx="328">
                  <c:v>0.15</c:v>
                </c:pt>
                <c:pt idx="329">
                  <c:v>0</c:v>
                </c:pt>
                <c:pt idx="330">
                  <c:v>0.2</c:v>
                </c:pt>
                <c:pt idx="331">
                  <c:v>0</c:v>
                </c:pt>
                <c:pt idx="332">
                  <c:v>0.05</c:v>
                </c:pt>
                <c:pt idx="333">
                  <c:v>0</c:v>
                </c:pt>
                <c:pt idx="334">
                  <c:v>0.1</c:v>
                </c:pt>
                <c:pt idx="335">
                  <c:v>0</c:v>
                </c:pt>
                <c:pt idx="336">
                  <c:v>0</c:v>
                </c:pt>
                <c:pt idx="337">
                  <c:v>0.05</c:v>
                </c:pt>
                <c:pt idx="338">
                  <c:v>0</c:v>
                </c:pt>
                <c:pt idx="339">
                  <c:v>0</c:v>
                </c:pt>
                <c:pt idx="340">
                  <c:v>0.15</c:v>
                </c:pt>
                <c:pt idx="341">
                  <c:v>0</c:v>
                </c:pt>
                <c:pt idx="342">
                  <c:v>0.15</c:v>
                </c:pt>
                <c:pt idx="343">
                  <c:v>0.1</c:v>
                </c:pt>
                <c:pt idx="344">
                  <c:v>0.15</c:v>
                </c:pt>
                <c:pt idx="345">
                  <c:v>0.1</c:v>
                </c:pt>
                <c:pt idx="346">
                  <c:v>0.1</c:v>
                </c:pt>
                <c:pt idx="347">
                  <c:v>0.15</c:v>
                </c:pt>
                <c:pt idx="348">
                  <c:v>0.1</c:v>
                </c:pt>
                <c:pt idx="349">
                  <c:v>0.05</c:v>
                </c:pt>
                <c:pt idx="350">
                  <c:v>0.05</c:v>
                </c:pt>
                <c:pt idx="351">
                  <c:v>0</c:v>
                </c:pt>
                <c:pt idx="352">
                  <c:v>0.1</c:v>
                </c:pt>
                <c:pt idx="353">
                  <c:v>0.05</c:v>
                </c:pt>
                <c:pt idx="354">
                  <c:v>0.1</c:v>
                </c:pt>
                <c:pt idx="355">
                  <c:v>0</c:v>
                </c:pt>
                <c:pt idx="356">
                  <c:v>0</c:v>
                </c:pt>
                <c:pt idx="357">
                  <c:v>0.05</c:v>
                </c:pt>
                <c:pt idx="358">
                  <c:v>0.1</c:v>
                </c:pt>
                <c:pt idx="359">
                  <c:v>0.1</c:v>
                </c:pt>
                <c:pt idx="360">
                  <c:v>0</c:v>
                </c:pt>
                <c:pt idx="361">
                  <c:v>0</c:v>
                </c:pt>
                <c:pt idx="362">
                  <c:v>0.25</c:v>
                </c:pt>
                <c:pt idx="363">
                  <c:v>0.1</c:v>
                </c:pt>
                <c:pt idx="364">
                  <c:v>0.05</c:v>
                </c:pt>
                <c:pt idx="365">
                  <c:v>0</c:v>
                </c:pt>
                <c:pt idx="366">
                  <c:v>0</c:v>
                </c:pt>
                <c:pt idx="367">
                  <c:v>0</c:v>
                </c:pt>
                <c:pt idx="368">
                  <c:v>0</c:v>
                </c:pt>
                <c:pt idx="369">
                  <c:v>0.1</c:v>
                </c:pt>
                <c:pt idx="370">
                  <c:v>0.05</c:v>
                </c:pt>
                <c:pt idx="371">
                  <c:v>0.1</c:v>
                </c:pt>
                <c:pt idx="372">
                  <c:v>0.1</c:v>
                </c:pt>
                <c:pt idx="373">
                  <c:v>0.1</c:v>
                </c:pt>
                <c:pt idx="374">
                  <c:v>0</c:v>
                </c:pt>
                <c:pt idx="375">
                  <c:v>0</c:v>
                </c:pt>
                <c:pt idx="376">
                  <c:v>0.15</c:v>
                </c:pt>
                <c:pt idx="377">
                  <c:v>0.05</c:v>
                </c:pt>
                <c:pt idx="378">
                  <c:v>0.15</c:v>
                </c:pt>
                <c:pt idx="379">
                  <c:v>0.1</c:v>
                </c:pt>
                <c:pt idx="380">
                  <c:v>0.05</c:v>
                </c:pt>
                <c:pt idx="381">
                  <c:v>0.1</c:v>
                </c:pt>
                <c:pt idx="382">
                  <c:v>0.1</c:v>
                </c:pt>
                <c:pt idx="383">
                  <c:v>0.25</c:v>
                </c:pt>
                <c:pt idx="384">
                  <c:v>0.05</c:v>
                </c:pt>
                <c:pt idx="385">
                  <c:v>0</c:v>
                </c:pt>
                <c:pt idx="386">
                  <c:v>0.2</c:v>
                </c:pt>
                <c:pt idx="387">
                  <c:v>0</c:v>
                </c:pt>
                <c:pt idx="388">
                  <c:v>0.1</c:v>
                </c:pt>
                <c:pt idx="389">
                  <c:v>0.05</c:v>
                </c:pt>
                <c:pt idx="390">
                  <c:v>0.05</c:v>
                </c:pt>
                <c:pt idx="391">
                  <c:v>0.05</c:v>
                </c:pt>
                <c:pt idx="392">
                  <c:v>0.2</c:v>
                </c:pt>
                <c:pt idx="393">
                  <c:v>0.05</c:v>
                </c:pt>
                <c:pt idx="394">
                  <c:v>0.15</c:v>
                </c:pt>
                <c:pt idx="395">
                  <c:v>0.1</c:v>
                </c:pt>
                <c:pt idx="396">
                  <c:v>0</c:v>
                </c:pt>
                <c:pt idx="397">
                  <c:v>0.05</c:v>
                </c:pt>
                <c:pt idx="398">
                  <c:v>0.1</c:v>
                </c:pt>
                <c:pt idx="399">
                  <c:v>0.1</c:v>
                </c:pt>
                <c:pt idx="400">
                  <c:v>0</c:v>
                </c:pt>
                <c:pt idx="401">
                  <c:v>0.05</c:v>
                </c:pt>
                <c:pt idx="402">
                  <c:v>0.1</c:v>
                </c:pt>
                <c:pt idx="403">
                  <c:v>0</c:v>
                </c:pt>
                <c:pt idx="404">
                  <c:v>0</c:v>
                </c:pt>
                <c:pt idx="405">
                  <c:v>0.1</c:v>
                </c:pt>
                <c:pt idx="406">
                  <c:v>0.15</c:v>
                </c:pt>
                <c:pt idx="407">
                  <c:v>0.2</c:v>
                </c:pt>
                <c:pt idx="408">
                  <c:v>0.15</c:v>
                </c:pt>
                <c:pt idx="409">
                  <c:v>0.05</c:v>
                </c:pt>
                <c:pt idx="410">
                  <c:v>0.05</c:v>
                </c:pt>
                <c:pt idx="411">
                  <c:v>0.05</c:v>
                </c:pt>
                <c:pt idx="412">
                  <c:v>0</c:v>
                </c:pt>
                <c:pt idx="413">
                  <c:v>0</c:v>
                </c:pt>
                <c:pt idx="414">
                  <c:v>0.1</c:v>
                </c:pt>
                <c:pt idx="415">
                  <c:v>0</c:v>
                </c:pt>
                <c:pt idx="416">
                  <c:v>0.15</c:v>
                </c:pt>
                <c:pt idx="417">
                  <c:v>0.1</c:v>
                </c:pt>
                <c:pt idx="418">
                  <c:v>0.05</c:v>
                </c:pt>
                <c:pt idx="419">
                  <c:v>0.1</c:v>
                </c:pt>
                <c:pt idx="420">
                  <c:v>0.1</c:v>
                </c:pt>
                <c:pt idx="421">
                  <c:v>0.05</c:v>
                </c:pt>
                <c:pt idx="422">
                  <c:v>0</c:v>
                </c:pt>
                <c:pt idx="423">
                  <c:v>0.05</c:v>
                </c:pt>
                <c:pt idx="424">
                  <c:v>0.15</c:v>
                </c:pt>
                <c:pt idx="425">
                  <c:v>0.1</c:v>
                </c:pt>
                <c:pt idx="426">
                  <c:v>0</c:v>
                </c:pt>
                <c:pt idx="427">
                  <c:v>0</c:v>
                </c:pt>
                <c:pt idx="428">
                  <c:v>0.1</c:v>
                </c:pt>
                <c:pt idx="429">
                  <c:v>0.1</c:v>
                </c:pt>
                <c:pt idx="430">
                  <c:v>0.2</c:v>
                </c:pt>
                <c:pt idx="431">
                  <c:v>0.1</c:v>
                </c:pt>
                <c:pt idx="432">
                  <c:v>0.15</c:v>
                </c:pt>
                <c:pt idx="433">
                  <c:v>0.05</c:v>
                </c:pt>
                <c:pt idx="434">
                  <c:v>0</c:v>
                </c:pt>
                <c:pt idx="435">
                  <c:v>0</c:v>
                </c:pt>
                <c:pt idx="436">
                  <c:v>0.15</c:v>
                </c:pt>
                <c:pt idx="437">
                  <c:v>0.1</c:v>
                </c:pt>
                <c:pt idx="438">
                  <c:v>0</c:v>
                </c:pt>
                <c:pt idx="439">
                  <c:v>0</c:v>
                </c:pt>
                <c:pt idx="440">
                  <c:v>0.15</c:v>
                </c:pt>
                <c:pt idx="441">
                  <c:v>0.2</c:v>
                </c:pt>
                <c:pt idx="442">
                  <c:v>0.1</c:v>
                </c:pt>
                <c:pt idx="443">
                  <c:v>0.05</c:v>
                </c:pt>
                <c:pt idx="444">
                  <c:v>0</c:v>
                </c:pt>
                <c:pt idx="445">
                  <c:v>0.1</c:v>
                </c:pt>
                <c:pt idx="446">
                  <c:v>0.15</c:v>
                </c:pt>
                <c:pt idx="447">
                  <c:v>0.15</c:v>
                </c:pt>
                <c:pt idx="448">
                  <c:v>0.2</c:v>
                </c:pt>
                <c:pt idx="449">
                  <c:v>0.1</c:v>
                </c:pt>
                <c:pt idx="450">
                  <c:v>0.2</c:v>
                </c:pt>
                <c:pt idx="451">
                  <c:v>0.1</c:v>
                </c:pt>
                <c:pt idx="452">
                  <c:v>0.1</c:v>
                </c:pt>
                <c:pt idx="453">
                  <c:v>0.1</c:v>
                </c:pt>
                <c:pt idx="454">
                  <c:v>0.05</c:v>
                </c:pt>
                <c:pt idx="455">
                  <c:v>0.05</c:v>
                </c:pt>
                <c:pt idx="456">
                  <c:v>0.05</c:v>
                </c:pt>
                <c:pt idx="457">
                  <c:v>0.15</c:v>
                </c:pt>
                <c:pt idx="458">
                  <c:v>0</c:v>
                </c:pt>
                <c:pt idx="459">
                  <c:v>0.15</c:v>
                </c:pt>
                <c:pt idx="460">
                  <c:v>0.25</c:v>
                </c:pt>
                <c:pt idx="461">
                  <c:v>0.15</c:v>
                </c:pt>
                <c:pt idx="462">
                  <c:v>0.2</c:v>
                </c:pt>
                <c:pt idx="463">
                  <c:v>0</c:v>
                </c:pt>
                <c:pt idx="464">
                  <c:v>0.2</c:v>
                </c:pt>
                <c:pt idx="465">
                  <c:v>0.1</c:v>
                </c:pt>
                <c:pt idx="466">
                  <c:v>0.15</c:v>
                </c:pt>
                <c:pt idx="467">
                  <c:v>0.2</c:v>
                </c:pt>
                <c:pt idx="468">
                  <c:v>0</c:v>
                </c:pt>
                <c:pt idx="469">
                  <c:v>0</c:v>
                </c:pt>
                <c:pt idx="470">
                  <c:v>0.05</c:v>
                </c:pt>
                <c:pt idx="471">
                  <c:v>0.15</c:v>
                </c:pt>
                <c:pt idx="472">
                  <c:v>0</c:v>
                </c:pt>
                <c:pt idx="473">
                  <c:v>0.1</c:v>
                </c:pt>
                <c:pt idx="474">
                  <c:v>0.1</c:v>
                </c:pt>
                <c:pt idx="475">
                  <c:v>0.1</c:v>
                </c:pt>
                <c:pt idx="476">
                  <c:v>0.1</c:v>
                </c:pt>
                <c:pt idx="477">
                  <c:v>0.2</c:v>
                </c:pt>
                <c:pt idx="478">
                  <c:v>0.05</c:v>
                </c:pt>
                <c:pt idx="479">
                  <c:v>0.05</c:v>
                </c:pt>
                <c:pt idx="480">
                  <c:v>0.05</c:v>
                </c:pt>
                <c:pt idx="481">
                  <c:v>0.05</c:v>
                </c:pt>
                <c:pt idx="482">
                  <c:v>0.1</c:v>
                </c:pt>
                <c:pt idx="483">
                  <c:v>0</c:v>
                </c:pt>
                <c:pt idx="484">
                  <c:v>0.2</c:v>
                </c:pt>
                <c:pt idx="485">
                  <c:v>0.05</c:v>
                </c:pt>
                <c:pt idx="486">
                  <c:v>0</c:v>
                </c:pt>
                <c:pt idx="487">
                  <c:v>0.1</c:v>
                </c:pt>
                <c:pt idx="488">
                  <c:v>0.1</c:v>
                </c:pt>
                <c:pt idx="489">
                  <c:v>0.05</c:v>
                </c:pt>
                <c:pt idx="490">
                  <c:v>0.15</c:v>
                </c:pt>
                <c:pt idx="491">
                  <c:v>0.1</c:v>
                </c:pt>
                <c:pt idx="492">
                  <c:v>0.05</c:v>
                </c:pt>
                <c:pt idx="493">
                  <c:v>0.1</c:v>
                </c:pt>
                <c:pt idx="494">
                  <c:v>0</c:v>
                </c:pt>
                <c:pt idx="495">
                  <c:v>0.15</c:v>
                </c:pt>
                <c:pt idx="496">
                  <c:v>0.1</c:v>
                </c:pt>
                <c:pt idx="497">
                  <c:v>0</c:v>
                </c:pt>
                <c:pt idx="498">
                  <c:v>0</c:v>
                </c:pt>
                <c:pt idx="499">
                  <c:v>0</c:v>
                </c:pt>
                <c:pt idx="500">
                  <c:v>0.1</c:v>
                </c:pt>
                <c:pt idx="501">
                  <c:v>0</c:v>
                </c:pt>
                <c:pt idx="502">
                  <c:v>0.1</c:v>
                </c:pt>
                <c:pt idx="503">
                  <c:v>0.05</c:v>
                </c:pt>
                <c:pt idx="504">
                  <c:v>0.05</c:v>
                </c:pt>
                <c:pt idx="505">
                  <c:v>0.1</c:v>
                </c:pt>
                <c:pt idx="506">
                  <c:v>0.2</c:v>
                </c:pt>
                <c:pt idx="507">
                  <c:v>0.2</c:v>
                </c:pt>
                <c:pt idx="508">
                  <c:v>0</c:v>
                </c:pt>
                <c:pt idx="509">
                  <c:v>0</c:v>
                </c:pt>
                <c:pt idx="510">
                  <c:v>0.05</c:v>
                </c:pt>
                <c:pt idx="511">
                  <c:v>0.15</c:v>
                </c:pt>
                <c:pt idx="512">
                  <c:v>0.05</c:v>
                </c:pt>
                <c:pt idx="513">
                  <c:v>0.05</c:v>
                </c:pt>
                <c:pt idx="514">
                  <c:v>0.1</c:v>
                </c:pt>
                <c:pt idx="515">
                  <c:v>0.05</c:v>
                </c:pt>
                <c:pt idx="516">
                  <c:v>0.2</c:v>
                </c:pt>
                <c:pt idx="517">
                  <c:v>0</c:v>
                </c:pt>
                <c:pt idx="518">
                  <c:v>0</c:v>
                </c:pt>
                <c:pt idx="519">
                  <c:v>0</c:v>
                </c:pt>
                <c:pt idx="520">
                  <c:v>0.1</c:v>
                </c:pt>
                <c:pt idx="521">
                  <c:v>0</c:v>
                </c:pt>
                <c:pt idx="522">
                  <c:v>0</c:v>
                </c:pt>
                <c:pt idx="523">
                  <c:v>0.1</c:v>
                </c:pt>
                <c:pt idx="524">
                  <c:v>0</c:v>
                </c:pt>
                <c:pt idx="525">
                  <c:v>0.05</c:v>
                </c:pt>
                <c:pt idx="526">
                  <c:v>0</c:v>
                </c:pt>
                <c:pt idx="527">
                  <c:v>0.1</c:v>
                </c:pt>
                <c:pt idx="528">
                  <c:v>0.05</c:v>
                </c:pt>
                <c:pt idx="529">
                  <c:v>0</c:v>
                </c:pt>
                <c:pt idx="530">
                  <c:v>0</c:v>
                </c:pt>
                <c:pt idx="531">
                  <c:v>0.15</c:v>
                </c:pt>
                <c:pt idx="532">
                  <c:v>0</c:v>
                </c:pt>
                <c:pt idx="533">
                  <c:v>0.15</c:v>
                </c:pt>
                <c:pt idx="534">
                  <c:v>0.1</c:v>
                </c:pt>
                <c:pt idx="535">
                  <c:v>0.25</c:v>
                </c:pt>
                <c:pt idx="536">
                  <c:v>0.15</c:v>
                </c:pt>
                <c:pt idx="537">
                  <c:v>0</c:v>
                </c:pt>
                <c:pt idx="538">
                  <c:v>0</c:v>
                </c:pt>
                <c:pt idx="539">
                  <c:v>0.1</c:v>
                </c:pt>
                <c:pt idx="540">
                  <c:v>0.1</c:v>
                </c:pt>
                <c:pt idx="541">
                  <c:v>0</c:v>
                </c:pt>
                <c:pt idx="542">
                  <c:v>0</c:v>
                </c:pt>
                <c:pt idx="543">
                  <c:v>0.05</c:v>
                </c:pt>
                <c:pt idx="544">
                  <c:v>0.2</c:v>
                </c:pt>
                <c:pt idx="545">
                  <c:v>0</c:v>
                </c:pt>
                <c:pt idx="546">
                  <c:v>0.15</c:v>
                </c:pt>
                <c:pt idx="547">
                  <c:v>0.1</c:v>
                </c:pt>
                <c:pt idx="548">
                  <c:v>0.1</c:v>
                </c:pt>
                <c:pt idx="549">
                  <c:v>0.05</c:v>
                </c:pt>
                <c:pt idx="550">
                  <c:v>0.05</c:v>
                </c:pt>
                <c:pt idx="551">
                  <c:v>0.1</c:v>
                </c:pt>
                <c:pt idx="552">
                  <c:v>0</c:v>
                </c:pt>
                <c:pt idx="553">
                  <c:v>0</c:v>
                </c:pt>
                <c:pt idx="554">
                  <c:v>0.15</c:v>
                </c:pt>
                <c:pt idx="555">
                  <c:v>0</c:v>
                </c:pt>
                <c:pt idx="556">
                  <c:v>0.2</c:v>
                </c:pt>
                <c:pt idx="557">
                  <c:v>0.05</c:v>
                </c:pt>
                <c:pt idx="558">
                  <c:v>0</c:v>
                </c:pt>
                <c:pt idx="559">
                  <c:v>0.05</c:v>
                </c:pt>
                <c:pt idx="560">
                  <c:v>0.05</c:v>
                </c:pt>
                <c:pt idx="561">
                  <c:v>0</c:v>
                </c:pt>
                <c:pt idx="562">
                  <c:v>0.15</c:v>
                </c:pt>
                <c:pt idx="563">
                  <c:v>0.05</c:v>
                </c:pt>
                <c:pt idx="564">
                  <c:v>0.15</c:v>
                </c:pt>
                <c:pt idx="565">
                  <c:v>0</c:v>
                </c:pt>
                <c:pt idx="566">
                  <c:v>0.05</c:v>
                </c:pt>
                <c:pt idx="567">
                  <c:v>0.05</c:v>
                </c:pt>
                <c:pt idx="568">
                  <c:v>0.05</c:v>
                </c:pt>
                <c:pt idx="569">
                  <c:v>0.1</c:v>
                </c:pt>
                <c:pt idx="570">
                  <c:v>0.1</c:v>
                </c:pt>
                <c:pt idx="571">
                  <c:v>0.15</c:v>
                </c:pt>
                <c:pt idx="572">
                  <c:v>0</c:v>
                </c:pt>
                <c:pt idx="573">
                  <c:v>0.05</c:v>
                </c:pt>
                <c:pt idx="574">
                  <c:v>0.1</c:v>
                </c:pt>
                <c:pt idx="575">
                  <c:v>0.1</c:v>
                </c:pt>
                <c:pt idx="576">
                  <c:v>0</c:v>
                </c:pt>
                <c:pt idx="577">
                  <c:v>0.1</c:v>
                </c:pt>
                <c:pt idx="578">
                  <c:v>0</c:v>
                </c:pt>
                <c:pt idx="579">
                  <c:v>0.1</c:v>
                </c:pt>
                <c:pt idx="580">
                  <c:v>0.15</c:v>
                </c:pt>
                <c:pt idx="581">
                  <c:v>0.05</c:v>
                </c:pt>
                <c:pt idx="582">
                  <c:v>0.05</c:v>
                </c:pt>
                <c:pt idx="583">
                  <c:v>0.2</c:v>
                </c:pt>
                <c:pt idx="584">
                  <c:v>0.05</c:v>
                </c:pt>
                <c:pt idx="585">
                  <c:v>0.1</c:v>
                </c:pt>
                <c:pt idx="586">
                  <c:v>0.05</c:v>
                </c:pt>
                <c:pt idx="587">
                  <c:v>0</c:v>
                </c:pt>
                <c:pt idx="588">
                  <c:v>0.05</c:v>
                </c:pt>
                <c:pt idx="589">
                  <c:v>0</c:v>
                </c:pt>
                <c:pt idx="590">
                  <c:v>0.1</c:v>
                </c:pt>
                <c:pt idx="591">
                  <c:v>0</c:v>
                </c:pt>
                <c:pt idx="592">
                  <c:v>0.05</c:v>
                </c:pt>
                <c:pt idx="593">
                  <c:v>0</c:v>
                </c:pt>
                <c:pt idx="594">
                  <c:v>0</c:v>
                </c:pt>
                <c:pt idx="595">
                  <c:v>0.05</c:v>
                </c:pt>
                <c:pt idx="596">
                  <c:v>0</c:v>
                </c:pt>
                <c:pt idx="597">
                  <c:v>0.05</c:v>
                </c:pt>
                <c:pt idx="598">
                  <c:v>0.05</c:v>
                </c:pt>
                <c:pt idx="599">
                  <c:v>0.05</c:v>
                </c:pt>
                <c:pt idx="600">
                  <c:v>0</c:v>
                </c:pt>
                <c:pt idx="601">
                  <c:v>0.05</c:v>
                </c:pt>
                <c:pt idx="602">
                  <c:v>0.1</c:v>
                </c:pt>
                <c:pt idx="603">
                  <c:v>0.2</c:v>
                </c:pt>
                <c:pt idx="604">
                  <c:v>0</c:v>
                </c:pt>
                <c:pt idx="605">
                  <c:v>0</c:v>
                </c:pt>
                <c:pt idx="606">
                  <c:v>0</c:v>
                </c:pt>
                <c:pt idx="607">
                  <c:v>0</c:v>
                </c:pt>
                <c:pt idx="608">
                  <c:v>0.15</c:v>
                </c:pt>
                <c:pt idx="609">
                  <c:v>0.05</c:v>
                </c:pt>
                <c:pt idx="610">
                  <c:v>0.1</c:v>
                </c:pt>
                <c:pt idx="611">
                  <c:v>0</c:v>
                </c:pt>
                <c:pt idx="612">
                  <c:v>0.2</c:v>
                </c:pt>
                <c:pt idx="613">
                  <c:v>0.15</c:v>
                </c:pt>
                <c:pt idx="614">
                  <c:v>0.1</c:v>
                </c:pt>
                <c:pt idx="615">
                  <c:v>0.05</c:v>
                </c:pt>
                <c:pt idx="616">
                  <c:v>0</c:v>
                </c:pt>
                <c:pt idx="617">
                  <c:v>0.15</c:v>
                </c:pt>
                <c:pt idx="618">
                  <c:v>0.05</c:v>
                </c:pt>
                <c:pt idx="619">
                  <c:v>0.05</c:v>
                </c:pt>
                <c:pt idx="620">
                  <c:v>0.1</c:v>
                </c:pt>
                <c:pt idx="621">
                  <c:v>0.05</c:v>
                </c:pt>
                <c:pt idx="622">
                  <c:v>0</c:v>
                </c:pt>
                <c:pt idx="623">
                  <c:v>0.15</c:v>
                </c:pt>
                <c:pt idx="624">
                  <c:v>0</c:v>
                </c:pt>
                <c:pt idx="625">
                  <c:v>0.05</c:v>
                </c:pt>
                <c:pt idx="626">
                  <c:v>0</c:v>
                </c:pt>
                <c:pt idx="627">
                  <c:v>0.05</c:v>
                </c:pt>
                <c:pt idx="628">
                  <c:v>0.2</c:v>
                </c:pt>
                <c:pt idx="629">
                  <c:v>0.1</c:v>
                </c:pt>
                <c:pt idx="630">
                  <c:v>0.05</c:v>
                </c:pt>
                <c:pt idx="631">
                  <c:v>0</c:v>
                </c:pt>
                <c:pt idx="632">
                  <c:v>0.1</c:v>
                </c:pt>
                <c:pt idx="633">
                  <c:v>0.1</c:v>
                </c:pt>
                <c:pt idx="634">
                  <c:v>0.05</c:v>
                </c:pt>
                <c:pt idx="635">
                  <c:v>0</c:v>
                </c:pt>
                <c:pt idx="636">
                  <c:v>0</c:v>
                </c:pt>
                <c:pt idx="637">
                  <c:v>0.1</c:v>
                </c:pt>
                <c:pt idx="638">
                  <c:v>0.05</c:v>
                </c:pt>
                <c:pt idx="639">
                  <c:v>0.05</c:v>
                </c:pt>
                <c:pt idx="640">
                  <c:v>0.05</c:v>
                </c:pt>
                <c:pt idx="641">
                  <c:v>0.15</c:v>
                </c:pt>
                <c:pt idx="642">
                  <c:v>0.05</c:v>
                </c:pt>
                <c:pt idx="643">
                  <c:v>0.05</c:v>
                </c:pt>
                <c:pt idx="644">
                  <c:v>0</c:v>
                </c:pt>
                <c:pt idx="645">
                  <c:v>0.15</c:v>
                </c:pt>
                <c:pt idx="646">
                  <c:v>0</c:v>
                </c:pt>
                <c:pt idx="647">
                  <c:v>0.2</c:v>
                </c:pt>
                <c:pt idx="648">
                  <c:v>0.2</c:v>
                </c:pt>
                <c:pt idx="649">
                  <c:v>0.05</c:v>
                </c:pt>
                <c:pt idx="650">
                  <c:v>0.2</c:v>
                </c:pt>
                <c:pt idx="651">
                  <c:v>0.1</c:v>
                </c:pt>
                <c:pt idx="652">
                  <c:v>0</c:v>
                </c:pt>
                <c:pt idx="653">
                  <c:v>0.1</c:v>
                </c:pt>
                <c:pt idx="654">
                  <c:v>0.2</c:v>
                </c:pt>
                <c:pt idx="655">
                  <c:v>0.25</c:v>
                </c:pt>
                <c:pt idx="656">
                  <c:v>0.05</c:v>
                </c:pt>
                <c:pt idx="657">
                  <c:v>0.1</c:v>
                </c:pt>
                <c:pt idx="658">
                  <c:v>0.15</c:v>
                </c:pt>
                <c:pt idx="659">
                  <c:v>0.05</c:v>
                </c:pt>
                <c:pt idx="660">
                  <c:v>0.05</c:v>
                </c:pt>
                <c:pt idx="661">
                  <c:v>0</c:v>
                </c:pt>
                <c:pt idx="662">
                  <c:v>0.1</c:v>
                </c:pt>
                <c:pt idx="663">
                  <c:v>0.05</c:v>
                </c:pt>
                <c:pt idx="664">
                  <c:v>0</c:v>
                </c:pt>
                <c:pt idx="665">
                  <c:v>0.05</c:v>
                </c:pt>
                <c:pt idx="666">
                  <c:v>0</c:v>
                </c:pt>
                <c:pt idx="667">
                  <c:v>0</c:v>
                </c:pt>
                <c:pt idx="668">
                  <c:v>0.15</c:v>
                </c:pt>
                <c:pt idx="669">
                  <c:v>0.1</c:v>
                </c:pt>
                <c:pt idx="670">
                  <c:v>0</c:v>
                </c:pt>
                <c:pt idx="671">
                  <c:v>0</c:v>
                </c:pt>
                <c:pt idx="672">
                  <c:v>0</c:v>
                </c:pt>
                <c:pt idx="673">
                  <c:v>0.15</c:v>
                </c:pt>
                <c:pt idx="674">
                  <c:v>0</c:v>
                </c:pt>
                <c:pt idx="675">
                  <c:v>0.1</c:v>
                </c:pt>
                <c:pt idx="676">
                  <c:v>0.15</c:v>
                </c:pt>
                <c:pt idx="677">
                  <c:v>0.1</c:v>
                </c:pt>
                <c:pt idx="678">
                  <c:v>0.1</c:v>
                </c:pt>
                <c:pt idx="679">
                  <c:v>0.05</c:v>
                </c:pt>
                <c:pt idx="680">
                  <c:v>0</c:v>
                </c:pt>
                <c:pt idx="681">
                  <c:v>0.1</c:v>
                </c:pt>
                <c:pt idx="682">
                  <c:v>0.2</c:v>
                </c:pt>
                <c:pt idx="683">
                  <c:v>0.15</c:v>
                </c:pt>
                <c:pt idx="684">
                  <c:v>0.1</c:v>
                </c:pt>
                <c:pt idx="685">
                  <c:v>0</c:v>
                </c:pt>
                <c:pt idx="686">
                  <c:v>0.05</c:v>
                </c:pt>
                <c:pt idx="687">
                  <c:v>0.15</c:v>
                </c:pt>
                <c:pt idx="688">
                  <c:v>0.1</c:v>
                </c:pt>
                <c:pt idx="689">
                  <c:v>0.05</c:v>
                </c:pt>
                <c:pt idx="690">
                  <c:v>0.1</c:v>
                </c:pt>
                <c:pt idx="691">
                  <c:v>0.1</c:v>
                </c:pt>
                <c:pt idx="692">
                  <c:v>0</c:v>
                </c:pt>
                <c:pt idx="693">
                  <c:v>0.1</c:v>
                </c:pt>
                <c:pt idx="694">
                  <c:v>0.05</c:v>
                </c:pt>
                <c:pt idx="695">
                  <c:v>0</c:v>
                </c:pt>
                <c:pt idx="696">
                  <c:v>0</c:v>
                </c:pt>
                <c:pt idx="697">
                  <c:v>0.05</c:v>
                </c:pt>
                <c:pt idx="698">
                  <c:v>0.1</c:v>
                </c:pt>
                <c:pt idx="699">
                  <c:v>0.15</c:v>
                </c:pt>
                <c:pt idx="700">
                  <c:v>0.1</c:v>
                </c:pt>
                <c:pt idx="701">
                  <c:v>0</c:v>
                </c:pt>
                <c:pt idx="702">
                  <c:v>0.05</c:v>
                </c:pt>
                <c:pt idx="703">
                  <c:v>0.1</c:v>
                </c:pt>
                <c:pt idx="704">
                  <c:v>0.15</c:v>
                </c:pt>
                <c:pt idx="705">
                  <c:v>0</c:v>
                </c:pt>
                <c:pt idx="706">
                  <c:v>0.15</c:v>
                </c:pt>
                <c:pt idx="707">
                  <c:v>0</c:v>
                </c:pt>
                <c:pt idx="708">
                  <c:v>0</c:v>
                </c:pt>
                <c:pt idx="709">
                  <c:v>0</c:v>
                </c:pt>
                <c:pt idx="710">
                  <c:v>0.1</c:v>
                </c:pt>
                <c:pt idx="711">
                  <c:v>0.15</c:v>
                </c:pt>
                <c:pt idx="712">
                  <c:v>0.05</c:v>
                </c:pt>
                <c:pt idx="713">
                  <c:v>0.05</c:v>
                </c:pt>
                <c:pt idx="714">
                  <c:v>0.05</c:v>
                </c:pt>
                <c:pt idx="715">
                  <c:v>0.15</c:v>
                </c:pt>
                <c:pt idx="716">
                  <c:v>0.2</c:v>
                </c:pt>
                <c:pt idx="717">
                  <c:v>0</c:v>
                </c:pt>
                <c:pt idx="718">
                  <c:v>0.15</c:v>
                </c:pt>
                <c:pt idx="719">
                  <c:v>0.2</c:v>
                </c:pt>
                <c:pt idx="720">
                  <c:v>0</c:v>
                </c:pt>
                <c:pt idx="721">
                  <c:v>0.15</c:v>
                </c:pt>
                <c:pt idx="722">
                  <c:v>0.1</c:v>
                </c:pt>
                <c:pt idx="723">
                  <c:v>0.1</c:v>
                </c:pt>
                <c:pt idx="724">
                  <c:v>0.05</c:v>
                </c:pt>
                <c:pt idx="725">
                  <c:v>0.1</c:v>
                </c:pt>
                <c:pt idx="726">
                  <c:v>0</c:v>
                </c:pt>
                <c:pt idx="727">
                  <c:v>0.05</c:v>
                </c:pt>
                <c:pt idx="728">
                  <c:v>0.05</c:v>
                </c:pt>
                <c:pt idx="729">
                  <c:v>0.1</c:v>
                </c:pt>
                <c:pt idx="730">
                  <c:v>0</c:v>
                </c:pt>
                <c:pt idx="731">
                  <c:v>0.05</c:v>
                </c:pt>
                <c:pt idx="732">
                  <c:v>0.05</c:v>
                </c:pt>
                <c:pt idx="733">
                  <c:v>0</c:v>
                </c:pt>
                <c:pt idx="734">
                  <c:v>0</c:v>
                </c:pt>
                <c:pt idx="735">
                  <c:v>0</c:v>
                </c:pt>
                <c:pt idx="736">
                  <c:v>0</c:v>
                </c:pt>
                <c:pt idx="737">
                  <c:v>0.05</c:v>
                </c:pt>
                <c:pt idx="738">
                  <c:v>0.05</c:v>
                </c:pt>
                <c:pt idx="739">
                  <c:v>0.05</c:v>
                </c:pt>
                <c:pt idx="740">
                  <c:v>0.05</c:v>
                </c:pt>
                <c:pt idx="741">
                  <c:v>0.1</c:v>
                </c:pt>
                <c:pt idx="742">
                  <c:v>0</c:v>
                </c:pt>
                <c:pt idx="743">
                  <c:v>0.1</c:v>
                </c:pt>
                <c:pt idx="744">
                  <c:v>0.15</c:v>
                </c:pt>
                <c:pt idx="745">
                  <c:v>0.15</c:v>
                </c:pt>
                <c:pt idx="746">
                  <c:v>0</c:v>
                </c:pt>
                <c:pt idx="747">
                  <c:v>0.05</c:v>
                </c:pt>
                <c:pt idx="748">
                  <c:v>0</c:v>
                </c:pt>
                <c:pt idx="749">
                  <c:v>0.15</c:v>
                </c:pt>
                <c:pt idx="750">
                  <c:v>0</c:v>
                </c:pt>
                <c:pt idx="751">
                  <c:v>0.05</c:v>
                </c:pt>
                <c:pt idx="752">
                  <c:v>0</c:v>
                </c:pt>
                <c:pt idx="753">
                  <c:v>0</c:v>
                </c:pt>
                <c:pt idx="754">
                  <c:v>0.2</c:v>
                </c:pt>
                <c:pt idx="755">
                  <c:v>0.1</c:v>
                </c:pt>
                <c:pt idx="756">
                  <c:v>0.2</c:v>
                </c:pt>
                <c:pt idx="757">
                  <c:v>0.1</c:v>
                </c:pt>
                <c:pt idx="758">
                  <c:v>0.1</c:v>
                </c:pt>
                <c:pt idx="759">
                  <c:v>0</c:v>
                </c:pt>
                <c:pt idx="760">
                  <c:v>0.2</c:v>
                </c:pt>
                <c:pt idx="761">
                  <c:v>0.15</c:v>
                </c:pt>
                <c:pt idx="762">
                  <c:v>0.1</c:v>
                </c:pt>
                <c:pt idx="763">
                  <c:v>0.05</c:v>
                </c:pt>
                <c:pt idx="764">
                  <c:v>0.15</c:v>
                </c:pt>
                <c:pt idx="765">
                  <c:v>0.1</c:v>
                </c:pt>
                <c:pt idx="766">
                  <c:v>0.2</c:v>
                </c:pt>
                <c:pt idx="767">
                  <c:v>0</c:v>
                </c:pt>
                <c:pt idx="768">
                  <c:v>0.1</c:v>
                </c:pt>
                <c:pt idx="769">
                  <c:v>0.15</c:v>
                </c:pt>
                <c:pt idx="770">
                  <c:v>0.1</c:v>
                </c:pt>
                <c:pt idx="771">
                  <c:v>0.1</c:v>
                </c:pt>
                <c:pt idx="772">
                  <c:v>0</c:v>
                </c:pt>
                <c:pt idx="773">
                  <c:v>0</c:v>
                </c:pt>
                <c:pt idx="774">
                  <c:v>0</c:v>
                </c:pt>
                <c:pt idx="775">
                  <c:v>0</c:v>
                </c:pt>
                <c:pt idx="776">
                  <c:v>0.1</c:v>
                </c:pt>
                <c:pt idx="777">
                  <c:v>0.05</c:v>
                </c:pt>
                <c:pt idx="778">
                  <c:v>0.2</c:v>
                </c:pt>
                <c:pt idx="779">
                  <c:v>0</c:v>
                </c:pt>
                <c:pt idx="780">
                  <c:v>0.2</c:v>
                </c:pt>
                <c:pt idx="781">
                  <c:v>0.2</c:v>
                </c:pt>
                <c:pt idx="782">
                  <c:v>0</c:v>
                </c:pt>
                <c:pt idx="783">
                  <c:v>0.15</c:v>
                </c:pt>
                <c:pt idx="784">
                  <c:v>0.05</c:v>
                </c:pt>
                <c:pt idx="785">
                  <c:v>0.2</c:v>
                </c:pt>
                <c:pt idx="786">
                  <c:v>0.05</c:v>
                </c:pt>
                <c:pt idx="787">
                  <c:v>0</c:v>
                </c:pt>
                <c:pt idx="788">
                  <c:v>0.15</c:v>
                </c:pt>
                <c:pt idx="789">
                  <c:v>0</c:v>
                </c:pt>
                <c:pt idx="790">
                  <c:v>0</c:v>
                </c:pt>
                <c:pt idx="791">
                  <c:v>0</c:v>
                </c:pt>
                <c:pt idx="792">
                  <c:v>0</c:v>
                </c:pt>
                <c:pt idx="793">
                  <c:v>0.1</c:v>
                </c:pt>
                <c:pt idx="794">
                  <c:v>0.15</c:v>
                </c:pt>
                <c:pt idx="795">
                  <c:v>0.05</c:v>
                </c:pt>
                <c:pt idx="796">
                  <c:v>0.2</c:v>
                </c:pt>
                <c:pt idx="797">
                  <c:v>0</c:v>
                </c:pt>
                <c:pt idx="798">
                  <c:v>0</c:v>
                </c:pt>
                <c:pt idx="799">
                  <c:v>0.05</c:v>
                </c:pt>
                <c:pt idx="800">
                  <c:v>0</c:v>
                </c:pt>
                <c:pt idx="801">
                  <c:v>0</c:v>
                </c:pt>
                <c:pt idx="802">
                  <c:v>0.1</c:v>
                </c:pt>
                <c:pt idx="803">
                  <c:v>0.1</c:v>
                </c:pt>
                <c:pt idx="804">
                  <c:v>0</c:v>
                </c:pt>
                <c:pt idx="805">
                  <c:v>0.05</c:v>
                </c:pt>
                <c:pt idx="806">
                  <c:v>0</c:v>
                </c:pt>
                <c:pt idx="807">
                  <c:v>0.1</c:v>
                </c:pt>
                <c:pt idx="808">
                  <c:v>0.05</c:v>
                </c:pt>
                <c:pt idx="809">
                  <c:v>0</c:v>
                </c:pt>
                <c:pt idx="810">
                  <c:v>0.1</c:v>
                </c:pt>
                <c:pt idx="811">
                  <c:v>0.05</c:v>
                </c:pt>
                <c:pt idx="812">
                  <c:v>0</c:v>
                </c:pt>
                <c:pt idx="813">
                  <c:v>0</c:v>
                </c:pt>
                <c:pt idx="814">
                  <c:v>0.1</c:v>
                </c:pt>
                <c:pt idx="815">
                  <c:v>0.15</c:v>
                </c:pt>
                <c:pt idx="816">
                  <c:v>0.2</c:v>
                </c:pt>
                <c:pt idx="817">
                  <c:v>0.15</c:v>
                </c:pt>
                <c:pt idx="818">
                  <c:v>0.15</c:v>
                </c:pt>
                <c:pt idx="819">
                  <c:v>0</c:v>
                </c:pt>
                <c:pt idx="820">
                  <c:v>0.15</c:v>
                </c:pt>
                <c:pt idx="821">
                  <c:v>0.1</c:v>
                </c:pt>
                <c:pt idx="822">
                  <c:v>0.05</c:v>
                </c:pt>
                <c:pt idx="823">
                  <c:v>0.1</c:v>
                </c:pt>
                <c:pt idx="824">
                  <c:v>0.05</c:v>
                </c:pt>
                <c:pt idx="825">
                  <c:v>0</c:v>
                </c:pt>
                <c:pt idx="826">
                  <c:v>0</c:v>
                </c:pt>
                <c:pt idx="827">
                  <c:v>0.15</c:v>
                </c:pt>
                <c:pt idx="828">
                  <c:v>0</c:v>
                </c:pt>
                <c:pt idx="829">
                  <c:v>0</c:v>
                </c:pt>
                <c:pt idx="830">
                  <c:v>0.15</c:v>
                </c:pt>
                <c:pt idx="831">
                  <c:v>0.1</c:v>
                </c:pt>
                <c:pt idx="832">
                  <c:v>0</c:v>
                </c:pt>
                <c:pt idx="833">
                  <c:v>0.05</c:v>
                </c:pt>
                <c:pt idx="834">
                  <c:v>0.05</c:v>
                </c:pt>
                <c:pt idx="835">
                  <c:v>0.05</c:v>
                </c:pt>
                <c:pt idx="836">
                  <c:v>0.15</c:v>
                </c:pt>
                <c:pt idx="837">
                  <c:v>0.05</c:v>
                </c:pt>
                <c:pt idx="838">
                  <c:v>0.1</c:v>
                </c:pt>
                <c:pt idx="839">
                  <c:v>0</c:v>
                </c:pt>
                <c:pt idx="840">
                  <c:v>0.1</c:v>
                </c:pt>
                <c:pt idx="841">
                  <c:v>0.05</c:v>
                </c:pt>
                <c:pt idx="842">
                  <c:v>0.1</c:v>
                </c:pt>
                <c:pt idx="843">
                  <c:v>0.15</c:v>
                </c:pt>
                <c:pt idx="844">
                  <c:v>0.05</c:v>
                </c:pt>
                <c:pt idx="845">
                  <c:v>0</c:v>
                </c:pt>
                <c:pt idx="846">
                  <c:v>0.05</c:v>
                </c:pt>
                <c:pt idx="847">
                  <c:v>0.05</c:v>
                </c:pt>
                <c:pt idx="848">
                  <c:v>0.15</c:v>
                </c:pt>
                <c:pt idx="849">
                  <c:v>0.1</c:v>
                </c:pt>
                <c:pt idx="850">
                  <c:v>0.1</c:v>
                </c:pt>
                <c:pt idx="851">
                  <c:v>0.1</c:v>
                </c:pt>
                <c:pt idx="852">
                  <c:v>0</c:v>
                </c:pt>
                <c:pt idx="853">
                  <c:v>0.15</c:v>
                </c:pt>
                <c:pt idx="854">
                  <c:v>0.05</c:v>
                </c:pt>
                <c:pt idx="855">
                  <c:v>0.1</c:v>
                </c:pt>
                <c:pt idx="856">
                  <c:v>0.1</c:v>
                </c:pt>
                <c:pt idx="857">
                  <c:v>0</c:v>
                </c:pt>
                <c:pt idx="858">
                  <c:v>0</c:v>
                </c:pt>
                <c:pt idx="859">
                  <c:v>0.15</c:v>
                </c:pt>
                <c:pt idx="860">
                  <c:v>0.1</c:v>
                </c:pt>
                <c:pt idx="861">
                  <c:v>0.1</c:v>
                </c:pt>
                <c:pt idx="862">
                  <c:v>0</c:v>
                </c:pt>
                <c:pt idx="863">
                  <c:v>0</c:v>
                </c:pt>
                <c:pt idx="864">
                  <c:v>0.1</c:v>
                </c:pt>
                <c:pt idx="865">
                  <c:v>0.2</c:v>
                </c:pt>
                <c:pt idx="866">
                  <c:v>0.1</c:v>
                </c:pt>
                <c:pt idx="867">
                  <c:v>0.1</c:v>
                </c:pt>
                <c:pt idx="868">
                  <c:v>0.05</c:v>
                </c:pt>
                <c:pt idx="869">
                  <c:v>0.1</c:v>
                </c:pt>
                <c:pt idx="870">
                  <c:v>0.05</c:v>
                </c:pt>
                <c:pt idx="871">
                  <c:v>0.15</c:v>
                </c:pt>
                <c:pt idx="872">
                  <c:v>0</c:v>
                </c:pt>
                <c:pt idx="873">
                  <c:v>0.15</c:v>
                </c:pt>
                <c:pt idx="874">
                  <c:v>0</c:v>
                </c:pt>
                <c:pt idx="875">
                  <c:v>0</c:v>
                </c:pt>
                <c:pt idx="876">
                  <c:v>0.1</c:v>
                </c:pt>
                <c:pt idx="877">
                  <c:v>0.1</c:v>
                </c:pt>
                <c:pt idx="878">
                  <c:v>0.05</c:v>
                </c:pt>
                <c:pt idx="879">
                  <c:v>0.15</c:v>
                </c:pt>
                <c:pt idx="880">
                  <c:v>0.05</c:v>
                </c:pt>
                <c:pt idx="881">
                  <c:v>0</c:v>
                </c:pt>
                <c:pt idx="882">
                  <c:v>0</c:v>
                </c:pt>
                <c:pt idx="883">
                  <c:v>0.1</c:v>
                </c:pt>
                <c:pt idx="884">
                  <c:v>0.2</c:v>
                </c:pt>
                <c:pt idx="885">
                  <c:v>0.15</c:v>
                </c:pt>
                <c:pt idx="886">
                  <c:v>0</c:v>
                </c:pt>
                <c:pt idx="887">
                  <c:v>0.05</c:v>
                </c:pt>
                <c:pt idx="888">
                  <c:v>0</c:v>
                </c:pt>
                <c:pt idx="889">
                  <c:v>0</c:v>
                </c:pt>
                <c:pt idx="890">
                  <c:v>0.1</c:v>
                </c:pt>
                <c:pt idx="891">
                  <c:v>0.2</c:v>
                </c:pt>
                <c:pt idx="892">
                  <c:v>0.2</c:v>
                </c:pt>
                <c:pt idx="893">
                  <c:v>0.15</c:v>
                </c:pt>
                <c:pt idx="894">
                  <c:v>0.1</c:v>
                </c:pt>
                <c:pt idx="895">
                  <c:v>0.15</c:v>
                </c:pt>
                <c:pt idx="896">
                  <c:v>0.2</c:v>
                </c:pt>
                <c:pt idx="897">
                  <c:v>0.15</c:v>
                </c:pt>
                <c:pt idx="898">
                  <c:v>0.15</c:v>
                </c:pt>
                <c:pt idx="899">
                  <c:v>0.1</c:v>
                </c:pt>
                <c:pt idx="900">
                  <c:v>0.1</c:v>
                </c:pt>
                <c:pt idx="901">
                  <c:v>0.05</c:v>
                </c:pt>
                <c:pt idx="902">
                  <c:v>0.2</c:v>
                </c:pt>
                <c:pt idx="903">
                  <c:v>0.1</c:v>
                </c:pt>
                <c:pt idx="904">
                  <c:v>0</c:v>
                </c:pt>
                <c:pt idx="905">
                  <c:v>0.1</c:v>
                </c:pt>
                <c:pt idx="906">
                  <c:v>0.1</c:v>
                </c:pt>
                <c:pt idx="907">
                  <c:v>0.15</c:v>
                </c:pt>
                <c:pt idx="908">
                  <c:v>0.1</c:v>
                </c:pt>
                <c:pt idx="909">
                  <c:v>0.15</c:v>
                </c:pt>
                <c:pt idx="910">
                  <c:v>0.05</c:v>
                </c:pt>
                <c:pt idx="911">
                  <c:v>0.1</c:v>
                </c:pt>
                <c:pt idx="912">
                  <c:v>0.15</c:v>
                </c:pt>
                <c:pt idx="913">
                  <c:v>0.2</c:v>
                </c:pt>
                <c:pt idx="914">
                  <c:v>0</c:v>
                </c:pt>
                <c:pt idx="915">
                  <c:v>0.05</c:v>
                </c:pt>
                <c:pt idx="916">
                  <c:v>0.15</c:v>
                </c:pt>
                <c:pt idx="917">
                  <c:v>0.1</c:v>
                </c:pt>
                <c:pt idx="918">
                  <c:v>0.05</c:v>
                </c:pt>
                <c:pt idx="919">
                  <c:v>0.05</c:v>
                </c:pt>
                <c:pt idx="920">
                  <c:v>0.15</c:v>
                </c:pt>
                <c:pt idx="921">
                  <c:v>0.05</c:v>
                </c:pt>
                <c:pt idx="922">
                  <c:v>0.2</c:v>
                </c:pt>
                <c:pt idx="923">
                  <c:v>0.05</c:v>
                </c:pt>
                <c:pt idx="924">
                  <c:v>0.1</c:v>
                </c:pt>
                <c:pt idx="925">
                  <c:v>0.2</c:v>
                </c:pt>
                <c:pt idx="926">
                  <c:v>0.1</c:v>
                </c:pt>
                <c:pt idx="927">
                  <c:v>0</c:v>
                </c:pt>
                <c:pt idx="928">
                  <c:v>0</c:v>
                </c:pt>
                <c:pt idx="929">
                  <c:v>0</c:v>
                </c:pt>
                <c:pt idx="930">
                  <c:v>0</c:v>
                </c:pt>
                <c:pt idx="931">
                  <c:v>0.05</c:v>
                </c:pt>
                <c:pt idx="932">
                  <c:v>0.05</c:v>
                </c:pt>
                <c:pt idx="933">
                  <c:v>0.05</c:v>
                </c:pt>
                <c:pt idx="934">
                  <c:v>0.15</c:v>
                </c:pt>
                <c:pt idx="935">
                  <c:v>0.05</c:v>
                </c:pt>
                <c:pt idx="936">
                  <c:v>0</c:v>
                </c:pt>
                <c:pt idx="937">
                  <c:v>0.15</c:v>
                </c:pt>
                <c:pt idx="938">
                  <c:v>0.1</c:v>
                </c:pt>
                <c:pt idx="939">
                  <c:v>0.1</c:v>
                </c:pt>
                <c:pt idx="940">
                  <c:v>0.1</c:v>
                </c:pt>
                <c:pt idx="941">
                  <c:v>0.05</c:v>
                </c:pt>
                <c:pt idx="942">
                  <c:v>0</c:v>
                </c:pt>
                <c:pt idx="943">
                  <c:v>0</c:v>
                </c:pt>
                <c:pt idx="944">
                  <c:v>0</c:v>
                </c:pt>
                <c:pt idx="945">
                  <c:v>0.05</c:v>
                </c:pt>
                <c:pt idx="946">
                  <c:v>0.05</c:v>
                </c:pt>
                <c:pt idx="947">
                  <c:v>0.15</c:v>
                </c:pt>
                <c:pt idx="948">
                  <c:v>0.1</c:v>
                </c:pt>
                <c:pt idx="949">
                  <c:v>0</c:v>
                </c:pt>
                <c:pt idx="950">
                  <c:v>0.05</c:v>
                </c:pt>
                <c:pt idx="951">
                  <c:v>0</c:v>
                </c:pt>
                <c:pt idx="952">
                  <c:v>0.2</c:v>
                </c:pt>
                <c:pt idx="953">
                  <c:v>0</c:v>
                </c:pt>
                <c:pt idx="954">
                  <c:v>0.05</c:v>
                </c:pt>
                <c:pt idx="955">
                  <c:v>0.15</c:v>
                </c:pt>
                <c:pt idx="956">
                  <c:v>0</c:v>
                </c:pt>
                <c:pt idx="957">
                  <c:v>0.05</c:v>
                </c:pt>
                <c:pt idx="958">
                  <c:v>0.15</c:v>
                </c:pt>
                <c:pt idx="959">
                  <c:v>0</c:v>
                </c:pt>
                <c:pt idx="960">
                  <c:v>0.05</c:v>
                </c:pt>
                <c:pt idx="961">
                  <c:v>0.05</c:v>
                </c:pt>
                <c:pt idx="962">
                  <c:v>0</c:v>
                </c:pt>
                <c:pt idx="963">
                  <c:v>0.05</c:v>
                </c:pt>
                <c:pt idx="964">
                  <c:v>0.2</c:v>
                </c:pt>
                <c:pt idx="965">
                  <c:v>0</c:v>
                </c:pt>
                <c:pt idx="966">
                  <c:v>0.1</c:v>
                </c:pt>
                <c:pt idx="967">
                  <c:v>0.1</c:v>
                </c:pt>
                <c:pt idx="968">
                  <c:v>0.1</c:v>
                </c:pt>
                <c:pt idx="969">
                  <c:v>0.1</c:v>
                </c:pt>
                <c:pt idx="970">
                  <c:v>0.15</c:v>
                </c:pt>
                <c:pt idx="971">
                  <c:v>0.05</c:v>
                </c:pt>
                <c:pt idx="972">
                  <c:v>0.05</c:v>
                </c:pt>
                <c:pt idx="973">
                  <c:v>0.1</c:v>
                </c:pt>
                <c:pt idx="974">
                  <c:v>0.1</c:v>
                </c:pt>
                <c:pt idx="975">
                  <c:v>0</c:v>
                </c:pt>
                <c:pt idx="976">
                  <c:v>0</c:v>
                </c:pt>
                <c:pt idx="977">
                  <c:v>0.15</c:v>
                </c:pt>
                <c:pt idx="978">
                  <c:v>0.1</c:v>
                </c:pt>
                <c:pt idx="979">
                  <c:v>0.2</c:v>
                </c:pt>
                <c:pt idx="980">
                  <c:v>0.15</c:v>
                </c:pt>
                <c:pt idx="981">
                  <c:v>0.15</c:v>
                </c:pt>
                <c:pt idx="982">
                  <c:v>0.15</c:v>
                </c:pt>
                <c:pt idx="983">
                  <c:v>0.1</c:v>
                </c:pt>
                <c:pt idx="984">
                  <c:v>0.1</c:v>
                </c:pt>
                <c:pt idx="985">
                  <c:v>0.1</c:v>
                </c:pt>
                <c:pt idx="986">
                  <c:v>0.05</c:v>
                </c:pt>
                <c:pt idx="987">
                  <c:v>0</c:v>
                </c:pt>
                <c:pt idx="988">
                  <c:v>0.1</c:v>
                </c:pt>
                <c:pt idx="989">
                  <c:v>0.15</c:v>
                </c:pt>
                <c:pt idx="990">
                  <c:v>0.05</c:v>
                </c:pt>
                <c:pt idx="991">
                  <c:v>0</c:v>
                </c:pt>
                <c:pt idx="992">
                  <c:v>0.15</c:v>
                </c:pt>
                <c:pt idx="993">
                  <c:v>0.05</c:v>
                </c:pt>
                <c:pt idx="994">
                  <c:v>0.1</c:v>
                </c:pt>
                <c:pt idx="995">
                  <c:v>0.1</c:v>
                </c:pt>
                <c:pt idx="996">
                  <c:v>0</c:v>
                </c:pt>
                <c:pt idx="997">
                  <c:v>0.1</c:v>
                </c:pt>
                <c:pt idx="998">
                  <c:v>0</c:v>
                </c:pt>
                <c:pt idx="999">
                  <c:v>0.1</c:v>
                </c:pt>
                <c:pt idx="1000">
                  <c:v>0</c:v>
                </c:pt>
                <c:pt idx="1001">
                  <c:v>0.1</c:v>
                </c:pt>
                <c:pt idx="1002">
                  <c:v>0.05</c:v>
                </c:pt>
                <c:pt idx="1003">
                  <c:v>0</c:v>
                </c:pt>
                <c:pt idx="1004">
                  <c:v>0.2</c:v>
                </c:pt>
                <c:pt idx="1005">
                  <c:v>0</c:v>
                </c:pt>
                <c:pt idx="1006">
                  <c:v>0.1</c:v>
                </c:pt>
                <c:pt idx="1007">
                  <c:v>0.2</c:v>
                </c:pt>
                <c:pt idx="1008">
                  <c:v>0.15</c:v>
                </c:pt>
                <c:pt idx="1009">
                  <c:v>0.05</c:v>
                </c:pt>
                <c:pt idx="1010">
                  <c:v>0.2</c:v>
                </c:pt>
                <c:pt idx="1011">
                  <c:v>0.15</c:v>
                </c:pt>
                <c:pt idx="1012">
                  <c:v>0.05</c:v>
                </c:pt>
                <c:pt idx="1013">
                  <c:v>0</c:v>
                </c:pt>
                <c:pt idx="1014">
                  <c:v>0</c:v>
                </c:pt>
                <c:pt idx="1015">
                  <c:v>0.05</c:v>
                </c:pt>
                <c:pt idx="1016">
                  <c:v>0.15</c:v>
                </c:pt>
                <c:pt idx="1017">
                  <c:v>0.2</c:v>
                </c:pt>
                <c:pt idx="1018">
                  <c:v>0.15</c:v>
                </c:pt>
                <c:pt idx="1019">
                  <c:v>0</c:v>
                </c:pt>
                <c:pt idx="1020">
                  <c:v>0.2</c:v>
                </c:pt>
                <c:pt idx="1021">
                  <c:v>0.1</c:v>
                </c:pt>
                <c:pt idx="1022">
                  <c:v>0.05</c:v>
                </c:pt>
                <c:pt idx="1023">
                  <c:v>0</c:v>
                </c:pt>
                <c:pt idx="1024">
                  <c:v>0</c:v>
                </c:pt>
                <c:pt idx="1025">
                  <c:v>0.05</c:v>
                </c:pt>
                <c:pt idx="1026">
                  <c:v>0.05</c:v>
                </c:pt>
                <c:pt idx="1027">
                  <c:v>0.05</c:v>
                </c:pt>
                <c:pt idx="1028">
                  <c:v>0.15</c:v>
                </c:pt>
                <c:pt idx="1029">
                  <c:v>0.1</c:v>
                </c:pt>
                <c:pt idx="1030">
                  <c:v>0.05</c:v>
                </c:pt>
                <c:pt idx="1031">
                  <c:v>0.1</c:v>
                </c:pt>
                <c:pt idx="1032">
                  <c:v>0</c:v>
                </c:pt>
                <c:pt idx="1033">
                  <c:v>0</c:v>
                </c:pt>
                <c:pt idx="1034">
                  <c:v>0.25</c:v>
                </c:pt>
                <c:pt idx="1035">
                  <c:v>0</c:v>
                </c:pt>
                <c:pt idx="1036">
                  <c:v>0.2</c:v>
                </c:pt>
                <c:pt idx="1037">
                  <c:v>0</c:v>
                </c:pt>
                <c:pt idx="1038">
                  <c:v>0</c:v>
                </c:pt>
                <c:pt idx="1039">
                  <c:v>0.05</c:v>
                </c:pt>
                <c:pt idx="1040">
                  <c:v>0.2</c:v>
                </c:pt>
                <c:pt idx="1041">
                  <c:v>0</c:v>
                </c:pt>
                <c:pt idx="1042">
                  <c:v>0.15</c:v>
                </c:pt>
                <c:pt idx="1043">
                  <c:v>0.05</c:v>
                </c:pt>
                <c:pt idx="1044">
                  <c:v>0.05</c:v>
                </c:pt>
                <c:pt idx="1045">
                  <c:v>0.05</c:v>
                </c:pt>
                <c:pt idx="1046">
                  <c:v>0</c:v>
                </c:pt>
                <c:pt idx="1047">
                  <c:v>0</c:v>
                </c:pt>
                <c:pt idx="1048">
                  <c:v>0.05</c:v>
                </c:pt>
                <c:pt idx="1049">
                  <c:v>0.1</c:v>
                </c:pt>
                <c:pt idx="1050">
                  <c:v>0.25</c:v>
                </c:pt>
                <c:pt idx="1051">
                  <c:v>0.1</c:v>
                </c:pt>
                <c:pt idx="1052">
                  <c:v>0.2</c:v>
                </c:pt>
                <c:pt idx="1053">
                  <c:v>0</c:v>
                </c:pt>
                <c:pt idx="1054">
                  <c:v>0.15</c:v>
                </c:pt>
                <c:pt idx="1055">
                  <c:v>0.05</c:v>
                </c:pt>
                <c:pt idx="1056">
                  <c:v>0</c:v>
                </c:pt>
                <c:pt idx="1057">
                  <c:v>0.05</c:v>
                </c:pt>
                <c:pt idx="1058">
                  <c:v>0</c:v>
                </c:pt>
                <c:pt idx="1059">
                  <c:v>0.15</c:v>
                </c:pt>
                <c:pt idx="1060">
                  <c:v>0.1</c:v>
                </c:pt>
                <c:pt idx="1061">
                  <c:v>0</c:v>
                </c:pt>
                <c:pt idx="1062">
                  <c:v>0.1</c:v>
                </c:pt>
                <c:pt idx="1063">
                  <c:v>0.1</c:v>
                </c:pt>
                <c:pt idx="1064">
                  <c:v>0.1</c:v>
                </c:pt>
                <c:pt idx="1065">
                  <c:v>0</c:v>
                </c:pt>
                <c:pt idx="1066">
                  <c:v>0</c:v>
                </c:pt>
                <c:pt idx="1067">
                  <c:v>0</c:v>
                </c:pt>
                <c:pt idx="1068">
                  <c:v>0.05</c:v>
                </c:pt>
                <c:pt idx="1069">
                  <c:v>0.2</c:v>
                </c:pt>
                <c:pt idx="1070">
                  <c:v>0.05</c:v>
                </c:pt>
                <c:pt idx="1071">
                  <c:v>0.05</c:v>
                </c:pt>
                <c:pt idx="1072">
                  <c:v>0</c:v>
                </c:pt>
                <c:pt idx="1073">
                  <c:v>0.15</c:v>
                </c:pt>
                <c:pt idx="1074">
                  <c:v>0.1</c:v>
                </c:pt>
                <c:pt idx="1075">
                  <c:v>0.2</c:v>
                </c:pt>
                <c:pt idx="1076">
                  <c:v>0.25</c:v>
                </c:pt>
                <c:pt idx="1077">
                  <c:v>0.05</c:v>
                </c:pt>
                <c:pt idx="1078">
                  <c:v>0.1</c:v>
                </c:pt>
                <c:pt idx="1079">
                  <c:v>0</c:v>
                </c:pt>
                <c:pt idx="1080">
                  <c:v>0</c:v>
                </c:pt>
                <c:pt idx="1081">
                  <c:v>0.2</c:v>
                </c:pt>
                <c:pt idx="1082">
                  <c:v>0.05</c:v>
                </c:pt>
                <c:pt idx="1083">
                  <c:v>0.1</c:v>
                </c:pt>
                <c:pt idx="1084">
                  <c:v>0.05</c:v>
                </c:pt>
                <c:pt idx="1085">
                  <c:v>0.05</c:v>
                </c:pt>
                <c:pt idx="1086">
                  <c:v>0</c:v>
                </c:pt>
                <c:pt idx="1087">
                  <c:v>0.1</c:v>
                </c:pt>
                <c:pt idx="1088">
                  <c:v>0.15</c:v>
                </c:pt>
                <c:pt idx="1089">
                  <c:v>0.1</c:v>
                </c:pt>
                <c:pt idx="1090">
                  <c:v>0.1</c:v>
                </c:pt>
                <c:pt idx="1091">
                  <c:v>0</c:v>
                </c:pt>
                <c:pt idx="1092">
                  <c:v>0</c:v>
                </c:pt>
                <c:pt idx="1093">
                  <c:v>0.1</c:v>
                </c:pt>
                <c:pt idx="1094">
                  <c:v>0</c:v>
                </c:pt>
                <c:pt idx="1095">
                  <c:v>0.05</c:v>
                </c:pt>
                <c:pt idx="1096">
                  <c:v>0.15</c:v>
                </c:pt>
                <c:pt idx="1097">
                  <c:v>0.15</c:v>
                </c:pt>
                <c:pt idx="1098">
                  <c:v>0.1</c:v>
                </c:pt>
                <c:pt idx="1099">
                  <c:v>0.1</c:v>
                </c:pt>
                <c:pt idx="1100">
                  <c:v>0.1</c:v>
                </c:pt>
                <c:pt idx="1101">
                  <c:v>0.1</c:v>
                </c:pt>
                <c:pt idx="1102">
                  <c:v>0.05</c:v>
                </c:pt>
                <c:pt idx="1103">
                  <c:v>0.1</c:v>
                </c:pt>
                <c:pt idx="1104">
                  <c:v>0</c:v>
                </c:pt>
                <c:pt idx="1105">
                  <c:v>0.1</c:v>
                </c:pt>
                <c:pt idx="1106">
                  <c:v>0</c:v>
                </c:pt>
                <c:pt idx="1107">
                  <c:v>0.05</c:v>
                </c:pt>
                <c:pt idx="1108">
                  <c:v>0</c:v>
                </c:pt>
                <c:pt idx="1109">
                  <c:v>0.2</c:v>
                </c:pt>
                <c:pt idx="1110">
                  <c:v>0.2</c:v>
                </c:pt>
                <c:pt idx="1111">
                  <c:v>0.1</c:v>
                </c:pt>
                <c:pt idx="1112">
                  <c:v>0.2</c:v>
                </c:pt>
                <c:pt idx="1113">
                  <c:v>0</c:v>
                </c:pt>
                <c:pt idx="1114">
                  <c:v>0.1</c:v>
                </c:pt>
                <c:pt idx="1115">
                  <c:v>0</c:v>
                </c:pt>
                <c:pt idx="1116">
                  <c:v>0</c:v>
                </c:pt>
                <c:pt idx="1117">
                  <c:v>0.15</c:v>
                </c:pt>
                <c:pt idx="1118">
                  <c:v>0.15</c:v>
                </c:pt>
                <c:pt idx="1119">
                  <c:v>0</c:v>
                </c:pt>
                <c:pt idx="1120">
                  <c:v>0</c:v>
                </c:pt>
                <c:pt idx="1121">
                  <c:v>0.1</c:v>
                </c:pt>
                <c:pt idx="1122">
                  <c:v>0.2</c:v>
                </c:pt>
                <c:pt idx="1123">
                  <c:v>0.1</c:v>
                </c:pt>
                <c:pt idx="1124">
                  <c:v>0</c:v>
                </c:pt>
                <c:pt idx="1125">
                  <c:v>0.05</c:v>
                </c:pt>
                <c:pt idx="1126">
                  <c:v>0</c:v>
                </c:pt>
                <c:pt idx="1127">
                  <c:v>0.15</c:v>
                </c:pt>
                <c:pt idx="1128">
                  <c:v>0</c:v>
                </c:pt>
                <c:pt idx="1129">
                  <c:v>0.2</c:v>
                </c:pt>
                <c:pt idx="1130">
                  <c:v>0.05</c:v>
                </c:pt>
                <c:pt idx="1131">
                  <c:v>0.1</c:v>
                </c:pt>
                <c:pt idx="1132">
                  <c:v>0.1</c:v>
                </c:pt>
                <c:pt idx="1133">
                  <c:v>0</c:v>
                </c:pt>
                <c:pt idx="1134">
                  <c:v>0</c:v>
                </c:pt>
                <c:pt idx="1135">
                  <c:v>0</c:v>
                </c:pt>
                <c:pt idx="1136">
                  <c:v>0</c:v>
                </c:pt>
                <c:pt idx="1137">
                  <c:v>0</c:v>
                </c:pt>
                <c:pt idx="1138">
                  <c:v>0</c:v>
                </c:pt>
                <c:pt idx="1139">
                  <c:v>0.05</c:v>
                </c:pt>
                <c:pt idx="1140">
                  <c:v>0.1</c:v>
                </c:pt>
                <c:pt idx="1141">
                  <c:v>0</c:v>
                </c:pt>
                <c:pt idx="1142">
                  <c:v>0</c:v>
                </c:pt>
                <c:pt idx="1143">
                  <c:v>0.05</c:v>
                </c:pt>
                <c:pt idx="1144">
                  <c:v>0.15</c:v>
                </c:pt>
                <c:pt idx="1145">
                  <c:v>0</c:v>
                </c:pt>
                <c:pt idx="1146">
                  <c:v>0</c:v>
                </c:pt>
                <c:pt idx="1147">
                  <c:v>0</c:v>
                </c:pt>
                <c:pt idx="1148">
                  <c:v>0.05</c:v>
                </c:pt>
                <c:pt idx="1149">
                  <c:v>0</c:v>
                </c:pt>
                <c:pt idx="1150">
                  <c:v>0</c:v>
                </c:pt>
                <c:pt idx="1151">
                  <c:v>0.05</c:v>
                </c:pt>
                <c:pt idx="1152">
                  <c:v>0.05</c:v>
                </c:pt>
                <c:pt idx="1153">
                  <c:v>0.25</c:v>
                </c:pt>
                <c:pt idx="1154">
                  <c:v>0</c:v>
                </c:pt>
                <c:pt idx="1155">
                  <c:v>0.2</c:v>
                </c:pt>
                <c:pt idx="1156">
                  <c:v>0.2</c:v>
                </c:pt>
                <c:pt idx="1157">
                  <c:v>0.05</c:v>
                </c:pt>
                <c:pt idx="1158">
                  <c:v>0.1</c:v>
                </c:pt>
                <c:pt idx="1159">
                  <c:v>0.1</c:v>
                </c:pt>
                <c:pt idx="1160">
                  <c:v>0.05</c:v>
                </c:pt>
                <c:pt idx="1161">
                  <c:v>0.2</c:v>
                </c:pt>
                <c:pt idx="1162">
                  <c:v>0.2</c:v>
                </c:pt>
                <c:pt idx="1163">
                  <c:v>0.1</c:v>
                </c:pt>
                <c:pt idx="1164">
                  <c:v>0</c:v>
                </c:pt>
                <c:pt idx="1165">
                  <c:v>0.15</c:v>
                </c:pt>
                <c:pt idx="1166">
                  <c:v>0</c:v>
                </c:pt>
                <c:pt idx="1167">
                  <c:v>0</c:v>
                </c:pt>
                <c:pt idx="1168">
                  <c:v>0.05</c:v>
                </c:pt>
                <c:pt idx="1169">
                  <c:v>0</c:v>
                </c:pt>
                <c:pt idx="1170">
                  <c:v>0.2</c:v>
                </c:pt>
                <c:pt idx="1171">
                  <c:v>0.05</c:v>
                </c:pt>
                <c:pt idx="1172">
                  <c:v>0</c:v>
                </c:pt>
                <c:pt idx="1173">
                  <c:v>0</c:v>
                </c:pt>
                <c:pt idx="1174">
                  <c:v>0.15</c:v>
                </c:pt>
                <c:pt idx="1175">
                  <c:v>0.25</c:v>
                </c:pt>
                <c:pt idx="1176">
                  <c:v>0.05</c:v>
                </c:pt>
                <c:pt idx="1177">
                  <c:v>0</c:v>
                </c:pt>
                <c:pt idx="1178">
                  <c:v>0.2</c:v>
                </c:pt>
                <c:pt idx="1179">
                  <c:v>0.1</c:v>
                </c:pt>
                <c:pt idx="1180">
                  <c:v>0</c:v>
                </c:pt>
                <c:pt idx="1181">
                  <c:v>0.1</c:v>
                </c:pt>
                <c:pt idx="1182">
                  <c:v>0.05</c:v>
                </c:pt>
                <c:pt idx="1183">
                  <c:v>0</c:v>
                </c:pt>
                <c:pt idx="1184">
                  <c:v>0.15</c:v>
                </c:pt>
                <c:pt idx="1185">
                  <c:v>0.05</c:v>
                </c:pt>
                <c:pt idx="1186">
                  <c:v>0.1</c:v>
                </c:pt>
                <c:pt idx="1187">
                  <c:v>0.2</c:v>
                </c:pt>
                <c:pt idx="1188">
                  <c:v>0</c:v>
                </c:pt>
                <c:pt idx="1189">
                  <c:v>0.1</c:v>
                </c:pt>
                <c:pt idx="1190">
                  <c:v>0.1</c:v>
                </c:pt>
                <c:pt idx="1191">
                  <c:v>0.1</c:v>
                </c:pt>
                <c:pt idx="1192">
                  <c:v>0.15</c:v>
                </c:pt>
                <c:pt idx="1193">
                  <c:v>0</c:v>
                </c:pt>
                <c:pt idx="1194">
                  <c:v>0.05</c:v>
                </c:pt>
                <c:pt idx="1195">
                  <c:v>0.1</c:v>
                </c:pt>
                <c:pt idx="1196">
                  <c:v>0.15</c:v>
                </c:pt>
                <c:pt idx="1197">
                  <c:v>0.05</c:v>
                </c:pt>
                <c:pt idx="1198">
                  <c:v>0.2</c:v>
                </c:pt>
                <c:pt idx="1199">
                  <c:v>0</c:v>
                </c:pt>
                <c:pt idx="1200">
                  <c:v>0.1</c:v>
                </c:pt>
                <c:pt idx="1201">
                  <c:v>0.15</c:v>
                </c:pt>
                <c:pt idx="1202">
                  <c:v>0.25</c:v>
                </c:pt>
                <c:pt idx="1203">
                  <c:v>0.2</c:v>
                </c:pt>
                <c:pt idx="1204">
                  <c:v>0.2</c:v>
                </c:pt>
                <c:pt idx="1205">
                  <c:v>0.05</c:v>
                </c:pt>
                <c:pt idx="1206">
                  <c:v>0.15</c:v>
                </c:pt>
                <c:pt idx="1207">
                  <c:v>0.05</c:v>
                </c:pt>
                <c:pt idx="1208">
                  <c:v>0</c:v>
                </c:pt>
                <c:pt idx="1209">
                  <c:v>0.1</c:v>
                </c:pt>
                <c:pt idx="1210">
                  <c:v>0</c:v>
                </c:pt>
                <c:pt idx="1211">
                  <c:v>0.1</c:v>
                </c:pt>
                <c:pt idx="1212">
                  <c:v>0.1</c:v>
                </c:pt>
                <c:pt idx="1213">
                  <c:v>0.05</c:v>
                </c:pt>
                <c:pt idx="1214">
                  <c:v>0.1</c:v>
                </c:pt>
                <c:pt idx="1215">
                  <c:v>0.05</c:v>
                </c:pt>
                <c:pt idx="1216">
                  <c:v>0.05</c:v>
                </c:pt>
                <c:pt idx="1217">
                  <c:v>0.05</c:v>
                </c:pt>
                <c:pt idx="1218">
                  <c:v>0.1</c:v>
                </c:pt>
                <c:pt idx="1219">
                  <c:v>0.1</c:v>
                </c:pt>
                <c:pt idx="1220">
                  <c:v>0</c:v>
                </c:pt>
                <c:pt idx="1221">
                  <c:v>0</c:v>
                </c:pt>
                <c:pt idx="1222">
                  <c:v>0.15</c:v>
                </c:pt>
                <c:pt idx="1223">
                  <c:v>0.05</c:v>
                </c:pt>
                <c:pt idx="1224">
                  <c:v>0.1</c:v>
                </c:pt>
                <c:pt idx="1225">
                  <c:v>0.1</c:v>
                </c:pt>
                <c:pt idx="1226">
                  <c:v>0.1</c:v>
                </c:pt>
                <c:pt idx="1227">
                  <c:v>0.05</c:v>
                </c:pt>
                <c:pt idx="1228">
                  <c:v>0</c:v>
                </c:pt>
                <c:pt idx="1229">
                  <c:v>0</c:v>
                </c:pt>
                <c:pt idx="1230">
                  <c:v>0</c:v>
                </c:pt>
                <c:pt idx="1231">
                  <c:v>0</c:v>
                </c:pt>
                <c:pt idx="1232">
                  <c:v>0</c:v>
                </c:pt>
                <c:pt idx="1233">
                  <c:v>0</c:v>
                </c:pt>
                <c:pt idx="1234">
                  <c:v>0.05</c:v>
                </c:pt>
                <c:pt idx="1235">
                  <c:v>0.15</c:v>
                </c:pt>
                <c:pt idx="1236">
                  <c:v>0.1</c:v>
                </c:pt>
                <c:pt idx="1237">
                  <c:v>0.2</c:v>
                </c:pt>
                <c:pt idx="1238">
                  <c:v>0.1</c:v>
                </c:pt>
                <c:pt idx="1239">
                  <c:v>0.1</c:v>
                </c:pt>
                <c:pt idx="1240">
                  <c:v>0</c:v>
                </c:pt>
                <c:pt idx="1241">
                  <c:v>0.05</c:v>
                </c:pt>
                <c:pt idx="1242">
                  <c:v>0.05</c:v>
                </c:pt>
                <c:pt idx="1243">
                  <c:v>0.1</c:v>
                </c:pt>
                <c:pt idx="1244">
                  <c:v>0</c:v>
                </c:pt>
                <c:pt idx="1245">
                  <c:v>0.1</c:v>
                </c:pt>
                <c:pt idx="1246">
                  <c:v>0.05</c:v>
                </c:pt>
                <c:pt idx="1247">
                  <c:v>0.05</c:v>
                </c:pt>
                <c:pt idx="1248">
                  <c:v>0.05</c:v>
                </c:pt>
                <c:pt idx="1249">
                  <c:v>0.05</c:v>
                </c:pt>
                <c:pt idx="1250">
                  <c:v>0.1</c:v>
                </c:pt>
                <c:pt idx="1251">
                  <c:v>0.1</c:v>
                </c:pt>
                <c:pt idx="1252">
                  <c:v>0.1</c:v>
                </c:pt>
                <c:pt idx="1253">
                  <c:v>0.15</c:v>
                </c:pt>
                <c:pt idx="1254">
                  <c:v>0.15</c:v>
                </c:pt>
                <c:pt idx="1255">
                  <c:v>0</c:v>
                </c:pt>
                <c:pt idx="1256">
                  <c:v>0.15</c:v>
                </c:pt>
                <c:pt idx="1257">
                  <c:v>0.1</c:v>
                </c:pt>
                <c:pt idx="1258">
                  <c:v>0.1</c:v>
                </c:pt>
                <c:pt idx="1259">
                  <c:v>0.1</c:v>
                </c:pt>
                <c:pt idx="1260">
                  <c:v>0</c:v>
                </c:pt>
                <c:pt idx="1261">
                  <c:v>0.1</c:v>
                </c:pt>
                <c:pt idx="1262">
                  <c:v>0.05</c:v>
                </c:pt>
                <c:pt idx="1263">
                  <c:v>0.1</c:v>
                </c:pt>
                <c:pt idx="1264">
                  <c:v>0.1</c:v>
                </c:pt>
                <c:pt idx="1265">
                  <c:v>0.05</c:v>
                </c:pt>
                <c:pt idx="1266">
                  <c:v>0.05</c:v>
                </c:pt>
                <c:pt idx="1267">
                  <c:v>0.15</c:v>
                </c:pt>
                <c:pt idx="1268">
                  <c:v>0.05</c:v>
                </c:pt>
                <c:pt idx="1269">
                  <c:v>0.2</c:v>
                </c:pt>
                <c:pt idx="1270">
                  <c:v>0</c:v>
                </c:pt>
                <c:pt idx="1271">
                  <c:v>0</c:v>
                </c:pt>
                <c:pt idx="1272">
                  <c:v>0.05</c:v>
                </c:pt>
                <c:pt idx="1273">
                  <c:v>0</c:v>
                </c:pt>
                <c:pt idx="1274">
                  <c:v>0.05</c:v>
                </c:pt>
                <c:pt idx="1275">
                  <c:v>0.1</c:v>
                </c:pt>
                <c:pt idx="1276">
                  <c:v>0.05</c:v>
                </c:pt>
                <c:pt idx="1277">
                  <c:v>0.1</c:v>
                </c:pt>
                <c:pt idx="1278">
                  <c:v>0.05</c:v>
                </c:pt>
                <c:pt idx="1279">
                  <c:v>0</c:v>
                </c:pt>
                <c:pt idx="1280">
                  <c:v>0.15</c:v>
                </c:pt>
                <c:pt idx="1281">
                  <c:v>0.15</c:v>
                </c:pt>
                <c:pt idx="1282">
                  <c:v>0.1</c:v>
                </c:pt>
                <c:pt idx="1283">
                  <c:v>0.05</c:v>
                </c:pt>
                <c:pt idx="1284">
                  <c:v>0</c:v>
                </c:pt>
                <c:pt idx="1285">
                  <c:v>0.1</c:v>
                </c:pt>
                <c:pt idx="1286">
                  <c:v>0.05</c:v>
                </c:pt>
                <c:pt idx="1287">
                  <c:v>0</c:v>
                </c:pt>
                <c:pt idx="1288">
                  <c:v>0.1</c:v>
                </c:pt>
                <c:pt idx="1289">
                  <c:v>0.15</c:v>
                </c:pt>
                <c:pt idx="1290">
                  <c:v>0</c:v>
                </c:pt>
                <c:pt idx="1291">
                  <c:v>0.05</c:v>
                </c:pt>
                <c:pt idx="1292">
                  <c:v>0.05</c:v>
                </c:pt>
                <c:pt idx="1293">
                  <c:v>0.15</c:v>
                </c:pt>
                <c:pt idx="1294">
                  <c:v>0</c:v>
                </c:pt>
                <c:pt idx="1295">
                  <c:v>0.15</c:v>
                </c:pt>
                <c:pt idx="1296">
                  <c:v>0.05</c:v>
                </c:pt>
                <c:pt idx="1297">
                  <c:v>0.1</c:v>
                </c:pt>
                <c:pt idx="1298">
                  <c:v>0.1</c:v>
                </c:pt>
                <c:pt idx="1299">
                  <c:v>0</c:v>
                </c:pt>
                <c:pt idx="1300">
                  <c:v>0.15</c:v>
                </c:pt>
                <c:pt idx="1301">
                  <c:v>0.15</c:v>
                </c:pt>
                <c:pt idx="1302">
                  <c:v>0.05</c:v>
                </c:pt>
                <c:pt idx="1303">
                  <c:v>0</c:v>
                </c:pt>
                <c:pt idx="1304">
                  <c:v>0.05</c:v>
                </c:pt>
                <c:pt idx="1305">
                  <c:v>0.1</c:v>
                </c:pt>
                <c:pt idx="1306">
                  <c:v>0</c:v>
                </c:pt>
                <c:pt idx="1307">
                  <c:v>0.2</c:v>
                </c:pt>
                <c:pt idx="1308">
                  <c:v>0.05</c:v>
                </c:pt>
                <c:pt idx="1309">
                  <c:v>0.15</c:v>
                </c:pt>
                <c:pt idx="1310">
                  <c:v>0</c:v>
                </c:pt>
                <c:pt idx="1311">
                  <c:v>0</c:v>
                </c:pt>
                <c:pt idx="1312">
                  <c:v>0.05</c:v>
                </c:pt>
                <c:pt idx="1313">
                  <c:v>0.1</c:v>
                </c:pt>
                <c:pt idx="1314">
                  <c:v>0.2</c:v>
                </c:pt>
                <c:pt idx="1315">
                  <c:v>0.1</c:v>
                </c:pt>
                <c:pt idx="1316">
                  <c:v>0.15</c:v>
                </c:pt>
                <c:pt idx="1317">
                  <c:v>0.05</c:v>
                </c:pt>
                <c:pt idx="1318">
                  <c:v>0.2</c:v>
                </c:pt>
                <c:pt idx="1319">
                  <c:v>0</c:v>
                </c:pt>
                <c:pt idx="1320">
                  <c:v>0.1</c:v>
                </c:pt>
                <c:pt idx="1321">
                  <c:v>0.15</c:v>
                </c:pt>
                <c:pt idx="1322">
                  <c:v>0.15</c:v>
                </c:pt>
                <c:pt idx="1323">
                  <c:v>0.05</c:v>
                </c:pt>
                <c:pt idx="1324">
                  <c:v>0</c:v>
                </c:pt>
                <c:pt idx="1325">
                  <c:v>0</c:v>
                </c:pt>
                <c:pt idx="1326">
                  <c:v>0</c:v>
                </c:pt>
                <c:pt idx="1327">
                  <c:v>0.1</c:v>
                </c:pt>
                <c:pt idx="1328">
                  <c:v>0</c:v>
                </c:pt>
                <c:pt idx="1329">
                  <c:v>0.05</c:v>
                </c:pt>
                <c:pt idx="1330">
                  <c:v>0.1</c:v>
                </c:pt>
                <c:pt idx="1331">
                  <c:v>0.15</c:v>
                </c:pt>
                <c:pt idx="1332">
                  <c:v>0.1</c:v>
                </c:pt>
                <c:pt idx="1333">
                  <c:v>0.1</c:v>
                </c:pt>
                <c:pt idx="1334">
                  <c:v>0.15</c:v>
                </c:pt>
                <c:pt idx="1335">
                  <c:v>0.2</c:v>
                </c:pt>
                <c:pt idx="1336">
                  <c:v>0.1</c:v>
                </c:pt>
                <c:pt idx="1337">
                  <c:v>0.05</c:v>
                </c:pt>
                <c:pt idx="1338">
                  <c:v>0.1</c:v>
                </c:pt>
                <c:pt idx="1339">
                  <c:v>0.05</c:v>
                </c:pt>
                <c:pt idx="1340">
                  <c:v>0.1</c:v>
                </c:pt>
                <c:pt idx="1341">
                  <c:v>0.15</c:v>
                </c:pt>
                <c:pt idx="1342">
                  <c:v>0.15</c:v>
                </c:pt>
                <c:pt idx="1343">
                  <c:v>0.15</c:v>
                </c:pt>
                <c:pt idx="1344">
                  <c:v>0.15</c:v>
                </c:pt>
                <c:pt idx="1345">
                  <c:v>0.1</c:v>
                </c:pt>
                <c:pt idx="1346">
                  <c:v>0.15</c:v>
                </c:pt>
                <c:pt idx="1347">
                  <c:v>0</c:v>
                </c:pt>
                <c:pt idx="1348">
                  <c:v>0.1</c:v>
                </c:pt>
                <c:pt idx="1349">
                  <c:v>0.1</c:v>
                </c:pt>
                <c:pt idx="1350">
                  <c:v>0.15</c:v>
                </c:pt>
                <c:pt idx="1351">
                  <c:v>0.2</c:v>
                </c:pt>
                <c:pt idx="1352">
                  <c:v>0.15</c:v>
                </c:pt>
                <c:pt idx="1353">
                  <c:v>0.1</c:v>
                </c:pt>
                <c:pt idx="1354">
                  <c:v>0.1</c:v>
                </c:pt>
                <c:pt idx="1355">
                  <c:v>0.2</c:v>
                </c:pt>
                <c:pt idx="1356">
                  <c:v>0.05</c:v>
                </c:pt>
                <c:pt idx="1357">
                  <c:v>0.1</c:v>
                </c:pt>
                <c:pt idx="1358">
                  <c:v>0.1</c:v>
                </c:pt>
                <c:pt idx="1359">
                  <c:v>0.2</c:v>
                </c:pt>
                <c:pt idx="1360">
                  <c:v>0.05</c:v>
                </c:pt>
                <c:pt idx="1361">
                  <c:v>0.1</c:v>
                </c:pt>
                <c:pt idx="1362">
                  <c:v>0.2</c:v>
                </c:pt>
                <c:pt idx="1363">
                  <c:v>0</c:v>
                </c:pt>
                <c:pt idx="1364">
                  <c:v>0.15</c:v>
                </c:pt>
                <c:pt idx="1365">
                  <c:v>0.2</c:v>
                </c:pt>
                <c:pt idx="1366">
                  <c:v>0.05</c:v>
                </c:pt>
                <c:pt idx="1367">
                  <c:v>0.1</c:v>
                </c:pt>
                <c:pt idx="1368">
                  <c:v>0.15</c:v>
                </c:pt>
                <c:pt idx="1369">
                  <c:v>0.05</c:v>
                </c:pt>
                <c:pt idx="1370">
                  <c:v>0.1</c:v>
                </c:pt>
                <c:pt idx="1371">
                  <c:v>0.1</c:v>
                </c:pt>
                <c:pt idx="1372">
                  <c:v>0.05</c:v>
                </c:pt>
                <c:pt idx="1373">
                  <c:v>0</c:v>
                </c:pt>
                <c:pt idx="1374">
                  <c:v>0.1</c:v>
                </c:pt>
                <c:pt idx="1375">
                  <c:v>0.1</c:v>
                </c:pt>
                <c:pt idx="1376">
                  <c:v>0.1</c:v>
                </c:pt>
                <c:pt idx="1377">
                  <c:v>0.1</c:v>
                </c:pt>
                <c:pt idx="1378">
                  <c:v>0.15</c:v>
                </c:pt>
                <c:pt idx="1379">
                  <c:v>0.1</c:v>
                </c:pt>
                <c:pt idx="1380">
                  <c:v>0.15</c:v>
                </c:pt>
                <c:pt idx="1381">
                  <c:v>0</c:v>
                </c:pt>
                <c:pt idx="1382">
                  <c:v>0</c:v>
                </c:pt>
                <c:pt idx="1383">
                  <c:v>0</c:v>
                </c:pt>
                <c:pt idx="1384">
                  <c:v>0.1</c:v>
                </c:pt>
                <c:pt idx="1385">
                  <c:v>0.1</c:v>
                </c:pt>
                <c:pt idx="1386">
                  <c:v>0</c:v>
                </c:pt>
                <c:pt idx="1387">
                  <c:v>0.1</c:v>
                </c:pt>
                <c:pt idx="1388">
                  <c:v>0</c:v>
                </c:pt>
                <c:pt idx="1389">
                  <c:v>0</c:v>
                </c:pt>
                <c:pt idx="1390">
                  <c:v>0.1</c:v>
                </c:pt>
                <c:pt idx="1391">
                  <c:v>0</c:v>
                </c:pt>
                <c:pt idx="1392">
                  <c:v>0</c:v>
                </c:pt>
                <c:pt idx="1393">
                  <c:v>0.05</c:v>
                </c:pt>
                <c:pt idx="1394">
                  <c:v>0</c:v>
                </c:pt>
                <c:pt idx="1395">
                  <c:v>0.1</c:v>
                </c:pt>
                <c:pt idx="1396">
                  <c:v>0.15</c:v>
                </c:pt>
                <c:pt idx="1397">
                  <c:v>0.05</c:v>
                </c:pt>
                <c:pt idx="1398">
                  <c:v>0.15</c:v>
                </c:pt>
                <c:pt idx="1399">
                  <c:v>0.2</c:v>
                </c:pt>
                <c:pt idx="1400">
                  <c:v>0</c:v>
                </c:pt>
                <c:pt idx="1401">
                  <c:v>0.05</c:v>
                </c:pt>
                <c:pt idx="1402">
                  <c:v>0</c:v>
                </c:pt>
                <c:pt idx="1403">
                  <c:v>0.15</c:v>
                </c:pt>
                <c:pt idx="1404">
                  <c:v>0</c:v>
                </c:pt>
                <c:pt idx="1405">
                  <c:v>0.1</c:v>
                </c:pt>
                <c:pt idx="1406">
                  <c:v>0</c:v>
                </c:pt>
                <c:pt idx="1407">
                  <c:v>0.2</c:v>
                </c:pt>
                <c:pt idx="1408">
                  <c:v>0.05</c:v>
                </c:pt>
                <c:pt idx="1409">
                  <c:v>0</c:v>
                </c:pt>
                <c:pt idx="1410">
                  <c:v>0</c:v>
                </c:pt>
                <c:pt idx="1411">
                  <c:v>0.05</c:v>
                </c:pt>
                <c:pt idx="1412">
                  <c:v>0.05</c:v>
                </c:pt>
                <c:pt idx="1413">
                  <c:v>0</c:v>
                </c:pt>
                <c:pt idx="1414">
                  <c:v>0</c:v>
                </c:pt>
                <c:pt idx="1415">
                  <c:v>0.05</c:v>
                </c:pt>
                <c:pt idx="1416">
                  <c:v>0.05</c:v>
                </c:pt>
                <c:pt idx="1417">
                  <c:v>0.2</c:v>
                </c:pt>
                <c:pt idx="1418">
                  <c:v>0.2</c:v>
                </c:pt>
                <c:pt idx="1419">
                  <c:v>0.2</c:v>
                </c:pt>
                <c:pt idx="1420">
                  <c:v>0.05</c:v>
                </c:pt>
                <c:pt idx="1421">
                  <c:v>0.1</c:v>
                </c:pt>
                <c:pt idx="1422">
                  <c:v>0.1</c:v>
                </c:pt>
                <c:pt idx="1423">
                  <c:v>0.05</c:v>
                </c:pt>
                <c:pt idx="1424">
                  <c:v>0</c:v>
                </c:pt>
                <c:pt idx="1425">
                  <c:v>0</c:v>
                </c:pt>
                <c:pt idx="1426">
                  <c:v>0.05</c:v>
                </c:pt>
                <c:pt idx="1427">
                  <c:v>0</c:v>
                </c:pt>
                <c:pt idx="1428">
                  <c:v>0.05</c:v>
                </c:pt>
                <c:pt idx="1429">
                  <c:v>0</c:v>
                </c:pt>
                <c:pt idx="1430">
                  <c:v>0.1</c:v>
                </c:pt>
                <c:pt idx="1431">
                  <c:v>0.2</c:v>
                </c:pt>
                <c:pt idx="1432">
                  <c:v>0.1</c:v>
                </c:pt>
                <c:pt idx="1433">
                  <c:v>0.15</c:v>
                </c:pt>
                <c:pt idx="1434">
                  <c:v>0.05</c:v>
                </c:pt>
                <c:pt idx="1435">
                  <c:v>0.1</c:v>
                </c:pt>
                <c:pt idx="1436">
                  <c:v>0</c:v>
                </c:pt>
                <c:pt idx="1437">
                  <c:v>0.15</c:v>
                </c:pt>
                <c:pt idx="1438">
                  <c:v>0.15</c:v>
                </c:pt>
                <c:pt idx="1439">
                  <c:v>0</c:v>
                </c:pt>
                <c:pt idx="1440">
                  <c:v>0.05</c:v>
                </c:pt>
                <c:pt idx="1441">
                  <c:v>0.2</c:v>
                </c:pt>
                <c:pt idx="1442">
                  <c:v>0.05</c:v>
                </c:pt>
                <c:pt idx="1443">
                  <c:v>0.15</c:v>
                </c:pt>
                <c:pt idx="1444">
                  <c:v>0.1</c:v>
                </c:pt>
                <c:pt idx="1445">
                  <c:v>0.05</c:v>
                </c:pt>
                <c:pt idx="1446">
                  <c:v>0</c:v>
                </c:pt>
                <c:pt idx="1447">
                  <c:v>0</c:v>
                </c:pt>
                <c:pt idx="1448">
                  <c:v>0.05</c:v>
                </c:pt>
                <c:pt idx="1449">
                  <c:v>0.05</c:v>
                </c:pt>
                <c:pt idx="1450">
                  <c:v>0.1</c:v>
                </c:pt>
                <c:pt idx="1451">
                  <c:v>0.05</c:v>
                </c:pt>
                <c:pt idx="1452">
                  <c:v>0</c:v>
                </c:pt>
                <c:pt idx="1453">
                  <c:v>0.15</c:v>
                </c:pt>
                <c:pt idx="1454">
                  <c:v>0.15</c:v>
                </c:pt>
                <c:pt idx="1455">
                  <c:v>0.05</c:v>
                </c:pt>
                <c:pt idx="1456">
                  <c:v>0.1</c:v>
                </c:pt>
                <c:pt idx="1457">
                  <c:v>0.1</c:v>
                </c:pt>
                <c:pt idx="1458">
                  <c:v>0.05</c:v>
                </c:pt>
                <c:pt idx="1459">
                  <c:v>0</c:v>
                </c:pt>
                <c:pt idx="1460">
                  <c:v>0.05</c:v>
                </c:pt>
                <c:pt idx="1461">
                  <c:v>0</c:v>
                </c:pt>
                <c:pt idx="1462">
                  <c:v>0</c:v>
                </c:pt>
                <c:pt idx="1463">
                  <c:v>0.25</c:v>
                </c:pt>
                <c:pt idx="1464">
                  <c:v>0.15</c:v>
                </c:pt>
                <c:pt idx="1465">
                  <c:v>0.1</c:v>
                </c:pt>
                <c:pt idx="1466">
                  <c:v>0</c:v>
                </c:pt>
                <c:pt idx="1467">
                  <c:v>0.05</c:v>
                </c:pt>
                <c:pt idx="1468">
                  <c:v>0.15</c:v>
                </c:pt>
                <c:pt idx="1469">
                  <c:v>0.2</c:v>
                </c:pt>
                <c:pt idx="1470">
                  <c:v>0.05</c:v>
                </c:pt>
                <c:pt idx="1471">
                  <c:v>0.1</c:v>
                </c:pt>
                <c:pt idx="1472">
                  <c:v>0.05</c:v>
                </c:pt>
                <c:pt idx="1473">
                  <c:v>0</c:v>
                </c:pt>
                <c:pt idx="1474">
                  <c:v>0.1</c:v>
                </c:pt>
                <c:pt idx="1475">
                  <c:v>0.2</c:v>
                </c:pt>
                <c:pt idx="1476">
                  <c:v>0.1</c:v>
                </c:pt>
                <c:pt idx="1477">
                  <c:v>0.05</c:v>
                </c:pt>
                <c:pt idx="1478">
                  <c:v>0.2</c:v>
                </c:pt>
                <c:pt idx="1479">
                  <c:v>0.15</c:v>
                </c:pt>
                <c:pt idx="1480">
                  <c:v>0.05</c:v>
                </c:pt>
                <c:pt idx="1481">
                  <c:v>0.1</c:v>
                </c:pt>
                <c:pt idx="1482">
                  <c:v>0.15</c:v>
                </c:pt>
                <c:pt idx="1483">
                  <c:v>0.1</c:v>
                </c:pt>
                <c:pt idx="1484">
                  <c:v>0.05</c:v>
                </c:pt>
                <c:pt idx="1485">
                  <c:v>0</c:v>
                </c:pt>
                <c:pt idx="1486">
                  <c:v>0.15</c:v>
                </c:pt>
                <c:pt idx="1487">
                  <c:v>0.1</c:v>
                </c:pt>
                <c:pt idx="1488">
                  <c:v>0</c:v>
                </c:pt>
                <c:pt idx="1489">
                  <c:v>0.05</c:v>
                </c:pt>
                <c:pt idx="1490">
                  <c:v>0</c:v>
                </c:pt>
                <c:pt idx="1491">
                  <c:v>0.1</c:v>
                </c:pt>
                <c:pt idx="1492">
                  <c:v>0</c:v>
                </c:pt>
                <c:pt idx="1493">
                  <c:v>0.05</c:v>
                </c:pt>
                <c:pt idx="1494">
                  <c:v>0</c:v>
                </c:pt>
                <c:pt idx="1495">
                  <c:v>0</c:v>
                </c:pt>
                <c:pt idx="1496">
                  <c:v>0.05</c:v>
                </c:pt>
                <c:pt idx="1497">
                  <c:v>0.1</c:v>
                </c:pt>
                <c:pt idx="1498">
                  <c:v>0.1</c:v>
                </c:pt>
                <c:pt idx="1499">
                  <c:v>0.1</c:v>
                </c:pt>
                <c:pt idx="1500">
                  <c:v>0.15</c:v>
                </c:pt>
                <c:pt idx="1501">
                  <c:v>0.1</c:v>
                </c:pt>
                <c:pt idx="1502">
                  <c:v>0.1</c:v>
                </c:pt>
                <c:pt idx="1503">
                  <c:v>0</c:v>
                </c:pt>
                <c:pt idx="1504">
                  <c:v>0.1</c:v>
                </c:pt>
                <c:pt idx="1505">
                  <c:v>0.05</c:v>
                </c:pt>
                <c:pt idx="1506">
                  <c:v>0.05</c:v>
                </c:pt>
                <c:pt idx="1507">
                  <c:v>0.05</c:v>
                </c:pt>
                <c:pt idx="1508">
                  <c:v>0.05</c:v>
                </c:pt>
                <c:pt idx="1509">
                  <c:v>0.1</c:v>
                </c:pt>
                <c:pt idx="1510">
                  <c:v>0.05</c:v>
                </c:pt>
                <c:pt idx="1511">
                  <c:v>0.1</c:v>
                </c:pt>
                <c:pt idx="1512">
                  <c:v>0.15</c:v>
                </c:pt>
                <c:pt idx="1513">
                  <c:v>0</c:v>
                </c:pt>
                <c:pt idx="1514">
                  <c:v>0.05</c:v>
                </c:pt>
                <c:pt idx="1515">
                  <c:v>0.15</c:v>
                </c:pt>
                <c:pt idx="1516">
                  <c:v>0.05</c:v>
                </c:pt>
                <c:pt idx="1517">
                  <c:v>0.15</c:v>
                </c:pt>
                <c:pt idx="1518">
                  <c:v>0.2</c:v>
                </c:pt>
                <c:pt idx="1519">
                  <c:v>0.05</c:v>
                </c:pt>
                <c:pt idx="1520">
                  <c:v>0</c:v>
                </c:pt>
                <c:pt idx="1521">
                  <c:v>0</c:v>
                </c:pt>
                <c:pt idx="1522">
                  <c:v>0.15</c:v>
                </c:pt>
                <c:pt idx="1523">
                  <c:v>0.1</c:v>
                </c:pt>
                <c:pt idx="1524">
                  <c:v>0.15</c:v>
                </c:pt>
                <c:pt idx="1525">
                  <c:v>0.1</c:v>
                </c:pt>
                <c:pt idx="1526">
                  <c:v>0.05</c:v>
                </c:pt>
                <c:pt idx="1527">
                  <c:v>0</c:v>
                </c:pt>
                <c:pt idx="1528">
                  <c:v>0</c:v>
                </c:pt>
                <c:pt idx="1529">
                  <c:v>0.1</c:v>
                </c:pt>
                <c:pt idx="1530">
                  <c:v>0.15</c:v>
                </c:pt>
                <c:pt idx="1531">
                  <c:v>0.2</c:v>
                </c:pt>
                <c:pt idx="1532">
                  <c:v>0</c:v>
                </c:pt>
                <c:pt idx="1533">
                  <c:v>0.05</c:v>
                </c:pt>
                <c:pt idx="1534">
                  <c:v>0</c:v>
                </c:pt>
                <c:pt idx="1535">
                  <c:v>0.15</c:v>
                </c:pt>
                <c:pt idx="1536">
                  <c:v>0.2</c:v>
                </c:pt>
                <c:pt idx="1537">
                  <c:v>0</c:v>
                </c:pt>
                <c:pt idx="1538">
                  <c:v>0.15</c:v>
                </c:pt>
                <c:pt idx="1539">
                  <c:v>0</c:v>
                </c:pt>
                <c:pt idx="1540">
                  <c:v>0.2</c:v>
                </c:pt>
                <c:pt idx="1541">
                  <c:v>0.1</c:v>
                </c:pt>
                <c:pt idx="1542">
                  <c:v>0.05</c:v>
                </c:pt>
                <c:pt idx="1543">
                  <c:v>0</c:v>
                </c:pt>
                <c:pt idx="1544">
                  <c:v>0.05</c:v>
                </c:pt>
                <c:pt idx="1545">
                  <c:v>0.05</c:v>
                </c:pt>
                <c:pt idx="1546">
                  <c:v>0.05</c:v>
                </c:pt>
                <c:pt idx="1547">
                  <c:v>0.1</c:v>
                </c:pt>
                <c:pt idx="1548">
                  <c:v>0.2</c:v>
                </c:pt>
                <c:pt idx="1549">
                  <c:v>0.1</c:v>
                </c:pt>
                <c:pt idx="1550">
                  <c:v>0.2</c:v>
                </c:pt>
                <c:pt idx="1551">
                  <c:v>0</c:v>
                </c:pt>
                <c:pt idx="1552">
                  <c:v>0.1</c:v>
                </c:pt>
                <c:pt idx="1553">
                  <c:v>0.05</c:v>
                </c:pt>
                <c:pt idx="1554">
                  <c:v>0</c:v>
                </c:pt>
                <c:pt idx="1555">
                  <c:v>0.1</c:v>
                </c:pt>
                <c:pt idx="1556">
                  <c:v>0.2</c:v>
                </c:pt>
                <c:pt idx="1557">
                  <c:v>0</c:v>
                </c:pt>
                <c:pt idx="1558">
                  <c:v>0.15</c:v>
                </c:pt>
                <c:pt idx="1559">
                  <c:v>0</c:v>
                </c:pt>
                <c:pt idx="1560">
                  <c:v>0.1</c:v>
                </c:pt>
                <c:pt idx="1561">
                  <c:v>0.05</c:v>
                </c:pt>
                <c:pt idx="1562">
                  <c:v>0</c:v>
                </c:pt>
                <c:pt idx="1563">
                  <c:v>0.05</c:v>
                </c:pt>
                <c:pt idx="1564">
                  <c:v>0.15</c:v>
                </c:pt>
                <c:pt idx="1565">
                  <c:v>0.15</c:v>
                </c:pt>
                <c:pt idx="1566">
                  <c:v>0.15</c:v>
                </c:pt>
                <c:pt idx="1567">
                  <c:v>0</c:v>
                </c:pt>
                <c:pt idx="1568">
                  <c:v>0.05</c:v>
                </c:pt>
                <c:pt idx="1569">
                  <c:v>0.05</c:v>
                </c:pt>
                <c:pt idx="1570">
                  <c:v>0</c:v>
                </c:pt>
                <c:pt idx="1571">
                  <c:v>0</c:v>
                </c:pt>
                <c:pt idx="1572">
                  <c:v>0</c:v>
                </c:pt>
                <c:pt idx="1573">
                  <c:v>0</c:v>
                </c:pt>
                <c:pt idx="1574">
                  <c:v>0</c:v>
                </c:pt>
                <c:pt idx="1575">
                  <c:v>0.1</c:v>
                </c:pt>
                <c:pt idx="1576">
                  <c:v>0</c:v>
                </c:pt>
                <c:pt idx="1577">
                  <c:v>0</c:v>
                </c:pt>
                <c:pt idx="1578">
                  <c:v>0.2</c:v>
                </c:pt>
                <c:pt idx="1579">
                  <c:v>0.1</c:v>
                </c:pt>
                <c:pt idx="1580">
                  <c:v>0</c:v>
                </c:pt>
                <c:pt idx="1581">
                  <c:v>0.25</c:v>
                </c:pt>
                <c:pt idx="1582">
                  <c:v>0.1</c:v>
                </c:pt>
                <c:pt idx="1583">
                  <c:v>0.05</c:v>
                </c:pt>
                <c:pt idx="1584">
                  <c:v>0.05</c:v>
                </c:pt>
                <c:pt idx="1585">
                  <c:v>0.15</c:v>
                </c:pt>
                <c:pt idx="1586">
                  <c:v>0.2</c:v>
                </c:pt>
                <c:pt idx="1587">
                  <c:v>0.1</c:v>
                </c:pt>
                <c:pt idx="1588">
                  <c:v>0.05</c:v>
                </c:pt>
                <c:pt idx="1589">
                  <c:v>0.15</c:v>
                </c:pt>
                <c:pt idx="1590">
                  <c:v>0.15</c:v>
                </c:pt>
                <c:pt idx="1591">
                  <c:v>0.1</c:v>
                </c:pt>
                <c:pt idx="1592">
                  <c:v>0.15</c:v>
                </c:pt>
                <c:pt idx="1593">
                  <c:v>0.2</c:v>
                </c:pt>
                <c:pt idx="1594">
                  <c:v>0</c:v>
                </c:pt>
                <c:pt idx="1595">
                  <c:v>0.1</c:v>
                </c:pt>
                <c:pt idx="1596">
                  <c:v>0.2</c:v>
                </c:pt>
                <c:pt idx="1597">
                  <c:v>0</c:v>
                </c:pt>
                <c:pt idx="1598">
                  <c:v>0.05</c:v>
                </c:pt>
                <c:pt idx="1599">
                  <c:v>0.05</c:v>
                </c:pt>
                <c:pt idx="1600">
                  <c:v>0.1</c:v>
                </c:pt>
                <c:pt idx="1601">
                  <c:v>0.15</c:v>
                </c:pt>
                <c:pt idx="1602">
                  <c:v>0.2</c:v>
                </c:pt>
                <c:pt idx="1603">
                  <c:v>0.1</c:v>
                </c:pt>
                <c:pt idx="1604">
                  <c:v>0.1</c:v>
                </c:pt>
                <c:pt idx="1605">
                  <c:v>0</c:v>
                </c:pt>
                <c:pt idx="1606">
                  <c:v>0</c:v>
                </c:pt>
                <c:pt idx="1607">
                  <c:v>0.25</c:v>
                </c:pt>
                <c:pt idx="1608">
                  <c:v>0</c:v>
                </c:pt>
                <c:pt idx="1609">
                  <c:v>0.1</c:v>
                </c:pt>
                <c:pt idx="1610">
                  <c:v>0</c:v>
                </c:pt>
                <c:pt idx="1611">
                  <c:v>0.1</c:v>
                </c:pt>
                <c:pt idx="1612">
                  <c:v>0.1</c:v>
                </c:pt>
                <c:pt idx="1613">
                  <c:v>0.05</c:v>
                </c:pt>
                <c:pt idx="1614">
                  <c:v>0.15</c:v>
                </c:pt>
                <c:pt idx="1615">
                  <c:v>0.15</c:v>
                </c:pt>
                <c:pt idx="1616">
                  <c:v>0.1</c:v>
                </c:pt>
                <c:pt idx="1617">
                  <c:v>0.2</c:v>
                </c:pt>
                <c:pt idx="1618">
                  <c:v>0.1</c:v>
                </c:pt>
                <c:pt idx="1619">
                  <c:v>0.15</c:v>
                </c:pt>
                <c:pt idx="1620">
                  <c:v>0.1</c:v>
                </c:pt>
                <c:pt idx="1621">
                  <c:v>0.05</c:v>
                </c:pt>
                <c:pt idx="1622">
                  <c:v>0</c:v>
                </c:pt>
                <c:pt idx="1623">
                  <c:v>0.05</c:v>
                </c:pt>
                <c:pt idx="1624">
                  <c:v>0</c:v>
                </c:pt>
                <c:pt idx="1625">
                  <c:v>0.1</c:v>
                </c:pt>
                <c:pt idx="1626">
                  <c:v>0.2</c:v>
                </c:pt>
                <c:pt idx="1627">
                  <c:v>0</c:v>
                </c:pt>
                <c:pt idx="1628">
                  <c:v>0</c:v>
                </c:pt>
                <c:pt idx="1629">
                  <c:v>0</c:v>
                </c:pt>
                <c:pt idx="1630">
                  <c:v>0.05</c:v>
                </c:pt>
                <c:pt idx="1631">
                  <c:v>0</c:v>
                </c:pt>
                <c:pt idx="1632">
                  <c:v>0</c:v>
                </c:pt>
                <c:pt idx="1633">
                  <c:v>0.25</c:v>
                </c:pt>
                <c:pt idx="1634">
                  <c:v>0.15</c:v>
                </c:pt>
                <c:pt idx="1635">
                  <c:v>0.2</c:v>
                </c:pt>
                <c:pt idx="1636">
                  <c:v>0.1</c:v>
                </c:pt>
                <c:pt idx="1637">
                  <c:v>0</c:v>
                </c:pt>
                <c:pt idx="1638">
                  <c:v>0</c:v>
                </c:pt>
                <c:pt idx="1639">
                  <c:v>0.1</c:v>
                </c:pt>
                <c:pt idx="1640">
                  <c:v>0</c:v>
                </c:pt>
                <c:pt idx="1641">
                  <c:v>0.1</c:v>
                </c:pt>
                <c:pt idx="1642">
                  <c:v>0</c:v>
                </c:pt>
                <c:pt idx="1643">
                  <c:v>0.1</c:v>
                </c:pt>
                <c:pt idx="1644">
                  <c:v>0.05</c:v>
                </c:pt>
                <c:pt idx="1645">
                  <c:v>0.05</c:v>
                </c:pt>
                <c:pt idx="1646">
                  <c:v>0.05</c:v>
                </c:pt>
                <c:pt idx="1647">
                  <c:v>0.1</c:v>
                </c:pt>
                <c:pt idx="1648">
                  <c:v>0.05</c:v>
                </c:pt>
                <c:pt idx="1649">
                  <c:v>0.05</c:v>
                </c:pt>
                <c:pt idx="1650">
                  <c:v>0</c:v>
                </c:pt>
                <c:pt idx="1651">
                  <c:v>0.05</c:v>
                </c:pt>
                <c:pt idx="1652">
                  <c:v>0</c:v>
                </c:pt>
                <c:pt idx="1653">
                  <c:v>0.1</c:v>
                </c:pt>
                <c:pt idx="1654">
                  <c:v>0</c:v>
                </c:pt>
                <c:pt idx="1655">
                  <c:v>0.1</c:v>
                </c:pt>
                <c:pt idx="1656">
                  <c:v>0.05</c:v>
                </c:pt>
                <c:pt idx="1657">
                  <c:v>0.1</c:v>
                </c:pt>
                <c:pt idx="1658">
                  <c:v>0</c:v>
                </c:pt>
                <c:pt idx="1659">
                  <c:v>0.1</c:v>
                </c:pt>
                <c:pt idx="1660">
                  <c:v>0</c:v>
                </c:pt>
                <c:pt idx="1661">
                  <c:v>0.1</c:v>
                </c:pt>
                <c:pt idx="1662">
                  <c:v>0.05</c:v>
                </c:pt>
                <c:pt idx="1663">
                  <c:v>0.1</c:v>
                </c:pt>
                <c:pt idx="1664">
                  <c:v>0.2</c:v>
                </c:pt>
                <c:pt idx="1665">
                  <c:v>0.1</c:v>
                </c:pt>
                <c:pt idx="1666">
                  <c:v>0.1</c:v>
                </c:pt>
                <c:pt idx="1667">
                  <c:v>0.15</c:v>
                </c:pt>
                <c:pt idx="1668">
                  <c:v>0.05</c:v>
                </c:pt>
                <c:pt idx="1669">
                  <c:v>0.1</c:v>
                </c:pt>
                <c:pt idx="1670">
                  <c:v>0.1</c:v>
                </c:pt>
                <c:pt idx="1671">
                  <c:v>0.15</c:v>
                </c:pt>
                <c:pt idx="1672">
                  <c:v>0.05</c:v>
                </c:pt>
                <c:pt idx="1673">
                  <c:v>0</c:v>
                </c:pt>
                <c:pt idx="1674">
                  <c:v>0.1</c:v>
                </c:pt>
                <c:pt idx="1675">
                  <c:v>0.15</c:v>
                </c:pt>
                <c:pt idx="1676">
                  <c:v>0.15</c:v>
                </c:pt>
                <c:pt idx="1677">
                  <c:v>0.2</c:v>
                </c:pt>
                <c:pt idx="1678">
                  <c:v>0.2</c:v>
                </c:pt>
                <c:pt idx="1679">
                  <c:v>0</c:v>
                </c:pt>
                <c:pt idx="1680">
                  <c:v>0.1</c:v>
                </c:pt>
                <c:pt idx="1681">
                  <c:v>0</c:v>
                </c:pt>
                <c:pt idx="1682">
                  <c:v>0.1</c:v>
                </c:pt>
                <c:pt idx="1683">
                  <c:v>0.2</c:v>
                </c:pt>
                <c:pt idx="1684">
                  <c:v>0</c:v>
                </c:pt>
                <c:pt idx="1685">
                  <c:v>0.05</c:v>
                </c:pt>
                <c:pt idx="1686">
                  <c:v>0.05</c:v>
                </c:pt>
                <c:pt idx="1687">
                  <c:v>0</c:v>
                </c:pt>
                <c:pt idx="1688">
                  <c:v>0.1</c:v>
                </c:pt>
                <c:pt idx="1689">
                  <c:v>0.05</c:v>
                </c:pt>
                <c:pt idx="1690">
                  <c:v>0.15</c:v>
                </c:pt>
                <c:pt idx="1691">
                  <c:v>0.05</c:v>
                </c:pt>
                <c:pt idx="1692">
                  <c:v>0.1</c:v>
                </c:pt>
                <c:pt idx="1693">
                  <c:v>0.1</c:v>
                </c:pt>
                <c:pt idx="1694">
                  <c:v>0.1</c:v>
                </c:pt>
                <c:pt idx="1695">
                  <c:v>0.05</c:v>
                </c:pt>
                <c:pt idx="1696">
                  <c:v>0</c:v>
                </c:pt>
                <c:pt idx="1697">
                  <c:v>0.05</c:v>
                </c:pt>
                <c:pt idx="1698">
                  <c:v>0.2</c:v>
                </c:pt>
                <c:pt idx="1699">
                  <c:v>0</c:v>
                </c:pt>
                <c:pt idx="1700">
                  <c:v>0</c:v>
                </c:pt>
                <c:pt idx="1701">
                  <c:v>0.1</c:v>
                </c:pt>
                <c:pt idx="1702">
                  <c:v>0.1</c:v>
                </c:pt>
                <c:pt idx="1703">
                  <c:v>0.05</c:v>
                </c:pt>
                <c:pt idx="1704">
                  <c:v>0.1</c:v>
                </c:pt>
                <c:pt idx="1705">
                  <c:v>0.15</c:v>
                </c:pt>
                <c:pt idx="1706">
                  <c:v>0</c:v>
                </c:pt>
                <c:pt idx="1707">
                  <c:v>0.1</c:v>
                </c:pt>
                <c:pt idx="1708">
                  <c:v>0</c:v>
                </c:pt>
                <c:pt idx="1709">
                  <c:v>0.05</c:v>
                </c:pt>
                <c:pt idx="1710">
                  <c:v>0</c:v>
                </c:pt>
                <c:pt idx="1711">
                  <c:v>0.2</c:v>
                </c:pt>
                <c:pt idx="1712">
                  <c:v>0.1</c:v>
                </c:pt>
                <c:pt idx="1713">
                  <c:v>0.1</c:v>
                </c:pt>
                <c:pt idx="1714">
                  <c:v>0</c:v>
                </c:pt>
                <c:pt idx="1715">
                  <c:v>0</c:v>
                </c:pt>
                <c:pt idx="1716">
                  <c:v>0.25</c:v>
                </c:pt>
                <c:pt idx="1717">
                  <c:v>0</c:v>
                </c:pt>
                <c:pt idx="1718">
                  <c:v>0.1</c:v>
                </c:pt>
                <c:pt idx="1719">
                  <c:v>0.05</c:v>
                </c:pt>
                <c:pt idx="1720">
                  <c:v>0.15</c:v>
                </c:pt>
                <c:pt idx="1721">
                  <c:v>0</c:v>
                </c:pt>
                <c:pt idx="1722">
                  <c:v>0.15</c:v>
                </c:pt>
                <c:pt idx="1723">
                  <c:v>0.1</c:v>
                </c:pt>
                <c:pt idx="1724">
                  <c:v>0</c:v>
                </c:pt>
                <c:pt idx="1725">
                  <c:v>0.05</c:v>
                </c:pt>
                <c:pt idx="1726">
                  <c:v>0</c:v>
                </c:pt>
                <c:pt idx="1727">
                  <c:v>0</c:v>
                </c:pt>
                <c:pt idx="1728">
                  <c:v>0</c:v>
                </c:pt>
                <c:pt idx="1729">
                  <c:v>0.1</c:v>
                </c:pt>
                <c:pt idx="1730">
                  <c:v>0.2</c:v>
                </c:pt>
                <c:pt idx="1731">
                  <c:v>0.1</c:v>
                </c:pt>
                <c:pt idx="1732">
                  <c:v>0</c:v>
                </c:pt>
                <c:pt idx="1733">
                  <c:v>0.05</c:v>
                </c:pt>
                <c:pt idx="1734">
                  <c:v>0.05</c:v>
                </c:pt>
                <c:pt idx="1735">
                  <c:v>0.05</c:v>
                </c:pt>
                <c:pt idx="1736">
                  <c:v>0</c:v>
                </c:pt>
                <c:pt idx="1737">
                  <c:v>0.05</c:v>
                </c:pt>
                <c:pt idx="1738">
                  <c:v>0.1</c:v>
                </c:pt>
                <c:pt idx="1739">
                  <c:v>0.1</c:v>
                </c:pt>
                <c:pt idx="1740">
                  <c:v>0</c:v>
                </c:pt>
                <c:pt idx="1741">
                  <c:v>0.05</c:v>
                </c:pt>
                <c:pt idx="1742">
                  <c:v>0</c:v>
                </c:pt>
                <c:pt idx="1743">
                  <c:v>0.1</c:v>
                </c:pt>
                <c:pt idx="1744">
                  <c:v>0</c:v>
                </c:pt>
                <c:pt idx="1745">
                  <c:v>0.15</c:v>
                </c:pt>
                <c:pt idx="1746">
                  <c:v>0.15</c:v>
                </c:pt>
                <c:pt idx="1747">
                  <c:v>0.1</c:v>
                </c:pt>
                <c:pt idx="1748">
                  <c:v>0.1</c:v>
                </c:pt>
                <c:pt idx="1749">
                  <c:v>0.1</c:v>
                </c:pt>
                <c:pt idx="1750">
                  <c:v>0.1</c:v>
                </c:pt>
                <c:pt idx="1751">
                  <c:v>0.2</c:v>
                </c:pt>
                <c:pt idx="1752">
                  <c:v>0</c:v>
                </c:pt>
                <c:pt idx="1753">
                  <c:v>0</c:v>
                </c:pt>
                <c:pt idx="1754">
                  <c:v>0</c:v>
                </c:pt>
                <c:pt idx="1755">
                  <c:v>0.1</c:v>
                </c:pt>
                <c:pt idx="1756">
                  <c:v>0.1</c:v>
                </c:pt>
                <c:pt idx="1757">
                  <c:v>0</c:v>
                </c:pt>
                <c:pt idx="1758">
                  <c:v>0</c:v>
                </c:pt>
                <c:pt idx="1759">
                  <c:v>0.05</c:v>
                </c:pt>
                <c:pt idx="1760">
                  <c:v>0.1</c:v>
                </c:pt>
                <c:pt idx="1761">
                  <c:v>0.2</c:v>
                </c:pt>
                <c:pt idx="1762">
                  <c:v>0.2</c:v>
                </c:pt>
                <c:pt idx="1763">
                  <c:v>0</c:v>
                </c:pt>
                <c:pt idx="1764">
                  <c:v>0.1</c:v>
                </c:pt>
                <c:pt idx="1765">
                  <c:v>0</c:v>
                </c:pt>
                <c:pt idx="1766">
                  <c:v>0.05</c:v>
                </c:pt>
                <c:pt idx="1767">
                  <c:v>0</c:v>
                </c:pt>
                <c:pt idx="1768">
                  <c:v>0.1</c:v>
                </c:pt>
                <c:pt idx="1769">
                  <c:v>0</c:v>
                </c:pt>
                <c:pt idx="1770">
                  <c:v>0</c:v>
                </c:pt>
                <c:pt idx="1771">
                  <c:v>0</c:v>
                </c:pt>
                <c:pt idx="1772">
                  <c:v>0.15</c:v>
                </c:pt>
                <c:pt idx="1773">
                  <c:v>0.05</c:v>
                </c:pt>
                <c:pt idx="1774">
                  <c:v>0</c:v>
                </c:pt>
                <c:pt idx="1775">
                  <c:v>0.05</c:v>
                </c:pt>
                <c:pt idx="1776">
                  <c:v>0.15</c:v>
                </c:pt>
                <c:pt idx="1777">
                  <c:v>0</c:v>
                </c:pt>
                <c:pt idx="1778">
                  <c:v>0.05</c:v>
                </c:pt>
                <c:pt idx="1779">
                  <c:v>0</c:v>
                </c:pt>
                <c:pt idx="1780">
                  <c:v>0.1</c:v>
                </c:pt>
                <c:pt idx="1781">
                  <c:v>0.1</c:v>
                </c:pt>
                <c:pt idx="1782">
                  <c:v>0.2</c:v>
                </c:pt>
                <c:pt idx="1783">
                  <c:v>0.1</c:v>
                </c:pt>
                <c:pt idx="1784">
                  <c:v>0</c:v>
                </c:pt>
                <c:pt idx="1785">
                  <c:v>0.1</c:v>
                </c:pt>
                <c:pt idx="1786">
                  <c:v>0.1</c:v>
                </c:pt>
                <c:pt idx="1787">
                  <c:v>0.15</c:v>
                </c:pt>
                <c:pt idx="1788">
                  <c:v>0.2</c:v>
                </c:pt>
                <c:pt idx="1789">
                  <c:v>0.1</c:v>
                </c:pt>
                <c:pt idx="1790">
                  <c:v>0.1</c:v>
                </c:pt>
                <c:pt idx="1791">
                  <c:v>0.05</c:v>
                </c:pt>
                <c:pt idx="1792">
                  <c:v>0.2</c:v>
                </c:pt>
                <c:pt idx="1793">
                  <c:v>0.15</c:v>
                </c:pt>
                <c:pt idx="1794">
                  <c:v>0.15</c:v>
                </c:pt>
                <c:pt idx="1795">
                  <c:v>0.1</c:v>
                </c:pt>
                <c:pt idx="1796">
                  <c:v>0.1</c:v>
                </c:pt>
                <c:pt idx="1797">
                  <c:v>0</c:v>
                </c:pt>
                <c:pt idx="1798">
                  <c:v>0.05</c:v>
                </c:pt>
                <c:pt idx="1799">
                  <c:v>0.1</c:v>
                </c:pt>
                <c:pt idx="1800">
                  <c:v>0.05</c:v>
                </c:pt>
                <c:pt idx="1801">
                  <c:v>0.1</c:v>
                </c:pt>
                <c:pt idx="1802">
                  <c:v>0</c:v>
                </c:pt>
                <c:pt idx="1803">
                  <c:v>0.2</c:v>
                </c:pt>
                <c:pt idx="1804">
                  <c:v>0.2</c:v>
                </c:pt>
                <c:pt idx="1805">
                  <c:v>0</c:v>
                </c:pt>
                <c:pt idx="1806">
                  <c:v>0</c:v>
                </c:pt>
                <c:pt idx="1807">
                  <c:v>0.2</c:v>
                </c:pt>
                <c:pt idx="1808">
                  <c:v>0</c:v>
                </c:pt>
                <c:pt idx="1809">
                  <c:v>0.15</c:v>
                </c:pt>
                <c:pt idx="1810">
                  <c:v>0.15</c:v>
                </c:pt>
                <c:pt idx="1811">
                  <c:v>0</c:v>
                </c:pt>
                <c:pt idx="1812">
                  <c:v>0.15</c:v>
                </c:pt>
                <c:pt idx="1813">
                  <c:v>0.1</c:v>
                </c:pt>
                <c:pt idx="1814">
                  <c:v>0.1</c:v>
                </c:pt>
                <c:pt idx="1815">
                  <c:v>0.05</c:v>
                </c:pt>
                <c:pt idx="1816">
                  <c:v>0.05</c:v>
                </c:pt>
                <c:pt idx="1817">
                  <c:v>0</c:v>
                </c:pt>
                <c:pt idx="1818">
                  <c:v>0.2</c:v>
                </c:pt>
                <c:pt idx="1819">
                  <c:v>0.05</c:v>
                </c:pt>
                <c:pt idx="1820">
                  <c:v>0</c:v>
                </c:pt>
                <c:pt idx="1821">
                  <c:v>0.15</c:v>
                </c:pt>
                <c:pt idx="1822">
                  <c:v>0</c:v>
                </c:pt>
                <c:pt idx="1823">
                  <c:v>0.15</c:v>
                </c:pt>
                <c:pt idx="1824">
                  <c:v>0.05</c:v>
                </c:pt>
                <c:pt idx="1825">
                  <c:v>0.05</c:v>
                </c:pt>
                <c:pt idx="1826">
                  <c:v>0.2</c:v>
                </c:pt>
                <c:pt idx="1827">
                  <c:v>0.05</c:v>
                </c:pt>
                <c:pt idx="1828">
                  <c:v>0</c:v>
                </c:pt>
                <c:pt idx="1829">
                  <c:v>0.1</c:v>
                </c:pt>
                <c:pt idx="1830">
                  <c:v>0.05</c:v>
                </c:pt>
                <c:pt idx="1831">
                  <c:v>0.05</c:v>
                </c:pt>
                <c:pt idx="1832">
                  <c:v>0.05</c:v>
                </c:pt>
                <c:pt idx="1833">
                  <c:v>0.1</c:v>
                </c:pt>
                <c:pt idx="1834">
                  <c:v>0</c:v>
                </c:pt>
                <c:pt idx="1835">
                  <c:v>0.05</c:v>
                </c:pt>
                <c:pt idx="1836">
                  <c:v>0.15</c:v>
                </c:pt>
                <c:pt idx="1837">
                  <c:v>0</c:v>
                </c:pt>
                <c:pt idx="1838">
                  <c:v>0</c:v>
                </c:pt>
                <c:pt idx="1839">
                  <c:v>0</c:v>
                </c:pt>
                <c:pt idx="1840">
                  <c:v>0.05</c:v>
                </c:pt>
                <c:pt idx="1841">
                  <c:v>0.1</c:v>
                </c:pt>
                <c:pt idx="1842">
                  <c:v>0.05</c:v>
                </c:pt>
                <c:pt idx="1843">
                  <c:v>0.15</c:v>
                </c:pt>
                <c:pt idx="1844">
                  <c:v>0</c:v>
                </c:pt>
                <c:pt idx="1845">
                  <c:v>0.2</c:v>
                </c:pt>
                <c:pt idx="1846">
                  <c:v>0</c:v>
                </c:pt>
                <c:pt idx="1847">
                  <c:v>0.15</c:v>
                </c:pt>
                <c:pt idx="1848">
                  <c:v>0.15</c:v>
                </c:pt>
                <c:pt idx="1849">
                  <c:v>0.15</c:v>
                </c:pt>
                <c:pt idx="1850">
                  <c:v>0</c:v>
                </c:pt>
                <c:pt idx="1851">
                  <c:v>0.1</c:v>
                </c:pt>
                <c:pt idx="1852">
                  <c:v>0.05</c:v>
                </c:pt>
                <c:pt idx="1853">
                  <c:v>0</c:v>
                </c:pt>
                <c:pt idx="1854">
                  <c:v>0.05</c:v>
                </c:pt>
                <c:pt idx="1855">
                  <c:v>0.15</c:v>
                </c:pt>
                <c:pt idx="1856">
                  <c:v>0.1</c:v>
                </c:pt>
                <c:pt idx="1857">
                  <c:v>0.1</c:v>
                </c:pt>
                <c:pt idx="1858">
                  <c:v>0</c:v>
                </c:pt>
                <c:pt idx="1859">
                  <c:v>0.05</c:v>
                </c:pt>
                <c:pt idx="1860">
                  <c:v>0.05</c:v>
                </c:pt>
                <c:pt idx="1861">
                  <c:v>0.15</c:v>
                </c:pt>
                <c:pt idx="1862">
                  <c:v>0.15</c:v>
                </c:pt>
                <c:pt idx="1863">
                  <c:v>0.2</c:v>
                </c:pt>
                <c:pt idx="1864">
                  <c:v>0</c:v>
                </c:pt>
                <c:pt idx="1865">
                  <c:v>0.05</c:v>
                </c:pt>
                <c:pt idx="1866">
                  <c:v>0.15</c:v>
                </c:pt>
                <c:pt idx="1867">
                  <c:v>0.15</c:v>
                </c:pt>
                <c:pt idx="1868">
                  <c:v>0</c:v>
                </c:pt>
                <c:pt idx="1869">
                  <c:v>0.2</c:v>
                </c:pt>
                <c:pt idx="1870">
                  <c:v>0.2</c:v>
                </c:pt>
                <c:pt idx="1871">
                  <c:v>0</c:v>
                </c:pt>
                <c:pt idx="1872">
                  <c:v>0.2</c:v>
                </c:pt>
                <c:pt idx="1873">
                  <c:v>0</c:v>
                </c:pt>
                <c:pt idx="1874">
                  <c:v>0.05</c:v>
                </c:pt>
                <c:pt idx="1875">
                  <c:v>0</c:v>
                </c:pt>
                <c:pt idx="1876">
                  <c:v>0.25</c:v>
                </c:pt>
                <c:pt idx="1877">
                  <c:v>0.05</c:v>
                </c:pt>
                <c:pt idx="1878">
                  <c:v>0.15</c:v>
                </c:pt>
                <c:pt idx="1879">
                  <c:v>0</c:v>
                </c:pt>
                <c:pt idx="1880">
                  <c:v>0</c:v>
                </c:pt>
                <c:pt idx="1881">
                  <c:v>0</c:v>
                </c:pt>
                <c:pt idx="1882">
                  <c:v>0.05</c:v>
                </c:pt>
                <c:pt idx="1883">
                  <c:v>0.05</c:v>
                </c:pt>
                <c:pt idx="1884">
                  <c:v>0.15</c:v>
                </c:pt>
                <c:pt idx="1885">
                  <c:v>0</c:v>
                </c:pt>
                <c:pt idx="1886">
                  <c:v>0.2</c:v>
                </c:pt>
                <c:pt idx="1887">
                  <c:v>0.05</c:v>
                </c:pt>
                <c:pt idx="1888">
                  <c:v>0.1</c:v>
                </c:pt>
                <c:pt idx="1889">
                  <c:v>0.2</c:v>
                </c:pt>
                <c:pt idx="1890">
                  <c:v>0.1</c:v>
                </c:pt>
                <c:pt idx="1891">
                  <c:v>0.1</c:v>
                </c:pt>
                <c:pt idx="1892">
                  <c:v>0.05</c:v>
                </c:pt>
                <c:pt idx="1893">
                  <c:v>0.2</c:v>
                </c:pt>
                <c:pt idx="1894">
                  <c:v>0.2</c:v>
                </c:pt>
                <c:pt idx="1895">
                  <c:v>0</c:v>
                </c:pt>
                <c:pt idx="1896">
                  <c:v>0.05</c:v>
                </c:pt>
                <c:pt idx="1897">
                  <c:v>0.05</c:v>
                </c:pt>
                <c:pt idx="1898">
                  <c:v>0.2</c:v>
                </c:pt>
                <c:pt idx="1899">
                  <c:v>0</c:v>
                </c:pt>
                <c:pt idx="1900">
                  <c:v>0.05</c:v>
                </c:pt>
                <c:pt idx="1901">
                  <c:v>0</c:v>
                </c:pt>
                <c:pt idx="1902">
                  <c:v>0.05</c:v>
                </c:pt>
                <c:pt idx="1903">
                  <c:v>0</c:v>
                </c:pt>
                <c:pt idx="1904">
                  <c:v>0</c:v>
                </c:pt>
                <c:pt idx="1905">
                  <c:v>0.1</c:v>
                </c:pt>
                <c:pt idx="1906">
                  <c:v>0.05</c:v>
                </c:pt>
                <c:pt idx="1907">
                  <c:v>0.1</c:v>
                </c:pt>
                <c:pt idx="1908">
                  <c:v>0.1</c:v>
                </c:pt>
                <c:pt idx="1909">
                  <c:v>0</c:v>
                </c:pt>
                <c:pt idx="1910">
                  <c:v>0.1</c:v>
                </c:pt>
                <c:pt idx="1911">
                  <c:v>0</c:v>
                </c:pt>
                <c:pt idx="1912">
                  <c:v>0.15</c:v>
                </c:pt>
                <c:pt idx="1913">
                  <c:v>0.05</c:v>
                </c:pt>
                <c:pt idx="1914">
                  <c:v>0</c:v>
                </c:pt>
                <c:pt idx="1915">
                  <c:v>0.1</c:v>
                </c:pt>
                <c:pt idx="1916">
                  <c:v>0.15</c:v>
                </c:pt>
                <c:pt idx="1917">
                  <c:v>0</c:v>
                </c:pt>
                <c:pt idx="1918">
                  <c:v>0</c:v>
                </c:pt>
                <c:pt idx="1919">
                  <c:v>0.2</c:v>
                </c:pt>
                <c:pt idx="1920">
                  <c:v>0.2</c:v>
                </c:pt>
                <c:pt idx="1921">
                  <c:v>0</c:v>
                </c:pt>
                <c:pt idx="1922">
                  <c:v>0.05</c:v>
                </c:pt>
                <c:pt idx="1923">
                  <c:v>0.05</c:v>
                </c:pt>
                <c:pt idx="1924">
                  <c:v>0</c:v>
                </c:pt>
                <c:pt idx="1925">
                  <c:v>0.1</c:v>
                </c:pt>
                <c:pt idx="1926">
                  <c:v>0</c:v>
                </c:pt>
                <c:pt idx="1927">
                  <c:v>0.05</c:v>
                </c:pt>
                <c:pt idx="1928">
                  <c:v>0</c:v>
                </c:pt>
                <c:pt idx="1929">
                  <c:v>0</c:v>
                </c:pt>
                <c:pt idx="1930">
                  <c:v>0.05</c:v>
                </c:pt>
                <c:pt idx="1931">
                  <c:v>0</c:v>
                </c:pt>
                <c:pt idx="1932">
                  <c:v>0.1</c:v>
                </c:pt>
                <c:pt idx="1933">
                  <c:v>0.2</c:v>
                </c:pt>
                <c:pt idx="1934">
                  <c:v>0.15</c:v>
                </c:pt>
                <c:pt idx="1935">
                  <c:v>0.05</c:v>
                </c:pt>
                <c:pt idx="1936">
                  <c:v>0.15</c:v>
                </c:pt>
                <c:pt idx="1937">
                  <c:v>0.1</c:v>
                </c:pt>
                <c:pt idx="1938">
                  <c:v>0.05</c:v>
                </c:pt>
                <c:pt idx="1939">
                  <c:v>0.05</c:v>
                </c:pt>
                <c:pt idx="1940">
                  <c:v>0.15</c:v>
                </c:pt>
                <c:pt idx="1941">
                  <c:v>0.2</c:v>
                </c:pt>
                <c:pt idx="1942">
                  <c:v>0.15</c:v>
                </c:pt>
                <c:pt idx="1943">
                  <c:v>0.2</c:v>
                </c:pt>
                <c:pt idx="1944">
                  <c:v>0</c:v>
                </c:pt>
                <c:pt idx="1945">
                  <c:v>0.05</c:v>
                </c:pt>
                <c:pt idx="1946">
                  <c:v>0.15</c:v>
                </c:pt>
                <c:pt idx="1947">
                  <c:v>0</c:v>
                </c:pt>
                <c:pt idx="1948">
                  <c:v>0.2</c:v>
                </c:pt>
                <c:pt idx="1949">
                  <c:v>0.05</c:v>
                </c:pt>
                <c:pt idx="1950">
                  <c:v>0.15</c:v>
                </c:pt>
                <c:pt idx="1951">
                  <c:v>0</c:v>
                </c:pt>
                <c:pt idx="1952">
                  <c:v>0.2</c:v>
                </c:pt>
                <c:pt idx="1953">
                  <c:v>0.05</c:v>
                </c:pt>
                <c:pt idx="1954">
                  <c:v>0</c:v>
                </c:pt>
                <c:pt idx="1955">
                  <c:v>0</c:v>
                </c:pt>
                <c:pt idx="1956">
                  <c:v>0.05</c:v>
                </c:pt>
                <c:pt idx="1957">
                  <c:v>0.1</c:v>
                </c:pt>
                <c:pt idx="1958">
                  <c:v>0.15</c:v>
                </c:pt>
                <c:pt idx="1959">
                  <c:v>0.15</c:v>
                </c:pt>
                <c:pt idx="1960">
                  <c:v>0.05</c:v>
                </c:pt>
                <c:pt idx="1961">
                  <c:v>0.05</c:v>
                </c:pt>
                <c:pt idx="1962">
                  <c:v>0.15</c:v>
                </c:pt>
                <c:pt idx="1963">
                  <c:v>0.15</c:v>
                </c:pt>
                <c:pt idx="1964">
                  <c:v>0</c:v>
                </c:pt>
                <c:pt idx="1965">
                  <c:v>0.1</c:v>
                </c:pt>
                <c:pt idx="1966">
                  <c:v>0.1</c:v>
                </c:pt>
                <c:pt idx="1967">
                  <c:v>0.2</c:v>
                </c:pt>
                <c:pt idx="1968">
                  <c:v>0</c:v>
                </c:pt>
                <c:pt idx="1969">
                  <c:v>0.1</c:v>
                </c:pt>
                <c:pt idx="1970">
                  <c:v>0</c:v>
                </c:pt>
                <c:pt idx="1971">
                  <c:v>0.1</c:v>
                </c:pt>
                <c:pt idx="1972">
                  <c:v>0.2</c:v>
                </c:pt>
                <c:pt idx="1973">
                  <c:v>0.05</c:v>
                </c:pt>
                <c:pt idx="1974">
                  <c:v>0.05</c:v>
                </c:pt>
                <c:pt idx="1975">
                  <c:v>0</c:v>
                </c:pt>
                <c:pt idx="1976">
                  <c:v>0.1</c:v>
                </c:pt>
                <c:pt idx="1977">
                  <c:v>0.05</c:v>
                </c:pt>
                <c:pt idx="1978">
                  <c:v>0.05</c:v>
                </c:pt>
                <c:pt idx="1979">
                  <c:v>0.05</c:v>
                </c:pt>
                <c:pt idx="1980">
                  <c:v>0.1</c:v>
                </c:pt>
                <c:pt idx="1981">
                  <c:v>0</c:v>
                </c:pt>
                <c:pt idx="1982">
                  <c:v>0.15</c:v>
                </c:pt>
                <c:pt idx="1983">
                  <c:v>0.1</c:v>
                </c:pt>
                <c:pt idx="1984">
                  <c:v>0.05</c:v>
                </c:pt>
                <c:pt idx="1985">
                  <c:v>0</c:v>
                </c:pt>
                <c:pt idx="1986">
                  <c:v>0.15</c:v>
                </c:pt>
                <c:pt idx="1987">
                  <c:v>0.1</c:v>
                </c:pt>
                <c:pt idx="1988">
                  <c:v>0</c:v>
                </c:pt>
                <c:pt idx="1989">
                  <c:v>0.1</c:v>
                </c:pt>
                <c:pt idx="1990">
                  <c:v>0</c:v>
                </c:pt>
                <c:pt idx="1991">
                  <c:v>0.2</c:v>
                </c:pt>
                <c:pt idx="1992">
                  <c:v>0.1</c:v>
                </c:pt>
                <c:pt idx="1993">
                  <c:v>0.1</c:v>
                </c:pt>
                <c:pt idx="1994">
                  <c:v>0</c:v>
                </c:pt>
                <c:pt idx="1995">
                  <c:v>0.05</c:v>
                </c:pt>
                <c:pt idx="1996">
                  <c:v>0.1</c:v>
                </c:pt>
                <c:pt idx="1997">
                  <c:v>0</c:v>
                </c:pt>
                <c:pt idx="1998">
                  <c:v>0.15</c:v>
                </c:pt>
                <c:pt idx="1999">
                  <c:v>0.15</c:v>
                </c:pt>
                <c:pt idx="2000">
                  <c:v>0.05</c:v>
                </c:pt>
                <c:pt idx="2001">
                  <c:v>0</c:v>
                </c:pt>
                <c:pt idx="2002">
                  <c:v>0.05</c:v>
                </c:pt>
                <c:pt idx="2003">
                  <c:v>0.05</c:v>
                </c:pt>
                <c:pt idx="2004">
                  <c:v>0.1</c:v>
                </c:pt>
                <c:pt idx="2005">
                  <c:v>0</c:v>
                </c:pt>
                <c:pt idx="2006">
                  <c:v>0</c:v>
                </c:pt>
                <c:pt idx="2007">
                  <c:v>0</c:v>
                </c:pt>
                <c:pt idx="2008">
                  <c:v>0.05</c:v>
                </c:pt>
                <c:pt idx="2009">
                  <c:v>0.05</c:v>
                </c:pt>
                <c:pt idx="2010">
                  <c:v>0</c:v>
                </c:pt>
                <c:pt idx="2011">
                  <c:v>0</c:v>
                </c:pt>
                <c:pt idx="2012">
                  <c:v>0</c:v>
                </c:pt>
                <c:pt idx="2013">
                  <c:v>0.1</c:v>
                </c:pt>
                <c:pt idx="2014">
                  <c:v>0.05</c:v>
                </c:pt>
                <c:pt idx="2015">
                  <c:v>0.15</c:v>
                </c:pt>
                <c:pt idx="2016">
                  <c:v>0</c:v>
                </c:pt>
                <c:pt idx="2017">
                  <c:v>0.05</c:v>
                </c:pt>
                <c:pt idx="2018">
                  <c:v>0.15</c:v>
                </c:pt>
                <c:pt idx="2019">
                  <c:v>0.1</c:v>
                </c:pt>
                <c:pt idx="2020">
                  <c:v>0</c:v>
                </c:pt>
                <c:pt idx="2021">
                  <c:v>0</c:v>
                </c:pt>
                <c:pt idx="2022">
                  <c:v>0.1</c:v>
                </c:pt>
                <c:pt idx="2023">
                  <c:v>0.05</c:v>
                </c:pt>
                <c:pt idx="2024">
                  <c:v>0</c:v>
                </c:pt>
                <c:pt idx="2025">
                  <c:v>0.1</c:v>
                </c:pt>
                <c:pt idx="2026">
                  <c:v>0.05</c:v>
                </c:pt>
                <c:pt idx="2027">
                  <c:v>0.15</c:v>
                </c:pt>
                <c:pt idx="2028">
                  <c:v>0.15</c:v>
                </c:pt>
                <c:pt idx="2029">
                  <c:v>0.05</c:v>
                </c:pt>
                <c:pt idx="2030">
                  <c:v>0.05</c:v>
                </c:pt>
                <c:pt idx="2031">
                  <c:v>0</c:v>
                </c:pt>
                <c:pt idx="2032">
                  <c:v>0.1</c:v>
                </c:pt>
                <c:pt idx="2033">
                  <c:v>0</c:v>
                </c:pt>
                <c:pt idx="2034">
                  <c:v>0.1</c:v>
                </c:pt>
                <c:pt idx="2035">
                  <c:v>0</c:v>
                </c:pt>
                <c:pt idx="2036">
                  <c:v>0.05</c:v>
                </c:pt>
                <c:pt idx="2037">
                  <c:v>0.2</c:v>
                </c:pt>
                <c:pt idx="2038">
                  <c:v>0.05</c:v>
                </c:pt>
                <c:pt idx="2039">
                  <c:v>0.05</c:v>
                </c:pt>
                <c:pt idx="2040">
                  <c:v>0.1</c:v>
                </c:pt>
                <c:pt idx="2041">
                  <c:v>0.2</c:v>
                </c:pt>
                <c:pt idx="2042">
                  <c:v>0</c:v>
                </c:pt>
                <c:pt idx="2043">
                  <c:v>0.15</c:v>
                </c:pt>
                <c:pt idx="2044">
                  <c:v>0</c:v>
                </c:pt>
                <c:pt idx="2045">
                  <c:v>0</c:v>
                </c:pt>
                <c:pt idx="2046">
                  <c:v>0</c:v>
                </c:pt>
                <c:pt idx="2047">
                  <c:v>0.1</c:v>
                </c:pt>
                <c:pt idx="2048">
                  <c:v>0.15</c:v>
                </c:pt>
                <c:pt idx="2049">
                  <c:v>0.15</c:v>
                </c:pt>
                <c:pt idx="2050">
                  <c:v>0.05</c:v>
                </c:pt>
                <c:pt idx="2051">
                  <c:v>0</c:v>
                </c:pt>
                <c:pt idx="2052">
                  <c:v>0.2</c:v>
                </c:pt>
                <c:pt idx="2053">
                  <c:v>0.05</c:v>
                </c:pt>
                <c:pt idx="2054">
                  <c:v>0.1</c:v>
                </c:pt>
                <c:pt idx="2055">
                  <c:v>0</c:v>
                </c:pt>
                <c:pt idx="2056">
                  <c:v>0.2</c:v>
                </c:pt>
                <c:pt idx="2057">
                  <c:v>0</c:v>
                </c:pt>
                <c:pt idx="2058">
                  <c:v>0</c:v>
                </c:pt>
                <c:pt idx="2059">
                  <c:v>0.2</c:v>
                </c:pt>
                <c:pt idx="2060">
                  <c:v>0</c:v>
                </c:pt>
                <c:pt idx="2061">
                  <c:v>0</c:v>
                </c:pt>
                <c:pt idx="2062">
                  <c:v>0.15</c:v>
                </c:pt>
                <c:pt idx="2063">
                  <c:v>0.05</c:v>
                </c:pt>
                <c:pt idx="2064">
                  <c:v>0.1</c:v>
                </c:pt>
                <c:pt idx="2065">
                  <c:v>0.1</c:v>
                </c:pt>
                <c:pt idx="2066">
                  <c:v>0.05</c:v>
                </c:pt>
                <c:pt idx="2067">
                  <c:v>0.15</c:v>
                </c:pt>
                <c:pt idx="2068">
                  <c:v>0</c:v>
                </c:pt>
                <c:pt idx="2069">
                  <c:v>0.2</c:v>
                </c:pt>
                <c:pt idx="2070">
                  <c:v>0</c:v>
                </c:pt>
                <c:pt idx="2071">
                  <c:v>0.2</c:v>
                </c:pt>
                <c:pt idx="2072">
                  <c:v>0</c:v>
                </c:pt>
                <c:pt idx="2073">
                  <c:v>0.1</c:v>
                </c:pt>
                <c:pt idx="2074">
                  <c:v>0.05</c:v>
                </c:pt>
                <c:pt idx="2075">
                  <c:v>0.2</c:v>
                </c:pt>
                <c:pt idx="2076">
                  <c:v>0.05</c:v>
                </c:pt>
                <c:pt idx="2077">
                  <c:v>0.2</c:v>
                </c:pt>
                <c:pt idx="2078">
                  <c:v>0.2</c:v>
                </c:pt>
                <c:pt idx="2079">
                  <c:v>0</c:v>
                </c:pt>
                <c:pt idx="2080">
                  <c:v>0.1</c:v>
                </c:pt>
                <c:pt idx="2081">
                  <c:v>0.2</c:v>
                </c:pt>
                <c:pt idx="2082">
                  <c:v>0.05</c:v>
                </c:pt>
                <c:pt idx="2083">
                  <c:v>0</c:v>
                </c:pt>
                <c:pt idx="2084">
                  <c:v>0</c:v>
                </c:pt>
                <c:pt idx="2085">
                  <c:v>0.15</c:v>
                </c:pt>
                <c:pt idx="2086">
                  <c:v>0.05</c:v>
                </c:pt>
                <c:pt idx="2087">
                  <c:v>0</c:v>
                </c:pt>
                <c:pt idx="2088">
                  <c:v>0</c:v>
                </c:pt>
                <c:pt idx="2089">
                  <c:v>0.15</c:v>
                </c:pt>
                <c:pt idx="2090">
                  <c:v>0.1</c:v>
                </c:pt>
                <c:pt idx="2091">
                  <c:v>0.15</c:v>
                </c:pt>
                <c:pt idx="2092">
                  <c:v>0.15</c:v>
                </c:pt>
                <c:pt idx="2093">
                  <c:v>0.2</c:v>
                </c:pt>
                <c:pt idx="2094">
                  <c:v>0.2</c:v>
                </c:pt>
                <c:pt idx="2095">
                  <c:v>0.05</c:v>
                </c:pt>
                <c:pt idx="2096">
                  <c:v>0.1</c:v>
                </c:pt>
                <c:pt idx="2097">
                  <c:v>0</c:v>
                </c:pt>
                <c:pt idx="2098">
                  <c:v>0.05</c:v>
                </c:pt>
                <c:pt idx="2099">
                  <c:v>0.1</c:v>
                </c:pt>
                <c:pt idx="2100">
                  <c:v>0.15</c:v>
                </c:pt>
                <c:pt idx="2101">
                  <c:v>0.2</c:v>
                </c:pt>
                <c:pt idx="2102">
                  <c:v>0.15</c:v>
                </c:pt>
                <c:pt idx="2103">
                  <c:v>0.1</c:v>
                </c:pt>
                <c:pt idx="2104">
                  <c:v>0.05</c:v>
                </c:pt>
                <c:pt idx="2105">
                  <c:v>0.05</c:v>
                </c:pt>
                <c:pt idx="2106">
                  <c:v>0</c:v>
                </c:pt>
                <c:pt idx="2107">
                  <c:v>0.05</c:v>
                </c:pt>
                <c:pt idx="2108">
                  <c:v>0.2</c:v>
                </c:pt>
                <c:pt idx="2109">
                  <c:v>0.1</c:v>
                </c:pt>
                <c:pt idx="2110">
                  <c:v>0.15</c:v>
                </c:pt>
                <c:pt idx="2111">
                  <c:v>0</c:v>
                </c:pt>
                <c:pt idx="2112">
                  <c:v>0</c:v>
                </c:pt>
                <c:pt idx="2113">
                  <c:v>0.2</c:v>
                </c:pt>
                <c:pt idx="2114">
                  <c:v>0</c:v>
                </c:pt>
                <c:pt idx="2115">
                  <c:v>0.1</c:v>
                </c:pt>
                <c:pt idx="2116">
                  <c:v>0.2</c:v>
                </c:pt>
                <c:pt idx="2117">
                  <c:v>0.15</c:v>
                </c:pt>
                <c:pt idx="2118">
                  <c:v>0.05</c:v>
                </c:pt>
                <c:pt idx="2119">
                  <c:v>0.1</c:v>
                </c:pt>
                <c:pt idx="2120">
                  <c:v>0.05</c:v>
                </c:pt>
                <c:pt idx="2121">
                  <c:v>0</c:v>
                </c:pt>
                <c:pt idx="2122">
                  <c:v>0.1</c:v>
                </c:pt>
                <c:pt idx="2123">
                  <c:v>0.15</c:v>
                </c:pt>
                <c:pt idx="2124">
                  <c:v>0.15</c:v>
                </c:pt>
                <c:pt idx="2125">
                  <c:v>0.1</c:v>
                </c:pt>
                <c:pt idx="2126">
                  <c:v>0.1</c:v>
                </c:pt>
                <c:pt idx="2127">
                  <c:v>0.2</c:v>
                </c:pt>
                <c:pt idx="2128">
                  <c:v>0</c:v>
                </c:pt>
                <c:pt idx="2129">
                  <c:v>0</c:v>
                </c:pt>
                <c:pt idx="2130">
                  <c:v>0.15</c:v>
                </c:pt>
                <c:pt idx="2131">
                  <c:v>0.1</c:v>
                </c:pt>
                <c:pt idx="2132">
                  <c:v>0.15</c:v>
                </c:pt>
                <c:pt idx="2133">
                  <c:v>0</c:v>
                </c:pt>
                <c:pt idx="2134">
                  <c:v>0.1</c:v>
                </c:pt>
                <c:pt idx="2135">
                  <c:v>0.1</c:v>
                </c:pt>
                <c:pt idx="2136">
                  <c:v>0.05</c:v>
                </c:pt>
                <c:pt idx="2137">
                  <c:v>0.2</c:v>
                </c:pt>
                <c:pt idx="2138">
                  <c:v>0.15</c:v>
                </c:pt>
                <c:pt idx="2139">
                  <c:v>0</c:v>
                </c:pt>
                <c:pt idx="2140">
                  <c:v>0</c:v>
                </c:pt>
                <c:pt idx="2141">
                  <c:v>0</c:v>
                </c:pt>
                <c:pt idx="2142">
                  <c:v>0.1</c:v>
                </c:pt>
                <c:pt idx="2143">
                  <c:v>0</c:v>
                </c:pt>
                <c:pt idx="2144">
                  <c:v>0</c:v>
                </c:pt>
                <c:pt idx="2145">
                  <c:v>0</c:v>
                </c:pt>
                <c:pt idx="2146">
                  <c:v>0.05</c:v>
                </c:pt>
                <c:pt idx="2147">
                  <c:v>0.1</c:v>
                </c:pt>
                <c:pt idx="2148">
                  <c:v>0</c:v>
                </c:pt>
                <c:pt idx="2149">
                  <c:v>0.2</c:v>
                </c:pt>
                <c:pt idx="2150">
                  <c:v>0.1</c:v>
                </c:pt>
                <c:pt idx="2151">
                  <c:v>0</c:v>
                </c:pt>
                <c:pt idx="2152">
                  <c:v>0</c:v>
                </c:pt>
                <c:pt idx="2153">
                  <c:v>0</c:v>
                </c:pt>
                <c:pt idx="2154">
                  <c:v>0.05</c:v>
                </c:pt>
                <c:pt idx="2155">
                  <c:v>0</c:v>
                </c:pt>
                <c:pt idx="2156">
                  <c:v>0.05</c:v>
                </c:pt>
                <c:pt idx="2157">
                  <c:v>0.1</c:v>
                </c:pt>
                <c:pt idx="2158">
                  <c:v>0.2</c:v>
                </c:pt>
                <c:pt idx="2159">
                  <c:v>0.15</c:v>
                </c:pt>
                <c:pt idx="2160">
                  <c:v>0.1</c:v>
                </c:pt>
                <c:pt idx="2161">
                  <c:v>0.15</c:v>
                </c:pt>
                <c:pt idx="2162">
                  <c:v>0.1</c:v>
                </c:pt>
                <c:pt idx="2163">
                  <c:v>0.15</c:v>
                </c:pt>
                <c:pt idx="2164">
                  <c:v>0.15</c:v>
                </c:pt>
                <c:pt idx="2165">
                  <c:v>0</c:v>
                </c:pt>
                <c:pt idx="2166">
                  <c:v>0</c:v>
                </c:pt>
                <c:pt idx="2167">
                  <c:v>0.15</c:v>
                </c:pt>
                <c:pt idx="2168">
                  <c:v>0.1</c:v>
                </c:pt>
                <c:pt idx="2169">
                  <c:v>0.05</c:v>
                </c:pt>
                <c:pt idx="2170">
                  <c:v>0.2</c:v>
                </c:pt>
                <c:pt idx="2171">
                  <c:v>0.05</c:v>
                </c:pt>
                <c:pt idx="2172">
                  <c:v>0.15</c:v>
                </c:pt>
                <c:pt idx="2173">
                  <c:v>0</c:v>
                </c:pt>
                <c:pt idx="2174">
                  <c:v>0.2</c:v>
                </c:pt>
                <c:pt idx="2175">
                  <c:v>0.1</c:v>
                </c:pt>
                <c:pt idx="2176">
                  <c:v>0</c:v>
                </c:pt>
                <c:pt idx="2177">
                  <c:v>0.05</c:v>
                </c:pt>
                <c:pt idx="2178">
                  <c:v>0</c:v>
                </c:pt>
                <c:pt idx="2179">
                  <c:v>0.1</c:v>
                </c:pt>
                <c:pt idx="2180">
                  <c:v>0.05</c:v>
                </c:pt>
                <c:pt idx="2181">
                  <c:v>0.05</c:v>
                </c:pt>
                <c:pt idx="2182">
                  <c:v>0</c:v>
                </c:pt>
                <c:pt idx="2183">
                  <c:v>0.2</c:v>
                </c:pt>
                <c:pt idx="2184">
                  <c:v>0.1</c:v>
                </c:pt>
                <c:pt idx="2185">
                  <c:v>0.05</c:v>
                </c:pt>
                <c:pt idx="2186">
                  <c:v>0</c:v>
                </c:pt>
                <c:pt idx="2187">
                  <c:v>0</c:v>
                </c:pt>
                <c:pt idx="2188">
                  <c:v>0.1</c:v>
                </c:pt>
                <c:pt idx="2189">
                  <c:v>0.15</c:v>
                </c:pt>
                <c:pt idx="2190">
                  <c:v>0.15</c:v>
                </c:pt>
                <c:pt idx="2191">
                  <c:v>0.15</c:v>
                </c:pt>
                <c:pt idx="2192">
                  <c:v>0</c:v>
                </c:pt>
                <c:pt idx="2193">
                  <c:v>0.15</c:v>
                </c:pt>
                <c:pt idx="2194">
                  <c:v>0.1</c:v>
                </c:pt>
                <c:pt idx="2195">
                  <c:v>0</c:v>
                </c:pt>
                <c:pt idx="2196">
                  <c:v>0</c:v>
                </c:pt>
                <c:pt idx="2197">
                  <c:v>0.05</c:v>
                </c:pt>
                <c:pt idx="2198">
                  <c:v>0.05</c:v>
                </c:pt>
                <c:pt idx="2199">
                  <c:v>0</c:v>
                </c:pt>
                <c:pt idx="2200">
                  <c:v>0.1</c:v>
                </c:pt>
                <c:pt idx="2201">
                  <c:v>0.05</c:v>
                </c:pt>
                <c:pt idx="2202">
                  <c:v>0.15</c:v>
                </c:pt>
                <c:pt idx="2203">
                  <c:v>0</c:v>
                </c:pt>
                <c:pt idx="2204">
                  <c:v>0.1</c:v>
                </c:pt>
                <c:pt idx="2205">
                  <c:v>0</c:v>
                </c:pt>
                <c:pt idx="2206">
                  <c:v>0</c:v>
                </c:pt>
                <c:pt idx="2207">
                  <c:v>0</c:v>
                </c:pt>
                <c:pt idx="2208">
                  <c:v>0</c:v>
                </c:pt>
                <c:pt idx="2209">
                  <c:v>0.15</c:v>
                </c:pt>
                <c:pt idx="2210">
                  <c:v>0.05</c:v>
                </c:pt>
                <c:pt idx="2211">
                  <c:v>0.2</c:v>
                </c:pt>
                <c:pt idx="2212">
                  <c:v>0.15</c:v>
                </c:pt>
                <c:pt idx="2213">
                  <c:v>0.05</c:v>
                </c:pt>
                <c:pt idx="2214">
                  <c:v>0</c:v>
                </c:pt>
                <c:pt idx="2215">
                  <c:v>0.1</c:v>
                </c:pt>
                <c:pt idx="2216">
                  <c:v>0.1</c:v>
                </c:pt>
                <c:pt idx="2217">
                  <c:v>0</c:v>
                </c:pt>
                <c:pt idx="2218">
                  <c:v>0.1</c:v>
                </c:pt>
                <c:pt idx="2219">
                  <c:v>0.15</c:v>
                </c:pt>
                <c:pt idx="2220">
                  <c:v>0.1</c:v>
                </c:pt>
                <c:pt idx="2221">
                  <c:v>0.1</c:v>
                </c:pt>
                <c:pt idx="2222">
                  <c:v>0.15</c:v>
                </c:pt>
                <c:pt idx="2223">
                  <c:v>0</c:v>
                </c:pt>
                <c:pt idx="2224">
                  <c:v>0</c:v>
                </c:pt>
                <c:pt idx="2225">
                  <c:v>0</c:v>
                </c:pt>
                <c:pt idx="2226">
                  <c:v>0.2</c:v>
                </c:pt>
                <c:pt idx="2227">
                  <c:v>0.05</c:v>
                </c:pt>
                <c:pt idx="2228">
                  <c:v>0.1</c:v>
                </c:pt>
                <c:pt idx="2229">
                  <c:v>0</c:v>
                </c:pt>
                <c:pt idx="2230">
                  <c:v>0.15</c:v>
                </c:pt>
                <c:pt idx="2231">
                  <c:v>0</c:v>
                </c:pt>
                <c:pt idx="2232">
                  <c:v>0.2</c:v>
                </c:pt>
                <c:pt idx="2233">
                  <c:v>0.2</c:v>
                </c:pt>
                <c:pt idx="2234">
                  <c:v>0</c:v>
                </c:pt>
                <c:pt idx="2235">
                  <c:v>0.2</c:v>
                </c:pt>
                <c:pt idx="2236">
                  <c:v>0.05</c:v>
                </c:pt>
                <c:pt idx="2237">
                  <c:v>0.2</c:v>
                </c:pt>
                <c:pt idx="2238">
                  <c:v>0.15</c:v>
                </c:pt>
                <c:pt idx="2239">
                  <c:v>0.1</c:v>
                </c:pt>
                <c:pt idx="2240">
                  <c:v>0</c:v>
                </c:pt>
                <c:pt idx="2241">
                  <c:v>0.15</c:v>
                </c:pt>
                <c:pt idx="2242">
                  <c:v>0.1</c:v>
                </c:pt>
                <c:pt idx="2243">
                  <c:v>0.05</c:v>
                </c:pt>
                <c:pt idx="2244">
                  <c:v>0.15</c:v>
                </c:pt>
                <c:pt idx="2245">
                  <c:v>0</c:v>
                </c:pt>
                <c:pt idx="2246">
                  <c:v>0.2</c:v>
                </c:pt>
                <c:pt idx="2247">
                  <c:v>0</c:v>
                </c:pt>
                <c:pt idx="2248">
                  <c:v>0.15</c:v>
                </c:pt>
                <c:pt idx="2249">
                  <c:v>0</c:v>
                </c:pt>
                <c:pt idx="2250">
                  <c:v>0.2</c:v>
                </c:pt>
                <c:pt idx="2251">
                  <c:v>0.1</c:v>
                </c:pt>
                <c:pt idx="2252">
                  <c:v>0</c:v>
                </c:pt>
                <c:pt idx="2253">
                  <c:v>0.1</c:v>
                </c:pt>
                <c:pt idx="2254">
                  <c:v>0.1</c:v>
                </c:pt>
                <c:pt idx="2255">
                  <c:v>0.1</c:v>
                </c:pt>
                <c:pt idx="2256">
                  <c:v>0.05</c:v>
                </c:pt>
                <c:pt idx="2257">
                  <c:v>0</c:v>
                </c:pt>
                <c:pt idx="2258">
                  <c:v>0.1</c:v>
                </c:pt>
                <c:pt idx="2259">
                  <c:v>0.05</c:v>
                </c:pt>
                <c:pt idx="2260">
                  <c:v>0.05</c:v>
                </c:pt>
                <c:pt idx="2261">
                  <c:v>0.2</c:v>
                </c:pt>
                <c:pt idx="2262">
                  <c:v>0.15</c:v>
                </c:pt>
                <c:pt idx="2263">
                  <c:v>0.05</c:v>
                </c:pt>
                <c:pt idx="2264">
                  <c:v>0.1</c:v>
                </c:pt>
                <c:pt idx="2265">
                  <c:v>0.05</c:v>
                </c:pt>
                <c:pt idx="2266">
                  <c:v>0</c:v>
                </c:pt>
                <c:pt idx="2267">
                  <c:v>0.15</c:v>
                </c:pt>
                <c:pt idx="2268">
                  <c:v>0.2</c:v>
                </c:pt>
                <c:pt idx="2269">
                  <c:v>0.15</c:v>
                </c:pt>
                <c:pt idx="2270">
                  <c:v>0.05</c:v>
                </c:pt>
                <c:pt idx="2271">
                  <c:v>0.15</c:v>
                </c:pt>
                <c:pt idx="2272">
                  <c:v>0</c:v>
                </c:pt>
                <c:pt idx="2273">
                  <c:v>0.15</c:v>
                </c:pt>
                <c:pt idx="2274">
                  <c:v>0</c:v>
                </c:pt>
                <c:pt idx="2275">
                  <c:v>0.2</c:v>
                </c:pt>
                <c:pt idx="2276">
                  <c:v>0</c:v>
                </c:pt>
                <c:pt idx="2277">
                  <c:v>0</c:v>
                </c:pt>
                <c:pt idx="2278">
                  <c:v>0.1</c:v>
                </c:pt>
                <c:pt idx="2279">
                  <c:v>0.05</c:v>
                </c:pt>
                <c:pt idx="2280">
                  <c:v>0.2</c:v>
                </c:pt>
                <c:pt idx="2281">
                  <c:v>0</c:v>
                </c:pt>
                <c:pt idx="2282">
                  <c:v>0</c:v>
                </c:pt>
                <c:pt idx="2283">
                  <c:v>0</c:v>
                </c:pt>
                <c:pt idx="2284">
                  <c:v>0.05</c:v>
                </c:pt>
                <c:pt idx="2285">
                  <c:v>0.05</c:v>
                </c:pt>
                <c:pt idx="2286">
                  <c:v>0.05</c:v>
                </c:pt>
                <c:pt idx="2287">
                  <c:v>0</c:v>
                </c:pt>
                <c:pt idx="2288">
                  <c:v>0.1</c:v>
                </c:pt>
                <c:pt idx="2289">
                  <c:v>0.1</c:v>
                </c:pt>
                <c:pt idx="2290">
                  <c:v>0.1</c:v>
                </c:pt>
                <c:pt idx="2291">
                  <c:v>0.1</c:v>
                </c:pt>
                <c:pt idx="2292">
                  <c:v>0.05</c:v>
                </c:pt>
                <c:pt idx="2293">
                  <c:v>0.05</c:v>
                </c:pt>
                <c:pt idx="2294">
                  <c:v>0.1</c:v>
                </c:pt>
                <c:pt idx="2295">
                  <c:v>0.05</c:v>
                </c:pt>
                <c:pt idx="2296">
                  <c:v>0.1</c:v>
                </c:pt>
                <c:pt idx="2297">
                  <c:v>0</c:v>
                </c:pt>
                <c:pt idx="2298">
                  <c:v>0.15</c:v>
                </c:pt>
                <c:pt idx="2299">
                  <c:v>0.05</c:v>
                </c:pt>
                <c:pt idx="2300">
                  <c:v>0</c:v>
                </c:pt>
                <c:pt idx="2301">
                  <c:v>0</c:v>
                </c:pt>
                <c:pt idx="2302">
                  <c:v>0.15</c:v>
                </c:pt>
                <c:pt idx="2303">
                  <c:v>0</c:v>
                </c:pt>
                <c:pt idx="2304">
                  <c:v>0</c:v>
                </c:pt>
                <c:pt idx="2305">
                  <c:v>0.2</c:v>
                </c:pt>
                <c:pt idx="2306">
                  <c:v>0.05</c:v>
                </c:pt>
                <c:pt idx="2307">
                  <c:v>0.1</c:v>
                </c:pt>
                <c:pt idx="2308">
                  <c:v>0</c:v>
                </c:pt>
                <c:pt idx="2309">
                  <c:v>0</c:v>
                </c:pt>
                <c:pt idx="2310">
                  <c:v>0.1</c:v>
                </c:pt>
                <c:pt idx="2311">
                  <c:v>0.1</c:v>
                </c:pt>
                <c:pt idx="2312">
                  <c:v>0.1</c:v>
                </c:pt>
                <c:pt idx="2313">
                  <c:v>0.15</c:v>
                </c:pt>
                <c:pt idx="2314">
                  <c:v>0.15</c:v>
                </c:pt>
                <c:pt idx="2315">
                  <c:v>0.05</c:v>
                </c:pt>
                <c:pt idx="2316">
                  <c:v>0.1</c:v>
                </c:pt>
                <c:pt idx="2317">
                  <c:v>0.05</c:v>
                </c:pt>
                <c:pt idx="2318">
                  <c:v>0.25</c:v>
                </c:pt>
                <c:pt idx="2319">
                  <c:v>0.15</c:v>
                </c:pt>
                <c:pt idx="2320">
                  <c:v>0</c:v>
                </c:pt>
                <c:pt idx="2321">
                  <c:v>0</c:v>
                </c:pt>
                <c:pt idx="2322">
                  <c:v>0.05</c:v>
                </c:pt>
                <c:pt idx="2323">
                  <c:v>0.1</c:v>
                </c:pt>
                <c:pt idx="2324">
                  <c:v>0.1</c:v>
                </c:pt>
                <c:pt idx="2325">
                  <c:v>0</c:v>
                </c:pt>
                <c:pt idx="2326">
                  <c:v>0.05</c:v>
                </c:pt>
                <c:pt idx="2327">
                  <c:v>0.05</c:v>
                </c:pt>
                <c:pt idx="2328">
                  <c:v>0.2</c:v>
                </c:pt>
                <c:pt idx="2329">
                  <c:v>0</c:v>
                </c:pt>
                <c:pt idx="2330">
                  <c:v>0.1</c:v>
                </c:pt>
                <c:pt idx="2331">
                  <c:v>0.1</c:v>
                </c:pt>
                <c:pt idx="2332">
                  <c:v>0.15</c:v>
                </c:pt>
                <c:pt idx="2333">
                  <c:v>0</c:v>
                </c:pt>
                <c:pt idx="2334">
                  <c:v>0.05</c:v>
                </c:pt>
                <c:pt idx="2335">
                  <c:v>0.1</c:v>
                </c:pt>
                <c:pt idx="2336">
                  <c:v>0.05</c:v>
                </c:pt>
                <c:pt idx="2337">
                  <c:v>0.2</c:v>
                </c:pt>
                <c:pt idx="2338">
                  <c:v>0.15</c:v>
                </c:pt>
                <c:pt idx="2339">
                  <c:v>0.05</c:v>
                </c:pt>
                <c:pt idx="2340">
                  <c:v>0.05</c:v>
                </c:pt>
                <c:pt idx="2341">
                  <c:v>0.2</c:v>
                </c:pt>
                <c:pt idx="2342">
                  <c:v>0.2</c:v>
                </c:pt>
                <c:pt idx="2343">
                  <c:v>0.15</c:v>
                </c:pt>
                <c:pt idx="2344">
                  <c:v>0</c:v>
                </c:pt>
                <c:pt idx="2345">
                  <c:v>0.1</c:v>
                </c:pt>
                <c:pt idx="2346">
                  <c:v>0</c:v>
                </c:pt>
                <c:pt idx="2347">
                  <c:v>0.2</c:v>
                </c:pt>
                <c:pt idx="2348">
                  <c:v>0.15</c:v>
                </c:pt>
                <c:pt idx="2349">
                  <c:v>0.05</c:v>
                </c:pt>
                <c:pt idx="2350">
                  <c:v>0.1</c:v>
                </c:pt>
                <c:pt idx="2351">
                  <c:v>0.05</c:v>
                </c:pt>
                <c:pt idx="2352">
                  <c:v>0.05</c:v>
                </c:pt>
                <c:pt idx="2353">
                  <c:v>0.05</c:v>
                </c:pt>
                <c:pt idx="2354">
                  <c:v>0</c:v>
                </c:pt>
                <c:pt idx="2355">
                  <c:v>0.15</c:v>
                </c:pt>
                <c:pt idx="2356">
                  <c:v>0.05</c:v>
                </c:pt>
                <c:pt idx="2357">
                  <c:v>0.1</c:v>
                </c:pt>
                <c:pt idx="2358">
                  <c:v>0.05</c:v>
                </c:pt>
                <c:pt idx="2359">
                  <c:v>0.1</c:v>
                </c:pt>
                <c:pt idx="2360">
                  <c:v>0.1</c:v>
                </c:pt>
                <c:pt idx="2361">
                  <c:v>0.05</c:v>
                </c:pt>
                <c:pt idx="2362">
                  <c:v>0.1</c:v>
                </c:pt>
                <c:pt idx="2363">
                  <c:v>0</c:v>
                </c:pt>
                <c:pt idx="2364">
                  <c:v>0.2</c:v>
                </c:pt>
                <c:pt idx="2365">
                  <c:v>0.1</c:v>
                </c:pt>
                <c:pt idx="2366">
                  <c:v>0.05</c:v>
                </c:pt>
                <c:pt idx="2367">
                  <c:v>0</c:v>
                </c:pt>
                <c:pt idx="2368">
                  <c:v>0.15</c:v>
                </c:pt>
                <c:pt idx="2369">
                  <c:v>0</c:v>
                </c:pt>
                <c:pt idx="2370">
                  <c:v>0</c:v>
                </c:pt>
                <c:pt idx="2371">
                  <c:v>0.1</c:v>
                </c:pt>
                <c:pt idx="2372">
                  <c:v>0.1</c:v>
                </c:pt>
                <c:pt idx="2373">
                  <c:v>0.05</c:v>
                </c:pt>
                <c:pt idx="2374">
                  <c:v>0.05</c:v>
                </c:pt>
                <c:pt idx="2375">
                  <c:v>0.1</c:v>
                </c:pt>
                <c:pt idx="2376">
                  <c:v>0.1</c:v>
                </c:pt>
                <c:pt idx="2377">
                  <c:v>0.05</c:v>
                </c:pt>
                <c:pt idx="2378">
                  <c:v>0</c:v>
                </c:pt>
                <c:pt idx="2379">
                  <c:v>0</c:v>
                </c:pt>
                <c:pt idx="2380">
                  <c:v>0.15</c:v>
                </c:pt>
                <c:pt idx="2381">
                  <c:v>0</c:v>
                </c:pt>
                <c:pt idx="2382">
                  <c:v>0.15</c:v>
                </c:pt>
                <c:pt idx="2383">
                  <c:v>0.1</c:v>
                </c:pt>
                <c:pt idx="2384">
                  <c:v>0.05</c:v>
                </c:pt>
                <c:pt idx="2385">
                  <c:v>0.05</c:v>
                </c:pt>
                <c:pt idx="2386">
                  <c:v>0.2</c:v>
                </c:pt>
                <c:pt idx="2387">
                  <c:v>0.05</c:v>
                </c:pt>
                <c:pt idx="2388">
                  <c:v>0.1</c:v>
                </c:pt>
                <c:pt idx="2389">
                  <c:v>0.2</c:v>
                </c:pt>
                <c:pt idx="2390">
                  <c:v>0.1</c:v>
                </c:pt>
                <c:pt idx="2391">
                  <c:v>0.1</c:v>
                </c:pt>
                <c:pt idx="2392">
                  <c:v>0.05</c:v>
                </c:pt>
                <c:pt idx="2393">
                  <c:v>0.05</c:v>
                </c:pt>
                <c:pt idx="2394">
                  <c:v>0.1</c:v>
                </c:pt>
                <c:pt idx="2395">
                  <c:v>0</c:v>
                </c:pt>
                <c:pt idx="2396">
                  <c:v>0</c:v>
                </c:pt>
                <c:pt idx="2397">
                  <c:v>0.05</c:v>
                </c:pt>
                <c:pt idx="2398">
                  <c:v>0</c:v>
                </c:pt>
                <c:pt idx="2399">
                  <c:v>0</c:v>
                </c:pt>
                <c:pt idx="2400">
                  <c:v>0.15</c:v>
                </c:pt>
                <c:pt idx="2401">
                  <c:v>0</c:v>
                </c:pt>
                <c:pt idx="2402">
                  <c:v>0.1</c:v>
                </c:pt>
                <c:pt idx="2403">
                  <c:v>0.1</c:v>
                </c:pt>
                <c:pt idx="2404">
                  <c:v>0</c:v>
                </c:pt>
                <c:pt idx="2405">
                  <c:v>0.1</c:v>
                </c:pt>
                <c:pt idx="2406">
                  <c:v>0.1</c:v>
                </c:pt>
                <c:pt idx="2407">
                  <c:v>0</c:v>
                </c:pt>
                <c:pt idx="2408">
                  <c:v>0</c:v>
                </c:pt>
                <c:pt idx="2409">
                  <c:v>0.05</c:v>
                </c:pt>
                <c:pt idx="2410">
                  <c:v>0.05</c:v>
                </c:pt>
                <c:pt idx="2411">
                  <c:v>0.05</c:v>
                </c:pt>
                <c:pt idx="2412">
                  <c:v>0.15</c:v>
                </c:pt>
                <c:pt idx="2413">
                  <c:v>0.05</c:v>
                </c:pt>
                <c:pt idx="2414">
                  <c:v>0.15</c:v>
                </c:pt>
                <c:pt idx="2415">
                  <c:v>0.05</c:v>
                </c:pt>
                <c:pt idx="2416">
                  <c:v>0.1</c:v>
                </c:pt>
                <c:pt idx="2417">
                  <c:v>0.05</c:v>
                </c:pt>
                <c:pt idx="2418">
                  <c:v>0</c:v>
                </c:pt>
                <c:pt idx="2419">
                  <c:v>0.05</c:v>
                </c:pt>
                <c:pt idx="2420">
                  <c:v>0.05</c:v>
                </c:pt>
                <c:pt idx="2421">
                  <c:v>0.05</c:v>
                </c:pt>
                <c:pt idx="2422">
                  <c:v>0</c:v>
                </c:pt>
                <c:pt idx="2423">
                  <c:v>0</c:v>
                </c:pt>
                <c:pt idx="2424">
                  <c:v>0.05</c:v>
                </c:pt>
                <c:pt idx="2425">
                  <c:v>0</c:v>
                </c:pt>
                <c:pt idx="2426">
                  <c:v>0.1</c:v>
                </c:pt>
                <c:pt idx="2427">
                  <c:v>0</c:v>
                </c:pt>
                <c:pt idx="2428">
                  <c:v>0</c:v>
                </c:pt>
                <c:pt idx="2429">
                  <c:v>0</c:v>
                </c:pt>
                <c:pt idx="2430">
                  <c:v>0.05</c:v>
                </c:pt>
                <c:pt idx="2431">
                  <c:v>0.1</c:v>
                </c:pt>
                <c:pt idx="2432">
                  <c:v>0.05</c:v>
                </c:pt>
                <c:pt idx="2433">
                  <c:v>0.1</c:v>
                </c:pt>
                <c:pt idx="2434">
                  <c:v>0.05</c:v>
                </c:pt>
                <c:pt idx="2435">
                  <c:v>0.15</c:v>
                </c:pt>
                <c:pt idx="2436">
                  <c:v>0.05</c:v>
                </c:pt>
                <c:pt idx="2437">
                  <c:v>0.15</c:v>
                </c:pt>
                <c:pt idx="2438">
                  <c:v>0.05</c:v>
                </c:pt>
                <c:pt idx="2439">
                  <c:v>0.2</c:v>
                </c:pt>
                <c:pt idx="2440">
                  <c:v>0.05</c:v>
                </c:pt>
                <c:pt idx="2441">
                  <c:v>0.05</c:v>
                </c:pt>
                <c:pt idx="2442">
                  <c:v>0</c:v>
                </c:pt>
                <c:pt idx="2443">
                  <c:v>0.1</c:v>
                </c:pt>
                <c:pt idx="2444">
                  <c:v>0</c:v>
                </c:pt>
                <c:pt idx="2445">
                  <c:v>0.15</c:v>
                </c:pt>
                <c:pt idx="2446">
                  <c:v>0.05</c:v>
                </c:pt>
                <c:pt idx="2447">
                  <c:v>0.05</c:v>
                </c:pt>
                <c:pt idx="2448">
                  <c:v>0.1</c:v>
                </c:pt>
                <c:pt idx="2449">
                  <c:v>0.05</c:v>
                </c:pt>
                <c:pt idx="2450">
                  <c:v>0.15</c:v>
                </c:pt>
                <c:pt idx="2451">
                  <c:v>0</c:v>
                </c:pt>
                <c:pt idx="2452">
                  <c:v>0.05</c:v>
                </c:pt>
                <c:pt idx="2453">
                  <c:v>0</c:v>
                </c:pt>
                <c:pt idx="2454">
                  <c:v>0.05</c:v>
                </c:pt>
                <c:pt idx="2455">
                  <c:v>0</c:v>
                </c:pt>
                <c:pt idx="2456">
                  <c:v>0.05</c:v>
                </c:pt>
                <c:pt idx="2457">
                  <c:v>0.1</c:v>
                </c:pt>
                <c:pt idx="2458">
                  <c:v>0</c:v>
                </c:pt>
                <c:pt idx="2459">
                  <c:v>0.05</c:v>
                </c:pt>
                <c:pt idx="2460">
                  <c:v>0</c:v>
                </c:pt>
                <c:pt idx="2461">
                  <c:v>0.1</c:v>
                </c:pt>
                <c:pt idx="2462">
                  <c:v>0</c:v>
                </c:pt>
                <c:pt idx="2463">
                  <c:v>0.05</c:v>
                </c:pt>
                <c:pt idx="2464">
                  <c:v>0.1</c:v>
                </c:pt>
                <c:pt idx="2465">
                  <c:v>0.2</c:v>
                </c:pt>
                <c:pt idx="2466">
                  <c:v>0.1</c:v>
                </c:pt>
                <c:pt idx="2467">
                  <c:v>0.15</c:v>
                </c:pt>
                <c:pt idx="2468">
                  <c:v>0.15</c:v>
                </c:pt>
                <c:pt idx="2469">
                  <c:v>0</c:v>
                </c:pt>
                <c:pt idx="2470">
                  <c:v>0.1</c:v>
                </c:pt>
                <c:pt idx="2471">
                  <c:v>0</c:v>
                </c:pt>
                <c:pt idx="2472">
                  <c:v>0.1</c:v>
                </c:pt>
                <c:pt idx="2473">
                  <c:v>0.15</c:v>
                </c:pt>
                <c:pt idx="2474">
                  <c:v>0</c:v>
                </c:pt>
                <c:pt idx="2475">
                  <c:v>0.25</c:v>
                </c:pt>
                <c:pt idx="2476">
                  <c:v>0.05</c:v>
                </c:pt>
                <c:pt idx="2477">
                  <c:v>0.1</c:v>
                </c:pt>
                <c:pt idx="2478">
                  <c:v>0</c:v>
                </c:pt>
                <c:pt idx="2479">
                  <c:v>0.15</c:v>
                </c:pt>
                <c:pt idx="2480">
                  <c:v>0.05</c:v>
                </c:pt>
                <c:pt idx="2481">
                  <c:v>0.05</c:v>
                </c:pt>
                <c:pt idx="2482">
                  <c:v>0.05</c:v>
                </c:pt>
                <c:pt idx="2483">
                  <c:v>0.05</c:v>
                </c:pt>
                <c:pt idx="2484">
                  <c:v>0.1</c:v>
                </c:pt>
                <c:pt idx="2485">
                  <c:v>0.05</c:v>
                </c:pt>
                <c:pt idx="2486">
                  <c:v>0.05</c:v>
                </c:pt>
                <c:pt idx="2487">
                  <c:v>0</c:v>
                </c:pt>
                <c:pt idx="2488">
                  <c:v>0</c:v>
                </c:pt>
                <c:pt idx="2489">
                  <c:v>0.2</c:v>
                </c:pt>
                <c:pt idx="2490">
                  <c:v>0</c:v>
                </c:pt>
                <c:pt idx="2491">
                  <c:v>0.05</c:v>
                </c:pt>
                <c:pt idx="2492">
                  <c:v>0.05</c:v>
                </c:pt>
                <c:pt idx="2493">
                  <c:v>0.1</c:v>
                </c:pt>
                <c:pt idx="2494">
                  <c:v>0</c:v>
                </c:pt>
                <c:pt idx="2495">
                  <c:v>0</c:v>
                </c:pt>
                <c:pt idx="2496">
                  <c:v>0</c:v>
                </c:pt>
                <c:pt idx="2497">
                  <c:v>0.1</c:v>
                </c:pt>
                <c:pt idx="2498">
                  <c:v>0</c:v>
                </c:pt>
                <c:pt idx="2499">
                  <c:v>0.1</c:v>
                </c:pt>
                <c:pt idx="2500">
                  <c:v>0.05</c:v>
                </c:pt>
                <c:pt idx="2501">
                  <c:v>0.2</c:v>
                </c:pt>
                <c:pt idx="2502">
                  <c:v>0.2</c:v>
                </c:pt>
                <c:pt idx="2503">
                  <c:v>0</c:v>
                </c:pt>
                <c:pt idx="2504">
                  <c:v>0.2</c:v>
                </c:pt>
                <c:pt idx="2505">
                  <c:v>0.2</c:v>
                </c:pt>
                <c:pt idx="2506">
                  <c:v>0.05</c:v>
                </c:pt>
                <c:pt idx="2507">
                  <c:v>0.1</c:v>
                </c:pt>
                <c:pt idx="2508">
                  <c:v>0.05</c:v>
                </c:pt>
                <c:pt idx="2509">
                  <c:v>0</c:v>
                </c:pt>
                <c:pt idx="2510">
                  <c:v>0.15</c:v>
                </c:pt>
                <c:pt idx="2511">
                  <c:v>0.2</c:v>
                </c:pt>
                <c:pt idx="2512">
                  <c:v>0</c:v>
                </c:pt>
                <c:pt idx="2513">
                  <c:v>0</c:v>
                </c:pt>
                <c:pt idx="2514">
                  <c:v>0.15</c:v>
                </c:pt>
                <c:pt idx="2515">
                  <c:v>0.05</c:v>
                </c:pt>
                <c:pt idx="2516">
                  <c:v>0</c:v>
                </c:pt>
                <c:pt idx="2517">
                  <c:v>0.1</c:v>
                </c:pt>
                <c:pt idx="2518">
                  <c:v>0.05</c:v>
                </c:pt>
                <c:pt idx="2519">
                  <c:v>0.1</c:v>
                </c:pt>
                <c:pt idx="2520">
                  <c:v>0.05</c:v>
                </c:pt>
                <c:pt idx="2521">
                  <c:v>0.15</c:v>
                </c:pt>
                <c:pt idx="2522">
                  <c:v>0.05</c:v>
                </c:pt>
                <c:pt idx="2523">
                  <c:v>0</c:v>
                </c:pt>
                <c:pt idx="2524">
                  <c:v>0.15</c:v>
                </c:pt>
                <c:pt idx="2525">
                  <c:v>0</c:v>
                </c:pt>
                <c:pt idx="2526">
                  <c:v>0.1</c:v>
                </c:pt>
                <c:pt idx="2527">
                  <c:v>0.05</c:v>
                </c:pt>
                <c:pt idx="2528">
                  <c:v>0.15</c:v>
                </c:pt>
                <c:pt idx="2529">
                  <c:v>0.15</c:v>
                </c:pt>
                <c:pt idx="2530">
                  <c:v>0</c:v>
                </c:pt>
                <c:pt idx="2531">
                  <c:v>0</c:v>
                </c:pt>
                <c:pt idx="2532">
                  <c:v>0</c:v>
                </c:pt>
                <c:pt idx="2533">
                  <c:v>0</c:v>
                </c:pt>
                <c:pt idx="2534">
                  <c:v>0</c:v>
                </c:pt>
                <c:pt idx="2535">
                  <c:v>0</c:v>
                </c:pt>
                <c:pt idx="2536">
                  <c:v>0</c:v>
                </c:pt>
                <c:pt idx="2537">
                  <c:v>0.05</c:v>
                </c:pt>
                <c:pt idx="2538">
                  <c:v>0.15</c:v>
                </c:pt>
                <c:pt idx="2539">
                  <c:v>0</c:v>
                </c:pt>
                <c:pt idx="2540">
                  <c:v>0.05</c:v>
                </c:pt>
                <c:pt idx="2541">
                  <c:v>0.1</c:v>
                </c:pt>
                <c:pt idx="2542">
                  <c:v>0</c:v>
                </c:pt>
                <c:pt idx="2543">
                  <c:v>0</c:v>
                </c:pt>
                <c:pt idx="2544">
                  <c:v>0.2</c:v>
                </c:pt>
                <c:pt idx="2545">
                  <c:v>0.1</c:v>
                </c:pt>
                <c:pt idx="2546">
                  <c:v>0.2</c:v>
                </c:pt>
                <c:pt idx="2547">
                  <c:v>0</c:v>
                </c:pt>
                <c:pt idx="2548">
                  <c:v>0.05</c:v>
                </c:pt>
                <c:pt idx="2549">
                  <c:v>0</c:v>
                </c:pt>
                <c:pt idx="2550">
                  <c:v>0.05</c:v>
                </c:pt>
                <c:pt idx="2551">
                  <c:v>0</c:v>
                </c:pt>
                <c:pt idx="2552">
                  <c:v>0.05</c:v>
                </c:pt>
                <c:pt idx="2553">
                  <c:v>0.1</c:v>
                </c:pt>
                <c:pt idx="2554">
                  <c:v>0.15</c:v>
                </c:pt>
                <c:pt idx="2555">
                  <c:v>0.05</c:v>
                </c:pt>
                <c:pt idx="2556">
                  <c:v>0.1</c:v>
                </c:pt>
                <c:pt idx="2557">
                  <c:v>0.1</c:v>
                </c:pt>
                <c:pt idx="2558">
                  <c:v>0.15</c:v>
                </c:pt>
                <c:pt idx="2559">
                  <c:v>0</c:v>
                </c:pt>
                <c:pt idx="2560">
                  <c:v>0.2</c:v>
                </c:pt>
                <c:pt idx="2561">
                  <c:v>0</c:v>
                </c:pt>
                <c:pt idx="2562">
                  <c:v>0</c:v>
                </c:pt>
                <c:pt idx="2563">
                  <c:v>0.05</c:v>
                </c:pt>
                <c:pt idx="2564">
                  <c:v>0.1</c:v>
                </c:pt>
                <c:pt idx="2565">
                  <c:v>0</c:v>
                </c:pt>
                <c:pt idx="2566">
                  <c:v>0</c:v>
                </c:pt>
                <c:pt idx="2567">
                  <c:v>0</c:v>
                </c:pt>
                <c:pt idx="2568">
                  <c:v>0.1</c:v>
                </c:pt>
                <c:pt idx="2569">
                  <c:v>0</c:v>
                </c:pt>
                <c:pt idx="2570">
                  <c:v>0.05</c:v>
                </c:pt>
                <c:pt idx="2571">
                  <c:v>0.05</c:v>
                </c:pt>
                <c:pt idx="2572">
                  <c:v>0.1</c:v>
                </c:pt>
                <c:pt idx="2573">
                  <c:v>0</c:v>
                </c:pt>
                <c:pt idx="2574">
                  <c:v>0.15</c:v>
                </c:pt>
                <c:pt idx="2575">
                  <c:v>0.15</c:v>
                </c:pt>
                <c:pt idx="2576">
                  <c:v>0.1</c:v>
                </c:pt>
                <c:pt idx="2577">
                  <c:v>0.2</c:v>
                </c:pt>
                <c:pt idx="2578">
                  <c:v>0</c:v>
                </c:pt>
                <c:pt idx="2579">
                  <c:v>0</c:v>
                </c:pt>
                <c:pt idx="2580">
                  <c:v>0.15</c:v>
                </c:pt>
                <c:pt idx="2581">
                  <c:v>0</c:v>
                </c:pt>
                <c:pt idx="2582">
                  <c:v>0.2</c:v>
                </c:pt>
                <c:pt idx="2583">
                  <c:v>0.2</c:v>
                </c:pt>
                <c:pt idx="2584">
                  <c:v>0.05</c:v>
                </c:pt>
                <c:pt idx="2585">
                  <c:v>0.05</c:v>
                </c:pt>
                <c:pt idx="2586">
                  <c:v>0.05</c:v>
                </c:pt>
                <c:pt idx="2587">
                  <c:v>0.15</c:v>
                </c:pt>
                <c:pt idx="2588">
                  <c:v>0</c:v>
                </c:pt>
                <c:pt idx="2589">
                  <c:v>0</c:v>
                </c:pt>
                <c:pt idx="2590">
                  <c:v>0.1</c:v>
                </c:pt>
                <c:pt idx="2591">
                  <c:v>0.1</c:v>
                </c:pt>
                <c:pt idx="2592">
                  <c:v>0.1</c:v>
                </c:pt>
                <c:pt idx="2593">
                  <c:v>0.05</c:v>
                </c:pt>
                <c:pt idx="2594">
                  <c:v>0.1</c:v>
                </c:pt>
                <c:pt idx="2595">
                  <c:v>0.2</c:v>
                </c:pt>
                <c:pt idx="2596">
                  <c:v>0</c:v>
                </c:pt>
                <c:pt idx="2597">
                  <c:v>0</c:v>
                </c:pt>
                <c:pt idx="2598">
                  <c:v>0.15</c:v>
                </c:pt>
                <c:pt idx="2599">
                  <c:v>0</c:v>
                </c:pt>
                <c:pt idx="2600">
                  <c:v>0.05</c:v>
                </c:pt>
                <c:pt idx="2601">
                  <c:v>0.05</c:v>
                </c:pt>
                <c:pt idx="2602">
                  <c:v>0.1</c:v>
                </c:pt>
                <c:pt idx="2603">
                  <c:v>0.15</c:v>
                </c:pt>
                <c:pt idx="2604">
                  <c:v>0.1</c:v>
                </c:pt>
                <c:pt idx="2605">
                  <c:v>0.05</c:v>
                </c:pt>
                <c:pt idx="2606">
                  <c:v>0</c:v>
                </c:pt>
                <c:pt idx="2607">
                  <c:v>0.2</c:v>
                </c:pt>
                <c:pt idx="2608">
                  <c:v>0</c:v>
                </c:pt>
                <c:pt idx="2609">
                  <c:v>0.05</c:v>
                </c:pt>
                <c:pt idx="2610">
                  <c:v>0</c:v>
                </c:pt>
                <c:pt idx="2611">
                  <c:v>0</c:v>
                </c:pt>
                <c:pt idx="2612">
                  <c:v>0.05</c:v>
                </c:pt>
                <c:pt idx="2613">
                  <c:v>0.1</c:v>
                </c:pt>
                <c:pt idx="2614">
                  <c:v>0.1</c:v>
                </c:pt>
                <c:pt idx="2615">
                  <c:v>0.15</c:v>
                </c:pt>
                <c:pt idx="2616">
                  <c:v>0</c:v>
                </c:pt>
                <c:pt idx="2617">
                  <c:v>0.1</c:v>
                </c:pt>
                <c:pt idx="2618">
                  <c:v>0.05</c:v>
                </c:pt>
                <c:pt idx="2619">
                  <c:v>0.1</c:v>
                </c:pt>
                <c:pt idx="2620">
                  <c:v>0</c:v>
                </c:pt>
                <c:pt idx="2621">
                  <c:v>0.15</c:v>
                </c:pt>
                <c:pt idx="2622">
                  <c:v>0.1</c:v>
                </c:pt>
                <c:pt idx="2623">
                  <c:v>0.05</c:v>
                </c:pt>
                <c:pt idx="2624">
                  <c:v>0.05</c:v>
                </c:pt>
                <c:pt idx="2625">
                  <c:v>0.05</c:v>
                </c:pt>
                <c:pt idx="2626">
                  <c:v>0.2</c:v>
                </c:pt>
                <c:pt idx="2627">
                  <c:v>0.15</c:v>
                </c:pt>
                <c:pt idx="2628">
                  <c:v>0</c:v>
                </c:pt>
                <c:pt idx="2629">
                  <c:v>0.1</c:v>
                </c:pt>
                <c:pt idx="2630">
                  <c:v>0</c:v>
                </c:pt>
                <c:pt idx="2631">
                  <c:v>0.05</c:v>
                </c:pt>
                <c:pt idx="2632">
                  <c:v>0</c:v>
                </c:pt>
                <c:pt idx="2633">
                  <c:v>0</c:v>
                </c:pt>
                <c:pt idx="2634">
                  <c:v>0</c:v>
                </c:pt>
                <c:pt idx="2635">
                  <c:v>0</c:v>
                </c:pt>
                <c:pt idx="2636">
                  <c:v>0.15</c:v>
                </c:pt>
                <c:pt idx="2637">
                  <c:v>0.2</c:v>
                </c:pt>
                <c:pt idx="2638">
                  <c:v>0</c:v>
                </c:pt>
                <c:pt idx="2639">
                  <c:v>0.1</c:v>
                </c:pt>
                <c:pt idx="2640">
                  <c:v>0.05</c:v>
                </c:pt>
                <c:pt idx="2641">
                  <c:v>0.1</c:v>
                </c:pt>
                <c:pt idx="2642">
                  <c:v>0.05</c:v>
                </c:pt>
                <c:pt idx="2643">
                  <c:v>0</c:v>
                </c:pt>
                <c:pt idx="2644">
                  <c:v>0.15</c:v>
                </c:pt>
                <c:pt idx="2645">
                  <c:v>0</c:v>
                </c:pt>
                <c:pt idx="2646">
                  <c:v>0.2</c:v>
                </c:pt>
                <c:pt idx="2647">
                  <c:v>0.1</c:v>
                </c:pt>
                <c:pt idx="2648">
                  <c:v>0.1</c:v>
                </c:pt>
                <c:pt idx="2649">
                  <c:v>0.2</c:v>
                </c:pt>
                <c:pt idx="2650">
                  <c:v>0.05</c:v>
                </c:pt>
                <c:pt idx="2651">
                  <c:v>0.2</c:v>
                </c:pt>
                <c:pt idx="2652">
                  <c:v>0.1</c:v>
                </c:pt>
                <c:pt idx="2653">
                  <c:v>0.2</c:v>
                </c:pt>
                <c:pt idx="2654">
                  <c:v>0</c:v>
                </c:pt>
                <c:pt idx="2655">
                  <c:v>0.15</c:v>
                </c:pt>
                <c:pt idx="2656">
                  <c:v>0.05</c:v>
                </c:pt>
                <c:pt idx="2657">
                  <c:v>0.1</c:v>
                </c:pt>
                <c:pt idx="2658">
                  <c:v>0.05</c:v>
                </c:pt>
                <c:pt idx="2659">
                  <c:v>0.05</c:v>
                </c:pt>
                <c:pt idx="2660">
                  <c:v>0.05</c:v>
                </c:pt>
                <c:pt idx="2661">
                  <c:v>0.1</c:v>
                </c:pt>
                <c:pt idx="2662">
                  <c:v>0.15</c:v>
                </c:pt>
                <c:pt idx="2663">
                  <c:v>0.1</c:v>
                </c:pt>
                <c:pt idx="2664">
                  <c:v>0.05</c:v>
                </c:pt>
                <c:pt idx="2665">
                  <c:v>0.05</c:v>
                </c:pt>
                <c:pt idx="2666">
                  <c:v>0.15</c:v>
                </c:pt>
                <c:pt idx="2667">
                  <c:v>0</c:v>
                </c:pt>
                <c:pt idx="2668">
                  <c:v>0.15</c:v>
                </c:pt>
                <c:pt idx="2669">
                  <c:v>0.05</c:v>
                </c:pt>
                <c:pt idx="2670">
                  <c:v>0.2</c:v>
                </c:pt>
                <c:pt idx="2671">
                  <c:v>0</c:v>
                </c:pt>
                <c:pt idx="2672">
                  <c:v>0.1</c:v>
                </c:pt>
                <c:pt idx="2673">
                  <c:v>0</c:v>
                </c:pt>
                <c:pt idx="2674">
                  <c:v>0.15</c:v>
                </c:pt>
                <c:pt idx="2675">
                  <c:v>0.05</c:v>
                </c:pt>
                <c:pt idx="2676">
                  <c:v>0.15</c:v>
                </c:pt>
                <c:pt idx="2677">
                  <c:v>0</c:v>
                </c:pt>
                <c:pt idx="2678">
                  <c:v>0</c:v>
                </c:pt>
                <c:pt idx="2679">
                  <c:v>0.15</c:v>
                </c:pt>
                <c:pt idx="2680">
                  <c:v>0.05</c:v>
                </c:pt>
                <c:pt idx="2681">
                  <c:v>0.1</c:v>
                </c:pt>
                <c:pt idx="2682">
                  <c:v>0.1</c:v>
                </c:pt>
                <c:pt idx="2683">
                  <c:v>0.05</c:v>
                </c:pt>
                <c:pt idx="2684">
                  <c:v>0.15</c:v>
                </c:pt>
                <c:pt idx="2685">
                  <c:v>0.15</c:v>
                </c:pt>
                <c:pt idx="2686">
                  <c:v>0</c:v>
                </c:pt>
                <c:pt idx="2687">
                  <c:v>0.05</c:v>
                </c:pt>
                <c:pt idx="2688">
                  <c:v>0</c:v>
                </c:pt>
                <c:pt idx="2689">
                  <c:v>0.05</c:v>
                </c:pt>
                <c:pt idx="2690">
                  <c:v>0.05</c:v>
                </c:pt>
                <c:pt idx="2691">
                  <c:v>0.05</c:v>
                </c:pt>
                <c:pt idx="2692">
                  <c:v>0</c:v>
                </c:pt>
                <c:pt idx="2693">
                  <c:v>0.15</c:v>
                </c:pt>
                <c:pt idx="2694">
                  <c:v>0</c:v>
                </c:pt>
                <c:pt idx="2695">
                  <c:v>0.25</c:v>
                </c:pt>
                <c:pt idx="2696">
                  <c:v>0.05</c:v>
                </c:pt>
                <c:pt idx="2697">
                  <c:v>0</c:v>
                </c:pt>
                <c:pt idx="2698">
                  <c:v>0.05</c:v>
                </c:pt>
                <c:pt idx="2699">
                  <c:v>0.05</c:v>
                </c:pt>
                <c:pt idx="2700">
                  <c:v>0.1</c:v>
                </c:pt>
                <c:pt idx="2701">
                  <c:v>0.1</c:v>
                </c:pt>
                <c:pt idx="2702">
                  <c:v>0.05</c:v>
                </c:pt>
                <c:pt idx="2703">
                  <c:v>0</c:v>
                </c:pt>
                <c:pt idx="2704">
                  <c:v>0</c:v>
                </c:pt>
                <c:pt idx="2705">
                  <c:v>0.15</c:v>
                </c:pt>
                <c:pt idx="2706">
                  <c:v>0.05</c:v>
                </c:pt>
                <c:pt idx="2707">
                  <c:v>0.05</c:v>
                </c:pt>
                <c:pt idx="2708">
                  <c:v>0.05</c:v>
                </c:pt>
                <c:pt idx="2709">
                  <c:v>0</c:v>
                </c:pt>
                <c:pt idx="2710">
                  <c:v>0.05</c:v>
                </c:pt>
                <c:pt idx="2711">
                  <c:v>0.05</c:v>
                </c:pt>
                <c:pt idx="2712">
                  <c:v>0</c:v>
                </c:pt>
                <c:pt idx="2713">
                  <c:v>0</c:v>
                </c:pt>
                <c:pt idx="2714">
                  <c:v>0</c:v>
                </c:pt>
                <c:pt idx="2715">
                  <c:v>0</c:v>
                </c:pt>
                <c:pt idx="2716">
                  <c:v>0.05</c:v>
                </c:pt>
                <c:pt idx="2717">
                  <c:v>0.05</c:v>
                </c:pt>
                <c:pt idx="2718">
                  <c:v>0.2</c:v>
                </c:pt>
                <c:pt idx="2719">
                  <c:v>0.05</c:v>
                </c:pt>
                <c:pt idx="2720">
                  <c:v>0.15</c:v>
                </c:pt>
                <c:pt idx="2721">
                  <c:v>0.2</c:v>
                </c:pt>
                <c:pt idx="2722">
                  <c:v>0.1</c:v>
                </c:pt>
                <c:pt idx="2723">
                  <c:v>0</c:v>
                </c:pt>
                <c:pt idx="2724">
                  <c:v>0.2</c:v>
                </c:pt>
                <c:pt idx="2725">
                  <c:v>0.1</c:v>
                </c:pt>
                <c:pt idx="2726">
                  <c:v>0</c:v>
                </c:pt>
                <c:pt idx="2727">
                  <c:v>0.15</c:v>
                </c:pt>
                <c:pt idx="2728">
                  <c:v>0.1</c:v>
                </c:pt>
                <c:pt idx="2729">
                  <c:v>0.05</c:v>
                </c:pt>
                <c:pt idx="2730">
                  <c:v>0.05</c:v>
                </c:pt>
                <c:pt idx="2731">
                  <c:v>0.05</c:v>
                </c:pt>
                <c:pt idx="2732">
                  <c:v>0.05</c:v>
                </c:pt>
                <c:pt idx="2733">
                  <c:v>0</c:v>
                </c:pt>
                <c:pt idx="2734">
                  <c:v>0.05</c:v>
                </c:pt>
                <c:pt idx="2735">
                  <c:v>0.2</c:v>
                </c:pt>
                <c:pt idx="2736">
                  <c:v>0</c:v>
                </c:pt>
                <c:pt idx="2737">
                  <c:v>0.1</c:v>
                </c:pt>
                <c:pt idx="2738">
                  <c:v>0.15</c:v>
                </c:pt>
                <c:pt idx="2739">
                  <c:v>0.1</c:v>
                </c:pt>
                <c:pt idx="2740">
                  <c:v>0.15</c:v>
                </c:pt>
                <c:pt idx="2741">
                  <c:v>0.1</c:v>
                </c:pt>
                <c:pt idx="2742">
                  <c:v>0.1</c:v>
                </c:pt>
                <c:pt idx="2743">
                  <c:v>0.2</c:v>
                </c:pt>
                <c:pt idx="2744">
                  <c:v>0.05</c:v>
                </c:pt>
                <c:pt idx="2745">
                  <c:v>0.05</c:v>
                </c:pt>
                <c:pt idx="2746">
                  <c:v>0.1</c:v>
                </c:pt>
                <c:pt idx="2747">
                  <c:v>0.15</c:v>
                </c:pt>
                <c:pt idx="2748">
                  <c:v>0.1</c:v>
                </c:pt>
                <c:pt idx="2749">
                  <c:v>0</c:v>
                </c:pt>
                <c:pt idx="2750">
                  <c:v>0.1</c:v>
                </c:pt>
                <c:pt idx="2751">
                  <c:v>0.25</c:v>
                </c:pt>
                <c:pt idx="2752">
                  <c:v>0</c:v>
                </c:pt>
                <c:pt idx="2753">
                  <c:v>0.1</c:v>
                </c:pt>
                <c:pt idx="2754">
                  <c:v>0.05</c:v>
                </c:pt>
                <c:pt idx="2755">
                  <c:v>0.1</c:v>
                </c:pt>
                <c:pt idx="2756">
                  <c:v>0.2</c:v>
                </c:pt>
                <c:pt idx="2757">
                  <c:v>0.1</c:v>
                </c:pt>
                <c:pt idx="2758">
                  <c:v>0.05</c:v>
                </c:pt>
                <c:pt idx="2759">
                  <c:v>0.1</c:v>
                </c:pt>
                <c:pt idx="2760">
                  <c:v>0</c:v>
                </c:pt>
                <c:pt idx="2761">
                  <c:v>0.15</c:v>
                </c:pt>
                <c:pt idx="2762">
                  <c:v>0.05</c:v>
                </c:pt>
                <c:pt idx="2763">
                  <c:v>0</c:v>
                </c:pt>
                <c:pt idx="2764">
                  <c:v>0.1</c:v>
                </c:pt>
                <c:pt idx="2765">
                  <c:v>0.05</c:v>
                </c:pt>
                <c:pt idx="2766">
                  <c:v>0.05</c:v>
                </c:pt>
                <c:pt idx="2767">
                  <c:v>0.05</c:v>
                </c:pt>
                <c:pt idx="2768">
                  <c:v>0.05</c:v>
                </c:pt>
                <c:pt idx="2769">
                  <c:v>0.15</c:v>
                </c:pt>
                <c:pt idx="2770">
                  <c:v>0.15</c:v>
                </c:pt>
                <c:pt idx="2771">
                  <c:v>0.15</c:v>
                </c:pt>
                <c:pt idx="2772">
                  <c:v>0.05</c:v>
                </c:pt>
                <c:pt idx="2773">
                  <c:v>0.05</c:v>
                </c:pt>
                <c:pt idx="2774">
                  <c:v>0.1</c:v>
                </c:pt>
                <c:pt idx="2775">
                  <c:v>0</c:v>
                </c:pt>
                <c:pt idx="2776">
                  <c:v>0.2</c:v>
                </c:pt>
                <c:pt idx="2777">
                  <c:v>0.05</c:v>
                </c:pt>
                <c:pt idx="2778">
                  <c:v>0</c:v>
                </c:pt>
                <c:pt idx="2779">
                  <c:v>0.1</c:v>
                </c:pt>
                <c:pt idx="2780">
                  <c:v>0.1</c:v>
                </c:pt>
                <c:pt idx="2781">
                  <c:v>0.05</c:v>
                </c:pt>
                <c:pt idx="2782">
                  <c:v>0.15</c:v>
                </c:pt>
                <c:pt idx="2783">
                  <c:v>0.2</c:v>
                </c:pt>
                <c:pt idx="2784">
                  <c:v>0.15</c:v>
                </c:pt>
                <c:pt idx="2785">
                  <c:v>0</c:v>
                </c:pt>
                <c:pt idx="2786">
                  <c:v>0.05</c:v>
                </c:pt>
                <c:pt idx="2787">
                  <c:v>0.15</c:v>
                </c:pt>
                <c:pt idx="2788">
                  <c:v>0.05</c:v>
                </c:pt>
                <c:pt idx="2789">
                  <c:v>0.15</c:v>
                </c:pt>
                <c:pt idx="2790">
                  <c:v>0.15</c:v>
                </c:pt>
                <c:pt idx="2791">
                  <c:v>0.05</c:v>
                </c:pt>
                <c:pt idx="2792">
                  <c:v>0</c:v>
                </c:pt>
                <c:pt idx="2793">
                  <c:v>0.05</c:v>
                </c:pt>
                <c:pt idx="2794">
                  <c:v>0.1</c:v>
                </c:pt>
                <c:pt idx="2795">
                  <c:v>0.1</c:v>
                </c:pt>
                <c:pt idx="2796">
                  <c:v>0</c:v>
                </c:pt>
                <c:pt idx="2797">
                  <c:v>0.05</c:v>
                </c:pt>
                <c:pt idx="2798">
                  <c:v>0.15</c:v>
                </c:pt>
                <c:pt idx="2799">
                  <c:v>0.05</c:v>
                </c:pt>
                <c:pt idx="2800">
                  <c:v>0.1</c:v>
                </c:pt>
              </c:numCache>
            </c:numRef>
          </c:xVal>
          <c:yVal>
            <c:numRef>
              <c:f>Sales_Clean_Reference!$Y$2:$Y$2802</c:f>
              <c:numCache>
                <c:formatCode>0.0%</c:formatCode>
                <c:ptCount val="2801"/>
                <c:pt idx="0">
                  <c:v>0.39473684210526316</c:v>
                </c:pt>
                <c:pt idx="1">
                  <c:v>0.21052631578947367</c:v>
                </c:pt>
                <c:pt idx="2">
                  <c:v>0.34615384615384615</c:v>
                </c:pt>
                <c:pt idx="3">
                  <c:v>0.35294117647058826</c:v>
                </c:pt>
                <c:pt idx="4">
                  <c:v>0.31888544891640869</c:v>
                </c:pt>
                <c:pt idx="5">
                  <c:v>0.25</c:v>
                </c:pt>
                <c:pt idx="6">
                  <c:v>0.36842105263157893</c:v>
                </c:pt>
                <c:pt idx="7">
                  <c:v>0.33333333333333331</c:v>
                </c:pt>
                <c:pt idx="8">
                  <c:v>0.2</c:v>
                </c:pt>
                <c:pt idx="9">
                  <c:v>0.34615384615384615</c:v>
                </c:pt>
                <c:pt idx="10">
                  <c:v>0.29411764705882354</c:v>
                </c:pt>
                <c:pt idx="11">
                  <c:v>0.33518005540166207</c:v>
                </c:pt>
                <c:pt idx="12">
                  <c:v>0.28205128205128205</c:v>
                </c:pt>
                <c:pt idx="13">
                  <c:v>0.34615384615384615</c:v>
                </c:pt>
                <c:pt idx="14">
                  <c:v>0.21052631578947367</c:v>
                </c:pt>
                <c:pt idx="15">
                  <c:v>0.21518987341772153</c:v>
                </c:pt>
                <c:pt idx="16">
                  <c:v>0.23076923076923078</c:v>
                </c:pt>
                <c:pt idx="17">
                  <c:v>0.21052631578947367</c:v>
                </c:pt>
                <c:pt idx="18">
                  <c:v>0.3235294117647059</c:v>
                </c:pt>
                <c:pt idx="19">
                  <c:v>0.28205128205128205</c:v>
                </c:pt>
                <c:pt idx="20">
                  <c:v>0.12798874824191281</c:v>
                </c:pt>
                <c:pt idx="21">
                  <c:v>0.291497975708502</c:v>
                </c:pt>
                <c:pt idx="22">
                  <c:v>5.1020408163265302E-3</c:v>
                </c:pt>
                <c:pt idx="23">
                  <c:v>0.25696594427244585</c:v>
                </c:pt>
                <c:pt idx="24">
                  <c:v>0.2982456140350877</c:v>
                </c:pt>
                <c:pt idx="25">
                  <c:v>0.42499999999999999</c:v>
                </c:pt>
                <c:pt idx="26">
                  <c:v>0.29411764705882354</c:v>
                </c:pt>
                <c:pt idx="27">
                  <c:v>0.25213675213675213</c:v>
                </c:pt>
                <c:pt idx="28">
                  <c:v>0.12781954887218044</c:v>
                </c:pt>
                <c:pt idx="29">
                  <c:v>0.25696594427244585</c:v>
                </c:pt>
                <c:pt idx="30">
                  <c:v>0.36842105263157893</c:v>
                </c:pt>
                <c:pt idx="31">
                  <c:v>0.13565426170468187</c:v>
                </c:pt>
                <c:pt idx="32">
                  <c:v>0.34615384615384615</c:v>
                </c:pt>
                <c:pt idx="33">
                  <c:v>0.33333333333333331</c:v>
                </c:pt>
                <c:pt idx="34">
                  <c:v>0.28125</c:v>
                </c:pt>
                <c:pt idx="35">
                  <c:v>7.9365079365079361E-2</c:v>
                </c:pt>
                <c:pt idx="36">
                  <c:v>0.38095238095238093</c:v>
                </c:pt>
                <c:pt idx="37">
                  <c:v>0.28125</c:v>
                </c:pt>
                <c:pt idx="38">
                  <c:v>0.20508744038155802</c:v>
                </c:pt>
                <c:pt idx="39">
                  <c:v>0.4</c:v>
                </c:pt>
                <c:pt idx="40">
                  <c:v>0.36842105263157893</c:v>
                </c:pt>
                <c:pt idx="41">
                  <c:v>0.24426450742240216</c:v>
                </c:pt>
                <c:pt idx="42">
                  <c:v>0.18367346938775511</c:v>
                </c:pt>
                <c:pt idx="43">
                  <c:v>0.19047619047619047</c:v>
                </c:pt>
                <c:pt idx="44">
                  <c:v>0.36842105263157893</c:v>
                </c:pt>
                <c:pt idx="45">
                  <c:v>0.32692307692307693</c:v>
                </c:pt>
                <c:pt idx="46">
                  <c:v>0.31888544891640869</c:v>
                </c:pt>
                <c:pt idx="47">
                  <c:v>9.5238095238095247E-3</c:v>
                </c:pt>
                <c:pt idx="48">
                  <c:v>0.33333333333333331</c:v>
                </c:pt>
                <c:pt idx="49">
                  <c:v>0.29411764705882354</c:v>
                </c:pt>
                <c:pt idx="50">
                  <c:v>0.24426450742240216</c:v>
                </c:pt>
                <c:pt idx="51">
                  <c:v>0.3611111111111111</c:v>
                </c:pt>
                <c:pt idx="52">
                  <c:v>0.17142857142857143</c:v>
                </c:pt>
                <c:pt idx="53">
                  <c:v>0.32692307692307693</c:v>
                </c:pt>
                <c:pt idx="54">
                  <c:v>0.23076923076923078</c:v>
                </c:pt>
                <c:pt idx="55">
                  <c:v>0.28104575163398693</c:v>
                </c:pt>
                <c:pt idx="56">
                  <c:v>0.22663802363050484</c:v>
                </c:pt>
                <c:pt idx="57">
                  <c:v>6.3625450180072027E-2</c:v>
                </c:pt>
                <c:pt idx="58">
                  <c:v>0.291497975708502</c:v>
                </c:pt>
                <c:pt idx="59">
                  <c:v>0.3611111111111111</c:v>
                </c:pt>
                <c:pt idx="60">
                  <c:v>0.23076923076923078</c:v>
                </c:pt>
                <c:pt idx="61">
                  <c:v>0.34615384615384615</c:v>
                </c:pt>
                <c:pt idx="62">
                  <c:v>0.31888544891640869</c:v>
                </c:pt>
                <c:pt idx="63">
                  <c:v>0.33333333333333331</c:v>
                </c:pt>
                <c:pt idx="64">
                  <c:v>0.3611111111111111</c:v>
                </c:pt>
                <c:pt idx="65">
                  <c:v>-3.5714285714285712E-2</c:v>
                </c:pt>
                <c:pt idx="66">
                  <c:v>0.16219119226638024</c:v>
                </c:pt>
                <c:pt idx="67">
                  <c:v>0.35294117647058826</c:v>
                </c:pt>
                <c:pt idx="68">
                  <c:v>0.20987654320987653</c:v>
                </c:pt>
                <c:pt idx="69">
                  <c:v>0.3611111111111111</c:v>
                </c:pt>
                <c:pt idx="70">
                  <c:v>0.31174089068825911</c:v>
                </c:pt>
                <c:pt idx="71">
                  <c:v>0.21052631578947367</c:v>
                </c:pt>
                <c:pt idx="72">
                  <c:v>0.20408163265306123</c:v>
                </c:pt>
                <c:pt idx="73">
                  <c:v>0.34837092731829572</c:v>
                </c:pt>
                <c:pt idx="74">
                  <c:v>0.17142857142857143</c:v>
                </c:pt>
                <c:pt idx="75">
                  <c:v>0.32432432432432434</c:v>
                </c:pt>
                <c:pt idx="76">
                  <c:v>0.291497975708502</c:v>
                </c:pt>
                <c:pt idx="77">
                  <c:v>0.3611111111111111</c:v>
                </c:pt>
                <c:pt idx="78">
                  <c:v>0.29411764705882354</c:v>
                </c:pt>
                <c:pt idx="79">
                  <c:v>0.291497975708502</c:v>
                </c:pt>
                <c:pt idx="80">
                  <c:v>0.27350427350427353</c:v>
                </c:pt>
                <c:pt idx="81">
                  <c:v>0.28876244665718348</c:v>
                </c:pt>
                <c:pt idx="82">
                  <c:v>0.23875432525951557</c:v>
                </c:pt>
                <c:pt idx="83">
                  <c:v>0.3235294117647059</c:v>
                </c:pt>
                <c:pt idx="84">
                  <c:v>0.28125</c:v>
                </c:pt>
                <c:pt idx="85">
                  <c:v>2.5210084033613446E-2</c:v>
                </c:pt>
                <c:pt idx="86">
                  <c:v>0.20408163265306123</c:v>
                </c:pt>
                <c:pt idx="87">
                  <c:v>0.29411764705882354</c:v>
                </c:pt>
                <c:pt idx="88">
                  <c:v>0.36842105263157893</c:v>
                </c:pt>
                <c:pt idx="89">
                  <c:v>0.25213675213675213</c:v>
                </c:pt>
                <c:pt idx="90">
                  <c:v>0.21052631578947367</c:v>
                </c:pt>
                <c:pt idx="91">
                  <c:v>0.28888888888888886</c:v>
                </c:pt>
                <c:pt idx="92">
                  <c:v>0.27350427350427353</c:v>
                </c:pt>
                <c:pt idx="93">
                  <c:v>0.33333333333333331</c:v>
                </c:pt>
                <c:pt idx="94">
                  <c:v>0.20408163265306123</c:v>
                </c:pt>
                <c:pt idx="95">
                  <c:v>0.29411764705882354</c:v>
                </c:pt>
                <c:pt idx="96">
                  <c:v>0.26530612244897961</c:v>
                </c:pt>
                <c:pt idx="97">
                  <c:v>0.12605042016806722</c:v>
                </c:pt>
                <c:pt idx="98">
                  <c:v>6.25E-2</c:v>
                </c:pt>
                <c:pt idx="99">
                  <c:v>0.21568627450980393</c:v>
                </c:pt>
                <c:pt idx="100">
                  <c:v>0.2982456140350877</c:v>
                </c:pt>
                <c:pt idx="101">
                  <c:v>0.2982456140350877</c:v>
                </c:pt>
                <c:pt idx="102">
                  <c:v>0.3611111111111111</c:v>
                </c:pt>
                <c:pt idx="103">
                  <c:v>0.38095238095238093</c:v>
                </c:pt>
                <c:pt idx="104">
                  <c:v>0.38095238095238093</c:v>
                </c:pt>
                <c:pt idx="105">
                  <c:v>-3.5714285714285712E-2</c:v>
                </c:pt>
                <c:pt idx="106">
                  <c:v>0.35294117647058826</c:v>
                </c:pt>
                <c:pt idx="107">
                  <c:v>0.16666666666666666</c:v>
                </c:pt>
                <c:pt idx="108">
                  <c:v>0.42499999999999999</c:v>
                </c:pt>
                <c:pt idx="109">
                  <c:v>0.16219119226638024</c:v>
                </c:pt>
                <c:pt idx="110">
                  <c:v>0.33518005540166207</c:v>
                </c:pt>
                <c:pt idx="111">
                  <c:v>0.12781954887218044</c:v>
                </c:pt>
                <c:pt idx="112">
                  <c:v>0.36842105263157893</c:v>
                </c:pt>
                <c:pt idx="113">
                  <c:v>0.20227920227920229</c:v>
                </c:pt>
                <c:pt idx="114">
                  <c:v>0.33333333333333331</c:v>
                </c:pt>
                <c:pt idx="115">
                  <c:v>0.31888544891640869</c:v>
                </c:pt>
                <c:pt idx="116">
                  <c:v>7.6693968726731204E-2</c:v>
                </c:pt>
                <c:pt idx="117">
                  <c:v>0.31888544891640869</c:v>
                </c:pt>
                <c:pt idx="118">
                  <c:v>0.28205128205128205</c:v>
                </c:pt>
                <c:pt idx="119">
                  <c:v>0.27350427350427353</c:v>
                </c:pt>
                <c:pt idx="120">
                  <c:v>0.24924924924924924</c:v>
                </c:pt>
                <c:pt idx="121">
                  <c:v>0.21052631578947367</c:v>
                </c:pt>
                <c:pt idx="122">
                  <c:v>0.28104575163398693</c:v>
                </c:pt>
                <c:pt idx="123">
                  <c:v>0.12798874824191281</c:v>
                </c:pt>
                <c:pt idx="124">
                  <c:v>0.3611111111111111</c:v>
                </c:pt>
                <c:pt idx="125">
                  <c:v>0.24812030075187969</c:v>
                </c:pt>
                <c:pt idx="126">
                  <c:v>0.29411764705882354</c:v>
                </c:pt>
                <c:pt idx="127">
                  <c:v>0.24426450742240216</c:v>
                </c:pt>
                <c:pt idx="128">
                  <c:v>0.36842105263157893</c:v>
                </c:pt>
                <c:pt idx="129">
                  <c:v>0.36842105263157893</c:v>
                </c:pt>
                <c:pt idx="130">
                  <c:v>0.26530612244897961</c:v>
                </c:pt>
                <c:pt idx="131">
                  <c:v>0.36842105263157893</c:v>
                </c:pt>
                <c:pt idx="132">
                  <c:v>0.3611111111111111</c:v>
                </c:pt>
                <c:pt idx="133">
                  <c:v>0.4</c:v>
                </c:pt>
                <c:pt idx="134">
                  <c:v>0.28205128205128205</c:v>
                </c:pt>
                <c:pt idx="135">
                  <c:v>0.11764705882352941</c:v>
                </c:pt>
                <c:pt idx="136">
                  <c:v>0.2982456140350877</c:v>
                </c:pt>
                <c:pt idx="137">
                  <c:v>0.28205128205128205</c:v>
                </c:pt>
                <c:pt idx="138">
                  <c:v>0.33333333333333331</c:v>
                </c:pt>
                <c:pt idx="139">
                  <c:v>0.11564625850340136</c:v>
                </c:pt>
                <c:pt idx="140">
                  <c:v>0.34837092731829572</c:v>
                </c:pt>
                <c:pt idx="141">
                  <c:v>0.25</c:v>
                </c:pt>
                <c:pt idx="142">
                  <c:v>0.17142857142857143</c:v>
                </c:pt>
                <c:pt idx="143">
                  <c:v>0.2982456140350877</c:v>
                </c:pt>
                <c:pt idx="144">
                  <c:v>0.23076923076923078</c:v>
                </c:pt>
                <c:pt idx="145">
                  <c:v>0.24812030075187969</c:v>
                </c:pt>
                <c:pt idx="146">
                  <c:v>0.16339869281045752</c:v>
                </c:pt>
                <c:pt idx="147">
                  <c:v>0.20508744038155802</c:v>
                </c:pt>
                <c:pt idx="148">
                  <c:v>0.34615384615384615</c:v>
                </c:pt>
                <c:pt idx="149">
                  <c:v>2.5210084033613446E-2</c:v>
                </c:pt>
                <c:pt idx="150">
                  <c:v>0.27350427350427353</c:v>
                </c:pt>
                <c:pt idx="151">
                  <c:v>0.34615384615384615</c:v>
                </c:pt>
                <c:pt idx="152">
                  <c:v>0.27350427350427353</c:v>
                </c:pt>
                <c:pt idx="153">
                  <c:v>1.8987341772151899E-2</c:v>
                </c:pt>
                <c:pt idx="154">
                  <c:v>0.31174089068825911</c:v>
                </c:pt>
                <c:pt idx="155">
                  <c:v>0.17142857142857143</c:v>
                </c:pt>
                <c:pt idx="156">
                  <c:v>0.21518987341772153</c:v>
                </c:pt>
                <c:pt idx="157">
                  <c:v>0.35294117647058826</c:v>
                </c:pt>
                <c:pt idx="158">
                  <c:v>0.11564625850340136</c:v>
                </c:pt>
                <c:pt idx="159">
                  <c:v>0.31216931216931215</c:v>
                </c:pt>
                <c:pt idx="160">
                  <c:v>0.12798874824191281</c:v>
                </c:pt>
                <c:pt idx="161">
                  <c:v>0.23076923076923078</c:v>
                </c:pt>
                <c:pt idx="162">
                  <c:v>0.16666666666666666</c:v>
                </c:pt>
                <c:pt idx="163">
                  <c:v>0.28104575163398693</c:v>
                </c:pt>
                <c:pt idx="164">
                  <c:v>0.35294117647058826</c:v>
                </c:pt>
                <c:pt idx="165">
                  <c:v>0.2982456140350877</c:v>
                </c:pt>
                <c:pt idx="166">
                  <c:v>7.1428571428571425E-2</c:v>
                </c:pt>
                <c:pt idx="167">
                  <c:v>0.3611111111111111</c:v>
                </c:pt>
                <c:pt idx="168">
                  <c:v>0.22663802363050484</c:v>
                </c:pt>
                <c:pt idx="169">
                  <c:v>0.17388407728181213</c:v>
                </c:pt>
                <c:pt idx="170">
                  <c:v>0.33518005540166207</c:v>
                </c:pt>
                <c:pt idx="171">
                  <c:v>0.4</c:v>
                </c:pt>
                <c:pt idx="172">
                  <c:v>7.1428571428571425E-2</c:v>
                </c:pt>
                <c:pt idx="173">
                  <c:v>0.32692307692307693</c:v>
                </c:pt>
                <c:pt idx="174">
                  <c:v>0.24924924924924924</c:v>
                </c:pt>
                <c:pt idx="175">
                  <c:v>0.25</c:v>
                </c:pt>
                <c:pt idx="176">
                  <c:v>0.33518005540166207</c:v>
                </c:pt>
                <c:pt idx="177">
                  <c:v>0.25925925925925924</c:v>
                </c:pt>
                <c:pt idx="178">
                  <c:v>0.12781954887218044</c:v>
                </c:pt>
                <c:pt idx="179">
                  <c:v>0.2</c:v>
                </c:pt>
                <c:pt idx="180">
                  <c:v>0.31174089068825911</c:v>
                </c:pt>
                <c:pt idx="181">
                  <c:v>0.33333333333333331</c:v>
                </c:pt>
                <c:pt idx="182">
                  <c:v>0.39473684210526316</c:v>
                </c:pt>
                <c:pt idx="183">
                  <c:v>0.19117647058823528</c:v>
                </c:pt>
                <c:pt idx="184">
                  <c:v>0.12781954887218044</c:v>
                </c:pt>
                <c:pt idx="185">
                  <c:v>0.25</c:v>
                </c:pt>
                <c:pt idx="186">
                  <c:v>0.4</c:v>
                </c:pt>
                <c:pt idx="187">
                  <c:v>0.10256410256410256</c:v>
                </c:pt>
                <c:pt idx="188">
                  <c:v>0.32692307692307693</c:v>
                </c:pt>
                <c:pt idx="189">
                  <c:v>0.39473684210526316</c:v>
                </c:pt>
                <c:pt idx="190">
                  <c:v>0.25696594427244585</c:v>
                </c:pt>
                <c:pt idx="191">
                  <c:v>0.25696594427244585</c:v>
                </c:pt>
                <c:pt idx="192">
                  <c:v>0.31216931216931215</c:v>
                </c:pt>
                <c:pt idx="193">
                  <c:v>0.3235294117647059</c:v>
                </c:pt>
                <c:pt idx="194">
                  <c:v>0.39473684210526316</c:v>
                </c:pt>
                <c:pt idx="195">
                  <c:v>0.25213675213675213</c:v>
                </c:pt>
                <c:pt idx="196">
                  <c:v>0.11564625850340136</c:v>
                </c:pt>
                <c:pt idx="197">
                  <c:v>0.42499999999999999</c:v>
                </c:pt>
                <c:pt idx="198">
                  <c:v>0.35294117647058826</c:v>
                </c:pt>
                <c:pt idx="199">
                  <c:v>0.4</c:v>
                </c:pt>
                <c:pt idx="200">
                  <c:v>0.4</c:v>
                </c:pt>
                <c:pt idx="201">
                  <c:v>0.26530612244897961</c:v>
                </c:pt>
                <c:pt idx="202">
                  <c:v>0.33518005540166207</c:v>
                </c:pt>
                <c:pt idx="203">
                  <c:v>0.3611111111111111</c:v>
                </c:pt>
                <c:pt idx="204">
                  <c:v>0.2982456140350877</c:v>
                </c:pt>
                <c:pt idx="205">
                  <c:v>0.16666666666666666</c:v>
                </c:pt>
                <c:pt idx="206">
                  <c:v>0.24924924924924924</c:v>
                </c:pt>
                <c:pt idx="207">
                  <c:v>0.20408163265306123</c:v>
                </c:pt>
                <c:pt idx="208">
                  <c:v>0.33518005540166207</c:v>
                </c:pt>
                <c:pt idx="209">
                  <c:v>0.36842105263157893</c:v>
                </c:pt>
                <c:pt idx="210">
                  <c:v>0.25696594427244585</c:v>
                </c:pt>
                <c:pt idx="211">
                  <c:v>0.15966386554621848</c:v>
                </c:pt>
                <c:pt idx="212">
                  <c:v>0.4</c:v>
                </c:pt>
                <c:pt idx="213">
                  <c:v>0.2982456140350877</c:v>
                </c:pt>
                <c:pt idx="214">
                  <c:v>0.42499999999999999</c:v>
                </c:pt>
                <c:pt idx="215">
                  <c:v>0.15535444947209653</c:v>
                </c:pt>
                <c:pt idx="216">
                  <c:v>6.3625450180072027E-2</c:v>
                </c:pt>
                <c:pt idx="217">
                  <c:v>0.36842105263157893</c:v>
                </c:pt>
                <c:pt idx="218">
                  <c:v>0.33518005540166207</c:v>
                </c:pt>
                <c:pt idx="219">
                  <c:v>0.21052631578947367</c:v>
                </c:pt>
                <c:pt idx="220">
                  <c:v>0.28888888888888886</c:v>
                </c:pt>
                <c:pt idx="221">
                  <c:v>0.21518987341772153</c:v>
                </c:pt>
                <c:pt idx="222">
                  <c:v>0.25696594427244585</c:v>
                </c:pt>
                <c:pt idx="223">
                  <c:v>0.2982456140350877</c:v>
                </c:pt>
                <c:pt idx="224">
                  <c:v>0.35294117647058826</c:v>
                </c:pt>
                <c:pt idx="225">
                  <c:v>0.24444444444444444</c:v>
                </c:pt>
                <c:pt idx="226">
                  <c:v>0.24426450742240216</c:v>
                </c:pt>
                <c:pt idx="227">
                  <c:v>0.3611111111111111</c:v>
                </c:pt>
                <c:pt idx="228">
                  <c:v>0.33518005540166207</c:v>
                </c:pt>
                <c:pt idx="229">
                  <c:v>7.9365079365079361E-2</c:v>
                </c:pt>
                <c:pt idx="230">
                  <c:v>0.291497975708502</c:v>
                </c:pt>
                <c:pt idx="231">
                  <c:v>0.21568627450980393</c:v>
                </c:pt>
                <c:pt idx="232">
                  <c:v>0.11764705882352941</c:v>
                </c:pt>
                <c:pt idx="233">
                  <c:v>0.19047619047619047</c:v>
                </c:pt>
                <c:pt idx="234">
                  <c:v>0.28888888888888886</c:v>
                </c:pt>
                <c:pt idx="235">
                  <c:v>9.5238095238095247E-3</c:v>
                </c:pt>
                <c:pt idx="236">
                  <c:v>0.38095238095238093</c:v>
                </c:pt>
                <c:pt idx="237">
                  <c:v>0.24924924924924924</c:v>
                </c:pt>
                <c:pt idx="238">
                  <c:v>0.18367346938775511</c:v>
                </c:pt>
                <c:pt idx="239">
                  <c:v>0.10714285714285714</c:v>
                </c:pt>
                <c:pt idx="240">
                  <c:v>0.31216931216931215</c:v>
                </c:pt>
                <c:pt idx="241">
                  <c:v>0.16666666666666666</c:v>
                </c:pt>
                <c:pt idx="242">
                  <c:v>0.11564625850340136</c:v>
                </c:pt>
                <c:pt idx="243">
                  <c:v>0.28205128205128205</c:v>
                </c:pt>
                <c:pt idx="244">
                  <c:v>0.36842105263157893</c:v>
                </c:pt>
                <c:pt idx="245">
                  <c:v>0.31888544891640869</c:v>
                </c:pt>
                <c:pt idx="246">
                  <c:v>0.28876244665718348</c:v>
                </c:pt>
                <c:pt idx="247">
                  <c:v>0.34615384615384615</c:v>
                </c:pt>
                <c:pt idx="248">
                  <c:v>0.10714285714285714</c:v>
                </c:pt>
                <c:pt idx="249">
                  <c:v>0.33518005540166207</c:v>
                </c:pt>
                <c:pt idx="250">
                  <c:v>0.36842105263157893</c:v>
                </c:pt>
                <c:pt idx="251">
                  <c:v>0.25</c:v>
                </c:pt>
                <c:pt idx="252">
                  <c:v>0.28205128205128205</c:v>
                </c:pt>
                <c:pt idx="253">
                  <c:v>0.21052631578947367</c:v>
                </c:pt>
                <c:pt idx="254">
                  <c:v>0.25146198830409355</c:v>
                </c:pt>
                <c:pt idx="255">
                  <c:v>0.4</c:v>
                </c:pt>
                <c:pt idx="256">
                  <c:v>0.21568627450980393</c:v>
                </c:pt>
                <c:pt idx="257">
                  <c:v>0.4</c:v>
                </c:pt>
                <c:pt idx="258">
                  <c:v>0.33333333333333331</c:v>
                </c:pt>
                <c:pt idx="259">
                  <c:v>0.4</c:v>
                </c:pt>
                <c:pt idx="260">
                  <c:v>0.25</c:v>
                </c:pt>
                <c:pt idx="261">
                  <c:v>0.31888544891640869</c:v>
                </c:pt>
                <c:pt idx="262">
                  <c:v>0.20408163265306123</c:v>
                </c:pt>
                <c:pt idx="263">
                  <c:v>0.29411764705882354</c:v>
                </c:pt>
                <c:pt idx="264">
                  <c:v>0.39473684210526316</c:v>
                </c:pt>
                <c:pt idx="265">
                  <c:v>0.31888544891640869</c:v>
                </c:pt>
                <c:pt idx="266">
                  <c:v>0.21568627450980393</c:v>
                </c:pt>
                <c:pt idx="267">
                  <c:v>0.32432432432432434</c:v>
                </c:pt>
                <c:pt idx="268">
                  <c:v>0.33518005540166207</c:v>
                </c:pt>
                <c:pt idx="269">
                  <c:v>0.23076923076923078</c:v>
                </c:pt>
                <c:pt idx="270">
                  <c:v>0.18367346938775511</c:v>
                </c:pt>
                <c:pt idx="271">
                  <c:v>0.16666666666666666</c:v>
                </c:pt>
                <c:pt idx="272">
                  <c:v>0.29411764705882354</c:v>
                </c:pt>
                <c:pt idx="273">
                  <c:v>0.20814479638009051</c:v>
                </c:pt>
                <c:pt idx="274">
                  <c:v>0.29411764705882354</c:v>
                </c:pt>
                <c:pt idx="275">
                  <c:v>0.25</c:v>
                </c:pt>
                <c:pt idx="276">
                  <c:v>0.24426450742240216</c:v>
                </c:pt>
                <c:pt idx="277">
                  <c:v>0.12781954887218044</c:v>
                </c:pt>
                <c:pt idx="278">
                  <c:v>0.16666666666666666</c:v>
                </c:pt>
                <c:pt idx="279">
                  <c:v>0.3611111111111111</c:v>
                </c:pt>
                <c:pt idx="280">
                  <c:v>0.25696594427244585</c:v>
                </c:pt>
                <c:pt idx="281">
                  <c:v>0.31888544891640869</c:v>
                </c:pt>
                <c:pt idx="282">
                  <c:v>0.21518987341772153</c:v>
                </c:pt>
                <c:pt idx="283">
                  <c:v>0.36842105263157893</c:v>
                </c:pt>
                <c:pt idx="284">
                  <c:v>0.26530612244897961</c:v>
                </c:pt>
                <c:pt idx="285">
                  <c:v>0.36842105263157893</c:v>
                </c:pt>
                <c:pt idx="286">
                  <c:v>0.33333333333333331</c:v>
                </c:pt>
                <c:pt idx="287">
                  <c:v>0.36842105263157893</c:v>
                </c:pt>
                <c:pt idx="288">
                  <c:v>0.38095238095238093</c:v>
                </c:pt>
                <c:pt idx="289">
                  <c:v>0.25696594427244585</c:v>
                </c:pt>
                <c:pt idx="290">
                  <c:v>0.32692307692307693</c:v>
                </c:pt>
                <c:pt idx="291">
                  <c:v>0.11564625850340136</c:v>
                </c:pt>
                <c:pt idx="292">
                  <c:v>0.11764705882352941</c:v>
                </c:pt>
                <c:pt idx="293">
                  <c:v>0.33518005540166207</c:v>
                </c:pt>
                <c:pt idx="294">
                  <c:v>0.17388407728181213</c:v>
                </c:pt>
                <c:pt idx="295">
                  <c:v>0.36842105263157893</c:v>
                </c:pt>
                <c:pt idx="296">
                  <c:v>0.11764705882352941</c:v>
                </c:pt>
                <c:pt idx="297">
                  <c:v>0.39473684210526316</c:v>
                </c:pt>
                <c:pt idx="298">
                  <c:v>0.36842105263157893</c:v>
                </c:pt>
                <c:pt idx="299">
                  <c:v>0.21052631578947367</c:v>
                </c:pt>
                <c:pt idx="300">
                  <c:v>0.21052631578947367</c:v>
                </c:pt>
                <c:pt idx="301">
                  <c:v>0.36842105263157893</c:v>
                </c:pt>
                <c:pt idx="302">
                  <c:v>0.12781954887218044</c:v>
                </c:pt>
                <c:pt idx="303">
                  <c:v>0.11564625850340136</c:v>
                </c:pt>
                <c:pt idx="304">
                  <c:v>0.34837092731829572</c:v>
                </c:pt>
                <c:pt idx="305">
                  <c:v>0.16219119226638024</c:v>
                </c:pt>
                <c:pt idx="306">
                  <c:v>0.36842105263157893</c:v>
                </c:pt>
                <c:pt idx="307">
                  <c:v>0.17388407728181213</c:v>
                </c:pt>
                <c:pt idx="308">
                  <c:v>0.28888888888888886</c:v>
                </c:pt>
                <c:pt idx="309">
                  <c:v>0.11564625850340136</c:v>
                </c:pt>
                <c:pt idx="310">
                  <c:v>0.34615384615384615</c:v>
                </c:pt>
                <c:pt idx="311">
                  <c:v>0.21052631578947367</c:v>
                </c:pt>
                <c:pt idx="312">
                  <c:v>0.3611111111111111</c:v>
                </c:pt>
                <c:pt idx="313">
                  <c:v>0.21518987341772153</c:v>
                </c:pt>
                <c:pt idx="314">
                  <c:v>0.2857142857142857</c:v>
                </c:pt>
                <c:pt idx="315">
                  <c:v>2.5210084033613446E-2</c:v>
                </c:pt>
                <c:pt idx="316">
                  <c:v>0.24107142857142858</c:v>
                </c:pt>
                <c:pt idx="317">
                  <c:v>0.10256410256410256</c:v>
                </c:pt>
                <c:pt idx="318">
                  <c:v>0.31888544891640869</c:v>
                </c:pt>
                <c:pt idx="319">
                  <c:v>0.28888888888888886</c:v>
                </c:pt>
                <c:pt idx="320">
                  <c:v>0.23076923076923078</c:v>
                </c:pt>
                <c:pt idx="321">
                  <c:v>4.7619047619047616E-2</c:v>
                </c:pt>
                <c:pt idx="322">
                  <c:v>0.39473684210526316</c:v>
                </c:pt>
                <c:pt idx="323">
                  <c:v>0.36842105263157893</c:v>
                </c:pt>
                <c:pt idx="324">
                  <c:v>0.16666666666666666</c:v>
                </c:pt>
                <c:pt idx="325">
                  <c:v>0.31216931216931215</c:v>
                </c:pt>
                <c:pt idx="326">
                  <c:v>0.16666666666666666</c:v>
                </c:pt>
                <c:pt idx="327">
                  <c:v>0.2982456140350877</c:v>
                </c:pt>
                <c:pt idx="328">
                  <c:v>0.29411764705882354</c:v>
                </c:pt>
                <c:pt idx="329">
                  <c:v>0.26530612244897961</c:v>
                </c:pt>
                <c:pt idx="330">
                  <c:v>0.22619047619047619</c:v>
                </c:pt>
                <c:pt idx="331">
                  <c:v>0.25</c:v>
                </c:pt>
                <c:pt idx="332">
                  <c:v>0.39473684210526316</c:v>
                </c:pt>
                <c:pt idx="333">
                  <c:v>0.32692307692307693</c:v>
                </c:pt>
                <c:pt idx="334">
                  <c:v>0.33333333333333331</c:v>
                </c:pt>
                <c:pt idx="335">
                  <c:v>0.34615384615384615</c:v>
                </c:pt>
                <c:pt idx="336">
                  <c:v>0.26530612244897961</c:v>
                </c:pt>
                <c:pt idx="337">
                  <c:v>0.36842105263157893</c:v>
                </c:pt>
                <c:pt idx="338">
                  <c:v>0.26530612244897961</c:v>
                </c:pt>
                <c:pt idx="339">
                  <c:v>0.17142857142857143</c:v>
                </c:pt>
                <c:pt idx="340">
                  <c:v>7.6693968726731204E-2</c:v>
                </c:pt>
                <c:pt idx="341">
                  <c:v>0.29411764705882354</c:v>
                </c:pt>
                <c:pt idx="342">
                  <c:v>0.13565426170468187</c:v>
                </c:pt>
                <c:pt idx="343">
                  <c:v>0.3611111111111111</c:v>
                </c:pt>
                <c:pt idx="344">
                  <c:v>0.27170868347338933</c:v>
                </c:pt>
                <c:pt idx="345">
                  <c:v>0.25925925925925924</c:v>
                </c:pt>
                <c:pt idx="346">
                  <c:v>0.16666666666666666</c:v>
                </c:pt>
                <c:pt idx="347">
                  <c:v>0.3235294117647059</c:v>
                </c:pt>
                <c:pt idx="348">
                  <c:v>0.27350427350427353</c:v>
                </c:pt>
                <c:pt idx="349">
                  <c:v>0.33518005540166207</c:v>
                </c:pt>
                <c:pt idx="350">
                  <c:v>0.33518005540166207</c:v>
                </c:pt>
                <c:pt idx="351">
                  <c:v>0.36842105263157893</c:v>
                </c:pt>
                <c:pt idx="352">
                  <c:v>0.16666666666666666</c:v>
                </c:pt>
                <c:pt idx="353">
                  <c:v>0.36842105263157893</c:v>
                </c:pt>
                <c:pt idx="354">
                  <c:v>0.20987654320987653</c:v>
                </c:pt>
                <c:pt idx="355">
                  <c:v>0.34615384615384615</c:v>
                </c:pt>
                <c:pt idx="356">
                  <c:v>0.35294117647058826</c:v>
                </c:pt>
                <c:pt idx="357">
                  <c:v>0.24426450742240216</c:v>
                </c:pt>
                <c:pt idx="358">
                  <c:v>0.28104575163398693</c:v>
                </c:pt>
                <c:pt idx="359">
                  <c:v>0.24444444444444444</c:v>
                </c:pt>
                <c:pt idx="360">
                  <c:v>0.35294117647058826</c:v>
                </c:pt>
                <c:pt idx="361">
                  <c:v>0.29411764705882354</c:v>
                </c:pt>
                <c:pt idx="362">
                  <c:v>9.5238095238095247E-3</c:v>
                </c:pt>
                <c:pt idx="363">
                  <c:v>0.25213675213675213</c:v>
                </c:pt>
                <c:pt idx="364">
                  <c:v>0.16219119226638024</c:v>
                </c:pt>
                <c:pt idx="365">
                  <c:v>0.25714285714285712</c:v>
                </c:pt>
                <c:pt idx="366">
                  <c:v>0.20408163265306123</c:v>
                </c:pt>
                <c:pt idx="367">
                  <c:v>0.29411764705882354</c:v>
                </c:pt>
                <c:pt idx="368">
                  <c:v>0.17142857142857143</c:v>
                </c:pt>
                <c:pt idx="369">
                  <c:v>0.28104575163398693</c:v>
                </c:pt>
                <c:pt idx="370">
                  <c:v>0.33518005540166207</c:v>
                </c:pt>
                <c:pt idx="371">
                  <c:v>0.33333333333333331</c:v>
                </c:pt>
                <c:pt idx="372">
                  <c:v>0.3611111111111111</c:v>
                </c:pt>
                <c:pt idx="373">
                  <c:v>0.16666666666666666</c:v>
                </c:pt>
                <c:pt idx="374">
                  <c:v>0.32432432432432434</c:v>
                </c:pt>
                <c:pt idx="375">
                  <c:v>0.39285714285714285</c:v>
                </c:pt>
                <c:pt idx="376">
                  <c:v>0.29411764705882354</c:v>
                </c:pt>
                <c:pt idx="377">
                  <c:v>0.2982456140350877</c:v>
                </c:pt>
                <c:pt idx="378">
                  <c:v>0.25696594427244585</c:v>
                </c:pt>
                <c:pt idx="379">
                  <c:v>0.11564625850340136</c:v>
                </c:pt>
                <c:pt idx="380">
                  <c:v>0.36842105263157893</c:v>
                </c:pt>
                <c:pt idx="381">
                  <c:v>0.3611111111111111</c:v>
                </c:pt>
                <c:pt idx="382">
                  <c:v>0.2982456140350877</c:v>
                </c:pt>
                <c:pt idx="383">
                  <c:v>9.5238095238095247E-3</c:v>
                </c:pt>
                <c:pt idx="384">
                  <c:v>0.39473684210526316</c:v>
                </c:pt>
                <c:pt idx="385">
                  <c:v>0.4</c:v>
                </c:pt>
                <c:pt idx="386">
                  <c:v>0.1111111111111111</c:v>
                </c:pt>
                <c:pt idx="387">
                  <c:v>0.38095238095238093</c:v>
                </c:pt>
                <c:pt idx="388">
                  <c:v>0.28104575163398693</c:v>
                </c:pt>
                <c:pt idx="389">
                  <c:v>0.31888544891640869</c:v>
                </c:pt>
                <c:pt idx="390">
                  <c:v>0.21052631578947367</c:v>
                </c:pt>
                <c:pt idx="391">
                  <c:v>0.28876244665718348</c:v>
                </c:pt>
                <c:pt idx="392">
                  <c:v>0.1111111111111111</c:v>
                </c:pt>
                <c:pt idx="393">
                  <c:v>0.16219119226638024</c:v>
                </c:pt>
                <c:pt idx="394">
                  <c:v>0.23875432525951557</c:v>
                </c:pt>
                <c:pt idx="395">
                  <c:v>0.20987654320987653</c:v>
                </c:pt>
                <c:pt idx="396">
                  <c:v>0.20408163265306123</c:v>
                </c:pt>
                <c:pt idx="397">
                  <c:v>0.36842105263157893</c:v>
                </c:pt>
                <c:pt idx="398">
                  <c:v>0.21568627450980393</c:v>
                </c:pt>
                <c:pt idx="399">
                  <c:v>0.24924924924924924</c:v>
                </c:pt>
                <c:pt idx="400">
                  <c:v>0.4</c:v>
                </c:pt>
                <c:pt idx="401">
                  <c:v>0.31888544891640869</c:v>
                </c:pt>
                <c:pt idx="402">
                  <c:v>0.24924924924924924</c:v>
                </c:pt>
                <c:pt idx="403">
                  <c:v>0.42499999999999999</c:v>
                </c:pt>
                <c:pt idx="404">
                  <c:v>0.42499999999999999</c:v>
                </c:pt>
                <c:pt idx="405">
                  <c:v>7.9365079365079361E-2</c:v>
                </c:pt>
                <c:pt idx="406">
                  <c:v>0.16955017301038061</c:v>
                </c:pt>
                <c:pt idx="407">
                  <c:v>0.21052631578947367</c:v>
                </c:pt>
                <c:pt idx="408">
                  <c:v>2.5210084033613446E-2</c:v>
                </c:pt>
                <c:pt idx="409">
                  <c:v>0.34837092731829572</c:v>
                </c:pt>
                <c:pt idx="410">
                  <c:v>0.36842105263157893</c:v>
                </c:pt>
                <c:pt idx="411">
                  <c:v>0.33518005540166207</c:v>
                </c:pt>
                <c:pt idx="412">
                  <c:v>0.26530612244897961</c:v>
                </c:pt>
                <c:pt idx="413">
                  <c:v>0.28888888888888886</c:v>
                </c:pt>
                <c:pt idx="414">
                  <c:v>0.21568627450980393</c:v>
                </c:pt>
                <c:pt idx="415">
                  <c:v>0.42499999999999999</c:v>
                </c:pt>
                <c:pt idx="416">
                  <c:v>0.23076923076923078</c:v>
                </c:pt>
                <c:pt idx="417">
                  <c:v>0.28104575163398693</c:v>
                </c:pt>
                <c:pt idx="418">
                  <c:v>0.39473684210526316</c:v>
                </c:pt>
                <c:pt idx="419">
                  <c:v>0.25213675213675213</c:v>
                </c:pt>
                <c:pt idx="420">
                  <c:v>0.3611111111111111</c:v>
                </c:pt>
                <c:pt idx="421">
                  <c:v>0.39473684210526316</c:v>
                </c:pt>
                <c:pt idx="422">
                  <c:v>0.35294117647058826</c:v>
                </c:pt>
                <c:pt idx="423">
                  <c:v>0.16219119226638024</c:v>
                </c:pt>
                <c:pt idx="424">
                  <c:v>7.6693968726731204E-2</c:v>
                </c:pt>
                <c:pt idx="425">
                  <c:v>0.33333333333333331</c:v>
                </c:pt>
                <c:pt idx="426">
                  <c:v>0.4</c:v>
                </c:pt>
                <c:pt idx="427">
                  <c:v>0.21518987341772153</c:v>
                </c:pt>
                <c:pt idx="428">
                  <c:v>0.33333333333333331</c:v>
                </c:pt>
                <c:pt idx="429">
                  <c:v>0.27350427350427353</c:v>
                </c:pt>
                <c:pt idx="430">
                  <c:v>-3.5714285714285712E-2</c:v>
                </c:pt>
                <c:pt idx="431">
                  <c:v>0.16666666666666666</c:v>
                </c:pt>
                <c:pt idx="432">
                  <c:v>0.13565426170468187</c:v>
                </c:pt>
                <c:pt idx="433">
                  <c:v>0.33518005540166207</c:v>
                </c:pt>
                <c:pt idx="434">
                  <c:v>0.4</c:v>
                </c:pt>
                <c:pt idx="435">
                  <c:v>0.20408163265306123</c:v>
                </c:pt>
                <c:pt idx="436">
                  <c:v>0.20814479638009051</c:v>
                </c:pt>
                <c:pt idx="437">
                  <c:v>0.27350427350427353</c:v>
                </c:pt>
                <c:pt idx="438">
                  <c:v>0.42499999999999999</c:v>
                </c:pt>
                <c:pt idx="439">
                  <c:v>0.36842105263157893</c:v>
                </c:pt>
                <c:pt idx="440">
                  <c:v>0.29411764705882354</c:v>
                </c:pt>
                <c:pt idx="441">
                  <c:v>0.25</c:v>
                </c:pt>
                <c:pt idx="442">
                  <c:v>0.20227920227920229</c:v>
                </c:pt>
                <c:pt idx="443">
                  <c:v>0.12781954887218044</c:v>
                </c:pt>
                <c:pt idx="444">
                  <c:v>0.35294117647058826</c:v>
                </c:pt>
                <c:pt idx="445">
                  <c:v>0.28104575163398693</c:v>
                </c:pt>
                <c:pt idx="446">
                  <c:v>0.3235294117647059</c:v>
                </c:pt>
                <c:pt idx="447">
                  <c:v>6.3625450180072027E-2</c:v>
                </c:pt>
                <c:pt idx="448">
                  <c:v>-3.5714285714285712E-2</c:v>
                </c:pt>
                <c:pt idx="449">
                  <c:v>0.2982456140350877</c:v>
                </c:pt>
                <c:pt idx="450">
                  <c:v>0.25</c:v>
                </c:pt>
                <c:pt idx="451">
                  <c:v>0.25213675213675213</c:v>
                </c:pt>
                <c:pt idx="452">
                  <c:v>0.28104575163398693</c:v>
                </c:pt>
                <c:pt idx="453">
                  <c:v>0.3611111111111111</c:v>
                </c:pt>
                <c:pt idx="454">
                  <c:v>0.25696594427244585</c:v>
                </c:pt>
                <c:pt idx="455">
                  <c:v>0.31174089068825911</c:v>
                </c:pt>
                <c:pt idx="456">
                  <c:v>0.36842105263157893</c:v>
                </c:pt>
                <c:pt idx="457">
                  <c:v>0.21568627450980393</c:v>
                </c:pt>
                <c:pt idx="458">
                  <c:v>0.28888888888888886</c:v>
                </c:pt>
                <c:pt idx="459">
                  <c:v>0.29411764705882354</c:v>
                </c:pt>
                <c:pt idx="460">
                  <c:v>4.7619047619047616E-2</c:v>
                </c:pt>
                <c:pt idx="461">
                  <c:v>0.20814479638009051</c:v>
                </c:pt>
                <c:pt idx="462">
                  <c:v>5.1020408163265302E-3</c:v>
                </c:pt>
                <c:pt idx="463">
                  <c:v>0.36842105263157893</c:v>
                </c:pt>
                <c:pt idx="464">
                  <c:v>6.25E-2</c:v>
                </c:pt>
                <c:pt idx="465">
                  <c:v>0.28104575163398693</c:v>
                </c:pt>
                <c:pt idx="466">
                  <c:v>0.16339869281045752</c:v>
                </c:pt>
                <c:pt idx="467">
                  <c:v>0.24107142857142858</c:v>
                </c:pt>
                <c:pt idx="468">
                  <c:v>0.20408163265306123</c:v>
                </c:pt>
                <c:pt idx="469">
                  <c:v>0.28888888888888886</c:v>
                </c:pt>
                <c:pt idx="470">
                  <c:v>0.33518005540166207</c:v>
                </c:pt>
                <c:pt idx="471">
                  <c:v>0.23076923076923078</c:v>
                </c:pt>
                <c:pt idx="472">
                  <c:v>0.4</c:v>
                </c:pt>
                <c:pt idx="473">
                  <c:v>0.33333333333333331</c:v>
                </c:pt>
                <c:pt idx="474">
                  <c:v>0.2982456140350877</c:v>
                </c:pt>
                <c:pt idx="475">
                  <c:v>0.20987654320987653</c:v>
                </c:pt>
                <c:pt idx="476">
                  <c:v>0.3611111111111111</c:v>
                </c:pt>
                <c:pt idx="477">
                  <c:v>0.25</c:v>
                </c:pt>
                <c:pt idx="478">
                  <c:v>0.36842105263157893</c:v>
                </c:pt>
                <c:pt idx="479">
                  <c:v>0.36842105263157893</c:v>
                </c:pt>
                <c:pt idx="480">
                  <c:v>0.12781954887218044</c:v>
                </c:pt>
                <c:pt idx="481">
                  <c:v>0.25146198830409355</c:v>
                </c:pt>
                <c:pt idx="482">
                  <c:v>0.27350427350427353</c:v>
                </c:pt>
                <c:pt idx="483">
                  <c:v>0.26530612244897961</c:v>
                </c:pt>
                <c:pt idx="484">
                  <c:v>0.25</c:v>
                </c:pt>
                <c:pt idx="485">
                  <c:v>0.33518005540166207</c:v>
                </c:pt>
                <c:pt idx="486">
                  <c:v>0.42499999999999999</c:v>
                </c:pt>
                <c:pt idx="487">
                  <c:v>0.18367346938775511</c:v>
                </c:pt>
                <c:pt idx="488">
                  <c:v>0.27350427350427353</c:v>
                </c:pt>
                <c:pt idx="489">
                  <c:v>0.33518005540166207</c:v>
                </c:pt>
                <c:pt idx="490">
                  <c:v>0.23076923076923078</c:v>
                </c:pt>
                <c:pt idx="491">
                  <c:v>0.20634920634920634</c:v>
                </c:pt>
                <c:pt idx="492">
                  <c:v>0.17388407728181213</c:v>
                </c:pt>
                <c:pt idx="493">
                  <c:v>0.18367346938775511</c:v>
                </c:pt>
                <c:pt idx="494">
                  <c:v>0.42499999999999999</c:v>
                </c:pt>
                <c:pt idx="495">
                  <c:v>0.11764705882352941</c:v>
                </c:pt>
                <c:pt idx="496">
                  <c:v>0.33333333333333331</c:v>
                </c:pt>
                <c:pt idx="497">
                  <c:v>0.36842105263157893</c:v>
                </c:pt>
                <c:pt idx="498">
                  <c:v>0.32432432432432434</c:v>
                </c:pt>
                <c:pt idx="499">
                  <c:v>0.4</c:v>
                </c:pt>
                <c:pt idx="500">
                  <c:v>0.33333333333333331</c:v>
                </c:pt>
                <c:pt idx="501">
                  <c:v>0.29411764705882354</c:v>
                </c:pt>
                <c:pt idx="502">
                  <c:v>0.16666666666666666</c:v>
                </c:pt>
                <c:pt idx="503">
                  <c:v>0.24426450742240216</c:v>
                </c:pt>
                <c:pt idx="504">
                  <c:v>0.21052631578947367</c:v>
                </c:pt>
                <c:pt idx="505">
                  <c:v>0.33333333333333331</c:v>
                </c:pt>
                <c:pt idx="506">
                  <c:v>0.25</c:v>
                </c:pt>
                <c:pt idx="507">
                  <c:v>0.18269230769230768</c:v>
                </c:pt>
                <c:pt idx="508">
                  <c:v>0.25</c:v>
                </c:pt>
                <c:pt idx="509">
                  <c:v>0.28888888888888886</c:v>
                </c:pt>
                <c:pt idx="510">
                  <c:v>0.24426450742240216</c:v>
                </c:pt>
                <c:pt idx="511">
                  <c:v>0.3235294117647059</c:v>
                </c:pt>
                <c:pt idx="512">
                  <c:v>0.291497975708502</c:v>
                </c:pt>
                <c:pt idx="513">
                  <c:v>0.12781954887218044</c:v>
                </c:pt>
                <c:pt idx="514">
                  <c:v>0.11564625850340136</c:v>
                </c:pt>
                <c:pt idx="515">
                  <c:v>0.16219119226638024</c:v>
                </c:pt>
                <c:pt idx="516">
                  <c:v>1.8987341772151899E-2</c:v>
                </c:pt>
                <c:pt idx="517">
                  <c:v>0.42499999999999999</c:v>
                </c:pt>
                <c:pt idx="518">
                  <c:v>0.38095238095238093</c:v>
                </c:pt>
                <c:pt idx="519">
                  <c:v>0.38095238095238093</c:v>
                </c:pt>
                <c:pt idx="520">
                  <c:v>0.2982456140350877</c:v>
                </c:pt>
                <c:pt idx="521">
                  <c:v>0.35294117647058826</c:v>
                </c:pt>
                <c:pt idx="522">
                  <c:v>0.36842105263157893</c:v>
                </c:pt>
                <c:pt idx="523">
                  <c:v>0.28104575163398693</c:v>
                </c:pt>
                <c:pt idx="524">
                  <c:v>0.29411764705882354</c:v>
                </c:pt>
                <c:pt idx="525">
                  <c:v>0.12781954887218044</c:v>
                </c:pt>
                <c:pt idx="526">
                  <c:v>0.4</c:v>
                </c:pt>
                <c:pt idx="527">
                  <c:v>0.11564625850340136</c:v>
                </c:pt>
                <c:pt idx="528">
                  <c:v>0.2982456140350877</c:v>
                </c:pt>
                <c:pt idx="529">
                  <c:v>0.42499999999999999</c:v>
                </c:pt>
                <c:pt idx="530">
                  <c:v>0.42499999999999999</c:v>
                </c:pt>
                <c:pt idx="531">
                  <c:v>0.21568627450980393</c:v>
                </c:pt>
                <c:pt idx="532">
                  <c:v>0.25</c:v>
                </c:pt>
                <c:pt idx="533">
                  <c:v>7.6693968726731204E-2</c:v>
                </c:pt>
                <c:pt idx="534">
                  <c:v>0.11564625850340136</c:v>
                </c:pt>
                <c:pt idx="535">
                  <c:v>9.3333333333333338E-2</c:v>
                </c:pt>
                <c:pt idx="536">
                  <c:v>0.29411764705882354</c:v>
                </c:pt>
                <c:pt idx="537">
                  <c:v>0.32692307692307693</c:v>
                </c:pt>
                <c:pt idx="538">
                  <c:v>0.28888888888888886</c:v>
                </c:pt>
                <c:pt idx="539">
                  <c:v>0.16666666666666666</c:v>
                </c:pt>
                <c:pt idx="540">
                  <c:v>0.11564625850340136</c:v>
                </c:pt>
                <c:pt idx="541">
                  <c:v>0.25714285714285712</c:v>
                </c:pt>
                <c:pt idx="542">
                  <c:v>0.21518987341772153</c:v>
                </c:pt>
                <c:pt idx="543">
                  <c:v>0.25146198830409355</c:v>
                </c:pt>
                <c:pt idx="544">
                  <c:v>-3.5714285714285712E-2</c:v>
                </c:pt>
                <c:pt idx="545">
                  <c:v>0.4</c:v>
                </c:pt>
                <c:pt idx="546">
                  <c:v>0.29411764705882354</c:v>
                </c:pt>
                <c:pt idx="547">
                  <c:v>0.2982456140350877</c:v>
                </c:pt>
                <c:pt idx="548">
                  <c:v>0.16666666666666666</c:v>
                </c:pt>
                <c:pt idx="549">
                  <c:v>0.17388407728181213</c:v>
                </c:pt>
                <c:pt idx="550">
                  <c:v>0.16219119226638024</c:v>
                </c:pt>
                <c:pt idx="551">
                  <c:v>0.21568627450980393</c:v>
                </c:pt>
                <c:pt idx="552">
                  <c:v>0.29411764705882354</c:v>
                </c:pt>
                <c:pt idx="553">
                  <c:v>0.4</c:v>
                </c:pt>
                <c:pt idx="554">
                  <c:v>0.2857142857142857</c:v>
                </c:pt>
                <c:pt idx="555">
                  <c:v>0.42499999999999999</c:v>
                </c:pt>
                <c:pt idx="556">
                  <c:v>0.1554054054054054</c:v>
                </c:pt>
                <c:pt idx="557">
                  <c:v>0.291497975708502</c:v>
                </c:pt>
                <c:pt idx="558">
                  <c:v>0.28888888888888886</c:v>
                </c:pt>
                <c:pt idx="559">
                  <c:v>0.28876244665718348</c:v>
                </c:pt>
                <c:pt idx="560">
                  <c:v>0.33518005540166207</c:v>
                </c:pt>
                <c:pt idx="561">
                  <c:v>0.29411764705882354</c:v>
                </c:pt>
                <c:pt idx="562">
                  <c:v>0.11764705882352941</c:v>
                </c:pt>
                <c:pt idx="563">
                  <c:v>0.33518005540166207</c:v>
                </c:pt>
                <c:pt idx="564">
                  <c:v>0.29411764705882354</c:v>
                </c:pt>
                <c:pt idx="565">
                  <c:v>0.32692307692307693</c:v>
                </c:pt>
                <c:pt idx="566">
                  <c:v>0.39473684210526316</c:v>
                </c:pt>
                <c:pt idx="567">
                  <c:v>0.22663802363050484</c:v>
                </c:pt>
                <c:pt idx="568">
                  <c:v>0.12781954887218044</c:v>
                </c:pt>
                <c:pt idx="569">
                  <c:v>0.25213675213675213</c:v>
                </c:pt>
                <c:pt idx="570">
                  <c:v>0.33333333333333331</c:v>
                </c:pt>
                <c:pt idx="571">
                  <c:v>0.23076923076923078</c:v>
                </c:pt>
                <c:pt idx="572">
                  <c:v>0.4</c:v>
                </c:pt>
                <c:pt idx="573">
                  <c:v>0.39473684210526316</c:v>
                </c:pt>
                <c:pt idx="574">
                  <c:v>0.28104575163398693</c:v>
                </c:pt>
                <c:pt idx="575">
                  <c:v>0.2982456140350877</c:v>
                </c:pt>
                <c:pt idx="576">
                  <c:v>0.25</c:v>
                </c:pt>
                <c:pt idx="577">
                  <c:v>0.12798874824191281</c:v>
                </c:pt>
                <c:pt idx="578">
                  <c:v>0.42499999999999999</c:v>
                </c:pt>
                <c:pt idx="579">
                  <c:v>0.2982456140350877</c:v>
                </c:pt>
                <c:pt idx="580">
                  <c:v>0.12605042016806722</c:v>
                </c:pt>
                <c:pt idx="581">
                  <c:v>0.33518005540166207</c:v>
                </c:pt>
                <c:pt idx="582">
                  <c:v>0.25146198830409355</c:v>
                </c:pt>
                <c:pt idx="583">
                  <c:v>5.1020408163265302E-3</c:v>
                </c:pt>
                <c:pt idx="584">
                  <c:v>0.31174089068825911</c:v>
                </c:pt>
                <c:pt idx="585">
                  <c:v>7.9365079365079361E-2</c:v>
                </c:pt>
                <c:pt idx="586">
                  <c:v>0.25146198830409355</c:v>
                </c:pt>
                <c:pt idx="587">
                  <c:v>0.4</c:v>
                </c:pt>
                <c:pt idx="588">
                  <c:v>0.22663802363050484</c:v>
                </c:pt>
                <c:pt idx="589">
                  <c:v>0.4</c:v>
                </c:pt>
                <c:pt idx="590">
                  <c:v>0.27350427350427353</c:v>
                </c:pt>
                <c:pt idx="591">
                  <c:v>0.21518987341772153</c:v>
                </c:pt>
                <c:pt idx="592">
                  <c:v>0.21052631578947367</c:v>
                </c:pt>
                <c:pt idx="593">
                  <c:v>0.4</c:v>
                </c:pt>
                <c:pt idx="594">
                  <c:v>0.34615384615384615</c:v>
                </c:pt>
                <c:pt idx="595">
                  <c:v>0.12781954887218044</c:v>
                </c:pt>
                <c:pt idx="596">
                  <c:v>0.4</c:v>
                </c:pt>
                <c:pt idx="597">
                  <c:v>0.2982456140350877</c:v>
                </c:pt>
                <c:pt idx="598">
                  <c:v>0.39473684210526316</c:v>
                </c:pt>
                <c:pt idx="599">
                  <c:v>0.25696594427244585</c:v>
                </c:pt>
                <c:pt idx="600">
                  <c:v>0.20408163265306123</c:v>
                </c:pt>
                <c:pt idx="601">
                  <c:v>0.21804511278195488</c:v>
                </c:pt>
                <c:pt idx="602">
                  <c:v>0.20987654320987653</c:v>
                </c:pt>
                <c:pt idx="603">
                  <c:v>0.10714285714285714</c:v>
                </c:pt>
                <c:pt idx="604">
                  <c:v>0.42499999999999999</c:v>
                </c:pt>
                <c:pt idx="605">
                  <c:v>0.4</c:v>
                </c:pt>
                <c:pt idx="606">
                  <c:v>0.21518987341772153</c:v>
                </c:pt>
                <c:pt idx="607">
                  <c:v>0.25</c:v>
                </c:pt>
                <c:pt idx="608">
                  <c:v>0.16955017301038061</c:v>
                </c:pt>
                <c:pt idx="609">
                  <c:v>0.17388407728181213</c:v>
                </c:pt>
                <c:pt idx="610">
                  <c:v>0.27350427350427353</c:v>
                </c:pt>
                <c:pt idx="611">
                  <c:v>0.21518987341772153</c:v>
                </c:pt>
                <c:pt idx="612">
                  <c:v>8.1632653061224483E-2</c:v>
                </c:pt>
                <c:pt idx="613">
                  <c:v>0.13565426170468187</c:v>
                </c:pt>
                <c:pt idx="614">
                  <c:v>0.2982456140350877</c:v>
                </c:pt>
                <c:pt idx="615">
                  <c:v>0.16219119226638024</c:v>
                </c:pt>
                <c:pt idx="616">
                  <c:v>0.20408163265306123</c:v>
                </c:pt>
                <c:pt idx="617">
                  <c:v>0.21568627450980393</c:v>
                </c:pt>
                <c:pt idx="618">
                  <c:v>0.39473684210526316</c:v>
                </c:pt>
                <c:pt idx="619">
                  <c:v>0.31174089068825911</c:v>
                </c:pt>
                <c:pt idx="620">
                  <c:v>0.28104575163398693</c:v>
                </c:pt>
                <c:pt idx="621">
                  <c:v>0.31174089068825911</c:v>
                </c:pt>
                <c:pt idx="622">
                  <c:v>0.34615384615384615</c:v>
                </c:pt>
                <c:pt idx="623">
                  <c:v>0.25696594427244585</c:v>
                </c:pt>
                <c:pt idx="624">
                  <c:v>0.38095238095238093</c:v>
                </c:pt>
                <c:pt idx="625">
                  <c:v>0.34837092731829572</c:v>
                </c:pt>
                <c:pt idx="626">
                  <c:v>0.4</c:v>
                </c:pt>
                <c:pt idx="627">
                  <c:v>0.31888544891640869</c:v>
                </c:pt>
                <c:pt idx="628">
                  <c:v>5.1020408163265302E-3</c:v>
                </c:pt>
                <c:pt idx="629">
                  <c:v>0.11564625850340136</c:v>
                </c:pt>
                <c:pt idx="630">
                  <c:v>0.21804511278195488</c:v>
                </c:pt>
                <c:pt idx="631">
                  <c:v>0.42499999999999999</c:v>
                </c:pt>
                <c:pt idx="632">
                  <c:v>0.28104575163398693</c:v>
                </c:pt>
                <c:pt idx="633">
                  <c:v>0.24924924924924924</c:v>
                </c:pt>
                <c:pt idx="634">
                  <c:v>0.33518005540166207</c:v>
                </c:pt>
                <c:pt idx="635">
                  <c:v>0.4</c:v>
                </c:pt>
                <c:pt idx="636">
                  <c:v>0.35294117647058826</c:v>
                </c:pt>
                <c:pt idx="637">
                  <c:v>0.18367346938775511</c:v>
                </c:pt>
                <c:pt idx="638">
                  <c:v>0.31888544891640869</c:v>
                </c:pt>
                <c:pt idx="639">
                  <c:v>0.2982456140350877</c:v>
                </c:pt>
                <c:pt idx="640">
                  <c:v>0.39473684210526316</c:v>
                </c:pt>
                <c:pt idx="641">
                  <c:v>0.29411764705882354</c:v>
                </c:pt>
                <c:pt idx="642">
                  <c:v>0.21052631578947367</c:v>
                </c:pt>
                <c:pt idx="643">
                  <c:v>0.33518005540166207</c:v>
                </c:pt>
                <c:pt idx="644">
                  <c:v>0.42499999999999999</c:v>
                </c:pt>
                <c:pt idx="645">
                  <c:v>0.3235294117647059</c:v>
                </c:pt>
                <c:pt idx="646">
                  <c:v>0.42499999999999999</c:v>
                </c:pt>
                <c:pt idx="647">
                  <c:v>0.28125</c:v>
                </c:pt>
                <c:pt idx="648">
                  <c:v>8.1632653061224483E-2</c:v>
                </c:pt>
                <c:pt idx="649">
                  <c:v>0.12781954887218044</c:v>
                </c:pt>
                <c:pt idx="650">
                  <c:v>0.22619047619047619</c:v>
                </c:pt>
                <c:pt idx="651">
                  <c:v>0.3611111111111111</c:v>
                </c:pt>
                <c:pt idx="652">
                  <c:v>0.42499999999999999</c:v>
                </c:pt>
                <c:pt idx="653">
                  <c:v>0.33333333333333331</c:v>
                </c:pt>
                <c:pt idx="654">
                  <c:v>0.25</c:v>
                </c:pt>
                <c:pt idx="655">
                  <c:v>9.5238095238095247E-3</c:v>
                </c:pt>
                <c:pt idx="656">
                  <c:v>0.36842105263157893</c:v>
                </c:pt>
                <c:pt idx="657">
                  <c:v>0.2982456140350877</c:v>
                </c:pt>
                <c:pt idx="658">
                  <c:v>0.25696594427244585</c:v>
                </c:pt>
                <c:pt idx="659">
                  <c:v>0.31174089068825911</c:v>
                </c:pt>
                <c:pt idx="660">
                  <c:v>0.31174089068825911</c:v>
                </c:pt>
                <c:pt idx="661">
                  <c:v>0.35294117647058826</c:v>
                </c:pt>
                <c:pt idx="662">
                  <c:v>0.33333333333333331</c:v>
                </c:pt>
                <c:pt idx="663">
                  <c:v>0.36842105263157893</c:v>
                </c:pt>
                <c:pt idx="664">
                  <c:v>0.32692307692307693</c:v>
                </c:pt>
                <c:pt idx="665">
                  <c:v>0.24426450742240216</c:v>
                </c:pt>
                <c:pt idx="666">
                  <c:v>0.20408163265306123</c:v>
                </c:pt>
                <c:pt idx="667">
                  <c:v>0.20408163265306123</c:v>
                </c:pt>
                <c:pt idx="668">
                  <c:v>0.25696594427244585</c:v>
                </c:pt>
                <c:pt idx="669">
                  <c:v>0.28104575163398693</c:v>
                </c:pt>
                <c:pt idx="670">
                  <c:v>0.34615384615384615</c:v>
                </c:pt>
                <c:pt idx="671">
                  <c:v>0.21518987341772153</c:v>
                </c:pt>
                <c:pt idx="672">
                  <c:v>0.25714285714285712</c:v>
                </c:pt>
                <c:pt idx="673">
                  <c:v>0.11764705882352941</c:v>
                </c:pt>
                <c:pt idx="674">
                  <c:v>0.2857142857142857</c:v>
                </c:pt>
                <c:pt idx="675">
                  <c:v>0.16666666666666666</c:v>
                </c:pt>
                <c:pt idx="676">
                  <c:v>0.11764705882352941</c:v>
                </c:pt>
                <c:pt idx="677">
                  <c:v>0.11564625850340136</c:v>
                </c:pt>
                <c:pt idx="678">
                  <c:v>0.28104575163398693</c:v>
                </c:pt>
                <c:pt idx="679">
                  <c:v>0.21052631578947367</c:v>
                </c:pt>
                <c:pt idx="680">
                  <c:v>0.4</c:v>
                </c:pt>
                <c:pt idx="681">
                  <c:v>0.12798874824191281</c:v>
                </c:pt>
                <c:pt idx="682">
                  <c:v>0.10256410256410256</c:v>
                </c:pt>
                <c:pt idx="683">
                  <c:v>0.15966386554621848</c:v>
                </c:pt>
                <c:pt idx="684">
                  <c:v>0.33333333333333331</c:v>
                </c:pt>
                <c:pt idx="685">
                  <c:v>0.36842105263157893</c:v>
                </c:pt>
                <c:pt idx="686">
                  <c:v>0.25146198830409355</c:v>
                </c:pt>
                <c:pt idx="687">
                  <c:v>2.5210084033613446E-2</c:v>
                </c:pt>
                <c:pt idx="688">
                  <c:v>0.33333333333333331</c:v>
                </c:pt>
                <c:pt idx="689">
                  <c:v>0.17388407728181213</c:v>
                </c:pt>
                <c:pt idx="690">
                  <c:v>7.9365079365079361E-2</c:v>
                </c:pt>
                <c:pt idx="691">
                  <c:v>0.32539682539682541</c:v>
                </c:pt>
                <c:pt idx="692">
                  <c:v>0.20408163265306123</c:v>
                </c:pt>
                <c:pt idx="693">
                  <c:v>0.33333333333333331</c:v>
                </c:pt>
                <c:pt idx="694">
                  <c:v>0.39473684210526316</c:v>
                </c:pt>
                <c:pt idx="695">
                  <c:v>0.32432432432432434</c:v>
                </c:pt>
                <c:pt idx="696">
                  <c:v>0.36842105263157893</c:v>
                </c:pt>
                <c:pt idx="697">
                  <c:v>0.33518005540166207</c:v>
                </c:pt>
                <c:pt idx="698">
                  <c:v>0.2982456140350877</c:v>
                </c:pt>
                <c:pt idx="699">
                  <c:v>0.3235294117647059</c:v>
                </c:pt>
                <c:pt idx="700">
                  <c:v>0.28104575163398693</c:v>
                </c:pt>
                <c:pt idx="701">
                  <c:v>0.32692307692307693</c:v>
                </c:pt>
                <c:pt idx="702">
                  <c:v>0.21052631578947367</c:v>
                </c:pt>
                <c:pt idx="703">
                  <c:v>0.11564625850340136</c:v>
                </c:pt>
                <c:pt idx="704">
                  <c:v>0.29411764705882354</c:v>
                </c:pt>
                <c:pt idx="705">
                  <c:v>0.35294117647058826</c:v>
                </c:pt>
                <c:pt idx="706">
                  <c:v>0.27170868347338933</c:v>
                </c:pt>
                <c:pt idx="707">
                  <c:v>0.26530612244897961</c:v>
                </c:pt>
                <c:pt idx="708">
                  <c:v>0.21518987341772153</c:v>
                </c:pt>
                <c:pt idx="709">
                  <c:v>0.35294117647058826</c:v>
                </c:pt>
                <c:pt idx="710">
                  <c:v>0.2982456140350877</c:v>
                </c:pt>
                <c:pt idx="711">
                  <c:v>0.29411764705882354</c:v>
                </c:pt>
                <c:pt idx="712">
                  <c:v>0.39473684210526316</c:v>
                </c:pt>
                <c:pt idx="713">
                  <c:v>0.36842105263157893</c:v>
                </c:pt>
                <c:pt idx="714">
                  <c:v>0.28876244665718348</c:v>
                </c:pt>
                <c:pt idx="715">
                  <c:v>0.2</c:v>
                </c:pt>
                <c:pt idx="716">
                  <c:v>1.8987341772151899E-2</c:v>
                </c:pt>
                <c:pt idx="717">
                  <c:v>0.4</c:v>
                </c:pt>
                <c:pt idx="718">
                  <c:v>0.11764705882352941</c:v>
                </c:pt>
                <c:pt idx="719">
                  <c:v>7.1428571428571425E-2</c:v>
                </c:pt>
                <c:pt idx="720">
                  <c:v>0.33333333333333331</c:v>
                </c:pt>
                <c:pt idx="721">
                  <c:v>0.23076923076923078</c:v>
                </c:pt>
                <c:pt idx="722">
                  <c:v>0.20227920227920229</c:v>
                </c:pt>
                <c:pt idx="723">
                  <c:v>0.27350427350427353</c:v>
                </c:pt>
                <c:pt idx="724">
                  <c:v>0.31888544891640869</c:v>
                </c:pt>
                <c:pt idx="725">
                  <c:v>0.33333333333333331</c:v>
                </c:pt>
                <c:pt idx="726">
                  <c:v>0.35294117647058826</c:v>
                </c:pt>
                <c:pt idx="727">
                  <c:v>0.34837092731829572</c:v>
                </c:pt>
                <c:pt idx="728">
                  <c:v>0.36842105263157893</c:v>
                </c:pt>
                <c:pt idx="729">
                  <c:v>0.21568627450980393</c:v>
                </c:pt>
                <c:pt idx="730">
                  <c:v>0.26530612244897961</c:v>
                </c:pt>
                <c:pt idx="731">
                  <c:v>0.12781954887218044</c:v>
                </c:pt>
                <c:pt idx="732">
                  <c:v>0.36842105263157893</c:v>
                </c:pt>
                <c:pt idx="733">
                  <c:v>0.29411764705882354</c:v>
                </c:pt>
                <c:pt idx="734">
                  <c:v>0.20408163265306123</c:v>
                </c:pt>
                <c:pt idx="735">
                  <c:v>0.4</c:v>
                </c:pt>
                <c:pt idx="736">
                  <c:v>0.20408163265306123</c:v>
                </c:pt>
                <c:pt idx="737">
                  <c:v>0.31174089068825911</c:v>
                </c:pt>
                <c:pt idx="738">
                  <c:v>0.33518005540166207</c:v>
                </c:pt>
                <c:pt idx="739">
                  <c:v>0.33518005540166207</c:v>
                </c:pt>
                <c:pt idx="740">
                  <c:v>0.22663802363050484</c:v>
                </c:pt>
                <c:pt idx="741">
                  <c:v>0.2982456140350877</c:v>
                </c:pt>
                <c:pt idx="742">
                  <c:v>0.33333333333333331</c:v>
                </c:pt>
                <c:pt idx="743">
                  <c:v>0.11564625850340136</c:v>
                </c:pt>
                <c:pt idx="744">
                  <c:v>2.5210084033613446E-2</c:v>
                </c:pt>
                <c:pt idx="745">
                  <c:v>0.25696594427244585</c:v>
                </c:pt>
                <c:pt idx="746">
                  <c:v>0.34615384615384615</c:v>
                </c:pt>
                <c:pt idx="747">
                  <c:v>0.36842105263157893</c:v>
                </c:pt>
                <c:pt idx="748">
                  <c:v>0.36842105263157893</c:v>
                </c:pt>
                <c:pt idx="749">
                  <c:v>0.29411764705882354</c:v>
                </c:pt>
                <c:pt idx="750">
                  <c:v>0.4</c:v>
                </c:pt>
                <c:pt idx="751">
                  <c:v>0.31174089068825911</c:v>
                </c:pt>
                <c:pt idx="752">
                  <c:v>0.36842105263157893</c:v>
                </c:pt>
                <c:pt idx="753">
                  <c:v>0.25714285714285712</c:v>
                </c:pt>
                <c:pt idx="754">
                  <c:v>0.19117647058823528</c:v>
                </c:pt>
                <c:pt idx="755">
                  <c:v>0.33333333333333331</c:v>
                </c:pt>
                <c:pt idx="756">
                  <c:v>0.21052631578947367</c:v>
                </c:pt>
                <c:pt idx="757">
                  <c:v>0.25213675213675213</c:v>
                </c:pt>
                <c:pt idx="758">
                  <c:v>0.31216931216931215</c:v>
                </c:pt>
                <c:pt idx="759">
                  <c:v>0.32432432432432434</c:v>
                </c:pt>
                <c:pt idx="760">
                  <c:v>0.24107142857142858</c:v>
                </c:pt>
                <c:pt idx="761">
                  <c:v>6.3625450180072027E-2</c:v>
                </c:pt>
                <c:pt idx="762">
                  <c:v>0.24924924924924924</c:v>
                </c:pt>
                <c:pt idx="763">
                  <c:v>0.28421052631578947</c:v>
                </c:pt>
                <c:pt idx="764">
                  <c:v>0.15966386554621848</c:v>
                </c:pt>
                <c:pt idx="765">
                  <c:v>0.28104575163398693</c:v>
                </c:pt>
                <c:pt idx="766">
                  <c:v>0.22619047619047619</c:v>
                </c:pt>
                <c:pt idx="767">
                  <c:v>0.21518987341772153</c:v>
                </c:pt>
                <c:pt idx="768">
                  <c:v>0.12798874824191281</c:v>
                </c:pt>
                <c:pt idx="769">
                  <c:v>0.25696594427244585</c:v>
                </c:pt>
                <c:pt idx="770">
                  <c:v>0.27350427350427353</c:v>
                </c:pt>
                <c:pt idx="771">
                  <c:v>0.12798874824191281</c:v>
                </c:pt>
                <c:pt idx="772">
                  <c:v>0.28888888888888886</c:v>
                </c:pt>
                <c:pt idx="773">
                  <c:v>0.36842105263157893</c:v>
                </c:pt>
                <c:pt idx="774">
                  <c:v>0.38095238095238093</c:v>
                </c:pt>
                <c:pt idx="775">
                  <c:v>0.36842105263157893</c:v>
                </c:pt>
                <c:pt idx="776">
                  <c:v>0.21568627450980393</c:v>
                </c:pt>
                <c:pt idx="777">
                  <c:v>0.17388407728181213</c:v>
                </c:pt>
                <c:pt idx="778">
                  <c:v>0.10714285714285714</c:v>
                </c:pt>
                <c:pt idx="779">
                  <c:v>0.20408163265306123</c:v>
                </c:pt>
                <c:pt idx="780">
                  <c:v>-3.5714285714285712E-2</c:v>
                </c:pt>
                <c:pt idx="781">
                  <c:v>-3.5714285714285712E-2</c:v>
                </c:pt>
                <c:pt idx="782">
                  <c:v>0.17142857142857143</c:v>
                </c:pt>
                <c:pt idx="783">
                  <c:v>0.23875432525951557</c:v>
                </c:pt>
                <c:pt idx="784">
                  <c:v>0.25696594427244585</c:v>
                </c:pt>
                <c:pt idx="785">
                  <c:v>0.18269230769230768</c:v>
                </c:pt>
                <c:pt idx="786">
                  <c:v>0.12781954887218044</c:v>
                </c:pt>
                <c:pt idx="787">
                  <c:v>0.28205128205128205</c:v>
                </c:pt>
                <c:pt idx="788">
                  <c:v>0.21568627450980393</c:v>
                </c:pt>
                <c:pt idx="789">
                  <c:v>0.35294117647058826</c:v>
                </c:pt>
                <c:pt idx="790">
                  <c:v>0.20408163265306123</c:v>
                </c:pt>
                <c:pt idx="791">
                  <c:v>0.34615384615384615</c:v>
                </c:pt>
                <c:pt idx="792">
                  <c:v>0.17142857142857143</c:v>
                </c:pt>
                <c:pt idx="793">
                  <c:v>0.20987654320987653</c:v>
                </c:pt>
                <c:pt idx="794">
                  <c:v>0.2</c:v>
                </c:pt>
                <c:pt idx="795">
                  <c:v>0.31888544891640869</c:v>
                </c:pt>
                <c:pt idx="796">
                  <c:v>0.28125</c:v>
                </c:pt>
                <c:pt idx="797">
                  <c:v>0.34615384615384615</c:v>
                </c:pt>
                <c:pt idx="798">
                  <c:v>0.36842105263157893</c:v>
                </c:pt>
                <c:pt idx="799">
                  <c:v>0.36842105263157893</c:v>
                </c:pt>
                <c:pt idx="800">
                  <c:v>0.34615384615384615</c:v>
                </c:pt>
                <c:pt idx="801">
                  <c:v>0.26530612244897961</c:v>
                </c:pt>
                <c:pt idx="802">
                  <c:v>0.24924924924924924</c:v>
                </c:pt>
                <c:pt idx="803">
                  <c:v>7.9365079365079361E-2</c:v>
                </c:pt>
                <c:pt idx="804">
                  <c:v>0.34615384615384615</c:v>
                </c:pt>
                <c:pt idx="805">
                  <c:v>0.31888544891640869</c:v>
                </c:pt>
                <c:pt idx="806">
                  <c:v>0.25</c:v>
                </c:pt>
                <c:pt idx="807">
                  <c:v>0.33333333333333331</c:v>
                </c:pt>
                <c:pt idx="808">
                  <c:v>0.33518005540166207</c:v>
                </c:pt>
                <c:pt idx="809">
                  <c:v>0.35294117647058826</c:v>
                </c:pt>
                <c:pt idx="810">
                  <c:v>0.12798874824191281</c:v>
                </c:pt>
                <c:pt idx="811">
                  <c:v>0.39473684210526316</c:v>
                </c:pt>
                <c:pt idx="812">
                  <c:v>0.20408163265306123</c:v>
                </c:pt>
                <c:pt idx="813">
                  <c:v>0.2857142857142857</c:v>
                </c:pt>
                <c:pt idx="814">
                  <c:v>0.12798874824191281</c:v>
                </c:pt>
                <c:pt idx="815">
                  <c:v>0.23875432525951557</c:v>
                </c:pt>
                <c:pt idx="816">
                  <c:v>0.25</c:v>
                </c:pt>
                <c:pt idx="817">
                  <c:v>2.5210084033613446E-2</c:v>
                </c:pt>
                <c:pt idx="818">
                  <c:v>0.25696594427244585</c:v>
                </c:pt>
                <c:pt idx="819">
                  <c:v>0.42499999999999999</c:v>
                </c:pt>
                <c:pt idx="820">
                  <c:v>0.25696594427244585</c:v>
                </c:pt>
                <c:pt idx="821">
                  <c:v>0.18367346938775511</c:v>
                </c:pt>
                <c:pt idx="822">
                  <c:v>0.291497975708502</c:v>
                </c:pt>
                <c:pt idx="823">
                  <c:v>0.27350427350427353</c:v>
                </c:pt>
                <c:pt idx="824">
                  <c:v>0.28876244665718348</c:v>
                </c:pt>
                <c:pt idx="825">
                  <c:v>0.17142857142857143</c:v>
                </c:pt>
                <c:pt idx="826">
                  <c:v>0.34615384615384615</c:v>
                </c:pt>
                <c:pt idx="827">
                  <c:v>0.27170868347338933</c:v>
                </c:pt>
                <c:pt idx="828">
                  <c:v>0.20408163265306123</c:v>
                </c:pt>
                <c:pt idx="829">
                  <c:v>0.34615384615384615</c:v>
                </c:pt>
                <c:pt idx="830">
                  <c:v>0.29411764705882354</c:v>
                </c:pt>
                <c:pt idx="831">
                  <c:v>0.16666666666666666</c:v>
                </c:pt>
                <c:pt idx="832">
                  <c:v>0.36842105263157893</c:v>
                </c:pt>
                <c:pt idx="833">
                  <c:v>0.21804511278195488</c:v>
                </c:pt>
                <c:pt idx="834">
                  <c:v>0.17388407728181213</c:v>
                </c:pt>
                <c:pt idx="835">
                  <c:v>0.36842105263157893</c:v>
                </c:pt>
                <c:pt idx="836">
                  <c:v>0.12605042016806722</c:v>
                </c:pt>
                <c:pt idx="837">
                  <c:v>0.12781954887218044</c:v>
                </c:pt>
                <c:pt idx="838">
                  <c:v>0.27350427350427353</c:v>
                </c:pt>
                <c:pt idx="839">
                  <c:v>0.38095238095238093</c:v>
                </c:pt>
                <c:pt idx="840">
                  <c:v>0.2982456140350877</c:v>
                </c:pt>
                <c:pt idx="841">
                  <c:v>0.36842105263157893</c:v>
                </c:pt>
                <c:pt idx="842">
                  <c:v>0.3611111111111111</c:v>
                </c:pt>
                <c:pt idx="843">
                  <c:v>0.16955017301038061</c:v>
                </c:pt>
                <c:pt idx="844">
                  <c:v>0.34837092731829572</c:v>
                </c:pt>
                <c:pt idx="845">
                  <c:v>0.28888888888888886</c:v>
                </c:pt>
                <c:pt idx="846">
                  <c:v>0.12781954887218044</c:v>
                </c:pt>
                <c:pt idx="847">
                  <c:v>0.25696594427244585</c:v>
                </c:pt>
                <c:pt idx="848">
                  <c:v>0.23875432525951557</c:v>
                </c:pt>
                <c:pt idx="849">
                  <c:v>0.31216931216931215</c:v>
                </c:pt>
                <c:pt idx="850">
                  <c:v>0.27350427350427353</c:v>
                </c:pt>
                <c:pt idx="851">
                  <c:v>0.33333333333333331</c:v>
                </c:pt>
                <c:pt idx="852">
                  <c:v>0.36842105263157893</c:v>
                </c:pt>
                <c:pt idx="853">
                  <c:v>0.3235294117647059</c:v>
                </c:pt>
                <c:pt idx="854">
                  <c:v>0.16219119226638024</c:v>
                </c:pt>
                <c:pt idx="855">
                  <c:v>0.33333333333333331</c:v>
                </c:pt>
                <c:pt idx="856">
                  <c:v>0.11564625850340136</c:v>
                </c:pt>
                <c:pt idx="857">
                  <c:v>0.20408163265306123</c:v>
                </c:pt>
                <c:pt idx="858">
                  <c:v>0.25</c:v>
                </c:pt>
                <c:pt idx="859">
                  <c:v>0.23076923076923078</c:v>
                </c:pt>
                <c:pt idx="860">
                  <c:v>7.9365079365079361E-2</c:v>
                </c:pt>
                <c:pt idx="861">
                  <c:v>7.9365079365079361E-2</c:v>
                </c:pt>
                <c:pt idx="862">
                  <c:v>0.25</c:v>
                </c:pt>
                <c:pt idx="863">
                  <c:v>0.35294117647058826</c:v>
                </c:pt>
                <c:pt idx="864">
                  <c:v>0.27350427350427353</c:v>
                </c:pt>
                <c:pt idx="865">
                  <c:v>0.16666666666666666</c:v>
                </c:pt>
                <c:pt idx="866">
                  <c:v>0.2982456140350877</c:v>
                </c:pt>
                <c:pt idx="867">
                  <c:v>0.33333333333333331</c:v>
                </c:pt>
                <c:pt idx="868">
                  <c:v>0.31174089068825911</c:v>
                </c:pt>
                <c:pt idx="869">
                  <c:v>0.33333333333333331</c:v>
                </c:pt>
                <c:pt idx="870">
                  <c:v>0.39473684210526316</c:v>
                </c:pt>
                <c:pt idx="871">
                  <c:v>0.3235294117647059</c:v>
                </c:pt>
                <c:pt idx="872">
                  <c:v>0.29411764705882354</c:v>
                </c:pt>
                <c:pt idx="873">
                  <c:v>6.3625450180072027E-2</c:v>
                </c:pt>
                <c:pt idx="874">
                  <c:v>0.36842105263157893</c:v>
                </c:pt>
                <c:pt idx="875">
                  <c:v>0.21518987341772153</c:v>
                </c:pt>
                <c:pt idx="876">
                  <c:v>7.9365079365079361E-2</c:v>
                </c:pt>
                <c:pt idx="877">
                  <c:v>0.28104575163398693</c:v>
                </c:pt>
                <c:pt idx="878">
                  <c:v>0.12781954887218044</c:v>
                </c:pt>
                <c:pt idx="879">
                  <c:v>0.3235294117647059</c:v>
                </c:pt>
                <c:pt idx="880">
                  <c:v>0.2982456140350877</c:v>
                </c:pt>
                <c:pt idx="881">
                  <c:v>0.38095238095238093</c:v>
                </c:pt>
                <c:pt idx="882">
                  <c:v>0.20408163265306123</c:v>
                </c:pt>
                <c:pt idx="883">
                  <c:v>0.20634920634920634</c:v>
                </c:pt>
                <c:pt idx="884">
                  <c:v>0.1554054054054054</c:v>
                </c:pt>
                <c:pt idx="885">
                  <c:v>6.3625450180072027E-2</c:v>
                </c:pt>
                <c:pt idx="886">
                  <c:v>0.39285714285714285</c:v>
                </c:pt>
                <c:pt idx="887">
                  <c:v>0.21052631578947367</c:v>
                </c:pt>
                <c:pt idx="888">
                  <c:v>0.21518987341772153</c:v>
                </c:pt>
                <c:pt idx="889">
                  <c:v>0.25</c:v>
                </c:pt>
                <c:pt idx="890">
                  <c:v>7.9365079365079361E-2</c:v>
                </c:pt>
                <c:pt idx="891">
                  <c:v>0.18269230769230768</c:v>
                </c:pt>
                <c:pt idx="892">
                  <c:v>0.24107142857142858</c:v>
                </c:pt>
                <c:pt idx="893">
                  <c:v>2.5210084033613446E-2</c:v>
                </c:pt>
                <c:pt idx="894">
                  <c:v>0.2982456140350877</c:v>
                </c:pt>
                <c:pt idx="895">
                  <c:v>2.5210084033613446E-2</c:v>
                </c:pt>
                <c:pt idx="896">
                  <c:v>8.1632653061224483E-2</c:v>
                </c:pt>
                <c:pt idx="897">
                  <c:v>0.23076923076923078</c:v>
                </c:pt>
                <c:pt idx="898">
                  <c:v>0.3235294117647059</c:v>
                </c:pt>
                <c:pt idx="899">
                  <c:v>0.27350427350427353</c:v>
                </c:pt>
                <c:pt idx="900">
                  <c:v>0.17460317460317459</c:v>
                </c:pt>
                <c:pt idx="901">
                  <c:v>0.291497975708502</c:v>
                </c:pt>
                <c:pt idx="902">
                  <c:v>7.1428571428571425E-2</c:v>
                </c:pt>
                <c:pt idx="903">
                  <c:v>0.11564625850340136</c:v>
                </c:pt>
                <c:pt idx="904">
                  <c:v>0.33333333333333331</c:v>
                </c:pt>
                <c:pt idx="905">
                  <c:v>0.31216931216931215</c:v>
                </c:pt>
                <c:pt idx="906">
                  <c:v>0.24924924924924924</c:v>
                </c:pt>
                <c:pt idx="907">
                  <c:v>0.16955017301038061</c:v>
                </c:pt>
                <c:pt idx="908">
                  <c:v>0.12798874824191281</c:v>
                </c:pt>
                <c:pt idx="909">
                  <c:v>0.29411764705882354</c:v>
                </c:pt>
                <c:pt idx="910">
                  <c:v>0.33518005540166207</c:v>
                </c:pt>
                <c:pt idx="911">
                  <c:v>0.28104575163398693</c:v>
                </c:pt>
                <c:pt idx="912">
                  <c:v>0.15535444947209653</c:v>
                </c:pt>
                <c:pt idx="913">
                  <c:v>0.21052631578947367</c:v>
                </c:pt>
                <c:pt idx="914">
                  <c:v>0.20408163265306123</c:v>
                </c:pt>
                <c:pt idx="915">
                  <c:v>0.33518005540166207</c:v>
                </c:pt>
                <c:pt idx="916">
                  <c:v>0.2857142857142857</c:v>
                </c:pt>
                <c:pt idx="917">
                  <c:v>0.11564625850340136</c:v>
                </c:pt>
                <c:pt idx="918">
                  <c:v>0.33518005540166207</c:v>
                </c:pt>
                <c:pt idx="919">
                  <c:v>0.33518005540166207</c:v>
                </c:pt>
                <c:pt idx="920">
                  <c:v>7.6693968726731204E-2</c:v>
                </c:pt>
                <c:pt idx="921">
                  <c:v>0.36842105263157893</c:v>
                </c:pt>
                <c:pt idx="922">
                  <c:v>0.1111111111111111</c:v>
                </c:pt>
                <c:pt idx="923">
                  <c:v>0.12781954887218044</c:v>
                </c:pt>
                <c:pt idx="924">
                  <c:v>0.3611111111111111</c:v>
                </c:pt>
                <c:pt idx="925">
                  <c:v>6.25E-2</c:v>
                </c:pt>
                <c:pt idx="926">
                  <c:v>0.33333333333333331</c:v>
                </c:pt>
                <c:pt idx="927">
                  <c:v>0.20408163265306123</c:v>
                </c:pt>
                <c:pt idx="928">
                  <c:v>0.32432432432432434</c:v>
                </c:pt>
                <c:pt idx="929">
                  <c:v>0.20408163265306123</c:v>
                </c:pt>
                <c:pt idx="930">
                  <c:v>0.42499999999999999</c:v>
                </c:pt>
                <c:pt idx="931">
                  <c:v>0.24426450742240216</c:v>
                </c:pt>
                <c:pt idx="932">
                  <c:v>0.21052631578947367</c:v>
                </c:pt>
                <c:pt idx="933">
                  <c:v>0.36842105263157893</c:v>
                </c:pt>
                <c:pt idx="934">
                  <c:v>0.27170868347338933</c:v>
                </c:pt>
                <c:pt idx="935">
                  <c:v>0.22663802363050484</c:v>
                </c:pt>
                <c:pt idx="936">
                  <c:v>0.38095238095238093</c:v>
                </c:pt>
                <c:pt idx="937">
                  <c:v>0.25696594427244585</c:v>
                </c:pt>
                <c:pt idx="938">
                  <c:v>0.21568627450980393</c:v>
                </c:pt>
                <c:pt idx="939">
                  <c:v>0.21568627450980393</c:v>
                </c:pt>
                <c:pt idx="940">
                  <c:v>0.33333333333333331</c:v>
                </c:pt>
                <c:pt idx="941">
                  <c:v>0.34837092731829572</c:v>
                </c:pt>
                <c:pt idx="942">
                  <c:v>0.42499999999999999</c:v>
                </c:pt>
                <c:pt idx="943">
                  <c:v>0.38095238095238093</c:v>
                </c:pt>
                <c:pt idx="944">
                  <c:v>0.4</c:v>
                </c:pt>
                <c:pt idx="945">
                  <c:v>0.12781954887218044</c:v>
                </c:pt>
                <c:pt idx="946">
                  <c:v>0.36090225563909772</c:v>
                </c:pt>
                <c:pt idx="947">
                  <c:v>2.5210084033613446E-2</c:v>
                </c:pt>
                <c:pt idx="948">
                  <c:v>0.33333333333333331</c:v>
                </c:pt>
                <c:pt idx="949">
                  <c:v>0.20408163265306123</c:v>
                </c:pt>
                <c:pt idx="950">
                  <c:v>0.36842105263157893</c:v>
                </c:pt>
                <c:pt idx="951">
                  <c:v>0.25</c:v>
                </c:pt>
                <c:pt idx="952">
                  <c:v>0.21052631578947367</c:v>
                </c:pt>
                <c:pt idx="953">
                  <c:v>0.42499999999999999</c:v>
                </c:pt>
                <c:pt idx="954">
                  <c:v>0.291497975708502</c:v>
                </c:pt>
                <c:pt idx="955">
                  <c:v>0.27170868347338933</c:v>
                </c:pt>
                <c:pt idx="956">
                  <c:v>0.4</c:v>
                </c:pt>
                <c:pt idx="957">
                  <c:v>0.33518005540166207</c:v>
                </c:pt>
                <c:pt idx="958">
                  <c:v>0.25696594427244585</c:v>
                </c:pt>
                <c:pt idx="959">
                  <c:v>0.26530612244897961</c:v>
                </c:pt>
                <c:pt idx="960">
                  <c:v>0.25696594427244585</c:v>
                </c:pt>
                <c:pt idx="961">
                  <c:v>0.291497975708502</c:v>
                </c:pt>
                <c:pt idx="962">
                  <c:v>0.33333333333333331</c:v>
                </c:pt>
                <c:pt idx="963">
                  <c:v>0.2982456140350877</c:v>
                </c:pt>
                <c:pt idx="964">
                  <c:v>0.1111111111111111</c:v>
                </c:pt>
                <c:pt idx="965">
                  <c:v>0.42499999999999999</c:v>
                </c:pt>
                <c:pt idx="966">
                  <c:v>0.31216931216931215</c:v>
                </c:pt>
                <c:pt idx="967">
                  <c:v>0.27350427350427353</c:v>
                </c:pt>
                <c:pt idx="968">
                  <c:v>0.25213675213675213</c:v>
                </c:pt>
                <c:pt idx="969">
                  <c:v>0.11564625850340136</c:v>
                </c:pt>
                <c:pt idx="970">
                  <c:v>0.3235294117647059</c:v>
                </c:pt>
                <c:pt idx="971">
                  <c:v>0.21804511278195488</c:v>
                </c:pt>
                <c:pt idx="972">
                  <c:v>0.12781954887218044</c:v>
                </c:pt>
                <c:pt idx="973">
                  <c:v>0.25925925925925924</c:v>
                </c:pt>
                <c:pt idx="974">
                  <c:v>0.24444444444444444</c:v>
                </c:pt>
                <c:pt idx="975">
                  <c:v>0.28888888888888886</c:v>
                </c:pt>
                <c:pt idx="976">
                  <c:v>0.4</c:v>
                </c:pt>
                <c:pt idx="977">
                  <c:v>0.16955017301038061</c:v>
                </c:pt>
                <c:pt idx="978">
                  <c:v>0.31216931216931215</c:v>
                </c:pt>
                <c:pt idx="979">
                  <c:v>0.28125</c:v>
                </c:pt>
                <c:pt idx="980">
                  <c:v>0.3235294117647059</c:v>
                </c:pt>
                <c:pt idx="981">
                  <c:v>0.27170868347338933</c:v>
                </c:pt>
                <c:pt idx="982">
                  <c:v>0.15966386554621848</c:v>
                </c:pt>
                <c:pt idx="983">
                  <c:v>0.11564625850340136</c:v>
                </c:pt>
                <c:pt idx="984">
                  <c:v>0.18367346938775511</c:v>
                </c:pt>
                <c:pt idx="985">
                  <c:v>0.21568627450980393</c:v>
                </c:pt>
                <c:pt idx="986">
                  <c:v>0.31888544891640869</c:v>
                </c:pt>
                <c:pt idx="987">
                  <c:v>0.4</c:v>
                </c:pt>
                <c:pt idx="988">
                  <c:v>0.12798874824191281</c:v>
                </c:pt>
                <c:pt idx="989">
                  <c:v>0.25696594427244585</c:v>
                </c:pt>
                <c:pt idx="990">
                  <c:v>0.28876244665718348</c:v>
                </c:pt>
                <c:pt idx="991">
                  <c:v>0.4</c:v>
                </c:pt>
                <c:pt idx="992">
                  <c:v>2.5210084033613446E-2</c:v>
                </c:pt>
                <c:pt idx="993">
                  <c:v>0.36842105263157893</c:v>
                </c:pt>
                <c:pt idx="994">
                  <c:v>0.28104575163398693</c:v>
                </c:pt>
                <c:pt idx="995">
                  <c:v>0.24924924924924924</c:v>
                </c:pt>
                <c:pt idx="996">
                  <c:v>0.17142857142857143</c:v>
                </c:pt>
                <c:pt idx="997">
                  <c:v>0.31216931216931215</c:v>
                </c:pt>
                <c:pt idx="998">
                  <c:v>0.38095238095238093</c:v>
                </c:pt>
                <c:pt idx="999">
                  <c:v>0.2982456140350877</c:v>
                </c:pt>
                <c:pt idx="1000">
                  <c:v>0.4</c:v>
                </c:pt>
                <c:pt idx="1001">
                  <c:v>0.33333333333333331</c:v>
                </c:pt>
                <c:pt idx="1002">
                  <c:v>0.34837092731829572</c:v>
                </c:pt>
                <c:pt idx="1003">
                  <c:v>0.35294117647058826</c:v>
                </c:pt>
                <c:pt idx="1004">
                  <c:v>0.10714285714285714</c:v>
                </c:pt>
                <c:pt idx="1005">
                  <c:v>0.25</c:v>
                </c:pt>
                <c:pt idx="1006">
                  <c:v>0.2982456140350877</c:v>
                </c:pt>
                <c:pt idx="1007">
                  <c:v>5.1020408163265302E-3</c:v>
                </c:pt>
                <c:pt idx="1008">
                  <c:v>2.5210084033613446E-2</c:v>
                </c:pt>
                <c:pt idx="1009">
                  <c:v>0.21052631578947367</c:v>
                </c:pt>
                <c:pt idx="1010">
                  <c:v>5.1020408163265302E-3</c:v>
                </c:pt>
                <c:pt idx="1011">
                  <c:v>0.2857142857142857</c:v>
                </c:pt>
                <c:pt idx="1012">
                  <c:v>0.39473684210526316</c:v>
                </c:pt>
                <c:pt idx="1013">
                  <c:v>0.4</c:v>
                </c:pt>
                <c:pt idx="1014">
                  <c:v>0.4</c:v>
                </c:pt>
                <c:pt idx="1015">
                  <c:v>0.39473684210526316</c:v>
                </c:pt>
                <c:pt idx="1016">
                  <c:v>0.29411764705882354</c:v>
                </c:pt>
                <c:pt idx="1017">
                  <c:v>0.15865384615384615</c:v>
                </c:pt>
                <c:pt idx="1018">
                  <c:v>0.27170868347338933</c:v>
                </c:pt>
                <c:pt idx="1019">
                  <c:v>0.32692307692307693</c:v>
                </c:pt>
                <c:pt idx="1020">
                  <c:v>0.19117647058823528</c:v>
                </c:pt>
                <c:pt idx="1021">
                  <c:v>0.21568627450980393</c:v>
                </c:pt>
                <c:pt idx="1022">
                  <c:v>0.2982456140350877</c:v>
                </c:pt>
                <c:pt idx="1023">
                  <c:v>0.4</c:v>
                </c:pt>
                <c:pt idx="1024">
                  <c:v>0.21518987341772153</c:v>
                </c:pt>
                <c:pt idx="1025">
                  <c:v>0.24426450742240216</c:v>
                </c:pt>
                <c:pt idx="1026">
                  <c:v>0.34837092731829572</c:v>
                </c:pt>
                <c:pt idx="1027">
                  <c:v>0.25696594427244585</c:v>
                </c:pt>
                <c:pt idx="1028">
                  <c:v>2.5210084033613446E-2</c:v>
                </c:pt>
                <c:pt idx="1029">
                  <c:v>0.27350427350427353</c:v>
                </c:pt>
                <c:pt idx="1030">
                  <c:v>0.31888544891640869</c:v>
                </c:pt>
                <c:pt idx="1031">
                  <c:v>0.25213675213675213</c:v>
                </c:pt>
                <c:pt idx="1032">
                  <c:v>0.4</c:v>
                </c:pt>
                <c:pt idx="1033">
                  <c:v>0.33333333333333331</c:v>
                </c:pt>
                <c:pt idx="1034">
                  <c:v>4.7619047619047616E-2</c:v>
                </c:pt>
                <c:pt idx="1035">
                  <c:v>0.38095238095238093</c:v>
                </c:pt>
                <c:pt idx="1036">
                  <c:v>0.25</c:v>
                </c:pt>
                <c:pt idx="1037">
                  <c:v>0.26530612244897961</c:v>
                </c:pt>
                <c:pt idx="1038">
                  <c:v>0.4</c:v>
                </c:pt>
                <c:pt idx="1039">
                  <c:v>0.25696594427244585</c:v>
                </c:pt>
                <c:pt idx="1040">
                  <c:v>0.22619047619047619</c:v>
                </c:pt>
                <c:pt idx="1041">
                  <c:v>0.4</c:v>
                </c:pt>
                <c:pt idx="1042">
                  <c:v>0.15535444947209653</c:v>
                </c:pt>
                <c:pt idx="1043">
                  <c:v>0.22663802363050484</c:v>
                </c:pt>
                <c:pt idx="1044">
                  <c:v>0.36842105263157893</c:v>
                </c:pt>
                <c:pt idx="1045">
                  <c:v>0.21052631578947367</c:v>
                </c:pt>
                <c:pt idx="1046">
                  <c:v>0.17142857142857143</c:v>
                </c:pt>
                <c:pt idx="1047">
                  <c:v>0.34615384615384615</c:v>
                </c:pt>
                <c:pt idx="1048">
                  <c:v>0.36842105263157893</c:v>
                </c:pt>
                <c:pt idx="1049">
                  <c:v>0.11564625850340136</c:v>
                </c:pt>
                <c:pt idx="1050">
                  <c:v>0.19047619047619047</c:v>
                </c:pt>
                <c:pt idx="1051">
                  <c:v>0.12798874824191281</c:v>
                </c:pt>
                <c:pt idx="1052">
                  <c:v>0.25</c:v>
                </c:pt>
                <c:pt idx="1053">
                  <c:v>0.20408163265306123</c:v>
                </c:pt>
                <c:pt idx="1054">
                  <c:v>0.11764705882352941</c:v>
                </c:pt>
                <c:pt idx="1055">
                  <c:v>0.16219119226638024</c:v>
                </c:pt>
                <c:pt idx="1056">
                  <c:v>0.28205128205128205</c:v>
                </c:pt>
                <c:pt idx="1057">
                  <c:v>0.25696594427244585</c:v>
                </c:pt>
                <c:pt idx="1058">
                  <c:v>0.36842105263157893</c:v>
                </c:pt>
                <c:pt idx="1059">
                  <c:v>7.6693968726731204E-2</c:v>
                </c:pt>
                <c:pt idx="1060">
                  <c:v>0.21568627450980393</c:v>
                </c:pt>
                <c:pt idx="1061">
                  <c:v>0.35294117647058826</c:v>
                </c:pt>
                <c:pt idx="1062">
                  <c:v>0.2982456140350877</c:v>
                </c:pt>
                <c:pt idx="1063">
                  <c:v>0.21568627450980393</c:v>
                </c:pt>
                <c:pt idx="1064">
                  <c:v>7.9365079365079361E-2</c:v>
                </c:pt>
                <c:pt idx="1065">
                  <c:v>0.42499999999999999</c:v>
                </c:pt>
                <c:pt idx="1066">
                  <c:v>0.28205128205128205</c:v>
                </c:pt>
                <c:pt idx="1067">
                  <c:v>0.36842105263157893</c:v>
                </c:pt>
                <c:pt idx="1068">
                  <c:v>0.17388407728181213</c:v>
                </c:pt>
                <c:pt idx="1069">
                  <c:v>6.25E-2</c:v>
                </c:pt>
                <c:pt idx="1070">
                  <c:v>0.21052631578947367</c:v>
                </c:pt>
                <c:pt idx="1071">
                  <c:v>0.25146198830409355</c:v>
                </c:pt>
                <c:pt idx="1072">
                  <c:v>0.4</c:v>
                </c:pt>
                <c:pt idx="1073">
                  <c:v>0.3235294117647059</c:v>
                </c:pt>
                <c:pt idx="1074">
                  <c:v>7.9365079365079361E-2</c:v>
                </c:pt>
                <c:pt idx="1075">
                  <c:v>0.19117647058823528</c:v>
                </c:pt>
                <c:pt idx="1076">
                  <c:v>0.19047619047619047</c:v>
                </c:pt>
                <c:pt idx="1077">
                  <c:v>0.39473684210526316</c:v>
                </c:pt>
                <c:pt idx="1078">
                  <c:v>0.3611111111111111</c:v>
                </c:pt>
                <c:pt idx="1079">
                  <c:v>0.42499999999999999</c:v>
                </c:pt>
                <c:pt idx="1080">
                  <c:v>0.17142857142857143</c:v>
                </c:pt>
                <c:pt idx="1081">
                  <c:v>6.25E-2</c:v>
                </c:pt>
                <c:pt idx="1082">
                  <c:v>0.34837092731829572</c:v>
                </c:pt>
                <c:pt idx="1083">
                  <c:v>0.20987654320987653</c:v>
                </c:pt>
                <c:pt idx="1084">
                  <c:v>0.39473684210526316</c:v>
                </c:pt>
                <c:pt idx="1085">
                  <c:v>0.33518005540166207</c:v>
                </c:pt>
                <c:pt idx="1086">
                  <c:v>0.17142857142857143</c:v>
                </c:pt>
                <c:pt idx="1087">
                  <c:v>0.20987654320987653</c:v>
                </c:pt>
                <c:pt idx="1088">
                  <c:v>0.29411764705882354</c:v>
                </c:pt>
                <c:pt idx="1089">
                  <c:v>0.2982456140350877</c:v>
                </c:pt>
                <c:pt idx="1090">
                  <c:v>0.2982456140350877</c:v>
                </c:pt>
                <c:pt idx="1091">
                  <c:v>0.26530612244897961</c:v>
                </c:pt>
                <c:pt idx="1092">
                  <c:v>0.4</c:v>
                </c:pt>
                <c:pt idx="1093">
                  <c:v>0.27350427350427353</c:v>
                </c:pt>
                <c:pt idx="1094">
                  <c:v>0.34615384615384615</c:v>
                </c:pt>
                <c:pt idx="1095">
                  <c:v>0.39473684210526316</c:v>
                </c:pt>
                <c:pt idx="1096">
                  <c:v>2.5210084033613446E-2</c:v>
                </c:pt>
                <c:pt idx="1097">
                  <c:v>0.3235294117647059</c:v>
                </c:pt>
                <c:pt idx="1098">
                  <c:v>0.16666666666666666</c:v>
                </c:pt>
                <c:pt idx="1099">
                  <c:v>0.3611111111111111</c:v>
                </c:pt>
                <c:pt idx="1100">
                  <c:v>0.20634920634920634</c:v>
                </c:pt>
                <c:pt idx="1101">
                  <c:v>7.9365079365079361E-2</c:v>
                </c:pt>
                <c:pt idx="1102">
                  <c:v>0.16219119226638024</c:v>
                </c:pt>
                <c:pt idx="1103">
                  <c:v>0.33333333333333331</c:v>
                </c:pt>
                <c:pt idx="1104">
                  <c:v>0.20408163265306123</c:v>
                </c:pt>
                <c:pt idx="1105">
                  <c:v>0.18367346938775511</c:v>
                </c:pt>
                <c:pt idx="1106">
                  <c:v>0.35294117647058826</c:v>
                </c:pt>
                <c:pt idx="1107">
                  <c:v>0.28876244665718348</c:v>
                </c:pt>
                <c:pt idx="1108">
                  <c:v>0.32692307692307693</c:v>
                </c:pt>
                <c:pt idx="1109">
                  <c:v>0.28125</c:v>
                </c:pt>
                <c:pt idx="1110">
                  <c:v>1.8987341772151899E-2</c:v>
                </c:pt>
                <c:pt idx="1111">
                  <c:v>0.20227920227920229</c:v>
                </c:pt>
                <c:pt idx="1112">
                  <c:v>5.1020408163265302E-3</c:v>
                </c:pt>
                <c:pt idx="1113">
                  <c:v>0.25714285714285712</c:v>
                </c:pt>
                <c:pt idx="1114">
                  <c:v>0.33333333333333331</c:v>
                </c:pt>
                <c:pt idx="1115">
                  <c:v>0.42499999999999999</c:v>
                </c:pt>
                <c:pt idx="1116">
                  <c:v>0.36842105263157893</c:v>
                </c:pt>
                <c:pt idx="1117">
                  <c:v>6.3625450180072027E-2</c:v>
                </c:pt>
                <c:pt idx="1118">
                  <c:v>2.5210084033613446E-2</c:v>
                </c:pt>
                <c:pt idx="1119">
                  <c:v>0.21518987341772153</c:v>
                </c:pt>
                <c:pt idx="1120">
                  <c:v>0.4</c:v>
                </c:pt>
                <c:pt idx="1121">
                  <c:v>0.33333333333333331</c:v>
                </c:pt>
                <c:pt idx="1122">
                  <c:v>5.1020408163265302E-3</c:v>
                </c:pt>
                <c:pt idx="1123">
                  <c:v>0.3611111111111111</c:v>
                </c:pt>
                <c:pt idx="1124">
                  <c:v>0.33333333333333331</c:v>
                </c:pt>
                <c:pt idx="1125">
                  <c:v>0.31888544891640869</c:v>
                </c:pt>
                <c:pt idx="1126">
                  <c:v>0.42499999999999999</c:v>
                </c:pt>
                <c:pt idx="1127">
                  <c:v>0.2</c:v>
                </c:pt>
                <c:pt idx="1128">
                  <c:v>0.28888888888888886</c:v>
                </c:pt>
                <c:pt idx="1129">
                  <c:v>0.18269230769230768</c:v>
                </c:pt>
                <c:pt idx="1130">
                  <c:v>0.17388407728181213</c:v>
                </c:pt>
                <c:pt idx="1131">
                  <c:v>0.18367346938775511</c:v>
                </c:pt>
                <c:pt idx="1132">
                  <c:v>7.9365079365079361E-2</c:v>
                </c:pt>
                <c:pt idx="1133">
                  <c:v>0.28888888888888886</c:v>
                </c:pt>
                <c:pt idx="1134">
                  <c:v>0.20408163265306123</c:v>
                </c:pt>
                <c:pt idx="1135">
                  <c:v>0.36842105263157893</c:v>
                </c:pt>
                <c:pt idx="1136">
                  <c:v>0.34615384615384615</c:v>
                </c:pt>
                <c:pt idx="1137">
                  <c:v>0.35294117647058826</c:v>
                </c:pt>
                <c:pt idx="1138">
                  <c:v>0.4</c:v>
                </c:pt>
                <c:pt idx="1139">
                  <c:v>0.22663802363050484</c:v>
                </c:pt>
                <c:pt idx="1140">
                  <c:v>0.2982456140350877</c:v>
                </c:pt>
                <c:pt idx="1141">
                  <c:v>0.32692307692307693</c:v>
                </c:pt>
                <c:pt idx="1142">
                  <c:v>0.4</c:v>
                </c:pt>
                <c:pt idx="1143">
                  <c:v>0.33518005540166207</c:v>
                </c:pt>
                <c:pt idx="1144">
                  <c:v>0.23076923076923078</c:v>
                </c:pt>
                <c:pt idx="1145">
                  <c:v>0.28205128205128205</c:v>
                </c:pt>
                <c:pt idx="1146">
                  <c:v>0.4</c:v>
                </c:pt>
                <c:pt idx="1147">
                  <c:v>0.38095238095238093</c:v>
                </c:pt>
                <c:pt idx="1148">
                  <c:v>0.34837092731829572</c:v>
                </c:pt>
                <c:pt idx="1149">
                  <c:v>0.28205128205128205</c:v>
                </c:pt>
                <c:pt idx="1150">
                  <c:v>0.42499999999999999</c:v>
                </c:pt>
                <c:pt idx="1151">
                  <c:v>0.24426450742240216</c:v>
                </c:pt>
                <c:pt idx="1152">
                  <c:v>0.31174089068825911</c:v>
                </c:pt>
                <c:pt idx="1153">
                  <c:v>9.3333333333333338E-2</c:v>
                </c:pt>
                <c:pt idx="1154">
                  <c:v>0.42499999999999999</c:v>
                </c:pt>
                <c:pt idx="1155">
                  <c:v>0.24107142857142858</c:v>
                </c:pt>
                <c:pt idx="1156">
                  <c:v>7.1428571428571425E-2</c:v>
                </c:pt>
                <c:pt idx="1157">
                  <c:v>0.36842105263157893</c:v>
                </c:pt>
                <c:pt idx="1158">
                  <c:v>0.27350427350427353</c:v>
                </c:pt>
                <c:pt idx="1159">
                  <c:v>0.3611111111111111</c:v>
                </c:pt>
                <c:pt idx="1160">
                  <c:v>0.36842105263157893</c:v>
                </c:pt>
                <c:pt idx="1161">
                  <c:v>-3.5714285714285712E-2</c:v>
                </c:pt>
                <c:pt idx="1162">
                  <c:v>0.28125</c:v>
                </c:pt>
                <c:pt idx="1163">
                  <c:v>0.27350427350427353</c:v>
                </c:pt>
                <c:pt idx="1164">
                  <c:v>0.36842105263157893</c:v>
                </c:pt>
                <c:pt idx="1165">
                  <c:v>0.29411764705882354</c:v>
                </c:pt>
                <c:pt idx="1166">
                  <c:v>0.20408163265306123</c:v>
                </c:pt>
                <c:pt idx="1167">
                  <c:v>0.28205128205128205</c:v>
                </c:pt>
                <c:pt idx="1168">
                  <c:v>0.31174089068825911</c:v>
                </c:pt>
                <c:pt idx="1169">
                  <c:v>0.32692307692307693</c:v>
                </c:pt>
                <c:pt idx="1170">
                  <c:v>0.18269230769230768</c:v>
                </c:pt>
                <c:pt idx="1171">
                  <c:v>0.17388407728181213</c:v>
                </c:pt>
                <c:pt idx="1172">
                  <c:v>0.26530612244897961</c:v>
                </c:pt>
                <c:pt idx="1173">
                  <c:v>0.20408163265306123</c:v>
                </c:pt>
                <c:pt idx="1174">
                  <c:v>0.13565426170468187</c:v>
                </c:pt>
                <c:pt idx="1175">
                  <c:v>9.3333333333333338E-2</c:v>
                </c:pt>
                <c:pt idx="1176">
                  <c:v>0.28876244665718348</c:v>
                </c:pt>
                <c:pt idx="1177">
                  <c:v>0.28205128205128205</c:v>
                </c:pt>
                <c:pt idx="1178">
                  <c:v>0.19117647058823528</c:v>
                </c:pt>
                <c:pt idx="1179">
                  <c:v>0.28104575163398693</c:v>
                </c:pt>
                <c:pt idx="1180">
                  <c:v>0.34615384615384615</c:v>
                </c:pt>
                <c:pt idx="1181">
                  <c:v>0.12798874824191281</c:v>
                </c:pt>
                <c:pt idx="1182">
                  <c:v>0.39473684210526316</c:v>
                </c:pt>
                <c:pt idx="1183">
                  <c:v>0.29411764705882354</c:v>
                </c:pt>
                <c:pt idx="1184">
                  <c:v>0.16955017301038061</c:v>
                </c:pt>
                <c:pt idx="1185">
                  <c:v>0.36842105263157893</c:v>
                </c:pt>
                <c:pt idx="1186">
                  <c:v>0.3611111111111111</c:v>
                </c:pt>
                <c:pt idx="1187">
                  <c:v>0.11764705882352941</c:v>
                </c:pt>
                <c:pt idx="1188">
                  <c:v>0.17142857142857143</c:v>
                </c:pt>
                <c:pt idx="1189">
                  <c:v>0.33333333333333331</c:v>
                </c:pt>
                <c:pt idx="1190">
                  <c:v>0.3611111111111111</c:v>
                </c:pt>
                <c:pt idx="1191">
                  <c:v>0.2982456140350877</c:v>
                </c:pt>
                <c:pt idx="1192">
                  <c:v>0.25696594427244585</c:v>
                </c:pt>
                <c:pt idx="1193">
                  <c:v>0.34615384615384615</c:v>
                </c:pt>
                <c:pt idx="1194">
                  <c:v>0.39473684210526316</c:v>
                </c:pt>
                <c:pt idx="1195">
                  <c:v>0.27350427350427353</c:v>
                </c:pt>
                <c:pt idx="1196">
                  <c:v>0.20508744038155802</c:v>
                </c:pt>
                <c:pt idx="1197">
                  <c:v>0.33518005540166207</c:v>
                </c:pt>
                <c:pt idx="1198">
                  <c:v>0.18269230769230768</c:v>
                </c:pt>
                <c:pt idx="1199">
                  <c:v>0.29411764705882354</c:v>
                </c:pt>
                <c:pt idx="1200">
                  <c:v>0.3611111111111111</c:v>
                </c:pt>
                <c:pt idx="1201">
                  <c:v>0.2857142857142857</c:v>
                </c:pt>
                <c:pt idx="1202">
                  <c:v>9.5238095238095247E-3</c:v>
                </c:pt>
                <c:pt idx="1203">
                  <c:v>1.8987341772151899E-2</c:v>
                </c:pt>
                <c:pt idx="1204">
                  <c:v>7.1428571428571425E-2</c:v>
                </c:pt>
                <c:pt idx="1205">
                  <c:v>0.33518005540166207</c:v>
                </c:pt>
                <c:pt idx="1206">
                  <c:v>0.25696594427244585</c:v>
                </c:pt>
                <c:pt idx="1207">
                  <c:v>0.25146198830409355</c:v>
                </c:pt>
                <c:pt idx="1208">
                  <c:v>0.32692307692307693</c:v>
                </c:pt>
                <c:pt idx="1209">
                  <c:v>0.2982456140350877</c:v>
                </c:pt>
                <c:pt idx="1210">
                  <c:v>0.28888888888888886</c:v>
                </c:pt>
                <c:pt idx="1211">
                  <c:v>0.33333333333333331</c:v>
                </c:pt>
                <c:pt idx="1212">
                  <c:v>0.28104575163398693</c:v>
                </c:pt>
                <c:pt idx="1213">
                  <c:v>0.25146198830409355</c:v>
                </c:pt>
                <c:pt idx="1214">
                  <c:v>0.2982456140350877</c:v>
                </c:pt>
                <c:pt idx="1215">
                  <c:v>0.291497975708502</c:v>
                </c:pt>
                <c:pt idx="1216">
                  <c:v>0.21052631578947367</c:v>
                </c:pt>
                <c:pt idx="1217">
                  <c:v>0.28876244665718348</c:v>
                </c:pt>
                <c:pt idx="1218">
                  <c:v>0.11564625850340136</c:v>
                </c:pt>
                <c:pt idx="1219">
                  <c:v>0.31216931216931215</c:v>
                </c:pt>
                <c:pt idx="1220">
                  <c:v>0.26530612244897961</c:v>
                </c:pt>
                <c:pt idx="1221">
                  <c:v>0.4</c:v>
                </c:pt>
                <c:pt idx="1222">
                  <c:v>0.29411764705882354</c:v>
                </c:pt>
                <c:pt idx="1223">
                  <c:v>0.31888544891640869</c:v>
                </c:pt>
                <c:pt idx="1224">
                  <c:v>0.28104575163398693</c:v>
                </c:pt>
                <c:pt idx="1225">
                  <c:v>0.28104575163398693</c:v>
                </c:pt>
                <c:pt idx="1226">
                  <c:v>0.27350427350427353</c:v>
                </c:pt>
                <c:pt idx="1227">
                  <c:v>0.31174089068825911</c:v>
                </c:pt>
                <c:pt idx="1228">
                  <c:v>0.36842105263157893</c:v>
                </c:pt>
                <c:pt idx="1229">
                  <c:v>0.35294117647058826</c:v>
                </c:pt>
                <c:pt idx="1230">
                  <c:v>0.36842105263157893</c:v>
                </c:pt>
                <c:pt idx="1231">
                  <c:v>0.17142857142857143</c:v>
                </c:pt>
                <c:pt idx="1232">
                  <c:v>0.17142857142857143</c:v>
                </c:pt>
                <c:pt idx="1233">
                  <c:v>0.28888888888888886</c:v>
                </c:pt>
                <c:pt idx="1234">
                  <c:v>0.25696594427244585</c:v>
                </c:pt>
                <c:pt idx="1235">
                  <c:v>0.21568627450980393</c:v>
                </c:pt>
                <c:pt idx="1236">
                  <c:v>0.3611111111111111</c:v>
                </c:pt>
                <c:pt idx="1237">
                  <c:v>0.21052631578947367</c:v>
                </c:pt>
                <c:pt idx="1238">
                  <c:v>0.18367346938775511</c:v>
                </c:pt>
                <c:pt idx="1239">
                  <c:v>0.33333333333333331</c:v>
                </c:pt>
                <c:pt idx="1240">
                  <c:v>0.36842105263157893</c:v>
                </c:pt>
                <c:pt idx="1241">
                  <c:v>0.39473684210526316</c:v>
                </c:pt>
                <c:pt idx="1242">
                  <c:v>0.36842105263157893</c:v>
                </c:pt>
                <c:pt idx="1243">
                  <c:v>0.33333333333333331</c:v>
                </c:pt>
                <c:pt idx="1244">
                  <c:v>0.32692307692307693</c:v>
                </c:pt>
                <c:pt idx="1245">
                  <c:v>0.33333333333333331</c:v>
                </c:pt>
                <c:pt idx="1246">
                  <c:v>0.33518005540166207</c:v>
                </c:pt>
                <c:pt idx="1247">
                  <c:v>0.36090225563909772</c:v>
                </c:pt>
                <c:pt idx="1248">
                  <c:v>0.31888544891640869</c:v>
                </c:pt>
                <c:pt idx="1249">
                  <c:v>0.25696594427244585</c:v>
                </c:pt>
                <c:pt idx="1250">
                  <c:v>0.28104575163398693</c:v>
                </c:pt>
                <c:pt idx="1251">
                  <c:v>0.25925925925925924</c:v>
                </c:pt>
                <c:pt idx="1252">
                  <c:v>0.31216931216931215</c:v>
                </c:pt>
                <c:pt idx="1253">
                  <c:v>0.23875432525951557</c:v>
                </c:pt>
                <c:pt idx="1254">
                  <c:v>0.27170868347338933</c:v>
                </c:pt>
                <c:pt idx="1255">
                  <c:v>0.26530612244897961</c:v>
                </c:pt>
                <c:pt idx="1256">
                  <c:v>2.5210084033613446E-2</c:v>
                </c:pt>
                <c:pt idx="1257">
                  <c:v>0.33333333333333331</c:v>
                </c:pt>
                <c:pt idx="1258">
                  <c:v>0.3611111111111111</c:v>
                </c:pt>
                <c:pt idx="1259">
                  <c:v>0.18367346938775511</c:v>
                </c:pt>
                <c:pt idx="1260">
                  <c:v>0.42499999999999999</c:v>
                </c:pt>
                <c:pt idx="1261">
                  <c:v>0.2982456140350877</c:v>
                </c:pt>
                <c:pt idx="1262">
                  <c:v>0.28421052631578947</c:v>
                </c:pt>
                <c:pt idx="1263">
                  <c:v>0.20987654320987653</c:v>
                </c:pt>
                <c:pt idx="1264">
                  <c:v>0.27350427350427353</c:v>
                </c:pt>
                <c:pt idx="1265">
                  <c:v>0.31888544891640869</c:v>
                </c:pt>
                <c:pt idx="1266">
                  <c:v>0.33518005540166207</c:v>
                </c:pt>
                <c:pt idx="1267">
                  <c:v>0.23076923076923078</c:v>
                </c:pt>
                <c:pt idx="1268">
                  <c:v>0.28876244665718348</c:v>
                </c:pt>
                <c:pt idx="1269">
                  <c:v>0.22619047619047619</c:v>
                </c:pt>
                <c:pt idx="1270">
                  <c:v>0.29411764705882354</c:v>
                </c:pt>
                <c:pt idx="1271">
                  <c:v>0.17142857142857143</c:v>
                </c:pt>
                <c:pt idx="1272">
                  <c:v>0.31174089068825911</c:v>
                </c:pt>
                <c:pt idx="1273">
                  <c:v>0.34615384615384615</c:v>
                </c:pt>
                <c:pt idx="1274">
                  <c:v>0.36842105263157893</c:v>
                </c:pt>
                <c:pt idx="1275">
                  <c:v>0.27350427350427353</c:v>
                </c:pt>
                <c:pt idx="1276">
                  <c:v>0.31174089068825911</c:v>
                </c:pt>
                <c:pt idx="1277">
                  <c:v>0.33333333333333331</c:v>
                </c:pt>
                <c:pt idx="1278">
                  <c:v>0.21052631578947367</c:v>
                </c:pt>
                <c:pt idx="1279">
                  <c:v>0.34615384615384615</c:v>
                </c:pt>
                <c:pt idx="1280">
                  <c:v>0.21568627450980393</c:v>
                </c:pt>
                <c:pt idx="1281">
                  <c:v>0.23875432525951557</c:v>
                </c:pt>
                <c:pt idx="1282">
                  <c:v>0.24444444444444444</c:v>
                </c:pt>
                <c:pt idx="1283">
                  <c:v>0.31174089068825911</c:v>
                </c:pt>
                <c:pt idx="1284">
                  <c:v>0.26530612244897961</c:v>
                </c:pt>
                <c:pt idx="1285">
                  <c:v>0.33333333333333331</c:v>
                </c:pt>
                <c:pt idx="1286">
                  <c:v>0.24426450742240216</c:v>
                </c:pt>
                <c:pt idx="1287">
                  <c:v>0.42499999999999999</c:v>
                </c:pt>
                <c:pt idx="1288">
                  <c:v>0.3611111111111111</c:v>
                </c:pt>
                <c:pt idx="1289">
                  <c:v>0.25696594427244585</c:v>
                </c:pt>
                <c:pt idx="1290">
                  <c:v>0.35294117647058826</c:v>
                </c:pt>
                <c:pt idx="1291">
                  <c:v>0.31888544891640869</c:v>
                </c:pt>
                <c:pt idx="1292">
                  <c:v>0.2982456140350877</c:v>
                </c:pt>
                <c:pt idx="1293">
                  <c:v>0.21568627450980393</c:v>
                </c:pt>
                <c:pt idx="1294">
                  <c:v>0.36842105263157893</c:v>
                </c:pt>
                <c:pt idx="1295">
                  <c:v>0.11764705882352941</c:v>
                </c:pt>
                <c:pt idx="1296">
                  <c:v>0.291497975708502</c:v>
                </c:pt>
                <c:pt idx="1297">
                  <c:v>0.33333333333333331</c:v>
                </c:pt>
                <c:pt idx="1298">
                  <c:v>0.27350427350427353</c:v>
                </c:pt>
                <c:pt idx="1299">
                  <c:v>0.4</c:v>
                </c:pt>
                <c:pt idx="1300">
                  <c:v>6.3625450180072027E-2</c:v>
                </c:pt>
                <c:pt idx="1301">
                  <c:v>2.5210084033613446E-2</c:v>
                </c:pt>
                <c:pt idx="1302">
                  <c:v>0.16219119226638024</c:v>
                </c:pt>
                <c:pt idx="1303">
                  <c:v>0.26530612244897961</c:v>
                </c:pt>
                <c:pt idx="1304">
                  <c:v>0.39473684210526316</c:v>
                </c:pt>
                <c:pt idx="1305">
                  <c:v>0.33333333333333331</c:v>
                </c:pt>
                <c:pt idx="1306">
                  <c:v>0.29411764705882354</c:v>
                </c:pt>
                <c:pt idx="1307">
                  <c:v>0.19117647058823528</c:v>
                </c:pt>
                <c:pt idx="1308">
                  <c:v>0.22663802363050484</c:v>
                </c:pt>
                <c:pt idx="1309">
                  <c:v>0.3235294117647059</c:v>
                </c:pt>
                <c:pt idx="1310">
                  <c:v>0.25</c:v>
                </c:pt>
                <c:pt idx="1311">
                  <c:v>0.4</c:v>
                </c:pt>
                <c:pt idx="1312">
                  <c:v>0.31888544891640869</c:v>
                </c:pt>
                <c:pt idx="1313">
                  <c:v>0.18367346938775511</c:v>
                </c:pt>
                <c:pt idx="1314">
                  <c:v>6.25E-2</c:v>
                </c:pt>
                <c:pt idx="1315">
                  <c:v>0.3611111111111111</c:v>
                </c:pt>
                <c:pt idx="1316">
                  <c:v>0.21568627450980393</c:v>
                </c:pt>
                <c:pt idx="1317">
                  <c:v>0.21052631578947367</c:v>
                </c:pt>
                <c:pt idx="1318">
                  <c:v>0.21052631578947367</c:v>
                </c:pt>
                <c:pt idx="1319">
                  <c:v>0.20408163265306123</c:v>
                </c:pt>
                <c:pt idx="1320">
                  <c:v>0.25925925925925924</c:v>
                </c:pt>
                <c:pt idx="1321">
                  <c:v>0.21568627450980393</c:v>
                </c:pt>
                <c:pt idx="1322">
                  <c:v>0.23076923076923078</c:v>
                </c:pt>
                <c:pt idx="1323">
                  <c:v>0.31174089068825911</c:v>
                </c:pt>
                <c:pt idx="1324">
                  <c:v>0.28888888888888886</c:v>
                </c:pt>
                <c:pt idx="1325">
                  <c:v>0.33333333333333331</c:v>
                </c:pt>
                <c:pt idx="1326">
                  <c:v>0.34615384615384615</c:v>
                </c:pt>
                <c:pt idx="1327">
                  <c:v>0.28104575163398693</c:v>
                </c:pt>
                <c:pt idx="1328">
                  <c:v>0.20408163265306123</c:v>
                </c:pt>
                <c:pt idx="1329">
                  <c:v>0.39473684210526316</c:v>
                </c:pt>
                <c:pt idx="1330">
                  <c:v>0.16666666666666666</c:v>
                </c:pt>
                <c:pt idx="1331">
                  <c:v>6.3625450180072027E-2</c:v>
                </c:pt>
                <c:pt idx="1332">
                  <c:v>0.32539682539682541</c:v>
                </c:pt>
                <c:pt idx="1333">
                  <c:v>0.11564625850340136</c:v>
                </c:pt>
                <c:pt idx="1334">
                  <c:v>0.21568627450980393</c:v>
                </c:pt>
                <c:pt idx="1335">
                  <c:v>0.24107142857142858</c:v>
                </c:pt>
                <c:pt idx="1336">
                  <c:v>0.20227920227920229</c:v>
                </c:pt>
                <c:pt idx="1337">
                  <c:v>0.36842105263157893</c:v>
                </c:pt>
                <c:pt idx="1338">
                  <c:v>0.18367346938775511</c:v>
                </c:pt>
                <c:pt idx="1339">
                  <c:v>0.39473684210526316</c:v>
                </c:pt>
                <c:pt idx="1340">
                  <c:v>0.3611111111111111</c:v>
                </c:pt>
                <c:pt idx="1341">
                  <c:v>0.25696594427244585</c:v>
                </c:pt>
                <c:pt idx="1342">
                  <c:v>0.25696594427244585</c:v>
                </c:pt>
                <c:pt idx="1343">
                  <c:v>0.20814479638009051</c:v>
                </c:pt>
                <c:pt idx="1344">
                  <c:v>0.3235294117647059</c:v>
                </c:pt>
                <c:pt idx="1345">
                  <c:v>0.2982456140350877</c:v>
                </c:pt>
                <c:pt idx="1346">
                  <c:v>0.3235294117647059</c:v>
                </c:pt>
                <c:pt idx="1347">
                  <c:v>0.42499999999999999</c:v>
                </c:pt>
                <c:pt idx="1348">
                  <c:v>0.25925925925925924</c:v>
                </c:pt>
                <c:pt idx="1349">
                  <c:v>0.24924924924924924</c:v>
                </c:pt>
                <c:pt idx="1350">
                  <c:v>0.25696594427244585</c:v>
                </c:pt>
                <c:pt idx="1351">
                  <c:v>0.16666666666666666</c:v>
                </c:pt>
                <c:pt idx="1352">
                  <c:v>0.25696594427244585</c:v>
                </c:pt>
                <c:pt idx="1353">
                  <c:v>0.33333333333333331</c:v>
                </c:pt>
                <c:pt idx="1354">
                  <c:v>0.2982456140350877</c:v>
                </c:pt>
                <c:pt idx="1355">
                  <c:v>0.21052631578947367</c:v>
                </c:pt>
                <c:pt idx="1356">
                  <c:v>0.39473684210526316</c:v>
                </c:pt>
                <c:pt idx="1357">
                  <c:v>0.25925925925925924</c:v>
                </c:pt>
                <c:pt idx="1358">
                  <c:v>0.2982456140350877</c:v>
                </c:pt>
                <c:pt idx="1359">
                  <c:v>1.8987341772151899E-2</c:v>
                </c:pt>
                <c:pt idx="1360">
                  <c:v>0.21052631578947367</c:v>
                </c:pt>
                <c:pt idx="1361">
                  <c:v>0.25925925925925924</c:v>
                </c:pt>
                <c:pt idx="1362">
                  <c:v>0.21052631578947367</c:v>
                </c:pt>
                <c:pt idx="1363">
                  <c:v>0.28888888888888886</c:v>
                </c:pt>
                <c:pt idx="1364">
                  <c:v>0.27170868347338933</c:v>
                </c:pt>
                <c:pt idx="1365">
                  <c:v>-3.5714285714285712E-2</c:v>
                </c:pt>
                <c:pt idx="1366">
                  <c:v>0.21052631578947367</c:v>
                </c:pt>
                <c:pt idx="1367">
                  <c:v>0.24924924924924924</c:v>
                </c:pt>
                <c:pt idx="1368">
                  <c:v>0.11764705882352941</c:v>
                </c:pt>
                <c:pt idx="1369">
                  <c:v>0.16219119226638024</c:v>
                </c:pt>
                <c:pt idx="1370">
                  <c:v>0.2982456140350877</c:v>
                </c:pt>
                <c:pt idx="1371">
                  <c:v>7.9365079365079361E-2</c:v>
                </c:pt>
                <c:pt idx="1372">
                  <c:v>0.25696594427244585</c:v>
                </c:pt>
                <c:pt idx="1373">
                  <c:v>0.29411764705882354</c:v>
                </c:pt>
                <c:pt idx="1374">
                  <c:v>0.21568627450980393</c:v>
                </c:pt>
                <c:pt idx="1375">
                  <c:v>0.2982456140350877</c:v>
                </c:pt>
                <c:pt idx="1376">
                  <c:v>0.17460317460317459</c:v>
                </c:pt>
                <c:pt idx="1377">
                  <c:v>7.9365079365079361E-2</c:v>
                </c:pt>
                <c:pt idx="1378">
                  <c:v>0.3235294117647059</c:v>
                </c:pt>
                <c:pt idx="1379">
                  <c:v>0.18367346938775511</c:v>
                </c:pt>
                <c:pt idx="1380">
                  <c:v>7.6693968726731204E-2</c:v>
                </c:pt>
                <c:pt idx="1381">
                  <c:v>0.36842105263157893</c:v>
                </c:pt>
                <c:pt idx="1382">
                  <c:v>0.38095238095238093</c:v>
                </c:pt>
                <c:pt idx="1383">
                  <c:v>0.25</c:v>
                </c:pt>
                <c:pt idx="1384">
                  <c:v>0.2982456140350877</c:v>
                </c:pt>
                <c:pt idx="1385">
                  <c:v>0.31216931216931215</c:v>
                </c:pt>
                <c:pt idx="1386">
                  <c:v>0.32692307692307693</c:v>
                </c:pt>
                <c:pt idx="1387">
                  <c:v>0.11564625850340136</c:v>
                </c:pt>
                <c:pt idx="1388">
                  <c:v>0.35294117647058826</c:v>
                </c:pt>
                <c:pt idx="1389">
                  <c:v>0.32</c:v>
                </c:pt>
                <c:pt idx="1390">
                  <c:v>0.25213675213675213</c:v>
                </c:pt>
                <c:pt idx="1391">
                  <c:v>0.4</c:v>
                </c:pt>
                <c:pt idx="1392">
                  <c:v>0.36842105263157893</c:v>
                </c:pt>
                <c:pt idx="1393">
                  <c:v>0.39473684210526316</c:v>
                </c:pt>
                <c:pt idx="1394">
                  <c:v>0.36842105263157893</c:v>
                </c:pt>
                <c:pt idx="1395">
                  <c:v>0.17460317460317459</c:v>
                </c:pt>
                <c:pt idx="1396">
                  <c:v>0.29411764705882354</c:v>
                </c:pt>
                <c:pt idx="1397">
                  <c:v>0.31888544891640869</c:v>
                </c:pt>
                <c:pt idx="1398">
                  <c:v>0.16339869281045752</c:v>
                </c:pt>
                <c:pt idx="1399">
                  <c:v>0.15</c:v>
                </c:pt>
                <c:pt idx="1400">
                  <c:v>0.21518987341772153</c:v>
                </c:pt>
                <c:pt idx="1401">
                  <c:v>0.39473684210526316</c:v>
                </c:pt>
                <c:pt idx="1402">
                  <c:v>0.20408163265306123</c:v>
                </c:pt>
                <c:pt idx="1403">
                  <c:v>0.20814479638009051</c:v>
                </c:pt>
                <c:pt idx="1404">
                  <c:v>0.20408163265306123</c:v>
                </c:pt>
                <c:pt idx="1405">
                  <c:v>0.33333333333333331</c:v>
                </c:pt>
                <c:pt idx="1406">
                  <c:v>0.32692307692307693</c:v>
                </c:pt>
                <c:pt idx="1407">
                  <c:v>8.1632653061224483E-2</c:v>
                </c:pt>
                <c:pt idx="1408">
                  <c:v>0.36842105263157893</c:v>
                </c:pt>
                <c:pt idx="1409">
                  <c:v>0.42499999999999999</c:v>
                </c:pt>
                <c:pt idx="1410">
                  <c:v>0.17142857142857143</c:v>
                </c:pt>
                <c:pt idx="1411">
                  <c:v>0.33518005540166207</c:v>
                </c:pt>
                <c:pt idx="1412">
                  <c:v>0.34837092731829572</c:v>
                </c:pt>
                <c:pt idx="1413">
                  <c:v>0.4</c:v>
                </c:pt>
                <c:pt idx="1414">
                  <c:v>0.26530612244897961</c:v>
                </c:pt>
                <c:pt idx="1415">
                  <c:v>0.2982456140350877</c:v>
                </c:pt>
                <c:pt idx="1416">
                  <c:v>0.21052631578947367</c:v>
                </c:pt>
                <c:pt idx="1417">
                  <c:v>0.11764705882352941</c:v>
                </c:pt>
                <c:pt idx="1418">
                  <c:v>0.25</c:v>
                </c:pt>
                <c:pt idx="1419">
                  <c:v>0.15</c:v>
                </c:pt>
                <c:pt idx="1420">
                  <c:v>0.291497975708502</c:v>
                </c:pt>
                <c:pt idx="1421">
                  <c:v>0.12798874824191281</c:v>
                </c:pt>
                <c:pt idx="1422">
                  <c:v>7.9365079365079361E-2</c:v>
                </c:pt>
                <c:pt idx="1423">
                  <c:v>0.25146198830409355</c:v>
                </c:pt>
                <c:pt idx="1424">
                  <c:v>0.39285714285714285</c:v>
                </c:pt>
                <c:pt idx="1425">
                  <c:v>0.4</c:v>
                </c:pt>
                <c:pt idx="1426">
                  <c:v>0.31888544891640869</c:v>
                </c:pt>
                <c:pt idx="1427">
                  <c:v>0.34615384615384615</c:v>
                </c:pt>
                <c:pt idx="1428">
                  <c:v>0.39473684210526316</c:v>
                </c:pt>
                <c:pt idx="1429">
                  <c:v>0.21518987341772153</c:v>
                </c:pt>
                <c:pt idx="1430">
                  <c:v>0.25213675213675213</c:v>
                </c:pt>
                <c:pt idx="1431">
                  <c:v>8.1632653061224483E-2</c:v>
                </c:pt>
                <c:pt idx="1432">
                  <c:v>0.2982456140350877</c:v>
                </c:pt>
                <c:pt idx="1433">
                  <c:v>0.25696594427244585</c:v>
                </c:pt>
                <c:pt idx="1434">
                  <c:v>0.36842105263157893</c:v>
                </c:pt>
                <c:pt idx="1435">
                  <c:v>0.33333333333333331</c:v>
                </c:pt>
                <c:pt idx="1436">
                  <c:v>0.20408163265306123</c:v>
                </c:pt>
                <c:pt idx="1437">
                  <c:v>0.21568627450980393</c:v>
                </c:pt>
                <c:pt idx="1438">
                  <c:v>0.25696594427244585</c:v>
                </c:pt>
                <c:pt idx="1439">
                  <c:v>0.42499999999999999</c:v>
                </c:pt>
                <c:pt idx="1440">
                  <c:v>0.36842105263157893</c:v>
                </c:pt>
                <c:pt idx="1441">
                  <c:v>0.25</c:v>
                </c:pt>
                <c:pt idx="1442">
                  <c:v>0.28876244665718348</c:v>
                </c:pt>
                <c:pt idx="1443">
                  <c:v>0.3235294117647059</c:v>
                </c:pt>
                <c:pt idx="1444">
                  <c:v>0.11564625850340136</c:v>
                </c:pt>
                <c:pt idx="1445">
                  <c:v>0.33518005540166207</c:v>
                </c:pt>
                <c:pt idx="1446">
                  <c:v>0.4</c:v>
                </c:pt>
                <c:pt idx="1447">
                  <c:v>0.34615384615384615</c:v>
                </c:pt>
                <c:pt idx="1448">
                  <c:v>0.33518005540166207</c:v>
                </c:pt>
                <c:pt idx="1449">
                  <c:v>0.12781954887218044</c:v>
                </c:pt>
                <c:pt idx="1450">
                  <c:v>0.16666666666666666</c:v>
                </c:pt>
                <c:pt idx="1451">
                  <c:v>0.31174089068825911</c:v>
                </c:pt>
                <c:pt idx="1452">
                  <c:v>0.29411764705882354</c:v>
                </c:pt>
                <c:pt idx="1453">
                  <c:v>0.20508744038155802</c:v>
                </c:pt>
                <c:pt idx="1454">
                  <c:v>0.23076923076923078</c:v>
                </c:pt>
                <c:pt idx="1455">
                  <c:v>0.2982456140350877</c:v>
                </c:pt>
                <c:pt idx="1456">
                  <c:v>0.25213675213675213</c:v>
                </c:pt>
                <c:pt idx="1457">
                  <c:v>0.25925925925925924</c:v>
                </c:pt>
                <c:pt idx="1458">
                  <c:v>0.12781954887218044</c:v>
                </c:pt>
                <c:pt idx="1459">
                  <c:v>0.26530612244897961</c:v>
                </c:pt>
                <c:pt idx="1460">
                  <c:v>0.25146198830409355</c:v>
                </c:pt>
                <c:pt idx="1461">
                  <c:v>0.17142857142857143</c:v>
                </c:pt>
                <c:pt idx="1462">
                  <c:v>0.36842105263157893</c:v>
                </c:pt>
                <c:pt idx="1463">
                  <c:v>0.19047619047619047</c:v>
                </c:pt>
                <c:pt idx="1464">
                  <c:v>0.3235294117647059</c:v>
                </c:pt>
                <c:pt idx="1465">
                  <c:v>0.3611111111111111</c:v>
                </c:pt>
                <c:pt idx="1466">
                  <c:v>0.36842105263157893</c:v>
                </c:pt>
                <c:pt idx="1467">
                  <c:v>0.36842105263157893</c:v>
                </c:pt>
                <c:pt idx="1468">
                  <c:v>0.29411764705882354</c:v>
                </c:pt>
                <c:pt idx="1469">
                  <c:v>-3.5714285714285712E-2</c:v>
                </c:pt>
                <c:pt idx="1470">
                  <c:v>0.36842105263157893</c:v>
                </c:pt>
                <c:pt idx="1471">
                  <c:v>0.2982456140350877</c:v>
                </c:pt>
                <c:pt idx="1472">
                  <c:v>0.36842105263157893</c:v>
                </c:pt>
                <c:pt idx="1473">
                  <c:v>0.17142857142857143</c:v>
                </c:pt>
                <c:pt idx="1474">
                  <c:v>0.31216931216931215</c:v>
                </c:pt>
                <c:pt idx="1475">
                  <c:v>0.15865384615384615</c:v>
                </c:pt>
                <c:pt idx="1476">
                  <c:v>0.2982456140350877</c:v>
                </c:pt>
                <c:pt idx="1477">
                  <c:v>0.12781954887218044</c:v>
                </c:pt>
                <c:pt idx="1478">
                  <c:v>0.25</c:v>
                </c:pt>
                <c:pt idx="1479">
                  <c:v>0.23875432525951557</c:v>
                </c:pt>
                <c:pt idx="1480">
                  <c:v>0.39473684210526316</c:v>
                </c:pt>
                <c:pt idx="1481">
                  <c:v>0.17460317460317459</c:v>
                </c:pt>
                <c:pt idx="1482">
                  <c:v>0.29411764705882354</c:v>
                </c:pt>
                <c:pt idx="1483">
                  <c:v>0.33333333333333331</c:v>
                </c:pt>
                <c:pt idx="1484">
                  <c:v>0.33518005540166207</c:v>
                </c:pt>
                <c:pt idx="1485">
                  <c:v>0.35294117647058826</c:v>
                </c:pt>
                <c:pt idx="1486">
                  <c:v>0.3235294117647059</c:v>
                </c:pt>
                <c:pt idx="1487">
                  <c:v>0.27350427350427353</c:v>
                </c:pt>
                <c:pt idx="1488">
                  <c:v>0.28888888888888886</c:v>
                </c:pt>
                <c:pt idx="1489">
                  <c:v>0.25696594427244585</c:v>
                </c:pt>
                <c:pt idx="1490">
                  <c:v>0.25</c:v>
                </c:pt>
                <c:pt idx="1491">
                  <c:v>0.2982456140350877</c:v>
                </c:pt>
                <c:pt idx="1492">
                  <c:v>0.36842105263157893</c:v>
                </c:pt>
                <c:pt idx="1493">
                  <c:v>0.12781954887218044</c:v>
                </c:pt>
                <c:pt idx="1494">
                  <c:v>0.4</c:v>
                </c:pt>
                <c:pt idx="1495">
                  <c:v>0.21518987341772153</c:v>
                </c:pt>
                <c:pt idx="1496">
                  <c:v>0.39473684210526316</c:v>
                </c:pt>
                <c:pt idx="1497">
                  <c:v>0.20227920227920229</c:v>
                </c:pt>
                <c:pt idx="1498">
                  <c:v>0.21568627450980393</c:v>
                </c:pt>
                <c:pt idx="1499">
                  <c:v>0.17460317460317459</c:v>
                </c:pt>
                <c:pt idx="1500">
                  <c:v>0.25696594427244585</c:v>
                </c:pt>
                <c:pt idx="1501">
                  <c:v>0.20987654320987653</c:v>
                </c:pt>
                <c:pt idx="1502">
                  <c:v>0.18367346938775511</c:v>
                </c:pt>
                <c:pt idx="1503">
                  <c:v>0.4</c:v>
                </c:pt>
                <c:pt idx="1504">
                  <c:v>0.31216931216931215</c:v>
                </c:pt>
                <c:pt idx="1505">
                  <c:v>0.291497975708502</c:v>
                </c:pt>
                <c:pt idx="1506">
                  <c:v>0.12781954887218044</c:v>
                </c:pt>
                <c:pt idx="1507">
                  <c:v>0.36842105263157893</c:v>
                </c:pt>
                <c:pt idx="1508">
                  <c:v>0.31174089068825911</c:v>
                </c:pt>
                <c:pt idx="1509">
                  <c:v>0.18367346938775511</c:v>
                </c:pt>
                <c:pt idx="1510">
                  <c:v>0.22663802363050484</c:v>
                </c:pt>
                <c:pt idx="1511">
                  <c:v>0.27350427350427353</c:v>
                </c:pt>
                <c:pt idx="1512">
                  <c:v>0.29411764705882354</c:v>
                </c:pt>
                <c:pt idx="1513">
                  <c:v>0.4</c:v>
                </c:pt>
                <c:pt idx="1514">
                  <c:v>0.33518005540166207</c:v>
                </c:pt>
                <c:pt idx="1515">
                  <c:v>0.25696594427244585</c:v>
                </c:pt>
                <c:pt idx="1516">
                  <c:v>0.36842105263157893</c:v>
                </c:pt>
                <c:pt idx="1517">
                  <c:v>0.29411764705882354</c:v>
                </c:pt>
                <c:pt idx="1518">
                  <c:v>0.10256410256410256</c:v>
                </c:pt>
                <c:pt idx="1519">
                  <c:v>0.291497975708502</c:v>
                </c:pt>
                <c:pt idx="1520">
                  <c:v>0.34615384615384615</c:v>
                </c:pt>
                <c:pt idx="1521">
                  <c:v>0.42499999999999999</c:v>
                </c:pt>
                <c:pt idx="1522">
                  <c:v>0.3235294117647059</c:v>
                </c:pt>
                <c:pt idx="1523">
                  <c:v>0.27350427350427353</c:v>
                </c:pt>
                <c:pt idx="1524">
                  <c:v>2.5210084033613446E-2</c:v>
                </c:pt>
                <c:pt idx="1525">
                  <c:v>0.2982456140350877</c:v>
                </c:pt>
                <c:pt idx="1526">
                  <c:v>0.22663802363050484</c:v>
                </c:pt>
                <c:pt idx="1527">
                  <c:v>0.28205128205128205</c:v>
                </c:pt>
                <c:pt idx="1528">
                  <c:v>0.21518987341772153</c:v>
                </c:pt>
                <c:pt idx="1529">
                  <c:v>0.27350427350427353</c:v>
                </c:pt>
                <c:pt idx="1530">
                  <c:v>0.23875432525951557</c:v>
                </c:pt>
                <c:pt idx="1531">
                  <c:v>0.25</c:v>
                </c:pt>
                <c:pt idx="1532">
                  <c:v>0.25714285714285712</c:v>
                </c:pt>
                <c:pt idx="1533">
                  <c:v>0.17388407728181213</c:v>
                </c:pt>
                <c:pt idx="1534">
                  <c:v>0.17142857142857143</c:v>
                </c:pt>
                <c:pt idx="1535">
                  <c:v>0.23875432525951557</c:v>
                </c:pt>
                <c:pt idx="1536">
                  <c:v>0.21052631578947367</c:v>
                </c:pt>
                <c:pt idx="1537">
                  <c:v>0.42499999999999999</c:v>
                </c:pt>
                <c:pt idx="1538">
                  <c:v>0.11764705882352941</c:v>
                </c:pt>
                <c:pt idx="1539">
                  <c:v>0.4</c:v>
                </c:pt>
                <c:pt idx="1540">
                  <c:v>0.25</c:v>
                </c:pt>
                <c:pt idx="1541">
                  <c:v>0.25213675213675213</c:v>
                </c:pt>
                <c:pt idx="1542">
                  <c:v>0.31174089068825911</c:v>
                </c:pt>
                <c:pt idx="1543">
                  <c:v>0.42499999999999999</c:v>
                </c:pt>
                <c:pt idx="1544">
                  <c:v>0.33518005540166207</c:v>
                </c:pt>
                <c:pt idx="1545">
                  <c:v>0.17388407728181213</c:v>
                </c:pt>
                <c:pt idx="1546">
                  <c:v>0.16219119226638024</c:v>
                </c:pt>
                <c:pt idx="1547">
                  <c:v>0.27350427350427353</c:v>
                </c:pt>
                <c:pt idx="1548">
                  <c:v>6.25E-2</c:v>
                </c:pt>
                <c:pt idx="1549">
                  <c:v>0.11564625850340136</c:v>
                </c:pt>
                <c:pt idx="1550">
                  <c:v>0.28125</c:v>
                </c:pt>
                <c:pt idx="1551">
                  <c:v>0.32432432432432434</c:v>
                </c:pt>
                <c:pt idx="1552">
                  <c:v>0.27350427350427353</c:v>
                </c:pt>
                <c:pt idx="1553">
                  <c:v>0.33518005540166207</c:v>
                </c:pt>
                <c:pt idx="1554">
                  <c:v>0.26530612244897961</c:v>
                </c:pt>
                <c:pt idx="1555">
                  <c:v>0.11564625850340136</c:v>
                </c:pt>
                <c:pt idx="1556">
                  <c:v>0.25</c:v>
                </c:pt>
                <c:pt idx="1557">
                  <c:v>0.17142857142857143</c:v>
                </c:pt>
                <c:pt idx="1558">
                  <c:v>0.29411764705882354</c:v>
                </c:pt>
                <c:pt idx="1559">
                  <c:v>0.33333333333333331</c:v>
                </c:pt>
                <c:pt idx="1560">
                  <c:v>0.11564625850340136</c:v>
                </c:pt>
                <c:pt idx="1561">
                  <c:v>0.291497975708502</c:v>
                </c:pt>
                <c:pt idx="1562">
                  <c:v>0.36842105263157893</c:v>
                </c:pt>
                <c:pt idx="1563">
                  <c:v>0.36842105263157893</c:v>
                </c:pt>
                <c:pt idx="1564">
                  <c:v>0.3235294117647059</c:v>
                </c:pt>
                <c:pt idx="1565">
                  <c:v>0.20508744038155802</c:v>
                </c:pt>
                <c:pt idx="1566">
                  <c:v>2.5210084033613446E-2</c:v>
                </c:pt>
                <c:pt idx="1567">
                  <c:v>0.29411764705882354</c:v>
                </c:pt>
                <c:pt idx="1568">
                  <c:v>0.33518005540166207</c:v>
                </c:pt>
                <c:pt idx="1569">
                  <c:v>0.21052631578947367</c:v>
                </c:pt>
                <c:pt idx="1570">
                  <c:v>0.25</c:v>
                </c:pt>
                <c:pt idx="1571">
                  <c:v>0.42499999999999999</c:v>
                </c:pt>
                <c:pt idx="1572">
                  <c:v>0.33333333333333331</c:v>
                </c:pt>
                <c:pt idx="1573">
                  <c:v>0.34615384615384615</c:v>
                </c:pt>
                <c:pt idx="1574">
                  <c:v>0.26530612244897961</c:v>
                </c:pt>
                <c:pt idx="1575">
                  <c:v>0.3611111111111111</c:v>
                </c:pt>
                <c:pt idx="1576">
                  <c:v>0.32692307692307693</c:v>
                </c:pt>
                <c:pt idx="1577">
                  <c:v>0.35294117647058826</c:v>
                </c:pt>
                <c:pt idx="1578">
                  <c:v>0.21052631578947367</c:v>
                </c:pt>
                <c:pt idx="1579">
                  <c:v>0.20227920227920229</c:v>
                </c:pt>
                <c:pt idx="1580">
                  <c:v>0.34615384615384615</c:v>
                </c:pt>
                <c:pt idx="1581">
                  <c:v>0.19047619047619047</c:v>
                </c:pt>
                <c:pt idx="1582">
                  <c:v>7.9365079365079361E-2</c:v>
                </c:pt>
                <c:pt idx="1583">
                  <c:v>0.16219119226638024</c:v>
                </c:pt>
                <c:pt idx="1584">
                  <c:v>0.39473684210526316</c:v>
                </c:pt>
                <c:pt idx="1585">
                  <c:v>0.3235294117647059</c:v>
                </c:pt>
                <c:pt idx="1586">
                  <c:v>0.21052631578947367</c:v>
                </c:pt>
                <c:pt idx="1587">
                  <c:v>0.20987654320987653</c:v>
                </c:pt>
                <c:pt idx="1588">
                  <c:v>0.33518005540166207</c:v>
                </c:pt>
                <c:pt idx="1589">
                  <c:v>0.23076923076923078</c:v>
                </c:pt>
                <c:pt idx="1590">
                  <c:v>0.29411764705882354</c:v>
                </c:pt>
                <c:pt idx="1591">
                  <c:v>0.3611111111111111</c:v>
                </c:pt>
                <c:pt idx="1592">
                  <c:v>0.25696594427244585</c:v>
                </c:pt>
                <c:pt idx="1593">
                  <c:v>0.24107142857142858</c:v>
                </c:pt>
                <c:pt idx="1594">
                  <c:v>0.32432432432432434</c:v>
                </c:pt>
                <c:pt idx="1595">
                  <c:v>0.28104575163398693</c:v>
                </c:pt>
                <c:pt idx="1596">
                  <c:v>0.25</c:v>
                </c:pt>
                <c:pt idx="1597">
                  <c:v>0.36842105263157893</c:v>
                </c:pt>
                <c:pt idx="1598">
                  <c:v>0.22663802363050484</c:v>
                </c:pt>
                <c:pt idx="1599">
                  <c:v>0.2982456140350877</c:v>
                </c:pt>
                <c:pt idx="1600">
                  <c:v>0.21568627450980393</c:v>
                </c:pt>
                <c:pt idx="1601">
                  <c:v>0.25696594427244585</c:v>
                </c:pt>
                <c:pt idx="1602">
                  <c:v>0.25</c:v>
                </c:pt>
                <c:pt idx="1603">
                  <c:v>0.20634920634920634</c:v>
                </c:pt>
                <c:pt idx="1604">
                  <c:v>0.27350427350427353</c:v>
                </c:pt>
                <c:pt idx="1605">
                  <c:v>0.4</c:v>
                </c:pt>
                <c:pt idx="1606">
                  <c:v>0.4</c:v>
                </c:pt>
                <c:pt idx="1607">
                  <c:v>0.19047619047619047</c:v>
                </c:pt>
                <c:pt idx="1608">
                  <c:v>0.17142857142857143</c:v>
                </c:pt>
                <c:pt idx="1609">
                  <c:v>0.27350427350427353</c:v>
                </c:pt>
                <c:pt idx="1610">
                  <c:v>0.28888888888888886</c:v>
                </c:pt>
                <c:pt idx="1611">
                  <c:v>0.11564625850340136</c:v>
                </c:pt>
                <c:pt idx="1612">
                  <c:v>0.16666666666666666</c:v>
                </c:pt>
                <c:pt idx="1613">
                  <c:v>0.21052631578947367</c:v>
                </c:pt>
                <c:pt idx="1614">
                  <c:v>0.23875432525951557</c:v>
                </c:pt>
                <c:pt idx="1615">
                  <c:v>0.23875432525951557</c:v>
                </c:pt>
                <c:pt idx="1616">
                  <c:v>0.33333333333333331</c:v>
                </c:pt>
                <c:pt idx="1617">
                  <c:v>0.16666666666666666</c:v>
                </c:pt>
                <c:pt idx="1618">
                  <c:v>0.3611111111111111</c:v>
                </c:pt>
                <c:pt idx="1619">
                  <c:v>0.29411764705882354</c:v>
                </c:pt>
                <c:pt idx="1620">
                  <c:v>0.20987654320987653</c:v>
                </c:pt>
                <c:pt idx="1621">
                  <c:v>0.31174089068825911</c:v>
                </c:pt>
                <c:pt idx="1622">
                  <c:v>0.34615384615384615</c:v>
                </c:pt>
                <c:pt idx="1623">
                  <c:v>0.33518005540166207</c:v>
                </c:pt>
                <c:pt idx="1624">
                  <c:v>0.25</c:v>
                </c:pt>
                <c:pt idx="1625">
                  <c:v>0.12798874824191281</c:v>
                </c:pt>
                <c:pt idx="1626">
                  <c:v>0.21052631578947367</c:v>
                </c:pt>
                <c:pt idx="1627">
                  <c:v>0.26530612244897961</c:v>
                </c:pt>
                <c:pt idx="1628">
                  <c:v>0.4</c:v>
                </c:pt>
                <c:pt idx="1629">
                  <c:v>0.35294117647058826</c:v>
                </c:pt>
                <c:pt idx="1630">
                  <c:v>0.39473684210526316</c:v>
                </c:pt>
                <c:pt idx="1631">
                  <c:v>0.29411764705882354</c:v>
                </c:pt>
                <c:pt idx="1632">
                  <c:v>0.36842105263157893</c:v>
                </c:pt>
                <c:pt idx="1633">
                  <c:v>4.7619047619047616E-2</c:v>
                </c:pt>
                <c:pt idx="1634">
                  <c:v>0.29411764705882354</c:v>
                </c:pt>
                <c:pt idx="1635">
                  <c:v>6.25E-2</c:v>
                </c:pt>
                <c:pt idx="1636">
                  <c:v>0.3611111111111111</c:v>
                </c:pt>
                <c:pt idx="1637">
                  <c:v>0.36842105263157893</c:v>
                </c:pt>
                <c:pt idx="1638">
                  <c:v>0.4</c:v>
                </c:pt>
                <c:pt idx="1639">
                  <c:v>0.28104575163398693</c:v>
                </c:pt>
                <c:pt idx="1640">
                  <c:v>0.35294117647058826</c:v>
                </c:pt>
                <c:pt idx="1641">
                  <c:v>0.28104575163398693</c:v>
                </c:pt>
                <c:pt idx="1642">
                  <c:v>0.35294117647058826</c:v>
                </c:pt>
                <c:pt idx="1643">
                  <c:v>0.12798874824191281</c:v>
                </c:pt>
                <c:pt idx="1644">
                  <c:v>0.2982456140350877</c:v>
                </c:pt>
                <c:pt idx="1645">
                  <c:v>0.22663802363050484</c:v>
                </c:pt>
                <c:pt idx="1646">
                  <c:v>0.31174089068825911</c:v>
                </c:pt>
                <c:pt idx="1647">
                  <c:v>0.2982456140350877</c:v>
                </c:pt>
                <c:pt idx="1648">
                  <c:v>0.36842105263157893</c:v>
                </c:pt>
                <c:pt idx="1649">
                  <c:v>0.24426450742240216</c:v>
                </c:pt>
                <c:pt idx="1650">
                  <c:v>0.4</c:v>
                </c:pt>
                <c:pt idx="1651">
                  <c:v>0.33518005540166207</c:v>
                </c:pt>
                <c:pt idx="1652">
                  <c:v>0.32692307692307693</c:v>
                </c:pt>
                <c:pt idx="1653">
                  <c:v>0.2982456140350877</c:v>
                </c:pt>
                <c:pt idx="1654">
                  <c:v>0.42499999999999999</c:v>
                </c:pt>
                <c:pt idx="1655">
                  <c:v>0.28104575163398693</c:v>
                </c:pt>
                <c:pt idx="1656">
                  <c:v>0.25696594427244585</c:v>
                </c:pt>
                <c:pt idx="1657">
                  <c:v>0.33333333333333331</c:v>
                </c:pt>
                <c:pt idx="1658">
                  <c:v>0.42499999999999999</c:v>
                </c:pt>
                <c:pt idx="1659">
                  <c:v>0.20987654320987653</c:v>
                </c:pt>
                <c:pt idx="1660">
                  <c:v>0.32432432432432434</c:v>
                </c:pt>
                <c:pt idx="1661">
                  <c:v>0.3611111111111111</c:v>
                </c:pt>
                <c:pt idx="1662">
                  <c:v>0.31174089068825911</c:v>
                </c:pt>
                <c:pt idx="1663">
                  <c:v>0.20227920227920229</c:v>
                </c:pt>
                <c:pt idx="1664">
                  <c:v>0.19117647058823528</c:v>
                </c:pt>
                <c:pt idx="1665">
                  <c:v>0.24924924924924924</c:v>
                </c:pt>
                <c:pt idx="1666">
                  <c:v>0.11564625850340136</c:v>
                </c:pt>
                <c:pt idx="1667">
                  <c:v>0.29411764705882354</c:v>
                </c:pt>
                <c:pt idx="1668">
                  <c:v>0.39473684210526316</c:v>
                </c:pt>
                <c:pt idx="1669">
                  <c:v>0.33333333333333331</c:v>
                </c:pt>
                <c:pt idx="1670">
                  <c:v>0.20987654320987653</c:v>
                </c:pt>
                <c:pt idx="1671">
                  <c:v>6.3625450180072027E-2</c:v>
                </c:pt>
                <c:pt idx="1672">
                  <c:v>0.2982456140350877</c:v>
                </c:pt>
                <c:pt idx="1673">
                  <c:v>0.28888888888888886</c:v>
                </c:pt>
                <c:pt idx="1674">
                  <c:v>7.9365079365079361E-2</c:v>
                </c:pt>
                <c:pt idx="1675">
                  <c:v>0.3235294117647059</c:v>
                </c:pt>
                <c:pt idx="1676">
                  <c:v>0.29411764705882354</c:v>
                </c:pt>
                <c:pt idx="1677">
                  <c:v>0.10256410256410256</c:v>
                </c:pt>
                <c:pt idx="1678">
                  <c:v>0.21052631578947367</c:v>
                </c:pt>
                <c:pt idx="1679">
                  <c:v>0.36842105263157893</c:v>
                </c:pt>
                <c:pt idx="1680">
                  <c:v>0.21568627450980393</c:v>
                </c:pt>
                <c:pt idx="1681">
                  <c:v>0.17142857142857143</c:v>
                </c:pt>
                <c:pt idx="1682">
                  <c:v>0.2982456140350877</c:v>
                </c:pt>
                <c:pt idx="1683">
                  <c:v>0.22619047619047619</c:v>
                </c:pt>
                <c:pt idx="1684">
                  <c:v>0.29411764705882354</c:v>
                </c:pt>
                <c:pt idx="1685">
                  <c:v>0.31174089068825911</c:v>
                </c:pt>
                <c:pt idx="1686">
                  <c:v>0.33518005540166207</c:v>
                </c:pt>
                <c:pt idx="1687">
                  <c:v>0.4</c:v>
                </c:pt>
                <c:pt idx="1688">
                  <c:v>0.20227920227920229</c:v>
                </c:pt>
                <c:pt idx="1689">
                  <c:v>0.36842105263157893</c:v>
                </c:pt>
                <c:pt idx="1690">
                  <c:v>0.12605042016806722</c:v>
                </c:pt>
                <c:pt idx="1691">
                  <c:v>0.21804511278195488</c:v>
                </c:pt>
                <c:pt idx="1692">
                  <c:v>0.2982456140350877</c:v>
                </c:pt>
                <c:pt idx="1693">
                  <c:v>0.33333333333333331</c:v>
                </c:pt>
                <c:pt idx="1694">
                  <c:v>0.33333333333333331</c:v>
                </c:pt>
                <c:pt idx="1695">
                  <c:v>0.31888544891640869</c:v>
                </c:pt>
                <c:pt idx="1696">
                  <c:v>0.28888888888888886</c:v>
                </c:pt>
                <c:pt idx="1697">
                  <c:v>0.36842105263157893</c:v>
                </c:pt>
                <c:pt idx="1698">
                  <c:v>0.11764705882352941</c:v>
                </c:pt>
                <c:pt idx="1699">
                  <c:v>0.28888888888888886</c:v>
                </c:pt>
                <c:pt idx="1700">
                  <c:v>0.25714285714285712</c:v>
                </c:pt>
                <c:pt idx="1701">
                  <c:v>0.2982456140350877</c:v>
                </c:pt>
                <c:pt idx="1702">
                  <c:v>0.12798874824191281</c:v>
                </c:pt>
                <c:pt idx="1703">
                  <c:v>0.39473684210526316</c:v>
                </c:pt>
                <c:pt idx="1704">
                  <c:v>0.33333333333333331</c:v>
                </c:pt>
                <c:pt idx="1705">
                  <c:v>0.23875432525951557</c:v>
                </c:pt>
                <c:pt idx="1706">
                  <c:v>0.29411764705882354</c:v>
                </c:pt>
                <c:pt idx="1707">
                  <c:v>0.2982456140350877</c:v>
                </c:pt>
                <c:pt idx="1708">
                  <c:v>0.36842105263157893</c:v>
                </c:pt>
                <c:pt idx="1709">
                  <c:v>0.36842105263157893</c:v>
                </c:pt>
                <c:pt idx="1710">
                  <c:v>0.42499999999999999</c:v>
                </c:pt>
                <c:pt idx="1711">
                  <c:v>0.25</c:v>
                </c:pt>
                <c:pt idx="1712">
                  <c:v>0.31216931216931215</c:v>
                </c:pt>
                <c:pt idx="1713">
                  <c:v>0.16666666666666666</c:v>
                </c:pt>
                <c:pt idx="1714">
                  <c:v>0.20408163265306123</c:v>
                </c:pt>
                <c:pt idx="1715">
                  <c:v>0.34615384615384615</c:v>
                </c:pt>
                <c:pt idx="1716">
                  <c:v>9.5238095238095247E-3</c:v>
                </c:pt>
                <c:pt idx="1717">
                  <c:v>0.42499999999999999</c:v>
                </c:pt>
                <c:pt idx="1718">
                  <c:v>0.3611111111111111</c:v>
                </c:pt>
                <c:pt idx="1719">
                  <c:v>0.16219119226638024</c:v>
                </c:pt>
                <c:pt idx="1720">
                  <c:v>0.3235294117647059</c:v>
                </c:pt>
                <c:pt idx="1721">
                  <c:v>0.4</c:v>
                </c:pt>
                <c:pt idx="1722">
                  <c:v>0.16339869281045752</c:v>
                </c:pt>
                <c:pt idx="1723">
                  <c:v>0.33333333333333331</c:v>
                </c:pt>
                <c:pt idx="1724">
                  <c:v>0.29411764705882354</c:v>
                </c:pt>
                <c:pt idx="1725">
                  <c:v>0.22663802363050484</c:v>
                </c:pt>
                <c:pt idx="1726">
                  <c:v>0.33333333333333331</c:v>
                </c:pt>
                <c:pt idx="1727">
                  <c:v>0.36842105263157893</c:v>
                </c:pt>
                <c:pt idx="1728">
                  <c:v>0.21518987341772153</c:v>
                </c:pt>
                <c:pt idx="1729">
                  <c:v>0.3611111111111111</c:v>
                </c:pt>
                <c:pt idx="1730">
                  <c:v>0.24107142857142858</c:v>
                </c:pt>
                <c:pt idx="1731">
                  <c:v>0.11564625850340136</c:v>
                </c:pt>
                <c:pt idx="1732">
                  <c:v>0.36842105263157893</c:v>
                </c:pt>
                <c:pt idx="1733">
                  <c:v>0.12781954887218044</c:v>
                </c:pt>
                <c:pt idx="1734">
                  <c:v>0.31174089068825911</c:v>
                </c:pt>
                <c:pt idx="1735">
                  <c:v>0.22663802363050484</c:v>
                </c:pt>
                <c:pt idx="1736">
                  <c:v>0.25</c:v>
                </c:pt>
                <c:pt idx="1737">
                  <c:v>0.25146198830409355</c:v>
                </c:pt>
                <c:pt idx="1738">
                  <c:v>0.33333333333333331</c:v>
                </c:pt>
                <c:pt idx="1739">
                  <c:v>0.3611111111111111</c:v>
                </c:pt>
                <c:pt idx="1740">
                  <c:v>0.36842105263157893</c:v>
                </c:pt>
                <c:pt idx="1741">
                  <c:v>0.2982456140350877</c:v>
                </c:pt>
                <c:pt idx="1742">
                  <c:v>0.4</c:v>
                </c:pt>
                <c:pt idx="1743">
                  <c:v>0.20227920227920229</c:v>
                </c:pt>
                <c:pt idx="1744">
                  <c:v>0.4</c:v>
                </c:pt>
                <c:pt idx="1745">
                  <c:v>0.25696594427244585</c:v>
                </c:pt>
                <c:pt idx="1746">
                  <c:v>0.13565426170468187</c:v>
                </c:pt>
                <c:pt idx="1747">
                  <c:v>0.33333333333333331</c:v>
                </c:pt>
                <c:pt idx="1748">
                  <c:v>0.33333333333333331</c:v>
                </c:pt>
                <c:pt idx="1749">
                  <c:v>0.28104575163398693</c:v>
                </c:pt>
                <c:pt idx="1750">
                  <c:v>0.27350427350427353</c:v>
                </c:pt>
                <c:pt idx="1751">
                  <c:v>0.16666666666666666</c:v>
                </c:pt>
                <c:pt idx="1752">
                  <c:v>0.36842105263157893</c:v>
                </c:pt>
                <c:pt idx="1753">
                  <c:v>0.25714285714285712</c:v>
                </c:pt>
                <c:pt idx="1754">
                  <c:v>0.32692307692307693</c:v>
                </c:pt>
                <c:pt idx="1755">
                  <c:v>0.11564625850340136</c:v>
                </c:pt>
                <c:pt idx="1756">
                  <c:v>0.11564625850340136</c:v>
                </c:pt>
                <c:pt idx="1757">
                  <c:v>0.36842105263157893</c:v>
                </c:pt>
                <c:pt idx="1758">
                  <c:v>0.4</c:v>
                </c:pt>
                <c:pt idx="1759">
                  <c:v>0.33518005540166207</c:v>
                </c:pt>
                <c:pt idx="1760">
                  <c:v>0.11564625850340136</c:v>
                </c:pt>
                <c:pt idx="1761">
                  <c:v>8.1632653061224483E-2</c:v>
                </c:pt>
                <c:pt idx="1762">
                  <c:v>0.25</c:v>
                </c:pt>
                <c:pt idx="1763">
                  <c:v>0.35294117647058826</c:v>
                </c:pt>
                <c:pt idx="1764">
                  <c:v>0.32539682539682541</c:v>
                </c:pt>
                <c:pt idx="1765">
                  <c:v>0.32692307692307693</c:v>
                </c:pt>
                <c:pt idx="1766">
                  <c:v>0.25696594427244585</c:v>
                </c:pt>
                <c:pt idx="1767">
                  <c:v>0.36842105263157893</c:v>
                </c:pt>
                <c:pt idx="1768">
                  <c:v>0.33333333333333331</c:v>
                </c:pt>
                <c:pt idx="1769">
                  <c:v>0.38095238095238093</c:v>
                </c:pt>
                <c:pt idx="1770">
                  <c:v>0.2857142857142857</c:v>
                </c:pt>
                <c:pt idx="1771">
                  <c:v>0.35294117647058826</c:v>
                </c:pt>
                <c:pt idx="1772">
                  <c:v>0.23875432525951557</c:v>
                </c:pt>
                <c:pt idx="1773">
                  <c:v>0.12781954887218044</c:v>
                </c:pt>
                <c:pt idx="1774">
                  <c:v>0.33333333333333331</c:v>
                </c:pt>
                <c:pt idx="1775">
                  <c:v>0.39473684210526316</c:v>
                </c:pt>
                <c:pt idx="1776">
                  <c:v>2.5210084033613446E-2</c:v>
                </c:pt>
                <c:pt idx="1777">
                  <c:v>0.4</c:v>
                </c:pt>
                <c:pt idx="1778">
                  <c:v>0.31888544891640869</c:v>
                </c:pt>
                <c:pt idx="1779">
                  <c:v>0.36842105263157893</c:v>
                </c:pt>
                <c:pt idx="1780">
                  <c:v>0.24924924924924924</c:v>
                </c:pt>
                <c:pt idx="1781">
                  <c:v>0.12798874824191281</c:v>
                </c:pt>
                <c:pt idx="1782">
                  <c:v>0.22619047619047619</c:v>
                </c:pt>
                <c:pt idx="1783">
                  <c:v>0.11564625850340136</c:v>
                </c:pt>
                <c:pt idx="1784">
                  <c:v>0.38095238095238093</c:v>
                </c:pt>
                <c:pt idx="1785">
                  <c:v>0.25925925925925924</c:v>
                </c:pt>
                <c:pt idx="1786">
                  <c:v>0.16666666666666666</c:v>
                </c:pt>
                <c:pt idx="1787">
                  <c:v>0.20508744038155802</c:v>
                </c:pt>
                <c:pt idx="1788">
                  <c:v>5.1020408163265302E-3</c:v>
                </c:pt>
                <c:pt idx="1789">
                  <c:v>0.21568627450980393</c:v>
                </c:pt>
                <c:pt idx="1790">
                  <c:v>0.21568627450980393</c:v>
                </c:pt>
                <c:pt idx="1791">
                  <c:v>0.39473684210526316</c:v>
                </c:pt>
                <c:pt idx="1792">
                  <c:v>0.16666666666666666</c:v>
                </c:pt>
                <c:pt idx="1793">
                  <c:v>0.29411764705882354</c:v>
                </c:pt>
                <c:pt idx="1794">
                  <c:v>0.15966386554621848</c:v>
                </c:pt>
                <c:pt idx="1795">
                  <c:v>0.33333333333333331</c:v>
                </c:pt>
                <c:pt idx="1796">
                  <c:v>7.9365079365079361E-2</c:v>
                </c:pt>
                <c:pt idx="1797">
                  <c:v>0.17142857142857143</c:v>
                </c:pt>
                <c:pt idx="1798">
                  <c:v>0.33518005540166207</c:v>
                </c:pt>
                <c:pt idx="1799">
                  <c:v>0.25213675213675213</c:v>
                </c:pt>
                <c:pt idx="1800">
                  <c:v>0.34837092731829572</c:v>
                </c:pt>
                <c:pt idx="1801">
                  <c:v>0.11564625850340136</c:v>
                </c:pt>
                <c:pt idx="1802">
                  <c:v>0.33333333333333331</c:v>
                </c:pt>
                <c:pt idx="1803">
                  <c:v>5.1020408163265302E-3</c:v>
                </c:pt>
                <c:pt idx="1804">
                  <c:v>0.1554054054054054</c:v>
                </c:pt>
                <c:pt idx="1805">
                  <c:v>0.32692307692307693</c:v>
                </c:pt>
                <c:pt idx="1806">
                  <c:v>0.42499999999999999</c:v>
                </c:pt>
                <c:pt idx="1807">
                  <c:v>7.1428571428571425E-2</c:v>
                </c:pt>
                <c:pt idx="1808">
                  <c:v>0.17142857142857143</c:v>
                </c:pt>
                <c:pt idx="1809">
                  <c:v>0.12605042016806722</c:v>
                </c:pt>
                <c:pt idx="1810">
                  <c:v>0.16339869281045752</c:v>
                </c:pt>
                <c:pt idx="1811">
                  <c:v>0.35294117647058826</c:v>
                </c:pt>
                <c:pt idx="1812">
                  <c:v>0.16339869281045752</c:v>
                </c:pt>
                <c:pt idx="1813">
                  <c:v>0.3611111111111111</c:v>
                </c:pt>
                <c:pt idx="1814">
                  <c:v>7.9365079365079361E-2</c:v>
                </c:pt>
                <c:pt idx="1815">
                  <c:v>0.36842105263157893</c:v>
                </c:pt>
                <c:pt idx="1816">
                  <c:v>0.22663802363050484</c:v>
                </c:pt>
                <c:pt idx="1817">
                  <c:v>0.28205128205128205</c:v>
                </c:pt>
                <c:pt idx="1818">
                  <c:v>0.18269230769230768</c:v>
                </c:pt>
                <c:pt idx="1819">
                  <c:v>0.36842105263157893</c:v>
                </c:pt>
                <c:pt idx="1820">
                  <c:v>0.4</c:v>
                </c:pt>
                <c:pt idx="1821">
                  <c:v>0.13565426170468187</c:v>
                </c:pt>
                <c:pt idx="1822">
                  <c:v>0.25</c:v>
                </c:pt>
                <c:pt idx="1823">
                  <c:v>2.5210084033613446E-2</c:v>
                </c:pt>
                <c:pt idx="1824">
                  <c:v>0.2982456140350877</c:v>
                </c:pt>
                <c:pt idx="1825">
                  <c:v>0.21052631578947367</c:v>
                </c:pt>
                <c:pt idx="1826">
                  <c:v>0.19117647058823528</c:v>
                </c:pt>
                <c:pt idx="1827">
                  <c:v>0.36090225563909772</c:v>
                </c:pt>
                <c:pt idx="1828">
                  <c:v>0.4</c:v>
                </c:pt>
                <c:pt idx="1829">
                  <c:v>7.9365079365079361E-2</c:v>
                </c:pt>
                <c:pt idx="1830">
                  <c:v>0.36842105263157893</c:v>
                </c:pt>
                <c:pt idx="1831">
                  <c:v>0.16219119226638024</c:v>
                </c:pt>
                <c:pt idx="1832">
                  <c:v>0.31174089068825911</c:v>
                </c:pt>
                <c:pt idx="1833">
                  <c:v>0.16666666666666666</c:v>
                </c:pt>
                <c:pt idx="1834">
                  <c:v>0.4</c:v>
                </c:pt>
                <c:pt idx="1835">
                  <c:v>0.12781954887218044</c:v>
                </c:pt>
                <c:pt idx="1836">
                  <c:v>0.16339869281045752</c:v>
                </c:pt>
                <c:pt idx="1837">
                  <c:v>0.17142857142857143</c:v>
                </c:pt>
                <c:pt idx="1838">
                  <c:v>0.42499999999999999</c:v>
                </c:pt>
                <c:pt idx="1839">
                  <c:v>0.36842105263157893</c:v>
                </c:pt>
                <c:pt idx="1840">
                  <c:v>0.34837092731829572</c:v>
                </c:pt>
                <c:pt idx="1841">
                  <c:v>0.27350427350427353</c:v>
                </c:pt>
                <c:pt idx="1842">
                  <c:v>0.24426450742240216</c:v>
                </c:pt>
                <c:pt idx="1843">
                  <c:v>0.15535444947209653</c:v>
                </c:pt>
                <c:pt idx="1844">
                  <c:v>0.4</c:v>
                </c:pt>
                <c:pt idx="1845">
                  <c:v>0.25</c:v>
                </c:pt>
                <c:pt idx="1846">
                  <c:v>0.34615384615384615</c:v>
                </c:pt>
                <c:pt idx="1847">
                  <c:v>2.5210084033613446E-2</c:v>
                </c:pt>
                <c:pt idx="1848">
                  <c:v>0.27170868347338933</c:v>
                </c:pt>
                <c:pt idx="1849">
                  <c:v>0.23875432525951557</c:v>
                </c:pt>
                <c:pt idx="1850">
                  <c:v>0.4</c:v>
                </c:pt>
                <c:pt idx="1851">
                  <c:v>0.17460317460317459</c:v>
                </c:pt>
                <c:pt idx="1852">
                  <c:v>0.24812030075187969</c:v>
                </c:pt>
                <c:pt idx="1853">
                  <c:v>0.17142857142857143</c:v>
                </c:pt>
                <c:pt idx="1854">
                  <c:v>0.34837092731829572</c:v>
                </c:pt>
                <c:pt idx="1855">
                  <c:v>0.23875432525951557</c:v>
                </c:pt>
                <c:pt idx="1856">
                  <c:v>0.32539682539682541</c:v>
                </c:pt>
                <c:pt idx="1857">
                  <c:v>7.9365079365079361E-2</c:v>
                </c:pt>
                <c:pt idx="1858">
                  <c:v>0.29411764705882354</c:v>
                </c:pt>
                <c:pt idx="1859">
                  <c:v>0.25146198830409355</c:v>
                </c:pt>
                <c:pt idx="1860">
                  <c:v>0.12781954887218044</c:v>
                </c:pt>
                <c:pt idx="1861">
                  <c:v>6.3625450180072027E-2</c:v>
                </c:pt>
                <c:pt idx="1862">
                  <c:v>0.23875432525951557</c:v>
                </c:pt>
                <c:pt idx="1863">
                  <c:v>8.1632653061224483E-2</c:v>
                </c:pt>
                <c:pt idx="1864">
                  <c:v>0.4</c:v>
                </c:pt>
                <c:pt idx="1865">
                  <c:v>0.31174089068825911</c:v>
                </c:pt>
                <c:pt idx="1866">
                  <c:v>0.29411764705882354</c:v>
                </c:pt>
                <c:pt idx="1867">
                  <c:v>0.3235294117647059</c:v>
                </c:pt>
                <c:pt idx="1868">
                  <c:v>0.20408163265306123</c:v>
                </c:pt>
                <c:pt idx="1869">
                  <c:v>0.22619047619047619</c:v>
                </c:pt>
                <c:pt idx="1870">
                  <c:v>0.24107142857142858</c:v>
                </c:pt>
                <c:pt idx="1871">
                  <c:v>0.29411764705882354</c:v>
                </c:pt>
                <c:pt idx="1872">
                  <c:v>1.8987341772151899E-2</c:v>
                </c:pt>
                <c:pt idx="1873">
                  <c:v>0.32692307692307693</c:v>
                </c:pt>
                <c:pt idx="1874">
                  <c:v>0.2982456140350877</c:v>
                </c:pt>
                <c:pt idx="1875">
                  <c:v>0.17142857142857143</c:v>
                </c:pt>
                <c:pt idx="1876">
                  <c:v>9.5238095238095247E-3</c:v>
                </c:pt>
                <c:pt idx="1877">
                  <c:v>0.22663802363050484</c:v>
                </c:pt>
                <c:pt idx="1878">
                  <c:v>0.3235294117647059</c:v>
                </c:pt>
                <c:pt idx="1879">
                  <c:v>0.34615384615384615</c:v>
                </c:pt>
                <c:pt idx="1880">
                  <c:v>0.42499999999999999</c:v>
                </c:pt>
                <c:pt idx="1881">
                  <c:v>0.4</c:v>
                </c:pt>
                <c:pt idx="1882">
                  <c:v>0.2982456140350877</c:v>
                </c:pt>
                <c:pt idx="1883">
                  <c:v>0.25696594427244585</c:v>
                </c:pt>
                <c:pt idx="1884">
                  <c:v>0.16955017301038061</c:v>
                </c:pt>
                <c:pt idx="1885">
                  <c:v>0.42499999999999999</c:v>
                </c:pt>
                <c:pt idx="1886">
                  <c:v>7.1428571428571425E-2</c:v>
                </c:pt>
                <c:pt idx="1887">
                  <c:v>0.34837092731829572</c:v>
                </c:pt>
                <c:pt idx="1888">
                  <c:v>0.2982456140350877</c:v>
                </c:pt>
                <c:pt idx="1889">
                  <c:v>0.28125</c:v>
                </c:pt>
                <c:pt idx="1890">
                  <c:v>0.17460317460317459</c:v>
                </c:pt>
                <c:pt idx="1891">
                  <c:v>0.12798874824191281</c:v>
                </c:pt>
                <c:pt idx="1892">
                  <c:v>0.36842105263157893</c:v>
                </c:pt>
                <c:pt idx="1893">
                  <c:v>0.1554054054054054</c:v>
                </c:pt>
                <c:pt idx="1894">
                  <c:v>0.21052631578947367</c:v>
                </c:pt>
                <c:pt idx="1895">
                  <c:v>0.34615384615384615</c:v>
                </c:pt>
                <c:pt idx="1896">
                  <c:v>0.33518005540166207</c:v>
                </c:pt>
                <c:pt idx="1897">
                  <c:v>0.291497975708502</c:v>
                </c:pt>
                <c:pt idx="1898">
                  <c:v>0.19117647058823528</c:v>
                </c:pt>
                <c:pt idx="1899">
                  <c:v>0.38095238095238093</c:v>
                </c:pt>
                <c:pt idx="1900">
                  <c:v>0.36090225563909772</c:v>
                </c:pt>
                <c:pt idx="1901">
                  <c:v>0.28205128205128205</c:v>
                </c:pt>
                <c:pt idx="1902">
                  <c:v>0.39473684210526316</c:v>
                </c:pt>
                <c:pt idx="1903">
                  <c:v>0.25</c:v>
                </c:pt>
                <c:pt idx="1904">
                  <c:v>0.26530612244897961</c:v>
                </c:pt>
                <c:pt idx="1905">
                  <c:v>0.24924924924924924</c:v>
                </c:pt>
                <c:pt idx="1906">
                  <c:v>0.21052631578947367</c:v>
                </c:pt>
                <c:pt idx="1907">
                  <c:v>0.25925925925925924</c:v>
                </c:pt>
                <c:pt idx="1908">
                  <c:v>0.33333333333333331</c:v>
                </c:pt>
                <c:pt idx="1909">
                  <c:v>0.4</c:v>
                </c:pt>
                <c:pt idx="1910">
                  <c:v>0.33333333333333331</c:v>
                </c:pt>
                <c:pt idx="1911">
                  <c:v>0.34615384615384615</c:v>
                </c:pt>
                <c:pt idx="1912">
                  <c:v>0.11764705882352941</c:v>
                </c:pt>
                <c:pt idx="1913">
                  <c:v>0.17388407728181213</c:v>
                </c:pt>
                <c:pt idx="1914">
                  <c:v>0.28888888888888886</c:v>
                </c:pt>
                <c:pt idx="1915">
                  <c:v>0.31216931216931215</c:v>
                </c:pt>
                <c:pt idx="1916">
                  <c:v>0.12605042016806722</c:v>
                </c:pt>
                <c:pt idx="1917">
                  <c:v>0.20408163265306123</c:v>
                </c:pt>
                <c:pt idx="1918">
                  <c:v>0.20408163265306123</c:v>
                </c:pt>
                <c:pt idx="1919">
                  <c:v>0.21052631578947367</c:v>
                </c:pt>
                <c:pt idx="1920">
                  <c:v>0.21052631578947367</c:v>
                </c:pt>
                <c:pt idx="1921">
                  <c:v>0.36842105263157893</c:v>
                </c:pt>
                <c:pt idx="1922">
                  <c:v>0.25696594427244585</c:v>
                </c:pt>
                <c:pt idx="1923">
                  <c:v>0.31174089068825911</c:v>
                </c:pt>
                <c:pt idx="1924">
                  <c:v>0.36842105263157893</c:v>
                </c:pt>
                <c:pt idx="1925">
                  <c:v>0.33333333333333331</c:v>
                </c:pt>
                <c:pt idx="1926">
                  <c:v>0.32432432432432434</c:v>
                </c:pt>
                <c:pt idx="1927">
                  <c:v>0.25696594427244585</c:v>
                </c:pt>
                <c:pt idx="1928">
                  <c:v>0.35294117647058826</c:v>
                </c:pt>
                <c:pt idx="1929">
                  <c:v>0.2857142857142857</c:v>
                </c:pt>
                <c:pt idx="1930">
                  <c:v>0.33518005540166207</c:v>
                </c:pt>
                <c:pt idx="1931">
                  <c:v>0.20408163265306123</c:v>
                </c:pt>
                <c:pt idx="1932">
                  <c:v>0.31216931216931215</c:v>
                </c:pt>
                <c:pt idx="1933">
                  <c:v>0.11764705882352941</c:v>
                </c:pt>
                <c:pt idx="1934">
                  <c:v>0.12605042016806722</c:v>
                </c:pt>
                <c:pt idx="1935">
                  <c:v>0.33518005540166207</c:v>
                </c:pt>
                <c:pt idx="1936">
                  <c:v>0.23076923076923078</c:v>
                </c:pt>
                <c:pt idx="1937">
                  <c:v>0.21568627450980393</c:v>
                </c:pt>
                <c:pt idx="1938">
                  <c:v>0.33518005540166207</c:v>
                </c:pt>
                <c:pt idx="1939">
                  <c:v>0.39473684210526316</c:v>
                </c:pt>
                <c:pt idx="1940">
                  <c:v>0.15966386554621848</c:v>
                </c:pt>
                <c:pt idx="1941">
                  <c:v>0.11764705882352941</c:v>
                </c:pt>
                <c:pt idx="1942">
                  <c:v>0.11764705882352941</c:v>
                </c:pt>
                <c:pt idx="1943">
                  <c:v>0.25</c:v>
                </c:pt>
                <c:pt idx="1944">
                  <c:v>0.25</c:v>
                </c:pt>
                <c:pt idx="1945">
                  <c:v>0.34837092731829572</c:v>
                </c:pt>
                <c:pt idx="1946">
                  <c:v>0.25696594427244585</c:v>
                </c:pt>
                <c:pt idx="1947">
                  <c:v>0.38095238095238093</c:v>
                </c:pt>
                <c:pt idx="1948">
                  <c:v>0.28125</c:v>
                </c:pt>
                <c:pt idx="1949">
                  <c:v>0.39473684210526316</c:v>
                </c:pt>
                <c:pt idx="1950">
                  <c:v>2.5210084033613446E-2</c:v>
                </c:pt>
                <c:pt idx="1951">
                  <c:v>0.4</c:v>
                </c:pt>
                <c:pt idx="1952">
                  <c:v>0.21052631578947367</c:v>
                </c:pt>
                <c:pt idx="1953">
                  <c:v>0.2982456140350877</c:v>
                </c:pt>
                <c:pt idx="1954">
                  <c:v>0.36842105263157893</c:v>
                </c:pt>
                <c:pt idx="1955">
                  <c:v>0.32</c:v>
                </c:pt>
                <c:pt idx="1956">
                  <c:v>0.39473684210526316</c:v>
                </c:pt>
                <c:pt idx="1957">
                  <c:v>0.33333333333333331</c:v>
                </c:pt>
                <c:pt idx="1958">
                  <c:v>6.3625450180072027E-2</c:v>
                </c:pt>
                <c:pt idx="1959">
                  <c:v>0.3235294117647059</c:v>
                </c:pt>
                <c:pt idx="1960">
                  <c:v>0.36842105263157893</c:v>
                </c:pt>
                <c:pt idx="1961">
                  <c:v>0.31174089068825911</c:v>
                </c:pt>
                <c:pt idx="1962">
                  <c:v>6.3625450180072027E-2</c:v>
                </c:pt>
                <c:pt idx="1963">
                  <c:v>0.25696594427244585</c:v>
                </c:pt>
                <c:pt idx="1964">
                  <c:v>0.4</c:v>
                </c:pt>
                <c:pt idx="1965">
                  <c:v>0.31216931216931215</c:v>
                </c:pt>
                <c:pt idx="1966">
                  <c:v>0.33333333333333331</c:v>
                </c:pt>
                <c:pt idx="1967">
                  <c:v>1.8987341772151899E-2</c:v>
                </c:pt>
                <c:pt idx="1968">
                  <c:v>0.26530612244897961</c:v>
                </c:pt>
                <c:pt idx="1969">
                  <c:v>0.3611111111111111</c:v>
                </c:pt>
                <c:pt idx="1970">
                  <c:v>0.42499999999999999</c:v>
                </c:pt>
                <c:pt idx="1971">
                  <c:v>0.28104575163398693</c:v>
                </c:pt>
                <c:pt idx="1972">
                  <c:v>0.28125</c:v>
                </c:pt>
                <c:pt idx="1973">
                  <c:v>0.25146198830409355</c:v>
                </c:pt>
                <c:pt idx="1974">
                  <c:v>0.2982456140350877</c:v>
                </c:pt>
                <c:pt idx="1975">
                  <c:v>0.25</c:v>
                </c:pt>
                <c:pt idx="1976">
                  <c:v>0.3611111111111111</c:v>
                </c:pt>
                <c:pt idx="1977">
                  <c:v>0.36842105263157893</c:v>
                </c:pt>
                <c:pt idx="1978">
                  <c:v>0.2982456140350877</c:v>
                </c:pt>
                <c:pt idx="1979">
                  <c:v>0.25696594427244585</c:v>
                </c:pt>
                <c:pt idx="1980">
                  <c:v>0.2982456140350877</c:v>
                </c:pt>
                <c:pt idx="1981">
                  <c:v>0.32692307692307693</c:v>
                </c:pt>
                <c:pt idx="1982">
                  <c:v>0.3235294117647059</c:v>
                </c:pt>
                <c:pt idx="1983">
                  <c:v>0.33333333333333331</c:v>
                </c:pt>
                <c:pt idx="1984">
                  <c:v>0.36842105263157893</c:v>
                </c:pt>
                <c:pt idx="1985">
                  <c:v>0.17142857142857143</c:v>
                </c:pt>
                <c:pt idx="1986">
                  <c:v>0.11764705882352941</c:v>
                </c:pt>
                <c:pt idx="1987">
                  <c:v>0.27350427350427353</c:v>
                </c:pt>
                <c:pt idx="1988">
                  <c:v>0.36842105263157893</c:v>
                </c:pt>
                <c:pt idx="1989">
                  <c:v>0.24444444444444444</c:v>
                </c:pt>
                <c:pt idx="1990">
                  <c:v>0.36842105263157893</c:v>
                </c:pt>
                <c:pt idx="1991">
                  <c:v>0.18269230769230768</c:v>
                </c:pt>
                <c:pt idx="1992">
                  <c:v>0.33333333333333331</c:v>
                </c:pt>
                <c:pt idx="1993">
                  <c:v>0.21568627450980393</c:v>
                </c:pt>
                <c:pt idx="1994">
                  <c:v>0.28205128205128205</c:v>
                </c:pt>
                <c:pt idx="1995">
                  <c:v>0.21052631578947367</c:v>
                </c:pt>
                <c:pt idx="1996">
                  <c:v>0.18367346938775511</c:v>
                </c:pt>
                <c:pt idx="1997">
                  <c:v>0.28888888888888886</c:v>
                </c:pt>
                <c:pt idx="1998">
                  <c:v>6.3625450180072027E-2</c:v>
                </c:pt>
                <c:pt idx="1999">
                  <c:v>0.11764705882352941</c:v>
                </c:pt>
                <c:pt idx="2000">
                  <c:v>0.31174089068825911</c:v>
                </c:pt>
                <c:pt idx="2001">
                  <c:v>0.21518987341772153</c:v>
                </c:pt>
                <c:pt idx="2002">
                  <c:v>0.33518005540166207</c:v>
                </c:pt>
                <c:pt idx="2003">
                  <c:v>0.31174089068825911</c:v>
                </c:pt>
                <c:pt idx="2004">
                  <c:v>7.9365079365079361E-2</c:v>
                </c:pt>
                <c:pt idx="2005">
                  <c:v>0.33333333333333331</c:v>
                </c:pt>
                <c:pt idx="2006">
                  <c:v>0.39285714285714285</c:v>
                </c:pt>
                <c:pt idx="2007">
                  <c:v>0.34615384615384615</c:v>
                </c:pt>
                <c:pt idx="2008">
                  <c:v>0.36090225563909772</c:v>
                </c:pt>
                <c:pt idx="2009">
                  <c:v>0.31174089068825911</c:v>
                </c:pt>
                <c:pt idx="2010">
                  <c:v>0.38095238095238093</c:v>
                </c:pt>
                <c:pt idx="2011">
                  <c:v>0.25</c:v>
                </c:pt>
                <c:pt idx="2012">
                  <c:v>0.26530612244897961</c:v>
                </c:pt>
                <c:pt idx="2013">
                  <c:v>0.12798874824191281</c:v>
                </c:pt>
                <c:pt idx="2014">
                  <c:v>0.33518005540166207</c:v>
                </c:pt>
                <c:pt idx="2015">
                  <c:v>0.29411764705882354</c:v>
                </c:pt>
                <c:pt idx="2016">
                  <c:v>0.32692307692307693</c:v>
                </c:pt>
                <c:pt idx="2017">
                  <c:v>0.21052631578947367</c:v>
                </c:pt>
                <c:pt idx="2018">
                  <c:v>0.15966386554621848</c:v>
                </c:pt>
                <c:pt idx="2019">
                  <c:v>0.33333333333333331</c:v>
                </c:pt>
                <c:pt idx="2020">
                  <c:v>0.20408163265306123</c:v>
                </c:pt>
                <c:pt idx="2021">
                  <c:v>0.17142857142857143</c:v>
                </c:pt>
                <c:pt idx="2022">
                  <c:v>0.31216931216931215</c:v>
                </c:pt>
                <c:pt idx="2023">
                  <c:v>0.36842105263157893</c:v>
                </c:pt>
                <c:pt idx="2024">
                  <c:v>0.17142857142857143</c:v>
                </c:pt>
                <c:pt idx="2025">
                  <c:v>0.28104575163398693</c:v>
                </c:pt>
                <c:pt idx="2026">
                  <c:v>0.39473684210526316</c:v>
                </c:pt>
                <c:pt idx="2027">
                  <c:v>0.3235294117647059</c:v>
                </c:pt>
                <c:pt idx="2028">
                  <c:v>0.15966386554621848</c:v>
                </c:pt>
                <c:pt idx="2029">
                  <c:v>0.31174089068825911</c:v>
                </c:pt>
                <c:pt idx="2030">
                  <c:v>0.21052631578947367</c:v>
                </c:pt>
                <c:pt idx="2031">
                  <c:v>0.17142857142857143</c:v>
                </c:pt>
                <c:pt idx="2032">
                  <c:v>0.27350427350427353</c:v>
                </c:pt>
                <c:pt idx="2033">
                  <c:v>0.36842105263157893</c:v>
                </c:pt>
                <c:pt idx="2034">
                  <c:v>0.27350427350427353</c:v>
                </c:pt>
                <c:pt idx="2035">
                  <c:v>0.17142857142857143</c:v>
                </c:pt>
                <c:pt idx="2036">
                  <c:v>0.17388407728181213</c:v>
                </c:pt>
                <c:pt idx="2037">
                  <c:v>0.25</c:v>
                </c:pt>
                <c:pt idx="2038">
                  <c:v>0.25146198830409355</c:v>
                </c:pt>
                <c:pt idx="2039">
                  <c:v>0.25146198830409355</c:v>
                </c:pt>
                <c:pt idx="2040">
                  <c:v>0.25213675213675213</c:v>
                </c:pt>
                <c:pt idx="2041">
                  <c:v>0.21052631578947367</c:v>
                </c:pt>
                <c:pt idx="2042">
                  <c:v>0.17142857142857143</c:v>
                </c:pt>
                <c:pt idx="2043">
                  <c:v>0.15966386554621848</c:v>
                </c:pt>
                <c:pt idx="2044">
                  <c:v>0.42499999999999999</c:v>
                </c:pt>
                <c:pt idx="2045">
                  <c:v>0.4</c:v>
                </c:pt>
                <c:pt idx="2046">
                  <c:v>0.25</c:v>
                </c:pt>
                <c:pt idx="2047">
                  <c:v>0.17460317460317459</c:v>
                </c:pt>
                <c:pt idx="2048">
                  <c:v>0.15966386554621848</c:v>
                </c:pt>
                <c:pt idx="2049">
                  <c:v>0.20508744038155802</c:v>
                </c:pt>
                <c:pt idx="2050">
                  <c:v>0.21804511278195488</c:v>
                </c:pt>
                <c:pt idx="2051">
                  <c:v>0.34615384615384615</c:v>
                </c:pt>
                <c:pt idx="2052">
                  <c:v>7.1428571428571425E-2</c:v>
                </c:pt>
                <c:pt idx="2053">
                  <c:v>0.33518005540166207</c:v>
                </c:pt>
                <c:pt idx="2054">
                  <c:v>0.33333333333333331</c:v>
                </c:pt>
                <c:pt idx="2055">
                  <c:v>0.29411764705882354</c:v>
                </c:pt>
                <c:pt idx="2056">
                  <c:v>0.25</c:v>
                </c:pt>
                <c:pt idx="2057">
                  <c:v>0.42499999999999999</c:v>
                </c:pt>
                <c:pt idx="2058">
                  <c:v>0.33333333333333331</c:v>
                </c:pt>
                <c:pt idx="2059">
                  <c:v>0.28125</c:v>
                </c:pt>
                <c:pt idx="2060">
                  <c:v>0.17142857142857143</c:v>
                </c:pt>
                <c:pt idx="2061">
                  <c:v>0.35294117647058826</c:v>
                </c:pt>
                <c:pt idx="2062">
                  <c:v>0.15966386554621848</c:v>
                </c:pt>
                <c:pt idx="2063">
                  <c:v>0.2982456140350877</c:v>
                </c:pt>
                <c:pt idx="2064">
                  <c:v>0.31216931216931215</c:v>
                </c:pt>
                <c:pt idx="2065">
                  <c:v>7.9365079365079361E-2</c:v>
                </c:pt>
                <c:pt idx="2066">
                  <c:v>0.16219119226638024</c:v>
                </c:pt>
                <c:pt idx="2067">
                  <c:v>2.5210084033613446E-2</c:v>
                </c:pt>
                <c:pt idx="2068">
                  <c:v>0.28888888888888886</c:v>
                </c:pt>
                <c:pt idx="2069">
                  <c:v>0.21052631578947367</c:v>
                </c:pt>
                <c:pt idx="2070">
                  <c:v>0.26530612244897961</c:v>
                </c:pt>
                <c:pt idx="2071">
                  <c:v>0.28125</c:v>
                </c:pt>
                <c:pt idx="2072">
                  <c:v>0.33333333333333331</c:v>
                </c:pt>
                <c:pt idx="2073">
                  <c:v>0.11564625850340136</c:v>
                </c:pt>
                <c:pt idx="2074">
                  <c:v>0.16219119226638024</c:v>
                </c:pt>
                <c:pt idx="2075">
                  <c:v>0.21052631578947367</c:v>
                </c:pt>
                <c:pt idx="2076">
                  <c:v>0.16219119226638024</c:v>
                </c:pt>
                <c:pt idx="2077">
                  <c:v>5.1020408163265302E-3</c:v>
                </c:pt>
                <c:pt idx="2078">
                  <c:v>7.1428571428571425E-2</c:v>
                </c:pt>
                <c:pt idx="2079">
                  <c:v>0.29411764705882354</c:v>
                </c:pt>
                <c:pt idx="2080">
                  <c:v>0.24924924924924924</c:v>
                </c:pt>
                <c:pt idx="2081">
                  <c:v>0.18269230769230768</c:v>
                </c:pt>
                <c:pt idx="2082">
                  <c:v>0.291497975708502</c:v>
                </c:pt>
                <c:pt idx="2083">
                  <c:v>0.20408163265306123</c:v>
                </c:pt>
                <c:pt idx="2084">
                  <c:v>0.42499999999999999</c:v>
                </c:pt>
                <c:pt idx="2085">
                  <c:v>0.23076923076923078</c:v>
                </c:pt>
                <c:pt idx="2086">
                  <c:v>0.16219119226638024</c:v>
                </c:pt>
                <c:pt idx="2087">
                  <c:v>0.4</c:v>
                </c:pt>
                <c:pt idx="2088">
                  <c:v>0.21518987341772153</c:v>
                </c:pt>
                <c:pt idx="2089">
                  <c:v>0.29411764705882354</c:v>
                </c:pt>
                <c:pt idx="2090">
                  <c:v>0.3611111111111111</c:v>
                </c:pt>
                <c:pt idx="2091">
                  <c:v>0.23076923076923078</c:v>
                </c:pt>
                <c:pt idx="2092">
                  <c:v>0.29411764705882354</c:v>
                </c:pt>
                <c:pt idx="2093">
                  <c:v>0.10256410256410256</c:v>
                </c:pt>
                <c:pt idx="2094">
                  <c:v>0.25</c:v>
                </c:pt>
                <c:pt idx="2095">
                  <c:v>0.12781954887218044</c:v>
                </c:pt>
                <c:pt idx="2096">
                  <c:v>0.3611111111111111</c:v>
                </c:pt>
                <c:pt idx="2097">
                  <c:v>0.42499999999999999</c:v>
                </c:pt>
                <c:pt idx="2098">
                  <c:v>0.31888544891640869</c:v>
                </c:pt>
                <c:pt idx="2099">
                  <c:v>0.11564625850340136</c:v>
                </c:pt>
                <c:pt idx="2100">
                  <c:v>0.23076923076923078</c:v>
                </c:pt>
                <c:pt idx="2101">
                  <c:v>7.1428571428571425E-2</c:v>
                </c:pt>
                <c:pt idx="2102">
                  <c:v>0.13565426170468187</c:v>
                </c:pt>
                <c:pt idx="2103">
                  <c:v>0.25213675213675213</c:v>
                </c:pt>
                <c:pt idx="2104">
                  <c:v>0.28876244665718348</c:v>
                </c:pt>
                <c:pt idx="2105">
                  <c:v>0.291497975708502</c:v>
                </c:pt>
                <c:pt idx="2106">
                  <c:v>0.28205128205128205</c:v>
                </c:pt>
                <c:pt idx="2107">
                  <c:v>0.2982456140350877</c:v>
                </c:pt>
                <c:pt idx="2108">
                  <c:v>0.18269230769230768</c:v>
                </c:pt>
                <c:pt idx="2109">
                  <c:v>0.3611111111111111</c:v>
                </c:pt>
                <c:pt idx="2110">
                  <c:v>0.25696594427244585</c:v>
                </c:pt>
                <c:pt idx="2111">
                  <c:v>0.38095238095238093</c:v>
                </c:pt>
                <c:pt idx="2112">
                  <c:v>0.29411764705882354</c:v>
                </c:pt>
                <c:pt idx="2113">
                  <c:v>0.28125</c:v>
                </c:pt>
                <c:pt idx="2114">
                  <c:v>0.36842105263157893</c:v>
                </c:pt>
                <c:pt idx="2115">
                  <c:v>0.28104575163398693</c:v>
                </c:pt>
                <c:pt idx="2116">
                  <c:v>-3.5714285714285712E-2</c:v>
                </c:pt>
                <c:pt idx="2117">
                  <c:v>7.6693968726731204E-2</c:v>
                </c:pt>
                <c:pt idx="2118">
                  <c:v>0.2982456140350877</c:v>
                </c:pt>
                <c:pt idx="2119">
                  <c:v>0.25925925925925924</c:v>
                </c:pt>
                <c:pt idx="2120">
                  <c:v>0.36842105263157893</c:v>
                </c:pt>
                <c:pt idx="2121">
                  <c:v>0.36842105263157893</c:v>
                </c:pt>
                <c:pt idx="2122">
                  <c:v>0.2982456140350877</c:v>
                </c:pt>
                <c:pt idx="2123">
                  <c:v>0.15966386554621848</c:v>
                </c:pt>
                <c:pt idx="2124">
                  <c:v>0.20508744038155802</c:v>
                </c:pt>
                <c:pt idx="2125">
                  <c:v>0.25213675213675213</c:v>
                </c:pt>
                <c:pt idx="2126">
                  <c:v>0.20634920634920634</c:v>
                </c:pt>
                <c:pt idx="2127">
                  <c:v>0.1111111111111111</c:v>
                </c:pt>
                <c:pt idx="2128">
                  <c:v>0.17142857142857143</c:v>
                </c:pt>
                <c:pt idx="2129">
                  <c:v>0.4</c:v>
                </c:pt>
                <c:pt idx="2130">
                  <c:v>0.25696594427244585</c:v>
                </c:pt>
                <c:pt idx="2131">
                  <c:v>0.3611111111111111</c:v>
                </c:pt>
                <c:pt idx="2132">
                  <c:v>0.11764705882352941</c:v>
                </c:pt>
                <c:pt idx="2133">
                  <c:v>0.33333333333333331</c:v>
                </c:pt>
                <c:pt idx="2134">
                  <c:v>0.2982456140350877</c:v>
                </c:pt>
                <c:pt idx="2135">
                  <c:v>0.16666666666666666</c:v>
                </c:pt>
                <c:pt idx="2136">
                  <c:v>0.12781954887218044</c:v>
                </c:pt>
                <c:pt idx="2137">
                  <c:v>0.25</c:v>
                </c:pt>
                <c:pt idx="2138">
                  <c:v>0.12605042016806722</c:v>
                </c:pt>
                <c:pt idx="2139">
                  <c:v>0.34615384615384615</c:v>
                </c:pt>
                <c:pt idx="2140">
                  <c:v>0.32692307692307693</c:v>
                </c:pt>
                <c:pt idx="2141">
                  <c:v>0.28888888888888886</c:v>
                </c:pt>
                <c:pt idx="2142">
                  <c:v>0.3611111111111111</c:v>
                </c:pt>
                <c:pt idx="2143">
                  <c:v>0.4</c:v>
                </c:pt>
                <c:pt idx="2144">
                  <c:v>0.25</c:v>
                </c:pt>
                <c:pt idx="2145">
                  <c:v>0.33333333333333331</c:v>
                </c:pt>
                <c:pt idx="2146">
                  <c:v>0.31888544891640869</c:v>
                </c:pt>
                <c:pt idx="2147">
                  <c:v>0.2982456140350877</c:v>
                </c:pt>
                <c:pt idx="2148">
                  <c:v>0.28205128205128205</c:v>
                </c:pt>
                <c:pt idx="2149">
                  <c:v>6.25E-2</c:v>
                </c:pt>
                <c:pt idx="2150">
                  <c:v>0.33333333333333331</c:v>
                </c:pt>
                <c:pt idx="2151">
                  <c:v>0.42499999999999999</c:v>
                </c:pt>
                <c:pt idx="2152">
                  <c:v>0.4</c:v>
                </c:pt>
                <c:pt idx="2153">
                  <c:v>0.38095238095238093</c:v>
                </c:pt>
                <c:pt idx="2154">
                  <c:v>0.2982456140350877</c:v>
                </c:pt>
                <c:pt idx="2155">
                  <c:v>0.33333333333333331</c:v>
                </c:pt>
                <c:pt idx="2156">
                  <c:v>0.33518005540166207</c:v>
                </c:pt>
                <c:pt idx="2157">
                  <c:v>0.20987654320987653</c:v>
                </c:pt>
                <c:pt idx="2158">
                  <c:v>0.11764705882352941</c:v>
                </c:pt>
                <c:pt idx="2159">
                  <c:v>0.23875432525951557</c:v>
                </c:pt>
                <c:pt idx="2160">
                  <c:v>0.21568627450980393</c:v>
                </c:pt>
                <c:pt idx="2161">
                  <c:v>0.16339869281045752</c:v>
                </c:pt>
                <c:pt idx="2162">
                  <c:v>7.9365079365079361E-2</c:v>
                </c:pt>
                <c:pt idx="2163">
                  <c:v>0.21568627450980393</c:v>
                </c:pt>
                <c:pt idx="2164">
                  <c:v>0.3235294117647059</c:v>
                </c:pt>
                <c:pt idx="2165">
                  <c:v>0.17142857142857143</c:v>
                </c:pt>
                <c:pt idx="2166">
                  <c:v>0.28205128205128205</c:v>
                </c:pt>
                <c:pt idx="2167">
                  <c:v>6.3625450180072027E-2</c:v>
                </c:pt>
                <c:pt idx="2168">
                  <c:v>0.2982456140350877</c:v>
                </c:pt>
                <c:pt idx="2169">
                  <c:v>0.25696594427244585</c:v>
                </c:pt>
                <c:pt idx="2170">
                  <c:v>0.28125</c:v>
                </c:pt>
                <c:pt idx="2171">
                  <c:v>0.34837092731829572</c:v>
                </c:pt>
                <c:pt idx="2172">
                  <c:v>0.3235294117647059</c:v>
                </c:pt>
                <c:pt idx="2173">
                  <c:v>0.42499999999999999</c:v>
                </c:pt>
                <c:pt idx="2174">
                  <c:v>0.18269230769230768</c:v>
                </c:pt>
                <c:pt idx="2175">
                  <c:v>0.31216931216931215</c:v>
                </c:pt>
                <c:pt idx="2176">
                  <c:v>0.36842105263157893</c:v>
                </c:pt>
                <c:pt idx="2177">
                  <c:v>0.28876244665718348</c:v>
                </c:pt>
                <c:pt idx="2178">
                  <c:v>0.33333333333333331</c:v>
                </c:pt>
                <c:pt idx="2179">
                  <c:v>0.16666666666666666</c:v>
                </c:pt>
                <c:pt idx="2180">
                  <c:v>0.25696594427244585</c:v>
                </c:pt>
                <c:pt idx="2181">
                  <c:v>0.2982456140350877</c:v>
                </c:pt>
                <c:pt idx="2182">
                  <c:v>0.26530612244897961</c:v>
                </c:pt>
                <c:pt idx="2183">
                  <c:v>8.1632653061224483E-2</c:v>
                </c:pt>
                <c:pt idx="2184">
                  <c:v>0.3611111111111111</c:v>
                </c:pt>
                <c:pt idx="2185">
                  <c:v>0.36842105263157893</c:v>
                </c:pt>
                <c:pt idx="2186">
                  <c:v>0.36842105263157893</c:v>
                </c:pt>
                <c:pt idx="2187">
                  <c:v>0.28888888888888886</c:v>
                </c:pt>
                <c:pt idx="2188">
                  <c:v>0.21568627450980393</c:v>
                </c:pt>
                <c:pt idx="2189">
                  <c:v>0.23875432525951557</c:v>
                </c:pt>
                <c:pt idx="2190">
                  <c:v>0.3235294117647059</c:v>
                </c:pt>
                <c:pt idx="2191">
                  <c:v>0.23076923076923078</c:v>
                </c:pt>
                <c:pt idx="2192">
                  <c:v>0.35294117647058826</c:v>
                </c:pt>
                <c:pt idx="2193">
                  <c:v>0.23076923076923078</c:v>
                </c:pt>
                <c:pt idx="2194">
                  <c:v>0.11564625850340136</c:v>
                </c:pt>
                <c:pt idx="2195">
                  <c:v>0.4</c:v>
                </c:pt>
                <c:pt idx="2196">
                  <c:v>0.36842105263157893</c:v>
                </c:pt>
                <c:pt idx="2197">
                  <c:v>0.291497975708502</c:v>
                </c:pt>
                <c:pt idx="2198">
                  <c:v>0.25146198830409355</c:v>
                </c:pt>
                <c:pt idx="2199">
                  <c:v>0.4</c:v>
                </c:pt>
                <c:pt idx="2200">
                  <c:v>0.11564625850340136</c:v>
                </c:pt>
                <c:pt idx="2201">
                  <c:v>0.31174089068825911</c:v>
                </c:pt>
                <c:pt idx="2202">
                  <c:v>2.5210084033613446E-2</c:v>
                </c:pt>
                <c:pt idx="2203">
                  <c:v>0.36842105263157893</c:v>
                </c:pt>
                <c:pt idx="2204">
                  <c:v>7.9365079365079361E-2</c:v>
                </c:pt>
                <c:pt idx="2205">
                  <c:v>0.35294117647058826</c:v>
                </c:pt>
                <c:pt idx="2206">
                  <c:v>0.36842105263157893</c:v>
                </c:pt>
                <c:pt idx="2207">
                  <c:v>0.21518987341772153</c:v>
                </c:pt>
                <c:pt idx="2208">
                  <c:v>0.42499999999999999</c:v>
                </c:pt>
                <c:pt idx="2209">
                  <c:v>0.16955017301038061</c:v>
                </c:pt>
                <c:pt idx="2210">
                  <c:v>0.16219119226638024</c:v>
                </c:pt>
                <c:pt idx="2211">
                  <c:v>0.21052631578947367</c:v>
                </c:pt>
                <c:pt idx="2212">
                  <c:v>2.5210084033613446E-2</c:v>
                </c:pt>
                <c:pt idx="2213">
                  <c:v>0.22663802363050484</c:v>
                </c:pt>
                <c:pt idx="2214">
                  <c:v>0.25714285714285712</c:v>
                </c:pt>
                <c:pt idx="2215">
                  <c:v>0.28104575163398693</c:v>
                </c:pt>
                <c:pt idx="2216">
                  <c:v>7.9365079365079361E-2</c:v>
                </c:pt>
                <c:pt idx="2217">
                  <c:v>0.20408163265306123</c:v>
                </c:pt>
                <c:pt idx="2218">
                  <c:v>0.2982456140350877</c:v>
                </c:pt>
                <c:pt idx="2219">
                  <c:v>0.21568627450980393</c:v>
                </c:pt>
                <c:pt idx="2220">
                  <c:v>0.33333333333333331</c:v>
                </c:pt>
                <c:pt idx="2221">
                  <c:v>0.17460317460317459</c:v>
                </c:pt>
                <c:pt idx="2222">
                  <c:v>0.25696594427244585</c:v>
                </c:pt>
                <c:pt idx="2223">
                  <c:v>0.4</c:v>
                </c:pt>
                <c:pt idx="2224">
                  <c:v>0.35294117647058826</c:v>
                </c:pt>
                <c:pt idx="2225">
                  <c:v>0.21518987341772153</c:v>
                </c:pt>
                <c:pt idx="2226">
                  <c:v>0.10714285714285714</c:v>
                </c:pt>
                <c:pt idx="2227">
                  <c:v>0.39473684210526316</c:v>
                </c:pt>
                <c:pt idx="2228">
                  <c:v>0.3611111111111111</c:v>
                </c:pt>
                <c:pt idx="2229">
                  <c:v>0.4</c:v>
                </c:pt>
                <c:pt idx="2230">
                  <c:v>6.3625450180072027E-2</c:v>
                </c:pt>
                <c:pt idx="2231">
                  <c:v>0.20408163265306123</c:v>
                </c:pt>
                <c:pt idx="2232">
                  <c:v>0.10256410256410256</c:v>
                </c:pt>
                <c:pt idx="2233">
                  <c:v>6.25E-2</c:v>
                </c:pt>
                <c:pt idx="2234">
                  <c:v>0.25</c:v>
                </c:pt>
                <c:pt idx="2235">
                  <c:v>0.22619047619047619</c:v>
                </c:pt>
                <c:pt idx="2236">
                  <c:v>0.24426450742240216</c:v>
                </c:pt>
                <c:pt idx="2237">
                  <c:v>6.25E-2</c:v>
                </c:pt>
                <c:pt idx="2238">
                  <c:v>0.25696594427244585</c:v>
                </c:pt>
                <c:pt idx="2239">
                  <c:v>0.27350427350427353</c:v>
                </c:pt>
                <c:pt idx="2240">
                  <c:v>0.20408163265306123</c:v>
                </c:pt>
                <c:pt idx="2241">
                  <c:v>0.25696594427244585</c:v>
                </c:pt>
                <c:pt idx="2242">
                  <c:v>0.20227920227920229</c:v>
                </c:pt>
                <c:pt idx="2243">
                  <c:v>0.22663802363050484</c:v>
                </c:pt>
                <c:pt idx="2244">
                  <c:v>0.25696594427244585</c:v>
                </c:pt>
                <c:pt idx="2245">
                  <c:v>0.4</c:v>
                </c:pt>
                <c:pt idx="2246">
                  <c:v>0.16666666666666666</c:v>
                </c:pt>
                <c:pt idx="2247">
                  <c:v>0.26530612244897961</c:v>
                </c:pt>
                <c:pt idx="2248">
                  <c:v>0.12605042016806722</c:v>
                </c:pt>
                <c:pt idx="2249">
                  <c:v>0.36842105263157893</c:v>
                </c:pt>
                <c:pt idx="2250">
                  <c:v>-3.5714285714285712E-2</c:v>
                </c:pt>
                <c:pt idx="2251">
                  <c:v>0.33333333333333331</c:v>
                </c:pt>
                <c:pt idx="2252">
                  <c:v>0.20408163265306123</c:v>
                </c:pt>
                <c:pt idx="2253">
                  <c:v>0.28104575163398693</c:v>
                </c:pt>
                <c:pt idx="2254">
                  <c:v>0.20227920227920229</c:v>
                </c:pt>
                <c:pt idx="2255">
                  <c:v>0.33333333333333331</c:v>
                </c:pt>
                <c:pt idx="2256">
                  <c:v>0.33518005540166207</c:v>
                </c:pt>
                <c:pt idx="2257">
                  <c:v>0.25714285714285712</c:v>
                </c:pt>
                <c:pt idx="2258">
                  <c:v>0.3611111111111111</c:v>
                </c:pt>
                <c:pt idx="2259">
                  <c:v>0.25696594427244585</c:v>
                </c:pt>
                <c:pt idx="2260">
                  <c:v>0.36842105263157893</c:v>
                </c:pt>
                <c:pt idx="2261">
                  <c:v>8.1632653061224483E-2</c:v>
                </c:pt>
                <c:pt idx="2262">
                  <c:v>0.23875432525951557</c:v>
                </c:pt>
                <c:pt idx="2263">
                  <c:v>0.36842105263157893</c:v>
                </c:pt>
                <c:pt idx="2264">
                  <c:v>0.3611111111111111</c:v>
                </c:pt>
                <c:pt idx="2265">
                  <c:v>0.33518005540166207</c:v>
                </c:pt>
                <c:pt idx="2266">
                  <c:v>0.28205128205128205</c:v>
                </c:pt>
                <c:pt idx="2267">
                  <c:v>0.23875432525951557</c:v>
                </c:pt>
                <c:pt idx="2268">
                  <c:v>0.22619047619047619</c:v>
                </c:pt>
                <c:pt idx="2269">
                  <c:v>0.25696594427244585</c:v>
                </c:pt>
                <c:pt idx="2270">
                  <c:v>0.12781954887218044</c:v>
                </c:pt>
                <c:pt idx="2271">
                  <c:v>0.23076923076923078</c:v>
                </c:pt>
                <c:pt idx="2272">
                  <c:v>0.36842105263157893</c:v>
                </c:pt>
                <c:pt idx="2273">
                  <c:v>0.16955017301038061</c:v>
                </c:pt>
                <c:pt idx="2274">
                  <c:v>0.17142857142857143</c:v>
                </c:pt>
                <c:pt idx="2275">
                  <c:v>0.21052631578947367</c:v>
                </c:pt>
                <c:pt idx="2276">
                  <c:v>0.17142857142857143</c:v>
                </c:pt>
                <c:pt idx="2277">
                  <c:v>0.36842105263157893</c:v>
                </c:pt>
                <c:pt idx="2278">
                  <c:v>0.25925925925925924</c:v>
                </c:pt>
                <c:pt idx="2279">
                  <c:v>0.36842105263157893</c:v>
                </c:pt>
                <c:pt idx="2280">
                  <c:v>8.1632653061224483E-2</c:v>
                </c:pt>
                <c:pt idx="2281">
                  <c:v>0.20408163265306123</c:v>
                </c:pt>
                <c:pt idx="2282">
                  <c:v>0.25</c:v>
                </c:pt>
                <c:pt idx="2283">
                  <c:v>0.42499999999999999</c:v>
                </c:pt>
                <c:pt idx="2284">
                  <c:v>0.21052631578947367</c:v>
                </c:pt>
                <c:pt idx="2285">
                  <c:v>0.39473684210526316</c:v>
                </c:pt>
                <c:pt idx="2286">
                  <c:v>0.25696594427244585</c:v>
                </c:pt>
                <c:pt idx="2287">
                  <c:v>0.2857142857142857</c:v>
                </c:pt>
                <c:pt idx="2288">
                  <c:v>0.3611111111111111</c:v>
                </c:pt>
                <c:pt idx="2289">
                  <c:v>7.9365079365079361E-2</c:v>
                </c:pt>
                <c:pt idx="2290">
                  <c:v>0.33333333333333331</c:v>
                </c:pt>
                <c:pt idx="2291">
                  <c:v>0.12798874824191281</c:v>
                </c:pt>
                <c:pt idx="2292">
                  <c:v>0.24426450742240216</c:v>
                </c:pt>
                <c:pt idx="2293">
                  <c:v>0.31888544891640869</c:v>
                </c:pt>
                <c:pt idx="2294">
                  <c:v>0.21568627450980393</c:v>
                </c:pt>
                <c:pt idx="2295">
                  <c:v>0.25146198830409355</c:v>
                </c:pt>
                <c:pt idx="2296">
                  <c:v>0.27350427350427353</c:v>
                </c:pt>
                <c:pt idx="2297">
                  <c:v>0.35294117647058826</c:v>
                </c:pt>
                <c:pt idx="2298">
                  <c:v>0.25696594427244585</c:v>
                </c:pt>
                <c:pt idx="2299">
                  <c:v>0.25146198830409355</c:v>
                </c:pt>
                <c:pt idx="2300">
                  <c:v>0.28888888888888886</c:v>
                </c:pt>
                <c:pt idx="2301">
                  <c:v>0.28205128205128205</c:v>
                </c:pt>
                <c:pt idx="2302">
                  <c:v>0.20508744038155802</c:v>
                </c:pt>
                <c:pt idx="2303">
                  <c:v>0.33333333333333331</c:v>
                </c:pt>
                <c:pt idx="2304">
                  <c:v>0.34615384615384615</c:v>
                </c:pt>
                <c:pt idx="2305">
                  <c:v>0.16666666666666666</c:v>
                </c:pt>
                <c:pt idx="2306">
                  <c:v>0.31888544891640869</c:v>
                </c:pt>
                <c:pt idx="2307">
                  <c:v>0.33333333333333331</c:v>
                </c:pt>
                <c:pt idx="2308">
                  <c:v>0.36842105263157893</c:v>
                </c:pt>
                <c:pt idx="2309">
                  <c:v>0.20408163265306123</c:v>
                </c:pt>
                <c:pt idx="2310">
                  <c:v>0.3611111111111111</c:v>
                </c:pt>
                <c:pt idx="2311">
                  <c:v>0.31216931216931215</c:v>
                </c:pt>
                <c:pt idx="2312">
                  <c:v>0.12798874824191281</c:v>
                </c:pt>
                <c:pt idx="2313">
                  <c:v>2.5210084033613446E-2</c:v>
                </c:pt>
                <c:pt idx="2314">
                  <c:v>0.16339869281045752</c:v>
                </c:pt>
                <c:pt idx="2315">
                  <c:v>0.16219119226638024</c:v>
                </c:pt>
                <c:pt idx="2316">
                  <c:v>0.33333333333333331</c:v>
                </c:pt>
                <c:pt idx="2317">
                  <c:v>0.31888544891640869</c:v>
                </c:pt>
                <c:pt idx="2318">
                  <c:v>0.19047619047619047</c:v>
                </c:pt>
                <c:pt idx="2319">
                  <c:v>0.25696594427244585</c:v>
                </c:pt>
                <c:pt idx="2320">
                  <c:v>0.26530612244897961</c:v>
                </c:pt>
                <c:pt idx="2321">
                  <c:v>0.33333333333333331</c:v>
                </c:pt>
                <c:pt idx="2322">
                  <c:v>0.17388407728181213</c:v>
                </c:pt>
                <c:pt idx="2323">
                  <c:v>0.3611111111111111</c:v>
                </c:pt>
                <c:pt idx="2324">
                  <c:v>0.20634920634920634</c:v>
                </c:pt>
                <c:pt idx="2325">
                  <c:v>0.4</c:v>
                </c:pt>
                <c:pt idx="2326">
                  <c:v>0.2982456140350877</c:v>
                </c:pt>
                <c:pt idx="2327">
                  <c:v>0.16219119226638024</c:v>
                </c:pt>
                <c:pt idx="2328">
                  <c:v>6.25E-2</c:v>
                </c:pt>
                <c:pt idx="2329">
                  <c:v>0.38095238095238093</c:v>
                </c:pt>
                <c:pt idx="2330">
                  <c:v>0.20227920227920229</c:v>
                </c:pt>
                <c:pt idx="2331">
                  <c:v>0.20987654320987653</c:v>
                </c:pt>
                <c:pt idx="2332">
                  <c:v>0.16955017301038061</c:v>
                </c:pt>
                <c:pt idx="2333">
                  <c:v>0.36842105263157893</c:v>
                </c:pt>
                <c:pt idx="2334">
                  <c:v>0.33518005540166207</c:v>
                </c:pt>
                <c:pt idx="2335">
                  <c:v>0.2982456140350877</c:v>
                </c:pt>
                <c:pt idx="2336">
                  <c:v>0.36842105263157893</c:v>
                </c:pt>
                <c:pt idx="2337">
                  <c:v>0.19117647058823528</c:v>
                </c:pt>
                <c:pt idx="2338">
                  <c:v>0.11764705882352941</c:v>
                </c:pt>
                <c:pt idx="2339">
                  <c:v>0.291497975708502</c:v>
                </c:pt>
                <c:pt idx="2340">
                  <c:v>0.31888544891640869</c:v>
                </c:pt>
                <c:pt idx="2341">
                  <c:v>5.1020408163265302E-3</c:v>
                </c:pt>
                <c:pt idx="2342">
                  <c:v>0.25</c:v>
                </c:pt>
                <c:pt idx="2343">
                  <c:v>0.25696594427244585</c:v>
                </c:pt>
                <c:pt idx="2344">
                  <c:v>0.21518987341772153</c:v>
                </c:pt>
                <c:pt idx="2345">
                  <c:v>0.2982456140350877</c:v>
                </c:pt>
                <c:pt idx="2346">
                  <c:v>0.17142857142857143</c:v>
                </c:pt>
                <c:pt idx="2347">
                  <c:v>0.10714285714285714</c:v>
                </c:pt>
                <c:pt idx="2348">
                  <c:v>0.25696594427244585</c:v>
                </c:pt>
                <c:pt idx="2349">
                  <c:v>0.25146198830409355</c:v>
                </c:pt>
                <c:pt idx="2350">
                  <c:v>0.3611111111111111</c:v>
                </c:pt>
                <c:pt idx="2351">
                  <c:v>0.33518005540166207</c:v>
                </c:pt>
                <c:pt idx="2352">
                  <c:v>0.31888544891640869</c:v>
                </c:pt>
                <c:pt idx="2353">
                  <c:v>0.31174089068825911</c:v>
                </c:pt>
                <c:pt idx="2354">
                  <c:v>0.34615384615384615</c:v>
                </c:pt>
                <c:pt idx="2355">
                  <c:v>0.15966386554621848</c:v>
                </c:pt>
                <c:pt idx="2356">
                  <c:v>0.2982456140350877</c:v>
                </c:pt>
                <c:pt idx="2357">
                  <c:v>0.25925925925925924</c:v>
                </c:pt>
                <c:pt idx="2358">
                  <c:v>0.31174089068825911</c:v>
                </c:pt>
                <c:pt idx="2359">
                  <c:v>0.33333333333333331</c:v>
                </c:pt>
                <c:pt idx="2360">
                  <c:v>0.20227920227920229</c:v>
                </c:pt>
                <c:pt idx="2361">
                  <c:v>0.31174089068825911</c:v>
                </c:pt>
                <c:pt idx="2362">
                  <c:v>0.3611111111111111</c:v>
                </c:pt>
                <c:pt idx="2363">
                  <c:v>0.36842105263157893</c:v>
                </c:pt>
                <c:pt idx="2364">
                  <c:v>0.21052631578947367</c:v>
                </c:pt>
                <c:pt idx="2365">
                  <c:v>0.17460317460317459</c:v>
                </c:pt>
                <c:pt idx="2366">
                  <c:v>0.39473684210526316</c:v>
                </c:pt>
                <c:pt idx="2367">
                  <c:v>0.35294117647058826</c:v>
                </c:pt>
                <c:pt idx="2368">
                  <c:v>0.13565426170468187</c:v>
                </c:pt>
                <c:pt idx="2369">
                  <c:v>0.35294117647058826</c:v>
                </c:pt>
                <c:pt idx="2370">
                  <c:v>0.32432432432432434</c:v>
                </c:pt>
                <c:pt idx="2371">
                  <c:v>0.25213675213675213</c:v>
                </c:pt>
                <c:pt idx="2372">
                  <c:v>0.2982456140350877</c:v>
                </c:pt>
                <c:pt idx="2373">
                  <c:v>0.36842105263157893</c:v>
                </c:pt>
                <c:pt idx="2374">
                  <c:v>0.2982456140350877</c:v>
                </c:pt>
                <c:pt idx="2375">
                  <c:v>0.27350427350427353</c:v>
                </c:pt>
                <c:pt idx="2376">
                  <c:v>0.27350427350427353</c:v>
                </c:pt>
                <c:pt idx="2377">
                  <c:v>0.21052631578947367</c:v>
                </c:pt>
                <c:pt idx="2378">
                  <c:v>0.42499999999999999</c:v>
                </c:pt>
                <c:pt idx="2379">
                  <c:v>0.26530612244897961</c:v>
                </c:pt>
                <c:pt idx="2380">
                  <c:v>0.25696594427244585</c:v>
                </c:pt>
                <c:pt idx="2381">
                  <c:v>0.20408163265306123</c:v>
                </c:pt>
                <c:pt idx="2382">
                  <c:v>0.25696594427244585</c:v>
                </c:pt>
                <c:pt idx="2383">
                  <c:v>0.11564625850340136</c:v>
                </c:pt>
                <c:pt idx="2384">
                  <c:v>0.36842105263157893</c:v>
                </c:pt>
                <c:pt idx="2385">
                  <c:v>0.39473684210526316</c:v>
                </c:pt>
                <c:pt idx="2386">
                  <c:v>0.24107142857142858</c:v>
                </c:pt>
                <c:pt idx="2387">
                  <c:v>0.21052631578947367</c:v>
                </c:pt>
                <c:pt idx="2388">
                  <c:v>0.33333333333333331</c:v>
                </c:pt>
                <c:pt idx="2389">
                  <c:v>0.28125</c:v>
                </c:pt>
                <c:pt idx="2390">
                  <c:v>0.27350427350427353</c:v>
                </c:pt>
                <c:pt idx="2391">
                  <c:v>7.9365079365079361E-2</c:v>
                </c:pt>
                <c:pt idx="2392">
                  <c:v>0.28421052631578947</c:v>
                </c:pt>
                <c:pt idx="2393">
                  <c:v>0.36842105263157893</c:v>
                </c:pt>
                <c:pt idx="2394">
                  <c:v>0.12798874824191281</c:v>
                </c:pt>
                <c:pt idx="2395">
                  <c:v>0.36842105263157893</c:v>
                </c:pt>
                <c:pt idx="2396">
                  <c:v>0.38095238095238093</c:v>
                </c:pt>
                <c:pt idx="2397">
                  <c:v>0.2982456140350877</c:v>
                </c:pt>
                <c:pt idx="2398">
                  <c:v>0.35294117647058826</c:v>
                </c:pt>
                <c:pt idx="2399">
                  <c:v>0.32692307692307693</c:v>
                </c:pt>
                <c:pt idx="2400">
                  <c:v>0.15966386554621848</c:v>
                </c:pt>
                <c:pt idx="2401">
                  <c:v>0.17142857142857143</c:v>
                </c:pt>
                <c:pt idx="2402">
                  <c:v>0.33333333333333331</c:v>
                </c:pt>
                <c:pt idx="2403">
                  <c:v>0.27350427350427353</c:v>
                </c:pt>
                <c:pt idx="2404">
                  <c:v>0.42499999999999999</c:v>
                </c:pt>
                <c:pt idx="2405">
                  <c:v>0.18367346938775511</c:v>
                </c:pt>
                <c:pt idx="2406">
                  <c:v>0.27350427350427353</c:v>
                </c:pt>
                <c:pt idx="2407">
                  <c:v>0.36842105263157893</c:v>
                </c:pt>
                <c:pt idx="2408">
                  <c:v>0.34615384615384615</c:v>
                </c:pt>
                <c:pt idx="2409">
                  <c:v>0.2982456140350877</c:v>
                </c:pt>
                <c:pt idx="2410">
                  <c:v>0.33518005540166207</c:v>
                </c:pt>
                <c:pt idx="2411">
                  <c:v>0.25146198830409355</c:v>
                </c:pt>
                <c:pt idx="2412">
                  <c:v>0.2857142857142857</c:v>
                </c:pt>
                <c:pt idx="2413">
                  <c:v>0.31888544891640869</c:v>
                </c:pt>
                <c:pt idx="2414">
                  <c:v>0.23076923076923078</c:v>
                </c:pt>
                <c:pt idx="2415">
                  <c:v>0.25146198830409355</c:v>
                </c:pt>
                <c:pt idx="2416">
                  <c:v>0.21568627450980393</c:v>
                </c:pt>
                <c:pt idx="2417">
                  <c:v>0.39473684210526316</c:v>
                </c:pt>
                <c:pt idx="2418">
                  <c:v>0.26530612244897961</c:v>
                </c:pt>
                <c:pt idx="2419">
                  <c:v>0.16219119226638024</c:v>
                </c:pt>
                <c:pt idx="2420">
                  <c:v>0.16219119226638024</c:v>
                </c:pt>
                <c:pt idx="2421">
                  <c:v>0.28876244665718348</c:v>
                </c:pt>
                <c:pt idx="2422">
                  <c:v>0.25</c:v>
                </c:pt>
                <c:pt idx="2423">
                  <c:v>0.34615384615384615</c:v>
                </c:pt>
                <c:pt idx="2424">
                  <c:v>0.291497975708502</c:v>
                </c:pt>
                <c:pt idx="2425">
                  <c:v>0.42499999999999999</c:v>
                </c:pt>
                <c:pt idx="2426">
                  <c:v>0.33333333333333331</c:v>
                </c:pt>
                <c:pt idx="2427">
                  <c:v>0.32692307692307693</c:v>
                </c:pt>
                <c:pt idx="2428">
                  <c:v>0.17142857142857143</c:v>
                </c:pt>
                <c:pt idx="2429">
                  <c:v>0.28205128205128205</c:v>
                </c:pt>
                <c:pt idx="2430">
                  <c:v>0.31174089068825911</c:v>
                </c:pt>
                <c:pt idx="2431">
                  <c:v>0.2982456140350877</c:v>
                </c:pt>
                <c:pt idx="2432">
                  <c:v>0.25696594427244585</c:v>
                </c:pt>
                <c:pt idx="2433">
                  <c:v>0.11564625850340136</c:v>
                </c:pt>
                <c:pt idx="2434">
                  <c:v>0.31888544891640869</c:v>
                </c:pt>
                <c:pt idx="2435">
                  <c:v>0.11764705882352941</c:v>
                </c:pt>
                <c:pt idx="2436">
                  <c:v>0.34837092731829572</c:v>
                </c:pt>
                <c:pt idx="2437">
                  <c:v>0.16339869281045752</c:v>
                </c:pt>
                <c:pt idx="2438">
                  <c:v>0.31174089068825911</c:v>
                </c:pt>
                <c:pt idx="2439">
                  <c:v>1.8987341772151899E-2</c:v>
                </c:pt>
                <c:pt idx="2440">
                  <c:v>0.17388407728181213</c:v>
                </c:pt>
                <c:pt idx="2441">
                  <c:v>0.36842105263157893</c:v>
                </c:pt>
                <c:pt idx="2442">
                  <c:v>0.32432432432432434</c:v>
                </c:pt>
                <c:pt idx="2443">
                  <c:v>0.28104575163398693</c:v>
                </c:pt>
                <c:pt idx="2444">
                  <c:v>0.4</c:v>
                </c:pt>
                <c:pt idx="2445">
                  <c:v>0.25696594427244585</c:v>
                </c:pt>
                <c:pt idx="2446">
                  <c:v>0.16219119226638024</c:v>
                </c:pt>
                <c:pt idx="2447">
                  <c:v>0.33518005540166207</c:v>
                </c:pt>
                <c:pt idx="2448">
                  <c:v>0.20227920227920229</c:v>
                </c:pt>
                <c:pt idx="2449">
                  <c:v>0.25696594427244585</c:v>
                </c:pt>
                <c:pt idx="2450">
                  <c:v>0.29411764705882354</c:v>
                </c:pt>
                <c:pt idx="2451">
                  <c:v>0.17142857142857143</c:v>
                </c:pt>
                <c:pt idx="2452">
                  <c:v>0.291497975708502</c:v>
                </c:pt>
                <c:pt idx="2453">
                  <c:v>0.34615384615384615</c:v>
                </c:pt>
                <c:pt idx="2454">
                  <c:v>0.31174089068825911</c:v>
                </c:pt>
                <c:pt idx="2455">
                  <c:v>0.33333333333333331</c:v>
                </c:pt>
                <c:pt idx="2456">
                  <c:v>0.31174089068825911</c:v>
                </c:pt>
                <c:pt idx="2457">
                  <c:v>0.27350427350427353</c:v>
                </c:pt>
                <c:pt idx="2458">
                  <c:v>0.26530612244897961</c:v>
                </c:pt>
                <c:pt idx="2459">
                  <c:v>0.36842105263157893</c:v>
                </c:pt>
                <c:pt idx="2460">
                  <c:v>0.38095238095238093</c:v>
                </c:pt>
                <c:pt idx="2461">
                  <c:v>0.28104575163398693</c:v>
                </c:pt>
                <c:pt idx="2462">
                  <c:v>0.36842105263157893</c:v>
                </c:pt>
                <c:pt idx="2463">
                  <c:v>0.291497975708502</c:v>
                </c:pt>
                <c:pt idx="2464">
                  <c:v>0.33333333333333331</c:v>
                </c:pt>
                <c:pt idx="2465">
                  <c:v>0.22619047619047619</c:v>
                </c:pt>
                <c:pt idx="2466">
                  <c:v>0.17460317460317459</c:v>
                </c:pt>
                <c:pt idx="2467">
                  <c:v>0.20508744038155802</c:v>
                </c:pt>
                <c:pt idx="2468">
                  <c:v>0.3235294117647059</c:v>
                </c:pt>
                <c:pt idx="2469">
                  <c:v>0.33333333333333331</c:v>
                </c:pt>
                <c:pt idx="2470">
                  <c:v>0.20227920227920229</c:v>
                </c:pt>
                <c:pt idx="2471">
                  <c:v>0.39285714285714285</c:v>
                </c:pt>
                <c:pt idx="2472">
                  <c:v>0.11564625850340136</c:v>
                </c:pt>
                <c:pt idx="2473">
                  <c:v>0.25696594427244585</c:v>
                </c:pt>
                <c:pt idx="2474">
                  <c:v>0.34615384615384615</c:v>
                </c:pt>
                <c:pt idx="2475">
                  <c:v>4.7619047619047616E-2</c:v>
                </c:pt>
                <c:pt idx="2476">
                  <c:v>0.22663802363050484</c:v>
                </c:pt>
                <c:pt idx="2477">
                  <c:v>0.2982456140350877</c:v>
                </c:pt>
                <c:pt idx="2478">
                  <c:v>0.35294117647058826</c:v>
                </c:pt>
                <c:pt idx="2479">
                  <c:v>0.3235294117647059</c:v>
                </c:pt>
                <c:pt idx="2480">
                  <c:v>0.31888544891640869</c:v>
                </c:pt>
                <c:pt idx="2481">
                  <c:v>0.39473684210526316</c:v>
                </c:pt>
                <c:pt idx="2482">
                  <c:v>0.31174089068825911</c:v>
                </c:pt>
                <c:pt idx="2483">
                  <c:v>0.39473684210526316</c:v>
                </c:pt>
                <c:pt idx="2484">
                  <c:v>0.18367346938775511</c:v>
                </c:pt>
                <c:pt idx="2485">
                  <c:v>0.39473684210526316</c:v>
                </c:pt>
                <c:pt idx="2486">
                  <c:v>0.25146198830409355</c:v>
                </c:pt>
                <c:pt idx="2487">
                  <c:v>0.35294117647058826</c:v>
                </c:pt>
                <c:pt idx="2488">
                  <c:v>0.35294117647058826</c:v>
                </c:pt>
                <c:pt idx="2489">
                  <c:v>0.25</c:v>
                </c:pt>
                <c:pt idx="2490">
                  <c:v>0.36842105263157893</c:v>
                </c:pt>
                <c:pt idx="2491">
                  <c:v>0.25146198830409355</c:v>
                </c:pt>
                <c:pt idx="2492">
                  <c:v>0.36842105263157893</c:v>
                </c:pt>
                <c:pt idx="2493">
                  <c:v>0.28104575163398693</c:v>
                </c:pt>
                <c:pt idx="2494">
                  <c:v>0.29411764705882354</c:v>
                </c:pt>
                <c:pt idx="2495">
                  <c:v>0.26530612244897961</c:v>
                </c:pt>
                <c:pt idx="2496">
                  <c:v>0.25</c:v>
                </c:pt>
                <c:pt idx="2497">
                  <c:v>0.33333333333333331</c:v>
                </c:pt>
                <c:pt idx="2498">
                  <c:v>0.4</c:v>
                </c:pt>
                <c:pt idx="2499">
                  <c:v>0.3611111111111111</c:v>
                </c:pt>
                <c:pt idx="2500">
                  <c:v>0.36842105263157893</c:v>
                </c:pt>
                <c:pt idx="2501">
                  <c:v>0.19117647058823528</c:v>
                </c:pt>
                <c:pt idx="2502">
                  <c:v>0.25</c:v>
                </c:pt>
                <c:pt idx="2503">
                  <c:v>0.28205128205128205</c:v>
                </c:pt>
                <c:pt idx="2504">
                  <c:v>0.28125</c:v>
                </c:pt>
                <c:pt idx="2505">
                  <c:v>6.25E-2</c:v>
                </c:pt>
                <c:pt idx="2506">
                  <c:v>0.34837092731829572</c:v>
                </c:pt>
                <c:pt idx="2507">
                  <c:v>0.2982456140350877</c:v>
                </c:pt>
                <c:pt idx="2508">
                  <c:v>0.16219119226638024</c:v>
                </c:pt>
                <c:pt idx="2509">
                  <c:v>0.21518987341772153</c:v>
                </c:pt>
                <c:pt idx="2510">
                  <c:v>0.27170868347338933</c:v>
                </c:pt>
                <c:pt idx="2511">
                  <c:v>0.21052631578947367</c:v>
                </c:pt>
                <c:pt idx="2512">
                  <c:v>0.35294117647058826</c:v>
                </c:pt>
                <c:pt idx="2513">
                  <c:v>0.42499999999999999</c:v>
                </c:pt>
                <c:pt idx="2514">
                  <c:v>0.12605042016806722</c:v>
                </c:pt>
                <c:pt idx="2515">
                  <c:v>0.33518005540166207</c:v>
                </c:pt>
                <c:pt idx="2516">
                  <c:v>0.34615384615384615</c:v>
                </c:pt>
                <c:pt idx="2517">
                  <c:v>0.11564625850340136</c:v>
                </c:pt>
                <c:pt idx="2518">
                  <c:v>0.2982456140350877</c:v>
                </c:pt>
                <c:pt idx="2519">
                  <c:v>0.3611111111111111</c:v>
                </c:pt>
                <c:pt idx="2520">
                  <c:v>0.31174089068825911</c:v>
                </c:pt>
                <c:pt idx="2521">
                  <c:v>0.25696594427244585</c:v>
                </c:pt>
                <c:pt idx="2522">
                  <c:v>0.36842105263157893</c:v>
                </c:pt>
                <c:pt idx="2523">
                  <c:v>0.20408163265306123</c:v>
                </c:pt>
                <c:pt idx="2524">
                  <c:v>0.2857142857142857</c:v>
                </c:pt>
                <c:pt idx="2525">
                  <c:v>0.20408163265306123</c:v>
                </c:pt>
                <c:pt idx="2526">
                  <c:v>0.27350427350427353</c:v>
                </c:pt>
                <c:pt idx="2527">
                  <c:v>0.33518005540166207</c:v>
                </c:pt>
                <c:pt idx="2528">
                  <c:v>0.29411764705882354</c:v>
                </c:pt>
                <c:pt idx="2529">
                  <c:v>0.29411764705882354</c:v>
                </c:pt>
                <c:pt idx="2530">
                  <c:v>0.38095238095238093</c:v>
                </c:pt>
                <c:pt idx="2531">
                  <c:v>0.25</c:v>
                </c:pt>
                <c:pt idx="2532">
                  <c:v>0.36842105263157893</c:v>
                </c:pt>
                <c:pt idx="2533">
                  <c:v>0.32</c:v>
                </c:pt>
                <c:pt idx="2534">
                  <c:v>0.4</c:v>
                </c:pt>
                <c:pt idx="2535">
                  <c:v>0.28888888888888886</c:v>
                </c:pt>
                <c:pt idx="2536">
                  <c:v>0.4</c:v>
                </c:pt>
                <c:pt idx="2537">
                  <c:v>0.291497975708502</c:v>
                </c:pt>
                <c:pt idx="2538">
                  <c:v>0.29411764705882354</c:v>
                </c:pt>
                <c:pt idx="2539">
                  <c:v>0.29411764705882354</c:v>
                </c:pt>
                <c:pt idx="2540">
                  <c:v>0.12781954887218044</c:v>
                </c:pt>
                <c:pt idx="2541">
                  <c:v>7.9365079365079361E-2</c:v>
                </c:pt>
                <c:pt idx="2542">
                  <c:v>0.28888888888888886</c:v>
                </c:pt>
                <c:pt idx="2543">
                  <c:v>0.28205128205128205</c:v>
                </c:pt>
                <c:pt idx="2544">
                  <c:v>0.19117647058823528</c:v>
                </c:pt>
                <c:pt idx="2545">
                  <c:v>0.31216931216931215</c:v>
                </c:pt>
                <c:pt idx="2546">
                  <c:v>0.22619047619047619</c:v>
                </c:pt>
                <c:pt idx="2547">
                  <c:v>0.17142857142857143</c:v>
                </c:pt>
                <c:pt idx="2548">
                  <c:v>0.39473684210526316</c:v>
                </c:pt>
                <c:pt idx="2549">
                  <c:v>0.26530612244897961</c:v>
                </c:pt>
                <c:pt idx="2550">
                  <c:v>0.31174089068825911</c:v>
                </c:pt>
                <c:pt idx="2551">
                  <c:v>0.28888888888888886</c:v>
                </c:pt>
                <c:pt idx="2552">
                  <c:v>0.28876244665718348</c:v>
                </c:pt>
                <c:pt idx="2553">
                  <c:v>0.20987654320987653</c:v>
                </c:pt>
                <c:pt idx="2554">
                  <c:v>0.16339869281045752</c:v>
                </c:pt>
                <c:pt idx="2555">
                  <c:v>0.31888544891640869</c:v>
                </c:pt>
                <c:pt idx="2556">
                  <c:v>0.33333333333333331</c:v>
                </c:pt>
                <c:pt idx="2557">
                  <c:v>0.25213675213675213</c:v>
                </c:pt>
                <c:pt idx="2558">
                  <c:v>0.3235294117647059</c:v>
                </c:pt>
                <c:pt idx="2559">
                  <c:v>0.34615384615384615</c:v>
                </c:pt>
                <c:pt idx="2560">
                  <c:v>0.28125</c:v>
                </c:pt>
                <c:pt idx="2561">
                  <c:v>0.4</c:v>
                </c:pt>
                <c:pt idx="2562">
                  <c:v>0.4</c:v>
                </c:pt>
                <c:pt idx="2563">
                  <c:v>0.34837092731829572</c:v>
                </c:pt>
                <c:pt idx="2564">
                  <c:v>0.27350427350427353</c:v>
                </c:pt>
                <c:pt idx="2565">
                  <c:v>0.28205128205128205</c:v>
                </c:pt>
                <c:pt idx="2566">
                  <c:v>0.28205128205128205</c:v>
                </c:pt>
                <c:pt idx="2567">
                  <c:v>0.36842105263157893</c:v>
                </c:pt>
                <c:pt idx="2568">
                  <c:v>7.9365079365079361E-2</c:v>
                </c:pt>
                <c:pt idx="2569">
                  <c:v>0.34615384615384615</c:v>
                </c:pt>
                <c:pt idx="2570">
                  <c:v>0.16219119226638024</c:v>
                </c:pt>
                <c:pt idx="2571">
                  <c:v>0.39473684210526316</c:v>
                </c:pt>
                <c:pt idx="2572">
                  <c:v>0.11564625850340136</c:v>
                </c:pt>
                <c:pt idx="2573">
                  <c:v>0.35294117647058826</c:v>
                </c:pt>
                <c:pt idx="2574">
                  <c:v>0.11764705882352941</c:v>
                </c:pt>
                <c:pt idx="2575">
                  <c:v>7.6693968726731204E-2</c:v>
                </c:pt>
                <c:pt idx="2576">
                  <c:v>0.2982456140350877</c:v>
                </c:pt>
                <c:pt idx="2577">
                  <c:v>5.1020408163265302E-3</c:v>
                </c:pt>
                <c:pt idx="2578">
                  <c:v>0.34615384615384615</c:v>
                </c:pt>
                <c:pt idx="2579">
                  <c:v>0.36842105263157893</c:v>
                </c:pt>
                <c:pt idx="2580">
                  <c:v>2.5210084033613446E-2</c:v>
                </c:pt>
                <c:pt idx="2581">
                  <c:v>0.4</c:v>
                </c:pt>
                <c:pt idx="2582">
                  <c:v>0.18269230769230768</c:v>
                </c:pt>
                <c:pt idx="2583">
                  <c:v>0.25</c:v>
                </c:pt>
                <c:pt idx="2584">
                  <c:v>0.33518005540166207</c:v>
                </c:pt>
                <c:pt idx="2585">
                  <c:v>0.36842105263157893</c:v>
                </c:pt>
                <c:pt idx="2586">
                  <c:v>0.36842105263157893</c:v>
                </c:pt>
                <c:pt idx="2587">
                  <c:v>0.3235294117647059</c:v>
                </c:pt>
                <c:pt idx="2588">
                  <c:v>0.20408163265306123</c:v>
                </c:pt>
                <c:pt idx="2589">
                  <c:v>0.32432432432432434</c:v>
                </c:pt>
                <c:pt idx="2590">
                  <c:v>0.2982456140350877</c:v>
                </c:pt>
                <c:pt idx="2591">
                  <c:v>0.20227920227920229</c:v>
                </c:pt>
                <c:pt idx="2592">
                  <c:v>0.20987654320987653</c:v>
                </c:pt>
                <c:pt idx="2593">
                  <c:v>0.36842105263157893</c:v>
                </c:pt>
                <c:pt idx="2594">
                  <c:v>0.21568627450980393</c:v>
                </c:pt>
                <c:pt idx="2595">
                  <c:v>0.21052631578947367</c:v>
                </c:pt>
                <c:pt idx="2596">
                  <c:v>0.35294117647058826</c:v>
                </c:pt>
                <c:pt idx="2597">
                  <c:v>0.21518987341772153</c:v>
                </c:pt>
                <c:pt idx="2598">
                  <c:v>0.27170868347338933</c:v>
                </c:pt>
                <c:pt idx="2599">
                  <c:v>0.28205128205128205</c:v>
                </c:pt>
                <c:pt idx="2600">
                  <c:v>0.17388407728181213</c:v>
                </c:pt>
                <c:pt idx="2601">
                  <c:v>0.16219119226638024</c:v>
                </c:pt>
                <c:pt idx="2602">
                  <c:v>0.25213675213675213</c:v>
                </c:pt>
                <c:pt idx="2603">
                  <c:v>0.3235294117647059</c:v>
                </c:pt>
                <c:pt idx="2604">
                  <c:v>0.27350427350427353</c:v>
                </c:pt>
                <c:pt idx="2605">
                  <c:v>0.17388407728181213</c:v>
                </c:pt>
                <c:pt idx="2606">
                  <c:v>0.32692307692307693</c:v>
                </c:pt>
                <c:pt idx="2607">
                  <c:v>0.15865384615384615</c:v>
                </c:pt>
                <c:pt idx="2608">
                  <c:v>0.34615384615384615</c:v>
                </c:pt>
                <c:pt idx="2609">
                  <c:v>0.25696594427244585</c:v>
                </c:pt>
                <c:pt idx="2610">
                  <c:v>0.33333333333333331</c:v>
                </c:pt>
                <c:pt idx="2611">
                  <c:v>0.29411764705882354</c:v>
                </c:pt>
                <c:pt idx="2612">
                  <c:v>0.31174089068825911</c:v>
                </c:pt>
                <c:pt idx="2613">
                  <c:v>0.27350427350427353</c:v>
                </c:pt>
                <c:pt idx="2614">
                  <c:v>0.2982456140350877</c:v>
                </c:pt>
                <c:pt idx="2615">
                  <c:v>0.27170868347338933</c:v>
                </c:pt>
                <c:pt idx="2616">
                  <c:v>0.42499999999999999</c:v>
                </c:pt>
                <c:pt idx="2617">
                  <c:v>0.3611111111111111</c:v>
                </c:pt>
                <c:pt idx="2618">
                  <c:v>0.16219119226638024</c:v>
                </c:pt>
                <c:pt idx="2619">
                  <c:v>0.33333333333333331</c:v>
                </c:pt>
                <c:pt idx="2620">
                  <c:v>0.4</c:v>
                </c:pt>
                <c:pt idx="2621">
                  <c:v>0.25696594427244585</c:v>
                </c:pt>
                <c:pt idx="2622">
                  <c:v>0.2982456140350877</c:v>
                </c:pt>
                <c:pt idx="2623">
                  <c:v>0.36842105263157893</c:v>
                </c:pt>
                <c:pt idx="2624">
                  <c:v>0.24426450742240216</c:v>
                </c:pt>
                <c:pt idx="2625">
                  <c:v>0.39473684210526316</c:v>
                </c:pt>
                <c:pt idx="2626">
                  <c:v>6.25E-2</c:v>
                </c:pt>
                <c:pt idx="2627">
                  <c:v>0.20814479638009051</c:v>
                </c:pt>
                <c:pt idx="2628">
                  <c:v>0.17142857142857143</c:v>
                </c:pt>
                <c:pt idx="2629">
                  <c:v>0.12798874824191281</c:v>
                </c:pt>
                <c:pt idx="2630">
                  <c:v>0.20408163265306123</c:v>
                </c:pt>
                <c:pt idx="2631">
                  <c:v>0.34837092731829572</c:v>
                </c:pt>
                <c:pt idx="2632">
                  <c:v>0.28888888888888886</c:v>
                </c:pt>
                <c:pt idx="2633">
                  <c:v>0.4</c:v>
                </c:pt>
                <c:pt idx="2634">
                  <c:v>0.35294117647058826</c:v>
                </c:pt>
                <c:pt idx="2635">
                  <c:v>0.36842105263157893</c:v>
                </c:pt>
                <c:pt idx="2636">
                  <c:v>2.5210084033613446E-2</c:v>
                </c:pt>
                <c:pt idx="2637">
                  <c:v>0.1554054054054054</c:v>
                </c:pt>
                <c:pt idx="2638">
                  <c:v>0.42499999999999999</c:v>
                </c:pt>
                <c:pt idx="2639">
                  <c:v>0.2982456140350877</c:v>
                </c:pt>
                <c:pt idx="2640">
                  <c:v>0.36842105263157893</c:v>
                </c:pt>
                <c:pt idx="2641">
                  <c:v>0.33333333333333331</c:v>
                </c:pt>
                <c:pt idx="2642">
                  <c:v>0.31888544891640869</c:v>
                </c:pt>
                <c:pt idx="2643">
                  <c:v>0.33333333333333331</c:v>
                </c:pt>
                <c:pt idx="2644">
                  <c:v>0.21568627450980393</c:v>
                </c:pt>
                <c:pt idx="2645">
                  <c:v>0.28888888888888886</c:v>
                </c:pt>
                <c:pt idx="2646">
                  <c:v>0.28125</c:v>
                </c:pt>
                <c:pt idx="2647">
                  <c:v>0.2982456140350877</c:v>
                </c:pt>
                <c:pt idx="2648">
                  <c:v>0.33333333333333331</c:v>
                </c:pt>
                <c:pt idx="2649">
                  <c:v>7.1428571428571425E-2</c:v>
                </c:pt>
                <c:pt idx="2650">
                  <c:v>0.21052631578947367</c:v>
                </c:pt>
                <c:pt idx="2651">
                  <c:v>0.25</c:v>
                </c:pt>
                <c:pt idx="2652">
                  <c:v>0.25925925925925924</c:v>
                </c:pt>
                <c:pt idx="2653">
                  <c:v>0.25</c:v>
                </c:pt>
                <c:pt idx="2654">
                  <c:v>0.35294117647058826</c:v>
                </c:pt>
                <c:pt idx="2655">
                  <c:v>0.12605042016806722</c:v>
                </c:pt>
                <c:pt idx="2656">
                  <c:v>0.36842105263157893</c:v>
                </c:pt>
                <c:pt idx="2657">
                  <c:v>0.33333333333333331</c:v>
                </c:pt>
                <c:pt idx="2658">
                  <c:v>0.25146198830409355</c:v>
                </c:pt>
                <c:pt idx="2659">
                  <c:v>0.12781954887218044</c:v>
                </c:pt>
                <c:pt idx="2660">
                  <c:v>0.39473684210526316</c:v>
                </c:pt>
                <c:pt idx="2661">
                  <c:v>0.28104575163398693</c:v>
                </c:pt>
                <c:pt idx="2662">
                  <c:v>0.11764705882352941</c:v>
                </c:pt>
                <c:pt idx="2663">
                  <c:v>0.33333333333333331</c:v>
                </c:pt>
                <c:pt idx="2664">
                  <c:v>0.17388407728181213</c:v>
                </c:pt>
                <c:pt idx="2665">
                  <c:v>0.31174089068825911</c:v>
                </c:pt>
                <c:pt idx="2666">
                  <c:v>0.25696594427244585</c:v>
                </c:pt>
                <c:pt idx="2667">
                  <c:v>0.34615384615384615</c:v>
                </c:pt>
                <c:pt idx="2668">
                  <c:v>0.25696594427244585</c:v>
                </c:pt>
                <c:pt idx="2669">
                  <c:v>0.31174089068825911</c:v>
                </c:pt>
                <c:pt idx="2670">
                  <c:v>0.10714285714285714</c:v>
                </c:pt>
                <c:pt idx="2671">
                  <c:v>0.39285714285714285</c:v>
                </c:pt>
                <c:pt idx="2672">
                  <c:v>0.32539682539682541</c:v>
                </c:pt>
                <c:pt idx="2673">
                  <c:v>0.25</c:v>
                </c:pt>
                <c:pt idx="2674">
                  <c:v>0.20508744038155802</c:v>
                </c:pt>
                <c:pt idx="2675">
                  <c:v>0.17388407728181213</c:v>
                </c:pt>
                <c:pt idx="2676">
                  <c:v>0.2857142857142857</c:v>
                </c:pt>
                <c:pt idx="2677">
                  <c:v>0.42499999999999999</c:v>
                </c:pt>
                <c:pt idx="2678">
                  <c:v>0.20408163265306123</c:v>
                </c:pt>
                <c:pt idx="2679">
                  <c:v>0.11764705882352941</c:v>
                </c:pt>
                <c:pt idx="2680">
                  <c:v>0.31174089068825911</c:v>
                </c:pt>
                <c:pt idx="2681">
                  <c:v>0.18367346938775511</c:v>
                </c:pt>
                <c:pt idx="2682">
                  <c:v>0.3611111111111111</c:v>
                </c:pt>
                <c:pt idx="2683">
                  <c:v>0.31888544891640869</c:v>
                </c:pt>
                <c:pt idx="2684">
                  <c:v>0.23875432525951557</c:v>
                </c:pt>
                <c:pt idx="2685">
                  <c:v>0.16955017301038061</c:v>
                </c:pt>
                <c:pt idx="2686">
                  <c:v>0.28888888888888886</c:v>
                </c:pt>
                <c:pt idx="2687">
                  <c:v>0.36842105263157893</c:v>
                </c:pt>
                <c:pt idx="2688">
                  <c:v>0.38095238095238093</c:v>
                </c:pt>
                <c:pt idx="2689">
                  <c:v>0.34837092731829572</c:v>
                </c:pt>
                <c:pt idx="2690">
                  <c:v>0.31888544891640869</c:v>
                </c:pt>
                <c:pt idx="2691">
                  <c:v>0.31174089068825911</c:v>
                </c:pt>
                <c:pt idx="2692">
                  <c:v>0.42499999999999999</c:v>
                </c:pt>
                <c:pt idx="2693">
                  <c:v>0.29411764705882354</c:v>
                </c:pt>
                <c:pt idx="2694">
                  <c:v>0.4</c:v>
                </c:pt>
                <c:pt idx="2695">
                  <c:v>9.5238095238095247E-3</c:v>
                </c:pt>
                <c:pt idx="2696">
                  <c:v>0.31174089068825911</c:v>
                </c:pt>
                <c:pt idx="2697">
                  <c:v>0.28888888888888886</c:v>
                </c:pt>
                <c:pt idx="2698">
                  <c:v>0.25146198830409355</c:v>
                </c:pt>
                <c:pt idx="2699">
                  <c:v>0.31888544891640869</c:v>
                </c:pt>
                <c:pt idx="2700">
                  <c:v>0.2982456140350877</c:v>
                </c:pt>
                <c:pt idx="2701">
                  <c:v>0.16666666666666666</c:v>
                </c:pt>
                <c:pt idx="2702">
                  <c:v>0.39473684210526316</c:v>
                </c:pt>
                <c:pt idx="2703">
                  <c:v>0.28888888888888886</c:v>
                </c:pt>
                <c:pt idx="2704">
                  <c:v>0.20408163265306123</c:v>
                </c:pt>
                <c:pt idx="2705">
                  <c:v>0.11764705882352941</c:v>
                </c:pt>
                <c:pt idx="2706">
                  <c:v>0.16219119226638024</c:v>
                </c:pt>
                <c:pt idx="2707">
                  <c:v>0.34837092731829572</c:v>
                </c:pt>
                <c:pt idx="2708">
                  <c:v>0.36842105263157893</c:v>
                </c:pt>
                <c:pt idx="2709">
                  <c:v>0.38095238095238093</c:v>
                </c:pt>
                <c:pt idx="2710">
                  <c:v>0.39473684210526316</c:v>
                </c:pt>
                <c:pt idx="2711">
                  <c:v>0.22663802363050484</c:v>
                </c:pt>
                <c:pt idx="2712">
                  <c:v>0.28205128205128205</c:v>
                </c:pt>
                <c:pt idx="2713">
                  <c:v>0.29411764705882354</c:v>
                </c:pt>
                <c:pt idx="2714">
                  <c:v>0.38095238095238093</c:v>
                </c:pt>
                <c:pt idx="2715">
                  <c:v>0.4</c:v>
                </c:pt>
                <c:pt idx="2716">
                  <c:v>0.31888544891640869</c:v>
                </c:pt>
                <c:pt idx="2717">
                  <c:v>0.34837092731829572</c:v>
                </c:pt>
                <c:pt idx="2718">
                  <c:v>0.28125</c:v>
                </c:pt>
                <c:pt idx="2719">
                  <c:v>0.31888544891640869</c:v>
                </c:pt>
                <c:pt idx="2720">
                  <c:v>0.15966386554621848</c:v>
                </c:pt>
                <c:pt idx="2721">
                  <c:v>0.21052631578947367</c:v>
                </c:pt>
                <c:pt idx="2722">
                  <c:v>0.16666666666666666</c:v>
                </c:pt>
                <c:pt idx="2723">
                  <c:v>0.20408163265306123</c:v>
                </c:pt>
                <c:pt idx="2724">
                  <c:v>0.11764705882352941</c:v>
                </c:pt>
                <c:pt idx="2725">
                  <c:v>0.27350427350427353</c:v>
                </c:pt>
                <c:pt idx="2726">
                  <c:v>0.28205128205128205</c:v>
                </c:pt>
                <c:pt idx="2727">
                  <c:v>0.2857142857142857</c:v>
                </c:pt>
                <c:pt idx="2728">
                  <c:v>0.25213675213675213</c:v>
                </c:pt>
                <c:pt idx="2729">
                  <c:v>0.24426450742240216</c:v>
                </c:pt>
                <c:pt idx="2730">
                  <c:v>0.31174089068825911</c:v>
                </c:pt>
                <c:pt idx="2731">
                  <c:v>0.24426450742240216</c:v>
                </c:pt>
                <c:pt idx="2732">
                  <c:v>0.28876244665718348</c:v>
                </c:pt>
                <c:pt idx="2733">
                  <c:v>0.25</c:v>
                </c:pt>
                <c:pt idx="2734">
                  <c:v>0.39473684210526316</c:v>
                </c:pt>
                <c:pt idx="2735">
                  <c:v>0.11764705882352941</c:v>
                </c:pt>
                <c:pt idx="2736">
                  <c:v>0.25</c:v>
                </c:pt>
                <c:pt idx="2737">
                  <c:v>0.11564625850340136</c:v>
                </c:pt>
                <c:pt idx="2738">
                  <c:v>0.20508744038155802</c:v>
                </c:pt>
                <c:pt idx="2739">
                  <c:v>0.11564625850340136</c:v>
                </c:pt>
                <c:pt idx="2740">
                  <c:v>0.3235294117647059</c:v>
                </c:pt>
                <c:pt idx="2741">
                  <c:v>0.2982456140350877</c:v>
                </c:pt>
                <c:pt idx="2742">
                  <c:v>0.11564625850340136</c:v>
                </c:pt>
                <c:pt idx="2743">
                  <c:v>0.15865384615384615</c:v>
                </c:pt>
                <c:pt idx="2744">
                  <c:v>0.31174089068825911</c:v>
                </c:pt>
                <c:pt idx="2745">
                  <c:v>0.39473684210526316</c:v>
                </c:pt>
                <c:pt idx="2746">
                  <c:v>0.2982456140350877</c:v>
                </c:pt>
                <c:pt idx="2747">
                  <c:v>0.29411764705882354</c:v>
                </c:pt>
                <c:pt idx="2748">
                  <c:v>0.33333333333333331</c:v>
                </c:pt>
                <c:pt idx="2749">
                  <c:v>0.4</c:v>
                </c:pt>
                <c:pt idx="2750">
                  <c:v>0.32539682539682541</c:v>
                </c:pt>
                <c:pt idx="2751">
                  <c:v>9.5238095238095247E-3</c:v>
                </c:pt>
                <c:pt idx="2752">
                  <c:v>0.29411764705882354</c:v>
                </c:pt>
                <c:pt idx="2753">
                  <c:v>0.3611111111111111</c:v>
                </c:pt>
                <c:pt idx="2754">
                  <c:v>0.31888544891640869</c:v>
                </c:pt>
                <c:pt idx="2755">
                  <c:v>0.12798874824191281</c:v>
                </c:pt>
                <c:pt idx="2756">
                  <c:v>0.10714285714285714</c:v>
                </c:pt>
                <c:pt idx="2757">
                  <c:v>0.3611111111111111</c:v>
                </c:pt>
                <c:pt idx="2758">
                  <c:v>0.16219119226638024</c:v>
                </c:pt>
                <c:pt idx="2759">
                  <c:v>0.18367346938775511</c:v>
                </c:pt>
                <c:pt idx="2760">
                  <c:v>0.4</c:v>
                </c:pt>
                <c:pt idx="2761">
                  <c:v>0.13565426170468187</c:v>
                </c:pt>
                <c:pt idx="2762">
                  <c:v>0.36842105263157893</c:v>
                </c:pt>
                <c:pt idx="2763">
                  <c:v>0.20408163265306123</c:v>
                </c:pt>
                <c:pt idx="2764">
                  <c:v>0.27350427350427353</c:v>
                </c:pt>
                <c:pt idx="2765">
                  <c:v>0.25696594427244585</c:v>
                </c:pt>
                <c:pt idx="2766">
                  <c:v>0.24426450742240216</c:v>
                </c:pt>
                <c:pt idx="2767">
                  <c:v>0.16219119226638024</c:v>
                </c:pt>
                <c:pt idx="2768">
                  <c:v>0.36842105263157893</c:v>
                </c:pt>
                <c:pt idx="2769">
                  <c:v>0.25696594427244585</c:v>
                </c:pt>
                <c:pt idx="2770">
                  <c:v>0.3235294117647059</c:v>
                </c:pt>
                <c:pt idx="2771">
                  <c:v>6.3625450180072027E-2</c:v>
                </c:pt>
                <c:pt idx="2772">
                  <c:v>0.21052631578947367</c:v>
                </c:pt>
                <c:pt idx="2773">
                  <c:v>0.25696594427244585</c:v>
                </c:pt>
                <c:pt idx="2774">
                  <c:v>0.25213675213675213</c:v>
                </c:pt>
                <c:pt idx="2775">
                  <c:v>0.36842105263157893</c:v>
                </c:pt>
                <c:pt idx="2776">
                  <c:v>0.1111111111111111</c:v>
                </c:pt>
                <c:pt idx="2777">
                  <c:v>0.16219119226638024</c:v>
                </c:pt>
                <c:pt idx="2778">
                  <c:v>0.20408163265306123</c:v>
                </c:pt>
                <c:pt idx="2779">
                  <c:v>0.20634920634920634</c:v>
                </c:pt>
                <c:pt idx="2780">
                  <c:v>0.2982456140350877</c:v>
                </c:pt>
                <c:pt idx="2781">
                  <c:v>0.36842105263157893</c:v>
                </c:pt>
                <c:pt idx="2782">
                  <c:v>2.5210084033613446E-2</c:v>
                </c:pt>
                <c:pt idx="2783">
                  <c:v>0.18269230769230768</c:v>
                </c:pt>
                <c:pt idx="2784">
                  <c:v>0.29411764705882354</c:v>
                </c:pt>
                <c:pt idx="2785">
                  <c:v>0.28888888888888886</c:v>
                </c:pt>
                <c:pt idx="2786">
                  <c:v>0.36842105263157893</c:v>
                </c:pt>
                <c:pt idx="2787">
                  <c:v>0.13565426170468187</c:v>
                </c:pt>
                <c:pt idx="2788">
                  <c:v>0.21052631578947367</c:v>
                </c:pt>
                <c:pt idx="2789">
                  <c:v>0.23076923076923078</c:v>
                </c:pt>
                <c:pt idx="2790">
                  <c:v>0.2</c:v>
                </c:pt>
                <c:pt idx="2791">
                  <c:v>0.22663802363050484</c:v>
                </c:pt>
                <c:pt idx="2792">
                  <c:v>0.28205128205128205</c:v>
                </c:pt>
                <c:pt idx="2793">
                  <c:v>0.22663802363050484</c:v>
                </c:pt>
                <c:pt idx="2794">
                  <c:v>0.28104575163398693</c:v>
                </c:pt>
                <c:pt idx="2795">
                  <c:v>0.20987654320987653</c:v>
                </c:pt>
                <c:pt idx="2796">
                  <c:v>0.29411764705882354</c:v>
                </c:pt>
                <c:pt idx="2797">
                  <c:v>0.36842105263157893</c:v>
                </c:pt>
                <c:pt idx="2798">
                  <c:v>7.6693968726731204E-2</c:v>
                </c:pt>
                <c:pt idx="2799">
                  <c:v>0.31174089068825911</c:v>
                </c:pt>
                <c:pt idx="2800">
                  <c:v>0.18367346938775511</c:v>
                </c:pt>
              </c:numCache>
            </c:numRef>
          </c:yVal>
          <c:smooth val="0"/>
          <c:extLst>
            <c:ext xmlns:c16="http://schemas.microsoft.com/office/drawing/2014/chart" uri="{C3380CC4-5D6E-409C-BE32-E72D297353CC}">
              <c16:uniqueId val="{00000000-1941-4D32-B726-F211C36C32EF}"/>
            </c:ext>
          </c:extLst>
        </c:ser>
        <c:dLbls>
          <c:showLegendKey val="0"/>
          <c:showVal val="0"/>
          <c:showCatName val="0"/>
          <c:showSerName val="0"/>
          <c:showPercent val="0"/>
          <c:showBubbleSize val="0"/>
        </c:dLbls>
        <c:axId val="1561248015"/>
        <c:axId val="1426267823"/>
      </c:scatterChart>
      <c:valAx>
        <c:axId val="15612480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67823"/>
        <c:crosses val="autoZero"/>
        <c:crossBetween val="midCat"/>
      </c:valAx>
      <c:valAx>
        <c:axId val="14262678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2480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 Company.xlsx]pivot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table'!$AH$4</c:f>
              <c:strCache>
                <c:ptCount val="1"/>
                <c:pt idx="0">
                  <c:v> Net Revenue</c:v>
                </c:pt>
              </c:strCache>
            </c:strRef>
          </c:tx>
          <c:spPr>
            <a:solidFill>
              <a:schemeClr val="accent1"/>
            </a:solidFill>
            <a:ln>
              <a:noFill/>
            </a:ln>
            <a:effectLst/>
          </c:spPr>
          <c:invertIfNegative val="0"/>
          <c:cat>
            <c:strRef>
              <c:f>'pivot table'!$AG$5:$AG$16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table'!$AH$5:$AH$16</c:f>
              <c:numCache>
                <c:formatCode>[&gt;=1000000]#,##0.0,,"M";[&gt;=1000]#,##0.0,"K";#,##0</c:formatCode>
                <c:ptCount val="12"/>
                <c:pt idx="0">
                  <c:v>3164650</c:v>
                </c:pt>
                <c:pt idx="1">
                  <c:v>3119687.5</c:v>
                </c:pt>
                <c:pt idx="2">
                  <c:v>4116052.5</c:v>
                </c:pt>
                <c:pt idx="3">
                  <c:v>3081370</c:v>
                </c:pt>
                <c:pt idx="4">
                  <c:v>2862620</c:v>
                </c:pt>
                <c:pt idx="5">
                  <c:v>2994527.5</c:v>
                </c:pt>
                <c:pt idx="6">
                  <c:v>3453750</c:v>
                </c:pt>
                <c:pt idx="7">
                  <c:v>3257970</c:v>
                </c:pt>
                <c:pt idx="8">
                  <c:v>3195660</c:v>
                </c:pt>
                <c:pt idx="9">
                  <c:v>3749885</c:v>
                </c:pt>
                <c:pt idx="10">
                  <c:v>3305695</c:v>
                </c:pt>
                <c:pt idx="11">
                  <c:v>3462140</c:v>
                </c:pt>
              </c:numCache>
            </c:numRef>
          </c:val>
          <c:extLst>
            <c:ext xmlns:c16="http://schemas.microsoft.com/office/drawing/2014/chart" uri="{C3380CC4-5D6E-409C-BE32-E72D297353CC}">
              <c16:uniqueId val="{00000000-A1D8-4AD9-B881-06DB076EFFF0}"/>
            </c:ext>
          </c:extLst>
        </c:ser>
        <c:ser>
          <c:idx val="1"/>
          <c:order val="1"/>
          <c:tx>
            <c:strRef>
              <c:f>'pivot table'!$AI$4</c:f>
              <c:strCache>
                <c:ptCount val="1"/>
                <c:pt idx="0">
                  <c:v> Profit</c:v>
                </c:pt>
              </c:strCache>
            </c:strRef>
          </c:tx>
          <c:spPr>
            <a:solidFill>
              <a:schemeClr val="accent2"/>
            </a:solidFill>
            <a:ln>
              <a:noFill/>
            </a:ln>
            <a:effectLst/>
          </c:spPr>
          <c:invertIfNegative val="0"/>
          <c:cat>
            <c:strRef>
              <c:f>'pivot table'!$AG$5:$AG$16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table'!$AI$5:$AI$16</c:f>
              <c:numCache>
                <c:formatCode>[&gt;=1000000]#,##0.0,,"M";[&gt;=1000]#,##0.0,"K";#,##0</c:formatCode>
                <c:ptCount val="12"/>
                <c:pt idx="0">
                  <c:v>600700</c:v>
                </c:pt>
                <c:pt idx="1">
                  <c:v>613917.5</c:v>
                </c:pt>
                <c:pt idx="2">
                  <c:v>805362.5</c:v>
                </c:pt>
                <c:pt idx="3">
                  <c:v>676200</c:v>
                </c:pt>
                <c:pt idx="4">
                  <c:v>606430</c:v>
                </c:pt>
                <c:pt idx="5">
                  <c:v>691147.5</c:v>
                </c:pt>
                <c:pt idx="6">
                  <c:v>671270</c:v>
                </c:pt>
                <c:pt idx="7">
                  <c:v>630800</c:v>
                </c:pt>
                <c:pt idx="8">
                  <c:v>693190</c:v>
                </c:pt>
                <c:pt idx="9">
                  <c:v>752445</c:v>
                </c:pt>
                <c:pt idx="10">
                  <c:v>666675</c:v>
                </c:pt>
                <c:pt idx="11">
                  <c:v>683580</c:v>
                </c:pt>
              </c:numCache>
            </c:numRef>
          </c:val>
          <c:extLst>
            <c:ext xmlns:c16="http://schemas.microsoft.com/office/drawing/2014/chart" uri="{C3380CC4-5D6E-409C-BE32-E72D297353CC}">
              <c16:uniqueId val="{00000001-A1D8-4AD9-B881-06DB076EFFF0}"/>
            </c:ext>
          </c:extLst>
        </c:ser>
        <c:dLbls>
          <c:showLegendKey val="0"/>
          <c:showVal val="0"/>
          <c:showCatName val="0"/>
          <c:showSerName val="0"/>
          <c:showPercent val="0"/>
          <c:showBubbleSize val="0"/>
        </c:dLbls>
        <c:gapWidth val="219"/>
        <c:axId val="1167801856"/>
        <c:axId val="1042249328"/>
      </c:barChart>
      <c:lineChart>
        <c:grouping val="standard"/>
        <c:varyColors val="0"/>
        <c:ser>
          <c:idx val="2"/>
          <c:order val="2"/>
          <c:tx>
            <c:strRef>
              <c:f>'pivot table'!$AJ$4</c:f>
              <c:strCache>
                <c:ptCount val="1"/>
                <c:pt idx="0">
                  <c:v> margin2</c:v>
                </c:pt>
              </c:strCache>
            </c:strRef>
          </c:tx>
          <c:spPr>
            <a:ln w="28575" cap="rnd">
              <a:solidFill>
                <a:schemeClr val="accent3"/>
              </a:solidFill>
              <a:round/>
            </a:ln>
            <a:effectLst/>
          </c:spPr>
          <c:marker>
            <c:symbol val="none"/>
          </c:marker>
          <c:cat>
            <c:strRef>
              <c:f>'pivot table'!$AG$5:$AG$16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table'!$AJ$5:$AJ$16</c:f>
              <c:numCache>
                <c:formatCode>0.0%</c:formatCode>
                <c:ptCount val="12"/>
                <c:pt idx="0">
                  <c:v>0.18981561942078903</c:v>
                </c:pt>
                <c:pt idx="1">
                  <c:v>0.19678813983772414</c:v>
                </c:pt>
                <c:pt idx="2">
                  <c:v>0.19566380652336188</c:v>
                </c:pt>
                <c:pt idx="3">
                  <c:v>0.21944784300489717</c:v>
                </c:pt>
                <c:pt idx="4">
                  <c:v>0.2118443942961343</c:v>
                </c:pt>
                <c:pt idx="5">
                  <c:v>0.23080352409520366</c:v>
                </c:pt>
                <c:pt idx="6">
                  <c:v>0.19435975389069851</c:v>
                </c:pt>
                <c:pt idx="7">
                  <c:v>0.19361749801256611</c:v>
                </c:pt>
                <c:pt idx="8">
                  <c:v>0.21691606741643354</c:v>
                </c:pt>
                <c:pt idx="9">
                  <c:v>0.20065815351670785</c:v>
                </c:pt>
                <c:pt idx="10">
                  <c:v>0.20167468565611771</c:v>
                </c:pt>
                <c:pt idx="11">
                  <c:v>0.19744435522538084</c:v>
                </c:pt>
              </c:numCache>
            </c:numRef>
          </c:val>
          <c:smooth val="0"/>
          <c:extLst>
            <c:ext xmlns:c16="http://schemas.microsoft.com/office/drawing/2014/chart" uri="{C3380CC4-5D6E-409C-BE32-E72D297353CC}">
              <c16:uniqueId val="{00000002-A1D8-4AD9-B881-06DB076EFFF0}"/>
            </c:ext>
          </c:extLst>
        </c:ser>
        <c:dLbls>
          <c:showLegendKey val="0"/>
          <c:showVal val="0"/>
          <c:showCatName val="0"/>
          <c:showSerName val="0"/>
          <c:showPercent val="0"/>
          <c:showBubbleSize val="0"/>
        </c:dLbls>
        <c:marker val="1"/>
        <c:smooth val="0"/>
        <c:axId val="1282388224"/>
        <c:axId val="1042251248"/>
      </c:lineChart>
      <c:catAx>
        <c:axId val="116780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249328"/>
        <c:crosses val="autoZero"/>
        <c:auto val="1"/>
        <c:lblAlgn val="ctr"/>
        <c:lblOffset val="100"/>
        <c:noMultiLvlLbl val="0"/>
      </c:catAx>
      <c:valAx>
        <c:axId val="1042249328"/>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01856"/>
        <c:crosses val="autoZero"/>
        <c:crossBetween val="between"/>
      </c:valAx>
      <c:valAx>
        <c:axId val="104225124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388224"/>
        <c:crosses val="max"/>
        <c:crossBetween val="between"/>
      </c:valAx>
      <c:catAx>
        <c:axId val="128238822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25124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 Company.xlsx]pivot table!PivotTable2</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Branches by revenue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table'!$AO$4</c:f>
              <c:strCache>
                <c:ptCount val="1"/>
                <c:pt idx="0">
                  <c:v> Profit</c:v>
                </c:pt>
              </c:strCache>
            </c:strRef>
          </c:tx>
          <c:spPr>
            <a:solidFill>
              <a:schemeClr val="accent1"/>
            </a:solidFill>
            <a:ln>
              <a:noFill/>
            </a:ln>
            <a:effectLst/>
          </c:spPr>
          <c:invertIfNegative val="0"/>
          <c:cat>
            <c:strRef>
              <c:f>'pivot table'!$AN$5:$AN$12</c:f>
              <c:strCache>
                <c:ptCount val="8"/>
                <c:pt idx="0">
                  <c:v>Ikeja City</c:v>
                </c:pt>
                <c:pt idx="1">
                  <c:v>Lekki Mall</c:v>
                </c:pt>
                <c:pt idx="2">
                  <c:v>Wuse Central</c:v>
                </c:pt>
                <c:pt idx="3">
                  <c:v>Enugu Main</c:v>
                </c:pt>
                <c:pt idx="4">
                  <c:v>Port Harcourt Hub</c:v>
                </c:pt>
                <c:pt idx="5">
                  <c:v>Garki Market</c:v>
                </c:pt>
                <c:pt idx="6">
                  <c:v>Kano Central</c:v>
                </c:pt>
                <c:pt idx="7">
                  <c:v>Ilorin Retail</c:v>
                </c:pt>
              </c:strCache>
            </c:strRef>
          </c:cat>
          <c:val>
            <c:numRef>
              <c:f>'pivot table'!$AO$5:$AO$12</c:f>
              <c:numCache>
                <c:formatCode>[&gt;=1000000]#,##0.0,,"M";[&gt;=1000]#,##0.0,"K";#,##0</c:formatCode>
                <c:ptCount val="8"/>
                <c:pt idx="0">
                  <c:v>1609720</c:v>
                </c:pt>
                <c:pt idx="1">
                  <c:v>1273075</c:v>
                </c:pt>
                <c:pt idx="2">
                  <c:v>1209210</c:v>
                </c:pt>
                <c:pt idx="3">
                  <c:v>991822.5</c:v>
                </c:pt>
                <c:pt idx="4">
                  <c:v>905972.5</c:v>
                </c:pt>
                <c:pt idx="5">
                  <c:v>875462.5</c:v>
                </c:pt>
                <c:pt idx="6">
                  <c:v>715165</c:v>
                </c:pt>
                <c:pt idx="7">
                  <c:v>511290</c:v>
                </c:pt>
              </c:numCache>
            </c:numRef>
          </c:val>
          <c:extLst>
            <c:ext xmlns:c16="http://schemas.microsoft.com/office/drawing/2014/chart" uri="{C3380CC4-5D6E-409C-BE32-E72D297353CC}">
              <c16:uniqueId val="{00000000-4CAD-4F96-B5DB-DED76453716A}"/>
            </c:ext>
          </c:extLst>
        </c:ser>
        <c:ser>
          <c:idx val="1"/>
          <c:order val="1"/>
          <c:tx>
            <c:strRef>
              <c:f>'pivot table'!$AP$4</c:f>
              <c:strCache>
                <c:ptCount val="1"/>
                <c:pt idx="0">
                  <c:v> Net Revenue</c:v>
                </c:pt>
              </c:strCache>
            </c:strRef>
          </c:tx>
          <c:spPr>
            <a:solidFill>
              <a:schemeClr val="accent2"/>
            </a:solidFill>
            <a:ln>
              <a:noFill/>
            </a:ln>
            <a:effectLst/>
          </c:spPr>
          <c:invertIfNegative val="0"/>
          <c:cat>
            <c:strRef>
              <c:f>'pivot table'!$AN$5:$AN$12</c:f>
              <c:strCache>
                <c:ptCount val="8"/>
                <c:pt idx="0">
                  <c:v>Ikeja City</c:v>
                </c:pt>
                <c:pt idx="1">
                  <c:v>Lekki Mall</c:v>
                </c:pt>
                <c:pt idx="2">
                  <c:v>Wuse Central</c:v>
                </c:pt>
                <c:pt idx="3">
                  <c:v>Enugu Main</c:v>
                </c:pt>
                <c:pt idx="4">
                  <c:v>Port Harcourt Hub</c:v>
                </c:pt>
                <c:pt idx="5">
                  <c:v>Garki Market</c:v>
                </c:pt>
                <c:pt idx="6">
                  <c:v>Kano Central</c:v>
                </c:pt>
                <c:pt idx="7">
                  <c:v>Ilorin Retail</c:v>
                </c:pt>
              </c:strCache>
            </c:strRef>
          </c:cat>
          <c:val>
            <c:numRef>
              <c:f>'pivot table'!$AP$5:$AP$12</c:f>
              <c:numCache>
                <c:formatCode>[&gt;=1000000]#,##0.0,,"M";[&gt;=1000]#,##0.0,"K";#,##0</c:formatCode>
                <c:ptCount val="8"/>
                <c:pt idx="0">
                  <c:v>7802760</c:v>
                </c:pt>
                <c:pt idx="1">
                  <c:v>6163325</c:v>
                </c:pt>
                <c:pt idx="2">
                  <c:v>5842100</c:v>
                </c:pt>
                <c:pt idx="3">
                  <c:v>4762662.5</c:v>
                </c:pt>
                <c:pt idx="4">
                  <c:v>4532182.5</c:v>
                </c:pt>
                <c:pt idx="5">
                  <c:v>4472122.5</c:v>
                </c:pt>
                <c:pt idx="6">
                  <c:v>3453775</c:v>
                </c:pt>
                <c:pt idx="7">
                  <c:v>2735080</c:v>
                </c:pt>
              </c:numCache>
            </c:numRef>
          </c:val>
          <c:extLst>
            <c:ext xmlns:c16="http://schemas.microsoft.com/office/drawing/2014/chart" uri="{C3380CC4-5D6E-409C-BE32-E72D297353CC}">
              <c16:uniqueId val="{00000001-4CAD-4F96-B5DB-DED76453716A}"/>
            </c:ext>
          </c:extLst>
        </c:ser>
        <c:dLbls>
          <c:showLegendKey val="0"/>
          <c:showVal val="0"/>
          <c:showCatName val="0"/>
          <c:showSerName val="0"/>
          <c:showPercent val="0"/>
          <c:showBubbleSize val="0"/>
        </c:dLbls>
        <c:gapWidth val="182"/>
        <c:axId val="323130399"/>
        <c:axId val="1342987311"/>
      </c:barChart>
      <c:catAx>
        <c:axId val="32313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87311"/>
        <c:crosses val="autoZero"/>
        <c:auto val="1"/>
        <c:lblAlgn val="ctr"/>
        <c:lblOffset val="100"/>
        <c:noMultiLvlLbl val="0"/>
      </c:catAx>
      <c:valAx>
        <c:axId val="1342987311"/>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1303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 Company.xlsx]pivot table!PivotTable3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&amp; profit by Region</a:t>
            </a:r>
          </a:p>
        </c:rich>
      </c:tx>
      <c:layout>
        <c:manualLayout>
          <c:xMode val="edge"/>
          <c:yMode val="edge"/>
          <c:x val="0.1601596675415573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083333333333334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0.10555555555555565"/>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0.12777777777777777"/>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7.7777777777777779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8.3333333333333329E-2"/>
              <c:y val="-1.85185185185185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295647419072614"/>
          <c:y val="0.13409776902887138"/>
          <c:w val="0.75642541557305332"/>
          <c:h val="0.85109543598716841"/>
        </c:manualLayout>
      </c:layout>
      <c:barChart>
        <c:barDir val="bar"/>
        <c:grouping val="stacked"/>
        <c:varyColors val="0"/>
        <c:ser>
          <c:idx val="0"/>
          <c:order val="0"/>
          <c:tx>
            <c:strRef>
              <c:f>'pivot table'!$AV$4</c:f>
              <c:strCache>
                <c:ptCount val="1"/>
                <c:pt idx="0">
                  <c:v> Net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table'!$AU$5:$AU$9</c:f>
              <c:strCache>
                <c:ptCount val="5"/>
                <c:pt idx="0">
                  <c:v>South West</c:v>
                </c:pt>
                <c:pt idx="1">
                  <c:v>North Central</c:v>
                </c:pt>
                <c:pt idx="2">
                  <c:v>South East</c:v>
                </c:pt>
                <c:pt idx="3">
                  <c:v>South South</c:v>
                </c:pt>
                <c:pt idx="4">
                  <c:v>North West</c:v>
                </c:pt>
              </c:strCache>
            </c:strRef>
          </c:cat>
          <c:val>
            <c:numRef>
              <c:f>'pivot table'!$AV$5:$AV$9</c:f>
              <c:numCache>
                <c:formatCode>[&gt;=1000000]#,##0.0,,"M";[&gt;=1000]#,##0.0,"K";#,##0</c:formatCode>
                <c:ptCount val="5"/>
                <c:pt idx="0">
                  <c:v>13966085</c:v>
                </c:pt>
                <c:pt idx="1">
                  <c:v>13049302.5</c:v>
                </c:pt>
                <c:pt idx="2">
                  <c:v>4762662.5</c:v>
                </c:pt>
                <c:pt idx="3">
                  <c:v>4532182.5</c:v>
                </c:pt>
                <c:pt idx="4">
                  <c:v>3453775</c:v>
                </c:pt>
              </c:numCache>
            </c:numRef>
          </c:val>
          <c:extLst>
            <c:ext xmlns:c16="http://schemas.microsoft.com/office/drawing/2014/chart" uri="{C3380CC4-5D6E-409C-BE32-E72D297353CC}">
              <c16:uniqueId val="{00000000-2DAD-4616-AA15-90890B9FE558}"/>
            </c:ext>
          </c:extLst>
        </c:ser>
        <c:ser>
          <c:idx val="1"/>
          <c:order val="1"/>
          <c:tx>
            <c:strRef>
              <c:f>'pivot table'!$AW$4</c:f>
              <c:strCache>
                <c:ptCount val="1"/>
                <c:pt idx="0">
                  <c:v> Profit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2DAD-4616-AA15-90890B9FE558}"/>
              </c:ext>
            </c:extLst>
          </c:dPt>
          <c:dPt>
            <c:idx val="1"/>
            <c:invertIfNegative val="0"/>
            <c:bubble3D val="0"/>
            <c:extLst>
              <c:ext xmlns:c16="http://schemas.microsoft.com/office/drawing/2014/chart" uri="{C3380CC4-5D6E-409C-BE32-E72D297353CC}">
                <c16:uniqueId val="{00000005-2DAD-4616-AA15-90890B9FE558}"/>
              </c:ext>
            </c:extLst>
          </c:dPt>
          <c:dPt>
            <c:idx val="2"/>
            <c:invertIfNegative val="0"/>
            <c:bubble3D val="0"/>
            <c:extLst>
              <c:ext xmlns:c16="http://schemas.microsoft.com/office/drawing/2014/chart" uri="{C3380CC4-5D6E-409C-BE32-E72D297353CC}">
                <c16:uniqueId val="{00000003-2DAD-4616-AA15-90890B9FE558}"/>
              </c:ext>
            </c:extLst>
          </c:dPt>
          <c:dPt>
            <c:idx val="3"/>
            <c:invertIfNegative val="0"/>
            <c:bubble3D val="0"/>
            <c:extLst>
              <c:ext xmlns:c16="http://schemas.microsoft.com/office/drawing/2014/chart" uri="{C3380CC4-5D6E-409C-BE32-E72D297353CC}">
                <c16:uniqueId val="{00000006-2DAD-4616-AA15-90890B9FE558}"/>
              </c:ext>
            </c:extLst>
          </c:dPt>
          <c:dPt>
            <c:idx val="4"/>
            <c:invertIfNegative val="0"/>
            <c:bubble3D val="0"/>
            <c:extLst>
              <c:ext xmlns:c16="http://schemas.microsoft.com/office/drawing/2014/chart" uri="{C3380CC4-5D6E-409C-BE32-E72D297353CC}">
                <c16:uniqueId val="{00000007-2DAD-4616-AA15-90890B9FE558}"/>
              </c:ext>
            </c:extLst>
          </c:dPt>
          <c:dLbls>
            <c:dLbl>
              <c:idx val="0"/>
              <c:layout>
                <c:manualLayout>
                  <c:x val="0.1083333333333334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2DAD-4616-AA15-90890B9FE558}"/>
                </c:ext>
              </c:extLst>
            </c:dLbl>
            <c:dLbl>
              <c:idx val="1"/>
              <c:layout>
                <c:manualLayout>
                  <c:x val="0.10555555555555565"/>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2DAD-4616-AA15-90890B9FE558}"/>
                </c:ext>
              </c:extLst>
            </c:dLbl>
            <c:dLbl>
              <c:idx val="2"/>
              <c:layout>
                <c:manualLayout>
                  <c:x val="0.12777777777777777"/>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2DAD-4616-AA15-90890B9FE558}"/>
                </c:ext>
              </c:extLst>
            </c:dLbl>
            <c:dLbl>
              <c:idx val="3"/>
              <c:layout>
                <c:manualLayout>
                  <c:x val="7.7777777777777779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2DAD-4616-AA15-90890B9FE558}"/>
                </c:ext>
              </c:extLst>
            </c:dLbl>
            <c:dLbl>
              <c:idx val="4"/>
              <c:layout>
                <c:manualLayout>
                  <c:x val="8.3333333333333329E-2"/>
                  <c:y val="-1.85185185185185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2DAD-4616-AA15-90890B9FE55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table'!$AU$5:$AU$9</c:f>
              <c:strCache>
                <c:ptCount val="5"/>
                <c:pt idx="0">
                  <c:v>South West</c:v>
                </c:pt>
                <c:pt idx="1">
                  <c:v>North Central</c:v>
                </c:pt>
                <c:pt idx="2">
                  <c:v>South East</c:v>
                </c:pt>
                <c:pt idx="3">
                  <c:v>South South</c:v>
                </c:pt>
                <c:pt idx="4">
                  <c:v>North West</c:v>
                </c:pt>
              </c:strCache>
            </c:strRef>
          </c:cat>
          <c:val>
            <c:numRef>
              <c:f>'pivot table'!$AW$5:$AW$9</c:f>
              <c:numCache>
                <c:formatCode>[&gt;=1000000]#,##0.0,,"M";[&gt;=1000]#,##0.0,"K";#,##0</c:formatCode>
                <c:ptCount val="5"/>
                <c:pt idx="0">
                  <c:v>2882795</c:v>
                </c:pt>
                <c:pt idx="1">
                  <c:v>2595962.5</c:v>
                </c:pt>
                <c:pt idx="2">
                  <c:v>991822.5</c:v>
                </c:pt>
                <c:pt idx="3">
                  <c:v>905972.5</c:v>
                </c:pt>
                <c:pt idx="4">
                  <c:v>715165</c:v>
                </c:pt>
              </c:numCache>
            </c:numRef>
          </c:val>
          <c:extLst>
            <c:ext xmlns:c16="http://schemas.microsoft.com/office/drawing/2014/chart" uri="{C3380CC4-5D6E-409C-BE32-E72D297353CC}">
              <c16:uniqueId val="{00000001-2DAD-4616-AA15-90890B9FE558}"/>
            </c:ext>
          </c:extLst>
        </c:ser>
        <c:dLbls>
          <c:showLegendKey val="0"/>
          <c:showVal val="0"/>
          <c:showCatName val="0"/>
          <c:showSerName val="0"/>
          <c:showPercent val="0"/>
          <c:showBubbleSize val="0"/>
        </c:dLbls>
        <c:gapWidth val="219"/>
        <c:overlap val="100"/>
        <c:axId val="1357823231"/>
        <c:axId val="1342978191"/>
      </c:barChart>
      <c:catAx>
        <c:axId val="135782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78191"/>
        <c:crosses val="autoZero"/>
        <c:auto val="1"/>
        <c:lblAlgn val="ctr"/>
        <c:lblOffset val="100"/>
        <c:noMultiLvlLbl val="0"/>
      </c:catAx>
      <c:valAx>
        <c:axId val="1342978191"/>
        <c:scaling>
          <c:orientation val="minMax"/>
        </c:scaling>
        <c:delete val="1"/>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crossAx val="1357823231"/>
        <c:crosses val="autoZero"/>
        <c:crossBetween val="between"/>
      </c:valAx>
      <c:spPr>
        <a:noFill/>
        <a:ln>
          <a:noFill/>
        </a:ln>
        <a:effectLst/>
      </c:spPr>
    </c:plotArea>
    <c:legend>
      <c:legendPos val="t"/>
      <c:layout>
        <c:manualLayout>
          <c:xMode val="edge"/>
          <c:yMode val="edge"/>
          <c:x val="0.61434426946631671"/>
          <c:y val="3.2824074074074089E-2"/>
          <c:w val="0.30430667587195331"/>
          <c:h val="7.95149128027342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ubbleChart>
        <c:varyColors val="0"/>
        <c:ser>
          <c:idx val="0"/>
          <c:order val="0"/>
          <c:tx>
            <c:v>under stocked</c:v>
          </c:tx>
          <c:spPr>
            <a:solidFill>
              <a:schemeClr val="accent1">
                <a:alpha val="75000"/>
              </a:schemeClr>
            </a:solidFill>
            <a:ln>
              <a:noFill/>
            </a:ln>
            <a:effectLst/>
          </c:spPr>
          <c:invertIfNegative val="0"/>
          <c:xVal>
            <c:numRef>
              <c:f>'pivot table'!$BP$5:$BP$28</c:f>
              <c:numCache>
                <c:formatCode>[&gt;=1000000]#,##0.0,,"M";[&gt;=1000]#,##0.0,"K";#,##0</c:formatCode>
                <c:ptCount val="24"/>
                <c:pt idx="0">
                  <c:v>295440</c:v>
                </c:pt>
                <c:pt idx="1">
                  <c:v>1248310</c:v>
                </c:pt>
                <c:pt idx="2">
                  <c:v>935025</c:v>
                </c:pt>
                <c:pt idx="3">
                  <c:v>572455</c:v>
                </c:pt>
                <c:pt idx="4">
                  <c:v>350000</c:v>
                </c:pt>
                <c:pt idx="5">
                  <c:v>804540</c:v>
                </c:pt>
                <c:pt idx="6">
                  <c:v>755820</c:v>
                </c:pt>
                <c:pt idx="7">
                  <c:v>1285700</c:v>
                </c:pt>
                <c:pt idx="8">
                  <c:v>7868875</c:v>
                </c:pt>
                <c:pt idx="9">
                  <c:v>318240</c:v>
                </c:pt>
                <c:pt idx="10">
                  <c:v>977125</c:v>
                </c:pt>
                <c:pt idx="11">
                  <c:v>2005020</c:v>
                </c:pt>
                <c:pt idx="12">
                  <c:v>442297.5</c:v>
                </c:pt>
                <c:pt idx="13">
                  <c:v>1046850</c:v>
                </c:pt>
                <c:pt idx="14">
                  <c:v>1185450</c:v>
                </c:pt>
                <c:pt idx="15">
                  <c:v>686250</c:v>
                </c:pt>
                <c:pt idx="16">
                  <c:v>491767.5</c:v>
                </c:pt>
                <c:pt idx="17">
                  <c:v>1276650</c:v>
                </c:pt>
                <c:pt idx="18">
                  <c:v>3438225</c:v>
                </c:pt>
                <c:pt idx="19">
                  <c:v>383542.5</c:v>
                </c:pt>
                <c:pt idx="20">
                  <c:v>1205820</c:v>
                </c:pt>
                <c:pt idx="21">
                  <c:v>4767210</c:v>
                </c:pt>
                <c:pt idx="22">
                  <c:v>6806100</c:v>
                </c:pt>
                <c:pt idx="23">
                  <c:v>617295</c:v>
                </c:pt>
              </c:numCache>
            </c:numRef>
          </c:xVal>
          <c:yVal>
            <c:numRef>
              <c:f>'pivot table'!$BQ$5:$BQ$28</c:f>
              <c:numCache>
                <c:formatCode>0.0%</c:formatCode>
                <c:ptCount val="24"/>
                <c:pt idx="0">
                  <c:v>0.37797860817763335</c:v>
                </c:pt>
                <c:pt idx="1">
                  <c:v>#N/A</c:v>
                </c:pt>
                <c:pt idx="2">
                  <c:v>#N/A</c:v>
                </c:pt>
                <c:pt idx="3">
                  <c:v>0.29024988863753481</c:v>
                </c:pt>
                <c:pt idx="4">
                  <c:v>#N/A</c:v>
                </c:pt>
                <c:pt idx="5">
                  <c:v>0.18580803937653814</c:v>
                </c:pt>
                <c:pt idx="6">
                  <c:v>#N/A</c:v>
                </c:pt>
                <c:pt idx="7">
                  <c:v>#N/A</c:v>
                </c:pt>
                <c:pt idx="8">
                  <c:v>0.10997442455242967</c:v>
                </c:pt>
                <c:pt idx="9">
                  <c:v>#N/A</c:v>
                </c:pt>
                <c:pt idx="10">
                  <c:v>#N/A</c:v>
                </c:pt>
                <c:pt idx="11">
                  <c:v>#N/A</c:v>
                </c:pt>
                <c:pt idx="12">
                  <c:v>#N/A</c:v>
                </c:pt>
                <c:pt idx="13">
                  <c:v>#N/A</c:v>
                </c:pt>
                <c:pt idx="14">
                  <c:v>#N/A</c:v>
                </c:pt>
                <c:pt idx="15">
                  <c:v>#N/A</c:v>
                </c:pt>
                <c:pt idx="16">
                  <c:v>#N/A</c:v>
                </c:pt>
                <c:pt idx="17">
                  <c:v>#N/A</c:v>
                </c:pt>
                <c:pt idx="18">
                  <c:v>0.26197383824502468</c:v>
                </c:pt>
                <c:pt idx="19">
                  <c:v>#N/A</c:v>
                </c:pt>
                <c:pt idx="20">
                  <c:v>0.28712411471032162</c:v>
                </c:pt>
                <c:pt idx="21">
                  <c:v>0.14591553550189734</c:v>
                </c:pt>
                <c:pt idx="22">
                  <c:v>0.21188345748666637</c:v>
                </c:pt>
                <c:pt idx="23" formatCode="0.00%">
                  <c:v>0</c:v>
                </c:pt>
              </c:numCache>
            </c:numRef>
          </c:yVal>
          <c:bubbleSize>
            <c:numRef>
              <c:f>'pivot table'!$BR$5:$BR$28</c:f>
              <c:numCache>
                <c:formatCode>General</c:formatCode>
                <c:ptCount val="24"/>
                <c:pt idx="0">
                  <c:v>799</c:v>
                </c:pt>
                <c:pt idx="1">
                  <c:v>#N/A</c:v>
                </c:pt>
                <c:pt idx="2">
                  <c:v>#N/A</c:v>
                </c:pt>
                <c:pt idx="3">
                  <c:v>478</c:v>
                </c:pt>
                <c:pt idx="4">
                  <c:v>#N/A</c:v>
                </c:pt>
                <c:pt idx="5">
                  <c:v>397</c:v>
                </c:pt>
                <c:pt idx="6">
                  <c:v>#N/A</c:v>
                </c:pt>
                <c:pt idx="7">
                  <c:v>#N/A</c:v>
                </c:pt>
                <c:pt idx="8">
                  <c:v>483</c:v>
                </c:pt>
                <c:pt idx="9">
                  <c:v>#N/A</c:v>
                </c:pt>
                <c:pt idx="10">
                  <c:v>#N/A</c:v>
                </c:pt>
                <c:pt idx="11">
                  <c:v>#N/A</c:v>
                </c:pt>
                <c:pt idx="12">
                  <c:v>#N/A</c:v>
                </c:pt>
                <c:pt idx="13">
                  <c:v>#N/A</c:v>
                </c:pt>
                <c:pt idx="14">
                  <c:v>#N/A</c:v>
                </c:pt>
                <c:pt idx="15">
                  <c:v>#N/A</c:v>
                </c:pt>
                <c:pt idx="16">
                  <c:v>#N/A</c:v>
                </c:pt>
                <c:pt idx="17">
                  <c:v>#N/A</c:v>
                </c:pt>
                <c:pt idx="18">
                  <c:v>203</c:v>
                </c:pt>
                <c:pt idx="19">
                  <c:v>#N/A</c:v>
                </c:pt>
                <c:pt idx="20">
                  <c:v>307</c:v>
                </c:pt>
                <c:pt idx="21">
                  <c:v>522</c:v>
                </c:pt>
                <c:pt idx="22">
                  <c:v>298</c:v>
                </c:pt>
                <c:pt idx="23">
                  <c:v>318</c:v>
                </c:pt>
              </c:numCache>
            </c:numRef>
          </c:bubbleSize>
          <c:bubble3D val="0"/>
          <c:extLst>
            <c:ext xmlns:c16="http://schemas.microsoft.com/office/drawing/2014/chart" uri="{C3380CC4-5D6E-409C-BE32-E72D297353CC}">
              <c16:uniqueId val="{00000000-6A44-4E25-80DD-8C02196C57EB}"/>
            </c:ext>
          </c:extLst>
        </c:ser>
        <c:ser>
          <c:idx val="1"/>
          <c:order val="1"/>
          <c:tx>
            <c:v>Health</c:v>
          </c:tx>
          <c:spPr>
            <a:solidFill>
              <a:schemeClr val="accent2">
                <a:alpha val="75000"/>
              </a:schemeClr>
            </a:solidFill>
            <a:ln w="25400">
              <a:noFill/>
            </a:ln>
            <a:effectLst/>
          </c:spPr>
          <c:invertIfNegative val="0"/>
          <c:xVal>
            <c:numRef>
              <c:f>'pivot table'!$BP$5:$BP$28</c:f>
              <c:numCache>
                <c:formatCode>[&gt;=1000000]#,##0.0,,"M";[&gt;=1000]#,##0.0,"K";#,##0</c:formatCode>
                <c:ptCount val="24"/>
                <c:pt idx="0">
                  <c:v>295440</c:v>
                </c:pt>
                <c:pt idx="1">
                  <c:v>1248310</c:v>
                </c:pt>
                <c:pt idx="2">
                  <c:v>935025</c:v>
                </c:pt>
                <c:pt idx="3">
                  <c:v>572455</c:v>
                </c:pt>
                <c:pt idx="4">
                  <c:v>350000</c:v>
                </c:pt>
                <c:pt idx="5">
                  <c:v>804540</c:v>
                </c:pt>
                <c:pt idx="6">
                  <c:v>755820</c:v>
                </c:pt>
                <c:pt idx="7">
                  <c:v>1285700</c:v>
                </c:pt>
                <c:pt idx="8">
                  <c:v>7868875</c:v>
                </c:pt>
                <c:pt idx="9">
                  <c:v>318240</c:v>
                </c:pt>
                <c:pt idx="10">
                  <c:v>977125</c:v>
                </c:pt>
                <c:pt idx="11">
                  <c:v>2005020</c:v>
                </c:pt>
                <c:pt idx="12">
                  <c:v>442297.5</c:v>
                </c:pt>
                <c:pt idx="13">
                  <c:v>1046850</c:v>
                </c:pt>
                <c:pt idx="14">
                  <c:v>1185450</c:v>
                </c:pt>
                <c:pt idx="15">
                  <c:v>686250</c:v>
                </c:pt>
                <c:pt idx="16">
                  <c:v>491767.5</c:v>
                </c:pt>
                <c:pt idx="17">
                  <c:v>1276650</c:v>
                </c:pt>
                <c:pt idx="18">
                  <c:v>3438225</c:v>
                </c:pt>
                <c:pt idx="19">
                  <c:v>383542.5</c:v>
                </c:pt>
                <c:pt idx="20">
                  <c:v>1205820</c:v>
                </c:pt>
                <c:pt idx="21">
                  <c:v>4767210</c:v>
                </c:pt>
                <c:pt idx="22">
                  <c:v>6806100</c:v>
                </c:pt>
                <c:pt idx="23">
                  <c:v>617295</c:v>
                </c:pt>
              </c:numCache>
            </c:numRef>
          </c:xVal>
          <c:yVal>
            <c:numRef>
              <c:f>'pivot table'!$BS$5:$BS$28</c:f>
              <c:numCache>
                <c:formatCode>0.0%</c:formatCode>
                <c:ptCount val="24"/>
                <c:pt idx="0">
                  <c:v>#N/A</c:v>
                </c:pt>
                <c:pt idx="1">
                  <c:v>0.24634105310379634</c:v>
                </c:pt>
                <c:pt idx="2">
                  <c:v>0.23338948156466405</c:v>
                </c:pt>
                <c:pt idx="3">
                  <c:v>#N/A</c:v>
                </c:pt>
                <c:pt idx="4">
                  <c:v>#N/A</c:v>
                </c:pt>
                <c:pt idx="5">
                  <c:v>#N/A</c:v>
                </c:pt>
                <c:pt idx="6">
                  <c:v>0.31729776931015319</c:v>
                </c:pt>
                <c:pt idx="7">
                  <c:v>0.278603095589951</c:v>
                </c:pt>
                <c:pt idx="8">
                  <c:v>#N/A</c:v>
                </c:pt>
                <c:pt idx="9">
                  <c:v>#N/A</c:v>
                </c:pt>
                <c:pt idx="10">
                  <c:v>0.3429704490213637</c:v>
                </c:pt>
                <c:pt idx="11">
                  <c:v>0.15891113305602936</c:v>
                </c:pt>
                <c:pt idx="12">
                  <c:v>0.30363612726728051</c:v>
                </c:pt>
                <c:pt idx="13">
                  <c:v>#N/A</c:v>
                </c:pt>
                <c:pt idx="14">
                  <c:v>0.16487409844362899</c:v>
                </c:pt>
                <c:pt idx="15">
                  <c:v>#N/A</c:v>
                </c:pt>
                <c:pt idx="16">
                  <c:v>0.31064984977657123</c:v>
                </c:pt>
                <c:pt idx="17">
                  <c:v>0.24552539850389693</c:v>
                </c:pt>
                <c:pt idx="18">
                  <c:v>#N/A</c:v>
                </c:pt>
                <c:pt idx="19">
                  <c:v>0.35556033555603356</c:v>
                </c:pt>
                <c:pt idx="20">
                  <c:v>#N/A</c:v>
                </c:pt>
                <c:pt idx="21">
                  <c:v>#N/A</c:v>
                </c:pt>
                <c:pt idx="22">
                  <c:v>#N/A</c:v>
                </c:pt>
                <c:pt idx="23">
                  <c:v>#N/A</c:v>
                </c:pt>
              </c:numCache>
            </c:numRef>
          </c:yVal>
          <c:bubbleSize>
            <c:numRef>
              <c:f>'pivot table'!$BT$5:$BT$28</c:f>
              <c:numCache>
                <c:formatCode>General</c:formatCode>
                <c:ptCount val="24"/>
                <c:pt idx="0">
                  <c:v>#N/A</c:v>
                </c:pt>
                <c:pt idx="1">
                  <c:v>392</c:v>
                </c:pt>
                <c:pt idx="2">
                  <c:v>256</c:v>
                </c:pt>
                <c:pt idx="3">
                  <c:v>#N/A</c:v>
                </c:pt>
                <c:pt idx="4">
                  <c:v>#N/A</c:v>
                </c:pt>
                <c:pt idx="5">
                  <c:v>#N/A</c:v>
                </c:pt>
                <c:pt idx="6">
                  <c:v>430</c:v>
                </c:pt>
                <c:pt idx="7">
                  <c:v>265</c:v>
                </c:pt>
                <c:pt idx="8">
                  <c:v>#N/A</c:v>
                </c:pt>
                <c:pt idx="9">
                  <c:v>#N/A</c:v>
                </c:pt>
                <c:pt idx="10">
                  <c:v>428</c:v>
                </c:pt>
                <c:pt idx="11">
                  <c:v>272</c:v>
                </c:pt>
                <c:pt idx="12">
                  <c:v>560</c:v>
                </c:pt>
                <c:pt idx="13">
                  <c:v>#N/A</c:v>
                </c:pt>
                <c:pt idx="14">
                  <c:v>132</c:v>
                </c:pt>
                <c:pt idx="15">
                  <c:v>#N/A</c:v>
                </c:pt>
                <c:pt idx="16">
                  <c:v>565</c:v>
                </c:pt>
                <c:pt idx="17">
                  <c:v>301</c:v>
                </c:pt>
                <c:pt idx="18">
                  <c:v>#N/A</c:v>
                </c:pt>
                <c:pt idx="19">
                  <c:v>749</c:v>
                </c:pt>
                <c:pt idx="20">
                  <c:v>#N/A</c:v>
                </c:pt>
                <c:pt idx="21">
                  <c:v>#N/A</c:v>
                </c:pt>
                <c:pt idx="22">
                  <c:v>#N/A</c:v>
                </c:pt>
                <c:pt idx="23">
                  <c:v>#N/A</c:v>
                </c:pt>
              </c:numCache>
            </c:numRef>
          </c:bubbleSize>
          <c:bubble3D val="0"/>
          <c:extLst>
            <c:ext xmlns:c16="http://schemas.microsoft.com/office/drawing/2014/chart" uri="{C3380CC4-5D6E-409C-BE32-E72D297353CC}">
              <c16:uniqueId val="{00000001-6A44-4E25-80DD-8C02196C57EB}"/>
            </c:ext>
          </c:extLst>
        </c:ser>
        <c:ser>
          <c:idx val="2"/>
          <c:order val="2"/>
          <c:tx>
            <c:v>over stocked</c:v>
          </c:tx>
          <c:spPr>
            <a:solidFill>
              <a:schemeClr val="accent3">
                <a:alpha val="75000"/>
              </a:schemeClr>
            </a:solidFill>
            <a:ln w="25400">
              <a:noFill/>
            </a:ln>
            <a:effectLst/>
          </c:spPr>
          <c:invertIfNegative val="0"/>
          <c:xVal>
            <c:numRef>
              <c:f>'pivot table'!$BP$5:$BP$28</c:f>
              <c:numCache>
                <c:formatCode>[&gt;=1000000]#,##0.0,,"M";[&gt;=1000]#,##0.0,"K";#,##0</c:formatCode>
                <c:ptCount val="24"/>
                <c:pt idx="0">
                  <c:v>295440</c:v>
                </c:pt>
                <c:pt idx="1">
                  <c:v>1248310</c:v>
                </c:pt>
                <c:pt idx="2">
                  <c:v>935025</c:v>
                </c:pt>
                <c:pt idx="3">
                  <c:v>572455</c:v>
                </c:pt>
                <c:pt idx="4">
                  <c:v>350000</c:v>
                </c:pt>
                <c:pt idx="5">
                  <c:v>804540</c:v>
                </c:pt>
                <c:pt idx="6">
                  <c:v>755820</c:v>
                </c:pt>
                <c:pt idx="7">
                  <c:v>1285700</c:v>
                </c:pt>
                <c:pt idx="8">
                  <c:v>7868875</c:v>
                </c:pt>
                <c:pt idx="9">
                  <c:v>318240</c:v>
                </c:pt>
                <c:pt idx="10">
                  <c:v>977125</c:v>
                </c:pt>
                <c:pt idx="11">
                  <c:v>2005020</c:v>
                </c:pt>
                <c:pt idx="12">
                  <c:v>442297.5</c:v>
                </c:pt>
                <c:pt idx="13">
                  <c:v>1046850</c:v>
                </c:pt>
                <c:pt idx="14">
                  <c:v>1185450</c:v>
                </c:pt>
                <c:pt idx="15">
                  <c:v>686250</c:v>
                </c:pt>
                <c:pt idx="16">
                  <c:v>491767.5</c:v>
                </c:pt>
                <c:pt idx="17">
                  <c:v>1276650</c:v>
                </c:pt>
                <c:pt idx="18">
                  <c:v>3438225</c:v>
                </c:pt>
                <c:pt idx="19">
                  <c:v>383542.5</c:v>
                </c:pt>
                <c:pt idx="20">
                  <c:v>1205820</c:v>
                </c:pt>
                <c:pt idx="21">
                  <c:v>4767210</c:v>
                </c:pt>
                <c:pt idx="22">
                  <c:v>6806100</c:v>
                </c:pt>
                <c:pt idx="23">
                  <c:v>617295</c:v>
                </c:pt>
              </c:numCache>
            </c:numRef>
          </c:xVal>
          <c:yVal>
            <c:numRef>
              <c:f>'pivot table'!$BU$5:$BU$28</c:f>
              <c:numCache>
                <c:formatCode>0.0%</c:formatCode>
                <c:ptCount val="24"/>
                <c:pt idx="0">
                  <c:v>#N/A</c:v>
                </c:pt>
                <c:pt idx="1">
                  <c:v>#N/A</c:v>
                </c:pt>
                <c:pt idx="2">
                  <c:v>#N/A</c:v>
                </c:pt>
                <c:pt idx="3">
                  <c:v>#N/A</c:v>
                </c:pt>
                <c:pt idx="4">
                  <c:v>0.29085714285714287</c:v>
                </c:pt>
                <c:pt idx="5">
                  <c:v>#N/A</c:v>
                </c:pt>
                <c:pt idx="6">
                  <c:v>#N/A</c:v>
                </c:pt>
                <c:pt idx="7">
                  <c:v>#N/A</c:v>
                </c:pt>
                <c:pt idx="8">
                  <c:v>#N/A</c:v>
                </c:pt>
                <c:pt idx="9">
                  <c:v>0.28418803418803418</c:v>
                </c:pt>
                <c:pt idx="10">
                  <c:v>#N/A</c:v>
                </c:pt>
                <c:pt idx="11">
                  <c:v>#N/A</c:v>
                </c:pt>
                <c:pt idx="12">
                  <c:v>#N/A</c:v>
                </c:pt>
                <c:pt idx="13">
                  <c:v>0.1505946410660553</c:v>
                </c:pt>
                <c:pt idx="14">
                  <c:v>#N/A</c:v>
                </c:pt>
                <c:pt idx="15">
                  <c:v>0.21967213114754097</c:v>
                </c:pt>
                <c:pt idx="16">
                  <c:v>#N/A</c:v>
                </c:pt>
                <c:pt idx="17">
                  <c:v>#N/A</c:v>
                </c:pt>
                <c:pt idx="18">
                  <c:v>#N/A</c:v>
                </c:pt>
                <c:pt idx="19">
                  <c:v>#N/A</c:v>
                </c:pt>
                <c:pt idx="20">
                  <c:v>#N/A</c:v>
                </c:pt>
                <c:pt idx="21">
                  <c:v>#N/A</c:v>
                </c:pt>
                <c:pt idx="22">
                  <c:v>#N/A</c:v>
                </c:pt>
                <c:pt idx="23">
                  <c:v>#N/A</c:v>
                </c:pt>
              </c:numCache>
            </c:numRef>
          </c:yVal>
          <c:bubbleSize>
            <c:numRef>
              <c:f>'pivot table'!$BV$5:$BV$28</c:f>
              <c:numCache>
                <c:formatCode>General</c:formatCode>
                <c:ptCount val="24"/>
                <c:pt idx="0">
                  <c:v>#N/A</c:v>
                </c:pt>
                <c:pt idx="1">
                  <c:v>#N/A</c:v>
                </c:pt>
                <c:pt idx="2">
                  <c:v>#N/A</c:v>
                </c:pt>
                <c:pt idx="3">
                  <c:v>#N/A</c:v>
                </c:pt>
                <c:pt idx="4">
                  <c:v>146</c:v>
                </c:pt>
                <c:pt idx="5">
                  <c:v>#N/A</c:v>
                </c:pt>
                <c:pt idx="6">
                  <c:v>#N/A</c:v>
                </c:pt>
                <c:pt idx="7">
                  <c:v>#N/A</c:v>
                </c:pt>
                <c:pt idx="8">
                  <c:v>#N/A</c:v>
                </c:pt>
                <c:pt idx="9">
                  <c:v>134</c:v>
                </c:pt>
                <c:pt idx="10">
                  <c:v>#N/A</c:v>
                </c:pt>
                <c:pt idx="11">
                  <c:v>#N/A</c:v>
                </c:pt>
                <c:pt idx="12">
                  <c:v>#N/A</c:v>
                </c:pt>
                <c:pt idx="13">
                  <c:v>171</c:v>
                </c:pt>
                <c:pt idx="14">
                  <c:v>#N/A</c:v>
                </c:pt>
                <c:pt idx="15">
                  <c:v>63</c:v>
                </c:pt>
                <c:pt idx="16">
                  <c:v>#N/A</c:v>
                </c:pt>
                <c:pt idx="17">
                  <c:v>#N/A</c:v>
                </c:pt>
                <c:pt idx="18">
                  <c:v>#N/A</c:v>
                </c:pt>
                <c:pt idx="19">
                  <c:v>#N/A</c:v>
                </c:pt>
                <c:pt idx="20">
                  <c:v>#N/A</c:v>
                </c:pt>
                <c:pt idx="21">
                  <c:v>#N/A</c:v>
                </c:pt>
                <c:pt idx="22">
                  <c:v>#N/A</c:v>
                </c:pt>
                <c:pt idx="23">
                  <c:v>#N/A</c:v>
                </c:pt>
              </c:numCache>
            </c:numRef>
          </c:bubbleSize>
          <c:bubble3D val="0"/>
          <c:extLst>
            <c:ext xmlns:c16="http://schemas.microsoft.com/office/drawing/2014/chart" uri="{C3380CC4-5D6E-409C-BE32-E72D297353CC}">
              <c16:uniqueId val="{00000002-6A44-4E25-80DD-8C02196C57EB}"/>
            </c:ext>
          </c:extLst>
        </c:ser>
        <c:dLbls>
          <c:showLegendKey val="0"/>
          <c:showVal val="0"/>
          <c:showCatName val="0"/>
          <c:showSerName val="0"/>
          <c:showPercent val="0"/>
          <c:showBubbleSize val="0"/>
        </c:dLbls>
        <c:bubbleScale val="100"/>
        <c:showNegBubbles val="0"/>
        <c:axId val="166645535"/>
        <c:axId val="2022595183"/>
      </c:bubbleChart>
      <c:valAx>
        <c:axId val="166645535"/>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595183"/>
        <c:crosses val="autoZero"/>
        <c:crossBetween val="midCat"/>
      </c:valAx>
      <c:valAx>
        <c:axId val="20225951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5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55597200835840643"/>
          <c:y val="0.4926278041781070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3D-4A0B-8E1C-61609C6CC9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3D-4A0B-8E1C-61609C6CC96B}"/>
              </c:ext>
            </c:extLst>
          </c:dPt>
          <c:cat>
            <c:strRef>
              <c:f>'pivot table'!$CE$8:$CE$9</c:f>
              <c:strCache>
                <c:ptCount val="2"/>
                <c:pt idx="0">
                  <c:v>Top 5</c:v>
                </c:pt>
                <c:pt idx="1">
                  <c:v>others</c:v>
                </c:pt>
              </c:strCache>
            </c:strRef>
          </c:cat>
          <c:val>
            <c:numRef>
              <c:f>'pivot table'!$CF$8:$CF$9</c:f>
              <c:numCache>
                <c:formatCode>#,##0.0</c:formatCode>
                <c:ptCount val="2"/>
                <c:pt idx="0" formatCode="[&gt;=1000000]#,##0.0,,&quot;M&quot;;[&gt;=1000]#,##0.0,&quot;K&quot;;#,##0">
                  <c:v>24885430</c:v>
                </c:pt>
                <c:pt idx="1">
                  <c:v>14878577.5</c:v>
                </c:pt>
              </c:numCache>
            </c:numRef>
          </c:val>
          <c:extLst>
            <c:ext xmlns:c16="http://schemas.microsoft.com/office/drawing/2014/chart" uri="{C3380CC4-5D6E-409C-BE32-E72D297353CC}">
              <c16:uniqueId val="{00000000-B31E-46B0-A2E3-C3EC9141C9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 Company.xlsx]pivot table!PivotTable1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monthely Revenue</a:t>
            </a:r>
          </a:p>
        </c:rich>
      </c:tx>
      <c:layout>
        <c:manualLayout>
          <c:xMode val="edge"/>
          <c:yMode val="edge"/>
          <c:x val="4.4080091430374745E-2"/>
          <c:y val="1.71370895194778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057691865173"/>
          <c:y val="0.16510168906032976"/>
          <c:w val="0.80425352862732813"/>
          <c:h val="0.71457570185602315"/>
        </c:manualLayout>
      </c:layout>
      <c:barChart>
        <c:barDir val="col"/>
        <c:grouping val="clustered"/>
        <c:varyColors val="0"/>
        <c:ser>
          <c:idx val="0"/>
          <c:order val="0"/>
          <c:tx>
            <c:strRef>
              <c:f>'pivot table'!$AH$4</c:f>
              <c:strCache>
                <c:ptCount val="1"/>
                <c:pt idx="0">
                  <c:v> Net Revenue</c:v>
                </c:pt>
              </c:strCache>
            </c:strRef>
          </c:tx>
          <c:spPr>
            <a:solidFill>
              <a:schemeClr val="tx2">
                <a:lumMod val="75000"/>
                <a:lumOff val="25000"/>
              </a:schemeClr>
            </a:solidFill>
            <a:ln>
              <a:noFill/>
            </a:ln>
            <a:effectLst/>
          </c:spPr>
          <c:invertIfNegative val="0"/>
          <c:cat>
            <c:strRef>
              <c:f>'pivot table'!$AG$5:$AG$16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table'!$AH$5:$AH$16</c:f>
              <c:numCache>
                <c:formatCode>[&gt;=1000000]#,##0.0,,"M";[&gt;=1000]#,##0.0,"K";#,##0</c:formatCode>
                <c:ptCount val="12"/>
                <c:pt idx="0">
                  <c:v>3164650</c:v>
                </c:pt>
                <c:pt idx="1">
                  <c:v>3119687.5</c:v>
                </c:pt>
                <c:pt idx="2">
                  <c:v>4116052.5</c:v>
                </c:pt>
                <c:pt idx="3">
                  <c:v>3081370</c:v>
                </c:pt>
                <c:pt idx="4">
                  <c:v>2862620</c:v>
                </c:pt>
                <c:pt idx="5">
                  <c:v>2994527.5</c:v>
                </c:pt>
                <c:pt idx="6">
                  <c:v>3453750</c:v>
                </c:pt>
                <c:pt idx="7">
                  <c:v>3257970</c:v>
                </c:pt>
                <c:pt idx="8">
                  <c:v>3195660</c:v>
                </c:pt>
                <c:pt idx="9">
                  <c:v>3749885</c:v>
                </c:pt>
                <c:pt idx="10">
                  <c:v>3305695</c:v>
                </c:pt>
                <c:pt idx="11">
                  <c:v>3462140</c:v>
                </c:pt>
              </c:numCache>
            </c:numRef>
          </c:val>
          <c:extLst>
            <c:ext xmlns:c16="http://schemas.microsoft.com/office/drawing/2014/chart" uri="{C3380CC4-5D6E-409C-BE32-E72D297353CC}">
              <c16:uniqueId val="{00000000-9D04-4452-8DD3-F19B056C3505}"/>
            </c:ext>
          </c:extLst>
        </c:ser>
        <c:ser>
          <c:idx val="1"/>
          <c:order val="1"/>
          <c:tx>
            <c:strRef>
              <c:f>'pivot table'!$AI$4</c:f>
              <c:strCache>
                <c:ptCount val="1"/>
                <c:pt idx="0">
                  <c:v> Profit</c:v>
                </c:pt>
              </c:strCache>
            </c:strRef>
          </c:tx>
          <c:spPr>
            <a:solidFill>
              <a:srgbClr val="00B050"/>
            </a:solidFill>
            <a:ln>
              <a:noFill/>
            </a:ln>
            <a:effectLst/>
          </c:spPr>
          <c:invertIfNegative val="0"/>
          <c:cat>
            <c:strRef>
              <c:f>'pivot table'!$AG$5:$AG$16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table'!$AI$5:$AI$16</c:f>
              <c:numCache>
                <c:formatCode>[&gt;=1000000]#,##0.0,,"M";[&gt;=1000]#,##0.0,"K";#,##0</c:formatCode>
                <c:ptCount val="12"/>
                <c:pt idx="0">
                  <c:v>600700</c:v>
                </c:pt>
                <c:pt idx="1">
                  <c:v>613917.5</c:v>
                </c:pt>
                <c:pt idx="2">
                  <c:v>805362.5</c:v>
                </c:pt>
                <c:pt idx="3">
                  <c:v>676200</c:v>
                </c:pt>
                <c:pt idx="4">
                  <c:v>606430</c:v>
                </c:pt>
                <c:pt idx="5">
                  <c:v>691147.5</c:v>
                </c:pt>
                <c:pt idx="6">
                  <c:v>671270</c:v>
                </c:pt>
                <c:pt idx="7">
                  <c:v>630800</c:v>
                </c:pt>
                <c:pt idx="8">
                  <c:v>693190</c:v>
                </c:pt>
                <c:pt idx="9">
                  <c:v>752445</c:v>
                </c:pt>
                <c:pt idx="10">
                  <c:v>666675</c:v>
                </c:pt>
                <c:pt idx="11">
                  <c:v>683580</c:v>
                </c:pt>
              </c:numCache>
            </c:numRef>
          </c:val>
          <c:extLst>
            <c:ext xmlns:c16="http://schemas.microsoft.com/office/drawing/2014/chart" uri="{C3380CC4-5D6E-409C-BE32-E72D297353CC}">
              <c16:uniqueId val="{00000001-9D04-4452-8DD3-F19B056C3505}"/>
            </c:ext>
          </c:extLst>
        </c:ser>
        <c:dLbls>
          <c:showLegendKey val="0"/>
          <c:showVal val="0"/>
          <c:showCatName val="0"/>
          <c:showSerName val="0"/>
          <c:showPercent val="0"/>
          <c:showBubbleSize val="0"/>
        </c:dLbls>
        <c:gapWidth val="219"/>
        <c:axId val="1167801856"/>
        <c:axId val="1042249328"/>
      </c:barChart>
      <c:lineChart>
        <c:grouping val="standard"/>
        <c:varyColors val="0"/>
        <c:ser>
          <c:idx val="2"/>
          <c:order val="2"/>
          <c:tx>
            <c:strRef>
              <c:f>'pivot table'!$AJ$4</c:f>
              <c:strCache>
                <c:ptCount val="1"/>
                <c:pt idx="0">
                  <c:v> margin2</c:v>
                </c:pt>
              </c:strCache>
            </c:strRef>
          </c:tx>
          <c:spPr>
            <a:ln w="28575" cap="rnd">
              <a:solidFill>
                <a:schemeClr val="accent5"/>
              </a:solidFill>
              <a:round/>
            </a:ln>
            <a:effectLst/>
          </c:spPr>
          <c:marker>
            <c:symbol val="none"/>
          </c:marker>
          <c:cat>
            <c:strRef>
              <c:f>'pivot table'!$AG$5:$AG$16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table'!$AJ$5:$AJ$16</c:f>
              <c:numCache>
                <c:formatCode>0.0%</c:formatCode>
                <c:ptCount val="12"/>
                <c:pt idx="0">
                  <c:v>0.18981561942078903</c:v>
                </c:pt>
                <c:pt idx="1">
                  <c:v>0.19678813983772414</c:v>
                </c:pt>
                <c:pt idx="2">
                  <c:v>0.19566380652336188</c:v>
                </c:pt>
                <c:pt idx="3">
                  <c:v>0.21944784300489717</c:v>
                </c:pt>
                <c:pt idx="4">
                  <c:v>0.2118443942961343</c:v>
                </c:pt>
                <c:pt idx="5">
                  <c:v>0.23080352409520366</c:v>
                </c:pt>
                <c:pt idx="6">
                  <c:v>0.19435975389069851</c:v>
                </c:pt>
                <c:pt idx="7">
                  <c:v>0.19361749801256611</c:v>
                </c:pt>
                <c:pt idx="8">
                  <c:v>0.21691606741643354</c:v>
                </c:pt>
                <c:pt idx="9">
                  <c:v>0.20065815351670785</c:v>
                </c:pt>
                <c:pt idx="10">
                  <c:v>0.20167468565611771</c:v>
                </c:pt>
                <c:pt idx="11">
                  <c:v>0.19744435522538084</c:v>
                </c:pt>
              </c:numCache>
            </c:numRef>
          </c:val>
          <c:smooth val="0"/>
          <c:extLst>
            <c:ext xmlns:c16="http://schemas.microsoft.com/office/drawing/2014/chart" uri="{C3380CC4-5D6E-409C-BE32-E72D297353CC}">
              <c16:uniqueId val="{00000002-9D04-4452-8DD3-F19B056C3505}"/>
            </c:ext>
          </c:extLst>
        </c:ser>
        <c:dLbls>
          <c:showLegendKey val="0"/>
          <c:showVal val="0"/>
          <c:showCatName val="0"/>
          <c:showSerName val="0"/>
          <c:showPercent val="0"/>
          <c:showBubbleSize val="0"/>
        </c:dLbls>
        <c:marker val="1"/>
        <c:smooth val="0"/>
        <c:axId val="1282388224"/>
        <c:axId val="1042251248"/>
      </c:lineChart>
      <c:catAx>
        <c:axId val="116780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249328"/>
        <c:crosses val="autoZero"/>
        <c:auto val="1"/>
        <c:lblAlgn val="ctr"/>
        <c:lblOffset val="100"/>
        <c:noMultiLvlLbl val="0"/>
      </c:catAx>
      <c:valAx>
        <c:axId val="104224932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01856"/>
        <c:crosses val="autoZero"/>
        <c:crossBetween val="between"/>
      </c:valAx>
      <c:valAx>
        <c:axId val="104225124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388224"/>
        <c:crosses val="max"/>
        <c:crossBetween val="between"/>
      </c:valAx>
      <c:catAx>
        <c:axId val="1282388224"/>
        <c:scaling>
          <c:orientation val="minMax"/>
        </c:scaling>
        <c:delete val="1"/>
        <c:axPos val="t"/>
        <c:numFmt formatCode="General" sourceLinked="1"/>
        <c:majorTickMark val="out"/>
        <c:minorTickMark val="none"/>
        <c:tickLblPos val="nextTo"/>
        <c:crossAx val="1042251248"/>
        <c:crosses val="max"/>
        <c:auto val="1"/>
        <c:lblAlgn val="ctr"/>
        <c:lblOffset val="100"/>
        <c:noMultiLvlLbl val="0"/>
      </c:catAx>
      <c:spPr>
        <a:noFill/>
        <a:ln>
          <a:noFill/>
        </a:ln>
        <a:effectLst/>
      </c:spPr>
    </c:plotArea>
    <c:legend>
      <c:legendPos val="b"/>
      <c:layout>
        <c:manualLayout>
          <c:xMode val="edge"/>
          <c:yMode val="edge"/>
          <c:x val="0.37884215220790551"/>
          <c:y val="2.3899268097846035E-2"/>
          <c:w val="0.58743687041629089"/>
          <c:h val="9.63968032356264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Retail Company.xlsx]pivot table!PivotTable3</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&amp; profit by Region</a:t>
            </a:r>
          </a:p>
        </c:rich>
      </c:tx>
      <c:layout>
        <c:manualLayout>
          <c:xMode val="edge"/>
          <c:yMode val="edge"/>
          <c:x val="0.1601596675415573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0.1083333333333334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dLbl>
          <c:idx val="0"/>
          <c:layout>
            <c:manualLayout>
              <c:x val="0.10555555555555565"/>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a:noFill/>
          </a:ln>
          <a:effectLst/>
        </c:spPr>
        <c:dLbl>
          <c:idx val="0"/>
          <c:layout>
            <c:manualLayout>
              <c:x val="0.12777777777777777"/>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dLbl>
          <c:idx val="0"/>
          <c:layout>
            <c:manualLayout>
              <c:x val="7.7777777777777779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c:spPr>
        <c:dLbl>
          <c:idx val="0"/>
          <c:layout>
            <c:manualLayout>
              <c:x val="8.3333333333333329E-2"/>
              <c:y val="-1.85185185185185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c:spPr>
        <c:dLbl>
          <c:idx val="0"/>
          <c:layout>
            <c:manualLayout>
              <c:x val="0.1083333333333334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a:noFill/>
          </a:ln>
          <a:effectLst/>
        </c:spPr>
        <c:dLbl>
          <c:idx val="0"/>
          <c:layout>
            <c:manualLayout>
              <c:x val="0.10555555555555565"/>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a:noFill/>
          </a:ln>
          <a:effectLst/>
        </c:spPr>
        <c:dLbl>
          <c:idx val="0"/>
          <c:layout>
            <c:manualLayout>
              <c:x val="6.9444444444444448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solidFill>
          <a:ln>
            <a:noFill/>
          </a:ln>
          <a:effectLst/>
        </c:spPr>
        <c:dLbl>
          <c:idx val="0"/>
          <c:layout>
            <c:manualLayout>
              <c:x val="7.7777777777777779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olidFill>
          <a:ln>
            <a:noFill/>
          </a:ln>
          <a:effectLst/>
        </c:spPr>
        <c:dLbl>
          <c:idx val="0"/>
          <c:layout>
            <c:manualLayout>
              <c:x val="8.3333333333333329E-2"/>
              <c:y val="-1.85185185185185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solidFill>
          <a:ln>
            <a:noFill/>
          </a:ln>
          <a:effectLst/>
        </c:spPr>
        <c:dLbl>
          <c:idx val="0"/>
          <c:layout>
            <c:manualLayout>
              <c:x val="0.1083333333333334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solidFill>
          <a:ln>
            <a:noFill/>
          </a:ln>
          <a:effectLst/>
        </c:spPr>
        <c:dLbl>
          <c:idx val="0"/>
          <c:layout>
            <c:manualLayout>
              <c:x val="0.10555555555555565"/>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2"/>
          </a:solidFill>
          <a:ln>
            <a:noFill/>
          </a:ln>
          <a:effectLst/>
        </c:spPr>
        <c:dLbl>
          <c:idx val="0"/>
          <c:layout>
            <c:manualLayout>
              <c:x val="6.9444444444444448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2"/>
          </a:solidFill>
          <a:ln>
            <a:noFill/>
          </a:ln>
          <a:effectLst/>
        </c:spPr>
        <c:dLbl>
          <c:idx val="0"/>
          <c:layout>
            <c:manualLayout>
              <c:x val="7.7777777777777779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2"/>
          </a:solidFill>
          <a:ln>
            <a:noFill/>
          </a:ln>
          <a:effectLst/>
        </c:spPr>
        <c:dLbl>
          <c:idx val="0"/>
          <c:layout>
            <c:manualLayout>
              <c:x val="8.3333333333333329E-2"/>
              <c:y val="-1.85185185185185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dLbl>
          <c:idx val="0"/>
          <c:layout>
            <c:manualLayout>
              <c:x val="0.1083333333333334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dLbl>
          <c:idx val="0"/>
          <c:layout>
            <c:manualLayout>
              <c:x val="0.10555555555555565"/>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dLbl>
          <c:idx val="0"/>
          <c:layout>
            <c:manualLayout>
              <c:x val="6.9444444444444448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dLbl>
          <c:idx val="0"/>
          <c:layout>
            <c:manualLayout>
              <c:x val="7.7777777777777779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c:spPr>
        <c:dLbl>
          <c:idx val="0"/>
          <c:layout>
            <c:manualLayout>
              <c:x val="8.3333333333333329E-2"/>
              <c:y val="-1.85185185185185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295647419072614"/>
          <c:y val="0.13409776902887138"/>
          <c:w val="0.75642541557305332"/>
          <c:h val="0.85109543598716841"/>
        </c:manualLayout>
      </c:layout>
      <c:barChart>
        <c:barDir val="bar"/>
        <c:grouping val="stacked"/>
        <c:varyColors val="0"/>
        <c:ser>
          <c:idx val="0"/>
          <c:order val="0"/>
          <c:tx>
            <c:strRef>
              <c:f>'pivot table'!$AV$4</c:f>
              <c:strCache>
                <c:ptCount val="1"/>
                <c:pt idx="0">
                  <c:v> Net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table'!$AU$5:$AU$9</c:f>
              <c:strCache>
                <c:ptCount val="5"/>
                <c:pt idx="0">
                  <c:v>South West</c:v>
                </c:pt>
                <c:pt idx="1">
                  <c:v>North Central</c:v>
                </c:pt>
                <c:pt idx="2">
                  <c:v>South East</c:v>
                </c:pt>
                <c:pt idx="3">
                  <c:v>South South</c:v>
                </c:pt>
                <c:pt idx="4">
                  <c:v>North West</c:v>
                </c:pt>
              </c:strCache>
            </c:strRef>
          </c:cat>
          <c:val>
            <c:numRef>
              <c:f>'pivot table'!$AV$5:$AV$9</c:f>
              <c:numCache>
                <c:formatCode>[&gt;=1000000]#,##0.0,,"M";[&gt;=1000]#,##0.0,"K";#,##0</c:formatCode>
                <c:ptCount val="5"/>
                <c:pt idx="0">
                  <c:v>13966085</c:v>
                </c:pt>
                <c:pt idx="1">
                  <c:v>13049302.5</c:v>
                </c:pt>
                <c:pt idx="2">
                  <c:v>4762662.5</c:v>
                </c:pt>
                <c:pt idx="3">
                  <c:v>4532182.5</c:v>
                </c:pt>
                <c:pt idx="4">
                  <c:v>3453775</c:v>
                </c:pt>
              </c:numCache>
            </c:numRef>
          </c:val>
          <c:extLst>
            <c:ext xmlns:c16="http://schemas.microsoft.com/office/drawing/2014/chart" uri="{C3380CC4-5D6E-409C-BE32-E72D297353CC}">
              <c16:uniqueId val="{00000000-917E-468F-AE98-3820C9F48C59}"/>
            </c:ext>
          </c:extLst>
        </c:ser>
        <c:ser>
          <c:idx val="1"/>
          <c:order val="1"/>
          <c:tx>
            <c:strRef>
              <c:f>'pivot table'!$AW$4</c:f>
              <c:strCache>
                <c:ptCount val="1"/>
                <c:pt idx="0">
                  <c:v>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917E-468F-AE98-3820C9F48C5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917E-468F-AE98-3820C9F48C59}"/>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917E-468F-AE98-3820C9F48C59}"/>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4-917E-468F-AE98-3820C9F48C59}"/>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917E-468F-AE98-3820C9F48C59}"/>
              </c:ext>
            </c:extLst>
          </c:dPt>
          <c:dLbls>
            <c:dLbl>
              <c:idx val="0"/>
              <c:layout>
                <c:manualLayout>
                  <c:x val="0.10833333333333343"/>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7E-468F-AE98-3820C9F48C59}"/>
                </c:ext>
              </c:extLst>
            </c:dLbl>
            <c:dLbl>
              <c:idx val="1"/>
              <c:layout>
                <c:manualLayout>
                  <c:x val="0.10555555555555565"/>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7E-468F-AE98-3820C9F48C59}"/>
                </c:ext>
              </c:extLst>
            </c:dLbl>
            <c:dLbl>
              <c:idx val="2"/>
              <c:layout>
                <c:manualLayout>
                  <c:x val="6.9444444444444448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7E-468F-AE98-3820C9F48C59}"/>
                </c:ext>
              </c:extLst>
            </c:dLbl>
            <c:dLbl>
              <c:idx val="3"/>
              <c:layout>
                <c:manualLayout>
                  <c:x val="7.7777777777777779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7E-468F-AE98-3820C9F48C59}"/>
                </c:ext>
              </c:extLst>
            </c:dLbl>
            <c:dLbl>
              <c:idx val="4"/>
              <c:layout>
                <c:manualLayout>
                  <c:x val="8.3333333333333329E-2"/>
                  <c:y val="-1.85185185185185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7E-468F-AE98-3820C9F48C5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table'!$AU$5:$AU$9</c:f>
              <c:strCache>
                <c:ptCount val="5"/>
                <c:pt idx="0">
                  <c:v>South West</c:v>
                </c:pt>
                <c:pt idx="1">
                  <c:v>North Central</c:v>
                </c:pt>
                <c:pt idx="2">
                  <c:v>South East</c:v>
                </c:pt>
                <c:pt idx="3">
                  <c:v>South South</c:v>
                </c:pt>
                <c:pt idx="4">
                  <c:v>North West</c:v>
                </c:pt>
              </c:strCache>
            </c:strRef>
          </c:cat>
          <c:val>
            <c:numRef>
              <c:f>'pivot table'!$AW$5:$AW$9</c:f>
              <c:numCache>
                <c:formatCode>[&gt;=1000000]#,##0.0,,"M";[&gt;=1000]#,##0.0,"K";#,##0</c:formatCode>
                <c:ptCount val="5"/>
                <c:pt idx="0">
                  <c:v>2882795</c:v>
                </c:pt>
                <c:pt idx="1">
                  <c:v>2595962.5</c:v>
                </c:pt>
                <c:pt idx="2">
                  <c:v>991822.5</c:v>
                </c:pt>
                <c:pt idx="3">
                  <c:v>905972.5</c:v>
                </c:pt>
                <c:pt idx="4">
                  <c:v>715165</c:v>
                </c:pt>
              </c:numCache>
            </c:numRef>
          </c:val>
          <c:extLst>
            <c:ext xmlns:c16="http://schemas.microsoft.com/office/drawing/2014/chart" uri="{C3380CC4-5D6E-409C-BE32-E72D297353CC}">
              <c16:uniqueId val="{00000006-917E-468F-AE98-3820C9F48C59}"/>
            </c:ext>
          </c:extLst>
        </c:ser>
        <c:dLbls>
          <c:showLegendKey val="0"/>
          <c:showVal val="0"/>
          <c:showCatName val="0"/>
          <c:showSerName val="0"/>
          <c:showPercent val="0"/>
          <c:showBubbleSize val="0"/>
        </c:dLbls>
        <c:gapWidth val="219"/>
        <c:overlap val="100"/>
        <c:axId val="1357823231"/>
        <c:axId val="1342978191"/>
      </c:barChart>
      <c:catAx>
        <c:axId val="135782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78191"/>
        <c:crosses val="autoZero"/>
        <c:auto val="1"/>
        <c:lblAlgn val="ctr"/>
        <c:lblOffset val="100"/>
        <c:noMultiLvlLbl val="0"/>
      </c:catAx>
      <c:valAx>
        <c:axId val="1342978191"/>
        <c:scaling>
          <c:orientation val="minMax"/>
        </c:scaling>
        <c:delete val="1"/>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crossAx val="1357823231"/>
        <c:crosses val="autoZero"/>
        <c:crossBetween val="between"/>
      </c:valAx>
      <c:spPr>
        <a:noFill/>
        <a:ln>
          <a:noFill/>
        </a:ln>
        <a:effectLst/>
      </c:spPr>
    </c:plotArea>
    <c:legend>
      <c:legendPos val="t"/>
      <c:layout>
        <c:manualLayout>
          <c:xMode val="edge"/>
          <c:yMode val="edge"/>
          <c:x val="0.61434426946631671"/>
          <c:y val="3.2824074074074089E-2"/>
          <c:w val="0.3046447944006999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 Company.xlsx]pivot table!PivotTable2</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Branches</a:t>
            </a:r>
          </a:p>
          <a:p>
            <a:pPr>
              <a:defRPr sz="1400" b="0" i="0" u="none" strike="noStrike" kern="1200" spc="0" baseline="0">
                <a:solidFill>
                  <a:schemeClr val="tx1">
                    <a:lumMod val="65000"/>
                    <a:lumOff val="35000"/>
                  </a:schemeClr>
                </a:solidFill>
                <a:latin typeface="+mn-lt"/>
                <a:ea typeface="+mn-ea"/>
                <a:cs typeface="+mn-cs"/>
              </a:defRPr>
            </a:pPr>
            <a:r>
              <a:rPr lang="en-US"/>
              <a:t> by revenue &amp; profit</a:t>
            </a:r>
          </a:p>
        </c:rich>
      </c:tx>
      <c:layout>
        <c:manualLayout>
          <c:xMode val="edge"/>
          <c:yMode val="edge"/>
          <c:x val="0.64425994750656157"/>
          <c:y val="4.7775798549260229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219456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219456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731968503937"/>
          <c:y val="4.6232809160769169E-2"/>
          <c:w val="0.72840797900262477"/>
          <c:h val="0.94035687386439237"/>
        </c:manualLayout>
      </c:layout>
      <c:barChart>
        <c:barDir val="bar"/>
        <c:grouping val="clustered"/>
        <c:varyColors val="0"/>
        <c:ser>
          <c:idx val="0"/>
          <c:order val="0"/>
          <c:tx>
            <c:strRef>
              <c:f>'pivot table'!$AO$4</c:f>
              <c:strCache>
                <c:ptCount val="1"/>
                <c:pt idx="0">
                  <c:v> Profit</c:v>
                </c:pt>
              </c:strCache>
            </c:strRef>
          </c:tx>
          <c:spPr>
            <a:solidFill>
              <a:srgbClr val="00B050"/>
            </a:solidFill>
            <a:ln>
              <a:solidFill>
                <a:srgbClr val="00B050"/>
              </a:solidFill>
            </a:ln>
            <a:effectLst/>
          </c:spPr>
          <c:invertIfNegative val="0"/>
          <c:dLbls>
            <c:spPr>
              <a:noFill/>
              <a:ln>
                <a:noFill/>
              </a:ln>
              <a:effectLst/>
            </c:spPr>
            <c:txPr>
              <a:bodyPr rot="0" spcFirstLastPara="1" vertOverflow="ellipsis" vert="horz" wrap="square" lIns="38100" tIns="19050" rIns="38100" bIns="219456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table'!$AN$5:$AN$12</c:f>
              <c:strCache>
                <c:ptCount val="8"/>
                <c:pt idx="0">
                  <c:v>Ikeja City</c:v>
                </c:pt>
                <c:pt idx="1">
                  <c:v>Lekki Mall</c:v>
                </c:pt>
                <c:pt idx="2">
                  <c:v>Wuse Central</c:v>
                </c:pt>
                <c:pt idx="3">
                  <c:v>Enugu Main</c:v>
                </c:pt>
                <c:pt idx="4">
                  <c:v>Port Harcourt Hub</c:v>
                </c:pt>
                <c:pt idx="5">
                  <c:v>Garki Market</c:v>
                </c:pt>
                <c:pt idx="6">
                  <c:v>Kano Central</c:v>
                </c:pt>
                <c:pt idx="7">
                  <c:v>Ilorin Retail</c:v>
                </c:pt>
              </c:strCache>
            </c:strRef>
          </c:cat>
          <c:val>
            <c:numRef>
              <c:f>'pivot table'!$AO$5:$AO$12</c:f>
              <c:numCache>
                <c:formatCode>[&gt;=1000000]#,##0.0,,"M";[&gt;=1000]#,##0.0,"K";#,##0</c:formatCode>
                <c:ptCount val="8"/>
                <c:pt idx="0">
                  <c:v>1609720</c:v>
                </c:pt>
                <c:pt idx="1">
                  <c:v>1273075</c:v>
                </c:pt>
                <c:pt idx="2">
                  <c:v>1209210</c:v>
                </c:pt>
                <c:pt idx="3">
                  <c:v>991822.5</c:v>
                </c:pt>
                <c:pt idx="4">
                  <c:v>905972.5</c:v>
                </c:pt>
                <c:pt idx="5">
                  <c:v>875462.5</c:v>
                </c:pt>
                <c:pt idx="6">
                  <c:v>715165</c:v>
                </c:pt>
                <c:pt idx="7">
                  <c:v>511290</c:v>
                </c:pt>
              </c:numCache>
            </c:numRef>
          </c:val>
          <c:extLst>
            <c:ext xmlns:c16="http://schemas.microsoft.com/office/drawing/2014/chart" uri="{C3380CC4-5D6E-409C-BE32-E72D297353CC}">
              <c16:uniqueId val="{00000000-83A2-443A-8079-D2B1C965B463}"/>
            </c:ext>
          </c:extLst>
        </c:ser>
        <c:ser>
          <c:idx val="1"/>
          <c:order val="1"/>
          <c:tx>
            <c:strRef>
              <c:f>'pivot table'!$AP$4</c:f>
              <c:strCache>
                <c:ptCount val="1"/>
                <c:pt idx="0">
                  <c:v> Net Revenue</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table'!$AN$5:$AN$12</c:f>
              <c:strCache>
                <c:ptCount val="8"/>
                <c:pt idx="0">
                  <c:v>Ikeja City</c:v>
                </c:pt>
                <c:pt idx="1">
                  <c:v>Lekki Mall</c:v>
                </c:pt>
                <c:pt idx="2">
                  <c:v>Wuse Central</c:v>
                </c:pt>
                <c:pt idx="3">
                  <c:v>Enugu Main</c:v>
                </c:pt>
                <c:pt idx="4">
                  <c:v>Port Harcourt Hub</c:v>
                </c:pt>
                <c:pt idx="5">
                  <c:v>Garki Market</c:v>
                </c:pt>
                <c:pt idx="6">
                  <c:v>Kano Central</c:v>
                </c:pt>
                <c:pt idx="7">
                  <c:v>Ilorin Retail</c:v>
                </c:pt>
              </c:strCache>
            </c:strRef>
          </c:cat>
          <c:val>
            <c:numRef>
              <c:f>'pivot table'!$AP$5:$AP$12</c:f>
              <c:numCache>
                <c:formatCode>[&gt;=1000000]#,##0.0,,"M";[&gt;=1000]#,##0.0,"K";#,##0</c:formatCode>
                <c:ptCount val="8"/>
                <c:pt idx="0">
                  <c:v>7802760</c:v>
                </c:pt>
                <c:pt idx="1">
                  <c:v>6163325</c:v>
                </c:pt>
                <c:pt idx="2">
                  <c:v>5842100</c:v>
                </c:pt>
                <c:pt idx="3">
                  <c:v>4762662.5</c:v>
                </c:pt>
                <c:pt idx="4">
                  <c:v>4532182.5</c:v>
                </c:pt>
                <c:pt idx="5">
                  <c:v>4472122.5</c:v>
                </c:pt>
                <c:pt idx="6">
                  <c:v>3453775</c:v>
                </c:pt>
                <c:pt idx="7">
                  <c:v>2735080</c:v>
                </c:pt>
              </c:numCache>
            </c:numRef>
          </c:val>
          <c:extLst>
            <c:ext xmlns:c16="http://schemas.microsoft.com/office/drawing/2014/chart" uri="{C3380CC4-5D6E-409C-BE32-E72D297353CC}">
              <c16:uniqueId val="{00000001-83A2-443A-8079-D2B1C965B463}"/>
            </c:ext>
          </c:extLst>
        </c:ser>
        <c:dLbls>
          <c:showLegendKey val="0"/>
          <c:showVal val="0"/>
          <c:showCatName val="0"/>
          <c:showSerName val="0"/>
          <c:showPercent val="0"/>
          <c:showBubbleSize val="0"/>
        </c:dLbls>
        <c:gapWidth val="182"/>
        <c:axId val="323130399"/>
        <c:axId val="1342987311"/>
      </c:barChart>
      <c:catAx>
        <c:axId val="32313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987311"/>
        <c:crosses val="autoZero"/>
        <c:auto val="1"/>
        <c:lblAlgn val="ctr"/>
        <c:lblOffset val="100"/>
        <c:noMultiLvlLbl val="0"/>
      </c:catAx>
      <c:valAx>
        <c:axId val="1342987311"/>
        <c:scaling>
          <c:orientation val="minMax"/>
        </c:scaling>
        <c:delete val="1"/>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crossAx val="323130399"/>
        <c:crosses val="autoZero"/>
        <c:crossBetween val="between"/>
      </c:valAx>
      <c:spPr>
        <a:noFill/>
        <a:ln w="12700" cmpd="sng">
          <a:noFill/>
        </a:ln>
        <a:effectLst>
          <a:softEdge rad="0"/>
        </a:effectLst>
      </c:spPr>
    </c:plotArea>
    <c:legend>
      <c:legendPos val="t"/>
      <c:layout>
        <c:manualLayout>
          <c:xMode val="edge"/>
          <c:yMode val="edge"/>
          <c:x val="0.65777049868766402"/>
          <c:y val="0.24728203311909058"/>
          <c:w val="0.29245900262467189"/>
          <c:h val="9.08989501284505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opportunity matrix.</a:t>
            </a:r>
            <a:endParaRPr lang="en-US"/>
          </a:p>
        </c:rich>
      </c:tx>
      <c:layout>
        <c:manualLayout>
          <c:xMode val="edge"/>
          <c:yMode val="edge"/>
          <c:x val="5.0709233651953213E-2"/>
          <c:y val="4.61839846736352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32394867294419"/>
          <c:y val="0.15602374499359892"/>
          <c:w val="0.82916005561878137"/>
          <c:h val="0.76083428054523161"/>
        </c:manualLayout>
      </c:layout>
      <c:bubbleChart>
        <c:varyColors val="0"/>
        <c:ser>
          <c:idx val="0"/>
          <c:order val="0"/>
          <c:tx>
            <c:v>under stocked</c:v>
          </c:tx>
          <c:spPr>
            <a:solidFill>
              <a:srgbClr val="FF0000">
                <a:alpha val="50000"/>
              </a:srgbClr>
            </a:solidFill>
            <a:ln w="3175">
              <a:solidFill>
                <a:schemeClr val="accent1"/>
              </a:solidFill>
            </a:ln>
            <a:effectLst/>
          </c:spPr>
          <c:invertIfNegative val="0"/>
          <c:xVal>
            <c:numRef>
              <c:f>'pivot table'!$BP$5:$BP$28</c:f>
              <c:numCache>
                <c:formatCode>[&gt;=1000000]#,##0.0,,"M";[&gt;=1000]#,##0.0,"K";#,##0</c:formatCode>
                <c:ptCount val="24"/>
                <c:pt idx="0">
                  <c:v>295440</c:v>
                </c:pt>
                <c:pt idx="1">
                  <c:v>1248310</c:v>
                </c:pt>
                <c:pt idx="2">
                  <c:v>935025</c:v>
                </c:pt>
                <c:pt idx="3">
                  <c:v>572455</c:v>
                </c:pt>
                <c:pt idx="4">
                  <c:v>350000</c:v>
                </c:pt>
                <c:pt idx="5">
                  <c:v>804540</c:v>
                </c:pt>
                <c:pt idx="6">
                  <c:v>755820</c:v>
                </c:pt>
                <c:pt idx="7">
                  <c:v>1285700</c:v>
                </c:pt>
                <c:pt idx="8">
                  <c:v>7868875</c:v>
                </c:pt>
                <c:pt idx="9">
                  <c:v>318240</c:v>
                </c:pt>
                <c:pt idx="10">
                  <c:v>977125</c:v>
                </c:pt>
                <c:pt idx="11">
                  <c:v>2005020</c:v>
                </c:pt>
                <c:pt idx="12">
                  <c:v>442297.5</c:v>
                </c:pt>
                <c:pt idx="13">
                  <c:v>1046850</c:v>
                </c:pt>
                <c:pt idx="14">
                  <c:v>1185450</c:v>
                </c:pt>
                <c:pt idx="15">
                  <c:v>686250</c:v>
                </c:pt>
                <c:pt idx="16">
                  <c:v>491767.5</c:v>
                </c:pt>
                <c:pt idx="17">
                  <c:v>1276650</c:v>
                </c:pt>
                <c:pt idx="18">
                  <c:v>3438225</c:v>
                </c:pt>
                <c:pt idx="19">
                  <c:v>383542.5</c:v>
                </c:pt>
                <c:pt idx="20">
                  <c:v>1205820</c:v>
                </c:pt>
                <c:pt idx="21">
                  <c:v>4767210</c:v>
                </c:pt>
                <c:pt idx="22">
                  <c:v>6806100</c:v>
                </c:pt>
                <c:pt idx="23">
                  <c:v>617295</c:v>
                </c:pt>
              </c:numCache>
            </c:numRef>
          </c:xVal>
          <c:yVal>
            <c:numRef>
              <c:f>'pivot table'!$BQ$5:$BQ$28</c:f>
              <c:numCache>
                <c:formatCode>0.0%</c:formatCode>
                <c:ptCount val="24"/>
                <c:pt idx="0">
                  <c:v>0.37797860817763335</c:v>
                </c:pt>
                <c:pt idx="1">
                  <c:v>#N/A</c:v>
                </c:pt>
                <c:pt idx="2">
                  <c:v>#N/A</c:v>
                </c:pt>
                <c:pt idx="3">
                  <c:v>0.29024988863753481</c:v>
                </c:pt>
                <c:pt idx="4">
                  <c:v>#N/A</c:v>
                </c:pt>
                <c:pt idx="5">
                  <c:v>0.18580803937653814</c:v>
                </c:pt>
                <c:pt idx="6">
                  <c:v>#N/A</c:v>
                </c:pt>
                <c:pt idx="7">
                  <c:v>#N/A</c:v>
                </c:pt>
                <c:pt idx="8">
                  <c:v>0.10997442455242967</c:v>
                </c:pt>
                <c:pt idx="9">
                  <c:v>#N/A</c:v>
                </c:pt>
                <c:pt idx="10">
                  <c:v>#N/A</c:v>
                </c:pt>
                <c:pt idx="11">
                  <c:v>#N/A</c:v>
                </c:pt>
                <c:pt idx="12">
                  <c:v>#N/A</c:v>
                </c:pt>
                <c:pt idx="13">
                  <c:v>#N/A</c:v>
                </c:pt>
                <c:pt idx="14">
                  <c:v>#N/A</c:v>
                </c:pt>
                <c:pt idx="15">
                  <c:v>#N/A</c:v>
                </c:pt>
                <c:pt idx="16">
                  <c:v>#N/A</c:v>
                </c:pt>
                <c:pt idx="17">
                  <c:v>#N/A</c:v>
                </c:pt>
                <c:pt idx="18">
                  <c:v>0.26197383824502468</c:v>
                </c:pt>
                <c:pt idx="19">
                  <c:v>#N/A</c:v>
                </c:pt>
                <c:pt idx="20">
                  <c:v>0.28712411471032162</c:v>
                </c:pt>
                <c:pt idx="21">
                  <c:v>0.14591553550189734</c:v>
                </c:pt>
                <c:pt idx="22">
                  <c:v>0.21188345748666637</c:v>
                </c:pt>
                <c:pt idx="23" formatCode="0.00%">
                  <c:v>0</c:v>
                </c:pt>
              </c:numCache>
            </c:numRef>
          </c:yVal>
          <c:bubbleSize>
            <c:numRef>
              <c:f>'pivot table'!$BR$5:$BR$28</c:f>
              <c:numCache>
                <c:formatCode>General</c:formatCode>
                <c:ptCount val="24"/>
                <c:pt idx="0">
                  <c:v>799</c:v>
                </c:pt>
                <c:pt idx="1">
                  <c:v>#N/A</c:v>
                </c:pt>
                <c:pt idx="2">
                  <c:v>#N/A</c:v>
                </c:pt>
                <c:pt idx="3">
                  <c:v>478</c:v>
                </c:pt>
                <c:pt idx="4">
                  <c:v>#N/A</c:v>
                </c:pt>
                <c:pt idx="5">
                  <c:v>397</c:v>
                </c:pt>
                <c:pt idx="6">
                  <c:v>#N/A</c:v>
                </c:pt>
                <c:pt idx="7">
                  <c:v>#N/A</c:v>
                </c:pt>
                <c:pt idx="8">
                  <c:v>483</c:v>
                </c:pt>
                <c:pt idx="9">
                  <c:v>#N/A</c:v>
                </c:pt>
                <c:pt idx="10">
                  <c:v>#N/A</c:v>
                </c:pt>
                <c:pt idx="11">
                  <c:v>#N/A</c:v>
                </c:pt>
                <c:pt idx="12">
                  <c:v>#N/A</c:v>
                </c:pt>
                <c:pt idx="13">
                  <c:v>#N/A</c:v>
                </c:pt>
                <c:pt idx="14">
                  <c:v>#N/A</c:v>
                </c:pt>
                <c:pt idx="15">
                  <c:v>#N/A</c:v>
                </c:pt>
                <c:pt idx="16">
                  <c:v>#N/A</c:v>
                </c:pt>
                <c:pt idx="17">
                  <c:v>#N/A</c:v>
                </c:pt>
                <c:pt idx="18">
                  <c:v>203</c:v>
                </c:pt>
                <c:pt idx="19">
                  <c:v>#N/A</c:v>
                </c:pt>
                <c:pt idx="20">
                  <c:v>307</c:v>
                </c:pt>
                <c:pt idx="21">
                  <c:v>522</c:v>
                </c:pt>
                <c:pt idx="22">
                  <c:v>298</c:v>
                </c:pt>
                <c:pt idx="23">
                  <c:v>318</c:v>
                </c:pt>
              </c:numCache>
            </c:numRef>
          </c:bubbleSize>
          <c:bubble3D val="0"/>
          <c:extLst>
            <c:ext xmlns:c16="http://schemas.microsoft.com/office/drawing/2014/chart" uri="{C3380CC4-5D6E-409C-BE32-E72D297353CC}">
              <c16:uniqueId val="{00000000-FC46-4FD2-A71C-4DB2E5C06C10}"/>
            </c:ext>
          </c:extLst>
        </c:ser>
        <c:ser>
          <c:idx val="1"/>
          <c:order val="1"/>
          <c:tx>
            <c:v>Health</c:v>
          </c:tx>
          <c:spPr>
            <a:solidFill>
              <a:srgbClr val="00B050">
                <a:alpha val="50000"/>
              </a:srgbClr>
            </a:solidFill>
            <a:ln w="3175">
              <a:solidFill>
                <a:schemeClr val="accent1"/>
              </a:solidFill>
            </a:ln>
            <a:effectLst/>
          </c:spPr>
          <c:invertIfNegative val="0"/>
          <c:xVal>
            <c:numRef>
              <c:f>'pivot table'!$BP$5:$BP$28</c:f>
              <c:numCache>
                <c:formatCode>[&gt;=1000000]#,##0.0,,"M";[&gt;=1000]#,##0.0,"K";#,##0</c:formatCode>
                <c:ptCount val="24"/>
                <c:pt idx="0">
                  <c:v>295440</c:v>
                </c:pt>
                <c:pt idx="1">
                  <c:v>1248310</c:v>
                </c:pt>
                <c:pt idx="2">
                  <c:v>935025</c:v>
                </c:pt>
                <c:pt idx="3">
                  <c:v>572455</c:v>
                </c:pt>
                <c:pt idx="4">
                  <c:v>350000</c:v>
                </c:pt>
                <c:pt idx="5">
                  <c:v>804540</c:v>
                </c:pt>
                <c:pt idx="6">
                  <c:v>755820</c:v>
                </c:pt>
                <c:pt idx="7">
                  <c:v>1285700</c:v>
                </c:pt>
                <c:pt idx="8">
                  <c:v>7868875</c:v>
                </c:pt>
                <c:pt idx="9">
                  <c:v>318240</c:v>
                </c:pt>
                <c:pt idx="10">
                  <c:v>977125</c:v>
                </c:pt>
                <c:pt idx="11">
                  <c:v>2005020</c:v>
                </c:pt>
                <c:pt idx="12">
                  <c:v>442297.5</c:v>
                </c:pt>
                <c:pt idx="13">
                  <c:v>1046850</c:v>
                </c:pt>
                <c:pt idx="14">
                  <c:v>1185450</c:v>
                </c:pt>
                <c:pt idx="15">
                  <c:v>686250</c:v>
                </c:pt>
                <c:pt idx="16">
                  <c:v>491767.5</c:v>
                </c:pt>
                <c:pt idx="17">
                  <c:v>1276650</c:v>
                </c:pt>
                <c:pt idx="18">
                  <c:v>3438225</c:v>
                </c:pt>
                <c:pt idx="19">
                  <c:v>383542.5</c:v>
                </c:pt>
                <c:pt idx="20">
                  <c:v>1205820</c:v>
                </c:pt>
                <c:pt idx="21">
                  <c:v>4767210</c:v>
                </c:pt>
                <c:pt idx="22">
                  <c:v>6806100</c:v>
                </c:pt>
                <c:pt idx="23">
                  <c:v>617295</c:v>
                </c:pt>
              </c:numCache>
            </c:numRef>
          </c:xVal>
          <c:yVal>
            <c:numRef>
              <c:f>'pivot table'!$BS$5:$BS$28</c:f>
              <c:numCache>
                <c:formatCode>0.0%</c:formatCode>
                <c:ptCount val="24"/>
                <c:pt idx="0">
                  <c:v>#N/A</c:v>
                </c:pt>
                <c:pt idx="1">
                  <c:v>0.24634105310379634</c:v>
                </c:pt>
                <c:pt idx="2">
                  <c:v>0.23338948156466405</c:v>
                </c:pt>
                <c:pt idx="3">
                  <c:v>#N/A</c:v>
                </c:pt>
                <c:pt idx="4">
                  <c:v>#N/A</c:v>
                </c:pt>
                <c:pt idx="5">
                  <c:v>#N/A</c:v>
                </c:pt>
                <c:pt idx="6">
                  <c:v>0.31729776931015319</c:v>
                </c:pt>
                <c:pt idx="7">
                  <c:v>0.278603095589951</c:v>
                </c:pt>
                <c:pt idx="8">
                  <c:v>#N/A</c:v>
                </c:pt>
                <c:pt idx="9">
                  <c:v>#N/A</c:v>
                </c:pt>
                <c:pt idx="10">
                  <c:v>0.3429704490213637</c:v>
                </c:pt>
                <c:pt idx="11">
                  <c:v>0.15891113305602936</c:v>
                </c:pt>
                <c:pt idx="12">
                  <c:v>0.30363612726728051</c:v>
                </c:pt>
                <c:pt idx="13">
                  <c:v>#N/A</c:v>
                </c:pt>
                <c:pt idx="14">
                  <c:v>0.16487409844362899</c:v>
                </c:pt>
                <c:pt idx="15">
                  <c:v>#N/A</c:v>
                </c:pt>
                <c:pt idx="16">
                  <c:v>0.31064984977657123</c:v>
                </c:pt>
                <c:pt idx="17">
                  <c:v>0.24552539850389693</c:v>
                </c:pt>
                <c:pt idx="18">
                  <c:v>#N/A</c:v>
                </c:pt>
                <c:pt idx="19">
                  <c:v>0.35556033555603356</c:v>
                </c:pt>
                <c:pt idx="20">
                  <c:v>#N/A</c:v>
                </c:pt>
                <c:pt idx="21">
                  <c:v>#N/A</c:v>
                </c:pt>
                <c:pt idx="22">
                  <c:v>#N/A</c:v>
                </c:pt>
                <c:pt idx="23">
                  <c:v>#N/A</c:v>
                </c:pt>
              </c:numCache>
            </c:numRef>
          </c:yVal>
          <c:bubbleSize>
            <c:numRef>
              <c:f>'pivot table'!$BT$5:$BT$28</c:f>
              <c:numCache>
                <c:formatCode>General</c:formatCode>
                <c:ptCount val="24"/>
                <c:pt idx="0">
                  <c:v>#N/A</c:v>
                </c:pt>
                <c:pt idx="1">
                  <c:v>392</c:v>
                </c:pt>
                <c:pt idx="2">
                  <c:v>256</c:v>
                </c:pt>
                <c:pt idx="3">
                  <c:v>#N/A</c:v>
                </c:pt>
                <c:pt idx="4">
                  <c:v>#N/A</c:v>
                </c:pt>
                <c:pt idx="5">
                  <c:v>#N/A</c:v>
                </c:pt>
                <c:pt idx="6">
                  <c:v>430</c:v>
                </c:pt>
                <c:pt idx="7">
                  <c:v>265</c:v>
                </c:pt>
                <c:pt idx="8">
                  <c:v>#N/A</c:v>
                </c:pt>
                <c:pt idx="9">
                  <c:v>#N/A</c:v>
                </c:pt>
                <c:pt idx="10">
                  <c:v>428</c:v>
                </c:pt>
                <c:pt idx="11">
                  <c:v>272</c:v>
                </c:pt>
                <c:pt idx="12">
                  <c:v>560</c:v>
                </c:pt>
                <c:pt idx="13">
                  <c:v>#N/A</c:v>
                </c:pt>
                <c:pt idx="14">
                  <c:v>132</c:v>
                </c:pt>
                <c:pt idx="15">
                  <c:v>#N/A</c:v>
                </c:pt>
                <c:pt idx="16">
                  <c:v>565</c:v>
                </c:pt>
                <c:pt idx="17">
                  <c:v>301</c:v>
                </c:pt>
                <c:pt idx="18">
                  <c:v>#N/A</c:v>
                </c:pt>
                <c:pt idx="19">
                  <c:v>749</c:v>
                </c:pt>
                <c:pt idx="20">
                  <c:v>#N/A</c:v>
                </c:pt>
                <c:pt idx="21">
                  <c:v>#N/A</c:v>
                </c:pt>
                <c:pt idx="22">
                  <c:v>#N/A</c:v>
                </c:pt>
                <c:pt idx="23">
                  <c:v>#N/A</c:v>
                </c:pt>
              </c:numCache>
            </c:numRef>
          </c:bubbleSize>
          <c:bubble3D val="0"/>
          <c:extLst>
            <c:ext xmlns:c16="http://schemas.microsoft.com/office/drawing/2014/chart" uri="{C3380CC4-5D6E-409C-BE32-E72D297353CC}">
              <c16:uniqueId val="{00000001-FC46-4FD2-A71C-4DB2E5C06C10}"/>
            </c:ext>
          </c:extLst>
        </c:ser>
        <c:ser>
          <c:idx val="2"/>
          <c:order val="2"/>
          <c:tx>
            <c:v>over stocked</c:v>
          </c:tx>
          <c:spPr>
            <a:solidFill>
              <a:srgbClr val="FFC000"/>
            </a:solidFill>
            <a:ln w="3175">
              <a:solidFill>
                <a:schemeClr val="accent1"/>
              </a:solidFill>
            </a:ln>
            <a:effectLst/>
          </c:spPr>
          <c:invertIfNegative val="0"/>
          <c:xVal>
            <c:numRef>
              <c:f>'pivot table'!$BP$5:$BP$28</c:f>
              <c:numCache>
                <c:formatCode>[&gt;=1000000]#,##0.0,,"M";[&gt;=1000]#,##0.0,"K";#,##0</c:formatCode>
                <c:ptCount val="24"/>
                <c:pt idx="0">
                  <c:v>295440</c:v>
                </c:pt>
                <c:pt idx="1">
                  <c:v>1248310</c:v>
                </c:pt>
                <c:pt idx="2">
                  <c:v>935025</c:v>
                </c:pt>
                <c:pt idx="3">
                  <c:v>572455</c:v>
                </c:pt>
                <c:pt idx="4">
                  <c:v>350000</c:v>
                </c:pt>
                <c:pt idx="5">
                  <c:v>804540</c:v>
                </c:pt>
                <c:pt idx="6">
                  <c:v>755820</c:v>
                </c:pt>
                <c:pt idx="7">
                  <c:v>1285700</c:v>
                </c:pt>
                <c:pt idx="8">
                  <c:v>7868875</c:v>
                </c:pt>
                <c:pt idx="9">
                  <c:v>318240</c:v>
                </c:pt>
                <c:pt idx="10">
                  <c:v>977125</c:v>
                </c:pt>
                <c:pt idx="11">
                  <c:v>2005020</c:v>
                </c:pt>
                <c:pt idx="12">
                  <c:v>442297.5</c:v>
                </c:pt>
                <c:pt idx="13">
                  <c:v>1046850</c:v>
                </c:pt>
                <c:pt idx="14">
                  <c:v>1185450</c:v>
                </c:pt>
                <c:pt idx="15">
                  <c:v>686250</c:v>
                </c:pt>
                <c:pt idx="16">
                  <c:v>491767.5</c:v>
                </c:pt>
                <c:pt idx="17">
                  <c:v>1276650</c:v>
                </c:pt>
                <c:pt idx="18">
                  <c:v>3438225</c:v>
                </c:pt>
                <c:pt idx="19">
                  <c:v>383542.5</c:v>
                </c:pt>
                <c:pt idx="20">
                  <c:v>1205820</c:v>
                </c:pt>
                <c:pt idx="21">
                  <c:v>4767210</c:v>
                </c:pt>
                <c:pt idx="22">
                  <c:v>6806100</c:v>
                </c:pt>
                <c:pt idx="23">
                  <c:v>617295</c:v>
                </c:pt>
              </c:numCache>
            </c:numRef>
          </c:xVal>
          <c:yVal>
            <c:numRef>
              <c:f>'pivot table'!$BU$5:$BU$28</c:f>
              <c:numCache>
                <c:formatCode>0.0%</c:formatCode>
                <c:ptCount val="24"/>
                <c:pt idx="0">
                  <c:v>#N/A</c:v>
                </c:pt>
                <c:pt idx="1">
                  <c:v>#N/A</c:v>
                </c:pt>
                <c:pt idx="2">
                  <c:v>#N/A</c:v>
                </c:pt>
                <c:pt idx="3">
                  <c:v>#N/A</c:v>
                </c:pt>
                <c:pt idx="4">
                  <c:v>0.29085714285714287</c:v>
                </c:pt>
                <c:pt idx="5">
                  <c:v>#N/A</c:v>
                </c:pt>
                <c:pt idx="6">
                  <c:v>#N/A</c:v>
                </c:pt>
                <c:pt idx="7">
                  <c:v>#N/A</c:v>
                </c:pt>
                <c:pt idx="8">
                  <c:v>#N/A</c:v>
                </c:pt>
                <c:pt idx="9">
                  <c:v>0.28418803418803418</c:v>
                </c:pt>
                <c:pt idx="10">
                  <c:v>#N/A</c:v>
                </c:pt>
                <c:pt idx="11">
                  <c:v>#N/A</c:v>
                </c:pt>
                <c:pt idx="12">
                  <c:v>#N/A</c:v>
                </c:pt>
                <c:pt idx="13">
                  <c:v>0.1505946410660553</c:v>
                </c:pt>
                <c:pt idx="14">
                  <c:v>#N/A</c:v>
                </c:pt>
                <c:pt idx="15">
                  <c:v>0.21967213114754097</c:v>
                </c:pt>
                <c:pt idx="16">
                  <c:v>#N/A</c:v>
                </c:pt>
                <c:pt idx="17">
                  <c:v>#N/A</c:v>
                </c:pt>
                <c:pt idx="18">
                  <c:v>#N/A</c:v>
                </c:pt>
                <c:pt idx="19">
                  <c:v>#N/A</c:v>
                </c:pt>
                <c:pt idx="20">
                  <c:v>#N/A</c:v>
                </c:pt>
                <c:pt idx="21">
                  <c:v>#N/A</c:v>
                </c:pt>
                <c:pt idx="22">
                  <c:v>#N/A</c:v>
                </c:pt>
                <c:pt idx="23">
                  <c:v>#N/A</c:v>
                </c:pt>
              </c:numCache>
            </c:numRef>
          </c:yVal>
          <c:bubbleSize>
            <c:numRef>
              <c:f>'pivot table'!$BV$5:$BV$28</c:f>
              <c:numCache>
                <c:formatCode>General</c:formatCode>
                <c:ptCount val="24"/>
                <c:pt idx="0">
                  <c:v>#N/A</c:v>
                </c:pt>
                <c:pt idx="1">
                  <c:v>#N/A</c:v>
                </c:pt>
                <c:pt idx="2">
                  <c:v>#N/A</c:v>
                </c:pt>
                <c:pt idx="3">
                  <c:v>#N/A</c:v>
                </c:pt>
                <c:pt idx="4">
                  <c:v>146</c:v>
                </c:pt>
                <c:pt idx="5">
                  <c:v>#N/A</c:v>
                </c:pt>
                <c:pt idx="6">
                  <c:v>#N/A</c:v>
                </c:pt>
                <c:pt idx="7">
                  <c:v>#N/A</c:v>
                </c:pt>
                <c:pt idx="8">
                  <c:v>#N/A</c:v>
                </c:pt>
                <c:pt idx="9">
                  <c:v>134</c:v>
                </c:pt>
                <c:pt idx="10">
                  <c:v>#N/A</c:v>
                </c:pt>
                <c:pt idx="11">
                  <c:v>#N/A</c:v>
                </c:pt>
                <c:pt idx="12">
                  <c:v>#N/A</c:v>
                </c:pt>
                <c:pt idx="13">
                  <c:v>171</c:v>
                </c:pt>
                <c:pt idx="14">
                  <c:v>#N/A</c:v>
                </c:pt>
                <c:pt idx="15">
                  <c:v>63</c:v>
                </c:pt>
                <c:pt idx="16">
                  <c:v>#N/A</c:v>
                </c:pt>
                <c:pt idx="17">
                  <c:v>#N/A</c:v>
                </c:pt>
                <c:pt idx="18">
                  <c:v>#N/A</c:v>
                </c:pt>
                <c:pt idx="19">
                  <c:v>#N/A</c:v>
                </c:pt>
                <c:pt idx="20">
                  <c:v>#N/A</c:v>
                </c:pt>
                <c:pt idx="21">
                  <c:v>#N/A</c:v>
                </c:pt>
                <c:pt idx="22">
                  <c:v>#N/A</c:v>
                </c:pt>
                <c:pt idx="23">
                  <c:v>#N/A</c:v>
                </c:pt>
              </c:numCache>
            </c:numRef>
          </c:bubbleSize>
          <c:bubble3D val="0"/>
          <c:extLst>
            <c:ext xmlns:c16="http://schemas.microsoft.com/office/drawing/2014/chart" uri="{C3380CC4-5D6E-409C-BE32-E72D297353CC}">
              <c16:uniqueId val="{00000002-FC46-4FD2-A71C-4DB2E5C06C10}"/>
            </c:ext>
          </c:extLst>
        </c:ser>
        <c:dLbls>
          <c:showLegendKey val="0"/>
          <c:showVal val="0"/>
          <c:showCatName val="0"/>
          <c:showSerName val="0"/>
          <c:showPercent val="0"/>
          <c:showBubbleSize val="0"/>
        </c:dLbls>
        <c:bubbleScale val="100"/>
        <c:showNegBubbles val="0"/>
        <c:axId val="166645535"/>
        <c:axId val="2022595183"/>
      </c:bubbleChart>
      <c:valAx>
        <c:axId val="166645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b="1" i="1"/>
                  <a:t>Revenue </a:t>
                </a:r>
              </a:p>
            </c:rich>
          </c:tx>
          <c:layout>
            <c:manualLayout>
              <c:xMode val="edge"/>
              <c:yMode val="edge"/>
              <c:x val="0.46142245202912646"/>
              <c:y val="0.93271229684308388"/>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t;=1000000]#,##0.0,,&quot;M&quot;;[&gt;=1000]#,##0.0,&quot;K&quot;;#,##0" sourceLinked="1"/>
        <c:majorTickMark val="none"/>
        <c:minorTickMark val="none"/>
        <c:tickLblPos val="nextTo"/>
        <c:spPr>
          <a:noFill/>
          <a:ln w="9525" cap="flat" cmpd="sng" algn="ctr">
            <a:solidFill>
              <a:schemeClr val="lt1">
                <a:shade val="50000"/>
                <a:alpha val="99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595183"/>
        <c:crosses val="autoZero"/>
        <c:crossBetween val="midCat"/>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2022595183"/>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i="1"/>
                  <a:t>profit margin</a:t>
                </a:r>
              </a:p>
            </c:rich>
          </c:tx>
          <c:layout>
            <c:manualLayout>
              <c:xMode val="edge"/>
              <c:yMode val="edge"/>
              <c:x val="2.2762268447143086E-3"/>
              <c:y val="0.386794181946919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5535"/>
        <c:crosses val="max"/>
        <c:crossBetween val="midCat"/>
      </c:valAx>
      <c:spPr>
        <a:noFill/>
        <a:ln>
          <a:noFill/>
        </a:ln>
        <a:effectLst/>
      </c:spPr>
    </c:plotArea>
    <c:legend>
      <c:legendPos val="t"/>
      <c:layout>
        <c:manualLayout>
          <c:xMode val="edge"/>
          <c:yMode val="edge"/>
          <c:x val="0.45400877588292499"/>
          <c:y val="1.9593522394737535E-3"/>
          <c:w val="0.54599122411707501"/>
          <c:h val="8.2717558486124262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alpha val="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a:t>Top 5 products by Revenue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3C-44FE-88DE-78EBC1BD797D}"/>
              </c:ext>
            </c:extLst>
          </c:dPt>
          <c:dPt>
            <c:idx val="1"/>
            <c:bubble3D val="0"/>
            <c:spPr>
              <a:solidFill>
                <a:srgbClr val="ED8551"/>
              </a:solidFill>
              <a:ln w="19050">
                <a:solidFill>
                  <a:schemeClr val="lt1"/>
                </a:solidFill>
              </a:ln>
              <a:effectLst/>
            </c:spPr>
            <c:extLst>
              <c:ext xmlns:c16="http://schemas.microsoft.com/office/drawing/2014/chart" uri="{C3380CC4-5D6E-409C-BE32-E72D297353CC}">
                <c16:uniqueId val="{00000003-733C-44FE-88DE-78EBC1BD797D}"/>
              </c:ext>
            </c:extLst>
          </c:dPt>
          <c:cat>
            <c:strRef>
              <c:f>'pivot table'!$CE$8:$CE$9</c:f>
              <c:strCache>
                <c:ptCount val="2"/>
                <c:pt idx="0">
                  <c:v>Top 5</c:v>
                </c:pt>
                <c:pt idx="1">
                  <c:v>others</c:v>
                </c:pt>
              </c:strCache>
            </c:strRef>
          </c:cat>
          <c:val>
            <c:numRef>
              <c:f>'pivot table'!$CF$8:$CF$9</c:f>
              <c:numCache>
                <c:formatCode>#,##0.0</c:formatCode>
                <c:ptCount val="2"/>
                <c:pt idx="0" formatCode="[&gt;=1000000]#,##0.0,,&quot;M&quot;;[&gt;=1000]#,##0.0,&quot;K&quot;;#,##0">
                  <c:v>24885430</c:v>
                </c:pt>
                <c:pt idx="1">
                  <c:v>14878577.5</c:v>
                </c:pt>
              </c:numCache>
            </c:numRef>
          </c:val>
          <c:extLst>
            <c:ext xmlns:c16="http://schemas.microsoft.com/office/drawing/2014/chart" uri="{C3380CC4-5D6E-409C-BE32-E72D297353CC}">
              <c16:uniqueId val="{00000004-733C-44FE-88DE-78EBC1BD797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 Company.xlsx]pivot table!PivotTable1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monthely Revenue</a:t>
            </a:r>
          </a:p>
        </c:rich>
      </c:tx>
      <c:layout>
        <c:manualLayout>
          <c:xMode val="edge"/>
          <c:yMode val="edge"/>
          <c:x val="0.3196204432962181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18779565892733"/>
          <c:y val="0.11940293937136455"/>
          <c:w val="0.76528832890021181"/>
          <c:h val="0.65745216861424693"/>
        </c:manualLayout>
      </c:layout>
      <c:barChart>
        <c:barDir val="col"/>
        <c:grouping val="clustered"/>
        <c:varyColors val="0"/>
        <c:ser>
          <c:idx val="0"/>
          <c:order val="0"/>
          <c:tx>
            <c:strRef>
              <c:f>'pivot table'!$AH$4</c:f>
              <c:strCache>
                <c:ptCount val="1"/>
                <c:pt idx="0">
                  <c:v> Net Revenue</c:v>
                </c:pt>
              </c:strCache>
            </c:strRef>
          </c:tx>
          <c:spPr>
            <a:solidFill>
              <a:schemeClr val="tx2">
                <a:lumMod val="75000"/>
                <a:lumOff val="25000"/>
              </a:schemeClr>
            </a:solidFill>
            <a:ln>
              <a:noFill/>
            </a:ln>
            <a:effectLst/>
          </c:spPr>
          <c:invertIfNegative val="0"/>
          <c:cat>
            <c:strRef>
              <c:f>'pivot table'!$AG$5:$AG$16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table'!$AH$5:$AH$16</c:f>
              <c:numCache>
                <c:formatCode>[&gt;=1000000]#,##0.0,,"M";[&gt;=1000]#,##0.0,"K";#,##0</c:formatCode>
                <c:ptCount val="12"/>
                <c:pt idx="0">
                  <c:v>3164650</c:v>
                </c:pt>
                <c:pt idx="1">
                  <c:v>3119687.5</c:v>
                </c:pt>
                <c:pt idx="2">
                  <c:v>4116052.5</c:v>
                </c:pt>
                <c:pt idx="3">
                  <c:v>3081370</c:v>
                </c:pt>
                <c:pt idx="4">
                  <c:v>2862620</c:v>
                </c:pt>
                <c:pt idx="5">
                  <c:v>2994527.5</c:v>
                </c:pt>
                <c:pt idx="6">
                  <c:v>3453750</c:v>
                </c:pt>
                <c:pt idx="7">
                  <c:v>3257970</c:v>
                </c:pt>
                <c:pt idx="8">
                  <c:v>3195660</c:v>
                </c:pt>
                <c:pt idx="9">
                  <c:v>3749885</c:v>
                </c:pt>
                <c:pt idx="10">
                  <c:v>3305695</c:v>
                </c:pt>
                <c:pt idx="11">
                  <c:v>3462140</c:v>
                </c:pt>
              </c:numCache>
            </c:numRef>
          </c:val>
          <c:extLst>
            <c:ext xmlns:c16="http://schemas.microsoft.com/office/drawing/2014/chart" uri="{C3380CC4-5D6E-409C-BE32-E72D297353CC}">
              <c16:uniqueId val="{00000000-E9F9-4D66-A5B6-C728E0595027}"/>
            </c:ext>
          </c:extLst>
        </c:ser>
        <c:ser>
          <c:idx val="1"/>
          <c:order val="1"/>
          <c:tx>
            <c:strRef>
              <c:f>'pivot table'!$AI$4</c:f>
              <c:strCache>
                <c:ptCount val="1"/>
                <c:pt idx="0">
                  <c:v> Profit</c:v>
                </c:pt>
              </c:strCache>
            </c:strRef>
          </c:tx>
          <c:spPr>
            <a:solidFill>
              <a:srgbClr val="00B050"/>
            </a:solidFill>
            <a:ln>
              <a:noFill/>
            </a:ln>
            <a:effectLst/>
          </c:spPr>
          <c:invertIfNegative val="0"/>
          <c:cat>
            <c:strRef>
              <c:f>'pivot table'!$AG$5:$AG$16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table'!$AI$5:$AI$16</c:f>
              <c:numCache>
                <c:formatCode>[&gt;=1000000]#,##0.0,,"M";[&gt;=1000]#,##0.0,"K";#,##0</c:formatCode>
                <c:ptCount val="12"/>
                <c:pt idx="0">
                  <c:v>600700</c:v>
                </c:pt>
                <c:pt idx="1">
                  <c:v>613917.5</c:v>
                </c:pt>
                <c:pt idx="2">
                  <c:v>805362.5</c:v>
                </c:pt>
                <c:pt idx="3">
                  <c:v>676200</c:v>
                </c:pt>
                <c:pt idx="4">
                  <c:v>606430</c:v>
                </c:pt>
                <c:pt idx="5">
                  <c:v>691147.5</c:v>
                </c:pt>
                <c:pt idx="6">
                  <c:v>671270</c:v>
                </c:pt>
                <c:pt idx="7">
                  <c:v>630800</c:v>
                </c:pt>
                <c:pt idx="8">
                  <c:v>693190</c:v>
                </c:pt>
                <c:pt idx="9">
                  <c:v>752445</c:v>
                </c:pt>
                <c:pt idx="10">
                  <c:v>666675</c:v>
                </c:pt>
                <c:pt idx="11">
                  <c:v>683580</c:v>
                </c:pt>
              </c:numCache>
            </c:numRef>
          </c:val>
          <c:extLst>
            <c:ext xmlns:c16="http://schemas.microsoft.com/office/drawing/2014/chart" uri="{C3380CC4-5D6E-409C-BE32-E72D297353CC}">
              <c16:uniqueId val="{00000001-E9F9-4D66-A5B6-C728E0595027}"/>
            </c:ext>
          </c:extLst>
        </c:ser>
        <c:dLbls>
          <c:showLegendKey val="0"/>
          <c:showVal val="0"/>
          <c:showCatName val="0"/>
          <c:showSerName val="0"/>
          <c:showPercent val="0"/>
          <c:showBubbleSize val="0"/>
        </c:dLbls>
        <c:gapWidth val="219"/>
        <c:axId val="1167801856"/>
        <c:axId val="1042249328"/>
      </c:barChart>
      <c:lineChart>
        <c:grouping val="standard"/>
        <c:varyColors val="0"/>
        <c:ser>
          <c:idx val="2"/>
          <c:order val="2"/>
          <c:tx>
            <c:strRef>
              <c:f>'pivot table'!$AJ$4</c:f>
              <c:strCache>
                <c:ptCount val="1"/>
                <c:pt idx="0">
                  <c:v> margin2</c:v>
                </c:pt>
              </c:strCache>
            </c:strRef>
          </c:tx>
          <c:spPr>
            <a:ln w="28575" cap="rnd">
              <a:solidFill>
                <a:schemeClr val="accent5"/>
              </a:solidFill>
              <a:round/>
            </a:ln>
            <a:effectLst/>
          </c:spPr>
          <c:marker>
            <c:symbol val="none"/>
          </c:marker>
          <c:cat>
            <c:strRef>
              <c:f>'pivot table'!$AG$5:$AG$16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table'!$AJ$5:$AJ$16</c:f>
              <c:numCache>
                <c:formatCode>0.0%</c:formatCode>
                <c:ptCount val="12"/>
                <c:pt idx="0">
                  <c:v>0.18981561942078903</c:v>
                </c:pt>
                <c:pt idx="1">
                  <c:v>0.19678813983772414</c:v>
                </c:pt>
                <c:pt idx="2">
                  <c:v>0.19566380652336188</c:v>
                </c:pt>
                <c:pt idx="3">
                  <c:v>0.21944784300489717</c:v>
                </c:pt>
                <c:pt idx="4">
                  <c:v>0.2118443942961343</c:v>
                </c:pt>
                <c:pt idx="5">
                  <c:v>0.23080352409520366</c:v>
                </c:pt>
                <c:pt idx="6">
                  <c:v>0.19435975389069851</c:v>
                </c:pt>
                <c:pt idx="7">
                  <c:v>0.19361749801256611</c:v>
                </c:pt>
                <c:pt idx="8">
                  <c:v>0.21691606741643354</c:v>
                </c:pt>
                <c:pt idx="9">
                  <c:v>0.20065815351670785</c:v>
                </c:pt>
                <c:pt idx="10">
                  <c:v>0.20167468565611771</c:v>
                </c:pt>
                <c:pt idx="11">
                  <c:v>0.19744435522538084</c:v>
                </c:pt>
              </c:numCache>
            </c:numRef>
          </c:val>
          <c:smooth val="0"/>
          <c:extLst>
            <c:ext xmlns:c16="http://schemas.microsoft.com/office/drawing/2014/chart" uri="{C3380CC4-5D6E-409C-BE32-E72D297353CC}">
              <c16:uniqueId val="{00000002-E9F9-4D66-A5B6-C728E0595027}"/>
            </c:ext>
          </c:extLst>
        </c:ser>
        <c:dLbls>
          <c:showLegendKey val="0"/>
          <c:showVal val="0"/>
          <c:showCatName val="0"/>
          <c:showSerName val="0"/>
          <c:showPercent val="0"/>
          <c:showBubbleSize val="0"/>
        </c:dLbls>
        <c:marker val="1"/>
        <c:smooth val="0"/>
        <c:axId val="1282388224"/>
        <c:axId val="1042251248"/>
      </c:lineChart>
      <c:catAx>
        <c:axId val="116780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249328"/>
        <c:crosses val="autoZero"/>
        <c:auto val="1"/>
        <c:lblAlgn val="ctr"/>
        <c:lblOffset val="100"/>
        <c:noMultiLvlLbl val="0"/>
      </c:catAx>
      <c:valAx>
        <c:axId val="1042249328"/>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01856"/>
        <c:crosses val="autoZero"/>
        <c:crossBetween val="between"/>
      </c:valAx>
      <c:valAx>
        <c:axId val="104225124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388224"/>
        <c:crosses val="max"/>
        <c:crossBetween val="between"/>
      </c:valAx>
      <c:catAx>
        <c:axId val="1282388224"/>
        <c:scaling>
          <c:orientation val="minMax"/>
        </c:scaling>
        <c:delete val="1"/>
        <c:axPos val="t"/>
        <c:numFmt formatCode="General" sourceLinked="1"/>
        <c:majorTickMark val="out"/>
        <c:minorTickMark val="none"/>
        <c:tickLblPos val="nextTo"/>
        <c:crossAx val="1042251248"/>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hyperlink" Target="#Product_Master!A1"/><Relationship Id="rId3" Type="http://schemas.openxmlformats.org/officeDocument/2006/relationships/image" Target="../media/image3.emf"/><Relationship Id="rId7" Type="http://schemas.openxmlformats.org/officeDocument/2006/relationships/chart" Target="../charts/chart9.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1.xml"/><Relationship Id="rId4" Type="http://schemas.openxmlformats.org/officeDocument/2006/relationships/image" Target="../media/image4.emf"/><Relationship Id="rId9"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32</xdr:col>
      <xdr:colOff>520014</xdr:colOff>
      <xdr:row>8</xdr:row>
      <xdr:rowOff>44278</xdr:rowOff>
    </xdr:from>
    <xdr:to>
      <xdr:col>44</xdr:col>
      <xdr:colOff>504568</xdr:colOff>
      <xdr:row>30</xdr:row>
      <xdr:rowOff>123567</xdr:rowOff>
    </xdr:to>
    <xdr:graphicFrame macro="">
      <xdr:nvGraphicFramePr>
        <xdr:cNvPr id="2" name="Chart 1">
          <a:extLst>
            <a:ext uri="{FF2B5EF4-FFF2-40B4-BE49-F238E27FC236}">
              <a16:creationId xmlns:a16="http://schemas.microsoft.com/office/drawing/2014/main" id="{1E0120D4-1739-FF9B-6335-968A2F98B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619798</xdr:colOff>
      <xdr:row>0</xdr:row>
      <xdr:rowOff>39443</xdr:rowOff>
    </xdr:from>
    <xdr:to>
      <xdr:col>21</xdr:col>
      <xdr:colOff>1106031</xdr:colOff>
      <xdr:row>14</xdr:row>
      <xdr:rowOff>59071</xdr:rowOff>
    </xdr:to>
    <mc:AlternateContent xmlns:mc="http://schemas.openxmlformats.org/markup-compatibility/2006" xmlns:a14="http://schemas.microsoft.com/office/drawing/2010/main">
      <mc:Choice Requires="a14">
        <xdr:graphicFrame macro="">
          <xdr:nvGraphicFramePr>
            <xdr:cNvPr id="2" name="Months (Order Date)">
              <a:extLst>
                <a:ext uri="{FF2B5EF4-FFF2-40B4-BE49-F238E27FC236}">
                  <a16:creationId xmlns:a16="http://schemas.microsoft.com/office/drawing/2014/main" id="{2D40C9D1-6935-43E2-C88C-833E87B4FE42}"/>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22847338" y="39443"/>
              <a:ext cx="1827352" cy="2473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601980</xdr:colOff>
      <xdr:row>16</xdr:row>
      <xdr:rowOff>129540</xdr:rowOff>
    </xdr:from>
    <xdr:to>
      <xdr:col>37</xdr:col>
      <xdr:colOff>502920</xdr:colOff>
      <xdr:row>27</xdr:row>
      <xdr:rowOff>91440</xdr:rowOff>
    </xdr:to>
    <xdr:graphicFrame macro="">
      <xdr:nvGraphicFramePr>
        <xdr:cNvPr id="3" name="Chart 2">
          <a:extLst>
            <a:ext uri="{FF2B5EF4-FFF2-40B4-BE49-F238E27FC236}">
              <a16:creationId xmlns:a16="http://schemas.microsoft.com/office/drawing/2014/main" id="{948E6C20-0F42-2FA6-F41D-19135EAD9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205386</xdr:colOff>
      <xdr:row>28</xdr:row>
      <xdr:rowOff>49617</xdr:rowOff>
    </xdr:from>
    <xdr:to>
      <xdr:col>42</xdr:col>
      <xdr:colOff>1371246</xdr:colOff>
      <xdr:row>40</xdr:row>
      <xdr:rowOff>157361</xdr:rowOff>
    </xdr:to>
    <xdr:graphicFrame macro="">
      <xdr:nvGraphicFramePr>
        <xdr:cNvPr id="4" name="Chart 3">
          <a:extLst>
            <a:ext uri="{FF2B5EF4-FFF2-40B4-BE49-F238E27FC236}">
              <a16:creationId xmlns:a16="http://schemas.microsoft.com/office/drawing/2014/main" id="{749937E2-E6C5-9591-E919-0C519D568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648642</xdr:colOff>
      <xdr:row>10</xdr:row>
      <xdr:rowOff>160430</xdr:rowOff>
    </xdr:from>
    <xdr:to>
      <xdr:col>50</xdr:col>
      <xdr:colOff>178496</xdr:colOff>
      <xdr:row>26</xdr:row>
      <xdr:rowOff>53504</xdr:rowOff>
    </xdr:to>
    <xdr:graphicFrame macro="">
      <xdr:nvGraphicFramePr>
        <xdr:cNvPr id="6" name="Chart 5">
          <a:extLst>
            <a:ext uri="{FF2B5EF4-FFF2-40B4-BE49-F238E27FC236}">
              <a16:creationId xmlns:a16="http://schemas.microsoft.com/office/drawing/2014/main" id="{306B7DB8-E1B1-3DFA-881E-5B4BD7612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71</xdr:col>
      <xdr:colOff>122191</xdr:colOff>
      <xdr:row>44</xdr:row>
      <xdr:rowOff>48092</xdr:rowOff>
    </xdr:from>
    <xdr:to>
      <xdr:col>78</xdr:col>
      <xdr:colOff>302449</xdr:colOff>
      <xdr:row>60</xdr:row>
      <xdr:rowOff>131987</xdr:rowOff>
    </xdr:to>
    <xdr:graphicFrame macro="">
      <xdr:nvGraphicFramePr>
        <xdr:cNvPr id="7" name="Chart 6">
          <a:extLst>
            <a:ext uri="{FF2B5EF4-FFF2-40B4-BE49-F238E27FC236}">
              <a16:creationId xmlns:a16="http://schemas.microsoft.com/office/drawing/2014/main" id="{014F46C2-562A-79F4-D6B9-D4F9DA839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81</xdr:col>
      <xdr:colOff>268672</xdr:colOff>
      <xdr:row>15</xdr:row>
      <xdr:rowOff>17395</xdr:rowOff>
    </xdr:from>
    <xdr:to>
      <xdr:col>85</xdr:col>
      <xdr:colOff>440737</xdr:colOff>
      <xdr:row>31</xdr:row>
      <xdr:rowOff>110516</xdr:rowOff>
    </xdr:to>
    <xdr:graphicFrame macro="">
      <xdr:nvGraphicFramePr>
        <xdr:cNvPr id="5" name="Chart 4">
          <a:extLst>
            <a:ext uri="{FF2B5EF4-FFF2-40B4-BE49-F238E27FC236}">
              <a16:creationId xmlns:a16="http://schemas.microsoft.com/office/drawing/2014/main" id="{2DD90FC5-C15A-19F9-3FFC-FE6E9C832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26</xdr:col>
      <xdr:colOff>647700</xdr:colOff>
      <xdr:row>3</xdr:row>
      <xdr:rowOff>121920</xdr:rowOff>
    </xdr:to>
    <xdr:sp macro="" textlink="">
      <xdr:nvSpPr>
        <xdr:cNvPr id="2" name="Rectangle 1">
          <a:extLst>
            <a:ext uri="{FF2B5EF4-FFF2-40B4-BE49-F238E27FC236}">
              <a16:creationId xmlns:a16="http://schemas.microsoft.com/office/drawing/2014/main" id="{6ED4CEA3-255E-3576-E085-97E6FF8380AB}"/>
            </a:ext>
          </a:extLst>
        </xdr:cNvPr>
        <xdr:cNvSpPr/>
      </xdr:nvSpPr>
      <xdr:spPr>
        <a:xfrm>
          <a:off x="0" y="7620"/>
          <a:ext cx="17983200" cy="6286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7621</xdr:colOff>
      <xdr:row>1</xdr:row>
      <xdr:rowOff>68580</xdr:rowOff>
    </xdr:from>
    <xdr:to>
      <xdr:col>26</xdr:col>
      <xdr:colOff>647701</xdr:colOff>
      <xdr:row>5</xdr:row>
      <xdr:rowOff>7620</xdr:rowOff>
    </xdr:to>
    <xdr:sp macro="" textlink="">
      <xdr:nvSpPr>
        <xdr:cNvPr id="3" name="Rectangle 2">
          <a:extLst>
            <a:ext uri="{FF2B5EF4-FFF2-40B4-BE49-F238E27FC236}">
              <a16:creationId xmlns:a16="http://schemas.microsoft.com/office/drawing/2014/main" id="{5D058E04-1804-89E1-00E4-4F3CA3C8665E}"/>
            </a:ext>
          </a:extLst>
        </xdr:cNvPr>
        <xdr:cNvSpPr/>
      </xdr:nvSpPr>
      <xdr:spPr>
        <a:xfrm>
          <a:off x="7621" y="240030"/>
          <a:ext cx="17975580" cy="62484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xdr:row>
      <xdr:rowOff>111498</xdr:rowOff>
    </xdr:from>
    <xdr:to>
      <xdr:col>25</xdr:col>
      <xdr:colOff>624728</xdr:colOff>
      <xdr:row>41</xdr:row>
      <xdr:rowOff>111498</xdr:rowOff>
    </xdr:to>
    <xdr:sp macro="" textlink="">
      <xdr:nvSpPr>
        <xdr:cNvPr id="4" name="Rectangle: Rounded Corners 3">
          <a:extLst>
            <a:ext uri="{FF2B5EF4-FFF2-40B4-BE49-F238E27FC236}">
              <a16:creationId xmlns:a16="http://schemas.microsoft.com/office/drawing/2014/main" id="{7DB542E0-68E1-F723-C389-2BABCF684D4D}"/>
            </a:ext>
          </a:extLst>
        </xdr:cNvPr>
        <xdr:cNvSpPr/>
      </xdr:nvSpPr>
      <xdr:spPr>
        <a:xfrm>
          <a:off x="0" y="625848"/>
          <a:ext cx="17293478" cy="6515100"/>
        </a:xfrm>
        <a:prstGeom prst="roundRect">
          <a:avLst>
            <a:gd name="adj" fmla="val 250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0</xdr:col>
      <xdr:colOff>238124</xdr:colOff>
      <xdr:row>4</xdr:row>
      <xdr:rowOff>95249</xdr:rowOff>
    </xdr:from>
    <xdr:to>
      <xdr:col>4</xdr:col>
      <xdr:colOff>95249</xdr:colOff>
      <xdr:row>14</xdr:row>
      <xdr:rowOff>9524</xdr:rowOff>
    </xdr:to>
    <xdr:sp macro="" textlink="">
      <xdr:nvSpPr>
        <xdr:cNvPr id="5" name="Rectangle: Rounded Corners 4">
          <a:extLst>
            <a:ext uri="{FF2B5EF4-FFF2-40B4-BE49-F238E27FC236}">
              <a16:creationId xmlns:a16="http://schemas.microsoft.com/office/drawing/2014/main" id="{A3229CEC-36AD-6AE9-C2DD-FBC04244D5B1}"/>
            </a:ext>
          </a:extLst>
        </xdr:cNvPr>
        <xdr:cNvSpPr/>
      </xdr:nvSpPr>
      <xdr:spPr>
        <a:xfrm>
          <a:off x="238124" y="781049"/>
          <a:ext cx="2524125" cy="1628775"/>
        </a:xfrm>
        <a:prstGeom prst="roundRect">
          <a:avLst>
            <a:gd name="adj" fmla="val 7078"/>
          </a:avLst>
        </a:prstGeom>
        <a:solidFill>
          <a:schemeClr val="bg1">
            <a:lumMod val="95000"/>
          </a:schemeClr>
        </a:solidFill>
        <a:ln w="28575">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295275</xdr:colOff>
      <xdr:row>4</xdr:row>
      <xdr:rowOff>142875</xdr:rowOff>
    </xdr:from>
    <xdr:to>
      <xdr:col>1</xdr:col>
      <xdr:colOff>19050</xdr:colOff>
      <xdr:row>7</xdr:row>
      <xdr:rowOff>19050</xdr:rowOff>
    </xdr:to>
    <xdr:pic>
      <xdr:nvPicPr>
        <xdr:cNvPr id="10" name="Picture 9">
          <a:extLst>
            <a:ext uri="{FF2B5EF4-FFF2-40B4-BE49-F238E27FC236}">
              <a16:creationId xmlns:a16="http://schemas.microsoft.com/office/drawing/2014/main" id="{E46F27E6-2FE2-A290-EC46-53238C7736CB}"/>
            </a:ext>
          </a:extLst>
        </xdr:cNvPr>
        <xdr:cNvPicPr>
          <a:picLocks noChangeAspect="1"/>
        </xdr:cNvPicPr>
      </xdr:nvPicPr>
      <xdr:blipFill>
        <a:blip xmlns:r="http://schemas.openxmlformats.org/officeDocument/2006/relationships" r:embed="rId1"/>
        <a:stretch>
          <a:fillRect/>
        </a:stretch>
      </xdr:blipFill>
      <xdr:spPr>
        <a:xfrm>
          <a:off x="295275" y="828675"/>
          <a:ext cx="390525" cy="390525"/>
        </a:xfrm>
        <a:prstGeom prst="rect">
          <a:avLst/>
        </a:prstGeom>
      </xdr:spPr>
    </xdr:pic>
    <xdr:clientData/>
  </xdr:twoCellAnchor>
  <xdr:twoCellAnchor>
    <xdr:from>
      <xdr:col>0</xdr:col>
      <xdr:colOff>619125</xdr:colOff>
      <xdr:row>4</xdr:row>
      <xdr:rowOff>114300</xdr:rowOff>
    </xdr:from>
    <xdr:to>
      <xdr:col>3</xdr:col>
      <xdr:colOff>152400</xdr:colOff>
      <xdr:row>6</xdr:row>
      <xdr:rowOff>133350</xdr:rowOff>
    </xdr:to>
    <xdr:sp macro="" textlink="">
      <xdr:nvSpPr>
        <xdr:cNvPr id="12" name="TextBox 11">
          <a:extLst>
            <a:ext uri="{FF2B5EF4-FFF2-40B4-BE49-F238E27FC236}">
              <a16:creationId xmlns:a16="http://schemas.microsoft.com/office/drawing/2014/main" id="{DBA6E412-B438-63B7-0EF3-1259CEA22EC2}"/>
            </a:ext>
          </a:extLst>
        </xdr:cNvPr>
        <xdr:cNvSpPr txBox="1"/>
      </xdr:nvSpPr>
      <xdr:spPr>
        <a:xfrm>
          <a:off x="619125" y="800100"/>
          <a:ext cx="1533525" cy="36195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2">
                  <a:lumMod val="90000"/>
                  <a:lumOff val="10000"/>
                </a:schemeClr>
              </a:solidFill>
            </a:rPr>
            <a:t>Net </a:t>
          </a:r>
          <a:r>
            <a:rPr lang="en-US" sz="1800" b="1">
              <a:solidFill>
                <a:schemeClr val="tx2">
                  <a:lumMod val="90000"/>
                  <a:lumOff val="10000"/>
                </a:schemeClr>
              </a:solidFill>
              <a:latin typeface="+mn-lt"/>
              <a:ea typeface="+mn-ea"/>
              <a:cs typeface="+mn-cs"/>
            </a:rPr>
            <a:t>Revenue</a:t>
          </a:r>
        </a:p>
      </xdr:txBody>
    </xdr:sp>
    <xdr:clientData/>
  </xdr:twoCellAnchor>
  <xdr:twoCellAnchor>
    <xdr:from>
      <xdr:col>0</xdr:col>
      <xdr:colOff>485774</xdr:colOff>
      <xdr:row>5</xdr:row>
      <xdr:rowOff>133350</xdr:rowOff>
    </xdr:from>
    <xdr:to>
      <xdr:col>4</xdr:col>
      <xdr:colOff>0</xdr:colOff>
      <xdr:row>9</xdr:row>
      <xdr:rowOff>152400</xdr:rowOff>
    </xdr:to>
    <xdr:sp macro="" textlink="'pivot table'!E9">
      <xdr:nvSpPr>
        <xdr:cNvPr id="13" name="TextBox 12">
          <a:extLst>
            <a:ext uri="{FF2B5EF4-FFF2-40B4-BE49-F238E27FC236}">
              <a16:creationId xmlns:a16="http://schemas.microsoft.com/office/drawing/2014/main" id="{7EE07E28-900B-47AB-8046-7A5BF68A58F6}"/>
            </a:ext>
          </a:extLst>
        </xdr:cNvPr>
        <xdr:cNvSpPr txBox="1"/>
      </xdr:nvSpPr>
      <xdr:spPr>
        <a:xfrm>
          <a:off x="485774" y="990600"/>
          <a:ext cx="2181226" cy="70485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9F5A26-E17B-4E0F-9786-EBB22ED28423}" type="TxLink">
            <a:rPr lang="en-US" sz="4400" b="1" i="0" u="none" strike="noStrike">
              <a:solidFill>
                <a:schemeClr val="tx2">
                  <a:lumMod val="75000"/>
                  <a:lumOff val="25000"/>
                </a:schemeClr>
              </a:solidFill>
              <a:latin typeface="Carlito"/>
              <a:ea typeface="+mn-ea"/>
              <a:cs typeface="+mn-cs"/>
            </a:rPr>
            <a:pPr marL="0" indent="0"/>
            <a:t>$39.8M</a:t>
          </a:fld>
          <a:endParaRPr lang="en-US" sz="4400" b="1" i="0" u="none" strike="noStrike">
            <a:solidFill>
              <a:schemeClr val="tx2">
                <a:lumMod val="75000"/>
                <a:lumOff val="25000"/>
              </a:schemeClr>
            </a:solidFill>
            <a:latin typeface="Carlito"/>
            <a:ea typeface="+mn-ea"/>
            <a:cs typeface="+mn-cs"/>
          </a:endParaRPr>
        </a:p>
      </xdr:txBody>
    </xdr:sp>
    <xdr:clientData/>
  </xdr:twoCellAnchor>
  <xdr:twoCellAnchor>
    <xdr:from>
      <xdr:col>0</xdr:col>
      <xdr:colOff>277346</xdr:colOff>
      <xdr:row>9</xdr:row>
      <xdr:rowOff>55748</xdr:rowOff>
    </xdr:from>
    <xdr:to>
      <xdr:col>2</xdr:col>
      <xdr:colOff>15127</xdr:colOff>
      <xdr:row>10</xdr:row>
      <xdr:rowOff>170329</xdr:rowOff>
    </xdr:to>
    <xdr:sp macro="" textlink="">
      <xdr:nvSpPr>
        <xdr:cNvPr id="20" name="TextBox 19">
          <a:extLst>
            <a:ext uri="{FF2B5EF4-FFF2-40B4-BE49-F238E27FC236}">
              <a16:creationId xmlns:a16="http://schemas.microsoft.com/office/drawing/2014/main" id="{4A2E2A16-05B6-59C8-3EC9-E404128D3491}"/>
            </a:ext>
          </a:extLst>
        </xdr:cNvPr>
        <xdr:cNvSpPr txBox="1"/>
      </xdr:nvSpPr>
      <xdr:spPr>
        <a:xfrm>
          <a:off x="277346" y="1669395"/>
          <a:ext cx="1082487" cy="293875"/>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1">
              <a:solidFill>
                <a:schemeClr val="tx1">
                  <a:lumMod val="75000"/>
                  <a:lumOff val="25000"/>
                </a:schemeClr>
              </a:solidFill>
              <a:latin typeface="+mn-lt"/>
              <a:ea typeface="+mn-ea"/>
              <a:cs typeface="+mn-cs"/>
            </a:rPr>
            <a:t>Avg</a:t>
          </a:r>
          <a:r>
            <a:rPr lang="en-US" sz="1100" b="0" i="1" baseline="0">
              <a:solidFill>
                <a:schemeClr val="tx1">
                  <a:lumMod val="75000"/>
                  <a:lumOff val="25000"/>
                </a:schemeClr>
              </a:solidFill>
              <a:latin typeface="+mn-lt"/>
              <a:ea typeface="+mn-ea"/>
              <a:cs typeface="+mn-cs"/>
            </a:rPr>
            <a:t> month</a:t>
          </a:r>
        </a:p>
      </xdr:txBody>
    </xdr:sp>
    <xdr:clientData/>
  </xdr:twoCellAnchor>
  <xdr:twoCellAnchor>
    <xdr:from>
      <xdr:col>1</xdr:col>
      <xdr:colOff>627251</xdr:colOff>
      <xdr:row>9</xdr:row>
      <xdr:rowOff>37818</xdr:rowOff>
    </xdr:from>
    <xdr:to>
      <xdr:col>3</xdr:col>
      <xdr:colOff>364473</xdr:colOff>
      <xdr:row>10</xdr:row>
      <xdr:rowOff>174250</xdr:rowOff>
    </xdr:to>
    <xdr:sp macro="" textlink="'pivot table'!E14">
      <xdr:nvSpPr>
        <xdr:cNvPr id="21" name="TextBox 20">
          <a:extLst>
            <a:ext uri="{FF2B5EF4-FFF2-40B4-BE49-F238E27FC236}">
              <a16:creationId xmlns:a16="http://schemas.microsoft.com/office/drawing/2014/main" id="{7BE221A9-1851-B759-DCB8-535AD2CAE883}"/>
            </a:ext>
          </a:extLst>
        </xdr:cNvPr>
        <xdr:cNvSpPr txBox="1"/>
      </xdr:nvSpPr>
      <xdr:spPr>
        <a:xfrm>
          <a:off x="1299604" y="1651465"/>
          <a:ext cx="1081928" cy="315726"/>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CC45BB-72FF-42D7-B5C3-DD4E249CCBCC}" type="TxLink">
            <a:rPr lang="en-US" sz="1600" b="1" i="0" u="none" strike="noStrike">
              <a:solidFill>
                <a:srgbClr val="000000"/>
              </a:solidFill>
              <a:latin typeface="Carlito"/>
              <a:ea typeface="+mn-ea"/>
              <a:cs typeface="+mn-cs"/>
            </a:rPr>
            <a:pPr/>
            <a:t>$3.3M</a:t>
          </a:fld>
          <a:endParaRPr lang="en-US" sz="4400" b="1" i="1">
            <a:solidFill>
              <a:schemeClr val="tx1">
                <a:lumMod val="95000"/>
                <a:lumOff val="5000"/>
              </a:schemeClr>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2</xdr:col>
          <xdr:colOff>107298</xdr:colOff>
          <xdr:row>12</xdr:row>
          <xdr:rowOff>75360</xdr:rowOff>
        </xdr:from>
        <xdr:to>
          <xdr:col>4</xdr:col>
          <xdr:colOff>285971</xdr:colOff>
          <xdr:row>13</xdr:row>
          <xdr:rowOff>103934</xdr:rowOff>
        </xdr:to>
        <xdr:pic>
          <xdr:nvPicPr>
            <xdr:cNvPr id="11" name="Picture 10">
              <a:extLst>
                <a:ext uri="{FF2B5EF4-FFF2-40B4-BE49-F238E27FC236}">
                  <a16:creationId xmlns:a16="http://schemas.microsoft.com/office/drawing/2014/main" id="{788CD216-C1D9-E370-1E04-07C32A8032A8}"/>
                </a:ext>
              </a:extLst>
            </xdr:cNvPr>
            <xdr:cNvPicPr>
              <a:picLocks noChangeAspect="1" noChangeArrowheads="1"/>
              <a:extLst>
                <a:ext uri="{84589F7E-364E-4C9E-8A38-B11213B215E9}">
                  <a14:cameraTool cellRange="'pivot table'!$S$27" spid="_x0000_s2407"/>
                </a:ext>
              </a:extLst>
            </xdr:cNvPicPr>
          </xdr:nvPicPr>
          <xdr:blipFill>
            <a:blip xmlns:r="http://schemas.openxmlformats.org/officeDocument/2006/relationships" r:embed="rId2"/>
            <a:srcRect/>
            <a:stretch>
              <a:fillRect/>
            </a:stretch>
          </xdr:blipFill>
          <xdr:spPr bwMode="auto">
            <a:xfrm>
              <a:off x="1452004" y="2226889"/>
              <a:ext cx="1523379" cy="207869"/>
            </a:xfrm>
            <a:prstGeom prst="rect">
              <a:avLst/>
            </a:prstGeom>
            <a:noFill/>
            <a:ln>
              <a:noFill/>
            </a:ln>
          </xdr:spPr>
        </xdr:pic>
        <xdr:clientData/>
      </xdr:twoCellAnchor>
    </mc:Choice>
    <mc:Fallback/>
  </mc:AlternateContent>
  <xdr:twoCellAnchor editAs="oneCell">
    <xdr:from>
      <xdr:col>14</xdr:col>
      <xdr:colOff>392764</xdr:colOff>
      <xdr:row>4</xdr:row>
      <xdr:rowOff>58269</xdr:rowOff>
    </xdr:from>
    <xdr:to>
      <xdr:col>22</xdr:col>
      <xdr:colOff>285750</xdr:colOff>
      <xdr:row>11</xdr:row>
      <xdr:rowOff>9525</xdr:rowOff>
    </xdr:to>
    <mc:AlternateContent xmlns:mc="http://schemas.openxmlformats.org/markup-compatibility/2006" xmlns:a14="http://schemas.microsoft.com/office/drawing/2010/main">
      <mc:Choice Requires="a14">
        <xdr:graphicFrame macro="">
          <xdr:nvGraphicFramePr>
            <xdr:cNvPr id="15" name="Months (Order Date) 1">
              <a:extLst>
                <a:ext uri="{FF2B5EF4-FFF2-40B4-BE49-F238E27FC236}">
                  <a16:creationId xmlns:a16="http://schemas.microsoft.com/office/drawing/2014/main" id="{DC44E3C2-871B-4667-9AA2-F07CA410D570}"/>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9727264" y="744069"/>
              <a:ext cx="2760011" cy="1170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277346</xdr:colOff>
      <xdr:row>10</xdr:row>
      <xdr:rowOff>135870</xdr:rowOff>
    </xdr:from>
    <xdr:to>
      <xdr:col>1</xdr:col>
      <xdr:colOff>391645</xdr:colOff>
      <xdr:row>12</xdr:row>
      <xdr:rowOff>69196</xdr:rowOff>
    </xdr:to>
    <xdr:sp macro="" textlink="'pivot table'!R28">
      <xdr:nvSpPr>
        <xdr:cNvPr id="17" name="TextBox 16">
          <a:extLst>
            <a:ext uri="{FF2B5EF4-FFF2-40B4-BE49-F238E27FC236}">
              <a16:creationId xmlns:a16="http://schemas.microsoft.com/office/drawing/2014/main" id="{DD0782D8-4DE8-4B76-B2C8-BAA5CFF9C62B}"/>
            </a:ext>
          </a:extLst>
        </xdr:cNvPr>
        <xdr:cNvSpPr txBox="1"/>
      </xdr:nvSpPr>
      <xdr:spPr>
        <a:xfrm>
          <a:off x="277346" y="1928811"/>
          <a:ext cx="786652" cy="291914"/>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A2D16F-3A84-49E8-BED6-F2D8A958BEFB}" type="TxLink">
            <a:rPr lang="en-US" sz="1100" b="0" i="1" u="none" strike="noStrike" baseline="0">
              <a:solidFill>
                <a:srgbClr val="000000"/>
              </a:solidFill>
              <a:latin typeface="Carlito"/>
              <a:ea typeface="+mn-ea"/>
              <a:cs typeface="+mn-cs"/>
            </a:rPr>
            <a:pPr/>
            <a:t>VS </a:t>
          </a:fld>
          <a:endParaRPr lang="en-US" sz="1100" b="0" i="1" baseline="0">
            <a:solidFill>
              <a:schemeClr val="tx1">
                <a:lumMod val="75000"/>
                <a:lumOff val="25000"/>
              </a:schemeClr>
            </a:solidFill>
            <a:latin typeface="+mn-lt"/>
            <a:ea typeface="+mn-ea"/>
            <a:cs typeface="+mn-cs"/>
          </a:endParaRPr>
        </a:p>
      </xdr:txBody>
    </xdr:sp>
    <xdr:clientData/>
  </xdr:twoCellAnchor>
  <xdr:twoCellAnchor>
    <xdr:from>
      <xdr:col>1</xdr:col>
      <xdr:colOff>627251</xdr:colOff>
      <xdr:row>10</xdr:row>
      <xdr:rowOff>107297</xdr:rowOff>
    </xdr:from>
    <xdr:to>
      <xdr:col>3</xdr:col>
      <xdr:colOff>170050</xdr:colOff>
      <xdr:row>12</xdr:row>
      <xdr:rowOff>97773</xdr:rowOff>
    </xdr:to>
    <xdr:sp macro="" textlink="'pivot table'!S25">
      <xdr:nvSpPr>
        <xdr:cNvPr id="18" name="TextBox 17">
          <a:extLst>
            <a:ext uri="{FF2B5EF4-FFF2-40B4-BE49-F238E27FC236}">
              <a16:creationId xmlns:a16="http://schemas.microsoft.com/office/drawing/2014/main" id="{E548DE2D-D12B-2BB4-D66C-E6D498A73D61}"/>
            </a:ext>
          </a:extLst>
        </xdr:cNvPr>
        <xdr:cNvSpPr txBox="1"/>
      </xdr:nvSpPr>
      <xdr:spPr>
        <a:xfrm>
          <a:off x="1299604" y="1900238"/>
          <a:ext cx="887505" cy="349064"/>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0EDE821-D4B9-4655-B0B9-32BDD10FFBE1}" type="TxLink">
            <a:rPr lang="en-US" sz="1600" b="0" i="0" u="none" strike="noStrike">
              <a:solidFill>
                <a:schemeClr val="tx1">
                  <a:lumMod val="95000"/>
                  <a:lumOff val="5000"/>
                </a:schemeClr>
              </a:solidFill>
              <a:latin typeface="Carlito"/>
              <a:ea typeface="+mn-ea"/>
              <a:cs typeface="+mn-cs"/>
            </a:rPr>
            <a:pPr marL="0" indent="0"/>
            <a:t> </a:t>
          </a:fld>
          <a:endParaRPr lang="en-US" sz="1600" b="0" i="0" u="none" strike="noStrike">
            <a:solidFill>
              <a:schemeClr val="tx1">
                <a:lumMod val="95000"/>
                <a:lumOff val="5000"/>
              </a:schemeClr>
            </a:solidFill>
            <a:latin typeface="Carlito"/>
            <a:ea typeface="+mn-ea"/>
            <a:cs typeface="+mn-cs"/>
          </a:endParaRPr>
        </a:p>
      </xdr:txBody>
    </xdr:sp>
    <xdr:clientData/>
  </xdr:twoCellAnchor>
  <xdr:twoCellAnchor>
    <xdr:from>
      <xdr:col>4</xdr:col>
      <xdr:colOff>314324</xdr:colOff>
      <xdr:row>4</xdr:row>
      <xdr:rowOff>85724</xdr:rowOff>
    </xdr:from>
    <xdr:to>
      <xdr:col>8</xdr:col>
      <xdr:colOff>171449</xdr:colOff>
      <xdr:row>13</xdr:row>
      <xdr:rowOff>171449</xdr:rowOff>
    </xdr:to>
    <xdr:sp macro="" textlink="">
      <xdr:nvSpPr>
        <xdr:cNvPr id="6" name="Rectangle: Rounded Corners 5">
          <a:extLst>
            <a:ext uri="{FF2B5EF4-FFF2-40B4-BE49-F238E27FC236}">
              <a16:creationId xmlns:a16="http://schemas.microsoft.com/office/drawing/2014/main" id="{91B63104-0E11-47C7-9C72-0C8C23944553}"/>
            </a:ext>
          </a:extLst>
        </xdr:cNvPr>
        <xdr:cNvSpPr/>
      </xdr:nvSpPr>
      <xdr:spPr>
        <a:xfrm>
          <a:off x="2981324" y="771524"/>
          <a:ext cx="2524125" cy="1628775"/>
        </a:xfrm>
        <a:prstGeom prst="roundRect">
          <a:avLst>
            <a:gd name="adj" fmla="val 7078"/>
          </a:avLst>
        </a:prstGeom>
        <a:solidFill>
          <a:schemeClr val="bg1">
            <a:lumMod val="95000"/>
          </a:schemeClr>
        </a:solidFill>
        <a:ln w="28575">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xdr:colOff>
      <xdr:row>4</xdr:row>
      <xdr:rowOff>104775</xdr:rowOff>
    </xdr:from>
    <xdr:to>
      <xdr:col>7</xdr:col>
      <xdr:colOff>228600</xdr:colOff>
      <xdr:row>6</xdr:row>
      <xdr:rowOff>123825</xdr:rowOff>
    </xdr:to>
    <xdr:sp macro="" textlink="">
      <xdr:nvSpPr>
        <xdr:cNvPr id="7" name="TextBox 6">
          <a:extLst>
            <a:ext uri="{FF2B5EF4-FFF2-40B4-BE49-F238E27FC236}">
              <a16:creationId xmlns:a16="http://schemas.microsoft.com/office/drawing/2014/main" id="{86F27E57-42A3-4109-A9F7-3351D6A2F570}"/>
            </a:ext>
          </a:extLst>
        </xdr:cNvPr>
        <xdr:cNvSpPr txBox="1"/>
      </xdr:nvSpPr>
      <xdr:spPr>
        <a:xfrm>
          <a:off x="3362325" y="790575"/>
          <a:ext cx="1533525" cy="36195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2">
                  <a:lumMod val="90000"/>
                  <a:lumOff val="10000"/>
                </a:schemeClr>
              </a:solidFill>
            </a:rPr>
            <a:t>profit</a:t>
          </a:r>
          <a:endParaRPr lang="en-US" sz="1800" b="1">
            <a:solidFill>
              <a:schemeClr val="tx2">
                <a:lumMod val="90000"/>
                <a:lumOff val="10000"/>
              </a:schemeClr>
            </a:solidFill>
            <a:latin typeface="+mn-lt"/>
            <a:ea typeface="+mn-ea"/>
            <a:cs typeface="+mn-cs"/>
          </a:endParaRPr>
        </a:p>
      </xdr:txBody>
    </xdr:sp>
    <xdr:clientData/>
  </xdr:twoCellAnchor>
  <xdr:twoCellAnchor>
    <xdr:from>
      <xdr:col>4</xdr:col>
      <xdr:colOff>561973</xdr:colOff>
      <xdr:row>5</xdr:row>
      <xdr:rowOff>123824</xdr:rowOff>
    </xdr:from>
    <xdr:to>
      <xdr:col>8</xdr:col>
      <xdr:colOff>9524</xdr:colOff>
      <xdr:row>10</xdr:row>
      <xdr:rowOff>57149</xdr:rowOff>
    </xdr:to>
    <xdr:sp macro="" textlink="'pivot table'!E10">
      <xdr:nvSpPr>
        <xdr:cNvPr id="8" name="TextBox 7">
          <a:extLst>
            <a:ext uri="{FF2B5EF4-FFF2-40B4-BE49-F238E27FC236}">
              <a16:creationId xmlns:a16="http://schemas.microsoft.com/office/drawing/2014/main" id="{A743D619-7AA7-424B-AC79-483FA2C57DFF}"/>
            </a:ext>
          </a:extLst>
        </xdr:cNvPr>
        <xdr:cNvSpPr txBox="1"/>
      </xdr:nvSpPr>
      <xdr:spPr>
        <a:xfrm>
          <a:off x="3228973" y="981074"/>
          <a:ext cx="2114551" cy="790575"/>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9942A0-7038-4989-B5B5-7123647716A6}" type="TxLink">
            <a:rPr lang="en-US" sz="4400" b="1" i="0" u="none" strike="noStrike">
              <a:solidFill>
                <a:srgbClr val="00B050"/>
              </a:solidFill>
              <a:latin typeface="Carlito"/>
              <a:ea typeface="+mn-ea"/>
              <a:cs typeface="+mn-cs"/>
            </a:rPr>
            <a:pPr marL="0" indent="0"/>
            <a:t>$8.1M</a:t>
          </a:fld>
          <a:endParaRPr lang="en-US" sz="4400" b="1" i="0" u="none" strike="noStrike">
            <a:solidFill>
              <a:srgbClr val="00B050"/>
            </a:solidFill>
            <a:latin typeface="Carlito"/>
            <a:ea typeface="+mn-ea"/>
            <a:cs typeface="+mn-cs"/>
          </a:endParaRPr>
        </a:p>
      </xdr:txBody>
    </xdr:sp>
    <xdr:clientData/>
  </xdr:twoCellAnchor>
  <xdr:twoCellAnchor>
    <xdr:from>
      <xdr:col>4</xdr:col>
      <xdr:colOff>410137</xdr:colOff>
      <xdr:row>9</xdr:row>
      <xdr:rowOff>100012</xdr:rowOff>
    </xdr:from>
    <xdr:to>
      <xdr:col>5</xdr:col>
      <xdr:colOff>627530</xdr:colOff>
      <xdr:row>10</xdr:row>
      <xdr:rowOff>143435</xdr:rowOff>
    </xdr:to>
    <xdr:sp macro="" textlink="">
      <xdr:nvSpPr>
        <xdr:cNvPr id="9" name="TextBox 8">
          <a:extLst>
            <a:ext uri="{FF2B5EF4-FFF2-40B4-BE49-F238E27FC236}">
              <a16:creationId xmlns:a16="http://schemas.microsoft.com/office/drawing/2014/main" id="{9C32D87D-7672-4A25-92B4-C5EBE2C2417C}"/>
            </a:ext>
          </a:extLst>
        </xdr:cNvPr>
        <xdr:cNvSpPr txBox="1"/>
      </xdr:nvSpPr>
      <xdr:spPr>
        <a:xfrm>
          <a:off x="3099549" y="1713659"/>
          <a:ext cx="889746" cy="222717"/>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tx1">
                  <a:lumMod val="75000"/>
                  <a:lumOff val="25000"/>
                </a:schemeClr>
              </a:solidFill>
              <a:latin typeface="+mn-lt"/>
              <a:ea typeface="+mn-ea"/>
              <a:cs typeface="+mn-cs"/>
            </a:rPr>
            <a:t>Avg</a:t>
          </a:r>
          <a:r>
            <a:rPr lang="en-US" sz="1100" b="1" i="1" baseline="0">
              <a:solidFill>
                <a:schemeClr val="tx1">
                  <a:lumMod val="75000"/>
                  <a:lumOff val="25000"/>
                </a:schemeClr>
              </a:solidFill>
              <a:latin typeface="+mn-lt"/>
              <a:ea typeface="+mn-ea"/>
              <a:cs typeface="+mn-cs"/>
            </a:rPr>
            <a:t> month</a:t>
          </a:r>
        </a:p>
      </xdr:txBody>
    </xdr:sp>
    <xdr:clientData/>
  </xdr:twoCellAnchor>
  <xdr:twoCellAnchor>
    <xdr:from>
      <xdr:col>5</xdr:col>
      <xdr:colOff>579346</xdr:colOff>
      <xdr:row>9</xdr:row>
      <xdr:rowOff>73118</xdr:rowOff>
    </xdr:from>
    <xdr:to>
      <xdr:col>7</xdr:col>
      <xdr:colOff>278467</xdr:colOff>
      <xdr:row>11</xdr:row>
      <xdr:rowOff>35018</xdr:rowOff>
    </xdr:to>
    <xdr:sp macro="" textlink="'pivot table'!E17">
      <xdr:nvSpPr>
        <xdr:cNvPr id="14" name="TextBox 13">
          <a:extLst>
            <a:ext uri="{FF2B5EF4-FFF2-40B4-BE49-F238E27FC236}">
              <a16:creationId xmlns:a16="http://schemas.microsoft.com/office/drawing/2014/main" id="{DC3E775F-F824-4A74-BD7C-89FFA624E0BA}"/>
            </a:ext>
          </a:extLst>
        </xdr:cNvPr>
        <xdr:cNvSpPr txBox="1"/>
      </xdr:nvSpPr>
      <xdr:spPr>
        <a:xfrm>
          <a:off x="3941111" y="1686765"/>
          <a:ext cx="1043827" cy="320488"/>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7AC81B-5A06-491E-BDA3-7D2258231FA6}" type="TxLink">
            <a:rPr lang="en-US" sz="1600" b="1" i="0" u="none" strike="noStrike">
              <a:solidFill>
                <a:srgbClr val="000000"/>
              </a:solidFill>
              <a:latin typeface="Carlito"/>
              <a:ea typeface="+mn-ea"/>
              <a:cs typeface="+mn-cs"/>
            </a:rPr>
            <a:pPr/>
            <a:t>$674.3K</a:t>
          </a:fld>
          <a:endParaRPr lang="en-US" sz="3200" b="1" i="1">
            <a:solidFill>
              <a:schemeClr val="tx1">
                <a:lumMod val="95000"/>
                <a:lumOff val="5000"/>
              </a:schemeClr>
            </a:solidFill>
            <a:latin typeface="+mn-lt"/>
            <a:ea typeface="+mn-ea"/>
            <a:cs typeface="+mn-cs"/>
          </a:endParaRPr>
        </a:p>
      </xdr:txBody>
    </xdr:sp>
    <xdr:clientData/>
  </xdr:twoCellAnchor>
  <xdr:twoCellAnchor>
    <xdr:from>
      <xdr:col>4</xdr:col>
      <xdr:colOff>452158</xdr:colOff>
      <xdr:row>10</xdr:row>
      <xdr:rowOff>171169</xdr:rowOff>
    </xdr:from>
    <xdr:to>
      <xdr:col>5</xdr:col>
      <xdr:colOff>446758</xdr:colOff>
      <xdr:row>12</xdr:row>
      <xdr:rowOff>66675</xdr:rowOff>
    </xdr:to>
    <xdr:sp macro="" textlink="'pivot table'!R28">
      <xdr:nvSpPr>
        <xdr:cNvPr id="19" name="TextBox 18">
          <a:extLst>
            <a:ext uri="{FF2B5EF4-FFF2-40B4-BE49-F238E27FC236}">
              <a16:creationId xmlns:a16="http://schemas.microsoft.com/office/drawing/2014/main" id="{6D5517FC-26B2-457F-80FC-C19687477B17}"/>
            </a:ext>
          </a:extLst>
        </xdr:cNvPr>
        <xdr:cNvSpPr txBox="1"/>
      </xdr:nvSpPr>
      <xdr:spPr>
        <a:xfrm>
          <a:off x="3119158" y="1885669"/>
          <a:ext cx="661350" cy="238406"/>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A2D16F-3A84-49E8-BED6-F2D8A958BEFB}" type="TxLink">
            <a:rPr lang="en-US" sz="1100" b="0" i="1" u="none" strike="noStrike" baseline="0">
              <a:solidFill>
                <a:srgbClr val="000000"/>
              </a:solidFill>
              <a:latin typeface="Carlito"/>
              <a:ea typeface="+mn-ea"/>
              <a:cs typeface="+mn-cs"/>
            </a:rPr>
            <a:pPr/>
            <a:t>VS </a:t>
          </a:fld>
          <a:endParaRPr lang="en-US" sz="1100" b="1" i="1" baseline="0">
            <a:solidFill>
              <a:schemeClr val="tx1">
                <a:lumMod val="75000"/>
                <a:lumOff val="25000"/>
              </a:schemeClr>
            </a:solidFill>
            <a:latin typeface="+mn-lt"/>
            <a:ea typeface="+mn-ea"/>
            <a:cs typeface="+mn-cs"/>
          </a:endParaRPr>
        </a:p>
      </xdr:txBody>
    </xdr:sp>
    <xdr:clientData/>
  </xdr:twoCellAnchor>
  <xdr:twoCellAnchor>
    <xdr:from>
      <xdr:col>5</xdr:col>
      <xdr:colOff>514351</xdr:colOff>
      <xdr:row>10</xdr:row>
      <xdr:rowOff>135311</xdr:rowOff>
    </xdr:from>
    <xdr:to>
      <xdr:col>7</xdr:col>
      <xdr:colOff>57150</xdr:colOff>
      <xdr:row>12</xdr:row>
      <xdr:rowOff>125787</xdr:rowOff>
    </xdr:to>
    <xdr:sp macro="" textlink="'pivot table'!X25">
      <xdr:nvSpPr>
        <xdr:cNvPr id="22" name="TextBox 21">
          <a:extLst>
            <a:ext uri="{FF2B5EF4-FFF2-40B4-BE49-F238E27FC236}">
              <a16:creationId xmlns:a16="http://schemas.microsoft.com/office/drawing/2014/main" id="{79EA285F-6A00-4C59-94F5-5E8A6BE2D247}"/>
            </a:ext>
          </a:extLst>
        </xdr:cNvPr>
        <xdr:cNvSpPr txBox="1"/>
      </xdr:nvSpPr>
      <xdr:spPr>
        <a:xfrm>
          <a:off x="3876116" y="1928252"/>
          <a:ext cx="887505" cy="349064"/>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EE2D030-5355-486C-8E5F-C5F1E804282A}" type="TxLink">
            <a:rPr lang="en-US" sz="1400" b="0" i="0" u="none" strike="noStrike">
              <a:solidFill>
                <a:srgbClr val="000000"/>
              </a:solidFill>
              <a:latin typeface="Carlito"/>
              <a:ea typeface="+mn-ea"/>
              <a:cs typeface="+mn-cs"/>
            </a:rPr>
            <a:pPr marL="0" indent="0"/>
            <a:t> </a:t>
          </a:fld>
          <a:endParaRPr lang="en-US" sz="2000" b="0" i="0" u="none" strike="noStrike">
            <a:solidFill>
              <a:schemeClr val="tx1">
                <a:lumMod val="95000"/>
                <a:lumOff val="5000"/>
              </a:schemeClr>
            </a:solidFill>
            <a:latin typeface="Carlito"/>
            <a:ea typeface="+mn-ea"/>
            <a:cs typeface="+mn-cs"/>
          </a:endParaRPr>
        </a:p>
      </xdr:txBody>
    </xdr:sp>
    <xdr:clientData/>
  </xdr:twoCellAnchor>
  <xdr:twoCellAnchor>
    <xdr:from>
      <xdr:col>8</xdr:col>
      <xdr:colOff>322168</xdr:colOff>
      <xdr:row>4</xdr:row>
      <xdr:rowOff>103654</xdr:rowOff>
    </xdr:from>
    <xdr:to>
      <xdr:col>12</xdr:col>
      <xdr:colOff>179293</xdr:colOff>
      <xdr:row>14</xdr:row>
      <xdr:rowOff>10085</xdr:rowOff>
    </xdr:to>
    <xdr:sp macro="" textlink="">
      <xdr:nvSpPr>
        <xdr:cNvPr id="23" name="Rectangle: Rounded Corners 22">
          <a:extLst>
            <a:ext uri="{FF2B5EF4-FFF2-40B4-BE49-F238E27FC236}">
              <a16:creationId xmlns:a16="http://schemas.microsoft.com/office/drawing/2014/main" id="{D76CFBB7-5511-4927-AE00-C7ED21991CB7}"/>
            </a:ext>
          </a:extLst>
        </xdr:cNvPr>
        <xdr:cNvSpPr/>
      </xdr:nvSpPr>
      <xdr:spPr>
        <a:xfrm>
          <a:off x="5700992" y="820830"/>
          <a:ext cx="2546536" cy="1699373"/>
        </a:xfrm>
        <a:prstGeom prst="roundRect">
          <a:avLst>
            <a:gd name="adj" fmla="val 7078"/>
          </a:avLst>
        </a:prstGeom>
        <a:solidFill>
          <a:schemeClr val="bg1">
            <a:lumMod val="95000"/>
          </a:schemeClr>
        </a:solid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36419</xdr:colOff>
      <xdr:row>4</xdr:row>
      <xdr:rowOff>122705</xdr:rowOff>
    </xdr:from>
    <xdr:to>
      <xdr:col>11</xdr:col>
      <xdr:colOff>236444</xdr:colOff>
      <xdr:row>6</xdr:row>
      <xdr:rowOff>141755</xdr:rowOff>
    </xdr:to>
    <xdr:sp macro="" textlink="">
      <xdr:nvSpPr>
        <xdr:cNvPr id="24" name="TextBox 23">
          <a:extLst>
            <a:ext uri="{FF2B5EF4-FFF2-40B4-BE49-F238E27FC236}">
              <a16:creationId xmlns:a16="http://schemas.microsoft.com/office/drawing/2014/main" id="{ECB60C54-032E-4594-AC14-69A16CCC02AD}"/>
            </a:ext>
          </a:extLst>
        </xdr:cNvPr>
        <xdr:cNvSpPr txBox="1"/>
      </xdr:nvSpPr>
      <xdr:spPr>
        <a:xfrm>
          <a:off x="6087595" y="839881"/>
          <a:ext cx="1544731" cy="377639"/>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2">
                  <a:lumMod val="90000"/>
                  <a:lumOff val="10000"/>
                </a:schemeClr>
              </a:solidFill>
            </a:rPr>
            <a:t>profit margin</a:t>
          </a:r>
          <a:endParaRPr lang="en-US" sz="1800" b="1">
            <a:solidFill>
              <a:schemeClr val="tx2">
                <a:lumMod val="90000"/>
                <a:lumOff val="10000"/>
              </a:schemeClr>
            </a:solidFill>
            <a:latin typeface="+mn-lt"/>
            <a:ea typeface="+mn-ea"/>
            <a:cs typeface="+mn-cs"/>
          </a:endParaRPr>
        </a:p>
      </xdr:txBody>
    </xdr:sp>
    <xdr:clientData/>
  </xdr:twoCellAnchor>
  <xdr:twoCellAnchor>
    <xdr:from>
      <xdr:col>8</xdr:col>
      <xdr:colOff>575420</xdr:colOff>
      <xdr:row>5</xdr:row>
      <xdr:rowOff>141755</xdr:rowOff>
    </xdr:from>
    <xdr:to>
      <xdr:col>12</xdr:col>
      <xdr:colOff>84044</xdr:colOff>
      <xdr:row>9</xdr:row>
      <xdr:rowOff>160805</xdr:rowOff>
    </xdr:to>
    <xdr:sp macro="" textlink="'pivot table'!D12">
      <xdr:nvSpPr>
        <xdr:cNvPr id="25" name="TextBox 24">
          <a:extLst>
            <a:ext uri="{FF2B5EF4-FFF2-40B4-BE49-F238E27FC236}">
              <a16:creationId xmlns:a16="http://schemas.microsoft.com/office/drawing/2014/main" id="{97A79F08-A6C1-483A-8823-E767AFB65383}"/>
            </a:ext>
          </a:extLst>
        </xdr:cNvPr>
        <xdr:cNvSpPr txBox="1"/>
      </xdr:nvSpPr>
      <xdr:spPr>
        <a:xfrm>
          <a:off x="5954244" y="1038226"/>
          <a:ext cx="2198035" cy="736226"/>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BC75B0-031D-4FD5-8D93-56FF9BB0156F}" type="TxLink">
            <a:rPr lang="en-US" sz="4400" b="1" i="0" u="none" strike="noStrike">
              <a:solidFill>
                <a:srgbClr val="7030A0"/>
              </a:solidFill>
              <a:latin typeface="Carlito"/>
            </a:rPr>
            <a:pPr/>
            <a:t>20.35%</a:t>
          </a:fld>
          <a:endParaRPr lang="en-US" sz="34400" b="1">
            <a:solidFill>
              <a:srgbClr val="7030A0"/>
            </a:solidFill>
          </a:endParaRPr>
        </a:p>
      </xdr:txBody>
    </xdr:sp>
    <xdr:clientData/>
  </xdr:twoCellAnchor>
  <mc:AlternateContent xmlns:mc="http://schemas.openxmlformats.org/markup-compatibility/2006">
    <mc:Choice xmlns:a14="http://schemas.microsoft.com/office/drawing/2010/main" Requires="a14">
      <xdr:twoCellAnchor editAs="oneCell">
        <xdr:from>
          <xdr:col>10</xdr:col>
          <xdr:colOff>62753</xdr:colOff>
          <xdr:row>9</xdr:row>
          <xdr:rowOff>89370</xdr:rowOff>
        </xdr:from>
        <xdr:to>
          <xdr:col>12</xdr:col>
          <xdr:colOff>84899</xdr:colOff>
          <xdr:row>12</xdr:row>
          <xdr:rowOff>62754</xdr:rowOff>
        </xdr:to>
        <xdr:pic>
          <xdr:nvPicPr>
            <xdr:cNvPr id="28" name="Picture 27">
              <a:extLst>
                <a:ext uri="{FF2B5EF4-FFF2-40B4-BE49-F238E27FC236}">
                  <a16:creationId xmlns:a16="http://schemas.microsoft.com/office/drawing/2014/main" id="{1417E387-BF98-4736-BC80-1CDAF1A928B9}"/>
                </a:ext>
              </a:extLst>
            </xdr:cNvPr>
            <xdr:cNvPicPr>
              <a:picLocks noChangeAspect="1" noChangeArrowheads="1"/>
              <a:extLst>
                <a:ext uri="{84589F7E-364E-4C9E-8A38-B11213B215E9}">
                  <a14:cameraTool cellRange="'pivot table'!AB26" spid="_x0000_s2408"/>
                </a:ext>
              </a:extLst>
            </xdr:cNvPicPr>
          </xdr:nvPicPr>
          <xdr:blipFill>
            <a:blip xmlns:r="http://schemas.openxmlformats.org/officeDocument/2006/relationships" r:embed="rId3"/>
            <a:srcRect/>
            <a:stretch>
              <a:fillRect/>
            </a:stretch>
          </xdr:blipFill>
          <xdr:spPr bwMode="auto">
            <a:xfrm>
              <a:off x="6786282" y="1703017"/>
              <a:ext cx="1366852" cy="511266"/>
            </a:xfrm>
            <a:prstGeom prst="rect">
              <a:avLst/>
            </a:prstGeom>
            <a:noFill/>
            <a:ln>
              <a:noFill/>
            </a:ln>
            <a:effectLst/>
          </xdr:spPr>
        </xdr:pic>
        <xdr:clientData/>
      </xdr:twoCellAnchor>
    </mc:Choice>
    <mc:Fallback/>
  </mc:AlternateContent>
  <xdr:twoCellAnchor>
    <xdr:from>
      <xdr:col>8</xdr:col>
      <xdr:colOff>567578</xdr:colOff>
      <xdr:row>9</xdr:row>
      <xdr:rowOff>170329</xdr:rowOff>
    </xdr:from>
    <xdr:to>
      <xdr:col>10</xdr:col>
      <xdr:colOff>179294</xdr:colOff>
      <xdr:row>14</xdr:row>
      <xdr:rowOff>0</xdr:rowOff>
    </xdr:to>
    <xdr:sp macro="" textlink="'pivot table'!R28">
      <xdr:nvSpPr>
        <xdr:cNvPr id="29" name="TextBox 28">
          <a:extLst>
            <a:ext uri="{FF2B5EF4-FFF2-40B4-BE49-F238E27FC236}">
              <a16:creationId xmlns:a16="http://schemas.microsoft.com/office/drawing/2014/main" id="{5FCA2546-68A6-4B7D-B2B9-C89F8D726AD2}"/>
            </a:ext>
          </a:extLst>
        </xdr:cNvPr>
        <xdr:cNvSpPr txBox="1"/>
      </xdr:nvSpPr>
      <xdr:spPr>
        <a:xfrm>
          <a:off x="5946402" y="1783976"/>
          <a:ext cx="956421" cy="726142"/>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A2D16F-3A84-49E8-BED6-F2D8A958BEFB}" type="TxLink">
            <a:rPr lang="en-US" sz="2000" b="0" i="1" u="none" strike="noStrike" baseline="0">
              <a:solidFill>
                <a:srgbClr val="000000"/>
              </a:solidFill>
              <a:latin typeface="Carlito"/>
              <a:ea typeface="+mn-ea"/>
              <a:cs typeface="+mn-cs"/>
            </a:rPr>
            <a:pPr/>
            <a:t>VS </a:t>
          </a:fld>
          <a:endParaRPr lang="en-US" sz="2800" b="1" i="1" baseline="0">
            <a:solidFill>
              <a:schemeClr val="tx1">
                <a:lumMod val="75000"/>
                <a:lumOff val="25000"/>
              </a:schemeClr>
            </a:solidFill>
            <a:latin typeface="+mn-lt"/>
            <a:ea typeface="+mn-ea"/>
            <a:cs typeface="+mn-cs"/>
          </a:endParaRPr>
        </a:p>
      </xdr:txBody>
    </xdr:sp>
    <xdr:clientData/>
  </xdr:twoCellAnchor>
  <xdr:twoCellAnchor>
    <xdr:from>
      <xdr:col>12</xdr:col>
      <xdr:colOff>293035</xdr:colOff>
      <xdr:row>4</xdr:row>
      <xdr:rowOff>129987</xdr:rowOff>
    </xdr:from>
    <xdr:to>
      <xdr:col>14</xdr:col>
      <xdr:colOff>276227</xdr:colOff>
      <xdr:row>14</xdr:row>
      <xdr:rowOff>36418</xdr:rowOff>
    </xdr:to>
    <xdr:sp macro="" textlink="">
      <xdr:nvSpPr>
        <xdr:cNvPr id="31" name="Rectangle: Rounded Corners 30">
          <a:extLst>
            <a:ext uri="{FF2B5EF4-FFF2-40B4-BE49-F238E27FC236}">
              <a16:creationId xmlns:a16="http://schemas.microsoft.com/office/drawing/2014/main" id="{59FD0550-0973-40F9-B167-F047568127B0}"/>
            </a:ext>
          </a:extLst>
        </xdr:cNvPr>
        <xdr:cNvSpPr/>
      </xdr:nvSpPr>
      <xdr:spPr>
        <a:xfrm>
          <a:off x="8294035" y="815787"/>
          <a:ext cx="1316692" cy="1620931"/>
        </a:xfrm>
        <a:prstGeom prst="roundRect">
          <a:avLst>
            <a:gd name="adj" fmla="val 7078"/>
          </a:avLst>
        </a:prstGeom>
        <a:solidFill>
          <a:schemeClr val="bg1">
            <a:lumMod val="95000"/>
          </a:schemeClr>
        </a:solidFill>
        <a:ln w="28575">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394450</xdr:colOff>
      <xdr:row>4</xdr:row>
      <xdr:rowOff>149038</xdr:rowOff>
    </xdr:from>
    <xdr:to>
      <xdr:col>14</xdr:col>
      <xdr:colOff>322732</xdr:colOff>
      <xdr:row>6</xdr:row>
      <xdr:rowOff>134470</xdr:rowOff>
    </xdr:to>
    <xdr:sp macro="" textlink="">
      <xdr:nvSpPr>
        <xdr:cNvPr id="32" name="TextBox 31">
          <a:extLst>
            <a:ext uri="{FF2B5EF4-FFF2-40B4-BE49-F238E27FC236}">
              <a16:creationId xmlns:a16="http://schemas.microsoft.com/office/drawing/2014/main" id="{80F0F89E-B0BC-4AF0-9F64-B620F4234F13}"/>
            </a:ext>
          </a:extLst>
        </xdr:cNvPr>
        <xdr:cNvSpPr txBox="1"/>
      </xdr:nvSpPr>
      <xdr:spPr>
        <a:xfrm>
          <a:off x="8462685" y="866214"/>
          <a:ext cx="1272988" cy="344021"/>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2">
                  <a:lumMod val="90000"/>
                  <a:lumOff val="10000"/>
                </a:schemeClr>
              </a:solidFill>
            </a:rPr>
            <a:t>transaction</a:t>
          </a:r>
          <a:endParaRPr lang="en-US" sz="1800" b="1">
            <a:solidFill>
              <a:schemeClr val="tx2">
                <a:lumMod val="90000"/>
                <a:lumOff val="10000"/>
              </a:schemeClr>
            </a:solidFill>
            <a:latin typeface="+mn-lt"/>
            <a:ea typeface="+mn-ea"/>
            <a:cs typeface="+mn-cs"/>
          </a:endParaRPr>
        </a:p>
      </xdr:txBody>
    </xdr:sp>
    <xdr:clientData/>
  </xdr:twoCellAnchor>
  <xdr:twoCellAnchor>
    <xdr:from>
      <xdr:col>11</xdr:col>
      <xdr:colOff>593912</xdr:colOff>
      <xdr:row>7</xdr:row>
      <xdr:rowOff>73398</xdr:rowOff>
    </xdr:from>
    <xdr:to>
      <xdr:col>15</xdr:col>
      <xdr:colOff>102535</xdr:colOff>
      <xdr:row>11</xdr:row>
      <xdr:rowOff>92448</xdr:rowOff>
    </xdr:to>
    <xdr:sp macro="" textlink="'pivot table'!D11">
      <xdr:nvSpPr>
        <xdr:cNvPr id="33" name="TextBox 32">
          <a:extLst>
            <a:ext uri="{FF2B5EF4-FFF2-40B4-BE49-F238E27FC236}">
              <a16:creationId xmlns:a16="http://schemas.microsoft.com/office/drawing/2014/main" id="{C6640840-CF7E-4B97-8723-F86B532210AF}"/>
            </a:ext>
          </a:extLst>
        </xdr:cNvPr>
        <xdr:cNvSpPr txBox="1"/>
      </xdr:nvSpPr>
      <xdr:spPr>
        <a:xfrm>
          <a:off x="7989794" y="1328457"/>
          <a:ext cx="2198035" cy="736226"/>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3B1934-2A59-409B-9064-2B6A17753468}" type="TxLink">
            <a:rPr lang="en-US" sz="4400" b="1" i="0" u="none" strike="noStrike">
              <a:solidFill>
                <a:schemeClr val="tx2">
                  <a:lumMod val="50000"/>
                  <a:lumOff val="50000"/>
                </a:schemeClr>
              </a:solidFill>
              <a:latin typeface="Carlito"/>
            </a:rPr>
            <a:pPr algn="ctr"/>
            <a:t>2801</a:t>
          </a:fld>
          <a:endParaRPr lang="en-US" sz="34400" b="1">
            <a:solidFill>
              <a:schemeClr val="tx2">
                <a:lumMod val="50000"/>
                <a:lumOff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xdr:col>
          <xdr:colOff>366432</xdr:colOff>
          <xdr:row>12</xdr:row>
          <xdr:rowOff>16809</xdr:rowOff>
        </xdr:from>
        <xdr:to>
          <xdr:col>6</xdr:col>
          <xdr:colOff>572388</xdr:colOff>
          <xdr:row>13</xdr:row>
          <xdr:rowOff>138953</xdr:rowOff>
        </xdr:to>
        <xdr:pic>
          <xdr:nvPicPr>
            <xdr:cNvPr id="40" name="Picture 39">
              <a:extLst>
                <a:ext uri="{FF2B5EF4-FFF2-40B4-BE49-F238E27FC236}">
                  <a16:creationId xmlns:a16="http://schemas.microsoft.com/office/drawing/2014/main" id="{B87D3441-4892-6604-4BE5-57C6D80EF11F}"/>
                </a:ext>
              </a:extLst>
            </xdr:cNvPr>
            <xdr:cNvPicPr>
              <a:picLocks noChangeAspect="1" noChangeArrowheads="1"/>
              <a:extLst>
                <a:ext uri="{84589F7E-364E-4C9E-8A38-B11213B215E9}">
                  <a14:cameraTool cellRange="'pivot table'!$X$26" spid="_x0000_s2409"/>
                </a:ext>
              </a:extLst>
            </xdr:cNvPicPr>
          </xdr:nvPicPr>
          <xdr:blipFill>
            <a:blip xmlns:r="http://schemas.openxmlformats.org/officeDocument/2006/relationships" r:embed="rId4"/>
            <a:srcRect/>
            <a:stretch>
              <a:fillRect/>
            </a:stretch>
          </xdr:blipFill>
          <xdr:spPr bwMode="auto">
            <a:xfrm>
              <a:off x="3728197" y="2168338"/>
              <a:ext cx="878309" cy="301439"/>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4</xdr:col>
      <xdr:colOff>437031</xdr:colOff>
      <xdr:row>12</xdr:row>
      <xdr:rowOff>47904</xdr:rowOff>
    </xdr:from>
    <xdr:to>
      <xdr:col>5</xdr:col>
      <xdr:colOff>448235</xdr:colOff>
      <xdr:row>13</xdr:row>
      <xdr:rowOff>134470</xdr:rowOff>
    </xdr:to>
    <xdr:sp macro="" textlink="">
      <xdr:nvSpPr>
        <xdr:cNvPr id="42" name="TextBox 41">
          <a:extLst>
            <a:ext uri="{FF2B5EF4-FFF2-40B4-BE49-F238E27FC236}">
              <a16:creationId xmlns:a16="http://schemas.microsoft.com/office/drawing/2014/main" id="{0854C5F1-3FB0-67F5-D44F-02BED7581ED4}"/>
            </a:ext>
          </a:extLst>
        </xdr:cNvPr>
        <xdr:cNvSpPr txBox="1"/>
      </xdr:nvSpPr>
      <xdr:spPr>
        <a:xfrm>
          <a:off x="3126443" y="2199433"/>
          <a:ext cx="683557" cy="265861"/>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tx1">
                  <a:lumMod val="75000"/>
                  <a:lumOff val="25000"/>
                </a:schemeClr>
              </a:solidFill>
              <a:latin typeface="+mn-lt"/>
              <a:ea typeface="+mn-ea"/>
              <a:cs typeface="+mn-cs"/>
            </a:rPr>
            <a:t>MOM</a:t>
          </a:r>
          <a:endParaRPr lang="en-US" sz="1100" b="1" i="1" baseline="0">
            <a:solidFill>
              <a:schemeClr val="tx1">
                <a:lumMod val="75000"/>
                <a:lumOff val="25000"/>
              </a:schemeClr>
            </a:solidFill>
            <a:latin typeface="+mn-lt"/>
            <a:ea typeface="+mn-ea"/>
            <a:cs typeface="+mn-cs"/>
          </a:endParaRPr>
        </a:p>
      </xdr:txBody>
    </xdr:sp>
    <xdr:clientData/>
  </xdr:twoCellAnchor>
  <xdr:twoCellAnchor>
    <xdr:from>
      <xdr:col>0</xdr:col>
      <xdr:colOff>277346</xdr:colOff>
      <xdr:row>12</xdr:row>
      <xdr:rowOff>54627</xdr:rowOff>
    </xdr:from>
    <xdr:to>
      <xdr:col>2</xdr:col>
      <xdr:colOff>252132</xdr:colOff>
      <xdr:row>13</xdr:row>
      <xdr:rowOff>116540</xdr:rowOff>
    </xdr:to>
    <xdr:sp macro="" textlink="">
      <xdr:nvSpPr>
        <xdr:cNvPr id="43" name="TextBox 42">
          <a:extLst>
            <a:ext uri="{FF2B5EF4-FFF2-40B4-BE49-F238E27FC236}">
              <a16:creationId xmlns:a16="http://schemas.microsoft.com/office/drawing/2014/main" id="{CB0BA1A6-7718-31AC-6064-EE12E2D45CCA}"/>
            </a:ext>
          </a:extLst>
        </xdr:cNvPr>
        <xdr:cNvSpPr txBox="1"/>
      </xdr:nvSpPr>
      <xdr:spPr>
        <a:xfrm>
          <a:off x="277346" y="2206156"/>
          <a:ext cx="1319492" cy="241208"/>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1">
              <a:solidFill>
                <a:schemeClr val="tx1">
                  <a:lumMod val="75000"/>
                  <a:lumOff val="25000"/>
                </a:schemeClr>
              </a:solidFill>
              <a:latin typeface="+mn-lt"/>
              <a:ea typeface="+mn-ea"/>
              <a:cs typeface="+mn-cs"/>
            </a:rPr>
            <a:t>MOM</a:t>
          </a:r>
          <a:r>
            <a:rPr lang="en-US" sz="1100" b="0"/>
            <a:t>Growth Rate</a:t>
          </a:r>
          <a:endParaRPr lang="en-US" sz="1100" b="0" i="1" baseline="0">
            <a:solidFill>
              <a:schemeClr val="tx1">
                <a:lumMod val="75000"/>
                <a:lumOff val="25000"/>
              </a:schemeClr>
            </a:solidFill>
            <a:latin typeface="+mn-lt"/>
            <a:ea typeface="+mn-ea"/>
            <a:cs typeface="+mn-cs"/>
          </a:endParaRPr>
        </a:p>
      </xdr:txBody>
    </xdr:sp>
    <xdr:clientData/>
  </xdr:twoCellAnchor>
  <xdr:twoCellAnchor>
    <xdr:from>
      <xdr:col>0</xdr:col>
      <xdr:colOff>222997</xdr:colOff>
      <xdr:row>14</xdr:row>
      <xdr:rowOff>121022</xdr:rowOff>
    </xdr:from>
    <xdr:to>
      <xdr:col>7</xdr:col>
      <xdr:colOff>268942</xdr:colOff>
      <xdr:row>27</xdr:row>
      <xdr:rowOff>71719</xdr:rowOff>
    </xdr:to>
    <xdr:sp macro="" textlink="">
      <xdr:nvSpPr>
        <xdr:cNvPr id="26" name="Rectangle: Rounded Corners 25">
          <a:extLst>
            <a:ext uri="{FF2B5EF4-FFF2-40B4-BE49-F238E27FC236}">
              <a16:creationId xmlns:a16="http://schemas.microsoft.com/office/drawing/2014/main" id="{A26DD751-DEB9-7FB1-817F-A4D930DD6F32}"/>
            </a:ext>
          </a:extLst>
        </xdr:cNvPr>
        <xdr:cNvSpPr/>
      </xdr:nvSpPr>
      <xdr:spPr>
        <a:xfrm>
          <a:off x="222997" y="2631140"/>
          <a:ext cx="4752416" cy="2281520"/>
        </a:xfrm>
        <a:prstGeom prst="roundRect">
          <a:avLst>
            <a:gd name="adj" fmla="val 7078"/>
          </a:avLst>
        </a:prstGeom>
        <a:solidFill>
          <a:schemeClr val="bg1">
            <a:lumMod val="95000"/>
          </a:schemeClr>
        </a:solidFill>
        <a:ln w="285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242047</xdr:colOff>
      <xdr:row>14</xdr:row>
      <xdr:rowOff>152400</xdr:rowOff>
    </xdr:from>
    <xdr:to>
      <xdr:col>7</xdr:col>
      <xdr:colOff>98611</xdr:colOff>
      <xdr:row>27</xdr:row>
      <xdr:rowOff>44825</xdr:rowOff>
    </xdr:to>
    <xdr:graphicFrame macro="">
      <xdr:nvGraphicFramePr>
        <xdr:cNvPr id="27" name="Chart 26">
          <a:extLst>
            <a:ext uri="{FF2B5EF4-FFF2-40B4-BE49-F238E27FC236}">
              <a16:creationId xmlns:a16="http://schemas.microsoft.com/office/drawing/2014/main" id="{E2FD898A-1BB9-4C66-A97E-B949DC899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222997</xdr:colOff>
      <xdr:row>27</xdr:row>
      <xdr:rowOff>165846</xdr:rowOff>
    </xdr:from>
    <xdr:to>
      <xdr:col>7</xdr:col>
      <xdr:colOff>268942</xdr:colOff>
      <xdr:row>40</xdr:row>
      <xdr:rowOff>116542</xdr:rowOff>
    </xdr:to>
    <xdr:sp macro="" textlink="">
      <xdr:nvSpPr>
        <xdr:cNvPr id="30" name="Rectangle: Rounded Corners 29">
          <a:extLst>
            <a:ext uri="{FF2B5EF4-FFF2-40B4-BE49-F238E27FC236}">
              <a16:creationId xmlns:a16="http://schemas.microsoft.com/office/drawing/2014/main" id="{ACEA20C1-0224-0ED3-CC94-83CF989587F1}"/>
            </a:ext>
          </a:extLst>
        </xdr:cNvPr>
        <xdr:cNvSpPr/>
      </xdr:nvSpPr>
      <xdr:spPr>
        <a:xfrm>
          <a:off x="222997" y="5006787"/>
          <a:ext cx="4752416" cy="2281520"/>
        </a:xfrm>
        <a:prstGeom prst="roundRect">
          <a:avLst>
            <a:gd name="adj" fmla="val 7078"/>
          </a:avLst>
        </a:prstGeom>
        <a:solidFill>
          <a:schemeClr val="bg1">
            <a:lumMod val="95000"/>
          </a:schemeClr>
        </a:solidFill>
        <a:ln w="285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233081</xdr:colOff>
      <xdr:row>27</xdr:row>
      <xdr:rowOff>153744</xdr:rowOff>
    </xdr:from>
    <xdr:to>
      <xdr:col>7</xdr:col>
      <xdr:colOff>242045</xdr:colOff>
      <xdr:row>40</xdr:row>
      <xdr:rowOff>62752</xdr:rowOff>
    </xdr:to>
    <xdr:graphicFrame macro="">
      <xdr:nvGraphicFramePr>
        <xdr:cNvPr id="37" name="Chart 36">
          <a:extLst>
            <a:ext uri="{FF2B5EF4-FFF2-40B4-BE49-F238E27FC236}">
              <a16:creationId xmlns:a16="http://schemas.microsoft.com/office/drawing/2014/main" id="{28831434-52E0-F810-6B6A-3BA661007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393328</xdr:colOff>
      <xdr:row>14</xdr:row>
      <xdr:rowOff>143435</xdr:rowOff>
    </xdr:from>
    <xdr:to>
      <xdr:col>14</xdr:col>
      <xdr:colOff>385483</xdr:colOff>
      <xdr:row>23</xdr:row>
      <xdr:rowOff>0</xdr:rowOff>
    </xdr:to>
    <xdr:sp macro="" textlink="">
      <xdr:nvSpPr>
        <xdr:cNvPr id="38" name="Rectangle: Rounded Corners 37">
          <a:extLst>
            <a:ext uri="{FF2B5EF4-FFF2-40B4-BE49-F238E27FC236}">
              <a16:creationId xmlns:a16="http://schemas.microsoft.com/office/drawing/2014/main" id="{8A699706-BBF0-EE75-C92E-E2B39673BEF0}"/>
            </a:ext>
          </a:extLst>
        </xdr:cNvPr>
        <xdr:cNvSpPr/>
      </xdr:nvSpPr>
      <xdr:spPr>
        <a:xfrm>
          <a:off x="5099799" y="2653553"/>
          <a:ext cx="4698625" cy="1470212"/>
        </a:xfrm>
        <a:prstGeom prst="roundRect">
          <a:avLst>
            <a:gd name="adj" fmla="val 7078"/>
          </a:avLst>
        </a:prstGeom>
        <a:solidFill>
          <a:schemeClr val="bg1">
            <a:lumMod val="95000"/>
          </a:schemeClr>
        </a:solidFill>
        <a:ln w="285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357468</xdr:colOff>
      <xdr:row>23</xdr:row>
      <xdr:rowOff>44823</xdr:rowOff>
    </xdr:from>
    <xdr:to>
      <xdr:col>14</xdr:col>
      <xdr:colOff>477370</xdr:colOff>
      <xdr:row>40</xdr:row>
      <xdr:rowOff>107576</xdr:rowOff>
    </xdr:to>
    <xdr:grpSp>
      <xdr:nvGrpSpPr>
        <xdr:cNvPr id="61" name="Group 60">
          <a:extLst>
            <a:ext uri="{FF2B5EF4-FFF2-40B4-BE49-F238E27FC236}">
              <a16:creationId xmlns:a16="http://schemas.microsoft.com/office/drawing/2014/main" id="{316719DE-837A-0011-D915-0EAFE31B6CE5}"/>
            </a:ext>
          </a:extLst>
        </xdr:cNvPr>
        <xdr:cNvGrpSpPr/>
      </xdr:nvGrpSpPr>
      <xdr:grpSpPr>
        <a:xfrm>
          <a:off x="5051388" y="4017383"/>
          <a:ext cx="4813822" cy="2998993"/>
          <a:chOff x="5024718" y="3988173"/>
          <a:chExt cx="4787152" cy="2977403"/>
        </a:xfrm>
      </xdr:grpSpPr>
      <xdr:sp macro="" textlink="">
        <xdr:nvSpPr>
          <xdr:cNvPr id="36" name="Rectangle: Rounded Corners 35">
            <a:extLst>
              <a:ext uri="{FF2B5EF4-FFF2-40B4-BE49-F238E27FC236}">
                <a16:creationId xmlns:a16="http://schemas.microsoft.com/office/drawing/2014/main" id="{464F1982-E51C-44EC-203F-6DDF5D10F3C3}"/>
              </a:ext>
            </a:extLst>
          </xdr:cNvPr>
          <xdr:cNvSpPr/>
        </xdr:nvSpPr>
        <xdr:spPr>
          <a:xfrm>
            <a:off x="5024718" y="4024032"/>
            <a:ext cx="4713196" cy="2941544"/>
          </a:xfrm>
          <a:prstGeom prst="roundRect">
            <a:avLst>
              <a:gd name="adj" fmla="val 7078"/>
            </a:avLst>
          </a:prstGeom>
          <a:solidFill>
            <a:schemeClr val="bg1">
              <a:lumMod val="95000"/>
            </a:schemeClr>
          </a:solidFill>
          <a:ln w="285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2174AB17-EB89-69B8-5D59-7F2A1547A5C6}"/>
              </a:ext>
            </a:extLst>
          </xdr:cNvPr>
          <xdr:cNvGraphicFramePr>
            <a:graphicFrameLocks/>
          </xdr:cNvGraphicFramePr>
        </xdr:nvGraphicFramePr>
        <xdr:xfrm>
          <a:off x="5088590" y="3988173"/>
          <a:ext cx="4723280" cy="295050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7</xdr:col>
      <xdr:colOff>509869</xdr:colOff>
      <xdr:row>16</xdr:row>
      <xdr:rowOff>152400</xdr:rowOff>
    </xdr:from>
    <xdr:to>
      <xdr:col>9</xdr:col>
      <xdr:colOff>546847</xdr:colOff>
      <xdr:row>22</xdr:row>
      <xdr:rowOff>80682</xdr:rowOff>
    </xdr:to>
    <xdr:sp macro="" textlink="">
      <xdr:nvSpPr>
        <xdr:cNvPr id="41" name="Rectangle: Rounded Corners 40">
          <a:extLst>
            <a:ext uri="{FF2B5EF4-FFF2-40B4-BE49-F238E27FC236}">
              <a16:creationId xmlns:a16="http://schemas.microsoft.com/office/drawing/2014/main" id="{86A87AB4-0384-AB62-C8D3-F7AAC65E1F9A}"/>
            </a:ext>
          </a:extLst>
        </xdr:cNvPr>
        <xdr:cNvSpPr/>
      </xdr:nvSpPr>
      <xdr:spPr>
        <a:xfrm>
          <a:off x="5216340" y="3021106"/>
          <a:ext cx="1381683" cy="1004047"/>
        </a:xfrm>
        <a:prstGeom prst="roundRect">
          <a:avLst>
            <a:gd name="adj" fmla="val 7078"/>
          </a:avLst>
        </a:prstGeom>
        <a:solidFill>
          <a:srgbClr val="FF0000">
            <a:alpha val="20000"/>
          </a:srgbClr>
        </a:solidFill>
        <a:ln w="28575">
          <a:solidFill>
            <a:srgbClr val="FF0000">
              <a:alpha val="12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25775</xdr:colOff>
      <xdr:row>16</xdr:row>
      <xdr:rowOff>161365</xdr:rowOff>
    </xdr:from>
    <xdr:to>
      <xdr:col>12</xdr:col>
      <xdr:colOff>62752</xdr:colOff>
      <xdr:row>22</xdr:row>
      <xdr:rowOff>89647</xdr:rowOff>
    </xdr:to>
    <xdr:sp macro="" textlink="">
      <xdr:nvSpPr>
        <xdr:cNvPr id="44" name="Rectangle: Rounded Corners 43">
          <a:extLst>
            <a:ext uri="{FF2B5EF4-FFF2-40B4-BE49-F238E27FC236}">
              <a16:creationId xmlns:a16="http://schemas.microsoft.com/office/drawing/2014/main" id="{0058D761-9FC3-C053-CB3E-C6DAF96916F2}"/>
            </a:ext>
          </a:extLst>
        </xdr:cNvPr>
        <xdr:cNvSpPr/>
      </xdr:nvSpPr>
      <xdr:spPr>
        <a:xfrm>
          <a:off x="6749304" y="3030071"/>
          <a:ext cx="1381683" cy="1004047"/>
        </a:xfrm>
        <a:prstGeom prst="roundRect">
          <a:avLst>
            <a:gd name="adj" fmla="val 7078"/>
          </a:avLst>
        </a:prstGeom>
        <a:solidFill>
          <a:srgbClr val="00B050">
            <a:alpha val="20000"/>
          </a:srgbClr>
        </a:solidFill>
        <a:ln w="28575">
          <a:solidFill>
            <a:srgbClr val="00B050">
              <a:alpha val="12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178175</xdr:colOff>
      <xdr:row>16</xdr:row>
      <xdr:rowOff>161365</xdr:rowOff>
    </xdr:from>
    <xdr:to>
      <xdr:col>14</xdr:col>
      <xdr:colOff>215152</xdr:colOff>
      <xdr:row>22</xdr:row>
      <xdr:rowOff>89647</xdr:rowOff>
    </xdr:to>
    <xdr:sp macro="" textlink="">
      <xdr:nvSpPr>
        <xdr:cNvPr id="45" name="Rectangle: Rounded Corners 44">
          <a:extLst>
            <a:ext uri="{FF2B5EF4-FFF2-40B4-BE49-F238E27FC236}">
              <a16:creationId xmlns:a16="http://schemas.microsoft.com/office/drawing/2014/main" id="{E8F54AAA-EF94-7A0D-395B-234BCFFFCB81}"/>
            </a:ext>
          </a:extLst>
        </xdr:cNvPr>
        <xdr:cNvSpPr/>
      </xdr:nvSpPr>
      <xdr:spPr>
        <a:xfrm>
          <a:off x="8246410" y="3030071"/>
          <a:ext cx="1381683" cy="1004047"/>
        </a:xfrm>
        <a:prstGeom prst="roundRect">
          <a:avLst>
            <a:gd name="adj" fmla="val 7078"/>
          </a:avLst>
        </a:prstGeom>
        <a:solidFill>
          <a:srgbClr val="FFC000">
            <a:alpha val="20000"/>
          </a:srgbClr>
        </a:solidFill>
        <a:ln w="28575">
          <a:solidFill>
            <a:srgbClr val="FFC000">
              <a:alpha val="12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440951</xdr:colOff>
      <xdr:row>14</xdr:row>
      <xdr:rowOff>131669</xdr:rowOff>
    </xdr:from>
    <xdr:to>
      <xdr:col>11</xdr:col>
      <xdr:colOff>322730</xdr:colOff>
      <xdr:row>16</xdr:row>
      <xdr:rowOff>107577</xdr:rowOff>
    </xdr:to>
    <xdr:sp macro="" textlink="">
      <xdr:nvSpPr>
        <xdr:cNvPr id="47" name="TextBox 46">
          <a:extLst>
            <a:ext uri="{FF2B5EF4-FFF2-40B4-BE49-F238E27FC236}">
              <a16:creationId xmlns:a16="http://schemas.microsoft.com/office/drawing/2014/main" id="{579C2C79-542B-3AF6-FDE7-1B07CEC30514}"/>
            </a:ext>
          </a:extLst>
        </xdr:cNvPr>
        <xdr:cNvSpPr txBox="1"/>
      </xdr:nvSpPr>
      <xdr:spPr>
        <a:xfrm>
          <a:off x="5147422" y="2641787"/>
          <a:ext cx="2571190" cy="334496"/>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tx2">
                  <a:lumMod val="90000"/>
                  <a:lumOff val="10000"/>
                </a:schemeClr>
              </a:solidFill>
            </a:rPr>
            <a:t>Inventory status</a:t>
          </a:r>
          <a:endParaRPr lang="en-US" sz="1800" b="0">
            <a:solidFill>
              <a:schemeClr val="tx2">
                <a:lumMod val="90000"/>
                <a:lumOff val="10000"/>
              </a:schemeClr>
            </a:solidFill>
            <a:latin typeface="+mn-lt"/>
            <a:ea typeface="+mn-ea"/>
            <a:cs typeface="+mn-cs"/>
          </a:endParaRPr>
        </a:p>
      </xdr:txBody>
    </xdr:sp>
    <xdr:clientData/>
  </xdr:twoCellAnchor>
  <xdr:twoCellAnchor>
    <xdr:from>
      <xdr:col>7</xdr:col>
      <xdr:colOff>575422</xdr:colOff>
      <xdr:row>20</xdr:row>
      <xdr:rowOff>140634</xdr:rowOff>
    </xdr:from>
    <xdr:to>
      <xdr:col>9</xdr:col>
      <xdr:colOff>502024</xdr:colOff>
      <xdr:row>22</xdr:row>
      <xdr:rowOff>62752</xdr:rowOff>
    </xdr:to>
    <xdr:sp macro="" textlink="">
      <xdr:nvSpPr>
        <xdr:cNvPr id="48" name="TextBox 47">
          <a:extLst>
            <a:ext uri="{FF2B5EF4-FFF2-40B4-BE49-F238E27FC236}">
              <a16:creationId xmlns:a16="http://schemas.microsoft.com/office/drawing/2014/main" id="{7B80762A-F317-A23F-5261-59D17F0D9C69}"/>
            </a:ext>
          </a:extLst>
        </xdr:cNvPr>
        <xdr:cNvSpPr txBox="1"/>
      </xdr:nvSpPr>
      <xdr:spPr>
        <a:xfrm>
          <a:off x="5281893" y="3726516"/>
          <a:ext cx="1271307" cy="280707"/>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tx2">
                  <a:lumMod val="90000"/>
                  <a:lumOff val="10000"/>
                </a:schemeClr>
              </a:solidFill>
              <a:latin typeface="+mn-lt"/>
              <a:ea typeface="+mn-ea"/>
              <a:cs typeface="+mn-cs"/>
            </a:rPr>
            <a:t>UnderStocked</a:t>
          </a:r>
        </a:p>
      </xdr:txBody>
    </xdr:sp>
    <xdr:clientData/>
  </xdr:twoCellAnchor>
  <xdr:twoCellAnchor>
    <xdr:from>
      <xdr:col>12</xdr:col>
      <xdr:colOff>252693</xdr:colOff>
      <xdr:row>20</xdr:row>
      <xdr:rowOff>131670</xdr:rowOff>
    </xdr:from>
    <xdr:to>
      <xdr:col>14</xdr:col>
      <xdr:colOff>179294</xdr:colOff>
      <xdr:row>22</xdr:row>
      <xdr:rowOff>53788</xdr:rowOff>
    </xdr:to>
    <xdr:sp macro="" textlink="">
      <xdr:nvSpPr>
        <xdr:cNvPr id="50" name="TextBox 49">
          <a:extLst>
            <a:ext uri="{FF2B5EF4-FFF2-40B4-BE49-F238E27FC236}">
              <a16:creationId xmlns:a16="http://schemas.microsoft.com/office/drawing/2014/main" id="{2F53D574-82E0-BD25-3750-3D4B836FB1F5}"/>
            </a:ext>
          </a:extLst>
        </xdr:cNvPr>
        <xdr:cNvSpPr txBox="1"/>
      </xdr:nvSpPr>
      <xdr:spPr>
        <a:xfrm>
          <a:off x="8320928" y="3717552"/>
          <a:ext cx="1271307" cy="280707"/>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tx2">
                  <a:lumMod val="90000"/>
                  <a:lumOff val="10000"/>
                </a:schemeClr>
              </a:solidFill>
              <a:latin typeface="+mn-lt"/>
              <a:ea typeface="+mn-ea"/>
              <a:cs typeface="+mn-cs"/>
            </a:rPr>
            <a:t>OverStocked</a:t>
          </a:r>
        </a:p>
      </xdr:txBody>
    </xdr:sp>
    <xdr:clientData/>
  </xdr:twoCellAnchor>
  <xdr:twoCellAnchor>
    <xdr:from>
      <xdr:col>10</xdr:col>
      <xdr:colOff>100294</xdr:colOff>
      <xdr:row>20</xdr:row>
      <xdr:rowOff>140634</xdr:rowOff>
    </xdr:from>
    <xdr:to>
      <xdr:col>12</xdr:col>
      <xdr:colOff>26895</xdr:colOff>
      <xdr:row>22</xdr:row>
      <xdr:rowOff>62752</xdr:rowOff>
    </xdr:to>
    <xdr:sp macro="" textlink="">
      <xdr:nvSpPr>
        <xdr:cNvPr id="51" name="TextBox 50">
          <a:extLst>
            <a:ext uri="{FF2B5EF4-FFF2-40B4-BE49-F238E27FC236}">
              <a16:creationId xmlns:a16="http://schemas.microsoft.com/office/drawing/2014/main" id="{01AAD47E-B998-633C-842A-0B21E007A8E3}"/>
            </a:ext>
          </a:extLst>
        </xdr:cNvPr>
        <xdr:cNvSpPr txBox="1"/>
      </xdr:nvSpPr>
      <xdr:spPr>
        <a:xfrm>
          <a:off x="6823823" y="3726516"/>
          <a:ext cx="1271307" cy="280707"/>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solidFill>
                <a:schemeClr val="tx2">
                  <a:lumMod val="90000"/>
                  <a:lumOff val="10000"/>
                </a:schemeClr>
              </a:solidFill>
              <a:latin typeface="+mn-lt"/>
              <a:ea typeface="+mn-ea"/>
              <a:cs typeface="+mn-cs"/>
            </a:rPr>
            <a:t>Health</a:t>
          </a:r>
        </a:p>
      </xdr:txBody>
    </xdr:sp>
    <xdr:clientData/>
  </xdr:twoCellAnchor>
  <xdr:twoCellAnchor>
    <xdr:from>
      <xdr:col>8</xdr:col>
      <xdr:colOff>71718</xdr:colOff>
      <xdr:row>17</xdr:row>
      <xdr:rowOff>35857</xdr:rowOff>
    </xdr:from>
    <xdr:to>
      <xdr:col>9</xdr:col>
      <xdr:colOff>304801</xdr:colOff>
      <xdr:row>20</xdr:row>
      <xdr:rowOff>134471</xdr:rowOff>
    </xdr:to>
    <xdr:sp macro="" textlink="'pivot table'!BD7">
      <xdr:nvSpPr>
        <xdr:cNvPr id="52" name="TextBox 51">
          <a:extLst>
            <a:ext uri="{FF2B5EF4-FFF2-40B4-BE49-F238E27FC236}">
              <a16:creationId xmlns:a16="http://schemas.microsoft.com/office/drawing/2014/main" id="{9737A676-EAD6-696A-0146-344B4707D625}"/>
            </a:ext>
          </a:extLst>
        </xdr:cNvPr>
        <xdr:cNvSpPr txBox="1"/>
      </xdr:nvSpPr>
      <xdr:spPr>
        <a:xfrm>
          <a:off x="5450542" y="3083857"/>
          <a:ext cx="905435" cy="636496"/>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4B5612-5C61-4DD7-B726-A0BE3422DD02}" type="TxLink">
            <a:rPr lang="en-US" sz="4000" b="1" i="0" u="none" strike="noStrike">
              <a:solidFill>
                <a:srgbClr val="D60000"/>
              </a:solidFill>
              <a:latin typeface="Carlito"/>
              <a:ea typeface="+mn-ea"/>
              <a:cs typeface="+mn-cs"/>
            </a:rPr>
            <a:pPr algn="ctr"/>
            <a:t>9</a:t>
          </a:fld>
          <a:endParaRPr lang="en-US" sz="4800" b="1">
            <a:solidFill>
              <a:srgbClr val="D60000"/>
            </a:solidFill>
            <a:latin typeface="+mn-lt"/>
            <a:ea typeface="+mn-ea"/>
            <a:cs typeface="+mn-cs"/>
          </a:endParaRPr>
        </a:p>
      </xdr:txBody>
    </xdr:sp>
    <xdr:clientData/>
  </xdr:twoCellAnchor>
  <xdr:twoCellAnchor>
    <xdr:from>
      <xdr:col>12</xdr:col>
      <xdr:colOff>439271</xdr:colOff>
      <xdr:row>17</xdr:row>
      <xdr:rowOff>76201</xdr:rowOff>
    </xdr:from>
    <xdr:to>
      <xdr:col>13</xdr:col>
      <xdr:colOff>618565</xdr:colOff>
      <xdr:row>20</xdr:row>
      <xdr:rowOff>129989</xdr:rowOff>
    </xdr:to>
    <xdr:sp macro="" textlink="'pivot table'!BD6">
      <xdr:nvSpPr>
        <xdr:cNvPr id="53" name="TextBox 52">
          <a:extLst>
            <a:ext uri="{FF2B5EF4-FFF2-40B4-BE49-F238E27FC236}">
              <a16:creationId xmlns:a16="http://schemas.microsoft.com/office/drawing/2014/main" id="{13D306EE-7949-3D10-36FE-87536CEA18D3}"/>
            </a:ext>
          </a:extLst>
        </xdr:cNvPr>
        <xdr:cNvSpPr txBox="1"/>
      </xdr:nvSpPr>
      <xdr:spPr>
        <a:xfrm>
          <a:off x="8507506" y="3124201"/>
          <a:ext cx="851647" cy="591670"/>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1D11E54-CAC0-4427-B00E-A0750F2E1DCF}" type="TxLink">
            <a:rPr lang="en-US" sz="4000" b="1" i="0" u="none" strike="noStrike">
              <a:solidFill>
                <a:srgbClr val="A8A400"/>
              </a:solidFill>
              <a:latin typeface="Carlito"/>
              <a:ea typeface="+mn-ea"/>
              <a:cs typeface="+mn-cs"/>
            </a:rPr>
            <a:pPr marL="0" indent="0" algn="ctr"/>
            <a:t>4</a:t>
          </a:fld>
          <a:endParaRPr lang="en-US" sz="4000" b="1" i="0" u="none" strike="noStrike">
            <a:solidFill>
              <a:srgbClr val="A8A400"/>
            </a:solidFill>
            <a:latin typeface="Carlito"/>
            <a:ea typeface="+mn-ea"/>
            <a:cs typeface="+mn-cs"/>
          </a:endParaRPr>
        </a:p>
      </xdr:txBody>
    </xdr:sp>
    <xdr:clientData/>
  </xdr:twoCellAnchor>
  <xdr:twoCellAnchor>
    <xdr:from>
      <xdr:col>10</xdr:col>
      <xdr:colOff>257736</xdr:colOff>
      <xdr:row>17</xdr:row>
      <xdr:rowOff>71718</xdr:rowOff>
    </xdr:from>
    <xdr:to>
      <xdr:col>11</xdr:col>
      <xdr:colOff>486336</xdr:colOff>
      <xdr:row>20</xdr:row>
      <xdr:rowOff>134471</xdr:rowOff>
    </xdr:to>
    <xdr:sp macro="" textlink="'pivot table'!BD5">
      <xdr:nvSpPr>
        <xdr:cNvPr id="54" name="TextBox 53">
          <a:extLst>
            <a:ext uri="{FF2B5EF4-FFF2-40B4-BE49-F238E27FC236}">
              <a16:creationId xmlns:a16="http://schemas.microsoft.com/office/drawing/2014/main" id="{5052B56C-0AF1-3900-6EAA-3D9363905521}"/>
            </a:ext>
          </a:extLst>
        </xdr:cNvPr>
        <xdr:cNvSpPr txBox="1"/>
      </xdr:nvSpPr>
      <xdr:spPr>
        <a:xfrm>
          <a:off x="6981265" y="3119718"/>
          <a:ext cx="900953" cy="600635"/>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815E58F-0DD6-4E3C-AF83-C0C8A3F57C53}" type="TxLink">
            <a:rPr lang="en-US" sz="4000" b="1" i="0" u="none" strike="noStrike">
              <a:solidFill>
                <a:srgbClr val="00B050"/>
              </a:solidFill>
              <a:latin typeface="Carlito"/>
              <a:ea typeface="+mn-ea"/>
              <a:cs typeface="+mn-cs"/>
            </a:rPr>
            <a:pPr marL="0" indent="0" algn="ctr"/>
            <a:t>11</a:t>
          </a:fld>
          <a:endParaRPr lang="en-US" sz="4000" b="1" i="0" u="none" strike="noStrike">
            <a:solidFill>
              <a:srgbClr val="00B050"/>
            </a:solidFill>
            <a:latin typeface="Carlito"/>
            <a:ea typeface="+mn-ea"/>
            <a:cs typeface="+mn-cs"/>
          </a:endParaRPr>
        </a:p>
      </xdr:txBody>
    </xdr:sp>
    <xdr:clientData/>
  </xdr:twoCellAnchor>
  <xdr:twoCellAnchor>
    <xdr:from>
      <xdr:col>11</xdr:col>
      <xdr:colOff>602316</xdr:colOff>
      <xdr:row>14</xdr:row>
      <xdr:rowOff>176493</xdr:rowOff>
    </xdr:from>
    <xdr:to>
      <xdr:col>14</xdr:col>
      <xdr:colOff>277906</xdr:colOff>
      <xdr:row>16</xdr:row>
      <xdr:rowOff>116542</xdr:rowOff>
    </xdr:to>
    <xdr:sp macro="" textlink="">
      <xdr:nvSpPr>
        <xdr:cNvPr id="55" name="TextBox 54">
          <a:hlinkClick xmlns:r="http://schemas.openxmlformats.org/officeDocument/2006/relationships" r:id="rId8"/>
          <a:extLst>
            <a:ext uri="{FF2B5EF4-FFF2-40B4-BE49-F238E27FC236}">
              <a16:creationId xmlns:a16="http://schemas.microsoft.com/office/drawing/2014/main" id="{F899730A-52BA-4DD2-97FB-A61CEF0AF614}"/>
            </a:ext>
          </a:extLst>
        </xdr:cNvPr>
        <xdr:cNvSpPr txBox="1"/>
      </xdr:nvSpPr>
      <xdr:spPr>
        <a:xfrm>
          <a:off x="7998198" y="2686611"/>
          <a:ext cx="1692649" cy="298637"/>
        </a:xfrm>
        <a:prstGeom prst="rect">
          <a:avLst/>
        </a:prstGeom>
        <a:noFill/>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1">
                  <a:lumMod val="75000"/>
                </a:schemeClr>
              </a:solidFill>
            </a:rPr>
            <a:t>click</a:t>
          </a:r>
          <a:r>
            <a:rPr lang="en-US" sz="1400" b="0" baseline="0">
              <a:solidFill>
                <a:schemeClr val="accent1">
                  <a:lumMod val="75000"/>
                </a:schemeClr>
              </a:solidFill>
            </a:rPr>
            <a:t> to show details</a:t>
          </a:r>
          <a:endParaRPr lang="en-US" sz="1400" b="0">
            <a:solidFill>
              <a:schemeClr val="accent1">
                <a:lumMod val="75000"/>
              </a:schemeClr>
            </a:solidFill>
            <a:latin typeface="+mn-lt"/>
            <a:ea typeface="+mn-ea"/>
            <a:cs typeface="+mn-cs"/>
          </a:endParaRPr>
        </a:p>
      </xdr:txBody>
    </xdr:sp>
    <xdr:clientData/>
  </xdr:twoCellAnchor>
  <xdr:twoCellAnchor>
    <xdr:from>
      <xdr:col>14</xdr:col>
      <xdr:colOff>511549</xdr:colOff>
      <xdr:row>23</xdr:row>
      <xdr:rowOff>133350</xdr:rowOff>
    </xdr:from>
    <xdr:to>
      <xdr:col>22</xdr:col>
      <xdr:colOff>533400</xdr:colOff>
      <xdr:row>40</xdr:row>
      <xdr:rowOff>142876</xdr:rowOff>
    </xdr:to>
    <xdr:sp macro="" textlink="">
      <xdr:nvSpPr>
        <xdr:cNvPr id="35" name="Rectangle: Rounded Corners 34">
          <a:extLst>
            <a:ext uri="{FF2B5EF4-FFF2-40B4-BE49-F238E27FC236}">
              <a16:creationId xmlns:a16="http://schemas.microsoft.com/office/drawing/2014/main" id="{9B7EF2FA-39EC-DC2E-3081-78CE2A926C1E}"/>
            </a:ext>
          </a:extLst>
        </xdr:cNvPr>
        <xdr:cNvSpPr/>
      </xdr:nvSpPr>
      <xdr:spPr>
        <a:xfrm>
          <a:off x="9846049" y="4076700"/>
          <a:ext cx="5355851" cy="2924176"/>
        </a:xfrm>
        <a:prstGeom prst="roundRect">
          <a:avLst>
            <a:gd name="adj" fmla="val 7078"/>
          </a:avLst>
        </a:prstGeom>
        <a:solidFill>
          <a:schemeClr val="bg1">
            <a:lumMod val="95000"/>
          </a:schemeClr>
        </a:solidFill>
        <a:ln w="285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559174</xdr:colOff>
      <xdr:row>23</xdr:row>
      <xdr:rowOff>162485</xdr:rowOff>
    </xdr:from>
    <xdr:to>
      <xdr:col>22</xdr:col>
      <xdr:colOff>495299</xdr:colOff>
      <xdr:row>40</xdr:row>
      <xdr:rowOff>117661</xdr:rowOff>
    </xdr:to>
    <xdr:grpSp>
      <xdr:nvGrpSpPr>
        <xdr:cNvPr id="57" name="Group 56">
          <a:extLst>
            <a:ext uri="{FF2B5EF4-FFF2-40B4-BE49-F238E27FC236}">
              <a16:creationId xmlns:a16="http://schemas.microsoft.com/office/drawing/2014/main" id="{39AD90E2-990E-80F1-C187-831E7F914B31}"/>
            </a:ext>
          </a:extLst>
        </xdr:cNvPr>
        <xdr:cNvGrpSpPr/>
      </xdr:nvGrpSpPr>
      <xdr:grpSpPr>
        <a:xfrm>
          <a:off x="9947014" y="4135045"/>
          <a:ext cx="5300605" cy="2891416"/>
          <a:chOff x="9836524" y="4086785"/>
          <a:chExt cx="5270125" cy="2869826"/>
        </a:xfrm>
      </xdr:grpSpPr>
      <xdr:grpSp>
        <xdr:nvGrpSpPr>
          <xdr:cNvPr id="56" name="Group 55">
            <a:extLst>
              <a:ext uri="{FF2B5EF4-FFF2-40B4-BE49-F238E27FC236}">
                <a16:creationId xmlns:a16="http://schemas.microsoft.com/office/drawing/2014/main" id="{5DDFD49D-82B6-6F3A-A042-9C31FE96CAA1}"/>
              </a:ext>
            </a:extLst>
          </xdr:cNvPr>
          <xdr:cNvGrpSpPr/>
        </xdr:nvGrpSpPr>
        <xdr:grpSpPr>
          <a:xfrm>
            <a:off x="9836524" y="4086785"/>
            <a:ext cx="5270125" cy="2869826"/>
            <a:chOff x="9836524" y="4086785"/>
            <a:chExt cx="5270125" cy="2869826"/>
          </a:xfrm>
        </xdr:grpSpPr>
        <xdr:graphicFrame macro="">
          <xdr:nvGraphicFramePr>
            <xdr:cNvPr id="46" name="Chart 45">
              <a:extLst>
                <a:ext uri="{FF2B5EF4-FFF2-40B4-BE49-F238E27FC236}">
                  <a16:creationId xmlns:a16="http://schemas.microsoft.com/office/drawing/2014/main" id="{53644B23-901B-A7F6-DFD8-709257767CAE}"/>
                </a:ext>
              </a:extLst>
            </xdr:cNvPr>
            <xdr:cNvGraphicFramePr>
              <a:graphicFrameLocks/>
            </xdr:cNvGraphicFramePr>
          </xdr:nvGraphicFramePr>
          <xdr:xfrm>
            <a:off x="9836524" y="4086785"/>
            <a:ext cx="5270125" cy="2869826"/>
          </xdr:xfrm>
          <a:graphic>
            <a:graphicData uri="http://schemas.openxmlformats.org/drawingml/2006/chart">
              <c:chart xmlns:c="http://schemas.openxmlformats.org/drawingml/2006/chart" xmlns:r="http://schemas.openxmlformats.org/officeDocument/2006/relationships" r:id="rId9"/>
            </a:graphicData>
          </a:graphic>
        </xdr:graphicFrame>
        <xdr:cxnSp macro="">
          <xdr:nvCxnSpPr>
            <xdr:cNvPr id="34" name="Straight Connector 33">
              <a:extLst>
                <a:ext uri="{FF2B5EF4-FFF2-40B4-BE49-F238E27FC236}">
                  <a16:creationId xmlns:a16="http://schemas.microsoft.com/office/drawing/2014/main" id="{9FEE76A7-5CAB-936D-9E4D-F47A84FA56F8}"/>
                </a:ext>
              </a:extLst>
            </xdr:cNvPr>
            <xdr:cNvCxnSpPr/>
          </xdr:nvCxnSpPr>
          <xdr:spPr>
            <a:xfrm>
              <a:off x="10220325" y="5438775"/>
              <a:ext cx="459105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58" name="Straight Connector 57">
              <a:extLst>
                <a:ext uri="{FF2B5EF4-FFF2-40B4-BE49-F238E27FC236}">
                  <a16:creationId xmlns:a16="http://schemas.microsoft.com/office/drawing/2014/main" id="{51580BA2-2411-0BE8-5CF6-946E28F9FD90}"/>
                </a:ext>
              </a:extLst>
            </xdr:cNvPr>
            <xdr:cNvCxnSpPr/>
          </xdr:nvCxnSpPr>
          <xdr:spPr>
            <a:xfrm flipV="1">
              <a:off x="11696700" y="4371975"/>
              <a:ext cx="9525" cy="1990725"/>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sp macro="" textlink="'pivot table'!CM73">
        <xdr:nvSpPr>
          <xdr:cNvPr id="59" name="TextBox 58">
            <a:extLst>
              <a:ext uri="{FF2B5EF4-FFF2-40B4-BE49-F238E27FC236}">
                <a16:creationId xmlns:a16="http://schemas.microsoft.com/office/drawing/2014/main" id="{3BE7CC50-DFD5-738B-055D-ABA5869EBB35}"/>
              </a:ext>
            </a:extLst>
          </xdr:cNvPr>
          <xdr:cNvSpPr txBox="1"/>
        </xdr:nvSpPr>
        <xdr:spPr>
          <a:xfrm>
            <a:off x="13849350" y="4281487"/>
            <a:ext cx="1200150" cy="23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ln>
                  <a:noFill/>
                </a:ln>
                <a:solidFill>
                  <a:schemeClr val="tx1">
                    <a:lumMod val="95000"/>
                    <a:lumOff val="5000"/>
                  </a:schemeClr>
                </a:solidFill>
                <a:latin typeface="Carlito"/>
              </a:rPr>
              <a:t>Avrege</a:t>
            </a:r>
            <a:r>
              <a:rPr lang="en-US" sz="1000" b="0" i="0" u="none" strike="noStrike" baseline="0">
                <a:ln>
                  <a:noFill/>
                </a:ln>
                <a:solidFill>
                  <a:schemeClr val="tx1">
                    <a:lumMod val="95000"/>
                    <a:lumOff val="5000"/>
                  </a:schemeClr>
                </a:solidFill>
                <a:latin typeface="Carlito"/>
              </a:rPr>
              <a:t> X:</a:t>
            </a:r>
            <a:fld id="{49BD57E7-D807-4670-A583-85DE9CA3B87B}" type="TxLink">
              <a:rPr lang="en-US" sz="1000" b="0" i="0" u="none" strike="noStrike">
                <a:ln>
                  <a:noFill/>
                </a:ln>
                <a:solidFill>
                  <a:schemeClr val="tx1">
                    <a:lumMod val="95000"/>
                    <a:lumOff val="5000"/>
                  </a:schemeClr>
                </a:solidFill>
                <a:latin typeface="Carlito"/>
              </a:rPr>
              <a:pPr/>
              <a:t>1.66M</a:t>
            </a:fld>
            <a:endParaRPr lang="en-US" sz="1000" i="0">
              <a:ln>
                <a:noFill/>
              </a:ln>
              <a:solidFill>
                <a:schemeClr val="tx1">
                  <a:lumMod val="95000"/>
                  <a:lumOff val="5000"/>
                </a:schemeClr>
              </a:solidFill>
            </a:endParaRPr>
          </a:p>
        </xdr:txBody>
      </xdr:sp>
      <xdr:sp macro="" textlink="'pivot table'!CM74">
        <xdr:nvSpPr>
          <xdr:cNvPr id="60" name="TextBox 59">
            <a:extLst>
              <a:ext uri="{FF2B5EF4-FFF2-40B4-BE49-F238E27FC236}">
                <a16:creationId xmlns:a16="http://schemas.microsoft.com/office/drawing/2014/main" id="{421F1EDD-DDC5-55E4-E892-1C9203A17A50}"/>
              </a:ext>
            </a:extLst>
          </xdr:cNvPr>
          <xdr:cNvSpPr txBox="1"/>
        </xdr:nvSpPr>
        <xdr:spPr>
          <a:xfrm>
            <a:off x="12701590" y="4274341"/>
            <a:ext cx="1157286" cy="230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ln>
                  <a:noFill/>
                </a:ln>
                <a:solidFill>
                  <a:srgbClr val="000000"/>
                </a:solidFill>
                <a:latin typeface="Carlito"/>
              </a:rPr>
              <a:t>Avrege Y</a:t>
            </a:r>
            <a:r>
              <a:rPr lang="en-US" sz="1000" b="0" i="0" u="none" strike="noStrike" baseline="0">
                <a:ln>
                  <a:noFill/>
                </a:ln>
                <a:solidFill>
                  <a:srgbClr val="000000"/>
                </a:solidFill>
                <a:latin typeface="Carlito"/>
              </a:rPr>
              <a:t> </a:t>
            </a:r>
            <a:r>
              <a:rPr lang="en-US" sz="1000" b="0" i="0" u="none" strike="noStrike">
                <a:ln>
                  <a:noFill/>
                </a:ln>
                <a:solidFill>
                  <a:srgbClr val="000000"/>
                </a:solidFill>
                <a:latin typeface="Carlito"/>
              </a:rPr>
              <a:t>: </a:t>
            </a:r>
            <a:fld id="{984E8E04-456C-4E92-A0AE-E6EAD4A8418D}" type="TxLink">
              <a:rPr lang="en-US" sz="1000" b="0" i="0" u="none" strike="noStrike">
                <a:ln>
                  <a:noFill/>
                </a:ln>
                <a:solidFill>
                  <a:srgbClr val="000000"/>
                </a:solidFill>
                <a:latin typeface="Carlito"/>
              </a:rPr>
              <a:pPr/>
              <a:t>25.1%</a:t>
            </a:fld>
            <a:endParaRPr lang="en-US" sz="800" i="0">
              <a:ln>
                <a:noFill/>
              </a:ln>
              <a:solidFill>
                <a:schemeClr val="tx1">
                  <a:lumMod val="95000"/>
                  <a:lumOff val="5000"/>
                </a:schemeClr>
              </a:solidFill>
            </a:endParaRPr>
          </a:p>
        </xdr:txBody>
      </xdr:sp>
    </xdr:grpSp>
    <xdr:clientData/>
  </xdr:twoCellAnchor>
  <xdr:twoCellAnchor>
    <xdr:from>
      <xdr:col>17</xdr:col>
      <xdr:colOff>161925</xdr:colOff>
      <xdr:row>11</xdr:row>
      <xdr:rowOff>38100</xdr:rowOff>
    </xdr:from>
    <xdr:to>
      <xdr:col>19</xdr:col>
      <xdr:colOff>342900</xdr:colOff>
      <xdr:row>23</xdr:row>
      <xdr:rowOff>9525</xdr:rowOff>
    </xdr:to>
    <xdr:grpSp>
      <xdr:nvGrpSpPr>
        <xdr:cNvPr id="62" name="Group 61">
          <a:extLst>
            <a:ext uri="{FF2B5EF4-FFF2-40B4-BE49-F238E27FC236}">
              <a16:creationId xmlns:a16="http://schemas.microsoft.com/office/drawing/2014/main" id="{96D8F546-1198-E1DF-FED3-B04633EB46B7}"/>
            </a:ext>
          </a:extLst>
        </xdr:cNvPr>
        <xdr:cNvGrpSpPr/>
      </xdr:nvGrpSpPr>
      <xdr:grpSpPr>
        <a:xfrm>
          <a:off x="11561445" y="1938020"/>
          <a:ext cx="1522095" cy="2044065"/>
          <a:chOff x="9877425" y="1933575"/>
          <a:chExt cx="1514475" cy="2028825"/>
        </a:xfrm>
      </xdr:grpSpPr>
      <xdr:graphicFrame macro="">
        <xdr:nvGraphicFramePr>
          <xdr:cNvPr id="16" name="Chart 15">
            <a:extLst>
              <a:ext uri="{FF2B5EF4-FFF2-40B4-BE49-F238E27FC236}">
                <a16:creationId xmlns:a16="http://schemas.microsoft.com/office/drawing/2014/main" id="{F2AB9764-5931-4085-AAFD-F9329BC96362}"/>
              </a:ext>
            </a:extLst>
          </xdr:cNvPr>
          <xdr:cNvGraphicFramePr>
            <a:graphicFrameLocks/>
          </xdr:cNvGraphicFramePr>
        </xdr:nvGraphicFramePr>
        <xdr:xfrm>
          <a:off x="9877425" y="1933575"/>
          <a:ext cx="1514475" cy="2028825"/>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CI$8">
        <xdr:nvSpPr>
          <xdr:cNvPr id="49" name="TextBox 48">
            <a:extLst>
              <a:ext uri="{FF2B5EF4-FFF2-40B4-BE49-F238E27FC236}">
                <a16:creationId xmlns:a16="http://schemas.microsoft.com/office/drawing/2014/main" id="{FB2EB4C7-8FF6-9C95-4A40-655301F8BEF2}"/>
              </a:ext>
            </a:extLst>
          </xdr:cNvPr>
          <xdr:cNvSpPr txBox="1"/>
        </xdr:nvSpPr>
        <xdr:spPr>
          <a:xfrm>
            <a:off x="10109388" y="2873748"/>
            <a:ext cx="1044388" cy="307602"/>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56C538-D1C2-405A-9A23-F8A1C898A9B3}" type="TxLink">
              <a:rPr lang="en-US" sz="1400" b="1" i="0" u="none" strike="noStrike">
                <a:solidFill>
                  <a:srgbClr val="0070C0"/>
                </a:solidFill>
                <a:latin typeface="Carlito"/>
              </a:rPr>
              <a:pPr algn="ctr"/>
              <a:t>62.58%</a:t>
            </a:fld>
            <a:endParaRPr lang="en-US" sz="49600" b="1" i="0">
              <a:solidFill>
                <a:srgbClr val="0070C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13</xdr:row>
      <xdr:rowOff>45721</xdr:rowOff>
    </xdr:from>
    <xdr:to>
      <xdr:col>1</xdr:col>
      <xdr:colOff>2705100</xdr:colOff>
      <xdr:row>30</xdr:row>
      <xdr:rowOff>68580</xdr:rowOff>
    </xdr:to>
    <xdr:graphicFrame macro="">
      <xdr:nvGraphicFramePr>
        <xdr:cNvPr id="2" name="Chart 1">
          <a:extLst>
            <a:ext uri="{FF2B5EF4-FFF2-40B4-BE49-F238E27FC236}">
              <a16:creationId xmlns:a16="http://schemas.microsoft.com/office/drawing/2014/main" id="{A77046C4-86B7-4A4A-95B3-F3D905E62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1.687256944446" createdVersion="8" refreshedVersion="8" minRefreshableVersion="3" recordCount="24" xr:uid="{D554E8DC-01C9-411D-AAF2-E48CFE2A8715}">
  <cacheSource type="worksheet">
    <worksheetSource name="ProductMasterTable"/>
  </cacheSource>
  <cacheFields count="12">
    <cacheField name="Product ID" numFmtId="0">
      <sharedItems/>
    </cacheField>
    <cacheField name="Product Name" numFmtId="0">
      <sharedItems/>
    </cacheField>
    <cacheField name="Category" numFmtId="0">
      <sharedItems/>
    </cacheField>
    <cacheField name="Subcategory" numFmtId="0">
      <sharedItems/>
    </cacheField>
    <cacheField name="Brand" numFmtId="0">
      <sharedItems/>
    </cacheField>
    <cacheField name="Unit Cost" numFmtId="164">
      <sharedItems containsSemiMixedTypes="0" containsString="0" containsNumber="1" containsInteger="1" minValue="230" maxValue="18000"/>
    </cacheField>
    <cacheField name="Unit Price" numFmtId="164">
      <sharedItems containsSemiMixedTypes="0" containsString="0" containsNumber="1" containsInteger="1" minValue="400" maxValue="24500"/>
    </cacheField>
    <cacheField name="Reorder Level" numFmtId="1">
      <sharedItems containsSemiMixedTypes="0" containsString="0" containsNumber="1" containsInteger="1" minValue="18" maxValue="150"/>
    </cacheField>
    <cacheField name="Opening Stock" numFmtId="1">
      <sharedItems containsSemiMixedTypes="0" containsString="0" containsNumber="1" containsInteger="1" minValue="24" maxValue="347"/>
    </cacheField>
    <cacheField name="Stock Received" numFmtId="1">
      <sharedItems containsSemiMixedTypes="0" containsString="0" containsNumber="1" containsInteger="1" minValue="25" maxValue="407"/>
    </cacheField>
    <cacheField name="Closing Stock" numFmtId="1">
      <sharedItems containsSemiMixedTypes="0" containsString="0" containsNumber="1" containsInteger="1" minValue="3" maxValue="204"/>
    </cacheField>
    <cacheField name="Stock status" numFmtId="0">
      <sharedItems count="3">
        <s v="underStocked"/>
        <s v="Health"/>
        <s v="overStock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4.590526736109" createdVersion="8" refreshedVersion="8" minRefreshableVersion="3" recordCount="2801" xr:uid="{61F67670-9377-4935-BC76-DE4406C4331F}">
  <cacheSource type="worksheet">
    <worksheetSource name="SalesCleanTable"/>
  </cacheSource>
  <cacheFields count="34">
    <cacheField name="Order ID" numFmtId="0">
      <sharedItems/>
    </cacheField>
    <cacheField name="Order Date" numFmtId="165">
      <sharedItems containsSemiMixedTypes="0" containsNonDate="0" containsDate="1" containsString="0" minDate="2025-01-01T00:00:00" maxDate="2026-01-01T00:00:00" count="365">
        <d v="2025-07-14T00:00:00"/>
        <d v="2025-11-22T00:00:00"/>
        <d v="2025-01-29T00:00:00"/>
        <d v="2025-09-13T00:00:00"/>
        <d v="2025-10-26T00:00:00"/>
        <d v="2025-12-15T00:00:00"/>
        <d v="2025-12-16T00:00:00"/>
        <d v="2025-05-15T00:00:00"/>
        <d v="2025-07-11T00:00:00"/>
        <d v="2025-06-07T00:00:00"/>
        <d v="2025-12-04T00:00:00"/>
        <d v="2025-04-13T00:00:00"/>
        <d v="2025-01-11T00:00:00"/>
        <d v="2025-09-21T00:00:00"/>
        <d v="2025-07-28T00:00:00"/>
        <d v="2025-02-20T00:00:00"/>
        <d v="2025-08-25T00:00:00"/>
        <d v="2025-05-02T00:00:00"/>
        <d v="2025-08-21T00:00:00"/>
        <d v="2025-01-30T00:00:00"/>
        <d v="2025-09-18T00:00:00"/>
        <d v="2025-01-21T00:00:00"/>
        <d v="2025-07-22T00:00:00"/>
        <d v="2025-02-07T00:00:00"/>
        <d v="2025-10-06T00:00:00"/>
        <d v="2025-03-10T00:00:00"/>
        <d v="2025-05-16T00:00:00"/>
        <d v="2025-03-08T00:00:00"/>
        <d v="2025-10-07T00:00:00"/>
        <d v="2025-05-08T00:00:00"/>
        <d v="2025-04-01T00:00:00"/>
        <d v="2025-03-23T00:00:00"/>
        <d v="2025-04-27T00:00:00"/>
        <d v="2025-12-14T00:00:00"/>
        <d v="2025-08-11T00:00:00"/>
        <d v="2025-08-12T00:00:00"/>
        <d v="2025-12-07T00:00:00"/>
        <d v="2025-12-23T00:00:00"/>
        <d v="2025-10-08T00:00:00"/>
        <d v="2025-09-19T00:00:00"/>
        <d v="2025-05-01T00:00:00"/>
        <d v="2025-11-19T00:00:00"/>
        <d v="2025-09-29T00:00:00"/>
        <d v="2025-09-06T00:00:00"/>
        <d v="2025-04-29T00:00:00"/>
        <d v="2025-07-19T00:00:00"/>
        <d v="2025-07-21T00:00:00"/>
        <d v="2025-10-04T00:00:00"/>
        <d v="2025-11-07T00:00:00"/>
        <d v="2025-07-12T00:00:00"/>
        <d v="2025-03-03T00:00:00"/>
        <d v="2025-09-08T00:00:00"/>
        <d v="2025-05-19T00:00:00"/>
        <d v="2025-02-14T00:00:00"/>
        <d v="2025-09-07T00:00:00"/>
        <d v="2025-02-13T00:00:00"/>
        <d v="2025-04-24T00:00:00"/>
        <d v="2025-12-26T00:00:00"/>
        <d v="2025-09-05T00:00:00"/>
        <d v="2025-06-04T00:00:00"/>
        <d v="2025-09-09T00:00:00"/>
        <d v="2025-02-03T00:00:00"/>
        <d v="2025-03-02T00:00:00"/>
        <d v="2025-08-08T00:00:00"/>
        <d v="2025-03-22T00:00:00"/>
        <d v="2025-05-25T00:00:00"/>
        <d v="2025-08-06T00:00:00"/>
        <d v="2025-10-19T00:00:00"/>
        <d v="2025-11-03T00:00:00"/>
        <d v="2025-12-11T00:00:00"/>
        <d v="2025-09-11T00:00:00"/>
        <d v="2025-07-26T00:00:00"/>
        <d v="2025-11-28T00:00:00"/>
        <d v="2025-03-16T00:00:00"/>
        <d v="2025-09-17T00:00:00"/>
        <d v="2025-06-26T00:00:00"/>
        <d v="2025-07-30T00:00:00"/>
        <d v="2025-01-19T00:00:00"/>
        <d v="2025-07-29T00:00:00"/>
        <d v="2025-06-18T00:00:00"/>
        <d v="2025-08-16T00:00:00"/>
        <d v="2025-03-15T00:00:00"/>
        <d v="2025-10-17T00:00:00"/>
        <d v="2025-02-19T00:00:00"/>
        <d v="2025-08-01T00:00:00"/>
        <d v="2025-09-04T00:00:00"/>
        <d v="2025-12-12T00:00:00"/>
        <d v="2025-10-15T00:00:00"/>
        <d v="2025-01-24T00:00:00"/>
        <d v="2025-05-24T00:00:00"/>
        <d v="2025-11-27T00:00:00"/>
        <d v="2025-11-02T00:00:00"/>
        <d v="2025-04-30T00:00:00"/>
        <d v="2025-03-31T00:00:00"/>
        <d v="2025-03-06T00:00:00"/>
        <d v="2025-11-11T00:00:00"/>
        <d v="2025-08-07T00:00:00"/>
        <d v="2025-11-21T00:00:00"/>
        <d v="2025-02-28T00:00:00"/>
        <d v="2025-03-04T00:00:00"/>
        <d v="2025-02-23T00:00:00"/>
        <d v="2025-10-21T00:00:00"/>
        <d v="2025-12-03T00:00:00"/>
        <d v="2025-02-26T00:00:00"/>
        <d v="2025-04-19T00:00:00"/>
        <d v="2025-04-28T00:00:00"/>
        <d v="2025-06-10T00:00:00"/>
        <d v="2025-11-13T00:00:00"/>
        <d v="2025-06-08T00:00:00"/>
        <d v="2025-11-18T00:00:00"/>
        <d v="2025-09-14T00:00:00"/>
        <d v="2025-05-07T00:00:00"/>
        <d v="2025-07-20T00:00:00"/>
        <d v="2025-12-17T00:00:00"/>
        <d v="2025-09-27T00:00:00"/>
        <d v="2025-03-26T00:00:00"/>
        <d v="2025-10-01T00:00:00"/>
        <d v="2025-07-10T00:00:00"/>
        <d v="2025-03-17T00:00:00"/>
        <d v="2025-03-12T00:00:00"/>
        <d v="2025-01-10T00:00:00"/>
        <d v="2025-01-25T00:00:00"/>
        <d v="2025-10-22T00:00:00"/>
        <d v="2025-07-04T00:00:00"/>
        <d v="2025-03-11T00:00:00"/>
        <d v="2025-05-20T00:00:00"/>
        <d v="2025-07-08T00:00:00"/>
        <d v="2025-02-22T00:00:00"/>
        <d v="2025-06-30T00:00:00"/>
        <d v="2025-07-05T00:00:00"/>
        <d v="2025-07-07T00:00:00"/>
        <d v="2025-05-14T00:00:00"/>
        <d v="2025-03-30T00:00:00"/>
        <d v="2025-10-05T00:00:00"/>
        <d v="2025-06-12T00:00:00"/>
        <d v="2025-09-23T00:00:00"/>
        <d v="2025-09-15T00:00:00"/>
        <d v="2025-01-22T00:00:00"/>
        <d v="2025-01-16T00:00:00"/>
        <d v="2025-04-08T00:00:00"/>
        <d v="2025-05-04T00:00:00"/>
        <d v="2025-02-25T00:00:00"/>
        <d v="2025-10-11T00:00:00"/>
        <d v="2025-06-13T00:00:00"/>
        <d v="2025-06-03T00:00:00"/>
        <d v="2025-01-14T00:00:00"/>
        <d v="2025-09-26T00:00:00"/>
        <d v="2025-08-14T00:00:00"/>
        <d v="2025-07-01T00:00:00"/>
        <d v="2025-04-26T00:00:00"/>
        <d v="2025-05-21T00:00:00"/>
        <d v="2025-02-10T00:00:00"/>
        <d v="2025-08-30T00:00:00"/>
        <d v="2025-05-28T00:00:00"/>
        <d v="2025-05-29T00:00:00"/>
        <d v="2025-06-22T00:00:00"/>
        <d v="2025-07-25T00:00:00"/>
        <d v="2025-07-27T00:00:00"/>
        <d v="2025-04-23T00:00:00"/>
        <d v="2025-10-16T00:00:00"/>
        <d v="2025-04-16T00:00:00"/>
        <d v="2025-10-14T00:00:00"/>
        <d v="2025-12-05T00:00:00"/>
        <d v="2025-01-02T00:00:00"/>
        <d v="2025-03-21T00:00:00"/>
        <d v="2025-02-21T00:00:00"/>
        <d v="2025-11-17T00:00:00"/>
        <d v="2025-07-09T00:00:00"/>
        <d v="2025-10-28T00:00:00"/>
        <d v="2025-08-29T00:00:00"/>
        <d v="2025-10-27T00:00:00"/>
        <d v="2025-03-13T00:00:00"/>
        <d v="2025-12-09T00:00:00"/>
        <d v="2025-01-31T00:00:00"/>
        <d v="2025-05-05T00:00:00"/>
        <d v="2025-07-13T00:00:00"/>
        <d v="2025-02-18T00:00:00"/>
        <d v="2025-12-31T00:00:00"/>
        <d v="2025-11-06T00:00:00"/>
        <d v="2025-05-18T00:00:00"/>
        <d v="2025-03-28T00:00:00"/>
        <d v="2025-02-09T00:00:00"/>
        <d v="2025-06-20T00:00:00"/>
        <d v="2025-06-14T00:00:00"/>
        <d v="2025-04-03T00:00:00"/>
        <d v="2025-10-02T00:00:00"/>
        <d v="2025-01-13T00:00:00"/>
        <d v="2025-01-12T00:00:00"/>
        <d v="2025-04-12T00:00:00"/>
        <d v="2025-11-09T00:00:00"/>
        <d v="2025-07-16T00:00:00"/>
        <d v="2025-04-06T00:00:00"/>
        <d v="2025-12-01T00:00:00"/>
        <d v="2025-07-03T00:00:00"/>
        <d v="2025-08-24T00:00:00"/>
        <d v="2025-11-12T00:00:00"/>
        <d v="2025-06-11T00:00:00"/>
        <d v="2025-05-03T00:00:00"/>
        <d v="2025-11-24T00:00:00"/>
        <d v="2025-01-06T00:00:00"/>
        <d v="2025-03-18T00:00:00"/>
        <d v="2025-02-05T00:00:00"/>
        <d v="2025-06-05T00:00:00"/>
        <d v="2025-05-06T00:00:00"/>
        <d v="2025-02-17T00:00:00"/>
        <d v="2025-09-16T00:00:00"/>
        <d v="2025-08-20T00:00:00"/>
        <d v="2025-01-26T00:00:00"/>
        <d v="2025-09-03T00:00:00"/>
        <d v="2025-12-24T00:00:00"/>
        <d v="2025-09-10T00:00:00"/>
        <d v="2025-03-14T00:00:00"/>
        <d v="2025-03-07T00:00:00"/>
        <d v="2025-07-23T00:00:00"/>
        <d v="2025-01-23T00:00:00"/>
        <d v="2025-12-18T00:00:00"/>
        <d v="2025-09-22T00:00:00"/>
        <d v="2025-02-04T00:00:00"/>
        <d v="2025-09-01T00:00:00"/>
        <d v="2025-02-15T00:00:00"/>
        <d v="2025-03-05T00:00:00"/>
        <d v="2025-05-13T00:00:00"/>
        <d v="2025-05-22T00:00:00"/>
        <d v="2025-11-04T00:00:00"/>
        <d v="2025-12-10T00:00:00"/>
        <d v="2025-06-19T00:00:00"/>
        <d v="2025-04-10T00:00:00"/>
        <d v="2025-01-08T00:00:00"/>
        <d v="2025-06-09T00:00:00"/>
        <d v="2025-01-20T00:00:00"/>
        <d v="2025-06-01T00:00:00"/>
        <d v="2025-08-22T00:00:00"/>
        <d v="2025-08-13T00:00:00"/>
        <d v="2025-07-17T00:00:00"/>
        <d v="2025-12-02T00:00:00"/>
        <d v="2025-09-25T00:00:00"/>
        <d v="2025-10-13T00:00:00"/>
        <d v="2025-04-11T00:00:00"/>
        <d v="2025-01-07T00:00:00"/>
        <d v="2025-07-15T00:00:00"/>
        <d v="2025-08-15T00:00:00"/>
        <d v="2025-10-12T00:00:00"/>
        <d v="2025-04-20T00:00:00"/>
        <d v="2025-11-29T00:00:00"/>
        <d v="2025-08-17T00:00:00"/>
        <d v="2025-04-18T00:00:00"/>
        <d v="2025-05-09T00:00:00"/>
        <d v="2025-02-24T00:00:00"/>
        <d v="2025-10-18T00:00:00"/>
        <d v="2025-03-24T00:00:00"/>
        <d v="2025-03-29T00:00:00"/>
        <d v="2025-04-07T00:00:00"/>
        <d v="2025-10-23T00:00:00"/>
        <d v="2025-07-31T00:00:00"/>
        <d v="2025-02-08T00:00:00"/>
        <d v="2025-08-31T00:00:00"/>
        <d v="2025-06-16T00:00:00"/>
        <d v="2025-01-04T00:00:00"/>
        <d v="2025-09-30T00:00:00"/>
        <d v="2025-11-15T00:00:00"/>
        <d v="2025-01-17T00:00:00"/>
        <d v="2025-01-18T00:00:00"/>
        <d v="2025-02-27T00:00:00"/>
        <d v="2025-10-25T00:00:00"/>
        <d v="2025-06-27T00:00:00"/>
        <d v="2025-04-05T00:00:00"/>
        <d v="2025-05-17T00:00:00"/>
        <d v="2025-11-23T00:00:00"/>
        <d v="2025-10-20T00:00:00"/>
        <d v="2025-06-21T00:00:00"/>
        <d v="2025-03-20T00:00:00"/>
        <d v="2025-11-14T00:00:00"/>
        <d v="2025-08-27T00:00:00"/>
        <d v="2025-05-12T00:00:00"/>
        <d v="2025-03-09T00:00:00"/>
        <d v="2025-04-14T00:00:00"/>
        <d v="2025-10-30T00:00:00"/>
        <d v="2025-04-02T00:00:00"/>
        <d v="2025-01-15T00:00:00"/>
        <d v="2025-04-21T00:00:00"/>
        <d v="2025-12-27T00:00:00"/>
        <d v="2025-08-10T00:00:00"/>
        <d v="2025-01-09T00:00:00"/>
        <d v="2025-09-28T00:00:00"/>
        <d v="2025-03-01T00:00:00"/>
        <d v="2025-07-18T00:00:00"/>
        <d v="2025-02-02T00:00:00"/>
        <d v="2025-11-20T00:00:00"/>
        <d v="2025-05-26T00:00:00"/>
        <d v="2025-01-27T00:00:00"/>
        <d v="2025-11-10T00:00:00"/>
        <d v="2025-01-03T00:00:00"/>
        <d v="2025-02-06T00:00:00"/>
        <d v="2025-04-17T00:00:00"/>
        <d v="2025-08-23T00:00:00"/>
        <d v="2025-12-08T00:00:00"/>
        <d v="2025-12-29T00:00:00"/>
        <d v="2025-12-28T00:00:00"/>
        <d v="2025-10-03T00:00:00"/>
        <d v="2025-08-26T00:00:00"/>
        <d v="2025-08-03T00:00:00"/>
        <d v="2025-03-25T00:00:00"/>
        <d v="2025-10-10T00:00:00"/>
        <d v="2025-12-20T00:00:00"/>
        <d v="2025-10-29T00:00:00"/>
        <d v="2025-06-06T00:00:00"/>
        <d v="2025-08-28T00:00:00"/>
        <d v="2025-02-16T00:00:00"/>
        <d v="2025-01-28T00:00:00"/>
        <d v="2025-12-21T00:00:00"/>
        <d v="2025-04-15T00:00:00"/>
        <d v="2025-07-24T00:00:00"/>
        <d v="2025-08-05T00:00:00"/>
        <d v="2025-09-20T00:00:00"/>
        <d v="2025-04-09T00:00:00"/>
        <d v="2025-05-31T00:00:00"/>
        <d v="2025-11-26T00:00:00"/>
        <d v="2025-11-30T00:00:00"/>
        <d v="2025-08-04T00:00:00"/>
        <d v="2025-02-11T00:00:00"/>
        <d v="2025-11-25T00:00:00"/>
        <d v="2025-06-23T00:00:00"/>
        <d v="2025-10-09T00:00:00"/>
        <d v="2025-08-19T00:00:00"/>
        <d v="2025-11-05T00:00:00"/>
        <d v="2025-06-25T00:00:00"/>
        <d v="2025-12-25T00:00:00"/>
        <d v="2025-06-17T00:00:00"/>
        <d v="2025-12-22T00:00:00"/>
        <d v="2025-09-12T00:00:00"/>
        <d v="2025-06-29T00:00:00"/>
        <d v="2025-05-27T00:00:00"/>
        <d v="2025-08-18T00:00:00"/>
        <d v="2025-05-23T00:00:00"/>
        <d v="2025-04-25T00:00:00"/>
        <d v="2025-06-02T00:00:00"/>
        <d v="2025-10-24T00:00:00"/>
        <d v="2025-08-09T00:00:00"/>
        <d v="2025-03-27T00:00:00"/>
        <d v="2025-07-06T00:00:00"/>
        <d v="2025-11-01T00:00:00"/>
        <d v="2025-12-30T00:00:00"/>
        <d v="2025-09-02T00:00:00"/>
        <d v="2025-09-24T00:00:00"/>
        <d v="2025-06-15T00:00:00"/>
        <d v="2025-12-13T00:00:00"/>
        <d v="2025-01-01T00:00:00"/>
        <d v="2025-03-19T00:00:00"/>
        <d v="2025-04-22T00:00:00"/>
        <d v="2025-02-01T00:00:00"/>
        <d v="2025-04-04T00:00:00"/>
        <d v="2025-10-31T00:00:00"/>
        <d v="2025-12-06T00:00:00"/>
        <d v="2025-02-12T00:00:00"/>
        <d v="2025-05-11T00:00:00"/>
        <d v="2025-11-08T00:00:00"/>
        <d v="2025-05-10T00:00:00"/>
        <d v="2025-06-24T00:00:00"/>
        <d v="2025-08-02T00:00:00"/>
        <d v="2025-12-19T00:00:00"/>
        <d v="2025-01-05T00:00:00"/>
        <d v="2025-05-30T00:00:00"/>
        <d v="2025-11-16T00:00:00"/>
        <d v="2025-07-02T00:00:00"/>
        <d v="2025-06-28T00:00:00"/>
      </sharedItems>
      <fieldGroup par="32"/>
    </cacheField>
    <cacheField name="Product ID" numFmtId="0">
      <sharedItems/>
    </cacheField>
    <cacheField name="Product Name" numFmtId="0">
      <sharedItems count="24">
        <s v="AquaPure Water 75cl"/>
        <s v="FreshDay Milk 1L"/>
        <s v="CrispyBite Biscuits Pack"/>
        <s v="Naija Malt Can"/>
        <s v="Sparkle Cola 50cl"/>
        <s v="Luma LED Bulb 12W"/>
        <s v="StudyPro Notebook Pack"/>
        <s v="RoyalScent Perfume 50ml"/>
        <s v="SilkyTouch Bath Soap"/>
        <s v="CleanPro Disinfectant 1L"/>
        <s v="Mama's Pride Beans 2kg"/>
        <s v="GlowPlus Body Lotion"/>
        <s v="SunGold Vegetable Oil 2L"/>
        <s v="BrightWash Detergent 1kg"/>
        <s v="Golden Harvest Rice 5kg"/>
        <s v="FreshMint Toothpaste"/>
        <s v="VoltSafe Power Bank 20k"/>
        <s v="WriteWell Pen Pack"/>
        <s v="SoundBeat Earbuds"/>
        <s v="ErgoDesk Mouse Pad"/>
        <s v="OfficeMate A4 Paper"/>
        <s v="HomeFresh Air Freshener"/>
        <s v="SoftCare Tissue 10 Rolls"/>
        <s v="PowerMax Extension Box"/>
      </sharedItems>
    </cacheField>
    <cacheField name="Category" numFmtId="0">
      <sharedItems/>
    </cacheField>
    <cacheField name="Subcategory" numFmtId="0">
      <sharedItems/>
    </cacheField>
    <cacheField name="Brand" numFmtId="0">
      <sharedItems/>
    </cacheField>
    <cacheField name="Branch ID" numFmtId="0">
      <sharedItems/>
    </cacheField>
    <cacheField name="Branch Name" numFmtId="0">
      <sharedItems count="8">
        <s v="Kano Central"/>
        <s v="Port Harcourt Hub"/>
        <s v="Wuse Central"/>
        <s v="Enugu Main"/>
        <s v="Garki Market"/>
        <s v="Lekki Mall"/>
        <s v="Ikeja City"/>
        <s v="Ilorin Retail"/>
      </sharedItems>
    </cacheField>
    <cacheField name="State" numFmtId="0">
      <sharedItems/>
    </cacheField>
    <cacheField name="Region" numFmtId="0">
      <sharedItems count="5">
        <s v="North West"/>
        <s v="South South"/>
        <s v="North Central"/>
        <s v="South East"/>
        <s v="South West"/>
      </sharedItems>
    </cacheField>
    <cacheField name="Customer Type" numFmtId="0">
      <sharedItems/>
    </cacheField>
    <cacheField name="Payment Method" numFmtId="0">
      <sharedItems/>
    </cacheField>
    <cacheField name="Quantity" numFmtId="0">
      <sharedItems containsSemiMixedTypes="0" containsString="0" containsNumber="1" containsInteger="1" minValue="-2" maxValue="10"/>
    </cacheField>
    <cacheField name="Unit Cost" numFmtId="164">
      <sharedItems containsSemiMixedTypes="0" containsString="0" containsNumber="1" containsInteger="1" minValue="230" maxValue="18000"/>
    </cacheField>
    <cacheField name="Unit Price" numFmtId="164">
      <sharedItems containsSemiMixedTypes="0" containsString="0" containsNumber="1" containsInteger="1" minValue="400" maxValue="24500"/>
    </cacheField>
    <cacheField name="Discount %" numFmtId="9">
      <sharedItems containsSemiMixedTypes="0" containsString="0" containsNumber="1" minValue="0" maxValue="0.25"/>
    </cacheField>
    <cacheField name="Supplier" numFmtId="0">
      <sharedItems count="16">
        <s v="Metro Drinks"/>
        <s v="Prime Grocery Ltd"/>
        <s v="Refresh Nigeria"/>
        <s v="BlueWave Distributors"/>
        <s v="TechBridge Africa"/>
        <s v="Metro Stationery"/>
        <s v="CarePlus Wholesale"/>
        <s v="CleanHome Supply"/>
        <s v="AgroLink Nigeria"/>
        <s v="NorthStar Foods"/>
        <s v="Everyday Essentials"/>
        <s v="BeautyHub Distribution"/>
        <s v="VoltEdge Ltd"/>
        <s v="Digital Market Supply"/>
        <s v="PaperLine Ltd"/>
        <s v="OfficeSource Nigeria"/>
      </sharedItems>
    </cacheField>
    <cacheField name="Delivery Days" numFmtId="0">
      <sharedItems containsSemiMixedTypes="0" containsString="0" containsNumber="1" containsInteger="1" minValue="1" maxValue="14"/>
    </cacheField>
    <cacheField name="Gross Sales" numFmtId="0">
      <sharedItems containsSemiMixedTypes="0" containsString="0" containsNumber="1" containsInteger="1" minValue="-37000" maxValue="245000"/>
    </cacheField>
    <cacheField name="Discount Amount" numFmtId="0">
      <sharedItems containsSemiMixedTypes="0" containsString="0" containsNumber="1" minValue="-3500" maxValue="39200"/>
    </cacheField>
    <cacheField name="Net Revenue" numFmtId="0">
      <sharedItems containsSemiMixedTypes="0" containsString="0" containsNumber="1" minValue="-35150" maxValue="245000"/>
    </cacheField>
    <cacheField name="Total Cost" numFmtId="0">
      <sharedItems containsSemiMixedTypes="0" containsString="0" containsNumber="1" containsInteger="1" minValue="-25000" maxValue="180000"/>
    </cacheField>
    <cacheField name="Profit" numFmtId="0">
      <sharedItems containsSemiMixedTypes="0" containsString="0" containsNumber="1" minValue="-10150" maxValue="65000"/>
    </cacheField>
    <cacheField name="Profit Margin" numFmtId="166">
      <sharedItems containsSemiMixedTypes="0" containsString="0" containsNumber="1" minValue="-3.5714285714285712E-2" maxValue="0.42499999999999999"/>
    </cacheField>
    <cacheField name="Inventory Status" numFmtId="0">
      <sharedItems/>
    </cacheField>
    <cacheField name="Discount  Impact" numFmtId="0">
      <sharedItems/>
    </cacheField>
    <cacheField name="Max Allowed Discount" numFmtId="166">
      <sharedItems containsSemiMixedTypes="0" containsString="0" containsNumber="1" minValue="0.17142857142857143" maxValue="0.42499999999999999"/>
    </cacheField>
    <cacheField name="Column1" numFmtId="0">
      <sharedItems/>
    </cacheField>
    <cacheField name="Unit Margin" numFmtId="164">
      <sharedItems containsSemiMixedTypes="0" containsString="0" containsNumber="1" containsInteger="1" minValue="170" maxValue="6500"/>
    </cacheField>
    <cacheField name="Unit Margin %" numFmtId="9">
      <sharedItems containsSemiMixedTypes="0" containsString="0" containsNumber="1" minValue="0.17142857142857143" maxValue="0.42499999999999999"/>
    </cacheField>
    <cacheField name="Days (Order 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 name="margin2" numFmtId="0" formula="Profit/'Net Revenue'" databaseField="0"/>
  </cacheFields>
  <extLst>
    <ext xmlns:x14="http://schemas.microsoft.com/office/spreadsheetml/2009/9/main" uri="{725AE2AE-9491-48be-B2B4-4EB974FC3084}">
      <x14:pivotCacheDefinition pivotCacheId="415506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P001"/>
    <s v="Golden Harvest Rice 5kg"/>
    <s v="Food"/>
    <s v="Grains"/>
    <s v="Golden Harvest"/>
    <n v="14500"/>
    <n v="17500"/>
    <n v="60"/>
    <n v="193"/>
    <n v="88"/>
    <n v="36"/>
    <x v="0"/>
  </r>
  <r>
    <s v="P002"/>
    <s v="Mama's Pride Beans 2kg"/>
    <s v="Food"/>
    <s v="Grains"/>
    <s v="Mama's Pride"/>
    <n v="6200"/>
    <n v="7900"/>
    <n v="45"/>
    <n v="92"/>
    <n v="107"/>
    <n v="50"/>
    <x v="1"/>
  </r>
  <r>
    <s v="P003"/>
    <s v="SunGold Vegetable Oil 2L"/>
    <s v="Food"/>
    <s v="Cooking Oil"/>
    <s v="SunGold"/>
    <n v="7800"/>
    <n v="9800"/>
    <n v="50"/>
    <n v="60"/>
    <n v="238"/>
    <n v="8"/>
    <x v="0"/>
  </r>
  <r>
    <s v="P004"/>
    <s v="FreshDay Milk 1L"/>
    <s v="Beverages"/>
    <s v="Dairy"/>
    <s v="FreshDay"/>
    <n v="1650"/>
    <n v="2200"/>
    <n v="70"/>
    <n v="208"/>
    <n v="349"/>
    <n v="57"/>
    <x v="0"/>
  </r>
  <r>
    <s v="P005"/>
    <s v="CrispyBite Biscuits Pack"/>
    <s v="Food"/>
    <s v="Snacks"/>
    <s v="CrispyBite"/>
    <n v="850"/>
    <n v="1300"/>
    <n v="90"/>
    <n v="347"/>
    <n v="306"/>
    <n v="53"/>
    <x v="0"/>
  </r>
  <r>
    <s v="P006"/>
    <s v="AquaPure Water 75cl"/>
    <s v="Beverages"/>
    <s v="Water"/>
    <s v="AquaPure"/>
    <n v="230"/>
    <n v="400"/>
    <n v="150"/>
    <n v="105"/>
    <n v="245"/>
    <n v="57"/>
    <x v="0"/>
  </r>
  <r>
    <s v="P007"/>
    <s v="Naija Malt Can"/>
    <s v="Beverages"/>
    <s v="Malt"/>
    <s v="Naija Malt"/>
    <n v="550"/>
    <n v="850"/>
    <n v="100"/>
    <n v="169"/>
    <n v="358"/>
    <n v="204"/>
    <x v="1"/>
  </r>
  <r>
    <s v="P008"/>
    <s v="Sparkle Cola 50cl"/>
    <s v="Beverages"/>
    <s v="Soft Drinks"/>
    <s v="Sparkle"/>
    <n v="330"/>
    <n v="550"/>
    <n v="120"/>
    <n v="73"/>
    <n v="407"/>
    <n v="161"/>
    <x v="1"/>
  </r>
  <r>
    <s v="P009"/>
    <s v="BrightWash Detergent 1kg"/>
    <s v="Household"/>
    <s v="Cleaning"/>
    <s v="BrightWash"/>
    <n v="2400"/>
    <n v="3400"/>
    <n v="55"/>
    <n v="210"/>
    <n v="221"/>
    <n v="134"/>
    <x v="1"/>
  </r>
  <r>
    <s v="P010"/>
    <s v="SoftCare Tissue 10 Rolls"/>
    <s v="Household"/>
    <s v="Paper Products"/>
    <s v="SoftCare"/>
    <n v="3200"/>
    <n v="4500"/>
    <n v="45"/>
    <n v="78"/>
    <n v="159"/>
    <n v="97"/>
    <x v="1"/>
  </r>
  <r>
    <s v="P011"/>
    <s v="CleanPro Disinfectant 1L"/>
    <s v="Household"/>
    <s v="Cleaning"/>
    <s v="CleanPro"/>
    <n v="2800"/>
    <n v="3900"/>
    <n v="40"/>
    <n v="91"/>
    <n v="41"/>
    <n v="117"/>
    <x v="1"/>
  </r>
  <r>
    <s v="P012"/>
    <s v="HomeFresh Air Freshener"/>
    <s v="Household"/>
    <s v="Home Care"/>
    <s v="HomeFresh"/>
    <n v="1700"/>
    <n v="2600"/>
    <n v="35"/>
    <n v="120"/>
    <n v="75"/>
    <n v="194"/>
    <x v="2"/>
  </r>
  <r>
    <s v="P013"/>
    <s v="GlowPlus Body Lotion"/>
    <s v="Personal Care"/>
    <s v="Skin Care"/>
    <s v="GlowPlus"/>
    <n v="3500"/>
    <n v="5200"/>
    <n v="40"/>
    <n v="128"/>
    <n v="127"/>
    <n v="55"/>
    <x v="1"/>
  </r>
  <r>
    <s v="P014"/>
    <s v="FreshMint Toothpaste"/>
    <s v="Personal Care"/>
    <s v="Oral Care"/>
    <s v="FreshMint"/>
    <n v="1200"/>
    <n v="1900"/>
    <n v="65"/>
    <n v="71"/>
    <n v="175"/>
    <n v="118"/>
    <x v="1"/>
  </r>
  <r>
    <s v="P015"/>
    <s v="SilkyTouch Bath Soap"/>
    <s v="Personal Care"/>
    <s v="Bath"/>
    <s v="SilkyTouch"/>
    <n v="600"/>
    <n v="950"/>
    <n v="100"/>
    <n v="102"/>
    <n v="147"/>
    <n v="147"/>
    <x v="1"/>
  </r>
  <r>
    <s v="P016"/>
    <s v="RoyalScent Perfume 50ml"/>
    <s v="Personal Care"/>
    <s v="Fragrance"/>
    <s v="RoyalScent"/>
    <n v="8500"/>
    <n v="12500"/>
    <n v="25"/>
    <n v="24"/>
    <n v="70"/>
    <n v="119"/>
    <x v="2"/>
  </r>
  <r>
    <s v="P017"/>
    <s v="PowerMax Extension Box"/>
    <s v="Electronics"/>
    <s v="Accessories"/>
    <s v="PowerMax"/>
    <n v="7500"/>
    <n v="10500"/>
    <n v="20"/>
    <n v="43"/>
    <n v="25"/>
    <n v="56"/>
    <x v="1"/>
  </r>
  <r>
    <s v="P018"/>
    <s v="VoltSafe Power Bank 20k"/>
    <s v="Electronics"/>
    <s v="Mobile Accessories"/>
    <s v="VoltSafe"/>
    <n v="18000"/>
    <n v="24500"/>
    <n v="18"/>
    <n v="67"/>
    <n v="86"/>
    <n v="3"/>
    <x v="0"/>
  </r>
  <r>
    <s v="P019"/>
    <s v="SoundBeat Earbuds"/>
    <s v="Electronics"/>
    <s v="Audio"/>
    <s v="SoundBeat"/>
    <n v="12500"/>
    <n v="18500"/>
    <n v="22"/>
    <n v="59"/>
    <n v="32"/>
    <n v="19"/>
    <x v="0"/>
  </r>
  <r>
    <s v="P020"/>
    <s v="Luma LED Bulb 12W"/>
    <s v="Electronics"/>
    <s v="Lighting"/>
    <s v="Luma"/>
    <n v="1500"/>
    <n v="2500"/>
    <n v="50"/>
    <n v="100"/>
    <n v="210"/>
    <n v="104"/>
    <x v="1"/>
  </r>
  <r>
    <s v="P021"/>
    <s v="OfficeMate A4 Paper"/>
    <s v="Office Supplies"/>
    <s v="Paper"/>
    <s v="OfficeMate"/>
    <n v="5200"/>
    <n v="7000"/>
    <n v="30"/>
    <n v="61"/>
    <n v="103"/>
    <n v="114"/>
    <x v="2"/>
  </r>
  <r>
    <s v="P022"/>
    <s v="WriteWell Pen Pack"/>
    <s v="Office Supplies"/>
    <s v="Writing"/>
    <s v="WriteWell"/>
    <n v="1300"/>
    <n v="2100"/>
    <n v="55"/>
    <n v="207"/>
    <n v="72"/>
    <n v="38"/>
    <x v="0"/>
  </r>
  <r>
    <s v="P023"/>
    <s v="StudyPro Notebook Pack"/>
    <s v="Office Supplies"/>
    <s v="Stationery"/>
    <s v="StudyPro"/>
    <n v="2800"/>
    <n v="4200"/>
    <n v="45"/>
    <n v="80"/>
    <n v="119"/>
    <n v="32"/>
    <x v="0"/>
  </r>
  <r>
    <s v="P024"/>
    <s v="ErgoDesk Mouse Pad"/>
    <s v="Office Supplies"/>
    <s v="Accessories"/>
    <s v="ErgoDesk"/>
    <n v="1700"/>
    <n v="2800"/>
    <n v="30"/>
    <n v="44"/>
    <n v="140"/>
    <n v="10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1">
  <r>
    <s v="ORD-10001"/>
    <x v="0"/>
    <s v="P006"/>
    <x v="0"/>
    <s v="Beverages"/>
    <s v="Water"/>
    <s v="AquaPure"/>
    <s v="B05"/>
    <x v="0"/>
    <s v="Kano"/>
    <x v="0"/>
    <s v="Walk-in"/>
    <s v="Card"/>
    <n v="2"/>
    <n v="230"/>
    <n v="400"/>
    <n v="0.05"/>
    <x v="0"/>
    <n v="11"/>
    <n v="800"/>
    <n v="40"/>
    <n v="760"/>
    <n v="460"/>
    <n v="300"/>
    <n v="0.39473684210526316"/>
    <s v="Understocked"/>
    <s v="Safe"/>
    <n v="0.42499999999999999"/>
    <s v="Safe"/>
    <n v="170"/>
    <n v="0.42499999999999999"/>
  </r>
  <r>
    <s v="ORD-10002"/>
    <x v="1"/>
    <s v="P004"/>
    <x v="1"/>
    <s v="Beverages"/>
    <s v="Dairy"/>
    <s v="FreshDay"/>
    <s v="B06"/>
    <x v="1"/>
    <s v="Rivers"/>
    <x v="1"/>
    <s v="Corporate"/>
    <s v="POS"/>
    <n v="1"/>
    <n v="1650"/>
    <n v="2200"/>
    <n v="0.05"/>
    <x v="0"/>
    <n v="4"/>
    <n v="2200"/>
    <n v="110"/>
    <n v="2090"/>
    <n v="1650"/>
    <n v="440"/>
    <n v="0.21052631578947367"/>
    <s v="Understocked"/>
    <s v="Safe"/>
    <n v="0.25"/>
    <s v="Safe"/>
    <n v="550"/>
    <n v="0.25"/>
  </r>
  <r>
    <s v="ORD-10003"/>
    <x v="2"/>
    <s v="P005"/>
    <x v="2"/>
    <s v="Food"/>
    <s v="Snacks"/>
    <s v="CrispyBite"/>
    <s v="B01"/>
    <x v="2"/>
    <s v="Abuja"/>
    <x v="2"/>
    <s v="Walk-in"/>
    <s v="POS"/>
    <n v="2"/>
    <n v="850"/>
    <n v="1300"/>
    <n v="0"/>
    <x v="1"/>
    <n v="6"/>
    <n v="2600"/>
    <n v="0"/>
    <n v="2600"/>
    <n v="1700"/>
    <n v="900"/>
    <n v="0.34615384615384615"/>
    <s v="Understocked"/>
    <s v="Safe"/>
    <n v="0.34615384615384615"/>
    <s v="Safe"/>
    <n v="450"/>
    <n v="0.34615384615384615"/>
  </r>
  <r>
    <s v="ORD-10004"/>
    <x v="3"/>
    <s v="P007"/>
    <x v="3"/>
    <s v="Beverages"/>
    <s v="Malt"/>
    <s v="Naija Malt"/>
    <s v="B07"/>
    <x v="3"/>
    <s v="Enugu"/>
    <x v="3"/>
    <s v="Walk-in"/>
    <s v="POS"/>
    <n v="2"/>
    <n v="550"/>
    <n v="850"/>
    <n v="0"/>
    <x v="2"/>
    <n v="12"/>
    <n v="1700"/>
    <n v="0"/>
    <n v="1700"/>
    <n v="1100"/>
    <n v="600"/>
    <n v="0.35294117647058826"/>
    <s v="Healthy"/>
    <s v="Safe"/>
    <n v="0.35294117647058826"/>
    <s v="Safe"/>
    <n v="300"/>
    <n v="0.35294117647058826"/>
  </r>
  <r>
    <s v="ORD-10005"/>
    <x v="4"/>
    <s v="P007"/>
    <x v="3"/>
    <s v="Beverages"/>
    <s v="Malt"/>
    <s v="Naija Malt"/>
    <s v="B02"/>
    <x v="4"/>
    <s v="Abuja"/>
    <x v="2"/>
    <s v="Walk-in"/>
    <s v="Cash"/>
    <n v="10"/>
    <n v="550"/>
    <n v="850"/>
    <n v="0.05"/>
    <x v="3"/>
    <n v="3"/>
    <n v="8500"/>
    <n v="425"/>
    <n v="8075"/>
    <n v="5500"/>
    <n v="2575"/>
    <n v="0.31888544891640869"/>
    <s v="Healthy"/>
    <s v="Safe"/>
    <n v="0.35294117647058826"/>
    <s v="Safe"/>
    <n v="300"/>
    <n v="0.35294117647058826"/>
  </r>
  <r>
    <s v="ORD-10006"/>
    <x v="5"/>
    <s v="P008"/>
    <x v="4"/>
    <s v="Beverages"/>
    <s v="Soft Drinks"/>
    <s v="Sparkle"/>
    <s v="B01"/>
    <x v="2"/>
    <s v="Abuja"/>
    <x v="2"/>
    <s v="Walk-in"/>
    <s v="POS"/>
    <n v="2"/>
    <n v="330"/>
    <n v="550"/>
    <n v="0.2"/>
    <x v="3"/>
    <n v="11"/>
    <n v="1100"/>
    <n v="220"/>
    <n v="880"/>
    <n v="660"/>
    <n v="220"/>
    <n v="0.25"/>
    <s v="Healthy"/>
    <s v="Safe"/>
    <n v="0.4"/>
    <s v="Safe"/>
    <n v="220"/>
    <n v="0.4"/>
  </r>
  <r>
    <s v="ORD-10007"/>
    <x v="6"/>
    <s v="P020"/>
    <x v="5"/>
    <s v="Electronics"/>
    <s v="Lighting"/>
    <s v="Luma"/>
    <s v="B06"/>
    <x v="1"/>
    <s v="Rivers"/>
    <x v="1"/>
    <s v="Walk-in"/>
    <s v="Cash"/>
    <n v="4"/>
    <n v="1500"/>
    <n v="2500"/>
    <n v="0.05"/>
    <x v="4"/>
    <n v="12"/>
    <n v="10000"/>
    <n v="500"/>
    <n v="9500"/>
    <n v="6000"/>
    <n v="3500"/>
    <n v="0.36842105263157893"/>
    <s v="Healthy"/>
    <s v="Safe"/>
    <n v="0.4"/>
    <s v="Safe"/>
    <n v="1000"/>
    <n v="0.4"/>
  </r>
  <r>
    <s v="ORD-10008"/>
    <x v="7"/>
    <s v="P023"/>
    <x v="6"/>
    <s v="Office Supplies"/>
    <s v="Stationery"/>
    <s v="StudyPro"/>
    <s v="B06"/>
    <x v="1"/>
    <s v="Rivers"/>
    <x v="1"/>
    <s v="Member"/>
    <s v="POS"/>
    <n v="3"/>
    <n v="2800"/>
    <n v="4200"/>
    <n v="0"/>
    <x v="5"/>
    <n v="10"/>
    <n v="12600"/>
    <n v="0"/>
    <n v="12600"/>
    <n v="8400"/>
    <n v="4200"/>
    <n v="0.33333333333333331"/>
    <s v="Understocked"/>
    <s v="Safe"/>
    <n v="0.33333333333333331"/>
    <s v="Safe"/>
    <n v="1400"/>
    <n v="0.33333333333333331"/>
  </r>
  <r>
    <s v="ORD-10009"/>
    <x v="8"/>
    <s v="P016"/>
    <x v="7"/>
    <s v="Personal Care"/>
    <s v="Fragrance"/>
    <s v="RoyalScent"/>
    <s v="B04"/>
    <x v="5"/>
    <s v="Lagos"/>
    <x v="4"/>
    <s v="Walk-in"/>
    <s v="Transfer"/>
    <n v="5"/>
    <n v="8500"/>
    <n v="12500"/>
    <n v="0.15"/>
    <x v="6"/>
    <n v="2"/>
    <n v="62500"/>
    <n v="9375"/>
    <n v="53125"/>
    <n v="42500"/>
    <n v="10625"/>
    <n v="0.2"/>
    <s v="Overstocked"/>
    <s v="Safe"/>
    <n v="0.32"/>
    <s v="Safe"/>
    <n v="4000"/>
    <n v="0.32"/>
  </r>
  <r>
    <s v="ORD-10010"/>
    <x v="9"/>
    <s v="P005"/>
    <x v="2"/>
    <s v="Food"/>
    <s v="Snacks"/>
    <s v="CrispyBite"/>
    <s v="B02"/>
    <x v="4"/>
    <s v="Abuja"/>
    <x v="2"/>
    <s v="Member"/>
    <s v="POS"/>
    <n v="3"/>
    <n v="850"/>
    <n v="1300"/>
    <n v="0"/>
    <x v="1"/>
    <n v="13"/>
    <n v="3900"/>
    <n v="0"/>
    <n v="3900"/>
    <n v="2550"/>
    <n v="1350"/>
    <n v="0.34615384615384615"/>
    <s v="Understocked"/>
    <s v="Safe"/>
    <n v="0.34615384615384615"/>
    <s v="Safe"/>
    <n v="450"/>
    <n v="0.34615384615384615"/>
  </r>
  <r>
    <s v="ORD-10011"/>
    <x v="10"/>
    <s v="P008"/>
    <x v="4"/>
    <s v="Beverages"/>
    <s v="Soft Drinks"/>
    <s v="Sparkle"/>
    <s v="B04"/>
    <x v="5"/>
    <s v="Lagos"/>
    <x v="4"/>
    <s v="Walk-in"/>
    <s v="Card"/>
    <n v="2"/>
    <n v="330"/>
    <n v="550"/>
    <n v="0.15"/>
    <x v="0"/>
    <n v="13"/>
    <n v="1100"/>
    <n v="165"/>
    <n v="935"/>
    <n v="660"/>
    <n v="275"/>
    <n v="0.29411764705882354"/>
    <s v="Healthy"/>
    <s v="Safe"/>
    <n v="0.4"/>
    <s v="Safe"/>
    <n v="220"/>
    <n v="0.4"/>
  </r>
  <r>
    <s v="ORD-10012"/>
    <x v="11"/>
    <s v="P015"/>
    <x v="8"/>
    <s v="Personal Care"/>
    <s v="Bath"/>
    <s v="SilkyTouch"/>
    <s v="B03"/>
    <x v="6"/>
    <s v="Lagos"/>
    <x v="4"/>
    <s v="Member"/>
    <s v="Transfer"/>
    <n v="4"/>
    <n v="600"/>
    <n v="950"/>
    <n v="0.05"/>
    <x v="6"/>
    <n v="4"/>
    <n v="3800"/>
    <n v="190"/>
    <n v="3610"/>
    <n v="2400"/>
    <n v="1210"/>
    <n v="0.33518005540166207"/>
    <s v="Healthy"/>
    <s v="Safe"/>
    <n v="0.36842105263157893"/>
    <s v="Safe"/>
    <n v="350"/>
    <n v="0.36842105263157893"/>
  </r>
  <r>
    <s v="ORD-10013"/>
    <x v="12"/>
    <s v="P011"/>
    <x v="9"/>
    <s v="Household"/>
    <s v="Cleaning"/>
    <s v="CleanPro"/>
    <s v="B02"/>
    <x v="4"/>
    <s v="Abuja"/>
    <x v="2"/>
    <s v="Member"/>
    <s v="Card"/>
    <n v="2"/>
    <n v="2800"/>
    <n v="3900"/>
    <n v="0"/>
    <x v="7"/>
    <n v="14"/>
    <n v="7800"/>
    <n v="0"/>
    <n v="7800"/>
    <n v="5600"/>
    <n v="2200"/>
    <n v="0.28205128205128205"/>
    <s v="Healthy"/>
    <s v="Safe"/>
    <n v="0.28205128205128205"/>
    <s v="Safe"/>
    <n v="1100"/>
    <n v="0.28205128205128205"/>
  </r>
  <r>
    <s v="ORD-10014"/>
    <x v="13"/>
    <s v="P005"/>
    <x v="2"/>
    <s v="Food"/>
    <s v="Snacks"/>
    <s v="CrispyBite"/>
    <s v="B05"/>
    <x v="0"/>
    <s v="Kano"/>
    <x v="0"/>
    <s v="Corporate"/>
    <s v="POS"/>
    <n v="1"/>
    <n v="850"/>
    <n v="1300"/>
    <n v="0"/>
    <x v="8"/>
    <n v="4"/>
    <n v="1300"/>
    <n v="0"/>
    <n v="1300"/>
    <n v="850"/>
    <n v="450"/>
    <n v="0.34615384615384615"/>
    <s v="Understocked"/>
    <s v="Safe"/>
    <n v="0.34615384615384615"/>
    <s v="Safe"/>
    <n v="450"/>
    <n v="0.34615384615384615"/>
  </r>
  <r>
    <s v="ORD-10015"/>
    <x v="14"/>
    <s v="P004"/>
    <x v="1"/>
    <s v="Beverages"/>
    <s v="Dairy"/>
    <s v="FreshDay"/>
    <s v="B01"/>
    <x v="2"/>
    <s v="Abuja"/>
    <x v="2"/>
    <s v="Walk-in"/>
    <s v="POS"/>
    <n v="2"/>
    <n v="1650"/>
    <n v="2200"/>
    <n v="0.05"/>
    <x v="0"/>
    <n v="11"/>
    <n v="4400"/>
    <n v="220"/>
    <n v="4180"/>
    <n v="3300"/>
    <n v="880"/>
    <n v="0.21052631578947367"/>
    <s v="Understocked"/>
    <s v="Safe"/>
    <n v="0.25"/>
    <s v="Safe"/>
    <n v="550"/>
    <n v="0.25"/>
  </r>
  <r>
    <s v="ORD-10016"/>
    <x v="15"/>
    <s v="P002"/>
    <x v="10"/>
    <s v="Food"/>
    <s v="Grains"/>
    <s v="Mama's Pride"/>
    <s v="B06"/>
    <x v="1"/>
    <s v="Rivers"/>
    <x v="1"/>
    <s v="Walk-in"/>
    <s v="POS"/>
    <n v="5"/>
    <n v="6200"/>
    <n v="7900"/>
    <n v="0"/>
    <x v="9"/>
    <n v="7"/>
    <n v="39500"/>
    <n v="0"/>
    <n v="39500"/>
    <n v="31000"/>
    <n v="8500"/>
    <n v="0.21518987341772153"/>
    <s v="Healthy"/>
    <s v="Safe"/>
    <n v="0.21518987341772153"/>
    <s v="Safe"/>
    <n v="1700"/>
    <n v="0.21518987341772153"/>
  </r>
  <r>
    <s v="ORD-10017"/>
    <x v="16"/>
    <s v="P005"/>
    <x v="2"/>
    <s v="Food"/>
    <s v="Snacks"/>
    <s v="CrispyBite"/>
    <s v="B08"/>
    <x v="7"/>
    <s v="Kwara"/>
    <x v="2"/>
    <s v="Walk-in"/>
    <s v="Cash"/>
    <n v="-1"/>
    <n v="850"/>
    <n v="1300"/>
    <n v="0.15"/>
    <x v="1"/>
    <n v="14"/>
    <n v="-1300"/>
    <n v="-195"/>
    <n v="-1105"/>
    <n v="-850"/>
    <n v="-255"/>
    <n v="0.23076923076923078"/>
    <s v="Understocked"/>
    <s v="Discount loss"/>
    <n v="0.34615384615384615"/>
    <s v="Safe"/>
    <n v="450"/>
    <n v="0.34615384615384615"/>
  </r>
  <r>
    <s v="ORD-10018"/>
    <x v="17"/>
    <s v="P004"/>
    <x v="1"/>
    <s v="Beverages"/>
    <s v="Dairy"/>
    <s v="FreshDay"/>
    <s v="B04"/>
    <x v="5"/>
    <s v="Lagos"/>
    <x v="4"/>
    <s v="Walk-in"/>
    <s v="Transfer"/>
    <n v="1"/>
    <n v="1650"/>
    <n v="2200"/>
    <n v="0.05"/>
    <x v="2"/>
    <n v="5"/>
    <n v="2200"/>
    <n v="110"/>
    <n v="2090"/>
    <n v="1650"/>
    <n v="440"/>
    <n v="0.21052631578947367"/>
    <s v="Understocked"/>
    <s v="Safe"/>
    <n v="0.25"/>
    <s v="Safe"/>
    <n v="550"/>
    <n v="0.25"/>
  </r>
  <r>
    <s v="ORD-10019"/>
    <x v="18"/>
    <s v="P006"/>
    <x v="0"/>
    <s v="Beverages"/>
    <s v="Water"/>
    <s v="AquaPure"/>
    <s v="B06"/>
    <x v="1"/>
    <s v="Rivers"/>
    <x v="1"/>
    <s v="Member"/>
    <s v="Transfer"/>
    <n v="4"/>
    <n v="230"/>
    <n v="400"/>
    <n v="0.15"/>
    <x v="3"/>
    <n v="5"/>
    <n v="1600"/>
    <n v="240"/>
    <n v="1360"/>
    <n v="920"/>
    <n v="440"/>
    <n v="0.3235294117647059"/>
    <s v="Understocked"/>
    <s v="Safe"/>
    <n v="0.42499999999999999"/>
    <s v="Safe"/>
    <n v="170"/>
    <n v="0.42499999999999999"/>
  </r>
  <r>
    <s v="ORD-10020"/>
    <x v="19"/>
    <s v="P011"/>
    <x v="9"/>
    <s v="Household"/>
    <s v="Cleaning"/>
    <s v="CleanPro"/>
    <s v="B04"/>
    <x v="5"/>
    <s v="Lagos"/>
    <x v="4"/>
    <s v="Member"/>
    <s v="Transfer"/>
    <n v="4"/>
    <n v="2800"/>
    <n v="3900"/>
    <n v="0"/>
    <x v="1"/>
    <n v="3"/>
    <n v="15600"/>
    <n v="0"/>
    <n v="15600"/>
    <n v="11200"/>
    <n v="4400"/>
    <n v="0.28205128205128205"/>
    <s v="Healthy"/>
    <s v="Safe"/>
    <n v="0.28205128205128205"/>
    <s v="Safe"/>
    <n v="1100"/>
    <n v="0.28205128205128205"/>
  </r>
  <r>
    <s v="ORD-10021"/>
    <x v="20"/>
    <s v="P002"/>
    <x v="10"/>
    <s v="Food"/>
    <s v="Grains"/>
    <s v="Mama's Pride"/>
    <s v="B02"/>
    <x v="4"/>
    <s v="Abuja"/>
    <x v="2"/>
    <s v="Walk-in"/>
    <s v="Cash"/>
    <n v="3"/>
    <n v="6200"/>
    <n v="7900"/>
    <n v="0.1"/>
    <x v="1"/>
    <n v="4"/>
    <n v="23700"/>
    <n v="2370"/>
    <n v="21330"/>
    <n v="18600"/>
    <n v="2730"/>
    <n v="0.12798874824191281"/>
    <s v="Healthy"/>
    <s v="Safe"/>
    <n v="0.21518987341772153"/>
    <s v="Safe"/>
    <n v="1700"/>
    <n v="0.21518987341772153"/>
  </r>
  <r>
    <s v="ORD-10022"/>
    <x v="21"/>
    <s v="P013"/>
    <x v="11"/>
    <s v="Personal Care"/>
    <s v="Skin Care"/>
    <s v="GlowPlus"/>
    <s v="B03"/>
    <x v="6"/>
    <s v="Lagos"/>
    <x v="4"/>
    <s v="Corporate"/>
    <s v="Card"/>
    <n v="3"/>
    <n v="3500"/>
    <n v="5200"/>
    <n v="0.05"/>
    <x v="10"/>
    <n v="6"/>
    <n v="15600"/>
    <n v="780"/>
    <n v="14820"/>
    <n v="10500"/>
    <n v="4320"/>
    <n v="0.291497975708502"/>
    <s v="Healthy"/>
    <s v="Safe"/>
    <n v="0.32692307692307693"/>
    <s v="Safe"/>
    <n v="1700"/>
    <n v="0.32692307692307693"/>
  </r>
  <r>
    <s v="ORD-10023"/>
    <x v="22"/>
    <s v="P003"/>
    <x v="12"/>
    <s v="Food"/>
    <s v="Cooking Oil"/>
    <s v="SunGold"/>
    <s v="B05"/>
    <x v="0"/>
    <s v="Kano"/>
    <x v="0"/>
    <s v="Corporate"/>
    <s v="Cash"/>
    <n v="2"/>
    <n v="7800"/>
    <n v="9800"/>
    <n v="0.2"/>
    <x v="1"/>
    <n v="10"/>
    <n v="19600"/>
    <n v="3920"/>
    <n v="15680"/>
    <n v="15600"/>
    <n v="80"/>
    <n v="5.1020408163265302E-3"/>
    <s v="Understocked"/>
    <s v="Safe"/>
    <n v="0.20408163265306123"/>
    <s v="Safe"/>
    <n v="2000"/>
    <n v="0.20408163265306123"/>
  </r>
  <r>
    <s v="ORD-10024"/>
    <x v="23"/>
    <s v="P009"/>
    <x v="13"/>
    <s v="Household"/>
    <s v="Cleaning"/>
    <s v="BrightWash"/>
    <s v="B04"/>
    <x v="5"/>
    <s v="Lagos"/>
    <x v="4"/>
    <s v="Walk-in"/>
    <s v="Card"/>
    <n v="1"/>
    <n v="2400"/>
    <n v="3400"/>
    <n v="0.05"/>
    <x v="10"/>
    <n v="3"/>
    <n v="3400"/>
    <n v="170"/>
    <n v="3230"/>
    <n v="2400"/>
    <n v="830"/>
    <n v="0.25696594427244585"/>
    <s v="Healthy"/>
    <s v="Safe"/>
    <n v="0.29411764705882354"/>
    <s v="Safe"/>
    <n v="1000"/>
    <n v="0.29411764705882354"/>
  </r>
  <r>
    <s v="ORD-10025"/>
    <x v="24"/>
    <s v="P015"/>
    <x v="8"/>
    <s v="Personal Care"/>
    <s v="Bath"/>
    <s v="SilkyTouch"/>
    <s v="B05"/>
    <x v="0"/>
    <s v="Kano"/>
    <x v="0"/>
    <s v="Walk-in"/>
    <s v="POS"/>
    <n v="10"/>
    <n v="600"/>
    <n v="950"/>
    <n v="0.1"/>
    <x v="11"/>
    <n v="11"/>
    <n v="9500"/>
    <n v="950"/>
    <n v="8550"/>
    <n v="6000"/>
    <n v="2550"/>
    <n v="0.2982456140350877"/>
    <s v="Healthy"/>
    <s v="Safe"/>
    <n v="0.36842105263157893"/>
    <s v="Safe"/>
    <n v="350"/>
    <n v="0.36842105263157893"/>
  </r>
  <r>
    <s v="ORD-10026"/>
    <x v="25"/>
    <s v="P006"/>
    <x v="0"/>
    <s v="Beverages"/>
    <s v="Water"/>
    <s v="AquaPure"/>
    <s v="B07"/>
    <x v="3"/>
    <s v="Enugu"/>
    <x v="3"/>
    <s v="Walk-in"/>
    <s v="Card"/>
    <n v="4"/>
    <n v="230"/>
    <n v="400"/>
    <n v="0"/>
    <x v="2"/>
    <n v="4"/>
    <n v="1600"/>
    <n v="0"/>
    <n v="1600"/>
    <n v="920"/>
    <n v="680"/>
    <n v="0.42499999999999999"/>
    <s v="Understocked"/>
    <s v="Safe"/>
    <n v="0.42499999999999999"/>
    <s v="Safe"/>
    <n v="170"/>
    <n v="0.42499999999999999"/>
  </r>
  <r>
    <s v="ORD-10027"/>
    <x v="26"/>
    <s v="P009"/>
    <x v="13"/>
    <s v="Household"/>
    <s v="Cleaning"/>
    <s v="BrightWash"/>
    <s v="B03"/>
    <x v="6"/>
    <s v="Lagos"/>
    <x v="4"/>
    <s v="Member"/>
    <s v="POS"/>
    <n v="6"/>
    <n v="2400"/>
    <n v="3400"/>
    <n v="0"/>
    <x v="7"/>
    <n v="1"/>
    <n v="20400"/>
    <n v="0"/>
    <n v="20400"/>
    <n v="14400"/>
    <n v="6000"/>
    <n v="0.29411764705882354"/>
    <s v="Healthy"/>
    <s v="Safe"/>
    <n v="0.29411764705882354"/>
    <s v="Safe"/>
    <n v="1000"/>
    <n v="0.29411764705882354"/>
  </r>
  <r>
    <s v="ORD-10028"/>
    <x v="27"/>
    <s v="P013"/>
    <x v="11"/>
    <s v="Personal Care"/>
    <s v="Skin Care"/>
    <s v="GlowPlus"/>
    <s v="B03"/>
    <x v="6"/>
    <s v="Lagos"/>
    <x v="4"/>
    <s v="Walk-in"/>
    <s v="Cash"/>
    <n v="4"/>
    <n v="3500"/>
    <n v="5200"/>
    <n v="0.1"/>
    <x v="6"/>
    <n v="12"/>
    <n v="20800"/>
    <n v="2080"/>
    <n v="18720"/>
    <n v="14000"/>
    <n v="4720"/>
    <n v="0.25213675213675213"/>
    <s v="Healthy"/>
    <s v="Safe"/>
    <n v="0.32692307692307693"/>
    <s v="Safe"/>
    <n v="1700"/>
    <n v="0.32692307692307693"/>
  </r>
  <r>
    <s v="ORD-10029"/>
    <x v="28"/>
    <s v="P001"/>
    <x v="14"/>
    <s v="Food"/>
    <s v="Grains"/>
    <s v="Golden Harvest"/>
    <s v="B03"/>
    <x v="6"/>
    <s v="Lagos"/>
    <x v="4"/>
    <s v="Walk-in"/>
    <s v="Transfer"/>
    <n v="3"/>
    <n v="14500"/>
    <n v="17500"/>
    <n v="0.05"/>
    <x v="9"/>
    <n v="6"/>
    <n v="52500"/>
    <n v="2625"/>
    <n v="49875"/>
    <n v="43500"/>
    <n v="6375"/>
    <n v="0.12781954887218044"/>
    <s v="Understocked"/>
    <s v="Safe"/>
    <n v="0.17142857142857143"/>
    <s v="Safe"/>
    <n v="3000"/>
    <n v="0.17142857142857143"/>
  </r>
  <r>
    <s v="ORD-10030"/>
    <x v="29"/>
    <s v="P014"/>
    <x v="15"/>
    <s v="Personal Care"/>
    <s v="Oral Care"/>
    <s v="FreshMint"/>
    <s v="B03"/>
    <x v="6"/>
    <s v="Lagos"/>
    <x v="4"/>
    <s v="Corporate"/>
    <s v="POS"/>
    <n v="3"/>
    <n v="1200"/>
    <n v="1900"/>
    <n v="0.15"/>
    <x v="6"/>
    <n v="14"/>
    <n v="5700"/>
    <n v="855"/>
    <n v="4845"/>
    <n v="3600"/>
    <n v="1245"/>
    <n v="0.25696594427244585"/>
    <s v="Healthy"/>
    <s v="Safe"/>
    <n v="0.36842105263157893"/>
    <s v="Safe"/>
    <n v="700"/>
    <n v="0.36842105263157893"/>
  </r>
  <r>
    <s v="ORD-10031"/>
    <x v="30"/>
    <s v="P020"/>
    <x v="5"/>
    <s v="Electronics"/>
    <s v="Lighting"/>
    <s v="Luma"/>
    <s v="B01"/>
    <x v="2"/>
    <s v="Abuja"/>
    <x v="2"/>
    <s v="Corporate"/>
    <s v="POS"/>
    <n v="4"/>
    <n v="1500"/>
    <n v="2500"/>
    <n v="0.05"/>
    <x v="12"/>
    <n v="13"/>
    <n v="10000"/>
    <n v="500"/>
    <n v="9500"/>
    <n v="6000"/>
    <n v="3500"/>
    <n v="0.36842105263157893"/>
    <s v="Healthy"/>
    <s v="Safe"/>
    <n v="0.4"/>
    <s v="Safe"/>
    <n v="1000"/>
    <n v="0.4"/>
  </r>
  <r>
    <s v="ORD-10032"/>
    <x v="31"/>
    <s v="P018"/>
    <x v="16"/>
    <s v="Electronics"/>
    <s v="Mobile Accessories"/>
    <s v="VoltSafe"/>
    <s v="B01"/>
    <x v="2"/>
    <s v="Abuja"/>
    <x v="2"/>
    <s v="Walk-in"/>
    <s v="POS"/>
    <n v="6"/>
    <n v="18000"/>
    <n v="24500"/>
    <n v="0.15"/>
    <x v="13"/>
    <n v="6"/>
    <n v="147000"/>
    <n v="22050"/>
    <n v="124950"/>
    <n v="108000"/>
    <n v="16950"/>
    <n v="0.13565426170468187"/>
    <s v="Understocked"/>
    <s v="Safe"/>
    <n v="0.26530612244897961"/>
    <s v="Safe"/>
    <n v="6500"/>
    <n v="0.26530612244897961"/>
  </r>
  <r>
    <s v="ORD-10033"/>
    <x v="32"/>
    <s v="P005"/>
    <x v="2"/>
    <s v="Food"/>
    <s v="Snacks"/>
    <s v="CrispyBite"/>
    <s v="B05"/>
    <x v="0"/>
    <s v="Kano"/>
    <x v="0"/>
    <s v="Walk-in"/>
    <s v="POS"/>
    <n v="2"/>
    <n v="850"/>
    <n v="1300"/>
    <n v="0"/>
    <x v="8"/>
    <n v="11"/>
    <n v="2600"/>
    <n v="0"/>
    <n v="2600"/>
    <n v="1700"/>
    <n v="900"/>
    <n v="0.34615384615384615"/>
    <s v="Understocked"/>
    <s v="Safe"/>
    <n v="0.34615384615384615"/>
    <s v="Safe"/>
    <n v="450"/>
    <n v="0.34615384615384615"/>
  </r>
  <r>
    <s v="ORD-10034"/>
    <x v="33"/>
    <s v="P023"/>
    <x v="6"/>
    <s v="Office Supplies"/>
    <s v="Stationery"/>
    <s v="StudyPro"/>
    <s v="B04"/>
    <x v="5"/>
    <s v="Lagos"/>
    <x v="4"/>
    <s v="Corporate"/>
    <s v="Cash"/>
    <n v="8"/>
    <n v="2800"/>
    <n v="4200"/>
    <n v="0"/>
    <x v="14"/>
    <n v="1"/>
    <n v="33600"/>
    <n v="0"/>
    <n v="33600"/>
    <n v="22400"/>
    <n v="11200"/>
    <n v="0.33333333333333331"/>
    <s v="Understocked"/>
    <s v="Safe"/>
    <n v="0.33333333333333331"/>
    <s v="Safe"/>
    <n v="1400"/>
    <n v="0.33333333333333331"/>
  </r>
  <r>
    <s v="ORD-10035"/>
    <x v="34"/>
    <s v="P006"/>
    <x v="0"/>
    <s v="Beverages"/>
    <s v="Water"/>
    <s v="AquaPure"/>
    <s v="B06"/>
    <x v="1"/>
    <s v="Rivers"/>
    <x v="1"/>
    <s v="Walk-in"/>
    <s v="POS"/>
    <n v="2"/>
    <n v="230"/>
    <n v="400"/>
    <n v="0.2"/>
    <x v="3"/>
    <n v="5"/>
    <n v="800"/>
    <n v="160"/>
    <n v="640"/>
    <n v="460"/>
    <n v="180"/>
    <n v="0.28125"/>
    <s v="Understocked"/>
    <s v="Safe"/>
    <n v="0.42499999999999999"/>
    <s v="Safe"/>
    <n v="170"/>
    <n v="0.42499999999999999"/>
  </r>
  <r>
    <s v="ORD-10036"/>
    <x v="35"/>
    <s v="P001"/>
    <x v="14"/>
    <s v="Food"/>
    <s v="Grains"/>
    <s v="Golden Harvest"/>
    <s v="B08"/>
    <x v="7"/>
    <s v="Kwara"/>
    <x v="2"/>
    <s v="Member"/>
    <s v="POS"/>
    <n v="3"/>
    <n v="14500"/>
    <n v="17500"/>
    <n v="0.1"/>
    <x v="8"/>
    <n v="7"/>
    <n v="52500"/>
    <n v="5250"/>
    <n v="47250"/>
    <n v="43500"/>
    <n v="3750"/>
    <n v="7.9365079365079361E-2"/>
    <s v="Understocked"/>
    <s v="Safe"/>
    <n v="0.17142857142857143"/>
    <s v="Safe"/>
    <n v="3000"/>
    <n v="0.17142857142857143"/>
  </r>
  <r>
    <s v="ORD-10037"/>
    <x v="36"/>
    <s v="P022"/>
    <x v="17"/>
    <s v="Office Supplies"/>
    <s v="Writing"/>
    <s v="WriteWell"/>
    <s v="B05"/>
    <x v="0"/>
    <s v="Kano"/>
    <x v="0"/>
    <s v="Member"/>
    <s v="Transfer"/>
    <n v="4"/>
    <n v="1300"/>
    <n v="2100"/>
    <n v="0"/>
    <x v="5"/>
    <n v="7"/>
    <n v="8400"/>
    <n v="0"/>
    <n v="8400"/>
    <n v="5200"/>
    <n v="3200"/>
    <n v="0.38095238095238093"/>
    <s v="Understocked"/>
    <s v="Safe"/>
    <n v="0.38095238095238093"/>
    <s v="Safe"/>
    <n v="800"/>
    <n v="0.38095238095238093"/>
  </r>
  <r>
    <s v="ORD-10038"/>
    <x v="37"/>
    <s v="P006"/>
    <x v="0"/>
    <s v="Beverages"/>
    <s v="Water"/>
    <s v="AquaPure"/>
    <s v="B01"/>
    <x v="2"/>
    <s v="Abuja"/>
    <x v="2"/>
    <s v="Member"/>
    <s v="POS"/>
    <n v="2"/>
    <n v="230"/>
    <n v="400"/>
    <n v="0.2"/>
    <x v="0"/>
    <n v="10"/>
    <n v="800"/>
    <n v="160"/>
    <n v="640"/>
    <n v="460"/>
    <n v="180"/>
    <n v="0.28125"/>
    <s v="Understocked"/>
    <s v="Safe"/>
    <n v="0.42499999999999999"/>
    <s v="Safe"/>
    <n v="170"/>
    <n v="0.42499999999999999"/>
  </r>
  <r>
    <s v="ORD-10039"/>
    <x v="38"/>
    <s v="P019"/>
    <x v="18"/>
    <s v="Electronics"/>
    <s v="Audio"/>
    <s v="SoundBeat"/>
    <s v="B03"/>
    <x v="6"/>
    <s v="Lagos"/>
    <x v="4"/>
    <s v="Member"/>
    <s v="Transfer"/>
    <n v="1"/>
    <n v="12500"/>
    <n v="18500"/>
    <n v="0.15"/>
    <x v="13"/>
    <n v="8"/>
    <n v="18500"/>
    <n v="2775"/>
    <n v="15725"/>
    <n v="12500"/>
    <n v="3225"/>
    <n v="0.20508744038155802"/>
    <s v="Understocked"/>
    <s v="Safe"/>
    <n v="0.32432432432432434"/>
    <s v="Safe"/>
    <n v="6000"/>
    <n v="0.32432432432432434"/>
  </r>
  <r>
    <s v="ORD-10040"/>
    <x v="39"/>
    <s v="P008"/>
    <x v="4"/>
    <s v="Beverages"/>
    <s v="Soft Drinks"/>
    <s v="Sparkle"/>
    <s v="B07"/>
    <x v="3"/>
    <s v="Enugu"/>
    <x v="3"/>
    <s v="Walk-in"/>
    <s v="Transfer"/>
    <n v="5"/>
    <n v="330"/>
    <n v="550"/>
    <n v="0"/>
    <x v="0"/>
    <n v="10"/>
    <n v="2750"/>
    <n v="0"/>
    <n v="2750"/>
    <n v="1650"/>
    <n v="1100"/>
    <n v="0.4"/>
    <s v="Healthy"/>
    <s v="Safe"/>
    <n v="0.4"/>
    <s v="Safe"/>
    <n v="220"/>
    <n v="0.4"/>
  </r>
  <r>
    <s v="ORD-10041"/>
    <x v="40"/>
    <s v="P014"/>
    <x v="15"/>
    <s v="Personal Care"/>
    <s v="Oral Care"/>
    <s v="FreshMint"/>
    <s v="B02"/>
    <x v="4"/>
    <s v="Abuja"/>
    <x v="2"/>
    <s v="Walk-in"/>
    <s v="Transfer"/>
    <n v="1"/>
    <n v="1200"/>
    <n v="1900"/>
    <n v="0"/>
    <x v="6"/>
    <n v="8"/>
    <n v="1900"/>
    <n v="0"/>
    <n v="1900"/>
    <n v="1200"/>
    <n v="700"/>
    <n v="0.36842105263157893"/>
    <s v="Healthy"/>
    <s v="Safe"/>
    <n v="0.36842105263157893"/>
    <s v="Safe"/>
    <n v="700"/>
    <n v="0.36842105263157893"/>
  </r>
  <r>
    <s v="ORD-10042"/>
    <x v="41"/>
    <s v="P011"/>
    <x v="9"/>
    <s v="Household"/>
    <s v="Cleaning"/>
    <s v="CleanPro"/>
    <s v="B06"/>
    <x v="1"/>
    <s v="Rivers"/>
    <x v="1"/>
    <s v="Walk-in"/>
    <s v="POS"/>
    <n v="2"/>
    <n v="2800"/>
    <n v="3900"/>
    <n v="0.05"/>
    <x v="7"/>
    <n v="13"/>
    <n v="7800"/>
    <n v="390"/>
    <n v="7410"/>
    <n v="5600"/>
    <n v="1810"/>
    <n v="0.24426450742240216"/>
    <s v="Healthy"/>
    <s v="Safe"/>
    <n v="0.28205128205128205"/>
    <s v="Safe"/>
    <n v="1100"/>
    <n v="0.28205128205128205"/>
  </r>
  <r>
    <s v="ORD-10043"/>
    <x v="30"/>
    <s v="P018"/>
    <x v="16"/>
    <s v="Electronics"/>
    <s v="Mobile Accessories"/>
    <s v="VoltSafe"/>
    <s v="B06"/>
    <x v="1"/>
    <s v="Rivers"/>
    <x v="1"/>
    <s v="Member"/>
    <s v="Cash"/>
    <n v="2"/>
    <n v="18000"/>
    <n v="24500"/>
    <n v="0.1"/>
    <x v="4"/>
    <n v="13"/>
    <n v="49000"/>
    <n v="4900"/>
    <n v="44100"/>
    <n v="36000"/>
    <n v="8100"/>
    <n v="0.18367346938775511"/>
    <s v="Understocked"/>
    <s v="Safe"/>
    <n v="0.26530612244897961"/>
    <s v="Safe"/>
    <n v="6500"/>
    <n v="0.26530612244897961"/>
  </r>
  <r>
    <s v="ORD-10044"/>
    <x v="42"/>
    <s v="P024"/>
    <x v="19"/>
    <s v="Office Supplies"/>
    <s v="Accessories"/>
    <s v="ErgoDesk"/>
    <s v="B04"/>
    <x v="5"/>
    <s v="Lagos"/>
    <x v="4"/>
    <s v="Member"/>
    <s v="POS"/>
    <n v="8"/>
    <n v="1700"/>
    <n v="2800"/>
    <n v="0.25"/>
    <x v="5"/>
    <n v="7"/>
    <n v="22400"/>
    <n v="5600"/>
    <n v="16800"/>
    <n v="13600"/>
    <n v="3200"/>
    <n v="0.19047619047619047"/>
    <s v="Overstocked"/>
    <s v="Safe"/>
    <n v="0.39285714285714285"/>
    <s v="Safe"/>
    <n v="1100"/>
    <n v="0.39285714285714285"/>
  </r>
  <r>
    <s v="ORD-10045"/>
    <x v="38"/>
    <s v="P008"/>
    <x v="4"/>
    <s v="Beverages"/>
    <s v="Soft Drinks"/>
    <s v="Sparkle"/>
    <s v="B02"/>
    <x v="4"/>
    <s v="Abuja"/>
    <x v="2"/>
    <s v="Member"/>
    <s v="POS"/>
    <n v="6"/>
    <n v="330"/>
    <n v="550"/>
    <n v="0.05"/>
    <x v="2"/>
    <n v="13"/>
    <n v="3300"/>
    <n v="165"/>
    <n v="3135"/>
    <n v="1980"/>
    <n v="1155"/>
    <n v="0.36842105263157893"/>
    <s v="Healthy"/>
    <s v="Safe"/>
    <n v="0.4"/>
    <s v="Safe"/>
    <n v="220"/>
    <n v="0.4"/>
  </r>
  <r>
    <s v="ORD-10046"/>
    <x v="43"/>
    <s v="P013"/>
    <x v="11"/>
    <s v="Personal Care"/>
    <s v="Skin Care"/>
    <s v="GlowPlus"/>
    <s v="B03"/>
    <x v="6"/>
    <s v="Lagos"/>
    <x v="4"/>
    <s v="Walk-in"/>
    <s v="Card"/>
    <n v="1"/>
    <n v="3500"/>
    <n v="5200"/>
    <n v="0"/>
    <x v="10"/>
    <n v="2"/>
    <n v="5200"/>
    <n v="0"/>
    <n v="5200"/>
    <n v="3500"/>
    <n v="1700"/>
    <n v="0.32692307692307693"/>
    <s v="Healthy"/>
    <s v="Safe"/>
    <n v="0.32692307692307693"/>
    <s v="Safe"/>
    <n v="1700"/>
    <n v="0.32692307692307693"/>
  </r>
  <r>
    <s v="ORD-10047"/>
    <x v="44"/>
    <s v="P007"/>
    <x v="3"/>
    <s v="Beverages"/>
    <s v="Malt"/>
    <s v="Naija Malt"/>
    <s v="B02"/>
    <x v="4"/>
    <s v="Abuja"/>
    <x v="2"/>
    <s v="Walk-in"/>
    <s v="Transfer"/>
    <n v="1"/>
    <n v="550"/>
    <n v="850"/>
    <n v="0.05"/>
    <x v="3"/>
    <n v="4"/>
    <n v="850"/>
    <n v="42.5"/>
    <n v="807.5"/>
    <n v="550"/>
    <n v="257.5"/>
    <n v="0.31888544891640869"/>
    <s v="Healthy"/>
    <s v="Safe"/>
    <n v="0.35294117647058826"/>
    <s v="Safe"/>
    <n v="300"/>
    <n v="0.35294117647058826"/>
  </r>
  <r>
    <s v="ORD-10048"/>
    <x v="45"/>
    <s v="P021"/>
    <x v="20"/>
    <s v="Office Supplies"/>
    <s v="Paper"/>
    <s v="OfficeMate"/>
    <s v="B04"/>
    <x v="5"/>
    <s v="Lagos"/>
    <x v="4"/>
    <s v="Member"/>
    <s v="Transfer"/>
    <n v="4"/>
    <n v="5200"/>
    <n v="7000"/>
    <n v="0.25"/>
    <x v="15"/>
    <n v="6"/>
    <n v="28000"/>
    <n v="7000"/>
    <n v="21000"/>
    <n v="20800"/>
    <n v="200"/>
    <n v="9.5238095238095247E-3"/>
    <s v="Overstocked"/>
    <s v="Safe"/>
    <n v="0.25714285714285712"/>
    <s v="Safe"/>
    <n v="1800"/>
    <n v="0.25714285714285712"/>
  </r>
  <r>
    <s v="ORD-10049"/>
    <x v="45"/>
    <s v="P020"/>
    <x v="5"/>
    <s v="Electronics"/>
    <s v="Lighting"/>
    <s v="Luma"/>
    <s v="B08"/>
    <x v="7"/>
    <s v="Kwara"/>
    <x v="2"/>
    <s v="Walk-in"/>
    <s v="POS"/>
    <n v="2"/>
    <n v="1500"/>
    <n v="2500"/>
    <n v="0.1"/>
    <x v="4"/>
    <n v="8"/>
    <n v="5000"/>
    <n v="500"/>
    <n v="4500"/>
    <n v="3000"/>
    <n v="1500"/>
    <n v="0.33333333333333331"/>
    <s v="Healthy"/>
    <s v="Safe"/>
    <n v="0.4"/>
    <s v="Safe"/>
    <n v="1000"/>
    <n v="0.4"/>
  </r>
  <r>
    <s v="ORD-10050"/>
    <x v="35"/>
    <s v="P008"/>
    <x v="4"/>
    <s v="Beverages"/>
    <s v="Soft Drinks"/>
    <s v="Sparkle"/>
    <s v="B03"/>
    <x v="6"/>
    <s v="Lagos"/>
    <x v="4"/>
    <s v="Member"/>
    <s v="POS"/>
    <n v="4"/>
    <n v="330"/>
    <n v="550"/>
    <n v="0.15"/>
    <x v="3"/>
    <n v="10"/>
    <n v="2200"/>
    <n v="330"/>
    <n v="1870"/>
    <n v="1320"/>
    <n v="550"/>
    <n v="0.29411764705882354"/>
    <s v="Healthy"/>
    <s v="Safe"/>
    <n v="0.4"/>
    <s v="Safe"/>
    <n v="220"/>
    <n v="0.4"/>
  </r>
  <r>
    <s v="ORD-10051"/>
    <x v="46"/>
    <s v="P011"/>
    <x v="9"/>
    <s v="Household"/>
    <s v="Cleaning"/>
    <s v="CleanPro"/>
    <s v="B05"/>
    <x v="0"/>
    <s v="Kano"/>
    <x v="0"/>
    <s v="Member"/>
    <s v="Cash"/>
    <n v="1"/>
    <n v="2800"/>
    <n v="3900"/>
    <n v="0.05"/>
    <x v="10"/>
    <n v="7"/>
    <n v="3900"/>
    <n v="195"/>
    <n v="3705"/>
    <n v="2800"/>
    <n v="905"/>
    <n v="0.24426450742240216"/>
    <s v="Healthy"/>
    <s v="Safe"/>
    <n v="0.28205128205128205"/>
    <s v="Safe"/>
    <n v="1100"/>
    <n v="0.28205128205128205"/>
  </r>
  <r>
    <s v="ORD-10052"/>
    <x v="18"/>
    <s v="P006"/>
    <x v="0"/>
    <s v="Beverages"/>
    <s v="Water"/>
    <s v="AquaPure"/>
    <s v="B06"/>
    <x v="1"/>
    <s v="Rivers"/>
    <x v="1"/>
    <s v="Member"/>
    <s v="Card"/>
    <n v="2"/>
    <n v="230"/>
    <n v="400"/>
    <n v="0.1"/>
    <x v="3"/>
    <n v="8"/>
    <n v="800"/>
    <n v="80"/>
    <n v="720"/>
    <n v="460"/>
    <n v="260"/>
    <n v="0.3611111111111111"/>
    <s v="Understocked"/>
    <s v="Safe"/>
    <n v="0.42499999999999999"/>
    <s v="Safe"/>
    <n v="170"/>
    <n v="0.42499999999999999"/>
  </r>
  <r>
    <s v="ORD-10053"/>
    <x v="47"/>
    <s v="P001"/>
    <x v="14"/>
    <s v="Food"/>
    <s v="Grains"/>
    <s v="Golden Harvest"/>
    <s v="B08"/>
    <x v="7"/>
    <s v="Kwara"/>
    <x v="2"/>
    <s v="Corporate"/>
    <s v="Cash"/>
    <n v="2"/>
    <n v="14500"/>
    <n v="17500"/>
    <n v="0"/>
    <x v="9"/>
    <n v="4"/>
    <n v="35000"/>
    <n v="0"/>
    <n v="35000"/>
    <n v="29000"/>
    <n v="6000"/>
    <n v="0.17142857142857143"/>
    <s v="Understocked"/>
    <s v="Safe"/>
    <n v="0.17142857142857143"/>
    <s v="Safe"/>
    <n v="3000"/>
    <n v="0.17142857142857143"/>
  </r>
  <r>
    <s v="ORD-10054"/>
    <x v="12"/>
    <s v="P013"/>
    <x v="11"/>
    <s v="Personal Care"/>
    <s v="Skin Care"/>
    <s v="GlowPlus"/>
    <s v="B02"/>
    <x v="4"/>
    <s v="Abuja"/>
    <x v="2"/>
    <s v="Corporate"/>
    <s v="Transfer"/>
    <n v="3"/>
    <n v="3500"/>
    <n v="5200"/>
    <n v="0"/>
    <x v="11"/>
    <n v="13"/>
    <n v="15600"/>
    <n v="0"/>
    <n v="15600"/>
    <n v="10500"/>
    <n v="5100"/>
    <n v="0.32692307692307693"/>
    <s v="Healthy"/>
    <s v="Safe"/>
    <n v="0.32692307692307693"/>
    <s v="Safe"/>
    <n v="1700"/>
    <n v="0.32692307692307693"/>
  </r>
  <r>
    <s v="ORD-10055"/>
    <x v="48"/>
    <s v="P012"/>
    <x v="21"/>
    <s v="Household"/>
    <s v="Home Care"/>
    <s v="HomeFresh"/>
    <s v="B06"/>
    <x v="1"/>
    <s v="Rivers"/>
    <x v="1"/>
    <s v="Corporate"/>
    <s v="Cash"/>
    <n v="1"/>
    <n v="1700"/>
    <n v="2600"/>
    <n v="0.15"/>
    <x v="7"/>
    <n v="5"/>
    <n v="2600"/>
    <n v="390"/>
    <n v="2210"/>
    <n v="1700"/>
    <n v="510"/>
    <n v="0.23076923076923078"/>
    <s v="Overstocked"/>
    <s v="Safe"/>
    <n v="0.34615384615384615"/>
    <s v="Safe"/>
    <n v="900"/>
    <n v="0.34615384615384615"/>
  </r>
  <r>
    <s v="ORD-10056"/>
    <x v="49"/>
    <s v="P007"/>
    <x v="3"/>
    <s v="Beverages"/>
    <s v="Malt"/>
    <s v="Naija Malt"/>
    <s v="B06"/>
    <x v="1"/>
    <s v="Rivers"/>
    <x v="1"/>
    <s v="Member"/>
    <s v="Cash"/>
    <n v="1"/>
    <n v="550"/>
    <n v="850"/>
    <n v="0.1"/>
    <x v="2"/>
    <n v="14"/>
    <n v="850"/>
    <n v="85"/>
    <n v="765"/>
    <n v="550"/>
    <n v="215"/>
    <n v="0.28104575163398693"/>
    <s v="Healthy"/>
    <s v="Safe"/>
    <n v="0.35294117647058826"/>
    <s v="Safe"/>
    <n v="300"/>
    <n v="0.35294117647058826"/>
  </r>
  <r>
    <s v="ORD-10057"/>
    <x v="50"/>
    <s v="P018"/>
    <x v="16"/>
    <s v="Electronics"/>
    <s v="Mobile Accessories"/>
    <s v="VoltSafe"/>
    <s v="B04"/>
    <x v="5"/>
    <s v="Lagos"/>
    <x v="4"/>
    <s v="Member"/>
    <s v="Cash"/>
    <n v="-1"/>
    <n v="18000"/>
    <n v="24500"/>
    <n v="0.05"/>
    <x v="12"/>
    <n v="6"/>
    <n v="-24500"/>
    <n v="-1225"/>
    <n v="-23275"/>
    <n v="-18000"/>
    <n v="-5275"/>
    <n v="0.22663802363050484"/>
    <s v="Understocked"/>
    <s v="Discount loss"/>
    <n v="0.26530612244897961"/>
    <s v="Safe"/>
    <n v="6500"/>
    <n v="0.26530612244897961"/>
  </r>
  <r>
    <s v="ORD-10058"/>
    <x v="51"/>
    <s v="P003"/>
    <x v="12"/>
    <s v="Food"/>
    <s v="Cooking Oil"/>
    <s v="SunGold"/>
    <s v="B08"/>
    <x v="7"/>
    <s v="Kwara"/>
    <x v="2"/>
    <s v="Member"/>
    <s v="Transfer"/>
    <n v="3"/>
    <n v="7800"/>
    <n v="9800"/>
    <n v="0.15"/>
    <x v="1"/>
    <n v="9"/>
    <n v="29400"/>
    <n v="4410"/>
    <n v="24990"/>
    <n v="23400"/>
    <n v="1590"/>
    <n v="6.3625450180072027E-2"/>
    <s v="Understocked"/>
    <s v="Safe"/>
    <n v="0.20408163265306123"/>
    <s v="Safe"/>
    <n v="2000"/>
    <n v="0.20408163265306123"/>
  </r>
  <r>
    <s v="ORD-10059"/>
    <x v="52"/>
    <s v="P013"/>
    <x v="11"/>
    <s v="Personal Care"/>
    <s v="Skin Care"/>
    <s v="GlowPlus"/>
    <s v="B07"/>
    <x v="3"/>
    <s v="Enugu"/>
    <x v="3"/>
    <s v="Member"/>
    <s v="POS"/>
    <n v="5"/>
    <n v="3500"/>
    <n v="5200"/>
    <n v="0.05"/>
    <x v="11"/>
    <n v="14"/>
    <n v="26000"/>
    <n v="1300"/>
    <n v="24700"/>
    <n v="17500"/>
    <n v="7200"/>
    <n v="0.291497975708502"/>
    <s v="Healthy"/>
    <s v="Safe"/>
    <n v="0.32692307692307693"/>
    <s v="Safe"/>
    <n v="1700"/>
    <n v="0.32692307692307693"/>
  </r>
  <r>
    <s v="ORD-10060"/>
    <x v="53"/>
    <s v="P006"/>
    <x v="0"/>
    <s v="Beverages"/>
    <s v="Water"/>
    <s v="AquaPure"/>
    <s v="B04"/>
    <x v="5"/>
    <s v="Lagos"/>
    <x v="4"/>
    <s v="Member"/>
    <s v="Transfer"/>
    <n v="4"/>
    <n v="230"/>
    <n v="400"/>
    <n v="0.1"/>
    <x v="2"/>
    <n v="14"/>
    <n v="1600"/>
    <n v="160"/>
    <n v="1440"/>
    <n v="920"/>
    <n v="520"/>
    <n v="0.3611111111111111"/>
    <s v="Understocked"/>
    <s v="Safe"/>
    <n v="0.42499999999999999"/>
    <s v="Safe"/>
    <n v="170"/>
    <n v="0.42499999999999999"/>
  </r>
  <r>
    <s v="ORD-10061"/>
    <x v="54"/>
    <s v="P005"/>
    <x v="2"/>
    <s v="Food"/>
    <s v="Snacks"/>
    <s v="CrispyBite"/>
    <s v="B06"/>
    <x v="1"/>
    <s v="Rivers"/>
    <x v="1"/>
    <s v="Member"/>
    <s v="Card"/>
    <n v="2"/>
    <n v="850"/>
    <n v="1300"/>
    <n v="0.15"/>
    <x v="9"/>
    <n v="9"/>
    <n v="2600"/>
    <n v="390"/>
    <n v="2210"/>
    <n v="1700"/>
    <n v="510"/>
    <n v="0.23076923076923078"/>
    <s v="Understocked"/>
    <s v="Safe"/>
    <n v="0.34615384615384615"/>
    <s v="Safe"/>
    <n v="450"/>
    <n v="0.34615384615384615"/>
  </r>
  <r>
    <s v="ORD-10062"/>
    <x v="55"/>
    <s v="P005"/>
    <x v="2"/>
    <s v="Food"/>
    <s v="Snacks"/>
    <s v="CrispyBite"/>
    <s v="B03"/>
    <x v="6"/>
    <s v="Lagos"/>
    <x v="4"/>
    <s v="Walk-in"/>
    <s v="POS"/>
    <n v="-1"/>
    <n v="850"/>
    <n v="1300"/>
    <n v="0"/>
    <x v="8"/>
    <n v="13"/>
    <n v="-1300"/>
    <n v="0"/>
    <n v="-1300"/>
    <n v="-850"/>
    <n v="-450"/>
    <n v="0.34615384615384615"/>
    <s v="Understocked"/>
    <s v="Safe"/>
    <n v="0.34615384615384615"/>
    <s v="Safe"/>
    <n v="450"/>
    <n v="0.34615384615384615"/>
  </r>
  <r>
    <s v="ORD-10063"/>
    <x v="56"/>
    <s v="P007"/>
    <x v="3"/>
    <s v="Beverages"/>
    <s v="Malt"/>
    <s v="Naija Malt"/>
    <s v="B02"/>
    <x v="4"/>
    <s v="Abuja"/>
    <x v="2"/>
    <s v="Walk-in"/>
    <s v="Transfer"/>
    <n v="4"/>
    <n v="550"/>
    <n v="850"/>
    <n v="0.05"/>
    <x v="0"/>
    <n v="9"/>
    <n v="3400"/>
    <n v="170"/>
    <n v="3230"/>
    <n v="2200"/>
    <n v="1030"/>
    <n v="0.31888544891640869"/>
    <s v="Healthy"/>
    <s v="Safe"/>
    <n v="0.35294117647058826"/>
    <s v="Safe"/>
    <n v="300"/>
    <n v="0.35294117647058826"/>
  </r>
  <r>
    <s v="ORD-10064"/>
    <x v="57"/>
    <s v="P008"/>
    <x v="4"/>
    <s v="Beverages"/>
    <s v="Soft Drinks"/>
    <s v="Sparkle"/>
    <s v="B03"/>
    <x v="6"/>
    <s v="Lagos"/>
    <x v="4"/>
    <s v="Walk-in"/>
    <s v="POS"/>
    <n v="2"/>
    <n v="330"/>
    <n v="550"/>
    <n v="0.1"/>
    <x v="0"/>
    <n v="3"/>
    <n v="1100"/>
    <n v="110"/>
    <n v="990"/>
    <n v="660"/>
    <n v="330"/>
    <n v="0.33333333333333331"/>
    <s v="Healthy"/>
    <s v="Safe"/>
    <n v="0.4"/>
    <s v="Safe"/>
    <n v="220"/>
    <n v="0.4"/>
  </r>
  <r>
    <s v="ORD-10065"/>
    <x v="58"/>
    <s v="P006"/>
    <x v="0"/>
    <s v="Beverages"/>
    <s v="Water"/>
    <s v="AquaPure"/>
    <s v="B04"/>
    <x v="5"/>
    <s v="Lagos"/>
    <x v="4"/>
    <s v="Corporate"/>
    <s v="POS"/>
    <n v="4"/>
    <n v="230"/>
    <n v="400"/>
    <n v="0.1"/>
    <x v="2"/>
    <n v="4"/>
    <n v="1600"/>
    <n v="160"/>
    <n v="1440"/>
    <n v="920"/>
    <n v="520"/>
    <n v="0.3611111111111111"/>
    <s v="Understocked"/>
    <s v="Safe"/>
    <n v="0.42499999999999999"/>
    <s v="Safe"/>
    <n v="170"/>
    <n v="0.42499999999999999"/>
  </r>
  <r>
    <s v="ORD-10066"/>
    <x v="59"/>
    <s v="P001"/>
    <x v="14"/>
    <s v="Food"/>
    <s v="Grains"/>
    <s v="Golden Harvest"/>
    <s v="B04"/>
    <x v="5"/>
    <s v="Lagos"/>
    <x v="4"/>
    <s v="Walk-in"/>
    <s v="POS"/>
    <n v="2"/>
    <n v="14500"/>
    <n v="17500"/>
    <n v="0.2"/>
    <x v="9"/>
    <n v="11"/>
    <n v="35000"/>
    <n v="7000"/>
    <n v="28000"/>
    <n v="29000"/>
    <n v="-1000"/>
    <n v="-3.5714285714285712E-2"/>
    <s v="Understocked"/>
    <s v="Discount loss"/>
    <n v="0.17142857142857143"/>
    <s v="Discount loss"/>
    <n v="3000"/>
    <n v="0.17142857142857143"/>
  </r>
  <r>
    <s v="ORD-10067"/>
    <x v="60"/>
    <s v="P003"/>
    <x v="12"/>
    <s v="Food"/>
    <s v="Cooking Oil"/>
    <s v="SunGold"/>
    <s v="B01"/>
    <x v="2"/>
    <s v="Abuja"/>
    <x v="2"/>
    <s v="Walk-in"/>
    <s v="POS"/>
    <n v="2"/>
    <n v="7800"/>
    <n v="9800"/>
    <n v="0.05"/>
    <x v="8"/>
    <n v="14"/>
    <n v="19600"/>
    <n v="980"/>
    <n v="18620"/>
    <n v="15600"/>
    <n v="3020"/>
    <n v="0.16219119226638024"/>
    <s v="Understocked"/>
    <s v="Safe"/>
    <n v="0.20408163265306123"/>
    <s v="Safe"/>
    <n v="2000"/>
    <n v="0.20408163265306123"/>
  </r>
  <r>
    <s v="ORD-10068"/>
    <x v="61"/>
    <s v="P007"/>
    <x v="3"/>
    <s v="Beverages"/>
    <s v="Malt"/>
    <s v="Naija Malt"/>
    <s v="B01"/>
    <x v="2"/>
    <s v="Abuja"/>
    <x v="2"/>
    <s v="Walk-in"/>
    <s v="POS"/>
    <n v="3"/>
    <n v="550"/>
    <n v="850"/>
    <n v="0"/>
    <x v="2"/>
    <n v="2"/>
    <n v="2550"/>
    <n v="0"/>
    <n v="2550"/>
    <n v="1650"/>
    <n v="900"/>
    <n v="0.35294117647058826"/>
    <s v="Healthy"/>
    <s v="Safe"/>
    <n v="0.35294117647058826"/>
    <s v="Safe"/>
    <n v="300"/>
    <n v="0.35294117647058826"/>
  </r>
  <r>
    <s v="ORD-10069"/>
    <x v="62"/>
    <s v="P010"/>
    <x v="22"/>
    <s v="Household"/>
    <s v="Paper Products"/>
    <s v="SoftCare"/>
    <s v="B03"/>
    <x v="6"/>
    <s v="Lagos"/>
    <x v="4"/>
    <s v="Member"/>
    <s v="Transfer"/>
    <n v="3"/>
    <n v="3200"/>
    <n v="4500"/>
    <n v="0.1"/>
    <x v="10"/>
    <n v="5"/>
    <n v="13500"/>
    <n v="1350"/>
    <n v="12150"/>
    <n v="9600"/>
    <n v="2550"/>
    <n v="0.20987654320987653"/>
    <s v="Healthy"/>
    <s v="Safe"/>
    <n v="0.28888888888888886"/>
    <s v="Safe"/>
    <n v="1300"/>
    <n v="0.28888888888888886"/>
  </r>
  <r>
    <s v="ORD-10070"/>
    <x v="63"/>
    <s v="P006"/>
    <x v="0"/>
    <s v="Beverages"/>
    <s v="Water"/>
    <s v="AquaPure"/>
    <s v="B05"/>
    <x v="0"/>
    <s v="Kano"/>
    <x v="0"/>
    <s v="Corporate"/>
    <s v="Card"/>
    <n v="3"/>
    <n v="230"/>
    <n v="400"/>
    <n v="0.1"/>
    <x v="3"/>
    <n v="5"/>
    <n v="1200"/>
    <n v="120"/>
    <n v="1080"/>
    <n v="690"/>
    <n v="390"/>
    <n v="0.3611111111111111"/>
    <s v="Understocked"/>
    <s v="Safe"/>
    <n v="0.42499999999999999"/>
    <s v="Safe"/>
    <n v="170"/>
    <n v="0.42499999999999999"/>
  </r>
  <r>
    <s v="ORD-10071"/>
    <x v="64"/>
    <s v="P005"/>
    <x v="2"/>
    <s v="Food"/>
    <s v="Snacks"/>
    <s v="CrispyBite"/>
    <s v="B04"/>
    <x v="5"/>
    <s v="Lagos"/>
    <x v="4"/>
    <s v="Member"/>
    <s v="Transfer"/>
    <n v="1"/>
    <n v="850"/>
    <n v="1300"/>
    <n v="0.05"/>
    <x v="9"/>
    <n v="4"/>
    <n v="1300"/>
    <n v="65"/>
    <n v="1235"/>
    <n v="850"/>
    <n v="385"/>
    <n v="0.31174089068825911"/>
    <s v="Understocked"/>
    <s v="Safe"/>
    <n v="0.34615384615384615"/>
    <s v="Safe"/>
    <n v="450"/>
    <n v="0.34615384615384615"/>
  </r>
  <r>
    <s v="ORD-10072"/>
    <x v="65"/>
    <s v="P015"/>
    <x v="8"/>
    <s v="Personal Care"/>
    <s v="Bath"/>
    <s v="SilkyTouch"/>
    <s v="B04"/>
    <x v="5"/>
    <s v="Lagos"/>
    <x v="4"/>
    <s v="Member"/>
    <s v="POS"/>
    <n v="4"/>
    <n v="600"/>
    <n v="950"/>
    <n v="0.2"/>
    <x v="10"/>
    <n v="13"/>
    <n v="3800"/>
    <n v="760"/>
    <n v="3040"/>
    <n v="2400"/>
    <n v="640"/>
    <n v="0.21052631578947367"/>
    <s v="Healthy"/>
    <s v="Safe"/>
    <n v="0.36842105263157893"/>
    <s v="Safe"/>
    <n v="350"/>
    <n v="0.36842105263157893"/>
  </r>
  <r>
    <s v="ORD-10073"/>
    <x v="66"/>
    <s v="P003"/>
    <x v="12"/>
    <s v="Food"/>
    <s v="Cooking Oil"/>
    <s v="SunGold"/>
    <s v="B02"/>
    <x v="4"/>
    <s v="Abuja"/>
    <x v="2"/>
    <s v="Walk-in"/>
    <s v="Cash"/>
    <n v="1"/>
    <n v="7800"/>
    <n v="9800"/>
    <n v="0"/>
    <x v="8"/>
    <n v="10"/>
    <n v="9800"/>
    <n v="0"/>
    <n v="9800"/>
    <n v="7800"/>
    <n v="2000"/>
    <n v="0.20408163265306123"/>
    <s v="Understocked"/>
    <s v="Safe"/>
    <n v="0.20408163265306123"/>
    <s v="Safe"/>
    <n v="2000"/>
    <n v="0.20408163265306123"/>
  </r>
  <r>
    <s v="ORD-10074"/>
    <x v="67"/>
    <s v="P022"/>
    <x v="17"/>
    <s v="Office Supplies"/>
    <s v="Writing"/>
    <s v="WriteWell"/>
    <s v="B03"/>
    <x v="6"/>
    <s v="Lagos"/>
    <x v="4"/>
    <s v="Walk-in"/>
    <s v="Card"/>
    <n v="2"/>
    <n v="1300"/>
    <n v="2100"/>
    <n v="0.05"/>
    <x v="5"/>
    <n v="8"/>
    <n v="4200"/>
    <n v="210"/>
    <n v="3990"/>
    <n v="2600"/>
    <n v="1390"/>
    <n v="0.34837092731829572"/>
    <s v="Understocked"/>
    <s v="Safe"/>
    <n v="0.38095238095238093"/>
    <s v="Safe"/>
    <n v="800"/>
    <n v="0.38095238095238093"/>
  </r>
  <r>
    <s v="ORD-10075"/>
    <x v="68"/>
    <s v="P001"/>
    <x v="14"/>
    <s v="Food"/>
    <s v="Grains"/>
    <s v="Golden Harvest"/>
    <s v="B03"/>
    <x v="6"/>
    <s v="Lagos"/>
    <x v="4"/>
    <s v="Walk-in"/>
    <s v="POS"/>
    <n v="2"/>
    <n v="14500"/>
    <n v="17500"/>
    <n v="0"/>
    <x v="1"/>
    <n v="10"/>
    <n v="35000"/>
    <n v="0"/>
    <n v="35000"/>
    <n v="29000"/>
    <n v="6000"/>
    <n v="0.17142857142857143"/>
    <s v="Understocked"/>
    <s v="Safe"/>
    <n v="0.17142857142857143"/>
    <s v="Safe"/>
    <n v="3000"/>
    <n v="0.17142857142857143"/>
  </r>
  <r>
    <s v="ORD-10076"/>
    <x v="69"/>
    <s v="P019"/>
    <x v="18"/>
    <s v="Electronics"/>
    <s v="Audio"/>
    <s v="SoundBeat"/>
    <s v="B04"/>
    <x v="5"/>
    <s v="Lagos"/>
    <x v="4"/>
    <s v="Walk-in"/>
    <s v="Transfer"/>
    <n v="4"/>
    <n v="12500"/>
    <n v="18500"/>
    <n v="0"/>
    <x v="13"/>
    <n v="3"/>
    <n v="74000"/>
    <n v="0"/>
    <n v="74000"/>
    <n v="50000"/>
    <n v="24000"/>
    <n v="0.32432432432432434"/>
    <s v="Understocked"/>
    <s v="Safe"/>
    <n v="0.32432432432432434"/>
    <s v="Safe"/>
    <n v="6000"/>
    <n v="0.32432432432432434"/>
  </r>
  <r>
    <s v="ORD-10077"/>
    <x v="35"/>
    <s v="P013"/>
    <x v="11"/>
    <s v="Personal Care"/>
    <s v="Skin Care"/>
    <s v="GlowPlus"/>
    <s v="B04"/>
    <x v="5"/>
    <s v="Lagos"/>
    <x v="4"/>
    <s v="Walk-in"/>
    <s v="POS"/>
    <n v="1"/>
    <n v="3500"/>
    <n v="5200"/>
    <n v="0.05"/>
    <x v="6"/>
    <n v="6"/>
    <n v="5200"/>
    <n v="260"/>
    <n v="4940"/>
    <n v="3500"/>
    <n v="1440"/>
    <n v="0.291497975708502"/>
    <s v="Healthy"/>
    <s v="Safe"/>
    <n v="0.32692307692307693"/>
    <s v="Safe"/>
    <n v="1700"/>
    <n v="0.32692307692307693"/>
  </r>
  <r>
    <s v="ORD-10078"/>
    <x v="70"/>
    <s v="P006"/>
    <x v="0"/>
    <s v="Beverages"/>
    <s v="Water"/>
    <s v="AquaPure"/>
    <s v="B08"/>
    <x v="7"/>
    <s v="Kwara"/>
    <x v="2"/>
    <s v="Walk-in"/>
    <s v="Card"/>
    <n v="5"/>
    <n v="230"/>
    <n v="400"/>
    <n v="0.1"/>
    <x v="2"/>
    <n v="2"/>
    <n v="2000"/>
    <n v="200"/>
    <n v="1800"/>
    <n v="1150"/>
    <n v="650"/>
    <n v="0.3611111111111111"/>
    <s v="Understocked"/>
    <s v="Safe"/>
    <n v="0.42499999999999999"/>
    <s v="Safe"/>
    <n v="170"/>
    <n v="0.42499999999999999"/>
  </r>
  <r>
    <s v="ORD-10079"/>
    <x v="71"/>
    <s v="P020"/>
    <x v="5"/>
    <s v="Electronics"/>
    <s v="Lighting"/>
    <s v="Luma"/>
    <s v="B07"/>
    <x v="3"/>
    <s v="Enugu"/>
    <x v="3"/>
    <s v="Walk-in"/>
    <s v="Cash"/>
    <n v="1"/>
    <n v="1500"/>
    <n v="2500"/>
    <n v="0.15"/>
    <x v="12"/>
    <n v="6"/>
    <n v="2500"/>
    <n v="375"/>
    <n v="2125"/>
    <n v="1500"/>
    <n v="625"/>
    <n v="0.29411764705882354"/>
    <s v="Healthy"/>
    <s v="Safe"/>
    <n v="0.4"/>
    <s v="Safe"/>
    <n v="1000"/>
    <n v="0.4"/>
  </r>
  <r>
    <s v="ORD-10080"/>
    <x v="3"/>
    <s v="P013"/>
    <x v="11"/>
    <s v="Personal Care"/>
    <s v="Skin Care"/>
    <s v="GlowPlus"/>
    <s v="B06"/>
    <x v="1"/>
    <s v="Rivers"/>
    <x v="1"/>
    <s v="Corporate"/>
    <s v="Transfer"/>
    <n v="1"/>
    <n v="3500"/>
    <n v="5200"/>
    <n v="0.05"/>
    <x v="10"/>
    <n v="8"/>
    <n v="5200"/>
    <n v="260"/>
    <n v="4940"/>
    <n v="3500"/>
    <n v="1440"/>
    <n v="0.291497975708502"/>
    <s v="Healthy"/>
    <s v="Safe"/>
    <n v="0.32692307692307693"/>
    <s v="Safe"/>
    <n v="1700"/>
    <n v="0.32692307692307693"/>
  </r>
  <r>
    <s v="ORD-10081"/>
    <x v="41"/>
    <s v="P012"/>
    <x v="21"/>
    <s v="Household"/>
    <s v="Home Care"/>
    <s v="HomeFresh"/>
    <s v="B02"/>
    <x v="4"/>
    <s v="Abuja"/>
    <x v="2"/>
    <s v="Walk-in"/>
    <s v="Cash"/>
    <n v="1"/>
    <n v="1700"/>
    <n v="2600"/>
    <n v="0.1"/>
    <x v="7"/>
    <n v="8"/>
    <n v="2600"/>
    <n v="260"/>
    <n v="2340"/>
    <n v="1700"/>
    <n v="640"/>
    <n v="0.27350427350427353"/>
    <s v="Overstocked"/>
    <s v="Safe"/>
    <n v="0.34615384615384615"/>
    <s v="Safe"/>
    <n v="900"/>
    <n v="0.34615384615384615"/>
  </r>
  <r>
    <s v="ORD-10082"/>
    <x v="72"/>
    <s v="P019"/>
    <x v="18"/>
    <s v="Electronics"/>
    <s v="Audio"/>
    <s v="SoundBeat"/>
    <s v="B04"/>
    <x v="5"/>
    <s v="Lagos"/>
    <x v="4"/>
    <s v="Walk-in"/>
    <s v="POS"/>
    <n v="4"/>
    <n v="12500"/>
    <n v="18500"/>
    <n v="0.05"/>
    <x v="13"/>
    <n v="4"/>
    <n v="74000"/>
    <n v="3700"/>
    <n v="70300"/>
    <n v="50000"/>
    <n v="20300"/>
    <n v="0.28876244665718348"/>
    <s v="Understocked"/>
    <s v="Safe"/>
    <n v="0.32432432432432434"/>
    <s v="Safe"/>
    <n v="6000"/>
    <n v="0.32432432432432434"/>
  </r>
  <r>
    <s v="ORD-10083"/>
    <x v="73"/>
    <s v="P007"/>
    <x v="3"/>
    <s v="Beverages"/>
    <s v="Malt"/>
    <s v="Naija Malt"/>
    <s v="B07"/>
    <x v="3"/>
    <s v="Enugu"/>
    <x v="3"/>
    <s v="Member"/>
    <s v="Card"/>
    <n v="3"/>
    <n v="550"/>
    <n v="850"/>
    <n v="0.15"/>
    <x v="2"/>
    <n v="6"/>
    <n v="2550"/>
    <n v="382.5"/>
    <n v="2167.5"/>
    <n v="1650"/>
    <n v="517.5"/>
    <n v="0.23875432525951557"/>
    <s v="Healthy"/>
    <s v="Safe"/>
    <n v="0.35294117647058826"/>
    <s v="Safe"/>
    <n v="300"/>
    <n v="0.35294117647058826"/>
  </r>
  <r>
    <s v="ORD-10084"/>
    <x v="74"/>
    <s v="P006"/>
    <x v="0"/>
    <s v="Beverages"/>
    <s v="Water"/>
    <s v="AquaPure"/>
    <s v="B01"/>
    <x v="2"/>
    <s v="Abuja"/>
    <x v="2"/>
    <s v="Walk-in"/>
    <s v="POS"/>
    <n v="4"/>
    <n v="230"/>
    <n v="400"/>
    <n v="0.15"/>
    <x v="3"/>
    <n v="8"/>
    <n v="1600"/>
    <n v="240"/>
    <n v="1360"/>
    <n v="920"/>
    <n v="440"/>
    <n v="0.3235294117647059"/>
    <s v="Understocked"/>
    <s v="Safe"/>
    <n v="0.42499999999999999"/>
    <s v="Safe"/>
    <n v="170"/>
    <n v="0.42499999999999999"/>
  </r>
  <r>
    <s v="ORD-10085"/>
    <x v="75"/>
    <s v="P006"/>
    <x v="0"/>
    <s v="Beverages"/>
    <s v="Water"/>
    <s v="AquaPure"/>
    <s v="B06"/>
    <x v="1"/>
    <s v="Rivers"/>
    <x v="1"/>
    <s v="Member"/>
    <s v="POS"/>
    <n v="2"/>
    <n v="230"/>
    <n v="400"/>
    <n v="0.2"/>
    <x v="3"/>
    <n v="10"/>
    <n v="800"/>
    <n v="160"/>
    <n v="640"/>
    <n v="460"/>
    <n v="180"/>
    <n v="0.28125"/>
    <s v="Understocked"/>
    <s v="Safe"/>
    <n v="0.42499999999999999"/>
    <s v="Safe"/>
    <n v="170"/>
    <n v="0.42499999999999999"/>
  </r>
  <r>
    <s v="ORD-10086"/>
    <x v="76"/>
    <s v="P001"/>
    <x v="14"/>
    <s v="Food"/>
    <s v="Grains"/>
    <s v="Golden Harvest"/>
    <s v="B06"/>
    <x v="1"/>
    <s v="Rivers"/>
    <x v="1"/>
    <s v="Walk-in"/>
    <s v="POS"/>
    <n v="4"/>
    <n v="14500"/>
    <n v="17500"/>
    <n v="0.15"/>
    <x v="1"/>
    <n v="3"/>
    <n v="70000"/>
    <n v="10500"/>
    <n v="59500"/>
    <n v="58000"/>
    <n v="1500"/>
    <n v="2.5210084033613446E-2"/>
    <s v="Understocked"/>
    <s v="Safe"/>
    <n v="0.17142857142857143"/>
    <s v="Safe"/>
    <n v="3000"/>
    <n v="0.17142857142857143"/>
  </r>
  <r>
    <s v="ORD-10087"/>
    <x v="77"/>
    <s v="P003"/>
    <x v="12"/>
    <s v="Food"/>
    <s v="Cooking Oil"/>
    <s v="SunGold"/>
    <s v="B08"/>
    <x v="7"/>
    <s v="Kwara"/>
    <x v="2"/>
    <s v="Member"/>
    <s v="Cash"/>
    <n v="2"/>
    <n v="7800"/>
    <n v="9800"/>
    <n v="0"/>
    <x v="8"/>
    <n v="1"/>
    <n v="19600"/>
    <n v="0"/>
    <n v="19600"/>
    <n v="15600"/>
    <n v="4000"/>
    <n v="0.20408163265306123"/>
    <s v="Understocked"/>
    <s v="Safe"/>
    <n v="0.20408163265306123"/>
    <s v="Safe"/>
    <n v="2000"/>
    <n v="0.20408163265306123"/>
  </r>
  <r>
    <s v="ORD-10088"/>
    <x v="78"/>
    <s v="P020"/>
    <x v="5"/>
    <s v="Electronics"/>
    <s v="Lighting"/>
    <s v="Luma"/>
    <s v="B08"/>
    <x v="7"/>
    <s v="Kwara"/>
    <x v="2"/>
    <s v="Walk-in"/>
    <s v="POS"/>
    <n v="1"/>
    <n v="1500"/>
    <n v="2500"/>
    <n v="0.15"/>
    <x v="13"/>
    <n v="11"/>
    <n v="2500"/>
    <n v="375"/>
    <n v="2125"/>
    <n v="1500"/>
    <n v="625"/>
    <n v="0.29411764705882354"/>
    <s v="Healthy"/>
    <s v="Safe"/>
    <n v="0.4"/>
    <s v="Safe"/>
    <n v="1000"/>
    <n v="0.4"/>
  </r>
  <r>
    <s v="ORD-10089"/>
    <x v="79"/>
    <s v="P020"/>
    <x v="5"/>
    <s v="Electronics"/>
    <s v="Lighting"/>
    <s v="Luma"/>
    <s v="B07"/>
    <x v="3"/>
    <s v="Enugu"/>
    <x v="3"/>
    <s v="Member"/>
    <s v="POS"/>
    <n v="2"/>
    <n v="1500"/>
    <n v="2500"/>
    <n v="0.05"/>
    <x v="12"/>
    <n v="1"/>
    <n v="5000"/>
    <n v="250"/>
    <n v="4750"/>
    <n v="3000"/>
    <n v="1750"/>
    <n v="0.36842105263157893"/>
    <s v="Healthy"/>
    <s v="Safe"/>
    <n v="0.4"/>
    <s v="Safe"/>
    <n v="1000"/>
    <n v="0.4"/>
  </r>
  <r>
    <s v="ORD-10090"/>
    <x v="40"/>
    <s v="P013"/>
    <x v="11"/>
    <s v="Personal Care"/>
    <s v="Skin Care"/>
    <s v="GlowPlus"/>
    <s v="B07"/>
    <x v="3"/>
    <s v="Enugu"/>
    <x v="3"/>
    <s v="Walk-in"/>
    <s v="Cash"/>
    <n v="10"/>
    <n v="3500"/>
    <n v="5200"/>
    <n v="0.1"/>
    <x v="10"/>
    <n v="12"/>
    <n v="52000"/>
    <n v="5200"/>
    <n v="46800"/>
    <n v="35000"/>
    <n v="11800"/>
    <n v="0.25213675213675213"/>
    <s v="Healthy"/>
    <s v="Safe"/>
    <n v="0.32692307692307693"/>
    <s v="Safe"/>
    <n v="1700"/>
    <n v="0.32692307692307693"/>
  </r>
  <r>
    <s v="ORD-10091"/>
    <x v="80"/>
    <s v="P004"/>
    <x v="1"/>
    <s v="Beverages"/>
    <s v="Dairy"/>
    <s v="FreshDay"/>
    <s v="B03"/>
    <x v="6"/>
    <s v="Lagos"/>
    <x v="4"/>
    <s v="Walk-in"/>
    <s v="Transfer"/>
    <n v="1"/>
    <n v="1650"/>
    <n v="2200"/>
    <n v="0.05"/>
    <x v="2"/>
    <n v="3"/>
    <n v="2200"/>
    <n v="110"/>
    <n v="2090"/>
    <n v="1650"/>
    <n v="440"/>
    <n v="0.21052631578947367"/>
    <s v="Understocked"/>
    <s v="Safe"/>
    <n v="0.25"/>
    <s v="Safe"/>
    <n v="550"/>
    <n v="0.25"/>
  </r>
  <r>
    <s v="ORD-10092"/>
    <x v="76"/>
    <s v="P010"/>
    <x v="22"/>
    <s v="Household"/>
    <s v="Paper Products"/>
    <s v="SoftCare"/>
    <s v="B06"/>
    <x v="1"/>
    <s v="Rivers"/>
    <x v="1"/>
    <s v="Member"/>
    <s v="POS"/>
    <n v="1"/>
    <n v="3200"/>
    <n v="4500"/>
    <n v="0"/>
    <x v="7"/>
    <n v="8"/>
    <n v="4500"/>
    <n v="0"/>
    <n v="4500"/>
    <n v="3200"/>
    <n v="1300"/>
    <n v="0.28888888888888886"/>
    <s v="Healthy"/>
    <s v="Safe"/>
    <n v="0.28888888888888886"/>
    <s v="Safe"/>
    <n v="1300"/>
    <n v="0.28888888888888886"/>
  </r>
  <r>
    <s v="ORD-10093"/>
    <x v="81"/>
    <s v="P005"/>
    <x v="2"/>
    <s v="Food"/>
    <s v="Snacks"/>
    <s v="CrispyBite"/>
    <s v="B05"/>
    <x v="0"/>
    <s v="Kano"/>
    <x v="0"/>
    <s v="Member"/>
    <s v="Transfer"/>
    <n v="2"/>
    <n v="850"/>
    <n v="1300"/>
    <n v="0.1"/>
    <x v="8"/>
    <n v="11"/>
    <n v="2600"/>
    <n v="260"/>
    <n v="2340"/>
    <n v="1700"/>
    <n v="640"/>
    <n v="0.27350427350427353"/>
    <s v="Understocked"/>
    <s v="Safe"/>
    <n v="0.34615384615384615"/>
    <s v="Safe"/>
    <n v="450"/>
    <n v="0.34615384615384615"/>
  </r>
  <r>
    <s v="ORD-10094"/>
    <x v="23"/>
    <s v="P008"/>
    <x v="4"/>
    <s v="Beverages"/>
    <s v="Soft Drinks"/>
    <s v="Sparkle"/>
    <s v="B03"/>
    <x v="6"/>
    <s v="Lagos"/>
    <x v="4"/>
    <s v="Walk-in"/>
    <s v="Card"/>
    <n v="3"/>
    <n v="330"/>
    <n v="550"/>
    <n v="0.1"/>
    <x v="2"/>
    <n v="4"/>
    <n v="1650"/>
    <n v="165"/>
    <n v="1485"/>
    <n v="990"/>
    <n v="495"/>
    <n v="0.33333333333333331"/>
    <s v="Healthy"/>
    <s v="Safe"/>
    <n v="0.4"/>
    <s v="Safe"/>
    <n v="220"/>
    <n v="0.4"/>
  </r>
  <r>
    <s v="ORD-10095"/>
    <x v="58"/>
    <s v="P003"/>
    <x v="12"/>
    <s v="Food"/>
    <s v="Cooking Oil"/>
    <s v="SunGold"/>
    <s v="B03"/>
    <x v="6"/>
    <s v="Lagos"/>
    <x v="4"/>
    <s v="Member"/>
    <s v="Cash"/>
    <n v="2"/>
    <n v="7800"/>
    <n v="9800"/>
    <n v="0"/>
    <x v="1"/>
    <n v="7"/>
    <n v="19600"/>
    <n v="0"/>
    <n v="19600"/>
    <n v="15600"/>
    <n v="4000"/>
    <n v="0.20408163265306123"/>
    <s v="Understocked"/>
    <s v="Safe"/>
    <n v="0.20408163265306123"/>
    <s v="Safe"/>
    <n v="2000"/>
    <n v="0.20408163265306123"/>
  </r>
  <r>
    <s v="ORD-10096"/>
    <x v="82"/>
    <s v="P020"/>
    <x v="5"/>
    <s v="Electronics"/>
    <s v="Lighting"/>
    <s v="Luma"/>
    <s v="B06"/>
    <x v="1"/>
    <s v="Rivers"/>
    <x v="1"/>
    <s v="Member"/>
    <s v="POS"/>
    <n v="10"/>
    <n v="1500"/>
    <n v="2500"/>
    <n v="0.15"/>
    <x v="13"/>
    <n v="13"/>
    <n v="25000"/>
    <n v="3750"/>
    <n v="21250"/>
    <n v="15000"/>
    <n v="6250"/>
    <n v="0.29411764705882354"/>
    <s v="Healthy"/>
    <s v="Safe"/>
    <n v="0.4"/>
    <s v="Safe"/>
    <n v="1000"/>
    <n v="0.4"/>
  </r>
  <r>
    <s v="ORD-10097"/>
    <x v="48"/>
    <s v="P018"/>
    <x v="16"/>
    <s v="Electronics"/>
    <s v="Mobile Accessories"/>
    <s v="VoltSafe"/>
    <s v="B02"/>
    <x v="4"/>
    <s v="Abuja"/>
    <x v="2"/>
    <s v="Member"/>
    <s v="POS"/>
    <n v="1"/>
    <n v="18000"/>
    <n v="24500"/>
    <n v="0"/>
    <x v="12"/>
    <n v="14"/>
    <n v="24500"/>
    <n v="0"/>
    <n v="24500"/>
    <n v="18000"/>
    <n v="6500"/>
    <n v="0.26530612244897961"/>
    <s v="Understocked"/>
    <s v="Safe"/>
    <n v="0.26530612244897961"/>
    <s v="Safe"/>
    <n v="6500"/>
    <n v="0.26530612244897961"/>
  </r>
  <r>
    <s v="ORD-10098"/>
    <x v="83"/>
    <s v="P021"/>
    <x v="20"/>
    <s v="Office Supplies"/>
    <s v="Paper"/>
    <s v="OfficeMate"/>
    <s v="B05"/>
    <x v="0"/>
    <s v="Kano"/>
    <x v="0"/>
    <s v="Walk-in"/>
    <s v="POS"/>
    <n v="2"/>
    <n v="5200"/>
    <n v="7000"/>
    <n v="0.15"/>
    <x v="15"/>
    <n v="5"/>
    <n v="14000"/>
    <n v="2100"/>
    <n v="11900"/>
    <n v="10400"/>
    <n v="1500"/>
    <n v="0.12605042016806722"/>
    <s v="Overstocked"/>
    <s v="Safe"/>
    <n v="0.25714285714285712"/>
    <s v="Safe"/>
    <n v="1800"/>
    <n v="0.25714285714285712"/>
  </r>
  <r>
    <s v="ORD-10099"/>
    <x v="84"/>
    <s v="P004"/>
    <x v="1"/>
    <s v="Beverages"/>
    <s v="Dairy"/>
    <s v="FreshDay"/>
    <s v="B01"/>
    <x v="2"/>
    <s v="Abuja"/>
    <x v="2"/>
    <s v="Walk-in"/>
    <s v="POS"/>
    <n v="3"/>
    <n v="1650"/>
    <n v="2200"/>
    <n v="0.2"/>
    <x v="3"/>
    <n v="5"/>
    <n v="6600"/>
    <n v="1320"/>
    <n v="5280"/>
    <n v="4950"/>
    <n v="330"/>
    <n v="6.25E-2"/>
    <s v="Understocked"/>
    <s v="Safe"/>
    <n v="0.25"/>
    <s v="Safe"/>
    <n v="550"/>
    <n v="0.25"/>
  </r>
  <r>
    <s v="ORD-10100"/>
    <x v="85"/>
    <s v="P023"/>
    <x v="6"/>
    <s v="Office Supplies"/>
    <s v="Stationery"/>
    <s v="StudyPro"/>
    <s v="B03"/>
    <x v="6"/>
    <s v="Lagos"/>
    <x v="4"/>
    <s v="Walk-in"/>
    <s v="Cash"/>
    <n v="6"/>
    <n v="2800"/>
    <n v="4200"/>
    <n v="0.15"/>
    <x v="15"/>
    <n v="14"/>
    <n v="25200"/>
    <n v="3780"/>
    <n v="21420"/>
    <n v="16800"/>
    <n v="4620"/>
    <n v="0.21568627450980393"/>
    <s v="Understocked"/>
    <s v="Safe"/>
    <n v="0.33333333333333331"/>
    <s v="Safe"/>
    <n v="1400"/>
    <n v="0.33333333333333331"/>
  </r>
  <r>
    <s v="ORD-10101"/>
    <x v="86"/>
    <s v="P023"/>
    <x v="6"/>
    <s v="Office Supplies"/>
    <s v="Stationery"/>
    <s v="StudyPro"/>
    <s v="B08"/>
    <x v="7"/>
    <s v="Kwara"/>
    <x v="2"/>
    <s v="Member"/>
    <s v="Cash"/>
    <n v="5"/>
    <n v="2800"/>
    <n v="4200"/>
    <n v="0.05"/>
    <x v="5"/>
    <n v="2"/>
    <n v="21000"/>
    <n v="1050"/>
    <n v="19950"/>
    <n v="14000"/>
    <n v="5950"/>
    <n v="0.2982456140350877"/>
    <s v="Understocked"/>
    <s v="Safe"/>
    <n v="0.33333333333333331"/>
    <s v="Safe"/>
    <n v="1400"/>
    <n v="0.33333333333333331"/>
  </r>
  <r>
    <s v="ORD-10102"/>
    <x v="69"/>
    <s v="P015"/>
    <x v="8"/>
    <s v="Personal Care"/>
    <s v="Bath"/>
    <s v="SilkyTouch"/>
    <s v="B03"/>
    <x v="6"/>
    <s v="Lagos"/>
    <x v="4"/>
    <s v="Walk-in"/>
    <s v="POS"/>
    <n v="2"/>
    <n v="600"/>
    <n v="950"/>
    <n v="0.1"/>
    <x v="11"/>
    <n v="1"/>
    <n v="1900"/>
    <n v="190"/>
    <n v="1710"/>
    <n v="1200"/>
    <n v="510"/>
    <n v="0.2982456140350877"/>
    <s v="Healthy"/>
    <s v="Safe"/>
    <n v="0.36842105263157893"/>
    <s v="Safe"/>
    <n v="350"/>
    <n v="0.36842105263157893"/>
  </r>
  <r>
    <s v="ORD-10103"/>
    <x v="87"/>
    <s v="P006"/>
    <x v="0"/>
    <s v="Beverages"/>
    <s v="Water"/>
    <s v="AquaPure"/>
    <s v="B05"/>
    <x v="0"/>
    <s v="Kano"/>
    <x v="0"/>
    <s v="Walk-in"/>
    <s v="POS"/>
    <n v="3"/>
    <n v="230"/>
    <n v="400"/>
    <n v="0.1"/>
    <x v="0"/>
    <n v="7"/>
    <n v="1200"/>
    <n v="120"/>
    <n v="1080"/>
    <n v="690"/>
    <n v="390"/>
    <n v="0.3611111111111111"/>
    <s v="Understocked"/>
    <s v="Safe"/>
    <n v="0.42499999999999999"/>
    <s v="Safe"/>
    <n v="170"/>
    <n v="0.42499999999999999"/>
  </r>
  <r>
    <s v="ORD-10104"/>
    <x v="88"/>
    <s v="P022"/>
    <x v="17"/>
    <s v="Office Supplies"/>
    <s v="Writing"/>
    <s v="WriteWell"/>
    <s v="B03"/>
    <x v="6"/>
    <s v="Lagos"/>
    <x v="4"/>
    <s v="Member"/>
    <s v="Cash"/>
    <n v="3"/>
    <n v="1300"/>
    <n v="2100"/>
    <n v="0"/>
    <x v="14"/>
    <n v="6"/>
    <n v="6300"/>
    <n v="0"/>
    <n v="6300"/>
    <n v="3900"/>
    <n v="2400"/>
    <n v="0.38095238095238093"/>
    <s v="Understocked"/>
    <s v="Safe"/>
    <n v="0.38095238095238093"/>
    <s v="Safe"/>
    <n v="800"/>
    <n v="0.38095238095238093"/>
  </r>
  <r>
    <s v="ORD-10105"/>
    <x v="37"/>
    <s v="P022"/>
    <x v="17"/>
    <s v="Office Supplies"/>
    <s v="Writing"/>
    <s v="WriteWell"/>
    <s v="B03"/>
    <x v="6"/>
    <s v="Lagos"/>
    <x v="4"/>
    <s v="Walk-in"/>
    <s v="Cash"/>
    <n v="4"/>
    <n v="1300"/>
    <n v="2100"/>
    <n v="0"/>
    <x v="14"/>
    <n v="10"/>
    <n v="8400"/>
    <n v="0"/>
    <n v="8400"/>
    <n v="5200"/>
    <n v="3200"/>
    <n v="0.38095238095238093"/>
    <s v="Understocked"/>
    <s v="Safe"/>
    <n v="0.38095238095238093"/>
    <s v="Safe"/>
    <n v="800"/>
    <n v="0.38095238095238093"/>
  </r>
  <r>
    <s v="ORD-10106"/>
    <x v="89"/>
    <s v="P001"/>
    <x v="14"/>
    <s v="Food"/>
    <s v="Grains"/>
    <s v="Golden Harvest"/>
    <s v="B03"/>
    <x v="6"/>
    <s v="Lagos"/>
    <x v="4"/>
    <s v="Member"/>
    <s v="Cash"/>
    <n v="2"/>
    <n v="14500"/>
    <n v="17500"/>
    <n v="0.2"/>
    <x v="1"/>
    <n v="6"/>
    <n v="35000"/>
    <n v="7000"/>
    <n v="28000"/>
    <n v="29000"/>
    <n v="-1000"/>
    <n v="-3.5714285714285712E-2"/>
    <s v="Understocked"/>
    <s v="Discount loss"/>
    <n v="0.17142857142857143"/>
    <s v="Discount loss"/>
    <n v="3000"/>
    <n v="0.17142857142857143"/>
  </r>
  <r>
    <s v="ORD-10107"/>
    <x v="90"/>
    <s v="P007"/>
    <x v="3"/>
    <s v="Beverages"/>
    <s v="Malt"/>
    <s v="Naija Malt"/>
    <s v="B03"/>
    <x v="6"/>
    <s v="Lagos"/>
    <x v="4"/>
    <s v="Member"/>
    <s v="Transfer"/>
    <n v="1"/>
    <n v="550"/>
    <n v="850"/>
    <n v="0"/>
    <x v="0"/>
    <n v="4"/>
    <n v="850"/>
    <n v="0"/>
    <n v="850"/>
    <n v="550"/>
    <n v="300"/>
    <n v="0.35294117647058826"/>
    <s v="Healthy"/>
    <s v="Safe"/>
    <n v="0.35294117647058826"/>
    <s v="Safe"/>
    <n v="300"/>
    <n v="0.35294117647058826"/>
  </r>
  <r>
    <s v="ORD-10108"/>
    <x v="91"/>
    <s v="P023"/>
    <x v="6"/>
    <s v="Office Supplies"/>
    <s v="Stationery"/>
    <s v="StudyPro"/>
    <s v="B01"/>
    <x v="2"/>
    <s v="Abuja"/>
    <x v="2"/>
    <s v="Member"/>
    <s v="Card"/>
    <n v="2"/>
    <n v="2800"/>
    <n v="4200"/>
    <n v="0.2"/>
    <x v="5"/>
    <n v="4"/>
    <n v="8400"/>
    <n v="1680"/>
    <n v="6720"/>
    <n v="5600"/>
    <n v="1120"/>
    <n v="0.16666666666666666"/>
    <s v="Understocked"/>
    <s v="Safe"/>
    <n v="0.33333333333333331"/>
    <s v="Safe"/>
    <n v="1400"/>
    <n v="0.33333333333333331"/>
  </r>
  <r>
    <s v="ORD-10109"/>
    <x v="92"/>
    <s v="P006"/>
    <x v="0"/>
    <s v="Beverages"/>
    <s v="Water"/>
    <s v="AquaPure"/>
    <s v="B02"/>
    <x v="4"/>
    <s v="Abuja"/>
    <x v="2"/>
    <s v="Member"/>
    <s v="Cash"/>
    <n v="6"/>
    <n v="230"/>
    <n v="400"/>
    <n v="0"/>
    <x v="3"/>
    <n v="9"/>
    <n v="2400"/>
    <n v="0"/>
    <n v="2400"/>
    <n v="1380"/>
    <n v="1020"/>
    <n v="0.42499999999999999"/>
    <s v="Understocked"/>
    <s v="Safe"/>
    <n v="0.42499999999999999"/>
    <s v="Safe"/>
    <n v="170"/>
    <n v="0.42499999999999999"/>
  </r>
  <r>
    <s v="ORD-10110"/>
    <x v="93"/>
    <s v="P003"/>
    <x v="12"/>
    <s v="Food"/>
    <s v="Cooking Oil"/>
    <s v="SunGold"/>
    <s v="B07"/>
    <x v="3"/>
    <s v="Enugu"/>
    <x v="3"/>
    <s v="Member"/>
    <s v="POS"/>
    <n v="1"/>
    <n v="7800"/>
    <n v="9800"/>
    <n v="0.05"/>
    <x v="9"/>
    <n v="3"/>
    <n v="9800"/>
    <n v="490"/>
    <n v="9310"/>
    <n v="7800"/>
    <n v="1510"/>
    <n v="0.16219119226638024"/>
    <s v="Understocked"/>
    <s v="Safe"/>
    <n v="0.20408163265306123"/>
    <s v="Safe"/>
    <n v="2000"/>
    <n v="0.20408163265306123"/>
  </r>
  <r>
    <s v="ORD-10111"/>
    <x v="94"/>
    <s v="P015"/>
    <x v="8"/>
    <s v="Personal Care"/>
    <s v="Bath"/>
    <s v="SilkyTouch"/>
    <s v="B04"/>
    <x v="5"/>
    <s v="Lagos"/>
    <x v="4"/>
    <s v="Member"/>
    <s v="Transfer"/>
    <n v="4"/>
    <n v="600"/>
    <n v="950"/>
    <n v="0.05"/>
    <x v="6"/>
    <n v="8"/>
    <n v="3800"/>
    <n v="190"/>
    <n v="3610"/>
    <n v="2400"/>
    <n v="1210"/>
    <n v="0.33518005540166207"/>
    <s v="Healthy"/>
    <s v="Safe"/>
    <n v="0.36842105263157893"/>
    <s v="Safe"/>
    <n v="350"/>
    <n v="0.36842105263157893"/>
  </r>
  <r>
    <s v="ORD-10112"/>
    <x v="95"/>
    <s v="P001"/>
    <x v="14"/>
    <s v="Food"/>
    <s v="Grains"/>
    <s v="Golden Harvest"/>
    <s v="B06"/>
    <x v="1"/>
    <s v="Rivers"/>
    <x v="1"/>
    <s v="Walk-in"/>
    <s v="POS"/>
    <n v="6"/>
    <n v="14500"/>
    <n v="17500"/>
    <n v="0.05"/>
    <x v="9"/>
    <n v="8"/>
    <n v="105000"/>
    <n v="5250"/>
    <n v="99750"/>
    <n v="87000"/>
    <n v="12750"/>
    <n v="0.12781954887218044"/>
    <s v="Understocked"/>
    <s v="Safe"/>
    <n v="0.17142857142857143"/>
    <s v="Safe"/>
    <n v="3000"/>
    <n v="0.17142857142857143"/>
  </r>
  <r>
    <s v="ORD-10113"/>
    <x v="96"/>
    <s v="P014"/>
    <x v="15"/>
    <s v="Personal Care"/>
    <s v="Oral Care"/>
    <s v="FreshMint"/>
    <s v="B04"/>
    <x v="5"/>
    <s v="Lagos"/>
    <x v="4"/>
    <s v="Walk-in"/>
    <s v="POS"/>
    <n v="6"/>
    <n v="1200"/>
    <n v="1900"/>
    <n v="0"/>
    <x v="6"/>
    <n v="3"/>
    <n v="11400"/>
    <n v="0"/>
    <n v="11400"/>
    <n v="7200"/>
    <n v="4200"/>
    <n v="0.36842105263157893"/>
    <s v="Healthy"/>
    <s v="Safe"/>
    <n v="0.36842105263157893"/>
    <s v="Safe"/>
    <n v="700"/>
    <n v="0.36842105263157893"/>
  </r>
  <r>
    <s v="ORD-10114"/>
    <x v="97"/>
    <s v="P011"/>
    <x v="9"/>
    <s v="Household"/>
    <s v="Cleaning"/>
    <s v="CleanPro"/>
    <s v="B06"/>
    <x v="1"/>
    <s v="Rivers"/>
    <x v="1"/>
    <s v="Walk-in"/>
    <s v="Transfer"/>
    <n v="2"/>
    <n v="2800"/>
    <n v="3900"/>
    <n v="0.1"/>
    <x v="10"/>
    <n v="2"/>
    <n v="7800"/>
    <n v="780"/>
    <n v="7020"/>
    <n v="5600"/>
    <n v="1420"/>
    <n v="0.20227920227920229"/>
    <s v="Healthy"/>
    <s v="Safe"/>
    <n v="0.28205128205128205"/>
    <s v="Safe"/>
    <n v="1100"/>
    <n v="0.28205128205128205"/>
  </r>
  <r>
    <s v="ORD-10115"/>
    <x v="98"/>
    <s v="P020"/>
    <x v="5"/>
    <s v="Electronics"/>
    <s v="Lighting"/>
    <s v="Luma"/>
    <s v="B05"/>
    <x v="0"/>
    <s v="Kano"/>
    <x v="0"/>
    <s v="Walk-in"/>
    <s v="Transfer"/>
    <n v="4"/>
    <n v="1500"/>
    <n v="2500"/>
    <n v="0.1"/>
    <x v="4"/>
    <n v="7"/>
    <n v="10000"/>
    <n v="1000"/>
    <n v="9000"/>
    <n v="6000"/>
    <n v="3000"/>
    <n v="0.33333333333333331"/>
    <s v="Healthy"/>
    <s v="Safe"/>
    <n v="0.4"/>
    <s v="Safe"/>
    <n v="1000"/>
    <n v="0.4"/>
  </r>
  <r>
    <s v="ORD-10116"/>
    <x v="18"/>
    <s v="P007"/>
    <x v="3"/>
    <s v="Beverages"/>
    <s v="Malt"/>
    <s v="Naija Malt"/>
    <s v="B06"/>
    <x v="1"/>
    <s v="Rivers"/>
    <x v="1"/>
    <s v="Walk-in"/>
    <s v="POS"/>
    <n v="2"/>
    <n v="550"/>
    <n v="850"/>
    <n v="0.05"/>
    <x v="0"/>
    <n v="8"/>
    <n v="1700"/>
    <n v="85"/>
    <n v="1615"/>
    <n v="1100"/>
    <n v="515"/>
    <n v="0.31888544891640869"/>
    <s v="Healthy"/>
    <s v="Safe"/>
    <n v="0.35294117647058826"/>
    <s v="Safe"/>
    <n v="300"/>
    <n v="0.35294117647058826"/>
  </r>
  <r>
    <s v="ORD-10117"/>
    <x v="55"/>
    <s v="P002"/>
    <x v="10"/>
    <s v="Food"/>
    <s v="Grains"/>
    <s v="Mama's Pride"/>
    <s v="B01"/>
    <x v="2"/>
    <s v="Abuja"/>
    <x v="2"/>
    <s v="Walk-in"/>
    <s v="POS"/>
    <n v="4"/>
    <n v="6200"/>
    <n v="7900"/>
    <n v="0.15"/>
    <x v="1"/>
    <n v="9"/>
    <n v="31600"/>
    <n v="4740"/>
    <n v="26860"/>
    <n v="24800"/>
    <n v="2060"/>
    <n v="7.6693968726731204E-2"/>
    <s v="Healthy"/>
    <s v="Safe"/>
    <n v="0.21518987341772153"/>
    <s v="Safe"/>
    <n v="1700"/>
    <n v="0.21518987341772153"/>
  </r>
  <r>
    <s v="ORD-10118"/>
    <x v="99"/>
    <s v="P007"/>
    <x v="3"/>
    <s v="Beverages"/>
    <s v="Malt"/>
    <s v="Naija Malt"/>
    <s v="B07"/>
    <x v="3"/>
    <s v="Enugu"/>
    <x v="3"/>
    <s v="Member"/>
    <s v="Cash"/>
    <n v="8"/>
    <n v="550"/>
    <n v="850"/>
    <n v="0.05"/>
    <x v="2"/>
    <n v="10"/>
    <n v="6800"/>
    <n v="340"/>
    <n v="6460"/>
    <n v="4400"/>
    <n v="2060"/>
    <n v="0.31888544891640869"/>
    <s v="Healthy"/>
    <s v="Safe"/>
    <n v="0.35294117647058826"/>
    <s v="Safe"/>
    <n v="300"/>
    <n v="0.35294117647058826"/>
  </r>
  <r>
    <s v="ORD-10119"/>
    <x v="100"/>
    <s v="P011"/>
    <x v="9"/>
    <s v="Household"/>
    <s v="Cleaning"/>
    <s v="CleanPro"/>
    <s v="B02"/>
    <x v="4"/>
    <s v="Abuja"/>
    <x v="2"/>
    <s v="Walk-in"/>
    <s v="POS"/>
    <n v="4"/>
    <n v="2800"/>
    <n v="3900"/>
    <n v="0"/>
    <x v="10"/>
    <n v="2"/>
    <n v="15600"/>
    <n v="0"/>
    <n v="15600"/>
    <n v="11200"/>
    <n v="4400"/>
    <n v="0.28205128205128205"/>
    <s v="Healthy"/>
    <s v="Safe"/>
    <n v="0.28205128205128205"/>
    <s v="Safe"/>
    <n v="1100"/>
    <n v="0.28205128205128205"/>
  </r>
  <r>
    <s v="ORD-10120"/>
    <x v="101"/>
    <s v="P005"/>
    <x v="2"/>
    <s v="Food"/>
    <s v="Snacks"/>
    <s v="CrispyBite"/>
    <s v="B03"/>
    <x v="6"/>
    <s v="Lagos"/>
    <x v="4"/>
    <s v="Member"/>
    <s v="POS"/>
    <n v="3"/>
    <n v="850"/>
    <n v="1300"/>
    <n v="0.1"/>
    <x v="1"/>
    <n v="1"/>
    <n v="3900"/>
    <n v="390"/>
    <n v="3510"/>
    <n v="2550"/>
    <n v="960"/>
    <n v="0.27350427350427353"/>
    <s v="Understocked"/>
    <s v="Safe"/>
    <n v="0.34615384615384615"/>
    <s v="Safe"/>
    <n v="450"/>
    <n v="0.34615384615384615"/>
  </r>
  <r>
    <s v="ORD-10121"/>
    <x v="102"/>
    <s v="P019"/>
    <x v="18"/>
    <s v="Electronics"/>
    <s v="Audio"/>
    <s v="SoundBeat"/>
    <s v="B03"/>
    <x v="6"/>
    <s v="Lagos"/>
    <x v="4"/>
    <s v="Walk-in"/>
    <s v="Transfer"/>
    <n v="1"/>
    <n v="12500"/>
    <n v="18500"/>
    <n v="0.1"/>
    <x v="4"/>
    <n v="3"/>
    <n v="18500"/>
    <n v="1850"/>
    <n v="16650"/>
    <n v="12500"/>
    <n v="4150"/>
    <n v="0.24924924924924924"/>
    <s v="Understocked"/>
    <s v="Safe"/>
    <n v="0.32432432432432434"/>
    <s v="Safe"/>
    <n v="6000"/>
    <n v="0.32432432432432434"/>
  </r>
  <r>
    <s v="ORD-10122"/>
    <x v="82"/>
    <s v="P014"/>
    <x v="15"/>
    <s v="Personal Care"/>
    <s v="Oral Care"/>
    <s v="FreshMint"/>
    <s v="B01"/>
    <x v="2"/>
    <s v="Abuja"/>
    <x v="2"/>
    <s v="Walk-in"/>
    <s v="POS"/>
    <n v="4"/>
    <n v="1200"/>
    <n v="1900"/>
    <n v="0.2"/>
    <x v="11"/>
    <n v="7"/>
    <n v="7600"/>
    <n v="1520"/>
    <n v="6080"/>
    <n v="4800"/>
    <n v="1280"/>
    <n v="0.21052631578947367"/>
    <s v="Healthy"/>
    <s v="Safe"/>
    <n v="0.36842105263157893"/>
    <s v="Safe"/>
    <n v="700"/>
    <n v="0.36842105263157893"/>
  </r>
  <r>
    <s v="ORD-10123"/>
    <x v="64"/>
    <s v="P007"/>
    <x v="3"/>
    <s v="Beverages"/>
    <s v="Malt"/>
    <s v="Naija Malt"/>
    <s v="B06"/>
    <x v="1"/>
    <s v="Rivers"/>
    <x v="1"/>
    <s v="Walk-in"/>
    <s v="Cash"/>
    <n v="5"/>
    <n v="550"/>
    <n v="850"/>
    <n v="0.1"/>
    <x v="3"/>
    <n v="13"/>
    <n v="4250"/>
    <n v="425"/>
    <n v="3825"/>
    <n v="2750"/>
    <n v="1075"/>
    <n v="0.28104575163398693"/>
    <s v="Healthy"/>
    <s v="Safe"/>
    <n v="0.35294117647058826"/>
    <s v="Safe"/>
    <n v="300"/>
    <n v="0.35294117647058826"/>
  </r>
  <r>
    <s v="ORD-10124"/>
    <x v="86"/>
    <s v="P002"/>
    <x v="10"/>
    <s v="Food"/>
    <s v="Grains"/>
    <s v="Mama's Pride"/>
    <s v="B03"/>
    <x v="6"/>
    <s v="Lagos"/>
    <x v="4"/>
    <s v="Walk-in"/>
    <s v="Card"/>
    <n v="2"/>
    <n v="6200"/>
    <n v="7900"/>
    <n v="0.1"/>
    <x v="1"/>
    <n v="2"/>
    <n v="15800"/>
    <n v="1580"/>
    <n v="14220"/>
    <n v="12400"/>
    <n v="1820"/>
    <n v="0.12798874824191281"/>
    <s v="Healthy"/>
    <s v="Safe"/>
    <n v="0.21518987341772153"/>
    <s v="Safe"/>
    <n v="1700"/>
    <n v="0.21518987341772153"/>
  </r>
  <r>
    <s v="ORD-10125"/>
    <x v="103"/>
    <s v="P006"/>
    <x v="0"/>
    <s v="Beverages"/>
    <s v="Water"/>
    <s v="AquaPure"/>
    <s v="B05"/>
    <x v="0"/>
    <s v="Kano"/>
    <x v="0"/>
    <s v="Walk-in"/>
    <s v="Transfer"/>
    <n v="-1"/>
    <n v="230"/>
    <n v="400"/>
    <n v="0.1"/>
    <x v="0"/>
    <n v="1"/>
    <n v="-400"/>
    <n v="-40"/>
    <n v="-360"/>
    <n v="-230"/>
    <n v="-130"/>
    <n v="0.3611111111111111"/>
    <s v="Understocked"/>
    <s v="Discount loss"/>
    <n v="0.42499999999999999"/>
    <s v="Safe"/>
    <n v="170"/>
    <n v="0.42499999999999999"/>
  </r>
  <r>
    <s v="ORD-10126"/>
    <x v="104"/>
    <s v="P017"/>
    <x v="23"/>
    <s v="Electronics"/>
    <s v="Accessories"/>
    <s v="PowerMax"/>
    <s v="B06"/>
    <x v="1"/>
    <s v="Rivers"/>
    <x v="1"/>
    <s v="Walk-in"/>
    <s v="Transfer"/>
    <n v="2"/>
    <n v="7500"/>
    <n v="10500"/>
    <n v="0.05"/>
    <x v="4"/>
    <n v="7"/>
    <n v="21000"/>
    <n v="1050"/>
    <n v="19950"/>
    <n v="15000"/>
    <n v="4950"/>
    <n v="0.24812030075187969"/>
    <s v="Healthy"/>
    <s v="Safe"/>
    <n v="0.2857142857142857"/>
    <s v="Safe"/>
    <n v="3000"/>
    <n v="0.2857142857142857"/>
  </r>
  <r>
    <s v="ORD-10127"/>
    <x v="105"/>
    <s v="P009"/>
    <x v="13"/>
    <s v="Household"/>
    <s v="Cleaning"/>
    <s v="BrightWash"/>
    <s v="B07"/>
    <x v="3"/>
    <s v="Enugu"/>
    <x v="3"/>
    <s v="Member"/>
    <s v="Cash"/>
    <n v="5"/>
    <n v="2400"/>
    <n v="3400"/>
    <n v="0"/>
    <x v="7"/>
    <n v="8"/>
    <n v="17000"/>
    <n v="0"/>
    <n v="17000"/>
    <n v="12000"/>
    <n v="5000"/>
    <n v="0.29411764705882354"/>
    <s v="Healthy"/>
    <s v="Safe"/>
    <n v="0.29411764705882354"/>
    <s v="Safe"/>
    <n v="1000"/>
    <n v="0.29411764705882354"/>
  </r>
  <r>
    <s v="ORD-10128"/>
    <x v="106"/>
    <s v="P011"/>
    <x v="9"/>
    <s v="Household"/>
    <s v="Cleaning"/>
    <s v="CleanPro"/>
    <s v="B04"/>
    <x v="5"/>
    <s v="Lagos"/>
    <x v="4"/>
    <s v="Walk-in"/>
    <s v="Cash"/>
    <n v="4"/>
    <n v="2800"/>
    <n v="3900"/>
    <n v="0.05"/>
    <x v="10"/>
    <n v="3"/>
    <n v="15600"/>
    <n v="780"/>
    <n v="14820"/>
    <n v="11200"/>
    <n v="3620"/>
    <n v="0.24426450742240216"/>
    <s v="Healthy"/>
    <s v="Safe"/>
    <n v="0.28205128205128205"/>
    <s v="Safe"/>
    <n v="1100"/>
    <n v="0.28205128205128205"/>
  </r>
  <r>
    <s v="ORD-10129"/>
    <x v="107"/>
    <s v="P008"/>
    <x v="4"/>
    <s v="Beverages"/>
    <s v="Soft Drinks"/>
    <s v="Sparkle"/>
    <s v="B05"/>
    <x v="0"/>
    <s v="Kano"/>
    <x v="0"/>
    <s v="Walk-in"/>
    <s v="Transfer"/>
    <n v="2"/>
    <n v="330"/>
    <n v="550"/>
    <n v="0.05"/>
    <x v="2"/>
    <n v="9"/>
    <n v="1100"/>
    <n v="55"/>
    <n v="1045"/>
    <n v="660"/>
    <n v="385"/>
    <n v="0.36842105263157893"/>
    <s v="Healthy"/>
    <s v="Safe"/>
    <n v="0.4"/>
    <s v="Safe"/>
    <n v="220"/>
    <n v="0.4"/>
  </r>
  <r>
    <s v="ORD-10130"/>
    <x v="108"/>
    <s v="P015"/>
    <x v="8"/>
    <s v="Personal Care"/>
    <s v="Bath"/>
    <s v="SilkyTouch"/>
    <s v="B02"/>
    <x v="4"/>
    <s v="Abuja"/>
    <x v="2"/>
    <s v="Member"/>
    <s v="POS"/>
    <n v="5"/>
    <n v="600"/>
    <n v="950"/>
    <n v="0"/>
    <x v="6"/>
    <n v="13"/>
    <n v="4750"/>
    <n v="0"/>
    <n v="4750"/>
    <n v="3000"/>
    <n v="1750"/>
    <n v="0.36842105263157893"/>
    <s v="Healthy"/>
    <s v="Safe"/>
    <n v="0.36842105263157893"/>
    <s v="Safe"/>
    <n v="350"/>
    <n v="0.36842105263157893"/>
  </r>
  <r>
    <s v="ORD-10131"/>
    <x v="90"/>
    <s v="P018"/>
    <x v="16"/>
    <s v="Electronics"/>
    <s v="Mobile Accessories"/>
    <s v="VoltSafe"/>
    <s v="B02"/>
    <x v="4"/>
    <s v="Abuja"/>
    <x v="2"/>
    <s v="Member"/>
    <s v="POS"/>
    <n v="1"/>
    <n v="18000"/>
    <n v="24500"/>
    <n v="0"/>
    <x v="12"/>
    <n v="2"/>
    <n v="24500"/>
    <n v="0"/>
    <n v="24500"/>
    <n v="18000"/>
    <n v="6500"/>
    <n v="0.26530612244897961"/>
    <s v="Understocked"/>
    <s v="Safe"/>
    <n v="0.26530612244897961"/>
    <s v="Safe"/>
    <n v="6500"/>
    <n v="0.26530612244897961"/>
  </r>
  <r>
    <s v="ORD-10132"/>
    <x v="109"/>
    <s v="P008"/>
    <x v="4"/>
    <s v="Beverages"/>
    <s v="Soft Drinks"/>
    <s v="Sparkle"/>
    <s v="B06"/>
    <x v="1"/>
    <s v="Rivers"/>
    <x v="1"/>
    <s v="Corporate"/>
    <s v="POS"/>
    <n v="4"/>
    <n v="330"/>
    <n v="550"/>
    <n v="0.05"/>
    <x v="0"/>
    <n v="10"/>
    <n v="2200"/>
    <n v="110"/>
    <n v="2090"/>
    <n v="1320"/>
    <n v="770"/>
    <n v="0.36842105263157893"/>
    <s v="Healthy"/>
    <s v="Safe"/>
    <n v="0.4"/>
    <s v="Safe"/>
    <n v="220"/>
    <n v="0.4"/>
  </r>
  <r>
    <s v="ORD-10133"/>
    <x v="109"/>
    <s v="P006"/>
    <x v="0"/>
    <s v="Beverages"/>
    <s v="Water"/>
    <s v="AquaPure"/>
    <s v="B03"/>
    <x v="6"/>
    <s v="Lagos"/>
    <x v="4"/>
    <s v="Member"/>
    <s v="POS"/>
    <n v="2"/>
    <n v="230"/>
    <n v="400"/>
    <n v="0.1"/>
    <x v="2"/>
    <n v="9"/>
    <n v="800"/>
    <n v="80"/>
    <n v="720"/>
    <n v="460"/>
    <n v="260"/>
    <n v="0.3611111111111111"/>
    <s v="Understocked"/>
    <s v="Safe"/>
    <n v="0.42499999999999999"/>
    <s v="Safe"/>
    <n v="170"/>
    <n v="0.42499999999999999"/>
  </r>
  <r>
    <s v="ORD-10134"/>
    <x v="16"/>
    <s v="P008"/>
    <x v="4"/>
    <s v="Beverages"/>
    <s v="Soft Drinks"/>
    <s v="Sparkle"/>
    <s v="B01"/>
    <x v="2"/>
    <s v="Abuja"/>
    <x v="2"/>
    <s v="Member"/>
    <s v="POS"/>
    <n v="5"/>
    <n v="330"/>
    <n v="550"/>
    <n v="0"/>
    <x v="0"/>
    <n v="10"/>
    <n v="2750"/>
    <n v="0"/>
    <n v="2750"/>
    <n v="1650"/>
    <n v="1100"/>
    <n v="0.4"/>
    <s v="Healthy"/>
    <s v="Safe"/>
    <n v="0.4"/>
    <s v="Safe"/>
    <n v="220"/>
    <n v="0.4"/>
  </r>
  <r>
    <s v="ORD-10135"/>
    <x v="16"/>
    <s v="P011"/>
    <x v="9"/>
    <s v="Household"/>
    <s v="Cleaning"/>
    <s v="CleanPro"/>
    <s v="B08"/>
    <x v="7"/>
    <s v="Kwara"/>
    <x v="2"/>
    <s v="Member"/>
    <s v="POS"/>
    <n v="4"/>
    <n v="2800"/>
    <n v="3900"/>
    <n v="0"/>
    <x v="7"/>
    <n v="6"/>
    <n v="15600"/>
    <n v="0"/>
    <n v="15600"/>
    <n v="11200"/>
    <n v="4400"/>
    <n v="0.28205128205128205"/>
    <s v="Healthy"/>
    <s v="Safe"/>
    <n v="0.28205128205128205"/>
    <s v="Safe"/>
    <n v="1100"/>
    <n v="0.28205128205128205"/>
  </r>
  <r>
    <s v="ORD-10136"/>
    <x v="110"/>
    <s v="P004"/>
    <x v="1"/>
    <s v="Beverages"/>
    <s v="Dairy"/>
    <s v="FreshDay"/>
    <s v="B01"/>
    <x v="2"/>
    <s v="Abuja"/>
    <x v="2"/>
    <s v="Walk-in"/>
    <s v="POS"/>
    <n v="1"/>
    <n v="1650"/>
    <n v="2200"/>
    <n v="0.15"/>
    <x v="0"/>
    <n v="11"/>
    <n v="2200"/>
    <n v="330"/>
    <n v="1870"/>
    <n v="1650"/>
    <n v="220"/>
    <n v="0.11764705882352941"/>
    <s v="Understocked"/>
    <s v="Safe"/>
    <n v="0.25"/>
    <s v="Safe"/>
    <n v="550"/>
    <n v="0.25"/>
  </r>
  <r>
    <s v="ORD-10137"/>
    <x v="111"/>
    <s v="P015"/>
    <x v="8"/>
    <s v="Personal Care"/>
    <s v="Bath"/>
    <s v="SilkyTouch"/>
    <s v="B08"/>
    <x v="7"/>
    <s v="Kwara"/>
    <x v="2"/>
    <s v="Walk-in"/>
    <s v="POS"/>
    <n v="3"/>
    <n v="600"/>
    <n v="950"/>
    <n v="0.1"/>
    <x v="11"/>
    <n v="7"/>
    <n v="2850"/>
    <n v="285"/>
    <n v="2565"/>
    <n v="1800"/>
    <n v="765"/>
    <n v="0.2982456140350877"/>
    <s v="Healthy"/>
    <s v="Safe"/>
    <n v="0.36842105263157893"/>
    <s v="Safe"/>
    <n v="350"/>
    <n v="0.36842105263157893"/>
  </r>
  <r>
    <s v="ORD-10138"/>
    <x v="33"/>
    <s v="P011"/>
    <x v="9"/>
    <s v="Household"/>
    <s v="Cleaning"/>
    <s v="CleanPro"/>
    <s v="B06"/>
    <x v="1"/>
    <s v="Rivers"/>
    <x v="1"/>
    <s v="Walk-in"/>
    <s v="POS"/>
    <n v="3"/>
    <n v="2800"/>
    <n v="3900"/>
    <n v="0"/>
    <x v="10"/>
    <n v="5"/>
    <n v="11700"/>
    <n v="0"/>
    <n v="11700"/>
    <n v="8400"/>
    <n v="3300"/>
    <n v="0.28205128205128205"/>
    <s v="Healthy"/>
    <s v="Safe"/>
    <n v="0.28205128205128205"/>
    <s v="Safe"/>
    <n v="1100"/>
    <n v="0.28205128205128205"/>
  </r>
  <r>
    <s v="ORD-10139"/>
    <x v="102"/>
    <s v="P023"/>
    <x v="6"/>
    <s v="Office Supplies"/>
    <s v="Stationery"/>
    <s v="StudyPro"/>
    <s v="B05"/>
    <x v="0"/>
    <s v="Kano"/>
    <x v="0"/>
    <s v="Member"/>
    <s v="POS"/>
    <n v="1"/>
    <n v="2800"/>
    <n v="4200"/>
    <n v="0"/>
    <x v="14"/>
    <n v="11"/>
    <n v="4200"/>
    <n v="0"/>
    <n v="4200"/>
    <n v="2800"/>
    <n v="1400"/>
    <n v="0.33333333333333331"/>
    <s v="Understocked"/>
    <s v="Safe"/>
    <n v="0.33333333333333331"/>
    <s v="Safe"/>
    <n v="1400"/>
    <n v="0.33333333333333331"/>
  </r>
  <r>
    <s v="ORD-10140"/>
    <x v="112"/>
    <s v="P003"/>
    <x v="12"/>
    <s v="Food"/>
    <s v="Cooking Oil"/>
    <s v="SunGold"/>
    <s v="B06"/>
    <x v="1"/>
    <s v="Rivers"/>
    <x v="1"/>
    <s v="Member"/>
    <s v="Transfer"/>
    <n v="1"/>
    <n v="7800"/>
    <n v="9800"/>
    <n v="0.1"/>
    <x v="9"/>
    <n v="11"/>
    <n v="9800"/>
    <n v="980"/>
    <n v="8820"/>
    <n v="7800"/>
    <n v="1020"/>
    <n v="0.11564625850340136"/>
    <s v="Understocked"/>
    <s v="Safe"/>
    <n v="0.20408163265306123"/>
    <s v="Safe"/>
    <n v="2000"/>
    <n v="0.20408163265306123"/>
  </r>
  <r>
    <s v="ORD-10141"/>
    <x v="113"/>
    <s v="P022"/>
    <x v="17"/>
    <s v="Office Supplies"/>
    <s v="Writing"/>
    <s v="WriteWell"/>
    <s v="B01"/>
    <x v="2"/>
    <s v="Abuja"/>
    <x v="2"/>
    <s v="Walk-in"/>
    <s v="Card"/>
    <n v="4"/>
    <n v="1300"/>
    <n v="2100"/>
    <n v="0.05"/>
    <x v="15"/>
    <n v="6"/>
    <n v="8400"/>
    <n v="420"/>
    <n v="7980"/>
    <n v="5200"/>
    <n v="2780"/>
    <n v="0.34837092731829572"/>
    <s v="Understocked"/>
    <s v="Safe"/>
    <n v="0.38095238095238093"/>
    <s v="Safe"/>
    <n v="800"/>
    <n v="0.38095238095238093"/>
  </r>
  <r>
    <s v="ORD-10142"/>
    <x v="43"/>
    <s v="P004"/>
    <x v="1"/>
    <s v="Beverages"/>
    <s v="Dairy"/>
    <s v="FreshDay"/>
    <s v="B08"/>
    <x v="7"/>
    <s v="Kwara"/>
    <x v="2"/>
    <s v="Member"/>
    <s v="Transfer"/>
    <n v="1"/>
    <n v="1650"/>
    <n v="2200"/>
    <n v="0"/>
    <x v="0"/>
    <n v="14"/>
    <n v="2200"/>
    <n v="0"/>
    <n v="2200"/>
    <n v="1650"/>
    <n v="550"/>
    <n v="0.25"/>
    <s v="Understocked"/>
    <s v="Safe"/>
    <n v="0.25"/>
    <s v="Safe"/>
    <n v="550"/>
    <n v="0.25"/>
  </r>
  <r>
    <s v="ORD-10143"/>
    <x v="114"/>
    <s v="P001"/>
    <x v="14"/>
    <s v="Food"/>
    <s v="Grains"/>
    <s v="Golden Harvest"/>
    <s v="B03"/>
    <x v="6"/>
    <s v="Lagos"/>
    <x v="4"/>
    <s v="Walk-in"/>
    <s v="Cash"/>
    <n v="4"/>
    <n v="14500"/>
    <n v="17500"/>
    <n v="0"/>
    <x v="1"/>
    <n v="13"/>
    <n v="70000"/>
    <n v="0"/>
    <n v="70000"/>
    <n v="58000"/>
    <n v="12000"/>
    <n v="0.17142857142857143"/>
    <s v="Understocked"/>
    <s v="Safe"/>
    <n v="0.17142857142857143"/>
    <s v="Safe"/>
    <n v="3000"/>
    <n v="0.17142857142857143"/>
  </r>
  <r>
    <s v="ORD-10144"/>
    <x v="115"/>
    <s v="P015"/>
    <x v="8"/>
    <s v="Personal Care"/>
    <s v="Bath"/>
    <s v="SilkyTouch"/>
    <s v="B01"/>
    <x v="2"/>
    <s v="Abuja"/>
    <x v="2"/>
    <s v="Corporate"/>
    <s v="POS"/>
    <n v="2"/>
    <n v="600"/>
    <n v="950"/>
    <n v="0.1"/>
    <x v="10"/>
    <n v="13"/>
    <n v="1900"/>
    <n v="190"/>
    <n v="1710"/>
    <n v="1200"/>
    <n v="510"/>
    <n v="0.2982456140350877"/>
    <s v="Healthy"/>
    <s v="Safe"/>
    <n v="0.36842105263157893"/>
    <s v="Safe"/>
    <n v="350"/>
    <n v="0.36842105263157893"/>
  </r>
  <r>
    <s v="ORD-10145"/>
    <x v="116"/>
    <s v="P005"/>
    <x v="2"/>
    <s v="Food"/>
    <s v="Snacks"/>
    <s v="CrispyBite"/>
    <s v="B08"/>
    <x v="7"/>
    <s v="Kwara"/>
    <x v="2"/>
    <s v="Walk-in"/>
    <s v="POS"/>
    <n v="5"/>
    <n v="850"/>
    <n v="1300"/>
    <n v="0.15"/>
    <x v="1"/>
    <n v="8"/>
    <n v="6500"/>
    <n v="975"/>
    <n v="5525"/>
    <n v="4250"/>
    <n v="1275"/>
    <n v="0.23076923076923078"/>
    <s v="Understocked"/>
    <s v="Safe"/>
    <n v="0.34615384615384615"/>
    <s v="Safe"/>
    <n v="450"/>
    <n v="0.34615384615384615"/>
  </r>
  <r>
    <s v="ORD-10146"/>
    <x v="65"/>
    <s v="P017"/>
    <x v="23"/>
    <s v="Electronics"/>
    <s v="Accessories"/>
    <s v="PowerMax"/>
    <s v="B04"/>
    <x v="5"/>
    <s v="Lagos"/>
    <x v="4"/>
    <s v="Walk-in"/>
    <s v="POS"/>
    <n v="2"/>
    <n v="7500"/>
    <n v="10500"/>
    <n v="0.05"/>
    <x v="13"/>
    <n v="1"/>
    <n v="21000"/>
    <n v="1050"/>
    <n v="19950"/>
    <n v="15000"/>
    <n v="4950"/>
    <n v="0.24812030075187969"/>
    <s v="Healthy"/>
    <s v="Safe"/>
    <n v="0.2857142857142857"/>
    <s v="Safe"/>
    <n v="3000"/>
    <n v="0.2857142857142857"/>
  </r>
  <r>
    <s v="ORD-10147"/>
    <x v="117"/>
    <s v="P010"/>
    <x v="22"/>
    <s v="Household"/>
    <s v="Paper Products"/>
    <s v="SoftCare"/>
    <s v="B01"/>
    <x v="2"/>
    <s v="Abuja"/>
    <x v="2"/>
    <s v="Walk-in"/>
    <s v="POS"/>
    <n v="5"/>
    <n v="3200"/>
    <n v="4500"/>
    <n v="0.15"/>
    <x v="10"/>
    <n v="8"/>
    <n v="22500"/>
    <n v="3375"/>
    <n v="19125"/>
    <n v="16000"/>
    <n v="3125"/>
    <n v="0.16339869281045752"/>
    <s v="Healthy"/>
    <s v="Safe"/>
    <n v="0.28888888888888886"/>
    <s v="Safe"/>
    <n v="1300"/>
    <n v="0.28888888888888886"/>
  </r>
  <r>
    <s v="ORD-10148"/>
    <x v="118"/>
    <s v="P019"/>
    <x v="18"/>
    <s v="Electronics"/>
    <s v="Audio"/>
    <s v="SoundBeat"/>
    <s v="B01"/>
    <x v="2"/>
    <s v="Abuja"/>
    <x v="2"/>
    <s v="Member"/>
    <s v="POS"/>
    <n v="6"/>
    <n v="12500"/>
    <n v="18500"/>
    <n v="0.15"/>
    <x v="13"/>
    <n v="1"/>
    <n v="111000"/>
    <n v="16650"/>
    <n v="94350"/>
    <n v="75000"/>
    <n v="19350"/>
    <n v="0.20508744038155802"/>
    <s v="Understocked"/>
    <s v="Safe"/>
    <n v="0.32432432432432434"/>
    <s v="Safe"/>
    <n v="6000"/>
    <n v="0.32432432432432434"/>
  </r>
  <r>
    <s v="ORD-10149"/>
    <x v="8"/>
    <s v="P005"/>
    <x v="2"/>
    <s v="Food"/>
    <s v="Snacks"/>
    <s v="CrispyBite"/>
    <s v="B08"/>
    <x v="7"/>
    <s v="Kwara"/>
    <x v="2"/>
    <s v="Corporate"/>
    <s v="POS"/>
    <n v="2"/>
    <n v="850"/>
    <n v="1300"/>
    <n v="0"/>
    <x v="1"/>
    <n v="6"/>
    <n v="2600"/>
    <n v="0"/>
    <n v="2600"/>
    <n v="1700"/>
    <n v="900"/>
    <n v="0.34615384615384615"/>
    <s v="Understocked"/>
    <s v="Safe"/>
    <n v="0.34615384615384615"/>
    <s v="Safe"/>
    <n v="450"/>
    <n v="0.34615384615384615"/>
  </r>
  <r>
    <s v="ORD-10150"/>
    <x v="119"/>
    <s v="P001"/>
    <x v="14"/>
    <s v="Food"/>
    <s v="Grains"/>
    <s v="Golden Harvest"/>
    <s v="B07"/>
    <x v="3"/>
    <s v="Enugu"/>
    <x v="3"/>
    <s v="Member"/>
    <s v="Transfer"/>
    <n v="3"/>
    <n v="14500"/>
    <n v="17500"/>
    <n v="0.15"/>
    <x v="1"/>
    <n v="1"/>
    <n v="52500"/>
    <n v="7875"/>
    <n v="44625"/>
    <n v="43500"/>
    <n v="1125"/>
    <n v="2.5210084033613446E-2"/>
    <s v="Understocked"/>
    <s v="Safe"/>
    <n v="0.17142857142857143"/>
    <s v="Safe"/>
    <n v="3000"/>
    <n v="0.17142857142857143"/>
  </r>
  <r>
    <s v="ORD-10151"/>
    <x v="120"/>
    <s v="P005"/>
    <x v="2"/>
    <s v="Food"/>
    <s v="Snacks"/>
    <s v="CrispyBite"/>
    <s v="B07"/>
    <x v="3"/>
    <s v="Enugu"/>
    <x v="3"/>
    <s v="Walk-in"/>
    <s v="Cash"/>
    <n v="3"/>
    <n v="850"/>
    <n v="1300"/>
    <n v="0.1"/>
    <x v="8"/>
    <n v="4"/>
    <n v="3900"/>
    <n v="390"/>
    <n v="3510"/>
    <n v="2550"/>
    <n v="960"/>
    <n v="0.27350427350427353"/>
    <s v="Understocked"/>
    <s v="Safe"/>
    <n v="0.34615384615384615"/>
    <s v="Safe"/>
    <n v="450"/>
    <n v="0.34615384615384615"/>
  </r>
  <r>
    <s v="ORD-10152"/>
    <x v="121"/>
    <s v="P005"/>
    <x v="2"/>
    <s v="Food"/>
    <s v="Snacks"/>
    <s v="CrispyBite"/>
    <s v="B05"/>
    <x v="0"/>
    <s v="Kano"/>
    <x v="0"/>
    <s v="Member"/>
    <s v="Transfer"/>
    <n v="3"/>
    <n v="850"/>
    <n v="1300"/>
    <n v="0"/>
    <x v="1"/>
    <n v="1"/>
    <n v="3900"/>
    <n v="0"/>
    <n v="3900"/>
    <n v="2550"/>
    <n v="1350"/>
    <n v="0.34615384615384615"/>
    <s v="Understocked"/>
    <s v="Safe"/>
    <n v="0.34615384615384615"/>
    <s v="Safe"/>
    <n v="450"/>
    <n v="0.34615384615384615"/>
  </r>
  <r>
    <s v="ORD-10153"/>
    <x v="122"/>
    <s v="P005"/>
    <x v="2"/>
    <s v="Food"/>
    <s v="Snacks"/>
    <s v="CrispyBite"/>
    <s v="B02"/>
    <x v="4"/>
    <s v="Abuja"/>
    <x v="2"/>
    <s v="Walk-in"/>
    <s v="Transfer"/>
    <n v="2"/>
    <n v="850"/>
    <n v="1300"/>
    <n v="0.1"/>
    <x v="1"/>
    <n v="11"/>
    <n v="2600"/>
    <n v="260"/>
    <n v="2340"/>
    <n v="1700"/>
    <n v="640"/>
    <n v="0.27350427350427353"/>
    <s v="Understocked"/>
    <s v="Safe"/>
    <n v="0.34615384615384615"/>
    <s v="Safe"/>
    <n v="450"/>
    <n v="0.34615384615384615"/>
  </r>
  <r>
    <s v="ORD-10154"/>
    <x v="123"/>
    <s v="P002"/>
    <x v="10"/>
    <s v="Food"/>
    <s v="Grains"/>
    <s v="Mama's Pride"/>
    <s v="B04"/>
    <x v="5"/>
    <s v="Lagos"/>
    <x v="4"/>
    <s v="Walk-in"/>
    <s v="Transfer"/>
    <n v="3"/>
    <n v="6200"/>
    <n v="7900"/>
    <n v="0.2"/>
    <x v="8"/>
    <n v="1"/>
    <n v="23700"/>
    <n v="4740"/>
    <n v="18960"/>
    <n v="18600"/>
    <n v="360"/>
    <n v="1.8987341772151899E-2"/>
    <s v="Healthy"/>
    <s v="Safe"/>
    <n v="0.21518987341772153"/>
    <s v="Safe"/>
    <n v="1700"/>
    <n v="0.21518987341772153"/>
  </r>
  <r>
    <s v="ORD-10155"/>
    <x v="8"/>
    <s v="P005"/>
    <x v="2"/>
    <s v="Food"/>
    <s v="Snacks"/>
    <s v="CrispyBite"/>
    <s v="B01"/>
    <x v="2"/>
    <s v="Abuja"/>
    <x v="2"/>
    <s v="Member"/>
    <s v="POS"/>
    <n v="5"/>
    <n v="850"/>
    <n v="1300"/>
    <n v="0.05"/>
    <x v="1"/>
    <n v="12"/>
    <n v="6500"/>
    <n v="325"/>
    <n v="6175"/>
    <n v="4250"/>
    <n v="1925"/>
    <n v="0.31174089068825911"/>
    <s v="Understocked"/>
    <s v="Safe"/>
    <n v="0.34615384615384615"/>
    <s v="Safe"/>
    <n v="450"/>
    <n v="0.34615384615384615"/>
  </r>
  <r>
    <s v="ORD-10156"/>
    <x v="25"/>
    <s v="P001"/>
    <x v="14"/>
    <s v="Food"/>
    <s v="Grains"/>
    <s v="Golden Harvest"/>
    <s v="B04"/>
    <x v="5"/>
    <s v="Lagos"/>
    <x v="4"/>
    <s v="Member"/>
    <s v="Transfer"/>
    <n v="5"/>
    <n v="14500"/>
    <n v="17500"/>
    <n v="0"/>
    <x v="1"/>
    <n v="8"/>
    <n v="87500"/>
    <n v="0"/>
    <n v="87500"/>
    <n v="72500"/>
    <n v="15000"/>
    <n v="0.17142857142857143"/>
    <s v="Understocked"/>
    <s v="Safe"/>
    <n v="0.17142857142857143"/>
    <s v="Safe"/>
    <n v="3000"/>
    <n v="0.17142857142857143"/>
  </r>
  <r>
    <s v="ORD-10157"/>
    <x v="124"/>
    <s v="P002"/>
    <x v="10"/>
    <s v="Food"/>
    <s v="Grains"/>
    <s v="Mama's Pride"/>
    <s v="B06"/>
    <x v="1"/>
    <s v="Rivers"/>
    <x v="1"/>
    <s v="Walk-in"/>
    <s v="Cash"/>
    <n v="2"/>
    <n v="6200"/>
    <n v="7900"/>
    <n v="0"/>
    <x v="9"/>
    <n v="6"/>
    <n v="15800"/>
    <n v="0"/>
    <n v="15800"/>
    <n v="12400"/>
    <n v="3400"/>
    <n v="0.21518987341772153"/>
    <s v="Healthy"/>
    <s v="Safe"/>
    <n v="0.21518987341772153"/>
    <s v="Safe"/>
    <n v="1700"/>
    <n v="0.21518987341772153"/>
  </r>
  <r>
    <s v="ORD-10158"/>
    <x v="13"/>
    <s v="P007"/>
    <x v="3"/>
    <s v="Beverages"/>
    <s v="Malt"/>
    <s v="Naija Malt"/>
    <s v="B07"/>
    <x v="3"/>
    <s v="Enugu"/>
    <x v="3"/>
    <s v="Member"/>
    <s v="Card"/>
    <n v="3"/>
    <n v="550"/>
    <n v="850"/>
    <n v="0"/>
    <x v="3"/>
    <n v="14"/>
    <n v="2550"/>
    <n v="0"/>
    <n v="2550"/>
    <n v="1650"/>
    <n v="900"/>
    <n v="0.35294117647058826"/>
    <s v="Healthy"/>
    <s v="Safe"/>
    <n v="0.35294117647058826"/>
    <s v="Safe"/>
    <n v="300"/>
    <n v="0.35294117647058826"/>
  </r>
  <r>
    <s v="ORD-10159"/>
    <x v="125"/>
    <s v="P003"/>
    <x v="12"/>
    <s v="Food"/>
    <s v="Cooking Oil"/>
    <s v="SunGold"/>
    <s v="B03"/>
    <x v="6"/>
    <s v="Lagos"/>
    <x v="4"/>
    <s v="Member"/>
    <s v="Transfer"/>
    <n v="6"/>
    <n v="7800"/>
    <n v="9800"/>
    <n v="0.1"/>
    <x v="9"/>
    <n v="8"/>
    <n v="58800"/>
    <n v="5880"/>
    <n v="52920"/>
    <n v="46800"/>
    <n v="6120"/>
    <n v="0.11564625850340136"/>
    <s v="Understocked"/>
    <s v="Safe"/>
    <n v="0.20408163265306123"/>
    <s v="Safe"/>
    <n v="2000"/>
    <n v="0.20408163265306123"/>
  </r>
  <r>
    <s v="ORD-10160"/>
    <x v="126"/>
    <s v="P022"/>
    <x v="17"/>
    <s v="Office Supplies"/>
    <s v="Writing"/>
    <s v="WriteWell"/>
    <s v="B04"/>
    <x v="5"/>
    <s v="Lagos"/>
    <x v="4"/>
    <s v="Walk-in"/>
    <s v="POS"/>
    <n v="5"/>
    <n v="1300"/>
    <n v="2100"/>
    <n v="0.1"/>
    <x v="15"/>
    <n v="9"/>
    <n v="10500"/>
    <n v="1050"/>
    <n v="9450"/>
    <n v="6500"/>
    <n v="2950"/>
    <n v="0.31216931216931215"/>
    <s v="Understocked"/>
    <s v="Safe"/>
    <n v="0.38095238095238093"/>
    <s v="Safe"/>
    <n v="800"/>
    <n v="0.38095238095238093"/>
  </r>
  <r>
    <s v="ORD-10161"/>
    <x v="127"/>
    <s v="P002"/>
    <x v="10"/>
    <s v="Food"/>
    <s v="Grains"/>
    <s v="Mama's Pride"/>
    <s v="B05"/>
    <x v="0"/>
    <s v="Kano"/>
    <x v="0"/>
    <s v="Walk-in"/>
    <s v="POS"/>
    <n v="2"/>
    <n v="6200"/>
    <n v="7900"/>
    <n v="0.1"/>
    <x v="8"/>
    <n v="8"/>
    <n v="15800"/>
    <n v="1580"/>
    <n v="14220"/>
    <n v="12400"/>
    <n v="1820"/>
    <n v="0.12798874824191281"/>
    <s v="Healthy"/>
    <s v="Safe"/>
    <n v="0.21518987341772153"/>
    <s v="Safe"/>
    <n v="1700"/>
    <n v="0.21518987341772153"/>
  </r>
  <r>
    <s v="ORD-10162"/>
    <x v="128"/>
    <s v="P012"/>
    <x v="21"/>
    <s v="Household"/>
    <s v="Home Care"/>
    <s v="HomeFresh"/>
    <s v="B03"/>
    <x v="6"/>
    <s v="Lagos"/>
    <x v="4"/>
    <s v="Walk-in"/>
    <s v="POS"/>
    <n v="3"/>
    <n v="1700"/>
    <n v="2600"/>
    <n v="0.15"/>
    <x v="10"/>
    <n v="6"/>
    <n v="7800"/>
    <n v="1170"/>
    <n v="6630"/>
    <n v="5100"/>
    <n v="1530"/>
    <n v="0.23076923076923078"/>
    <s v="Overstocked"/>
    <s v="Safe"/>
    <n v="0.34615384615384615"/>
    <s v="Safe"/>
    <n v="900"/>
    <n v="0.34615384615384615"/>
  </r>
  <r>
    <s v="ORD-10163"/>
    <x v="33"/>
    <s v="P004"/>
    <x v="1"/>
    <s v="Beverages"/>
    <s v="Dairy"/>
    <s v="FreshDay"/>
    <s v="B01"/>
    <x v="2"/>
    <s v="Abuja"/>
    <x v="2"/>
    <s v="Walk-in"/>
    <s v="Cash"/>
    <n v="5"/>
    <n v="1650"/>
    <n v="2200"/>
    <n v="0.1"/>
    <x v="3"/>
    <n v="13"/>
    <n v="11000"/>
    <n v="1100"/>
    <n v="9900"/>
    <n v="8250"/>
    <n v="1650"/>
    <n v="0.16666666666666666"/>
    <s v="Understocked"/>
    <s v="Safe"/>
    <n v="0.25"/>
    <s v="Safe"/>
    <n v="550"/>
    <n v="0.25"/>
  </r>
  <r>
    <s v="ORD-10164"/>
    <x v="129"/>
    <s v="P007"/>
    <x v="3"/>
    <s v="Beverages"/>
    <s v="Malt"/>
    <s v="Naija Malt"/>
    <s v="B04"/>
    <x v="5"/>
    <s v="Lagos"/>
    <x v="4"/>
    <s v="Corporate"/>
    <s v="Transfer"/>
    <n v="3"/>
    <n v="550"/>
    <n v="850"/>
    <n v="0.1"/>
    <x v="3"/>
    <n v="10"/>
    <n v="2550"/>
    <n v="255"/>
    <n v="2295"/>
    <n v="1650"/>
    <n v="645"/>
    <n v="0.28104575163398693"/>
    <s v="Healthy"/>
    <s v="Safe"/>
    <n v="0.35294117647058826"/>
    <s v="Safe"/>
    <n v="300"/>
    <n v="0.35294117647058826"/>
  </r>
  <r>
    <s v="ORD-10165"/>
    <x v="130"/>
    <s v="P007"/>
    <x v="3"/>
    <s v="Beverages"/>
    <s v="Malt"/>
    <s v="Naija Malt"/>
    <s v="B05"/>
    <x v="0"/>
    <s v="Kano"/>
    <x v="0"/>
    <s v="Member"/>
    <s v="Transfer"/>
    <n v="2"/>
    <n v="550"/>
    <n v="850"/>
    <n v="0"/>
    <x v="2"/>
    <n v="9"/>
    <n v="1700"/>
    <n v="0"/>
    <n v="1700"/>
    <n v="1100"/>
    <n v="600"/>
    <n v="0.35294117647058826"/>
    <s v="Healthy"/>
    <s v="Safe"/>
    <n v="0.35294117647058826"/>
    <s v="Safe"/>
    <n v="300"/>
    <n v="0.35294117647058826"/>
  </r>
  <r>
    <s v="ORD-10166"/>
    <x v="131"/>
    <s v="P015"/>
    <x v="8"/>
    <s v="Personal Care"/>
    <s v="Bath"/>
    <s v="SilkyTouch"/>
    <s v="B02"/>
    <x v="4"/>
    <s v="Abuja"/>
    <x v="2"/>
    <s v="Corporate"/>
    <s v="Card"/>
    <n v="3"/>
    <n v="600"/>
    <n v="950"/>
    <n v="0.1"/>
    <x v="6"/>
    <n v="14"/>
    <n v="2850"/>
    <n v="285"/>
    <n v="2565"/>
    <n v="1800"/>
    <n v="765"/>
    <n v="0.2982456140350877"/>
    <s v="Healthy"/>
    <s v="Safe"/>
    <n v="0.36842105263157893"/>
    <s v="Safe"/>
    <n v="350"/>
    <n v="0.36842105263157893"/>
  </r>
  <r>
    <s v="ORD-10167"/>
    <x v="132"/>
    <s v="P021"/>
    <x v="20"/>
    <s v="Office Supplies"/>
    <s v="Paper"/>
    <s v="OfficeMate"/>
    <s v="B03"/>
    <x v="6"/>
    <s v="Lagos"/>
    <x v="4"/>
    <s v="Member"/>
    <s v="Card"/>
    <n v="1"/>
    <n v="5200"/>
    <n v="7000"/>
    <n v="0.2"/>
    <x v="14"/>
    <n v="12"/>
    <n v="7000"/>
    <n v="1400"/>
    <n v="5600"/>
    <n v="5200"/>
    <n v="400"/>
    <n v="7.1428571428571425E-2"/>
    <s v="Overstocked"/>
    <s v="Safe"/>
    <n v="0.25714285714285712"/>
    <s v="Safe"/>
    <n v="1800"/>
    <n v="0.25714285714285712"/>
  </r>
  <r>
    <s v="ORD-10168"/>
    <x v="133"/>
    <s v="P006"/>
    <x v="0"/>
    <s v="Beverages"/>
    <s v="Water"/>
    <s v="AquaPure"/>
    <s v="B03"/>
    <x v="6"/>
    <s v="Lagos"/>
    <x v="4"/>
    <s v="Member"/>
    <s v="Cash"/>
    <n v="1"/>
    <n v="230"/>
    <n v="400"/>
    <n v="0.1"/>
    <x v="2"/>
    <n v="9"/>
    <n v="400"/>
    <n v="40"/>
    <n v="360"/>
    <n v="230"/>
    <n v="130"/>
    <n v="0.3611111111111111"/>
    <s v="Understocked"/>
    <s v="Safe"/>
    <n v="0.42499999999999999"/>
    <s v="Safe"/>
    <n v="170"/>
    <n v="0.42499999999999999"/>
  </r>
  <r>
    <s v="ORD-10169"/>
    <x v="11"/>
    <s v="P018"/>
    <x v="16"/>
    <s v="Electronics"/>
    <s v="Mobile Accessories"/>
    <s v="VoltSafe"/>
    <s v="B02"/>
    <x v="4"/>
    <s v="Abuja"/>
    <x v="2"/>
    <s v="Walk-in"/>
    <s v="Transfer"/>
    <n v="3"/>
    <n v="18000"/>
    <n v="24500"/>
    <n v="0.05"/>
    <x v="12"/>
    <n v="3"/>
    <n v="73500"/>
    <n v="3675"/>
    <n v="69825"/>
    <n v="54000"/>
    <n v="15825"/>
    <n v="0.22663802363050484"/>
    <s v="Understocked"/>
    <s v="Safe"/>
    <n v="0.26530612244897961"/>
    <s v="Safe"/>
    <n v="6500"/>
    <n v="0.26530612244897961"/>
  </r>
  <r>
    <s v="ORD-10170"/>
    <x v="53"/>
    <s v="P002"/>
    <x v="10"/>
    <s v="Food"/>
    <s v="Grains"/>
    <s v="Mama's Pride"/>
    <s v="B03"/>
    <x v="6"/>
    <s v="Lagos"/>
    <x v="4"/>
    <s v="Walk-in"/>
    <s v="Transfer"/>
    <n v="4"/>
    <n v="6200"/>
    <n v="7900"/>
    <n v="0.05"/>
    <x v="1"/>
    <n v="2"/>
    <n v="31600"/>
    <n v="1580"/>
    <n v="30020"/>
    <n v="24800"/>
    <n v="5220"/>
    <n v="0.17388407728181213"/>
    <s v="Healthy"/>
    <s v="Safe"/>
    <n v="0.21518987341772153"/>
    <s v="Safe"/>
    <n v="1700"/>
    <n v="0.21518987341772153"/>
  </r>
  <r>
    <s v="ORD-10171"/>
    <x v="134"/>
    <s v="P014"/>
    <x v="15"/>
    <s v="Personal Care"/>
    <s v="Oral Care"/>
    <s v="FreshMint"/>
    <s v="B04"/>
    <x v="5"/>
    <s v="Lagos"/>
    <x v="4"/>
    <s v="Member"/>
    <s v="POS"/>
    <n v="4"/>
    <n v="1200"/>
    <n v="1900"/>
    <n v="0.05"/>
    <x v="10"/>
    <n v="10"/>
    <n v="7600"/>
    <n v="380"/>
    <n v="7220"/>
    <n v="4800"/>
    <n v="2420"/>
    <n v="0.33518005540166207"/>
    <s v="Healthy"/>
    <s v="Safe"/>
    <n v="0.36842105263157893"/>
    <s v="Safe"/>
    <n v="700"/>
    <n v="0.36842105263157893"/>
  </r>
  <r>
    <s v="ORD-10172"/>
    <x v="27"/>
    <s v="P008"/>
    <x v="4"/>
    <s v="Beverages"/>
    <s v="Soft Drinks"/>
    <s v="Sparkle"/>
    <s v="B07"/>
    <x v="3"/>
    <s v="Enugu"/>
    <x v="3"/>
    <s v="Walk-in"/>
    <s v="Cash"/>
    <n v="1"/>
    <n v="330"/>
    <n v="550"/>
    <n v="0"/>
    <x v="2"/>
    <n v="12"/>
    <n v="550"/>
    <n v="0"/>
    <n v="550"/>
    <n v="330"/>
    <n v="220"/>
    <n v="0.4"/>
    <s v="Healthy"/>
    <s v="Safe"/>
    <n v="0.4"/>
    <s v="Safe"/>
    <n v="220"/>
    <n v="0.4"/>
  </r>
  <r>
    <s v="ORD-10173"/>
    <x v="135"/>
    <s v="P021"/>
    <x v="20"/>
    <s v="Office Supplies"/>
    <s v="Paper"/>
    <s v="OfficeMate"/>
    <s v="B07"/>
    <x v="3"/>
    <s v="Enugu"/>
    <x v="3"/>
    <s v="Walk-in"/>
    <s v="Cash"/>
    <n v="2"/>
    <n v="5200"/>
    <n v="7000"/>
    <n v="0.2"/>
    <x v="14"/>
    <n v="10"/>
    <n v="14000"/>
    <n v="2800"/>
    <n v="11200"/>
    <n v="10400"/>
    <n v="800"/>
    <n v="7.1428571428571425E-2"/>
    <s v="Overstocked"/>
    <s v="Safe"/>
    <n v="0.25714285714285712"/>
    <s v="Safe"/>
    <n v="1800"/>
    <n v="0.25714285714285712"/>
  </r>
  <r>
    <s v="ORD-10174"/>
    <x v="136"/>
    <s v="P013"/>
    <x v="11"/>
    <s v="Personal Care"/>
    <s v="Skin Care"/>
    <s v="GlowPlus"/>
    <s v="B04"/>
    <x v="5"/>
    <s v="Lagos"/>
    <x v="4"/>
    <s v="Member"/>
    <s v="POS"/>
    <n v="3"/>
    <n v="3500"/>
    <n v="5200"/>
    <n v="0"/>
    <x v="11"/>
    <n v="14"/>
    <n v="15600"/>
    <n v="0"/>
    <n v="15600"/>
    <n v="10500"/>
    <n v="5100"/>
    <n v="0.32692307692307693"/>
    <s v="Healthy"/>
    <s v="Safe"/>
    <n v="0.32692307692307693"/>
    <s v="Safe"/>
    <n v="1700"/>
    <n v="0.32692307692307693"/>
  </r>
  <r>
    <s v="ORD-10175"/>
    <x v="137"/>
    <s v="P019"/>
    <x v="18"/>
    <s v="Electronics"/>
    <s v="Audio"/>
    <s v="SoundBeat"/>
    <s v="B01"/>
    <x v="2"/>
    <s v="Abuja"/>
    <x v="2"/>
    <s v="Walk-in"/>
    <s v="POS"/>
    <n v="1"/>
    <n v="12500"/>
    <n v="18500"/>
    <n v="0.1"/>
    <x v="12"/>
    <n v="7"/>
    <n v="18500"/>
    <n v="1850"/>
    <n v="16650"/>
    <n v="12500"/>
    <n v="4150"/>
    <n v="0.24924924924924924"/>
    <s v="Understocked"/>
    <s v="Safe"/>
    <n v="0.32432432432432434"/>
    <s v="Safe"/>
    <n v="6000"/>
    <n v="0.32432432432432434"/>
  </r>
  <r>
    <s v="ORD-10176"/>
    <x v="138"/>
    <s v="P008"/>
    <x v="4"/>
    <s v="Beverages"/>
    <s v="Soft Drinks"/>
    <s v="Sparkle"/>
    <s v="B05"/>
    <x v="0"/>
    <s v="Kano"/>
    <x v="0"/>
    <s v="Walk-in"/>
    <s v="POS"/>
    <n v="2"/>
    <n v="330"/>
    <n v="550"/>
    <n v="0.2"/>
    <x v="0"/>
    <n v="7"/>
    <n v="1100"/>
    <n v="220"/>
    <n v="880"/>
    <n v="660"/>
    <n v="220"/>
    <n v="0.25"/>
    <s v="Healthy"/>
    <s v="Safe"/>
    <n v="0.4"/>
    <s v="Safe"/>
    <n v="220"/>
    <n v="0.4"/>
  </r>
  <r>
    <s v="ORD-10177"/>
    <x v="23"/>
    <s v="P014"/>
    <x v="15"/>
    <s v="Personal Care"/>
    <s v="Oral Care"/>
    <s v="FreshMint"/>
    <s v="B02"/>
    <x v="4"/>
    <s v="Abuja"/>
    <x v="2"/>
    <s v="Walk-in"/>
    <s v="Cash"/>
    <n v="2"/>
    <n v="1200"/>
    <n v="1900"/>
    <n v="0.05"/>
    <x v="10"/>
    <n v="6"/>
    <n v="3800"/>
    <n v="190"/>
    <n v="3610"/>
    <n v="2400"/>
    <n v="1210"/>
    <n v="0.33518005540166207"/>
    <s v="Healthy"/>
    <s v="Safe"/>
    <n v="0.36842105263157893"/>
    <s v="Safe"/>
    <n v="700"/>
    <n v="0.36842105263157893"/>
  </r>
  <r>
    <s v="ORD-10178"/>
    <x v="75"/>
    <s v="P023"/>
    <x v="6"/>
    <s v="Office Supplies"/>
    <s v="Stationery"/>
    <s v="StudyPro"/>
    <s v="B01"/>
    <x v="2"/>
    <s v="Abuja"/>
    <x v="2"/>
    <s v="Walk-in"/>
    <s v="Transfer"/>
    <n v="2"/>
    <n v="2800"/>
    <n v="4200"/>
    <n v="0.1"/>
    <x v="14"/>
    <n v="8"/>
    <n v="8400"/>
    <n v="840"/>
    <n v="7560"/>
    <n v="5600"/>
    <n v="1960"/>
    <n v="0.25925925925925924"/>
    <s v="Understocked"/>
    <s v="Safe"/>
    <n v="0.33333333333333331"/>
    <s v="Safe"/>
    <n v="1400"/>
    <n v="0.33333333333333331"/>
  </r>
  <r>
    <s v="ORD-10179"/>
    <x v="83"/>
    <s v="P001"/>
    <x v="14"/>
    <s v="Food"/>
    <s v="Grains"/>
    <s v="Golden Harvest"/>
    <s v="B08"/>
    <x v="7"/>
    <s v="Kwara"/>
    <x v="2"/>
    <s v="Corporate"/>
    <s v="POS"/>
    <n v="6"/>
    <n v="14500"/>
    <n v="17500"/>
    <n v="0.05"/>
    <x v="8"/>
    <n v="10"/>
    <n v="105000"/>
    <n v="5250"/>
    <n v="99750"/>
    <n v="87000"/>
    <n v="12750"/>
    <n v="0.12781954887218044"/>
    <s v="Understocked"/>
    <s v="Safe"/>
    <n v="0.17142857142857143"/>
    <s v="Safe"/>
    <n v="3000"/>
    <n v="0.17142857142857143"/>
  </r>
  <r>
    <s v="ORD-10180"/>
    <x v="139"/>
    <s v="P016"/>
    <x v="7"/>
    <s v="Personal Care"/>
    <s v="Fragrance"/>
    <s v="RoyalScent"/>
    <s v="B04"/>
    <x v="5"/>
    <s v="Lagos"/>
    <x v="4"/>
    <s v="Walk-in"/>
    <s v="Cash"/>
    <n v="3"/>
    <n v="8500"/>
    <n v="12500"/>
    <n v="0.15"/>
    <x v="11"/>
    <n v="9"/>
    <n v="37500"/>
    <n v="5625"/>
    <n v="31875"/>
    <n v="25500"/>
    <n v="6375"/>
    <n v="0.2"/>
    <s v="Overstocked"/>
    <s v="Safe"/>
    <n v="0.32"/>
    <s v="Safe"/>
    <n v="4000"/>
    <n v="0.32"/>
  </r>
  <r>
    <s v="ORD-10181"/>
    <x v="140"/>
    <s v="P005"/>
    <x v="2"/>
    <s v="Food"/>
    <s v="Snacks"/>
    <s v="CrispyBite"/>
    <s v="B03"/>
    <x v="6"/>
    <s v="Lagos"/>
    <x v="4"/>
    <s v="Member"/>
    <s v="POS"/>
    <n v="1"/>
    <n v="850"/>
    <n v="1300"/>
    <n v="0.05"/>
    <x v="8"/>
    <n v="5"/>
    <n v="1300"/>
    <n v="65"/>
    <n v="1235"/>
    <n v="850"/>
    <n v="385"/>
    <n v="0.31174089068825911"/>
    <s v="Understocked"/>
    <s v="Safe"/>
    <n v="0.34615384615384615"/>
    <s v="Safe"/>
    <n v="450"/>
    <n v="0.34615384615384615"/>
  </r>
  <r>
    <s v="ORD-10182"/>
    <x v="141"/>
    <s v="P008"/>
    <x v="4"/>
    <s v="Beverages"/>
    <s v="Soft Drinks"/>
    <s v="Sparkle"/>
    <s v="B07"/>
    <x v="3"/>
    <s v="Enugu"/>
    <x v="3"/>
    <s v="Walk-in"/>
    <s v="Transfer"/>
    <n v="4"/>
    <n v="330"/>
    <n v="550"/>
    <n v="0.1"/>
    <x v="0"/>
    <n v="9"/>
    <n v="2200"/>
    <n v="220"/>
    <n v="1980"/>
    <n v="1320"/>
    <n v="660"/>
    <n v="0.33333333333333331"/>
    <s v="Healthy"/>
    <s v="Safe"/>
    <n v="0.4"/>
    <s v="Safe"/>
    <n v="220"/>
    <n v="0.4"/>
  </r>
  <r>
    <s v="ORD-10183"/>
    <x v="142"/>
    <s v="P006"/>
    <x v="0"/>
    <s v="Beverages"/>
    <s v="Water"/>
    <s v="AquaPure"/>
    <s v="B03"/>
    <x v="6"/>
    <s v="Lagos"/>
    <x v="4"/>
    <s v="Member"/>
    <s v="POS"/>
    <n v="2"/>
    <n v="230"/>
    <n v="400"/>
    <n v="0.05"/>
    <x v="0"/>
    <n v="2"/>
    <n v="800"/>
    <n v="40"/>
    <n v="760"/>
    <n v="460"/>
    <n v="300"/>
    <n v="0.39473684210526316"/>
    <s v="Understocked"/>
    <s v="Safe"/>
    <n v="0.42499999999999999"/>
    <s v="Safe"/>
    <n v="170"/>
    <n v="0.42499999999999999"/>
  </r>
  <r>
    <s v="ORD-10184"/>
    <x v="83"/>
    <s v="P007"/>
    <x v="3"/>
    <s v="Beverages"/>
    <s v="Malt"/>
    <s v="Naija Malt"/>
    <s v="B06"/>
    <x v="1"/>
    <s v="Rivers"/>
    <x v="1"/>
    <s v="Member"/>
    <s v="Cash"/>
    <n v="2"/>
    <n v="550"/>
    <n v="850"/>
    <n v="0.2"/>
    <x v="0"/>
    <n v="7"/>
    <n v="1700"/>
    <n v="340"/>
    <n v="1360"/>
    <n v="1100"/>
    <n v="260"/>
    <n v="0.19117647058823528"/>
    <s v="Healthy"/>
    <s v="Safe"/>
    <n v="0.35294117647058826"/>
    <s v="Safe"/>
    <n v="300"/>
    <n v="0.35294117647058826"/>
  </r>
  <r>
    <s v="ORD-10185"/>
    <x v="88"/>
    <s v="P001"/>
    <x v="14"/>
    <s v="Food"/>
    <s v="Grains"/>
    <s v="Golden Harvest"/>
    <s v="B06"/>
    <x v="1"/>
    <s v="Rivers"/>
    <x v="1"/>
    <s v="Walk-in"/>
    <s v="POS"/>
    <n v="5"/>
    <n v="14500"/>
    <n v="17500"/>
    <n v="0.05"/>
    <x v="9"/>
    <n v="6"/>
    <n v="87500"/>
    <n v="4375"/>
    <n v="83125"/>
    <n v="72500"/>
    <n v="10625"/>
    <n v="0.12781954887218044"/>
    <s v="Understocked"/>
    <s v="Safe"/>
    <n v="0.17142857142857143"/>
    <s v="Safe"/>
    <n v="3000"/>
    <n v="0.17142857142857143"/>
  </r>
  <r>
    <s v="ORD-10186"/>
    <x v="143"/>
    <s v="P004"/>
    <x v="1"/>
    <s v="Beverages"/>
    <s v="Dairy"/>
    <s v="FreshDay"/>
    <s v="B08"/>
    <x v="7"/>
    <s v="Kwara"/>
    <x v="2"/>
    <s v="Walk-in"/>
    <s v="POS"/>
    <n v="4"/>
    <n v="1650"/>
    <n v="2200"/>
    <n v="0"/>
    <x v="0"/>
    <n v="8"/>
    <n v="8800"/>
    <n v="0"/>
    <n v="8800"/>
    <n v="6600"/>
    <n v="2200"/>
    <n v="0.25"/>
    <s v="Understocked"/>
    <s v="Safe"/>
    <n v="0.25"/>
    <s v="Safe"/>
    <n v="550"/>
    <n v="0.25"/>
  </r>
  <r>
    <s v="ORD-10187"/>
    <x v="144"/>
    <s v="P008"/>
    <x v="4"/>
    <s v="Beverages"/>
    <s v="Soft Drinks"/>
    <s v="Sparkle"/>
    <s v="B01"/>
    <x v="2"/>
    <s v="Abuja"/>
    <x v="2"/>
    <s v="Walk-in"/>
    <s v="Card"/>
    <n v="2"/>
    <n v="330"/>
    <n v="550"/>
    <n v="0"/>
    <x v="0"/>
    <n v="14"/>
    <n v="1100"/>
    <n v="0"/>
    <n v="1100"/>
    <n v="660"/>
    <n v="440"/>
    <n v="0.4"/>
    <s v="Healthy"/>
    <s v="Safe"/>
    <n v="0.4"/>
    <s v="Safe"/>
    <n v="220"/>
    <n v="0.4"/>
  </r>
  <r>
    <s v="ORD-10188"/>
    <x v="145"/>
    <s v="P011"/>
    <x v="9"/>
    <s v="Household"/>
    <s v="Cleaning"/>
    <s v="CleanPro"/>
    <s v="B03"/>
    <x v="6"/>
    <s v="Lagos"/>
    <x v="4"/>
    <s v="Walk-in"/>
    <s v="Card"/>
    <n v="4"/>
    <n v="2800"/>
    <n v="3900"/>
    <n v="0.2"/>
    <x v="7"/>
    <n v="10"/>
    <n v="15600"/>
    <n v="3120"/>
    <n v="12480"/>
    <n v="11200"/>
    <n v="1280"/>
    <n v="0.10256410256410256"/>
    <s v="Healthy"/>
    <s v="Safe"/>
    <n v="0.28205128205128205"/>
    <s v="Safe"/>
    <n v="1100"/>
    <n v="0.28205128205128205"/>
  </r>
  <r>
    <s v="ORD-10189"/>
    <x v="146"/>
    <s v="P013"/>
    <x v="11"/>
    <s v="Personal Care"/>
    <s v="Skin Care"/>
    <s v="GlowPlus"/>
    <s v="B05"/>
    <x v="0"/>
    <s v="Kano"/>
    <x v="0"/>
    <s v="Member"/>
    <s v="Cash"/>
    <n v="5"/>
    <n v="3500"/>
    <n v="5200"/>
    <n v="0"/>
    <x v="10"/>
    <n v="2"/>
    <n v="26000"/>
    <n v="0"/>
    <n v="26000"/>
    <n v="17500"/>
    <n v="8500"/>
    <n v="0.32692307692307693"/>
    <s v="Healthy"/>
    <s v="Safe"/>
    <n v="0.32692307692307693"/>
    <s v="Safe"/>
    <n v="1700"/>
    <n v="0.32692307692307693"/>
  </r>
  <r>
    <s v="ORD-10190"/>
    <x v="147"/>
    <s v="P006"/>
    <x v="0"/>
    <s v="Beverages"/>
    <s v="Water"/>
    <s v="AquaPure"/>
    <s v="B02"/>
    <x v="4"/>
    <s v="Abuja"/>
    <x v="2"/>
    <s v="Member"/>
    <s v="POS"/>
    <n v="4"/>
    <n v="230"/>
    <n v="400"/>
    <n v="0.05"/>
    <x v="0"/>
    <n v="12"/>
    <n v="1600"/>
    <n v="80"/>
    <n v="1520"/>
    <n v="920"/>
    <n v="600"/>
    <n v="0.39473684210526316"/>
    <s v="Understocked"/>
    <s v="Safe"/>
    <n v="0.42499999999999999"/>
    <s v="Safe"/>
    <n v="170"/>
    <n v="0.42499999999999999"/>
  </r>
  <r>
    <s v="ORD-10191"/>
    <x v="119"/>
    <s v="P009"/>
    <x v="13"/>
    <s v="Household"/>
    <s v="Cleaning"/>
    <s v="BrightWash"/>
    <s v="B04"/>
    <x v="5"/>
    <s v="Lagos"/>
    <x v="4"/>
    <s v="Walk-in"/>
    <s v="POS"/>
    <n v="10"/>
    <n v="2400"/>
    <n v="3400"/>
    <n v="0.05"/>
    <x v="10"/>
    <n v="9"/>
    <n v="34000"/>
    <n v="1700"/>
    <n v="32300"/>
    <n v="24000"/>
    <n v="8300"/>
    <n v="0.25696594427244585"/>
    <s v="Healthy"/>
    <s v="Safe"/>
    <n v="0.29411764705882354"/>
    <s v="Safe"/>
    <n v="1000"/>
    <n v="0.29411764705882354"/>
  </r>
  <r>
    <s v="ORD-10192"/>
    <x v="148"/>
    <s v="P014"/>
    <x v="15"/>
    <s v="Personal Care"/>
    <s v="Oral Care"/>
    <s v="FreshMint"/>
    <s v="B07"/>
    <x v="3"/>
    <s v="Enugu"/>
    <x v="3"/>
    <s v="Walk-in"/>
    <s v="Transfer"/>
    <n v="4"/>
    <n v="1200"/>
    <n v="1900"/>
    <n v="0.15"/>
    <x v="6"/>
    <n v="5"/>
    <n v="7600"/>
    <n v="1140"/>
    <n v="6460"/>
    <n v="4800"/>
    <n v="1660"/>
    <n v="0.25696594427244585"/>
    <s v="Healthy"/>
    <s v="Safe"/>
    <n v="0.36842105263157893"/>
    <s v="Safe"/>
    <n v="700"/>
    <n v="0.36842105263157893"/>
  </r>
  <r>
    <s v="ORD-10193"/>
    <x v="149"/>
    <s v="P022"/>
    <x v="17"/>
    <s v="Office Supplies"/>
    <s v="Writing"/>
    <s v="WriteWell"/>
    <s v="B08"/>
    <x v="7"/>
    <s v="Kwara"/>
    <x v="2"/>
    <s v="Member"/>
    <s v="Transfer"/>
    <n v="5"/>
    <n v="1300"/>
    <n v="2100"/>
    <n v="0.1"/>
    <x v="14"/>
    <n v="6"/>
    <n v="10500"/>
    <n v="1050"/>
    <n v="9450"/>
    <n v="6500"/>
    <n v="2950"/>
    <n v="0.31216931216931215"/>
    <s v="Understocked"/>
    <s v="Safe"/>
    <n v="0.38095238095238093"/>
    <s v="Safe"/>
    <n v="800"/>
    <n v="0.38095238095238093"/>
  </r>
  <r>
    <s v="ORD-10194"/>
    <x v="150"/>
    <s v="P006"/>
    <x v="0"/>
    <s v="Beverages"/>
    <s v="Water"/>
    <s v="AquaPure"/>
    <s v="B04"/>
    <x v="5"/>
    <s v="Lagos"/>
    <x v="4"/>
    <s v="Walk-in"/>
    <s v="Transfer"/>
    <n v="3"/>
    <n v="230"/>
    <n v="400"/>
    <n v="0.15"/>
    <x v="3"/>
    <n v="5"/>
    <n v="1200"/>
    <n v="180"/>
    <n v="1020"/>
    <n v="690"/>
    <n v="330"/>
    <n v="0.3235294117647059"/>
    <s v="Understocked"/>
    <s v="Safe"/>
    <n v="0.42499999999999999"/>
    <s v="Safe"/>
    <n v="170"/>
    <n v="0.42499999999999999"/>
  </r>
  <r>
    <s v="ORD-10195"/>
    <x v="151"/>
    <s v="P006"/>
    <x v="0"/>
    <s v="Beverages"/>
    <s v="Water"/>
    <s v="AquaPure"/>
    <s v="B03"/>
    <x v="6"/>
    <s v="Lagos"/>
    <x v="4"/>
    <s v="Walk-in"/>
    <s v="POS"/>
    <n v="2"/>
    <n v="230"/>
    <n v="400"/>
    <n v="0.05"/>
    <x v="0"/>
    <n v="12"/>
    <n v="800"/>
    <n v="40"/>
    <n v="760"/>
    <n v="460"/>
    <n v="300"/>
    <n v="0.39473684210526316"/>
    <s v="Understocked"/>
    <s v="Safe"/>
    <n v="0.42499999999999999"/>
    <s v="Safe"/>
    <n v="170"/>
    <n v="0.42499999999999999"/>
  </r>
  <r>
    <s v="ORD-10196"/>
    <x v="141"/>
    <s v="P013"/>
    <x v="11"/>
    <s v="Personal Care"/>
    <s v="Skin Care"/>
    <s v="GlowPlus"/>
    <s v="B04"/>
    <x v="5"/>
    <s v="Lagos"/>
    <x v="4"/>
    <s v="Walk-in"/>
    <s v="POS"/>
    <n v="2"/>
    <n v="3500"/>
    <n v="5200"/>
    <n v="0.1"/>
    <x v="6"/>
    <n v="2"/>
    <n v="10400"/>
    <n v="1040"/>
    <n v="9360"/>
    <n v="7000"/>
    <n v="2360"/>
    <n v="0.25213675213675213"/>
    <s v="Healthy"/>
    <s v="Safe"/>
    <n v="0.32692307692307693"/>
    <s v="Safe"/>
    <n v="1700"/>
    <n v="0.32692307692307693"/>
  </r>
  <r>
    <s v="ORD-10197"/>
    <x v="152"/>
    <s v="P003"/>
    <x v="12"/>
    <s v="Food"/>
    <s v="Cooking Oil"/>
    <s v="SunGold"/>
    <s v="B06"/>
    <x v="1"/>
    <s v="Rivers"/>
    <x v="1"/>
    <s v="Corporate"/>
    <s v="Transfer"/>
    <n v="1"/>
    <n v="7800"/>
    <n v="9800"/>
    <n v="0.1"/>
    <x v="8"/>
    <n v="8"/>
    <n v="9800"/>
    <n v="980"/>
    <n v="8820"/>
    <n v="7800"/>
    <n v="1020"/>
    <n v="0.11564625850340136"/>
    <s v="Understocked"/>
    <s v="Safe"/>
    <n v="0.20408163265306123"/>
    <s v="Safe"/>
    <n v="2000"/>
    <n v="0.20408163265306123"/>
  </r>
  <r>
    <s v="ORD-10198"/>
    <x v="153"/>
    <s v="P006"/>
    <x v="0"/>
    <s v="Beverages"/>
    <s v="Water"/>
    <s v="AquaPure"/>
    <s v="B05"/>
    <x v="0"/>
    <s v="Kano"/>
    <x v="0"/>
    <s v="Walk-in"/>
    <s v="POS"/>
    <n v="6"/>
    <n v="230"/>
    <n v="400"/>
    <n v="0"/>
    <x v="0"/>
    <n v="14"/>
    <n v="2400"/>
    <n v="0"/>
    <n v="2400"/>
    <n v="1380"/>
    <n v="1020"/>
    <n v="0.42499999999999999"/>
    <s v="Understocked"/>
    <s v="Safe"/>
    <n v="0.42499999999999999"/>
    <s v="Safe"/>
    <n v="170"/>
    <n v="0.42499999999999999"/>
  </r>
  <r>
    <s v="ORD-10199"/>
    <x v="93"/>
    <s v="P007"/>
    <x v="3"/>
    <s v="Beverages"/>
    <s v="Malt"/>
    <s v="Naija Malt"/>
    <s v="B07"/>
    <x v="3"/>
    <s v="Enugu"/>
    <x v="3"/>
    <s v="Member"/>
    <s v="POS"/>
    <n v="8"/>
    <n v="550"/>
    <n v="850"/>
    <n v="0"/>
    <x v="3"/>
    <n v="12"/>
    <n v="6800"/>
    <n v="0"/>
    <n v="6800"/>
    <n v="4400"/>
    <n v="2400"/>
    <n v="0.35294117647058826"/>
    <s v="Healthy"/>
    <s v="Safe"/>
    <n v="0.35294117647058826"/>
    <s v="Safe"/>
    <n v="300"/>
    <n v="0.35294117647058826"/>
  </r>
  <r>
    <s v="ORD-10200"/>
    <x v="154"/>
    <s v="P020"/>
    <x v="5"/>
    <s v="Electronics"/>
    <s v="Lighting"/>
    <s v="Luma"/>
    <s v="B01"/>
    <x v="2"/>
    <s v="Abuja"/>
    <x v="2"/>
    <s v="Corporate"/>
    <s v="Card"/>
    <n v="3"/>
    <n v="1500"/>
    <n v="2500"/>
    <n v="0"/>
    <x v="12"/>
    <n v="9"/>
    <n v="7500"/>
    <n v="0"/>
    <n v="7500"/>
    <n v="4500"/>
    <n v="3000"/>
    <n v="0.4"/>
    <s v="Healthy"/>
    <s v="Safe"/>
    <n v="0.4"/>
    <s v="Safe"/>
    <n v="1000"/>
    <n v="0.4"/>
  </r>
  <r>
    <s v="ORD-10201"/>
    <x v="25"/>
    <s v="P020"/>
    <x v="5"/>
    <s v="Electronics"/>
    <s v="Lighting"/>
    <s v="Luma"/>
    <s v="B04"/>
    <x v="5"/>
    <s v="Lagos"/>
    <x v="4"/>
    <s v="Walk-in"/>
    <s v="Transfer"/>
    <n v="1"/>
    <n v="1500"/>
    <n v="2500"/>
    <n v="0"/>
    <x v="13"/>
    <n v="12"/>
    <n v="2500"/>
    <n v="0"/>
    <n v="2500"/>
    <n v="1500"/>
    <n v="1000"/>
    <n v="0.4"/>
    <s v="Healthy"/>
    <s v="Safe"/>
    <n v="0.4"/>
    <s v="Safe"/>
    <n v="1000"/>
    <n v="0.4"/>
  </r>
  <r>
    <s v="ORD-10202"/>
    <x v="155"/>
    <s v="P018"/>
    <x v="16"/>
    <s v="Electronics"/>
    <s v="Mobile Accessories"/>
    <s v="VoltSafe"/>
    <s v="B04"/>
    <x v="5"/>
    <s v="Lagos"/>
    <x v="4"/>
    <s v="Member"/>
    <s v="POS"/>
    <n v="4"/>
    <n v="18000"/>
    <n v="24500"/>
    <n v="0"/>
    <x v="13"/>
    <n v="9"/>
    <n v="98000"/>
    <n v="0"/>
    <n v="98000"/>
    <n v="72000"/>
    <n v="26000"/>
    <n v="0.26530612244897961"/>
    <s v="Understocked"/>
    <s v="Safe"/>
    <n v="0.26530612244897961"/>
    <s v="Safe"/>
    <n v="6500"/>
    <n v="0.26530612244897961"/>
  </r>
  <r>
    <s v="ORD-10203"/>
    <x v="156"/>
    <s v="P014"/>
    <x v="15"/>
    <s v="Personal Care"/>
    <s v="Oral Care"/>
    <s v="FreshMint"/>
    <s v="B02"/>
    <x v="4"/>
    <s v="Abuja"/>
    <x v="2"/>
    <s v="Walk-in"/>
    <s v="Card"/>
    <n v="1"/>
    <n v="1200"/>
    <n v="1900"/>
    <n v="0.05"/>
    <x v="6"/>
    <n v="8"/>
    <n v="1900"/>
    <n v="95"/>
    <n v="1805"/>
    <n v="1200"/>
    <n v="605"/>
    <n v="0.33518005540166207"/>
    <s v="Healthy"/>
    <s v="Safe"/>
    <n v="0.36842105263157893"/>
    <s v="Safe"/>
    <n v="700"/>
    <n v="0.36842105263157893"/>
  </r>
  <r>
    <s v="ORD-10204"/>
    <x v="79"/>
    <s v="P006"/>
    <x v="0"/>
    <s v="Beverages"/>
    <s v="Water"/>
    <s v="AquaPure"/>
    <s v="B06"/>
    <x v="1"/>
    <s v="Rivers"/>
    <x v="1"/>
    <s v="Member"/>
    <s v="Cash"/>
    <n v="1"/>
    <n v="230"/>
    <n v="400"/>
    <n v="0.1"/>
    <x v="3"/>
    <n v="8"/>
    <n v="400"/>
    <n v="40"/>
    <n v="360"/>
    <n v="230"/>
    <n v="130"/>
    <n v="0.3611111111111111"/>
    <s v="Understocked"/>
    <s v="Safe"/>
    <n v="0.42499999999999999"/>
    <s v="Safe"/>
    <n v="170"/>
    <n v="0.42499999999999999"/>
  </r>
  <r>
    <s v="ORD-10205"/>
    <x v="157"/>
    <s v="P014"/>
    <x v="15"/>
    <s v="Personal Care"/>
    <s v="Oral Care"/>
    <s v="FreshMint"/>
    <s v="B08"/>
    <x v="7"/>
    <s v="Kwara"/>
    <x v="2"/>
    <s v="Member"/>
    <s v="POS"/>
    <n v="6"/>
    <n v="1200"/>
    <n v="1900"/>
    <n v="0.1"/>
    <x v="11"/>
    <n v="6"/>
    <n v="11400"/>
    <n v="1140"/>
    <n v="10260"/>
    <n v="7200"/>
    <n v="3060"/>
    <n v="0.2982456140350877"/>
    <s v="Healthy"/>
    <s v="Safe"/>
    <n v="0.36842105263157893"/>
    <s v="Safe"/>
    <n v="700"/>
    <n v="0.36842105263157893"/>
  </r>
  <r>
    <s v="ORD-10206"/>
    <x v="158"/>
    <s v="P023"/>
    <x v="6"/>
    <s v="Office Supplies"/>
    <s v="Stationery"/>
    <s v="StudyPro"/>
    <s v="B04"/>
    <x v="5"/>
    <s v="Lagos"/>
    <x v="4"/>
    <s v="Walk-in"/>
    <s v="POS"/>
    <n v="2"/>
    <n v="2800"/>
    <n v="4200"/>
    <n v="0.2"/>
    <x v="14"/>
    <n v="13"/>
    <n v="8400"/>
    <n v="1680"/>
    <n v="6720"/>
    <n v="5600"/>
    <n v="1120"/>
    <n v="0.16666666666666666"/>
    <s v="Understocked"/>
    <s v="Safe"/>
    <n v="0.33333333333333331"/>
    <s v="Safe"/>
    <n v="1400"/>
    <n v="0.33333333333333331"/>
  </r>
  <r>
    <s v="ORD-10207"/>
    <x v="36"/>
    <s v="P019"/>
    <x v="18"/>
    <s v="Electronics"/>
    <s v="Audio"/>
    <s v="SoundBeat"/>
    <s v="B06"/>
    <x v="1"/>
    <s v="Rivers"/>
    <x v="1"/>
    <s v="Member"/>
    <s v="POS"/>
    <n v="4"/>
    <n v="12500"/>
    <n v="18500"/>
    <n v="0.1"/>
    <x v="12"/>
    <n v="12"/>
    <n v="74000"/>
    <n v="7400"/>
    <n v="66600"/>
    <n v="50000"/>
    <n v="16600"/>
    <n v="0.24924924924924924"/>
    <s v="Understocked"/>
    <s v="Safe"/>
    <n v="0.32432432432432434"/>
    <s v="Safe"/>
    <n v="6000"/>
    <n v="0.32432432432432434"/>
  </r>
  <r>
    <s v="ORD-10208"/>
    <x v="159"/>
    <s v="P003"/>
    <x v="12"/>
    <s v="Food"/>
    <s v="Cooking Oil"/>
    <s v="SunGold"/>
    <s v="B07"/>
    <x v="3"/>
    <s v="Enugu"/>
    <x v="3"/>
    <s v="Walk-in"/>
    <s v="Cash"/>
    <n v="6"/>
    <n v="7800"/>
    <n v="9800"/>
    <n v="0"/>
    <x v="1"/>
    <n v="8"/>
    <n v="58800"/>
    <n v="0"/>
    <n v="58800"/>
    <n v="46800"/>
    <n v="12000"/>
    <n v="0.20408163265306123"/>
    <s v="Understocked"/>
    <s v="Safe"/>
    <n v="0.20408163265306123"/>
    <s v="Safe"/>
    <n v="2000"/>
    <n v="0.20408163265306123"/>
  </r>
  <r>
    <s v="ORD-10209"/>
    <x v="160"/>
    <s v="P015"/>
    <x v="8"/>
    <s v="Personal Care"/>
    <s v="Bath"/>
    <s v="SilkyTouch"/>
    <s v="B04"/>
    <x v="5"/>
    <s v="Lagos"/>
    <x v="4"/>
    <s v="Walk-in"/>
    <s v="Cash"/>
    <n v="6"/>
    <n v="600"/>
    <n v="950"/>
    <n v="0.05"/>
    <x v="11"/>
    <n v="8"/>
    <n v="5700"/>
    <n v="285"/>
    <n v="5415"/>
    <n v="3600"/>
    <n v="1815"/>
    <n v="0.33518005540166207"/>
    <s v="Healthy"/>
    <s v="Safe"/>
    <n v="0.36842105263157893"/>
    <s v="Safe"/>
    <n v="350"/>
    <n v="0.36842105263157893"/>
  </r>
  <r>
    <s v="ORD-10210"/>
    <x v="161"/>
    <s v="P008"/>
    <x v="4"/>
    <s v="Beverages"/>
    <s v="Soft Drinks"/>
    <s v="Sparkle"/>
    <s v="B06"/>
    <x v="1"/>
    <s v="Rivers"/>
    <x v="1"/>
    <s v="Member"/>
    <s v="POS"/>
    <n v="4"/>
    <n v="330"/>
    <n v="550"/>
    <n v="0.05"/>
    <x v="0"/>
    <n v="2"/>
    <n v="2200"/>
    <n v="110"/>
    <n v="2090"/>
    <n v="1320"/>
    <n v="770"/>
    <n v="0.36842105263157893"/>
    <s v="Healthy"/>
    <s v="Safe"/>
    <n v="0.4"/>
    <s v="Safe"/>
    <n v="220"/>
    <n v="0.4"/>
  </r>
  <r>
    <s v="ORD-10211"/>
    <x v="75"/>
    <s v="P015"/>
    <x v="8"/>
    <s v="Personal Care"/>
    <s v="Bath"/>
    <s v="SilkyTouch"/>
    <s v="B04"/>
    <x v="5"/>
    <s v="Lagos"/>
    <x v="4"/>
    <s v="Corporate"/>
    <s v="Transfer"/>
    <n v="1"/>
    <n v="600"/>
    <n v="950"/>
    <n v="0.15"/>
    <x v="11"/>
    <n v="7"/>
    <n v="950"/>
    <n v="142.5"/>
    <n v="807.5"/>
    <n v="600"/>
    <n v="207.5"/>
    <n v="0.25696594427244585"/>
    <s v="Healthy"/>
    <s v="Safe"/>
    <n v="0.36842105263157893"/>
    <s v="Safe"/>
    <n v="350"/>
    <n v="0.36842105263157893"/>
  </r>
  <r>
    <s v="ORD-10212"/>
    <x v="124"/>
    <s v="P017"/>
    <x v="23"/>
    <s v="Electronics"/>
    <s v="Accessories"/>
    <s v="PowerMax"/>
    <s v="B08"/>
    <x v="7"/>
    <s v="Kwara"/>
    <x v="2"/>
    <s v="Corporate"/>
    <s v="Transfer"/>
    <n v="3"/>
    <n v="7500"/>
    <n v="10500"/>
    <n v="0.15"/>
    <x v="13"/>
    <n v="7"/>
    <n v="31500"/>
    <n v="4725"/>
    <n v="26775"/>
    <n v="22500"/>
    <n v="4275"/>
    <n v="0.15966386554621848"/>
    <s v="Healthy"/>
    <s v="Safe"/>
    <n v="0.2857142857142857"/>
    <s v="Safe"/>
    <n v="3000"/>
    <n v="0.2857142857142857"/>
  </r>
  <r>
    <s v="ORD-10213"/>
    <x v="162"/>
    <s v="P020"/>
    <x v="5"/>
    <s v="Electronics"/>
    <s v="Lighting"/>
    <s v="Luma"/>
    <s v="B01"/>
    <x v="2"/>
    <s v="Abuja"/>
    <x v="2"/>
    <s v="Corporate"/>
    <s v="Transfer"/>
    <n v="6"/>
    <n v="1500"/>
    <n v="2500"/>
    <n v="0"/>
    <x v="4"/>
    <n v="12"/>
    <n v="15000"/>
    <n v="0"/>
    <n v="15000"/>
    <n v="9000"/>
    <n v="6000"/>
    <n v="0.4"/>
    <s v="Healthy"/>
    <s v="Safe"/>
    <n v="0.4"/>
    <s v="Safe"/>
    <n v="1000"/>
    <n v="0.4"/>
  </r>
  <r>
    <s v="ORD-10214"/>
    <x v="163"/>
    <s v="P015"/>
    <x v="8"/>
    <s v="Personal Care"/>
    <s v="Bath"/>
    <s v="SilkyTouch"/>
    <s v="B08"/>
    <x v="7"/>
    <s v="Kwara"/>
    <x v="2"/>
    <s v="Walk-in"/>
    <s v="Transfer"/>
    <n v="2"/>
    <n v="600"/>
    <n v="950"/>
    <n v="0.1"/>
    <x v="6"/>
    <n v="4"/>
    <n v="1900"/>
    <n v="190"/>
    <n v="1710"/>
    <n v="1200"/>
    <n v="510"/>
    <n v="0.2982456140350877"/>
    <s v="Healthy"/>
    <s v="Safe"/>
    <n v="0.36842105263157893"/>
    <s v="Safe"/>
    <n v="350"/>
    <n v="0.36842105263157893"/>
  </r>
  <r>
    <s v="ORD-10215"/>
    <x v="164"/>
    <s v="P006"/>
    <x v="0"/>
    <s v="Beverages"/>
    <s v="Water"/>
    <s v="AquaPure"/>
    <s v="B08"/>
    <x v="7"/>
    <s v="Kwara"/>
    <x v="2"/>
    <s v="Member"/>
    <s v="Transfer"/>
    <n v="4"/>
    <n v="230"/>
    <n v="400"/>
    <n v="0"/>
    <x v="3"/>
    <n v="4"/>
    <n v="1600"/>
    <n v="0"/>
    <n v="1600"/>
    <n v="920"/>
    <n v="680"/>
    <n v="0.42499999999999999"/>
    <s v="Understocked"/>
    <s v="Safe"/>
    <n v="0.42499999999999999"/>
    <s v="Safe"/>
    <n v="170"/>
    <n v="0.42499999999999999"/>
  </r>
  <r>
    <s v="ORD-10216"/>
    <x v="165"/>
    <s v="P011"/>
    <x v="9"/>
    <s v="Household"/>
    <s v="Cleaning"/>
    <s v="CleanPro"/>
    <s v="B04"/>
    <x v="5"/>
    <s v="Lagos"/>
    <x v="4"/>
    <s v="Walk-in"/>
    <s v="Cash"/>
    <n v="4"/>
    <n v="2800"/>
    <n v="3900"/>
    <n v="0.15"/>
    <x v="10"/>
    <n v="4"/>
    <n v="15600"/>
    <n v="2340"/>
    <n v="13260"/>
    <n v="11200"/>
    <n v="2060"/>
    <n v="0.15535444947209653"/>
    <s v="Healthy"/>
    <s v="Safe"/>
    <n v="0.28205128205128205"/>
    <s v="Safe"/>
    <n v="1100"/>
    <n v="0.28205128205128205"/>
  </r>
  <r>
    <s v="ORD-10217"/>
    <x v="2"/>
    <s v="P003"/>
    <x v="12"/>
    <s v="Food"/>
    <s v="Cooking Oil"/>
    <s v="SunGold"/>
    <s v="B08"/>
    <x v="7"/>
    <s v="Kwara"/>
    <x v="2"/>
    <s v="Walk-in"/>
    <s v="POS"/>
    <n v="2"/>
    <n v="7800"/>
    <n v="9800"/>
    <n v="0.15"/>
    <x v="1"/>
    <n v="14"/>
    <n v="19600"/>
    <n v="2940"/>
    <n v="16660"/>
    <n v="15600"/>
    <n v="1060"/>
    <n v="6.3625450180072027E-2"/>
    <s v="Understocked"/>
    <s v="Safe"/>
    <n v="0.20408163265306123"/>
    <s v="Safe"/>
    <n v="2000"/>
    <n v="0.20408163265306123"/>
  </r>
  <r>
    <s v="ORD-10218"/>
    <x v="59"/>
    <s v="P020"/>
    <x v="5"/>
    <s v="Electronics"/>
    <s v="Lighting"/>
    <s v="Luma"/>
    <s v="B08"/>
    <x v="7"/>
    <s v="Kwara"/>
    <x v="2"/>
    <s v="Walk-in"/>
    <s v="POS"/>
    <n v="3"/>
    <n v="1500"/>
    <n v="2500"/>
    <n v="0.05"/>
    <x v="12"/>
    <n v="12"/>
    <n v="7500"/>
    <n v="375"/>
    <n v="7125"/>
    <n v="4500"/>
    <n v="2625"/>
    <n v="0.36842105263157893"/>
    <s v="Healthy"/>
    <s v="Safe"/>
    <n v="0.4"/>
    <s v="Safe"/>
    <n v="1000"/>
    <n v="0.4"/>
  </r>
  <r>
    <s v="ORD-10219"/>
    <x v="166"/>
    <s v="P014"/>
    <x v="15"/>
    <s v="Personal Care"/>
    <s v="Oral Care"/>
    <s v="FreshMint"/>
    <s v="B04"/>
    <x v="5"/>
    <s v="Lagos"/>
    <x v="4"/>
    <s v="Member"/>
    <s v="Transfer"/>
    <n v="1"/>
    <n v="1200"/>
    <n v="1900"/>
    <n v="0.05"/>
    <x v="10"/>
    <n v="6"/>
    <n v="1900"/>
    <n v="95"/>
    <n v="1805"/>
    <n v="1200"/>
    <n v="605"/>
    <n v="0.33518005540166207"/>
    <s v="Healthy"/>
    <s v="Safe"/>
    <n v="0.36842105263157893"/>
    <s v="Safe"/>
    <n v="700"/>
    <n v="0.36842105263157893"/>
  </r>
  <r>
    <s v="ORD-10220"/>
    <x v="78"/>
    <s v="P004"/>
    <x v="1"/>
    <s v="Beverages"/>
    <s v="Dairy"/>
    <s v="FreshDay"/>
    <s v="B03"/>
    <x v="6"/>
    <s v="Lagos"/>
    <x v="4"/>
    <s v="Member"/>
    <s v="Card"/>
    <n v="4"/>
    <n v="1650"/>
    <n v="2200"/>
    <n v="0.05"/>
    <x v="0"/>
    <n v="3"/>
    <n v="8800"/>
    <n v="440"/>
    <n v="8360"/>
    <n v="6600"/>
    <n v="1760"/>
    <n v="0.21052631578947367"/>
    <s v="Understocked"/>
    <s v="Safe"/>
    <n v="0.25"/>
    <s v="Safe"/>
    <n v="550"/>
    <n v="0.25"/>
  </r>
  <r>
    <s v="ORD-10221"/>
    <x v="19"/>
    <s v="P010"/>
    <x v="22"/>
    <s v="Household"/>
    <s v="Paper Products"/>
    <s v="SoftCare"/>
    <s v="B08"/>
    <x v="7"/>
    <s v="Kwara"/>
    <x v="2"/>
    <s v="Walk-in"/>
    <s v="Card"/>
    <n v="3"/>
    <n v="3200"/>
    <n v="4500"/>
    <n v="0"/>
    <x v="1"/>
    <n v="2"/>
    <n v="13500"/>
    <n v="0"/>
    <n v="13500"/>
    <n v="9600"/>
    <n v="3900"/>
    <n v="0.28888888888888886"/>
    <s v="Healthy"/>
    <s v="Safe"/>
    <n v="0.28888888888888886"/>
    <s v="Safe"/>
    <n v="1300"/>
    <n v="0.28888888888888886"/>
  </r>
  <r>
    <s v="ORD-10222"/>
    <x v="167"/>
    <s v="P002"/>
    <x v="10"/>
    <s v="Food"/>
    <s v="Grains"/>
    <s v="Mama's Pride"/>
    <s v="B06"/>
    <x v="1"/>
    <s v="Rivers"/>
    <x v="1"/>
    <s v="Member"/>
    <s v="POS"/>
    <n v="1"/>
    <n v="6200"/>
    <n v="7900"/>
    <n v="0"/>
    <x v="9"/>
    <n v="4"/>
    <n v="7900"/>
    <n v="0"/>
    <n v="7900"/>
    <n v="6200"/>
    <n v="1700"/>
    <n v="0.21518987341772153"/>
    <s v="Healthy"/>
    <s v="Safe"/>
    <n v="0.21518987341772153"/>
    <s v="Safe"/>
    <n v="1700"/>
    <n v="0.21518987341772153"/>
  </r>
  <r>
    <s v="ORD-10223"/>
    <x v="168"/>
    <s v="P015"/>
    <x v="8"/>
    <s v="Personal Care"/>
    <s v="Bath"/>
    <s v="SilkyTouch"/>
    <s v="B04"/>
    <x v="5"/>
    <s v="Lagos"/>
    <x v="4"/>
    <s v="Walk-in"/>
    <s v="POS"/>
    <n v="3"/>
    <n v="600"/>
    <n v="950"/>
    <n v="0.15"/>
    <x v="6"/>
    <n v="4"/>
    <n v="2850"/>
    <n v="427.5"/>
    <n v="2422.5"/>
    <n v="1800"/>
    <n v="622.5"/>
    <n v="0.25696594427244585"/>
    <s v="Healthy"/>
    <s v="Safe"/>
    <n v="0.36842105263157893"/>
    <s v="Safe"/>
    <n v="350"/>
    <n v="0.36842105263157893"/>
  </r>
  <r>
    <s v="ORD-10224"/>
    <x v="62"/>
    <s v="P015"/>
    <x v="8"/>
    <s v="Personal Care"/>
    <s v="Bath"/>
    <s v="SilkyTouch"/>
    <s v="B06"/>
    <x v="1"/>
    <s v="Rivers"/>
    <x v="1"/>
    <s v="Member"/>
    <s v="Transfer"/>
    <n v="6"/>
    <n v="600"/>
    <n v="950"/>
    <n v="0.1"/>
    <x v="6"/>
    <n v="9"/>
    <n v="5700"/>
    <n v="570"/>
    <n v="5130"/>
    <n v="3600"/>
    <n v="1530"/>
    <n v="0.2982456140350877"/>
    <s v="Healthy"/>
    <s v="Safe"/>
    <n v="0.36842105263157893"/>
    <s v="Safe"/>
    <n v="350"/>
    <n v="0.36842105263157893"/>
  </r>
  <r>
    <s v="ORD-10225"/>
    <x v="65"/>
    <s v="P007"/>
    <x v="3"/>
    <s v="Beverages"/>
    <s v="Malt"/>
    <s v="Naija Malt"/>
    <s v="B04"/>
    <x v="5"/>
    <s v="Lagos"/>
    <x v="4"/>
    <s v="Walk-in"/>
    <s v="Transfer"/>
    <n v="2"/>
    <n v="550"/>
    <n v="850"/>
    <n v="0"/>
    <x v="3"/>
    <n v="13"/>
    <n v="1700"/>
    <n v="0"/>
    <n v="1700"/>
    <n v="1100"/>
    <n v="600"/>
    <n v="0.35294117647058826"/>
    <s v="Healthy"/>
    <s v="Safe"/>
    <n v="0.35294117647058826"/>
    <s v="Safe"/>
    <n v="300"/>
    <n v="0.35294117647058826"/>
  </r>
  <r>
    <s v="ORD-10226"/>
    <x v="169"/>
    <s v="P016"/>
    <x v="7"/>
    <s v="Personal Care"/>
    <s v="Fragrance"/>
    <s v="RoyalScent"/>
    <s v="B03"/>
    <x v="6"/>
    <s v="Lagos"/>
    <x v="4"/>
    <s v="Walk-in"/>
    <s v="POS"/>
    <n v="-2"/>
    <n v="8500"/>
    <n v="12500"/>
    <n v="0.1"/>
    <x v="10"/>
    <n v="3"/>
    <n v="-25000"/>
    <n v="-2500"/>
    <n v="-22500"/>
    <n v="-17000"/>
    <n v="-5500"/>
    <n v="0.24444444444444444"/>
    <s v="Overstocked"/>
    <s v="Discount loss"/>
    <n v="0.32"/>
    <s v="Safe"/>
    <n v="4000"/>
    <n v="0.32"/>
  </r>
  <r>
    <s v="ORD-10227"/>
    <x v="170"/>
    <s v="P011"/>
    <x v="9"/>
    <s v="Household"/>
    <s v="Cleaning"/>
    <s v="CleanPro"/>
    <s v="B03"/>
    <x v="6"/>
    <s v="Lagos"/>
    <x v="4"/>
    <s v="Walk-in"/>
    <s v="POS"/>
    <n v="1"/>
    <n v="2800"/>
    <n v="3900"/>
    <n v="0.05"/>
    <x v="10"/>
    <n v="9"/>
    <n v="3900"/>
    <n v="195"/>
    <n v="3705"/>
    <n v="2800"/>
    <n v="905"/>
    <n v="0.24426450742240216"/>
    <s v="Healthy"/>
    <s v="Safe"/>
    <n v="0.28205128205128205"/>
    <s v="Safe"/>
    <n v="1100"/>
    <n v="0.28205128205128205"/>
  </r>
  <r>
    <s v="ORD-10228"/>
    <x v="113"/>
    <s v="P006"/>
    <x v="0"/>
    <s v="Beverages"/>
    <s v="Water"/>
    <s v="AquaPure"/>
    <s v="B06"/>
    <x v="1"/>
    <s v="Rivers"/>
    <x v="1"/>
    <s v="Member"/>
    <s v="Transfer"/>
    <n v="3"/>
    <n v="230"/>
    <n v="400"/>
    <n v="0.1"/>
    <x v="0"/>
    <n v="13"/>
    <n v="1200"/>
    <n v="120"/>
    <n v="1080"/>
    <n v="690"/>
    <n v="390"/>
    <n v="0.3611111111111111"/>
    <s v="Understocked"/>
    <s v="Safe"/>
    <n v="0.42499999999999999"/>
    <s v="Safe"/>
    <n v="170"/>
    <n v="0.42499999999999999"/>
  </r>
  <r>
    <s v="ORD-10229"/>
    <x v="171"/>
    <s v="P015"/>
    <x v="8"/>
    <s v="Personal Care"/>
    <s v="Bath"/>
    <s v="SilkyTouch"/>
    <s v="B04"/>
    <x v="5"/>
    <s v="Lagos"/>
    <x v="4"/>
    <s v="Member"/>
    <s v="Cash"/>
    <n v="6"/>
    <n v="600"/>
    <n v="950"/>
    <n v="0.05"/>
    <x v="6"/>
    <n v="14"/>
    <n v="5700"/>
    <n v="285"/>
    <n v="5415"/>
    <n v="3600"/>
    <n v="1815"/>
    <n v="0.33518005540166207"/>
    <s v="Healthy"/>
    <s v="Safe"/>
    <n v="0.36842105263157893"/>
    <s v="Safe"/>
    <n v="350"/>
    <n v="0.36842105263157893"/>
  </r>
  <r>
    <s v="ORD-10230"/>
    <x v="172"/>
    <s v="P001"/>
    <x v="14"/>
    <s v="Food"/>
    <s v="Grains"/>
    <s v="Golden Harvest"/>
    <s v="B01"/>
    <x v="2"/>
    <s v="Abuja"/>
    <x v="2"/>
    <s v="Walk-in"/>
    <s v="Cash"/>
    <n v="1"/>
    <n v="14500"/>
    <n v="17500"/>
    <n v="0.1"/>
    <x v="9"/>
    <n v="9"/>
    <n v="17500"/>
    <n v="1750"/>
    <n v="15750"/>
    <n v="14500"/>
    <n v="1250"/>
    <n v="7.9365079365079361E-2"/>
    <s v="Understocked"/>
    <s v="Safe"/>
    <n v="0.17142857142857143"/>
    <s v="Safe"/>
    <n v="3000"/>
    <n v="0.17142857142857143"/>
  </r>
  <r>
    <s v="ORD-10231"/>
    <x v="173"/>
    <s v="P013"/>
    <x v="11"/>
    <s v="Personal Care"/>
    <s v="Skin Care"/>
    <s v="GlowPlus"/>
    <s v="B05"/>
    <x v="0"/>
    <s v="Kano"/>
    <x v="0"/>
    <s v="Walk-in"/>
    <s v="Cash"/>
    <n v="-2"/>
    <n v="3500"/>
    <n v="5200"/>
    <n v="0.05"/>
    <x v="10"/>
    <n v="7"/>
    <n v="-10400"/>
    <n v="-520"/>
    <n v="-9880"/>
    <n v="-7000"/>
    <n v="-2880"/>
    <n v="0.291497975708502"/>
    <s v="Healthy"/>
    <s v="Discount loss"/>
    <n v="0.32692307692307693"/>
    <s v="Safe"/>
    <n v="1700"/>
    <n v="0.32692307692307693"/>
  </r>
  <r>
    <s v="ORD-10232"/>
    <x v="150"/>
    <s v="P009"/>
    <x v="13"/>
    <s v="Household"/>
    <s v="Cleaning"/>
    <s v="BrightWash"/>
    <s v="B03"/>
    <x v="6"/>
    <s v="Lagos"/>
    <x v="4"/>
    <s v="Walk-in"/>
    <s v="POS"/>
    <n v="3"/>
    <n v="2400"/>
    <n v="3400"/>
    <n v="0.1"/>
    <x v="7"/>
    <n v="2"/>
    <n v="10200"/>
    <n v="1020"/>
    <n v="9180"/>
    <n v="7200"/>
    <n v="1980"/>
    <n v="0.21568627450980393"/>
    <s v="Healthy"/>
    <s v="Safe"/>
    <n v="0.29411764705882354"/>
    <s v="Safe"/>
    <n v="1000"/>
    <n v="0.29411764705882354"/>
  </r>
  <r>
    <s v="ORD-10233"/>
    <x v="146"/>
    <s v="P004"/>
    <x v="1"/>
    <s v="Beverages"/>
    <s v="Dairy"/>
    <s v="FreshDay"/>
    <s v="B02"/>
    <x v="4"/>
    <s v="Abuja"/>
    <x v="2"/>
    <s v="Walk-in"/>
    <s v="Transfer"/>
    <n v="3"/>
    <n v="1650"/>
    <n v="2200"/>
    <n v="0.15"/>
    <x v="2"/>
    <n v="7"/>
    <n v="6600"/>
    <n v="990"/>
    <n v="5610"/>
    <n v="4950"/>
    <n v="660"/>
    <n v="0.11764705882352941"/>
    <s v="Understocked"/>
    <s v="Safe"/>
    <n v="0.25"/>
    <s v="Safe"/>
    <n v="550"/>
    <n v="0.25"/>
  </r>
  <r>
    <s v="ORD-10234"/>
    <x v="174"/>
    <s v="P024"/>
    <x v="19"/>
    <s v="Office Supplies"/>
    <s v="Accessories"/>
    <s v="ErgoDesk"/>
    <s v="B02"/>
    <x v="4"/>
    <s v="Abuja"/>
    <x v="2"/>
    <s v="Member"/>
    <s v="POS"/>
    <n v="4"/>
    <n v="1700"/>
    <n v="2800"/>
    <n v="0.25"/>
    <x v="15"/>
    <n v="2"/>
    <n v="11200"/>
    <n v="2800"/>
    <n v="8400"/>
    <n v="6800"/>
    <n v="1600"/>
    <n v="0.19047619047619047"/>
    <s v="Overstocked"/>
    <s v="Safe"/>
    <n v="0.39285714285714285"/>
    <s v="Safe"/>
    <n v="1100"/>
    <n v="0.39285714285714285"/>
  </r>
  <r>
    <s v="ORD-10235"/>
    <x v="175"/>
    <s v="P010"/>
    <x v="22"/>
    <s v="Household"/>
    <s v="Paper Products"/>
    <s v="SoftCare"/>
    <s v="B01"/>
    <x v="2"/>
    <s v="Abuja"/>
    <x v="2"/>
    <s v="Walk-in"/>
    <s v="Transfer"/>
    <n v="1"/>
    <n v="3200"/>
    <n v="4500"/>
    <n v="0"/>
    <x v="10"/>
    <n v="10"/>
    <n v="4500"/>
    <n v="0"/>
    <n v="4500"/>
    <n v="3200"/>
    <n v="1300"/>
    <n v="0.28888888888888886"/>
    <s v="Healthy"/>
    <s v="Safe"/>
    <n v="0.28888888888888886"/>
    <s v="Safe"/>
    <n v="1300"/>
    <n v="0.28888888888888886"/>
  </r>
  <r>
    <s v="ORD-10236"/>
    <x v="176"/>
    <s v="P021"/>
    <x v="20"/>
    <s v="Office Supplies"/>
    <s v="Paper"/>
    <s v="OfficeMate"/>
    <s v="B07"/>
    <x v="3"/>
    <s v="Enugu"/>
    <x v="3"/>
    <s v="Member"/>
    <s v="POS"/>
    <n v="2"/>
    <n v="5200"/>
    <n v="7000"/>
    <n v="0.25"/>
    <x v="14"/>
    <n v="1"/>
    <n v="14000"/>
    <n v="3500"/>
    <n v="10500"/>
    <n v="10400"/>
    <n v="100"/>
    <n v="9.5238095238095247E-3"/>
    <s v="Overstocked"/>
    <s v="Safe"/>
    <n v="0.25714285714285712"/>
    <s v="Safe"/>
    <n v="1800"/>
    <n v="0.25714285714285712"/>
  </r>
  <r>
    <s v="ORD-10237"/>
    <x v="113"/>
    <s v="P022"/>
    <x v="17"/>
    <s v="Office Supplies"/>
    <s v="Writing"/>
    <s v="WriteWell"/>
    <s v="B07"/>
    <x v="3"/>
    <s v="Enugu"/>
    <x v="3"/>
    <s v="Corporate"/>
    <s v="Card"/>
    <n v="3"/>
    <n v="1300"/>
    <n v="2100"/>
    <n v="0"/>
    <x v="15"/>
    <n v="10"/>
    <n v="6300"/>
    <n v="0"/>
    <n v="6300"/>
    <n v="3900"/>
    <n v="2400"/>
    <n v="0.38095238095238093"/>
    <s v="Understocked"/>
    <s v="Safe"/>
    <n v="0.38095238095238093"/>
    <s v="Safe"/>
    <n v="800"/>
    <n v="0.38095238095238093"/>
  </r>
  <r>
    <s v="ORD-10238"/>
    <x v="177"/>
    <s v="P019"/>
    <x v="18"/>
    <s v="Electronics"/>
    <s v="Audio"/>
    <s v="SoundBeat"/>
    <s v="B08"/>
    <x v="7"/>
    <s v="Kwara"/>
    <x v="2"/>
    <s v="Walk-in"/>
    <s v="POS"/>
    <n v="2"/>
    <n v="12500"/>
    <n v="18500"/>
    <n v="0.1"/>
    <x v="12"/>
    <n v="9"/>
    <n v="37000"/>
    <n v="3700"/>
    <n v="33300"/>
    <n v="25000"/>
    <n v="8300"/>
    <n v="0.24924924924924924"/>
    <s v="Understocked"/>
    <s v="Safe"/>
    <n v="0.32432432432432434"/>
    <s v="Safe"/>
    <n v="6000"/>
    <n v="0.32432432432432434"/>
  </r>
  <r>
    <s v="ORD-10239"/>
    <x v="171"/>
    <s v="P018"/>
    <x v="16"/>
    <s v="Electronics"/>
    <s v="Mobile Accessories"/>
    <s v="VoltSafe"/>
    <s v="B05"/>
    <x v="0"/>
    <s v="Kano"/>
    <x v="0"/>
    <s v="Walk-in"/>
    <s v="Cash"/>
    <n v="1"/>
    <n v="18000"/>
    <n v="24500"/>
    <n v="0.1"/>
    <x v="4"/>
    <n v="14"/>
    <n v="24500"/>
    <n v="2450"/>
    <n v="22050"/>
    <n v="18000"/>
    <n v="4050"/>
    <n v="0.18367346938775511"/>
    <s v="Understocked"/>
    <s v="Safe"/>
    <n v="0.26530612244897961"/>
    <s v="Safe"/>
    <n v="6500"/>
    <n v="0.26530612244897961"/>
  </r>
  <r>
    <s v="ORD-10240"/>
    <x v="178"/>
    <s v="P017"/>
    <x v="23"/>
    <s v="Electronics"/>
    <s v="Accessories"/>
    <s v="PowerMax"/>
    <s v="B08"/>
    <x v="7"/>
    <s v="Kwara"/>
    <x v="2"/>
    <s v="Walk-in"/>
    <s v="Card"/>
    <n v="2"/>
    <n v="7500"/>
    <n v="10500"/>
    <n v="0.2"/>
    <x v="13"/>
    <n v="8"/>
    <n v="21000"/>
    <n v="4200"/>
    <n v="16800"/>
    <n v="15000"/>
    <n v="1800"/>
    <n v="0.10714285714285714"/>
    <s v="Healthy"/>
    <s v="Safe"/>
    <n v="0.2857142857142857"/>
    <s v="Safe"/>
    <n v="3000"/>
    <n v="0.2857142857142857"/>
  </r>
  <r>
    <s v="ORD-10241"/>
    <x v="142"/>
    <s v="P022"/>
    <x v="17"/>
    <s v="Office Supplies"/>
    <s v="Writing"/>
    <s v="WriteWell"/>
    <s v="B03"/>
    <x v="6"/>
    <s v="Lagos"/>
    <x v="4"/>
    <s v="Walk-in"/>
    <s v="POS"/>
    <n v="4"/>
    <n v="1300"/>
    <n v="2100"/>
    <n v="0.1"/>
    <x v="15"/>
    <n v="12"/>
    <n v="8400"/>
    <n v="840"/>
    <n v="7560"/>
    <n v="5200"/>
    <n v="2360"/>
    <n v="0.31216931216931215"/>
    <s v="Understocked"/>
    <s v="Safe"/>
    <n v="0.38095238095238093"/>
    <s v="Safe"/>
    <n v="800"/>
    <n v="0.38095238095238093"/>
  </r>
  <r>
    <s v="ORD-10242"/>
    <x v="179"/>
    <s v="P004"/>
    <x v="1"/>
    <s v="Beverages"/>
    <s v="Dairy"/>
    <s v="FreshDay"/>
    <s v="B06"/>
    <x v="1"/>
    <s v="Rivers"/>
    <x v="1"/>
    <s v="Walk-in"/>
    <s v="Cash"/>
    <n v="3"/>
    <n v="1650"/>
    <n v="2200"/>
    <n v="0.1"/>
    <x v="3"/>
    <n v="5"/>
    <n v="6600"/>
    <n v="660"/>
    <n v="5940"/>
    <n v="4950"/>
    <n v="990"/>
    <n v="0.16666666666666666"/>
    <s v="Understocked"/>
    <s v="Safe"/>
    <n v="0.25"/>
    <s v="Safe"/>
    <n v="550"/>
    <n v="0.25"/>
  </r>
  <r>
    <s v="ORD-10243"/>
    <x v="52"/>
    <s v="P003"/>
    <x v="12"/>
    <s v="Food"/>
    <s v="Cooking Oil"/>
    <s v="SunGold"/>
    <s v="B01"/>
    <x v="2"/>
    <s v="Abuja"/>
    <x v="2"/>
    <s v="Walk-in"/>
    <s v="Cash"/>
    <n v="2"/>
    <n v="7800"/>
    <n v="9800"/>
    <n v="0.1"/>
    <x v="9"/>
    <n v="6"/>
    <n v="19600"/>
    <n v="1960"/>
    <n v="17640"/>
    <n v="15600"/>
    <n v="2040"/>
    <n v="0.11564625850340136"/>
    <s v="Understocked"/>
    <s v="Safe"/>
    <n v="0.20408163265306123"/>
    <s v="Safe"/>
    <n v="2000"/>
    <n v="0.20408163265306123"/>
  </r>
  <r>
    <s v="ORD-10244"/>
    <x v="91"/>
    <s v="P011"/>
    <x v="9"/>
    <s v="Household"/>
    <s v="Cleaning"/>
    <s v="CleanPro"/>
    <s v="B03"/>
    <x v="6"/>
    <s v="Lagos"/>
    <x v="4"/>
    <s v="Walk-in"/>
    <s v="Cash"/>
    <n v="2"/>
    <n v="2800"/>
    <n v="3900"/>
    <n v="0"/>
    <x v="1"/>
    <n v="4"/>
    <n v="7800"/>
    <n v="0"/>
    <n v="7800"/>
    <n v="5600"/>
    <n v="2200"/>
    <n v="0.28205128205128205"/>
    <s v="Healthy"/>
    <s v="Safe"/>
    <n v="0.28205128205128205"/>
    <s v="Safe"/>
    <n v="1100"/>
    <n v="0.28205128205128205"/>
  </r>
  <r>
    <s v="ORD-10245"/>
    <x v="180"/>
    <s v="P014"/>
    <x v="15"/>
    <s v="Personal Care"/>
    <s v="Oral Care"/>
    <s v="FreshMint"/>
    <s v="B02"/>
    <x v="4"/>
    <s v="Abuja"/>
    <x v="2"/>
    <s v="Walk-in"/>
    <s v="Cash"/>
    <n v="2"/>
    <n v="1200"/>
    <n v="1900"/>
    <n v="0"/>
    <x v="11"/>
    <n v="7"/>
    <n v="3800"/>
    <n v="0"/>
    <n v="3800"/>
    <n v="2400"/>
    <n v="1400"/>
    <n v="0.36842105263157893"/>
    <s v="Healthy"/>
    <s v="Safe"/>
    <n v="0.36842105263157893"/>
    <s v="Safe"/>
    <n v="700"/>
    <n v="0.36842105263157893"/>
  </r>
  <r>
    <s v="ORD-10246"/>
    <x v="181"/>
    <s v="P007"/>
    <x v="3"/>
    <s v="Beverages"/>
    <s v="Malt"/>
    <s v="Naija Malt"/>
    <s v="B08"/>
    <x v="7"/>
    <s v="Kwara"/>
    <x v="2"/>
    <s v="Member"/>
    <s v="Transfer"/>
    <n v="-1"/>
    <n v="550"/>
    <n v="850"/>
    <n v="0.05"/>
    <x v="3"/>
    <n v="5"/>
    <n v="-850"/>
    <n v="-42.5"/>
    <n v="-807.5"/>
    <n v="-550"/>
    <n v="-257.5"/>
    <n v="0.31888544891640869"/>
    <s v="Healthy"/>
    <s v="Discount loss"/>
    <n v="0.35294117647058826"/>
    <s v="Safe"/>
    <n v="300"/>
    <n v="0.35294117647058826"/>
  </r>
  <r>
    <s v="ORD-10247"/>
    <x v="182"/>
    <s v="P019"/>
    <x v="18"/>
    <s v="Electronics"/>
    <s v="Audio"/>
    <s v="SoundBeat"/>
    <s v="B03"/>
    <x v="6"/>
    <s v="Lagos"/>
    <x v="4"/>
    <s v="Walk-in"/>
    <s v="POS"/>
    <n v="6"/>
    <n v="12500"/>
    <n v="18500"/>
    <n v="0.05"/>
    <x v="12"/>
    <n v="10"/>
    <n v="111000"/>
    <n v="5550"/>
    <n v="105450"/>
    <n v="75000"/>
    <n v="30450"/>
    <n v="0.28876244665718348"/>
    <s v="Understocked"/>
    <s v="Safe"/>
    <n v="0.32432432432432434"/>
    <s v="Safe"/>
    <n v="6000"/>
    <n v="0.32432432432432434"/>
  </r>
  <r>
    <s v="ORD-10248"/>
    <x v="183"/>
    <s v="P012"/>
    <x v="21"/>
    <s v="Household"/>
    <s v="Home Care"/>
    <s v="HomeFresh"/>
    <s v="B06"/>
    <x v="1"/>
    <s v="Rivers"/>
    <x v="1"/>
    <s v="Walk-in"/>
    <s v="Card"/>
    <n v="3"/>
    <n v="1700"/>
    <n v="2600"/>
    <n v="0"/>
    <x v="1"/>
    <n v="12"/>
    <n v="7800"/>
    <n v="0"/>
    <n v="7800"/>
    <n v="5100"/>
    <n v="2700"/>
    <n v="0.34615384615384615"/>
    <s v="Overstocked"/>
    <s v="Safe"/>
    <n v="0.34615384615384615"/>
    <s v="Safe"/>
    <n v="900"/>
    <n v="0.34615384615384615"/>
  </r>
  <r>
    <s v="ORD-10249"/>
    <x v="122"/>
    <s v="P017"/>
    <x v="23"/>
    <s v="Electronics"/>
    <s v="Accessories"/>
    <s v="PowerMax"/>
    <s v="B03"/>
    <x v="6"/>
    <s v="Lagos"/>
    <x v="4"/>
    <s v="Walk-in"/>
    <s v="POS"/>
    <n v="2"/>
    <n v="7500"/>
    <n v="10500"/>
    <n v="0.2"/>
    <x v="4"/>
    <n v="10"/>
    <n v="21000"/>
    <n v="4200"/>
    <n v="16800"/>
    <n v="15000"/>
    <n v="1800"/>
    <n v="0.10714285714285714"/>
    <s v="Healthy"/>
    <s v="Safe"/>
    <n v="0.2857142857142857"/>
    <s v="Safe"/>
    <n v="3000"/>
    <n v="0.2857142857142857"/>
  </r>
  <r>
    <s v="ORD-10250"/>
    <x v="184"/>
    <s v="P014"/>
    <x v="15"/>
    <s v="Personal Care"/>
    <s v="Oral Care"/>
    <s v="FreshMint"/>
    <s v="B04"/>
    <x v="5"/>
    <s v="Lagos"/>
    <x v="4"/>
    <s v="Member"/>
    <s v="Transfer"/>
    <n v="8"/>
    <n v="1200"/>
    <n v="1900"/>
    <n v="0.05"/>
    <x v="11"/>
    <n v="14"/>
    <n v="15200"/>
    <n v="760"/>
    <n v="14440"/>
    <n v="9600"/>
    <n v="4840"/>
    <n v="0.33518005540166207"/>
    <s v="Healthy"/>
    <s v="Safe"/>
    <n v="0.36842105263157893"/>
    <s v="Safe"/>
    <n v="700"/>
    <n v="0.36842105263157893"/>
  </r>
  <r>
    <s v="ORD-10251"/>
    <x v="78"/>
    <s v="P014"/>
    <x v="15"/>
    <s v="Personal Care"/>
    <s v="Oral Care"/>
    <s v="FreshMint"/>
    <s v="B02"/>
    <x v="4"/>
    <s v="Abuja"/>
    <x v="2"/>
    <s v="Walk-in"/>
    <s v="Transfer"/>
    <n v="2"/>
    <n v="1200"/>
    <n v="1900"/>
    <n v="0"/>
    <x v="11"/>
    <n v="2"/>
    <n v="3800"/>
    <n v="0"/>
    <n v="3800"/>
    <n v="2400"/>
    <n v="1400"/>
    <n v="0.36842105263157893"/>
    <s v="Healthy"/>
    <s v="Safe"/>
    <n v="0.36842105263157893"/>
    <s v="Safe"/>
    <n v="700"/>
    <n v="0.36842105263157893"/>
  </r>
  <r>
    <s v="ORD-10252"/>
    <x v="68"/>
    <s v="P008"/>
    <x v="4"/>
    <s v="Beverages"/>
    <s v="Soft Drinks"/>
    <s v="Sparkle"/>
    <s v="B03"/>
    <x v="6"/>
    <s v="Lagos"/>
    <x v="4"/>
    <s v="Member"/>
    <s v="POS"/>
    <n v="3"/>
    <n v="330"/>
    <n v="550"/>
    <n v="0.2"/>
    <x v="2"/>
    <n v="12"/>
    <n v="1650"/>
    <n v="330"/>
    <n v="1320"/>
    <n v="990"/>
    <n v="330"/>
    <n v="0.25"/>
    <s v="Healthy"/>
    <s v="Safe"/>
    <n v="0.4"/>
    <s v="Safe"/>
    <n v="220"/>
    <n v="0.4"/>
  </r>
  <r>
    <s v="ORD-10253"/>
    <x v="185"/>
    <s v="P011"/>
    <x v="9"/>
    <s v="Household"/>
    <s v="Cleaning"/>
    <s v="CleanPro"/>
    <s v="B07"/>
    <x v="3"/>
    <s v="Enugu"/>
    <x v="3"/>
    <s v="Member"/>
    <s v="Cash"/>
    <n v="1"/>
    <n v="2800"/>
    <n v="3900"/>
    <n v="0"/>
    <x v="1"/>
    <n v="1"/>
    <n v="3900"/>
    <n v="0"/>
    <n v="3900"/>
    <n v="2800"/>
    <n v="1100"/>
    <n v="0.28205128205128205"/>
    <s v="Healthy"/>
    <s v="Safe"/>
    <n v="0.28205128205128205"/>
    <s v="Safe"/>
    <n v="1100"/>
    <n v="0.28205128205128205"/>
  </r>
  <r>
    <s v="ORD-10254"/>
    <x v="90"/>
    <s v="P014"/>
    <x v="15"/>
    <s v="Personal Care"/>
    <s v="Oral Care"/>
    <s v="FreshMint"/>
    <s v="B03"/>
    <x v="6"/>
    <s v="Lagos"/>
    <x v="4"/>
    <s v="Walk-in"/>
    <s v="Cash"/>
    <n v="4"/>
    <n v="1200"/>
    <n v="1900"/>
    <n v="0.2"/>
    <x v="11"/>
    <n v="4"/>
    <n v="7600"/>
    <n v="1520"/>
    <n v="6080"/>
    <n v="4800"/>
    <n v="1280"/>
    <n v="0.21052631578947367"/>
    <s v="Healthy"/>
    <s v="Safe"/>
    <n v="0.36842105263157893"/>
    <s v="Safe"/>
    <n v="700"/>
    <n v="0.36842105263157893"/>
  </r>
  <r>
    <s v="ORD-10255"/>
    <x v="135"/>
    <s v="P010"/>
    <x v="22"/>
    <s v="Household"/>
    <s v="Paper Products"/>
    <s v="SoftCare"/>
    <s v="B05"/>
    <x v="0"/>
    <s v="Kano"/>
    <x v="0"/>
    <s v="Walk-in"/>
    <s v="POS"/>
    <n v="2"/>
    <n v="3200"/>
    <n v="4500"/>
    <n v="0.05"/>
    <x v="1"/>
    <n v="9"/>
    <n v="9000"/>
    <n v="450"/>
    <n v="8550"/>
    <n v="6400"/>
    <n v="2150"/>
    <n v="0.25146198830409355"/>
    <s v="Healthy"/>
    <s v="Safe"/>
    <n v="0.28888888888888886"/>
    <s v="Safe"/>
    <n v="1300"/>
    <n v="0.28888888888888886"/>
  </r>
  <r>
    <s v="ORD-10256"/>
    <x v="186"/>
    <s v="P008"/>
    <x v="4"/>
    <s v="Beverages"/>
    <s v="Soft Drinks"/>
    <s v="Sparkle"/>
    <s v="B03"/>
    <x v="6"/>
    <s v="Lagos"/>
    <x v="4"/>
    <s v="Member"/>
    <s v="POS"/>
    <n v="8"/>
    <n v="330"/>
    <n v="550"/>
    <n v="0"/>
    <x v="2"/>
    <n v="5"/>
    <n v="4400"/>
    <n v="0"/>
    <n v="4400"/>
    <n v="2640"/>
    <n v="1760"/>
    <n v="0.4"/>
    <s v="Healthy"/>
    <s v="Safe"/>
    <n v="0.4"/>
    <s v="Safe"/>
    <n v="220"/>
    <n v="0.4"/>
  </r>
  <r>
    <s v="ORD-10257"/>
    <x v="160"/>
    <s v="P009"/>
    <x v="13"/>
    <s v="Household"/>
    <s v="Cleaning"/>
    <s v="BrightWash"/>
    <s v="B03"/>
    <x v="6"/>
    <s v="Lagos"/>
    <x v="4"/>
    <s v="Walk-in"/>
    <s v="Cash"/>
    <n v="1"/>
    <n v="2400"/>
    <n v="3400"/>
    <n v="0.1"/>
    <x v="7"/>
    <n v="13"/>
    <n v="3400"/>
    <n v="340"/>
    <n v="3060"/>
    <n v="2400"/>
    <n v="660"/>
    <n v="0.21568627450980393"/>
    <s v="Healthy"/>
    <s v="Safe"/>
    <n v="0.29411764705882354"/>
    <s v="Safe"/>
    <n v="1000"/>
    <n v="0.29411764705882354"/>
  </r>
  <r>
    <s v="ORD-10258"/>
    <x v="187"/>
    <s v="P020"/>
    <x v="5"/>
    <s v="Electronics"/>
    <s v="Lighting"/>
    <s v="Luma"/>
    <s v="B05"/>
    <x v="0"/>
    <s v="Kano"/>
    <x v="0"/>
    <s v="Corporate"/>
    <s v="Card"/>
    <n v="4"/>
    <n v="1500"/>
    <n v="2500"/>
    <n v="0"/>
    <x v="4"/>
    <n v="9"/>
    <n v="10000"/>
    <n v="0"/>
    <n v="10000"/>
    <n v="6000"/>
    <n v="4000"/>
    <n v="0.4"/>
    <s v="Healthy"/>
    <s v="Safe"/>
    <n v="0.4"/>
    <s v="Safe"/>
    <n v="1000"/>
    <n v="0.4"/>
  </r>
  <r>
    <s v="ORD-10259"/>
    <x v="161"/>
    <s v="P008"/>
    <x v="4"/>
    <s v="Beverages"/>
    <s v="Soft Drinks"/>
    <s v="Sparkle"/>
    <s v="B04"/>
    <x v="5"/>
    <s v="Lagos"/>
    <x v="4"/>
    <s v="Walk-in"/>
    <s v="POS"/>
    <n v="5"/>
    <n v="330"/>
    <n v="550"/>
    <n v="0.1"/>
    <x v="2"/>
    <n v="1"/>
    <n v="2750"/>
    <n v="275"/>
    <n v="2475"/>
    <n v="1650"/>
    <n v="825"/>
    <n v="0.33333333333333331"/>
    <s v="Healthy"/>
    <s v="Safe"/>
    <n v="0.4"/>
    <s v="Safe"/>
    <n v="220"/>
    <n v="0.4"/>
  </r>
  <r>
    <s v="ORD-10260"/>
    <x v="188"/>
    <s v="P008"/>
    <x v="4"/>
    <s v="Beverages"/>
    <s v="Soft Drinks"/>
    <s v="Sparkle"/>
    <s v="B03"/>
    <x v="6"/>
    <s v="Lagos"/>
    <x v="4"/>
    <s v="Walk-in"/>
    <s v="POS"/>
    <n v="1"/>
    <n v="330"/>
    <n v="550"/>
    <n v="0"/>
    <x v="3"/>
    <n v="10"/>
    <n v="550"/>
    <n v="0"/>
    <n v="550"/>
    <n v="330"/>
    <n v="220"/>
    <n v="0.4"/>
    <s v="Healthy"/>
    <s v="Safe"/>
    <n v="0.4"/>
    <s v="Safe"/>
    <n v="220"/>
    <n v="0.4"/>
  </r>
  <r>
    <s v="ORD-10261"/>
    <x v="185"/>
    <s v="P004"/>
    <x v="1"/>
    <s v="Beverages"/>
    <s v="Dairy"/>
    <s v="FreshDay"/>
    <s v="B03"/>
    <x v="6"/>
    <s v="Lagos"/>
    <x v="4"/>
    <s v="Member"/>
    <s v="POS"/>
    <n v="2"/>
    <n v="1650"/>
    <n v="2200"/>
    <n v="0"/>
    <x v="0"/>
    <n v="6"/>
    <n v="4400"/>
    <n v="0"/>
    <n v="4400"/>
    <n v="3300"/>
    <n v="1100"/>
    <n v="0.25"/>
    <s v="Understocked"/>
    <s v="Safe"/>
    <n v="0.25"/>
    <s v="Safe"/>
    <n v="550"/>
    <n v="0.25"/>
  </r>
  <r>
    <s v="ORD-10262"/>
    <x v="189"/>
    <s v="P007"/>
    <x v="3"/>
    <s v="Beverages"/>
    <s v="Malt"/>
    <s v="Naija Malt"/>
    <s v="B01"/>
    <x v="2"/>
    <s v="Abuja"/>
    <x v="2"/>
    <s v="Walk-in"/>
    <s v="POS"/>
    <n v="2"/>
    <n v="550"/>
    <n v="850"/>
    <n v="0.05"/>
    <x v="2"/>
    <n v="10"/>
    <n v="1700"/>
    <n v="85"/>
    <n v="1615"/>
    <n v="1100"/>
    <n v="515"/>
    <n v="0.31888544891640869"/>
    <s v="Healthy"/>
    <s v="Safe"/>
    <n v="0.35294117647058826"/>
    <s v="Safe"/>
    <n v="300"/>
    <n v="0.35294117647058826"/>
  </r>
  <r>
    <s v="ORD-10263"/>
    <x v="69"/>
    <s v="P003"/>
    <x v="12"/>
    <s v="Food"/>
    <s v="Cooking Oil"/>
    <s v="SunGold"/>
    <s v="B01"/>
    <x v="2"/>
    <s v="Abuja"/>
    <x v="2"/>
    <s v="Member"/>
    <s v="Transfer"/>
    <n v="2"/>
    <n v="7800"/>
    <n v="9800"/>
    <n v="0"/>
    <x v="8"/>
    <n v="10"/>
    <n v="19600"/>
    <n v="0"/>
    <n v="19600"/>
    <n v="15600"/>
    <n v="4000"/>
    <n v="0.20408163265306123"/>
    <s v="Understocked"/>
    <s v="Safe"/>
    <n v="0.20408163265306123"/>
    <s v="Safe"/>
    <n v="2000"/>
    <n v="0.20408163265306123"/>
  </r>
  <r>
    <s v="ORD-10264"/>
    <x v="190"/>
    <s v="P008"/>
    <x v="4"/>
    <s v="Beverages"/>
    <s v="Soft Drinks"/>
    <s v="Sparkle"/>
    <s v="B04"/>
    <x v="5"/>
    <s v="Lagos"/>
    <x v="4"/>
    <s v="Corporate"/>
    <s v="Cash"/>
    <n v="3"/>
    <n v="330"/>
    <n v="550"/>
    <n v="0.15"/>
    <x v="3"/>
    <n v="8"/>
    <n v="1650"/>
    <n v="247.5"/>
    <n v="1402.5"/>
    <n v="990"/>
    <n v="412.5"/>
    <n v="0.29411764705882354"/>
    <s v="Healthy"/>
    <s v="Safe"/>
    <n v="0.4"/>
    <s v="Safe"/>
    <n v="220"/>
    <n v="0.4"/>
  </r>
  <r>
    <s v="ORD-10265"/>
    <x v="191"/>
    <s v="P006"/>
    <x v="0"/>
    <s v="Beverages"/>
    <s v="Water"/>
    <s v="AquaPure"/>
    <s v="B04"/>
    <x v="5"/>
    <s v="Lagos"/>
    <x v="4"/>
    <s v="Walk-in"/>
    <s v="Cash"/>
    <n v="1"/>
    <n v="230"/>
    <n v="400"/>
    <n v="0.05"/>
    <x v="2"/>
    <n v="9"/>
    <n v="400"/>
    <n v="20"/>
    <n v="380"/>
    <n v="230"/>
    <n v="150"/>
    <n v="0.39473684210526316"/>
    <s v="Understocked"/>
    <s v="Safe"/>
    <n v="0.42499999999999999"/>
    <s v="Safe"/>
    <n v="170"/>
    <n v="0.42499999999999999"/>
  </r>
  <r>
    <s v="ORD-10266"/>
    <x v="70"/>
    <s v="P007"/>
    <x v="3"/>
    <s v="Beverages"/>
    <s v="Malt"/>
    <s v="Naija Malt"/>
    <s v="B04"/>
    <x v="5"/>
    <s v="Lagos"/>
    <x v="4"/>
    <s v="Walk-in"/>
    <s v="POS"/>
    <n v="4"/>
    <n v="550"/>
    <n v="850"/>
    <n v="0.05"/>
    <x v="3"/>
    <n v="5"/>
    <n v="3400"/>
    <n v="170"/>
    <n v="3230"/>
    <n v="2200"/>
    <n v="1030"/>
    <n v="0.31888544891640869"/>
    <s v="Healthy"/>
    <s v="Safe"/>
    <n v="0.35294117647058826"/>
    <s v="Safe"/>
    <n v="300"/>
    <n v="0.35294117647058826"/>
  </r>
  <r>
    <s v="ORD-10267"/>
    <x v="149"/>
    <s v="P009"/>
    <x v="13"/>
    <s v="Household"/>
    <s v="Cleaning"/>
    <s v="BrightWash"/>
    <s v="B02"/>
    <x v="4"/>
    <s v="Abuja"/>
    <x v="2"/>
    <s v="Member"/>
    <s v="POS"/>
    <n v="2"/>
    <n v="2400"/>
    <n v="3400"/>
    <n v="0.1"/>
    <x v="7"/>
    <n v="10"/>
    <n v="6800"/>
    <n v="680"/>
    <n v="6120"/>
    <n v="4800"/>
    <n v="1320"/>
    <n v="0.21568627450980393"/>
    <s v="Healthy"/>
    <s v="Safe"/>
    <n v="0.29411764705882354"/>
    <s v="Safe"/>
    <n v="1000"/>
    <n v="0.29411764705882354"/>
  </r>
  <r>
    <s v="ORD-10268"/>
    <x v="24"/>
    <s v="P019"/>
    <x v="18"/>
    <s v="Electronics"/>
    <s v="Audio"/>
    <s v="SoundBeat"/>
    <s v="B03"/>
    <x v="6"/>
    <s v="Lagos"/>
    <x v="4"/>
    <s v="Member"/>
    <s v="POS"/>
    <n v="5"/>
    <n v="12500"/>
    <n v="18500"/>
    <n v="0"/>
    <x v="13"/>
    <n v="2"/>
    <n v="92500"/>
    <n v="0"/>
    <n v="92500"/>
    <n v="62500"/>
    <n v="30000"/>
    <n v="0.32432432432432434"/>
    <s v="Understocked"/>
    <s v="Safe"/>
    <n v="0.32432432432432434"/>
    <s v="Safe"/>
    <n v="6000"/>
    <n v="0.32432432432432434"/>
  </r>
  <r>
    <s v="ORD-10269"/>
    <x v="192"/>
    <s v="P015"/>
    <x v="8"/>
    <s v="Personal Care"/>
    <s v="Bath"/>
    <s v="SilkyTouch"/>
    <s v="B03"/>
    <x v="6"/>
    <s v="Lagos"/>
    <x v="4"/>
    <s v="Walk-in"/>
    <s v="POS"/>
    <n v="10"/>
    <n v="600"/>
    <n v="950"/>
    <n v="0.05"/>
    <x v="11"/>
    <n v="14"/>
    <n v="9500"/>
    <n v="475"/>
    <n v="9025"/>
    <n v="6000"/>
    <n v="3025"/>
    <n v="0.33518005540166207"/>
    <s v="Healthy"/>
    <s v="Safe"/>
    <n v="0.36842105263157893"/>
    <s v="Safe"/>
    <n v="350"/>
    <n v="0.36842105263157893"/>
  </r>
  <r>
    <s v="ORD-10270"/>
    <x v="17"/>
    <s v="P005"/>
    <x v="2"/>
    <s v="Food"/>
    <s v="Snacks"/>
    <s v="CrispyBite"/>
    <s v="B06"/>
    <x v="1"/>
    <s v="Rivers"/>
    <x v="1"/>
    <s v="Member"/>
    <s v="Transfer"/>
    <n v="4"/>
    <n v="850"/>
    <n v="1300"/>
    <n v="0.15"/>
    <x v="1"/>
    <n v="3"/>
    <n v="5200"/>
    <n v="780"/>
    <n v="4420"/>
    <n v="3400"/>
    <n v="1020"/>
    <n v="0.23076923076923078"/>
    <s v="Understocked"/>
    <s v="Safe"/>
    <n v="0.34615384615384615"/>
    <s v="Safe"/>
    <n v="450"/>
    <n v="0.34615384615384615"/>
  </r>
  <r>
    <s v="ORD-10271"/>
    <x v="160"/>
    <s v="P018"/>
    <x v="16"/>
    <s v="Electronics"/>
    <s v="Mobile Accessories"/>
    <s v="VoltSafe"/>
    <s v="B04"/>
    <x v="5"/>
    <s v="Lagos"/>
    <x v="4"/>
    <s v="Walk-in"/>
    <s v="POS"/>
    <n v="3"/>
    <n v="18000"/>
    <n v="24500"/>
    <n v="0.1"/>
    <x v="13"/>
    <n v="5"/>
    <n v="73500"/>
    <n v="7350"/>
    <n v="66150"/>
    <n v="54000"/>
    <n v="12150"/>
    <n v="0.18367346938775511"/>
    <s v="Understocked"/>
    <s v="Safe"/>
    <n v="0.26530612244897961"/>
    <s v="Safe"/>
    <n v="6500"/>
    <n v="0.26530612244897961"/>
  </r>
  <r>
    <s v="ORD-10272"/>
    <x v="13"/>
    <s v="P023"/>
    <x v="6"/>
    <s v="Office Supplies"/>
    <s v="Stationery"/>
    <s v="StudyPro"/>
    <s v="B05"/>
    <x v="0"/>
    <s v="Kano"/>
    <x v="0"/>
    <s v="Member"/>
    <s v="POS"/>
    <n v="1"/>
    <n v="2800"/>
    <n v="4200"/>
    <n v="0.2"/>
    <x v="14"/>
    <n v="14"/>
    <n v="4200"/>
    <n v="840"/>
    <n v="3360"/>
    <n v="2800"/>
    <n v="560"/>
    <n v="0.16666666666666666"/>
    <s v="Understocked"/>
    <s v="Safe"/>
    <n v="0.33333333333333331"/>
    <s v="Safe"/>
    <n v="1400"/>
    <n v="0.33333333333333331"/>
  </r>
  <r>
    <s v="ORD-10273"/>
    <x v="57"/>
    <s v="P020"/>
    <x v="5"/>
    <s v="Electronics"/>
    <s v="Lighting"/>
    <s v="Luma"/>
    <s v="B03"/>
    <x v="6"/>
    <s v="Lagos"/>
    <x v="4"/>
    <s v="Member"/>
    <s v="POS"/>
    <n v="4"/>
    <n v="1500"/>
    <n v="2500"/>
    <n v="0.15"/>
    <x v="13"/>
    <n v="3"/>
    <n v="10000"/>
    <n v="1500"/>
    <n v="8500"/>
    <n v="6000"/>
    <n v="2500"/>
    <n v="0.29411764705882354"/>
    <s v="Healthy"/>
    <s v="Safe"/>
    <n v="0.4"/>
    <s v="Safe"/>
    <n v="1000"/>
    <n v="0.4"/>
  </r>
  <r>
    <s v="ORD-10274"/>
    <x v="179"/>
    <s v="P013"/>
    <x v="11"/>
    <s v="Personal Care"/>
    <s v="Skin Care"/>
    <s v="GlowPlus"/>
    <s v="B03"/>
    <x v="6"/>
    <s v="Lagos"/>
    <x v="4"/>
    <s v="Member"/>
    <s v="Transfer"/>
    <n v="1"/>
    <n v="3500"/>
    <n v="5200"/>
    <n v="0.15"/>
    <x v="10"/>
    <n v="5"/>
    <n v="5200"/>
    <n v="780"/>
    <n v="4420"/>
    <n v="3500"/>
    <n v="920"/>
    <n v="0.20814479638009051"/>
    <s v="Healthy"/>
    <s v="Safe"/>
    <n v="0.32692307692307693"/>
    <s v="Safe"/>
    <n v="1700"/>
    <n v="0.32692307692307693"/>
  </r>
  <r>
    <s v="ORD-10275"/>
    <x v="126"/>
    <s v="P008"/>
    <x v="4"/>
    <s v="Beverages"/>
    <s v="Soft Drinks"/>
    <s v="Sparkle"/>
    <s v="B04"/>
    <x v="5"/>
    <s v="Lagos"/>
    <x v="4"/>
    <s v="Member"/>
    <s v="Cash"/>
    <n v="3"/>
    <n v="330"/>
    <n v="550"/>
    <n v="0.15"/>
    <x v="2"/>
    <n v="11"/>
    <n v="1650"/>
    <n v="247.5"/>
    <n v="1402.5"/>
    <n v="990"/>
    <n v="412.5"/>
    <n v="0.29411764705882354"/>
    <s v="Healthy"/>
    <s v="Safe"/>
    <n v="0.4"/>
    <s v="Safe"/>
    <n v="220"/>
    <n v="0.4"/>
  </r>
  <r>
    <s v="ORD-10276"/>
    <x v="193"/>
    <s v="P020"/>
    <x v="5"/>
    <s v="Electronics"/>
    <s v="Lighting"/>
    <s v="Luma"/>
    <s v="B06"/>
    <x v="1"/>
    <s v="Rivers"/>
    <x v="1"/>
    <s v="Member"/>
    <s v="Transfer"/>
    <n v="2"/>
    <n v="1500"/>
    <n v="2500"/>
    <n v="0.2"/>
    <x v="13"/>
    <n v="14"/>
    <n v="5000"/>
    <n v="1000"/>
    <n v="4000"/>
    <n v="3000"/>
    <n v="1000"/>
    <n v="0.25"/>
    <s v="Healthy"/>
    <s v="Safe"/>
    <n v="0.4"/>
    <s v="Safe"/>
    <n v="1000"/>
    <n v="0.4"/>
  </r>
  <r>
    <s v="ORD-10277"/>
    <x v="38"/>
    <s v="P011"/>
    <x v="9"/>
    <s v="Household"/>
    <s v="Cleaning"/>
    <s v="CleanPro"/>
    <s v="B04"/>
    <x v="5"/>
    <s v="Lagos"/>
    <x v="4"/>
    <s v="Member"/>
    <s v="Cash"/>
    <n v="3"/>
    <n v="2800"/>
    <n v="3900"/>
    <n v="0.05"/>
    <x v="7"/>
    <n v="11"/>
    <n v="11700"/>
    <n v="585"/>
    <n v="11115"/>
    <n v="8400"/>
    <n v="2715"/>
    <n v="0.24426450742240216"/>
    <s v="Healthy"/>
    <s v="Safe"/>
    <n v="0.28205128205128205"/>
    <s v="Safe"/>
    <n v="1100"/>
    <n v="0.28205128205128205"/>
  </r>
  <r>
    <s v="ORD-10278"/>
    <x v="194"/>
    <s v="P001"/>
    <x v="14"/>
    <s v="Food"/>
    <s v="Grains"/>
    <s v="Golden Harvest"/>
    <s v="B08"/>
    <x v="7"/>
    <s v="Kwara"/>
    <x v="2"/>
    <s v="Corporate"/>
    <s v="Transfer"/>
    <n v="1"/>
    <n v="14500"/>
    <n v="17500"/>
    <n v="0.05"/>
    <x v="1"/>
    <n v="3"/>
    <n v="17500"/>
    <n v="875"/>
    <n v="16625"/>
    <n v="14500"/>
    <n v="2125"/>
    <n v="0.12781954887218044"/>
    <s v="Understocked"/>
    <s v="Safe"/>
    <n v="0.17142857142857143"/>
    <s v="Safe"/>
    <n v="3000"/>
    <n v="0.17142857142857143"/>
  </r>
  <r>
    <s v="ORD-10279"/>
    <x v="59"/>
    <s v="P004"/>
    <x v="1"/>
    <s v="Beverages"/>
    <s v="Dairy"/>
    <s v="FreshDay"/>
    <s v="B08"/>
    <x v="7"/>
    <s v="Kwara"/>
    <x v="2"/>
    <s v="Walk-in"/>
    <s v="Transfer"/>
    <n v="2"/>
    <n v="1650"/>
    <n v="2200"/>
    <n v="0.1"/>
    <x v="0"/>
    <n v="3"/>
    <n v="4400"/>
    <n v="440"/>
    <n v="3960"/>
    <n v="3300"/>
    <n v="660"/>
    <n v="0.16666666666666666"/>
    <s v="Understocked"/>
    <s v="Safe"/>
    <n v="0.25"/>
    <s v="Safe"/>
    <n v="550"/>
    <n v="0.25"/>
  </r>
  <r>
    <s v="ORD-10280"/>
    <x v="166"/>
    <s v="P006"/>
    <x v="0"/>
    <s v="Beverages"/>
    <s v="Water"/>
    <s v="AquaPure"/>
    <s v="B06"/>
    <x v="1"/>
    <s v="Rivers"/>
    <x v="1"/>
    <s v="Member"/>
    <s v="Cash"/>
    <n v="2"/>
    <n v="230"/>
    <n v="400"/>
    <n v="0.1"/>
    <x v="2"/>
    <n v="2"/>
    <n v="800"/>
    <n v="80"/>
    <n v="720"/>
    <n v="460"/>
    <n v="260"/>
    <n v="0.3611111111111111"/>
    <s v="Understocked"/>
    <s v="Safe"/>
    <n v="0.42499999999999999"/>
    <s v="Safe"/>
    <n v="170"/>
    <n v="0.42499999999999999"/>
  </r>
  <r>
    <s v="ORD-10281"/>
    <x v="149"/>
    <s v="P009"/>
    <x v="13"/>
    <s v="Household"/>
    <s v="Cleaning"/>
    <s v="BrightWash"/>
    <s v="B03"/>
    <x v="6"/>
    <s v="Lagos"/>
    <x v="4"/>
    <s v="Walk-in"/>
    <s v="POS"/>
    <n v="1"/>
    <n v="2400"/>
    <n v="3400"/>
    <n v="0.05"/>
    <x v="1"/>
    <n v="3"/>
    <n v="3400"/>
    <n v="170"/>
    <n v="3230"/>
    <n v="2400"/>
    <n v="830"/>
    <n v="0.25696594427244585"/>
    <s v="Healthy"/>
    <s v="Safe"/>
    <n v="0.29411764705882354"/>
    <s v="Safe"/>
    <n v="1000"/>
    <n v="0.29411764705882354"/>
  </r>
  <r>
    <s v="ORD-10282"/>
    <x v="105"/>
    <s v="P007"/>
    <x v="3"/>
    <s v="Beverages"/>
    <s v="Malt"/>
    <s v="Naija Malt"/>
    <s v="B06"/>
    <x v="1"/>
    <s v="Rivers"/>
    <x v="1"/>
    <s v="Member"/>
    <s v="Cash"/>
    <n v="1"/>
    <n v="550"/>
    <n v="850"/>
    <n v="0.05"/>
    <x v="3"/>
    <n v="11"/>
    <n v="850"/>
    <n v="42.5"/>
    <n v="807.5"/>
    <n v="550"/>
    <n v="257.5"/>
    <n v="0.31888544891640869"/>
    <s v="Healthy"/>
    <s v="Safe"/>
    <n v="0.35294117647058826"/>
    <s v="Safe"/>
    <n v="300"/>
    <n v="0.35294117647058826"/>
  </r>
  <r>
    <s v="ORD-10283"/>
    <x v="81"/>
    <s v="P002"/>
    <x v="10"/>
    <s v="Food"/>
    <s v="Grains"/>
    <s v="Mama's Pride"/>
    <s v="B04"/>
    <x v="5"/>
    <s v="Lagos"/>
    <x v="4"/>
    <s v="Walk-in"/>
    <s v="Card"/>
    <n v="3"/>
    <n v="6200"/>
    <n v="7900"/>
    <n v="0"/>
    <x v="1"/>
    <n v="3"/>
    <n v="23700"/>
    <n v="0"/>
    <n v="23700"/>
    <n v="18600"/>
    <n v="5100"/>
    <n v="0.21518987341772153"/>
    <s v="Healthy"/>
    <s v="Safe"/>
    <n v="0.21518987341772153"/>
    <s v="Safe"/>
    <n v="1700"/>
    <n v="0.21518987341772153"/>
  </r>
  <r>
    <s v="ORD-10284"/>
    <x v="195"/>
    <s v="P014"/>
    <x v="15"/>
    <s v="Personal Care"/>
    <s v="Oral Care"/>
    <s v="FreshMint"/>
    <s v="B07"/>
    <x v="3"/>
    <s v="Enugu"/>
    <x v="3"/>
    <s v="Member"/>
    <s v="POS"/>
    <n v="1"/>
    <n v="1200"/>
    <n v="1900"/>
    <n v="0"/>
    <x v="11"/>
    <n v="6"/>
    <n v="1900"/>
    <n v="0"/>
    <n v="1900"/>
    <n v="1200"/>
    <n v="700"/>
    <n v="0.36842105263157893"/>
    <s v="Healthy"/>
    <s v="Safe"/>
    <n v="0.36842105263157893"/>
    <s v="Safe"/>
    <n v="700"/>
    <n v="0.36842105263157893"/>
  </r>
  <r>
    <s v="ORD-10285"/>
    <x v="196"/>
    <s v="P018"/>
    <x v="16"/>
    <s v="Electronics"/>
    <s v="Mobile Accessories"/>
    <s v="VoltSafe"/>
    <s v="B03"/>
    <x v="6"/>
    <s v="Lagos"/>
    <x v="4"/>
    <s v="Member"/>
    <s v="POS"/>
    <n v="3"/>
    <n v="18000"/>
    <n v="24500"/>
    <n v="0"/>
    <x v="13"/>
    <n v="13"/>
    <n v="73500"/>
    <n v="0"/>
    <n v="73500"/>
    <n v="54000"/>
    <n v="19500"/>
    <n v="0.26530612244897961"/>
    <s v="Understocked"/>
    <s v="Safe"/>
    <n v="0.26530612244897961"/>
    <s v="Safe"/>
    <n v="6500"/>
    <n v="0.26530612244897961"/>
  </r>
  <r>
    <s v="ORD-10286"/>
    <x v="145"/>
    <s v="P020"/>
    <x v="5"/>
    <s v="Electronics"/>
    <s v="Lighting"/>
    <s v="Luma"/>
    <s v="B05"/>
    <x v="0"/>
    <s v="Kano"/>
    <x v="0"/>
    <s v="Walk-in"/>
    <s v="POS"/>
    <n v="2"/>
    <n v="1500"/>
    <n v="2500"/>
    <n v="0.05"/>
    <x v="13"/>
    <n v="11"/>
    <n v="5000"/>
    <n v="250"/>
    <n v="4750"/>
    <n v="3000"/>
    <n v="1750"/>
    <n v="0.36842105263157893"/>
    <s v="Healthy"/>
    <s v="Safe"/>
    <n v="0.4"/>
    <s v="Safe"/>
    <n v="1000"/>
    <n v="0.4"/>
  </r>
  <r>
    <s v="ORD-10287"/>
    <x v="197"/>
    <s v="P008"/>
    <x v="4"/>
    <s v="Beverages"/>
    <s v="Soft Drinks"/>
    <s v="Sparkle"/>
    <s v="B01"/>
    <x v="2"/>
    <s v="Abuja"/>
    <x v="2"/>
    <s v="Walk-in"/>
    <s v="POS"/>
    <n v="3"/>
    <n v="330"/>
    <n v="550"/>
    <n v="0.1"/>
    <x v="2"/>
    <n v="6"/>
    <n v="1650"/>
    <n v="165"/>
    <n v="1485"/>
    <n v="990"/>
    <n v="495"/>
    <n v="0.33333333333333331"/>
    <s v="Healthy"/>
    <s v="Safe"/>
    <n v="0.4"/>
    <s v="Safe"/>
    <n v="220"/>
    <n v="0.4"/>
  </r>
  <r>
    <s v="ORD-10288"/>
    <x v="67"/>
    <s v="P008"/>
    <x v="4"/>
    <s v="Beverages"/>
    <s v="Soft Drinks"/>
    <s v="Sparkle"/>
    <s v="B04"/>
    <x v="5"/>
    <s v="Lagos"/>
    <x v="4"/>
    <s v="Corporate"/>
    <s v="Cash"/>
    <n v="-1"/>
    <n v="330"/>
    <n v="550"/>
    <n v="0.05"/>
    <x v="0"/>
    <n v="2"/>
    <n v="-550"/>
    <n v="-27.5"/>
    <n v="-522.5"/>
    <n v="-330"/>
    <n v="-192.5"/>
    <n v="0.36842105263157893"/>
    <s v="Healthy"/>
    <s v="Discount loss"/>
    <n v="0.4"/>
    <s v="Safe"/>
    <n v="220"/>
    <n v="0.4"/>
  </r>
  <r>
    <s v="ORD-10289"/>
    <x v="21"/>
    <s v="P022"/>
    <x v="17"/>
    <s v="Office Supplies"/>
    <s v="Writing"/>
    <s v="WriteWell"/>
    <s v="B08"/>
    <x v="7"/>
    <s v="Kwara"/>
    <x v="2"/>
    <s v="Member"/>
    <s v="POS"/>
    <n v="2"/>
    <n v="1300"/>
    <n v="2100"/>
    <n v="0"/>
    <x v="14"/>
    <n v="12"/>
    <n v="4200"/>
    <n v="0"/>
    <n v="4200"/>
    <n v="2600"/>
    <n v="1600"/>
    <n v="0.38095238095238093"/>
    <s v="Understocked"/>
    <s v="Safe"/>
    <n v="0.38095238095238093"/>
    <s v="Safe"/>
    <n v="800"/>
    <n v="0.38095238095238093"/>
  </r>
  <r>
    <s v="ORD-10290"/>
    <x v="198"/>
    <s v="P009"/>
    <x v="13"/>
    <s v="Household"/>
    <s v="Cleaning"/>
    <s v="BrightWash"/>
    <s v="B05"/>
    <x v="0"/>
    <s v="Kano"/>
    <x v="0"/>
    <s v="Walk-in"/>
    <s v="Card"/>
    <n v="2"/>
    <n v="2400"/>
    <n v="3400"/>
    <n v="0.05"/>
    <x v="7"/>
    <n v="9"/>
    <n v="6800"/>
    <n v="340"/>
    <n v="6460"/>
    <n v="4800"/>
    <n v="1660"/>
    <n v="0.25696594427244585"/>
    <s v="Healthy"/>
    <s v="Safe"/>
    <n v="0.29411764705882354"/>
    <s v="Safe"/>
    <n v="1000"/>
    <n v="0.29411764705882354"/>
  </r>
  <r>
    <s v="ORD-10291"/>
    <x v="168"/>
    <s v="P013"/>
    <x v="11"/>
    <s v="Personal Care"/>
    <s v="Skin Care"/>
    <s v="GlowPlus"/>
    <s v="B07"/>
    <x v="3"/>
    <s v="Enugu"/>
    <x v="3"/>
    <s v="Member"/>
    <s v="POS"/>
    <n v="4"/>
    <n v="3500"/>
    <n v="5200"/>
    <n v="0"/>
    <x v="6"/>
    <n v="1"/>
    <n v="20800"/>
    <n v="0"/>
    <n v="20800"/>
    <n v="14000"/>
    <n v="6800"/>
    <n v="0.32692307692307693"/>
    <s v="Healthy"/>
    <s v="Safe"/>
    <n v="0.32692307692307693"/>
    <s v="Safe"/>
    <n v="1700"/>
    <n v="0.32692307692307693"/>
  </r>
  <r>
    <s v="ORD-10292"/>
    <x v="34"/>
    <s v="P003"/>
    <x v="12"/>
    <s v="Food"/>
    <s v="Cooking Oil"/>
    <s v="SunGold"/>
    <s v="B05"/>
    <x v="0"/>
    <s v="Kano"/>
    <x v="0"/>
    <s v="Member"/>
    <s v="Cash"/>
    <n v="1"/>
    <n v="7800"/>
    <n v="9800"/>
    <n v="0.1"/>
    <x v="9"/>
    <n v="12"/>
    <n v="9800"/>
    <n v="980"/>
    <n v="8820"/>
    <n v="7800"/>
    <n v="1020"/>
    <n v="0.11564625850340136"/>
    <s v="Understocked"/>
    <s v="Safe"/>
    <n v="0.20408163265306123"/>
    <s v="Safe"/>
    <n v="2000"/>
    <n v="0.20408163265306123"/>
  </r>
  <r>
    <s v="ORD-10293"/>
    <x v="199"/>
    <s v="P004"/>
    <x v="1"/>
    <s v="Beverages"/>
    <s v="Dairy"/>
    <s v="FreshDay"/>
    <s v="B08"/>
    <x v="7"/>
    <s v="Kwara"/>
    <x v="2"/>
    <s v="Member"/>
    <s v="Cash"/>
    <n v="3"/>
    <n v="1650"/>
    <n v="2200"/>
    <n v="0.15"/>
    <x v="3"/>
    <n v="12"/>
    <n v="6600"/>
    <n v="990"/>
    <n v="5610"/>
    <n v="4950"/>
    <n v="660"/>
    <n v="0.11764705882352941"/>
    <s v="Understocked"/>
    <s v="Safe"/>
    <n v="0.25"/>
    <s v="Safe"/>
    <n v="550"/>
    <n v="0.25"/>
  </r>
  <r>
    <s v="ORD-10294"/>
    <x v="179"/>
    <s v="P015"/>
    <x v="8"/>
    <s v="Personal Care"/>
    <s v="Bath"/>
    <s v="SilkyTouch"/>
    <s v="B01"/>
    <x v="2"/>
    <s v="Abuja"/>
    <x v="2"/>
    <s v="Walk-in"/>
    <s v="POS"/>
    <n v="6"/>
    <n v="600"/>
    <n v="950"/>
    <n v="0.05"/>
    <x v="11"/>
    <n v="12"/>
    <n v="5700"/>
    <n v="285"/>
    <n v="5415"/>
    <n v="3600"/>
    <n v="1815"/>
    <n v="0.33518005540166207"/>
    <s v="Healthy"/>
    <s v="Safe"/>
    <n v="0.36842105263157893"/>
    <s v="Safe"/>
    <n v="350"/>
    <n v="0.36842105263157893"/>
  </r>
  <r>
    <s v="ORD-10295"/>
    <x v="109"/>
    <s v="P002"/>
    <x v="10"/>
    <s v="Food"/>
    <s v="Grains"/>
    <s v="Mama's Pride"/>
    <s v="B04"/>
    <x v="5"/>
    <s v="Lagos"/>
    <x v="4"/>
    <s v="Walk-in"/>
    <s v="Transfer"/>
    <n v="2"/>
    <n v="6200"/>
    <n v="7900"/>
    <n v="0.05"/>
    <x v="8"/>
    <n v="13"/>
    <n v="15800"/>
    <n v="790"/>
    <n v="15010"/>
    <n v="12400"/>
    <n v="2610"/>
    <n v="0.17388407728181213"/>
    <s v="Healthy"/>
    <s v="Safe"/>
    <n v="0.21518987341772153"/>
    <s v="Safe"/>
    <n v="1700"/>
    <n v="0.21518987341772153"/>
  </r>
  <r>
    <s v="ORD-10296"/>
    <x v="101"/>
    <s v="P014"/>
    <x v="15"/>
    <s v="Personal Care"/>
    <s v="Oral Care"/>
    <s v="FreshMint"/>
    <s v="B01"/>
    <x v="2"/>
    <s v="Abuja"/>
    <x v="2"/>
    <s v="Member"/>
    <s v="Cash"/>
    <n v="4"/>
    <n v="1200"/>
    <n v="1900"/>
    <n v="0"/>
    <x v="6"/>
    <n v="8"/>
    <n v="7600"/>
    <n v="0"/>
    <n v="7600"/>
    <n v="4800"/>
    <n v="2800"/>
    <n v="0.36842105263157893"/>
    <s v="Healthy"/>
    <s v="Safe"/>
    <n v="0.36842105263157893"/>
    <s v="Safe"/>
    <n v="700"/>
    <n v="0.36842105263157893"/>
  </r>
  <r>
    <s v="ORD-10297"/>
    <x v="200"/>
    <s v="P004"/>
    <x v="1"/>
    <s v="Beverages"/>
    <s v="Dairy"/>
    <s v="FreshDay"/>
    <s v="B08"/>
    <x v="7"/>
    <s v="Kwara"/>
    <x v="2"/>
    <s v="Member"/>
    <s v="POS"/>
    <n v="1"/>
    <n v="1650"/>
    <n v="2200"/>
    <n v="0.15"/>
    <x v="3"/>
    <n v="6"/>
    <n v="2200"/>
    <n v="330"/>
    <n v="1870"/>
    <n v="1650"/>
    <n v="220"/>
    <n v="0.11764705882352941"/>
    <s v="Understocked"/>
    <s v="Safe"/>
    <n v="0.25"/>
    <s v="Safe"/>
    <n v="550"/>
    <n v="0.25"/>
  </r>
  <r>
    <s v="ORD-10298"/>
    <x v="143"/>
    <s v="P006"/>
    <x v="0"/>
    <s v="Beverages"/>
    <s v="Water"/>
    <s v="AquaPure"/>
    <s v="B01"/>
    <x v="2"/>
    <s v="Abuja"/>
    <x v="2"/>
    <s v="Member"/>
    <s v="Cash"/>
    <n v="2"/>
    <n v="230"/>
    <n v="400"/>
    <n v="0.05"/>
    <x v="0"/>
    <n v="1"/>
    <n v="800"/>
    <n v="40"/>
    <n v="760"/>
    <n v="460"/>
    <n v="300"/>
    <n v="0.39473684210526316"/>
    <s v="Understocked"/>
    <s v="Safe"/>
    <n v="0.42499999999999999"/>
    <s v="Safe"/>
    <n v="170"/>
    <n v="0.42499999999999999"/>
  </r>
  <r>
    <s v="ORD-10299"/>
    <x v="201"/>
    <s v="P020"/>
    <x v="5"/>
    <s v="Electronics"/>
    <s v="Lighting"/>
    <s v="Luma"/>
    <s v="B07"/>
    <x v="3"/>
    <s v="Enugu"/>
    <x v="3"/>
    <s v="Walk-in"/>
    <s v="Transfer"/>
    <n v="5"/>
    <n v="1500"/>
    <n v="2500"/>
    <n v="0.05"/>
    <x v="13"/>
    <n v="4"/>
    <n v="12500"/>
    <n v="625"/>
    <n v="11875"/>
    <n v="7500"/>
    <n v="4375"/>
    <n v="0.36842105263157893"/>
    <s v="Healthy"/>
    <s v="Safe"/>
    <n v="0.4"/>
    <s v="Safe"/>
    <n v="1000"/>
    <n v="0.4"/>
  </r>
  <r>
    <s v="ORD-10300"/>
    <x v="202"/>
    <s v="P015"/>
    <x v="8"/>
    <s v="Personal Care"/>
    <s v="Bath"/>
    <s v="SilkyTouch"/>
    <s v="B02"/>
    <x v="4"/>
    <s v="Abuja"/>
    <x v="2"/>
    <s v="Corporate"/>
    <s v="POS"/>
    <n v="2"/>
    <n v="600"/>
    <n v="950"/>
    <n v="0.2"/>
    <x v="10"/>
    <n v="9"/>
    <n v="1900"/>
    <n v="380"/>
    <n v="1520"/>
    <n v="1200"/>
    <n v="320"/>
    <n v="0.21052631578947367"/>
    <s v="Healthy"/>
    <s v="Safe"/>
    <n v="0.36842105263157893"/>
    <s v="Safe"/>
    <n v="350"/>
    <n v="0.36842105263157893"/>
  </r>
  <r>
    <s v="ORD-10301"/>
    <x v="203"/>
    <s v="P004"/>
    <x v="1"/>
    <s v="Beverages"/>
    <s v="Dairy"/>
    <s v="FreshDay"/>
    <s v="B08"/>
    <x v="7"/>
    <s v="Kwara"/>
    <x v="2"/>
    <s v="Member"/>
    <s v="POS"/>
    <n v="-2"/>
    <n v="1650"/>
    <n v="2200"/>
    <n v="0.05"/>
    <x v="3"/>
    <n v="6"/>
    <n v="-4400"/>
    <n v="-220"/>
    <n v="-4180"/>
    <n v="-3300"/>
    <n v="-880"/>
    <n v="0.21052631578947367"/>
    <s v="Understocked"/>
    <s v="Discount loss"/>
    <n v="0.25"/>
    <s v="Safe"/>
    <n v="550"/>
    <n v="0.25"/>
  </r>
  <r>
    <s v="ORD-10302"/>
    <x v="49"/>
    <s v="P020"/>
    <x v="5"/>
    <s v="Electronics"/>
    <s v="Lighting"/>
    <s v="Luma"/>
    <s v="B06"/>
    <x v="1"/>
    <s v="Rivers"/>
    <x v="1"/>
    <s v="Walk-in"/>
    <s v="Transfer"/>
    <n v="1"/>
    <n v="1500"/>
    <n v="2500"/>
    <n v="0.05"/>
    <x v="4"/>
    <n v="3"/>
    <n v="2500"/>
    <n v="125"/>
    <n v="2375"/>
    <n v="1500"/>
    <n v="875"/>
    <n v="0.36842105263157893"/>
    <s v="Healthy"/>
    <s v="Safe"/>
    <n v="0.4"/>
    <s v="Safe"/>
    <n v="1000"/>
    <n v="0.4"/>
  </r>
  <r>
    <s v="ORD-10303"/>
    <x v="204"/>
    <s v="P001"/>
    <x v="14"/>
    <s v="Food"/>
    <s v="Grains"/>
    <s v="Golden Harvest"/>
    <s v="B02"/>
    <x v="4"/>
    <s v="Abuja"/>
    <x v="2"/>
    <s v="Member"/>
    <s v="Transfer"/>
    <n v="5"/>
    <n v="14500"/>
    <n v="17500"/>
    <n v="0.05"/>
    <x v="1"/>
    <n v="2"/>
    <n v="87500"/>
    <n v="4375"/>
    <n v="83125"/>
    <n v="72500"/>
    <n v="10625"/>
    <n v="0.12781954887218044"/>
    <s v="Understocked"/>
    <s v="Safe"/>
    <n v="0.17142857142857143"/>
    <s v="Safe"/>
    <n v="3000"/>
    <n v="0.17142857142857143"/>
  </r>
  <r>
    <s v="ORD-10304"/>
    <x v="205"/>
    <s v="P003"/>
    <x v="12"/>
    <s v="Food"/>
    <s v="Cooking Oil"/>
    <s v="SunGold"/>
    <s v="B07"/>
    <x v="3"/>
    <s v="Enugu"/>
    <x v="3"/>
    <s v="Walk-in"/>
    <s v="POS"/>
    <n v="1"/>
    <n v="7800"/>
    <n v="9800"/>
    <n v="0.1"/>
    <x v="9"/>
    <n v="5"/>
    <n v="9800"/>
    <n v="980"/>
    <n v="8820"/>
    <n v="7800"/>
    <n v="1020"/>
    <n v="0.11564625850340136"/>
    <s v="Understocked"/>
    <s v="Safe"/>
    <n v="0.20408163265306123"/>
    <s v="Safe"/>
    <n v="2000"/>
    <n v="0.20408163265306123"/>
  </r>
  <r>
    <s v="ORD-10305"/>
    <x v="196"/>
    <s v="P022"/>
    <x v="17"/>
    <s v="Office Supplies"/>
    <s v="Writing"/>
    <s v="WriteWell"/>
    <s v="B03"/>
    <x v="6"/>
    <s v="Lagos"/>
    <x v="4"/>
    <s v="Walk-in"/>
    <s v="Card"/>
    <n v="5"/>
    <n v="1300"/>
    <n v="2100"/>
    <n v="0.05"/>
    <x v="15"/>
    <n v="3"/>
    <n v="10500"/>
    <n v="525"/>
    <n v="9975"/>
    <n v="6500"/>
    <n v="3475"/>
    <n v="0.34837092731829572"/>
    <s v="Understocked"/>
    <s v="Safe"/>
    <n v="0.38095238095238093"/>
    <s v="Safe"/>
    <n v="800"/>
    <n v="0.38095238095238093"/>
  </r>
  <r>
    <s v="ORD-10306"/>
    <x v="170"/>
    <s v="P003"/>
    <x v="12"/>
    <s v="Food"/>
    <s v="Cooking Oil"/>
    <s v="SunGold"/>
    <s v="B01"/>
    <x v="2"/>
    <s v="Abuja"/>
    <x v="2"/>
    <s v="Walk-in"/>
    <s v="Transfer"/>
    <n v="2"/>
    <n v="7800"/>
    <n v="9800"/>
    <n v="0.05"/>
    <x v="9"/>
    <n v="8"/>
    <n v="19600"/>
    <n v="980"/>
    <n v="18620"/>
    <n v="15600"/>
    <n v="3020"/>
    <n v="0.16219119226638024"/>
    <s v="Understocked"/>
    <s v="Safe"/>
    <n v="0.20408163265306123"/>
    <s v="Safe"/>
    <n v="2000"/>
    <n v="0.20408163265306123"/>
  </r>
  <r>
    <s v="ORD-10307"/>
    <x v="26"/>
    <s v="P020"/>
    <x v="5"/>
    <s v="Electronics"/>
    <s v="Lighting"/>
    <s v="Luma"/>
    <s v="B01"/>
    <x v="2"/>
    <s v="Abuja"/>
    <x v="2"/>
    <s v="Member"/>
    <s v="POS"/>
    <n v="5"/>
    <n v="1500"/>
    <n v="2500"/>
    <n v="0.05"/>
    <x v="4"/>
    <n v="14"/>
    <n v="12500"/>
    <n v="625"/>
    <n v="11875"/>
    <n v="7500"/>
    <n v="4375"/>
    <n v="0.36842105263157893"/>
    <s v="Healthy"/>
    <s v="Safe"/>
    <n v="0.4"/>
    <s v="Safe"/>
    <n v="1000"/>
    <n v="0.4"/>
  </r>
  <r>
    <s v="ORD-10308"/>
    <x v="118"/>
    <s v="P002"/>
    <x v="10"/>
    <s v="Food"/>
    <s v="Grains"/>
    <s v="Mama's Pride"/>
    <s v="B03"/>
    <x v="6"/>
    <s v="Lagos"/>
    <x v="4"/>
    <s v="Member"/>
    <s v="Card"/>
    <n v="2"/>
    <n v="6200"/>
    <n v="7900"/>
    <n v="0.05"/>
    <x v="9"/>
    <n v="1"/>
    <n v="15800"/>
    <n v="790"/>
    <n v="15010"/>
    <n v="12400"/>
    <n v="2610"/>
    <n v="0.17388407728181213"/>
    <s v="Healthy"/>
    <s v="Safe"/>
    <n v="0.21518987341772153"/>
    <s v="Safe"/>
    <n v="1700"/>
    <n v="0.21518987341772153"/>
  </r>
  <r>
    <s v="ORD-10309"/>
    <x v="206"/>
    <s v="P010"/>
    <x v="22"/>
    <s v="Household"/>
    <s v="Paper Products"/>
    <s v="SoftCare"/>
    <s v="B04"/>
    <x v="5"/>
    <s v="Lagos"/>
    <x v="4"/>
    <s v="Member"/>
    <s v="Cash"/>
    <n v="1"/>
    <n v="3200"/>
    <n v="4500"/>
    <n v="0"/>
    <x v="7"/>
    <n v="14"/>
    <n v="4500"/>
    <n v="0"/>
    <n v="4500"/>
    <n v="3200"/>
    <n v="1300"/>
    <n v="0.28888888888888886"/>
    <s v="Healthy"/>
    <s v="Safe"/>
    <n v="0.28888888888888886"/>
    <s v="Safe"/>
    <n v="1300"/>
    <n v="0.28888888888888886"/>
  </r>
  <r>
    <s v="ORD-10310"/>
    <x v="56"/>
    <s v="P003"/>
    <x v="12"/>
    <s v="Food"/>
    <s v="Cooking Oil"/>
    <s v="SunGold"/>
    <s v="B07"/>
    <x v="3"/>
    <s v="Enugu"/>
    <x v="3"/>
    <s v="Member"/>
    <s v="POS"/>
    <n v="2"/>
    <n v="7800"/>
    <n v="9800"/>
    <n v="0.1"/>
    <x v="8"/>
    <n v="14"/>
    <n v="19600"/>
    <n v="1960"/>
    <n v="17640"/>
    <n v="15600"/>
    <n v="2040"/>
    <n v="0.11564625850340136"/>
    <s v="Understocked"/>
    <s v="Safe"/>
    <n v="0.20408163265306123"/>
    <s v="Safe"/>
    <n v="2000"/>
    <n v="0.20408163265306123"/>
  </r>
  <r>
    <s v="ORD-10311"/>
    <x v="61"/>
    <s v="P005"/>
    <x v="2"/>
    <s v="Food"/>
    <s v="Snacks"/>
    <s v="CrispyBite"/>
    <s v="B05"/>
    <x v="0"/>
    <s v="Kano"/>
    <x v="0"/>
    <s v="Member"/>
    <s v="POS"/>
    <n v="5"/>
    <n v="850"/>
    <n v="1300"/>
    <n v="0"/>
    <x v="9"/>
    <n v="1"/>
    <n v="6500"/>
    <n v="0"/>
    <n v="6500"/>
    <n v="4250"/>
    <n v="2250"/>
    <n v="0.34615384615384615"/>
    <s v="Understocked"/>
    <s v="Safe"/>
    <n v="0.34615384615384615"/>
    <s v="Safe"/>
    <n v="450"/>
    <n v="0.34615384615384615"/>
  </r>
  <r>
    <s v="ORD-10312"/>
    <x v="207"/>
    <s v="P004"/>
    <x v="1"/>
    <s v="Beverages"/>
    <s v="Dairy"/>
    <s v="FreshDay"/>
    <s v="B04"/>
    <x v="5"/>
    <s v="Lagos"/>
    <x v="4"/>
    <s v="Walk-in"/>
    <s v="POS"/>
    <n v="5"/>
    <n v="1650"/>
    <n v="2200"/>
    <n v="0.05"/>
    <x v="3"/>
    <n v="6"/>
    <n v="11000"/>
    <n v="550"/>
    <n v="10450"/>
    <n v="8250"/>
    <n v="2200"/>
    <n v="0.21052631578947367"/>
    <s v="Understocked"/>
    <s v="Safe"/>
    <n v="0.25"/>
    <s v="Safe"/>
    <n v="550"/>
    <n v="0.25"/>
  </r>
  <r>
    <s v="ORD-10313"/>
    <x v="191"/>
    <s v="P006"/>
    <x v="0"/>
    <s v="Beverages"/>
    <s v="Water"/>
    <s v="AquaPure"/>
    <s v="B03"/>
    <x v="6"/>
    <s v="Lagos"/>
    <x v="4"/>
    <s v="Member"/>
    <s v="POS"/>
    <n v="1"/>
    <n v="230"/>
    <n v="400"/>
    <n v="0.1"/>
    <x v="0"/>
    <n v="7"/>
    <n v="400"/>
    <n v="40"/>
    <n v="360"/>
    <n v="230"/>
    <n v="130"/>
    <n v="0.3611111111111111"/>
    <s v="Understocked"/>
    <s v="Safe"/>
    <n v="0.42499999999999999"/>
    <s v="Safe"/>
    <n v="170"/>
    <n v="0.42499999999999999"/>
  </r>
  <r>
    <s v="ORD-10314"/>
    <x v="208"/>
    <s v="P002"/>
    <x v="10"/>
    <s v="Food"/>
    <s v="Grains"/>
    <s v="Mama's Pride"/>
    <s v="B03"/>
    <x v="6"/>
    <s v="Lagos"/>
    <x v="4"/>
    <s v="Member"/>
    <s v="POS"/>
    <n v="1"/>
    <n v="6200"/>
    <n v="7900"/>
    <n v="0"/>
    <x v="1"/>
    <n v="13"/>
    <n v="7900"/>
    <n v="0"/>
    <n v="7900"/>
    <n v="6200"/>
    <n v="1700"/>
    <n v="0.21518987341772153"/>
    <s v="Healthy"/>
    <s v="Safe"/>
    <n v="0.21518987341772153"/>
    <s v="Safe"/>
    <n v="1700"/>
    <n v="0.21518987341772153"/>
  </r>
  <r>
    <s v="ORD-10315"/>
    <x v="120"/>
    <s v="P024"/>
    <x v="19"/>
    <s v="Office Supplies"/>
    <s v="Accessories"/>
    <s v="ErgoDesk"/>
    <s v="B06"/>
    <x v="1"/>
    <s v="Rivers"/>
    <x v="1"/>
    <s v="Walk-in"/>
    <s v="POS"/>
    <n v="2"/>
    <n v="1700"/>
    <n v="2800"/>
    <n v="0.15"/>
    <x v="5"/>
    <n v="6"/>
    <n v="5600"/>
    <n v="840"/>
    <n v="4760"/>
    <n v="3400"/>
    <n v="1360"/>
    <n v="0.2857142857142857"/>
    <s v="Overstocked"/>
    <s v="Safe"/>
    <n v="0.39285714285714285"/>
    <s v="Safe"/>
    <n v="1100"/>
    <n v="0.39285714285714285"/>
  </r>
  <r>
    <s v="ORD-10316"/>
    <x v="184"/>
    <s v="P001"/>
    <x v="14"/>
    <s v="Food"/>
    <s v="Grains"/>
    <s v="Golden Harvest"/>
    <s v="B04"/>
    <x v="5"/>
    <s v="Lagos"/>
    <x v="4"/>
    <s v="Walk-in"/>
    <s v="POS"/>
    <n v="1"/>
    <n v="14500"/>
    <n v="17500"/>
    <n v="0.15"/>
    <x v="8"/>
    <n v="9"/>
    <n v="17500"/>
    <n v="2625"/>
    <n v="14875"/>
    <n v="14500"/>
    <n v="375"/>
    <n v="2.5210084033613446E-2"/>
    <s v="Understocked"/>
    <s v="Safe"/>
    <n v="0.17142857142857143"/>
    <s v="Safe"/>
    <n v="3000"/>
    <n v="0.17142857142857143"/>
  </r>
  <r>
    <s v="ORD-10317"/>
    <x v="170"/>
    <s v="P024"/>
    <x v="19"/>
    <s v="Office Supplies"/>
    <s v="Accessories"/>
    <s v="ErgoDesk"/>
    <s v="B08"/>
    <x v="7"/>
    <s v="Kwara"/>
    <x v="2"/>
    <s v="Walk-in"/>
    <s v="POS"/>
    <n v="1"/>
    <n v="1700"/>
    <n v="2800"/>
    <n v="0.2"/>
    <x v="5"/>
    <n v="1"/>
    <n v="2800"/>
    <n v="560"/>
    <n v="2240"/>
    <n v="1700"/>
    <n v="540"/>
    <n v="0.24107142857142858"/>
    <s v="Overstocked"/>
    <s v="Safe"/>
    <n v="0.39285714285714285"/>
    <s v="Safe"/>
    <n v="1100"/>
    <n v="0.39285714285714285"/>
  </r>
  <r>
    <s v="ORD-10318"/>
    <x v="158"/>
    <s v="P011"/>
    <x v="9"/>
    <s v="Household"/>
    <s v="Cleaning"/>
    <s v="CleanPro"/>
    <s v="B08"/>
    <x v="7"/>
    <s v="Kwara"/>
    <x v="2"/>
    <s v="Corporate"/>
    <s v="Cash"/>
    <n v="2"/>
    <n v="2800"/>
    <n v="3900"/>
    <n v="0.2"/>
    <x v="7"/>
    <n v="10"/>
    <n v="7800"/>
    <n v="1560"/>
    <n v="6240"/>
    <n v="5600"/>
    <n v="640"/>
    <n v="0.10256410256410256"/>
    <s v="Healthy"/>
    <s v="Safe"/>
    <n v="0.28205128205128205"/>
    <s v="Safe"/>
    <n v="1100"/>
    <n v="0.28205128205128205"/>
  </r>
  <r>
    <s v="ORD-10319"/>
    <x v="209"/>
    <s v="P007"/>
    <x v="3"/>
    <s v="Beverages"/>
    <s v="Malt"/>
    <s v="Naija Malt"/>
    <s v="B04"/>
    <x v="5"/>
    <s v="Lagos"/>
    <x v="4"/>
    <s v="Walk-in"/>
    <s v="Cash"/>
    <n v="4"/>
    <n v="550"/>
    <n v="850"/>
    <n v="0.05"/>
    <x v="3"/>
    <n v="14"/>
    <n v="3400"/>
    <n v="170"/>
    <n v="3230"/>
    <n v="2200"/>
    <n v="1030"/>
    <n v="0.31888544891640869"/>
    <s v="Healthy"/>
    <s v="Safe"/>
    <n v="0.35294117647058826"/>
    <s v="Safe"/>
    <n v="300"/>
    <n v="0.35294117647058826"/>
  </r>
  <r>
    <s v="ORD-10320"/>
    <x v="210"/>
    <s v="P010"/>
    <x v="22"/>
    <s v="Household"/>
    <s v="Paper Products"/>
    <s v="SoftCare"/>
    <s v="B02"/>
    <x v="4"/>
    <s v="Abuja"/>
    <x v="2"/>
    <s v="Member"/>
    <s v="Cash"/>
    <n v="1"/>
    <n v="3200"/>
    <n v="4500"/>
    <n v="0"/>
    <x v="10"/>
    <n v="1"/>
    <n v="4500"/>
    <n v="0"/>
    <n v="4500"/>
    <n v="3200"/>
    <n v="1300"/>
    <n v="0.28888888888888886"/>
    <s v="Healthy"/>
    <s v="Safe"/>
    <n v="0.28888888888888886"/>
    <s v="Safe"/>
    <n v="1300"/>
    <n v="0.28888888888888886"/>
  </r>
  <r>
    <s v="ORD-10321"/>
    <x v="95"/>
    <s v="P005"/>
    <x v="2"/>
    <s v="Food"/>
    <s v="Snacks"/>
    <s v="CrispyBite"/>
    <s v="B01"/>
    <x v="2"/>
    <s v="Abuja"/>
    <x v="2"/>
    <s v="Member"/>
    <s v="Transfer"/>
    <n v="4"/>
    <n v="850"/>
    <n v="1300"/>
    <n v="0.15"/>
    <x v="9"/>
    <n v="3"/>
    <n v="5200"/>
    <n v="780"/>
    <n v="4420"/>
    <n v="3400"/>
    <n v="1020"/>
    <n v="0.23076923076923078"/>
    <s v="Understocked"/>
    <s v="Safe"/>
    <n v="0.34615384615384615"/>
    <s v="Safe"/>
    <n v="450"/>
    <n v="0.34615384615384615"/>
  </r>
  <r>
    <s v="ORD-10322"/>
    <x v="211"/>
    <s v="P017"/>
    <x v="23"/>
    <s v="Electronics"/>
    <s v="Accessories"/>
    <s v="PowerMax"/>
    <s v="B07"/>
    <x v="3"/>
    <s v="Enugu"/>
    <x v="3"/>
    <s v="Walk-in"/>
    <s v="POS"/>
    <n v="6"/>
    <n v="7500"/>
    <n v="10500"/>
    <n v="0.25"/>
    <x v="4"/>
    <n v="10"/>
    <n v="63000"/>
    <n v="15750"/>
    <n v="47250"/>
    <n v="45000"/>
    <n v="2250"/>
    <n v="4.7619047619047616E-2"/>
    <s v="Healthy"/>
    <s v="Safe"/>
    <n v="0.2857142857142857"/>
    <s v="Safe"/>
    <n v="3000"/>
    <n v="0.2857142857142857"/>
  </r>
  <r>
    <s v="ORD-10323"/>
    <x v="59"/>
    <s v="P006"/>
    <x v="0"/>
    <s v="Beverages"/>
    <s v="Water"/>
    <s v="AquaPure"/>
    <s v="B08"/>
    <x v="7"/>
    <s v="Kwara"/>
    <x v="2"/>
    <s v="Member"/>
    <s v="Transfer"/>
    <n v="4"/>
    <n v="230"/>
    <n v="400"/>
    <n v="0.05"/>
    <x v="2"/>
    <n v="3"/>
    <n v="1600"/>
    <n v="80"/>
    <n v="1520"/>
    <n v="920"/>
    <n v="600"/>
    <n v="0.39473684210526316"/>
    <s v="Understocked"/>
    <s v="Safe"/>
    <n v="0.42499999999999999"/>
    <s v="Safe"/>
    <n v="170"/>
    <n v="0.42499999999999999"/>
  </r>
  <r>
    <s v="ORD-10324"/>
    <x v="87"/>
    <s v="P015"/>
    <x v="8"/>
    <s v="Personal Care"/>
    <s v="Bath"/>
    <s v="SilkyTouch"/>
    <s v="B08"/>
    <x v="7"/>
    <s v="Kwara"/>
    <x v="2"/>
    <s v="Member"/>
    <s v="Cash"/>
    <n v="5"/>
    <n v="600"/>
    <n v="950"/>
    <n v="0"/>
    <x v="11"/>
    <n v="12"/>
    <n v="4750"/>
    <n v="0"/>
    <n v="4750"/>
    <n v="3000"/>
    <n v="1750"/>
    <n v="0.36842105263157893"/>
    <s v="Healthy"/>
    <s v="Safe"/>
    <n v="0.36842105263157893"/>
    <s v="Safe"/>
    <n v="350"/>
    <n v="0.36842105263157893"/>
  </r>
  <r>
    <s v="ORD-10325"/>
    <x v="212"/>
    <s v="P004"/>
    <x v="1"/>
    <s v="Beverages"/>
    <s v="Dairy"/>
    <s v="FreshDay"/>
    <s v="B01"/>
    <x v="2"/>
    <s v="Abuja"/>
    <x v="2"/>
    <s v="Member"/>
    <s v="POS"/>
    <n v="4"/>
    <n v="1650"/>
    <n v="2200"/>
    <n v="0.1"/>
    <x v="0"/>
    <n v="1"/>
    <n v="8800"/>
    <n v="880"/>
    <n v="7920"/>
    <n v="6600"/>
    <n v="1320"/>
    <n v="0.16666666666666666"/>
    <s v="Understocked"/>
    <s v="Safe"/>
    <n v="0.25"/>
    <s v="Safe"/>
    <n v="550"/>
    <n v="0.25"/>
  </r>
  <r>
    <s v="ORD-10326"/>
    <x v="134"/>
    <s v="P022"/>
    <x v="17"/>
    <s v="Office Supplies"/>
    <s v="Writing"/>
    <s v="WriteWell"/>
    <s v="B08"/>
    <x v="7"/>
    <s v="Kwara"/>
    <x v="2"/>
    <s v="Corporate"/>
    <s v="Cash"/>
    <n v="2"/>
    <n v="1300"/>
    <n v="2100"/>
    <n v="0.1"/>
    <x v="5"/>
    <n v="2"/>
    <n v="4200"/>
    <n v="420"/>
    <n v="3780"/>
    <n v="2600"/>
    <n v="1180"/>
    <n v="0.31216931216931215"/>
    <s v="Understocked"/>
    <s v="Safe"/>
    <n v="0.38095238095238093"/>
    <s v="Safe"/>
    <n v="800"/>
    <n v="0.38095238095238093"/>
  </r>
  <r>
    <s v="ORD-10327"/>
    <x v="143"/>
    <s v="P004"/>
    <x v="1"/>
    <s v="Beverages"/>
    <s v="Dairy"/>
    <s v="FreshDay"/>
    <s v="B07"/>
    <x v="3"/>
    <s v="Enugu"/>
    <x v="3"/>
    <s v="Member"/>
    <s v="POS"/>
    <n v="1"/>
    <n v="1650"/>
    <n v="2200"/>
    <n v="0.1"/>
    <x v="2"/>
    <n v="1"/>
    <n v="2200"/>
    <n v="220"/>
    <n v="1980"/>
    <n v="1650"/>
    <n v="330"/>
    <n v="0.16666666666666666"/>
    <s v="Understocked"/>
    <s v="Safe"/>
    <n v="0.25"/>
    <s v="Safe"/>
    <n v="550"/>
    <n v="0.25"/>
  </r>
  <r>
    <s v="ORD-10328"/>
    <x v="29"/>
    <s v="P015"/>
    <x v="8"/>
    <s v="Personal Care"/>
    <s v="Bath"/>
    <s v="SilkyTouch"/>
    <s v="B03"/>
    <x v="6"/>
    <s v="Lagos"/>
    <x v="4"/>
    <s v="Walk-in"/>
    <s v="Transfer"/>
    <n v="5"/>
    <n v="600"/>
    <n v="950"/>
    <n v="0.1"/>
    <x v="11"/>
    <n v="3"/>
    <n v="4750"/>
    <n v="475"/>
    <n v="4275"/>
    <n v="3000"/>
    <n v="1275"/>
    <n v="0.2982456140350877"/>
    <s v="Healthy"/>
    <s v="Safe"/>
    <n v="0.36842105263157893"/>
    <s v="Safe"/>
    <n v="350"/>
    <n v="0.36842105263157893"/>
  </r>
  <r>
    <s v="ORD-10329"/>
    <x v="210"/>
    <s v="P020"/>
    <x v="5"/>
    <s v="Electronics"/>
    <s v="Lighting"/>
    <s v="Luma"/>
    <s v="B03"/>
    <x v="6"/>
    <s v="Lagos"/>
    <x v="4"/>
    <s v="Member"/>
    <s v="POS"/>
    <n v="2"/>
    <n v="1500"/>
    <n v="2500"/>
    <n v="0.15"/>
    <x v="12"/>
    <n v="4"/>
    <n v="5000"/>
    <n v="750"/>
    <n v="4250"/>
    <n v="3000"/>
    <n v="1250"/>
    <n v="0.29411764705882354"/>
    <s v="Healthy"/>
    <s v="Safe"/>
    <n v="0.4"/>
    <s v="Safe"/>
    <n v="1000"/>
    <n v="0.4"/>
  </r>
  <r>
    <s v="ORD-10330"/>
    <x v="23"/>
    <s v="P018"/>
    <x v="16"/>
    <s v="Electronics"/>
    <s v="Mobile Accessories"/>
    <s v="VoltSafe"/>
    <s v="B01"/>
    <x v="2"/>
    <s v="Abuja"/>
    <x v="2"/>
    <s v="Walk-in"/>
    <s v="Transfer"/>
    <n v="1"/>
    <n v="18000"/>
    <n v="24500"/>
    <n v="0"/>
    <x v="13"/>
    <n v="3"/>
    <n v="24500"/>
    <n v="0"/>
    <n v="24500"/>
    <n v="18000"/>
    <n v="6500"/>
    <n v="0.26530612244897961"/>
    <s v="Understocked"/>
    <s v="Safe"/>
    <n v="0.26530612244897961"/>
    <s v="Safe"/>
    <n v="6500"/>
    <n v="0.26530612244897961"/>
  </r>
  <r>
    <s v="ORD-10331"/>
    <x v="38"/>
    <s v="P022"/>
    <x v="17"/>
    <s v="Office Supplies"/>
    <s v="Writing"/>
    <s v="WriteWell"/>
    <s v="B08"/>
    <x v="7"/>
    <s v="Kwara"/>
    <x v="2"/>
    <s v="Member"/>
    <s v="POS"/>
    <n v="2"/>
    <n v="1300"/>
    <n v="2100"/>
    <n v="0.2"/>
    <x v="14"/>
    <n v="11"/>
    <n v="4200"/>
    <n v="840"/>
    <n v="3360"/>
    <n v="2600"/>
    <n v="760"/>
    <n v="0.22619047619047619"/>
    <s v="Understocked"/>
    <s v="Safe"/>
    <n v="0.38095238095238093"/>
    <s v="Safe"/>
    <n v="800"/>
    <n v="0.38095238095238093"/>
  </r>
  <r>
    <s v="ORD-10332"/>
    <x v="34"/>
    <s v="P004"/>
    <x v="1"/>
    <s v="Beverages"/>
    <s v="Dairy"/>
    <s v="FreshDay"/>
    <s v="B01"/>
    <x v="2"/>
    <s v="Abuja"/>
    <x v="2"/>
    <s v="Member"/>
    <s v="POS"/>
    <n v="1"/>
    <n v="1650"/>
    <n v="2200"/>
    <n v="0"/>
    <x v="0"/>
    <n v="9"/>
    <n v="2200"/>
    <n v="0"/>
    <n v="2200"/>
    <n v="1650"/>
    <n v="550"/>
    <n v="0.25"/>
    <s v="Understocked"/>
    <s v="Safe"/>
    <n v="0.25"/>
    <s v="Safe"/>
    <n v="550"/>
    <n v="0.25"/>
  </r>
  <r>
    <s v="ORD-10333"/>
    <x v="65"/>
    <s v="P006"/>
    <x v="0"/>
    <s v="Beverages"/>
    <s v="Water"/>
    <s v="AquaPure"/>
    <s v="B01"/>
    <x v="2"/>
    <s v="Abuja"/>
    <x v="2"/>
    <s v="Walk-in"/>
    <s v="Cash"/>
    <n v="2"/>
    <n v="230"/>
    <n v="400"/>
    <n v="0.05"/>
    <x v="3"/>
    <n v="7"/>
    <n v="800"/>
    <n v="40"/>
    <n v="760"/>
    <n v="460"/>
    <n v="300"/>
    <n v="0.39473684210526316"/>
    <s v="Understocked"/>
    <s v="Safe"/>
    <n v="0.42499999999999999"/>
    <s v="Safe"/>
    <n v="170"/>
    <n v="0.42499999999999999"/>
  </r>
  <r>
    <s v="ORD-10334"/>
    <x v="162"/>
    <s v="P013"/>
    <x v="11"/>
    <s v="Personal Care"/>
    <s v="Skin Care"/>
    <s v="GlowPlus"/>
    <s v="B04"/>
    <x v="5"/>
    <s v="Lagos"/>
    <x v="4"/>
    <s v="Member"/>
    <s v="POS"/>
    <n v="1"/>
    <n v="3500"/>
    <n v="5200"/>
    <n v="0"/>
    <x v="11"/>
    <n v="14"/>
    <n v="5200"/>
    <n v="0"/>
    <n v="5200"/>
    <n v="3500"/>
    <n v="1700"/>
    <n v="0.32692307692307693"/>
    <s v="Healthy"/>
    <s v="Safe"/>
    <n v="0.32692307692307693"/>
    <s v="Safe"/>
    <n v="1700"/>
    <n v="0.32692307692307693"/>
  </r>
  <r>
    <s v="ORD-10335"/>
    <x v="213"/>
    <s v="P008"/>
    <x v="4"/>
    <s v="Beverages"/>
    <s v="Soft Drinks"/>
    <s v="Sparkle"/>
    <s v="B07"/>
    <x v="3"/>
    <s v="Enugu"/>
    <x v="3"/>
    <s v="Walk-in"/>
    <s v="Transfer"/>
    <n v="2"/>
    <n v="330"/>
    <n v="550"/>
    <n v="0.1"/>
    <x v="2"/>
    <n v="6"/>
    <n v="1100"/>
    <n v="110"/>
    <n v="990"/>
    <n v="660"/>
    <n v="330"/>
    <n v="0.33333333333333331"/>
    <s v="Healthy"/>
    <s v="Safe"/>
    <n v="0.4"/>
    <s v="Safe"/>
    <n v="220"/>
    <n v="0.4"/>
  </r>
  <r>
    <s v="ORD-10336"/>
    <x v="214"/>
    <s v="P005"/>
    <x v="2"/>
    <s v="Food"/>
    <s v="Snacks"/>
    <s v="CrispyBite"/>
    <s v="B04"/>
    <x v="5"/>
    <s v="Lagos"/>
    <x v="4"/>
    <s v="Walk-in"/>
    <s v="POS"/>
    <n v="2"/>
    <n v="850"/>
    <n v="1300"/>
    <n v="0"/>
    <x v="1"/>
    <n v="2"/>
    <n v="2600"/>
    <n v="0"/>
    <n v="2600"/>
    <n v="1700"/>
    <n v="900"/>
    <n v="0.34615384615384615"/>
    <s v="Understocked"/>
    <s v="Safe"/>
    <n v="0.34615384615384615"/>
    <s v="Safe"/>
    <n v="450"/>
    <n v="0.34615384615384615"/>
  </r>
  <r>
    <s v="ORD-10337"/>
    <x v="75"/>
    <s v="P018"/>
    <x v="16"/>
    <s v="Electronics"/>
    <s v="Mobile Accessories"/>
    <s v="VoltSafe"/>
    <s v="B03"/>
    <x v="6"/>
    <s v="Lagos"/>
    <x v="4"/>
    <s v="Walk-in"/>
    <s v="Transfer"/>
    <n v="4"/>
    <n v="18000"/>
    <n v="24500"/>
    <n v="0"/>
    <x v="12"/>
    <n v="7"/>
    <n v="98000"/>
    <n v="0"/>
    <n v="98000"/>
    <n v="72000"/>
    <n v="26000"/>
    <n v="0.26530612244897961"/>
    <s v="Understocked"/>
    <s v="Safe"/>
    <n v="0.26530612244897961"/>
    <s v="Safe"/>
    <n v="6500"/>
    <n v="0.26530612244897961"/>
  </r>
  <r>
    <s v="ORD-10338"/>
    <x v="215"/>
    <s v="P020"/>
    <x v="5"/>
    <s v="Electronics"/>
    <s v="Lighting"/>
    <s v="Luma"/>
    <s v="B04"/>
    <x v="5"/>
    <s v="Lagos"/>
    <x v="4"/>
    <s v="Walk-in"/>
    <s v="POS"/>
    <n v="6"/>
    <n v="1500"/>
    <n v="2500"/>
    <n v="0.05"/>
    <x v="12"/>
    <n v="1"/>
    <n v="15000"/>
    <n v="750"/>
    <n v="14250"/>
    <n v="9000"/>
    <n v="5250"/>
    <n v="0.36842105263157893"/>
    <s v="Healthy"/>
    <s v="Safe"/>
    <n v="0.4"/>
    <s v="Safe"/>
    <n v="1000"/>
    <n v="0.4"/>
  </r>
  <r>
    <s v="ORD-10339"/>
    <x v="216"/>
    <s v="P018"/>
    <x v="16"/>
    <s v="Electronics"/>
    <s v="Mobile Accessories"/>
    <s v="VoltSafe"/>
    <s v="B05"/>
    <x v="0"/>
    <s v="Kano"/>
    <x v="0"/>
    <s v="Member"/>
    <s v="Cash"/>
    <n v="3"/>
    <n v="18000"/>
    <n v="24500"/>
    <n v="0"/>
    <x v="4"/>
    <n v="4"/>
    <n v="73500"/>
    <n v="0"/>
    <n v="73500"/>
    <n v="54000"/>
    <n v="19500"/>
    <n v="0.26530612244897961"/>
    <s v="Understocked"/>
    <s v="Safe"/>
    <n v="0.26530612244897961"/>
    <s v="Safe"/>
    <n v="6500"/>
    <n v="0.26530612244897961"/>
  </r>
  <r>
    <s v="ORD-10340"/>
    <x v="94"/>
    <s v="P001"/>
    <x v="14"/>
    <s v="Food"/>
    <s v="Grains"/>
    <s v="Golden Harvest"/>
    <s v="B01"/>
    <x v="2"/>
    <s v="Abuja"/>
    <x v="2"/>
    <s v="Member"/>
    <s v="Cash"/>
    <n v="4"/>
    <n v="14500"/>
    <n v="17500"/>
    <n v="0"/>
    <x v="1"/>
    <n v="5"/>
    <n v="70000"/>
    <n v="0"/>
    <n v="70000"/>
    <n v="58000"/>
    <n v="12000"/>
    <n v="0.17142857142857143"/>
    <s v="Understocked"/>
    <s v="Safe"/>
    <n v="0.17142857142857143"/>
    <s v="Safe"/>
    <n v="3000"/>
    <n v="0.17142857142857143"/>
  </r>
  <r>
    <s v="ORD-10341"/>
    <x v="217"/>
    <s v="P002"/>
    <x v="10"/>
    <s v="Food"/>
    <s v="Grains"/>
    <s v="Mama's Pride"/>
    <s v="B04"/>
    <x v="5"/>
    <s v="Lagos"/>
    <x v="4"/>
    <s v="Walk-in"/>
    <s v="POS"/>
    <n v="3"/>
    <n v="6200"/>
    <n v="7900"/>
    <n v="0.15"/>
    <x v="9"/>
    <n v="13"/>
    <n v="23700"/>
    <n v="3555"/>
    <n v="20145"/>
    <n v="18600"/>
    <n v="1545"/>
    <n v="7.6693968726731204E-2"/>
    <s v="Healthy"/>
    <s v="Safe"/>
    <n v="0.21518987341772153"/>
    <s v="Safe"/>
    <n v="1700"/>
    <n v="0.21518987341772153"/>
  </r>
  <r>
    <s v="ORD-10342"/>
    <x v="168"/>
    <s v="P009"/>
    <x v="13"/>
    <s v="Household"/>
    <s v="Cleaning"/>
    <s v="BrightWash"/>
    <s v="B03"/>
    <x v="6"/>
    <s v="Lagos"/>
    <x v="4"/>
    <s v="Member"/>
    <s v="POS"/>
    <n v="2"/>
    <n v="2400"/>
    <n v="3400"/>
    <n v="0"/>
    <x v="7"/>
    <n v="2"/>
    <n v="6800"/>
    <n v="0"/>
    <n v="6800"/>
    <n v="4800"/>
    <n v="2000"/>
    <n v="0.29411764705882354"/>
    <s v="Healthy"/>
    <s v="Safe"/>
    <n v="0.29411764705882354"/>
    <s v="Safe"/>
    <n v="1000"/>
    <n v="0.29411764705882354"/>
  </r>
  <r>
    <s v="ORD-10343"/>
    <x v="165"/>
    <s v="P018"/>
    <x v="16"/>
    <s v="Electronics"/>
    <s v="Mobile Accessories"/>
    <s v="VoltSafe"/>
    <s v="B07"/>
    <x v="3"/>
    <s v="Enugu"/>
    <x v="3"/>
    <s v="Walk-in"/>
    <s v="POS"/>
    <n v="6"/>
    <n v="18000"/>
    <n v="24500"/>
    <n v="0.15"/>
    <x v="12"/>
    <n v="10"/>
    <n v="147000"/>
    <n v="22050"/>
    <n v="124950"/>
    <n v="108000"/>
    <n v="16950"/>
    <n v="0.13565426170468187"/>
    <s v="Understocked"/>
    <s v="Safe"/>
    <n v="0.26530612244897961"/>
    <s v="Safe"/>
    <n v="6500"/>
    <n v="0.26530612244897961"/>
  </r>
  <r>
    <s v="ORD-10344"/>
    <x v="132"/>
    <s v="P006"/>
    <x v="0"/>
    <s v="Beverages"/>
    <s v="Water"/>
    <s v="AquaPure"/>
    <s v="B02"/>
    <x v="4"/>
    <s v="Abuja"/>
    <x v="2"/>
    <s v="Walk-in"/>
    <s v="POS"/>
    <n v="3"/>
    <n v="230"/>
    <n v="400"/>
    <n v="0.1"/>
    <x v="2"/>
    <n v="12"/>
    <n v="1200"/>
    <n v="120"/>
    <n v="1080"/>
    <n v="690"/>
    <n v="390"/>
    <n v="0.3611111111111111"/>
    <s v="Understocked"/>
    <s v="Safe"/>
    <n v="0.42499999999999999"/>
    <s v="Safe"/>
    <n v="170"/>
    <n v="0.42499999999999999"/>
  </r>
  <r>
    <s v="ORD-10345"/>
    <x v="218"/>
    <s v="P022"/>
    <x v="17"/>
    <s v="Office Supplies"/>
    <s v="Writing"/>
    <s v="WriteWell"/>
    <s v="B07"/>
    <x v="3"/>
    <s v="Enugu"/>
    <x v="3"/>
    <s v="Walk-in"/>
    <s v="Card"/>
    <n v="1"/>
    <n v="1300"/>
    <n v="2100"/>
    <n v="0.15"/>
    <x v="14"/>
    <n v="14"/>
    <n v="2100"/>
    <n v="315"/>
    <n v="1785"/>
    <n v="1300"/>
    <n v="485"/>
    <n v="0.27170868347338933"/>
    <s v="Understocked"/>
    <s v="Safe"/>
    <n v="0.38095238095238093"/>
    <s v="Safe"/>
    <n v="800"/>
    <n v="0.38095238095238093"/>
  </r>
  <r>
    <s v="ORD-10346"/>
    <x v="15"/>
    <s v="P023"/>
    <x v="6"/>
    <s v="Office Supplies"/>
    <s v="Stationery"/>
    <s v="StudyPro"/>
    <s v="B02"/>
    <x v="4"/>
    <s v="Abuja"/>
    <x v="2"/>
    <s v="Member"/>
    <s v="Transfer"/>
    <n v="2"/>
    <n v="2800"/>
    <n v="4200"/>
    <n v="0.1"/>
    <x v="5"/>
    <n v="7"/>
    <n v="8400"/>
    <n v="840"/>
    <n v="7560"/>
    <n v="5600"/>
    <n v="1960"/>
    <n v="0.25925925925925924"/>
    <s v="Understocked"/>
    <s v="Safe"/>
    <n v="0.33333333333333331"/>
    <s v="Safe"/>
    <n v="1400"/>
    <n v="0.33333333333333331"/>
  </r>
  <r>
    <s v="ORD-10347"/>
    <x v="219"/>
    <s v="P004"/>
    <x v="1"/>
    <s v="Beverages"/>
    <s v="Dairy"/>
    <s v="FreshDay"/>
    <s v="B02"/>
    <x v="4"/>
    <s v="Abuja"/>
    <x v="2"/>
    <s v="Member"/>
    <s v="POS"/>
    <n v="5"/>
    <n v="1650"/>
    <n v="2200"/>
    <n v="0.1"/>
    <x v="3"/>
    <n v="9"/>
    <n v="11000"/>
    <n v="1100"/>
    <n v="9900"/>
    <n v="8250"/>
    <n v="1650"/>
    <n v="0.16666666666666666"/>
    <s v="Understocked"/>
    <s v="Safe"/>
    <n v="0.25"/>
    <s v="Safe"/>
    <n v="550"/>
    <n v="0.25"/>
  </r>
  <r>
    <s v="ORD-10348"/>
    <x v="61"/>
    <s v="P006"/>
    <x v="0"/>
    <s v="Beverages"/>
    <s v="Water"/>
    <s v="AquaPure"/>
    <s v="B04"/>
    <x v="5"/>
    <s v="Lagos"/>
    <x v="4"/>
    <s v="Member"/>
    <s v="Cash"/>
    <n v="1"/>
    <n v="230"/>
    <n v="400"/>
    <n v="0.15"/>
    <x v="3"/>
    <n v="14"/>
    <n v="400"/>
    <n v="60"/>
    <n v="340"/>
    <n v="230"/>
    <n v="110"/>
    <n v="0.3235294117647059"/>
    <s v="Understocked"/>
    <s v="Safe"/>
    <n v="0.42499999999999999"/>
    <s v="Safe"/>
    <n v="170"/>
    <n v="0.42499999999999999"/>
  </r>
  <r>
    <s v="ORD-10349"/>
    <x v="19"/>
    <s v="P005"/>
    <x v="2"/>
    <s v="Food"/>
    <s v="Snacks"/>
    <s v="CrispyBite"/>
    <s v="B04"/>
    <x v="5"/>
    <s v="Lagos"/>
    <x v="4"/>
    <s v="Walk-in"/>
    <s v="POS"/>
    <n v="6"/>
    <n v="850"/>
    <n v="1300"/>
    <n v="0.1"/>
    <x v="1"/>
    <n v="7"/>
    <n v="7800"/>
    <n v="780"/>
    <n v="7020"/>
    <n v="5100"/>
    <n v="1920"/>
    <n v="0.27350427350427353"/>
    <s v="Understocked"/>
    <s v="Safe"/>
    <n v="0.34615384615384615"/>
    <s v="Safe"/>
    <n v="450"/>
    <n v="0.34615384615384615"/>
  </r>
  <r>
    <s v="ORD-10350"/>
    <x v="220"/>
    <s v="P014"/>
    <x v="15"/>
    <s v="Personal Care"/>
    <s v="Oral Care"/>
    <s v="FreshMint"/>
    <s v="B02"/>
    <x v="4"/>
    <s v="Abuja"/>
    <x v="2"/>
    <s v="Corporate"/>
    <s v="Transfer"/>
    <n v="3"/>
    <n v="1200"/>
    <n v="1900"/>
    <n v="0.05"/>
    <x v="10"/>
    <n v="6"/>
    <n v="5700"/>
    <n v="285"/>
    <n v="5415"/>
    <n v="3600"/>
    <n v="1815"/>
    <n v="0.33518005540166207"/>
    <s v="Healthy"/>
    <s v="Safe"/>
    <n v="0.36842105263157893"/>
    <s v="Safe"/>
    <n v="700"/>
    <n v="0.36842105263157893"/>
  </r>
  <r>
    <s v="ORD-10351"/>
    <x v="221"/>
    <s v="P015"/>
    <x v="8"/>
    <s v="Personal Care"/>
    <s v="Bath"/>
    <s v="SilkyTouch"/>
    <s v="B05"/>
    <x v="0"/>
    <s v="Kano"/>
    <x v="0"/>
    <s v="Walk-in"/>
    <s v="POS"/>
    <n v="2"/>
    <n v="600"/>
    <n v="950"/>
    <n v="0.05"/>
    <x v="6"/>
    <n v="14"/>
    <n v="1900"/>
    <n v="95"/>
    <n v="1805"/>
    <n v="1200"/>
    <n v="605"/>
    <n v="0.33518005540166207"/>
    <s v="Healthy"/>
    <s v="Safe"/>
    <n v="0.36842105263157893"/>
    <s v="Safe"/>
    <n v="350"/>
    <n v="0.36842105263157893"/>
  </r>
  <r>
    <s v="ORD-10352"/>
    <x v="149"/>
    <s v="P014"/>
    <x v="15"/>
    <s v="Personal Care"/>
    <s v="Oral Care"/>
    <s v="FreshMint"/>
    <s v="B03"/>
    <x v="6"/>
    <s v="Lagos"/>
    <x v="4"/>
    <s v="Member"/>
    <s v="POS"/>
    <n v="2"/>
    <n v="1200"/>
    <n v="1900"/>
    <n v="0"/>
    <x v="6"/>
    <n v="8"/>
    <n v="3800"/>
    <n v="0"/>
    <n v="3800"/>
    <n v="2400"/>
    <n v="1400"/>
    <n v="0.36842105263157893"/>
    <s v="Healthy"/>
    <s v="Safe"/>
    <n v="0.36842105263157893"/>
    <s v="Safe"/>
    <n v="700"/>
    <n v="0.36842105263157893"/>
  </r>
  <r>
    <s v="ORD-10353"/>
    <x v="72"/>
    <s v="P004"/>
    <x v="1"/>
    <s v="Beverages"/>
    <s v="Dairy"/>
    <s v="FreshDay"/>
    <s v="B06"/>
    <x v="1"/>
    <s v="Rivers"/>
    <x v="1"/>
    <s v="Corporate"/>
    <s v="POS"/>
    <n v="2"/>
    <n v="1650"/>
    <n v="2200"/>
    <n v="0.1"/>
    <x v="0"/>
    <n v="11"/>
    <n v="4400"/>
    <n v="440"/>
    <n v="3960"/>
    <n v="3300"/>
    <n v="660"/>
    <n v="0.16666666666666666"/>
    <s v="Understocked"/>
    <s v="Safe"/>
    <n v="0.25"/>
    <s v="Safe"/>
    <n v="550"/>
    <n v="0.25"/>
  </r>
  <r>
    <s v="ORD-10354"/>
    <x v="49"/>
    <s v="P020"/>
    <x v="5"/>
    <s v="Electronics"/>
    <s v="Lighting"/>
    <s v="Luma"/>
    <s v="B04"/>
    <x v="5"/>
    <s v="Lagos"/>
    <x v="4"/>
    <s v="Walk-in"/>
    <s v="POS"/>
    <n v="-2"/>
    <n v="1500"/>
    <n v="2500"/>
    <n v="0.05"/>
    <x v="12"/>
    <n v="2"/>
    <n v="-5000"/>
    <n v="-250"/>
    <n v="-4750"/>
    <n v="-3000"/>
    <n v="-1750"/>
    <n v="0.36842105263157893"/>
    <s v="Healthy"/>
    <s v="Discount loss"/>
    <n v="0.4"/>
    <s v="Safe"/>
    <n v="1000"/>
    <n v="0.4"/>
  </r>
  <r>
    <s v="ORD-10355"/>
    <x v="8"/>
    <s v="P010"/>
    <x v="22"/>
    <s v="Household"/>
    <s v="Paper Products"/>
    <s v="SoftCare"/>
    <s v="B04"/>
    <x v="5"/>
    <s v="Lagos"/>
    <x v="4"/>
    <s v="Walk-in"/>
    <s v="Transfer"/>
    <n v="2"/>
    <n v="3200"/>
    <n v="4500"/>
    <n v="0.1"/>
    <x v="10"/>
    <n v="11"/>
    <n v="9000"/>
    <n v="900"/>
    <n v="8100"/>
    <n v="6400"/>
    <n v="1700"/>
    <n v="0.20987654320987653"/>
    <s v="Healthy"/>
    <s v="Safe"/>
    <n v="0.28888888888888886"/>
    <s v="Safe"/>
    <n v="1300"/>
    <n v="0.28888888888888886"/>
  </r>
  <r>
    <s v="ORD-10356"/>
    <x v="222"/>
    <s v="P005"/>
    <x v="2"/>
    <s v="Food"/>
    <s v="Snacks"/>
    <s v="CrispyBite"/>
    <s v="B06"/>
    <x v="1"/>
    <s v="Rivers"/>
    <x v="1"/>
    <s v="Walk-in"/>
    <s v="POS"/>
    <n v="6"/>
    <n v="850"/>
    <n v="1300"/>
    <n v="0"/>
    <x v="9"/>
    <n v="13"/>
    <n v="7800"/>
    <n v="0"/>
    <n v="7800"/>
    <n v="5100"/>
    <n v="2700"/>
    <n v="0.34615384615384615"/>
    <s v="Understocked"/>
    <s v="Safe"/>
    <n v="0.34615384615384615"/>
    <s v="Safe"/>
    <n v="450"/>
    <n v="0.34615384615384615"/>
  </r>
  <r>
    <s v="ORD-10357"/>
    <x v="223"/>
    <s v="P007"/>
    <x v="3"/>
    <s v="Beverages"/>
    <s v="Malt"/>
    <s v="Naija Malt"/>
    <s v="B03"/>
    <x v="6"/>
    <s v="Lagos"/>
    <x v="4"/>
    <s v="Walk-in"/>
    <s v="Card"/>
    <n v="1"/>
    <n v="550"/>
    <n v="850"/>
    <n v="0"/>
    <x v="2"/>
    <n v="7"/>
    <n v="850"/>
    <n v="0"/>
    <n v="850"/>
    <n v="550"/>
    <n v="300"/>
    <n v="0.35294117647058826"/>
    <s v="Healthy"/>
    <s v="Safe"/>
    <n v="0.35294117647058826"/>
    <s v="Safe"/>
    <n v="300"/>
    <n v="0.35294117647058826"/>
  </r>
  <r>
    <s v="ORD-10358"/>
    <x v="77"/>
    <s v="P011"/>
    <x v="9"/>
    <s v="Household"/>
    <s v="Cleaning"/>
    <s v="CleanPro"/>
    <s v="B08"/>
    <x v="7"/>
    <s v="Kwara"/>
    <x v="2"/>
    <s v="Member"/>
    <s v="POS"/>
    <n v="5"/>
    <n v="2800"/>
    <n v="3900"/>
    <n v="0.05"/>
    <x v="1"/>
    <n v="13"/>
    <n v="19500"/>
    <n v="975"/>
    <n v="18525"/>
    <n v="14000"/>
    <n v="4525"/>
    <n v="0.24426450742240216"/>
    <s v="Healthy"/>
    <s v="Safe"/>
    <n v="0.28205128205128205"/>
    <s v="Safe"/>
    <n v="1100"/>
    <n v="0.28205128205128205"/>
  </r>
  <r>
    <s v="ORD-10359"/>
    <x v="224"/>
    <s v="P007"/>
    <x v="3"/>
    <s v="Beverages"/>
    <s v="Malt"/>
    <s v="Naija Malt"/>
    <s v="B03"/>
    <x v="6"/>
    <s v="Lagos"/>
    <x v="4"/>
    <s v="Walk-in"/>
    <s v="Card"/>
    <n v="1"/>
    <n v="550"/>
    <n v="850"/>
    <n v="0.1"/>
    <x v="2"/>
    <n v="3"/>
    <n v="850"/>
    <n v="85"/>
    <n v="765"/>
    <n v="550"/>
    <n v="215"/>
    <n v="0.28104575163398693"/>
    <s v="Healthy"/>
    <s v="Safe"/>
    <n v="0.35294117647058826"/>
    <s v="Safe"/>
    <n v="300"/>
    <n v="0.35294117647058826"/>
  </r>
  <r>
    <s v="ORD-10360"/>
    <x v="161"/>
    <s v="P016"/>
    <x v="7"/>
    <s v="Personal Care"/>
    <s v="Fragrance"/>
    <s v="RoyalScent"/>
    <s v="B02"/>
    <x v="4"/>
    <s v="Abuja"/>
    <x v="2"/>
    <s v="Walk-in"/>
    <s v="Transfer"/>
    <n v="4"/>
    <n v="8500"/>
    <n v="12500"/>
    <n v="0.1"/>
    <x v="10"/>
    <n v="14"/>
    <n v="50000"/>
    <n v="5000"/>
    <n v="45000"/>
    <n v="34000"/>
    <n v="11000"/>
    <n v="0.24444444444444444"/>
    <s v="Overstocked"/>
    <s v="Safe"/>
    <n v="0.32"/>
    <s v="Safe"/>
    <n v="4000"/>
    <n v="0.32"/>
  </r>
  <r>
    <s v="ORD-10361"/>
    <x v="225"/>
    <s v="P007"/>
    <x v="3"/>
    <s v="Beverages"/>
    <s v="Malt"/>
    <s v="Naija Malt"/>
    <s v="B04"/>
    <x v="5"/>
    <s v="Lagos"/>
    <x v="4"/>
    <s v="Walk-in"/>
    <s v="POS"/>
    <n v="2"/>
    <n v="550"/>
    <n v="850"/>
    <n v="0"/>
    <x v="0"/>
    <n v="10"/>
    <n v="1700"/>
    <n v="0"/>
    <n v="1700"/>
    <n v="1100"/>
    <n v="600"/>
    <n v="0.35294117647058826"/>
    <s v="Healthy"/>
    <s v="Safe"/>
    <n v="0.35294117647058826"/>
    <s v="Safe"/>
    <n v="300"/>
    <n v="0.35294117647058826"/>
  </r>
  <r>
    <s v="ORD-10362"/>
    <x v="226"/>
    <s v="P009"/>
    <x v="13"/>
    <s v="Household"/>
    <s v="Cleaning"/>
    <s v="BrightWash"/>
    <s v="B07"/>
    <x v="3"/>
    <s v="Enugu"/>
    <x v="3"/>
    <s v="Walk-in"/>
    <s v="POS"/>
    <n v="2"/>
    <n v="2400"/>
    <n v="3400"/>
    <n v="0"/>
    <x v="7"/>
    <n v="4"/>
    <n v="6800"/>
    <n v="0"/>
    <n v="6800"/>
    <n v="4800"/>
    <n v="2000"/>
    <n v="0.29411764705882354"/>
    <s v="Healthy"/>
    <s v="Safe"/>
    <n v="0.29411764705882354"/>
    <s v="Safe"/>
    <n v="1000"/>
    <n v="0.29411764705882354"/>
  </r>
  <r>
    <s v="ORD-10363"/>
    <x v="67"/>
    <s v="P021"/>
    <x v="20"/>
    <s v="Office Supplies"/>
    <s v="Paper"/>
    <s v="OfficeMate"/>
    <s v="B08"/>
    <x v="7"/>
    <s v="Kwara"/>
    <x v="2"/>
    <s v="Walk-in"/>
    <s v="Cash"/>
    <n v="1"/>
    <n v="5200"/>
    <n v="7000"/>
    <n v="0.25"/>
    <x v="14"/>
    <n v="11"/>
    <n v="7000"/>
    <n v="1750"/>
    <n v="5250"/>
    <n v="5200"/>
    <n v="50"/>
    <n v="9.5238095238095247E-3"/>
    <s v="Overstocked"/>
    <s v="Safe"/>
    <n v="0.25714285714285712"/>
    <s v="Safe"/>
    <n v="1800"/>
    <n v="0.25714285714285712"/>
  </r>
  <r>
    <s v="ORD-10364"/>
    <x v="106"/>
    <s v="P013"/>
    <x v="11"/>
    <s v="Personal Care"/>
    <s v="Skin Care"/>
    <s v="GlowPlus"/>
    <s v="B01"/>
    <x v="2"/>
    <s v="Abuja"/>
    <x v="2"/>
    <s v="Walk-in"/>
    <s v="POS"/>
    <n v="2"/>
    <n v="3500"/>
    <n v="5200"/>
    <n v="0.1"/>
    <x v="11"/>
    <n v="13"/>
    <n v="10400"/>
    <n v="1040"/>
    <n v="9360"/>
    <n v="7000"/>
    <n v="2360"/>
    <n v="0.25213675213675213"/>
    <s v="Healthy"/>
    <s v="Safe"/>
    <n v="0.32692307692307693"/>
    <s v="Safe"/>
    <n v="1700"/>
    <n v="0.32692307692307693"/>
  </r>
  <r>
    <s v="ORD-10365"/>
    <x v="219"/>
    <s v="P003"/>
    <x v="12"/>
    <s v="Food"/>
    <s v="Cooking Oil"/>
    <s v="SunGold"/>
    <s v="B03"/>
    <x v="6"/>
    <s v="Lagos"/>
    <x v="4"/>
    <s v="Walk-in"/>
    <s v="Cash"/>
    <n v="2"/>
    <n v="7800"/>
    <n v="9800"/>
    <n v="0.05"/>
    <x v="1"/>
    <n v="4"/>
    <n v="19600"/>
    <n v="980"/>
    <n v="18620"/>
    <n v="15600"/>
    <n v="3020"/>
    <n v="0.16219119226638024"/>
    <s v="Understocked"/>
    <s v="Safe"/>
    <n v="0.20408163265306123"/>
    <s v="Safe"/>
    <n v="2000"/>
    <n v="0.20408163265306123"/>
  </r>
  <r>
    <s v="ORD-10366"/>
    <x v="227"/>
    <s v="P021"/>
    <x v="20"/>
    <s v="Office Supplies"/>
    <s v="Paper"/>
    <s v="OfficeMate"/>
    <s v="B06"/>
    <x v="1"/>
    <s v="Rivers"/>
    <x v="1"/>
    <s v="Walk-in"/>
    <s v="POS"/>
    <n v="3"/>
    <n v="5200"/>
    <n v="7000"/>
    <n v="0"/>
    <x v="15"/>
    <n v="12"/>
    <n v="21000"/>
    <n v="0"/>
    <n v="21000"/>
    <n v="15600"/>
    <n v="5400"/>
    <n v="0.25714285714285712"/>
    <s v="Overstocked"/>
    <s v="Safe"/>
    <n v="0.25714285714285712"/>
    <s v="Safe"/>
    <n v="1800"/>
    <n v="0.25714285714285712"/>
  </r>
  <r>
    <s v="ORD-10367"/>
    <x v="228"/>
    <s v="P003"/>
    <x v="12"/>
    <s v="Food"/>
    <s v="Cooking Oil"/>
    <s v="SunGold"/>
    <s v="B03"/>
    <x v="6"/>
    <s v="Lagos"/>
    <x v="4"/>
    <s v="Member"/>
    <s v="Card"/>
    <n v="3"/>
    <n v="7800"/>
    <n v="9800"/>
    <n v="0"/>
    <x v="8"/>
    <n v="8"/>
    <n v="29400"/>
    <n v="0"/>
    <n v="29400"/>
    <n v="23400"/>
    <n v="6000"/>
    <n v="0.20408163265306123"/>
    <s v="Understocked"/>
    <s v="Safe"/>
    <n v="0.20408163265306123"/>
    <s v="Safe"/>
    <n v="2000"/>
    <n v="0.20408163265306123"/>
  </r>
  <r>
    <s v="ORD-10368"/>
    <x v="91"/>
    <s v="P009"/>
    <x v="13"/>
    <s v="Household"/>
    <s v="Cleaning"/>
    <s v="BrightWash"/>
    <s v="B03"/>
    <x v="6"/>
    <s v="Lagos"/>
    <x v="4"/>
    <s v="Corporate"/>
    <s v="Transfer"/>
    <n v="4"/>
    <n v="2400"/>
    <n v="3400"/>
    <n v="0"/>
    <x v="7"/>
    <n v="3"/>
    <n v="13600"/>
    <n v="0"/>
    <n v="13600"/>
    <n v="9600"/>
    <n v="4000"/>
    <n v="0.29411764705882354"/>
    <s v="Healthy"/>
    <s v="Safe"/>
    <n v="0.29411764705882354"/>
    <s v="Safe"/>
    <n v="1000"/>
    <n v="0.29411764705882354"/>
  </r>
  <r>
    <s v="ORD-10369"/>
    <x v="71"/>
    <s v="P001"/>
    <x v="14"/>
    <s v="Food"/>
    <s v="Grains"/>
    <s v="Golden Harvest"/>
    <s v="B02"/>
    <x v="4"/>
    <s v="Abuja"/>
    <x v="2"/>
    <s v="Walk-in"/>
    <s v="Transfer"/>
    <n v="10"/>
    <n v="14500"/>
    <n v="17500"/>
    <n v="0"/>
    <x v="9"/>
    <n v="6"/>
    <n v="175000"/>
    <n v="0"/>
    <n v="175000"/>
    <n v="145000"/>
    <n v="30000"/>
    <n v="0.17142857142857143"/>
    <s v="Understocked"/>
    <s v="Safe"/>
    <n v="0.17142857142857143"/>
    <s v="Safe"/>
    <n v="3000"/>
    <n v="0.17142857142857143"/>
  </r>
  <r>
    <s v="ORD-10370"/>
    <x v="229"/>
    <s v="P007"/>
    <x v="3"/>
    <s v="Beverages"/>
    <s v="Malt"/>
    <s v="Naija Malt"/>
    <s v="B05"/>
    <x v="0"/>
    <s v="Kano"/>
    <x v="0"/>
    <s v="Member"/>
    <s v="Cash"/>
    <n v="5"/>
    <n v="550"/>
    <n v="850"/>
    <n v="0.1"/>
    <x v="3"/>
    <n v="11"/>
    <n v="4250"/>
    <n v="425"/>
    <n v="3825"/>
    <n v="2750"/>
    <n v="1075"/>
    <n v="0.28104575163398693"/>
    <s v="Healthy"/>
    <s v="Safe"/>
    <n v="0.35294117647058826"/>
    <s v="Safe"/>
    <n v="300"/>
    <n v="0.35294117647058826"/>
  </r>
  <r>
    <s v="ORD-10371"/>
    <x v="121"/>
    <s v="P015"/>
    <x v="8"/>
    <s v="Personal Care"/>
    <s v="Bath"/>
    <s v="SilkyTouch"/>
    <s v="B03"/>
    <x v="6"/>
    <s v="Lagos"/>
    <x v="4"/>
    <s v="Walk-in"/>
    <s v="Cash"/>
    <n v="2"/>
    <n v="600"/>
    <n v="950"/>
    <n v="0.05"/>
    <x v="10"/>
    <n v="11"/>
    <n v="1900"/>
    <n v="95"/>
    <n v="1805"/>
    <n v="1200"/>
    <n v="605"/>
    <n v="0.33518005540166207"/>
    <s v="Healthy"/>
    <s v="Safe"/>
    <n v="0.36842105263157893"/>
    <s v="Safe"/>
    <n v="350"/>
    <n v="0.36842105263157893"/>
  </r>
  <r>
    <s v="ORD-10372"/>
    <x v="59"/>
    <s v="P008"/>
    <x v="4"/>
    <s v="Beverages"/>
    <s v="Soft Drinks"/>
    <s v="Sparkle"/>
    <s v="B01"/>
    <x v="2"/>
    <s v="Abuja"/>
    <x v="2"/>
    <s v="Member"/>
    <s v="Transfer"/>
    <n v="3"/>
    <n v="330"/>
    <n v="550"/>
    <n v="0.1"/>
    <x v="3"/>
    <n v="9"/>
    <n v="1650"/>
    <n v="165"/>
    <n v="1485"/>
    <n v="990"/>
    <n v="495"/>
    <n v="0.33333333333333331"/>
    <s v="Healthy"/>
    <s v="Safe"/>
    <n v="0.4"/>
    <s v="Safe"/>
    <n v="220"/>
    <n v="0.4"/>
  </r>
  <r>
    <s v="ORD-10373"/>
    <x v="62"/>
    <s v="P006"/>
    <x v="0"/>
    <s v="Beverages"/>
    <s v="Water"/>
    <s v="AquaPure"/>
    <s v="B06"/>
    <x v="1"/>
    <s v="Rivers"/>
    <x v="1"/>
    <s v="Member"/>
    <s v="POS"/>
    <n v="3"/>
    <n v="230"/>
    <n v="400"/>
    <n v="0.1"/>
    <x v="3"/>
    <n v="6"/>
    <n v="1200"/>
    <n v="120"/>
    <n v="1080"/>
    <n v="690"/>
    <n v="390"/>
    <n v="0.3611111111111111"/>
    <s v="Understocked"/>
    <s v="Safe"/>
    <n v="0.42499999999999999"/>
    <s v="Safe"/>
    <n v="170"/>
    <n v="0.42499999999999999"/>
  </r>
  <r>
    <s v="ORD-10374"/>
    <x v="230"/>
    <s v="P004"/>
    <x v="1"/>
    <s v="Beverages"/>
    <s v="Dairy"/>
    <s v="FreshDay"/>
    <s v="B04"/>
    <x v="5"/>
    <s v="Lagos"/>
    <x v="4"/>
    <s v="Walk-in"/>
    <s v="Card"/>
    <n v="6"/>
    <n v="1650"/>
    <n v="2200"/>
    <n v="0.1"/>
    <x v="3"/>
    <n v="11"/>
    <n v="13200"/>
    <n v="1320"/>
    <n v="11880"/>
    <n v="9900"/>
    <n v="1980"/>
    <n v="0.16666666666666666"/>
    <s v="Understocked"/>
    <s v="Safe"/>
    <n v="0.25"/>
    <s v="Safe"/>
    <n v="550"/>
    <n v="0.25"/>
  </r>
  <r>
    <s v="ORD-10375"/>
    <x v="103"/>
    <s v="P019"/>
    <x v="18"/>
    <s v="Electronics"/>
    <s v="Audio"/>
    <s v="SoundBeat"/>
    <s v="B05"/>
    <x v="0"/>
    <s v="Kano"/>
    <x v="0"/>
    <s v="Walk-in"/>
    <s v="POS"/>
    <n v="1"/>
    <n v="12500"/>
    <n v="18500"/>
    <n v="0"/>
    <x v="4"/>
    <n v="5"/>
    <n v="18500"/>
    <n v="0"/>
    <n v="18500"/>
    <n v="12500"/>
    <n v="6000"/>
    <n v="0.32432432432432434"/>
    <s v="Understocked"/>
    <s v="Safe"/>
    <n v="0.32432432432432434"/>
    <s v="Safe"/>
    <n v="6000"/>
    <n v="0.32432432432432434"/>
  </r>
  <r>
    <s v="ORD-10376"/>
    <x v="231"/>
    <s v="P024"/>
    <x v="19"/>
    <s v="Office Supplies"/>
    <s v="Accessories"/>
    <s v="ErgoDesk"/>
    <s v="B03"/>
    <x v="6"/>
    <s v="Lagos"/>
    <x v="4"/>
    <s v="Walk-in"/>
    <s v="Cash"/>
    <n v="2"/>
    <n v="1700"/>
    <n v="2800"/>
    <n v="0"/>
    <x v="14"/>
    <n v="6"/>
    <n v="5600"/>
    <n v="0"/>
    <n v="5600"/>
    <n v="3400"/>
    <n v="2200"/>
    <n v="0.39285714285714285"/>
    <s v="Overstocked"/>
    <s v="Safe"/>
    <n v="0.39285714285714285"/>
    <s v="Safe"/>
    <n v="1100"/>
    <n v="0.39285714285714285"/>
  </r>
  <r>
    <s v="ORD-10377"/>
    <x v="106"/>
    <s v="P008"/>
    <x v="4"/>
    <s v="Beverages"/>
    <s v="Soft Drinks"/>
    <s v="Sparkle"/>
    <s v="B01"/>
    <x v="2"/>
    <s v="Abuja"/>
    <x v="2"/>
    <s v="Walk-in"/>
    <s v="Cash"/>
    <n v="5"/>
    <n v="330"/>
    <n v="550"/>
    <n v="0.15"/>
    <x v="0"/>
    <n v="3"/>
    <n v="2750"/>
    <n v="412.5"/>
    <n v="2337.5"/>
    <n v="1650"/>
    <n v="687.5"/>
    <n v="0.29411764705882354"/>
    <s v="Healthy"/>
    <s v="Safe"/>
    <n v="0.4"/>
    <s v="Safe"/>
    <n v="220"/>
    <n v="0.4"/>
  </r>
  <r>
    <s v="ORD-10378"/>
    <x v="232"/>
    <s v="P023"/>
    <x v="6"/>
    <s v="Office Supplies"/>
    <s v="Stationery"/>
    <s v="StudyPro"/>
    <s v="B03"/>
    <x v="6"/>
    <s v="Lagos"/>
    <x v="4"/>
    <s v="Walk-in"/>
    <s v="Cash"/>
    <n v="4"/>
    <n v="2800"/>
    <n v="4200"/>
    <n v="0.05"/>
    <x v="14"/>
    <n v="8"/>
    <n v="16800"/>
    <n v="840"/>
    <n v="15960"/>
    <n v="11200"/>
    <n v="4760"/>
    <n v="0.2982456140350877"/>
    <s v="Understocked"/>
    <s v="Safe"/>
    <n v="0.33333333333333331"/>
    <s v="Safe"/>
    <n v="1400"/>
    <n v="0.33333333333333331"/>
  </r>
  <r>
    <s v="ORD-10379"/>
    <x v="233"/>
    <s v="P015"/>
    <x v="8"/>
    <s v="Personal Care"/>
    <s v="Bath"/>
    <s v="SilkyTouch"/>
    <s v="B04"/>
    <x v="5"/>
    <s v="Lagos"/>
    <x v="4"/>
    <s v="Walk-in"/>
    <s v="Cash"/>
    <n v="2"/>
    <n v="600"/>
    <n v="950"/>
    <n v="0.15"/>
    <x v="10"/>
    <n v="1"/>
    <n v="1900"/>
    <n v="285"/>
    <n v="1615"/>
    <n v="1200"/>
    <n v="415"/>
    <n v="0.25696594427244585"/>
    <s v="Healthy"/>
    <s v="Safe"/>
    <n v="0.36842105263157893"/>
    <s v="Safe"/>
    <n v="350"/>
    <n v="0.36842105263157893"/>
  </r>
  <r>
    <s v="ORD-10380"/>
    <x v="31"/>
    <s v="P003"/>
    <x v="12"/>
    <s v="Food"/>
    <s v="Cooking Oil"/>
    <s v="SunGold"/>
    <s v="B07"/>
    <x v="3"/>
    <s v="Enugu"/>
    <x v="3"/>
    <s v="Walk-in"/>
    <s v="POS"/>
    <n v="3"/>
    <n v="7800"/>
    <n v="9800"/>
    <n v="0.1"/>
    <x v="8"/>
    <n v="10"/>
    <n v="29400"/>
    <n v="2940"/>
    <n v="26460"/>
    <n v="23400"/>
    <n v="3060"/>
    <n v="0.11564625850340136"/>
    <s v="Understocked"/>
    <s v="Safe"/>
    <n v="0.20408163265306123"/>
    <s v="Safe"/>
    <n v="2000"/>
    <n v="0.20408163265306123"/>
  </r>
  <r>
    <s v="ORD-10381"/>
    <x v="113"/>
    <s v="P020"/>
    <x v="5"/>
    <s v="Electronics"/>
    <s v="Lighting"/>
    <s v="Luma"/>
    <s v="B06"/>
    <x v="1"/>
    <s v="Rivers"/>
    <x v="1"/>
    <s v="Walk-in"/>
    <s v="POS"/>
    <n v="6"/>
    <n v="1500"/>
    <n v="2500"/>
    <n v="0.05"/>
    <x v="13"/>
    <n v="1"/>
    <n v="15000"/>
    <n v="750"/>
    <n v="14250"/>
    <n v="9000"/>
    <n v="5250"/>
    <n v="0.36842105263157893"/>
    <s v="Healthy"/>
    <s v="Safe"/>
    <n v="0.4"/>
    <s v="Safe"/>
    <n v="1000"/>
    <n v="0.4"/>
  </r>
  <r>
    <s v="ORD-10382"/>
    <x v="234"/>
    <s v="P006"/>
    <x v="0"/>
    <s v="Beverages"/>
    <s v="Water"/>
    <s v="AquaPure"/>
    <s v="B06"/>
    <x v="1"/>
    <s v="Rivers"/>
    <x v="1"/>
    <s v="Walk-in"/>
    <s v="POS"/>
    <n v="4"/>
    <n v="230"/>
    <n v="400"/>
    <n v="0.1"/>
    <x v="0"/>
    <n v="14"/>
    <n v="1600"/>
    <n v="160"/>
    <n v="1440"/>
    <n v="920"/>
    <n v="520"/>
    <n v="0.3611111111111111"/>
    <s v="Understocked"/>
    <s v="Safe"/>
    <n v="0.42499999999999999"/>
    <s v="Safe"/>
    <n v="170"/>
    <n v="0.42499999999999999"/>
  </r>
  <r>
    <s v="ORD-10383"/>
    <x v="235"/>
    <s v="P014"/>
    <x v="15"/>
    <s v="Personal Care"/>
    <s v="Oral Care"/>
    <s v="FreshMint"/>
    <s v="B05"/>
    <x v="0"/>
    <s v="Kano"/>
    <x v="0"/>
    <s v="Walk-in"/>
    <s v="POS"/>
    <n v="2"/>
    <n v="1200"/>
    <n v="1900"/>
    <n v="0.1"/>
    <x v="10"/>
    <n v="7"/>
    <n v="3800"/>
    <n v="380"/>
    <n v="3420"/>
    <n v="2400"/>
    <n v="1020"/>
    <n v="0.2982456140350877"/>
    <s v="Healthy"/>
    <s v="Safe"/>
    <n v="0.36842105263157893"/>
    <s v="Safe"/>
    <n v="700"/>
    <n v="0.36842105263157893"/>
  </r>
  <r>
    <s v="ORD-10384"/>
    <x v="236"/>
    <s v="P021"/>
    <x v="20"/>
    <s v="Office Supplies"/>
    <s v="Paper"/>
    <s v="OfficeMate"/>
    <s v="B05"/>
    <x v="0"/>
    <s v="Kano"/>
    <x v="0"/>
    <s v="Walk-in"/>
    <s v="Transfer"/>
    <n v="1"/>
    <n v="5200"/>
    <n v="7000"/>
    <n v="0.25"/>
    <x v="14"/>
    <n v="14"/>
    <n v="7000"/>
    <n v="1750"/>
    <n v="5250"/>
    <n v="5200"/>
    <n v="50"/>
    <n v="9.5238095238095247E-3"/>
    <s v="Overstocked"/>
    <s v="Safe"/>
    <n v="0.25714285714285712"/>
    <s v="Safe"/>
    <n v="1800"/>
    <n v="0.25714285714285712"/>
  </r>
  <r>
    <s v="ORD-10385"/>
    <x v="60"/>
    <s v="P006"/>
    <x v="0"/>
    <s v="Beverages"/>
    <s v="Water"/>
    <s v="AquaPure"/>
    <s v="B03"/>
    <x v="6"/>
    <s v="Lagos"/>
    <x v="4"/>
    <s v="Walk-in"/>
    <s v="Transfer"/>
    <n v="2"/>
    <n v="230"/>
    <n v="400"/>
    <n v="0.05"/>
    <x v="3"/>
    <n v="2"/>
    <n v="800"/>
    <n v="40"/>
    <n v="760"/>
    <n v="460"/>
    <n v="300"/>
    <n v="0.39473684210526316"/>
    <s v="Understocked"/>
    <s v="Safe"/>
    <n v="0.42499999999999999"/>
    <s v="Safe"/>
    <n v="170"/>
    <n v="0.42499999999999999"/>
  </r>
  <r>
    <s v="ORD-10386"/>
    <x v="101"/>
    <s v="P008"/>
    <x v="4"/>
    <s v="Beverages"/>
    <s v="Soft Drinks"/>
    <s v="Sparkle"/>
    <s v="B07"/>
    <x v="3"/>
    <s v="Enugu"/>
    <x v="3"/>
    <s v="Walk-in"/>
    <s v="POS"/>
    <n v="2"/>
    <n v="330"/>
    <n v="550"/>
    <n v="0"/>
    <x v="3"/>
    <n v="7"/>
    <n v="1100"/>
    <n v="0"/>
    <n v="1100"/>
    <n v="660"/>
    <n v="440"/>
    <n v="0.4"/>
    <s v="Healthy"/>
    <s v="Safe"/>
    <n v="0.4"/>
    <s v="Safe"/>
    <n v="220"/>
    <n v="0.4"/>
  </r>
  <r>
    <s v="ORD-10387"/>
    <x v="236"/>
    <s v="P010"/>
    <x v="22"/>
    <s v="Household"/>
    <s v="Paper Products"/>
    <s v="SoftCare"/>
    <s v="B07"/>
    <x v="3"/>
    <s v="Enugu"/>
    <x v="3"/>
    <s v="Member"/>
    <s v="POS"/>
    <n v="5"/>
    <n v="3200"/>
    <n v="4500"/>
    <n v="0.2"/>
    <x v="1"/>
    <n v="4"/>
    <n v="22500"/>
    <n v="4500"/>
    <n v="18000"/>
    <n v="16000"/>
    <n v="2000"/>
    <n v="0.1111111111111111"/>
    <s v="Healthy"/>
    <s v="Safe"/>
    <n v="0.28888888888888886"/>
    <s v="Safe"/>
    <n v="1300"/>
    <n v="0.28888888888888886"/>
  </r>
  <r>
    <s v="ORD-10388"/>
    <x v="231"/>
    <s v="P022"/>
    <x v="17"/>
    <s v="Office Supplies"/>
    <s v="Writing"/>
    <s v="WriteWell"/>
    <s v="B03"/>
    <x v="6"/>
    <s v="Lagos"/>
    <x v="4"/>
    <s v="Walk-in"/>
    <s v="POS"/>
    <n v="1"/>
    <n v="1300"/>
    <n v="2100"/>
    <n v="0"/>
    <x v="5"/>
    <n v="10"/>
    <n v="2100"/>
    <n v="0"/>
    <n v="2100"/>
    <n v="1300"/>
    <n v="800"/>
    <n v="0.38095238095238093"/>
    <s v="Understocked"/>
    <s v="Safe"/>
    <n v="0.38095238095238093"/>
    <s v="Safe"/>
    <n v="800"/>
    <n v="0.38095238095238093"/>
  </r>
  <r>
    <s v="ORD-10389"/>
    <x v="102"/>
    <s v="P007"/>
    <x v="3"/>
    <s v="Beverages"/>
    <s v="Malt"/>
    <s v="Naija Malt"/>
    <s v="B04"/>
    <x v="5"/>
    <s v="Lagos"/>
    <x v="4"/>
    <s v="Walk-in"/>
    <s v="Transfer"/>
    <n v="1"/>
    <n v="550"/>
    <n v="850"/>
    <n v="0.1"/>
    <x v="0"/>
    <n v="13"/>
    <n v="850"/>
    <n v="85"/>
    <n v="765"/>
    <n v="550"/>
    <n v="215"/>
    <n v="0.28104575163398693"/>
    <s v="Healthy"/>
    <s v="Safe"/>
    <n v="0.35294117647058826"/>
    <s v="Safe"/>
    <n v="300"/>
    <n v="0.35294117647058826"/>
  </r>
  <r>
    <s v="ORD-10390"/>
    <x v="235"/>
    <s v="P007"/>
    <x v="3"/>
    <s v="Beverages"/>
    <s v="Malt"/>
    <s v="Naija Malt"/>
    <s v="B01"/>
    <x v="2"/>
    <s v="Abuja"/>
    <x v="2"/>
    <s v="Member"/>
    <s v="POS"/>
    <n v="6"/>
    <n v="550"/>
    <n v="850"/>
    <n v="0.05"/>
    <x v="2"/>
    <n v="2"/>
    <n v="5100"/>
    <n v="255"/>
    <n v="4845"/>
    <n v="3300"/>
    <n v="1545"/>
    <n v="0.31888544891640869"/>
    <s v="Healthy"/>
    <s v="Safe"/>
    <n v="0.35294117647058826"/>
    <s v="Safe"/>
    <n v="300"/>
    <n v="0.35294117647058826"/>
  </r>
  <r>
    <s v="ORD-10391"/>
    <x v="237"/>
    <s v="P004"/>
    <x v="1"/>
    <s v="Beverages"/>
    <s v="Dairy"/>
    <s v="FreshDay"/>
    <s v="B08"/>
    <x v="7"/>
    <s v="Kwara"/>
    <x v="2"/>
    <s v="Member"/>
    <s v="POS"/>
    <n v="2"/>
    <n v="1650"/>
    <n v="2200"/>
    <n v="0.05"/>
    <x v="3"/>
    <n v="13"/>
    <n v="4400"/>
    <n v="220"/>
    <n v="4180"/>
    <n v="3300"/>
    <n v="880"/>
    <n v="0.21052631578947367"/>
    <s v="Understocked"/>
    <s v="Safe"/>
    <n v="0.25"/>
    <s v="Safe"/>
    <n v="550"/>
    <n v="0.25"/>
  </r>
  <r>
    <s v="ORD-10392"/>
    <x v="97"/>
    <s v="P019"/>
    <x v="18"/>
    <s v="Electronics"/>
    <s v="Audio"/>
    <s v="SoundBeat"/>
    <s v="B04"/>
    <x v="5"/>
    <s v="Lagos"/>
    <x v="4"/>
    <s v="Member"/>
    <s v="POS"/>
    <n v="-2"/>
    <n v="12500"/>
    <n v="18500"/>
    <n v="0.05"/>
    <x v="4"/>
    <n v="8"/>
    <n v="-37000"/>
    <n v="-1850"/>
    <n v="-35150"/>
    <n v="-25000"/>
    <n v="-10150"/>
    <n v="0.28876244665718348"/>
    <s v="Understocked"/>
    <s v="Discount loss"/>
    <n v="0.32432432432432434"/>
    <s v="Safe"/>
    <n v="6000"/>
    <n v="0.32432432432432434"/>
  </r>
  <r>
    <s v="ORD-10393"/>
    <x v="121"/>
    <s v="P010"/>
    <x v="22"/>
    <s v="Household"/>
    <s v="Paper Products"/>
    <s v="SoftCare"/>
    <s v="B03"/>
    <x v="6"/>
    <s v="Lagos"/>
    <x v="4"/>
    <s v="Member"/>
    <s v="POS"/>
    <n v="3"/>
    <n v="3200"/>
    <n v="4500"/>
    <n v="0.2"/>
    <x v="1"/>
    <n v="10"/>
    <n v="13500"/>
    <n v="2700"/>
    <n v="10800"/>
    <n v="9600"/>
    <n v="1200"/>
    <n v="0.1111111111111111"/>
    <s v="Healthy"/>
    <s v="Safe"/>
    <n v="0.28888888888888886"/>
    <s v="Safe"/>
    <n v="1300"/>
    <n v="0.28888888888888886"/>
  </r>
  <r>
    <s v="ORD-10394"/>
    <x v="212"/>
    <s v="P003"/>
    <x v="12"/>
    <s v="Food"/>
    <s v="Cooking Oil"/>
    <s v="SunGold"/>
    <s v="B05"/>
    <x v="0"/>
    <s v="Kano"/>
    <x v="0"/>
    <s v="Member"/>
    <s v="Transfer"/>
    <n v="3"/>
    <n v="7800"/>
    <n v="9800"/>
    <n v="0.05"/>
    <x v="1"/>
    <n v="12"/>
    <n v="29400"/>
    <n v="1470"/>
    <n v="27930"/>
    <n v="23400"/>
    <n v="4530"/>
    <n v="0.16219119226638024"/>
    <s v="Understocked"/>
    <s v="Safe"/>
    <n v="0.20408163265306123"/>
    <s v="Safe"/>
    <n v="2000"/>
    <n v="0.20408163265306123"/>
  </r>
  <r>
    <s v="ORD-10395"/>
    <x v="150"/>
    <s v="P007"/>
    <x v="3"/>
    <s v="Beverages"/>
    <s v="Malt"/>
    <s v="Naija Malt"/>
    <s v="B03"/>
    <x v="6"/>
    <s v="Lagos"/>
    <x v="4"/>
    <s v="Walk-in"/>
    <s v="POS"/>
    <n v="2"/>
    <n v="550"/>
    <n v="850"/>
    <n v="0.15"/>
    <x v="0"/>
    <n v="9"/>
    <n v="1700"/>
    <n v="255"/>
    <n v="1445"/>
    <n v="1100"/>
    <n v="345"/>
    <n v="0.23875432525951557"/>
    <s v="Healthy"/>
    <s v="Safe"/>
    <n v="0.35294117647058826"/>
    <s v="Safe"/>
    <n v="300"/>
    <n v="0.35294117647058826"/>
  </r>
  <r>
    <s v="ORD-10396"/>
    <x v="57"/>
    <s v="P010"/>
    <x v="22"/>
    <s v="Household"/>
    <s v="Paper Products"/>
    <s v="SoftCare"/>
    <s v="B03"/>
    <x v="6"/>
    <s v="Lagos"/>
    <x v="4"/>
    <s v="Walk-in"/>
    <s v="Card"/>
    <n v="4"/>
    <n v="3200"/>
    <n v="4500"/>
    <n v="0.1"/>
    <x v="1"/>
    <n v="5"/>
    <n v="18000"/>
    <n v="1800"/>
    <n v="16200"/>
    <n v="12800"/>
    <n v="3400"/>
    <n v="0.20987654320987653"/>
    <s v="Healthy"/>
    <s v="Safe"/>
    <n v="0.28888888888888886"/>
    <s v="Safe"/>
    <n v="1300"/>
    <n v="0.28888888888888886"/>
  </r>
  <r>
    <s v="ORD-10397"/>
    <x v="69"/>
    <s v="P003"/>
    <x v="12"/>
    <s v="Food"/>
    <s v="Cooking Oil"/>
    <s v="SunGold"/>
    <s v="B06"/>
    <x v="1"/>
    <s v="Rivers"/>
    <x v="1"/>
    <s v="Walk-in"/>
    <s v="POS"/>
    <n v="10"/>
    <n v="7800"/>
    <n v="9800"/>
    <n v="0"/>
    <x v="1"/>
    <n v="2"/>
    <n v="98000"/>
    <n v="0"/>
    <n v="98000"/>
    <n v="78000"/>
    <n v="20000"/>
    <n v="0.20408163265306123"/>
    <s v="Understocked"/>
    <s v="Safe"/>
    <n v="0.20408163265306123"/>
    <s v="Safe"/>
    <n v="2000"/>
    <n v="0.20408163265306123"/>
  </r>
  <r>
    <s v="ORD-10398"/>
    <x v="87"/>
    <s v="P008"/>
    <x v="4"/>
    <s v="Beverages"/>
    <s v="Soft Drinks"/>
    <s v="Sparkle"/>
    <s v="B04"/>
    <x v="5"/>
    <s v="Lagos"/>
    <x v="4"/>
    <s v="Member"/>
    <s v="POS"/>
    <n v="4"/>
    <n v="330"/>
    <n v="550"/>
    <n v="0.05"/>
    <x v="2"/>
    <n v="14"/>
    <n v="2200"/>
    <n v="110"/>
    <n v="2090"/>
    <n v="1320"/>
    <n v="770"/>
    <n v="0.36842105263157893"/>
    <s v="Healthy"/>
    <s v="Safe"/>
    <n v="0.4"/>
    <s v="Safe"/>
    <n v="220"/>
    <n v="0.4"/>
  </r>
  <r>
    <s v="ORD-10399"/>
    <x v="238"/>
    <s v="P009"/>
    <x v="13"/>
    <s v="Household"/>
    <s v="Cleaning"/>
    <s v="BrightWash"/>
    <s v="B01"/>
    <x v="2"/>
    <s v="Abuja"/>
    <x v="2"/>
    <s v="Walk-in"/>
    <s v="POS"/>
    <n v="1"/>
    <n v="2400"/>
    <n v="3400"/>
    <n v="0.1"/>
    <x v="7"/>
    <n v="5"/>
    <n v="3400"/>
    <n v="340"/>
    <n v="3060"/>
    <n v="2400"/>
    <n v="660"/>
    <n v="0.21568627450980393"/>
    <s v="Healthy"/>
    <s v="Safe"/>
    <n v="0.29411764705882354"/>
    <s v="Safe"/>
    <n v="1000"/>
    <n v="0.29411764705882354"/>
  </r>
  <r>
    <s v="ORD-10400"/>
    <x v="73"/>
    <s v="P019"/>
    <x v="18"/>
    <s v="Electronics"/>
    <s v="Audio"/>
    <s v="SoundBeat"/>
    <s v="B05"/>
    <x v="0"/>
    <s v="Kano"/>
    <x v="0"/>
    <s v="Walk-in"/>
    <s v="POS"/>
    <n v="2"/>
    <n v="12500"/>
    <n v="18500"/>
    <n v="0.1"/>
    <x v="4"/>
    <n v="10"/>
    <n v="37000"/>
    <n v="3700"/>
    <n v="33300"/>
    <n v="25000"/>
    <n v="8300"/>
    <n v="0.24924924924924924"/>
    <s v="Understocked"/>
    <s v="Safe"/>
    <n v="0.32432432432432434"/>
    <s v="Safe"/>
    <n v="6000"/>
    <n v="0.32432432432432434"/>
  </r>
  <r>
    <s v="ORD-10401"/>
    <x v="87"/>
    <s v="P020"/>
    <x v="5"/>
    <s v="Electronics"/>
    <s v="Lighting"/>
    <s v="Luma"/>
    <s v="B06"/>
    <x v="1"/>
    <s v="Rivers"/>
    <x v="1"/>
    <s v="Member"/>
    <s v="POS"/>
    <n v="3"/>
    <n v="1500"/>
    <n v="2500"/>
    <n v="0"/>
    <x v="13"/>
    <n v="12"/>
    <n v="7500"/>
    <n v="0"/>
    <n v="7500"/>
    <n v="4500"/>
    <n v="3000"/>
    <n v="0.4"/>
    <s v="Healthy"/>
    <s v="Safe"/>
    <n v="0.4"/>
    <s v="Safe"/>
    <n v="1000"/>
    <n v="0.4"/>
  </r>
  <r>
    <s v="ORD-10402"/>
    <x v="239"/>
    <s v="P007"/>
    <x v="3"/>
    <s v="Beverages"/>
    <s v="Malt"/>
    <s v="Naija Malt"/>
    <s v="B08"/>
    <x v="7"/>
    <s v="Kwara"/>
    <x v="2"/>
    <s v="Walk-in"/>
    <s v="Cash"/>
    <n v="10"/>
    <n v="550"/>
    <n v="850"/>
    <n v="0.05"/>
    <x v="2"/>
    <n v="4"/>
    <n v="8500"/>
    <n v="425"/>
    <n v="8075"/>
    <n v="5500"/>
    <n v="2575"/>
    <n v="0.31888544891640869"/>
    <s v="Healthy"/>
    <s v="Safe"/>
    <n v="0.35294117647058826"/>
    <s v="Safe"/>
    <n v="300"/>
    <n v="0.35294117647058826"/>
  </r>
  <r>
    <s v="ORD-10403"/>
    <x v="240"/>
    <s v="P019"/>
    <x v="18"/>
    <s v="Electronics"/>
    <s v="Audio"/>
    <s v="SoundBeat"/>
    <s v="B07"/>
    <x v="3"/>
    <s v="Enugu"/>
    <x v="3"/>
    <s v="Member"/>
    <s v="POS"/>
    <n v="4"/>
    <n v="12500"/>
    <n v="18500"/>
    <n v="0.1"/>
    <x v="12"/>
    <n v="4"/>
    <n v="74000"/>
    <n v="7400"/>
    <n v="66600"/>
    <n v="50000"/>
    <n v="16600"/>
    <n v="0.24924924924924924"/>
    <s v="Understocked"/>
    <s v="Safe"/>
    <n v="0.32432432432432434"/>
    <s v="Safe"/>
    <n v="6000"/>
    <n v="0.32432432432432434"/>
  </r>
  <r>
    <s v="ORD-10404"/>
    <x v="226"/>
    <s v="P006"/>
    <x v="0"/>
    <s v="Beverages"/>
    <s v="Water"/>
    <s v="AquaPure"/>
    <s v="B02"/>
    <x v="4"/>
    <s v="Abuja"/>
    <x v="2"/>
    <s v="Walk-in"/>
    <s v="Transfer"/>
    <n v="4"/>
    <n v="230"/>
    <n v="400"/>
    <n v="0"/>
    <x v="2"/>
    <n v="1"/>
    <n v="1600"/>
    <n v="0"/>
    <n v="1600"/>
    <n v="920"/>
    <n v="680"/>
    <n v="0.42499999999999999"/>
    <s v="Understocked"/>
    <s v="Safe"/>
    <n v="0.42499999999999999"/>
    <s v="Safe"/>
    <n v="170"/>
    <n v="0.42499999999999999"/>
  </r>
  <r>
    <s v="ORD-10405"/>
    <x v="241"/>
    <s v="P006"/>
    <x v="0"/>
    <s v="Beverages"/>
    <s v="Water"/>
    <s v="AquaPure"/>
    <s v="B02"/>
    <x v="4"/>
    <s v="Abuja"/>
    <x v="2"/>
    <s v="Walk-in"/>
    <s v="POS"/>
    <n v="5"/>
    <n v="230"/>
    <n v="400"/>
    <n v="0"/>
    <x v="3"/>
    <n v="3"/>
    <n v="2000"/>
    <n v="0"/>
    <n v="2000"/>
    <n v="1150"/>
    <n v="850"/>
    <n v="0.42499999999999999"/>
    <s v="Understocked"/>
    <s v="Safe"/>
    <n v="0.42499999999999999"/>
    <s v="Safe"/>
    <n v="170"/>
    <n v="0.42499999999999999"/>
  </r>
  <r>
    <s v="ORD-10406"/>
    <x v="91"/>
    <s v="P001"/>
    <x v="14"/>
    <s v="Food"/>
    <s v="Grains"/>
    <s v="Golden Harvest"/>
    <s v="B08"/>
    <x v="7"/>
    <s v="Kwara"/>
    <x v="2"/>
    <s v="Walk-in"/>
    <s v="POS"/>
    <n v="3"/>
    <n v="14500"/>
    <n v="17500"/>
    <n v="0.1"/>
    <x v="8"/>
    <n v="2"/>
    <n v="52500"/>
    <n v="5250"/>
    <n v="47250"/>
    <n v="43500"/>
    <n v="3750"/>
    <n v="7.9365079365079361E-2"/>
    <s v="Understocked"/>
    <s v="Safe"/>
    <n v="0.17142857142857143"/>
    <s v="Safe"/>
    <n v="3000"/>
    <n v="0.17142857142857143"/>
  </r>
  <r>
    <s v="ORD-10407"/>
    <x v="134"/>
    <s v="P009"/>
    <x v="13"/>
    <s v="Household"/>
    <s v="Cleaning"/>
    <s v="BrightWash"/>
    <s v="B08"/>
    <x v="7"/>
    <s v="Kwara"/>
    <x v="2"/>
    <s v="Walk-in"/>
    <s v="POS"/>
    <n v="3"/>
    <n v="2400"/>
    <n v="3400"/>
    <n v="0.15"/>
    <x v="10"/>
    <n v="2"/>
    <n v="10200"/>
    <n v="1530"/>
    <n v="8670"/>
    <n v="7200"/>
    <n v="1470"/>
    <n v="0.16955017301038061"/>
    <s v="Healthy"/>
    <s v="Safe"/>
    <n v="0.29411764705882354"/>
    <s v="Safe"/>
    <n v="1000"/>
    <n v="0.29411764705882354"/>
  </r>
  <r>
    <s v="ORD-10408"/>
    <x v="242"/>
    <s v="P014"/>
    <x v="15"/>
    <s v="Personal Care"/>
    <s v="Oral Care"/>
    <s v="FreshMint"/>
    <s v="B03"/>
    <x v="6"/>
    <s v="Lagos"/>
    <x v="4"/>
    <s v="Member"/>
    <s v="Transfer"/>
    <n v="2"/>
    <n v="1200"/>
    <n v="1900"/>
    <n v="0.2"/>
    <x v="10"/>
    <n v="14"/>
    <n v="3800"/>
    <n v="760"/>
    <n v="3040"/>
    <n v="2400"/>
    <n v="640"/>
    <n v="0.21052631578947367"/>
    <s v="Healthy"/>
    <s v="Safe"/>
    <n v="0.36842105263157893"/>
    <s v="Safe"/>
    <n v="700"/>
    <n v="0.36842105263157893"/>
  </r>
  <r>
    <s v="ORD-10409"/>
    <x v="243"/>
    <s v="P001"/>
    <x v="14"/>
    <s v="Food"/>
    <s v="Grains"/>
    <s v="Golden Harvest"/>
    <s v="B05"/>
    <x v="0"/>
    <s v="Kano"/>
    <x v="0"/>
    <s v="Member"/>
    <s v="POS"/>
    <n v="2"/>
    <n v="14500"/>
    <n v="17500"/>
    <n v="0.15"/>
    <x v="9"/>
    <n v="11"/>
    <n v="35000"/>
    <n v="5250"/>
    <n v="29750"/>
    <n v="29000"/>
    <n v="750"/>
    <n v="2.5210084033613446E-2"/>
    <s v="Understocked"/>
    <s v="Safe"/>
    <n v="0.17142857142857143"/>
    <s v="Safe"/>
    <n v="3000"/>
    <n v="0.17142857142857143"/>
  </r>
  <r>
    <s v="ORD-10410"/>
    <x v="239"/>
    <s v="P022"/>
    <x v="17"/>
    <s v="Office Supplies"/>
    <s v="Writing"/>
    <s v="WriteWell"/>
    <s v="B08"/>
    <x v="7"/>
    <s v="Kwara"/>
    <x v="2"/>
    <s v="Walk-in"/>
    <s v="POS"/>
    <n v="2"/>
    <n v="1300"/>
    <n v="2100"/>
    <n v="0.05"/>
    <x v="14"/>
    <n v="9"/>
    <n v="4200"/>
    <n v="210"/>
    <n v="3990"/>
    <n v="2600"/>
    <n v="1390"/>
    <n v="0.34837092731829572"/>
    <s v="Understocked"/>
    <s v="Safe"/>
    <n v="0.38095238095238093"/>
    <s v="Safe"/>
    <n v="800"/>
    <n v="0.38095238095238093"/>
  </r>
  <r>
    <s v="ORD-10411"/>
    <x v="244"/>
    <s v="P008"/>
    <x v="4"/>
    <s v="Beverages"/>
    <s v="Soft Drinks"/>
    <s v="Sparkle"/>
    <s v="B03"/>
    <x v="6"/>
    <s v="Lagos"/>
    <x v="4"/>
    <s v="Walk-in"/>
    <s v="Cash"/>
    <n v="-1"/>
    <n v="330"/>
    <n v="550"/>
    <n v="0.05"/>
    <x v="0"/>
    <n v="9"/>
    <n v="-550"/>
    <n v="-27.5"/>
    <n v="-522.5"/>
    <n v="-330"/>
    <n v="-192.5"/>
    <n v="0.36842105263157893"/>
    <s v="Healthy"/>
    <s v="Discount loss"/>
    <n v="0.4"/>
    <s v="Safe"/>
    <n v="220"/>
    <n v="0.4"/>
  </r>
  <r>
    <s v="ORD-10412"/>
    <x v="245"/>
    <s v="P014"/>
    <x v="15"/>
    <s v="Personal Care"/>
    <s v="Oral Care"/>
    <s v="FreshMint"/>
    <s v="B06"/>
    <x v="1"/>
    <s v="Rivers"/>
    <x v="1"/>
    <s v="Walk-in"/>
    <s v="POS"/>
    <n v="6"/>
    <n v="1200"/>
    <n v="1900"/>
    <n v="0.05"/>
    <x v="10"/>
    <n v="12"/>
    <n v="11400"/>
    <n v="570"/>
    <n v="10830"/>
    <n v="7200"/>
    <n v="3630"/>
    <n v="0.33518005540166207"/>
    <s v="Healthy"/>
    <s v="Safe"/>
    <n v="0.36842105263157893"/>
    <s v="Safe"/>
    <n v="700"/>
    <n v="0.36842105263157893"/>
  </r>
  <r>
    <s v="ORD-10413"/>
    <x v="72"/>
    <s v="P018"/>
    <x v="16"/>
    <s v="Electronics"/>
    <s v="Mobile Accessories"/>
    <s v="VoltSafe"/>
    <s v="B01"/>
    <x v="2"/>
    <s v="Abuja"/>
    <x v="2"/>
    <s v="Member"/>
    <s v="Cash"/>
    <n v="4"/>
    <n v="18000"/>
    <n v="24500"/>
    <n v="0"/>
    <x v="4"/>
    <n v="1"/>
    <n v="98000"/>
    <n v="0"/>
    <n v="98000"/>
    <n v="72000"/>
    <n v="26000"/>
    <n v="0.26530612244897961"/>
    <s v="Understocked"/>
    <s v="Safe"/>
    <n v="0.26530612244897961"/>
    <s v="Safe"/>
    <n v="6500"/>
    <n v="0.26530612244897961"/>
  </r>
  <r>
    <s v="ORD-10414"/>
    <x v="246"/>
    <s v="P010"/>
    <x v="22"/>
    <s v="Household"/>
    <s v="Paper Products"/>
    <s v="SoftCare"/>
    <s v="B04"/>
    <x v="5"/>
    <s v="Lagos"/>
    <x v="4"/>
    <s v="Walk-in"/>
    <s v="POS"/>
    <n v="-2"/>
    <n v="3200"/>
    <n v="4500"/>
    <n v="0"/>
    <x v="10"/>
    <n v="6"/>
    <n v="-9000"/>
    <n v="0"/>
    <n v="-9000"/>
    <n v="-6400"/>
    <n v="-2600"/>
    <n v="0.28888888888888886"/>
    <s v="Healthy"/>
    <s v="Safe"/>
    <n v="0.28888888888888886"/>
    <s v="Safe"/>
    <n v="1300"/>
    <n v="0.28888888888888886"/>
  </r>
  <r>
    <s v="ORD-10415"/>
    <x v="62"/>
    <s v="P009"/>
    <x v="13"/>
    <s v="Household"/>
    <s v="Cleaning"/>
    <s v="BrightWash"/>
    <s v="B05"/>
    <x v="0"/>
    <s v="Kano"/>
    <x v="0"/>
    <s v="Member"/>
    <s v="POS"/>
    <n v="3"/>
    <n v="2400"/>
    <n v="3400"/>
    <n v="0.1"/>
    <x v="7"/>
    <n v="6"/>
    <n v="10200"/>
    <n v="1020"/>
    <n v="9180"/>
    <n v="7200"/>
    <n v="1980"/>
    <n v="0.21568627450980393"/>
    <s v="Healthy"/>
    <s v="Safe"/>
    <n v="0.29411764705882354"/>
    <s v="Safe"/>
    <n v="1000"/>
    <n v="0.29411764705882354"/>
  </r>
  <r>
    <s v="ORD-10416"/>
    <x v="247"/>
    <s v="P006"/>
    <x v="0"/>
    <s v="Beverages"/>
    <s v="Water"/>
    <s v="AquaPure"/>
    <s v="B05"/>
    <x v="0"/>
    <s v="Kano"/>
    <x v="0"/>
    <s v="Corporate"/>
    <s v="Transfer"/>
    <n v="3"/>
    <n v="230"/>
    <n v="400"/>
    <n v="0"/>
    <x v="0"/>
    <n v="1"/>
    <n v="1200"/>
    <n v="0"/>
    <n v="1200"/>
    <n v="690"/>
    <n v="510"/>
    <n v="0.42499999999999999"/>
    <s v="Understocked"/>
    <s v="Safe"/>
    <n v="0.42499999999999999"/>
    <s v="Safe"/>
    <n v="170"/>
    <n v="0.42499999999999999"/>
  </r>
  <r>
    <s v="ORD-10417"/>
    <x v="116"/>
    <s v="P005"/>
    <x v="2"/>
    <s v="Food"/>
    <s v="Snacks"/>
    <s v="CrispyBite"/>
    <s v="B06"/>
    <x v="1"/>
    <s v="Rivers"/>
    <x v="1"/>
    <s v="Walk-in"/>
    <s v="POS"/>
    <n v="5"/>
    <n v="850"/>
    <n v="1300"/>
    <n v="0.15"/>
    <x v="8"/>
    <n v="11"/>
    <n v="6500"/>
    <n v="975"/>
    <n v="5525"/>
    <n v="4250"/>
    <n v="1275"/>
    <n v="0.23076923076923078"/>
    <s v="Understocked"/>
    <s v="Safe"/>
    <n v="0.34615384615384615"/>
    <s v="Safe"/>
    <n v="450"/>
    <n v="0.34615384615384615"/>
  </r>
  <r>
    <s v="ORD-10418"/>
    <x v="72"/>
    <s v="P007"/>
    <x v="3"/>
    <s v="Beverages"/>
    <s v="Malt"/>
    <s v="Naija Malt"/>
    <s v="B08"/>
    <x v="7"/>
    <s v="Kwara"/>
    <x v="2"/>
    <s v="Walk-in"/>
    <s v="Cash"/>
    <n v="3"/>
    <n v="550"/>
    <n v="850"/>
    <n v="0.1"/>
    <x v="0"/>
    <n v="7"/>
    <n v="2550"/>
    <n v="255"/>
    <n v="2295"/>
    <n v="1650"/>
    <n v="645"/>
    <n v="0.28104575163398693"/>
    <s v="Healthy"/>
    <s v="Safe"/>
    <n v="0.35294117647058826"/>
    <s v="Safe"/>
    <n v="300"/>
    <n v="0.35294117647058826"/>
  </r>
  <r>
    <s v="ORD-10419"/>
    <x v="55"/>
    <s v="P006"/>
    <x v="0"/>
    <s v="Beverages"/>
    <s v="Water"/>
    <s v="AquaPure"/>
    <s v="B06"/>
    <x v="1"/>
    <s v="Rivers"/>
    <x v="1"/>
    <s v="Walk-in"/>
    <s v="POS"/>
    <n v="6"/>
    <n v="230"/>
    <n v="400"/>
    <n v="0.05"/>
    <x v="0"/>
    <n v="3"/>
    <n v="2400"/>
    <n v="120"/>
    <n v="2280"/>
    <n v="1380"/>
    <n v="900"/>
    <n v="0.39473684210526316"/>
    <s v="Understocked"/>
    <s v="Safe"/>
    <n v="0.42499999999999999"/>
    <s v="Safe"/>
    <n v="170"/>
    <n v="0.42499999999999999"/>
  </r>
  <r>
    <s v="ORD-10420"/>
    <x v="56"/>
    <s v="P013"/>
    <x v="11"/>
    <s v="Personal Care"/>
    <s v="Skin Care"/>
    <s v="GlowPlus"/>
    <s v="B03"/>
    <x v="6"/>
    <s v="Lagos"/>
    <x v="4"/>
    <s v="Walk-in"/>
    <s v="Cash"/>
    <n v="1"/>
    <n v="3500"/>
    <n v="5200"/>
    <n v="0.1"/>
    <x v="10"/>
    <n v="8"/>
    <n v="5200"/>
    <n v="520"/>
    <n v="4680"/>
    <n v="3500"/>
    <n v="1180"/>
    <n v="0.25213675213675213"/>
    <s v="Healthy"/>
    <s v="Safe"/>
    <n v="0.32692307692307693"/>
    <s v="Safe"/>
    <n v="1700"/>
    <n v="0.32692307692307693"/>
  </r>
  <r>
    <s v="ORD-10421"/>
    <x v="23"/>
    <s v="P006"/>
    <x v="0"/>
    <s v="Beverages"/>
    <s v="Water"/>
    <s v="AquaPure"/>
    <s v="B01"/>
    <x v="2"/>
    <s v="Abuja"/>
    <x v="2"/>
    <s v="Walk-in"/>
    <s v="Transfer"/>
    <n v="1"/>
    <n v="230"/>
    <n v="400"/>
    <n v="0.1"/>
    <x v="3"/>
    <n v="11"/>
    <n v="400"/>
    <n v="40"/>
    <n v="360"/>
    <n v="230"/>
    <n v="130"/>
    <n v="0.3611111111111111"/>
    <s v="Understocked"/>
    <s v="Safe"/>
    <n v="0.42499999999999999"/>
    <s v="Safe"/>
    <n v="170"/>
    <n v="0.42499999999999999"/>
  </r>
  <r>
    <s v="ORD-10422"/>
    <x v="165"/>
    <s v="P006"/>
    <x v="0"/>
    <s v="Beverages"/>
    <s v="Water"/>
    <s v="AquaPure"/>
    <s v="B01"/>
    <x v="2"/>
    <s v="Abuja"/>
    <x v="2"/>
    <s v="Walk-in"/>
    <s v="POS"/>
    <n v="1"/>
    <n v="230"/>
    <n v="400"/>
    <n v="0.05"/>
    <x v="0"/>
    <n v="10"/>
    <n v="400"/>
    <n v="20"/>
    <n v="380"/>
    <n v="230"/>
    <n v="150"/>
    <n v="0.39473684210526316"/>
    <s v="Understocked"/>
    <s v="Safe"/>
    <n v="0.42499999999999999"/>
    <s v="Safe"/>
    <n v="170"/>
    <n v="0.42499999999999999"/>
  </r>
  <r>
    <s v="ORD-10423"/>
    <x v="248"/>
    <s v="P007"/>
    <x v="3"/>
    <s v="Beverages"/>
    <s v="Malt"/>
    <s v="Naija Malt"/>
    <s v="B03"/>
    <x v="6"/>
    <s v="Lagos"/>
    <x v="4"/>
    <s v="Walk-in"/>
    <s v="Card"/>
    <n v="2"/>
    <n v="550"/>
    <n v="850"/>
    <n v="0"/>
    <x v="0"/>
    <n v="11"/>
    <n v="1700"/>
    <n v="0"/>
    <n v="1700"/>
    <n v="1100"/>
    <n v="600"/>
    <n v="0.35294117647058826"/>
    <s v="Healthy"/>
    <s v="Safe"/>
    <n v="0.35294117647058826"/>
    <s v="Safe"/>
    <n v="300"/>
    <n v="0.35294117647058826"/>
  </r>
  <r>
    <s v="ORD-10424"/>
    <x v="123"/>
    <s v="P003"/>
    <x v="12"/>
    <s v="Food"/>
    <s v="Cooking Oil"/>
    <s v="SunGold"/>
    <s v="B06"/>
    <x v="1"/>
    <s v="Rivers"/>
    <x v="1"/>
    <s v="Walk-in"/>
    <s v="Card"/>
    <n v="6"/>
    <n v="7800"/>
    <n v="9800"/>
    <n v="0.05"/>
    <x v="1"/>
    <n v="2"/>
    <n v="58800"/>
    <n v="2940"/>
    <n v="55860"/>
    <n v="46800"/>
    <n v="9060"/>
    <n v="0.16219119226638024"/>
    <s v="Understocked"/>
    <s v="Safe"/>
    <n v="0.20408163265306123"/>
    <s v="Safe"/>
    <n v="2000"/>
    <n v="0.20408163265306123"/>
  </r>
  <r>
    <s v="ORD-10425"/>
    <x v="48"/>
    <s v="P002"/>
    <x v="10"/>
    <s v="Food"/>
    <s v="Grains"/>
    <s v="Mama's Pride"/>
    <s v="B03"/>
    <x v="6"/>
    <s v="Lagos"/>
    <x v="4"/>
    <s v="Walk-in"/>
    <s v="POS"/>
    <n v="5"/>
    <n v="6200"/>
    <n v="7900"/>
    <n v="0.15"/>
    <x v="1"/>
    <n v="2"/>
    <n v="39500"/>
    <n v="5925"/>
    <n v="33575"/>
    <n v="31000"/>
    <n v="2575"/>
    <n v="7.6693968726731204E-2"/>
    <s v="Healthy"/>
    <s v="Safe"/>
    <n v="0.21518987341772153"/>
    <s v="Safe"/>
    <n v="1700"/>
    <n v="0.21518987341772153"/>
  </r>
  <r>
    <s v="ORD-10426"/>
    <x v="120"/>
    <s v="P020"/>
    <x v="5"/>
    <s v="Electronics"/>
    <s v="Lighting"/>
    <s v="Luma"/>
    <s v="B05"/>
    <x v="0"/>
    <s v="Kano"/>
    <x v="0"/>
    <s v="Member"/>
    <s v="Card"/>
    <n v="5"/>
    <n v="1500"/>
    <n v="2500"/>
    <n v="0.1"/>
    <x v="4"/>
    <n v="9"/>
    <n v="12500"/>
    <n v="1250"/>
    <n v="11250"/>
    <n v="7500"/>
    <n v="3750"/>
    <n v="0.33333333333333331"/>
    <s v="Healthy"/>
    <s v="Safe"/>
    <n v="0.4"/>
    <s v="Safe"/>
    <n v="1000"/>
    <n v="0.4"/>
  </r>
  <r>
    <s v="ORD-10427"/>
    <x v="47"/>
    <s v="P008"/>
    <x v="4"/>
    <s v="Beverages"/>
    <s v="Soft Drinks"/>
    <s v="Sparkle"/>
    <s v="B06"/>
    <x v="1"/>
    <s v="Rivers"/>
    <x v="1"/>
    <s v="Member"/>
    <s v="POS"/>
    <n v="2"/>
    <n v="330"/>
    <n v="550"/>
    <n v="0"/>
    <x v="2"/>
    <n v="3"/>
    <n v="1100"/>
    <n v="0"/>
    <n v="1100"/>
    <n v="660"/>
    <n v="440"/>
    <n v="0.4"/>
    <s v="Healthy"/>
    <s v="Safe"/>
    <n v="0.4"/>
    <s v="Safe"/>
    <n v="220"/>
    <n v="0.4"/>
  </r>
  <r>
    <s v="ORD-10428"/>
    <x v="39"/>
    <s v="P002"/>
    <x v="10"/>
    <s v="Food"/>
    <s v="Grains"/>
    <s v="Mama's Pride"/>
    <s v="B03"/>
    <x v="6"/>
    <s v="Lagos"/>
    <x v="4"/>
    <s v="Corporate"/>
    <s v="POS"/>
    <n v="1"/>
    <n v="6200"/>
    <n v="7900"/>
    <n v="0"/>
    <x v="1"/>
    <n v="3"/>
    <n v="7900"/>
    <n v="0"/>
    <n v="7900"/>
    <n v="6200"/>
    <n v="1700"/>
    <n v="0.21518987341772153"/>
    <s v="Healthy"/>
    <s v="Safe"/>
    <n v="0.21518987341772153"/>
    <s v="Safe"/>
    <n v="1700"/>
    <n v="0.21518987341772153"/>
  </r>
  <r>
    <s v="ORD-10429"/>
    <x v="171"/>
    <s v="P008"/>
    <x v="4"/>
    <s v="Beverages"/>
    <s v="Soft Drinks"/>
    <s v="Sparkle"/>
    <s v="B02"/>
    <x v="4"/>
    <s v="Abuja"/>
    <x v="2"/>
    <s v="Corporate"/>
    <s v="POS"/>
    <n v="8"/>
    <n v="330"/>
    <n v="550"/>
    <n v="0.1"/>
    <x v="2"/>
    <n v="6"/>
    <n v="4400"/>
    <n v="440"/>
    <n v="3960"/>
    <n v="2640"/>
    <n v="1320"/>
    <n v="0.33333333333333331"/>
    <s v="Healthy"/>
    <s v="Safe"/>
    <n v="0.4"/>
    <s v="Safe"/>
    <n v="220"/>
    <n v="0.4"/>
  </r>
  <r>
    <s v="ORD-10430"/>
    <x v="54"/>
    <s v="P005"/>
    <x v="2"/>
    <s v="Food"/>
    <s v="Snacks"/>
    <s v="CrispyBite"/>
    <s v="B03"/>
    <x v="6"/>
    <s v="Lagos"/>
    <x v="4"/>
    <s v="Walk-in"/>
    <s v="POS"/>
    <n v="2"/>
    <n v="850"/>
    <n v="1300"/>
    <n v="0.1"/>
    <x v="8"/>
    <n v="8"/>
    <n v="2600"/>
    <n v="260"/>
    <n v="2340"/>
    <n v="1700"/>
    <n v="640"/>
    <n v="0.27350427350427353"/>
    <s v="Understocked"/>
    <s v="Safe"/>
    <n v="0.34615384615384615"/>
    <s v="Safe"/>
    <n v="450"/>
    <n v="0.34615384615384615"/>
  </r>
  <r>
    <s v="ORD-10431"/>
    <x v="88"/>
    <s v="P001"/>
    <x v="14"/>
    <s v="Food"/>
    <s v="Grains"/>
    <s v="Golden Harvest"/>
    <s v="B05"/>
    <x v="0"/>
    <s v="Kano"/>
    <x v="0"/>
    <s v="Member"/>
    <s v="Card"/>
    <n v="1"/>
    <n v="14500"/>
    <n v="17500"/>
    <n v="0.2"/>
    <x v="1"/>
    <n v="5"/>
    <n v="17500"/>
    <n v="3500"/>
    <n v="14000"/>
    <n v="14500"/>
    <n v="-500"/>
    <n v="-3.5714285714285712E-2"/>
    <s v="Understocked"/>
    <s v="Discount loss"/>
    <n v="0.17142857142857143"/>
    <s v="Discount loss"/>
    <n v="3000"/>
    <n v="0.17142857142857143"/>
  </r>
  <r>
    <s v="ORD-10432"/>
    <x v="67"/>
    <s v="P004"/>
    <x v="1"/>
    <s v="Beverages"/>
    <s v="Dairy"/>
    <s v="FreshDay"/>
    <s v="B05"/>
    <x v="0"/>
    <s v="Kano"/>
    <x v="0"/>
    <s v="Member"/>
    <s v="Transfer"/>
    <n v="2"/>
    <n v="1650"/>
    <n v="2200"/>
    <n v="0.1"/>
    <x v="2"/>
    <n v="4"/>
    <n v="4400"/>
    <n v="440"/>
    <n v="3960"/>
    <n v="3300"/>
    <n v="660"/>
    <n v="0.16666666666666666"/>
    <s v="Understocked"/>
    <s v="Safe"/>
    <n v="0.25"/>
    <s v="Safe"/>
    <n v="550"/>
    <n v="0.25"/>
  </r>
  <r>
    <s v="ORD-10433"/>
    <x v="128"/>
    <s v="P018"/>
    <x v="16"/>
    <s v="Electronics"/>
    <s v="Mobile Accessories"/>
    <s v="VoltSafe"/>
    <s v="B03"/>
    <x v="6"/>
    <s v="Lagos"/>
    <x v="4"/>
    <s v="Walk-in"/>
    <s v="POS"/>
    <n v="5"/>
    <n v="18000"/>
    <n v="24500"/>
    <n v="0.15"/>
    <x v="13"/>
    <n v="3"/>
    <n v="122500"/>
    <n v="18375"/>
    <n v="104125"/>
    <n v="90000"/>
    <n v="14125"/>
    <n v="0.13565426170468187"/>
    <s v="Understocked"/>
    <s v="Safe"/>
    <n v="0.26530612244897961"/>
    <s v="Safe"/>
    <n v="6500"/>
    <n v="0.26530612244897961"/>
  </r>
  <r>
    <s v="ORD-10434"/>
    <x v="13"/>
    <s v="P014"/>
    <x v="15"/>
    <s v="Personal Care"/>
    <s v="Oral Care"/>
    <s v="FreshMint"/>
    <s v="B02"/>
    <x v="4"/>
    <s v="Abuja"/>
    <x v="2"/>
    <s v="Member"/>
    <s v="Cash"/>
    <n v="1"/>
    <n v="1200"/>
    <n v="1900"/>
    <n v="0.05"/>
    <x v="6"/>
    <n v="7"/>
    <n v="1900"/>
    <n v="95"/>
    <n v="1805"/>
    <n v="1200"/>
    <n v="605"/>
    <n v="0.33518005540166207"/>
    <s v="Healthy"/>
    <s v="Safe"/>
    <n v="0.36842105263157893"/>
    <s v="Safe"/>
    <n v="700"/>
    <n v="0.36842105263157893"/>
  </r>
  <r>
    <s v="ORD-10435"/>
    <x v="98"/>
    <s v="P008"/>
    <x v="4"/>
    <s v="Beverages"/>
    <s v="Soft Drinks"/>
    <s v="Sparkle"/>
    <s v="B04"/>
    <x v="5"/>
    <s v="Lagos"/>
    <x v="4"/>
    <s v="Member"/>
    <s v="Cash"/>
    <n v="1"/>
    <n v="330"/>
    <n v="550"/>
    <n v="0"/>
    <x v="3"/>
    <n v="3"/>
    <n v="550"/>
    <n v="0"/>
    <n v="550"/>
    <n v="330"/>
    <n v="220"/>
    <n v="0.4"/>
    <s v="Healthy"/>
    <s v="Safe"/>
    <n v="0.4"/>
    <s v="Safe"/>
    <n v="220"/>
    <n v="0.4"/>
  </r>
  <r>
    <s v="ORD-10436"/>
    <x v="249"/>
    <s v="P003"/>
    <x v="12"/>
    <s v="Food"/>
    <s v="Cooking Oil"/>
    <s v="SunGold"/>
    <s v="B04"/>
    <x v="5"/>
    <s v="Lagos"/>
    <x v="4"/>
    <s v="Walk-in"/>
    <s v="POS"/>
    <n v="6"/>
    <n v="7800"/>
    <n v="9800"/>
    <n v="0"/>
    <x v="1"/>
    <n v="7"/>
    <n v="58800"/>
    <n v="0"/>
    <n v="58800"/>
    <n v="46800"/>
    <n v="12000"/>
    <n v="0.20408163265306123"/>
    <s v="Understocked"/>
    <s v="Safe"/>
    <n v="0.20408163265306123"/>
    <s v="Safe"/>
    <n v="2000"/>
    <n v="0.20408163265306123"/>
  </r>
  <r>
    <s v="ORD-10437"/>
    <x v="159"/>
    <s v="P013"/>
    <x v="11"/>
    <s v="Personal Care"/>
    <s v="Skin Care"/>
    <s v="GlowPlus"/>
    <s v="B07"/>
    <x v="3"/>
    <s v="Enugu"/>
    <x v="3"/>
    <s v="Corporate"/>
    <s v="Card"/>
    <n v="4"/>
    <n v="3500"/>
    <n v="5200"/>
    <n v="0.15"/>
    <x v="10"/>
    <n v="8"/>
    <n v="20800"/>
    <n v="3120"/>
    <n v="17680"/>
    <n v="14000"/>
    <n v="3680"/>
    <n v="0.20814479638009051"/>
    <s v="Healthy"/>
    <s v="Safe"/>
    <n v="0.32692307692307693"/>
    <s v="Safe"/>
    <n v="1700"/>
    <n v="0.32692307692307693"/>
  </r>
  <r>
    <s v="ORD-10438"/>
    <x v="250"/>
    <s v="P005"/>
    <x v="2"/>
    <s v="Food"/>
    <s v="Snacks"/>
    <s v="CrispyBite"/>
    <s v="B03"/>
    <x v="6"/>
    <s v="Lagos"/>
    <x v="4"/>
    <s v="Member"/>
    <s v="POS"/>
    <n v="1"/>
    <n v="850"/>
    <n v="1300"/>
    <n v="0.1"/>
    <x v="1"/>
    <n v="5"/>
    <n v="1300"/>
    <n v="130"/>
    <n v="1170"/>
    <n v="850"/>
    <n v="320"/>
    <n v="0.27350427350427353"/>
    <s v="Understocked"/>
    <s v="Safe"/>
    <n v="0.34615384615384615"/>
    <s v="Safe"/>
    <n v="450"/>
    <n v="0.34615384615384615"/>
  </r>
  <r>
    <s v="ORD-10439"/>
    <x v="215"/>
    <s v="P006"/>
    <x v="0"/>
    <s v="Beverages"/>
    <s v="Water"/>
    <s v="AquaPure"/>
    <s v="B04"/>
    <x v="5"/>
    <s v="Lagos"/>
    <x v="4"/>
    <s v="Walk-in"/>
    <s v="Cash"/>
    <n v="3"/>
    <n v="230"/>
    <n v="400"/>
    <n v="0"/>
    <x v="3"/>
    <n v="9"/>
    <n v="1200"/>
    <n v="0"/>
    <n v="1200"/>
    <n v="690"/>
    <n v="510"/>
    <n v="0.42499999999999999"/>
    <s v="Understocked"/>
    <s v="Safe"/>
    <n v="0.42499999999999999"/>
    <s v="Safe"/>
    <n v="170"/>
    <n v="0.42499999999999999"/>
  </r>
  <r>
    <s v="ORD-10440"/>
    <x v="205"/>
    <s v="P014"/>
    <x v="15"/>
    <s v="Personal Care"/>
    <s v="Oral Care"/>
    <s v="FreshMint"/>
    <s v="B07"/>
    <x v="3"/>
    <s v="Enugu"/>
    <x v="3"/>
    <s v="Member"/>
    <s v="POS"/>
    <n v="3"/>
    <n v="1200"/>
    <n v="1900"/>
    <n v="0"/>
    <x v="10"/>
    <n v="9"/>
    <n v="5700"/>
    <n v="0"/>
    <n v="5700"/>
    <n v="3600"/>
    <n v="2100"/>
    <n v="0.36842105263157893"/>
    <s v="Healthy"/>
    <s v="Safe"/>
    <n v="0.36842105263157893"/>
    <s v="Safe"/>
    <n v="700"/>
    <n v="0.36842105263157893"/>
  </r>
  <r>
    <s v="ORD-10441"/>
    <x v="204"/>
    <s v="P008"/>
    <x v="4"/>
    <s v="Beverages"/>
    <s v="Soft Drinks"/>
    <s v="Sparkle"/>
    <s v="B01"/>
    <x v="2"/>
    <s v="Abuja"/>
    <x v="2"/>
    <s v="Member"/>
    <s v="POS"/>
    <n v="3"/>
    <n v="330"/>
    <n v="550"/>
    <n v="0.15"/>
    <x v="0"/>
    <n v="7"/>
    <n v="1650"/>
    <n v="247.5"/>
    <n v="1402.5"/>
    <n v="990"/>
    <n v="412.5"/>
    <n v="0.29411764705882354"/>
    <s v="Healthy"/>
    <s v="Safe"/>
    <n v="0.4"/>
    <s v="Safe"/>
    <n v="220"/>
    <n v="0.4"/>
  </r>
  <r>
    <s v="ORD-10442"/>
    <x v="167"/>
    <s v="P020"/>
    <x v="5"/>
    <s v="Electronics"/>
    <s v="Lighting"/>
    <s v="Luma"/>
    <s v="B06"/>
    <x v="1"/>
    <s v="Rivers"/>
    <x v="1"/>
    <s v="Walk-in"/>
    <s v="POS"/>
    <n v="2"/>
    <n v="1500"/>
    <n v="2500"/>
    <n v="0.2"/>
    <x v="13"/>
    <n v="10"/>
    <n v="5000"/>
    <n v="1000"/>
    <n v="4000"/>
    <n v="3000"/>
    <n v="1000"/>
    <n v="0.25"/>
    <s v="Healthy"/>
    <s v="Safe"/>
    <n v="0.4"/>
    <s v="Safe"/>
    <n v="1000"/>
    <n v="0.4"/>
  </r>
  <r>
    <s v="ORD-10443"/>
    <x v="37"/>
    <s v="P011"/>
    <x v="9"/>
    <s v="Household"/>
    <s v="Cleaning"/>
    <s v="CleanPro"/>
    <s v="B03"/>
    <x v="6"/>
    <s v="Lagos"/>
    <x v="4"/>
    <s v="Member"/>
    <s v="Cash"/>
    <n v="2"/>
    <n v="2800"/>
    <n v="3900"/>
    <n v="0.1"/>
    <x v="1"/>
    <n v="9"/>
    <n v="7800"/>
    <n v="780"/>
    <n v="7020"/>
    <n v="5600"/>
    <n v="1420"/>
    <n v="0.20227920227920229"/>
    <s v="Healthy"/>
    <s v="Safe"/>
    <n v="0.28205128205128205"/>
    <s v="Safe"/>
    <n v="1100"/>
    <n v="0.28205128205128205"/>
  </r>
  <r>
    <s v="ORD-10444"/>
    <x v="251"/>
    <s v="P001"/>
    <x v="14"/>
    <s v="Food"/>
    <s v="Grains"/>
    <s v="Golden Harvest"/>
    <s v="B06"/>
    <x v="1"/>
    <s v="Rivers"/>
    <x v="1"/>
    <s v="Walk-in"/>
    <s v="Transfer"/>
    <n v="1"/>
    <n v="14500"/>
    <n v="17500"/>
    <n v="0.05"/>
    <x v="9"/>
    <n v="12"/>
    <n v="17500"/>
    <n v="875"/>
    <n v="16625"/>
    <n v="14500"/>
    <n v="2125"/>
    <n v="0.12781954887218044"/>
    <s v="Understocked"/>
    <s v="Safe"/>
    <n v="0.17142857142857143"/>
    <s v="Safe"/>
    <n v="3000"/>
    <n v="0.17142857142857143"/>
  </r>
  <r>
    <s v="ORD-10445"/>
    <x v="78"/>
    <s v="P007"/>
    <x v="3"/>
    <s v="Beverages"/>
    <s v="Malt"/>
    <s v="Naija Malt"/>
    <s v="B02"/>
    <x v="4"/>
    <s v="Abuja"/>
    <x v="2"/>
    <s v="Member"/>
    <s v="Transfer"/>
    <n v="4"/>
    <n v="550"/>
    <n v="850"/>
    <n v="0"/>
    <x v="2"/>
    <n v="10"/>
    <n v="3400"/>
    <n v="0"/>
    <n v="3400"/>
    <n v="2200"/>
    <n v="1200"/>
    <n v="0.35294117647058826"/>
    <s v="Healthy"/>
    <s v="Safe"/>
    <n v="0.35294117647058826"/>
    <s v="Safe"/>
    <n v="300"/>
    <n v="0.35294117647058826"/>
  </r>
  <r>
    <s v="ORD-10446"/>
    <x v="5"/>
    <s v="P007"/>
    <x v="3"/>
    <s v="Beverages"/>
    <s v="Malt"/>
    <s v="Naija Malt"/>
    <s v="B02"/>
    <x v="4"/>
    <s v="Abuja"/>
    <x v="2"/>
    <s v="Walk-in"/>
    <s v="POS"/>
    <n v="3"/>
    <n v="550"/>
    <n v="850"/>
    <n v="0.1"/>
    <x v="2"/>
    <n v="5"/>
    <n v="2550"/>
    <n v="255"/>
    <n v="2295"/>
    <n v="1650"/>
    <n v="645"/>
    <n v="0.28104575163398693"/>
    <s v="Healthy"/>
    <s v="Safe"/>
    <n v="0.35294117647058826"/>
    <s v="Safe"/>
    <n v="300"/>
    <n v="0.35294117647058826"/>
  </r>
  <r>
    <s v="ORD-10447"/>
    <x v="252"/>
    <s v="P006"/>
    <x v="0"/>
    <s v="Beverages"/>
    <s v="Water"/>
    <s v="AquaPure"/>
    <s v="B06"/>
    <x v="1"/>
    <s v="Rivers"/>
    <x v="1"/>
    <s v="Member"/>
    <s v="POS"/>
    <n v="4"/>
    <n v="230"/>
    <n v="400"/>
    <n v="0.15"/>
    <x v="2"/>
    <n v="13"/>
    <n v="1600"/>
    <n v="240"/>
    <n v="1360"/>
    <n v="920"/>
    <n v="440"/>
    <n v="0.3235294117647059"/>
    <s v="Understocked"/>
    <s v="Safe"/>
    <n v="0.42499999999999999"/>
    <s v="Safe"/>
    <n v="170"/>
    <n v="0.42499999999999999"/>
  </r>
  <r>
    <s v="ORD-10448"/>
    <x v="249"/>
    <s v="P003"/>
    <x v="12"/>
    <s v="Food"/>
    <s v="Cooking Oil"/>
    <s v="SunGold"/>
    <s v="B04"/>
    <x v="5"/>
    <s v="Lagos"/>
    <x v="4"/>
    <s v="Member"/>
    <s v="POS"/>
    <n v="5"/>
    <n v="7800"/>
    <n v="9800"/>
    <n v="0.15"/>
    <x v="9"/>
    <n v="3"/>
    <n v="49000"/>
    <n v="7350"/>
    <n v="41650"/>
    <n v="39000"/>
    <n v="2650"/>
    <n v="6.3625450180072027E-2"/>
    <s v="Understocked"/>
    <s v="Safe"/>
    <n v="0.20408163265306123"/>
    <s v="Safe"/>
    <n v="2000"/>
    <n v="0.20408163265306123"/>
  </r>
  <r>
    <s v="ORD-10449"/>
    <x v="1"/>
    <s v="P001"/>
    <x v="14"/>
    <s v="Food"/>
    <s v="Grains"/>
    <s v="Golden Harvest"/>
    <s v="B01"/>
    <x v="2"/>
    <s v="Abuja"/>
    <x v="2"/>
    <s v="Walk-in"/>
    <s v="Cash"/>
    <n v="1"/>
    <n v="14500"/>
    <n v="17500"/>
    <n v="0.2"/>
    <x v="9"/>
    <n v="6"/>
    <n v="17500"/>
    <n v="3500"/>
    <n v="14000"/>
    <n v="14500"/>
    <n v="-500"/>
    <n v="-3.5714285714285712E-2"/>
    <s v="Understocked"/>
    <s v="Discount loss"/>
    <n v="0.17142857142857143"/>
    <s v="Discount loss"/>
    <n v="3000"/>
    <n v="0.17142857142857143"/>
  </r>
  <r>
    <s v="ORD-10450"/>
    <x v="229"/>
    <s v="P015"/>
    <x v="8"/>
    <s v="Personal Care"/>
    <s v="Bath"/>
    <s v="SilkyTouch"/>
    <s v="B08"/>
    <x v="7"/>
    <s v="Kwara"/>
    <x v="2"/>
    <s v="Walk-in"/>
    <s v="POS"/>
    <n v="2"/>
    <n v="600"/>
    <n v="950"/>
    <n v="0.1"/>
    <x v="6"/>
    <n v="13"/>
    <n v="1900"/>
    <n v="190"/>
    <n v="1710"/>
    <n v="1200"/>
    <n v="510"/>
    <n v="0.2982456140350877"/>
    <s v="Healthy"/>
    <s v="Safe"/>
    <n v="0.36842105263157893"/>
    <s v="Safe"/>
    <n v="350"/>
    <n v="0.36842105263157893"/>
  </r>
  <r>
    <s v="ORD-10451"/>
    <x v="198"/>
    <s v="P008"/>
    <x v="4"/>
    <s v="Beverages"/>
    <s v="Soft Drinks"/>
    <s v="Sparkle"/>
    <s v="B01"/>
    <x v="2"/>
    <s v="Abuja"/>
    <x v="2"/>
    <s v="Walk-in"/>
    <s v="Cash"/>
    <n v="5"/>
    <n v="330"/>
    <n v="550"/>
    <n v="0.2"/>
    <x v="0"/>
    <n v="9"/>
    <n v="2750"/>
    <n v="550"/>
    <n v="2200"/>
    <n v="1650"/>
    <n v="550"/>
    <n v="0.25"/>
    <s v="Healthy"/>
    <s v="Safe"/>
    <n v="0.4"/>
    <s v="Safe"/>
    <n v="220"/>
    <n v="0.4"/>
  </r>
  <r>
    <s v="ORD-10452"/>
    <x v="44"/>
    <s v="P013"/>
    <x v="11"/>
    <s v="Personal Care"/>
    <s v="Skin Care"/>
    <s v="GlowPlus"/>
    <s v="B05"/>
    <x v="0"/>
    <s v="Kano"/>
    <x v="0"/>
    <s v="Corporate"/>
    <s v="Cash"/>
    <n v="2"/>
    <n v="3500"/>
    <n v="5200"/>
    <n v="0.1"/>
    <x v="11"/>
    <n v="13"/>
    <n v="10400"/>
    <n v="1040"/>
    <n v="9360"/>
    <n v="7000"/>
    <n v="2360"/>
    <n v="0.25213675213675213"/>
    <s v="Healthy"/>
    <s v="Safe"/>
    <n v="0.32692307692307693"/>
    <s v="Safe"/>
    <n v="1700"/>
    <n v="0.32692307692307693"/>
  </r>
  <r>
    <s v="ORD-10453"/>
    <x v="172"/>
    <s v="P007"/>
    <x v="3"/>
    <s v="Beverages"/>
    <s v="Malt"/>
    <s v="Naija Malt"/>
    <s v="B04"/>
    <x v="5"/>
    <s v="Lagos"/>
    <x v="4"/>
    <s v="Walk-in"/>
    <s v="Cash"/>
    <n v="3"/>
    <n v="550"/>
    <n v="850"/>
    <n v="0.1"/>
    <x v="2"/>
    <n v="12"/>
    <n v="2550"/>
    <n v="255"/>
    <n v="2295"/>
    <n v="1650"/>
    <n v="645"/>
    <n v="0.28104575163398693"/>
    <s v="Healthy"/>
    <s v="Safe"/>
    <n v="0.35294117647058826"/>
    <s v="Safe"/>
    <n v="300"/>
    <n v="0.35294117647058826"/>
  </r>
  <r>
    <s v="ORD-10454"/>
    <x v="4"/>
    <s v="P006"/>
    <x v="0"/>
    <s v="Beverages"/>
    <s v="Water"/>
    <s v="AquaPure"/>
    <s v="B08"/>
    <x v="7"/>
    <s v="Kwara"/>
    <x v="2"/>
    <s v="Walk-in"/>
    <s v="POS"/>
    <n v="2"/>
    <n v="230"/>
    <n v="400"/>
    <n v="0.1"/>
    <x v="0"/>
    <n v="1"/>
    <n v="800"/>
    <n v="80"/>
    <n v="720"/>
    <n v="460"/>
    <n v="260"/>
    <n v="0.3611111111111111"/>
    <s v="Understocked"/>
    <s v="Safe"/>
    <n v="0.42499999999999999"/>
    <s v="Safe"/>
    <n v="170"/>
    <n v="0.42499999999999999"/>
  </r>
  <r>
    <s v="ORD-10455"/>
    <x v="14"/>
    <s v="P009"/>
    <x v="13"/>
    <s v="Household"/>
    <s v="Cleaning"/>
    <s v="BrightWash"/>
    <s v="B04"/>
    <x v="5"/>
    <s v="Lagos"/>
    <x v="4"/>
    <s v="Walk-in"/>
    <s v="Transfer"/>
    <n v="3"/>
    <n v="2400"/>
    <n v="3400"/>
    <n v="0.05"/>
    <x v="10"/>
    <n v="9"/>
    <n v="10200"/>
    <n v="510"/>
    <n v="9690"/>
    <n v="7200"/>
    <n v="2490"/>
    <n v="0.25696594427244585"/>
    <s v="Healthy"/>
    <s v="Safe"/>
    <n v="0.29411764705882354"/>
    <s v="Safe"/>
    <n v="1000"/>
    <n v="0.29411764705882354"/>
  </r>
  <r>
    <s v="ORD-10456"/>
    <x v="122"/>
    <s v="P005"/>
    <x v="2"/>
    <s v="Food"/>
    <s v="Snacks"/>
    <s v="CrispyBite"/>
    <s v="B03"/>
    <x v="6"/>
    <s v="Lagos"/>
    <x v="4"/>
    <s v="Walk-in"/>
    <s v="Transfer"/>
    <n v="2"/>
    <n v="850"/>
    <n v="1300"/>
    <n v="0.05"/>
    <x v="8"/>
    <n v="11"/>
    <n v="2600"/>
    <n v="130"/>
    <n v="2470"/>
    <n v="1700"/>
    <n v="770"/>
    <n v="0.31174089068825911"/>
    <s v="Understocked"/>
    <s v="Safe"/>
    <n v="0.34615384615384615"/>
    <s v="Safe"/>
    <n v="450"/>
    <n v="0.34615384615384615"/>
  </r>
  <r>
    <s v="ORD-10457"/>
    <x v="168"/>
    <s v="P020"/>
    <x v="5"/>
    <s v="Electronics"/>
    <s v="Lighting"/>
    <s v="Luma"/>
    <s v="B04"/>
    <x v="5"/>
    <s v="Lagos"/>
    <x v="4"/>
    <s v="Member"/>
    <s v="Card"/>
    <n v="2"/>
    <n v="1500"/>
    <n v="2500"/>
    <n v="0.05"/>
    <x v="12"/>
    <n v="4"/>
    <n v="5000"/>
    <n v="250"/>
    <n v="4750"/>
    <n v="3000"/>
    <n v="1750"/>
    <n v="0.36842105263157893"/>
    <s v="Healthy"/>
    <s v="Safe"/>
    <n v="0.4"/>
    <s v="Safe"/>
    <n v="1000"/>
    <n v="0.4"/>
  </r>
  <r>
    <s v="ORD-10458"/>
    <x v="253"/>
    <s v="P023"/>
    <x v="6"/>
    <s v="Office Supplies"/>
    <s v="Stationery"/>
    <s v="StudyPro"/>
    <s v="B04"/>
    <x v="5"/>
    <s v="Lagos"/>
    <x v="4"/>
    <s v="Walk-in"/>
    <s v="Cash"/>
    <n v="1"/>
    <n v="2800"/>
    <n v="4200"/>
    <n v="0.15"/>
    <x v="5"/>
    <n v="12"/>
    <n v="4200"/>
    <n v="630"/>
    <n v="3570"/>
    <n v="2800"/>
    <n v="770"/>
    <n v="0.21568627450980393"/>
    <s v="Understocked"/>
    <s v="Safe"/>
    <n v="0.33333333333333331"/>
    <s v="Safe"/>
    <n v="1400"/>
    <n v="0.33333333333333331"/>
  </r>
  <r>
    <s v="ORD-10459"/>
    <x v="254"/>
    <s v="P010"/>
    <x v="22"/>
    <s v="Household"/>
    <s v="Paper Products"/>
    <s v="SoftCare"/>
    <s v="B02"/>
    <x v="4"/>
    <s v="Abuja"/>
    <x v="2"/>
    <s v="Walk-in"/>
    <s v="Cash"/>
    <n v="2"/>
    <n v="3200"/>
    <n v="4500"/>
    <n v="0"/>
    <x v="1"/>
    <n v="11"/>
    <n v="9000"/>
    <n v="0"/>
    <n v="9000"/>
    <n v="6400"/>
    <n v="2600"/>
    <n v="0.28888888888888886"/>
    <s v="Healthy"/>
    <s v="Safe"/>
    <n v="0.28888888888888886"/>
    <s v="Safe"/>
    <n v="1300"/>
    <n v="0.28888888888888886"/>
  </r>
  <r>
    <s v="ORD-10460"/>
    <x v="139"/>
    <s v="P008"/>
    <x v="4"/>
    <s v="Beverages"/>
    <s v="Soft Drinks"/>
    <s v="Sparkle"/>
    <s v="B02"/>
    <x v="4"/>
    <s v="Abuja"/>
    <x v="2"/>
    <s v="Walk-in"/>
    <s v="Card"/>
    <n v="4"/>
    <n v="330"/>
    <n v="550"/>
    <n v="0.15"/>
    <x v="3"/>
    <n v="14"/>
    <n v="2200"/>
    <n v="330"/>
    <n v="1870"/>
    <n v="1320"/>
    <n v="550"/>
    <n v="0.29411764705882354"/>
    <s v="Healthy"/>
    <s v="Safe"/>
    <n v="0.4"/>
    <s v="Safe"/>
    <n v="220"/>
    <n v="0.4"/>
  </r>
  <r>
    <s v="ORD-10461"/>
    <x v="164"/>
    <s v="P017"/>
    <x v="23"/>
    <s v="Electronics"/>
    <s v="Accessories"/>
    <s v="PowerMax"/>
    <s v="B01"/>
    <x v="2"/>
    <s v="Abuja"/>
    <x v="2"/>
    <s v="Walk-in"/>
    <s v="Cash"/>
    <n v="1"/>
    <n v="7500"/>
    <n v="10500"/>
    <n v="0.25"/>
    <x v="12"/>
    <n v="1"/>
    <n v="10500"/>
    <n v="2625"/>
    <n v="7875"/>
    <n v="7500"/>
    <n v="375"/>
    <n v="4.7619047619047616E-2"/>
    <s v="Healthy"/>
    <s v="Safe"/>
    <n v="0.2857142857142857"/>
    <s v="Safe"/>
    <n v="3000"/>
    <n v="0.2857142857142857"/>
  </r>
  <r>
    <s v="ORD-10462"/>
    <x v="117"/>
    <s v="P013"/>
    <x v="11"/>
    <s v="Personal Care"/>
    <s v="Skin Care"/>
    <s v="GlowPlus"/>
    <s v="B04"/>
    <x v="5"/>
    <s v="Lagos"/>
    <x v="4"/>
    <s v="Member"/>
    <s v="Transfer"/>
    <n v="10"/>
    <n v="3500"/>
    <n v="5200"/>
    <n v="0.15"/>
    <x v="10"/>
    <n v="5"/>
    <n v="52000"/>
    <n v="7800"/>
    <n v="44200"/>
    <n v="35000"/>
    <n v="9200"/>
    <n v="0.20814479638009051"/>
    <s v="Healthy"/>
    <s v="Safe"/>
    <n v="0.32692307692307693"/>
    <s v="Safe"/>
    <n v="1700"/>
    <n v="0.32692307692307693"/>
  </r>
  <r>
    <s v="ORD-10463"/>
    <x v="252"/>
    <s v="P003"/>
    <x v="12"/>
    <s v="Food"/>
    <s v="Cooking Oil"/>
    <s v="SunGold"/>
    <s v="B04"/>
    <x v="5"/>
    <s v="Lagos"/>
    <x v="4"/>
    <s v="Walk-in"/>
    <s v="Transfer"/>
    <n v="2"/>
    <n v="7800"/>
    <n v="9800"/>
    <n v="0.2"/>
    <x v="1"/>
    <n v="13"/>
    <n v="19600"/>
    <n v="3920"/>
    <n v="15680"/>
    <n v="15600"/>
    <n v="80"/>
    <n v="5.1020408163265302E-3"/>
    <s v="Understocked"/>
    <s v="Safe"/>
    <n v="0.20408163265306123"/>
    <s v="Safe"/>
    <n v="2000"/>
    <n v="0.20408163265306123"/>
  </r>
  <r>
    <s v="ORD-10464"/>
    <x v="50"/>
    <s v="P015"/>
    <x v="8"/>
    <s v="Personal Care"/>
    <s v="Bath"/>
    <s v="SilkyTouch"/>
    <s v="B04"/>
    <x v="5"/>
    <s v="Lagos"/>
    <x v="4"/>
    <s v="Walk-in"/>
    <s v="POS"/>
    <n v="4"/>
    <n v="600"/>
    <n v="950"/>
    <n v="0"/>
    <x v="11"/>
    <n v="6"/>
    <n v="3800"/>
    <n v="0"/>
    <n v="3800"/>
    <n v="2400"/>
    <n v="1400"/>
    <n v="0.36842105263157893"/>
    <s v="Healthy"/>
    <s v="Safe"/>
    <n v="0.36842105263157893"/>
    <s v="Safe"/>
    <n v="350"/>
    <n v="0.36842105263157893"/>
  </r>
  <r>
    <s v="ORD-10465"/>
    <x v="221"/>
    <s v="P004"/>
    <x v="1"/>
    <s v="Beverages"/>
    <s v="Dairy"/>
    <s v="FreshDay"/>
    <s v="B03"/>
    <x v="6"/>
    <s v="Lagos"/>
    <x v="4"/>
    <s v="Walk-in"/>
    <s v="Cash"/>
    <n v="2"/>
    <n v="1650"/>
    <n v="2200"/>
    <n v="0.2"/>
    <x v="2"/>
    <n v="4"/>
    <n v="4400"/>
    <n v="880"/>
    <n v="3520"/>
    <n v="3300"/>
    <n v="220"/>
    <n v="6.25E-2"/>
    <s v="Understocked"/>
    <s v="Safe"/>
    <n v="0.25"/>
    <s v="Safe"/>
    <n v="550"/>
    <n v="0.25"/>
  </r>
  <r>
    <s v="ORD-10466"/>
    <x v="117"/>
    <s v="P007"/>
    <x v="3"/>
    <s v="Beverages"/>
    <s v="Malt"/>
    <s v="Naija Malt"/>
    <s v="B03"/>
    <x v="6"/>
    <s v="Lagos"/>
    <x v="4"/>
    <s v="Corporate"/>
    <s v="POS"/>
    <n v="2"/>
    <n v="550"/>
    <n v="850"/>
    <n v="0.1"/>
    <x v="3"/>
    <n v="12"/>
    <n v="1700"/>
    <n v="170"/>
    <n v="1530"/>
    <n v="1100"/>
    <n v="430"/>
    <n v="0.28104575163398693"/>
    <s v="Healthy"/>
    <s v="Safe"/>
    <n v="0.35294117647058826"/>
    <s v="Safe"/>
    <n v="300"/>
    <n v="0.35294117647058826"/>
  </r>
  <r>
    <s v="ORD-10467"/>
    <x v="40"/>
    <s v="P010"/>
    <x v="22"/>
    <s v="Household"/>
    <s v="Paper Products"/>
    <s v="SoftCare"/>
    <s v="B07"/>
    <x v="3"/>
    <s v="Enugu"/>
    <x v="3"/>
    <s v="Member"/>
    <s v="Transfer"/>
    <n v="1"/>
    <n v="3200"/>
    <n v="4500"/>
    <n v="0.15"/>
    <x v="7"/>
    <n v="3"/>
    <n v="4500"/>
    <n v="675"/>
    <n v="3825"/>
    <n v="3200"/>
    <n v="625"/>
    <n v="0.16339869281045752"/>
    <s v="Healthy"/>
    <s v="Safe"/>
    <n v="0.28888888888888886"/>
    <s v="Safe"/>
    <n v="1300"/>
    <n v="0.28888888888888886"/>
  </r>
  <r>
    <s v="ORD-10468"/>
    <x v="25"/>
    <s v="P024"/>
    <x v="19"/>
    <s v="Office Supplies"/>
    <s v="Accessories"/>
    <s v="ErgoDesk"/>
    <s v="B07"/>
    <x v="3"/>
    <s v="Enugu"/>
    <x v="3"/>
    <s v="Member"/>
    <s v="Card"/>
    <n v="3"/>
    <n v="1700"/>
    <n v="2800"/>
    <n v="0.2"/>
    <x v="5"/>
    <n v="14"/>
    <n v="8400"/>
    <n v="1680"/>
    <n v="6720"/>
    <n v="5100"/>
    <n v="1620"/>
    <n v="0.24107142857142858"/>
    <s v="Overstocked"/>
    <s v="Safe"/>
    <n v="0.39285714285714285"/>
    <s v="Safe"/>
    <n v="1100"/>
    <n v="0.39285714285714285"/>
  </r>
  <r>
    <s v="ORD-10469"/>
    <x v="213"/>
    <s v="P003"/>
    <x v="12"/>
    <s v="Food"/>
    <s v="Cooking Oil"/>
    <s v="SunGold"/>
    <s v="B02"/>
    <x v="4"/>
    <s v="Abuja"/>
    <x v="2"/>
    <s v="Member"/>
    <s v="Cash"/>
    <n v="1"/>
    <n v="7800"/>
    <n v="9800"/>
    <n v="0"/>
    <x v="1"/>
    <n v="6"/>
    <n v="9800"/>
    <n v="0"/>
    <n v="9800"/>
    <n v="7800"/>
    <n v="2000"/>
    <n v="0.20408163265306123"/>
    <s v="Understocked"/>
    <s v="Safe"/>
    <n v="0.20408163265306123"/>
    <s v="Safe"/>
    <n v="2000"/>
    <n v="0.20408163265306123"/>
  </r>
  <r>
    <s v="ORD-10470"/>
    <x v="123"/>
    <s v="P010"/>
    <x v="22"/>
    <s v="Household"/>
    <s v="Paper Products"/>
    <s v="SoftCare"/>
    <s v="B08"/>
    <x v="7"/>
    <s v="Kwara"/>
    <x v="2"/>
    <s v="Walk-in"/>
    <s v="POS"/>
    <n v="2"/>
    <n v="3200"/>
    <n v="4500"/>
    <n v="0"/>
    <x v="1"/>
    <n v="4"/>
    <n v="9000"/>
    <n v="0"/>
    <n v="9000"/>
    <n v="6400"/>
    <n v="2600"/>
    <n v="0.28888888888888886"/>
    <s v="Healthy"/>
    <s v="Safe"/>
    <n v="0.28888888888888886"/>
    <s v="Safe"/>
    <n v="1300"/>
    <n v="0.28888888888888886"/>
  </r>
  <r>
    <s v="ORD-10471"/>
    <x v="243"/>
    <s v="P014"/>
    <x v="15"/>
    <s v="Personal Care"/>
    <s v="Oral Care"/>
    <s v="FreshMint"/>
    <s v="B02"/>
    <x v="4"/>
    <s v="Abuja"/>
    <x v="2"/>
    <s v="Member"/>
    <s v="Transfer"/>
    <n v="5"/>
    <n v="1200"/>
    <n v="1900"/>
    <n v="0.05"/>
    <x v="10"/>
    <n v="8"/>
    <n v="9500"/>
    <n v="475"/>
    <n v="9025"/>
    <n v="6000"/>
    <n v="3025"/>
    <n v="0.33518005540166207"/>
    <s v="Healthy"/>
    <s v="Safe"/>
    <n v="0.36842105263157893"/>
    <s v="Safe"/>
    <n v="700"/>
    <n v="0.36842105263157893"/>
  </r>
  <r>
    <s v="ORD-10472"/>
    <x v="239"/>
    <s v="P012"/>
    <x v="21"/>
    <s v="Household"/>
    <s v="Home Care"/>
    <s v="HomeFresh"/>
    <s v="B04"/>
    <x v="5"/>
    <s v="Lagos"/>
    <x v="4"/>
    <s v="Member"/>
    <s v="POS"/>
    <n v="8"/>
    <n v="1700"/>
    <n v="2600"/>
    <n v="0.15"/>
    <x v="10"/>
    <n v="11"/>
    <n v="20800"/>
    <n v="3120"/>
    <n v="17680"/>
    <n v="13600"/>
    <n v="4080"/>
    <n v="0.23076923076923078"/>
    <s v="Overstocked"/>
    <s v="Safe"/>
    <n v="0.34615384615384615"/>
    <s v="Safe"/>
    <n v="900"/>
    <n v="0.34615384615384615"/>
  </r>
  <r>
    <s v="ORD-10473"/>
    <x v="157"/>
    <s v="P020"/>
    <x v="5"/>
    <s v="Electronics"/>
    <s v="Lighting"/>
    <s v="Luma"/>
    <s v="B01"/>
    <x v="2"/>
    <s v="Abuja"/>
    <x v="2"/>
    <s v="Walk-in"/>
    <s v="Card"/>
    <n v="1"/>
    <n v="1500"/>
    <n v="2500"/>
    <n v="0"/>
    <x v="13"/>
    <n v="10"/>
    <n v="2500"/>
    <n v="0"/>
    <n v="2500"/>
    <n v="1500"/>
    <n v="1000"/>
    <n v="0.4"/>
    <s v="Healthy"/>
    <s v="Safe"/>
    <n v="0.4"/>
    <s v="Safe"/>
    <n v="1000"/>
    <n v="0.4"/>
  </r>
  <r>
    <s v="ORD-10474"/>
    <x v="52"/>
    <s v="P020"/>
    <x v="5"/>
    <s v="Electronics"/>
    <s v="Lighting"/>
    <s v="Luma"/>
    <s v="B06"/>
    <x v="1"/>
    <s v="Rivers"/>
    <x v="1"/>
    <s v="Walk-in"/>
    <s v="Transfer"/>
    <n v="8"/>
    <n v="1500"/>
    <n v="2500"/>
    <n v="0.1"/>
    <x v="4"/>
    <n v="3"/>
    <n v="20000"/>
    <n v="2000"/>
    <n v="18000"/>
    <n v="12000"/>
    <n v="6000"/>
    <n v="0.33333333333333331"/>
    <s v="Healthy"/>
    <s v="Safe"/>
    <n v="0.4"/>
    <s v="Safe"/>
    <n v="1000"/>
    <n v="0.4"/>
  </r>
  <r>
    <s v="ORD-10475"/>
    <x v="94"/>
    <s v="P015"/>
    <x v="8"/>
    <s v="Personal Care"/>
    <s v="Bath"/>
    <s v="SilkyTouch"/>
    <s v="B05"/>
    <x v="0"/>
    <s v="Kano"/>
    <x v="0"/>
    <s v="Walk-in"/>
    <s v="Cash"/>
    <n v="8"/>
    <n v="600"/>
    <n v="950"/>
    <n v="0.1"/>
    <x v="6"/>
    <n v="2"/>
    <n v="7600"/>
    <n v="760"/>
    <n v="6840"/>
    <n v="4800"/>
    <n v="2040"/>
    <n v="0.2982456140350877"/>
    <s v="Healthy"/>
    <s v="Safe"/>
    <n v="0.36842105263157893"/>
    <s v="Safe"/>
    <n v="350"/>
    <n v="0.36842105263157893"/>
  </r>
  <r>
    <s v="ORD-10476"/>
    <x v="255"/>
    <s v="P010"/>
    <x v="22"/>
    <s v="Household"/>
    <s v="Paper Products"/>
    <s v="SoftCare"/>
    <s v="B01"/>
    <x v="2"/>
    <s v="Abuja"/>
    <x v="2"/>
    <s v="Walk-in"/>
    <s v="Card"/>
    <n v="2"/>
    <n v="3200"/>
    <n v="4500"/>
    <n v="0.1"/>
    <x v="7"/>
    <n v="2"/>
    <n v="9000"/>
    <n v="900"/>
    <n v="8100"/>
    <n v="6400"/>
    <n v="1700"/>
    <n v="0.20987654320987653"/>
    <s v="Healthy"/>
    <s v="Safe"/>
    <n v="0.28888888888888886"/>
    <s v="Safe"/>
    <n v="1300"/>
    <n v="0.28888888888888886"/>
  </r>
  <r>
    <s v="ORD-10477"/>
    <x v="45"/>
    <s v="P006"/>
    <x v="0"/>
    <s v="Beverages"/>
    <s v="Water"/>
    <s v="AquaPure"/>
    <s v="B03"/>
    <x v="6"/>
    <s v="Lagos"/>
    <x v="4"/>
    <s v="Walk-in"/>
    <s v="POS"/>
    <n v="2"/>
    <n v="230"/>
    <n v="400"/>
    <n v="0.1"/>
    <x v="3"/>
    <n v="1"/>
    <n v="800"/>
    <n v="80"/>
    <n v="720"/>
    <n v="460"/>
    <n v="260"/>
    <n v="0.3611111111111111"/>
    <s v="Understocked"/>
    <s v="Safe"/>
    <n v="0.42499999999999999"/>
    <s v="Safe"/>
    <n v="170"/>
    <n v="0.42499999999999999"/>
  </r>
  <r>
    <s v="ORD-10478"/>
    <x v="256"/>
    <s v="P020"/>
    <x v="5"/>
    <s v="Electronics"/>
    <s v="Lighting"/>
    <s v="Luma"/>
    <s v="B04"/>
    <x v="5"/>
    <s v="Lagos"/>
    <x v="4"/>
    <s v="Walk-in"/>
    <s v="Cash"/>
    <n v="6"/>
    <n v="1500"/>
    <n v="2500"/>
    <n v="0.2"/>
    <x v="12"/>
    <n v="9"/>
    <n v="15000"/>
    <n v="3000"/>
    <n v="12000"/>
    <n v="9000"/>
    <n v="3000"/>
    <n v="0.25"/>
    <s v="Healthy"/>
    <s v="Safe"/>
    <n v="0.4"/>
    <s v="Safe"/>
    <n v="1000"/>
    <n v="0.4"/>
  </r>
  <r>
    <s v="ORD-10479"/>
    <x v="91"/>
    <s v="P008"/>
    <x v="4"/>
    <s v="Beverages"/>
    <s v="Soft Drinks"/>
    <s v="Sparkle"/>
    <s v="B06"/>
    <x v="1"/>
    <s v="Rivers"/>
    <x v="1"/>
    <s v="Member"/>
    <s v="POS"/>
    <n v="6"/>
    <n v="330"/>
    <n v="550"/>
    <n v="0.05"/>
    <x v="2"/>
    <n v="8"/>
    <n v="3300"/>
    <n v="165"/>
    <n v="3135"/>
    <n v="1980"/>
    <n v="1155"/>
    <n v="0.36842105263157893"/>
    <s v="Healthy"/>
    <s v="Safe"/>
    <n v="0.4"/>
    <s v="Safe"/>
    <n v="220"/>
    <n v="0.4"/>
  </r>
  <r>
    <s v="ORD-10480"/>
    <x v="219"/>
    <s v="P008"/>
    <x v="4"/>
    <s v="Beverages"/>
    <s v="Soft Drinks"/>
    <s v="Sparkle"/>
    <s v="B03"/>
    <x v="6"/>
    <s v="Lagos"/>
    <x v="4"/>
    <s v="Walk-in"/>
    <s v="POS"/>
    <n v="2"/>
    <n v="330"/>
    <n v="550"/>
    <n v="0.05"/>
    <x v="3"/>
    <n v="6"/>
    <n v="1100"/>
    <n v="55"/>
    <n v="1045"/>
    <n v="660"/>
    <n v="385"/>
    <n v="0.36842105263157893"/>
    <s v="Healthy"/>
    <s v="Safe"/>
    <n v="0.4"/>
    <s v="Safe"/>
    <n v="220"/>
    <n v="0.4"/>
  </r>
  <r>
    <s v="ORD-10481"/>
    <x v="116"/>
    <s v="P001"/>
    <x v="14"/>
    <s v="Food"/>
    <s v="Grains"/>
    <s v="Golden Harvest"/>
    <s v="B07"/>
    <x v="3"/>
    <s v="Enugu"/>
    <x v="3"/>
    <s v="Walk-in"/>
    <s v="Transfer"/>
    <n v="8"/>
    <n v="14500"/>
    <n v="17500"/>
    <n v="0.05"/>
    <x v="8"/>
    <n v="10"/>
    <n v="140000"/>
    <n v="7000"/>
    <n v="133000"/>
    <n v="116000"/>
    <n v="17000"/>
    <n v="0.12781954887218044"/>
    <s v="Understocked"/>
    <s v="Safe"/>
    <n v="0.17142857142857143"/>
    <s v="Safe"/>
    <n v="3000"/>
    <n v="0.17142857142857143"/>
  </r>
  <r>
    <s v="ORD-10482"/>
    <x v="257"/>
    <s v="P010"/>
    <x v="22"/>
    <s v="Household"/>
    <s v="Paper Products"/>
    <s v="SoftCare"/>
    <s v="B02"/>
    <x v="4"/>
    <s v="Abuja"/>
    <x v="2"/>
    <s v="Walk-in"/>
    <s v="POS"/>
    <n v="6"/>
    <n v="3200"/>
    <n v="4500"/>
    <n v="0.05"/>
    <x v="1"/>
    <n v="7"/>
    <n v="27000"/>
    <n v="1350"/>
    <n v="25650"/>
    <n v="19200"/>
    <n v="6450"/>
    <n v="0.25146198830409355"/>
    <s v="Healthy"/>
    <s v="Safe"/>
    <n v="0.28888888888888886"/>
    <s v="Safe"/>
    <n v="1300"/>
    <n v="0.28888888888888886"/>
  </r>
  <r>
    <s v="ORD-10483"/>
    <x v="158"/>
    <s v="P005"/>
    <x v="2"/>
    <s v="Food"/>
    <s v="Snacks"/>
    <s v="CrispyBite"/>
    <s v="B03"/>
    <x v="6"/>
    <s v="Lagos"/>
    <x v="4"/>
    <s v="Member"/>
    <s v="POS"/>
    <n v="2"/>
    <n v="850"/>
    <n v="1300"/>
    <n v="0.1"/>
    <x v="1"/>
    <n v="5"/>
    <n v="2600"/>
    <n v="260"/>
    <n v="2340"/>
    <n v="1700"/>
    <n v="640"/>
    <n v="0.27350427350427353"/>
    <s v="Understocked"/>
    <s v="Safe"/>
    <n v="0.34615384615384615"/>
    <s v="Safe"/>
    <n v="450"/>
    <n v="0.34615384615384615"/>
  </r>
  <r>
    <s v="ORD-10484"/>
    <x v="258"/>
    <s v="P018"/>
    <x v="16"/>
    <s v="Electronics"/>
    <s v="Mobile Accessories"/>
    <s v="VoltSafe"/>
    <s v="B03"/>
    <x v="6"/>
    <s v="Lagos"/>
    <x v="4"/>
    <s v="Walk-in"/>
    <s v="POS"/>
    <n v="5"/>
    <n v="18000"/>
    <n v="24500"/>
    <n v="0"/>
    <x v="12"/>
    <n v="8"/>
    <n v="122500"/>
    <n v="0"/>
    <n v="122500"/>
    <n v="90000"/>
    <n v="32500"/>
    <n v="0.26530612244897961"/>
    <s v="Understocked"/>
    <s v="Safe"/>
    <n v="0.26530612244897961"/>
    <s v="Safe"/>
    <n v="6500"/>
    <n v="0.26530612244897961"/>
  </r>
  <r>
    <s v="ORD-10485"/>
    <x v="259"/>
    <s v="P008"/>
    <x v="4"/>
    <s v="Beverages"/>
    <s v="Soft Drinks"/>
    <s v="Sparkle"/>
    <s v="B03"/>
    <x v="6"/>
    <s v="Lagos"/>
    <x v="4"/>
    <s v="Walk-in"/>
    <s v="POS"/>
    <n v="1"/>
    <n v="330"/>
    <n v="550"/>
    <n v="0.2"/>
    <x v="2"/>
    <n v="5"/>
    <n v="550"/>
    <n v="110"/>
    <n v="440"/>
    <n v="330"/>
    <n v="110"/>
    <n v="0.25"/>
    <s v="Healthy"/>
    <s v="Safe"/>
    <n v="0.4"/>
    <s v="Safe"/>
    <n v="220"/>
    <n v="0.4"/>
  </r>
  <r>
    <s v="ORD-10486"/>
    <x v="232"/>
    <s v="P015"/>
    <x v="8"/>
    <s v="Personal Care"/>
    <s v="Bath"/>
    <s v="SilkyTouch"/>
    <s v="B02"/>
    <x v="4"/>
    <s v="Abuja"/>
    <x v="2"/>
    <s v="Walk-in"/>
    <s v="Card"/>
    <n v="1"/>
    <n v="600"/>
    <n v="950"/>
    <n v="0.05"/>
    <x v="11"/>
    <n v="6"/>
    <n v="950"/>
    <n v="47.5"/>
    <n v="902.5"/>
    <n v="600"/>
    <n v="302.5"/>
    <n v="0.33518005540166207"/>
    <s v="Healthy"/>
    <s v="Safe"/>
    <n v="0.36842105263157893"/>
    <s v="Safe"/>
    <n v="350"/>
    <n v="0.36842105263157893"/>
  </r>
  <r>
    <s v="ORD-10487"/>
    <x v="260"/>
    <s v="P006"/>
    <x v="0"/>
    <s v="Beverages"/>
    <s v="Water"/>
    <s v="AquaPure"/>
    <s v="B07"/>
    <x v="3"/>
    <s v="Enugu"/>
    <x v="3"/>
    <s v="Member"/>
    <s v="Cash"/>
    <n v="8"/>
    <n v="230"/>
    <n v="400"/>
    <n v="0"/>
    <x v="2"/>
    <n v="3"/>
    <n v="3200"/>
    <n v="0"/>
    <n v="3200"/>
    <n v="1840"/>
    <n v="1360"/>
    <n v="0.42499999999999999"/>
    <s v="Understocked"/>
    <s v="Safe"/>
    <n v="0.42499999999999999"/>
    <s v="Safe"/>
    <n v="170"/>
    <n v="0.42499999999999999"/>
  </r>
  <r>
    <s v="ORD-10488"/>
    <x v="246"/>
    <s v="P018"/>
    <x v="16"/>
    <s v="Electronics"/>
    <s v="Mobile Accessories"/>
    <s v="VoltSafe"/>
    <s v="B07"/>
    <x v="3"/>
    <s v="Enugu"/>
    <x v="3"/>
    <s v="Walk-in"/>
    <s v="POS"/>
    <n v="1"/>
    <n v="18000"/>
    <n v="24500"/>
    <n v="0.1"/>
    <x v="13"/>
    <n v="4"/>
    <n v="24500"/>
    <n v="2450"/>
    <n v="22050"/>
    <n v="18000"/>
    <n v="4050"/>
    <n v="0.18367346938775511"/>
    <s v="Understocked"/>
    <s v="Safe"/>
    <n v="0.26530612244897961"/>
    <s v="Safe"/>
    <n v="6500"/>
    <n v="0.26530612244897961"/>
  </r>
  <r>
    <s v="ORD-10489"/>
    <x v="261"/>
    <s v="P005"/>
    <x v="2"/>
    <s v="Food"/>
    <s v="Snacks"/>
    <s v="CrispyBite"/>
    <s v="B06"/>
    <x v="1"/>
    <s v="Rivers"/>
    <x v="1"/>
    <s v="Walk-in"/>
    <s v="Transfer"/>
    <n v="1"/>
    <n v="850"/>
    <n v="1300"/>
    <n v="0.1"/>
    <x v="8"/>
    <n v="6"/>
    <n v="1300"/>
    <n v="130"/>
    <n v="1170"/>
    <n v="850"/>
    <n v="320"/>
    <n v="0.27350427350427353"/>
    <s v="Understocked"/>
    <s v="Safe"/>
    <n v="0.34615384615384615"/>
    <s v="Safe"/>
    <n v="450"/>
    <n v="0.34615384615384615"/>
  </r>
  <r>
    <s v="ORD-10490"/>
    <x v="137"/>
    <s v="P015"/>
    <x v="8"/>
    <s v="Personal Care"/>
    <s v="Bath"/>
    <s v="SilkyTouch"/>
    <s v="B04"/>
    <x v="5"/>
    <s v="Lagos"/>
    <x v="4"/>
    <s v="Walk-in"/>
    <s v="Transfer"/>
    <n v="1"/>
    <n v="600"/>
    <n v="950"/>
    <n v="0.05"/>
    <x v="6"/>
    <n v="14"/>
    <n v="950"/>
    <n v="47.5"/>
    <n v="902.5"/>
    <n v="600"/>
    <n v="302.5"/>
    <n v="0.33518005540166207"/>
    <s v="Healthy"/>
    <s v="Safe"/>
    <n v="0.36842105263157893"/>
    <s v="Safe"/>
    <n v="350"/>
    <n v="0.36842105263157893"/>
  </r>
  <r>
    <s v="ORD-10491"/>
    <x v="262"/>
    <s v="P005"/>
    <x v="2"/>
    <s v="Food"/>
    <s v="Snacks"/>
    <s v="CrispyBite"/>
    <s v="B03"/>
    <x v="6"/>
    <s v="Lagos"/>
    <x v="4"/>
    <s v="Member"/>
    <s v="Transfer"/>
    <n v="1"/>
    <n v="850"/>
    <n v="1300"/>
    <n v="0.15"/>
    <x v="9"/>
    <n v="1"/>
    <n v="1300"/>
    <n v="195"/>
    <n v="1105"/>
    <n v="850"/>
    <n v="255"/>
    <n v="0.23076923076923078"/>
    <s v="Understocked"/>
    <s v="Safe"/>
    <n v="0.34615384615384615"/>
    <s v="Safe"/>
    <n v="450"/>
    <n v="0.34615384615384615"/>
  </r>
  <r>
    <s v="ORD-10492"/>
    <x v="263"/>
    <s v="P017"/>
    <x v="23"/>
    <s v="Electronics"/>
    <s v="Accessories"/>
    <s v="PowerMax"/>
    <s v="B04"/>
    <x v="5"/>
    <s v="Lagos"/>
    <x v="4"/>
    <s v="Walk-in"/>
    <s v="Cash"/>
    <n v="3"/>
    <n v="7500"/>
    <n v="10500"/>
    <n v="0.1"/>
    <x v="4"/>
    <n v="11"/>
    <n v="31500"/>
    <n v="3150"/>
    <n v="28350"/>
    <n v="22500"/>
    <n v="5850"/>
    <n v="0.20634920634920634"/>
    <s v="Healthy"/>
    <s v="Safe"/>
    <n v="0.2857142857142857"/>
    <s v="Safe"/>
    <n v="3000"/>
    <n v="0.2857142857142857"/>
  </r>
  <r>
    <s v="ORD-10493"/>
    <x v="166"/>
    <s v="P002"/>
    <x v="10"/>
    <s v="Food"/>
    <s v="Grains"/>
    <s v="Mama's Pride"/>
    <s v="B03"/>
    <x v="6"/>
    <s v="Lagos"/>
    <x v="4"/>
    <s v="Walk-in"/>
    <s v="Transfer"/>
    <n v="1"/>
    <n v="6200"/>
    <n v="7900"/>
    <n v="0.05"/>
    <x v="8"/>
    <n v="9"/>
    <n v="7900"/>
    <n v="395"/>
    <n v="7505"/>
    <n v="6200"/>
    <n v="1305"/>
    <n v="0.17388407728181213"/>
    <s v="Healthy"/>
    <s v="Safe"/>
    <n v="0.21518987341772153"/>
    <s v="Safe"/>
    <n v="1700"/>
    <n v="0.21518987341772153"/>
  </r>
  <r>
    <s v="ORD-10494"/>
    <x v="264"/>
    <s v="P018"/>
    <x v="16"/>
    <s v="Electronics"/>
    <s v="Mobile Accessories"/>
    <s v="VoltSafe"/>
    <s v="B03"/>
    <x v="6"/>
    <s v="Lagos"/>
    <x v="4"/>
    <s v="Walk-in"/>
    <s v="Cash"/>
    <n v="1"/>
    <n v="18000"/>
    <n v="24500"/>
    <n v="0.1"/>
    <x v="4"/>
    <n v="8"/>
    <n v="24500"/>
    <n v="2450"/>
    <n v="22050"/>
    <n v="18000"/>
    <n v="4050"/>
    <n v="0.18367346938775511"/>
    <s v="Understocked"/>
    <s v="Safe"/>
    <n v="0.26530612244897961"/>
    <s v="Safe"/>
    <n v="6500"/>
    <n v="0.26530612244897961"/>
  </r>
  <r>
    <s v="ORD-10495"/>
    <x v="161"/>
    <s v="P006"/>
    <x v="0"/>
    <s v="Beverages"/>
    <s v="Water"/>
    <s v="AquaPure"/>
    <s v="B06"/>
    <x v="1"/>
    <s v="Rivers"/>
    <x v="1"/>
    <s v="Walk-in"/>
    <s v="POS"/>
    <n v="1"/>
    <n v="230"/>
    <n v="400"/>
    <n v="0"/>
    <x v="2"/>
    <n v="14"/>
    <n v="400"/>
    <n v="0"/>
    <n v="400"/>
    <n v="230"/>
    <n v="170"/>
    <n v="0.42499999999999999"/>
    <s v="Understocked"/>
    <s v="Safe"/>
    <n v="0.42499999999999999"/>
    <s v="Safe"/>
    <n v="170"/>
    <n v="0.42499999999999999"/>
  </r>
  <r>
    <s v="ORD-10496"/>
    <x v="142"/>
    <s v="P004"/>
    <x v="1"/>
    <s v="Beverages"/>
    <s v="Dairy"/>
    <s v="FreshDay"/>
    <s v="B04"/>
    <x v="5"/>
    <s v="Lagos"/>
    <x v="4"/>
    <s v="Walk-in"/>
    <s v="Transfer"/>
    <n v="2"/>
    <n v="1650"/>
    <n v="2200"/>
    <n v="0.15"/>
    <x v="0"/>
    <n v="9"/>
    <n v="4400"/>
    <n v="660"/>
    <n v="3740"/>
    <n v="3300"/>
    <n v="440"/>
    <n v="0.11764705882352941"/>
    <s v="Understocked"/>
    <s v="Safe"/>
    <n v="0.25"/>
    <s v="Safe"/>
    <n v="550"/>
    <n v="0.25"/>
  </r>
  <r>
    <s v="ORD-10497"/>
    <x v="265"/>
    <s v="P020"/>
    <x v="5"/>
    <s v="Electronics"/>
    <s v="Lighting"/>
    <s v="Luma"/>
    <s v="B05"/>
    <x v="0"/>
    <s v="Kano"/>
    <x v="0"/>
    <s v="Walk-in"/>
    <s v="Cash"/>
    <n v="2"/>
    <n v="1500"/>
    <n v="2500"/>
    <n v="0.1"/>
    <x v="12"/>
    <n v="14"/>
    <n v="5000"/>
    <n v="500"/>
    <n v="4500"/>
    <n v="3000"/>
    <n v="1500"/>
    <n v="0.33333333333333331"/>
    <s v="Healthy"/>
    <s v="Safe"/>
    <n v="0.4"/>
    <s v="Safe"/>
    <n v="1000"/>
    <n v="0.4"/>
  </r>
  <r>
    <s v="ORD-10498"/>
    <x v="146"/>
    <s v="P014"/>
    <x v="15"/>
    <s v="Personal Care"/>
    <s v="Oral Care"/>
    <s v="FreshMint"/>
    <s v="B06"/>
    <x v="1"/>
    <s v="Rivers"/>
    <x v="1"/>
    <s v="Walk-in"/>
    <s v="Transfer"/>
    <n v="1"/>
    <n v="1200"/>
    <n v="1900"/>
    <n v="0"/>
    <x v="6"/>
    <n v="9"/>
    <n v="1900"/>
    <n v="0"/>
    <n v="1900"/>
    <n v="1200"/>
    <n v="700"/>
    <n v="0.36842105263157893"/>
    <s v="Healthy"/>
    <s v="Safe"/>
    <n v="0.36842105263157893"/>
    <s v="Safe"/>
    <n v="700"/>
    <n v="0.36842105263157893"/>
  </r>
  <r>
    <s v="ORD-10499"/>
    <x v="214"/>
    <s v="P019"/>
    <x v="18"/>
    <s v="Electronics"/>
    <s v="Audio"/>
    <s v="SoundBeat"/>
    <s v="B01"/>
    <x v="2"/>
    <s v="Abuja"/>
    <x v="2"/>
    <s v="Walk-in"/>
    <s v="Cash"/>
    <n v="6"/>
    <n v="12500"/>
    <n v="18500"/>
    <n v="0"/>
    <x v="12"/>
    <n v="11"/>
    <n v="111000"/>
    <n v="0"/>
    <n v="111000"/>
    <n v="75000"/>
    <n v="36000"/>
    <n v="0.32432432432432434"/>
    <s v="Understocked"/>
    <s v="Safe"/>
    <n v="0.32432432432432434"/>
    <s v="Safe"/>
    <n v="6000"/>
    <n v="0.32432432432432434"/>
  </r>
  <r>
    <s v="ORD-10500"/>
    <x v="102"/>
    <s v="P008"/>
    <x v="4"/>
    <s v="Beverages"/>
    <s v="Soft Drinks"/>
    <s v="Sparkle"/>
    <s v="B05"/>
    <x v="0"/>
    <s v="Kano"/>
    <x v="0"/>
    <s v="Walk-in"/>
    <s v="POS"/>
    <n v="3"/>
    <n v="330"/>
    <n v="550"/>
    <n v="0"/>
    <x v="3"/>
    <n v="4"/>
    <n v="1650"/>
    <n v="0"/>
    <n v="1650"/>
    <n v="990"/>
    <n v="660"/>
    <n v="0.4"/>
    <s v="Healthy"/>
    <s v="Safe"/>
    <n v="0.4"/>
    <s v="Safe"/>
    <n v="220"/>
    <n v="0.4"/>
  </r>
  <r>
    <s v="ORD-10501"/>
    <x v="151"/>
    <s v="P008"/>
    <x v="4"/>
    <s v="Beverages"/>
    <s v="Soft Drinks"/>
    <s v="Sparkle"/>
    <s v="B05"/>
    <x v="0"/>
    <s v="Kano"/>
    <x v="0"/>
    <s v="Member"/>
    <s v="POS"/>
    <n v="2"/>
    <n v="330"/>
    <n v="550"/>
    <n v="0.1"/>
    <x v="0"/>
    <n v="1"/>
    <n v="1100"/>
    <n v="110"/>
    <n v="990"/>
    <n v="660"/>
    <n v="330"/>
    <n v="0.33333333333333331"/>
    <s v="Healthy"/>
    <s v="Safe"/>
    <n v="0.4"/>
    <s v="Safe"/>
    <n v="220"/>
    <n v="0.4"/>
  </r>
  <r>
    <s v="ORD-10502"/>
    <x v="266"/>
    <s v="P009"/>
    <x v="13"/>
    <s v="Household"/>
    <s v="Cleaning"/>
    <s v="BrightWash"/>
    <s v="B06"/>
    <x v="1"/>
    <s v="Rivers"/>
    <x v="1"/>
    <s v="Walk-in"/>
    <s v="Transfer"/>
    <n v="5"/>
    <n v="2400"/>
    <n v="3400"/>
    <n v="0"/>
    <x v="7"/>
    <n v="12"/>
    <n v="17000"/>
    <n v="0"/>
    <n v="17000"/>
    <n v="12000"/>
    <n v="5000"/>
    <n v="0.29411764705882354"/>
    <s v="Healthy"/>
    <s v="Safe"/>
    <n v="0.29411764705882354"/>
    <s v="Safe"/>
    <n v="1000"/>
    <n v="0.29411764705882354"/>
  </r>
  <r>
    <s v="ORD-10503"/>
    <x v="233"/>
    <s v="P004"/>
    <x v="1"/>
    <s v="Beverages"/>
    <s v="Dairy"/>
    <s v="FreshDay"/>
    <s v="B04"/>
    <x v="5"/>
    <s v="Lagos"/>
    <x v="4"/>
    <s v="Walk-in"/>
    <s v="POS"/>
    <n v="2"/>
    <n v="1650"/>
    <n v="2200"/>
    <n v="0.1"/>
    <x v="2"/>
    <n v="12"/>
    <n v="4400"/>
    <n v="440"/>
    <n v="3960"/>
    <n v="3300"/>
    <n v="660"/>
    <n v="0.16666666666666666"/>
    <s v="Understocked"/>
    <s v="Safe"/>
    <n v="0.25"/>
    <s v="Safe"/>
    <n v="550"/>
    <n v="0.25"/>
  </r>
  <r>
    <s v="ORD-10504"/>
    <x v="267"/>
    <s v="P011"/>
    <x v="9"/>
    <s v="Household"/>
    <s v="Cleaning"/>
    <s v="CleanPro"/>
    <s v="B05"/>
    <x v="0"/>
    <s v="Kano"/>
    <x v="0"/>
    <s v="Walk-in"/>
    <s v="POS"/>
    <n v="4"/>
    <n v="2800"/>
    <n v="3900"/>
    <n v="0.05"/>
    <x v="1"/>
    <n v="7"/>
    <n v="15600"/>
    <n v="780"/>
    <n v="14820"/>
    <n v="11200"/>
    <n v="3620"/>
    <n v="0.24426450742240216"/>
    <s v="Healthy"/>
    <s v="Safe"/>
    <n v="0.28205128205128205"/>
    <s v="Safe"/>
    <n v="1100"/>
    <n v="0.28205128205128205"/>
  </r>
  <r>
    <s v="ORD-10505"/>
    <x v="102"/>
    <s v="P004"/>
    <x v="1"/>
    <s v="Beverages"/>
    <s v="Dairy"/>
    <s v="FreshDay"/>
    <s v="B08"/>
    <x v="7"/>
    <s v="Kwara"/>
    <x v="2"/>
    <s v="Walk-in"/>
    <s v="POS"/>
    <n v="2"/>
    <n v="1650"/>
    <n v="2200"/>
    <n v="0.05"/>
    <x v="2"/>
    <n v="14"/>
    <n v="4400"/>
    <n v="220"/>
    <n v="4180"/>
    <n v="3300"/>
    <n v="880"/>
    <n v="0.21052631578947367"/>
    <s v="Understocked"/>
    <s v="Safe"/>
    <n v="0.25"/>
    <s v="Safe"/>
    <n v="550"/>
    <n v="0.25"/>
  </r>
  <r>
    <s v="ORD-10506"/>
    <x v="97"/>
    <s v="P008"/>
    <x v="4"/>
    <s v="Beverages"/>
    <s v="Soft Drinks"/>
    <s v="Sparkle"/>
    <s v="B06"/>
    <x v="1"/>
    <s v="Rivers"/>
    <x v="1"/>
    <s v="Walk-in"/>
    <s v="POS"/>
    <n v="3"/>
    <n v="330"/>
    <n v="550"/>
    <n v="0.1"/>
    <x v="0"/>
    <n v="5"/>
    <n v="1650"/>
    <n v="165"/>
    <n v="1485"/>
    <n v="990"/>
    <n v="495"/>
    <n v="0.33333333333333331"/>
    <s v="Healthy"/>
    <s v="Safe"/>
    <n v="0.4"/>
    <s v="Safe"/>
    <n v="220"/>
    <n v="0.4"/>
  </r>
  <r>
    <s v="ORD-10507"/>
    <x v="206"/>
    <s v="P008"/>
    <x v="4"/>
    <s v="Beverages"/>
    <s v="Soft Drinks"/>
    <s v="Sparkle"/>
    <s v="B03"/>
    <x v="6"/>
    <s v="Lagos"/>
    <x v="4"/>
    <s v="Member"/>
    <s v="Transfer"/>
    <n v="4"/>
    <n v="330"/>
    <n v="550"/>
    <n v="0.2"/>
    <x v="2"/>
    <n v="1"/>
    <n v="2200"/>
    <n v="440"/>
    <n v="1760"/>
    <n v="1320"/>
    <n v="440"/>
    <n v="0.25"/>
    <s v="Healthy"/>
    <s v="Safe"/>
    <n v="0.4"/>
    <s v="Safe"/>
    <n v="220"/>
    <n v="0.4"/>
  </r>
  <r>
    <s v="ORD-10508"/>
    <x v="56"/>
    <s v="P005"/>
    <x v="2"/>
    <s v="Food"/>
    <s v="Snacks"/>
    <s v="CrispyBite"/>
    <s v="B03"/>
    <x v="6"/>
    <s v="Lagos"/>
    <x v="4"/>
    <s v="Member"/>
    <s v="POS"/>
    <n v="5"/>
    <n v="850"/>
    <n v="1300"/>
    <n v="0.2"/>
    <x v="1"/>
    <n v="9"/>
    <n v="6500"/>
    <n v="1300"/>
    <n v="5200"/>
    <n v="4250"/>
    <n v="950"/>
    <n v="0.18269230769230768"/>
    <s v="Understocked"/>
    <s v="Safe"/>
    <n v="0.34615384615384615"/>
    <s v="Safe"/>
    <n v="450"/>
    <n v="0.34615384615384615"/>
  </r>
  <r>
    <s v="ORD-10509"/>
    <x v="268"/>
    <s v="P004"/>
    <x v="1"/>
    <s v="Beverages"/>
    <s v="Dairy"/>
    <s v="FreshDay"/>
    <s v="B01"/>
    <x v="2"/>
    <s v="Abuja"/>
    <x v="2"/>
    <s v="Walk-in"/>
    <s v="POS"/>
    <n v="2"/>
    <n v="1650"/>
    <n v="2200"/>
    <n v="0"/>
    <x v="3"/>
    <n v="5"/>
    <n v="4400"/>
    <n v="0"/>
    <n v="4400"/>
    <n v="3300"/>
    <n v="1100"/>
    <n v="0.25"/>
    <s v="Understocked"/>
    <s v="Safe"/>
    <n v="0.25"/>
    <s v="Safe"/>
    <n v="550"/>
    <n v="0.25"/>
  </r>
  <r>
    <s v="ORD-10510"/>
    <x v="204"/>
    <s v="P010"/>
    <x v="22"/>
    <s v="Household"/>
    <s v="Paper Products"/>
    <s v="SoftCare"/>
    <s v="B04"/>
    <x v="5"/>
    <s v="Lagos"/>
    <x v="4"/>
    <s v="Walk-in"/>
    <s v="Transfer"/>
    <n v="1"/>
    <n v="3200"/>
    <n v="4500"/>
    <n v="0"/>
    <x v="10"/>
    <n v="14"/>
    <n v="4500"/>
    <n v="0"/>
    <n v="4500"/>
    <n v="3200"/>
    <n v="1300"/>
    <n v="0.28888888888888886"/>
    <s v="Healthy"/>
    <s v="Safe"/>
    <n v="0.28888888888888886"/>
    <s v="Safe"/>
    <n v="1300"/>
    <n v="0.28888888888888886"/>
  </r>
  <r>
    <s v="ORD-10511"/>
    <x v="57"/>
    <s v="P011"/>
    <x v="9"/>
    <s v="Household"/>
    <s v="Cleaning"/>
    <s v="CleanPro"/>
    <s v="B07"/>
    <x v="3"/>
    <s v="Enugu"/>
    <x v="3"/>
    <s v="Member"/>
    <s v="POS"/>
    <n v="3"/>
    <n v="2800"/>
    <n v="3900"/>
    <n v="0.05"/>
    <x v="7"/>
    <n v="13"/>
    <n v="11700"/>
    <n v="585"/>
    <n v="11115"/>
    <n v="8400"/>
    <n v="2715"/>
    <n v="0.24426450742240216"/>
    <s v="Healthy"/>
    <s v="Safe"/>
    <n v="0.28205128205128205"/>
    <s v="Safe"/>
    <n v="1100"/>
    <n v="0.28205128205128205"/>
  </r>
  <r>
    <s v="ORD-10512"/>
    <x v="269"/>
    <s v="P006"/>
    <x v="0"/>
    <s v="Beverages"/>
    <s v="Water"/>
    <s v="AquaPure"/>
    <s v="B07"/>
    <x v="3"/>
    <s v="Enugu"/>
    <x v="3"/>
    <s v="Member"/>
    <s v="Card"/>
    <n v="2"/>
    <n v="230"/>
    <n v="400"/>
    <n v="0.15"/>
    <x v="0"/>
    <n v="14"/>
    <n v="800"/>
    <n v="120"/>
    <n v="680"/>
    <n v="460"/>
    <n v="220"/>
    <n v="0.3235294117647059"/>
    <s v="Understocked"/>
    <s v="Safe"/>
    <n v="0.42499999999999999"/>
    <s v="Safe"/>
    <n v="170"/>
    <n v="0.42499999999999999"/>
  </r>
  <r>
    <s v="ORD-10513"/>
    <x v="199"/>
    <s v="P013"/>
    <x v="11"/>
    <s v="Personal Care"/>
    <s v="Skin Care"/>
    <s v="GlowPlus"/>
    <s v="B05"/>
    <x v="0"/>
    <s v="Kano"/>
    <x v="0"/>
    <s v="Walk-in"/>
    <s v="POS"/>
    <n v="1"/>
    <n v="3500"/>
    <n v="5200"/>
    <n v="0.05"/>
    <x v="11"/>
    <n v="9"/>
    <n v="5200"/>
    <n v="260"/>
    <n v="4940"/>
    <n v="3500"/>
    <n v="1440"/>
    <n v="0.291497975708502"/>
    <s v="Healthy"/>
    <s v="Safe"/>
    <n v="0.32692307692307693"/>
    <s v="Safe"/>
    <n v="1700"/>
    <n v="0.32692307692307693"/>
  </r>
  <r>
    <s v="ORD-10514"/>
    <x v="270"/>
    <s v="P001"/>
    <x v="14"/>
    <s v="Food"/>
    <s v="Grains"/>
    <s v="Golden Harvest"/>
    <s v="B06"/>
    <x v="1"/>
    <s v="Rivers"/>
    <x v="1"/>
    <s v="Member"/>
    <s v="Transfer"/>
    <n v="2"/>
    <n v="14500"/>
    <n v="17500"/>
    <n v="0.05"/>
    <x v="9"/>
    <n v="7"/>
    <n v="35000"/>
    <n v="1750"/>
    <n v="33250"/>
    <n v="29000"/>
    <n v="4250"/>
    <n v="0.12781954887218044"/>
    <s v="Understocked"/>
    <s v="Safe"/>
    <n v="0.17142857142857143"/>
    <s v="Safe"/>
    <n v="3000"/>
    <n v="0.17142857142857143"/>
  </r>
  <r>
    <s v="ORD-10515"/>
    <x v="46"/>
    <s v="P003"/>
    <x v="12"/>
    <s v="Food"/>
    <s v="Cooking Oil"/>
    <s v="SunGold"/>
    <s v="B03"/>
    <x v="6"/>
    <s v="Lagos"/>
    <x v="4"/>
    <s v="Walk-in"/>
    <s v="Card"/>
    <n v="3"/>
    <n v="7800"/>
    <n v="9800"/>
    <n v="0.1"/>
    <x v="8"/>
    <n v="9"/>
    <n v="29400"/>
    <n v="2940"/>
    <n v="26460"/>
    <n v="23400"/>
    <n v="3060"/>
    <n v="0.11564625850340136"/>
    <s v="Understocked"/>
    <s v="Safe"/>
    <n v="0.20408163265306123"/>
    <s v="Safe"/>
    <n v="2000"/>
    <n v="0.20408163265306123"/>
  </r>
  <r>
    <s v="ORD-10516"/>
    <x v="209"/>
    <s v="P003"/>
    <x v="12"/>
    <s v="Food"/>
    <s v="Cooking Oil"/>
    <s v="SunGold"/>
    <s v="B01"/>
    <x v="2"/>
    <s v="Abuja"/>
    <x v="2"/>
    <s v="Member"/>
    <s v="Cash"/>
    <n v="3"/>
    <n v="7800"/>
    <n v="9800"/>
    <n v="0.05"/>
    <x v="1"/>
    <n v="12"/>
    <n v="29400"/>
    <n v="1470"/>
    <n v="27930"/>
    <n v="23400"/>
    <n v="4530"/>
    <n v="0.16219119226638024"/>
    <s v="Understocked"/>
    <s v="Safe"/>
    <n v="0.20408163265306123"/>
    <s v="Safe"/>
    <n v="2000"/>
    <n v="0.20408163265306123"/>
  </r>
  <r>
    <s v="ORD-10517"/>
    <x v="174"/>
    <s v="P002"/>
    <x v="10"/>
    <s v="Food"/>
    <s v="Grains"/>
    <s v="Mama's Pride"/>
    <s v="B06"/>
    <x v="1"/>
    <s v="Rivers"/>
    <x v="1"/>
    <s v="Walk-in"/>
    <s v="POS"/>
    <n v="2"/>
    <n v="6200"/>
    <n v="7900"/>
    <n v="0.2"/>
    <x v="8"/>
    <n v="6"/>
    <n v="15800"/>
    <n v="3160"/>
    <n v="12640"/>
    <n v="12400"/>
    <n v="240"/>
    <n v="1.8987341772151899E-2"/>
    <s v="Healthy"/>
    <s v="Safe"/>
    <n v="0.21518987341772153"/>
    <s v="Safe"/>
    <n v="1700"/>
    <n v="0.21518987341772153"/>
  </r>
  <r>
    <s v="ORD-10518"/>
    <x v="183"/>
    <s v="P006"/>
    <x v="0"/>
    <s v="Beverages"/>
    <s v="Water"/>
    <s v="AquaPure"/>
    <s v="B05"/>
    <x v="0"/>
    <s v="Kano"/>
    <x v="0"/>
    <s v="Walk-in"/>
    <s v="POS"/>
    <n v="4"/>
    <n v="230"/>
    <n v="400"/>
    <n v="0"/>
    <x v="2"/>
    <n v="10"/>
    <n v="1600"/>
    <n v="0"/>
    <n v="1600"/>
    <n v="920"/>
    <n v="680"/>
    <n v="0.42499999999999999"/>
    <s v="Understocked"/>
    <s v="Safe"/>
    <n v="0.42499999999999999"/>
    <s v="Safe"/>
    <n v="170"/>
    <n v="0.42499999999999999"/>
  </r>
  <r>
    <s v="ORD-10519"/>
    <x v="214"/>
    <s v="P022"/>
    <x v="17"/>
    <s v="Office Supplies"/>
    <s v="Writing"/>
    <s v="WriteWell"/>
    <s v="B02"/>
    <x v="4"/>
    <s v="Abuja"/>
    <x v="2"/>
    <s v="Member"/>
    <s v="Cash"/>
    <n v="4"/>
    <n v="1300"/>
    <n v="2100"/>
    <n v="0"/>
    <x v="5"/>
    <n v="1"/>
    <n v="8400"/>
    <n v="0"/>
    <n v="8400"/>
    <n v="5200"/>
    <n v="3200"/>
    <n v="0.38095238095238093"/>
    <s v="Understocked"/>
    <s v="Safe"/>
    <n v="0.38095238095238093"/>
    <s v="Safe"/>
    <n v="800"/>
    <n v="0.38095238095238093"/>
  </r>
  <r>
    <s v="ORD-10520"/>
    <x v="271"/>
    <s v="P022"/>
    <x v="17"/>
    <s v="Office Supplies"/>
    <s v="Writing"/>
    <s v="WriteWell"/>
    <s v="B07"/>
    <x v="3"/>
    <s v="Enugu"/>
    <x v="3"/>
    <s v="Member"/>
    <s v="Cash"/>
    <n v="5"/>
    <n v="1300"/>
    <n v="2100"/>
    <n v="0"/>
    <x v="14"/>
    <n v="8"/>
    <n v="10500"/>
    <n v="0"/>
    <n v="10500"/>
    <n v="6500"/>
    <n v="4000"/>
    <n v="0.38095238095238093"/>
    <s v="Understocked"/>
    <s v="Safe"/>
    <n v="0.38095238095238093"/>
    <s v="Safe"/>
    <n v="800"/>
    <n v="0.38095238095238093"/>
  </r>
  <r>
    <s v="ORD-10521"/>
    <x v="245"/>
    <s v="P015"/>
    <x v="8"/>
    <s v="Personal Care"/>
    <s v="Bath"/>
    <s v="SilkyTouch"/>
    <s v="B02"/>
    <x v="4"/>
    <s v="Abuja"/>
    <x v="2"/>
    <s v="Walk-in"/>
    <s v="POS"/>
    <n v="3"/>
    <n v="600"/>
    <n v="950"/>
    <n v="0.1"/>
    <x v="6"/>
    <n v="12"/>
    <n v="2850"/>
    <n v="285"/>
    <n v="2565"/>
    <n v="1800"/>
    <n v="765"/>
    <n v="0.2982456140350877"/>
    <s v="Healthy"/>
    <s v="Safe"/>
    <n v="0.36842105263157893"/>
    <s v="Safe"/>
    <n v="350"/>
    <n v="0.36842105263157893"/>
  </r>
  <r>
    <s v="ORD-10522"/>
    <x v="120"/>
    <s v="P007"/>
    <x v="3"/>
    <s v="Beverages"/>
    <s v="Malt"/>
    <s v="Naija Malt"/>
    <s v="B07"/>
    <x v="3"/>
    <s v="Enugu"/>
    <x v="3"/>
    <s v="Walk-in"/>
    <s v="Card"/>
    <n v="3"/>
    <n v="550"/>
    <n v="850"/>
    <n v="0"/>
    <x v="0"/>
    <n v="10"/>
    <n v="2550"/>
    <n v="0"/>
    <n v="2550"/>
    <n v="1650"/>
    <n v="900"/>
    <n v="0.35294117647058826"/>
    <s v="Healthy"/>
    <s v="Safe"/>
    <n v="0.35294117647058826"/>
    <s v="Safe"/>
    <n v="300"/>
    <n v="0.35294117647058826"/>
  </r>
  <r>
    <s v="ORD-10523"/>
    <x v="272"/>
    <s v="P014"/>
    <x v="15"/>
    <s v="Personal Care"/>
    <s v="Oral Care"/>
    <s v="FreshMint"/>
    <s v="B01"/>
    <x v="2"/>
    <s v="Abuja"/>
    <x v="2"/>
    <s v="Member"/>
    <s v="POS"/>
    <n v="2"/>
    <n v="1200"/>
    <n v="1900"/>
    <n v="0"/>
    <x v="6"/>
    <n v="1"/>
    <n v="3800"/>
    <n v="0"/>
    <n v="3800"/>
    <n v="2400"/>
    <n v="1400"/>
    <n v="0.36842105263157893"/>
    <s v="Healthy"/>
    <s v="Safe"/>
    <n v="0.36842105263157893"/>
    <s v="Safe"/>
    <n v="700"/>
    <n v="0.36842105263157893"/>
  </r>
  <r>
    <s v="ORD-10524"/>
    <x v="243"/>
    <s v="P007"/>
    <x v="3"/>
    <s v="Beverages"/>
    <s v="Malt"/>
    <s v="Naija Malt"/>
    <s v="B08"/>
    <x v="7"/>
    <s v="Kwara"/>
    <x v="2"/>
    <s v="Member"/>
    <s v="Transfer"/>
    <n v="3"/>
    <n v="550"/>
    <n v="850"/>
    <n v="0.1"/>
    <x v="0"/>
    <n v="9"/>
    <n v="2550"/>
    <n v="255"/>
    <n v="2295"/>
    <n v="1650"/>
    <n v="645"/>
    <n v="0.28104575163398693"/>
    <s v="Healthy"/>
    <s v="Safe"/>
    <n v="0.35294117647058826"/>
    <s v="Safe"/>
    <n v="300"/>
    <n v="0.35294117647058826"/>
  </r>
  <r>
    <s v="ORD-10525"/>
    <x v="188"/>
    <s v="P009"/>
    <x v="13"/>
    <s v="Household"/>
    <s v="Cleaning"/>
    <s v="BrightWash"/>
    <s v="B04"/>
    <x v="5"/>
    <s v="Lagos"/>
    <x v="4"/>
    <s v="Walk-in"/>
    <s v="POS"/>
    <n v="8"/>
    <n v="2400"/>
    <n v="3400"/>
    <n v="0"/>
    <x v="10"/>
    <n v="8"/>
    <n v="27200"/>
    <n v="0"/>
    <n v="27200"/>
    <n v="19200"/>
    <n v="8000"/>
    <n v="0.29411764705882354"/>
    <s v="Healthy"/>
    <s v="Safe"/>
    <n v="0.29411764705882354"/>
    <s v="Safe"/>
    <n v="1000"/>
    <n v="0.29411764705882354"/>
  </r>
  <r>
    <s v="ORD-10526"/>
    <x v="64"/>
    <s v="P001"/>
    <x v="14"/>
    <s v="Food"/>
    <s v="Grains"/>
    <s v="Golden Harvest"/>
    <s v="B05"/>
    <x v="0"/>
    <s v="Kano"/>
    <x v="0"/>
    <s v="Corporate"/>
    <s v="POS"/>
    <n v="2"/>
    <n v="14500"/>
    <n v="17500"/>
    <n v="0.05"/>
    <x v="8"/>
    <n v="13"/>
    <n v="35000"/>
    <n v="1750"/>
    <n v="33250"/>
    <n v="29000"/>
    <n v="4250"/>
    <n v="0.12781954887218044"/>
    <s v="Understocked"/>
    <s v="Safe"/>
    <n v="0.17142857142857143"/>
    <s v="Safe"/>
    <n v="3000"/>
    <n v="0.17142857142857143"/>
  </r>
  <r>
    <s v="ORD-10527"/>
    <x v="273"/>
    <s v="P020"/>
    <x v="5"/>
    <s v="Electronics"/>
    <s v="Lighting"/>
    <s v="Luma"/>
    <s v="B07"/>
    <x v="3"/>
    <s v="Enugu"/>
    <x v="3"/>
    <s v="Walk-in"/>
    <s v="Card"/>
    <n v="5"/>
    <n v="1500"/>
    <n v="2500"/>
    <n v="0"/>
    <x v="4"/>
    <n v="6"/>
    <n v="12500"/>
    <n v="0"/>
    <n v="12500"/>
    <n v="7500"/>
    <n v="5000"/>
    <n v="0.4"/>
    <s v="Healthy"/>
    <s v="Safe"/>
    <n v="0.4"/>
    <s v="Safe"/>
    <n v="1000"/>
    <n v="0.4"/>
  </r>
  <r>
    <s v="ORD-10528"/>
    <x v="102"/>
    <s v="P003"/>
    <x v="12"/>
    <s v="Food"/>
    <s v="Cooking Oil"/>
    <s v="SunGold"/>
    <s v="B06"/>
    <x v="1"/>
    <s v="Rivers"/>
    <x v="1"/>
    <s v="Member"/>
    <s v="POS"/>
    <n v="3"/>
    <n v="7800"/>
    <n v="9800"/>
    <n v="0.1"/>
    <x v="8"/>
    <n v="4"/>
    <n v="29400"/>
    <n v="2940"/>
    <n v="26460"/>
    <n v="23400"/>
    <n v="3060"/>
    <n v="0.11564625850340136"/>
    <s v="Understocked"/>
    <s v="Safe"/>
    <n v="0.20408163265306123"/>
    <s v="Safe"/>
    <n v="2000"/>
    <n v="0.20408163265306123"/>
  </r>
  <r>
    <s v="ORD-10529"/>
    <x v="96"/>
    <s v="P023"/>
    <x v="6"/>
    <s v="Office Supplies"/>
    <s v="Stationery"/>
    <s v="StudyPro"/>
    <s v="B07"/>
    <x v="3"/>
    <s v="Enugu"/>
    <x v="3"/>
    <s v="Walk-in"/>
    <s v="Cash"/>
    <n v="2"/>
    <n v="2800"/>
    <n v="4200"/>
    <n v="0.05"/>
    <x v="5"/>
    <n v="11"/>
    <n v="8400"/>
    <n v="420"/>
    <n v="7980"/>
    <n v="5600"/>
    <n v="2380"/>
    <n v="0.2982456140350877"/>
    <s v="Understocked"/>
    <s v="Safe"/>
    <n v="0.33333333333333331"/>
    <s v="Safe"/>
    <n v="1400"/>
    <n v="0.33333333333333331"/>
  </r>
  <r>
    <s v="ORD-10530"/>
    <x v="119"/>
    <s v="P006"/>
    <x v="0"/>
    <s v="Beverages"/>
    <s v="Water"/>
    <s v="AquaPure"/>
    <s v="B06"/>
    <x v="1"/>
    <s v="Rivers"/>
    <x v="1"/>
    <s v="Corporate"/>
    <s v="POS"/>
    <n v="3"/>
    <n v="230"/>
    <n v="400"/>
    <n v="0"/>
    <x v="3"/>
    <n v="11"/>
    <n v="1200"/>
    <n v="0"/>
    <n v="1200"/>
    <n v="690"/>
    <n v="510"/>
    <n v="0.42499999999999999"/>
    <s v="Understocked"/>
    <s v="Safe"/>
    <n v="0.42499999999999999"/>
    <s v="Safe"/>
    <n v="170"/>
    <n v="0.42499999999999999"/>
  </r>
  <r>
    <s v="ORD-10531"/>
    <x v="64"/>
    <s v="P006"/>
    <x v="0"/>
    <s v="Beverages"/>
    <s v="Water"/>
    <s v="AquaPure"/>
    <s v="B04"/>
    <x v="5"/>
    <s v="Lagos"/>
    <x v="4"/>
    <s v="Walk-in"/>
    <s v="POS"/>
    <n v="8"/>
    <n v="230"/>
    <n v="400"/>
    <n v="0"/>
    <x v="0"/>
    <n v="1"/>
    <n v="3200"/>
    <n v="0"/>
    <n v="3200"/>
    <n v="1840"/>
    <n v="1360"/>
    <n v="0.42499999999999999"/>
    <s v="Understocked"/>
    <s v="Safe"/>
    <n v="0.42499999999999999"/>
    <s v="Safe"/>
    <n v="170"/>
    <n v="0.42499999999999999"/>
  </r>
  <r>
    <s v="ORD-10532"/>
    <x v="253"/>
    <s v="P023"/>
    <x v="6"/>
    <s v="Office Supplies"/>
    <s v="Stationery"/>
    <s v="StudyPro"/>
    <s v="B03"/>
    <x v="6"/>
    <s v="Lagos"/>
    <x v="4"/>
    <s v="Member"/>
    <s v="POS"/>
    <n v="4"/>
    <n v="2800"/>
    <n v="4200"/>
    <n v="0.15"/>
    <x v="15"/>
    <n v="13"/>
    <n v="16800"/>
    <n v="2520"/>
    <n v="14280"/>
    <n v="11200"/>
    <n v="3080"/>
    <n v="0.21568627450980393"/>
    <s v="Understocked"/>
    <s v="Safe"/>
    <n v="0.33333333333333331"/>
    <s v="Safe"/>
    <n v="1400"/>
    <n v="0.33333333333333331"/>
  </r>
  <r>
    <s v="ORD-10533"/>
    <x v="274"/>
    <s v="P004"/>
    <x v="1"/>
    <s v="Beverages"/>
    <s v="Dairy"/>
    <s v="FreshDay"/>
    <s v="B06"/>
    <x v="1"/>
    <s v="Rivers"/>
    <x v="1"/>
    <s v="Walk-in"/>
    <s v="Card"/>
    <n v="3"/>
    <n v="1650"/>
    <n v="2200"/>
    <n v="0"/>
    <x v="3"/>
    <n v="4"/>
    <n v="6600"/>
    <n v="0"/>
    <n v="6600"/>
    <n v="4950"/>
    <n v="1650"/>
    <n v="0.25"/>
    <s v="Understocked"/>
    <s v="Safe"/>
    <n v="0.25"/>
    <s v="Safe"/>
    <n v="550"/>
    <n v="0.25"/>
  </r>
  <r>
    <s v="ORD-10534"/>
    <x v="193"/>
    <s v="P002"/>
    <x v="10"/>
    <s v="Food"/>
    <s v="Grains"/>
    <s v="Mama's Pride"/>
    <s v="B06"/>
    <x v="1"/>
    <s v="Rivers"/>
    <x v="1"/>
    <s v="Walk-in"/>
    <s v="POS"/>
    <n v="1"/>
    <n v="6200"/>
    <n v="7900"/>
    <n v="0.15"/>
    <x v="9"/>
    <n v="14"/>
    <n v="7900"/>
    <n v="1185"/>
    <n v="6715"/>
    <n v="6200"/>
    <n v="515"/>
    <n v="7.6693968726731204E-2"/>
    <s v="Healthy"/>
    <s v="Safe"/>
    <n v="0.21518987341772153"/>
    <s v="Safe"/>
    <n v="1700"/>
    <n v="0.21518987341772153"/>
  </r>
  <r>
    <s v="ORD-10535"/>
    <x v="255"/>
    <s v="P003"/>
    <x v="12"/>
    <s v="Food"/>
    <s v="Cooking Oil"/>
    <s v="SunGold"/>
    <s v="B02"/>
    <x v="4"/>
    <s v="Abuja"/>
    <x v="2"/>
    <s v="Walk-in"/>
    <s v="Card"/>
    <n v="1"/>
    <n v="7800"/>
    <n v="9800"/>
    <n v="0.1"/>
    <x v="8"/>
    <n v="4"/>
    <n v="9800"/>
    <n v="980"/>
    <n v="8820"/>
    <n v="7800"/>
    <n v="1020"/>
    <n v="0.11564625850340136"/>
    <s v="Understocked"/>
    <s v="Safe"/>
    <n v="0.20408163265306123"/>
    <s v="Safe"/>
    <n v="2000"/>
    <n v="0.20408163265306123"/>
  </r>
  <r>
    <s v="ORD-10536"/>
    <x v="275"/>
    <s v="P016"/>
    <x v="7"/>
    <s v="Personal Care"/>
    <s v="Fragrance"/>
    <s v="RoyalScent"/>
    <s v="B01"/>
    <x v="2"/>
    <s v="Abuja"/>
    <x v="2"/>
    <s v="Member"/>
    <s v="Transfer"/>
    <n v="8"/>
    <n v="8500"/>
    <n v="12500"/>
    <n v="0.25"/>
    <x v="11"/>
    <n v="14"/>
    <n v="100000"/>
    <n v="25000"/>
    <n v="75000"/>
    <n v="68000"/>
    <n v="7000"/>
    <n v="9.3333333333333338E-2"/>
    <s v="Overstocked"/>
    <s v="Safe"/>
    <n v="0.32"/>
    <s v="Safe"/>
    <n v="4000"/>
    <n v="0.32"/>
  </r>
  <r>
    <s v="ORD-10537"/>
    <x v="111"/>
    <s v="P008"/>
    <x v="4"/>
    <s v="Beverages"/>
    <s v="Soft Drinks"/>
    <s v="Sparkle"/>
    <s v="B06"/>
    <x v="1"/>
    <s v="Rivers"/>
    <x v="1"/>
    <s v="Member"/>
    <s v="Transfer"/>
    <n v="3"/>
    <n v="330"/>
    <n v="550"/>
    <n v="0.15"/>
    <x v="0"/>
    <n v="10"/>
    <n v="1650"/>
    <n v="247.5"/>
    <n v="1402.5"/>
    <n v="990"/>
    <n v="412.5"/>
    <n v="0.29411764705882354"/>
    <s v="Healthy"/>
    <s v="Safe"/>
    <n v="0.4"/>
    <s v="Safe"/>
    <n v="220"/>
    <n v="0.4"/>
  </r>
  <r>
    <s v="ORD-10538"/>
    <x v="146"/>
    <s v="P013"/>
    <x v="11"/>
    <s v="Personal Care"/>
    <s v="Skin Care"/>
    <s v="GlowPlus"/>
    <s v="B06"/>
    <x v="1"/>
    <s v="Rivers"/>
    <x v="1"/>
    <s v="Walk-in"/>
    <s v="POS"/>
    <n v="1"/>
    <n v="3500"/>
    <n v="5200"/>
    <n v="0"/>
    <x v="6"/>
    <n v="9"/>
    <n v="5200"/>
    <n v="0"/>
    <n v="5200"/>
    <n v="3500"/>
    <n v="1700"/>
    <n v="0.32692307692307693"/>
    <s v="Healthy"/>
    <s v="Safe"/>
    <n v="0.32692307692307693"/>
    <s v="Safe"/>
    <n v="1700"/>
    <n v="0.32692307692307693"/>
  </r>
  <r>
    <s v="ORD-10539"/>
    <x v="21"/>
    <s v="P010"/>
    <x v="22"/>
    <s v="Household"/>
    <s v="Paper Products"/>
    <s v="SoftCare"/>
    <s v="B04"/>
    <x v="5"/>
    <s v="Lagos"/>
    <x v="4"/>
    <s v="Walk-in"/>
    <s v="Transfer"/>
    <n v="3"/>
    <n v="3200"/>
    <n v="4500"/>
    <n v="0"/>
    <x v="10"/>
    <n v="13"/>
    <n v="13500"/>
    <n v="0"/>
    <n v="13500"/>
    <n v="9600"/>
    <n v="3900"/>
    <n v="0.28888888888888886"/>
    <s v="Healthy"/>
    <s v="Safe"/>
    <n v="0.28888888888888886"/>
    <s v="Safe"/>
    <n v="1300"/>
    <n v="0.28888888888888886"/>
  </r>
  <r>
    <s v="ORD-10540"/>
    <x v="16"/>
    <s v="P004"/>
    <x v="1"/>
    <s v="Beverages"/>
    <s v="Dairy"/>
    <s v="FreshDay"/>
    <s v="B03"/>
    <x v="6"/>
    <s v="Lagos"/>
    <x v="4"/>
    <s v="Member"/>
    <s v="Transfer"/>
    <n v="6"/>
    <n v="1650"/>
    <n v="2200"/>
    <n v="0.1"/>
    <x v="0"/>
    <n v="8"/>
    <n v="13200"/>
    <n v="1320"/>
    <n v="11880"/>
    <n v="9900"/>
    <n v="1980"/>
    <n v="0.16666666666666666"/>
    <s v="Understocked"/>
    <s v="Safe"/>
    <n v="0.25"/>
    <s v="Safe"/>
    <n v="550"/>
    <n v="0.25"/>
  </r>
  <r>
    <s v="ORD-10541"/>
    <x v="110"/>
    <s v="P003"/>
    <x v="12"/>
    <s v="Food"/>
    <s v="Cooking Oil"/>
    <s v="SunGold"/>
    <s v="B06"/>
    <x v="1"/>
    <s v="Rivers"/>
    <x v="1"/>
    <s v="Walk-in"/>
    <s v="Transfer"/>
    <n v="8"/>
    <n v="7800"/>
    <n v="9800"/>
    <n v="0.1"/>
    <x v="8"/>
    <n v="1"/>
    <n v="78400"/>
    <n v="7840"/>
    <n v="70560"/>
    <n v="62400"/>
    <n v="8160"/>
    <n v="0.11564625850340136"/>
    <s v="Understocked"/>
    <s v="Safe"/>
    <n v="0.20408163265306123"/>
    <s v="Safe"/>
    <n v="2000"/>
    <n v="0.20408163265306123"/>
  </r>
  <r>
    <s v="ORD-10542"/>
    <x v="276"/>
    <s v="P021"/>
    <x v="20"/>
    <s v="Office Supplies"/>
    <s v="Paper"/>
    <s v="OfficeMate"/>
    <s v="B07"/>
    <x v="3"/>
    <s v="Enugu"/>
    <x v="3"/>
    <s v="Walk-in"/>
    <s v="POS"/>
    <n v="6"/>
    <n v="5200"/>
    <n v="7000"/>
    <n v="0"/>
    <x v="5"/>
    <n v="13"/>
    <n v="42000"/>
    <n v="0"/>
    <n v="42000"/>
    <n v="31200"/>
    <n v="10800"/>
    <n v="0.25714285714285712"/>
    <s v="Overstocked"/>
    <s v="Safe"/>
    <n v="0.25714285714285712"/>
    <s v="Safe"/>
    <n v="1800"/>
    <n v="0.25714285714285712"/>
  </r>
  <r>
    <s v="ORD-10543"/>
    <x v="220"/>
    <s v="P002"/>
    <x v="10"/>
    <s v="Food"/>
    <s v="Grains"/>
    <s v="Mama's Pride"/>
    <s v="B06"/>
    <x v="1"/>
    <s v="Rivers"/>
    <x v="1"/>
    <s v="Member"/>
    <s v="POS"/>
    <n v="3"/>
    <n v="6200"/>
    <n v="7900"/>
    <n v="0"/>
    <x v="1"/>
    <n v="10"/>
    <n v="23700"/>
    <n v="0"/>
    <n v="23700"/>
    <n v="18600"/>
    <n v="5100"/>
    <n v="0.21518987341772153"/>
    <s v="Healthy"/>
    <s v="Safe"/>
    <n v="0.21518987341772153"/>
    <s v="Safe"/>
    <n v="1700"/>
    <n v="0.21518987341772153"/>
  </r>
  <r>
    <s v="ORD-10544"/>
    <x v="175"/>
    <s v="P010"/>
    <x v="22"/>
    <s v="Household"/>
    <s v="Paper Products"/>
    <s v="SoftCare"/>
    <s v="B01"/>
    <x v="2"/>
    <s v="Abuja"/>
    <x v="2"/>
    <s v="Member"/>
    <s v="POS"/>
    <n v="1"/>
    <n v="3200"/>
    <n v="4500"/>
    <n v="0.05"/>
    <x v="7"/>
    <n v="14"/>
    <n v="4500"/>
    <n v="225"/>
    <n v="4275"/>
    <n v="3200"/>
    <n v="1075"/>
    <n v="0.25146198830409355"/>
    <s v="Healthy"/>
    <s v="Safe"/>
    <n v="0.28888888888888886"/>
    <s v="Safe"/>
    <n v="1300"/>
    <n v="0.28888888888888886"/>
  </r>
  <r>
    <s v="ORD-10545"/>
    <x v="177"/>
    <s v="P001"/>
    <x v="14"/>
    <s v="Food"/>
    <s v="Grains"/>
    <s v="Golden Harvest"/>
    <s v="B03"/>
    <x v="6"/>
    <s v="Lagos"/>
    <x v="4"/>
    <s v="Walk-in"/>
    <s v="Cash"/>
    <n v="-1"/>
    <n v="14500"/>
    <n v="17500"/>
    <n v="0.2"/>
    <x v="9"/>
    <n v="4"/>
    <n v="-17500"/>
    <n v="-3500"/>
    <n v="-14000"/>
    <n v="-14500"/>
    <n v="500"/>
    <n v="-3.5714285714285712E-2"/>
    <s v="Understocked"/>
    <s v="Safe"/>
    <n v="0.17142857142857143"/>
    <s v="Discount loss"/>
    <n v="3000"/>
    <n v="0.17142857142857143"/>
  </r>
  <r>
    <s v="ORD-10546"/>
    <x v="238"/>
    <s v="P008"/>
    <x v="4"/>
    <s v="Beverages"/>
    <s v="Soft Drinks"/>
    <s v="Sparkle"/>
    <s v="B07"/>
    <x v="3"/>
    <s v="Enugu"/>
    <x v="3"/>
    <s v="Member"/>
    <s v="Card"/>
    <n v="3"/>
    <n v="330"/>
    <n v="550"/>
    <n v="0"/>
    <x v="0"/>
    <n v="11"/>
    <n v="1650"/>
    <n v="0"/>
    <n v="1650"/>
    <n v="990"/>
    <n v="660"/>
    <n v="0.4"/>
    <s v="Healthy"/>
    <s v="Safe"/>
    <n v="0.4"/>
    <s v="Safe"/>
    <n v="220"/>
    <n v="0.4"/>
  </r>
  <r>
    <s v="ORD-10547"/>
    <x v="78"/>
    <s v="P008"/>
    <x v="4"/>
    <s v="Beverages"/>
    <s v="Soft Drinks"/>
    <s v="Sparkle"/>
    <s v="B05"/>
    <x v="0"/>
    <s v="Kano"/>
    <x v="0"/>
    <s v="Walk-in"/>
    <s v="POS"/>
    <n v="1"/>
    <n v="330"/>
    <n v="550"/>
    <n v="0.15"/>
    <x v="3"/>
    <n v="1"/>
    <n v="550"/>
    <n v="82.5"/>
    <n v="467.5"/>
    <n v="330"/>
    <n v="137.5"/>
    <n v="0.29411764705882354"/>
    <s v="Healthy"/>
    <s v="Safe"/>
    <n v="0.4"/>
    <s v="Safe"/>
    <n v="220"/>
    <n v="0.4"/>
  </r>
  <r>
    <s v="ORD-10548"/>
    <x v="2"/>
    <s v="P014"/>
    <x v="15"/>
    <s v="Personal Care"/>
    <s v="Oral Care"/>
    <s v="FreshMint"/>
    <s v="B01"/>
    <x v="2"/>
    <s v="Abuja"/>
    <x v="2"/>
    <s v="Member"/>
    <s v="Card"/>
    <n v="5"/>
    <n v="1200"/>
    <n v="1900"/>
    <n v="0.1"/>
    <x v="6"/>
    <n v="1"/>
    <n v="9500"/>
    <n v="950"/>
    <n v="8550"/>
    <n v="6000"/>
    <n v="2550"/>
    <n v="0.2982456140350877"/>
    <s v="Healthy"/>
    <s v="Safe"/>
    <n v="0.36842105263157893"/>
    <s v="Safe"/>
    <n v="700"/>
    <n v="0.36842105263157893"/>
  </r>
  <r>
    <s v="ORD-10549"/>
    <x v="277"/>
    <s v="P004"/>
    <x v="1"/>
    <s v="Beverages"/>
    <s v="Dairy"/>
    <s v="FreshDay"/>
    <s v="B03"/>
    <x v="6"/>
    <s v="Lagos"/>
    <x v="4"/>
    <s v="Walk-in"/>
    <s v="POS"/>
    <n v="4"/>
    <n v="1650"/>
    <n v="2200"/>
    <n v="0.1"/>
    <x v="2"/>
    <n v="12"/>
    <n v="8800"/>
    <n v="880"/>
    <n v="7920"/>
    <n v="6600"/>
    <n v="1320"/>
    <n v="0.16666666666666666"/>
    <s v="Understocked"/>
    <s v="Safe"/>
    <n v="0.25"/>
    <s v="Safe"/>
    <n v="550"/>
    <n v="0.25"/>
  </r>
  <r>
    <s v="ORD-10550"/>
    <x v="77"/>
    <s v="P002"/>
    <x v="10"/>
    <s v="Food"/>
    <s v="Grains"/>
    <s v="Mama's Pride"/>
    <s v="B03"/>
    <x v="6"/>
    <s v="Lagos"/>
    <x v="4"/>
    <s v="Walk-in"/>
    <s v="Transfer"/>
    <n v="2"/>
    <n v="6200"/>
    <n v="7900"/>
    <n v="0.05"/>
    <x v="1"/>
    <n v="2"/>
    <n v="15800"/>
    <n v="790"/>
    <n v="15010"/>
    <n v="12400"/>
    <n v="2610"/>
    <n v="0.17388407728181213"/>
    <s v="Healthy"/>
    <s v="Safe"/>
    <n v="0.21518987341772153"/>
    <s v="Safe"/>
    <n v="1700"/>
    <n v="0.21518987341772153"/>
  </r>
  <r>
    <s v="ORD-10551"/>
    <x v="25"/>
    <s v="P003"/>
    <x v="12"/>
    <s v="Food"/>
    <s v="Cooking Oil"/>
    <s v="SunGold"/>
    <s v="B07"/>
    <x v="3"/>
    <s v="Enugu"/>
    <x v="3"/>
    <s v="Walk-in"/>
    <s v="Card"/>
    <n v="2"/>
    <n v="7800"/>
    <n v="9800"/>
    <n v="0.05"/>
    <x v="9"/>
    <n v="2"/>
    <n v="19600"/>
    <n v="980"/>
    <n v="18620"/>
    <n v="15600"/>
    <n v="3020"/>
    <n v="0.16219119226638024"/>
    <s v="Understocked"/>
    <s v="Safe"/>
    <n v="0.20408163265306123"/>
    <s v="Safe"/>
    <n v="2000"/>
    <n v="0.20408163265306123"/>
  </r>
  <r>
    <s v="ORD-10552"/>
    <x v="41"/>
    <s v="P009"/>
    <x v="13"/>
    <s v="Household"/>
    <s v="Cleaning"/>
    <s v="BrightWash"/>
    <s v="B01"/>
    <x v="2"/>
    <s v="Abuja"/>
    <x v="2"/>
    <s v="Member"/>
    <s v="POS"/>
    <n v="4"/>
    <n v="2400"/>
    <n v="3400"/>
    <n v="0.1"/>
    <x v="10"/>
    <n v="10"/>
    <n v="13600"/>
    <n v="1360"/>
    <n v="12240"/>
    <n v="9600"/>
    <n v="2640"/>
    <n v="0.21568627450980393"/>
    <s v="Healthy"/>
    <s v="Safe"/>
    <n v="0.29411764705882354"/>
    <s v="Safe"/>
    <n v="1000"/>
    <n v="0.29411764705882354"/>
  </r>
  <r>
    <s v="ORD-10553"/>
    <x v="221"/>
    <s v="P009"/>
    <x v="13"/>
    <s v="Household"/>
    <s v="Cleaning"/>
    <s v="BrightWash"/>
    <s v="B08"/>
    <x v="7"/>
    <s v="Kwara"/>
    <x v="2"/>
    <s v="Walk-in"/>
    <s v="Transfer"/>
    <n v="2"/>
    <n v="2400"/>
    <n v="3400"/>
    <n v="0"/>
    <x v="1"/>
    <n v="8"/>
    <n v="6800"/>
    <n v="0"/>
    <n v="6800"/>
    <n v="4800"/>
    <n v="2000"/>
    <n v="0.29411764705882354"/>
    <s v="Healthy"/>
    <s v="Safe"/>
    <n v="0.29411764705882354"/>
    <s v="Safe"/>
    <n v="1000"/>
    <n v="0.29411764705882354"/>
  </r>
  <r>
    <s v="ORD-10554"/>
    <x v="184"/>
    <s v="P020"/>
    <x v="5"/>
    <s v="Electronics"/>
    <s v="Lighting"/>
    <s v="Luma"/>
    <s v="B02"/>
    <x v="4"/>
    <s v="Abuja"/>
    <x v="2"/>
    <s v="Walk-in"/>
    <s v="Transfer"/>
    <n v="2"/>
    <n v="1500"/>
    <n v="2500"/>
    <n v="0"/>
    <x v="4"/>
    <n v="12"/>
    <n v="5000"/>
    <n v="0"/>
    <n v="5000"/>
    <n v="3000"/>
    <n v="2000"/>
    <n v="0.4"/>
    <s v="Healthy"/>
    <s v="Safe"/>
    <n v="0.4"/>
    <s v="Safe"/>
    <n v="1000"/>
    <n v="0.4"/>
  </r>
  <r>
    <s v="ORD-10555"/>
    <x v="195"/>
    <s v="P024"/>
    <x v="19"/>
    <s v="Office Supplies"/>
    <s v="Accessories"/>
    <s v="ErgoDesk"/>
    <s v="B03"/>
    <x v="6"/>
    <s v="Lagos"/>
    <x v="4"/>
    <s v="Member"/>
    <s v="Cash"/>
    <n v="2"/>
    <n v="1700"/>
    <n v="2800"/>
    <n v="0.15"/>
    <x v="15"/>
    <n v="12"/>
    <n v="5600"/>
    <n v="840"/>
    <n v="4760"/>
    <n v="3400"/>
    <n v="1360"/>
    <n v="0.2857142857142857"/>
    <s v="Overstocked"/>
    <s v="Safe"/>
    <n v="0.39285714285714285"/>
    <s v="Safe"/>
    <n v="1100"/>
    <n v="0.39285714285714285"/>
  </r>
  <r>
    <s v="ORD-10556"/>
    <x v="217"/>
    <s v="P006"/>
    <x v="0"/>
    <s v="Beverages"/>
    <s v="Water"/>
    <s v="AquaPure"/>
    <s v="B04"/>
    <x v="5"/>
    <s v="Lagos"/>
    <x v="4"/>
    <s v="Member"/>
    <s v="Transfer"/>
    <n v="2"/>
    <n v="230"/>
    <n v="400"/>
    <n v="0"/>
    <x v="0"/>
    <n v="10"/>
    <n v="800"/>
    <n v="0"/>
    <n v="800"/>
    <n v="460"/>
    <n v="340"/>
    <n v="0.42499999999999999"/>
    <s v="Understocked"/>
    <s v="Safe"/>
    <n v="0.42499999999999999"/>
    <s v="Safe"/>
    <n v="170"/>
    <n v="0.42499999999999999"/>
  </r>
  <r>
    <s v="ORD-10557"/>
    <x v="278"/>
    <s v="P019"/>
    <x v="18"/>
    <s v="Electronics"/>
    <s v="Audio"/>
    <s v="SoundBeat"/>
    <s v="B02"/>
    <x v="4"/>
    <s v="Abuja"/>
    <x v="2"/>
    <s v="Walk-in"/>
    <s v="Transfer"/>
    <n v="5"/>
    <n v="12500"/>
    <n v="18500"/>
    <n v="0.2"/>
    <x v="4"/>
    <n v="11"/>
    <n v="92500"/>
    <n v="18500"/>
    <n v="74000"/>
    <n v="62500"/>
    <n v="11500"/>
    <n v="0.1554054054054054"/>
    <s v="Understocked"/>
    <s v="Safe"/>
    <n v="0.32432432432432434"/>
    <s v="Safe"/>
    <n v="6000"/>
    <n v="0.32432432432432434"/>
  </r>
  <r>
    <s v="ORD-10558"/>
    <x v="164"/>
    <s v="P013"/>
    <x v="11"/>
    <s v="Personal Care"/>
    <s v="Skin Care"/>
    <s v="GlowPlus"/>
    <s v="B07"/>
    <x v="3"/>
    <s v="Enugu"/>
    <x v="3"/>
    <s v="Member"/>
    <s v="Transfer"/>
    <n v="3"/>
    <n v="3500"/>
    <n v="5200"/>
    <n v="0.05"/>
    <x v="10"/>
    <n v="1"/>
    <n v="15600"/>
    <n v="780"/>
    <n v="14820"/>
    <n v="10500"/>
    <n v="4320"/>
    <n v="0.291497975708502"/>
    <s v="Healthy"/>
    <s v="Safe"/>
    <n v="0.32692307692307693"/>
    <s v="Safe"/>
    <n v="1700"/>
    <n v="0.32692307692307693"/>
  </r>
  <r>
    <s v="ORD-10559"/>
    <x v="144"/>
    <s v="P010"/>
    <x v="22"/>
    <s v="Household"/>
    <s v="Paper Products"/>
    <s v="SoftCare"/>
    <s v="B05"/>
    <x v="0"/>
    <s v="Kano"/>
    <x v="0"/>
    <s v="Walk-in"/>
    <s v="Transfer"/>
    <n v="3"/>
    <n v="3200"/>
    <n v="4500"/>
    <n v="0"/>
    <x v="10"/>
    <n v="2"/>
    <n v="13500"/>
    <n v="0"/>
    <n v="13500"/>
    <n v="9600"/>
    <n v="3900"/>
    <n v="0.28888888888888886"/>
    <s v="Healthy"/>
    <s v="Safe"/>
    <n v="0.28888888888888886"/>
    <s v="Safe"/>
    <n v="1300"/>
    <n v="0.28888888888888886"/>
  </r>
  <r>
    <s v="ORD-10560"/>
    <x v="89"/>
    <s v="P019"/>
    <x v="18"/>
    <s v="Electronics"/>
    <s v="Audio"/>
    <s v="SoundBeat"/>
    <s v="B03"/>
    <x v="6"/>
    <s v="Lagos"/>
    <x v="4"/>
    <s v="Walk-in"/>
    <s v="POS"/>
    <n v="2"/>
    <n v="12500"/>
    <n v="18500"/>
    <n v="0.05"/>
    <x v="4"/>
    <n v="10"/>
    <n v="37000"/>
    <n v="1850"/>
    <n v="35150"/>
    <n v="25000"/>
    <n v="10150"/>
    <n v="0.28876244665718348"/>
    <s v="Understocked"/>
    <s v="Safe"/>
    <n v="0.32432432432432434"/>
    <s v="Safe"/>
    <n v="6000"/>
    <n v="0.32432432432432434"/>
  </r>
  <r>
    <s v="ORD-10561"/>
    <x v="9"/>
    <s v="P015"/>
    <x v="8"/>
    <s v="Personal Care"/>
    <s v="Bath"/>
    <s v="SilkyTouch"/>
    <s v="B03"/>
    <x v="6"/>
    <s v="Lagos"/>
    <x v="4"/>
    <s v="Walk-in"/>
    <s v="Card"/>
    <n v="1"/>
    <n v="600"/>
    <n v="950"/>
    <n v="0.05"/>
    <x v="11"/>
    <n v="14"/>
    <n v="950"/>
    <n v="47.5"/>
    <n v="902.5"/>
    <n v="600"/>
    <n v="302.5"/>
    <n v="0.33518005540166207"/>
    <s v="Healthy"/>
    <s v="Safe"/>
    <n v="0.36842105263157893"/>
    <s v="Safe"/>
    <n v="350"/>
    <n v="0.36842105263157893"/>
  </r>
  <r>
    <s v="ORD-10562"/>
    <x v="279"/>
    <s v="P009"/>
    <x v="13"/>
    <s v="Household"/>
    <s v="Cleaning"/>
    <s v="BrightWash"/>
    <s v="B02"/>
    <x v="4"/>
    <s v="Abuja"/>
    <x v="2"/>
    <s v="Walk-in"/>
    <s v="Cash"/>
    <n v="2"/>
    <n v="2400"/>
    <n v="3400"/>
    <n v="0"/>
    <x v="1"/>
    <n v="1"/>
    <n v="6800"/>
    <n v="0"/>
    <n v="6800"/>
    <n v="4800"/>
    <n v="2000"/>
    <n v="0.29411764705882354"/>
    <s v="Healthy"/>
    <s v="Safe"/>
    <n v="0.29411764705882354"/>
    <s v="Safe"/>
    <n v="1000"/>
    <n v="0.29411764705882354"/>
  </r>
  <r>
    <s v="ORD-10563"/>
    <x v="110"/>
    <s v="P004"/>
    <x v="1"/>
    <s v="Beverages"/>
    <s v="Dairy"/>
    <s v="FreshDay"/>
    <s v="B03"/>
    <x v="6"/>
    <s v="Lagos"/>
    <x v="4"/>
    <s v="Walk-in"/>
    <s v="Transfer"/>
    <n v="3"/>
    <n v="1650"/>
    <n v="2200"/>
    <n v="0.15"/>
    <x v="3"/>
    <n v="14"/>
    <n v="6600"/>
    <n v="990"/>
    <n v="5610"/>
    <n v="4950"/>
    <n v="660"/>
    <n v="0.11764705882352941"/>
    <s v="Understocked"/>
    <s v="Safe"/>
    <n v="0.25"/>
    <s v="Safe"/>
    <n v="550"/>
    <n v="0.25"/>
  </r>
  <r>
    <s v="ORD-10564"/>
    <x v="216"/>
    <s v="P014"/>
    <x v="15"/>
    <s v="Personal Care"/>
    <s v="Oral Care"/>
    <s v="FreshMint"/>
    <s v="B01"/>
    <x v="2"/>
    <s v="Abuja"/>
    <x v="2"/>
    <s v="Member"/>
    <s v="POS"/>
    <n v="4"/>
    <n v="1200"/>
    <n v="1900"/>
    <n v="0.05"/>
    <x v="6"/>
    <n v="5"/>
    <n v="7600"/>
    <n v="380"/>
    <n v="7220"/>
    <n v="4800"/>
    <n v="2420"/>
    <n v="0.33518005540166207"/>
    <s v="Healthy"/>
    <s v="Safe"/>
    <n v="0.36842105263157893"/>
    <s v="Safe"/>
    <n v="700"/>
    <n v="0.36842105263157893"/>
  </r>
  <r>
    <s v="ORD-10565"/>
    <x v="215"/>
    <s v="P020"/>
    <x v="5"/>
    <s v="Electronics"/>
    <s v="Lighting"/>
    <s v="Luma"/>
    <s v="B07"/>
    <x v="3"/>
    <s v="Enugu"/>
    <x v="3"/>
    <s v="Walk-in"/>
    <s v="POS"/>
    <n v="2"/>
    <n v="1500"/>
    <n v="2500"/>
    <n v="0.15"/>
    <x v="12"/>
    <n v="5"/>
    <n v="5000"/>
    <n v="750"/>
    <n v="4250"/>
    <n v="3000"/>
    <n v="1250"/>
    <n v="0.29411764705882354"/>
    <s v="Healthy"/>
    <s v="Safe"/>
    <n v="0.4"/>
    <s v="Safe"/>
    <n v="1000"/>
    <n v="0.4"/>
  </r>
  <r>
    <s v="ORD-10566"/>
    <x v="228"/>
    <s v="P013"/>
    <x v="11"/>
    <s v="Personal Care"/>
    <s v="Skin Care"/>
    <s v="GlowPlus"/>
    <s v="B02"/>
    <x v="4"/>
    <s v="Abuja"/>
    <x v="2"/>
    <s v="Walk-in"/>
    <s v="POS"/>
    <n v="1"/>
    <n v="3500"/>
    <n v="5200"/>
    <n v="0"/>
    <x v="10"/>
    <n v="2"/>
    <n v="5200"/>
    <n v="0"/>
    <n v="5200"/>
    <n v="3500"/>
    <n v="1700"/>
    <n v="0.32692307692307693"/>
    <s v="Healthy"/>
    <s v="Safe"/>
    <n v="0.32692307692307693"/>
    <s v="Safe"/>
    <n v="1700"/>
    <n v="0.32692307692307693"/>
  </r>
  <r>
    <s v="ORD-10567"/>
    <x v="64"/>
    <s v="P006"/>
    <x v="0"/>
    <s v="Beverages"/>
    <s v="Water"/>
    <s v="AquaPure"/>
    <s v="B01"/>
    <x v="2"/>
    <s v="Abuja"/>
    <x v="2"/>
    <s v="Walk-in"/>
    <s v="Transfer"/>
    <n v="3"/>
    <n v="230"/>
    <n v="400"/>
    <n v="0.05"/>
    <x v="2"/>
    <n v="5"/>
    <n v="1200"/>
    <n v="60"/>
    <n v="1140"/>
    <n v="690"/>
    <n v="450"/>
    <n v="0.39473684210526316"/>
    <s v="Understocked"/>
    <s v="Safe"/>
    <n v="0.42499999999999999"/>
    <s v="Safe"/>
    <n v="170"/>
    <n v="0.42499999999999999"/>
  </r>
  <r>
    <s v="ORD-10568"/>
    <x v="280"/>
    <s v="P018"/>
    <x v="16"/>
    <s v="Electronics"/>
    <s v="Mobile Accessories"/>
    <s v="VoltSafe"/>
    <s v="B04"/>
    <x v="5"/>
    <s v="Lagos"/>
    <x v="4"/>
    <s v="Member"/>
    <s v="POS"/>
    <n v="1"/>
    <n v="18000"/>
    <n v="24500"/>
    <n v="0.05"/>
    <x v="4"/>
    <n v="3"/>
    <n v="24500"/>
    <n v="1225"/>
    <n v="23275"/>
    <n v="18000"/>
    <n v="5275"/>
    <n v="0.22663802363050484"/>
    <s v="Understocked"/>
    <s v="Safe"/>
    <n v="0.26530612244897961"/>
    <s v="Safe"/>
    <n v="6500"/>
    <n v="0.26530612244897961"/>
  </r>
  <r>
    <s v="ORD-10569"/>
    <x v="86"/>
    <s v="P001"/>
    <x v="14"/>
    <s v="Food"/>
    <s v="Grains"/>
    <s v="Golden Harvest"/>
    <s v="B03"/>
    <x v="6"/>
    <s v="Lagos"/>
    <x v="4"/>
    <s v="Member"/>
    <s v="POS"/>
    <n v="1"/>
    <n v="14500"/>
    <n v="17500"/>
    <n v="0.05"/>
    <x v="1"/>
    <n v="14"/>
    <n v="17500"/>
    <n v="875"/>
    <n v="16625"/>
    <n v="14500"/>
    <n v="2125"/>
    <n v="0.12781954887218044"/>
    <s v="Understocked"/>
    <s v="Safe"/>
    <n v="0.17142857142857143"/>
    <s v="Safe"/>
    <n v="3000"/>
    <n v="0.17142857142857143"/>
  </r>
  <r>
    <s v="ORD-10570"/>
    <x v="244"/>
    <s v="P013"/>
    <x v="11"/>
    <s v="Personal Care"/>
    <s v="Skin Care"/>
    <s v="GlowPlus"/>
    <s v="B03"/>
    <x v="6"/>
    <s v="Lagos"/>
    <x v="4"/>
    <s v="Member"/>
    <s v="POS"/>
    <n v="5"/>
    <n v="3500"/>
    <n v="5200"/>
    <n v="0.1"/>
    <x v="11"/>
    <n v="10"/>
    <n v="26000"/>
    <n v="2600"/>
    <n v="23400"/>
    <n v="17500"/>
    <n v="5900"/>
    <n v="0.25213675213675213"/>
    <s v="Healthy"/>
    <s v="Safe"/>
    <n v="0.32692307692307693"/>
    <s v="Safe"/>
    <n v="1700"/>
    <n v="0.32692307692307693"/>
  </r>
  <r>
    <s v="ORD-10571"/>
    <x v="209"/>
    <s v="P008"/>
    <x v="4"/>
    <s v="Beverages"/>
    <s v="Soft Drinks"/>
    <s v="Sparkle"/>
    <s v="B04"/>
    <x v="5"/>
    <s v="Lagos"/>
    <x v="4"/>
    <s v="Walk-in"/>
    <s v="Card"/>
    <n v="4"/>
    <n v="330"/>
    <n v="550"/>
    <n v="0.1"/>
    <x v="3"/>
    <n v="3"/>
    <n v="2200"/>
    <n v="220"/>
    <n v="1980"/>
    <n v="1320"/>
    <n v="660"/>
    <n v="0.33333333333333331"/>
    <s v="Healthy"/>
    <s v="Safe"/>
    <n v="0.4"/>
    <s v="Safe"/>
    <n v="220"/>
    <n v="0.4"/>
  </r>
  <r>
    <s v="ORD-10572"/>
    <x v="195"/>
    <s v="P005"/>
    <x v="2"/>
    <s v="Food"/>
    <s v="Snacks"/>
    <s v="CrispyBite"/>
    <s v="B03"/>
    <x v="6"/>
    <s v="Lagos"/>
    <x v="4"/>
    <s v="Walk-in"/>
    <s v="POS"/>
    <n v="1"/>
    <n v="850"/>
    <n v="1300"/>
    <n v="0.15"/>
    <x v="8"/>
    <n v="8"/>
    <n v="1300"/>
    <n v="195"/>
    <n v="1105"/>
    <n v="850"/>
    <n v="255"/>
    <n v="0.23076923076923078"/>
    <s v="Understocked"/>
    <s v="Safe"/>
    <n v="0.34615384615384615"/>
    <s v="Safe"/>
    <n v="450"/>
    <n v="0.34615384615384615"/>
  </r>
  <r>
    <s v="ORD-10573"/>
    <x v="61"/>
    <s v="P008"/>
    <x v="4"/>
    <s v="Beverages"/>
    <s v="Soft Drinks"/>
    <s v="Sparkle"/>
    <s v="B03"/>
    <x v="6"/>
    <s v="Lagos"/>
    <x v="4"/>
    <s v="Member"/>
    <s v="POS"/>
    <n v="2"/>
    <n v="330"/>
    <n v="550"/>
    <n v="0"/>
    <x v="3"/>
    <n v="9"/>
    <n v="1100"/>
    <n v="0"/>
    <n v="1100"/>
    <n v="660"/>
    <n v="440"/>
    <n v="0.4"/>
    <s v="Healthy"/>
    <s v="Safe"/>
    <n v="0.4"/>
    <s v="Safe"/>
    <n v="220"/>
    <n v="0.4"/>
  </r>
  <r>
    <s v="ORD-10574"/>
    <x v="247"/>
    <s v="P006"/>
    <x v="0"/>
    <s v="Beverages"/>
    <s v="Water"/>
    <s v="AquaPure"/>
    <s v="B05"/>
    <x v="0"/>
    <s v="Kano"/>
    <x v="0"/>
    <s v="Walk-in"/>
    <s v="Transfer"/>
    <n v="5"/>
    <n v="230"/>
    <n v="400"/>
    <n v="0.05"/>
    <x v="0"/>
    <n v="4"/>
    <n v="2000"/>
    <n v="100"/>
    <n v="1900"/>
    <n v="1150"/>
    <n v="750"/>
    <n v="0.39473684210526316"/>
    <s v="Understocked"/>
    <s v="Safe"/>
    <n v="0.42499999999999999"/>
    <s v="Safe"/>
    <n v="170"/>
    <n v="0.42499999999999999"/>
  </r>
  <r>
    <s v="ORD-10575"/>
    <x v="85"/>
    <s v="P007"/>
    <x v="3"/>
    <s v="Beverages"/>
    <s v="Malt"/>
    <s v="Naija Malt"/>
    <s v="B03"/>
    <x v="6"/>
    <s v="Lagos"/>
    <x v="4"/>
    <s v="Member"/>
    <s v="Transfer"/>
    <n v="5"/>
    <n v="550"/>
    <n v="850"/>
    <n v="0.1"/>
    <x v="2"/>
    <n v="9"/>
    <n v="4250"/>
    <n v="425"/>
    <n v="3825"/>
    <n v="2750"/>
    <n v="1075"/>
    <n v="0.28104575163398693"/>
    <s v="Healthy"/>
    <s v="Safe"/>
    <n v="0.35294117647058826"/>
    <s v="Safe"/>
    <n v="300"/>
    <n v="0.35294117647058826"/>
  </r>
  <r>
    <s v="ORD-10576"/>
    <x v="132"/>
    <s v="P014"/>
    <x v="15"/>
    <s v="Personal Care"/>
    <s v="Oral Care"/>
    <s v="FreshMint"/>
    <s v="B01"/>
    <x v="2"/>
    <s v="Abuja"/>
    <x v="2"/>
    <s v="Walk-in"/>
    <s v="POS"/>
    <n v="8"/>
    <n v="1200"/>
    <n v="1900"/>
    <n v="0.1"/>
    <x v="11"/>
    <n v="6"/>
    <n v="15200"/>
    <n v="1520"/>
    <n v="13680"/>
    <n v="9600"/>
    <n v="4080"/>
    <n v="0.2982456140350877"/>
    <s v="Healthy"/>
    <s v="Safe"/>
    <n v="0.36842105263157893"/>
    <s v="Safe"/>
    <n v="700"/>
    <n v="0.36842105263157893"/>
  </r>
  <r>
    <s v="ORD-10577"/>
    <x v="80"/>
    <s v="P004"/>
    <x v="1"/>
    <s v="Beverages"/>
    <s v="Dairy"/>
    <s v="FreshDay"/>
    <s v="B08"/>
    <x v="7"/>
    <s v="Kwara"/>
    <x v="2"/>
    <s v="Member"/>
    <s v="POS"/>
    <n v="1"/>
    <n v="1650"/>
    <n v="2200"/>
    <n v="0"/>
    <x v="2"/>
    <n v="6"/>
    <n v="2200"/>
    <n v="0"/>
    <n v="2200"/>
    <n v="1650"/>
    <n v="550"/>
    <n v="0.25"/>
    <s v="Understocked"/>
    <s v="Safe"/>
    <n v="0.25"/>
    <s v="Safe"/>
    <n v="550"/>
    <n v="0.25"/>
  </r>
  <r>
    <s v="ORD-10578"/>
    <x v="162"/>
    <s v="P002"/>
    <x v="10"/>
    <s v="Food"/>
    <s v="Grains"/>
    <s v="Mama's Pride"/>
    <s v="B02"/>
    <x v="4"/>
    <s v="Abuja"/>
    <x v="2"/>
    <s v="Member"/>
    <s v="POS"/>
    <n v="1"/>
    <n v="6200"/>
    <n v="7900"/>
    <n v="0.1"/>
    <x v="9"/>
    <n v="11"/>
    <n v="7900"/>
    <n v="790"/>
    <n v="7110"/>
    <n v="6200"/>
    <n v="910"/>
    <n v="0.12798874824191281"/>
    <s v="Healthy"/>
    <s v="Safe"/>
    <n v="0.21518987341772153"/>
    <s v="Safe"/>
    <n v="1700"/>
    <n v="0.21518987341772153"/>
  </r>
  <r>
    <s v="ORD-10579"/>
    <x v="258"/>
    <s v="P006"/>
    <x v="0"/>
    <s v="Beverages"/>
    <s v="Water"/>
    <s v="AquaPure"/>
    <s v="B05"/>
    <x v="0"/>
    <s v="Kano"/>
    <x v="0"/>
    <s v="Member"/>
    <s v="Card"/>
    <n v="2"/>
    <n v="230"/>
    <n v="400"/>
    <n v="0"/>
    <x v="0"/>
    <n v="5"/>
    <n v="800"/>
    <n v="0"/>
    <n v="800"/>
    <n v="460"/>
    <n v="340"/>
    <n v="0.42499999999999999"/>
    <s v="Understocked"/>
    <s v="Safe"/>
    <n v="0.42499999999999999"/>
    <s v="Safe"/>
    <n v="170"/>
    <n v="0.42499999999999999"/>
  </r>
  <r>
    <s v="ORD-10580"/>
    <x v="34"/>
    <s v="P015"/>
    <x v="8"/>
    <s v="Personal Care"/>
    <s v="Bath"/>
    <s v="SilkyTouch"/>
    <s v="B07"/>
    <x v="3"/>
    <s v="Enugu"/>
    <x v="3"/>
    <s v="Member"/>
    <s v="Transfer"/>
    <n v="10"/>
    <n v="600"/>
    <n v="950"/>
    <n v="0.1"/>
    <x v="6"/>
    <n v="14"/>
    <n v="9500"/>
    <n v="950"/>
    <n v="8550"/>
    <n v="6000"/>
    <n v="2550"/>
    <n v="0.2982456140350877"/>
    <s v="Healthy"/>
    <s v="Safe"/>
    <n v="0.36842105263157893"/>
    <s v="Safe"/>
    <n v="350"/>
    <n v="0.36842105263157893"/>
  </r>
  <r>
    <s v="ORD-10581"/>
    <x v="167"/>
    <s v="P021"/>
    <x v="20"/>
    <s v="Office Supplies"/>
    <s v="Paper"/>
    <s v="OfficeMate"/>
    <s v="B08"/>
    <x v="7"/>
    <s v="Kwara"/>
    <x v="2"/>
    <s v="Corporate"/>
    <s v="Cash"/>
    <n v="1"/>
    <n v="5200"/>
    <n v="7000"/>
    <n v="0.15"/>
    <x v="14"/>
    <n v="14"/>
    <n v="7000"/>
    <n v="1050"/>
    <n v="5950"/>
    <n v="5200"/>
    <n v="750"/>
    <n v="0.12605042016806722"/>
    <s v="Overstocked"/>
    <s v="Safe"/>
    <n v="0.25714285714285712"/>
    <s v="Safe"/>
    <n v="1800"/>
    <n v="0.25714285714285712"/>
  </r>
  <r>
    <s v="ORD-10582"/>
    <x v="281"/>
    <s v="P015"/>
    <x v="8"/>
    <s v="Personal Care"/>
    <s v="Bath"/>
    <s v="SilkyTouch"/>
    <s v="B03"/>
    <x v="6"/>
    <s v="Lagos"/>
    <x v="4"/>
    <s v="Walk-in"/>
    <s v="POS"/>
    <n v="2"/>
    <n v="600"/>
    <n v="950"/>
    <n v="0.05"/>
    <x v="10"/>
    <n v="3"/>
    <n v="1900"/>
    <n v="95"/>
    <n v="1805"/>
    <n v="1200"/>
    <n v="605"/>
    <n v="0.33518005540166207"/>
    <s v="Healthy"/>
    <s v="Safe"/>
    <n v="0.36842105263157893"/>
    <s v="Safe"/>
    <n v="350"/>
    <n v="0.36842105263157893"/>
  </r>
  <r>
    <s v="ORD-10583"/>
    <x v="251"/>
    <s v="P010"/>
    <x v="22"/>
    <s v="Household"/>
    <s v="Paper Products"/>
    <s v="SoftCare"/>
    <s v="B07"/>
    <x v="3"/>
    <s v="Enugu"/>
    <x v="3"/>
    <s v="Walk-in"/>
    <s v="POS"/>
    <n v="-2"/>
    <n v="3200"/>
    <n v="4500"/>
    <n v="0.05"/>
    <x v="7"/>
    <n v="3"/>
    <n v="-9000"/>
    <n v="-450"/>
    <n v="-8550"/>
    <n v="-6400"/>
    <n v="-2150"/>
    <n v="0.25146198830409355"/>
    <s v="Healthy"/>
    <s v="Discount loss"/>
    <n v="0.28888888888888886"/>
    <s v="Safe"/>
    <n v="1300"/>
    <n v="0.28888888888888886"/>
  </r>
  <r>
    <s v="ORD-10584"/>
    <x v="282"/>
    <s v="P003"/>
    <x v="12"/>
    <s v="Food"/>
    <s v="Cooking Oil"/>
    <s v="SunGold"/>
    <s v="B07"/>
    <x v="3"/>
    <s v="Enugu"/>
    <x v="3"/>
    <s v="Walk-in"/>
    <s v="Cash"/>
    <n v="4"/>
    <n v="7800"/>
    <n v="9800"/>
    <n v="0.2"/>
    <x v="8"/>
    <n v="14"/>
    <n v="39200"/>
    <n v="7840"/>
    <n v="31360"/>
    <n v="31200"/>
    <n v="160"/>
    <n v="5.1020408163265302E-3"/>
    <s v="Understocked"/>
    <s v="Safe"/>
    <n v="0.20408163265306123"/>
    <s v="Safe"/>
    <n v="2000"/>
    <n v="0.20408163265306123"/>
  </r>
  <r>
    <s v="ORD-10585"/>
    <x v="37"/>
    <s v="P012"/>
    <x v="21"/>
    <s v="Household"/>
    <s v="Home Care"/>
    <s v="HomeFresh"/>
    <s v="B03"/>
    <x v="6"/>
    <s v="Lagos"/>
    <x v="4"/>
    <s v="Walk-in"/>
    <s v="Transfer"/>
    <n v="1"/>
    <n v="1700"/>
    <n v="2600"/>
    <n v="0.05"/>
    <x v="10"/>
    <n v="4"/>
    <n v="2600"/>
    <n v="130"/>
    <n v="2470"/>
    <n v="1700"/>
    <n v="770"/>
    <n v="0.31174089068825911"/>
    <s v="Overstocked"/>
    <s v="Safe"/>
    <n v="0.34615384615384615"/>
    <s v="Safe"/>
    <n v="900"/>
    <n v="0.34615384615384615"/>
  </r>
  <r>
    <s v="ORD-10586"/>
    <x v="178"/>
    <s v="P001"/>
    <x v="14"/>
    <s v="Food"/>
    <s v="Grains"/>
    <s v="Golden Harvest"/>
    <s v="B04"/>
    <x v="5"/>
    <s v="Lagos"/>
    <x v="4"/>
    <s v="Walk-in"/>
    <s v="POS"/>
    <n v="4"/>
    <n v="14500"/>
    <n v="17500"/>
    <n v="0.1"/>
    <x v="1"/>
    <n v="6"/>
    <n v="70000"/>
    <n v="7000"/>
    <n v="63000"/>
    <n v="58000"/>
    <n v="5000"/>
    <n v="7.9365079365079361E-2"/>
    <s v="Understocked"/>
    <s v="Safe"/>
    <n v="0.17142857142857143"/>
    <s v="Safe"/>
    <n v="3000"/>
    <n v="0.17142857142857143"/>
  </r>
  <r>
    <s v="ORD-10587"/>
    <x v="229"/>
    <s v="P010"/>
    <x v="22"/>
    <s v="Household"/>
    <s v="Paper Products"/>
    <s v="SoftCare"/>
    <s v="B06"/>
    <x v="1"/>
    <s v="Rivers"/>
    <x v="1"/>
    <s v="Member"/>
    <s v="Cash"/>
    <n v="1"/>
    <n v="3200"/>
    <n v="4500"/>
    <n v="0.05"/>
    <x v="1"/>
    <n v="9"/>
    <n v="4500"/>
    <n v="225"/>
    <n v="4275"/>
    <n v="3200"/>
    <n v="1075"/>
    <n v="0.25146198830409355"/>
    <s v="Healthy"/>
    <s v="Safe"/>
    <n v="0.28888888888888886"/>
    <s v="Safe"/>
    <n v="1300"/>
    <n v="0.28888888888888886"/>
  </r>
  <r>
    <s v="ORD-10588"/>
    <x v="89"/>
    <s v="P008"/>
    <x v="4"/>
    <s v="Beverages"/>
    <s v="Soft Drinks"/>
    <s v="Sparkle"/>
    <s v="B01"/>
    <x v="2"/>
    <s v="Abuja"/>
    <x v="2"/>
    <s v="Walk-in"/>
    <s v="POS"/>
    <n v="6"/>
    <n v="330"/>
    <n v="550"/>
    <n v="0"/>
    <x v="0"/>
    <n v="2"/>
    <n v="3300"/>
    <n v="0"/>
    <n v="3300"/>
    <n v="1980"/>
    <n v="1320"/>
    <n v="0.4"/>
    <s v="Healthy"/>
    <s v="Safe"/>
    <n v="0.4"/>
    <s v="Safe"/>
    <n v="220"/>
    <n v="0.4"/>
  </r>
  <r>
    <s v="ORD-10589"/>
    <x v="47"/>
    <s v="P018"/>
    <x v="16"/>
    <s v="Electronics"/>
    <s v="Mobile Accessories"/>
    <s v="VoltSafe"/>
    <s v="B03"/>
    <x v="6"/>
    <s v="Lagos"/>
    <x v="4"/>
    <s v="Member"/>
    <s v="Transfer"/>
    <n v="1"/>
    <n v="18000"/>
    <n v="24500"/>
    <n v="0.05"/>
    <x v="12"/>
    <n v="8"/>
    <n v="24500"/>
    <n v="1225"/>
    <n v="23275"/>
    <n v="18000"/>
    <n v="5275"/>
    <n v="0.22663802363050484"/>
    <s v="Understocked"/>
    <s v="Safe"/>
    <n v="0.26530612244897961"/>
    <s v="Safe"/>
    <n v="6500"/>
    <n v="0.26530612244897961"/>
  </r>
  <r>
    <s v="ORD-10590"/>
    <x v="225"/>
    <s v="P008"/>
    <x v="4"/>
    <s v="Beverages"/>
    <s v="Soft Drinks"/>
    <s v="Sparkle"/>
    <s v="B08"/>
    <x v="7"/>
    <s v="Kwara"/>
    <x v="2"/>
    <s v="Walk-in"/>
    <s v="POS"/>
    <n v="5"/>
    <n v="330"/>
    <n v="550"/>
    <n v="0"/>
    <x v="0"/>
    <n v="5"/>
    <n v="2750"/>
    <n v="0"/>
    <n v="2750"/>
    <n v="1650"/>
    <n v="1100"/>
    <n v="0.4"/>
    <s v="Healthy"/>
    <s v="Safe"/>
    <n v="0.4"/>
    <s v="Safe"/>
    <n v="220"/>
    <n v="0.4"/>
  </r>
  <r>
    <s v="ORD-10591"/>
    <x v="159"/>
    <s v="P005"/>
    <x v="2"/>
    <s v="Food"/>
    <s v="Snacks"/>
    <s v="CrispyBite"/>
    <s v="B05"/>
    <x v="0"/>
    <s v="Kano"/>
    <x v="0"/>
    <s v="Member"/>
    <s v="Card"/>
    <n v="3"/>
    <n v="850"/>
    <n v="1300"/>
    <n v="0.1"/>
    <x v="1"/>
    <n v="10"/>
    <n v="3900"/>
    <n v="390"/>
    <n v="3510"/>
    <n v="2550"/>
    <n v="960"/>
    <n v="0.27350427350427353"/>
    <s v="Understocked"/>
    <s v="Safe"/>
    <n v="0.34615384615384615"/>
    <s v="Safe"/>
    <n v="450"/>
    <n v="0.34615384615384615"/>
  </r>
  <r>
    <s v="ORD-10592"/>
    <x v="43"/>
    <s v="P002"/>
    <x v="10"/>
    <s v="Food"/>
    <s v="Grains"/>
    <s v="Mama's Pride"/>
    <s v="B04"/>
    <x v="5"/>
    <s v="Lagos"/>
    <x v="4"/>
    <s v="Walk-in"/>
    <s v="Card"/>
    <n v="5"/>
    <n v="6200"/>
    <n v="7900"/>
    <n v="0"/>
    <x v="8"/>
    <n v="1"/>
    <n v="39500"/>
    <n v="0"/>
    <n v="39500"/>
    <n v="31000"/>
    <n v="8500"/>
    <n v="0.21518987341772153"/>
    <s v="Healthy"/>
    <s v="Safe"/>
    <n v="0.21518987341772153"/>
    <s v="Safe"/>
    <n v="1700"/>
    <n v="0.21518987341772153"/>
  </r>
  <r>
    <s v="ORD-10593"/>
    <x v="178"/>
    <s v="P004"/>
    <x v="1"/>
    <s v="Beverages"/>
    <s v="Dairy"/>
    <s v="FreshDay"/>
    <s v="B04"/>
    <x v="5"/>
    <s v="Lagos"/>
    <x v="4"/>
    <s v="Member"/>
    <s v="Card"/>
    <n v="1"/>
    <n v="1650"/>
    <n v="2200"/>
    <n v="0.05"/>
    <x v="0"/>
    <n v="4"/>
    <n v="2200"/>
    <n v="110"/>
    <n v="2090"/>
    <n v="1650"/>
    <n v="440"/>
    <n v="0.21052631578947367"/>
    <s v="Understocked"/>
    <s v="Safe"/>
    <n v="0.25"/>
    <s v="Safe"/>
    <n v="550"/>
    <n v="0.25"/>
  </r>
  <r>
    <s v="ORD-10594"/>
    <x v="283"/>
    <s v="P020"/>
    <x v="5"/>
    <s v="Electronics"/>
    <s v="Lighting"/>
    <s v="Luma"/>
    <s v="B03"/>
    <x v="6"/>
    <s v="Lagos"/>
    <x v="4"/>
    <s v="Corporate"/>
    <s v="Cash"/>
    <n v="1"/>
    <n v="1500"/>
    <n v="2500"/>
    <n v="0"/>
    <x v="13"/>
    <n v="13"/>
    <n v="2500"/>
    <n v="0"/>
    <n v="2500"/>
    <n v="1500"/>
    <n v="1000"/>
    <n v="0.4"/>
    <s v="Healthy"/>
    <s v="Safe"/>
    <n v="0.4"/>
    <s v="Safe"/>
    <n v="1000"/>
    <n v="0.4"/>
  </r>
  <r>
    <s v="ORD-10595"/>
    <x v="190"/>
    <s v="P005"/>
    <x v="2"/>
    <s v="Food"/>
    <s v="Snacks"/>
    <s v="CrispyBite"/>
    <s v="B03"/>
    <x v="6"/>
    <s v="Lagos"/>
    <x v="4"/>
    <s v="Member"/>
    <s v="Transfer"/>
    <n v="3"/>
    <n v="850"/>
    <n v="1300"/>
    <n v="0"/>
    <x v="1"/>
    <n v="5"/>
    <n v="3900"/>
    <n v="0"/>
    <n v="3900"/>
    <n v="2550"/>
    <n v="1350"/>
    <n v="0.34615384615384615"/>
    <s v="Understocked"/>
    <s v="Safe"/>
    <n v="0.34615384615384615"/>
    <s v="Safe"/>
    <n v="450"/>
    <n v="0.34615384615384615"/>
  </r>
  <r>
    <s v="ORD-10596"/>
    <x v="284"/>
    <s v="P001"/>
    <x v="14"/>
    <s v="Food"/>
    <s v="Grains"/>
    <s v="Golden Harvest"/>
    <s v="B04"/>
    <x v="5"/>
    <s v="Lagos"/>
    <x v="4"/>
    <s v="Corporate"/>
    <s v="POS"/>
    <n v="3"/>
    <n v="14500"/>
    <n v="17500"/>
    <n v="0.05"/>
    <x v="9"/>
    <n v="7"/>
    <n v="52500"/>
    <n v="2625"/>
    <n v="49875"/>
    <n v="43500"/>
    <n v="6375"/>
    <n v="0.12781954887218044"/>
    <s v="Understocked"/>
    <s v="Safe"/>
    <n v="0.17142857142857143"/>
    <s v="Safe"/>
    <n v="3000"/>
    <n v="0.17142857142857143"/>
  </r>
  <r>
    <s v="ORD-10597"/>
    <x v="45"/>
    <s v="P008"/>
    <x v="4"/>
    <s v="Beverages"/>
    <s v="Soft Drinks"/>
    <s v="Sparkle"/>
    <s v="B02"/>
    <x v="4"/>
    <s v="Abuja"/>
    <x v="2"/>
    <s v="Corporate"/>
    <s v="Transfer"/>
    <n v="6"/>
    <n v="330"/>
    <n v="550"/>
    <n v="0"/>
    <x v="0"/>
    <n v="6"/>
    <n v="3300"/>
    <n v="0"/>
    <n v="3300"/>
    <n v="1980"/>
    <n v="1320"/>
    <n v="0.4"/>
    <s v="Healthy"/>
    <s v="Safe"/>
    <n v="0.4"/>
    <s v="Safe"/>
    <n v="220"/>
    <n v="0.4"/>
  </r>
  <r>
    <s v="ORD-10598"/>
    <x v="6"/>
    <s v="P023"/>
    <x v="6"/>
    <s v="Office Supplies"/>
    <s v="Stationery"/>
    <s v="StudyPro"/>
    <s v="B01"/>
    <x v="2"/>
    <s v="Abuja"/>
    <x v="2"/>
    <s v="Member"/>
    <s v="POS"/>
    <n v="3"/>
    <n v="2800"/>
    <n v="4200"/>
    <n v="0.05"/>
    <x v="5"/>
    <n v="14"/>
    <n v="12600"/>
    <n v="630"/>
    <n v="11970"/>
    <n v="8400"/>
    <n v="3570"/>
    <n v="0.2982456140350877"/>
    <s v="Understocked"/>
    <s v="Safe"/>
    <n v="0.33333333333333331"/>
    <s v="Safe"/>
    <n v="1400"/>
    <n v="0.33333333333333331"/>
  </r>
  <r>
    <s v="ORD-10599"/>
    <x v="52"/>
    <s v="P006"/>
    <x v="0"/>
    <s v="Beverages"/>
    <s v="Water"/>
    <s v="AquaPure"/>
    <s v="B01"/>
    <x v="2"/>
    <s v="Abuja"/>
    <x v="2"/>
    <s v="Member"/>
    <s v="POS"/>
    <n v="4"/>
    <n v="230"/>
    <n v="400"/>
    <n v="0.05"/>
    <x v="0"/>
    <n v="11"/>
    <n v="1600"/>
    <n v="80"/>
    <n v="1520"/>
    <n v="920"/>
    <n v="600"/>
    <n v="0.39473684210526316"/>
    <s v="Understocked"/>
    <s v="Safe"/>
    <n v="0.42499999999999999"/>
    <s v="Safe"/>
    <n v="170"/>
    <n v="0.42499999999999999"/>
  </r>
  <r>
    <s v="ORD-10600"/>
    <x v="226"/>
    <s v="P009"/>
    <x v="13"/>
    <s v="Household"/>
    <s v="Cleaning"/>
    <s v="BrightWash"/>
    <s v="B05"/>
    <x v="0"/>
    <s v="Kano"/>
    <x v="0"/>
    <s v="Walk-in"/>
    <s v="Cash"/>
    <n v="10"/>
    <n v="2400"/>
    <n v="3400"/>
    <n v="0.05"/>
    <x v="7"/>
    <n v="1"/>
    <n v="34000"/>
    <n v="1700"/>
    <n v="32300"/>
    <n v="24000"/>
    <n v="8300"/>
    <n v="0.25696594427244585"/>
    <s v="Healthy"/>
    <s v="Safe"/>
    <n v="0.29411764705882354"/>
    <s v="Safe"/>
    <n v="1000"/>
    <n v="0.29411764705882354"/>
  </r>
  <r>
    <s v="ORD-10601"/>
    <x v="146"/>
    <s v="P003"/>
    <x v="12"/>
    <s v="Food"/>
    <s v="Cooking Oil"/>
    <s v="SunGold"/>
    <s v="B03"/>
    <x v="6"/>
    <s v="Lagos"/>
    <x v="4"/>
    <s v="Walk-in"/>
    <s v="Cash"/>
    <n v="1"/>
    <n v="7800"/>
    <n v="9800"/>
    <n v="0"/>
    <x v="9"/>
    <n v="1"/>
    <n v="9800"/>
    <n v="0"/>
    <n v="9800"/>
    <n v="7800"/>
    <n v="2000"/>
    <n v="0.20408163265306123"/>
    <s v="Understocked"/>
    <s v="Safe"/>
    <n v="0.20408163265306123"/>
    <s v="Safe"/>
    <n v="2000"/>
    <n v="0.20408163265306123"/>
  </r>
  <r>
    <s v="ORD-10602"/>
    <x v="102"/>
    <s v="P021"/>
    <x v="20"/>
    <s v="Office Supplies"/>
    <s v="Paper"/>
    <s v="OfficeMate"/>
    <s v="B02"/>
    <x v="4"/>
    <s v="Abuja"/>
    <x v="2"/>
    <s v="Corporate"/>
    <s v="Cash"/>
    <n v="3"/>
    <n v="5200"/>
    <n v="7000"/>
    <n v="0.05"/>
    <x v="5"/>
    <n v="3"/>
    <n v="21000"/>
    <n v="1050"/>
    <n v="19950"/>
    <n v="15600"/>
    <n v="4350"/>
    <n v="0.21804511278195488"/>
    <s v="Overstocked"/>
    <s v="Safe"/>
    <n v="0.25714285714285712"/>
    <s v="Safe"/>
    <n v="1800"/>
    <n v="0.25714285714285712"/>
  </r>
  <r>
    <s v="ORD-10603"/>
    <x v="72"/>
    <s v="P010"/>
    <x v="22"/>
    <s v="Household"/>
    <s v="Paper Products"/>
    <s v="SoftCare"/>
    <s v="B08"/>
    <x v="7"/>
    <s v="Kwara"/>
    <x v="2"/>
    <s v="Walk-in"/>
    <s v="Transfer"/>
    <n v="6"/>
    <n v="3200"/>
    <n v="4500"/>
    <n v="0.1"/>
    <x v="7"/>
    <n v="11"/>
    <n v="27000"/>
    <n v="2700"/>
    <n v="24300"/>
    <n v="19200"/>
    <n v="5100"/>
    <n v="0.20987654320987653"/>
    <s v="Healthy"/>
    <s v="Safe"/>
    <n v="0.28888888888888886"/>
    <s v="Safe"/>
    <n v="1300"/>
    <n v="0.28888888888888886"/>
  </r>
  <r>
    <s v="ORD-10604"/>
    <x v="222"/>
    <s v="P017"/>
    <x v="23"/>
    <s v="Electronics"/>
    <s v="Accessories"/>
    <s v="PowerMax"/>
    <s v="B05"/>
    <x v="0"/>
    <s v="Kano"/>
    <x v="0"/>
    <s v="Walk-in"/>
    <s v="POS"/>
    <n v="4"/>
    <n v="7500"/>
    <n v="10500"/>
    <n v="0.2"/>
    <x v="13"/>
    <n v="13"/>
    <n v="42000"/>
    <n v="8400"/>
    <n v="33600"/>
    <n v="30000"/>
    <n v="3600"/>
    <n v="0.10714285714285714"/>
    <s v="Healthy"/>
    <s v="Safe"/>
    <n v="0.2857142857142857"/>
    <s v="Safe"/>
    <n v="3000"/>
    <n v="0.2857142857142857"/>
  </r>
  <r>
    <s v="ORD-10605"/>
    <x v="285"/>
    <s v="P006"/>
    <x v="0"/>
    <s v="Beverages"/>
    <s v="Water"/>
    <s v="AquaPure"/>
    <s v="B01"/>
    <x v="2"/>
    <s v="Abuja"/>
    <x v="2"/>
    <s v="Walk-in"/>
    <s v="Transfer"/>
    <n v="8"/>
    <n v="230"/>
    <n v="400"/>
    <n v="0"/>
    <x v="3"/>
    <n v="10"/>
    <n v="3200"/>
    <n v="0"/>
    <n v="3200"/>
    <n v="1840"/>
    <n v="1360"/>
    <n v="0.42499999999999999"/>
    <s v="Understocked"/>
    <s v="Safe"/>
    <n v="0.42499999999999999"/>
    <s v="Safe"/>
    <n v="170"/>
    <n v="0.42499999999999999"/>
  </r>
  <r>
    <s v="ORD-10606"/>
    <x v="90"/>
    <s v="P008"/>
    <x v="4"/>
    <s v="Beverages"/>
    <s v="Soft Drinks"/>
    <s v="Sparkle"/>
    <s v="B02"/>
    <x v="4"/>
    <s v="Abuja"/>
    <x v="2"/>
    <s v="Member"/>
    <s v="POS"/>
    <n v="4"/>
    <n v="330"/>
    <n v="550"/>
    <n v="0"/>
    <x v="0"/>
    <n v="5"/>
    <n v="2200"/>
    <n v="0"/>
    <n v="2200"/>
    <n v="1320"/>
    <n v="880"/>
    <n v="0.4"/>
    <s v="Healthy"/>
    <s v="Safe"/>
    <n v="0.4"/>
    <s v="Safe"/>
    <n v="220"/>
    <n v="0.4"/>
  </r>
  <r>
    <s v="ORD-10607"/>
    <x v="23"/>
    <s v="P002"/>
    <x v="10"/>
    <s v="Food"/>
    <s v="Grains"/>
    <s v="Mama's Pride"/>
    <s v="B06"/>
    <x v="1"/>
    <s v="Rivers"/>
    <x v="1"/>
    <s v="Walk-in"/>
    <s v="POS"/>
    <n v="5"/>
    <n v="6200"/>
    <n v="7900"/>
    <n v="0"/>
    <x v="9"/>
    <n v="1"/>
    <n v="39500"/>
    <n v="0"/>
    <n v="39500"/>
    <n v="31000"/>
    <n v="8500"/>
    <n v="0.21518987341772153"/>
    <s v="Healthy"/>
    <s v="Safe"/>
    <n v="0.21518987341772153"/>
    <s v="Safe"/>
    <n v="1700"/>
    <n v="0.21518987341772153"/>
  </r>
  <r>
    <s v="ORD-10608"/>
    <x v="266"/>
    <s v="P004"/>
    <x v="1"/>
    <s v="Beverages"/>
    <s v="Dairy"/>
    <s v="FreshDay"/>
    <s v="B03"/>
    <x v="6"/>
    <s v="Lagos"/>
    <x v="4"/>
    <s v="Member"/>
    <s v="POS"/>
    <n v="2"/>
    <n v="1650"/>
    <n v="2200"/>
    <n v="0"/>
    <x v="2"/>
    <n v="7"/>
    <n v="4400"/>
    <n v="0"/>
    <n v="4400"/>
    <n v="3300"/>
    <n v="1100"/>
    <n v="0.25"/>
    <s v="Understocked"/>
    <s v="Safe"/>
    <n v="0.25"/>
    <s v="Safe"/>
    <n v="550"/>
    <n v="0.25"/>
  </r>
  <r>
    <s v="ORD-10609"/>
    <x v="201"/>
    <s v="P009"/>
    <x v="13"/>
    <s v="Household"/>
    <s v="Cleaning"/>
    <s v="BrightWash"/>
    <s v="B01"/>
    <x v="2"/>
    <s v="Abuja"/>
    <x v="2"/>
    <s v="Walk-in"/>
    <s v="POS"/>
    <n v="8"/>
    <n v="2400"/>
    <n v="3400"/>
    <n v="0.15"/>
    <x v="10"/>
    <n v="6"/>
    <n v="27200"/>
    <n v="4080"/>
    <n v="23120"/>
    <n v="19200"/>
    <n v="3920"/>
    <n v="0.16955017301038061"/>
    <s v="Healthy"/>
    <s v="Safe"/>
    <n v="0.29411764705882354"/>
    <s v="Safe"/>
    <n v="1000"/>
    <n v="0.29411764705882354"/>
  </r>
  <r>
    <s v="ORD-10610"/>
    <x v="156"/>
    <s v="P002"/>
    <x v="10"/>
    <s v="Food"/>
    <s v="Grains"/>
    <s v="Mama's Pride"/>
    <s v="B08"/>
    <x v="7"/>
    <s v="Kwara"/>
    <x v="2"/>
    <s v="Member"/>
    <s v="Transfer"/>
    <n v="3"/>
    <n v="6200"/>
    <n v="7900"/>
    <n v="0.05"/>
    <x v="8"/>
    <n v="13"/>
    <n v="23700"/>
    <n v="1185"/>
    <n v="22515"/>
    <n v="18600"/>
    <n v="3915"/>
    <n v="0.17388407728181213"/>
    <s v="Healthy"/>
    <s v="Safe"/>
    <n v="0.21518987341772153"/>
    <s v="Safe"/>
    <n v="1700"/>
    <n v="0.21518987341772153"/>
  </r>
  <r>
    <s v="ORD-10611"/>
    <x v="72"/>
    <s v="P005"/>
    <x v="2"/>
    <s v="Food"/>
    <s v="Snacks"/>
    <s v="CrispyBite"/>
    <s v="B04"/>
    <x v="5"/>
    <s v="Lagos"/>
    <x v="4"/>
    <s v="Walk-in"/>
    <s v="Transfer"/>
    <n v="8"/>
    <n v="850"/>
    <n v="1300"/>
    <n v="0.1"/>
    <x v="9"/>
    <n v="11"/>
    <n v="10400"/>
    <n v="1040"/>
    <n v="9360"/>
    <n v="6800"/>
    <n v="2560"/>
    <n v="0.27350427350427353"/>
    <s v="Understocked"/>
    <s v="Safe"/>
    <n v="0.34615384615384615"/>
    <s v="Safe"/>
    <n v="450"/>
    <n v="0.34615384615384615"/>
  </r>
  <r>
    <s v="ORD-10612"/>
    <x v="54"/>
    <s v="P002"/>
    <x v="10"/>
    <s v="Food"/>
    <s v="Grains"/>
    <s v="Mama's Pride"/>
    <s v="B05"/>
    <x v="0"/>
    <s v="Kano"/>
    <x v="0"/>
    <s v="Walk-in"/>
    <s v="POS"/>
    <n v="4"/>
    <n v="6200"/>
    <n v="7900"/>
    <n v="0"/>
    <x v="1"/>
    <n v="4"/>
    <n v="31600"/>
    <n v="0"/>
    <n v="31600"/>
    <n v="24800"/>
    <n v="6800"/>
    <n v="0.21518987341772153"/>
    <s v="Healthy"/>
    <s v="Safe"/>
    <n v="0.21518987341772153"/>
    <s v="Safe"/>
    <n v="1700"/>
    <n v="0.21518987341772153"/>
  </r>
  <r>
    <s v="ORD-10613"/>
    <x v="286"/>
    <s v="P018"/>
    <x v="16"/>
    <s v="Electronics"/>
    <s v="Mobile Accessories"/>
    <s v="VoltSafe"/>
    <s v="B05"/>
    <x v="0"/>
    <s v="Kano"/>
    <x v="0"/>
    <s v="Member"/>
    <s v="POS"/>
    <n v="3"/>
    <n v="18000"/>
    <n v="24500"/>
    <n v="0.2"/>
    <x v="4"/>
    <n v="1"/>
    <n v="73500"/>
    <n v="14700"/>
    <n v="58800"/>
    <n v="54000"/>
    <n v="4800"/>
    <n v="8.1632653061224483E-2"/>
    <s v="Understocked"/>
    <s v="Safe"/>
    <n v="0.26530612244897961"/>
    <s v="Safe"/>
    <n v="6500"/>
    <n v="0.26530612244897961"/>
  </r>
  <r>
    <s v="ORD-10614"/>
    <x v="155"/>
    <s v="P018"/>
    <x v="16"/>
    <s v="Electronics"/>
    <s v="Mobile Accessories"/>
    <s v="VoltSafe"/>
    <s v="B01"/>
    <x v="2"/>
    <s v="Abuja"/>
    <x v="2"/>
    <s v="Member"/>
    <s v="Transfer"/>
    <n v="1"/>
    <n v="18000"/>
    <n v="24500"/>
    <n v="0.15"/>
    <x v="12"/>
    <n v="14"/>
    <n v="24500"/>
    <n v="3675"/>
    <n v="20825"/>
    <n v="18000"/>
    <n v="2825"/>
    <n v="0.13565426170468187"/>
    <s v="Understocked"/>
    <s v="Safe"/>
    <n v="0.26530612244897961"/>
    <s v="Safe"/>
    <n v="6500"/>
    <n v="0.26530612244897961"/>
  </r>
  <r>
    <s v="ORD-10615"/>
    <x v="200"/>
    <s v="P015"/>
    <x v="8"/>
    <s v="Personal Care"/>
    <s v="Bath"/>
    <s v="SilkyTouch"/>
    <s v="B02"/>
    <x v="4"/>
    <s v="Abuja"/>
    <x v="2"/>
    <s v="Walk-in"/>
    <s v="Cash"/>
    <n v="1"/>
    <n v="600"/>
    <n v="950"/>
    <n v="0.1"/>
    <x v="10"/>
    <n v="1"/>
    <n v="950"/>
    <n v="95"/>
    <n v="855"/>
    <n v="600"/>
    <n v="255"/>
    <n v="0.2982456140350877"/>
    <s v="Healthy"/>
    <s v="Safe"/>
    <n v="0.36842105263157893"/>
    <s v="Safe"/>
    <n v="350"/>
    <n v="0.36842105263157893"/>
  </r>
  <r>
    <s v="ORD-10616"/>
    <x v="243"/>
    <s v="P003"/>
    <x v="12"/>
    <s v="Food"/>
    <s v="Cooking Oil"/>
    <s v="SunGold"/>
    <s v="B02"/>
    <x v="4"/>
    <s v="Abuja"/>
    <x v="2"/>
    <s v="Member"/>
    <s v="Transfer"/>
    <n v="1"/>
    <n v="7800"/>
    <n v="9800"/>
    <n v="0.05"/>
    <x v="9"/>
    <n v="14"/>
    <n v="9800"/>
    <n v="490"/>
    <n v="9310"/>
    <n v="7800"/>
    <n v="1510"/>
    <n v="0.16219119226638024"/>
    <s v="Understocked"/>
    <s v="Safe"/>
    <n v="0.20408163265306123"/>
    <s v="Safe"/>
    <n v="2000"/>
    <n v="0.20408163265306123"/>
  </r>
  <r>
    <s v="ORD-10617"/>
    <x v="247"/>
    <s v="P003"/>
    <x v="12"/>
    <s v="Food"/>
    <s v="Cooking Oil"/>
    <s v="SunGold"/>
    <s v="B04"/>
    <x v="5"/>
    <s v="Lagos"/>
    <x v="4"/>
    <s v="Walk-in"/>
    <s v="Transfer"/>
    <n v="3"/>
    <n v="7800"/>
    <n v="9800"/>
    <n v="0"/>
    <x v="1"/>
    <n v="11"/>
    <n v="29400"/>
    <n v="0"/>
    <n v="29400"/>
    <n v="23400"/>
    <n v="6000"/>
    <n v="0.20408163265306123"/>
    <s v="Understocked"/>
    <s v="Safe"/>
    <n v="0.20408163265306123"/>
    <s v="Safe"/>
    <n v="2000"/>
    <n v="0.20408163265306123"/>
  </r>
  <r>
    <s v="ORD-10618"/>
    <x v="50"/>
    <s v="P023"/>
    <x v="6"/>
    <s v="Office Supplies"/>
    <s v="Stationery"/>
    <s v="StudyPro"/>
    <s v="B04"/>
    <x v="5"/>
    <s v="Lagos"/>
    <x v="4"/>
    <s v="Member"/>
    <s v="POS"/>
    <n v="1"/>
    <n v="2800"/>
    <n v="4200"/>
    <n v="0.15"/>
    <x v="5"/>
    <n v="3"/>
    <n v="4200"/>
    <n v="630"/>
    <n v="3570"/>
    <n v="2800"/>
    <n v="770"/>
    <n v="0.21568627450980393"/>
    <s v="Understocked"/>
    <s v="Safe"/>
    <n v="0.33333333333333331"/>
    <s v="Safe"/>
    <n v="1400"/>
    <n v="0.33333333333333331"/>
  </r>
  <r>
    <s v="ORD-10619"/>
    <x v="50"/>
    <s v="P006"/>
    <x v="0"/>
    <s v="Beverages"/>
    <s v="Water"/>
    <s v="AquaPure"/>
    <s v="B06"/>
    <x v="1"/>
    <s v="Rivers"/>
    <x v="1"/>
    <s v="Walk-in"/>
    <s v="Card"/>
    <n v="1"/>
    <n v="230"/>
    <n v="400"/>
    <n v="0.05"/>
    <x v="0"/>
    <n v="1"/>
    <n v="400"/>
    <n v="20"/>
    <n v="380"/>
    <n v="230"/>
    <n v="150"/>
    <n v="0.39473684210526316"/>
    <s v="Understocked"/>
    <s v="Safe"/>
    <n v="0.42499999999999999"/>
    <s v="Safe"/>
    <n v="170"/>
    <n v="0.42499999999999999"/>
  </r>
  <r>
    <s v="ORD-10620"/>
    <x v="287"/>
    <s v="P012"/>
    <x v="21"/>
    <s v="Household"/>
    <s v="Home Care"/>
    <s v="HomeFresh"/>
    <s v="B06"/>
    <x v="1"/>
    <s v="Rivers"/>
    <x v="1"/>
    <s v="Walk-in"/>
    <s v="Cash"/>
    <n v="1"/>
    <n v="1700"/>
    <n v="2600"/>
    <n v="0.05"/>
    <x v="7"/>
    <n v="12"/>
    <n v="2600"/>
    <n v="130"/>
    <n v="2470"/>
    <n v="1700"/>
    <n v="770"/>
    <n v="0.31174089068825911"/>
    <s v="Overstocked"/>
    <s v="Safe"/>
    <n v="0.34615384615384615"/>
    <s v="Safe"/>
    <n v="900"/>
    <n v="0.34615384615384615"/>
  </r>
  <r>
    <s v="ORD-10621"/>
    <x v="288"/>
    <s v="P007"/>
    <x v="3"/>
    <s v="Beverages"/>
    <s v="Malt"/>
    <s v="Naija Malt"/>
    <s v="B06"/>
    <x v="1"/>
    <s v="Rivers"/>
    <x v="1"/>
    <s v="Walk-in"/>
    <s v="POS"/>
    <n v="5"/>
    <n v="550"/>
    <n v="850"/>
    <n v="0.1"/>
    <x v="0"/>
    <n v="8"/>
    <n v="4250"/>
    <n v="425"/>
    <n v="3825"/>
    <n v="2750"/>
    <n v="1075"/>
    <n v="0.28104575163398693"/>
    <s v="Healthy"/>
    <s v="Safe"/>
    <n v="0.35294117647058826"/>
    <s v="Safe"/>
    <n v="300"/>
    <n v="0.35294117647058826"/>
  </r>
  <r>
    <s v="ORD-10622"/>
    <x v="93"/>
    <s v="P012"/>
    <x v="21"/>
    <s v="Household"/>
    <s v="Home Care"/>
    <s v="HomeFresh"/>
    <s v="B01"/>
    <x v="2"/>
    <s v="Abuja"/>
    <x v="2"/>
    <s v="Corporate"/>
    <s v="POS"/>
    <n v="1"/>
    <n v="1700"/>
    <n v="2600"/>
    <n v="0.05"/>
    <x v="10"/>
    <n v="6"/>
    <n v="2600"/>
    <n v="130"/>
    <n v="2470"/>
    <n v="1700"/>
    <n v="770"/>
    <n v="0.31174089068825911"/>
    <s v="Overstocked"/>
    <s v="Safe"/>
    <n v="0.34615384615384615"/>
    <s v="Safe"/>
    <n v="900"/>
    <n v="0.34615384615384615"/>
  </r>
  <r>
    <s v="ORD-10623"/>
    <x v="236"/>
    <s v="P005"/>
    <x v="2"/>
    <s v="Food"/>
    <s v="Snacks"/>
    <s v="CrispyBite"/>
    <s v="B01"/>
    <x v="2"/>
    <s v="Abuja"/>
    <x v="2"/>
    <s v="Walk-in"/>
    <s v="POS"/>
    <n v="3"/>
    <n v="850"/>
    <n v="1300"/>
    <n v="0"/>
    <x v="1"/>
    <n v="9"/>
    <n v="3900"/>
    <n v="0"/>
    <n v="3900"/>
    <n v="2550"/>
    <n v="1350"/>
    <n v="0.34615384615384615"/>
    <s v="Understocked"/>
    <s v="Safe"/>
    <n v="0.34615384615384615"/>
    <s v="Safe"/>
    <n v="450"/>
    <n v="0.34615384615384615"/>
  </r>
  <r>
    <s v="ORD-10624"/>
    <x v="166"/>
    <s v="P014"/>
    <x v="15"/>
    <s v="Personal Care"/>
    <s v="Oral Care"/>
    <s v="FreshMint"/>
    <s v="B03"/>
    <x v="6"/>
    <s v="Lagos"/>
    <x v="4"/>
    <s v="Member"/>
    <s v="POS"/>
    <n v="1"/>
    <n v="1200"/>
    <n v="1900"/>
    <n v="0.15"/>
    <x v="11"/>
    <n v="8"/>
    <n v="1900"/>
    <n v="285"/>
    <n v="1615"/>
    <n v="1200"/>
    <n v="415"/>
    <n v="0.25696594427244585"/>
    <s v="Healthy"/>
    <s v="Safe"/>
    <n v="0.36842105263157893"/>
    <s v="Safe"/>
    <n v="700"/>
    <n v="0.36842105263157893"/>
  </r>
  <r>
    <s v="ORD-10625"/>
    <x v="224"/>
    <s v="P022"/>
    <x v="17"/>
    <s v="Office Supplies"/>
    <s v="Writing"/>
    <s v="WriteWell"/>
    <s v="B01"/>
    <x v="2"/>
    <s v="Abuja"/>
    <x v="2"/>
    <s v="Walk-in"/>
    <s v="POS"/>
    <n v="2"/>
    <n v="1300"/>
    <n v="2100"/>
    <n v="0"/>
    <x v="14"/>
    <n v="1"/>
    <n v="4200"/>
    <n v="0"/>
    <n v="4200"/>
    <n v="2600"/>
    <n v="1600"/>
    <n v="0.38095238095238093"/>
    <s v="Understocked"/>
    <s v="Safe"/>
    <n v="0.38095238095238093"/>
    <s v="Safe"/>
    <n v="800"/>
    <n v="0.38095238095238093"/>
  </r>
  <r>
    <s v="ORD-10626"/>
    <x v="289"/>
    <s v="P022"/>
    <x v="17"/>
    <s v="Office Supplies"/>
    <s v="Writing"/>
    <s v="WriteWell"/>
    <s v="B02"/>
    <x v="4"/>
    <s v="Abuja"/>
    <x v="2"/>
    <s v="Walk-in"/>
    <s v="POS"/>
    <n v="5"/>
    <n v="1300"/>
    <n v="2100"/>
    <n v="0.05"/>
    <x v="5"/>
    <n v="8"/>
    <n v="10500"/>
    <n v="525"/>
    <n v="9975"/>
    <n v="6500"/>
    <n v="3475"/>
    <n v="0.34837092731829572"/>
    <s v="Understocked"/>
    <s v="Safe"/>
    <n v="0.38095238095238093"/>
    <s v="Safe"/>
    <n v="800"/>
    <n v="0.38095238095238093"/>
  </r>
  <r>
    <s v="ORD-10627"/>
    <x v="256"/>
    <s v="P008"/>
    <x v="4"/>
    <s v="Beverages"/>
    <s v="Soft Drinks"/>
    <s v="Sparkle"/>
    <s v="B06"/>
    <x v="1"/>
    <s v="Rivers"/>
    <x v="1"/>
    <s v="Walk-in"/>
    <s v="Card"/>
    <n v="6"/>
    <n v="330"/>
    <n v="550"/>
    <n v="0"/>
    <x v="3"/>
    <n v="12"/>
    <n v="3300"/>
    <n v="0"/>
    <n v="3300"/>
    <n v="1980"/>
    <n v="1320"/>
    <n v="0.4"/>
    <s v="Healthy"/>
    <s v="Safe"/>
    <n v="0.4"/>
    <s v="Safe"/>
    <n v="220"/>
    <n v="0.4"/>
  </r>
  <r>
    <s v="ORD-10628"/>
    <x v="11"/>
    <s v="P007"/>
    <x v="3"/>
    <s v="Beverages"/>
    <s v="Malt"/>
    <s v="Naija Malt"/>
    <s v="B02"/>
    <x v="4"/>
    <s v="Abuja"/>
    <x v="2"/>
    <s v="Member"/>
    <s v="Cash"/>
    <n v="3"/>
    <n v="550"/>
    <n v="850"/>
    <n v="0.05"/>
    <x v="0"/>
    <n v="8"/>
    <n v="2550"/>
    <n v="127.5"/>
    <n v="2422.5"/>
    <n v="1650"/>
    <n v="772.5"/>
    <n v="0.31888544891640869"/>
    <s v="Healthy"/>
    <s v="Safe"/>
    <n v="0.35294117647058826"/>
    <s v="Safe"/>
    <n v="300"/>
    <n v="0.35294117647058826"/>
  </r>
  <r>
    <s v="ORD-10629"/>
    <x v="8"/>
    <s v="P003"/>
    <x v="12"/>
    <s v="Food"/>
    <s v="Cooking Oil"/>
    <s v="SunGold"/>
    <s v="B06"/>
    <x v="1"/>
    <s v="Rivers"/>
    <x v="1"/>
    <s v="Walk-in"/>
    <s v="Cash"/>
    <n v="3"/>
    <n v="7800"/>
    <n v="9800"/>
    <n v="0.2"/>
    <x v="1"/>
    <n v="10"/>
    <n v="29400"/>
    <n v="5880"/>
    <n v="23520"/>
    <n v="23400"/>
    <n v="120"/>
    <n v="5.1020408163265302E-3"/>
    <s v="Understocked"/>
    <s v="Safe"/>
    <n v="0.20408163265306123"/>
    <s v="Safe"/>
    <n v="2000"/>
    <n v="0.20408163265306123"/>
  </r>
  <r>
    <s v="ORD-10630"/>
    <x v="124"/>
    <s v="P003"/>
    <x v="12"/>
    <s v="Food"/>
    <s v="Cooking Oil"/>
    <s v="SunGold"/>
    <s v="B04"/>
    <x v="5"/>
    <s v="Lagos"/>
    <x v="4"/>
    <s v="Walk-in"/>
    <s v="Card"/>
    <n v="2"/>
    <n v="7800"/>
    <n v="9800"/>
    <n v="0.1"/>
    <x v="9"/>
    <n v="13"/>
    <n v="19600"/>
    <n v="1960"/>
    <n v="17640"/>
    <n v="15600"/>
    <n v="2040"/>
    <n v="0.11564625850340136"/>
    <s v="Understocked"/>
    <s v="Safe"/>
    <n v="0.20408163265306123"/>
    <s v="Safe"/>
    <n v="2000"/>
    <n v="0.20408163265306123"/>
  </r>
  <r>
    <s v="ORD-10631"/>
    <x v="290"/>
    <s v="P021"/>
    <x v="20"/>
    <s v="Office Supplies"/>
    <s v="Paper"/>
    <s v="OfficeMate"/>
    <s v="B04"/>
    <x v="5"/>
    <s v="Lagos"/>
    <x v="4"/>
    <s v="Walk-in"/>
    <s v="POS"/>
    <n v="3"/>
    <n v="5200"/>
    <n v="7000"/>
    <n v="0.05"/>
    <x v="15"/>
    <n v="10"/>
    <n v="21000"/>
    <n v="1050"/>
    <n v="19950"/>
    <n v="15600"/>
    <n v="4350"/>
    <n v="0.21804511278195488"/>
    <s v="Overstocked"/>
    <s v="Safe"/>
    <n v="0.25714285714285712"/>
    <s v="Safe"/>
    <n v="1800"/>
    <n v="0.25714285714285712"/>
  </r>
  <r>
    <s v="ORD-10632"/>
    <x v="16"/>
    <s v="P006"/>
    <x v="0"/>
    <s v="Beverages"/>
    <s v="Water"/>
    <s v="AquaPure"/>
    <s v="B06"/>
    <x v="1"/>
    <s v="Rivers"/>
    <x v="1"/>
    <s v="Walk-in"/>
    <s v="POS"/>
    <n v="4"/>
    <n v="230"/>
    <n v="400"/>
    <n v="0"/>
    <x v="0"/>
    <n v="3"/>
    <n v="1600"/>
    <n v="0"/>
    <n v="1600"/>
    <n v="920"/>
    <n v="680"/>
    <n v="0.42499999999999999"/>
    <s v="Understocked"/>
    <s v="Safe"/>
    <n v="0.42499999999999999"/>
    <s v="Safe"/>
    <n v="170"/>
    <n v="0.42499999999999999"/>
  </r>
  <r>
    <s v="ORD-10633"/>
    <x v="291"/>
    <s v="P007"/>
    <x v="3"/>
    <s v="Beverages"/>
    <s v="Malt"/>
    <s v="Naija Malt"/>
    <s v="B01"/>
    <x v="2"/>
    <s v="Abuja"/>
    <x v="2"/>
    <s v="Walk-in"/>
    <s v="Transfer"/>
    <n v="10"/>
    <n v="550"/>
    <n v="850"/>
    <n v="0.1"/>
    <x v="2"/>
    <n v="8"/>
    <n v="8500"/>
    <n v="850"/>
    <n v="7650"/>
    <n v="5500"/>
    <n v="2150"/>
    <n v="0.28104575163398693"/>
    <s v="Healthy"/>
    <s v="Safe"/>
    <n v="0.35294117647058826"/>
    <s v="Safe"/>
    <n v="300"/>
    <n v="0.35294117647058826"/>
  </r>
  <r>
    <s v="ORD-10634"/>
    <x v="37"/>
    <s v="P019"/>
    <x v="18"/>
    <s v="Electronics"/>
    <s v="Audio"/>
    <s v="SoundBeat"/>
    <s v="B04"/>
    <x v="5"/>
    <s v="Lagos"/>
    <x v="4"/>
    <s v="Walk-in"/>
    <s v="POS"/>
    <n v="2"/>
    <n v="12500"/>
    <n v="18500"/>
    <n v="0.1"/>
    <x v="4"/>
    <n v="3"/>
    <n v="37000"/>
    <n v="3700"/>
    <n v="33300"/>
    <n v="25000"/>
    <n v="8300"/>
    <n v="0.24924924924924924"/>
    <s v="Understocked"/>
    <s v="Safe"/>
    <n v="0.32432432432432434"/>
    <s v="Safe"/>
    <n v="6000"/>
    <n v="0.32432432432432434"/>
  </r>
  <r>
    <s v="ORD-10635"/>
    <x v="197"/>
    <s v="P014"/>
    <x v="15"/>
    <s v="Personal Care"/>
    <s v="Oral Care"/>
    <s v="FreshMint"/>
    <s v="B01"/>
    <x v="2"/>
    <s v="Abuja"/>
    <x v="2"/>
    <s v="Member"/>
    <s v="POS"/>
    <n v="3"/>
    <n v="1200"/>
    <n v="1900"/>
    <n v="0.05"/>
    <x v="10"/>
    <n v="10"/>
    <n v="5700"/>
    <n v="285"/>
    <n v="5415"/>
    <n v="3600"/>
    <n v="1815"/>
    <n v="0.33518005540166207"/>
    <s v="Healthy"/>
    <s v="Safe"/>
    <n v="0.36842105263157893"/>
    <s v="Safe"/>
    <n v="700"/>
    <n v="0.36842105263157893"/>
  </r>
  <r>
    <s v="ORD-10636"/>
    <x v="18"/>
    <s v="P008"/>
    <x v="4"/>
    <s v="Beverages"/>
    <s v="Soft Drinks"/>
    <s v="Sparkle"/>
    <s v="B02"/>
    <x v="4"/>
    <s v="Abuja"/>
    <x v="2"/>
    <s v="Member"/>
    <s v="POS"/>
    <n v="-2"/>
    <n v="330"/>
    <n v="550"/>
    <n v="0"/>
    <x v="0"/>
    <n v="11"/>
    <n v="-1100"/>
    <n v="0"/>
    <n v="-1100"/>
    <n v="-660"/>
    <n v="-440"/>
    <n v="0.4"/>
    <s v="Healthy"/>
    <s v="Safe"/>
    <n v="0.4"/>
    <s v="Safe"/>
    <n v="220"/>
    <n v="0.4"/>
  </r>
  <r>
    <s v="ORD-10637"/>
    <x v="292"/>
    <s v="P007"/>
    <x v="3"/>
    <s v="Beverages"/>
    <s v="Malt"/>
    <s v="Naija Malt"/>
    <s v="B05"/>
    <x v="0"/>
    <s v="Kano"/>
    <x v="0"/>
    <s v="Member"/>
    <s v="POS"/>
    <n v="3"/>
    <n v="550"/>
    <n v="850"/>
    <n v="0"/>
    <x v="0"/>
    <n v="9"/>
    <n v="2550"/>
    <n v="0"/>
    <n v="2550"/>
    <n v="1650"/>
    <n v="900"/>
    <n v="0.35294117647058826"/>
    <s v="Healthy"/>
    <s v="Safe"/>
    <n v="0.35294117647058826"/>
    <s v="Safe"/>
    <n v="300"/>
    <n v="0.35294117647058826"/>
  </r>
  <r>
    <s v="ORD-10638"/>
    <x v="293"/>
    <s v="P018"/>
    <x v="16"/>
    <s v="Electronics"/>
    <s v="Mobile Accessories"/>
    <s v="VoltSafe"/>
    <s v="B01"/>
    <x v="2"/>
    <s v="Abuja"/>
    <x v="2"/>
    <s v="Walk-in"/>
    <s v="POS"/>
    <n v="6"/>
    <n v="18000"/>
    <n v="24500"/>
    <n v="0.1"/>
    <x v="12"/>
    <n v="6"/>
    <n v="147000"/>
    <n v="14700"/>
    <n v="132300"/>
    <n v="108000"/>
    <n v="24300"/>
    <n v="0.18367346938775511"/>
    <s v="Understocked"/>
    <s v="Safe"/>
    <n v="0.26530612244897961"/>
    <s v="Safe"/>
    <n v="6500"/>
    <n v="0.26530612244897961"/>
  </r>
  <r>
    <s v="ORD-10639"/>
    <x v="103"/>
    <s v="P007"/>
    <x v="3"/>
    <s v="Beverages"/>
    <s v="Malt"/>
    <s v="Naija Malt"/>
    <s v="B04"/>
    <x v="5"/>
    <s v="Lagos"/>
    <x v="4"/>
    <s v="Member"/>
    <s v="POS"/>
    <n v="1"/>
    <n v="550"/>
    <n v="850"/>
    <n v="0.05"/>
    <x v="0"/>
    <n v="12"/>
    <n v="850"/>
    <n v="42.5"/>
    <n v="807.5"/>
    <n v="550"/>
    <n v="257.5"/>
    <n v="0.31888544891640869"/>
    <s v="Healthy"/>
    <s v="Safe"/>
    <n v="0.35294117647058826"/>
    <s v="Safe"/>
    <n v="300"/>
    <n v="0.35294117647058826"/>
  </r>
  <r>
    <s v="ORD-10640"/>
    <x v="119"/>
    <s v="P023"/>
    <x v="6"/>
    <s v="Office Supplies"/>
    <s v="Stationery"/>
    <s v="StudyPro"/>
    <s v="B02"/>
    <x v="4"/>
    <s v="Abuja"/>
    <x v="2"/>
    <s v="Corporate"/>
    <s v="POS"/>
    <n v="1"/>
    <n v="2800"/>
    <n v="4200"/>
    <n v="0.05"/>
    <x v="5"/>
    <n v="4"/>
    <n v="4200"/>
    <n v="210"/>
    <n v="3990"/>
    <n v="2800"/>
    <n v="1190"/>
    <n v="0.2982456140350877"/>
    <s v="Understocked"/>
    <s v="Safe"/>
    <n v="0.33333333333333331"/>
    <s v="Safe"/>
    <n v="1400"/>
    <n v="0.33333333333333331"/>
  </r>
  <r>
    <s v="ORD-10641"/>
    <x v="149"/>
    <s v="P006"/>
    <x v="0"/>
    <s v="Beverages"/>
    <s v="Water"/>
    <s v="AquaPure"/>
    <s v="B07"/>
    <x v="3"/>
    <s v="Enugu"/>
    <x v="3"/>
    <s v="Walk-in"/>
    <s v="Transfer"/>
    <n v="3"/>
    <n v="230"/>
    <n v="400"/>
    <n v="0.05"/>
    <x v="2"/>
    <n v="8"/>
    <n v="1200"/>
    <n v="60"/>
    <n v="1140"/>
    <n v="690"/>
    <n v="450"/>
    <n v="0.39473684210526316"/>
    <s v="Understocked"/>
    <s v="Safe"/>
    <n v="0.42499999999999999"/>
    <s v="Safe"/>
    <n v="170"/>
    <n v="0.42499999999999999"/>
  </r>
  <r>
    <s v="ORD-10642"/>
    <x v="99"/>
    <s v="P008"/>
    <x v="4"/>
    <s v="Beverages"/>
    <s v="Soft Drinks"/>
    <s v="Sparkle"/>
    <s v="B04"/>
    <x v="5"/>
    <s v="Lagos"/>
    <x v="4"/>
    <s v="Walk-in"/>
    <s v="Transfer"/>
    <n v="5"/>
    <n v="330"/>
    <n v="550"/>
    <n v="0.15"/>
    <x v="0"/>
    <n v="12"/>
    <n v="2750"/>
    <n v="412.5"/>
    <n v="2337.5"/>
    <n v="1650"/>
    <n v="687.5"/>
    <n v="0.29411764705882354"/>
    <s v="Healthy"/>
    <s v="Safe"/>
    <n v="0.4"/>
    <s v="Safe"/>
    <n v="220"/>
    <n v="0.4"/>
  </r>
  <r>
    <s v="ORD-10643"/>
    <x v="61"/>
    <s v="P004"/>
    <x v="1"/>
    <s v="Beverages"/>
    <s v="Dairy"/>
    <s v="FreshDay"/>
    <s v="B07"/>
    <x v="3"/>
    <s v="Enugu"/>
    <x v="3"/>
    <s v="Walk-in"/>
    <s v="POS"/>
    <n v="1"/>
    <n v="1650"/>
    <n v="2200"/>
    <n v="0.05"/>
    <x v="3"/>
    <n v="2"/>
    <n v="2200"/>
    <n v="110"/>
    <n v="2090"/>
    <n v="1650"/>
    <n v="440"/>
    <n v="0.21052631578947367"/>
    <s v="Understocked"/>
    <s v="Safe"/>
    <n v="0.25"/>
    <s v="Safe"/>
    <n v="550"/>
    <n v="0.25"/>
  </r>
  <r>
    <s v="ORD-10644"/>
    <x v="262"/>
    <s v="P015"/>
    <x v="8"/>
    <s v="Personal Care"/>
    <s v="Bath"/>
    <s v="SilkyTouch"/>
    <s v="B04"/>
    <x v="5"/>
    <s v="Lagos"/>
    <x v="4"/>
    <s v="Member"/>
    <s v="Card"/>
    <n v="6"/>
    <n v="600"/>
    <n v="950"/>
    <n v="0.05"/>
    <x v="10"/>
    <n v="9"/>
    <n v="5700"/>
    <n v="285"/>
    <n v="5415"/>
    <n v="3600"/>
    <n v="1815"/>
    <n v="0.33518005540166207"/>
    <s v="Healthy"/>
    <s v="Safe"/>
    <n v="0.36842105263157893"/>
    <s v="Safe"/>
    <n v="350"/>
    <n v="0.36842105263157893"/>
  </r>
  <r>
    <s v="ORD-10645"/>
    <x v="255"/>
    <s v="P006"/>
    <x v="0"/>
    <s v="Beverages"/>
    <s v="Water"/>
    <s v="AquaPure"/>
    <s v="B03"/>
    <x v="6"/>
    <s v="Lagos"/>
    <x v="4"/>
    <s v="Walk-in"/>
    <s v="POS"/>
    <n v="3"/>
    <n v="230"/>
    <n v="400"/>
    <n v="0"/>
    <x v="3"/>
    <n v="14"/>
    <n v="1200"/>
    <n v="0"/>
    <n v="1200"/>
    <n v="690"/>
    <n v="510"/>
    <n v="0.42499999999999999"/>
    <s v="Understocked"/>
    <s v="Safe"/>
    <n v="0.42499999999999999"/>
    <s v="Safe"/>
    <n v="170"/>
    <n v="0.42499999999999999"/>
  </r>
  <r>
    <s v="ORD-10646"/>
    <x v="90"/>
    <s v="P006"/>
    <x v="0"/>
    <s v="Beverages"/>
    <s v="Water"/>
    <s v="AquaPure"/>
    <s v="B04"/>
    <x v="5"/>
    <s v="Lagos"/>
    <x v="4"/>
    <s v="Walk-in"/>
    <s v="POS"/>
    <n v="4"/>
    <n v="230"/>
    <n v="400"/>
    <n v="0.15"/>
    <x v="0"/>
    <n v="14"/>
    <n v="1600"/>
    <n v="240"/>
    <n v="1360"/>
    <n v="920"/>
    <n v="440"/>
    <n v="0.3235294117647059"/>
    <s v="Understocked"/>
    <s v="Safe"/>
    <n v="0.42499999999999999"/>
    <s v="Safe"/>
    <n v="170"/>
    <n v="0.42499999999999999"/>
  </r>
  <r>
    <s v="ORD-10647"/>
    <x v="294"/>
    <s v="P006"/>
    <x v="0"/>
    <s v="Beverages"/>
    <s v="Water"/>
    <s v="AquaPure"/>
    <s v="B01"/>
    <x v="2"/>
    <s v="Abuja"/>
    <x v="2"/>
    <s v="Walk-in"/>
    <s v="Transfer"/>
    <n v="5"/>
    <n v="230"/>
    <n v="400"/>
    <n v="0"/>
    <x v="2"/>
    <n v="13"/>
    <n v="2000"/>
    <n v="0"/>
    <n v="2000"/>
    <n v="1150"/>
    <n v="850"/>
    <n v="0.42499999999999999"/>
    <s v="Understocked"/>
    <s v="Safe"/>
    <n v="0.42499999999999999"/>
    <s v="Safe"/>
    <n v="170"/>
    <n v="0.42499999999999999"/>
  </r>
  <r>
    <s v="ORD-10648"/>
    <x v="118"/>
    <s v="P006"/>
    <x v="0"/>
    <s v="Beverages"/>
    <s v="Water"/>
    <s v="AquaPure"/>
    <s v="B04"/>
    <x v="5"/>
    <s v="Lagos"/>
    <x v="4"/>
    <s v="Member"/>
    <s v="Card"/>
    <n v="1"/>
    <n v="230"/>
    <n v="400"/>
    <n v="0.2"/>
    <x v="3"/>
    <n v="14"/>
    <n v="400"/>
    <n v="80"/>
    <n v="320"/>
    <n v="230"/>
    <n v="90"/>
    <n v="0.28125"/>
    <s v="Understocked"/>
    <s v="Safe"/>
    <n v="0.42499999999999999"/>
    <s v="Safe"/>
    <n v="170"/>
    <n v="0.42499999999999999"/>
  </r>
  <r>
    <s v="ORD-10649"/>
    <x v="295"/>
    <s v="P018"/>
    <x v="16"/>
    <s v="Electronics"/>
    <s v="Mobile Accessories"/>
    <s v="VoltSafe"/>
    <s v="B02"/>
    <x v="4"/>
    <s v="Abuja"/>
    <x v="2"/>
    <s v="Walk-in"/>
    <s v="Transfer"/>
    <n v="1"/>
    <n v="18000"/>
    <n v="24500"/>
    <n v="0.2"/>
    <x v="13"/>
    <n v="3"/>
    <n v="24500"/>
    <n v="4900"/>
    <n v="19600"/>
    <n v="18000"/>
    <n v="1600"/>
    <n v="8.1632653061224483E-2"/>
    <s v="Understocked"/>
    <s v="Safe"/>
    <n v="0.26530612244897961"/>
    <s v="Safe"/>
    <n v="6500"/>
    <n v="0.26530612244897961"/>
  </r>
  <r>
    <s v="ORD-10650"/>
    <x v="296"/>
    <s v="P001"/>
    <x v="14"/>
    <s v="Food"/>
    <s v="Grains"/>
    <s v="Golden Harvest"/>
    <s v="B03"/>
    <x v="6"/>
    <s v="Lagos"/>
    <x v="4"/>
    <s v="Walk-in"/>
    <s v="Cash"/>
    <n v="2"/>
    <n v="14500"/>
    <n v="17500"/>
    <n v="0.05"/>
    <x v="8"/>
    <n v="2"/>
    <n v="35000"/>
    <n v="1750"/>
    <n v="33250"/>
    <n v="29000"/>
    <n v="4250"/>
    <n v="0.12781954887218044"/>
    <s v="Understocked"/>
    <s v="Safe"/>
    <n v="0.17142857142857143"/>
    <s v="Safe"/>
    <n v="3000"/>
    <n v="0.17142857142857143"/>
  </r>
  <r>
    <s v="ORD-10651"/>
    <x v="157"/>
    <s v="P022"/>
    <x v="17"/>
    <s v="Office Supplies"/>
    <s v="Writing"/>
    <s v="WriteWell"/>
    <s v="B06"/>
    <x v="1"/>
    <s v="Rivers"/>
    <x v="1"/>
    <s v="Walk-in"/>
    <s v="POS"/>
    <n v="8"/>
    <n v="1300"/>
    <n v="2100"/>
    <n v="0.2"/>
    <x v="5"/>
    <n v="9"/>
    <n v="16800"/>
    <n v="3360"/>
    <n v="13440"/>
    <n v="10400"/>
    <n v="3040"/>
    <n v="0.22619047619047619"/>
    <s v="Understocked"/>
    <s v="Safe"/>
    <n v="0.38095238095238093"/>
    <s v="Safe"/>
    <n v="800"/>
    <n v="0.38095238095238093"/>
  </r>
  <r>
    <s v="ORD-10652"/>
    <x v="297"/>
    <s v="P006"/>
    <x v="0"/>
    <s v="Beverages"/>
    <s v="Water"/>
    <s v="AquaPure"/>
    <s v="B07"/>
    <x v="3"/>
    <s v="Enugu"/>
    <x v="3"/>
    <s v="Corporate"/>
    <s v="POS"/>
    <n v="8"/>
    <n v="230"/>
    <n v="400"/>
    <n v="0.1"/>
    <x v="0"/>
    <n v="12"/>
    <n v="3200"/>
    <n v="320"/>
    <n v="2880"/>
    <n v="1840"/>
    <n v="1040"/>
    <n v="0.3611111111111111"/>
    <s v="Understocked"/>
    <s v="Safe"/>
    <n v="0.42499999999999999"/>
    <s v="Safe"/>
    <n v="170"/>
    <n v="0.42499999999999999"/>
  </r>
  <r>
    <s v="ORD-10653"/>
    <x v="240"/>
    <s v="P006"/>
    <x v="0"/>
    <s v="Beverages"/>
    <s v="Water"/>
    <s v="AquaPure"/>
    <s v="B01"/>
    <x v="2"/>
    <s v="Abuja"/>
    <x v="2"/>
    <s v="Member"/>
    <s v="Cash"/>
    <n v="3"/>
    <n v="230"/>
    <n v="400"/>
    <n v="0"/>
    <x v="3"/>
    <n v="7"/>
    <n v="1200"/>
    <n v="0"/>
    <n v="1200"/>
    <n v="690"/>
    <n v="510"/>
    <n v="0.42499999999999999"/>
    <s v="Understocked"/>
    <s v="Safe"/>
    <n v="0.42499999999999999"/>
    <s v="Safe"/>
    <n v="170"/>
    <n v="0.42499999999999999"/>
  </r>
  <r>
    <s v="ORD-10654"/>
    <x v="158"/>
    <s v="P008"/>
    <x v="4"/>
    <s v="Beverages"/>
    <s v="Soft Drinks"/>
    <s v="Sparkle"/>
    <s v="B01"/>
    <x v="2"/>
    <s v="Abuja"/>
    <x v="2"/>
    <s v="Member"/>
    <s v="Card"/>
    <n v="1"/>
    <n v="330"/>
    <n v="550"/>
    <n v="0.1"/>
    <x v="2"/>
    <n v="4"/>
    <n v="550"/>
    <n v="55"/>
    <n v="495"/>
    <n v="330"/>
    <n v="165"/>
    <n v="0.33333333333333331"/>
    <s v="Healthy"/>
    <s v="Safe"/>
    <n v="0.4"/>
    <s v="Safe"/>
    <n v="220"/>
    <n v="0.4"/>
  </r>
  <r>
    <s v="ORD-10655"/>
    <x v="298"/>
    <s v="P020"/>
    <x v="5"/>
    <s v="Electronics"/>
    <s v="Lighting"/>
    <s v="Luma"/>
    <s v="B05"/>
    <x v="0"/>
    <s v="Kano"/>
    <x v="0"/>
    <s v="Walk-in"/>
    <s v="Transfer"/>
    <n v="8"/>
    <n v="1500"/>
    <n v="2500"/>
    <n v="0.2"/>
    <x v="12"/>
    <n v="10"/>
    <n v="20000"/>
    <n v="4000"/>
    <n v="16000"/>
    <n v="12000"/>
    <n v="4000"/>
    <n v="0.25"/>
    <s v="Healthy"/>
    <s v="Safe"/>
    <n v="0.4"/>
    <s v="Safe"/>
    <n v="1000"/>
    <n v="0.4"/>
  </r>
  <r>
    <s v="ORD-10656"/>
    <x v="2"/>
    <s v="P021"/>
    <x v="20"/>
    <s v="Office Supplies"/>
    <s v="Paper"/>
    <s v="OfficeMate"/>
    <s v="B03"/>
    <x v="6"/>
    <s v="Lagos"/>
    <x v="4"/>
    <s v="Walk-in"/>
    <s v="Transfer"/>
    <n v="1"/>
    <n v="5200"/>
    <n v="7000"/>
    <n v="0.25"/>
    <x v="14"/>
    <n v="6"/>
    <n v="7000"/>
    <n v="1750"/>
    <n v="5250"/>
    <n v="5200"/>
    <n v="50"/>
    <n v="9.5238095238095247E-3"/>
    <s v="Overstocked"/>
    <s v="Safe"/>
    <n v="0.25714285714285712"/>
    <s v="Safe"/>
    <n v="1800"/>
    <n v="0.25714285714285712"/>
  </r>
  <r>
    <s v="ORD-10657"/>
    <x v="244"/>
    <s v="P020"/>
    <x v="5"/>
    <s v="Electronics"/>
    <s v="Lighting"/>
    <s v="Luma"/>
    <s v="B01"/>
    <x v="2"/>
    <s v="Abuja"/>
    <x v="2"/>
    <s v="Corporate"/>
    <s v="POS"/>
    <n v="4"/>
    <n v="1500"/>
    <n v="2500"/>
    <n v="0.05"/>
    <x v="13"/>
    <n v="3"/>
    <n v="10000"/>
    <n v="500"/>
    <n v="9500"/>
    <n v="6000"/>
    <n v="3500"/>
    <n v="0.36842105263157893"/>
    <s v="Healthy"/>
    <s v="Safe"/>
    <n v="0.4"/>
    <s v="Safe"/>
    <n v="1000"/>
    <n v="0.4"/>
  </r>
  <r>
    <s v="ORD-10658"/>
    <x v="66"/>
    <s v="P015"/>
    <x v="8"/>
    <s v="Personal Care"/>
    <s v="Bath"/>
    <s v="SilkyTouch"/>
    <s v="B03"/>
    <x v="6"/>
    <s v="Lagos"/>
    <x v="4"/>
    <s v="Walk-in"/>
    <s v="Card"/>
    <n v="5"/>
    <n v="600"/>
    <n v="950"/>
    <n v="0.1"/>
    <x v="10"/>
    <n v="6"/>
    <n v="4750"/>
    <n v="475"/>
    <n v="4275"/>
    <n v="3000"/>
    <n v="1275"/>
    <n v="0.2982456140350877"/>
    <s v="Healthy"/>
    <s v="Safe"/>
    <n v="0.36842105263157893"/>
    <s v="Safe"/>
    <n v="350"/>
    <n v="0.36842105263157893"/>
  </r>
  <r>
    <s v="ORD-10659"/>
    <x v="276"/>
    <s v="P015"/>
    <x v="8"/>
    <s v="Personal Care"/>
    <s v="Bath"/>
    <s v="SilkyTouch"/>
    <s v="B01"/>
    <x v="2"/>
    <s v="Abuja"/>
    <x v="2"/>
    <s v="Walk-in"/>
    <s v="POS"/>
    <n v="2"/>
    <n v="600"/>
    <n v="950"/>
    <n v="0.15"/>
    <x v="10"/>
    <n v="10"/>
    <n v="1900"/>
    <n v="285"/>
    <n v="1615"/>
    <n v="1200"/>
    <n v="415"/>
    <n v="0.25696594427244585"/>
    <s v="Healthy"/>
    <s v="Safe"/>
    <n v="0.36842105263157893"/>
    <s v="Safe"/>
    <n v="350"/>
    <n v="0.36842105263157893"/>
  </r>
  <r>
    <s v="ORD-10660"/>
    <x v="119"/>
    <s v="P005"/>
    <x v="2"/>
    <s v="Food"/>
    <s v="Snacks"/>
    <s v="CrispyBite"/>
    <s v="B07"/>
    <x v="3"/>
    <s v="Enugu"/>
    <x v="3"/>
    <s v="Member"/>
    <s v="Card"/>
    <n v="2"/>
    <n v="850"/>
    <n v="1300"/>
    <n v="0.05"/>
    <x v="1"/>
    <n v="5"/>
    <n v="2600"/>
    <n v="130"/>
    <n v="2470"/>
    <n v="1700"/>
    <n v="770"/>
    <n v="0.31174089068825911"/>
    <s v="Understocked"/>
    <s v="Safe"/>
    <n v="0.34615384615384615"/>
    <s v="Safe"/>
    <n v="450"/>
    <n v="0.34615384615384615"/>
  </r>
  <r>
    <s v="ORD-10661"/>
    <x v="299"/>
    <s v="P005"/>
    <x v="2"/>
    <s v="Food"/>
    <s v="Snacks"/>
    <s v="CrispyBite"/>
    <s v="B06"/>
    <x v="1"/>
    <s v="Rivers"/>
    <x v="1"/>
    <s v="Member"/>
    <s v="POS"/>
    <n v="1"/>
    <n v="850"/>
    <n v="1300"/>
    <n v="0.05"/>
    <x v="9"/>
    <n v="11"/>
    <n v="1300"/>
    <n v="65"/>
    <n v="1235"/>
    <n v="850"/>
    <n v="385"/>
    <n v="0.31174089068825911"/>
    <s v="Understocked"/>
    <s v="Safe"/>
    <n v="0.34615384615384615"/>
    <s v="Safe"/>
    <n v="450"/>
    <n v="0.34615384615384615"/>
  </r>
  <r>
    <s v="ORD-10662"/>
    <x v="153"/>
    <s v="P007"/>
    <x v="3"/>
    <s v="Beverages"/>
    <s v="Malt"/>
    <s v="Naija Malt"/>
    <s v="B04"/>
    <x v="5"/>
    <s v="Lagos"/>
    <x v="4"/>
    <s v="Walk-in"/>
    <s v="Card"/>
    <n v="4"/>
    <n v="550"/>
    <n v="850"/>
    <n v="0"/>
    <x v="3"/>
    <n v="10"/>
    <n v="3400"/>
    <n v="0"/>
    <n v="3400"/>
    <n v="2200"/>
    <n v="1200"/>
    <n v="0.35294117647058826"/>
    <s v="Healthy"/>
    <s v="Safe"/>
    <n v="0.35294117647058826"/>
    <s v="Safe"/>
    <n v="300"/>
    <n v="0.35294117647058826"/>
  </r>
  <r>
    <s v="ORD-10663"/>
    <x v="263"/>
    <s v="P008"/>
    <x v="4"/>
    <s v="Beverages"/>
    <s v="Soft Drinks"/>
    <s v="Sparkle"/>
    <s v="B03"/>
    <x v="6"/>
    <s v="Lagos"/>
    <x v="4"/>
    <s v="Corporate"/>
    <s v="POS"/>
    <n v="2"/>
    <n v="330"/>
    <n v="550"/>
    <n v="0.1"/>
    <x v="2"/>
    <n v="9"/>
    <n v="1100"/>
    <n v="110"/>
    <n v="990"/>
    <n v="660"/>
    <n v="330"/>
    <n v="0.33333333333333331"/>
    <s v="Healthy"/>
    <s v="Safe"/>
    <n v="0.4"/>
    <s v="Safe"/>
    <n v="220"/>
    <n v="0.4"/>
  </r>
  <r>
    <s v="ORD-10664"/>
    <x v="282"/>
    <s v="P020"/>
    <x v="5"/>
    <s v="Electronics"/>
    <s v="Lighting"/>
    <s v="Luma"/>
    <s v="B02"/>
    <x v="4"/>
    <s v="Abuja"/>
    <x v="2"/>
    <s v="Member"/>
    <s v="Cash"/>
    <n v="1"/>
    <n v="1500"/>
    <n v="2500"/>
    <n v="0.05"/>
    <x v="4"/>
    <n v="1"/>
    <n v="2500"/>
    <n v="125"/>
    <n v="2375"/>
    <n v="1500"/>
    <n v="875"/>
    <n v="0.36842105263157893"/>
    <s v="Healthy"/>
    <s v="Safe"/>
    <n v="0.4"/>
    <s v="Safe"/>
    <n v="1000"/>
    <n v="0.4"/>
  </r>
  <r>
    <s v="ORD-10665"/>
    <x v="300"/>
    <s v="P013"/>
    <x v="11"/>
    <s v="Personal Care"/>
    <s v="Skin Care"/>
    <s v="GlowPlus"/>
    <s v="B08"/>
    <x v="7"/>
    <s v="Kwara"/>
    <x v="2"/>
    <s v="Member"/>
    <s v="Cash"/>
    <n v="1"/>
    <n v="3500"/>
    <n v="5200"/>
    <n v="0"/>
    <x v="6"/>
    <n v="13"/>
    <n v="5200"/>
    <n v="0"/>
    <n v="5200"/>
    <n v="3500"/>
    <n v="1700"/>
    <n v="0.32692307692307693"/>
    <s v="Healthy"/>
    <s v="Safe"/>
    <n v="0.32692307692307693"/>
    <s v="Safe"/>
    <n v="1700"/>
    <n v="0.32692307692307693"/>
  </r>
  <r>
    <s v="ORD-10666"/>
    <x v="176"/>
    <s v="P011"/>
    <x v="9"/>
    <s v="Household"/>
    <s v="Cleaning"/>
    <s v="CleanPro"/>
    <s v="B02"/>
    <x v="4"/>
    <s v="Abuja"/>
    <x v="2"/>
    <s v="Member"/>
    <s v="POS"/>
    <n v="2"/>
    <n v="2800"/>
    <n v="3900"/>
    <n v="0.05"/>
    <x v="10"/>
    <n v="11"/>
    <n v="7800"/>
    <n v="390"/>
    <n v="7410"/>
    <n v="5600"/>
    <n v="1810"/>
    <n v="0.24426450742240216"/>
    <s v="Healthy"/>
    <s v="Safe"/>
    <n v="0.28205128205128205"/>
    <s v="Safe"/>
    <n v="1100"/>
    <n v="0.28205128205128205"/>
  </r>
  <r>
    <s v="ORD-10667"/>
    <x v="129"/>
    <s v="P003"/>
    <x v="12"/>
    <s v="Food"/>
    <s v="Cooking Oil"/>
    <s v="SunGold"/>
    <s v="B04"/>
    <x v="5"/>
    <s v="Lagos"/>
    <x v="4"/>
    <s v="Walk-in"/>
    <s v="Transfer"/>
    <n v="5"/>
    <n v="7800"/>
    <n v="9800"/>
    <n v="0"/>
    <x v="8"/>
    <n v="7"/>
    <n v="49000"/>
    <n v="0"/>
    <n v="49000"/>
    <n v="39000"/>
    <n v="10000"/>
    <n v="0.20408163265306123"/>
    <s v="Understocked"/>
    <s v="Safe"/>
    <n v="0.20408163265306123"/>
    <s v="Safe"/>
    <n v="2000"/>
    <n v="0.20408163265306123"/>
  </r>
  <r>
    <s v="ORD-10668"/>
    <x v="301"/>
    <s v="P003"/>
    <x v="12"/>
    <s v="Food"/>
    <s v="Cooking Oil"/>
    <s v="SunGold"/>
    <s v="B02"/>
    <x v="4"/>
    <s v="Abuja"/>
    <x v="2"/>
    <s v="Member"/>
    <s v="POS"/>
    <n v="2"/>
    <n v="7800"/>
    <n v="9800"/>
    <n v="0"/>
    <x v="1"/>
    <n v="14"/>
    <n v="19600"/>
    <n v="0"/>
    <n v="19600"/>
    <n v="15600"/>
    <n v="4000"/>
    <n v="0.20408163265306123"/>
    <s v="Understocked"/>
    <s v="Safe"/>
    <n v="0.20408163265306123"/>
    <s v="Safe"/>
    <n v="2000"/>
    <n v="0.20408163265306123"/>
  </r>
  <r>
    <s v="ORD-10669"/>
    <x v="302"/>
    <s v="P015"/>
    <x v="8"/>
    <s v="Personal Care"/>
    <s v="Bath"/>
    <s v="SilkyTouch"/>
    <s v="B06"/>
    <x v="1"/>
    <s v="Rivers"/>
    <x v="1"/>
    <s v="Walk-in"/>
    <s v="Cash"/>
    <n v="2"/>
    <n v="600"/>
    <n v="950"/>
    <n v="0.15"/>
    <x v="6"/>
    <n v="8"/>
    <n v="1900"/>
    <n v="285"/>
    <n v="1615"/>
    <n v="1200"/>
    <n v="415"/>
    <n v="0.25696594427244585"/>
    <s v="Healthy"/>
    <s v="Safe"/>
    <n v="0.36842105263157893"/>
    <s v="Safe"/>
    <n v="350"/>
    <n v="0.36842105263157893"/>
  </r>
  <r>
    <s v="ORD-10670"/>
    <x v="303"/>
    <s v="P007"/>
    <x v="3"/>
    <s v="Beverages"/>
    <s v="Malt"/>
    <s v="Naija Malt"/>
    <s v="B07"/>
    <x v="3"/>
    <s v="Enugu"/>
    <x v="3"/>
    <s v="Member"/>
    <s v="Transfer"/>
    <n v="6"/>
    <n v="550"/>
    <n v="850"/>
    <n v="0.1"/>
    <x v="0"/>
    <n v="5"/>
    <n v="5100"/>
    <n v="510"/>
    <n v="4590"/>
    <n v="3300"/>
    <n v="1290"/>
    <n v="0.28104575163398693"/>
    <s v="Healthy"/>
    <s v="Safe"/>
    <n v="0.35294117647058826"/>
    <s v="Safe"/>
    <n v="300"/>
    <n v="0.35294117647058826"/>
  </r>
  <r>
    <s v="ORD-10671"/>
    <x v="62"/>
    <s v="P005"/>
    <x v="2"/>
    <s v="Food"/>
    <s v="Snacks"/>
    <s v="CrispyBite"/>
    <s v="B07"/>
    <x v="3"/>
    <s v="Enugu"/>
    <x v="3"/>
    <s v="Walk-in"/>
    <s v="Cash"/>
    <n v="1"/>
    <n v="850"/>
    <n v="1300"/>
    <n v="0"/>
    <x v="9"/>
    <n v="7"/>
    <n v="1300"/>
    <n v="0"/>
    <n v="1300"/>
    <n v="850"/>
    <n v="450"/>
    <n v="0.34615384615384615"/>
    <s v="Understocked"/>
    <s v="Safe"/>
    <n v="0.34615384615384615"/>
    <s v="Safe"/>
    <n v="450"/>
    <n v="0.34615384615384615"/>
  </r>
  <r>
    <s v="ORD-10672"/>
    <x v="262"/>
    <s v="P002"/>
    <x v="10"/>
    <s v="Food"/>
    <s v="Grains"/>
    <s v="Mama's Pride"/>
    <s v="B06"/>
    <x v="1"/>
    <s v="Rivers"/>
    <x v="1"/>
    <s v="Walk-in"/>
    <s v="POS"/>
    <n v="4"/>
    <n v="6200"/>
    <n v="7900"/>
    <n v="0"/>
    <x v="1"/>
    <n v="10"/>
    <n v="31600"/>
    <n v="0"/>
    <n v="31600"/>
    <n v="24800"/>
    <n v="6800"/>
    <n v="0.21518987341772153"/>
    <s v="Healthy"/>
    <s v="Safe"/>
    <n v="0.21518987341772153"/>
    <s v="Safe"/>
    <n v="1700"/>
    <n v="0.21518987341772153"/>
  </r>
  <r>
    <s v="ORD-10673"/>
    <x v="62"/>
    <s v="P021"/>
    <x v="20"/>
    <s v="Office Supplies"/>
    <s v="Paper"/>
    <s v="OfficeMate"/>
    <s v="B01"/>
    <x v="2"/>
    <s v="Abuja"/>
    <x v="2"/>
    <s v="Walk-in"/>
    <s v="Cash"/>
    <n v="2"/>
    <n v="5200"/>
    <n v="7000"/>
    <n v="0"/>
    <x v="5"/>
    <n v="4"/>
    <n v="14000"/>
    <n v="0"/>
    <n v="14000"/>
    <n v="10400"/>
    <n v="3600"/>
    <n v="0.25714285714285712"/>
    <s v="Overstocked"/>
    <s v="Safe"/>
    <n v="0.25714285714285712"/>
    <s v="Safe"/>
    <n v="1800"/>
    <n v="0.25714285714285712"/>
  </r>
  <r>
    <s v="ORD-10674"/>
    <x v="11"/>
    <s v="P004"/>
    <x v="1"/>
    <s v="Beverages"/>
    <s v="Dairy"/>
    <s v="FreshDay"/>
    <s v="B03"/>
    <x v="6"/>
    <s v="Lagos"/>
    <x v="4"/>
    <s v="Corporate"/>
    <s v="POS"/>
    <n v="1"/>
    <n v="1650"/>
    <n v="2200"/>
    <n v="0.15"/>
    <x v="2"/>
    <n v="6"/>
    <n v="2200"/>
    <n v="330"/>
    <n v="1870"/>
    <n v="1650"/>
    <n v="220"/>
    <n v="0.11764705882352941"/>
    <s v="Understocked"/>
    <s v="Safe"/>
    <n v="0.25"/>
    <s v="Safe"/>
    <n v="550"/>
    <n v="0.25"/>
  </r>
  <r>
    <s v="ORD-10675"/>
    <x v="110"/>
    <s v="P017"/>
    <x v="23"/>
    <s v="Electronics"/>
    <s v="Accessories"/>
    <s v="PowerMax"/>
    <s v="B05"/>
    <x v="0"/>
    <s v="Kano"/>
    <x v="0"/>
    <s v="Member"/>
    <s v="POS"/>
    <n v="3"/>
    <n v="7500"/>
    <n v="10500"/>
    <n v="0"/>
    <x v="12"/>
    <n v="4"/>
    <n v="31500"/>
    <n v="0"/>
    <n v="31500"/>
    <n v="22500"/>
    <n v="9000"/>
    <n v="0.2857142857142857"/>
    <s v="Healthy"/>
    <s v="Safe"/>
    <n v="0.2857142857142857"/>
    <s v="Safe"/>
    <n v="3000"/>
    <n v="0.2857142857142857"/>
  </r>
  <r>
    <s v="ORD-10676"/>
    <x v="65"/>
    <s v="P004"/>
    <x v="1"/>
    <s v="Beverages"/>
    <s v="Dairy"/>
    <s v="FreshDay"/>
    <s v="B06"/>
    <x v="1"/>
    <s v="Rivers"/>
    <x v="1"/>
    <s v="Corporate"/>
    <s v="POS"/>
    <n v="1"/>
    <n v="1650"/>
    <n v="2200"/>
    <n v="0.1"/>
    <x v="0"/>
    <n v="8"/>
    <n v="2200"/>
    <n v="220"/>
    <n v="1980"/>
    <n v="1650"/>
    <n v="330"/>
    <n v="0.16666666666666666"/>
    <s v="Understocked"/>
    <s v="Safe"/>
    <n v="0.25"/>
    <s v="Safe"/>
    <n v="550"/>
    <n v="0.25"/>
  </r>
  <r>
    <s v="ORD-10677"/>
    <x v="304"/>
    <s v="P004"/>
    <x v="1"/>
    <s v="Beverages"/>
    <s v="Dairy"/>
    <s v="FreshDay"/>
    <s v="B05"/>
    <x v="0"/>
    <s v="Kano"/>
    <x v="0"/>
    <s v="Corporate"/>
    <s v="Transfer"/>
    <n v="1"/>
    <n v="1650"/>
    <n v="2200"/>
    <n v="0.15"/>
    <x v="0"/>
    <n v="4"/>
    <n v="2200"/>
    <n v="330"/>
    <n v="1870"/>
    <n v="1650"/>
    <n v="220"/>
    <n v="0.11764705882352941"/>
    <s v="Understocked"/>
    <s v="Safe"/>
    <n v="0.25"/>
    <s v="Safe"/>
    <n v="550"/>
    <n v="0.25"/>
  </r>
  <r>
    <s v="ORD-10678"/>
    <x v="106"/>
    <s v="P003"/>
    <x v="12"/>
    <s v="Food"/>
    <s v="Cooking Oil"/>
    <s v="SunGold"/>
    <s v="B01"/>
    <x v="2"/>
    <s v="Abuja"/>
    <x v="2"/>
    <s v="Member"/>
    <s v="POS"/>
    <n v="1"/>
    <n v="7800"/>
    <n v="9800"/>
    <n v="0.1"/>
    <x v="9"/>
    <n v="2"/>
    <n v="9800"/>
    <n v="980"/>
    <n v="8820"/>
    <n v="7800"/>
    <n v="1020"/>
    <n v="0.11564625850340136"/>
    <s v="Understocked"/>
    <s v="Safe"/>
    <n v="0.20408163265306123"/>
    <s v="Safe"/>
    <n v="2000"/>
    <n v="0.20408163265306123"/>
  </r>
  <r>
    <s v="ORD-10679"/>
    <x v="284"/>
    <s v="P007"/>
    <x v="3"/>
    <s v="Beverages"/>
    <s v="Malt"/>
    <s v="Naija Malt"/>
    <s v="B04"/>
    <x v="5"/>
    <s v="Lagos"/>
    <x v="4"/>
    <s v="Member"/>
    <s v="Card"/>
    <n v="4"/>
    <n v="550"/>
    <n v="850"/>
    <n v="0.1"/>
    <x v="2"/>
    <n v="5"/>
    <n v="3400"/>
    <n v="340"/>
    <n v="3060"/>
    <n v="2200"/>
    <n v="860"/>
    <n v="0.28104575163398693"/>
    <s v="Healthy"/>
    <s v="Safe"/>
    <n v="0.35294117647058826"/>
    <s v="Safe"/>
    <n v="300"/>
    <n v="0.35294117647058826"/>
  </r>
  <r>
    <s v="ORD-10680"/>
    <x v="63"/>
    <s v="P004"/>
    <x v="1"/>
    <s v="Beverages"/>
    <s v="Dairy"/>
    <s v="FreshDay"/>
    <s v="B01"/>
    <x v="2"/>
    <s v="Abuja"/>
    <x v="2"/>
    <s v="Member"/>
    <s v="Cash"/>
    <n v="5"/>
    <n v="1650"/>
    <n v="2200"/>
    <n v="0.05"/>
    <x v="0"/>
    <n v="8"/>
    <n v="11000"/>
    <n v="550"/>
    <n v="10450"/>
    <n v="8250"/>
    <n v="2200"/>
    <n v="0.21052631578947367"/>
    <s v="Understocked"/>
    <s v="Safe"/>
    <n v="0.25"/>
    <s v="Safe"/>
    <n v="550"/>
    <n v="0.25"/>
  </r>
  <r>
    <s v="ORD-10681"/>
    <x v="22"/>
    <s v="P008"/>
    <x v="4"/>
    <s v="Beverages"/>
    <s v="Soft Drinks"/>
    <s v="Sparkle"/>
    <s v="B05"/>
    <x v="0"/>
    <s v="Kano"/>
    <x v="0"/>
    <s v="Walk-in"/>
    <s v="POS"/>
    <n v="1"/>
    <n v="330"/>
    <n v="550"/>
    <n v="0"/>
    <x v="3"/>
    <n v="12"/>
    <n v="550"/>
    <n v="0"/>
    <n v="550"/>
    <n v="330"/>
    <n v="220"/>
    <n v="0.4"/>
    <s v="Healthy"/>
    <s v="Safe"/>
    <n v="0.4"/>
    <s v="Safe"/>
    <n v="220"/>
    <n v="0.4"/>
  </r>
  <r>
    <s v="ORD-10682"/>
    <x v="180"/>
    <s v="P002"/>
    <x v="10"/>
    <s v="Food"/>
    <s v="Grains"/>
    <s v="Mama's Pride"/>
    <s v="B08"/>
    <x v="7"/>
    <s v="Kwara"/>
    <x v="2"/>
    <s v="Corporate"/>
    <s v="Cash"/>
    <n v="2"/>
    <n v="6200"/>
    <n v="7900"/>
    <n v="0.1"/>
    <x v="8"/>
    <n v="12"/>
    <n v="15800"/>
    <n v="1580"/>
    <n v="14220"/>
    <n v="12400"/>
    <n v="1820"/>
    <n v="0.12798874824191281"/>
    <s v="Healthy"/>
    <s v="Safe"/>
    <n v="0.21518987341772153"/>
    <s v="Safe"/>
    <n v="1700"/>
    <n v="0.21518987341772153"/>
  </r>
  <r>
    <s v="ORD-10683"/>
    <x v="263"/>
    <s v="P011"/>
    <x v="9"/>
    <s v="Household"/>
    <s v="Cleaning"/>
    <s v="CleanPro"/>
    <s v="B06"/>
    <x v="1"/>
    <s v="Rivers"/>
    <x v="1"/>
    <s v="Walk-in"/>
    <s v="POS"/>
    <n v="5"/>
    <n v="2800"/>
    <n v="3900"/>
    <n v="0.2"/>
    <x v="10"/>
    <n v="8"/>
    <n v="19500"/>
    <n v="3900"/>
    <n v="15600"/>
    <n v="14000"/>
    <n v="1600"/>
    <n v="0.10256410256410256"/>
    <s v="Healthy"/>
    <s v="Safe"/>
    <n v="0.28205128205128205"/>
    <s v="Safe"/>
    <n v="1100"/>
    <n v="0.28205128205128205"/>
  </r>
  <r>
    <s v="ORD-10684"/>
    <x v="118"/>
    <s v="P017"/>
    <x v="23"/>
    <s v="Electronics"/>
    <s v="Accessories"/>
    <s v="PowerMax"/>
    <s v="B01"/>
    <x v="2"/>
    <s v="Abuja"/>
    <x v="2"/>
    <s v="Member"/>
    <s v="Cash"/>
    <n v="2"/>
    <n v="7500"/>
    <n v="10500"/>
    <n v="0.15"/>
    <x v="4"/>
    <n v="12"/>
    <n v="21000"/>
    <n v="3150"/>
    <n v="17850"/>
    <n v="15000"/>
    <n v="2850"/>
    <n v="0.15966386554621848"/>
    <s v="Healthy"/>
    <s v="Safe"/>
    <n v="0.2857142857142857"/>
    <s v="Safe"/>
    <n v="3000"/>
    <n v="0.2857142857142857"/>
  </r>
  <r>
    <s v="ORD-10685"/>
    <x v="217"/>
    <s v="P008"/>
    <x v="4"/>
    <s v="Beverages"/>
    <s v="Soft Drinks"/>
    <s v="Sparkle"/>
    <s v="B01"/>
    <x v="2"/>
    <s v="Abuja"/>
    <x v="2"/>
    <s v="Walk-in"/>
    <s v="Card"/>
    <n v="1"/>
    <n v="330"/>
    <n v="550"/>
    <n v="0.1"/>
    <x v="0"/>
    <n v="2"/>
    <n v="550"/>
    <n v="55"/>
    <n v="495"/>
    <n v="330"/>
    <n v="165"/>
    <n v="0.33333333333333331"/>
    <s v="Healthy"/>
    <s v="Safe"/>
    <n v="0.4"/>
    <s v="Safe"/>
    <n v="220"/>
    <n v="0.4"/>
  </r>
  <r>
    <s v="ORD-10686"/>
    <x v="162"/>
    <s v="P015"/>
    <x v="8"/>
    <s v="Personal Care"/>
    <s v="Bath"/>
    <s v="SilkyTouch"/>
    <s v="B06"/>
    <x v="1"/>
    <s v="Rivers"/>
    <x v="1"/>
    <s v="Member"/>
    <s v="Transfer"/>
    <n v="5"/>
    <n v="600"/>
    <n v="950"/>
    <n v="0"/>
    <x v="11"/>
    <n v="9"/>
    <n v="4750"/>
    <n v="0"/>
    <n v="4750"/>
    <n v="3000"/>
    <n v="1750"/>
    <n v="0.36842105263157893"/>
    <s v="Healthy"/>
    <s v="Safe"/>
    <n v="0.36842105263157893"/>
    <s v="Safe"/>
    <n v="350"/>
    <n v="0.36842105263157893"/>
  </r>
  <r>
    <s v="ORD-10687"/>
    <x v="47"/>
    <s v="P010"/>
    <x v="22"/>
    <s v="Household"/>
    <s v="Paper Products"/>
    <s v="SoftCare"/>
    <s v="B08"/>
    <x v="7"/>
    <s v="Kwara"/>
    <x v="2"/>
    <s v="Member"/>
    <s v="Transfer"/>
    <n v="1"/>
    <n v="3200"/>
    <n v="4500"/>
    <n v="0.05"/>
    <x v="10"/>
    <n v="14"/>
    <n v="4500"/>
    <n v="225"/>
    <n v="4275"/>
    <n v="3200"/>
    <n v="1075"/>
    <n v="0.25146198830409355"/>
    <s v="Healthy"/>
    <s v="Safe"/>
    <n v="0.28888888888888886"/>
    <s v="Safe"/>
    <n v="1300"/>
    <n v="0.28888888888888886"/>
  </r>
  <r>
    <s v="ORD-10688"/>
    <x v="194"/>
    <s v="P001"/>
    <x v="14"/>
    <s v="Food"/>
    <s v="Grains"/>
    <s v="Golden Harvest"/>
    <s v="B02"/>
    <x v="4"/>
    <s v="Abuja"/>
    <x v="2"/>
    <s v="Member"/>
    <s v="Cash"/>
    <n v="4"/>
    <n v="14500"/>
    <n v="17500"/>
    <n v="0.15"/>
    <x v="8"/>
    <n v="3"/>
    <n v="70000"/>
    <n v="10500"/>
    <n v="59500"/>
    <n v="58000"/>
    <n v="1500"/>
    <n v="2.5210084033613446E-2"/>
    <s v="Understocked"/>
    <s v="Safe"/>
    <n v="0.17142857142857143"/>
    <s v="Safe"/>
    <n v="3000"/>
    <n v="0.17142857142857143"/>
  </r>
  <r>
    <s v="ORD-10689"/>
    <x v="45"/>
    <s v="P008"/>
    <x v="4"/>
    <s v="Beverages"/>
    <s v="Soft Drinks"/>
    <s v="Sparkle"/>
    <s v="B01"/>
    <x v="2"/>
    <s v="Abuja"/>
    <x v="2"/>
    <s v="Member"/>
    <s v="POS"/>
    <n v="4"/>
    <n v="330"/>
    <n v="550"/>
    <n v="0.1"/>
    <x v="2"/>
    <n v="9"/>
    <n v="2200"/>
    <n v="220"/>
    <n v="1980"/>
    <n v="1320"/>
    <n v="660"/>
    <n v="0.33333333333333331"/>
    <s v="Healthy"/>
    <s v="Safe"/>
    <n v="0.4"/>
    <s v="Safe"/>
    <n v="220"/>
    <n v="0.4"/>
  </r>
  <r>
    <s v="ORD-10690"/>
    <x v="74"/>
    <s v="P002"/>
    <x v="10"/>
    <s v="Food"/>
    <s v="Grains"/>
    <s v="Mama's Pride"/>
    <s v="B03"/>
    <x v="6"/>
    <s v="Lagos"/>
    <x v="4"/>
    <s v="Member"/>
    <s v="POS"/>
    <n v="3"/>
    <n v="6200"/>
    <n v="7900"/>
    <n v="0.05"/>
    <x v="8"/>
    <n v="6"/>
    <n v="23700"/>
    <n v="1185"/>
    <n v="22515"/>
    <n v="18600"/>
    <n v="3915"/>
    <n v="0.17388407728181213"/>
    <s v="Healthy"/>
    <s v="Safe"/>
    <n v="0.21518987341772153"/>
    <s v="Safe"/>
    <n v="1700"/>
    <n v="0.21518987341772153"/>
  </r>
  <r>
    <s v="ORD-10691"/>
    <x v="276"/>
    <s v="P001"/>
    <x v="14"/>
    <s v="Food"/>
    <s v="Grains"/>
    <s v="Golden Harvest"/>
    <s v="B07"/>
    <x v="3"/>
    <s v="Enugu"/>
    <x v="3"/>
    <s v="Walk-in"/>
    <s v="POS"/>
    <n v="2"/>
    <n v="14500"/>
    <n v="17500"/>
    <n v="0.1"/>
    <x v="8"/>
    <n v="7"/>
    <n v="35000"/>
    <n v="3500"/>
    <n v="31500"/>
    <n v="29000"/>
    <n v="2500"/>
    <n v="7.9365079365079361E-2"/>
    <s v="Understocked"/>
    <s v="Safe"/>
    <n v="0.17142857142857143"/>
    <s v="Safe"/>
    <n v="3000"/>
    <n v="0.17142857142857143"/>
  </r>
  <r>
    <s v="ORD-10692"/>
    <x v="75"/>
    <s v="P024"/>
    <x v="19"/>
    <s v="Office Supplies"/>
    <s v="Accessories"/>
    <s v="ErgoDesk"/>
    <s v="B03"/>
    <x v="6"/>
    <s v="Lagos"/>
    <x v="4"/>
    <s v="Walk-in"/>
    <s v="Card"/>
    <n v="1"/>
    <n v="1700"/>
    <n v="2800"/>
    <n v="0.1"/>
    <x v="15"/>
    <n v="12"/>
    <n v="2800"/>
    <n v="280"/>
    <n v="2520"/>
    <n v="1700"/>
    <n v="820"/>
    <n v="0.32539682539682541"/>
    <s v="Overstocked"/>
    <s v="Safe"/>
    <n v="0.39285714285714285"/>
    <s v="Safe"/>
    <n v="1100"/>
    <n v="0.39285714285714285"/>
  </r>
  <r>
    <s v="ORD-10693"/>
    <x v="305"/>
    <s v="P003"/>
    <x v="12"/>
    <s v="Food"/>
    <s v="Cooking Oil"/>
    <s v="SunGold"/>
    <s v="B02"/>
    <x v="4"/>
    <s v="Abuja"/>
    <x v="2"/>
    <s v="Member"/>
    <s v="Transfer"/>
    <n v="3"/>
    <n v="7800"/>
    <n v="9800"/>
    <n v="0"/>
    <x v="1"/>
    <n v="7"/>
    <n v="29400"/>
    <n v="0"/>
    <n v="29400"/>
    <n v="23400"/>
    <n v="6000"/>
    <n v="0.20408163265306123"/>
    <s v="Understocked"/>
    <s v="Safe"/>
    <n v="0.20408163265306123"/>
    <s v="Safe"/>
    <n v="2000"/>
    <n v="0.20408163265306123"/>
  </r>
  <r>
    <s v="ORD-10694"/>
    <x v="37"/>
    <s v="P008"/>
    <x v="4"/>
    <s v="Beverages"/>
    <s v="Soft Drinks"/>
    <s v="Sparkle"/>
    <s v="B01"/>
    <x v="2"/>
    <s v="Abuja"/>
    <x v="2"/>
    <s v="Walk-in"/>
    <s v="Cash"/>
    <n v="2"/>
    <n v="330"/>
    <n v="550"/>
    <n v="0.1"/>
    <x v="2"/>
    <n v="2"/>
    <n v="1100"/>
    <n v="110"/>
    <n v="990"/>
    <n v="660"/>
    <n v="330"/>
    <n v="0.33333333333333331"/>
    <s v="Healthy"/>
    <s v="Safe"/>
    <n v="0.4"/>
    <s v="Safe"/>
    <n v="220"/>
    <n v="0.4"/>
  </r>
  <r>
    <s v="ORD-10695"/>
    <x v="160"/>
    <s v="P006"/>
    <x v="0"/>
    <s v="Beverages"/>
    <s v="Water"/>
    <s v="AquaPure"/>
    <s v="B04"/>
    <x v="5"/>
    <s v="Lagos"/>
    <x v="4"/>
    <s v="Member"/>
    <s v="Transfer"/>
    <n v="4"/>
    <n v="230"/>
    <n v="400"/>
    <n v="0.05"/>
    <x v="2"/>
    <n v="4"/>
    <n v="1600"/>
    <n v="80"/>
    <n v="1520"/>
    <n v="920"/>
    <n v="600"/>
    <n v="0.39473684210526316"/>
    <s v="Understocked"/>
    <s v="Safe"/>
    <n v="0.42499999999999999"/>
    <s v="Safe"/>
    <n v="170"/>
    <n v="0.42499999999999999"/>
  </r>
  <r>
    <s v="ORD-10696"/>
    <x v="254"/>
    <s v="P019"/>
    <x v="18"/>
    <s v="Electronics"/>
    <s v="Audio"/>
    <s v="SoundBeat"/>
    <s v="B04"/>
    <x v="5"/>
    <s v="Lagos"/>
    <x v="4"/>
    <s v="Corporate"/>
    <s v="Transfer"/>
    <n v="2"/>
    <n v="12500"/>
    <n v="18500"/>
    <n v="0"/>
    <x v="4"/>
    <n v="10"/>
    <n v="37000"/>
    <n v="0"/>
    <n v="37000"/>
    <n v="25000"/>
    <n v="12000"/>
    <n v="0.32432432432432434"/>
    <s v="Understocked"/>
    <s v="Safe"/>
    <n v="0.32432432432432434"/>
    <s v="Safe"/>
    <n v="6000"/>
    <n v="0.32432432432432434"/>
  </r>
  <r>
    <s v="ORD-10697"/>
    <x v="204"/>
    <s v="P015"/>
    <x v="8"/>
    <s v="Personal Care"/>
    <s v="Bath"/>
    <s v="SilkyTouch"/>
    <s v="B04"/>
    <x v="5"/>
    <s v="Lagos"/>
    <x v="4"/>
    <s v="Walk-in"/>
    <s v="POS"/>
    <n v="3"/>
    <n v="600"/>
    <n v="950"/>
    <n v="0"/>
    <x v="11"/>
    <n v="4"/>
    <n v="2850"/>
    <n v="0"/>
    <n v="2850"/>
    <n v="1800"/>
    <n v="1050"/>
    <n v="0.36842105263157893"/>
    <s v="Healthy"/>
    <s v="Safe"/>
    <n v="0.36842105263157893"/>
    <s v="Safe"/>
    <n v="350"/>
    <n v="0.36842105263157893"/>
  </r>
  <r>
    <s v="ORD-10698"/>
    <x v="181"/>
    <s v="P014"/>
    <x v="15"/>
    <s v="Personal Care"/>
    <s v="Oral Care"/>
    <s v="FreshMint"/>
    <s v="B03"/>
    <x v="6"/>
    <s v="Lagos"/>
    <x v="4"/>
    <s v="Walk-in"/>
    <s v="Card"/>
    <n v="5"/>
    <n v="1200"/>
    <n v="1900"/>
    <n v="0.05"/>
    <x v="11"/>
    <n v="5"/>
    <n v="9500"/>
    <n v="475"/>
    <n v="9025"/>
    <n v="6000"/>
    <n v="3025"/>
    <n v="0.33518005540166207"/>
    <s v="Healthy"/>
    <s v="Safe"/>
    <n v="0.36842105263157893"/>
    <s v="Safe"/>
    <n v="700"/>
    <n v="0.36842105263157893"/>
  </r>
  <r>
    <s v="ORD-10699"/>
    <x v="18"/>
    <s v="P014"/>
    <x v="15"/>
    <s v="Personal Care"/>
    <s v="Oral Care"/>
    <s v="FreshMint"/>
    <s v="B04"/>
    <x v="5"/>
    <s v="Lagos"/>
    <x v="4"/>
    <s v="Walk-in"/>
    <s v="Cash"/>
    <n v="6"/>
    <n v="1200"/>
    <n v="1900"/>
    <n v="0.1"/>
    <x v="11"/>
    <n v="4"/>
    <n v="11400"/>
    <n v="1140"/>
    <n v="10260"/>
    <n v="7200"/>
    <n v="3060"/>
    <n v="0.2982456140350877"/>
    <s v="Healthy"/>
    <s v="Safe"/>
    <n v="0.36842105263157893"/>
    <s v="Safe"/>
    <n v="700"/>
    <n v="0.36842105263157893"/>
  </r>
  <r>
    <s v="ORD-10700"/>
    <x v="306"/>
    <s v="P006"/>
    <x v="0"/>
    <s v="Beverages"/>
    <s v="Water"/>
    <s v="AquaPure"/>
    <s v="B05"/>
    <x v="0"/>
    <s v="Kano"/>
    <x v="0"/>
    <s v="Member"/>
    <s v="POS"/>
    <n v="5"/>
    <n v="230"/>
    <n v="400"/>
    <n v="0.15"/>
    <x v="0"/>
    <n v="11"/>
    <n v="2000"/>
    <n v="300"/>
    <n v="1700"/>
    <n v="1150"/>
    <n v="550"/>
    <n v="0.3235294117647059"/>
    <s v="Understocked"/>
    <s v="Safe"/>
    <n v="0.42499999999999999"/>
    <s v="Safe"/>
    <n v="170"/>
    <n v="0.42499999999999999"/>
  </r>
  <r>
    <s v="ORD-10701"/>
    <x v="11"/>
    <s v="P007"/>
    <x v="3"/>
    <s v="Beverages"/>
    <s v="Malt"/>
    <s v="Naija Malt"/>
    <s v="B02"/>
    <x v="4"/>
    <s v="Abuja"/>
    <x v="2"/>
    <s v="Walk-in"/>
    <s v="Transfer"/>
    <n v="1"/>
    <n v="550"/>
    <n v="850"/>
    <n v="0.1"/>
    <x v="2"/>
    <n v="14"/>
    <n v="850"/>
    <n v="85"/>
    <n v="765"/>
    <n v="550"/>
    <n v="215"/>
    <n v="0.28104575163398693"/>
    <s v="Healthy"/>
    <s v="Safe"/>
    <n v="0.35294117647058826"/>
    <s v="Safe"/>
    <n v="300"/>
    <n v="0.35294117647058826"/>
  </r>
  <r>
    <s v="ORD-10702"/>
    <x v="286"/>
    <s v="P013"/>
    <x v="11"/>
    <s v="Personal Care"/>
    <s v="Skin Care"/>
    <s v="GlowPlus"/>
    <s v="B07"/>
    <x v="3"/>
    <s v="Enugu"/>
    <x v="3"/>
    <s v="Walk-in"/>
    <s v="POS"/>
    <n v="2"/>
    <n v="3500"/>
    <n v="5200"/>
    <n v="0"/>
    <x v="6"/>
    <n v="7"/>
    <n v="10400"/>
    <n v="0"/>
    <n v="10400"/>
    <n v="7000"/>
    <n v="3400"/>
    <n v="0.32692307692307693"/>
    <s v="Healthy"/>
    <s v="Safe"/>
    <n v="0.32692307692307693"/>
    <s v="Safe"/>
    <n v="1700"/>
    <n v="0.32692307692307693"/>
  </r>
  <r>
    <s v="ORD-10703"/>
    <x v="200"/>
    <s v="P004"/>
    <x v="1"/>
    <s v="Beverages"/>
    <s v="Dairy"/>
    <s v="FreshDay"/>
    <s v="B02"/>
    <x v="4"/>
    <s v="Abuja"/>
    <x v="2"/>
    <s v="Walk-in"/>
    <s v="Transfer"/>
    <n v="5"/>
    <n v="1650"/>
    <n v="2200"/>
    <n v="0.05"/>
    <x v="0"/>
    <n v="1"/>
    <n v="11000"/>
    <n v="550"/>
    <n v="10450"/>
    <n v="8250"/>
    <n v="2200"/>
    <n v="0.21052631578947367"/>
    <s v="Understocked"/>
    <s v="Safe"/>
    <n v="0.25"/>
    <s v="Safe"/>
    <n v="550"/>
    <n v="0.25"/>
  </r>
  <r>
    <s v="ORD-10704"/>
    <x v="125"/>
    <s v="P003"/>
    <x v="12"/>
    <s v="Food"/>
    <s v="Cooking Oil"/>
    <s v="SunGold"/>
    <s v="B03"/>
    <x v="6"/>
    <s v="Lagos"/>
    <x v="4"/>
    <s v="Walk-in"/>
    <s v="POS"/>
    <n v="5"/>
    <n v="7800"/>
    <n v="9800"/>
    <n v="0.1"/>
    <x v="1"/>
    <n v="8"/>
    <n v="49000"/>
    <n v="4900"/>
    <n v="44100"/>
    <n v="39000"/>
    <n v="5100"/>
    <n v="0.11564625850340136"/>
    <s v="Understocked"/>
    <s v="Safe"/>
    <n v="0.20408163265306123"/>
    <s v="Safe"/>
    <n v="2000"/>
    <n v="0.20408163265306123"/>
  </r>
  <r>
    <s v="ORD-10705"/>
    <x v="2"/>
    <s v="P020"/>
    <x v="5"/>
    <s v="Electronics"/>
    <s v="Lighting"/>
    <s v="Luma"/>
    <s v="B01"/>
    <x v="2"/>
    <s v="Abuja"/>
    <x v="2"/>
    <s v="Member"/>
    <s v="Transfer"/>
    <n v="3"/>
    <n v="1500"/>
    <n v="2500"/>
    <n v="0.15"/>
    <x v="13"/>
    <n v="11"/>
    <n v="7500"/>
    <n v="1125"/>
    <n v="6375"/>
    <n v="4500"/>
    <n v="1875"/>
    <n v="0.29411764705882354"/>
    <s v="Healthy"/>
    <s v="Safe"/>
    <n v="0.4"/>
    <s v="Safe"/>
    <n v="1000"/>
    <n v="0.4"/>
  </r>
  <r>
    <s v="ORD-10706"/>
    <x v="307"/>
    <s v="P007"/>
    <x v="3"/>
    <s v="Beverages"/>
    <s v="Malt"/>
    <s v="Naija Malt"/>
    <s v="B07"/>
    <x v="3"/>
    <s v="Enugu"/>
    <x v="3"/>
    <s v="Walk-in"/>
    <s v="Transfer"/>
    <n v="5"/>
    <n v="550"/>
    <n v="850"/>
    <n v="0"/>
    <x v="3"/>
    <n v="9"/>
    <n v="4250"/>
    <n v="0"/>
    <n v="4250"/>
    <n v="2750"/>
    <n v="1500"/>
    <n v="0.35294117647058826"/>
    <s v="Healthy"/>
    <s v="Safe"/>
    <n v="0.35294117647058826"/>
    <s v="Safe"/>
    <n v="300"/>
    <n v="0.35294117647058826"/>
  </r>
  <r>
    <s v="ORD-10707"/>
    <x v="263"/>
    <s v="P022"/>
    <x v="17"/>
    <s v="Office Supplies"/>
    <s v="Writing"/>
    <s v="WriteWell"/>
    <s v="B08"/>
    <x v="7"/>
    <s v="Kwara"/>
    <x v="2"/>
    <s v="Walk-in"/>
    <s v="Cash"/>
    <n v="2"/>
    <n v="1300"/>
    <n v="2100"/>
    <n v="0.15"/>
    <x v="14"/>
    <n v="6"/>
    <n v="4200"/>
    <n v="630"/>
    <n v="3570"/>
    <n v="2600"/>
    <n v="970"/>
    <n v="0.27170868347338933"/>
    <s v="Understocked"/>
    <s v="Safe"/>
    <n v="0.38095238095238093"/>
    <s v="Safe"/>
    <n v="800"/>
    <n v="0.38095238095238093"/>
  </r>
  <r>
    <s v="ORD-10708"/>
    <x v="45"/>
    <s v="P018"/>
    <x v="16"/>
    <s v="Electronics"/>
    <s v="Mobile Accessories"/>
    <s v="VoltSafe"/>
    <s v="B06"/>
    <x v="1"/>
    <s v="Rivers"/>
    <x v="1"/>
    <s v="Walk-in"/>
    <s v="Card"/>
    <n v="8"/>
    <n v="18000"/>
    <n v="24500"/>
    <n v="0"/>
    <x v="13"/>
    <n v="8"/>
    <n v="196000"/>
    <n v="0"/>
    <n v="196000"/>
    <n v="144000"/>
    <n v="52000"/>
    <n v="0.26530612244897961"/>
    <s v="Understocked"/>
    <s v="Safe"/>
    <n v="0.26530612244897961"/>
    <s v="Safe"/>
    <n v="6500"/>
    <n v="0.26530612244897961"/>
  </r>
  <r>
    <s v="ORD-10709"/>
    <x v="304"/>
    <s v="P002"/>
    <x v="10"/>
    <s v="Food"/>
    <s v="Grains"/>
    <s v="Mama's Pride"/>
    <s v="B04"/>
    <x v="5"/>
    <s v="Lagos"/>
    <x v="4"/>
    <s v="Walk-in"/>
    <s v="Transfer"/>
    <n v="4"/>
    <n v="6200"/>
    <n v="7900"/>
    <n v="0"/>
    <x v="9"/>
    <n v="5"/>
    <n v="31600"/>
    <n v="0"/>
    <n v="31600"/>
    <n v="24800"/>
    <n v="6800"/>
    <n v="0.21518987341772153"/>
    <s v="Healthy"/>
    <s v="Safe"/>
    <n v="0.21518987341772153"/>
    <s v="Safe"/>
    <n v="1700"/>
    <n v="0.21518987341772153"/>
  </r>
  <r>
    <s v="ORD-10710"/>
    <x v="73"/>
    <s v="P007"/>
    <x v="3"/>
    <s v="Beverages"/>
    <s v="Malt"/>
    <s v="Naija Malt"/>
    <s v="B06"/>
    <x v="1"/>
    <s v="Rivers"/>
    <x v="1"/>
    <s v="Corporate"/>
    <s v="POS"/>
    <n v="5"/>
    <n v="550"/>
    <n v="850"/>
    <n v="0"/>
    <x v="0"/>
    <n v="11"/>
    <n v="4250"/>
    <n v="0"/>
    <n v="4250"/>
    <n v="2750"/>
    <n v="1500"/>
    <n v="0.35294117647058826"/>
    <s v="Healthy"/>
    <s v="Safe"/>
    <n v="0.35294117647058826"/>
    <s v="Safe"/>
    <n v="300"/>
    <n v="0.35294117647058826"/>
  </r>
  <r>
    <s v="ORD-10711"/>
    <x v="308"/>
    <s v="P015"/>
    <x v="8"/>
    <s v="Personal Care"/>
    <s v="Bath"/>
    <s v="SilkyTouch"/>
    <s v="B06"/>
    <x v="1"/>
    <s v="Rivers"/>
    <x v="1"/>
    <s v="Walk-in"/>
    <s v="POS"/>
    <n v="2"/>
    <n v="600"/>
    <n v="950"/>
    <n v="0.1"/>
    <x v="11"/>
    <n v="13"/>
    <n v="1900"/>
    <n v="190"/>
    <n v="1710"/>
    <n v="1200"/>
    <n v="510"/>
    <n v="0.2982456140350877"/>
    <s v="Healthy"/>
    <s v="Safe"/>
    <n v="0.36842105263157893"/>
    <s v="Safe"/>
    <n v="350"/>
    <n v="0.36842105263157893"/>
  </r>
  <r>
    <s v="ORD-10712"/>
    <x v="116"/>
    <s v="P020"/>
    <x v="5"/>
    <s v="Electronics"/>
    <s v="Lighting"/>
    <s v="Luma"/>
    <s v="B07"/>
    <x v="3"/>
    <s v="Enugu"/>
    <x v="3"/>
    <s v="Walk-in"/>
    <s v="POS"/>
    <n v="2"/>
    <n v="1500"/>
    <n v="2500"/>
    <n v="0.15"/>
    <x v="13"/>
    <n v="5"/>
    <n v="5000"/>
    <n v="750"/>
    <n v="4250"/>
    <n v="3000"/>
    <n v="1250"/>
    <n v="0.29411764705882354"/>
    <s v="Healthy"/>
    <s v="Safe"/>
    <n v="0.4"/>
    <s v="Safe"/>
    <n v="1000"/>
    <n v="0.4"/>
  </r>
  <r>
    <s v="ORD-10713"/>
    <x v="40"/>
    <s v="P006"/>
    <x v="0"/>
    <s v="Beverages"/>
    <s v="Water"/>
    <s v="AquaPure"/>
    <s v="B07"/>
    <x v="3"/>
    <s v="Enugu"/>
    <x v="3"/>
    <s v="Walk-in"/>
    <s v="POS"/>
    <n v="1"/>
    <n v="230"/>
    <n v="400"/>
    <n v="0.05"/>
    <x v="0"/>
    <n v="7"/>
    <n v="400"/>
    <n v="20"/>
    <n v="380"/>
    <n v="230"/>
    <n v="150"/>
    <n v="0.39473684210526316"/>
    <s v="Understocked"/>
    <s v="Safe"/>
    <n v="0.42499999999999999"/>
    <s v="Safe"/>
    <n v="170"/>
    <n v="0.42499999999999999"/>
  </r>
  <r>
    <s v="ORD-10714"/>
    <x v="150"/>
    <s v="P020"/>
    <x v="5"/>
    <s v="Electronics"/>
    <s v="Lighting"/>
    <s v="Luma"/>
    <s v="B07"/>
    <x v="3"/>
    <s v="Enugu"/>
    <x v="3"/>
    <s v="Walk-in"/>
    <s v="POS"/>
    <n v="8"/>
    <n v="1500"/>
    <n v="2500"/>
    <n v="0.05"/>
    <x v="12"/>
    <n v="7"/>
    <n v="20000"/>
    <n v="1000"/>
    <n v="19000"/>
    <n v="12000"/>
    <n v="7000"/>
    <n v="0.36842105263157893"/>
    <s v="Healthy"/>
    <s v="Safe"/>
    <n v="0.4"/>
    <s v="Safe"/>
    <n v="1000"/>
    <n v="0.4"/>
  </r>
  <r>
    <s v="ORD-10715"/>
    <x v="165"/>
    <s v="P019"/>
    <x v="18"/>
    <s v="Electronics"/>
    <s v="Audio"/>
    <s v="SoundBeat"/>
    <s v="B06"/>
    <x v="1"/>
    <s v="Rivers"/>
    <x v="1"/>
    <s v="Member"/>
    <s v="POS"/>
    <n v="3"/>
    <n v="12500"/>
    <n v="18500"/>
    <n v="0.05"/>
    <x v="12"/>
    <n v="6"/>
    <n v="55500"/>
    <n v="2775"/>
    <n v="52725"/>
    <n v="37500"/>
    <n v="15225"/>
    <n v="0.28876244665718348"/>
    <s v="Understocked"/>
    <s v="Safe"/>
    <n v="0.32432432432432434"/>
    <s v="Safe"/>
    <n v="6000"/>
    <n v="0.32432432432432434"/>
  </r>
  <r>
    <s v="ORD-10716"/>
    <x v="278"/>
    <s v="P016"/>
    <x v="7"/>
    <s v="Personal Care"/>
    <s v="Fragrance"/>
    <s v="RoyalScent"/>
    <s v="B05"/>
    <x v="0"/>
    <s v="Kano"/>
    <x v="0"/>
    <s v="Member"/>
    <s v="Cash"/>
    <n v="1"/>
    <n v="8500"/>
    <n v="12500"/>
    <n v="0.15"/>
    <x v="6"/>
    <n v="11"/>
    <n v="12500"/>
    <n v="1875"/>
    <n v="10625"/>
    <n v="8500"/>
    <n v="2125"/>
    <n v="0.2"/>
    <s v="Overstocked"/>
    <s v="Safe"/>
    <n v="0.32"/>
    <s v="Safe"/>
    <n v="4000"/>
    <n v="0.32"/>
  </r>
  <r>
    <s v="ORD-10717"/>
    <x v="122"/>
    <s v="P002"/>
    <x v="10"/>
    <s v="Food"/>
    <s v="Grains"/>
    <s v="Mama's Pride"/>
    <s v="B02"/>
    <x v="4"/>
    <s v="Abuja"/>
    <x v="2"/>
    <s v="Member"/>
    <s v="POS"/>
    <n v="3"/>
    <n v="6200"/>
    <n v="7900"/>
    <n v="0.2"/>
    <x v="1"/>
    <n v="11"/>
    <n v="23700"/>
    <n v="4740"/>
    <n v="18960"/>
    <n v="18600"/>
    <n v="360"/>
    <n v="1.8987341772151899E-2"/>
    <s v="Healthy"/>
    <s v="Safe"/>
    <n v="0.21518987341772153"/>
    <s v="Safe"/>
    <n v="1700"/>
    <n v="0.21518987341772153"/>
  </r>
  <r>
    <s v="ORD-10718"/>
    <x v="143"/>
    <s v="P008"/>
    <x v="4"/>
    <s v="Beverages"/>
    <s v="Soft Drinks"/>
    <s v="Sparkle"/>
    <s v="B07"/>
    <x v="3"/>
    <s v="Enugu"/>
    <x v="3"/>
    <s v="Member"/>
    <s v="Transfer"/>
    <n v="1"/>
    <n v="330"/>
    <n v="550"/>
    <n v="0"/>
    <x v="2"/>
    <n v="4"/>
    <n v="550"/>
    <n v="0"/>
    <n v="550"/>
    <n v="330"/>
    <n v="220"/>
    <n v="0.4"/>
    <s v="Healthy"/>
    <s v="Safe"/>
    <n v="0.4"/>
    <s v="Safe"/>
    <n v="220"/>
    <n v="0.4"/>
  </r>
  <r>
    <s v="ORD-10719"/>
    <x v="126"/>
    <s v="P004"/>
    <x v="1"/>
    <s v="Beverages"/>
    <s v="Dairy"/>
    <s v="FreshDay"/>
    <s v="B07"/>
    <x v="3"/>
    <s v="Enugu"/>
    <x v="3"/>
    <s v="Walk-in"/>
    <s v="POS"/>
    <n v="8"/>
    <n v="1650"/>
    <n v="2200"/>
    <n v="0.15"/>
    <x v="0"/>
    <n v="11"/>
    <n v="17600"/>
    <n v="2640"/>
    <n v="14960"/>
    <n v="13200"/>
    <n v="1760"/>
    <n v="0.11764705882352941"/>
    <s v="Understocked"/>
    <s v="Safe"/>
    <n v="0.25"/>
    <s v="Safe"/>
    <n v="550"/>
    <n v="0.25"/>
  </r>
  <r>
    <s v="ORD-10720"/>
    <x v="105"/>
    <s v="P021"/>
    <x v="20"/>
    <s v="Office Supplies"/>
    <s v="Paper"/>
    <s v="OfficeMate"/>
    <s v="B08"/>
    <x v="7"/>
    <s v="Kwara"/>
    <x v="2"/>
    <s v="Walk-in"/>
    <s v="Transfer"/>
    <n v="1"/>
    <n v="5200"/>
    <n v="7000"/>
    <n v="0.2"/>
    <x v="14"/>
    <n v="10"/>
    <n v="7000"/>
    <n v="1400"/>
    <n v="5600"/>
    <n v="5200"/>
    <n v="400"/>
    <n v="7.1428571428571425E-2"/>
    <s v="Overstocked"/>
    <s v="Safe"/>
    <n v="0.25714285714285712"/>
    <s v="Safe"/>
    <n v="1800"/>
    <n v="0.25714285714285712"/>
  </r>
  <r>
    <s v="ORD-10721"/>
    <x v="219"/>
    <s v="P023"/>
    <x v="6"/>
    <s v="Office Supplies"/>
    <s v="Stationery"/>
    <s v="StudyPro"/>
    <s v="B02"/>
    <x v="4"/>
    <s v="Abuja"/>
    <x v="2"/>
    <s v="Walk-in"/>
    <s v="POS"/>
    <n v="3"/>
    <n v="2800"/>
    <n v="4200"/>
    <n v="0"/>
    <x v="14"/>
    <n v="14"/>
    <n v="12600"/>
    <n v="0"/>
    <n v="12600"/>
    <n v="8400"/>
    <n v="4200"/>
    <n v="0.33333333333333331"/>
    <s v="Understocked"/>
    <s v="Safe"/>
    <n v="0.33333333333333331"/>
    <s v="Safe"/>
    <n v="1400"/>
    <n v="0.33333333333333331"/>
  </r>
  <r>
    <s v="ORD-10722"/>
    <x v="62"/>
    <s v="P005"/>
    <x v="2"/>
    <s v="Food"/>
    <s v="Snacks"/>
    <s v="CrispyBite"/>
    <s v="B02"/>
    <x v="4"/>
    <s v="Abuja"/>
    <x v="2"/>
    <s v="Walk-in"/>
    <s v="POS"/>
    <n v="8"/>
    <n v="850"/>
    <n v="1300"/>
    <n v="0.15"/>
    <x v="8"/>
    <n v="3"/>
    <n v="10400"/>
    <n v="1560"/>
    <n v="8840"/>
    <n v="6800"/>
    <n v="2040"/>
    <n v="0.23076923076923078"/>
    <s v="Understocked"/>
    <s v="Safe"/>
    <n v="0.34615384615384615"/>
    <s v="Safe"/>
    <n v="450"/>
    <n v="0.34615384615384615"/>
  </r>
  <r>
    <s v="ORD-10723"/>
    <x v="160"/>
    <s v="P011"/>
    <x v="9"/>
    <s v="Household"/>
    <s v="Cleaning"/>
    <s v="CleanPro"/>
    <s v="B08"/>
    <x v="7"/>
    <s v="Kwara"/>
    <x v="2"/>
    <s v="Walk-in"/>
    <s v="Transfer"/>
    <n v="2"/>
    <n v="2800"/>
    <n v="3900"/>
    <n v="0.1"/>
    <x v="7"/>
    <n v="1"/>
    <n v="7800"/>
    <n v="780"/>
    <n v="7020"/>
    <n v="5600"/>
    <n v="1420"/>
    <n v="0.20227920227920229"/>
    <s v="Healthy"/>
    <s v="Safe"/>
    <n v="0.28205128205128205"/>
    <s v="Safe"/>
    <n v="1100"/>
    <n v="0.28205128205128205"/>
  </r>
  <r>
    <s v="ORD-10724"/>
    <x v="7"/>
    <s v="P005"/>
    <x v="2"/>
    <s v="Food"/>
    <s v="Snacks"/>
    <s v="CrispyBite"/>
    <s v="B04"/>
    <x v="5"/>
    <s v="Lagos"/>
    <x v="4"/>
    <s v="Member"/>
    <s v="Cash"/>
    <n v="2"/>
    <n v="850"/>
    <n v="1300"/>
    <n v="0.1"/>
    <x v="8"/>
    <n v="3"/>
    <n v="2600"/>
    <n v="260"/>
    <n v="2340"/>
    <n v="1700"/>
    <n v="640"/>
    <n v="0.27350427350427353"/>
    <s v="Understocked"/>
    <s v="Safe"/>
    <n v="0.34615384615384615"/>
    <s v="Safe"/>
    <n v="450"/>
    <n v="0.34615384615384615"/>
  </r>
  <r>
    <s v="ORD-10725"/>
    <x v="309"/>
    <s v="P007"/>
    <x v="3"/>
    <s v="Beverages"/>
    <s v="Malt"/>
    <s v="Naija Malt"/>
    <s v="B02"/>
    <x v="4"/>
    <s v="Abuja"/>
    <x v="2"/>
    <s v="Member"/>
    <s v="Cash"/>
    <n v="2"/>
    <n v="550"/>
    <n v="850"/>
    <n v="0.05"/>
    <x v="0"/>
    <n v="1"/>
    <n v="1700"/>
    <n v="85"/>
    <n v="1615"/>
    <n v="1100"/>
    <n v="515"/>
    <n v="0.31888544891640869"/>
    <s v="Healthy"/>
    <s v="Safe"/>
    <n v="0.35294117647058826"/>
    <s v="Safe"/>
    <n v="300"/>
    <n v="0.35294117647058826"/>
  </r>
  <r>
    <s v="ORD-10726"/>
    <x v="40"/>
    <s v="P008"/>
    <x v="4"/>
    <s v="Beverages"/>
    <s v="Soft Drinks"/>
    <s v="Sparkle"/>
    <s v="B03"/>
    <x v="6"/>
    <s v="Lagos"/>
    <x v="4"/>
    <s v="Member"/>
    <s v="POS"/>
    <n v="3"/>
    <n v="330"/>
    <n v="550"/>
    <n v="0.1"/>
    <x v="3"/>
    <n v="1"/>
    <n v="1650"/>
    <n v="165"/>
    <n v="1485"/>
    <n v="990"/>
    <n v="495"/>
    <n v="0.33333333333333331"/>
    <s v="Healthy"/>
    <s v="Safe"/>
    <n v="0.4"/>
    <s v="Safe"/>
    <n v="220"/>
    <n v="0.4"/>
  </r>
  <r>
    <s v="ORD-10727"/>
    <x v="271"/>
    <s v="P007"/>
    <x v="3"/>
    <s v="Beverages"/>
    <s v="Malt"/>
    <s v="Naija Malt"/>
    <s v="B08"/>
    <x v="7"/>
    <s v="Kwara"/>
    <x v="2"/>
    <s v="Member"/>
    <s v="Cash"/>
    <n v="4"/>
    <n v="550"/>
    <n v="850"/>
    <n v="0"/>
    <x v="3"/>
    <n v="5"/>
    <n v="3400"/>
    <n v="0"/>
    <n v="3400"/>
    <n v="2200"/>
    <n v="1200"/>
    <n v="0.35294117647058826"/>
    <s v="Healthy"/>
    <s v="Safe"/>
    <n v="0.35294117647058826"/>
    <s v="Safe"/>
    <n v="300"/>
    <n v="0.35294117647058826"/>
  </r>
  <r>
    <s v="ORD-10728"/>
    <x v="210"/>
    <s v="P022"/>
    <x v="17"/>
    <s v="Office Supplies"/>
    <s v="Writing"/>
    <s v="WriteWell"/>
    <s v="B07"/>
    <x v="3"/>
    <s v="Enugu"/>
    <x v="3"/>
    <s v="Walk-in"/>
    <s v="Cash"/>
    <n v="1"/>
    <n v="1300"/>
    <n v="2100"/>
    <n v="0.05"/>
    <x v="15"/>
    <n v="6"/>
    <n v="2100"/>
    <n v="105"/>
    <n v="1995"/>
    <n v="1300"/>
    <n v="695"/>
    <n v="0.34837092731829572"/>
    <s v="Understocked"/>
    <s v="Safe"/>
    <n v="0.38095238095238093"/>
    <s v="Safe"/>
    <n v="800"/>
    <n v="0.38095238095238093"/>
  </r>
  <r>
    <s v="ORD-10729"/>
    <x v="212"/>
    <s v="P008"/>
    <x v="4"/>
    <s v="Beverages"/>
    <s v="Soft Drinks"/>
    <s v="Sparkle"/>
    <s v="B08"/>
    <x v="7"/>
    <s v="Kwara"/>
    <x v="2"/>
    <s v="Walk-in"/>
    <s v="POS"/>
    <n v="2"/>
    <n v="330"/>
    <n v="550"/>
    <n v="0.05"/>
    <x v="2"/>
    <n v="10"/>
    <n v="1100"/>
    <n v="55"/>
    <n v="1045"/>
    <n v="660"/>
    <n v="385"/>
    <n v="0.36842105263157893"/>
    <s v="Healthy"/>
    <s v="Safe"/>
    <n v="0.4"/>
    <s v="Safe"/>
    <n v="220"/>
    <n v="0.4"/>
  </r>
  <r>
    <s v="ORD-10730"/>
    <x v="26"/>
    <s v="P009"/>
    <x v="13"/>
    <s v="Household"/>
    <s v="Cleaning"/>
    <s v="BrightWash"/>
    <s v="B03"/>
    <x v="6"/>
    <s v="Lagos"/>
    <x v="4"/>
    <s v="Walk-in"/>
    <s v="POS"/>
    <n v="1"/>
    <n v="2400"/>
    <n v="3400"/>
    <n v="0.1"/>
    <x v="1"/>
    <n v="14"/>
    <n v="3400"/>
    <n v="340"/>
    <n v="3060"/>
    <n v="2400"/>
    <n v="660"/>
    <n v="0.21568627450980393"/>
    <s v="Healthy"/>
    <s v="Safe"/>
    <n v="0.29411764705882354"/>
    <s v="Safe"/>
    <n v="1000"/>
    <n v="0.29411764705882354"/>
  </r>
  <r>
    <s v="ORD-10731"/>
    <x v="1"/>
    <s v="P018"/>
    <x v="16"/>
    <s v="Electronics"/>
    <s v="Mobile Accessories"/>
    <s v="VoltSafe"/>
    <s v="B01"/>
    <x v="2"/>
    <s v="Abuja"/>
    <x v="2"/>
    <s v="Walk-in"/>
    <s v="Card"/>
    <n v="1"/>
    <n v="18000"/>
    <n v="24500"/>
    <n v="0"/>
    <x v="12"/>
    <n v="8"/>
    <n v="24500"/>
    <n v="0"/>
    <n v="24500"/>
    <n v="18000"/>
    <n v="6500"/>
    <n v="0.26530612244897961"/>
    <s v="Understocked"/>
    <s v="Safe"/>
    <n v="0.26530612244897961"/>
    <s v="Safe"/>
    <n v="6500"/>
    <n v="0.26530612244897961"/>
  </r>
  <r>
    <s v="ORD-10732"/>
    <x v="70"/>
    <s v="P001"/>
    <x v="14"/>
    <s v="Food"/>
    <s v="Grains"/>
    <s v="Golden Harvest"/>
    <s v="B03"/>
    <x v="6"/>
    <s v="Lagos"/>
    <x v="4"/>
    <s v="Walk-in"/>
    <s v="POS"/>
    <n v="4"/>
    <n v="14500"/>
    <n v="17500"/>
    <n v="0.05"/>
    <x v="9"/>
    <n v="2"/>
    <n v="70000"/>
    <n v="3500"/>
    <n v="66500"/>
    <n v="58000"/>
    <n v="8500"/>
    <n v="0.12781954887218044"/>
    <s v="Understocked"/>
    <s v="Safe"/>
    <n v="0.17142857142857143"/>
    <s v="Safe"/>
    <n v="3000"/>
    <n v="0.17142857142857143"/>
  </r>
  <r>
    <s v="ORD-10733"/>
    <x v="310"/>
    <s v="P020"/>
    <x v="5"/>
    <s v="Electronics"/>
    <s v="Lighting"/>
    <s v="Luma"/>
    <s v="B02"/>
    <x v="4"/>
    <s v="Abuja"/>
    <x v="2"/>
    <s v="Walk-in"/>
    <s v="POS"/>
    <n v="1"/>
    <n v="1500"/>
    <n v="2500"/>
    <n v="0.05"/>
    <x v="12"/>
    <n v="4"/>
    <n v="2500"/>
    <n v="125"/>
    <n v="2375"/>
    <n v="1500"/>
    <n v="875"/>
    <n v="0.36842105263157893"/>
    <s v="Healthy"/>
    <s v="Safe"/>
    <n v="0.4"/>
    <s v="Safe"/>
    <n v="1000"/>
    <n v="0.4"/>
  </r>
  <r>
    <s v="ORD-10734"/>
    <x v="291"/>
    <s v="P009"/>
    <x v="13"/>
    <s v="Household"/>
    <s v="Cleaning"/>
    <s v="BrightWash"/>
    <s v="B04"/>
    <x v="5"/>
    <s v="Lagos"/>
    <x v="4"/>
    <s v="Member"/>
    <s v="POS"/>
    <n v="2"/>
    <n v="2400"/>
    <n v="3400"/>
    <n v="0"/>
    <x v="10"/>
    <n v="1"/>
    <n v="6800"/>
    <n v="0"/>
    <n v="6800"/>
    <n v="4800"/>
    <n v="2000"/>
    <n v="0.29411764705882354"/>
    <s v="Healthy"/>
    <s v="Safe"/>
    <n v="0.29411764705882354"/>
    <s v="Safe"/>
    <n v="1000"/>
    <n v="0.29411764705882354"/>
  </r>
  <r>
    <s v="ORD-10735"/>
    <x v="5"/>
    <s v="P003"/>
    <x v="12"/>
    <s v="Food"/>
    <s v="Cooking Oil"/>
    <s v="SunGold"/>
    <s v="B03"/>
    <x v="6"/>
    <s v="Lagos"/>
    <x v="4"/>
    <s v="Walk-in"/>
    <s v="Cash"/>
    <n v="8"/>
    <n v="7800"/>
    <n v="9800"/>
    <n v="0"/>
    <x v="8"/>
    <n v="14"/>
    <n v="78400"/>
    <n v="0"/>
    <n v="78400"/>
    <n v="62400"/>
    <n v="16000"/>
    <n v="0.20408163265306123"/>
    <s v="Understocked"/>
    <s v="Safe"/>
    <n v="0.20408163265306123"/>
    <s v="Safe"/>
    <n v="2000"/>
    <n v="0.20408163265306123"/>
  </r>
  <r>
    <s v="ORD-10736"/>
    <x v="208"/>
    <s v="P008"/>
    <x v="4"/>
    <s v="Beverages"/>
    <s v="Soft Drinks"/>
    <s v="Sparkle"/>
    <s v="B08"/>
    <x v="7"/>
    <s v="Kwara"/>
    <x v="2"/>
    <s v="Corporate"/>
    <s v="POS"/>
    <n v="3"/>
    <n v="330"/>
    <n v="550"/>
    <n v="0"/>
    <x v="2"/>
    <n v="6"/>
    <n v="1650"/>
    <n v="0"/>
    <n v="1650"/>
    <n v="990"/>
    <n v="660"/>
    <n v="0.4"/>
    <s v="Healthy"/>
    <s v="Safe"/>
    <n v="0.4"/>
    <s v="Safe"/>
    <n v="220"/>
    <n v="0.4"/>
  </r>
  <r>
    <s v="ORD-10737"/>
    <x v="67"/>
    <s v="P003"/>
    <x v="12"/>
    <s v="Food"/>
    <s v="Cooking Oil"/>
    <s v="SunGold"/>
    <s v="B07"/>
    <x v="3"/>
    <s v="Enugu"/>
    <x v="3"/>
    <s v="Member"/>
    <s v="POS"/>
    <n v="5"/>
    <n v="7800"/>
    <n v="9800"/>
    <n v="0"/>
    <x v="1"/>
    <n v="10"/>
    <n v="49000"/>
    <n v="0"/>
    <n v="49000"/>
    <n v="39000"/>
    <n v="10000"/>
    <n v="0.20408163265306123"/>
    <s v="Understocked"/>
    <s v="Safe"/>
    <n v="0.20408163265306123"/>
    <s v="Safe"/>
    <n v="2000"/>
    <n v="0.20408163265306123"/>
  </r>
  <r>
    <s v="ORD-10738"/>
    <x v="311"/>
    <s v="P005"/>
    <x v="2"/>
    <s v="Food"/>
    <s v="Snacks"/>
    <s v="CrispyBite"/>
    <s v="B02"/>
    <x v="4"/>
    <s v="Abuja"/>
    <x v="2"/>
    <s v="Walk-in"/>
    <s v="Card"/>
    <n v="5"/>
    <n v="850"/>
    <n v="1300"/>
    <n v="0.05"/>
    <x v="8"/>
    <n v="13"/>
    <n v="6500"/>
    <n v="325"/>
    <n v="6175"/>
    <n v="4250"/>
    <n v="1925"/>
    <n v="0.31174089068825911"/>
    <s v="Understocked"/>
    <s v="Safe"/>
    <n v="0.34615384615384615"/>
    <s v="Safe"/>
    <n v="450"/>
    <n v="0.34615384615384615"/>
  </r>
  <r>
    <s v="ORD-10739"/>
    <x v="72"/>
    <s v="P015"/>
    <x v="8"/>
    <s v="Personal Care"/>
    <s v="Bath"/>
    <s v="SilkyTouch"/>
    <s v="B05"/>
    <x v="0"/>
    <s v="Kano"/>
    <x v="0"/>
    <s v="Walk-in"/>
    <s v="POS"/>
    <n v="1"/>
    <n v="600"/>
    <n v="950"/>
    <n v="0.05"/>
    <x v="11"/>
    <n v="11"/>
    <n v="950"/>
    <n v="47.5"/>
    <n v="902.5"/>
    <n v="600"/>
    <n v="302.5"/>
    <n v="0.33518005540166207"/>
    <s v="Healthy"/>
    <s v="Safe"/>
    <n v="0.36842105263157893"/>
    <s v="Safe"/>
    <n v="350"/>
    <n v="0.36842105263157893"/>
  </r>
  <r>
    <s v="ORD-10740"/>
    <x v="193"/>
    <s v="P014"/>
    <x v="15"/>
    <s v="Personal Care"/>
    <s v="Oral Care"/>
    <s v="FreshMint"/>
    <s v="B07"/>
    <x v="3"/>
    <s v="Enugu"/>
    <x v="3"/>
    <s v="Member"/>
    <s v="Transfer"/>
    <n v="3"/>
    <n v="1200"/>
    <n v="1900"/>
    <n v="0.05"/>
    <x v="10"/>
    <n v="10"/>
    <n v="5700"/>
    <n v="285"/>
    <n v="5415"/>
    <n v="3600"/>
    <n v="1815"/>
    <n v="0.33518005540166207"/>
    <s v="Healthy"/>
    <s v="Safe"/>
    <n v="0.36842105263157893"/>
    <s v="Safe"/>
    <n v="700"/>
    <n v="0.36842105263157893"/>
  </r>
  <r>
    <s v="ORD-10741"/>
    <x v="312"/>
    <s v="P018"/>
    <x v="16"/>
    <s v="Electronics"/>
    <s v="Mobile Accessories"/>
    <s v="VoltSafe"/>
    <s v="B05"/>
    <x v="0"/>
    <s v="Kano"/>
    <x v="0"/>
    <s v="Walk-in"/>
    <s v="Transfer"/>
    <n v="2"/>
    <n v="18000"/>
    <n v="24500"/>
    <n v="0.05"/>
    <x v="13"/>
    <n v="11"/>
    <n v="49000"/>
    <n v="2450"/>
    <n v="46550"/>
    <n v="36000"/>
    <n v="10550"/>
    <n v="0.22663802363050484"/>
    <s v="Understocked"/>
    <s v="Safe"/>
    <n v="0.26530612244897961"/>
    <s v="Safe"/>
    <n v="6500"/>
    <n v="0.26530612244897961"/>
  </r>
  <r>
    <s v="ORD-10742"/>
    <x v="215"/>
    <s v="P015"/>
    <x v="8"/>
    <s v="Personal Care"/>
    <s v="Bath"/>
    <s v="SilkyTouch"/>
    <s v="B08"/>
    <x v="7"/>
    <s v="Kwara"/>
    <x v="2"/>
    <s v="Walk-in"/>
    <s v="Transfer"/>
    <n v="3"/>
    <n v="600"/>
    <n v="950"/>
    <n v="0.1"/>
    <x v="6"/>
    <n v="13"/>
    <n v="2850"/>
    <n v="285"/>
    <n v="2565"/>
    <n v="1800"/>
    <n v="765"/>
    <n v="0.2982456140350877"/>
    <s v="Healthy"/>
    <s v="Safe"/>
    <n v="0.36842105263157893"/>
    <s v="Safe"/>
    <n v="350"/>
    <n v="0.36842105263157893"/>
  </r>
  <r>
    <s v="ORD-10743"/>
    <x v="200"/>
    <s v="P023"/>
    <x v="6"/>
    <s v="Office Supplies"/>
    <s v="Stationery"/>
    <s v="StudyPro"/>
    <s v="B05"/>
    <x v="0"/>
    <s v="Kano"/>
    <x v="0"/>
    <s v="Walk-in"/>
    <s v="POS"/>
    <n v="2"/>
    <n v="2800"/>
    <n v="4200"/>
    <n v="0"/>
    <x v="5"/>
    <n v="2"/>
    <n v="8400"/>
    <n v="0"/>
    <n v="8400"/>
    <n v="5600"/>
    <n v="2800"/>
    <n v="0.33333333333333331"/>
    <s v="Understocked"/>
    <s v="Safe"/>
    <n v="0.33333333333333331"/>
    <s v="Safe"/>
    <n v="1400"/>
    <n v="0.33333333333333331"/>
  </r>
  <r>
    <s v="ORD-10744"/>
    <x v="313"/>
    <s v="P003"/>
    <x v="12"/>
    <s v="Food"/>
    <s v="Cooking Oil"/>
    <s v="SunGold"/>
    <s v="B03"/>
    <x v="6"/>
    <s v="Lagos"/>
    <x v="4"/>
    <s v="Walk-in"/>
    <s v="Card"/>
    <n v="1"/>
    <n v="7800"/>
    <n v="9800"/>
    <n v="0.1"/>
    <x v="8"/>
    <n v="10"/>
    <n v="9800"/>
    <n v="980"/>
    <n v="8820"/>
    <n v="7800"/>
    <n v="1020"/>
    <n v="0.11564625850340136"/>
    <s v="Understocked"/>
    <s v="Safe"/>
    <n v="0.20408163265306123"/>
    <s v="Safe"/>
    <n v="2000"/>
    <n v="0.20408163265306123"/>
  </r>
  <r>
    <s v="ORD-10745"/>
    <x v="136"/>
    <s v="P001"/>
    <x v="14"/>
    <s v="Food"/>
    <s v="Grains"/>
    <s v="Golden Harvest"/>
    <s v="B06"/>
    <x v="1"/>
    <s v="Rivers"/>
    <x v="1"/>
    <s v="Member"/>
    <s v="Cash"/>
    <n v="2"/>
    <n v="14500"/>
    <n v="17500"/>
    <n v="0.15"/>
    <x v="8"/>
    <n v="12"/>
    <n v="35000"/>
    <n v="5250"/>
    <n v="29750"/>
    <n v="29000"/>
    <n v="750"/>
    <n v="2.5210084033613446E-2"/>
    <s v="Understocked"/>
    <s v="Safe"/>
    <n v="0.17142857142857143"/>
    <s v="Safe"/>
    <n v="3000"/>
    <n v="0.17142857142857143"/>
  </r>
  <r>
    <s v="ORD-10746"/>
    <x v="168"/>
    <s v="P015"/>
    <x v="8"/>
    <s v="Personal Care"/>
    <s v="Bath"/>
    <s v="SilkyTouch"/>
    <s v="B06"/>
    <x v="1"/>
    <s v="Rivers"/>
    <x v="1"/>
    <s v="Walk-in"/>
    <s v="POS"/>
    <n v="2"/>
    <n v="600"/>
    <n v="950"/>
    <n v="0.15"/>
    <x v="6"/>
    <n v="4"/>
    <n v="1900"/>
    <n v="285"/>
    <n v="1615"/>
    <n v="1200"/>
    <n v="415"/>
    <n v="0.25696594427244585"/>
    <s v="Healthy"/>
    <s v="Safe"/>
    <n v="0.36842105263157893"/>
    <s v="Safe"/>
    <n v="350"/>
    <n v="0.36842105263157893"/>
  </r>
  <r>
    <s v="ORD-10747"/>
    <x v="178"/>
    <s v="P005"/>
    <x v="2"/>
    <s v="Food"/>
    <s v="Snacks"/>
    <s v="CrispyBite"/>
    <s v="B05"/>
    <x v="0"/>
    <s v="Kano"/>
    <x v="0"/>
    <s v="Walk-in"/>
    <s v="Cash"/>
    <n v="2"/>
    <n v="850"/>
    <n v="1300"/>
    <n v="0"/>
    <x v="1"/>
    <n v="8"/>
    <n v="2600"/>
    <n v="0"/>
    <n v="2600"/>
    <n v="1700"/>
    <n v="900"/>
    <n v="0.34615384615384615"/>
    <s v="Understocked"/>
    <s v="Safe"/>
    <n v="0.34615384615384615"/>
    <s v="Safe"/>
    <n v="450"/>
    <n v="0.34615384615384615"/>
  </r>
  <r>
    <s v="ORD-10748"/>
    <x v="157"/>
    <s v="P020"/>
    <x v="5"/>
    <s v="Electronics"/>
    <s v="Lighting"/>
    <s v="Luma"/>
    <s v="B08"/>
    <x v="7"/>
    <s v="Kwara"/>
    <x v="2"/>
    <s v="Member"/>
    <s v="POS"/>
    <n v="3"/>
    <n v="1500"/>
    <n v="2500"/>
    <n v="0.05"/>
    <x v="13"/>
    <n v="12"/>
    <n v="7500"/>
    <n v="375"/>
    <n v="7125"/>
    <n v="4500"/>
    <n v="2625"/>
    <n v="0.36842105263157893"/>
    <s v="Healthy"/>
    <s v="Safe"/>
    <n v="0.4"/>
    <s v="Safe"/>
    <n v="1000"/>
    <n v="0.4"/>
  </r>
  <r>
    <s v="ORD-10749"/>
    <x v="303"/>
    <s v="P014"/>
    <x v="15"/>
    <s v="Personal Care"/>
    <s v="Oral Care"/>
    <s v="FreshMint"/>
    <s v="B06"/>
    <x v="1"/>
    <s v="Rivers"/>
    <x v="1"/>
    <s v="Walk-in"/>
    <s v="POS"/>
    <n v="1"/>
    <n v="1200"/>
    <n v="1900"/>
    <n v="0"/>
    <x v="10"/>
    <n v="4"/>
    <n v="1900"/>
    <n v="0"/>
    <n v="1900"/>
    <n v="1200"/>
    <n v="700"/>
    <n v="0.36842105263157893"/>
    <s v="Healthy"/>
    <s v="Safe"/>
    <n v="0.36842105263157893"/>
    <s v="Safe"/>
    <n v="700"/>
    <n v="0.36842105263157893"/>
  </r>
  <r>
    <s v="ORD-10750"/>
    <x v="245"/>
    <s v="P008"/>
    <x v="4"/>
    <s v="Beverages"/>
    <s v="Soft Drinks"/>
    <s v="Sparkle"/>
    <s v="B02"/>
    <x v="4"/>
    <s v="Abuja"/>
    <x v="2"/>
    <s v="Member"/>
    <s v="POS"/>
    <n v="2"/>
    <n v="330"/>
    <n v="550"/>
    <n v="0.15"/>
    <x v="3"/>
    <n v="5"/>
    <n v="1100"/>
    <n v="165"/>
    <n v="935"/>
    <n v="660"/>
    <n v="275"/>
    <n v="0.29411764705882354"/>
    <s v="Healthy"/>
    <s v="Safe"/>
    <n v="0.4"/>
    <s v="Safe"/>
    <n v="220"/>
    <n v="0.4"/>
  </r>
  <r>
    <s v="ORD-10751"/>
    <x v="118"/>
    <s v="P008"/>
    <x v="4"/>
    <s v="Beverages"/>
    <s v="Soft Drinks"/>
    <s v="Sparkle"/>
    <s v="B01"/>
    <x v="2"/>
    <s v="Abuja"/>
    <x v="2"/>
    <s v="Member"/>
    <s v="POS"/>
    <n v="1"/>
    <n v="330"/>
    <n v="550"/>
    <n v="0"/>
    <x v="2"/>
    <n v="1"/>
    <n v="550"/>
    <n v="0"/>
    <n v="550"/>
    <n v="330"/>
    <n v="220"/>
    <n v="0.4"/>
    <s v="Healthy"/>
    <s v="Safe"/>
    <n v="0.4"/>
    <s v="Safe"/>
    <n v="220"/>
    <n v="0.4"/>
  </r>
  <r>
    <s v="ORD-10752"/>
    <x v="170"/>
    <s v="P005"/>
    <x v="2"/>
    <s v="Food"/>
    <s v="Snacks"/>
    <s v="CrispyBite"/>
    <s v="B03"/>
    <x v="6"/>
    <s v="Lagos"/>
    <x v="4"/>
    <s v="Walk-in"/>
    <s v="Cash"/>
    <n v="5"/>
    <n v="850"/>
    <n v="1300"/>
    <n v="0.05"/>
    <x v="1"/>
    <n v="7"/>
    <n v="6500"/>
    <n v="325"/>
    <n v="6175"/>
    <n v="4250"/>
    <n v="1925"/>
    <n v="0.31174089068825911"/>
    <s v="Understocked"/>
    <s v="Safe"/>
    <n v="0.34615384615384615"/>
    <s v="Safe"/>
    <n v="450"/>
    <n v="0.34615384615384615"/>
  </r>
  <r>
    <s v="ORD-10753"/>
    <x v="70"/>
    <s v="P015"/>
    <x v="8"/>
    <s v="Personal Care"/>
    <s v="Bath"/>
    <s v="SilkyTouch"/>
    <s v="B04"/>
    <x v="5"/>
    <s v="Lagos"/>
    <x v="4"/>
    <s v="Walk-in"/>
    <s v="Transfer"/>
    <n v="3"/>
    <n v="600"/>
    <n v="950"/>
    <n v="0"/>
    <x v="10"/>
    <n v="12"/>
    <n v="2850"/>
    <n v="0"/>
    <n v="2850"/>
    <n v="1800"/>
    <n v="1050"/>
    <n v="0.36842105263157893"/>
    <s v="Healthy"/>
    <s v="Safe"/>
    <n v="0.36842105263157893"/>
    <s v="Safe"/>
    <n v="350"/>
    <n v="0.36842105263157893"/>
  </r>
  <r>
    <s v="ORD-10754"/>
    <x v="33"/>
    <s v="P021"/>
    <x v="20"/>
    <s v="Office Supplies"/>
    <s v="Paper"/>
    <s v="OfficeMate"/>
    <s v="B07"/>
    <x v="3"/>
    <s v="Enugu"/>
    <x v="3"/>
    <s v="Walk-in"/>
    <s v="POS"/>
    <n v="2"/>
    <n v="5200"/>
    <n v="7000"/>
    <n v="0"/>
    <x v="5"/>
    <n v="2"/>
    <n v="14000"/>
    <n v="0"/>
    <n v="14000"/>
    <n v="10400"/>
    <n v="3600"/>
    <n v="0.25714285714285712"/>
    <s v="Overstocked"/>
    <s v="Safe"/>
    <n v="0.25714285714285712"/>
    <s v="Safe"/>
    <n v="1800"/>
    <n v="0.25714285714285712"/>
  </r>
  <r>
    <s v="ORD-10755"/>
    <x v="72"/>
    <s v="P007"/>
    <x v="3"/>
    <s v="Beverages"/>
    <s v="Malt"/>
    <s v="Naija Malt"/>
    <s v="B04"/>
    <x v="5"/>
    <s v="Lagos"/>
    <x v="4"/>
    <s v="Walk-in"/>
    <s v="POS"/>
    <n v="3"/>
    <n v="550"/>
    <n v="850"/>
    <n v="0.2"/>
    <x v="3"/>
    <n v="3"/>
    <n v="2550"/>
    <n v="510"/>
    <n v="2040"/>
    <n v="1650"/>
    <n v="390"/>
    <n v="0.19117647058823528"/>
    <s v="Healthy"/>
    <s v="Safe"/>
    <n v="0.35294117647058826"/>
    <s v="Safe"/>
    <n v="300"/>
    <n v="0.35294117647058826"/>
  </r>
  <r>
    <s v="ORD-10756"/>
    <x v="314"/>
    <s v="P008"/>
    <x v="4"/>
    <s v="Beverages"/>
    <s v="Soft Drinks"/>
    <s v="Sparkle"/>
    <s v="B03"/>
    <x v="6"/>
    <s v="Lagos"/>
    <x v="4"/>
    <s v="Member"/>
    <s v="POS"/>
    <n v="3"/>
    <n v="330"/>
    <n v="550"/>
    <n v="0.1"/>
    <x v="0"/>
    <n v="11"/>
    <n v="1650"/>
    <n v="165"/>
    <n v="1485"/>
    <n v="990"/>
    <n v="495"/>
    <n v="0.33333333333333331"/>
    <s v="Healthy"/>
    <s v="Safe"/>
    <n v="0.4"/>
    <s v="Safe"/>
    <n v="220"/>
    <n v="0.4"/>
  </r>
  <r>
    <s v="ORD-10757"/>
    <x v="315"/>
    <s v="P015"/>
    <x v="8"/>
    <s v="Personal Care"/>
    <s v="Bath"/>
    <s v="SilkyTouch"/>
    <s v="B03"/>
    <x v="6"/>
    <s v="Lagos"/>
    <x v="4"/>
    <s v="Member"/>
    <s v="Transfer"/>
    <n v="2"/>
    <n v="600"/>
    <n v="950"/>
    <n v="0.2"/>
    <x v="11"/>
    <n v="13"/>
    <n v="1900"/>
    <n v="380"/>
    <n v="1520"/>
    <n v="1200"/>
    <n v="320"/>
    <n v="0.21052631578947367"/>
    <s v="Healthy"/>
    <s v="Safe"/>
    <n v="0.36842105263157893"/>
    <s v="Safe"/>
    <n v="350"/>
    <n v="0.36842105263157893"/>
  </r>
  <r>
    <s v="ORD-10758"/>
    <x v="249"/>
    <s v="P013"/>
    <x v="11"/>
    <s v="Personal Care"/>
    <s v="Skin Care"/>
    <s v="GlowPlus"/>
    <s v="B03"/>
    <x v="6"/>
    <s v="Lagos"/>
    <x v="4"/>
    <s v="Walk-in"/>
    <s v="Cash"/>
    <n v="4"/>
    <n v="3500"/>
    <n v="5200"/>
    <n v="0.1"/>
    <x v="10"/>
    <n v="8"/>
    <n v="20800"/>
    <n v="2080"/>
    <n v="18720"/>
    <n v="14000"/>
    <n v="4720"/>
    <n v="0.25213675213675213"/>
    <s v="Healthy"/>
    <s v="Safe"/>
    <n v="0.32692307692307693"/>
    <s v="Safe"/>
    <n v="1700"/>
    <n v="0.32692307692307693"/>
  </r>
  <r>
    <s v="ORD-10759"/>
    <x v="84"/>
    <s v="P022"/>
    <x v="17"/>
    <s v="Office Supplies"/>
    <s v="Writing"/>
    <s v="WriteWell"/>
    <s v="B04"/>
    <x v="5"/>
    <s v="Lagos"/>
    <x v="4"/>
    <s v="Corporate"/>
    <s v="Transfer"/>
    <n v="2"/>
    <n v="1300"/>
    <n v="2100"/>
    <n v="0.1"/>
    <x v="14"/>
    <n v="6"/>
    <n v="4200"/>
    <n v="420"/>
    <n v="3780"/>
    <n v="2600"/>
    <n v="1180"/>
    <n v="0.31216931216931215"/>
    <s v="Understocked"/>
    <s v="Safe"/>
    <n v="0.38095238095238093"/>
    <s v="Safe"/>
    <n v="800"/>
    <n v="0.38095238095238093"/>
  </r>
  <r>
    <s v="ORD-10760"/>
    <x v="93"/>
    <s v="P019"/>
    <x v="18"/>
    <s v="Electronics"/>
    <s v="Audio"/>
    <s v="SoundBeat"/>
    <s v="B07"/>
    <x v="3"/>
    <s v="Enugu"/>
    <x v="3"/>
    <s v="Walk-in"/>
    <s v="POS"/>
    <n v="1"/>
    <n v="12500"/>
    <n v="18500"/>
    <n v="0"/>
    <x v="4"/>
    <n v="9"/>
    <n v="18500"/>
    <n v="0"/>
    <n v="18500"/>
    <n v="12500"/>
    <n v="6000"/>
    <n v="0.32432432432432434"/>
    <s v="Understocked"/>
    <s v="Safe"/>
    <n v="0.32432432432432434"/>
    <s v="Safe"/>
    <n v="6000"/>
    <n v="0.32432432432432434"/>
  </r>
  <r>
    <s v="ORD-10761"/>
    <x v="221"/>
    <s v="P024"/>
    <x v="19"/>
    <s v="Office Supplies"/>
    <s v="Accessories"/>
    <s v="ErgoDesk"/>
    <s v="B06"/>
    <x v="1"/>
    <s v="Rivers"/>
    <x v="1"/>
    <s v="Walk-in"/>
    <s v="POS"/>
    <n v="4"/>
    <n v="1700"/>
    <n v="2800"/>
    <n v="0.2"/>
    <x v="5"/>
    <n v="14"/>
    <n v="11200"/>
    <n v="2240"/>
    <n v="8960"/>
    <n v="6800"/>
    <n v="2160"/>
    <n v="0.24107142857142858"/>
    <s v="Overstocked"/>
    <s v="Safe"/>
    <n v="0.39285714285714285"/>
    <s v="Safe"/>
    <n v="1100"/>
    <n v="0.39285714285714285"/>
  </r>
  <r>
    <s v="ORD-10762"/>
    <x v="172"/>
    <s v="P003"/>
    <x v="12"/>
    <s v="Food"/>
    <s v="Cooking Oil"/>
    <s v="SunGold"/>
    <s v="B01"/>
    <x v="2"/>
    <s v="Abuja"/>
    <x v="2"/>
    <s v="Corporate"/>
    <s v="POS"/>
    <n v="8"/>
    <n v="7800"/>
    <n v="9800"/>
    <n v="0.15"/>
    <x v="9"/>
    <n v="13"/>
    <n v="78400"/>
    <n v="11760"/>
    <n v="66640"/>
    <n v="62400"/>
    <n v="4240"/>
    <n v="6.3625450180072027E-2"/>
    <s v="Understocked"/>
    <s v="Safe"/>
    <n v="0.20408163265306123"/>
    <s v="Safe"/>
    <n v="2000"/>
    <n v="0.20408163265306123"/>
  </r>
  <r>
    <s v="ORD-10763"/>
    <x v="127"/>
    <s v="P019"/>
    <x v="18"/>
    <s v="Electronics"/>
    <s v="Audio"/>
    <s v="SoundBeat"/>
    <s v="B01"/>
    <x v="2"/>
    <s v="Abuja"/>
    <x v="2"/>
    <s v="Member"/>
    <s v="POS"/>
    <n v="1"/>
    <n v="12500"/>
    <n v="18500"/>
    <n v="0.1"/>
    <x v="4"/>
    <n v="12"/>
    <n v="18500"/>
    <n v="1850"/>
    <n v="16650"/>
    <n v="12500"/>
    <n v="4150"/>
    <n v="0.24924924924924924"/>
    <s v="Understocked"/>
    <s v="Safe"/>
    <n v="0.32432432432432434"/>
    <s v="Safe"/>
    <n v="6000"/>
    <n v="0.32432432432432434"/>
  </r>
  <r>
    <s v="ORD-10764"/>
    <x v="240"/>
    <s v="P016"/>
    <x v="7"/>
    <s v="Personal Care"/>
    <s v="Fragrance"/>
    <s v="RoyalScent"/>
    <s v="B04"/>
    <x v="5"/>
    <s v="Lagos"/>
    <x v="4"/>
    <s v="Walk-in"/>
    <s v="POS"/>
    <n v="6"/>
    <n v="8500"/>
    <n v="12500"/>
    <n v="0.05"/>
    <x v="6"/>
    <n v="14"/>
    <n v="75000"/>
    <n v="3750"/>
    <n v="71250"/>
    <n v="51000"/>
    <n v="20250"/>
    <n v="0.28421052631578947"/>
    <s v="Overstocked"/>
    <s v="Safe"/>
    <n v="0.32"/>
    <s v="Safe"/>
    <n v="4000"/>
    <n v="0.32"/>
  </r>
  <r>
    <s v="ORD-10765"/>
    <x v="84"/>
    <s v="P017"/>
    <x v="23"/>
    <s v="Electronics"/>
    <s v="Accessories"/>
    <s v="PowerMax"/>
    <s v="B01"/>
    <x v="2"/>
    <s v="Abuja"/>
    <x v="2"/>
    <s v="Walk-in"/>
    <s v="Cash"/>
    <n v="5"/>
    <n v="7500"/>
    <n v="10500"/>
    <n v="0.15"/>
    <x v="13"/>
    <n v="6"/>
    <n v="52500"/>
    <n v="7875"/>
    <n v="44625"/>
    <n v="37500"/>
    <n v="7125"/>
    <n v="0.15966386554621848"/>
    <s v="Healthy"/>
    <s v="Safe"/>
    <n v="0.2857142857142857"/>
    <s v="Safe"/>
    <n v="3000"/>
    <n v="0.2857142857142857"/>
  </r>
  <r>
    <s v="ORD-10766"/>
    <x v="84"/>
    <s v="P007"/>
    <x v="3"/>
    <s v="Beverages"/>
    <s v="Malt"/>
    <s v="Naija Malt"/>
    <s v="B05"/>
    <x v="0"/>
    <s v="Kano"/>
    <x v="0"/>
    <s v="Walk-in"/>
    <s v="Card"/>
    <n v="1"/>
    <n v="550"/>
    <n v="850"/>
    <n v="0.1"/>
    <x v="2"/>
    <n v="7"/>
    <n v="850"/>
    <n v="85"/>
    <n v="765"/>
    <n v="550"/>
    <n v="215"/>
    <n v="0.28104575163398693"/>
    <s v="Healthy"/>
    <s v="Safe"/>
    <n v="0.35294117647058826"/>
    <s v="Safe"/>
    <n v="300"/>
    <n v="0.35294117647058826"/>
  </r>
  <r>
    <s v="ORD-10767"/>
    <x v="294"/>
    <s v="P022"/>
    <x v="17"/>
    <s v="Office Supplies"/>
    <s v="Writing"/>
    <s v="WriteWell"/>
    <s v="B04"/>
    <x v="5"/>
    <s v="Lagos"/>
    <x v="4"/>
    <s v="Walk-in"/>
    <s v="POS"/>
    <n v="4"/>
    <n v="1300"/>
    <n v="2100"/>
    <n v="0.2"/>
    <x v="5"/>
    <n v="13"/>
    <n v="8400"/>
    <n v="1680"/>
    <n v="6720"/>
    <n v="5200"/>
    <n v="1520"/>
    <n v="0.22619047619047619"/>
    <s v="Understocked"/>
    <s v="Safe"/>
    <n v="0.38095238095238093"/>
    <s v="Safe"/>
    <n v="800"/>
    <n v="0.38095238095238093"/>
  </r>
  <r>
    <s v="ORD-10768"/>
    <x v="201"/>
    <s v="P002"/>
    <x v="10"/>
    <s v="Food"/>
    <s v="Grains"/>
    <s v="Mama's Pride"/>
    <s v="B03"/>
    <x v="6"/>
    <s v="Lagos"/>
    <x v="4"/>
    <s v="Walk-in"/>
    <s v="POS"/>
    <n v="10"/>
    <n v="6200"/>
    <n v="7900"/>
    <n v="0"/>
    <x v="1"/>
    <n v="11"/>
    <n v="79000"/>
    <n v="0"/>
    <n v="79000"/>
    <n v="62000"/>
    <n v="17000"/>
    <n v="0.21518987341772153"/>
    <s v="Healthy"/>
    <s v="Safe"/>
    <n v="0.21518987341772153"/>
    <s v="Safe"/>
    <n v="1700"/>
    <n v="0.21518987341772153"/>
  </r>
  <r>
    <s v="ORD-10769"/>
    <x v="122"/>
    <s v="P002"/>
    <x v="10"/>
    <s v="Food"/>
    <s v="Grains"/>
    <s v="Mama's Pride"/>
    <s v="B05"/>
    <x v="0"/>
    <s v="Kano"/>
    <x v="0"/>
    <s v="Walk-in"/>
    <s v="Card"/>
    <n v="4"/>
    <n v="6200"/>
    <n v="7900"/>
    <n v="0.1"/>
    <x v="8"/>
    <n v="11"/>
    <n v="31600"/>
    <n v="3160"/>
    <n v="28440"/>
    <n v="24800"/>
    <n v="3640"/>
    <n v="0.12798874824191281"/>
    <s v="Healthy"/>
    <s v="Safe"/>
    <n v="0.21518987341772153"/>
    <s v="Safe"/>
    <n v="1700"/>
    <n v="0.21518987341772153"/>
  </r>
  <r>
    <s v="ORD-10770"/>
    <x v="202"/>
    <s v="P015"/>
    <x v="8"/>
    <s v="Personal Care"/>
    <s v="Bath"/>
    <s v="SilkyTouch"/>
    <s v="B03"/>
    <x v="6"/>
    <s v="Lagos"/>
    <x v="4"/>
    <s v="Member"/>
    <s v="POS"/>
    <n v="2"/>
    <n v="600"/>
    <n v="950"/>
    <n v="0.15"/>
    <x v="6"/>
    <n v="12"/>
    <n v="1900"/>
    <n v="285"/>
    <n v="1615"/>
    <n v="1200"/>
    <n v="415"/>
    <n v="0.25696594427244585"/>
    <s v="Healthy"/>
    <s v="Safe"/>
    <n v="0.36842105263157893"/>
    <s v="Safe"/>
    <n v="350"/>
    <n v="0.36842105263157893"/>
  </r>
  <r>
    <s v="ORD-10771"/>
    <x v="316"/>
    <s v="P005"/>
    <x v="2"/>
    <s v="Food"/>
    <s v="Snacks"/>
    <s v="CrispyBite"/>
    <s v="B04"/>
    <x v="5"/>
    <s v="Lagos"/>
    <x v="4"/>
    <s v="Member"/>
    <s v="POS"/>
    <n v="5"/>
    <n v="850"/>
    <n v="1300"/>
    <n v="0.1"/>
    <x v="1"/>
    <n v="7"/>
    <n v="6500"/>
    <n v="650"/>
    <n v="5850"/>
    <n v="4250"/>
    <n v="1600"/>
    <n v="0.27350427350427353"/>
    <s v="Understocked"/>
    <s v="Safe"/>
    <n v="0.34615384615384615"/>
    <s v="Safe"/>
    <n v="450"/>
    <n v="0.34615384615384615"/>
  </r>
  <r>
    <s v="ORD-10772"/>
    <x v="59"/>
    <s v="P002"/>
    <x v="10"/>
    <s v="Food"/>
    <s v="Grains"/>
    <s v="Mama's Pride"/>
    <s v="B04"/>
    <x v="5"/>
    <s v="Lagos"/>
    <x v="4"/>
    <s v="Member"/>
    <s v="POS"/>
    <n v="2"/>
    <n v="6200"/>
    <n v="7900"/>
    <n v="0.1"/>
    <x v="1"/>
    <n v="5"/>
    <n v="15800"/>
    <n v="1580"/>
    <n v="14220"/>
    <n v="12400"/>
    <n v="1820"/>
    <n v="0.12798874824191281"/>
    <s v="Healthy"/>
    <s v="Safe"/>
    <n v="0.21518987341772153"/>
    <s v="Safe"/>
    <n v="1700"/>
    <n v="0.21518987341772153"/>
  </r>
  <r>
    <s v="ORD-10773"/>
    <x v="39"/>
    <s v="P010"/>
    <x v="22"/>
    <s v="Household"/>
    <s v="Paper Products"/>
    <s v="SoftCare"/>
    <s v="B04"/>
    <x v="5"/>
    <s v="Lagos"/>
    <x v="4"/>
    <s v="Walk-in"/>
    <s v="POS"/>
    <n v="4"/>
    <n v="3200"/>
    <n v="4500"/>
    <n v="0"/>
    <x v="1"/>
    <n v="5"/>
    <n v="18000"/>
    <n v="0"/>
    <n v="18000"/>
    <n v="12800"/>
    <n v="5200"/>
    <n v="0.28888888888888886"/>
    <s v="Healthy"/>
    <s v="Safe"/>
    <n v="0.28888888888888886"/>
    <s v="Safe"/>
    <n v="1300"/>
    <n v="0.28888888888888886"/>
  </r>
  <r>
    <s v="ORD-10774"/>
    <x v="202"/>
    <s v="P015"/>
    <x v="8"/>
    <s v="Personal Care"/>
    <s v="Bath"/>
    <s v="SilkyTouch"/>
    <s v="B08"/>
    <x v="7"/>
    <s v="Kwara"/>
    <x v="2"/>
    <s v="Walk-in"/>
    <s v="POS"/>
    <n v="1"/>
    <n v="600"/>
    <n v="950"/>
    <n v="0"/>
    <x v="11"/>
    <n v="2"/>
    <n v="950"/>
    <n v="0"/>
    <n v="950"/>
    <n v="600"/>
    <n v="350"/>
    <n v="0.36842105263157893"/>
    <s v="Healthy"/>
    <s v="Safe"/>
    <n v="0.36842105263157893"/>
    <s v="Safe"/>
    <n v="350"/>
    <n v="0.36842105263157893"/>
  </r>
  <r>
    <s v="ORD-10775"/>
    <x v="317"/>
    <s v="P022"/>
    <x v="17"/>
    <s v="Office Supplies"/>
    <s v="Writing"/>
    <s v="WriteWell"/>
    <s v="B04"/>
    <x v="5"/>
    <s v="Lagos"/>
    <x v="4"/>
    <s v="Walk-in"/>
    <s v="Card"/>
    <n v="3"/>
    <n v="1300"/>
    <n v="2100"/>
    <n v="0"/>
    <x v="5"/>
    <n v="10"/>
    <n v="6300"/>
    <n v="0"/>
    <n v="6300"/>
    <n v="3900"/>
    <n v="2400"/>
    <n v="0.38095238095238093"/>
    <s v="Understocked"/>
    <s v="Safe"/>
    <n v="0.38095238095238093"/>
    <s v="Safe"/>
    <n v="800"/>
    <n v="0.38095238095238093"/>
  </r>
  <r>
    <s v="ORD-10776"/>
    <x v="109"/>
    <s v="P014"/>
    <x v="15"/>
    <s v="Personal Care"/>
    <s v="Oral Care"/>
    <s v="FreshMint"/>
    <s v="B07"/>
    <x v="3"/>
    <s v="Enugu"/>
    <x v="3"/>
    <s v="Member"/>
    <s v="POS"/>
    <n v="2"/>
    <n v="1200"/>
    <n v="1900"/>
    <n v="0"/>
    <x v="10"/>
    <n v="11"/>
    <n v="3800"/>
    <n v="0"/>
    <n v="3800"/>
    <n v="2400"/>
    <n v="1400"/>
    <n v="0.36842105263157893"/>
    <s v="Healthy"/>
    <s v="Safe"/>
    <n v="0.36842105263157893"/>
    <s v="Safe"/>
    <n v="700"/>
    <n v="0.36842105263157893"/>
  </r>
  <r>
    <s v="ORD-10777"/>
    <x v="175"/>
    <s v="P009"/>
    <x v="13"/>
    <s v="Household"/>
    <s v="Cleaning"/>
    <s v="BrightWash"/>
    <s v="B03"/>
    <x v="6"/>
    <s v="Lagos"/>
    <x v="4"/>
    <s v="Member"/>
    <s v="Transfer"/>
    <n v="2"/>
    <n v="2400"/>
    <n v="3400"/>
    <n v="0.1"/>
    <x v="7"/>
    <n v="3"/>
    <n v="6800"/>
    <n v="680"/>
    <n v="6120"/>
    <n v="4800"/>
    <n v="1320"/>
    <n v="0.21568627450980393"/>
    <s v="Healthy"/>
    <s v="Safe"/>
    <n v="0.29411764705882354"/>
    <s v="Safe"/>
    <n v="1000"/>
    <n v="0.29411764705882354"/>
  </r>
  <r>
    <s v="ORD-10778"/>
    <x v="76"/>
    <s v="P002"/>
    <x v="10"/>
    <s v="Food"/>
    <s v="Grains"/>
    <s v="Mama's Pride"/>
    <s v="B01"/>
    <x v="2"/>
    <s v="Abuja"/>
    <x v="2"/>
    <s v="Walk-in"/>
    <s v="Transfer"/>
    <n v="6"/>
    <n v="6200"/>
    <n v="7900"/>
    <n v="0.05"/>
    <x v="1"/>
    <n v="7"/>
    <n v="47400"/>
    <n v="2370"/>
    <n v="45030"/>
    <n v="37200"/>
    <n v="7830"/>
    <n v="0.17388407728181213"/>
    <s v="Healthy"/>
    <s v="Safe"/>
    <n v="0.21518987341772153"/>
    <s v="Safe"/>
    <n v="1700"/>
    <n v="0.21518987341772153"/>
  </r>
  <r>
    <s v="ORD-10779"/>
    <x v="135"/>
    <s v="P017"/>
    <x v="23"/>
    <s v="Electronics"/>
    <s v="Accessories"/>
    <s v="PowerMax"/>
    <s v="B07"/>
    <x v="3"/>
    <s v="Enugu"/>
    <x v="3"/>
    <s v="Corporate"/>
    <s v="POS"/>
    <n v="3"/>
    <n v="7500"/>
    <n v="10500"/>
    <n v="0.2"/>
    <x v="13"/>
    <n v="12"/>
    <n v="31500"/>
    <n v="6300"/>
    <n v="25200"/>
    <n v="22500"/>
    <n v="2700"/>
    <n v="0.10714285714285714"/>
    <s v="Healthy"/>
    <s v="Safe"/>
    <n v="0.2857142857142857"/>
    <s v="Safe"/>
    <n v="3000"/>
    <n v="0.2857142857142857"/>
  </r>
  <r>
    <s v="ORD-10780"/>
    <x v="301"/>
    <s v="P003"/>
    <x v="12"/>
    <s v="Food"/>
    <s v="Cooking Oil"/>
    <s v="SunGold"/>
    <s v="B01"/>
    <x v="2"/>
    <s v="Abuja"/>
    <x v="2"/>
    <s v="Member"/>
    <s v="POS"/>
    <n v="4"/>
    <n v="7800"/>
    <n v="9800"/>
    <n v="0"/>
    <x v="9"/>
    <n v="12"/>
    <n v="39200"/>
    <n v="0"/>
    <n v="39200"/>
    <n v="31200"/>
    <n v="8000"/>
    <n v="0.20408163265306123"/>
    <s v="Understocked"/>
    <s v="Safe"/>
    <n v="0.20408163265306123"/>
    <s v="Safe"/>
    <n v="2000"/>
    <n v="0.20408163265306123"/>
  </r>
  <r>
    <s v="ORD-10781"/>
    <x v="255"/>
    <s v="P001"/>
    <x v="14"/>
    <s v="Food"/>
    <s v="Grains"/>
    <s v="Golden Harvest"/>
    <s v="B02"/>
    <x v="4"/>
    <s v="Abuja"/>
    <x v="2"/>
    <s v="Walk-in"/>
    <s v="POS"/>
    <n v="3"/>
    <n v="14500"/>
    <n v="17500"/>
    <n v="0.2"/>
    <x v="9"/>
    <n v="2"/>
    <n v="52500"/>
    <n v="10500"/>
    <n v="42000"/>
    <n v="43500"/>
    <n v="-1500"/>
    <n v="-3.5714285714285712E-2"/>
    <s v="Understocked"/>
    <s v="Discount loss"/>
    <n v="0.17142857142857143"/>
    <s v="Discount loss"/>
    <n v="3000"/>
    <n v="0.17142857142857143"/>
  </r>
  <r>
    <s v="ORD-10782"/>
    <x v="154"/>
    <s v="P001"/>
    <x v="14"/>
    <s v="Food"/>
    <s v="Grains"/>
    <s v="Golden Harvest"/>
    <s v="B02"/>
    <x v="4"/>
    <s v="Abuja"/>
    <x v="2"/>
    <s v="Walk-in"/>
    <s v="Transfer"/>
    <n v="2"/>
    <n v="14500"/>
    <n v="17500"/>
    <n v="0.2"/>
    <x v="9"/>
    <n v="3"/>
    <n v="35000"/>
    <n v="7000"/>
    <n v="28000"/>
    <n v="29000"/>
    <n v="-1000"/>
    <n v="-3.5714285714285712E-2"/>
    <s v="Understocked"/>
    <s v="Discount loss"/>
    <n v="0.17142857142857143"/>
    <s v="Discount loss"/>
    <n v="3000"/>
    <n v="0.17142857142857143"/>
  </r>
  <r>
    <s v="ORD-10783"/>
    <x v="318"/>
    <s v="P001"/>
    <x v="14"/>
    <s v="Food"/>
    <s v="Grains"/>
    <s v="Golden Harvest"/>
    <s v="B07"/>
    <x v="3"/>
    <s v="Enugu"/>
    <x v="3"/>
    <s v="Member"/>
    <s v="Transfer"/>
    <n v="6"/>
    <n v="14500"/>
    <n v="17500"/>
    <n v="0"/>
    <x v="9"/>
    <n v="9"/>
    <n v="105000"/>
    <n v="0"/>
    <n v="105000"/>
    <n v="87000"/>
    <n v="18000"/>
    <n v="0.17142857142857143"/>
    <s v="Understocked"/>
    <s v="Safe"/>
    <n v="0.17142857142857143"/>
    <s v="Safe"/>
    <n v="3000"/>
    <n v="0.17142857142857143"/>
  </r>
  <r>
    <s v="ORD-10784"/>
    <x v="214"/>
    <s v="P007"/>
    <x v="3"/>
    <s v="Beverages"/>
    <s v="Malt"/>
    <s v="Naija Malt"/>
    <s v="B04"/>
    <x v="5"/>
    <s v="Lagos"/>
    <x v="4"/>
    <s v="Member"/>
    <s v="Transfer"/>
    <n v="3"/>
    <n v="550"/>
    <n v="850"/>
    <n v="0.15"/>
    <x v="0"/>
    <n v="14"/>
    <n v="2550"/>
    <n v="382.5"/>
    <n v="2167.5"/>
    <n v="1650"/>
    <n v="517.5"/>
    <n v="0.23875432525951557"/>
    <s v="Healthy"/>
    <s v="Safe"/>
    <n v="0.35294117647058826"/>
    <s v="Safe"/>
    <n v="300"/>
    <n v="0.35294117647058826"/>
  </r>
  <r>
    <s v="ORD-10785"/>
    <x v="119"/>
    <s v="P009"/>
    <x v="13"/>
    <s v="Household"/>
    <s v="Cleaning"/>
    <s v="BrightWash"/>
    <s v="B04"/>
    <x v="5"/>
    <s v="Lagos"/>
    <x v="4"/>
    <s v="Member"/>
    <s v="Transfer"/>
    <n v="2"/>
    <n v="2400"/>
    <n v="3400"/>
    <n v="0.05"/>
    <x v="1"/>
    <n v="11"/>
    <n v="6800"/>
    <n v="340"/>
    <n v="6460"/>
    <n v="4800"/>
    <n v="1660"/>
    <n v="0.25696594427244585"/>
    <s v="Healthy"/>
    <s v="Safe"/>
    <n v="0.29411764705882354"/>
    <s v="Safe"/>
    <n v="1000"/>
    <n v="0.29411764705882354"/>
  </r>
  <r>
    <s v="ORD-10786"/>
    <x v="285"/>
    <s v="P005"/>
    <x v="2"/>
    <s v="Food"/>
    <s v="Snacks"/>
    <s v="CrispyBite"/>
    <s v="B03"/>
    <x v="6"/>
    <s v="Lagos"/>
    <x v="4"/>
    <s v="Member"/>
    <s v="POS"/>
    <n v="3"/>
    <n v="850"/>
    <n v="1300"/>
    <n v="0.2"/>
    <x v="1"/>
    <n v="2"/>
    <n v="3900"/>
    <n v="780"/>
    <n v="3120"/>
    <n v="2550"/>
    <n v="570"/>
    <n v="0.18269230769230768"/>
    <s v="Understocked"/>
    <s v="Safe"/>
    <n v="0.34615384615384615"/>
    <s v="Safe"/>
    <n v="450"/>
    <n v="0.34615384615384615"/>
  </r>
  <r>
    <s v="ORD-10787"/>
    <x v="296"/>
    <s v="P001"/>
    <x v="14"/>
    <s v="Food"/>
    <s v="Grains"/>
    <s v="Golden Harvest"/>
    <s v="B05"/>
    <x v="0"/>
    <s v="Kano"/>
    <x v="0"/>
    <s v="Member"/>
    <s v="POS"/>
    <n v="5"/>
    <n v="14500"/>
    <n v="17500"/>
    <n v="0.05"/>
    <x v="9"/>
    <n v="4"/>
    <n v="87500"/>
    <n v="4375"/>
    <n v="83125"/>
    <n v="72500"/>
    <n v="10625"/>
    <n v="0.12781954887218044"/>
    <s v="Understocked"/>
    <s v="Safe"/>
    <n v="0.17142857142857143"/>
    <s v="Safe"/>
    <n v="3000"/>
    <n v="0.17142857142857143"/>
  </r>
  <r>
    <s v="ORD-10788"/>
    <x v="133"/>
    <s v="P011"/>
    <x v="9"/>
    <s v="Household"/>
    <s v="Cleaning"/>
    <s v="CleanPro"/>
    <s v="B01"/>
    <x v="2"/>
    <s v="Abuja"/>
    <x v="2"/>
    <s v="Walk-in"/>
    <s v="POS"/>
    <n v="3"/>
    <n v="2800"/>
    <n v="3900"/>
    <n v="0"/>
    <x v="7"/>
    <n v="11"/>
    <n v="11700"/>
    <n v="0"/>
    <n v="11700"/>
    <n v="8400"/>
    <n v="3300"/>
    <n v="0.28205128205128205"/>
    <s v="Healthy"/>
    <s v="Safe"/>
    <n v="0.28205128205128205"/>
    <s v="Safe"/>
    <n v="1100"/>
    <n v="0.28205128205128205"/>
  </r>
  <r>
    <s v="ORD-10789"/>
    <x v="184"/>
    <s v="P023"/>
    <x v="6"/>
    <s v="Office Supplies"/>
    <s v="Stationery"/>
    <s v="StudyPro"/>
    <s v="B03"/>
    <x v="6"/>
    <s v="Lagos"/>
    <x v="4"/>
    <s v="Member"/>
    <s v="POS"/>
    <n v="1"/>
    <n v="2800"/>
    <n v="4200"/>
    <n v="0.15"/>
    <x v="15"/>
    <n v="13"/>
    <n v="4200"/>
    <n v="630"/>
    <n v="3570"/>
    <n v="2800"/>
    <n v="770"/>
    <n v="0.21568627450980393"/>
    <s v="Understocked"/>
    <s v="Safe"/>
    <n v="0.33333333333333331"/>
    <s v="Safe"/>
    <n v="1400"/>
    <n v="0.33333333333333331"/>
  </r>
  <r>
    <s v="ORD-10790"/>
    <x v="183"/>
    <s v="P007"/>
    <x v="3"/>
    <s v="Beverages"/>
    <s v="Malt"/>
    <s v="Naija Malt"/>
    <s v="B01"/>
    <x v="2"/>
    <s v="Abuja"/>
    <x v="2"/>
    <s v="Walk-in"/>
    <s v="Transfer"/>
    <n v="6"/>
    <n v="550"/>
    <n v="850"/>
    <n v="0"/>
    <x v="0"/>
    <n v="6"/>
    <n v="5100"/>
    <n v="0"/>
    <n v="5100"/>
    <n v="3300"/>
    <n v="1800"/>
    <n v="0.35294117647058826"/>
    <s v="Healthy"/>
    <s v="Safe"/>
    <n v="0.35294117647058826"/>
    <s v="Safe"/>
    <n v="300"/>
    <n v="0.35294117647058826"/>
  </r>
  <r>
    <s v="ORD-10791"/>
    <x v="307"/>
    <s v="P003"/>
    <x v="12"/>
    <s v="Food"/>
    <s v="Cooking Oil"/>
    <s v="SunGold"/>
    <s v="B01"/>
    <x v="2"/>
    <s v="Abuja"/>
    <x v="2"/>
    <s v="Walk-in"/>
    <s v="Cash"/>
    <n v="1"/>
    <n v="7800"/>
    <n v="9800"/>
    <n v="0"/>
    <x v="8"/>
    <n v="7"/>
    <n v="9800"/>
    <n v="0"/>
    <n v="9800"/>
    <n v="7800"/>
    <n v="2000"/>
    <n v="0.20408163265306123"/>
    <s v="Understocked"/>
    <s v="Safe"/>
    <n v="0.20408163265306123"/>
    <s v="Safe"/>
    <n v="2000"/>
    <n v="0.20408163265306123"/>
  </r>
  <r>
    <s v="ORD-10792"/>
    <x v="173"/>
    <s v="P012"/>
    <x v="21"/>
    <s v="Household"/>
    <s v="Home Care"/>
    <s v="HomeFresh"/>
    <s v="B03"/>
    <x v="6"/>
    <s v="Lagos"/>
    <x v="4"/>
    <s v="Walk-in"/>
    <s v="Transfer"/>
    <n v="1"/>
    <n v="1700"/>
    <n v="2600"/>
    <n v="0"/>
    <x v="10"/>
    <n v="6"/>
    <n v="2600"/>
    <n v="0"/>
    <n v="2600"/>
    <n v="1700"/>
    <n v="900"/>
    <n v="0.34615384615384615"/>
    <s v="Overstocked"/>
    <s v="Safe"/>
    <n v="0.34615384615384615"/>
    <s v="Safe"/>
    <n v="900"/>
    <n v="0.34615384615384615"/>
  </r>
  <r>
    <s v="ORD-10793"/>
    <x v="50"/>
    <s v="P001"/>
    <x v="14"/>
    <s v="Food"/>
    <s v="Grains"/>
    <s v="Golden Harvest"/>
    <s v="B02"/>
    <x v="4"/>
    <s v="Abuja"/>
    <x v="2"/>
    <s v="Walk-in"/>
    <s v="Transfer"/>
    <n v="3"/>
    <n v="14500"/>
    <n v="17500"/>
    <n v="0"/>
    <x v="9"/>
    <n v="5"/>
    <n v="52500"/>
    <n v="0"/>
    <n v="52500"/>
    <n v="43500"/>
    <n v="9000"/>
    <n v="0.17142857142857143"/>
    <s v="Understocked"/>
    <s v="Safe"/>
    <n v="0.17142857142857143"/>
    <s v="Safe"/>
    <n v="3000"/>
    <n v="0.17142857142857143"/>
  </r>
  <r>
    <s v="ORD-10794"/>
    <x v="299"/>
    <s v="P010"/>
    <x v="22"/>
    <s v="Household"/>
    <s v="Paper Products"/>
    <s v="SoftCare"/>
    <s v="B01"/>
    <x v="2"/>
    <s v="Abuja"/>
    <x v="2"/>
    <s v="Member"/>
    <s v="Cash"/>
    <n v="1"/>
    <n v="3200"/>
    <n v="4500"/>
    <n v="0.1"/>
    <x v="1"/>
    <n v="10"/>
    <n v="4500"/>
    <n v="450"/>
    <n v="4050"/>
    <n v="3200"/>
    <n v="850"/>
    <n v="0.20987654320987653"/>
    <s v="Healthy"/>
    <s v="Safe"/>
    <n v="0.28888888888888886"/>
    <s v="Safe"/>
    <n v="1300"/>
    <n v="0.28888888888888886"/>
  </r>
  <r>
    <s v="ORD-10795"/>
    <x v="111"/>
    <s v="P016"/>
    <x v="7"/>
    <s v="Personal Care"/>
    <s v="Fragrance"/>
    <s v="RoyalScent"/>
    <s v="B05"/>
    <x v="0"/>
    <s v="Kano"/>
    <x v="0"/>
    <s v="Walk-in"/>
    <s v="POS"/>
    <n v="1"/>
    <n v="8500"/>
    <n v="12500"/>
    <n v="0.15"/>
    <x v="10"/>
    <n v="4"/>
    <n v="12500"/>
    <n v="1875"/>
    <n v="10625"/>
    <n v="8500"/>
    <n v="2125"/>
    <n v="0.2"/>
    <s v="Overstocked"/>
    <s v="Safe"/>
    <n v="0.32"/>
    <s v="Safe"/>
    <n v="4000"/>
    <n v="0.32"/>
  </r>
  <r>
    <s v="ORD-10796"/>
    <x v="211"/>
    <s v="P007"/>
    <x v="3"/>
    <s v="Beverages"/>
    <s v="Malt"/>
    <s v="Naija Malt"/>
    <s v="B08"/>
    <x v="7"/>
    <s v="Kwara"/>
    <x v="2"/>
    <s v="Walk-in"/>
    <s v="POS"/>
    <n v="-1"/>
    <n v="550"/>
    <n v="850"/>
    <n v="0.05"/>
    <x v="2"/>
    <n v="1"/>
    <n v="-850"/>
    <n v="-42.5"/>
    <n v="-807.5"/>
    <n v="-550"/>
    <n v="-257.5"/>
    <n v="0.31888544891640869"/>
    <s v="Healthy"/>
    <s v="Discount loss"/>
    <n v="0.35294117647058826"/>
    <s v="Safe"/>
    <n v="300"/>
    <n v="0.35294117647058826"/>
  </r>
  <r>
    <s v="ORD-10797"/>
    <x v="271"/>
    <s v="P006"/>
    <x v="0"/>
    <s v="Beverages"/>
    <s v="Water"/>
    <s v="AquaPure"/>
    <s v="B08"/>
    <x v="7"/>
    <s v="Kwara"/>
    <x v="2"/>
    <s v="Walk-in"/>
    <s v="POS"/>
    <n v="1"/>
    <n v="230"/>
    <n v="400"/>
    <n v="0.2"/>
    <x v="0"/>
    <n v="7"/>
    <n v="400"/>
    <n v="80"/>
    <n v="320"/>
    <n v="230"/>
    <n v="90"/>
    <n v="0.28125"/>
    <s v="Understocked"/>
    <s v="Safe"/>
    <n v="0.42499999999999999"/>
    <s v="Safe"/>
    <n v="170"/>
    <n v="0.42499999999999999"/>
  </r>
  <r>
    <s v="ORD-10798"/>
    <x v="287"/>
    <s v="P005"/>
    <x v="2"/>
    <s v="Food"/>
    <s v="Snacks"/>
    <s v="CrispyBite"/>
    <s v="B07"/>
    <x v="3"/>
    <s v="Enugu"/>
    <x v="3"/>
    <s v="Walk-in"/>
    <s v="Cash"/>
    <n v="2"/>
    <n v="850"/>
    <n v="1300"/>
    <n v="0"/>
    <x v="9"/>
    <n v="7"/>
    <n v="2600"/>
    <n v="0"/>
    <n v="2600"/>
    <n v="1700"/>
    <n v="900"/>
    <n v="0.34615384615384615"/>
    <s v="Understocked"/>
    <s v="Safe"/>
    <n v="0.34615384615384615"/>
    <s v="Safe"/>
    <n v="450"/>
    <n v="0.34615384615384615"/>
  </r>
  <r>
    <s v="ORD-10799"/>
    <x v="171"/>
    <s v="P015"/>
    <x v="8"/>
    <s v="Personal Care"/>
    <s v="Bath"/>
    <s v="SilkyTouch"/>
    <s v="B08"/>
    <x v="7"/>
    <s v="Kwara"/>
    <x v="2"/>
    <s v="Walk-in"/>
    <s v="POS"/>
    <n v="6"/>
    <n v="600"/>
    <n v="950"/>
    <n v="0"/>
    <x v="10"/>
    <n v="6"/>
    <n v="5700"/>
    <n v="0"/>
    <n v="5700"/>
    <n v="3600"/>
    <n v="2100"/>
    <n v="0.36842105263157893"/>
    <s v="Healthy"/>
    <s v="Safe"/>
    <n v="0.36842105263157893"/>
    <s v="Safe"/>
    <n v="350"/>
    <n v="0.36842105263157893"/>
  </r>
  <r>
    <s v="ORD-10800"/>
    <x v="296"/>
    <s v="P008"/>
    <x v="4"/>
    <s v="Beverages"/>
    <s v="Soft Drinks"/>
    <s v="Sparkle"/>
    <s v="B02"/>
    <x v="4"/>
    <s v="Abuja"/>
    <x v="2"/>
    <s v="Walk-in"/>
    <s v="POS"/>
    <n v="10"/>
    <n v="330"/>
    <n v="550"/>
    <n v="0.05"/>
    <x v="3"/>
    <n v="12"/>
    <n v="5500"/>
    <n v="275"/>
    <n v="5225"/>
    <n v="3300"/>
    <n v="1925"/>
    <n v="0.36842105263157893"/>
    <s v="Healthy"/>
    <s v="Safe"/>
    <n v="0.4"/>
    <s v="Safe"/>
    <n v="220"/>
    <n v="0.4"/>
  </r>
  <r>
    <s v="ORD-10801"/>
    <x v="163"/>
    <s v="P012"/>
    <x v="21"/>
    <s v="Household"/>
    <s v="Home Care"/>
    <s v="HomeFresh"/>
    <s v="B01"/>
    <x v="2"/>
    <s v="Abuja"/>
    <x v="2"/>
    <s v="Walk-in"/>
    <s v="POS"/>
    <n v="1"/>
    <n v="1700"/>
    <n v="2600"/>
    <n v="0"/>
    <x v="10"/>
    <n v="13"/>
    <n v="2600"/>
    <n v="0"/>
    <n v="2600"/>
    <n v="1700"/>
    <n v="900"/>
    <n v="0.34615384615384615"/>
    <s v="Overstocked"/>
    <s v="Safe"/>
    <n v="0.34615384615384615"/>
    <s v="Safe"/>
    <n v="900"/>
    <n v="0.34615384615384615"/>
  </r>
  <r>
    <s v="ORD-10802"/>
    <x v="319"/>
    <s v="P018"/>
    <x v="16"/>
    <s v="Electronics"/>
    <s v="Mobile Accessories"/>
    <s v="VoltSafe"/>
    <s v="B05"/>
    <x v="0"/>
    <s v="Kano"/>
    <x v="0"/>
    <s v="Member"/>
    <s v="POS"/>
    <n v="1"/>
    <n v="18000"/>
    <n v="24500"/>
    <n v="0"/>
    <x v="12"/>
    <n v="2"/>
    <n v="24500"/>
    <n v="0"/>
    <n v="24500"/>
    <n v="18000"/>
    <n v="6500"/>
    <n v="0.26530612244897961"/>
    <s v="Understocked"/>
    <s v="Safe"/>
    <n v="0.26530612244897961"/>
    <s v="Safe"/>
    <n v="6500"/>
    <n v="0.26530612244897961"/>
  </r>
  <r>
    <s v="ORD-10803"/>
    <x v="49"/>
    <s v="P019"/>
    <x v="18"/>
    <s v="Electronics"/>
    <s v="Audio"/>
    <s v="SoundBeat"/>
    <s v="B03"/>
    <x v="6"/>
    <s v="Lagos"/>
    <x v="4"/>
    <s v="Member"/>
    <s v="Cash"/>
    <n v="1"/>
    <n v="12500"/>
    <n v="18500"/>
    <n v="0.1"/>
    <x v="13"/>
    <n v="6"/>
    <n v="18500"/>
    <n v="1850"/>
    <n v="16650"/>
    <n v="12500"/>
    <n v="4150"/>
    <n v="0.24924924924924924"/>
    <s v="Understocked"/>
    <s v="Safe"/>
    <n v="0.32432432432432434"/>
    <s v="Safe"/>
    <n v="6000"/>
    <n v="0.32432432432432434"/>
  </r>
  <r>
    <s v="ORD-10804"/>
    <x v="80"/>
    <s v="P001"/>
    <x v="14"/>
    <s v="Food"/>
    <s v="Grains"/>
    <s v="Golden Harvest"/>
    <s v="B06"/>
    <x v="1"/>
    <s v="Rivers"/>
    <x v="1"/>
    <s v="Member"/>
    <s v="Cash"/>
    <n v="4"/>
    <n v="14500"/>
    <n v="17500"/>
    <n v="0.1"/>
    <x v="1"/>
    <n v="11"/>
    <n v="70000"/>
    <n v="7000"/>
    <n v="63000"/>
    <n v="58000"/>
    <n v="5000"/>
    <n v="7.9365079365079361E-2"/>
    <s v="Understocked"/>
    <s v="Safe"/>
    <n v="0.17142857142857143"/>
    <s v="Safe"/>
    <n v="3000"/>
    <n v="0.17142857142857143"/>
  </r>
  <r>
    <s v="ORD-10805"/>
    <x v="56"/>
    <s v="P005"/>
    <x v="2"/>
    <s v="Food"/>
    <s v="Snacks"/>
    <s v="CrispyBite"/>
    <s v="B04"/>
    <x v="5"/>
    <s v="Lagos"/>
    <x v="4"/>
    <s v="Member"/>
    <s v="POS"/>
    <n v="2"/>
    <n v="850"/>
    <n v="1300"/>
    <n v="0"/>
    <x v="9"/>
    <n v="1"/>
    <n v="2600"/>
    <n v="0"/>
    <n v="2600"/>
    <n v="1700"/>
    <n v="900"/>
    <n v="0.34615384615384615"/>
    <s v="Understocked"/>
    <s v="Safe"/>
    <n v="0.34615384615384615"/>
    <s v="Safe"/>
    <n v="450"/>
    <n v="0.34615384615384615"/>
  </r>
  <r>
    <s v="ORD-10806"/>
    <x v="267"/>
    <s v="P007"/>
    <x v="3"/>
    <s v="Beverages"/>
    <s v="Malt"/>
    <s v="Naija Malt"/>
    <s v="B07"/>
    <x v="3"/>
    <s v="Enugu"/>
    <x v="3"/>
    <s v="Walk-in"/>
    <s v="POS"/>
    <n v="3"/>
    <n v="550"/>
    <n v="850"/>
    <n v="0.05"/>
    <x v="0"/>
    <n v="11"/>
    <n v="2550"/>
    <n v="127.5"/>
    <n v="2422.5"/>
    <n v="1650"/>
    <n v="772.5"/>
    <n v="0.31888544891640869"/>
    <s v="Healthy"/>
    <s v="Safe"/>
    <n v="0.35294117647058826"/>
    <s v="Safe"/>
    <n v="300"/>
    <n v="0.35294117647058826"/>
  </r>
  <r>
    <s v="ORD-10807"/>
    <x v="82"/>
    <s v="P004"/>
    <x v="1"/>
    <s v="Beverages"/>
    <s v="Dairy"/>
    <s v="FreshDay"/>
    <s v="B04"/>
    <x v="5"/>
    <s v="Lagos"/>
    <x v="4"/>
    <s v="Corporate"/>
    <s v="POS"/>
    <n v="4"/>
    <n v="1650"/>
    <n v="2200"/>
    <n v="0"/>
    <x v="0"/>
    <n v="12"/>
    <n v="8800"/>
    <n v="0"/>
    <n v="8800"/>
    <n v="6600"/>
    <n v="2200"/>
    <n v="0.25"/>
    <s v="Understocked"/>
    <s v="Safe"/>
    <n v="0.25"/>
    <s v="Safe"/>
    <n v="550"/>
    <n v="0.25"/>
  </r>
  <r>
    <s v="ORD-10808"/>
    <x v="314"/>
    <s v="P020"/>
    <x v="5"/>
    <s v="Electronics"/>
    <s v="Lighting"/>
    <s v="Luma"/>
    <s v="B01"/>
    <x v="2"/>
    <s v="Abuja"/>
    <x v="2"/>
    <s v="Member"/>
    <s v="POS"/>
    <n v="8"/>
    <n v="1500"/>
    <n v="2500"/>
    <n v="0.1"/>
    <x v="13"/>
    <n v="1"/>
    <n v="20000"/>
    <n v="2000"/>
    <n v="18000"/>
    <n v="12000"/>
    <n v="6000"/>
    <n v="0.33333333333333331"/>
    <s v="Healthy"/>
    <s v="Safe"/>
    <n v="0.4"/>
    <s v="Safe"/>
    <n v="1000"/>
    <n v="0.4"/>
  </r>
  <r>
    <s v="ORD-10809"/>
    <x v="320"/>
    <s v="P014"/>
    <x v="15"/>
    <s v="Personal Care"/>
    <s v="Oral Care"/>
    <s v="FreshMint"/>
    <s v="B05"/>
    <x v="0"/>
    <s v="Kano"/>
    <x v="0"/>
    <s v="Member"/>
    <s v="Transfer"/>
    <n v="5"/>
    <n v="1200"/>
    <n v="1900"/>
    <n v="0.05"/>
    <x v="6"/>
    <n v="11"/>
    <n v="9500"/>
    <n v="475"/>
    <n v="9025"/>
    <n v="6000"/>
    <n v="3025"/>
    <n v="0.33518005540166207"/>
    <s v="Healthy"/>
    <s v="Safe"/>
    <n v="0.36842105263157893"/>
    <s v="Safe"/>
    <n v="700"/>
    <n v="0.36842105263157893"/>
  </r>
  <r>
    <s v="ORD-10810"/>
    <x v="70"/>
    <s v="P007"/>
    <x v="3"/>
    <s v="Beverages"/>
    <s v="Malt"/>
    <s v="Naija Malt"/>
    <s v="B06"/>
    <x v="1"/>
    <s v="Rivers"/>
    <x v="1"/>
    <s v="Walk-in"/>
    <s v="Transfer"/>
    <n v="-1"/>
    <n v="550"/>
    <n v="850"/>
    <n v="0"/>
    <x v="2"/>
    <n v="6"/>
    <n v="-850"/>
    <n v="0"/>
    <n v="-850"/>
    <n v="-550"/>
    <n v="-300"/>
    <n v="0.35294117647058826"/>
    <s v="Healthy"/>
    <s v="Safe"/>
    <n v="0.35294117647058826"/>
    <s v="Safe"/>
    <n v="300"/>
    <n v="0.35294117647058826"/>
  </r>
  <r>
    <s v="ORD-10811"/>
    <x v="269"/>
    <s v="P002"/>
    <x v="10"/>
    <s v="Food"/>
    <s v="Grains"/>
    <s v="Mama's Pride"/>
    <s v="B04"/>
    <x v="5"/>
    <s v="Lagos"/>
    <x v="4"/>
    <s v="Corporate"/>
    <s v="Transfer"/>
    <n v="1"/>
    <n v="6200"/>
    <n v="7900"/>
    <n v="0.1"/>
    <x v="9"/>
    <n v="4"/>
    <n v="7900"/>
    <n v="790"/>
    <n v="7110"/>
    <n v="6200"/>
    <n v="910"/>
    <n v="0.12798874824191281"/>
    <s v="Healthy"/>
    <s v="Safe"/>
    <n v="0.21518987341772153"/>
    <s v="Safe"/>
    <n v="1700"/>
    <n v="0.21518987341772153"/>
  </r>
  <r>
    <s v="ORD-10812"/>
    <x v="79"/>
    <s v="P006"/>
    <x v="0"/>
    <s v="Beverages"/>
    <s v="Water"/>
    <s v="AquaPure"/>
    <s v="B05"/>
    <x v="0"/>
    <s v="Kano"/>
    <x v="0"/>
    <s v="Member"/>
    <s v="POS"/>
    <n v="1"/>
    <n v="230"/>
    <n v="400"/>
    <n v="0.05"/>
    <x v="0"/>
    <n v="6"/>
    <n v="400"/>
    <n v="20"/>
    <n v="380"/>
    <n v="230"/>
    <n v="150"/>
    <n v="0.39473684210526316"/>
    <s v="Understocked"/>
    <s v="Safe"/>
    <n v="0.42499999999999999"/>
    <s v="Safe"/>
    <n v="170"/>
    <n v="0.42499999999999999"/>
  </r>
  <r>
    <s v="ORD-10813"/>
    <x v="111"/>
    <s v="P003"/>
    <x v="12"/>
    <s v="Food"/>
    <s v="Cooking Oil"/>
    <s v="SunGold"/>
    <s v="B02"/>
    <x v="4"/>
    <s v="Abuja"/>
    <x v="2"/>
    <s v="Walk-in"/>
    <s v="POS"/>
    <n v="2"/>
    <n v="7800"/>
    <n v="9800"/>
    <n v="0"/>
    <x v="9"/>
    <n v="13"/>
    <n v="19600"/>
    <n v="0"/>
    <n v="19600"/>
    <n v="15600"/>
    <n v="4000"/>
    <n v="0.20408163265306123"/>
    <s v="Understocked"/>
    <s v="Safe"/>
    <n v="0.20408163265306123"/>
    <s v="Safe"/>
    <n v="2000"/>
    <n v="0.20408163265306123"/>
  </r>
  <r>
    <s v="ORD-10814"/>
    <x v="232"/>
    <s v="P017"/>
    <x v="23"/>
    <s v="Electronics"/>
    <s v="Accessories"/>
    <s v="PowerMax"/>
    <s v="B05"/>
    <x v="0"/>
    <s v="Kano"/>
    <x v="0"/>
    <s v="Walk-in"/>
    <s v="Cash"/>
    <n v="3"/>
    <n v="7500"/>
    <n v="10500"/>
    <n v="0"/>
    <x v="13"/>
    <n v="14"/>
    <n v="31500"/>
    <n v="0"/>
    <n v="31500"/>
    <n v="22500"/>
    <n v="9000"/>
    <n v="0.2857142857142857"/>
    <s v="Healthy"/>
    <s v="Safe"/>
    <n v="0.2857142857142857"/>
    <s v="Safe"/>
    <n v="3000"/>
    <n v="0.2857142857142857"/>
  </r>
  <r>
    <s v="ORD-10815"/>
    <x v="212"/>
    <s v="P002"/>
    <x v="10"/>
    <s v="Food"/>
    <s v="Grains"/>
    <s v="Mama's Pride"/>
    <s v="B06"/>
    <x v="1"/>
    <s v="Rivers"/>
    <x v="1"/>
    <s v="Walk-in"/>
    <s v="Cash"/>
    <n v="1"/>
    <n v="6200"/>
    <n v="7900"/>
    <n v="0.1"/>
    <x v="9"/>
    <n v="9"/>
    <n v="7900"/>
    <n v="790"/>
    <n v="7110"/>
    <n v="6200"/>
    <n v="910"/>
    <n v="0.12798874824191281"/>
    <s v="Healthy"/>
    <s v="Safe"/>
    <n v="0.21518987341772153"/>
    <s v="Safe"/>
    <n v="1700"/>
    <n v="0.21518987341772153"/>
  </r>
  <r>
    <s v="ORD-10816"/>
    <x v="239"/>
    <s v="P007"/>
    <x v="3"/>
    <s v="Beverages"/>
    <s v="Malt"/>
    <s v="Naija Malt"/>
    <s v="B05"/>
    <x v="0"/>
    <s v="Kano"/>
    <x v="0"/>
    <s v="Member"/>
    <s v="POS"/>
    <n v="2"/>
    <n v="550"/>
    <n v="850"/>
    <n v="0.15"/>
    <x v="2"/>
    <n v="7"/>
    <n v="1700"/>
    <n v="255"/>
    <n v="1445"/>
    <n v="1100"/>
    <n v="345"/>
    <n v="0.23875432525951557"/>
    <s v="Healthy"/>
    <s v="Safe"/>
    <n v="0.35294117647058826"/>
    <s v="Safe"/>
    <n v="300"/>
    <n v="0.35294117647058826"/>
  </r>
  <r>
    <s v="ORD-10817"/>
    <x v="63"/>
    <s v="P020"/>
    <x v="5"/>
    <s v="Electronics"/>
    <s v="Lighting"/>
    <s v="Luma"/>
    <s v="B05"/>
    <x v="0"/>
    <s v="Kano"/>
    <x v="0"/>
    <s v="Member"/>
    <s v="Transfer"/>
    <n v="2"/>
    <n v="1500"/>
    <n v="2500"/>
    <n v="0.2"/>
    <x v="13"/>
    <n v="10"/>
    <n v="5000"/>
    <n v="1000"/>
    <n v="4000"/>
    <n v="3000"/>
    <n v="1000"/>
    <n v="0.25"/>
    <s v="Healthy"/>
    <s v="Safe"/>
    <n v="0.4"/>
    <s v="Safe"/>
    <n v="1000"/>
    <n v="0.4"/>
  </r>
  <r>
    <s v="ORD-10818"/>
    <x v="127"/>
    <s v="P001"/>
    <x v="14"/>
    <s v="Food"/>
    <s v="Grains"/>
    <s v="Golden Harvest"/>
    <s v="B06"/>
    <x v="1"/>
    <s v="Rivers"/>
    <x v="1"/>
    <s v="Member"/>
    <s v="Cash"/>
    <n v="3"/>
    <n v="14500"/>
    <n v="17500"/>
    <n v="0.15"/>
    <x v="1"/>
    <n v="5"/>
    <n v="52500"/>
    <n v="7875"/>
    <n v="44625"/>
    <n v="43500"/>
    <n v="1125"/>
    <n v="2.5210084033613446E-2"/>
    <s v="Understocked"/>
    <s v="Safe"/>
    <n v="0.17142857142857143"/>
    <s v="Safe"/>
    <n v="3000"/>
    <n v="0.17142857142857143"/>
  </r>
  <r>
    <s v="ORD-10819"/>
    <x v="85"/>
    <s v="P015"/>
    <x v="8"/>
    <s v="Personal Care"/>
    <s v="Bath"/>
    <s v="SilkyTouch"/>
    <s v="B03"/>
    <x v="6"/>
    <s v="Lagos"/>
    <x v="4"/>
    <s v="Walk-in"/>
    <s v="Card"/>
    <n v="2"/>
    <n v="600"/>
    <n v="950"/>
    <n v="0.15"/>
    <x v="11"/>
    <n v="9"/>
    <n v="1900"/>
    <n v="285"/>
    <n v="1615"/>
    <n v="1200"/>
    <n v="415"/>
    <n v="0.25696594427244585"/>
    <s v="Healthy"/>
    <s v="Safe"/>
    <n v="0.36842105263157893"/>
    <s v="Safe"/>
    <n v="350"/>
    <n v="0.36842105263157893"/>
  </r>
  <r>
    <s v="ORD-10820"/>
    <x v="193"/>
    <s v="P006"/>
    <x v="0"/>
    <s v="Beverages"/>
    <s v="Water"/>
    <s v="AquaPure"/>
    <s v="B07"/>
    <x v="3"/>
    <s v="Enugu"/>
    <x v="3"/>
    <s v="Walk-in"/>
    <s v="Transfer"/>
    <n v="5"/>
    <n v="230"/>
    <n v="400"/>
    <n v="0"/>
    <x v="2"/>
    <n v="1"/>
    <n v="2000"/>
    <n v="0"/>
    <n v="2000"/>
    <n v="1150"/>
    <n v="850"/>
    <n v="0.42499999999999999"/>
    <s v="Understocked"/>
    <s v="Safe"/>
    <n v="0.42499999999999999"/>
    <s v="Safe"/>
    <n v="170"/>
    <n v="0.42499999999999999"/>
  </r>
  <r>
    <s v="ORD-10821"/>
    <x v="102"/>
    <s v="P014"/>
    <x v="15"/>
    <s v="Personal Care"/>
    <s v="Oral Care"/>
    <s v="FreshMint"/>
    <s v="B01"/>
    <x v="2"/>
    <s v="Abuja"/>
    <x v="2"/>
    <s v="Member"/>
    <s v="Transfer"/>
    <n v="3"/>
    <n v="1200"/>
    <n v="1900"/>
    <n v="0.15"/>
    <x v="6"/>
    <n v="4"/>
    <n v="5700"/>
    <n v="855"/>
    <n v="4845"/>
    <n v="3600"/>
    <n v="1245"/>
    <n v="0.25696594427244585"/>
    <s v="Healthy"/>
    <s v="Safe"/>
    <n v="0.36842105263157893"/>
    <s v="Safe"/>
    <n v="700"/>
    <n v="0.36842105263157893"/>
  </r>
  <r>
    <s v="ORD-10822"/>
    <x v="275"/>
    <s v="P018"/>
    <x v="16"/>
    <s v="Electronics"/>
    <s v="Mobile Accessories"/>
    <s v="VoltSafe"/>
    <s v="B03"/>
    <x v="6"/>
    <s v="Lagos"/>
    <x v="4"/>
    <s v="Corporate"/>
    <s v="POS"/>
    <n v="4"/>
    <n v="18000"/>
    <n v="24500"/>
    <n v="0.1"/>
    <x v="13"/>
    <n v="14"/>
    <n v="98000"/>
    <n v="9800"/>
    <n v="88200"/>
    <n v="72000"/>
    <n v="16200"/>
    <n v="0.18367346938775511"/>
    <s v="Understocked"/>
    <s v="Safe"/>
    <n v="0.26530612244897961"/>
    <s v="Safe"/>
    <n v="6500"/>
    <n v="0.26530612244897961"/>
  </r>
  <r>
    <s v="ORD-10823"/>
    <x v="269"/>
    <s v="P013"/>
    <x v="11"/>
    <s v="Personal Care"/>
    <s v="Skin Care"/>
    <s v="GlowPlus"/>
    <s v="B03"/>
    <x v="6"/>
    <s v="Lagos"/>
    <x v="4"/>
    <s v="Member"/>
    <s v="Cash"/>
    <n v="1"/>
    <n v="3500"/>
    <n v="5200"/>
    <n v="0.05"/>
    <x v="6"/>
    <n v="1"/>
    <n v="5200"/>
    <n v="260"/>
    <n v="4940"/>
    <n v="3500"/>
    <n v="1440"/>
    <n v="0.291497975708502"/>
    <s v="Healthy"/>
    <s v="Safe"/>
    <n v="0.32692307692307693"/>
    <s v="Safe"/>
    <n v="1700"/>
    <n v="0.32692307692307693"/>
  </r>
  <r>
    <s v="ORD-10824"/>
    <x v="309"/>
    <s v="P005"/>
    <x v="2"/>
    <s v="Food"/>
    <s v="Snacks"/>
    <s v="CrispyBite"/>
    <s v="B05"/>
    <x v="0"/>
    <s v="Kano"/>
    <x v="0"/>
    <s v="Corporate"/>
    <s v="Transfer"/>
    <n v="2"/>
    <n v="850"/>
    <n v="1300"/>
    <n v="0.1"/>
    <x v="1"/>
    <n v="7"/>
    <n v="2600"/>
    <n v="260"/>
    <n v="2340"/>
    <n v="1700"/>
    <n v="640"/>
    <n v="0.27350427350427353"/>
    <s v="Understocked"/>
    <s v="Safe"/>
    <n v="0.34615384615384615"/>
    <s v="Safe"/>
    <n v="450"/>
    <n v="0.34615384615384615"/>
  </r>
  <r>
    <s v="ORD-10825"/>
    <x v="265"/>
    <s v="P019"/>
    <x v="18"/>
    <s v="Electronics"/>
    <s v="Audio"/>
    <s v="SoundBeat"/>
    <s v="B01"/>
    <x v="2"/>
    <s v="Abuja"/>
    <x v="2"/>
    <s v="Walk-in"/>
    <s v="Cash"/>
    <n v="1"/>
    <n v="12500"/>
    <n v="18500"/>
    <n v="0.05"/>
    <x v="13"/>
    <n v="4"/>
    <n v="18500"/>
    <n v="925"/>
    <n v="17575"/>
    <n v="12500"/>
    <n v="5075"/>
    <n v="0.28876244665718348"/>
    <s v="Understocked"/>
    <s v="Safe"/>
    <n v="0.32432432432432434"/>
    <s v="Safe"/>
    <n v="6000"/>
    <n v="0.32432432432432434"/>
  </r>
  <r>
    <s v="ORD-10826"/>
    <x v="123"/>
    <s v="P001"/>
    <x v="14"/>
    <s v="Food"/>
    <s v="Grains"/>
    <s v="Golden Harvest"/>
    <s v="B01"/>
    <x v="2"/>
    <s v="Abuja"/>
    <x v="2"/>
    <s v="Member"/>
    <s v="POS"/>
    <n v="1"/>
    <n v="14500"/>
    <n v="17500"/>
    <n v="0"/>
    <x v="8"/>
    <n v="14"/>
    <n v="17500"/>
    <n v="0"/>
    <n v="17500"/>
    <n v="14500"/>
    <n v="3000"/>
    <n v="0.17142857142857143"/>
    <s v="Understocked"/>
    <s v="Safe"/>
    <n v="0.17142857142857143"/>
    <s v="Safe"/>
    <n v="3000"/>
    <n v="0.17142857142857143"/>
  </r>
  <r>
    <s v="ORD-10827"/>
    <x v="277"/>
    <s v="P005"/>
    <x v="2"/>
    <s v="Food"/>
    <s v="Snacks"/>
    <s v="CrispyBite"/>
    <s v="B02"/>
    <x v="4"/>
    <s v="Abuja"/>
    <x v="2"/>
    <s v="Member"/>
    <s v="Cash"/>
    <n v="2"/>
    <n v="850"/>
    <n v="1300"/>
    <n v="0"/>
    <x v="1"/>
    <n v="13"/>
    <n v="2600"/>
    <n v="0"/>
    <n v="2600"/>
    <n v="1700"/>
    <n v="900"/>
    <n v="0.34615384615384615"/>
    <s v="Understocked"/>
    <s v="Safe"/>
    <n v="0.34615384615384615"/>
    <s v="Safe"/>
    <n v="450"/>
    <n v="0.34615384615384615"/>
  </r>
  <r>
    <s v="ORD-10828"/>
    <x v="321"/>
    <s v="P022"/>
    <x v="17"/>
    <s v="Office Supplies"/>
    <s v="Writing"/>
    <s v="WriteWell"/>
    <s v="B03"/>
    <x v="6"/>
    <s v="Lagos"/>
    <x v="4"/>
    <s v="Member"/>
    <s v="POS"/>
    <n v="2"/>
    <n v="1300"/>
    <n v="2100"/>
    <n v="0.15"/>
    <x v="5"/>
    <n v="7"/>
    <n v="4200"/>
    <n v="630"/>
    <n v="3570"/>
    <n v="2600"/>
    <n v="970"/>
    <n v="0.27170868347338933"/>
    <s v="Understocked"/>
    <s v="Safe"/>
    <n v="0.38095238095238093"/>
    <s v="Safe"/>
    <n v="800"/>
    <n v="0.38095238095238093"/>
  </r>
  <r>
    <s v="ORD-10829"/>
    <x v="61"/>
    <s v="P003"/>
    <x v="12"/>
    <s v="Food"/>
    <s v="Cooking Oil"/>
    <s v="SunGold"/>
    <s v="B07"/>
    <x v="3"/>
    <s v="Enugu"/>
    <x v="3"/>
    <s v="Walk-in"/>
    <s v="POS"/>
    <n v="1"/>
    <n v="7800"/>
    <n v="9800"/>
    <n v="0"/>
    <x v="8"/>
    <n v="10"/>
    <n v="9800"/>
    <n v="0"/>
    <n v="9800"/>
    <n v="7800"/>
    <n v="2000"/>
    <n v="0.20408163265306123"/>
    <s v="Understocked"/>
    <s v="Safe"/>
    <n v="0.20408163265306123"/>
    <s v="Safe"/>
    <n v="2000"/>
    <n v="0.20408163265306123"/>
  </r>
  <r>
    <s v="ORD-10830"/>
    <x v="1"/>
    <s v="P005"/>
    <x v="2"/>
    <s v="Food"/>
    <s v="Snacks"/>
    <s v="CrispyBite"/>
    <s v="B01"/>
    <x v="2"/>
    <s v="Abuja"/>
    <x v="2"/>
    <s v="Walk-in"/>
    <s v="POS"/>
    <n v="3"/>
    <n v="850"/>
    <n v="1300"/>
    <n v="0"/>
    <x v="8"/>
    <n v="4"/>
    <n v="3900"/>
    <n v="0"/>
    <n v="3900"/>
    <n v="2550"/>
    <n v="1350"/>
    <n v="0.34615384615384615"/>
    <s v="Understocked"/>
    <s v="Safe"/>
    <n v="0.34615384615384615"/>
    <s v="Safe"/>
    <n v="450"/>
    <n v="0.34615384615384615"/>
  </r>
  <r>
    <s v="ORD-10831"/>
    <x v="89"/>
    <s v="P020"/>
    <x v="5"/>
    <s v="Electronics"/>
    <s v="Lighting"/>
    <s v="Luma"/>
    <s v="B07"/>
    <x v="3"/>
    <s v="Enugu"/>
    <x v="3"/>
    <s v="Walk-in"/>
    <s v="Cash"/>
    <n v="8"/>
    <n v="1500"/>
    <n v="2500"/>
    <n v="0.15"/>
    <x v="13"/>
    <n v="13"/>
    <n v="20000"/>
    <n v="3000"/>
    <n v="17000"/>
    <n v="12000"/>
    <n v="5000"/>
    <n v="0.29411764705882354"/>
    <s v="Healthy"/>
    <s v="Safe"/>
    <n v="0.4"/>
    <s v="Safe"/>
    <n v="1000"/>
    <n v="0.4"/>
  </r>
  <r>
    <s v="ORD-10832"/>
    <x v="61"/>
    <s v="P004"/>
    <x v="1"/>
    <s v="Beverages"/>
    <s v="Dairy"/>
    <s v="FreshDay"/>
    <s v="B03"/>
    <x v="6"/>
    <s v="Lagos"/>
    <x v="4"/>
    <s v="Walk-in"/>
    <s v="Transfer"/>
    <n v="6"/>
    <n v="1650"/>
    <n v="2200"/>
    <n v="0.1"/>
    <x v="3"/>
    <n v="6"/>
    <n v="13200"/>
    <n v="1320"/>
    <n v="11880"/>
    <n v="9900"/>
    <n v="1980"/>
    <n v="0.16666666666666666"/>
    <s v="Understocked"/>
    <s v="Safe"/>
    <n v="0.25"/>
    <s v="Safe"/>
    <n v="550"/>
    <n v="0.25"/>
  </r>
  <r>
    <s v="ORD-10833"/>
    <x v="114"/>
    <s v="P015"/>
    <x v="8"/>
    <s v="Personal Care"/>
    <s v="Bath"/>
    <s v="SilkyTouch"/>
    <s v="B06"/>
    <x v="1"/>
    <s v="Rivers"/>
    <x v="1"/>
    <s v="Walk-in"/>
    <s v="POS"/>
    <n v="3"/>
    <n v="600"/>
    <n v="950"/>
    <n v="0"/>
    <x v="10"/>
    <n v="11"/>
    <n v="2850"/>
    <n v="0"/>
    <n v="2850"/>
    <n v="1800"/>
    <n v="1050"/>
    <n v="0.36842105263157893"/>
    <s v="Healthy"/>
    <s v="Safe"/>
    <n v="0.36842105263157893"/>
    <s v="Safe"/>
    <n v="350"/>
    <n v="0.36842105263157893"/>
  </r>
  <r>
    <s v="ORD-10834"/>
    <x v="158"/>
    <s v="P021"/>
    <x v="20"/>
    <s v="Office Supplies"/>
    <s v="Paper"/>
    <s v="OfficeMate"/>
    <s v="B04"/>
    <x v="5"/>
    <s v="Lagos"/>
    <x v="4"/>
    <s v="Walk-in"/>
    <s v="Transfer"/>
    <n v="2"/>
    <n v="5200"/>
    <n v="7000"/>
    <n v="0.05"/>
    <x v="15"/>
    <n v="14"/>
    <n v="14000"/>
    <n v="700"/>
    <n v="13300"/>
    <n v="10400"/>
    <n v="2900"/>
    <n v="0.21804511278195488"/>
    <s v="Overstocked"/>
    <s v="Safe"/>
    <n v="0.25714285714285712"/>
    <s v="Safe"/>
    <n v="1800"/>
    <n v="0.25714285714285712"/>
  </r>
  <r>
    <s v="ORD-10835"/>
    <x v="322"/>
    <s v="P002"/>
    <x v="10"/>
    <s v="Food"/>
    <s v="Grains"/>
    <s v="Mama's Pride"/>
    <s v="B06"/>
    <x v="1"/>
    <s v="Rivers"/>
    <x v="1"/>
    <s v="Walk-in"/>
    <s v="Cash"/>
    <n v="2"/>
    <n v="6200"/>
    <n v="7900"/>
    <n v="0.05"/>
    <x v="1"/>
    <n v="10"/>
    <n v="15800"/>
    <n v="790"/>
    <n v="15010"/>
    <n v="12400"/>
    <n v="2610"/>
    <n v="0.17388407728181213"/>
    <s v="Healthy"/>
    <s v="Safe"/>
    <n v="0.21518987341772153"/>
    <s v="Safe"/>
    <n v="1700"/>
    <n v="0.21518987341772153"/>
  </r>
  <r>
    <s v="ORD-10836"/>
    <x v="323"/>
    <s v="P008"/>
    <x v="4"/>
    <s v="Beverages"/>
    <s v="Soft Drinks"/>
    <s v="Sparkle"/>
    <s v="B03"/>
    <x v="6"/>
    <s v="Lagos"/>
    <x v="4"/>
    <s v="Walk-in"/>
    <s v="Cash"/>
    <n v="5"/>
    <n v="330"/>
    <n v="550"/>
    <n v="0.05"/>
    <x v="3"/>
    <n v="5"/>
    <n v="2750"/>
    <n v="137.5"/>
    <n v="2612.5"/>
    <n v="1650"/>
    <n v="962.5"/>
    <n v="0.36842105263157893"/>
    <s v="Healthy"/>
    <s v="Safe"/>
    <n v="0.4"/>
    <s v="Safe"/>
    <n v="220"/>
    <n v="0.4"/>
  </r>
  <r>
    <s v="ORD-10837"/>
    <x v="193"/>
    <s v="P021"/>
    <x v="20"/>
    <s v="Office Supplies"/>
    <s v="Paper"/>
    <s v="OfficeMate"/>
    <s v="B03"/>
    <x v="6"/>
    <s v="Lagos"/>
    <x v="4"/>
    <s v="Walk-in"/>
    <s v="Card"/>
    <n v="3"/>
    <n v="5200"/>
    <n v="7000"/>
    <n v="0.15"/>
    <x v="15"/>
    <n v="2"/>
    <n v="21000"/>
    <n v="3150"/>
    <n v="17850"/>
    <n v="15600"/>
    <n v="2250"/>
    <n v="0.12605042016806722"/>
    <s v="Overstocked"/>
    <s v="Safe"/>
    <n v="0.25714285714285712"/>
    <s v="Safe"/>
    <n v="1800"/>
    <n v="0.25714285714285712"/>
  </r>
  <r>
    <s v="ORD-10838"/>
    <x v="123"/>
    <s v="P001"/>
    <x v="14"/>
    <s v="Food"/>
    <s v="Grains"/>
    <s v="Golden Harvest"/>
    <s v="B02"/>
    <x v="4"/>
    <s v="Abuja"/>
    <x v="2"/>
    <s v="Walk-in"/>
    <s v="POS"/>
    <n v="1"/>
    <n v="14500"/>
    <n v="17500"/>
    <n v="0.05"/>
    <x v="1"/>
    <n v="14"/>
    <n v="17500"/>
    <n v="875"/>
    <n v="16625"/>
    <n v="14500"/>
    <n v="2125"/>
    <n v="0.12781954887218044"/>
    <s v="Understocked"/>
    <s v="Safe"/>
    <n v="0.17142857142857143"/>
    <s v="Safe"/>
    <n v="3000"/>
    <n v="0.17142857142857143"/>
  </r>
  <r>
    <s v="ORD-10839"/>
    <x v="297"/>
    <s v="P012"/>
    <x v="21"/>
    <s v="Household"/>
    <s v="Home Care"/>
    <s v="HomeFresh"/>
    <s v="B01"/>
    <x v="2"/>
    <s v="Abuja"/>
    <x v="2"/>
    <s v="Walk-in"/>
    <s v="Card"/>
    <n v="5"/>
    <n v="1700"/>
    <n v="2600"/>
    <n v="0.1"/>
    <x v="10"/>
    <n v="5"/>
    <n v="13000"/>
    <n v="1300"/>
    <n v="11700"/>
    <n v="8500"/>
    <n v="3200"/>
    <n v="0.27350427350427353"/>
    <s v="Overstocked"/>
    <s v="Safe"/>
    <n v="0.34615384615384615"/>
    <s v="Safe"/>
    <n v="900"/>
    <n v="0.34615384615384615"/>
  </r>
  <r>
    <s v="ORD-10840"/>
    <x v="71"/>
    <s v="P022"/>
    <x v="17"/>
    <s v="Office Supplies"/>
    <s v="Writing"/>
    <s v="WriteWell"/>
    <s v="B07"/>
    <x v="3"/>
    <s v="Enugu"/>
    <x v="3"/>
    <s v="Member"/>
    <s v="POS"/>
    <n v="4"/>
    <n v="1300"/>
    <n v="2100"/>
    <n v="0"/>
    <x v="15"/>
    <n v="14"/>
    <n v="8400"/>
    <n v="0"/>
    <n v="8400"/>
    <n v="5200"/>
    <n v="3200"/>
    <n v="0.38095238095238093"/>
    <s v="Understocked"/>
    <s v="Safe"/>
    <n v="0.38095238095238093"/>
    <s v="Safe"/>
    <n v="800"/>
    <n v="0.38095238095238093"/>
  </r>
  <r>
    <s v="ORD-10841"/>
    <x v="32"/>
    <s v="P015"/>
    <x v="8"/>
    <s v="Personal Care"/>
    <s v="Bath"/>
    <s v="SilkyTouch"/>
    <s v="B02"/>
    <x v="4"/>
    <s v="Abuja"/>
    <x v="2"/>
    <s v="Walk-in"/>
    <s v="Transfer"/>
    <n v="2"/>
    <n v="600"/>
    <n v="950"/>
    <n v="0.1"/>
    <x v="11"/>
    <n v="6"/>
    <n v="1900"/>
    <n v="190"/>
    <n v="1710"/>
    <n v="1200"/>
    <n v="510"/>
    <n v="0.2982456140350877"/>
    <s v="Healthy"/>
    <s v="Safe"/>
    <n v="0.36842105263157893"/>
    <s v="Safe"/>
    <n v="350"/>
    <n v="0.36842105263157893"/>
  </r>
  <r>
    <s v="ORD-10842"/>
    <x v="106"/>
    <s v="P020"/>
    <x v="5"/>
    <s v="Electronics"/>
    <s v="Lighting"/>
    <s v="Luma"/>
    <s v="B03"/>
    <x v="6"/>
    <s v="Lagos"/>
    <x v="4"/>
    <s v="Walk-in"/>
    <s v="POS"/>
    <n v="8"/>
    <n v="1500"/>
    <n v="2500"/>
    <n v="0.05"/>
    <x v="4"/>
    <n v="6"/>
    <n v="20000"/>
    <n v="1000"/>
    <n v="19000"/>
    <n v="12000"/>
    <n v="7000"/>
    <n v="0.36842105263157893"/>
    <s v="Healthy"/>
    <s v="Safe"/>
    <n v="0.4"/>
    <s v="Safe"/>
    <n v="1000"/>
    <n v="0.4"/>
  </r>
  <r>
    <s v="ORD-10843"/>
    <x v="212"/>
    <s v="P006"/>
    <x v="0"/>
    <s v="Beverages"/>
    <s v="Water"/>
    <s v="AquaPure"/>
    <s v="B06"/>
    <x v="1"/>
    <s v="Rivers"/>
    <x v="1"/>
    <s v="Walk-in"/>
    <s v="Card"/>
    <n v="3"/>
    <n v="230"/>
    <n v="400"/>
    <n v="0.1"/>
    <x v="2"/>
    <n v="11"/>
    <n v="1200"/>
    <n v="120"/>
    <n v="1080"/>
    <n v="690"/>
    <n v="390"/>
    <n v="0.3611111111111111"/>
    <s v="Understocked"/>
    <s v="Safe"/>
    <n v="0.42499999999999999"/>
    <s v="Safe"/>
    <n v="170"/>
    <n v="0.42499999999999999"/>
  </r>
  <r>
    <s v="ORD-10844"/>
    <x v="303"/>
    <s v="P009"/>
    <x v="13"/>
    <s v="Household"/>
    <s v="Cleaning"/>
    <s v="BrightWash"/>
    <s v="B03"/>
    <x v="6"/>
    <s v="Lagos"/>
    <x v="4"/>
    <s v="Corporate"/>
    <s v="Cash"/>
    <n v="1"/>
    <n v="2400"/>
    <n v="3400"/>
    <n v="0.15"/>
    <x v="10"/>
    <n v="10"/>
    <n v="3400"/>
    <n v="510"/>
    <n v="2890"/>
    <n v="2400"/>
    <n v="490"/>
    <n v="0.16955017301038061"/>
    <s v="Healthy"/>
    <s v="Safe"/>
    <n v="0.29411764705882354"/>
    <s v="Safe"/>
    <n v="1000"/>
    <n v="0.29411764705882354"/>
  </r>
  <r>
    <s v="ORD-10845"/>
    <x v="324"/>
    <s v="P022"/>
    <x v="17"/>
    <s v="Office Supplies"/>
    <s v="Writing"/>
    <s v="WriteWell"/>
    <s v="B04"/>
    <x v="5"/>
    <s v="Lagos"/>
    <x v="4"/>
    <s v="Corporate"/>
    <s v="Cash"/>
    <n v="2"/>
    <n v="1300"/>
    <n v="2100"/>
    <n v="0.05"/>
    <x v="14"/>
    <n v="4"/>
    <n v="4200"/>
    <n v="210"/>
    <n v="3990"/>
    <n v="2600"/>
    <n v="1390"/>
    <n v="0.34837092731829572"/>
    <s v="Understocked"/>
    <s v="Safe"/>
    <n v="0.38095238095238093"/>
    <s v="Safe"/>
    <n v="800"/>
    <n v="0.38095238095238093"/>
  </r>
  <r>
    <s v="ORD-10846"/>
    <x v="79"/>
    <s v="P010"/>
    <x v="22"/>
    <s v="Household"/>
    <s v="Paper Products"/>
    <s v="SoftCare"/>
    <s v="B04"/>
    <x v="5"/>
    <s v="Lagos"/>
    <x v="4"/>
    <s v="Walk-in"/>
    <s v="POS"/>
    <n v="6"/>
    <n v="3200"/>
    <n v="4500"/>
    <n v="0"/>
    <x v="7"/>
    <n v="14"/>
    <n v="27000"/>
    <n v="0"/>
    <n v="27000"/>
    <n v="19200"/>
    <n v="7800"/>
    <n v="0.28888888888888886"/>
    <s v="Healthy"/>
    <s v="Safe"/>
    <n v="0.28888888888888886"/>
    <s v="Safe"/>
    <n v="1300"/>
    <n v="0.28888888888888886"/>
  </r>
  <r>
    <s v="ORD-10847"/>
    <x v="51"/>
    <s v="P001"/>
    <x v="14"/>
    <s v="Food"/>
    <s v="Grains"/>
    <s v="Golden Harvest"/>
    <s v="B02"/>
    <x v="4"/>
    <s v="Abuja"/>
    <x v="2"/>
    <s v="Walk-in"/>
    <s v="Card"/>
    <n v="6"/>
    <n v="14500"/>
    <n v="17500"/>
    <n v="0.05"/>
    <x v="1"/>
    <n v="2"/>
    <n v="105000"/>
    <n v="5250"/>
    <n v="99750"/>
    <n v="87000"/>
    <n v="12750"/>
    <n v="0.12781954887218044"/>
    <s v="Understocked"/>
    <s v="Safe"/>
    <n v="0.17142857142857143"/>
    <s v="Safe"/>
    <n v="3000"/>
    <n v="0.17142857142857143"/>
  </r>
  <r>
    <s v="ORD-10848"/>
    <x v="126"/>
    <s v="P009"/>
    <x v="13"/>
    <s v="Household"/>
    <s v="Cleaning"/>
    <s v="BrightWash"/>
    <s v="B02"/>
    <x v="4"/>
    <s v="Abuja"/>
    <x v="2"/>
    <s v="Walk-in"/>
    <s v="Cash"/>
    <n v="5"/>
    <n v="2400"/>
    <n v="3400"/>
    <n v="0.05"/>
    <x v="1"/>
    <n v="7"/>
    <n v="17000"/>
    <n v="850"/>
    <n v="16150"/>
    <n v="12000"/>
    <n v="4150"/>
    <n v="0.25696594427244585"/>
    <s v="Healthy"/>
    <s v="Safe"/>
    <n v="0.29411764705882354"/>
    <s v="Safe"/>
    <n v="1000"/>
    <n v="0.29411764705882354"/>
  </r>
  <r>
    <s v="ORD-10849"/>
    <x v="201"/>
    <s v="P007"/>
    <x v="3"/>
    <s v="Beverages"/>
    <s v="Malt"/>
    <s v="Naija Malt"/>
    <s v="B07"/>
    <x v="3"/>
    <s v="Enugu"/>
    <x v="3"/>
    <s v="Walk-in"/>
    <s v="POS"/>
    <n v="1"/>
    <n v="550"/>
    <n v="850"/>
    <n v="0.15"/>
    <x v="0"/>
    <n v="8"/>
    <n v="850"/>
    <n v="127.5"/>
    <n v="722.5"/>
    <n v="550"/>
    <n v="172.5"/>
    <n v="0.23875432525951557"/>
    <s v="Healthy"/>
    <s v="Safe"/>
    <n v="0.35294117647058826"/>
    <s v="Safe"/>
    <n v="300"/>
    <n v="0.35294117647058826"/>
  </r>
  <r>
    <s v="ORD-10850"/>
    <x v="122"/>
    <s v="P022"/>
    <x v="17"/>
    <s v="Office Supplies"/>
    <s v="Writing"/>
    <s v="WriteWell"/>
    <s v="B04"/>
    <x v="5"/>
    <s v="Lagos"/>
    <x v="4"/>
    <s v="Walk-in"/>
    <s v="Cash"/>
    <n v="3"/>
    <n v="1300"/>
    <n v="2100"/>
    <n v="0.1"/>
    <x v="15"/>
    <n v="8"/>
    <n v="6300"/>
    <n v="630"/>
    <n v="5670"/>
    <n v="3900"/>
    <n v="1770"/>
    <n v="0.31216931216931215"/>
    <s v="Understocked"/>
    <s v="Safe"/>
    <n v="0.38095238095238093"/>
    <s v="Safe"/>
    <n v="800"/>
    <n v="0.38095238095238093"/>
  </r>
  <r>
    <s v="ORD-10851"/>
    <x v="311"/>
    <s v="P012"/>
    <x v="21"/>
    <s v="Household"/>
    <s v="Home Care"/>
    <s v="HomeFresh"/>
    <s v="B03"/>
    <x v="6"/>
    <s v="Lagos"/>
    <x v="4"/>
    <s v="Walk-in"/>
    <s v="Transfer"/>
    <n v="2"/>
    <n v="1700"/>
    <n v="2600"/>
    <n v="0.1"/>
    <x v="7"/>
    <n v="12"/>
    <n v="5200"/>
    <n v="520"/>
    <n v="4680"/>
    <n v="3400"/>
    <n v="1280"/>
    <n v="0.27350427350427353"/>
    <s v="Overstocked"/>
    <s v="Safe"/>
    <n v="0.34615384615384615"/>
    <s v="Safe"/>
    <n v="900"/>
    <n v="0.34615384615384615"/>
  </r>
  <r>
    <s v="ORD-10852"/>
    <x v="90"/>
    <s v="P020"/>
    <x v="5"/>
    <s v="Electronics"/>
    <s v="Lighting"/>
    <s v="Luma"/>
    <s v="B04"/>
    <x v="5"/>
    <s v="Lagos"/>
    <x v="4"/>
    <s v="Walk-in"/>
    <s v="POS"/>
    <n v="4"/>
    <n v="1500"/>
    <n v="2500"/>
    <n v="0.1"/>
    <x v="4"/>
    <n v="7"/>
    <n v="10000"/>
    <n v="1000"/>
    <n v="9000"/>
    <n v="6000"/>
    <n v="3000"/>
    <n v="0.33333333333333331"/>
    <s v="Healthy"/>
    <s v="Safe"/>
    <n v="0.4"/>
    <s v="Safe"/>
    <n v="1000"/>
    <n v="0.4"/>
  </r>
  <r>
    <s v="ORD-10853"/>
    <x v="107"/>
    <s v="P015"/>
    <x v="8"/>
    <s v="Personal Care"/>
    <s v="Bath"/>
    <s v="SilkyTouch"/>
    <s v="B04"/>
    <x v="5"/>
    <s v="Lagos"/>
    <x v="4"/>
    <s v="Walk-in"/>
    <s v="Transfer"/>
    <n v="6"/>
    <n v="600"/>
    <n v="950"/>
    <n v="0"/>
    <x v="6"/>
    <n v="4"/>
    <n v="5700"/>
    <n v="0"/>
    <n v="5700"/>
    <n v="3600"/>
    <n v="2100"/>
    <n v="0.36842105263157893"/>
    <s v="Healthy"/>
    <s v="Safe"/>
    <n v="0.36842105263157893"/>
    <s v="Safe"/>
    <n v="350"/>
    <n v="0.36842105263157893"/>
  </r>
  <r>
    <s v="ORD-10854"/>
    <x v="64"/>
    <s v="P006"/>
    <x v="0"/>
    <s v="Beverages"/>
    <s v="Water"/>
    <s v="AquaPure"/>
    <s v="B05"/>
    <x v="0"/>
    <s v="Kano"/>
    <x v="0"/>
    <s v="Member"/>
    <s v="POS"/>
    <n v="2"/>
    <n v="230"/>
    <n v="400"/>
    <n v="0.15"/>
    <x v="3"/>
    <n v="8"/>
    <n v="800"/>
    <n v="120"/>
    <n v="680"/>
    <n v="460"/>
    <n v="220"/>
    <n v="0.3235294117647059"/>
    <s v="Understocked"/>
    <s v="Safe"/>
    <n v="0.42499999999999999"/>
    <s v="Safe"/>
    <n v="170"/>
    <n v="0.42499999999999999"/>
  </r>
  <r>
    <s v="ORD-10855"/>
    <x v="142"/>
    <s v="P003"/>
    <x v="12"/>
    <s v="Food"/>
    <s v="Cooking Oil"/>
    <s v="SunGold"/>
    <s v="B03"/>
    <x v="6"/>
    <s v="Lagos"/>
    <x v="4"/>
    <s v="Member"/>
    <s v="Transfer"/>
    <n v="4"/>
    <n v="7800"/>
    <n v="9800"/>
    <n v="0.05"/>
    <x v="9"/>
    <n v="5"/>
    <n v="39200"/>
    <n v="1960"/>
    <n v="37240"/>
    <n v="31200"/>
    <n v="6040"/>
    <n v="0.16219119226638024"/>
    <s v="Understocked"/>
    <s v="Safe"/>
    <n v="0.20408163265306123"/>
    <s v="Safe"/>
    <n v="2000"/>
    <n v="0.20408163265306123"/>
  </r>
  <r>
    <s v="ORD-10856"/>
    <x v="214"/>
    <s v="P008"/>
    <x v="4"/>
    <s v="Beverages"/>
    <s v="Soft Drinks"/>
    <s v="Sparkle"/>
    <s v="B01"/>
    <x v="2"/>
    <s v="Abuja"/>
    <x v="2"/>
    <s v="Walk-in"/>
    <s v="POS"/>
    <n v="4"/>
    <n v="330"/>
    <n v="550"/>
    <n v="0.1"/>
    <x v="3"/>
    <n v="7"/>
    <n v="2200"/>
    <n v="220"/>
    <n v="1980"/>
    <n v="1320"/>
    <n v="660"/>
    <n v="0.33333333333333331"/>
    <s v="Healthy"/>
    <s v="Safe"/>
    <n v="0.4"/>
    <s v="Safe"/>
    <n v="220"/>
    <n v="0.4"/>
  </r>
  <r>
    <s v="ORD-10857"/>
    <x v="246"/>
    <s v="P003"/>
    <x v="12"/>
    <s v="Food"/>
    <s v="Cooking Oil"/>
    <s v="SunGold"/>
    <s v="B07"/>
    <x v="3"/>
    <s v="Enugu"/>
    <x v="3"/>
    <s v="Walk-in"/>
    <s v="Cash"/>
    <n v="2"/>
    <n v="7800"/>
    <n v="9800"/>
    <n v="0.1"/>
    <x v="1"/>
    <n v="11"/>
    <n v="19600"/>
    <n v="1960"/>
    <n v="17640"/>
    <n v="15600"/>
    <n v="2040"/>
    <n v="0.11564625850340136"/>
    <s v="Understocked"/>
    <s v="Safe"/>
    <n v="0.20408163265306123"/>
    <s v="Safe"/>
    <n v="2000"/>
    <n v="0.20408163265306123"/>
  </r>
  <r>
    <s v="ORD-10858"/>
    <x v="232"/>
    <s v="P003"/>
    <x v="12"/>
    <s v="Food"/>
    <s v="Cooking Oil"/>
    <s v="SunGold"/>
    <s v="B07"/>
    <x v="3"/>
    <s v="Enugu"/>
    <x v="3"/>
    <s v="Walk-in"/>
    <s v="Cash"/>
    <n v="5"/>
    <n v="7800"/>
    <n v="9800"/>
    <n v="0"/>
    <x v="8"/>
    <n v="2"/>
    <n v="49000"/>
    <n v="0"/>
    <n v="49000"/>
    <n v="39000"/>
    <n v="10000"/>
    <n v="0.20408163265306123"/>
    <s v="Understocked"/>
    <s v="Safe"/>
    <n v="0.20408163265306123"/>
    <s v="Safe"/>
    <n v="2000"/>
    <n v="0.20408163265306123"/>
  </r>
  <r>
    <s v="ORD-10859"/>
    <x v="112"/>
    <s v="P004"/>
    <x v="1"/>
    <s v="Beverages"/>
    <s v="Dairy"/>
    <s v="FreshDay"/>
    <s v="B05"/>
    <x v="0"/>
    <s v="Kano"/>
    <x v="0"/>
    <s v="Walk-in"/>
    <s v="Cash"/>
    <n v="1"/>
    <n v="1650"/>
    <n v="2200"/>
    <n v="0"/>
    <x v="0"/>
    <n v="1"/>
    <n v="2200"/>
    <n v="0"/>
    <n v="2200"/>
    <n v="1650"/>
    <n v="550"/>
    <n v="0.25"/>
    <s v="Understocked"/>
    <s v="Safe"/>
    <n v="0.25"/>
    <s v="Safe"/>
    <n v="550"/>
    <n v="0.25"/>
  </r>
  <r>
    <s v="ORD-10860"/>
    <x v="258"/>
    <s v="P005"/>
    <x v="2"/>
    <s v="Food"/>
    <s v="Snacks"/>
    <s v="CrispyBite"/>
    <s v="B06"/>
    <x v="1"/>
    <s v="Rivers"/>
    <x v="1"/>
    <s v="Member"/>
    <s v="POS"/>
    <n v="5"/>
    <n v="850"/>
    <n v="1300"/>
    <n v="0.15"/>
    <x v="9"/>
    <n v="7"/>
    <n v="6500"/>
    <n v="975"/>
    <n v="5525"/>
    <n v="4250"/>
    <n v="1275"/>
    <n v="0.23076923076923078"/>
    <s v="Understocked"/>
    <s v="Safe"/>
    <n v="0.34615384615384615"/>
    <s v="Safe"/>
    <n v="450"/>
    <n v="0.34615384615384615"/>
  </r>
  <r>
    <s v="ORD-10861"/>
    <x v="80"/>
    <s v="P001"/>
    <x v="14"/>
    <s v="Food"/>
    <s v="Grains"/>
    <s v="Golden Harvest"/>
    <s v="B01"/>
    <x v="2"/>
    <s v="Abuja"/>
    <x v="2"/>
    <s v="Corporate"/>
    <s v="Transfer"/>
    <n v="5"/>
    <n v="14500"/>
    <n v="17500"/>
    <n v="0.1"/>
    <x v="9"/>
    <n v="4"/>
    <n v="87500"/>
    <n v="8750"/>
    <n v="78750"/>
    <n v="72500"/>
    <n v="6250"/>
    <n v="7.9365079365079361E-2"/>
    <s v="Understocked"/>
    <s v="Safe"/>
    <n v="0.17142857142857143"/>
    <s v="Safe"/>
    <n v="3000"/>
    <n v="0.17142857142857143"/>
  </r>
  <r>
    <s v="ORD-10862"/>
    <x v="318"/>
    <s v="P001"/>
    <x v="14"/>
    <s v="Food"/>
    <s v="Grains"/>
    <s v="Golden Harvest"/>
    <s v="B01"/>
    <x v="2"/>
    <s v="Abuja"/>
    <x v="2"/>
    <s v="Walk-in"/>
    <s v="POS"/>
    <n v="5"/>
    <n v="14500"/>
    <n v="17500"/>
    <n v="0.1"/>
    <x v="9"/>
    <n v="13"/>
    <n v="87500"/>
    <n v="8750"/>
    <n v="78750"/>
    <n v="72500"/>
    <n v="6250"/>
    <n v="7.9365079365079361E-2"/>
    <s v="Understocked"/>
    <s v="Safe"/>
    <n v="0.17142857142857143"/>
    <s v="Safe"/>
    <n v="3000"/>
    <n v="0.17142857142857143"/>
  </r>
  <r>
    <s v="ORD-10863"/>
    <x v="36"/>
    <s v="P004"/>
    <x v="1"/>
    <s v="Beverages"/>
    <s v="Dairy"/>
    <s v="FreshDay"/>
    <s v="B02"/>
    <x v="4"/>
    <s v="Abuja"/>
    <x v="2"/>
    <s v="Walk-in"/>
    <s v="POS"/>
    <n v="2"/>
    <n v="1650"/>
    <n v="2200"/>
    <n v="0"/>
    <x v="3"/>
    <n v="10"/>
    <n v="4400"/>
    <n v="0"/>
    <n v="4400"/>
    <n v="3300"/>
    <n v="1100"/>
    <n v="0.25"/>
    <s v="Understocked"/>
    <s v="Safe"/>
    <n v="0.25"/>
    <s v="Safe"/>
    <n v="550"/>
    <n v="0.25"/>
  </r>
  <r>
    <s v="ORD-10864"/>
    <x v="133"/>
    <s v="P007"/>
    <x v="3"/>
    <s v="Beverages"/>
    <s v="Malt"/>
    <s v="Naija Malt"/>
    <s v="B03"/>
    <x v="6"/>
    <s v="Lagos"/>
    <x v="4"/>
    <s v="Walk-in"/>
    <s v="Cash"/>
    <n v="-1"/>
    <n v="550"/>
    <n v="850"/>
    <n v="0"/>
    <x v="0"/>
    <n v="6"/>
    <n v="-850"/>
    <n v="0"/>
    <n v="-850"/>
    <n v="-550"/>
    <n v="-300"/>
    <n v="0.35294117647058826"/>
    <s v="Healthy"/>
    <s v="Safe"/>
    <n v="0.35294117647058826"/>
    <s v="Safe"/>
    <n v="300"/>
    <n v="0.35294117647058826"/>
  </r>
  <r>
    <s v="ORD-10865"/>
    <x v="294"/>
    <s v="P005"/>
    <x v="2"/>
    <s v="Food"/>
    <s v="Snacks"/>
    <s v="CrispyBite"/>
    <s v="B05"/>
    <x v="0"/>
    <s v="Kano"/>
    <x v="0"/>
    <s v="Walk-in"/>
    <s v="POS"/>
    <n v="2"/>
    <n v="850"/>
    <n v="1300"/>
    <n v="0.1"/>
    <x v="8"/>
    <n v="5"/>
    <n v="2600"/>
    <n v="260"/>
    <n v="2340"/>
    <n v="1700"/>
    <n v="640"/>
    <n v="0.27350427350427353"/>
    <s v="Understocked"/>
    <s v="Safe"/>
    <n v="0.34615384615384615"/>
    <s v="Safe"/>
    <n v="450"/>
    <n v="0.34615384615384615"/>
  </r>
  <r>
    <s v="ORD-10866"/>
    <x v="3"/>
    <s v="P023"/>
    <x v="6"/>
    <s v="Office Supplies"/>
    <s v="Stationery"/>
    <s v="StudyPro"/>
    <s v="B01"/>
    <x v="2"/>
    <s v="Abuja"/>
    <x v="2"/>
    <s v="Member"/>
    <s v="Cash"/>
    <n v="3"/>
    <n v="2800"/>
    <n v="4200"/>
    <n v="0.2"/>
    <x v="15"/>
    <n v="10"/>
    <n v="12600"/>
    <n v="2520"/>
    <n v="10080"/>
    <n v="8400"/>
    <n v="1680"/>
    <n v="0.16666666666666666"/>
    <s v="Understocked"/>
    <s v="Safe"/>
    <n v="0.33333333333333331"/>
    <s v="Safe"/>
    <n v="1400"/>
    <n v="0.33333333333333331"/>
  </r>
  <r>
    <s v="ORD-10867"/>
    <x v="287"/>
    <s v="P015"/>
    <x v="8"/>
    <s v="Personal Care"/>
    <s v="Bath"/>
    <s v="SilkyTouch"/>
    <s v="B05"/>
    <x v="0"/>
    <s v="Kano"/>
    <x v="0"/>
    <s v="Walk-in"/>
    <s v="POS"/>
    <n v="10"/>
    <n v="600"/>
    <n v="950"/>
    <n v="0.1"/>
    <x v="10"/>
    <n v="6"/>
    <n v="9500"/>
    <n v="950"/>
    <n v="8550"/>
    <n v="6000"/>
    <n v="2550"/>
    <n v="0.2982456140350877"/>
    <s v="Healthy"/>
    <s v="Safe"/>
    <n v="0.36842105263157893"/>
    <s v="Safe"/>
    <n v="350"/>
    <n v="0.36842105263157893"/>
  </r>
  <r>
    <s v="ORD-10868"/>
    <x v="295"/>
    <s v="P008"/>
    <x v="4"/>
    <s v="Beverages"/>
    <s v="Soft Drinks"/>
    <s v="Sparkle"/>
    <s v="B03"/>
    <x v="6"/>
    <s v="Lagos"/>
    <x v="4"/>
    <s v="Walk-in"/>
    <s v="POS"/>
    <n v="3"/>
    <n v="330"/>
    <n v="550"/>
    <n v="0.1"/>
    <x v="3"/>
    <n v="9"/>
    <n v="1650"/>
    <n v="165"/>
    <n v="1485"/>
    <n v="990"/>
    <n v="495"/>
    <n v="0.33333333333333331"/>
    <s v="Healthy"/>
    <s v="Safe"/>
    <n v="0.4"/>
    <s v="Safe"/>
    <n v="220"/>
    <n v="0.4"/>
  </r>
  <r>
    <s v="ORD-10869"/>
    <x v="238"/>
    <s v="P005"/>
    <x v="2"/>
    <s v="Food"/>
    <s v="Snacks"/>
    <s v="CrispyBite"/>
    <s v="B05"/>
    <x v="0"/>
    <s v="Kano"/>
    <x v="0"/>
    <s v="Member"/>
    <s v="POS"/>
    <n v="6"/>
    <n v="850"/>
    <n v="1300"/>
    <n v="0.05"/>
    <x v="1"/>
    <n v="2"/>
    <n v="7800"/>
    <n v="390"/>
    <n v="7410"/>
    <n v="5100"/>
    <n v="2310"/>
    <n v="0.31174089068825911"/>
    <s v="Understocked"/>
    <s v="Safe"/>
    <n v="0.34615384615384615"/>
    <s v="Safe"/>
    <n v="450"/>
    <n v="0.34615384615384615"/>
  </r>
  <r>
    <s v="ORD-10870"/>
    <x v="8"/>
    <s v="P008"/>
    <x v="4"/>
    <s v="Beverages"/>
    <s v="Soft Drinks"/>
    <s v="Sparkle"/>
    <s v="B02"/>
    <x v="4"/>
    <s v="Abuja"/>
    <x v="2"/>
    <s v="Walk-in"/>
    <s v="POS"/>
    <n v="2"/>
    <n v="330"/>
    <n v="550"/>
    <n v="0.1"/>
    <x v="2"/>
    <n v="12"/>
    <n v="1100"/>
    <n v="110"/>
    <n v="990"/>
    <n v="660"/>
    <n v="330"/>
    <n v="0.33333333333333331"/>
    <s v="Healthy"/>
    <s v="Safe"/>
    <n v="0.4"/>
    <s v="Safe"/>
    <n v="220"/>
    <n v="0.4"/>
  </r>
  <r>
    <s v="ORD-10871"/>
    <x v="25"/>
    <s v="P006"/>
    <x v="0"/>
    <s v="Beverages"/>
    <s v="Water"/>
    <s v="AquaPure"/>
    <s v="B05"/>
    <x v="0"/>
    <s v="Kano"/>
    <x v="0"/>
    <s v="Corporate"/>
    <s v="POS"/>
    <n v="4"/>
    <n v="230"/>
    <n v="400"/>
    <n v="0.05"/>
    <x v="2"/>
    <n v="13"/>
    <n v="1600"/>
    <n v="80"/>
    <n v="1520"/>
    <n v="920"/>
    <n v="600"/>
    <n v="0.39473684210526316"/>
    <s v="Understocked"/>
    <s v="Safe"/>
    <n v="0.42499999999999999"/>
    <s v="Safe"/>
    <n v="170"/>
    <n v="0.42499999999999999"/>
  </r>
  <r>
    <s v="ORD-10872"/>
    <x v="225"/>
    <s v="P006"/>
    <x v="0"/>
    <s v="Beverages"/>
    <s v="Water"/>
    <s v="AquaPure"/>
    <s v="B02"/>
    <x v="4"/>
    <s v="Abuja"/>
    <x v="2"/>
    <s v="Corporate"/>
    <s v="POS"/>
    <n v="1"/>
    <n v="230"/>
    <n v="400"/>
    <n v="0.15"/>
    <x v="0"/>
    <n v="12"/>
    <n v="400"/>
    <n v="60"/>
    <n v="340"/>
    <n v="230"/>
    <n v="110"/>
    <n v="0.3235294117647059"/>
    <s v="Understocked"/>
    <s v="Safe"/>
    <n v="0.42499999999999999"/>
    <s v="Safe"/>
    <n v="170"/>
    <n v="0.42499999999999999"/>
  </r>
  <r>
    <s v="ORD-10873"/>
    <x v="239"/>
    <s v="P009"/>
    <x v="13"/>
    <s v="Household"/>
    <s v="Cleaning"/>
    <s v="BrightWash"/>
    <s v="B02"/>
    <x v="4"/>
    <s v="Abuja"/>
    <x v="2"/>
    <s v="Walk-in"/>
    <s v="POS"/>
    <n v="3"/>
    <n v="2400"/>
    <n v="3400"/>
    <n v="0"/>
    <x v="7"/>
    <n v="11"/>
    <n v="10200"/>
    <n v="0"/>
    <n v="10200"/>
    <n v="7200"/>
    <n v="3000"/>
    <n v="0.29411764705882354"/>
    <s v="Healthy"/>
    <s v="Safe"/>
    <n v="0.29411764705882354"/>
    <s v="Safe"/>
    <n v="1000"/>
    <n v="0.29411764705882354"/>
  </r>
  <r>
    <s v="ORD-10874"/>
    <x v="310"/>
    <s v="P003"/>
    <x v="12"/>
    <s v="Food"/>
    <s v="Cooking Oil"/>
    <s v="SunGold"/>
    <s v="B02"/>
    <x v="4"/>
    <s v="Abuja"/>
    <x v="2"/>
    <s v="Walk-in"/>
    <s v="Transfer"/>
    <n v="3"/>
    <n v="7800"/>
    <n v="9800"/>
    <n v="0.15"/>
    <x v="8"/>
    <n v="12"/>
    <n v="29400"/>
    <n v="4410"/>
    <n v="24990"/>
    <n v="23400"/>
    <n v="1590"/>
    <n v="6.3625450180072027E-2"/>
    <s v="Understocked"/>
    <s v="Safe"/>
    <n v="0.20408163265306123"/>
    <s v="Safe"/>
    <n v="2000"/>
    <n v="0.20408163265306123"/>
  </r>
  <r>
    <s v="ORD-10875"/>
    <x v="115"/>
    <s v="P015"/>
    <x v="8"/>
    <s v="Personal Care"/>
    <s v="Bath"/>
    <s v="SilkyTouch"/>
    <s v="B02"/>
    <x v="4"/>
    <s v="Abuja"/>
    <x v="2"/>
    <s v="Walk-in"/>
    <s v="Transfer"/>
    <n v="1"/>
    <n v="600"/>
    <n v="950"/>
    <n v="0"/>
    <x v="10"/>
    <n v="4"/>
    <n v="950"/>
    <n v="0"/>
    <n v="950"/>
    <n v="600"/>
    <n v="350"/>
    <n v="0.36842105263157893"/>
    <s v="Healthy"/>
    <s v="Safe"/>
    <n v="0.36842105263157893"/>
    <s v="Safe"/>
    <n v="350"/>
    <n v="0.36842105263157893"/>
  </r>
  <r>
    <s v="ORD-10876"/>
    <x v="85"/>
    <s v="P002"/>
    <x v="10"/>
    <s v="Food"/>
    <s v="Grains"/>
    <s v="Mama's Pride"/>
    <s v="B08"/>
    <x v="7"/>
    <s v="Kwara"/>
    <x v="2"/>
    <s v="Walk-in"/>
    <s v="Transfer"/>
    <n v="2"/>
    <n v="6200"/>
    <n v="7900"/>
    <n v="0"/>
    <x v="1"/>
    <n v="7"/>
    <n v="15800"/>
    <n v="0"/>
    <n v="15800"/>
    <n v="12400"/>
    <n v="3400"/>
    <n v="0.21518987341772153"/>
    <s v="Healthy"/>
    <s v="Safe"/>
    <n v="0.21518987341772153"/>
    <s v="Safe"/>
    <n v="1700"/>
    <n v="0.21518987341772153"/>
  </r>
  <r>
    <s v="ORD-10877"/>
    <x v="85"/>
    <s v="P001"/>
    <x v="14"/>
    <s v="Food"/>
    <s v="Grains"/>
    <s v="Golden Harvest"/>
    <s v="B03"/>
    <x v="6"/>
    <s v="Lagos"/>
    <x v="4"/>
    <s v="Corporate"/>
    <s v="POS"/>
    <n v="5"/>
    <n v="14500"/>
    <n v="17500"/>
    <n v="0.1"/>
    <x v="9"/>
    <n v="9"/>
    <n v="87500"/>
    <n v="8750"/>
    <n v="78750"/>
    <n v="72500"/>
    <n v="6250"/>
    <n v="7.9365079365079361E-2"/>
    <s v="Understocked"/>
    <s v="Safe"/>
    <n v="0.17142857142857143"/>
    <s v="Safe"/>
    <n v="3000"/>
    <n v="0.17142857142857143"/>
  </r>
  <r>
    <s v="ORD-10878"/>
    <x v="273"/>
    <s v="P007"/>
    <x v="3"/>
    <s v="Beverages"/>
    <s v="Malt"/>
    <s v="Naija Malt"/>
    <s v="B03"/>
    <x v="6"/>
    <s v="Lagos"/>
    <x v="4"/>
    <s v="Walk-in"/>
    <s v="Transfer"/>
    <n v="2"/>
    <n v="550"/>
    <n v="850"/>
    <n v="0.1"/>
    <x v="0"/>
    <n v="8"/>
    <n v="1700"/>
    <n v="170"/>
    <n v="1530"/>
    <n v="1100"/>
    <n v="430"/>
    <n v="0.28104575163398693"/>
    <s v="Healthy"/>
    <s v="Safe"/>
    <n v="0.35294117647058826"/>
    <s v="Safe"/>
    <n v="300"/>
    <n v="0.35294117647058826"/>
  </r>
  <r>
    <s v="ORD-10879"/>
    <x v="139"/>
    <s v="P001"/>
    <x v="14"/>
    <s v="Food"/>
    <s v="Grains"/>
    <s v="Golden Harvest"/>
    <s v="B07"/>
    <x v="3"/>
    <s v="Enugu"/>
    <x v="3"/>
    <s v="Walk-in"/>
    <s v="Transfer"/>
    <n v="4"/>
    <n v="14500"/>
    <n v="17500"/>
    <n v="0.05"/>
    <x v="8"/>
    <n v="12"/>
    <n v="70000"/>
    <n v="3500"/>
    <n v="66500"/>
    <n v="58000"/>
    <n v="8500"/>
    <n v="0.12781954887218044"/>
    <s v="Understocked"/>
    <s v="Safe"/>
    <n v="0.17142857142857143"/>
    <s v="Safe"/>
    <n v="3000"/>
    <n v="0.17142857142857143"/>
  </r>
  <r>
    <s v="ORD-10880"/>
    <x v="51"/>
    <s v="P006"/>
    <x v="0"/>
    <s v="Beverages"/>
    <s v="Water"/>
    <s v="AquaPure"/>
    <s v="B08"/>
    <x v="7"/>
    <s v="Kwara"/>
    <x v="2"/>
    <s v="Corporate"/>
    <s v="Cash"/>
    <n v="1"/>
    <n v="230"/>
    <n v="400"/>
    <n v="0.15"/>
    <x v="0"/>
    <n v="3"/>
    <n v="400"/>
    <n v="60"/>
    <n v="340"/>
    <n v="230"/>
    <n v="110"/>
    <n v="0.3235294117647059"/>
    <s v="Understocked"/>
    <s v="Safe"/>
    <n v="0.42499999999999999"/>
    <s v="Safe"/>
    <n v="170"/>
    <n v="0.42499999999999999"/>
  </r>
  <r>
    <s v="ORD-10881"/>
    <x v="35"/>
    <s v="P023"/>
    <x v="6"/>
    <s v="Office Supplies"/>
    <s v="Stationery"/>
    <s v="StudyPro"/>
    <s v="B06"/>
    <x v="1"/>
    <s v="Rivers"/>
    <x v="1"/>
    <s v="Member"/>
    <s v="POS"/>
    <n v="4"/>
    <n v="2800"/>
    <n v="4200"/>
    <n v="0.05"/>
    <x v="14"/>
    <n v="12"/>
    <n v="16800"/>
    <n v="840"/>
    <n v="15960"/>
    <n v="11200"/>
    <n v="4760"/>
    <n v="0.2982456140350877"/>
    <s v="Understocked"/>
    <s v="Safe"/>
    <n v="0.33333333333333331"/>
    <s v="Safe"/>
    <n v="1400"/>
    <n v="0.33333333333333331"/>
  </r>
  <r>
    <s v="ORD-10882"/>
    <x v="233"/>
    <s v="P022"/>
    <x v="17"/>
    <s v="Office Supplies"/>
    <s v="Writing"/>
    <s v="WriteWell"/>
    <s v="B06"/>
    <x v="1"/>
    <s v="Rivers"/>
    <x v="1"/>
    <s v="Member"/>
    <s v="POS"/>
    <n v="2"/>
    <n v="1300"/>
    <n v="2100"/>
    <n v="0"/>
    <x v="15"/>
    <n v="1"/>
    <n v="4200"/>
    <n v="0"/>
    <n v="4200"/>
    <n v="2600"/>
    <n v="1600"/>
    <n v="0.38095238095238093"/>
    <s v="Understocked"/>
    <s v="Safe"/>
    <n v="0.38095238095238093"/>
    <s v="Safe"/>
    <n v="800"/>
    <n v="0.38095238095238093"/>
  </r>
  <r>
    <s v="ORD-10883"/>
    <x v="90"/>
    <s v="P003"/>
    <x v="12"/>
    <s v="Food"/>
    <s v="Cooking Oil"/>
    <s v="SunGold"/>
    <s v="B05"/>
    <x v="0"/>
    <s v="Kano"/>
    <x v="0"/>
    <s v="Walk-in"/>
    <s v="POS"/>
    <n v="8"/>
    <n v="7800"/>
    <n v="9800"/>
    <n v="0"/>
    <x v="1"/>
    <n v="14"/>
    <n v="78400"/>
    <n v="0"/>
    <n v="78400"/>
    <n v="62400"/>
    <n v="16000"/>
    <n v="0.20408163265306123"/>
    <s v="Understocked"/>
    <s v="Safe"/>
    <n v="0.20408163265306123"/>
    <s v="Safe"/>
    <n v="2000"/>
    <n v="0.20408163265306123"/>
  </r>
  <r>
    <s v="ORD-10884"/>
    <x v="284"/>
    <s v="P017"/>
    <x v="23"/>
    <s v="Electronics"/>
    <s v="Accessories"/>
    <s v="PowerMax"/>
    <s v="B05"/>
    <x v="0"/>
    <s v="Kano"/>
    <x v="0"/>
    <s v="Member"/>
    <s v="POS"/>
    <n v="6"/>
    <n v="7500"/>
    <n v="10500"/>
    <n v="0.1"/>
    <x v="12"/>
    <n v="4"/>
    <n v="63000"/>
    <n v="6300"/>
    <n v="56700"/>
    <n v="45000"/>
    <n v="11700"/>
    <n v="0.20634920634920634"/>
    <s v="Healthy"/>
    <s v="Safe"/>
    <n v="0.2857142857142857"/>
    <s v="Safe"/>
    <n v="3000"/>
    <n v="0.2857142857142857"/>
  </r>
  <r>
    <s v="ORD-10885"/>
    <x v="115"/>
    <s v="P019"/>
    <x v="18"/>
    <s v="Electronics"/>
    <s v="Audio"/>
    <s v="SoundBeat"/>
    <s v="B03"/>
    <x v="6"/>
    <s v="Lagos"/>
    <x v="4"/>
    <s v="Member"/>
    <s v="Transfer"/>
    <n v="2"/>
    <n v="12500"/>
    <n v="18500"/>
    <n v="0.2"/>
    <x v="13"/>
    <n v="12"/>
    <n v="37000"/>
    <n v="7400"/>
    <n v="29600"/>
    <n v="25000"/>
    <n v="4600"/>
    <n v="0.1554054054054054"/>
    <s v="Understocked"/>
    <s v="Safe"/>
    <n v="0.32432432432432434"/>
    <s v="Safe"/>
    <n v="6000"/>
    <n v="0.32432432432432434"/>
  </r>
  <r>
    <s v="ORD-10886"/>
    <x v="219"/>
    <s v="P003"/>
    <x v="12"/>
    <s v="Food"/>
    <s v="Cooking Oil"/>
    <s v="SunGold"/>
    <s v="B04"/>
    <x v="5"/>
    <s v="Lagos"/>
    <x v="4"/>
    <s v="Walk-in"/>
    <s v="Card"/>
    <n v="5"/>
    <n v="7800"/>
    <n v="9800"/>
    <n v="0.15"/>
    <x v="1"/>
    <n v="7"/>
    <n v="49000"/>
    <n v="7350"/>
    <n v="41650"/>
    <n v="39000"/>
    <n v="2650"/>
    <n v="6.3625450180072027E-2"/>
    <s v="Understocked"/>
    <s v="Safe"/>
    <n v="0.20408163265306123"/>
    <s v="Safe"/>
    <n v="2000"/>
    <n v="0.20408163265306123"/>
  </r>
  <r>
    <s v="ORD-10887"/>
    <x v="257"/>
    <s v="P024"/>
    <x v="19"/>
    <s v="Office Supplies"/>
    <s v="Accessories"/>
    <s v="ErgoDesk"/>
    <s v="B07"/>
    <x v="3"/>
    <s v="Enugu"/>
    <x v="3"/>
    <s v="Member"/>
    <s v="POS"/>
    <n v="1"/>
    <n v="1700"/>
    <n v="2800"/>
    <n v="0"/>
    <x v="5"/>
    <n v="5"/>
    <n v="2800"/>
    <n v="0"/>
    <n v="2800"/>
    <n v="1700"/>
    <n v="1100"/>
    <n v="0.39285714285714285"/>
    <s v="Overstocked"/>
    <s v="Safe"/>
    <n v="0.39285714285714285"/>
    <s v="Safe"/>
    <n v="1100"/>
    <n v="0.39285714285714285"/>
  </r>
  <r>
    <s v="ORD-10888"/>
    <x v="250"/>
    <s v="P004"/>
    <x v="1"/>
    <s v="Beverages"/>
    <s v="Dairy"/>
    <s v="FreshDay"/>
    <s v="B02"/>
    <x v="4"/>
    <s v="Abuja"/>
    <x v="2"/>
    <s v="Walk-in"/>
    <s v="Cash"/>
    <n v="1"/>
    <n v="1650"/>
    <n v="2200"/>
    <n v="0.05"/>
    <x v="0"/>
    <n v="14"/>
    <n v="2200"/>
    <n v="110"/>
    <n v="2090"/>
    <n v="1650"/>
    <n v="440"/>
    <n v="0.21052631578947367"/>
    <s v="Understocked"/>
    <s v="Safe"/>
    <n v="0.25"/>
    <s v="Safe"/>
    <n v="550"/>
    <n v="0.25"/>
  </r>
  <r>
    <s v="ORD-10889"/>
    <x v="11"/>
    <s v="P002"/>
    <x v="10"/>
    <s v="Food"/>
    <s v="Grains"/>
    <s v="Mama's Pride"/>
    <s v="B02"/>
    <x v="4"/>
    <s v="Abuja"/>
    <x v="2"/>
    <s v="Member"/>
    <s v="Transfer"/>
    <n v="4"/>
    <n v="6200"/>
    <n v="7900"/>
    <n v="0"/>
    <x v="1"/>
    <n v="10"/>
    <n v="31600"/>
    <n v="0"/>
    <n v="31600"/>
    <n v="24800"/>
    <n v="6800"/>
    <n v="0.21518987341772153"/>
    <s v="Healthy"/>
    <s v="Safe"/>
    <n v="0.21518987341772153"/>
    <s v="Safe"/>
    <n v="1700"/>
    <n v="0.21518987341772153"/>
  </r>
  <r>
    <s v="ORD-10890"/>
    <x v="1"/>
    <s v="P004"/>
    <x v="1"/>
    <s v="Beverages"/>
    <s v="Dairy"/>
    <s v="FreshDay"/>
    <s v="B03"/>
    <x v="6"/>
    <s v="Lagos"/>
    <x v="4"/>
    <s v="Walk-in"/>
    <s v="POS"/>
    <n v="2"/>
    <n v="1650"/>
    <n v="2200"/>
    <n v="0"/>
    <x v="2"/>
    <n v="8"/>
    <n v="4400"/>
    <n v="0"/>
    <n v="4400"/>
    <n v="3300"/>
    <n v="1100"/>
    <n v="0.25"/>
    <s v="Understocked"/>
    <s v="Safe"/>
    <n v="0.25"/>
    <s v="Safe"/>
    <n v="550"/>
    <n v="0.25"/>
  </r>
  <r>
    <s v="ORD-10891"/>
    <x v="165"/>
    <s v="P001"/>
    <x v="14"/>
    <s v="Food"/>
    <s v="Grains"/>
    <s v="Golden Harvest"/>
    <s v="B03"/>
    <x v="6"/>
    <s v="Lagos"/>
    <x v="4"/>
    <s v="Member"/>
    <s v="Cash"/>
    <n v="8"/>
    <n v="14500"/>
    <n v="17500"/>
    <n v="0.1"/>
    <x v="9"/>
    <n v="9"/>
    <n v="140000"/>
    <n v="14000"/>
    <n v="126000"/>
    <n v="116000"/>
    <n v="10000"/>
    <n v="7.9365079365079361E-2"/>
    <s v="Understocked"/>
    <s v="Safe"/>
    <n v="0.17142857142857143"/>
    <s v="Safe"/>
    <n v="3000"/>
    <n v="0.17142857142857143"/>
  </r>
  <r>
    <s v="ORD-10892"/>
    <x v="49"/>
    <s v="P012"/>
    <x v="21"/>
    <s v="Household"/>
    <s v="Home Care"/>
    <s v="HomeFresh"/>
    <s v="B08"/>
    <x v="7"/>
    <s v="Kwara"/>
    <x v="2"/>
    <s v="Walk-in"/>
    <s v="Transfer"/>
    <n v="4"/>
    <n v="1700"/>
    <n v="2600"/>
    <n v="0.2"/>
    <x v="10"/>
    <n v="6"/>
    <n v="10400"/>
    <n v="2080"/>
    <n v="8320"/>
    <n v="6800"/>
    <n v="1520"/>
    <n v="0.18269230769230768"/>
    <s v="Overstocked"/>
    <s v="Safe"/>
    <n v="0.34615384615384615"/>
    <s v="Safe"/>
    <n v="900"/>
    <n v="0.34615384615384615"/>
  </r>
  <r>
    <s v="ORD-10893"/>
    <x v="325"/>
    <s v="P024"/>
    <x v="19"/>
    <s v="Office Supplies"/>
    <s v="Accessories"/>
    <s v="ErgoDesk"/>
    <s v="B07"/>
    <x v="3"/>
    <s v="Enugu"/>
    <x v="3"/>
    <s v="Walk-in"/>
    <s v="Cash"/>
    <n v="8"/>
    <n v="1700"/>
    <n v="2800"/>
    <n v="0.2"/>
    <x v="14"/>
    <n v="14"/>
    <n v="22400"/>
    <n v="4480"/>
    <n v="17920"/>
    <n v="13600"/>
    <n v="4320"/>
    <n v="0.24107142857142858"/>
    <s v="Overstocked"/>
    <s v="Safe"/>
    <n v="0.39285714285714285"/>
    <s v="Safe"/>
    <n v="1100"/>
    <n v="0.39285714285714285"/>
  </r>
  <r>
    <s v="ORD-10894"/>
    <x v="165"/>
    <s v="P001"/>
    <x v="14"/>
    <s v="Food"/>
    <s v="Grains"/>
    <s v="Golden Harvest"/>
    <s v="B07"/>
    <x v="3"/>
    <s v="Enugu"/>
    <x v="3"/>
    <s v="Corporate"/>
    <s v="Cash"/>
    <n v="2"/>
    <n v="14500"/>
    <n v="17500"/>
    <n v="0.15"/>
    <x v="9"/>
    <n v="14"/>
    <n v="35000"/>
    <n v="5250"/>
    <n v="29750"/>
    <n v="29000"/>
    <n v="750"/>
    <n v="2.5210084033613446E-2"/>
    <s v="Understocked"/>
    <s v="Safe"/>
    <n v="0.17142857142857143"/>
    <s v="Safe"/>
    <n v="3000"/>
    <n v="0.17142857142857143"/>
  </r>
  <r>
    <s v="ORD-10895"/>
    <x v="326"/>
    <s v="P015"/>
    <x v="8"/>
    <s v="Personal Care"/>
    <s v="Bath"/>
    <s v="SilkyTouch"/>
    <s v="B03"/>
    <x v="6"/>
    <s v="Lagos"/>
    <x v="4"/>
    <s v="Member"/>
    <s v="Transfer"/>
    <n v="-2"/>
    <n v="600"/>
    <n v="950"/>
    <n v="0.1"/>
    <x v="10"/>
    <n v="4"/>
    <n v="-1900"/>
    <n v="-190"/>
    <n v="-1710"/>
    <n v="-1200"/>
    <n v="-510"/>
    <n v="0.2982456140350877"/>
    <s v="Healthy"/>
    <s v="Discount loss"/>
    <n v="0.36842105263157893"/>
    <s v="Safe"/>
    <n v="350"/>
    <n v="0.36842105263157893"/>
  </r>
  <r>
    <s v="ORD-10896"/>
    <x v="183"/>
    <s v="P001"/>
    <x v="14"/>
    <s v="Food"/>
    <s v="Grains"/>
    <s v="Golden Harvest"/>
    <s v="B03"/>
    <x v="6"/>
    <s v="Lagos"/>
    <x v="4"/>
    <s v="Walk-in"/>
    <s v="Transfer"/>
    <n v="1"/>
    <n v="14500"/>
    <n v="17500"/>
    <n v="0.15"/>
    <x v="1"/>
    <n v="8"/>
    <n v="17500"/>
    <n v="2625"/>
    <n v="14875"/>
    <n v="14500"/>
    <n v="375"/>
    <n v="2.5210084033613446E-2"/>
    <s v="Understocked"/>
    <s v="Safe"/>
    <n v="0.17142857142857143"/>
    <s v="Safe"/>
    <n v="3000"/>
    <n v="0.17142857142857143"/>
  </r>
  <r>
    <s v="ORD-10897"/>
    <x v="290"/>
    <s v="P018"/>
    <x v="16"/>
    <s v="Electronics"/>
    <s v="Mobile Accessories"/>
    <s v="VoltSafe"/>
    <s v="B03"/>
    <x v="6"/>
    <s v="Lagos"/>
    <x v="4"/>
    <s v="Walk-in"/>
    <s v="POS"/>
    <n v="8"/>
    <n v="18000"/>
    <n v="24500"/>
    <n v="0.2"/>
    <x v="12"/>
    <n v="2"/>
    <n v="196000"/>
    <n v="39200"/>
    <n v="156800"/>
    <n v="144000"/>
    <n v="12800"/>
    <n v="8.1632653061224483E-2"/>
    <s v="Understocked"/>
    <s v="Safe"/>
    <n v="0.26530612244897961"/>
    <s v="Safe"/>
    <n v="6500"/>
    <n v="0.26530612244897961"/>
  </r>
  <r>
    <s v="ORD-10898"/>
    <x v="315"/>
    <s v="P012"/>
    <x v="21"/>
    <s v="Household"/>
    <s v="Home Care"/>
    <s v="HomeFresh"/>
    <s v="B06"/>
    <x v="1"/>
    <s v="Rivers"/>
    <x v="1"/>
    <s v="Member"/>
    <s v="POS"/>
    <n v="6"/>
    <n v="1700"/>
    <n v="2600"/>
    <n v="0.15"/>
    <x v="7"/>
    <n v="3"/>
    <n v="15600"/>
    <n v="2340"/>
    <n v="13260"/>
    <n v="10200"/>
    <n v="3060"/>
    <n v="0.23076923076923078"/>
    <s v="Overstocked"/>
    <s v="Safe"/>
    <n v="0.34615384615384615"/>
    <s v="Safe"/>
    <n v="900"/>
    <n v="0.34615384615384615"/>
  </r>
  <r>
    <s v="ORD-10899"/>
    <x v="53"/>
    <s v="P006"/>
    <x v="0"/>
    <s v="Beverages"/>
    <s v="Water"/>
    <s v="AquaPure"/>
    <s v="B05"/>
    <x v="0"/>
    <s v="Kano"/>
    <x v="0"/>
    <s v="Walk-in"/>
    <s v="Transfer"/>
    <n v="3"/>
    <n v="230"/>
    <n v="400"/>
    <n v="0.15"/>
    <x v="3"/>
    <n v="8"/>
    <n v="1200"/>
    <n v="180"/>
    <n v="1020"/>
    <n v="690"/>
    <n v="330"/>
    <n v="0.3235294117647059"/>
    <s v="Understocked"/>
    <s v="Safe"/>
    <n v="0.42499999999999999"/>
    <s v="Safe"/>
    <n v="170"/>
    <n v="0.42499999999999999"/>
  </r>
  <r>
    <s v="ORD-10900"/>
    <x v="140"/>
    <s v="P005"/>
    <x v="2"/>
    <s v="Food"/>
    <s v="Snacks"/>
    <s v="CrispyBite"/>
    <s v="B02"/>
    <x v="4"/>
    <s v="Abuja"/>
    <x v="2"/>
    <s v="Walk-in"/>
    <s v="POS"/>
    <n v="8"/>
    <n v="850"/>
    <n v="1300"/>
    <n v="0.1"/>
    <x v="9"/>
    <n v="3"/>
    <n v="10400"/>
    <n v="1040"/>
    <n v="9360"/>
    <n v="6800"/>
    <n v="2560"/>
    <n v="0.27350427350427353"/>
    <s v="Understocked"/>
    <s v="Safe"/>
    <n v="0.34615384615384615"/>
    <s v="Safe"/>
    <n v="450"/>
    <n v="0.34615384615384615"/>
  </r>
  <r>
    <s v="ORD-10901"/>
    <x v="327"/>
    <s v="P021"/>
    <x v="20"/>
    <s v="Office Supplies"/>
    <s v="Paper"/>
    <s v="OfficeMate"/>
    <s v="B06"/>
    <x v="1"/>
    <s v="Rivers"/>
    <x v="1"/>
    <s v="Walk-in"/>
    <s v="POS"/>
    <n v="2"/>
    <n v="5200"/>
    <n v="7000"/>
    <n v="0.1"/>
    <x v="15"/>
    <n v="11"/>
    <n v="14000"/>
    <n v="1400"/>
    <n v="12600"/>
    <n v="10400"/>
    <n v="2200"/>
    <n v="0.17460317460317459"/>
    <s v="Overstocked"/>
    <s v="Safe"/>
    <n v="0.25714285714285712"/>
    <s v="Safe"/>
    <n v="1800"/>
    <n v="0.25714285714285712"/>
  </r>
  <r>
    <s v="ORD-10902"/>
    <x v="116"/>
    <s v="P013"/>
    <x v="11"/>
    <s v="Personal Care"/>
    <s v="Skin Care"/>
    <s v="GlowPlus"/>
    <s v="B04"/>
    <x v="5"/>
    <s v="Lagos"/>
    <x v="4"/>
    <s v="Walk-in"/>
    <s v="POS"/>
    <n v="5"/>
    <n v="3500"/>
    <n v="5200"/>
    <n v="0.05"/>
    <x v="10"/>
    <n v="2"/>
    <n v="26000"/>
    <n v="1300"/>
    <n v="24700"/>
    <n v="17500"/>
    <n v="7200"/>
    <n v="0.291497975708502"/>
    <s v="Healthy"/>
    <s v="Safe"/>
    <n v="0.32692307692307693"/>
    <s v="Safe"/>
    <n v="1700"/>
    <n v="0.32692307692307693"/>
  </r>
  <r>
    <s v="ORD-10903"/>
    <x v="175"/>
    <s v="P021"/>
    <x v="20"/>
    <s v="Office Supplies"/>
    <s v="Paper"/>
    <s v="OfficeMate"/>
    <s v="B06"/>
    <x v="1"/>
    <s v="Rivers"/>
    <x v="1"/>
    <s v="Member"/>
    <s v="POS"/>
    <n v="4"/>
    <n v="5200"/>
    <n v="7000"/>
    <n v="0.2"/>
    <x v="14"/>
    <n v="13"/>
    <n v="28000"/>
    <n v="5600"/>
    <n v="22400"/>
    <n v="20800"/>
    <n v="1600"/>
    <n v="7.1428571428571425E-2"/>
    <s v="Overstocked"/>
    <s v="Safe"/>
    <n v="0.25714285714285712"/>
    <s v="Safe"/>
    <n v="1800"/>
    <n v="0.25714285714285712"/>
  </r>
  <r>
    <s v="ORD-10904"/>
    <x v="221"/>
    <s v="P003"/>
    <x v="12"/>
    <s v="Food"/>
    <s v="Cooking Oil"/>
    <s v="SunGold"/>
    <s v="B01"/>
    <x v="2"/>
    <s v="Abuja"/>
    <x v="2"/>
    <s v="Corporate"/>
    <s v="POS"/>
    <n v="1"/>
    <n v="7800"/>
    <n v="9800"/>
    <n v="0.1"/>
    <x v="9"/>
    <n v="10"/>
    <n v="9800"/>
    <n v="980"/>
    <n v="8820"/>
    <n v="7800"/>
    <n v="1020"/>
    <n v="0.11564625850340136"/>
    <s v="Understocked"/>
    <s v="Safe"/>
    <n v="0.20408163265306123"/>
    <s v="Safe"/>
    <n v="2000"/>
    <n v="0.20408163265306123"/>
  </r>
  <r>
    <s v="ORD-10905"/>
    <x v="106"/>
    <s v="P023"/>
    <x v="6"/>
    <s v="Office Supplies"/>
    <s v="Stationery"/>
    <s v="StudyPro"/>
    <s v="B04"/>
    <x v="5"/>
    <s v="Lagos"/>
    <x v="4"/>
    <s v="Walk-in"/>
    <s v="POS"/>
    <n v="1"/>
    <n v="2800"/>
    <n v="4200"/>
    <n v="0"/>
    <x v="14"/>
    <n v="6"/>
    <n v="4200"/>
    <n v="0"/>
    <n v="4200"/>
    <n v="2800"/>
    <n v="1400"/>
    <n v="0.33333333333333331"/>
    <s v="Understocked"/>
    <s v="Safe"/>
    <n v="0.33333333333333331"/>
    <s v="Safe"/>
    <n v="1400"/>
    <n v="0.33333333333333331"/>
  </r>
  <r>
    <s v="ORD-10906"/>
    <x v="33"/>
    <s v="P022"/>
    <x v="17"/>
    <s v="Office Supplies"/>
    <s v="Writing"/>
    <s v="WriteWell"/>
    <s v="B01"/>
    <x v="2"/>
    <s v="Abuja"/>
    <x v="2"/>
    <s v="Walk-in"/>
    <s v="Cash"/>
    <n v="4"/>
    <n v="1300"/>
    <n v="2100"/>
    <n v="0.1"/>
    <x v="14"/>
    <n v="6"/>
    <n v="8400"/>
    <n v="840"/>
    <n v="7560"/>
    <n v="5200"/>
    <n v="2360"/>
    <n v="0.31216931216931215"/>
    <s v="Understocked"/>
    <s v="Safe"/>
    <n v="0.38095238095238093"/>
    <s v="Safe"/>
    <n v="800"/>
    <n v="0.38095238095238093"/>
  </r>
  <r>
    <s v="ORD-10907"/>
    <x v="230"/>
    <s v="P019"/>
    <x v="18"/>
    <s v="Electronics"/>
    <s v="Audio"/>
    <s v="SoundBeat"/>
    <s v="B04"/>
    <x v="5"/>
    <s v="Lagos"/>
    <x v="4"/>
    <s v="Walk-in"/>
    <s v="POS"/>
    <n v="2"/>
    <n v="12500"/>
    <n v="18500"/>
    <n v="0.1"/>
    <x v="12"/>
    <n v="1"/>
    <n v="37000"/>
    <n v="3700"/>
    <n v="33300"/>
    <n v="25000"/>
    <n v="8300"/>
    <n v="0.24924924924924924"/>
    <s v="Understocked"/>
    <s v="Safe"/>
    <n v="0.32432432432432434"/>
    <s v="Safe"/>
    <n v="6000"/>
    <n v="0.32432432432432434"/>
  </r>
  <r>
    <s v="ORD-10908"/>
    <x v="108"/>
    <s v="P009"/>
    <x v="13"/>
    <s v="Household"/>
    <s v="Cleaning"/>
    <s v="BrightWash"/>
    <s v="B05"/>
    <x v="0"/>
    <s v="Kano"/>
    <x v="0"/>
    <s v="Walk-in"/>
    <s v="POS"/>
    <n v="2"/>
    <n v="2400"/>
    <n v="3400"/>
    <n v="0.15"/>
    <x v="7"/>
    <n v="8"/>
    <n v="6800"/>
    <n v="1020"/>
    <n v="5780"/>
    <n v="4800"/>
    <n v="980"/>
    <n v="0.16955017301038061"/>
    <s v="Healthy"/>
    <s v="Safe"/>
    <n v="0.29411764705882354"/>
    <s v="Safe"/>
    <n v="1000"/>
    <n v="0.29411764705882354"/>
  </r>
  <r>
    <s v="ORD-10909"/>
    <x v="49"/>
    <s v="P002"/>
    <x v="10"/>
    <s v="Food"/>
    <s v="Grains"/>
    <s v="Mama's Pride"/>
    <s v="B06"/>
    <x v="1"/>
    <s v="Rivers"/>
    <x v="1"/>
    <s v="Member"/>
    <s v="POS"/>
    <n v="1"/>
    <n v="6200"/>
    <n v="7900"/>
    <n v="0.1"/>
    <x v="9"/>
    <n v="12"/>
    <n v="7900"/>
    <n v="790"/>
    <n v="7110"/>
    <n v="6200"/>
    <n v="910"/>
    <n v="0.12798874824191281"/>
    <s v="Healthy"/>
    <s v="Safe"/>
    <n v="0.21518987341772153"/>
    <s v="Safe"/>
    <n v="1700"/>
    <n v="0.21518987341772153"/>
  </r>
  <r>
    <s v="ORD-10910"/>
    <x v="277"/>
    <s v="P020"/>
    <x v="5"/>
    <s v="Electronics"/>
    <s v="Lighting"/>
    <s v="Luma"/>
    <s v="B06"/>
    <x v="1"/>
    <s v="Rivers"/>
    <x v="1"/>
    <s v="Member"/>
    <s v="Cash"/>
    <n v="2"/>
    <n v="1500"/>
    <n v="2500"/>
    <n v="0.15"/>
    <x v="4"/>
    <n v="9"/>
    <n v="5000"/>
    <n v="750"/>
    <n v="4250"/>
    <n v="3000"/>
    <n v="1250"/>
    <n v="0.29411764705882354"/>
    <s v="Healthy"/>
    <s v="Safe"/>
    <n v="0.4"/>
    <s v="Safe"/>
    <n v="1000"/>
    <n v="0.4"/>
  </r>
  <r>
    <s v="ORD-10911"/>
    <x v="312"/>
    <s v="P014"/>
    <x v="15"/>
    <s v="Personal Care"/>
    <s v="Oral Care"/>
    <s v="FreshMint"/>
    <s v="B08"/>
    <x v="7"/>
    <s v="Kwara"/>
    <x v="2"/>
    <s v="Walk-in"/>
    <s v="Card"/>
    <n v="4"/>
    <n v="1200"/>
    <n v="1900"/>
    <n v="0.05"/>
    <x v="10"/>
    <n v="4"/>
    <n v="7600"/>
    <n v="380"/>
    <n v="7220"/>
    <n v="4800"/>
    <n v="2420"/>
    <n v="0.33518005540166207"/>
    <s v="Healthy"/>
    <s v="Safe"/>
    <n v="0.36842105263157893"/>
    <s v="Safe"/>
    <n v="700"/>
    <n v="0.36842105263157893"/>
  </r>
  <r>
    <s v="ORD-10912"/>
    <x v="38"/>
    <s v="P007"/>
    <x v="3"/>
    <s v="Beverages"/>
    <s v="Malt"/>
    <s v="Naija Malt"/>
    <s v="B01"/>
    <x v="2"/>
    <s v="Abuja"/>
    <x v="2"/>
    <s v="Member"/>
    <s v="POS"/>
    <n v="4"/>
    <n v="550"/>
    <n v="850"/>
    <n v="0.1"/>
    <x v="0"/>
    <n v="5"/>
    <n v="3400"/>
    <n v="340"/>
    <n v="3060"/>
    <n v="2200"/>
    <n v="860"/>
    <n v="0.28104575163398693"/>
    <s v="Healthy"/>
    <s v="Safe"/>
    <n v="0.35294117647058826"/>
    <s v="Safe"/>
    <n v="300"/>
    <n v="0.35294117647058826"/>
  </r>
  <r>
    <s v="ORD-10913"/>
    <x v="301"/>
    <s v="P011"/>
    <x v="9"/>
    <s v="Household"/>
    <s v="Cleaning"/>
    <s v="CleanPro"/>
    <s v="B03"/>
    <x v="6"/>
    <s v="Lagos"/>
    <x v="4"/>
    <s v="Walk-in"/>
    <s v="POS"/>
    <n v="3"/>
    <n v="2800"/>
    <n v="3900"/>
    <n v="0.15"/>
    <x v="7"/>
    <n v="12"/>
    <n v="11700"/>
    <n v="1755"/>
    <n v="9945"/>
    <n v="8400"/>
    <n v="1545"/>
    <n v="0.15535444947209653"/>
    <s v="Healthy"/>
    <s v="Safe"/>
    <n v="0.28205128205128205"/>
    <s v="Safe"/>
    <n v="1100"/>
    <n v="0.28205128205128205"/>
  </r>
  <r>
    <s v="ORD-10914"/>
    <x v="129"/>
    <s v="P015"/>
    <x v="8"/>
    <s v="Personal Care"/>
    <s v="Bath"/>
    <s v="SilkyTouch"/>
    <s v="B04"/>
    <x v="5"/>
    <s v="Lagos"/>
    <x v="4"/>
    <s v="Walk-in"/>
    <s v="POS"/>
    <n v="4"/>
    <n v="600"/>
    <n v="950"/>
    <n v="0.2"/>
    <x v="11"/>
    <n v="11"/>
    <n v="3800"/>
    <n v="760"/>
    <n v="3040"/>
    <n v="2400"/>
    <n v="640"/>
    <n v="0.21052631578947367"/>
    <s v="Healthy"/>
    <s v="Safe"/>
    <n v="0.36842105263157893"/>
    <s v="Safe"/>
    <n v="350"/>
    <n v="0.36842105263157893"/>
  </r>
  <r>
    <s v="ORD-10915"/>
    <x v="2"/>
    <s v="P003"/>
    <x v="12"/>
    <s v="Food"/>
    <s v="Cooking Oil"/>
    <s v="SunGold"/>
    <s v="B08"/>
    <x v="7"/>
    <s v="Kwara"/>
    <x v="2"/>
    <s v="Corporate"/>
    <s v="POS"/>
    <n v="1"/>
    <n v="7800"/>
    <n v="9800"/>
    <n v="0"/>
    <x v="1"/>
    <n v="7"/>
    <n v="9800"/>
    <n v="0"/>
    <n v="9800"/>
    <n v="7800"/>
    <n v="2000"/>
    <n v="0.20408163265306123"/>
    <s v="Understocked"/>
    <s v="Safe"/>
    <n v="0.20408163265306123"/>
    <s v="Safe"/>
    <n v="2000"/>
    <n v="0.20408163265306123"/>
  </r>
  <r>
    <s v="ORD-10916"/>
    <x v="109"/>
    <s v="P015"/>
    <x v="8"/>
    <s v="Personal Care"/>
    <s v="Bath"/>
    <s v="SilkyTouch"/>
    <s v="B02"/>
    <x v="4"/>
    <s v="Abuja"/>
    <x v="2"/>
    <s v="Walk-in"/>
    <s v="POS"/>
    <n v="1"/>
    <n v="600"/>
    <n v="950"/>
    <n v="0.05"/>
    <x v="6"/>
    <n v="11"/>
    <n v="950"/>
    <n v="47.5"/>
    <n v="902.5"/>
    <n v="600"/>
    <n v="302.5"/>
    <n v="0.33518005540166207"/>
    <s v="Healthy"/>
    <s v="Safe"/>
    <n v="0.36842105263157893"/>
    <s v="Safe"/>
    <n v="350"/>
    <n v="0.36842105263157893"/>
  </r>
  <r>
    <s v="ORD-10917"/>
    <x v="309"/>
    <s v="P024"/>
    <x v="19"/>
    <s v="Office Supplies"/>
    <s v="Accessories"/>
    <s v="ErgoDesk"/>
    <s v="B05"/>
    <x v="0"/>
    <s v="Kano"/>
    <x v="0"/>
    <s v="Member"/>
    <s v="Transfer"/>
    <n v="1"/>
    <n v="1700"/>
    <n v="2800"/>
    <n v="0.15"/>
    <x v="5"/>
    <n v="11"/>
    <n v="2800"/>
    <n v="420"/>
    <n v="2380"/>
    <n v="1700"/>
    <n v="680"/>
    <n v="0.2857142857142857"/>
    <s v="Overstocked"/>
    <s v="Safe"/>
    <n v="0.39285714285714285"/>
    <s v="Safe"/>
    <n v="1100"/>
    <n v="0.39285714285714285"/>
  </r>
  <r>
    <s v="ORD-10918"/>
    <x v="199"/>
    <s v="P003"/>
    <x v="12"/>
    <s v="Food"/>
    <s v="Cooking Oil"/>
    <s v="SunGold"/>
    <s v="B01"/>
    <x v="2"/>
    <s v="Abuja"/>
    <x v="2"/>
    <s v="Walk-in"/>
    <s v="Cash"/>
    <n v="3"/>
    <n v="7800"/>
    <n v="9800"/>
    <n v="0.1"/>
    <x v="1"/>
    <n v="10"/>
    <n v="29400"/>
    <n v="2940"/>
    <n v="26460"/>
    <n v="23400"/>
    <n v="3060"/>
    <n v="0.11564625850340136"/>
    <s v="Understocked"/>
    <s v="Safe"/>
    <n v="0.20408163265306123"/>
    <s v="Safe"/>
    <n v="2000"/>
    <n v="0.20408163265306123"/>
  </r>
  <r>
    <s v="ORD-10919"/>
    <x v="328"/>
    <s v="P015"/>
    <x v="8"/>
    <s v="Personal Care"/>
    <s v="Bath"/>
    <s v="SilkyTouch"/>
    <s v="B06"/>
    <x v="1"/>
    <s v="Rivers"/>
    <x v="1"/>
    <s v="Member"/>
    <s v="Transfer"/>
    <n v="1"/>
    <n v="600"/>
    <n v="950"/>
    <n v="0.05"/>
    <x v="10"/>
    <n v="3"/>
    <n v="950"/>
    <n v="47.5"/>
    <n v="902.5"/>
    <n v="600"/>
    <n v="302.5"/>
    <n v="0.33518005540166207"/>
    <s v="Healthy"/>
    <s v="Safe"/>
    <n v="0.36842105263157893"/>
    <s v="Safe"/>
    <n v="350"/>
    <n v="0.36842105263157893"/>
  </r>
  <r>
    <s v="ORD-10920"/>
    <x v="286"/>
    <s v="P015"/>
    <x v="8"/>
    <s v="Personal Care"/>
    <s v="Bath"/>
    <s v="SilkyTouch"/>
    <s v="B07"/>
    <x v="3"/>
    <s v="Enugu"/>
    <x v="3"/>
    <s v="Member"/>
    <s v="Transfer"/>
    <n v="3"/>
    <n v="600"/>
    <n v="950"/>
    <n v="0.05"/>
    <x v="10"/>
    <n v="13"/>
    <n v="2850"/>
    <n v="142.5"/>
    <n v="2707.5"/>
    <n v="1800"/>
    <n v="907.5"/>
    <n v="0.33518005540166207"/>
    <s v="Healthy"/>
    <s v="Safe"/>
    <n v="0.36842105263157893"/>
    <s v="Safe"/>
    <n v="350"/>
    <n v="0.36842105263157893"/>
  </r>
  <r>
    <s v="ORD-10921"/>
    <x v="51"/>
    <s v="P002"/>
    <x v="10"/>
    <s v="Food"/>
    <s v="Grains"/>
    <s v="Mama's Pride"/>
    <s v="B07"/>
    <x v="3"/>
    <s v="Enugu"/>
    <x v="3"/>
    <s v="Member"/>
    <s v="POS"/>
    <n v="3"/>
    <n v="6200"/>
    <n v="7900"/>
    <n v="0.15"/>
    <x v="9"/>
    <n v="11"/>
    <n v="23700"/>
    <n v="3555"/>
    <n v="20145"/>
    <n v="18600"/>
    <n v="1545"/>
    <n v="7.6693968726731204E-2"/>
    <s v="Healthy"/>
    <s v="Safe"/>
    <n v="0.21518987341772153"/>
    <s v="Safe"/>
    <n v="1700"/>
    <n v="0.21518987341772153"/>
  </r>
  <r>
    <s v="ORD-10922"/>
    <x v="184"/>
    <s v="P020"/>
    <x v="5"/>
    <s v="Electronics"/>
    <s v="Lighting"/>
    <s v="Luma"/>
    <s v="B06"/>
    <x v="1"/>
    <s v="Rivers"/>
    <x v="1"/>
    <s v="Walk-in"/>
    <s v="Cash"/>
    <n v="1"/>
    <n v="1500"/>
    <n v="2500"/>
    <n v="0.05"/>
    <x v="12"/>
    <n v="4"/>
    <n v="2500"/>
    <n v="125"/>
    <n v="2375"/>
    <n v="1500"/>
    <n v="875"/>
    <n v="0.36842105263157893"/>
    <s v="Healthy"/>
    <s v="Safe"/>
    <n v="0.4"/>
    <s v="Safe"/>
    <n v="1000"/>
    <n v="0.4"/>
  </r>
  <r>
    <s v="ORD-10923"/>
    <x v="53"/>
    <s v="P010"/>
    <x v="22"/>
    <s v="Household"/>
    <s v="Paper Products"/>
    <s v="SoftCare"/>
    <s v="B07"/>
    <x v="3"/>
    <s v="Enugu"/>
    <x v="3"/>
    <s v="Walk-in"/>
    <s v="Transfer"/>
    <n v="1"/>
    <n v="3200"/>
    <n v="4500"/>
    <n v="0.2"/>
    <x v="1"/>
    <n v="3"/>
    <n v="4500"/>
    <n v="900"/>
    <n v="3600"/>
    <n v="3200"/>
    <n v="400"/>
    <n v="0.1111111111111111"/>
    <s v="Healthy"/>
    <s v="Safe"/>
    <n v="0.28888888888888886"/>
    <s v="Safe"/>
    <n v="1300"/>
    <n v="0.28888888888888886"/>
  </r>
  <r>
    <s v="ORD-10924"/>
    <x v="102"/>
    <s v="P001"/>
    <x v="14"/>
    <s v="Food"/>
    <s v="Grains"/>
    <s v="Golden Harvest"/>
    <s v="B03"/>
    <x v="6"/>
    <s v="Lagos"/>
    <x v="4"/>
    <s v="Member"/>
    <s v="POS"/>
    <n v="8"/>
    <n v="14500"/>
    <n v="17500"/>
    <n v="0.05"/>
    <x v="8"/>
    <n v="3"/>
    <n v="140000"/>
    <n v="7000"/>
    <n v="133000"/>
    <n v="116000"/>
    <n v="17000"/>
    <n v="0.12781954887218044"/>
    <s v="Understocked"/>
    <s v="Safe"/>
    <n v="0.17142857142857143"/>
    <s v="Safe"/>
    <n v="3000"/>
    <n v="0.17142857142857143"/>
  </r>
  <r>
    <s v="ORD-10925"/>
    <x v="328"/>
    <s v="P006"/>
    <x v="0"/>
    <s v="Beverages"/>
    <s v="Water"/>
    <s v="AquaPure"/>
    <s v="B07"/>
    <x v="3"/>
    <s v="Enugu"/>
    <x v="3"/>
    <s v="Walk-in"/>
    <s v="POS"/>
    <n v="10"/>
    <n v="230"/>
    <n v="400"/>
    <n v="0.1"/>
    <x v="0"/>
    <n v="14"/>
    <n v="4000"/>
    <n v="400"/>
    <n v="3600"/>
    <n v="2300"/>
    <n v="1300"/>
    <n v="0.3611111111111111"/>
    <s v="Understocked"/>
    <s v="Safe"/>
    <n v="0.42499999999999999"/>
    <s v="Safe"/>
    <n v="170"/>
    <n v="0.42499999999999999"/>
  </r>
  <r>
    <s v="ORD-10926"/>
    <x v="77"/>
    <s v="P004"/>
    <x v="1"/>
    <s v="Beverages"/>
    <s v="Dairy"/>
    <s v="FreshDay"/>
    <s v="B03"/>
    <x v="6"/>
    <s v="Lagos"/>
    <x v="4"/>
    <s v="Member"/>
    <s v="Card"/>
    <n v="5"/>
    <n v="1650"/>
    <n v="2200"/>
    <n v="0.2"/>
    <x v="2"/>
    <n v="5"/>
    <n v="11000"/>
    <n v="2200"/>
    <n v="8800"/>
    <n v="8250"/>
    <n v="550"/>
    <n v="6.25E-2"/>
    <s v="Understocked"/>
    <s v="Safe"/>
    <n v="0.25"/>
    <s v="Safe"/>
    <n v="550"/>
    <n v="0.25"/>
  </r>
  <r>
    <s v="ORD-10927"/>
    <x v="259"/>
    <s v="P008"/>
    <x v="4"/>
    <s v="Beverages"/>
    <s v="Soft Drinks"/>
    <s v="Sparkle"/>
    <s v="B04"/>
    <x v="5"/>
    <s v="Lagos"/>
    <x v="4"/>
    <s v="Walk-in"/>
    <s v="Transfer"/>
    <n v="2"/>
    <n v="330"/>
    <n v="550"/>
    <n v="0.1"/>
    <x v="2"/>
    <n v="11"/>
    <n v="1100"/>
    <n v="110"/>
    <n v="990"/>
    <n v="660"/>
    <n v="330"/>
    <n v="0.33333333333333331"/>
    <s v="Healthy"/>
    <s v="Safe"/>
    <n v="0.4"/>
    <s v="Safe"/>
    <n v="220"/>
    <n v="0.4"/>
  </r>
  <r>
    <s v="ORD-10928"/>
    <x v="328"/>
    <s v="P003"/>
    <x v="12"/>
    <s v="Food"/>
    <s v="Cooking Oil"/>
    <s v="SunGold"/>
    <s v="B02"/>
    <x v="4"/>
    <s v="Abuja"/>
    <x v="2"/>
    <s v="Member"/>
    <s v="POS"/>
    <n v="3"/>
    <n v="7800"/>
    <n v="9800"/>
    <n v="0"/>
    <x v="1"/>
    <n v="6"/>
    <n v="29400"/>
    <n v="0"/>
    <n v="29400"/>
    <n v="23400"/>
    <n v="6000"/>
    <n v="0.20408163265306123"/>
    <s v="Understocked"/>
    <s v="Safe"/>
    <n v="0.20408163265306123"/>
    <s v="Safe"/>
    <n v="2000"/>
    <n v="0.20408163265306123"/>
  </r>
  <r>
    <s v="ORD-10929"/>
    <x v="72"/>
    <s v="P019"/>
    <x v="18"/>
    <s v="Electronics"/>
    <s v="Audio"/>
    <s v="SoundBeat"/>
    <s v="B05"/>
    <x v="0"/>
    <s v="Kano"/>
    <x v="0"/>
    <s v="Corporate"/>
    <s v="Transfer"/>
    <n v="2"/>
    <n v="12500"/>
    <n v="18500"/>
    <n v="0"/>
    <x v="4"/>
    <n v="10"/>
    <n v="37000"/>
    <n v="0"/>
    <n v="37000"/>
    <n v="25000"/>
    <n v="12000"/>
    <n v="0.32432432432432434"/>
    <s v="Understocked"/>
    <s v="Safe"/>
    <n v="0.32432432432432434"/>
    <s v="Safe"/>
    <n v="6000"/>
    <n v="0.32432432432432434"/>
  </r>
  <r>
    <s v="ORD-10930"/>
    <x v="52"/>
    <s v="P003"/>
    <x v="12"/>
    <s v="Food"/>
    <s v="Cooking Oil"/>
    <s v="SunGold"/>
    <s v="B01"/>
    <x v="2"/>
    <s v="Abuja"/>
    <x v="2"/>
    <s v="Member"/>
    <s v="Transfer"/>
    <n v="3"/>
    <n v="7800"/>
    <n v="9800"/>
    <n v="0"/>
    <x v="8"/>
    <n v="13"/>
    <n v="29400"/>
    <n v="0"/>
    <n v="29400"/>
    <n v="23400"/>
    <n v="6000"/>
    <n v="0.20408163265306123"/>
    <s v="Understocked"/>
    <s v="Safe"/>
    <n v="0.20408163265306123"/>
    <s v="Safe"/>
    <n v="2000"/>
    <n v="0.20408163265306123"/>
  </r>
  <r>
    <s v="ORD-10931"/>
    <x v="149"/>
    <s v="P006"/>
    <x v="0"/>
    <s v="Beverages"/>
    <s v="Water"/>
    <s v="AquaPure"/>
    <s v="B01"/>
    <x v="2"/>
    <s v="Abuja"/>
    <x v="2"/>
    <s v="Corporate"/>
    <s v="POS"/>
    <n v="10"/>
    <n v="230"/>
    <n v="400"/>
    <n v="0"/>
    <x v="3"/>
    <n v="3"/>
    <n v="4000"/>
    <n v="0"/>
    <n v="4000"/>
    <n v="2300"/>
    <n v="1700"/>
    <n v="0.42499999999999999"/>
    <s v="Understocked"/>
    <s v="Safe"/>
    <n v="0.42499999999999999"/>
    <s v="Safe"/>
    <n v="170"/>
    <n v="0.42499999999999999"/>
  </r>
  <r>
    <s v="ORD-10932"/>
    <x v="305"/>
    <s v="P011"/>
    <x v="9"/>
    <s v="Household"/>
    <s v="Cleaning"/>
    <s v="CleanPro"/>
    <s v="B06"/>
    <x v="1"/>
    <s v="Rivers"/>
    <x v="1"/>
    <s v="Walk-in"/>
    <s v="Card"/>
    <n v="1"/>
    <n v="2800"/>
    <n v="3900"/>
    <n v="0.05"/>
    <x v="10"/>
    <n v="10"/>
    <n v="3900"/>
    <n v="195"/>
    <n v="3705"/>
    <n v="2800"/>
    <n v="905"/>
    <n v="0.24426450742240216"/>
    <s v="Healthy"/>
    <s v="Safe"/>
    <n v="0.28205128205128205"/>
    <s v="Safe"/>
    <n v="1100"/>
    <n v="0.28205128205128205"/>
  </r>
  <r>
    <s v="ORD-10933"/>
    <x v="121"/>
    <s v="P004"/>
    <x v="1"/>
    <s v="Beverages"/>
    <s v="Dairy"/>
    <s v="FreshDay"/>
    <s v="B08"/>
    <x v="7"/>
    <s v="Kwara"/>
    <x v="2"/>
    <s v="Member"/>
    <s v="POS"/>
    <n v="2"/>
    <n v="1650"/>
    <n v="2200"/>
    <n v="0.05"/>
    <x v="0"/>
    <n v="9"/>
    <n v="4400"/>
    <n v="220"/>
    <n v="4180"/>
    <n v="3300"/>
    <n v="880"/>
    <n v="0.21052631578947367"/>
    <s v="Understocked"/>
    <s v="Safe"/>
    <n v="0.25"/>
    <s v="Safe"/>
    <n v="550"/>
    <n v="0.25"/>
  </r>
  <r>
    <s v="ORD-10934"/>
    <x v="71"/>
    <s v="P008"/>
    <x v="4"/>
    <s v="Beverages"/>
    <s v="Soft Drinks"/>
    <s v="Sparkle"/>
    <s v="B01"/>
    <x v="2"/>
    <s v="Abuja"/>
    <x v="2"/>
    <s v="Walk-in"/>
    <s v="Cash"/>
    <n v="1"/>
    <n v="330"/>
    <n v="550"/>
    <n v="0.05"/>
    <x v="2"/>
    <n v="10"/>
    <n v="550"/>
    <n v="27.5"/>
    <n v="522.5"/>
    <n v="330"/>
    <n v="192.5"/>
    <n v="0.36842105263157893"/>
    <s v="Healthy"/>
    <s v="Safe"/>
    <n v="0.4"/>
    <s v="Safe"/>
    <n v="220"/>
    <n v="0.4"/>
  </r>
  <r>
    <s v="ORD-10935"/>
    <x v="308"/>
    <s v="P022"/>
    <x v="17"/>
    <s v="Office Supplies"/>
    <s v="Writing"/>
    <s v="WriteWell"/>
    <s v="B05"/>
    <x v="0"/>
    <s v="Kano"/>
    <x v="0"/>
    <s v="Member"/>
    <s v="Transfer"/>
    <n v="2"/>
    <n v="1300"/>
    <n v="2100"/>
    <n v="0.15"/>
    <x v="14"/>
    <n v="3"/>
    <n v="4200"/>
    <n v="630"/>
    <n v="3570"/>
    <n v="2600"/>
    <n v="970"/>
    <n v="0.27170868347338933"/>
    <s v="Understocked"/>
    <s v="Safe"/>
    <n v="0.38095238095238093"/>
    <s v="Safe"/>
    <n v="800"/>
    <n v="0.38095238095238093"/>
  </r>
  <r>
    <s v="ORD-10936"/>
    <x v="148"/>
    <s v="P018"/>
    <x v="16"/>
    <s v="Electronics"/>
    <s v="Mobile Accessories"/>
    <s v="VoltSafe"/>
    <s v="B04"/>
    <x v="5"/>
    <s v="Lagos"/>
    <x v="4"/>
    <s v="Corporate"/>
    <s v="POS"/>
    <n v="2"/>
    <n v="18000"/>
    <n v="24500"/>
    <n v="0.05"/>
    <x v="4"/>
    <n v="5"/>
    <n v="49000"/>
    <n v="2450"/>
    <n v="46550"/>
    <n v="36000"/>
    <n v="10550"/>
    <n v="0.22663802363050484"/>
    <s v="Understocked"/>
    <s v="Safe"/>
    <n v="0.26530612244897961"/>
    <s v="Safe"/>
    <n v="6500"/>
    <n v="0.26530612244897961"/>
  </r>
  <r>
    <s v="ORD-10937"/>
    <x v="53"/>
    <s v="P022"/>
    <x v="17"/>
    <s v="Office Supplies"/>
    <s v="Writing"/>
    <s v="WriteWell"/>
    <s v="B03"/>
    <x v="6"/>
    <s v="Lagos"/>
    <x v="4"/>
    <s v="Walk-in"/>
    <s v="POS"/>
    <n v="2"/>
    <n v="1300"/>
    <n v="2100"/>
    <n v="0"/>
    <x v="15"/>
    <n v="3"/>
    <n v="4200"/>
    <n v="0"/>
    <n v="4200"/>
    <n v="2600"/>
    <n v="1600"/>
    <n v="0.38095238095238093"/>
    <s v="Understocked"/>
    <s v="Safe"/>
    <n v="0.38095238095238093"/>
    <s v="Safe"/>
    <n v="800"/>
    <n v="0.38095238095238093"/>
  </r>
  <r>
    <s v="ORD-10938"/>
    <x v="55"/>
    <s v="P015"/>
    <x v="8"/>
    <s v="Personal Care"/>
    <s v="Bath"/>
    <s v="SilkyTouch"/>
    <s v="B04"/>
    <x v="5"/>
    <s v="Lagos"/>
    <x v="4"/>
    <s v="Corporate"/>
    <s v="Transfer"/>
    <n v="3"/>
    <n v="600"/>
    <n v="950"/>
    <n v="0.15"/>
    <x v="10"/>
    <n v="12"/>
    <n v="2850"/>
    <n v="427.5"/>
    <n v="2422.5"/>
    <n v="1800"/>
    <n v="622.5"/>
    <n v="0.25696594427244585"/>
    <s v="Healthy"/>
    <s v="Safe"/>
    <n v="0.36842105263157893"/>
    <s v="Safe"/>
    <n v="350"/>
    <n v="0.36842105263157893"/>
  </r>
  <r>
    <s v="ORD-10939"/>
    <x v="329"/>
    <s v="P009"/>
    <x v="13"/>
    <s v="Household"/>
    <s v="Cleaning"/>
    <s v="BrightWash"/>
    <s v="B08"/>
    <x v="7"/>
    <s v="Kwara"/>
    <x v="2"/>
    <s v="Walk-in"/>
    <s v="POS"/>
    <n v="6"/>
    <n v="2400"/>
    <n v="3400"/>
    <n v="0.1"/>
    <x v="1"/>
    <n v="1"/>
    <n v="20400"/>
    <n v="2040"/>
    <n v="18360"/>
    <n v="14400"/>
    <n v="3960"/>
    <n v="0.21568627450980393"/>
    <s v="Healthy"/>
    <s v="Safe"/>
    <n v="0.29411764705882354"/>
    <s v="Safe"/>
    <n v="1000"/>
    <n v="0.29411764705882354"/>
  </r>
  <r>
    <s v="ORD-10940"/>
    <x v="57"/>
    <s v="P009"/>
    <x v="13"/>
    <s v="Household"/>
    <s v="Cleaning"/>
    <s v="BrightWash"/>
    <s v="B03"/>
    <x v="6"/>
    <s v="Lagos"/>
    <x v="4"/>
    <s v="Corporate"/>
    <s v="POS"/>
    <n v="10"/>
    <n v="2400"/>
    <n v="3400"/>
    <n v="0.1"/>
    <x v="1"/>
    <n v="11"/>
    <n v="34000"/>
    <n v="3400"/>
    <n v="30600"/>
    <n v="24000"/>
    <n v="6600"/>
    <n v="0.21568627450980393"/>
    <s v="Healthy"/>
    <s v="Safe"/>
    <n v="0.29411764705882354"/>
    <s v="Safe"/>
    <n v="1000"/>
    <n v="0.29411764705882354"/>
  </r>
  <r>
    <s v="ORD-10941"/>
    <x v="48"/>
    <s v="P008"/>
    <x v="4"/>
    <s v="Beverages"/>
    <s v="Soft Drinks"/>
    <s v="Sparkle"/>
    <s v="B02"/>
    <x v="4"/>
    <s v="Abuja"/>
    <x v="2"/>
    <s v="Member"/>
    <s v="Cash"/>
    <n v="8"/>
    <n v="330"/>
    <n v="550"/>
    <n v="0.1"/>
    <x v="2"/>
    <n v="14"/>
    <n v="4400"/>
    <n v="440"/>
    <n v="3960"/>
    <n v="2640"/>
    <n v="1320"/>
    <n v="0.33333333333333331"/>
    <s v="Healthy"/>
    <s v="Safe"/>
    <n v="0.4"/>
    <s v="Safe"/>
    <n v="220"/>
    <n v="0.4"/>
  </r>
  <r>
    <s v="ORD-10942"/>
    <x v="128"/>
    <s v="P022"/>
    <x v="17"/>
    <s v="Office Supplies"/>
    <s v="Writing"/>
    <s v="WriteWell"/>
    <s v="B03"/>
    <x v="6"/>
    <s v="Lagos"/>
    <x v="4"/>
    <s v="Walk-in"/>
    <s v="POS"/>
    <n v="2"/>
    <n v="1300"/>
    <n v="2100"/>
    <n v="0.05"/>
    <x v="15"/>
    <n v="14"/>
    <n v="4200"/>
    <n v="210"/>
    <n v="3990"/>
    <n v="2600"/>
    <n v="1390"/>
    <n v="0.34837092731829572"/>
    <s v="Understocked"/>
    <s v="Safe"/>
    <n v="0.38095238095238093"/>
    <s v="Safe"/>
    <n v="800"/>
    <n v="0.38095238095238093"/>
  </r>
  <r>
    <s v="ORD-10943"/>
    <x v="62"/>
    <s v="P006"/>
    <x v="0"/>
    <s v="Beverages"/>
    <s v="Water"/>
    <s v="AquaPure"/>
    <s v="B04"/>
    <x v="5"/>
    <s v="Lagos"/>
    <x v="4"/>
    <s v="Member"/>
    <s v="Transfer"/>
    <n v="2"/>
    <n v="230"/>
    <n v="400"/>
    <n v="0"/>
    <x v="2"/>
    <n v="11"/>
    <n v="800"/>
    <n v="0"/>
    <n v="800"/>
    <n v="460"/>
    <n v="340"/>
    <n v="0.42499999999999999"/>
    <s v="Understocked"/>
    <s v="Safe"/>
    <n v="0.42499999999999999"/>
    <s v="Safe"/>
    <n v="170"/>
    <n v="0.42499999999999999"/>
  </r>
  <r>
    <s v="ORD-10944"/>
    <x v="77"/>
    <s v="P022"/>
    <x v="17"/>
    <s v="Office Supplies"/>
    <s v="Writing"/>
    <s v="WriteWell"/>
    <s v="B07"/>
    <x v="3"/>
    <s v="Enugu"/>
    <x v="3"/>
    <s v="Walk-in"/>
    <s v="Transfer"/>
    <n v="5"/>
    <n v="1300"/>
    <n v="2100"/>
    <n v="0"/>
    <x v="14"/>
    <n v="6"/>
    <n v="10500"/>
    <n v="0"/>
    <n v="10500"/>
    <n v="6500"/>
    <n v="4000"/>
    <n v="0.38095238095238093"/>
    <s v="Understocked"/>
    <s v="Safe"/>
    <n v="0.38095238095238093"/>
    <s v="Safe"/>
    <n v="800"/>
    <n v="0.38095238095238093"/>
  </r>
  <r>
    <s v="ORD-10945"/>
    <x v="330"/>
    <s v="P020"/>
    <x v="5"/>
    <s v="Electronics"/>
    <s v="Lighting"/>
    <s v="Luma"/>
    <s v="B02"/>
    <x v="4"/>
    <s v="Abuja"/>
    <x v="2"/>
    <s v="Walk-in"/>
    <s v="Cash"/>
    <n v="2"/>
    <n v="1500"/>
    <n v="2500"/>
    <n v="0"/>
    <x v="12"/>
    <n v="3"/>
    <n v="5000"/>
    <n v="0"/>
    <n v="5000"/>
    <n v="3000"/>
    <n v="2000"/>
    <n v="0.4"/>
    <s v="Healthy"/>
    <s v="Safe"/>
    <n v="0.4"/>
    <s v="Safe"/>
    <n v="1000"/>
    <n v="0.4"/>
  </r>
  <r>
    <s v="ORD-10946"/>
    <x v="54"/>
    <s v="P001"/>
    <x v="14"/>
    <s v="Food"/>
    <s v="Grains"/>
    <s v="Golden Harvest"/>
    <s v="B06"/>
    <x v="1"/>
    <s v="Rivers"/>
    <x v="1"/>
    <s v="Walk-in"/>
    <s v="Transfer"/>
    <n v="2"/>
    <n v="14500"/>
    <n v="17500"/>
    <n v="0.05"/>
    <x v="9"/>
    <n v="9"/>
    <n v="35000"/>
    <n v="1750"/>
    <n v="33250"/>
    <n v="29000"/>
    <n v="4250"/>
    <n v="0.12781954887218044"/>
    <s v="Understocked"/>
    <s v="Safe"/>
    <n v="0.17142857142857143"/>
    <s v="Safe"/>
    <n v="3000"/>
    <n v="0.17142857142857143"/>
  </r>
  <r>
    <s v="ORD-10947"/>
    <x v="141"/>
    <s v="P024"/>
    <x v="19"/>
    <s v="Office Supplies"/>
    <s v="Accessories"/>
    <s v="ErgoDesk"/>
    <s v="B05"/>
    <x v="0"/>
    <s v="Kano"/>
    <x v="0"/>
    <s v="Member"/>
    <s v="Cash"/>
    <n v="2"/>
    <n v="1700"/>
    <n v="2800"/>
    <n v="0.05"/>
    <x v="5"/>
    <n v="4"/>
    <n v="5600"/>
    <n v="280"/>
    <n v="5320"/>
    <n v="3400"/>
    <n v="1920"/>
    <n v="0.36090225563909772"/>
    <s v="Overstocked"/>
    <s v="Safe"/>
    <n v="0.39285714285714285"/>
    <s v="Safe"/>
    <n v="1100"/>
    <n v="0.39285714285714285"/>
  </r>
  <r>
    <s v="ORD-10948"/>
    <x v="288"/>
    <s v="P001"/>
    <x v="14"/>
    <s v="Food"/>
    <s v="Grains"/>
    <s v="Golden Harvest"/>
    <s v="B03"/>
    <x v="6"/>
    <s v="Lagos"/>
    <x v="4"/>
    <s v="Walk-in"/>
    <s v="Cash"/>
    <n v="4"/>
    <n v="14500"/>
    <n v="17500"/>
    <n v="0.15"/>
    <x v="8"/>
    <n v="11"/>
    <n v="70000"/>
    <n v="10500"/>
    <n v="59500"/>
    <n v="58000"/>
    <n v="1500"/>
    <n v="2.5210084033613446E-2"/>
    <s v="Understocked"/>
    <s v="Safe"/>
    <n v="0.17142857142857143"/>
    <s v="Safe"/>
    <n v="3000"/>
    <n v="0.17142857142857143"/>
  </r>
  <r>
    <s v="ORD-10949"/>
    <x v="62"/>
    <s v="P008"/>
    <x v="4"/>
    <s v="Beverages"/>
    <s v="Soft Drinks"/>
    <s v="Sparkle"/>
    <s v="B04"/>
    <x v="5"/>
    <s v="Lagos"/>
    <x v="4"/>
    <s v="Walk-in"/>
    <s v="POS"/>
    <n v="5"/>
    <n v="330"/>
    <n v="550"/>
    <n v="0.1"/>
    <x v="2"/>
    <n v="9"/>
    <n v="2750"/>
    <n v="275"/>
    <n v="2475"/>
    <n v="1650"/>
    <n v="825"/>
    <n v="0.33333333333333331"/>
    <s v="Healthy"/>
    <s v="Safe"/>
    <n v="0.4"/>
    <s v="Safe"/>
    <n v="220"/>
    <n v="0.4"/>
  </r>
  <r>
    <s v="ORD-10950"/>
    <x v="45"/>
    <s v="P003"/>
    <x v="12"/>
    <s v="Food"/>
    <s v="Cooking Oil"/>
    <s v="SunGold"/>
    <s v="B08"/>
    <x v="7"/>
    <s v="Kwara"/>
    <x v="2"/>
    <s v="Walk-in"/>
    <s v="Cash"/>
    <n v="5"/>
    <n v="7800"/>
    <n v="9800"/>
    <n v="0"/>
    <x v="1"/>
    <n v="4"/>
    <n v="49000"/>
    <n v="0"/>
    <n v="49000"/>
    <n v="39000"/>
    <n v="10000"/>
    <n v="0.20408163265306123"/>
    <s v="Understocked"/>
    <s v="Safe"/>
    <n v="0.20408163265306123"/>
    <s v="Safe"/>
    <n v="2000"/>
    <n v="0.20408163265306123"/>
  </r>
  <r>
    <s v="ORD-10951"/>
    <x v="325"/>
    <s v="P008"/>
    <x v="4"/>
    <s v="Beverages"/>
    <s v="Soft Drinks"/>
    <s v="Sparkle"/>
    <s v="B04"/>
    <x v="5"/>
    <s v="Lagos"/>
    <x v="4"/>
    <s v="Walk-in"/>
    <s v="Cash"/>
    <n v="1"/>
    <n v="330"/>
    <n v="550"/>
    <n v="0.05"/>
    <x v="2"/>
    <n v="4"/>
    <n v="550"/>
    <n v="27.5"/>
    <n v="522.5"/>
    <n v="330"/>
    <n v="192.5"/>
    <n v="0.36842105263157893"/>
    <s v="Healthy"/>
    <s v="Safe"/>
    <n v="0.4"/>
    <s v="Safe"/>
    <n v="220"/>
    <n v="0.4"/>
  </r>
  <r>
    <s v="ORD-10952"/>
    <x v="39"/>
    <s v="P004"/>
    <x v="1"/>
    <s v="Beverages"/>
    <s v="Dairy"/>
    <s v="FreshDay"/>
    <s v="B03"/>
    <x v="6"/>
    <s v="Lagos"/>
    <x v="4"/>
    <s v="Member"/>
    <s v="POS"/>
    <n v="1"/>
    <n v="1650"/>
    <n v="2200"/>
    <n v="0"/>
    <x v="2"/>
    <n v="4"/>
    <n v="2200"/>
    <n v="0"/>
    <n v="2200"/>
    <n v="1650"/>
    <n v="550"/>
    <n v="0.25"/>
    <s v="Understocked"/>
    <s v="Safe"/>
    <n v="0.25"/>
    <s v="Safe"/>
    <n v="550"/>
    <n v="0.25"/>
  </r>
  <r>
    <s v="ORD-10953"/>
    <x v="127"/>
    <s v="P015"/>
    <x v="8"/>
    <s v="Personal Care"/>
    <s v="Bath"/>
    <s v="SilkyTouch"/>
    <s v="B04"/>
    <x v="5"/>
    <s v="Lagos"/>
    <x v="4"/>
    <s v="Member"/>
    <s v="POS"/>
    <n v="1"/>
    <n v="600"/>
    <n v="950"/>
    <n v="0.2"/>
    <x v="6"/>
    <n v="2"/>
    <n v="950"/>
    <n v="190"/>
    <n v="760"/>
    <n v="600"/>
    <n v="160"/>
    <n v="0.21052631578947367"/>
    <s v="Healthy"/>
    <s v="Safe"/>
    <n v="0.36842105263157893"/>
    <s v="Safe"/>
    <n v="350"/>
    <n v="0.36842105263157893"/>
  </r>
  <r>
    <s v="ORD-10954"/>
    <x v="229"/>
    <s v="P006"/>
    <x v="0"/>
    <s v="Beverages"/>
    <s v="Water"/>
    <s v="AquaPure"/>
    <s v="B02"/>
    <x v="4"/>
    <s v="Abuja"/>
    <x v="2"/>
    <s v="Walk-in"/>
    <s v="POS"/>
    <n v="1"/>
    <n v="230"/>
    <n v="400"/>
    <n v="0"/>
    <x v="2"/>
    <n v="7"/>
    <n v="400"/>
    <n v="0"/>
    <n v="400"/>
    <n v="230"/>
    <n v="170"/>
    <n v="0.42499999999999999"/>
    <s v="Understocked"/>
    <s v="Safe"/>
    <n v="0.42499999999999999"/>
    <s v="Safe"/>
    <n v="170"/>
    <n v="0.42499999999999999"/>
  </r>
  <r>
    <s v="ORD-10955"/>
    <x v="326"/>
    <s v="P013"/>
    <x v="11"/>
    <s v="Personal Care"/>
    <s v="Skin Care"/>
    <s v="GlowPlus"/>
    <s v="B02"/>
    <x v="4"/>
    <s v="Abuja"/>
    <x v="2"/>
    <s v="Walk-in"/>
    <s v="POS"/>
    <n v="2"/>
    <n v="3500"/>
    <n v="5200"/>
    <n v="0.05"/>
    <x v="11"/>
    <n v="2"/>
    <n v="10400"/>
    <n v="520"/>
    <n v="9880"/>
    <n v="7000"/>
    <n v="2880"/>
    <n v="0.291497975708502"/>
    <s v="Healthy"/>
    <s v="Safe"/>
    <n v="0.32692307692307693"/>
    <s v="Safe"/>
    <n v="1700"/>
    <n v="0.32692307692307693"/>
  </r>
  <r>
    <s v="ORD-10956"/>
    <x v="89"/>
    <s v="P022"/>
    <x v="17"/>
    <s v="Office Supplies"/>
    <s v="Writing"/>
    <s v="WriteWell"/>
    <s v="B06"/>
    <x v="1"/>
    <s v="Rivers"/>
    <x v="1"/>
    <s v="Walk-in"/>
    <s v="Cash"/>
    <n v="2"/>
    <n v="1300"/>
    <n v="2100"/>
    <n v="0.15"/>
    <x v="5"/>
    <n v="12"/>
    <n v="4200"/>
    <n v="630"/>
    <n v="3570"/>
    <n v="2600"/>
    <n v="970"/>
    <n v="0.27170868347338933"/>
    <s v="Understocked"/>
    <s v="Safe"/>
    <n v="0.38095238095238093"/>
    <s v="Safe"/>
    <n v="800"/>
    <n v="0.38095238095238093"/>
  </r>
  <r>
    <s v="ORD-10957"/>
    <x v="331"/>
    <s v="P008"/>
    <x v="4"/>
    <s v="Beverages"/>
    <s v="Soft Drinks"/>
    <s v="Sparkle"/>
    <s v="B07"/>
    <x v="3"/>
    <s v="Enugu"/>
    <x v="3"/>
    <s v="Corporate"/>
    <s v="Transfer"/>
    <n v="1"/>
    <n v="330"/>
    <n v="550"/>
    <n v="0"/>
    <x v="2"/>
    <n v="2"/>
    <n v="550"/>
    <n v="0"/>
    <n v="550"/>
    <n v="330"/>
    <n v="220"/>
    <n v="0.4"/>
    <s v="Healthy"/>
    <s v="Safe"/>
    <n v="0.4"/>
    <s v="Safe"/>
    <n v="220"/>
    <n v="0.4"/>
  </r>
  <r>
    <s v="ORD-10958"/>
    <x v="238"/>
    <s v="P014"/>
    <x v="15"/>
    <s v="Personal Care"/>
    <s v="Oral Care"/>
    <s v="FreshMint"/>
    <s v="B06"/>
    <x v="1"/>
    <s v="Rivers"/>
    <x v="1"/>
    <s v="Member"/>
    <s v="POS"/>
    <n v="1"/>
    <n v="1200"/>
    <n v="1900"/>
    <n v="0.05"/>
    <x v="10"/>
    <n v="9"/>
    <n v="1900"/>
    <n v="95"/>
    <n v="1805"/>
    <n v="1200"/>
    <n v="605"/>
    <n v="0.33518005540166207"/>
    <s v="Healthy"/>
    <s v="Safe"/>
    <n v="0.36842105263157893"/>
    <s v="Safe"/>
    <n v="700"/>
    <n v="0.36842105263157893"/>
  </r>
  <r>
    <s v="ORD-10959"/>
    <x v="17"/>
    <s v="P014"/>
    <x v="15"/>
    <s v="Personal Care"/>
    <s v="Oral Care"/>
    <s v="FreshMint"/>
    <s v="B02"/>
    <x v="4"/>
    <s v="Abuja"/>
    <x v="2"/>
    <s v="Walk-in"/>
    <s v="POS"/>
    <n v="2"/>
    <n v="1200"/>
    <n v="1900"/>
    <n v="0.15"/>
    <x v="6"/>
    <n v="1"/>
    <n v="3800"/>
    <n v="570"/>
    <n v="3230"/>
    <n v="2400"/>
    <n v="830"/>
    <n v="0.25696594427244585"/>
    <s v="Healthy"/>
    <s v="Safe"/>
    <n v="0.36842105263157893"/>
    <s v="Safe"/>
    <n v="700"/>
    <n v="0.36842105263157893"/>
  </r>
  <r>
    <s v="ORD-10960"/>
    <x v="234"/>
    <s v="P018"/>
    <x v="16"/>
    <s v="Electronics"/>
    <s v="Mobile Accessories"/>
    <s v="VoltSafe"/>
    <s v="B02"/>
    <x v="4"/>
    <s v="Abuja"/>
    <x v="2"/>
    <s v="Corporate"/>
    <s v="POS"/>
    <n v="2"/>
    <n v="18000"/>
    <n v="24500"/>
    <n v="0"/>
    <x v="13"/>
    <n v="12"/>
    <n v="49000"/>
    <n v="0"/>
    <n v="49000"/>
    <n v="36000"/>
    <n v="13000"/>
    <n v="0.26530612244897961"/>
    <s v="Understocked"/>
    <s v="Safe"/>
    <n v="0.26530612244897961"/>
    <s v="Safe"/>
    <n v="6500"/>
    <n v="0.26530612244897961"/>
  </r>
  <r>
    <s v="ORD-10961"/>
    <x v="275"/>
    <s v="P009"/>
    <x v="13"/>
    <s v="Household"/>
    <s v="Cleaning"/>
    <s v="BrightWash"/>
    <s v="B02"/>
    <x v="4"/>
    <s v="Abuja"/>
    <x v="2"/>
    <s v="Member"/>
    <s v="POS"/>
    <n v="1"/>
    <n v="2400"/>
    <n v="3400"/>
    <n v="0.05"/>
    <x v="1"/>
    <n v="6"/>
    <n v="3400"/>
    <n v="170"/>
    <n v="3230"/>
    <n v="2400"/>
    <n v="830"/>
    <n v="0.25696594427244585"/>
    <s v="Healthy"/>
    <s v="Safe"/>
    <n v="0.29411764705882354"/>
    <s v="Safe"/>
    <n v="1000"/>
    <n v="0.29411764705882354"/>
  </r>
  <r>
    <s v="ORD-10962"/>
    <x v="332"/>
    <s v="P013"/>
    <x v="11"/>
    <s v="Personal Care"/>
    <s v="Skin Care"/>
    <s v="GlowPlus"/>
    <s v="B01"/>
    <x v="2"/>
    <s v="Abuja"/>
    <x v="2"/>
    <s v="Walk-in"/>
    <s v="POS"/>
    <n v="2"/>
    <n v="3500"/>
    <n v="5200"/>
    <n v="0.05"/>
    <x v="6"/>
    <n v="3"/>
    <n v="10400"/>
    <n v="520"/>
    <n v="9880"/>
    <n v="7000"/>
    <n v="2880"/>
    <n v="0.291497975708502"/>
    <s v="Healthy"/>
    <s v="Safe"/>
    <n v="0.32692307692307693"/>
    <s v="Safe"/>
    <n v="1700"/>
    <n v="0.32692307692307693"/>
  </r>
  <r>
    <s v="ORD-10963"/>
    <x v="37"/>
    <s v="P023"/>
    <x v="6"/>
    <s v="Office Supplies"/>
    <s v="Stationery"/>
    <s v="StudyPro"/>
    <s v="B03"/>
    <x v="6"/>
    <s v="Lagos"/>
    <x v="4"/>
    <s v="Corporate"/>
    <s v="Cash"/>
    <n v="8"/>
    <n v="2800"/>
    <n v="4200"/>
    <n v="0"/>
    <x v="14"/>
    <n v="8"/>
    <n v="33600"/>
    <n v="0"/>
    <n v="33600"/>
    <n v="22400"/>
    <n v="11200"/>
    <n v="0.33333333333333331"/>
    <s v="Understocked"/>
    <s v="Safe"/>
    <n v="0.33333333333333331"/>
    <s v="Safe"/>
    <n v="1400"/>
    <n v="0.33333333333333331"/>
  </r>
  <r>
    <s v="ORD-10964"/>
    <x v="313"/>
    <s v="P023"/>
    <x v="6"/>
    <s v="Office Supplies"/>
    <s v="Stationery"/>
    <s v="StudyPro"/>
    <s v="B02"/>
    <x v="4"/>
    <s v="Abuja"/>
    <x v="2"/>
    <s v="Member"/>
    <s v="Transfer"/>
    <n v="4"/>
    <n v="2800"/>
    <n v="4200"/>
    <n v="0.05"/>
    <x v="14"/>
    <n v="4"/>
    <n v="16800"/>
    <n v="840"/>
    <n v="15960"/>
    <n v="11200"/>
    <n v="4760"/>
    <n v="0.2982456140350877"/>
    <s v="Understocked"/>
    <s v="Safe"/>
    <n v="0.33333333333333331"/>
    <s v="Safe"/>
    <n v="1400"/>
    <n v="0.33333333333333331"/>
  </r>
  <r>
    <s v="ORD-10965"/>
    <x v="31"/>
    <s v="P010"/>
    <x v="22"/>
    <s v="Household"/>
    <s v="Paper Products"/>
    <s v="SoftCare"/>
    <s v="B04"/>
    <x v="5"/>
    <s v="Lagos"/>
    <x v="4"/>
    <s v="Walk-in"/>
    <s v="Transfer"/>
    <n v="1"/>
    <n v="3200"/>
    <n v="4500"/>
    <n v="0.2"/>
    <x v="1"/>
    <n v="9"/>
    <n v="4500"/>
    <n v="900"/>
    <n v="3600"/>
    <n v="3200"/>
    <n v="400"/>
    <n v="0.1111111111111111"/>
    <s v="Healthy"/>
    <s v="Safe"/>
    <n v="0.28888888888888886"/>
    <s v="Safe"/>
    <n v="1300"/>
    <n v="0.28888888888888886"/>
  </r>
  <r>
    <s v="ORD-10966"/>
    <x v="158"/>
    <s v="P006"/>
    <x v="0"/>
    <s v="Beverages"/>
    <s v="Water"/>
    <s v="AquaPure"/>
    <s v="B03"/>
    <x v="6"/>
    <s v="Lagos"/>
    <x v="4"/>
    <s v="Walk-in"/>
    <s v="Card"/>
    <n v="1"/>
    <n v="230"/>
    <n v="400"/>
    <n v="0"/>
    <x v="0"/>
    <n v="3"/>
    <n v="400"/>
    <n v="0"/>
    <n v="400"/>
    <n v="230"/>
    <n v="170"/>
    <n v="0.42499999999999999"/>
    <s v="Understocked"/>
    <s v="Safe"/>
    <n v="0.42499999999999999"/>
    <s v="Safe"/>
    <n v="170"/>
    <n v="0.42499999999999999"/>
  </r>
  <r>
    <s v="ORD-10967"/>
    <x v="333"/>
    <s v="P022"/>
    <x v="17"/>
    <s v="Office Supplies"/>
    <s v="Writing"/>
    <s v="WriteWell"/>
    <s v="B03"/>
    <x v="6"/>
    <s v="Lagos"/>
    <x v="4"/>
    <s v="Walk-in"/>
    <s v="POS"/>
    <n v="-1"/>
    <n v="1300"/>
    <n v="2100"/>
    <n v="0.1"/>
    <x v="5"/>
    <n v="2"/>
    <n v="-2100"/>
    <n v="-210"/>
    <n v="-1890"/>
    <n v="-1300"/>
    <n v="-590"/>
    <n v="0.31216931216931215"/>
    <s v="Understocked"/>
    <s v="Discount loss"/>
    <n v="0.38095238095238093"/>
    <s v="Safe"/>
    <n v="800"/>
    <n v="0.38095238095238093"/>
  </r>
  <r>
    <s v="ORD-10968"/>
    <x v="287"/>
    <s v="P012"/>
    <x v="21"/>
    <s v="Household"/>
    <s v="Home Care"/>
    <s v="HomeFresh"/>
    <s v="B03"/>
    <x v="6"/>
    <s v="Lagos"/>
    <x v="4"/>
    <s v="Walk-in"/>
    <s v="POS"/>
    <n v="1"/>
    <n v="1700"/>
    <n v="2600"/>
    <n v="0.1"/>
    <x v="10"/>
    <n v="10"/>
    <n v="2600"/>
    <n v="260"/>
    <n v="2340"/>
    <n v="1700"/>
    <n v="640"/>
    <n v="0.27350427350427353"/>
    <s v="Overstocked"/>
    <s v="Safe"/>
    <n v="0.34615384615384615"/>
    <s v="Safe"/>
    <n v="900"/>
    <n v="0.34615384615384615"/>
  </r>
  <r>
    <s v="ORD-10969"/>
    <x v="19"/>
    <s v="P013"/>
    <x v="11"/>
    <s v="Personal Care"/>
    <s v="Skin Care"/>
    <s v="GlowPlus"/>
    <s v="B01"/>
    <x v="2"/>
    <s v="Abuja"/>
    <x v="2"/>
    <s v="Walk-in"/>
    <s v="Card"/>
    <n v="2"/>
    <n v="3500"/>
    <n v="5200"/>
    <n v="0.1"/>
    <x v="6"/>
    <n v="9"/>
    <n v="10400"/>
    <n v="1040"/>
    <n v="9360"/>
    <n v="7000"/>
    <n v="2360"/>
    <n v="0.25213675213675213"/>
    <s v="Healthy"/>
    <s v="Safe"/>
    <n v="0.32692307692307693"/>
    <s v="Safe"/>
    <n v="1700"/>
    <n v="0.32692307692307693"/>
  </r>
  <r>
    <s v="ORD-10970"/>
    <x v="4"/>
    <s v="P003"/>
    <x v="12"/>
    <s v="Food"/>
    <s v="Cooking Oil"/>
    <s v="SunGold"/>
    <s v="B06"/>
    <x v="1"/>
    <s v="Rivers"/>
    <x v="1"/>
    <s v="Member"/>
    <s v="POS"/>
    <n v="2"/>
    <n v="7800"/>
    <n v="9800"/>
    <n v="0.1"/>
    <x v="1"/>
    <n v="4"/>
    <n v="19600"/>
    <n v="1960"/>
    <n v="17640"/>
    <n v="15600"/>
    <n v="2040"/>
    <n v="0.11564625850340136"/>
    <s v="Understocked"/>
    <s v="Safe"/>
    <n v="0.20408163265306123"/>
    <s v="Safe"/>
    <n v="2000"/>
    <n v="0.20408163265306123"/>
  </r>
  <r>
    <s v="ORD-10971"/>
    <x v="158"/>
    <s v="P006"/>
    <x v="0"/>
    <s v="Beverages"/>
    <s v="Water"/>
    <s v="AquaPure"/>
    <s v="B02"/>
    <x v="4"/>
    <s v="Abuja"/>
    <x v="2"/>
    <s v="Walk-in"/>
    <s v="Transfer"/>
    <n v="3"/>
    <n v="230"/>
    <n v="400"/>
    <n v="0.15"/>
    <x v="0"/>
    <n v="12"/>
    <n v="1200"/>
    <n v="180"/>
    <n v="1020"/>
    <n v="690"/>
    <n v="330"/>
    <n v="0.3235294117647059"/>
    <s v="Understocked"/>
    <s v="Safe"/>
    <n v="0.42499999999999999"/>
    <s v="Safe"/>
    <n v="170"/>
    <n v="0.42499999999999999"/>
  </r>
  <r>
    <s v="ORD-10972"/>
    <x v="118"/>
    <s v="P021"/>
    <x v="20"/>
    <s v="Office Supplies"/>
    <s v="Paper"/>
    <s v="OfficeMate"/>
    <s v="B01"/>
    <x v="2"/>
    <s v="Abuja"/>
    <x v="2"/>
    <s v="Member"/>
    <s v="Cash"/>
    <n v="1"/>
    <n v="5200"/>
    <n v="7000"/>
    <n v="0.05"/>
    <x v="14"/>
    <n v="12"/>
    <n v="7000"/>
    <n v="350"/>
    <n v="6650"/>
    <n v="5200"/>
    <n v="1450"/>
    <n v="0.21804511278195488"/>
    <s v="Overstocked"/>
    <s v="Safe"/>
    <n v="0.25714285714285712"/>
    <s v="Safe"/>
    <n v="1800"/>
    <n v="0.25714285714285712"/>
  </r>
  <r>
    <s v="ORD-10973"/>
    <x v="65"/>
    <s v="P001"/>
    <x v="14"/>
    <s v="Food"/>
    <s v="Grains"/>
    <s v="Golden Harvest"/>
    <s v="B02"/>
    <x v="4"/>
    <s v="Abuja"/>
    <x v="2"/>
    <s v="Member"/>
    <s v="Cash"/>
    <n v="1"/>
    <n v="14500"/>
    <n v="17500"/>
    <n v="0.05"/>
    <x v="9"/>
    <n v="7"/>
    <n v="17500"/>
    <n v="875"/>
    <n v="16625"/>
    <n v="14500"/>
    <n v="2125"/>
    <n v="0.12781954887218044"/>
    <s v="Understocked"/>
    <s v="Safe"/>
    <n v="0.17142857142857143"/>
    <s v="Safe"/>
    <n v="3000"/>
    <n v="0.17142857142857143"/>
  </r>
  <r>
    <s v="ORD-10974"/>
    <x v="90"/>
    <s v="P023"/>
    <x v="6"/>
    <s v="Office Supplies"/>
    <s v="Stationery"/>
    <s v="StudyPro"/>
    <s v="B01"/>
    <x v="2"/>
    <s v="Abuja"/>
    <x v="2"/>
    <s v="Member"/>
    <s v="POS"/>
    <n v="3"/>
    <n v="2800"/>
    <n v="4200"/>
    <n v="0.1"/>
    <x v="14"/>
    <n v="7"/>
    <n v="12600"/>
    <n v="1260"/>
    <n v="11340"/>
    <n v="8400"/>
    <n v="2940"/>
    <n v="0.25925925925925924"/>
    <s v="Understocked"/>
    <s v="Safe"/>
    <n v="0.33333333333333331"/>
    <s v="Safe"/>
    <n v="1400"/>
    <n v="0.33333333333333331"/>
  </r>
  <r>
    <s v="ORD-10975"/>
    <x v="238"/>
    <s v="P016"/>
    <x v="7"/>
    <s v="Personal Care"/>
    <s v="Fragrance"/>
    <s v="RoyalScent"/>
    <s v="B05"/>
    <x v="0"/>
    <s v="Kano"/>
    <x v="0"/>
    <s v="Walk-in"/>
    <s v="Cash"/>
    <n v="-1"/>
    <n v="8500"/>
    <n v="12500"/>
    <n v="0.1"/>
    <x v="10"/>
    <n v="10"/>
    <n v="-12500"/>
    <n v="-1250"/>
    <n v="-11250"/>
    <n v="-8500"/>
    <n v="-2750"/>
    <n v="0.24444444444444444"/>
    <s v="Overstocked"/>
    <s v="Discount loss"/>
    <n v="0.32"/>
    <s v="Safe"/>
    <n v="4000"/>
    <n v="0.32"/>
  </r>
  <r>
    <s v="ORD-10976"/>
    <x v="247"/>
    <s v="P010"/>
    <x v="22"/>
    <s v="Household"/>
    <s v="Paper Products"/>
    <s v="SoftCare"/>
    <s v="B07"/>
    <x v="3"/>
    <s v="Enugu"/>
    <x v="3"/>
    <s v="Walk-in"/>
    <s v="POS"/>
    <n v="5"/>
    <n v="3200"/>
    <n v="4500"/>
    <n v="0"/>
    <x v="10"/>
    <n v="14"/>
    <n v="22500"/>
    <n v="0"/>
    <n v="22500"/>
    <n v="16000"/>
    <n v="6500"/>
    <n v="0.28888888888888886"/>
    <s v="Healthy"/>
    <s v="Safe"/>
    <n v="0.28888888888888886"/>
    <s v="Safe"/>
    <n v="1300"/>
    <n v="0.28888888888888886"/>
  </r>
  <r>
    <s v="ORD-10977"/>
    <x v="225"/>
    <s v="P008"/>
    <x v="4"/>
    <s v="Beverages"/>
    <s v="Soft Drinks"/>
    <s v="Sparkle"/>
    <s v="B02"/>
    <x v="4"/>
    <s v="Abuja"/>
    <x v="2"/>
    <s v="Walk-in"/>
    <s v="Cash"/>
    <n v="3"/>
    <n v="330"/>
    <n v="550"/>
    <n v="0"/>
    <x v="3"/>
    <n v="2"/>
    <n v="1650"/>
    <n v="0"/>
    <n v="1650"/>
    <n v="990"/>
    <n v="660"/>
    <n v="0.4"/>
    <s v="Healthy"/>
    <s v="Safe"/>
    <n v="0.4"/>
    <s v="Safe"/>
    <n v="220"/>
    <n v="0.4"/>
  </r>
  <r>
    <s v="ORD-10978"/>
    <x v="127"/>
    <s v="P009"/>
    <x v="13"/>
    <s v="Household"/>
    <s v="Cleaning"/>
    <s v="BrightWash"/>
    <s v="B07"/>
    <x v="3"/>
    <s v="Enugu"/>
    <x v="3"/>
    <s v="Walk-in"/>
    <s v="Transfer"/>
    <n v="1"/>
    <n v="2400"/>
    <n v="3400"/>
    <n v="0.15"/>
    <x v="7"/>
    <n v="6"/>
    <n v="3400"/>
    <n v="510"/>
    <n v="2890"/>
    <n v="2400"/>
    <n v="490"/>
    <n v="0.16955017301038061"/>
    <s v="Healthy"/>
    <s v="Safe"/>
    <n v="0.29411764705882354"/>
    <s v="Safe"/>
    <n v="1000"/>
    <n v="0.29411764705882354"/>
  </r>
  <r>
    <s v="ORD-10979"/>
    <x v="149"/>
    <s v="P022"/>
    <x v="17"/>
    <s v="Office Supplies"/>
    <s v="Writing"/>
    <s v="WriteWell"/>
    <s v="B05"/>
    <x v="0"/>
    <s v="Kano"/>
    <x v="0"/>
    <s v="Member"/>
    <s v="Transfer"/>
    <n v="4"/>
    <n v="1300"/>
    <n v="2100"/>
    <n v="0.1"/>
    <x v="15"/>
    <n v="4"/>
    <n v="8400"/>
    <n v="840"/>
    <n v="7560"/>
    <n v="5200"/>
    <n v="2360"/>
    <n v="0.31216931216931215"/>
    <s v="Understocked"/>
    <s v="Safe"/>
    <n v="0.38095238095238093"/>
    <s v="Safe"/>
    <n v="800"/>
    <n v="0.38095238095238093"/>
  </r>
  <r>
    <s v="ORD-10980"/>
    <x v="65"/>
    <s v="P006"/>
    <x v="0"/>
    <s v="Beverages"/>
    <s v="Water"/>
    <s v="AquaPure"/>
    <s v="B05"/>
    <x v="0"/>
    <s v="Kano"/>
    <x v="0"/>
    <s v="Member"/>
    <s v="POS"/>
    <n v="1"/>
    <n v="230"/>
    <n v="400"/>
    <n v="0.2"/>
    <x v="0"/>
    <n v="3"/>
    <n v="400"/>
    <n v="80"/>
    <n v="320"/>
    <n v="230"/>
    <n v="90"/>
    <n v="0.28125"/>
    <s v="Understocked"/>
    <s v="Safe"/>
    <n v="0.42499999999999999"/>
    <s v="Safe"/>
    <n v="170"/>
    <n v="0.42499999999999999"/>
  </r>
  <r>
    <s v="ORD-10981"/>
    <x v="42"/>
    <s v="P006"/>
    <x v="0"/>
    <s v="Beverages"/>
    <s v="Water"/>
    <s v="AquaPure"/>
    <s v="B02"/>
    <x v="4"/>
    <s v="Abuja"/>
    <x v="2"/>
    <s v="Member"/>
    <s v="POS"/>
    <n v="2"/>
    <n v="230"/>
    <n v="400"/>
    <n v="0.15"/>
    <x v="2"/>
    <n v="6"/>
    <n v="800"/>
    <n v="120"/>
    <n v="680"/>
    <n v="460"/>
    <n v="220"/>
    <n v="0.3235294117647059"/>
    <s v="Understocked"/>
    <s v="Safe"/>
    <n v="0.42499999999999999"/>
    <s v="Safe"/>
    <n v="170"/>
    <n v="0.42499999999999999"/>
  </r>
  <r>
    <s v="ORD-10982"/>
    <x v="52"/>
    <s v="P022"/>
    <x v="17"/>
    <s v="Office Supplies"/>
    <s v="Writing"/>
    <s v="WriteWell"/>
    <s v="B05"/>
    <x v="0"/>
    <s v="Kano"/>
    <x v="0"/>
    <s v="Member"/>
    <s v="Cash"/>
    <n v="8"/>
    <n v="1300"/>
    <n v="2100"/>
    <n v="0.15"/>
    <x v="15"/>
    <n v="14"/>
    <n v="16800"/>
    <n v="2520"/>
    <n v="14280"/>
    <n v="10400"/>
    <n v="3880"/>
    <n v="0.27170868347338933"/>
    <s v="Understocked"/>
    <s v="Safe"/>
    <n v="0.38095238095238093"/>
    <s v="Safe"/>
    <n v="800"/>
    <n v="0.38095238095238093"/>
  </r>
  <r>
    <s v="ORD-10983"/>
    <x v="200"/>
    <s v="P017"/>
    <x v="23"/>
    <s v="Electronics"/>
    <s v="Accessories"/>
    <s v="PowerMax"/>
    <s v="B02"/>
    <x v="4"/>
    <s v="Abuja"/>
    <x v="2"/>
    <s v="Member"/>
    <s v="POS"/>
    <n v="1"/>
    <n v="7500"/>
    <n v="10500"/>
    <n v="0.15"/>
    <x v="4"/>
    <n v="2"/>
    <n v="10500"/>
    <n v="1575"/>
    <n v="8925"/>
    <n v="7500"/>
    <n v="1425"/>
    <n v="0.15966386554621848"/>
    <s v="Healthy"/>
    <s v="Safe"/>
    <n v="0.2857142857142857"/>
    <s v="Safe"/>
    <n v="3000"/>
    <n v="0.2857142857142857"/>
  </r>
  <r>
    <s v="ORD-10984"/>
    <x v="333"/>
    <s v="P003"/>
    <x v="12"/>
    <s v="Food"/>
    <s v="Cooking Oil"/>
    <s v="SunGold"/>
    <s v="B03"/>
    <x v="6"/>
    <s v="Lagos"/>
    <x v="4"/>
    <s v="Walk-in"/>
    <s v="Transfer"/>
    <n v="1"/>
    <n v="7800"/>
    <n v="9800"/>
    <n v="0.1"/>
    <x v="8"/>
    <n v="12"/>
    <n v="9800"/>
    <n v="980"/>
    <n v="8820"/>
    <n v="7800"/>
    <n v="1020"/>
    <n v="0.11564625850340136"/>
    <s v="Understocked"/>
    <s v="Safe"/>
    <n v="0.20408163265306123"/>
    <s v="Safe"/>
    <n v="2000"/>
    <n v="0.20408163265306123"/>
  </r>
  <r>
    <s v="ORD-10985"/>
    <x v="324"/>
    <s v="P018"/>
    <x v="16"/>
    <s v="Electronics"/>
    <s v="Mobile Accessories"/>
    <s v="VoltSafe"/>
    <s v="B03"/>
    <x v="6"/>
    <s v="Lagos"/>
    <x v="4"/>
    <s v="Walk-in"/>
    <s v="Transfer"/>
    <n v="5"/>
    <n v="18000"/>
    <n v="24500"/>
    <n v="0.1"/>
    <x v="13"/>
    <n v="9"/>
    <n v="122500"/>
    <n v="12250"/>
    <n v="110250"/>
    <n v="90000"/>
    <n v="20250"/>
    <n v="0.18367346938775511"/>
    <s v="Understocked"/>
    <s v="Safe"/>
    <n v="0.26530612244897961"/>
    <s v="Safe"/>
    <n v="6500"/>
    <n v="0.26530612244897961"/>
  </r>
  <r>
    <s v="ORD-10986"/>
    <x v="258"/>
    <s v="P009"/>
    <x v="13"/>
    <s v="Household"/>
    <s v="Cleaning"/>
    <s v="BrightWash"/>
    <s v="B02"/>
    <x v="4"/>
    <s v="Abuja"/>
    <x v="2"/>
    <s v="Walk-in"/>
    <s v="POS"/>
    <n v="1"/>
    <n v="2400"/>
    <n v="3400"/>
    <n v="0.1"/>
    <x v="1"/>
    <n v="4"/>
    <n v="3400"/>
    <n v="340"/>
    <n v="3060"/>
    <n v="2400"/>
    <n v="660"/>
    <n v="0.21568627450980393"/>
    <s v="Healthy"/>
    <s v="Safe"/>
    <n v="0.29411764705882354"/>
    <s v="Safe"/>
    <n v="1000"/>
    <n v="0.29411764705882354"/>
  </r>
  <r>
    <s v="ORD-10987"/>
    <x v="40"/>
    <s v="P007"/>
    <x v="3"/>
    <s v="Beverages"/>
    <s v="Malt"/>
    <s v="Naija Malt"/>
    <s v="B02"/>
    <x v="4"/>
    <s v="Abuja"/>
    <x v="2"/>
    <s v="Walk-in"/>
    <s v="Cash"/>
    <n v="5"/>
    <n v="550"/>
    <n v="850"/>
    <n v="0.05"/>
    <x v="3"/>
    <n v="1"/>
    <n v="4250"/>
    <n v="212.5"/>
    <n v="4037.5"/>
    <n v="2750"/>
    <n v="1287.5"/>
    <n v="0.31888544891640869"/>
    <s v="Healthy"/>
    <s v="Safe"/>
    <n v="0.35294117647058826"/>
    <s v="Safe"/>
    <n v="300"/>
    <n v="0.35294117647058826"/>
  </r>
  <r>
    <s v="ORD-10988"/>
    <x v="123"/>
    <s v="P020"/>
    <x v="5"/>
    <s v="Electronics"/>
    <s v="Lighting"/>
    <s v="Luma"/>
    <s v="B07"/>
    <x v="3"/>
    <s v="Enugu"/>
    <x v="3"/>
    <s v="Walk-in"/>
    <s v="POS"/>
    <n v="5"/>
    <n v="1500"/>
    <n v="2500"/>
    <n v="0"/>
    <x v="13"/>
    <n v="4"/>
    <n v="12500"/>
    <n v="0"/>
    <n v="12500"/>
    <n v="7500"/>
    <n v="5000"/>
    <n v="0.4"/>
    <s v="Healthy"/>
    <s v="Safe"/>
    <n v="0.4"/>
    <s v="Safe"/>
    <n v="1000"/>
    <n v="0.4"/>
  </r>
  <r>
    <s v="ORD-10989"/>
    <x v="334"/>
    <s v="P002"/>
    <x v="10"/>
    <s v="Food"/>
    <s v="Grains"/>
    <s v="Mama's Pride"/>
    <s v="B01"/>
    <x v="2"/>
    <s v="Abuja"/>
    <x v="2"/>
    <s v="Walk-in"/>
    <s v="Cash"/>
    <n v="8"/>
    <n v="6200"/>
    <n v="7900"/>
    <n v="0.1"/>
    <x v="8"/>
    <n v="6"/>
    <n v="63200"/>
    <n v="6320"/>
    <n v="56880"/>
    <n v="49600"/>
    <n v="7280"/>
    <n v="0.12798874824191281"/>
    <s v="Healthy"/>
    <s v="Safe"/>
    <n v="0.21518987341772153"/>
    <s v="Safe"/>
    <n v="1700"/>
    <n v="0.21518987341772153"/>
  </r>
  <r>
    <s v="ORD-10990"/>
    <x v="247"/>
    <s v="P014"/>
    <x v="15"/>
    <s v="Personal Care"/>
    <s v="Oral Care"/>
    <s v="FreshMint"/>
    <s v="B01"/>
    <x v="2"/>
    <s v="Abuja"/>
    <x v="2"/>
    <s v="Walk-in"/>
    <s v="Transfer"/>
    <n v="5"/>
    <n v="1200"/>
    <n v="1900"/>
    <n v="0.15"/>
    <x v="6"/>
    <n v="4"/>
    <n v="9500"/>
    <n v="1425"/>
    <n v="8075"/>
    <n v="6000"/>
    <n v="2075"/>
    <n v="0.25696594427244585"/>
    <s v="Healthy"/>
    <s v="Safe"/>
    <n v="0.36842105263157893"/>
    <s v="Safe"/>
    <n v="700"/>
    <n v="0.36842105263157893"/>
  </r>
  <r>
    <s v="ORD-10991"/>
    <x v="67"/>
    <s v="P019"/>
    <x v="18"/>
    <s v="Electronics"/>
    <s v="Audio"/>
    <s v="SoundBeat"/>
    <s v="B03"/>
    <x v="6"/>
    <s v="Lagos"/>
    <x v="4"/>
    <s v="Walk-in"/>
    <s v="POS"/>
    <n v="4"/>
    <n v="12500"/>
    <n v="18500"/>
    <n v="0.05"/>
    <x v="13"/>
    <n v="8"/>
    <n v="74000"/>
    <n v="3700"/>
    <n v="70300"/>
    <n v="50000"/>
    <n v="20300"/>
    <n v="0.28876244665718348"/>
    <s v="Understocked"/>
    <s v="Safe"/>
    <n v="0.32432432432432434"/>
    <s v="Safe"/>
    <n v="6000"/>
    <n v="0.32432432432432434"/>
  </r>
  <r>
    <s v="ORD-10992"/>
    <x v="155"/>
    <s v="P008"/>
    <x v="4"/>
    <s v="Beverages"/>
    <s v="Soft Drinks"/>
    <s v="Sparkle"/>
    <s v="B05"/>
    <x v="0"/>
    <s v="Kano"/>
    <x v="0"/>
    <s v="Walk-in"/>
    <s v="POS"/>
    <n v="1"/>
    <n v="330"/>
    <n v="550"/>
    <n v="0"/>
    <x v="0"/>
    <n v="13"/>
    <n v="550"/>
    <n v="0"/>
    <n v="550"/>
    <n v="330"/>
    <n v="220"/>
    <n v="0.4"/>
    <s v="Healthy"/>
    <s v="Safe"/>
    <n v="0.4"/>
    <s v="Safe"/>
    <n v="220"/>
    <n v="0.4"/>
  </r>
  <r>
    <s v="ORD-10993"/>
    <x v="249"/>
    <s v="P001"/>
    <x v="14"/>
    <s v="Food"/>
    <s v="Grains"/>
    <s v="Golden Harvest"/>
    <s v="B07"/>
    <x v="3"/>
    <s v="Enugu"/>
    <x v="3"/>
    <s v="Walk-in"/>
    <s v="POS"/>
    <n v="4"/>
    <n v="14500"/>
    <n v="17500"/>
    <n v="0.15"/>
    <x v="1"/>
    <n v="9"/>
    <n v="70000"/>
    <n v="10500"/>
    <n v="59500"/>
    <n v="58000"/>
    <n v="1500"/>
    <n v="2.5210084033613446E-2"/>
    <s v="Understocked"/>
    <s v="Safe"/>
    <n v="0.17142857142857143"/>
    <s v="Safe"/>
    <n v="3000"/>
    <n v="0.17142857142857143"/>
  </r>
  <r>
    <s v="ORD-10994"/>
    <x v="32"/>
    <s v="P008"/>
    <x v="4"/>
    <s v="Beverages"/>
    <s v="Soft Drinks"/>
    <s v="Sparkle"/>
    <s v="B02"/>
    <x v="4"/>
    <s v="Abuja"/>
    <x v="2"/>
    <s v="Corporate"/>
    <s v="Cash"/>
    <n v="10"/>
    <n v="330"/>
    <n v="550"/>
    <n v="0.05"/>
    <x v="3"/>
    <n v="7"/>
    <n v="5500"/>
    <n v="275"/>
    <n v="5225"/>
    <n v="3300"/>
    <n v="1925"/>
    <n v="0.36842105263157893"/>
    <s v="Healthy"/>
    <s v="Safe"/>
    <n v="0.4"/>
    <s v="Safe"/>
    <n v="220"/>
    <n v="0.4"/>
  </r>
  <r>
    <s v="ORD-10995"/>
    <x v="158"/>
    <s v="P007"/>
    <x v="3"/>
    <s v="Beverages"/>
    <s v="Malt"/>
    <s v="Naija Malt"/>
    <s v="B07"/>
    <x v="3"/>
    <s v="Enugu"/>
    <x v="3"/>
    <s v="Walk-in"/>
    <s v="POS"/>
    <n v="10"/>
    <n v="550"/>
    <n v="850"/>
    <n v="0.1"/>
    <x v="2"/>
    <n v="6"/>
    <n v="8500"/>
    <n v="850"/>
    <n v="7650"/>
    <n v="5500"/>
    <n v="2150"/>
    <n v="0.28104575163398693"/>
    <s v="Healthy"/>
    <s v="Safe"/>
    <n v="0.35294117647058826"/>
    <s v="Safe"/>
    <n v="300"/>
    <n v="0.35294117647058826"/>
  </r>
  <r>
    <s v="ORD-10996"/>
    <x v="157"/>
    <s v="P019"/>
    <x v="18"/>
    <s v="Electronics"/>
    <s v="Audio"/>
    <s v="SoundBeat"/>
    <s v="B02"/>
    <x v="4"/>
    <s v="Abuja"/>
    <x v="2"/>
    <s v="Walk-in"/>
    <s v="Cash"/>
    <n v="5"/>
    <n v="12500"/>
    <n v="18500"/>
    <n v="0.1"/>
    <x v="4"/>
    <n v="6"/>
    <n v="92500"/>
    <n v="9250"/>
    <n v="83250"/>
    <n v="62500"/>
    <n v="20750"/>
    <n v="0.24924924924924924"/>
    <s v="Understocked"/>
    <s v="Safe"/>
    <n v="0.32432432432432434"/>
    <s v="Safe"/>
    <n v="6000"/>
    <n v="0.32432432432432434"/>
  </r>
  <r>
    <s v="ORD-10997"/>
    <x v="269"/>
    <s v="P001"/>
    <x v="14"/>
    <s v="Food"/>
    <s v="Grains"/>
    <s v="Golden Harvest"/>
    <s v="B03"/>
    <x v="6"/>
    <s v="Lagos"/>
    <x v="4"/>
    <s v="Member"/>
    <s v="POS"/>
    <n v="3"/>
    <n v="14500"/>
    <n v="17500"/>
    <n v="0"/>
    <x v="8"/>
    <n v="4"/>
    <n v="52500"/>
    <n v="0"/>
    <n v="52500"/>
    <n v="43500"/>
    <n v="9000"/>
    <n v="0.17142857142857143"/>
    <s v="Understocked"/>
    <s v="Safe"/>
    <n v="0.17142857142857143"/>
    <s v="Safe"/>
    <n v="3000"/>
    <n v="0.17142857142857143"/>
  </r>
  <r>
    <s v="ORD-10998"/>
    <x v="267"/>
    <s v="P022"/>
    <x v="17"/>
    <s v="Office Supplies"/>
    <s v="Writing"/>
    <s v="WriteWell"/>
    <s v="B02"/>
    <x v="4"/>
    <s v="Abuja"/>
    <x v="2"/>
    <s v="Walk-in"/>
    <s v="POS"/>
    <n v="1"/>
    <n v="1300"/>
    <n v="2100"/>
    <n v="0.1"/>
    <x v="14"/>
    <n v="1"/>
    <n v="2100"/>
    <n v="210"/>
    <n v="1890"/>
    <n v="1300"/>
    <n v="590"/>
    <n v="0.31216931216931215"/>
    <s v="Understocked"/>
    <s v="Safe"/>
    <n v="0.38095238095238093"/>
    <s v="Safe"/>
    <n v="800"/>
    <n v="0.38095238095238093"/>
  </r>
  <r>
    <s v="ORD-10999"/>
    <x v="204"/>
    <s v="P022"/>
    <x v="17"/>
    <s v="Office Supplies"/>
    <s v="Writing"/>
    <s v="WriteWell"/>
    <s v="B01"/>
    <x v="2"/>
    <s v="Abuja"/>
    <x v="2"/>
    <s v="Walk-in"/>
    <s v="Cash"/>
    <n v="2"/>
    <n v="1300"/>
    <n v="2100"/>
    <n v="0"/>
    <x v="14"/>
    <n v="12"/>
    <n v="4200"/>
    <n v="0"/>
    <n v="4200"/>
    <n v="2600"/>
    <n v="1600"/>
    <n v="0.38095238095238093"/>
    <s v="Understocked"/>
    <s v="Safe"/>
    <n v="0.38095238095238093"/>
    <s v="Safe"/>
    <n v="800"/>
    <n v="0.38095238095238093"/>
  </r>
  <r>
    <s v="ORD-11000"/>
    <x v="27"/>
    <s v="P015"/>
    <x v="8"/>
    <s v="Personal Care"/>
    <s v="Bath"/>
    <s v="SilkyTouch"/>
    <s v="B01"/>
    <x v="2"/>
    <s v="Abuja"/>
    <x v="2"/>
    <s v="Walk-in"/>
    <s v="POS"/>
    <n v="2"/>
    <n v="600"/>
    <n v="950"/>
    <n v="0.1"/>
    <x v="6"/>
    <n v="1"/>
    <n v="1900"/>
    <n v="190"/>
    <n v="1710"/>
    <n v="1200"/>
    <n v="510"/>
    <n v="0.2982456140350877"/>
    <s v="Healthy"/>
    <s v="Safe"/>
    <n v="0.36842105263157893"/>
    <s v="Safe"/>
    <n v="350"/>
    <n v="0.36842105263157893"/>
  </r>
  <r>
    <s v="ORD-11001"/>
    <x v="239"/>
    <s v="P008"/>
    <x v="4"/>
    <s v="Beverages"/>
    <s v="Soft Drinks"/>
    <s v="Sparkle"/>
    <s v="B07"/>
    <x v="3"/>
    <s v="Enugu"/>
    <x v="3"/>
    <s v="Member"/>
    <s v="Cash"/>
    <n v="1"/>
    <n v="330"/>
    <n v="550"/>
    <n v="0"/>
    <x v="0"/>
    <n v="2"/>
    <n v="550"/>
    <n v="0"/>
    <n v="550"/>
    <n v="330"/>
    <n v="220"/>
    <n v="0.4"/>
    <s v="Healthy"/>
    <s v="Safe"/>
    <n v="0.4"/>
    <s v="Safe"/>
    <n v="220"/>
    <n v="0.4"/>
  </r>
  <r>
    <s v="ORD-11002"/>
    <x v="44"/>
    <s v="P020"/>
    <x v="5"/>
    <s v="Electronics"/>
    <s v="Lighting"/>
    <s v="Luma"/>
    <s v="B06"/>
    <x v="1"/>
    <s v="Rivers"/>
    <x v="1"/>
    <s v="Walk-in"/>
    <s v="POS"/>
    <n v="4"/>
    <n v="1500"/>
    <n v="2500"/>
    <n v="0.1"/>
    <x v="12"/>
    <n v="12"/>
    <n v="10000"/>
    <n v="1000"/>
    <n v="9000"/>
    <n v="6000"/>
    <n v="3000"/>
    <n v="0.33333333333333331"/>
    <s v="Healthy"/>
    <s v="Safe"/>
    <n v="0.4"/>
    <s v="Safe"/>
    <n v="1000"/>
    <n v="0.4"/>
  </r>
  <r>
    <s v="ORD-11003"/>
    <x v="235"/>
    <s v="P022"/>
    <x v="17"/>
    <s v="Office Supplies"/>
    <s v="Writing"/>
    <s v="WriteWell"/>
    <s v="B03"/>
    <x v="6"/>
    <s v="Lagos"/>
    <x v="4"/>
    <s v="Walk-in"/>
    <s v="POS"/>
    <n v="5"/>
    <n v="1300"/>
    <n v="2100"/>
    <n v="0.05"/>
    <x v="14"/>
    <n v="1"/>
    <n v="10500"/>
    <n v="525"/>
    <n v="9975"/>
    <n v="6500"/>
    <n v="3475"/>
    <n v="0.34837092731829572"/>
    <s v="Understocked"/>
    <s v="Safe"/>
    <n v="0.38095238095238093"/>
    <s v="Safe"/>
    <n v="800"/>
    <n v="0.38095238095238093"/>
  </r>
  <r>
    <s v="ORD-11004"/>
    <x v="6"/>
    <s v="P007"/>
    <x v="3"/>
    <s v="Beverages"/>
    <s v="Malt"/>
    <s v="Naija Malt"/>
    <s v="B02"/>
    <x v="4"/>
    <s v="Abuja"/>
    <x v="2"/>
    <s v="Walk-in"/>
    <s v="POS"/>
    <n v="3"/>
    <n v="550"/>
    <n v="850"/>
    <n v="0"/>
    <x v="2"/>
    <n v="2"/>
    <n v="2550"/>
    <n v="0"/>
    <n v="2550"/>
    <n v="1650"/>
    <n v="900"/>
    <n v="0.35294117647058826"/>
    <s v="Healthy"/>
    <s v="Safe"/>
    <n v="0.35294117647058826"/>
    <s v="Safe"/>
    <n v="300"/>
    <n v="0.35294117647058826"/>
  </r>
  <r>
    <s v="ORD-11005"/>
    <x v="81"/>
    <s v="P017"/>
    <x v="23"/>
    <s v="Electronics"/>
    <s v="Accessories"/>
    <s v="PowerMax"/>
    <s v="B03"/>
    <x v="6"/>
    <s v="Lagos"/>
    <x v="4"/>
    <s v="Member"/>
    <s v="Transfer"/>
    <n v="6"/>
    <n v="7500"/>
    <n v="10500"/>
    <n v="0.2"/>
    <x v="13"/>
    <n v="6"/>
    <n v="63000"/>
    <n v="12600"/>
    <n v="50400"/>
    <n v="45000"/>
    <n v="5400"/>
    <n v="0.10714285714285714"/>
    <s v="Healthy"/>
    <s v="Safe"/>
    <n v="0.2857142857142857"/>
    <s v="Safe"/>
    <n v="3000"/>
    <n v="0.2857142857142857"/>
  </r>
  <r>
    <s v="ORD-11006"/>
    <x v="230"/>
    <s v="P004"/>
    <x v="1"/>
    <s v="Beverages"/>
    <s v="Dairy"/>
    <s v="FreshDay"/>
    <s v="B03"/>
    <x v="6"/>
    <s v="Lagos"/>
    <x v="4"/>
    <s v="Walk-in"/>
    <s v="POS"/>
    <n v="2"/>
    <n v="1650"/>
    <n v="2200"/>
    <n v="0"/>
    <x v="2"/>
    <n v="8"/>
    <n v="4400"/>
    <n v="0"/>
    <n v="4400"/>
    <n v="3300"/>
    <n v="1100"/>
    <n v="0.25"/>
    <s v="Understocked"/>
    <s v="Safe"/>
    <n v="0.25"/>
    <s v="Safe"/>
    <n v="550"/>
    <n v="0.25"/>
  </r>
  <r>
    <s v="ORD-11007"/>
    <x v="240"/>
    <s v="P014"/>
    <x v="15"/>
    <s v="Personal Care"/>
    <s v="Oral Care"/>
    <s v="FreshMint"/>
    <s v="B02"/>
    <x v="4"/>
    <s v="Abuja"/>
    <x v="2"/>
    <s v="Walk-in"/>
    <s v="POS"/>
    <n v="1"/>
    <n v="1200"/>
    <n v="1900"/>
    <n v="0.1"/>
    <x v="11"/>
    <n v="7"/>
    <n v="1900"/>
    <n v="190"/>
    <n v="1710"/>
    <n v="1200"/>
    <n v="510"/>
    <n v="0.2982456140350877"/>
    <s v="Healthy"/>
    <s v="Safe"/>
    <n v="0.36842105263157893"/>
    <s v="Safe"/>
    <n v="700"/>
    <n v="0.36842105263157893"/>
  </r>
  <r>
    <s v="ORD-11008"/>
    <x v="5"/>
    <s v="P003"/>
    <x v="12"/>
    <s v="Food"/>
    <s v="Cooking Oil"/>
    <s v="SunGold"/>
    <s v="B03"/>
    <x v="6"/>
    <s v="Lagos"/>
    <x v="4"/>
    <s v="Walk-in"/>
    <s v="POS"/>
    <n v="5"/>
    <n v="7800"/>
    <n v="9800"/>
    <n v="0.2"/>
    <x v="1"/>
    <n v="8"/>
    <n v="49000"/>
    <n v="9800"/>
    <n v="39200"/>
    <n v="39000"/>
    <n v="200"/>
    <n v="5.1020408163265302E-3"/>
    <s v="Understocked"/>
    <s v="Safe"/>
    <n v="0.20408163265306123"/>
    <s v="Safe"/>
    <n v="2000"/>
    <n v="0.20408163265306123"/>
  </r>
  <r>
    <s v="ORD-11009"/>
    <x v="6"/>
    <s v="P001"/>
    <x v="14"/>
    <s v="Food"/>
    <s v="Grains"/>
    <s v="Golden Harvest"/>
    <s v="B08"/>
    <x v="7"/>
    <s v="Kwara"/>
    <x v="2"/>
    <s v="Member"/>
    <s v="POS"/>
    <n v="1"/>
    <n v="14500"/>
    <n v="17500"/>
    <n v="0.15"/>
    <x v="9"/>
    <n v="14"/>
    <n v="17500"/>
    <n v="2625"/>
    <n v="14875"/>
    <n v="14500"/>
    <n v="375"/>
    <n v="2.5210084033613446E-2"/>
    <s v="Understocked"/>
    <s v="Safe"/>
    <n v="0.17142857142857143"/>
    <s v="Safe"/>
    <n v="3000"/>
    <n v="0.17142857142857143"/>
  </r>
  <r>
    <s v="ORD-11010"/>
    <x v="49"/>
    <s v="P004"/>
    <x v="1"/>
    <s v="Beverages"/>
    <s v="Dairy"/>
    <s v="FreshDay"/>
    <s v="B03"/>
    <x v="6"/>
    <s v="Lagos"/>
    <x v="4"/>
    <s v="Walk-in"/>
    <s v="Cash"/>
    <n v="1"/>
    <n v="1650"/>
    <n v="2200"/>
    <n v="0.05"/>
    <x v="2"/>
    <n v="8"/>
    <n v="2200"/>
    <n v="110"/>
    <n v="2090"/>
    <n v="1650"/>
    <n v="440"/>
    <n v="0.21052631578947367"/>
    <s v="Understocked"/>
    <s v="Safe"/>
    <n v="0.25"/>
    <s v="Safe"/>
    <n v="550"/>
    <n v="0.25"/>
  </r>
  <r>
    <s v="ORD-11011"/>
    <x v="272"/>
    <s v="P003"/>
    <x v="12"/>
    <s v="Food"/>
    <s v="Cooking Oil"/>
    <s v="SunGold"/>
    <s v="B02"/>
    <x v="4"/>
    <s v="Abuja"/>
    <x v="2"/>
    <s v="Walk-in"/>
    <s v="Transfer"/>
    <n v="1"/>
    <n v="7800"/>
    <n v="9800"/>
    <n v="0.2"/>
    <x v="8"/>
    <n v="6"/>
    <n v="9800"/>
    <n v="1960"/>
    <n v="7840"/>
    <n v="7800"/>
    <n v="40"/>
    <n v="5.1020408163265302E-3"/>
    <s v="Understocked"/>
    <s v="Safe"/>
    <n v="0.20408163265306123"/>
    <s v="Safe"/>
    <n v="2000"/>
    <n v="0.20408163265306123"/>
  </r>
  <r>
    <s v="ORD-11012"/>
    <x v="325"/>
    <s v="P024"/>
    <x v="19"/>
    <s v="Office Supplies"/>
    <s v="Accessories"/>
    <s v="ErgoDesk"/>
    <s v="B04"/>
    <x v="5"/>
    <s v="Lagos"/>
    <x v="4"/>
    <s v="Walk-in"/>
    <s v="Cash"/>
    <n v="4"/>
    <n v="1700"/>
    <n v="2800"/>
    <n v="0.15"/>
    <x v="15"/>
    <n v="8"/>
    <n v="11200"/>
    <n v="1680"/>
    <n v="9520"/>
    <n v="6800"/>
    <n v="2720"/>
    <n v="0.2857142857142857"/>
    <s v="Overstocked"/>
    <s v="Safe"/>
    <n v="0.39285714285714285"/>
    <s v="Safe"/>
    <n v="1100"/>
    <n v="0.39285714285714285"/>
  </r>
  <r>
    <s v="ORD-11013"/>
    <x v="242"/>
    <s v="P006"/>
    <x v="0"/>
    <s v="Beverages"/>
    <s v="Water"/>
    <s v="AquaPure"/>
    <s v="B01"/>
    <x v="2"/>
    <s v="Abuja"/>
    <x v="2"/>
    <s v="Corporate"/>
    <s v="Transfer"/>
    <n v="3"/>
    <n v="230"/>
    <n v="400"/>
    <n v="0.05"/>
    <x v="2"/>
    <n v="8"/>
    <n v="1200"/>
    <n v="60"/>
    <n v="1140"/>
    <n v="690"/>
    <n v="450"/>
    <n v="0.39473684210526316"/>
    <s v="Understocked"/>
    <s v="Safe"/>
    <n v="0.42499999999999999"/>
    <s v="Safe"/>
    <n v="170"/>
    <n v="0.42499999999999999"/>
  </r>
  <r>
    <s v="ORD-11014"/>
    <x v="104"/>
    <s v="P020"/>
    <x v="5"/>
    <s v="Electronics"/>
    <s v="Lighting"/>
    <s v="Luma"/>
    <s v="B08"/>
    <x v="7"/>
    <s v="Kwara"/>
    <x v="2"/>
    <s v="Member"/>
    <s v="Cash"/>
    <n v="4"/>
    <n v="1500"/>
    <n v="2500"/>
    <n v="0"/>
    <x v="4"/>
    <n v="5"/>
    <n v="10000"/>
    <n v="0"/>
    <n v="10000"/>
    <n v="6000"/>
    <n v="4000"/>
    <n v="0.4"/>
    <s v="Healthy"/>
    <s v="Safe"/>
    <n v="0.4"/>
    <s v="Safe"/>
    <n v="1000"/>
    <n v="0.4"/>
  </r>
  <r>
    <s v="ORD-11015"/>
    <x v="335"/>
    <s v="P020"/>
    <x v="5"/>
    <s v="Electronics"/>
    <s v="Lighting"/>
    <s v="Luma"/>
    <s v="B04"/>
    <x v="5"/>
    <s v="Lagos"/>
    <x v="4"/>
    <s v="Member"/>
    <s v="Cash"/>
    <n v="2"/>
    <n v="1500"/>
    <n v="2500"/>
    <n v="0"/>
    <x v="4"/>
    <n v="2"/>
    <n v="5000"/>
    <n v="0"/>
    <n v="5000"/>
    <n v="3000"/>
    <n v="2000"/>
    <n v="0.4"/>
    <s v="Healthy"/>
    <s v="Safe"/>
    <n v="0.4"/>
    <s v="Safe"/>
    <n v="1000"/>
    <n v="0.4"/>
  </r>
  <r>
    <s v="ORD-11016"/>
    <x v="63"/>
    <s v="P006"/>
    <x v="0"/>
    <s v="Beverages"/>
    <s v="Water"/>
    <s v="AquaPure"/>
    <s v="B06"/>
    <x v="1"/>
    <s v="Rivers"/>
    <x v="1"/>
    <s v="Walk-in"/>
    <s v="Transfer"/>
    <n v="1"/>
    <n v="230"/>
    <n v="400"/>
    <n v="0.05"/>
    <x v="0"/>
    <n v="13"/>
    <n v="400"/>
    <n v="20"/>
    <n v="380"/>
    <n v="230"/>
    <n v="150"/>
    <n v="0.39473684210526316"/>
    <s v="Understocked"/>
    <s v="Safe"/>
    <n v="0.42499999999999999"/>
    <s v="Safe"/>
    <n v="170"/>
    <n v="0.42499999999999999"/>
  </r>
  <r>
    <s v="ORD-11017"/>
    <x v="37"/>
    <s v="P008"/>
    <x v="4"/>
    <s v="Beverages"/>
    <s v="Soft Drinks"/>
    <s v="Sparkle"/>
    <s v="B07"/>
    <x v="3"/>
    <s v="Enugu"/>
    <x v="3"/>
    <s v="Walk-in"/>
    <s v="POS"/>
    <n v="3"/>
    <n v="330"/>
    <n v="550"/>
    <n v="0.15"/>
    <x v="3"/>
    <n v="2"/>
    <n v="1650"/>
    <n v="247.5"/>
    <n v="1402.5"/>
    <n v="990"/>
    <n v="412.5"/>
    <n v="0.29411764705882354"/>
    <s v="Healthy"/>
    <s v="Safe"/>
    <n v="0.4"/>
    <s v="Safe"/>
    <n v="220"/>
    <n v="0.4"/>
  </r>
  <r>
    <s v="ORD-11018"/>
    <x v="336"/>
    <s v="P013"/>
    <x v="11"/>
    <s v="Personal Care"/>
    <s v="Skin Care"/>
    <s v="GlowPlus"/>
    <s v="B03"/>
    <x v="6"/>
    <s v="Lagos"/>
    <x v="4"/>
    <s v="Member"/>
    <s v="POS"/>
    <n v="10"/>
    <n v="3500"/>
    <n v="5200"/>
    <n v="0.2"/>
    <x v="11"/>
    <n v="1"/>
    <n v="52000"/>
    <n v="10400"/>
    <n v="41600"/>
    <n v="35000"/>
    <n v="6600"/>
    <n v="0.15865384615384615"/>
    <s v="Healthy"/>
    <s v="Safe"/>
    <n v="0.32692307692307693"/>
    <s v="Safe"/>
    <n v="1700"/>
    <n v="0.32692307692307693"/>
  </r>
  <r>
    <s v="ORD-11019"/>
    <x v="294"/>
    <s v="P022"/>
    <x v="17"/>
    <s v="Office Supplies"/>
    <s v="Writing"/>
    <s v="WriteWell"/>
    <s v="B04"/>
    <x v="5"/>
    <s v="Lagos"/>
    <x v="4"/>
    <s v="Member"/>
    <s v="Card"/>
    <n v="2"/>
    <n v="1300"/>
    <n v="2100"/>
    <n v="0.15"/>
    <x v="5"/>
    <n v="1"/>
    <n v="4200"/>
    <n v="630"/>
    <n v="3570"/>
    <n v="2600"/>
    <n v="970"/>
    <n v="0.27170868347338933"/>
    <s v="Understocked"/>
    <s v="Safe"/>
    <n v="0.38095238095238093"/>
    <s v="Safe"/>
    <n v="800"/>
    <n v="0.38095238095238093"/>
  </r>
  <r>
    <s v="ORD-11020"/>
    <x v="94"/>
    <s v="P013"/>
    <x v="11"/>
    <s v="Personal Care"/>
    <s v="Skin Care"/>
    <s v="GlowPlus"/>
    <s v="B05"/>
    <x v="0"/>
    <s v="Kano"/>
    <x v="0"/>
    <s v="Member"/>
    <s v="Cash"/>
    <n v="3"/>
    <n v="3500"/>
    <n v="5200"/>
    <n v="0"/>
    <x v="10"/>
    <n v="9"/>
    <n v="15600"/>
    <n v="0"/>
    <n v="15600"/>
    <n v="10500"/>
    <n v="5100"/>
    <n v="0.32692307692307693"/>
    <s v="Healthy"/>
    <s v="Safe"/>
    <n v="0.32692307692307693"/>
    <s v="Safe"/>
    <n v="1700"/>
    <n v="0.32692307692307693"/>
  </r>
  <r>
    <s v="ORD-11021"/>
    <x v="223"/>
    <s v="P007"/>
    <x v="3"/>
    <s v="Beverages"/>
    <s v="Malt"/>
    <s v="Naija Malt"/>
    <s v="B03"/>
    <x v="6"/>
    <s v="Lagos"/>
    <x v="4"/>
    <s v="Walk-in"/>
    <s v="Cash"/>
    <n v="8"/>
    <n v="550"/>
    <n v="850"/>
    <n v="0.2"/>
    <x v="2"/>
    <n v="1"/>
    <n v="6800"/>
    <n v="1360"/>
    <n v="5440"/>
    <n v="4400"/>
    <n v="1040"/>
    <n v="0.19117647058823528"/>
    <s v="Healthy"/>
    <s v="Safe"/>
    <n v="0.35294117647058826"/>
    <s v="Safe"/>
    <n v="300"/>
    <n v="0.35294117647058826"/>
  </r>
  <r>
    <s v="ORD-11022"/>
    <x v="9"/>
    <s v="P009"/>
    <x v="13"/>
    <s v="Household"/>
    <s v="Cleaning"/>
    <s v="BrightWash"/>
    <s v="B07"/>
    <x v="3"/>
    <s v="Enugu"/>
    <x v="3"/>
    <s v="Walk-in"/>
    <s v="Transfer"/>
    <n v="4"/>
    <n v="2400"/>
    <n v="3400"/>
    <n v="0.1"/>
    <x v="10"/>
    <n v="14"/>
    <n v="13600"/>
    <n v="1360"/>
    <n v="12240"/>
    <n v="9600"/>
    <n v="2640"/>
    <n v="0.21568627450980393"/>
    <s v="Healthy"/>
    <s v="Safe"/>
    <n v="0.29411764705882354"/>
    <s v="Safe"/>
    <n v="1000"/>
    <n v="0.29411764705882354"/>
  </r>
  <r>
    <s v="ORD-11023"/>
    <x v="235"/>
    <s v="P023"/>
    <x v="6"/>
    <s v="Office Supplies"/>
    <s v="Stationery"/>
    <s v="StudyPro"/>
    <s v="B03"/>
    <x v="6"/>
    <s v="Lagos"/>
    <x v="4"/>
    <s v="Walk-in"/>
    <s v="POS"/>
    <n v="8"/>
    <n v="2800"/>
    <n v="4200"/>
    <n v="0.05"/>
    <x v="15"/>
    <n v="9"/>
    <n v="33600"/>
    <n v="1680"/>
    <n v="31920"/>
    <n v="22400"/>
    <n v="9520"/>
    <n v="0.2982456140350877"/>
    <s v="Understocked"/>
    <s v="Safe"/>
    <n v="0.33333333333333331"/>
    <s v="Safe"/>
    <n v="1400"/>
    <n v="0.33333333333333331"/>
  </r>
  <r>
    <s v="ORD-11024"/>
    <x v="288"/>
    <s v="P020"/>
    <x v="5"/>
    <s v="Electronics"/>
    <s v="Lighting"/>
    <s v="Luma"/>
    <s v="B05"/>
    <x v="0"/>
    <s v="Kano"/>
    <x v="0"/>
    <s v="Member"/>
    <s v="POS"/>
    <n v="2"/>
    <n v="1500"/>
    <n v="2500"/>
    <n v="0"/>
    <x v="4"/>
    <n v="2"/>
    <n v="5000"/>
    <n v="0"/>
    <n v="5000"/>
    <n v="3000"/>
    <n v="2000"/>
    <n v="0.4"/>
    <s v="Healthy"/>
    <s v="Safe"/>
    <n v="0.4"/>
    <s v="Safe"/>
    <n v="1000"/>
    <n v="0.4"/>
  </r>
  <r>
    <s v="ORD-11025"/>
    <x v="100"/>
    <s v="P002"/>
    <x v="10"/>
    <s v="Food"/>
    <s v="Grains"/>
    <s v="Mama's Pride"/>
    <s v="B01"/>
    <x v="2"/>
    <s v="Abuja"/>
    <x v="2"/>
    <s v="Member"/>
    <s v="POS"/>
    <n v="8"/>
    <n v="6200"/>
    <n v="7900"/>
    <n v="0"/>
    <x v="1"/>
    <n v="2"/>
    <n v="63200"/>
    <n v="0"/>
    <n v="63200"/>
    <n v="49600"/>
    <n v="13600"/>
    <n v="0.21518987341772153"/>
    <s v="Healthy"/>
    <s v="Safe"/>
    <n v="0.21518987341772153"/>
    <s v="Safe"/>
    <n v="1700"/>
    <n v="0.21518987341772153"/>
  </r>
  <r>
    <s v="ORD-11026"/>
    <x v="136"/>
    <s v="P011"/>
    <x v="9"/>
    <s v="Household"/>
    <s v="Cleaning"/>
    <s v="CleanPro"/>
    <s v="B01"/>
    <x v="2"/>
    <s v="Abuja"/>
    <x v="2"/>
    <s v="Walk-in"/>
    <s v="Transfer"/>
    <n v="2"/>
    <n v="2800"/>
    <n v="3900"/>
    <n v="0.05"/>
    <x v="10"/>
    <n v="2"/>
    <n v="7800"/>
    <n v="390"/>
    <n v="7410"/>
    <n v="5600"/>
    <n v="1810"/>
    <n v="0.24426450742240216"/>
    <s v="Healthy"/>
    <s v="Safe"/>
    <n v="0.28205128205128205"/>
    <s v="Safe"/>
    <n v="1100"/>
    <n v="0.28205128205128205"/>
  </r>
  <r>
    <s v="ORD-11027"/>
    <x v="169"/>
    <s v="P022"/>
    <x v="17"/>
    <s v="Office Supplies"/>
    <s v="Writing"/>
    <s v="WriteWell"/>
    <s v="B03"/>
    <x v="6"/>
    <s v="Lagos"/>
    <x v="4"/>
    <s v="Member"/>
    <s v="POS"/>
    <n v="-1"/>
    <n v="1300"/>
    <n v="2100"/>
    <n v="0.05"/>
    <x v="5"/>
    <n v="7"/>
    <n v="-2100"/>
    <n v="-105"/>
    <n v="-1995"/>
    <n v="-1300"/>
    <n v="-695"/>
    <n v="0.34837092731829572"/>
    <s v="Understocked"/>
    <s v="Discount loss"/>
    <n v="0.38095238095238093"/>
    <s v="Safe"/>
    <n v="800"/>
    <n v="0.38095238095238093"/>
  </r>
  <r>
    <s v="ORD-11028"/>
    <x v="334"/>
    <s v="P009"/>
    <x v="13"/>
    <s v="Household"/>
    <s v="Cleaning"/>
    <s v="BrightWash"/>
    <s v="B03"/>
    <x v="6"/>
    <s v="Lagos"/>
    <x v="4"/>
    <s v="Member"/>
    <s v="POS"/>
    <n v="-1"/>
    <n v="2400"/>
    <n v="3400"/>
    <n v="0.05"/>
    <x v="1"/>
    <n v="4"/>
    <n v="-3400"/>
    <n v="-170"/>
    <n v="-3230"/>
    <n v="-2400"/>
    <n v="-830"/>
    <n v="0.25696594427244585"/>
    <s v="Healthy"/>
    <s v="Discount loss"/>
    <n v="0.29411764705882354"/>
    <s v="Safe"/>
    <n v="1000"/>
    <n v="0.29411764705882354"/>
  </r>
  <r>
    <s v="ORD-11029"/>
    <x v="260"/>
    <s v="P001"/>
    <x v="14"/>
    <s v="Food"/>
    <s v="Grains"/>
    <s v="Golden Harvest"/>
    <s v="B02"/>
    <x v="4"/>
    <s v="Abuja"/>
    <x v="2"/>
    <s v="Member"/>
    <s v="POS"/>
    <n v="2"/>
    <n v="14500"/>
    <n v="17500"/>
    <n v="0.15"/>
    <x v="8"/>
    <n v="3"/>
    <n v="35000"/>
    <n v="5250"/>
    <n v="29750"/>
    <n v="29000"/>
    <n v="750"/>
    <n v="2.5210084033613446E-2"/>
    <s v="Understocked"/>
    <s v="Safe"/>
    <n v="0.17142857142857143"/>
    <s v="Safe"/>
    <n v="3000"/>
    <n v="0.17142857142857143"/>
  </r>
  <r>
    <s v="ORD-11030"/>
    <x v="337"/>
    <s v="P005"/>
    <x v="2"/>
    <s v="Food"/>
    <s v="Snacks"/>
    <s v="CrispyBite"/>
    <s v="B08"/>
    <x v="7"/>
    <s v="Kwara"/>
    <x v="2"/>
    <s v="Member"/>
    <s v="POS"/>
    <n v="1"/>
    <n v="850"/>
    <n v="1300"/>
    <n v="0.1"/>
    <x v="1"/>
    <n v="7"/>
    <n v="1300"/>
    <n v="130"/>
    <n v="1170"/>
    <n v="850"/>
    <n v="320"/>
    <n v="0.27350427350427353"/>
    <s v="Understocked"/>
    <s v="Safe"/>
    <n v="0.34615384615384615"/>
    <s v="Safe"/>
    <n v="450"/>
    <n v="0.34615384615384615"/>
  </r>
  <r>
    <s v="ORD-11031"/>
    <x v="1"/>
    <s v="P007"/>
    <x v="3"/>
    <s v="Beverages"/>
    <s v="Malt"/>
    <s v="Naija Malt"/>
    <s v="B06"/>
    <x v="1"/>
    <s v="Rivers"/>
    <x v="1"/>
    <s v="Walk-in"/>
    <s v="Card"/>
    <n v="2"/>
    <n v="550"/>
    <n v="850"/>
    <n v="0.05"/>
    <x v="0"/>
    <n v="13"/>
    <n v="1700"/>
    <n v="85"/>
    <n v="1615"/>
    <n v="1100"/>
    <n v="515"/>
    <n v="0.31888544891640869"/>
    <s v="Healthy"/>
    <s v="Safe"/>
    <n v="0.35294117647058826"/>
    <s v="Safe"/>
    <n v="300"/>
    <n v="0.35294117647058826"/>
  </r>
  <r>
    <s v="ORD-11032"/>
    <x v="62"/>
    <s v="P013"/>
    <x v="11"/>
    <s v="Personal Care"/>
    <s v="Skin Care"/>
    <s v="GlowPlus"/>
    <s v="B06"/>
    <x v="1"/>
    <s v="Rivers"/>
    <x v="1"/>
    <s v="Walk-in"/>
    <s v="POS"/>
    <n v="5"/>
    <n v="3500"/>
    <n v="5200"/>
    <n v="0.1"/>
    <x v="11"/>
    <n v="4"/>
    <n v="26000"/>
    <n v="2600"/>
    <n v="23400"/>
    <n v="17500"/>
    <n v="5900"/>
    <n v="0.25213675213675213"/>
    <s v="Healthy"/>
    <s v="Safe"/>
    <n v="0.32692307692307693"/>
    <s v="Safe"/>
    <n v="1700"/>
    <n v="0.32692307692307693"/>
  </r>
  <r>
    <s v="ORD-11033"/>
    <x v="145"/>
    <s v="P008"/>
    <x v="4"/>
    <s v="Beverages"/>
    <s v="Soft Drinks"/>
    <s v="Sparkle"/>
    <s v="B05"/>
    <x v="0"/>
    <s v="Kano"/>
    <x v="0"/>
    <s v="Member"/>
    <s v="POS"/>
    <n v="3"/>
    <n v="330"/>
    <n v="550"/>
    <n v="0"/>
    <x v="3"/>
    <n v="10"/>
    <n v="1650"/>
    <n v="0"/>
    <n v="1650"/>
    <n v="990"/>
    <n v="660"/>
    <n v="0.4"/>
    <s v="Healthy"/>
    <s v="Safe"/>
    <n v="0.4"/>
    <s v="Safe"/>
    <n v="220"/>
    <n v="0.4"/>
  </r>
  <r>
    <s v="ORD-11034"/>
    <x v="27"/>
    <s v="P023"/>
    <x v="6"/>
    <s v="Office Supplies"/>
    <s v="Stationery"/>
    <s v="StudyPro"/>
    <s v="B05"/>
    <x v="0"/>
    <s v="Kano"/>
    <x v="0"/>
    <s v="Member"/>
    <s v="Card"/>
    <n v="5"/>
    <n v="2800"/>
    <n v="4200"/>
    <n v="0"/>
    <x v="15"/>
    <n v="9"/>
    <n v="21000"/>
    <n v="0"/>
    <n v="21000"/>
    <n v="14000"/>
    <n v="7000"/>
    <n v="0.33333333333333331"/>
    <s v="Understocked"/>
    <s v="Safe"/>
    <n v="0.33333333333333331"/>
    <s v="Safe"/>
    <n v="1400"/>
    <n v="0.33333333333333331"/>
  </r>
  <r>
    <s v="ORD-11035"/>
    <x v="175"/>
    <s v="P017"/>
    <x v="23"/>
    <s v="Electronics"/>
    <s v="Accessories"/>
    <s v="PowerMax"/>
    <s v="B05"/>
    <x v="0"/>
    <s v="Kano"/>
    <x v="0"/>
    <s v="Member"/>
    <s v="POS"/>
    <n v="2"/>
    <n v="7500"/>
    <n v="10500"/>
    <n v="0.25"/>
    <x v="12"/>
    <n v="14"/>
    <n v="21000"/>
    <n v="5250"/>
    <n v="15750"/>
    <n v="15000"/>
    <n v="750"/>
    <n v="4.7619047619047616E-2"/>
    <s v="Healthy"/>
    <s v="Safe"/>
    <n v="0.2857142857142857"/>
    <s v="Safe"/>
    <n v="3000"/>
    <n v="0.2857142857142857"/>
  </r>
  <r>
    <s v="ORD-11036"/>
    <x v="194"/>
    <s v="P022"/>
    <x v="17"/>
    <s v="Office Supplies"/>
    <s v="Writing"/>
    <s v="WriteWell"/>
    <s v="B01"/>
    <x v="2"/>
    <s v="Abuja"/>
    <x v="2"/>
    <s v="Walk-in"/>
    <s v="Cash"/>
    <n v="1"/>
    <n v="1300"/>
    <n v="2100"/>
    <n v="0"/>
    <x v="14"/>
    <n v="14"/>
    <n v="2100"/>
    <n v="0"/>
    <n v="2100"/>
    <n v="1300"/>
    <n v="800"/>
    <n v="0.38095238095238093"/>
    <s v="Understocked"/>
    <s v="Safe"/>
    <n v="0.38095238095238093"/>
    <s v="Safe"/>
    <n v="800"/>
    <n v="0.38095238095238093"/>
  </r>
  <r>
    <s v="ORD-11037"/>
    <x v="165"/>
    <s v="P008"/>
    <x v="4"/>
    <s v="Beverages"/>
    <s v="Soft Drinks"/>
    <s v="Sparkle"/>
    <s v="B01"/>
    <x v="2"/>
    <s v="Abuja"/>
    <x v="2"/>
    <s v="Walk-in"/>
    <s v="POS"/>
    <n v="1"/>
    <n v="330"/>
    <n v="550"/>
    <n v="0.2"/>
    <x v="2"/>
    <n v="6"/>
    <n v="550"/>
    <n v="110"/>
    <n v="440"/>
    <n v="330"/>
    <n v="110"/>
    <n v="0.25"/>
    <s v="Healthy"/>
    <s v="Safe"/>
    <n v="0.4"/>
    <s v="Safe"/>
    <n v="220"/>
    <n v="0.4"/>
  </r>
  <r>
    <s v="ORD-11038"/>
    <x v="323"/>
    <s v="P018"/>
    <x v="16"/>
    <s v="Electronics"/>
    <s v="Mobile Accessories"/>
    <s v="VoltSafe"/>
    <s v="B02"/>
    <x v="4"/>
    <s v="Abuja"/>
    <x v="2"/>
    <s v="Walk-in"/>
    <s v="POS"/>
    <n v="1"/>
    <n v="18000"/>
    <n v="24500"/>
    <n v="0"/>
    <x v="4"/>
    <n v="2"/>
    <n v="24500"/>
    <n v="0"/>
    <n v="24500"/>
    <n v="18000"/>
    <n v="6500"/>
    <n v="0.26530612244897961"/>
    <s v="Understocked"/>
    <s v="Safe"/>
    <n v="0.26530612244897961"/>
    <s v="Safe"/>
    <n v="6500"/>
    <n v="0.26530612244897961"/>
  </r>
  <r>
    <s v="ORD-11039"/>
    <x v="264"/>
    <s v="P008"/>
    <x v="4"/>
    <s v="Beverages"/>
    <s v="Soft Drinks"/>
    <s v="Sparkle"/>
    <s v="B05"/>
    <x v="0"/>
    <s v="Kano"/>
    <x v="0"/>
    <s v="Member"/>
    <s v="POS"/>
    <n v="3"/>
    <n v="330"/>
    <n v="550"/>
    <n v="0"/>
    <x v="3"/>
    <n v="10"/>
    <n v="1650"/>
    <n v="0"/>
    <n v="1650"/>
    <n v="990"/>
    <n v="660"/>
    <n v="0.4"/>
    <s v="Healthy"/>
    <s v="Safe"/>
    <n v="0.4"/>
    <s v="Safe"/>
    <n v="220"/>
    <n v="0.4"/>
  </r>
  <r>
    <s v="ORD-11040"/>
    <x v="187"/>
    <s v="P009"/>
    <x v="13"/>
    <s v="Household"/>
    <s v="Cleaning"/>
    <s v="BrightWash"/>
    <s v="B06"/>
    <x v="1"/>
    <s v="Rivers"/>
    <x v="1"/>
    <s v="Member"/>
    <s v="Cash"/>
    <n v="1"/>
    <n v="2400"/>
    <n v="3400"/>
    <n v="0.05"/>
    <x v="7"/>
    <n v="4"/>
    <n v="3400"/>
    <n v="170"/>
    <n v="3230"/>
    <n v="2400"/>
    <n v="830"/>
    <n v="0.25696594427244585"/>
    <s v="Healthy"/>
    <s v="Safe"/>
    <n v="0.29411764705882354"/>
    <s v="Safe"/>
    <n v="1000"/>
    <n v="0.29411764705882354"/>
  </r>
  <r>
    <s v="ORD-11041"/>
    <x v="309"/>
    <s v="P022"/>
    <x v="17"/>
    <s v="Office Supplies"/>
    <s v="Writing"/>
    <s v="WriteWell"/>
    <s v="B03"/>
    <x v="6"/>
    <s v="Lagos"/>
    <x v="4"/>
    <s v="Walk-in"/>
    <s v="POS"/>
    <n v="3"/>
    <n v="1300"/>
    <n v="2100"/>
    <n v="0.2"/>
    <x v="14"/>
    <n v="8"/>
    <n v="6300"/>
    <n v="1260"/>
    <n v="5040"/>
    <n v="3900"/>
    <n v="1140"/>
    <n v="0.22619047619047619"/>
    <s v="Understocked"/>
    <s v="Safe"/>
    <n v="0.38095238095238093"/>
    <s v="Safe"/>
    <n v="800"/>
    <n v="0.38095238095238093"/>
  </r>
  <r>
    <s v="ORD-11042"/>
    <x v="70"/>
    <s v="P008"/>
    <x v="4"/>
    <s v="Beverages"/>
    <s v="Soft Drinks"/>
    <s v="Sparkle"/>
    <s v="B08"/>
    <x v="7"/>
    <s v="Kwara"/>
    <x v="2"/>
    <s v="Walk-in"/>
    <s v="POS"/>
    <n v="8"/>
    <n v="330"/>
    <n v="550"/>
    <n v="0"/>
    <x v="0"/>
    <n v="5"/>
    <n v="4400"/>
    <n v="0"/>
    <n v="4400"/>
    <n v="2640"/>
    <n v="1760"/>
    <n v="0.4"/>
    <s v="Healthy"/>
    <s v="Safe"/>
    <n v="0.4"/>
    <s v="Safe"/>
    <n v="220"/>
    <n v="0.4"/>
  </r>
  <r>
    <s v="ORD-11043"/>
    <x v="127"/>
    <s v="P011"/>
    <x v="9"/>
    <s v="Household"/>
    <s v="Cleaning"/>
    <s v="CleanPro"/>
    <s v="B06"/>
    <x v="1"/>
    <s v="Rivers"/>
    <x v="1"/>
    <s v="Corporate"/>
    <s v="Transfer"/>
    <n v="2"/>
    <n v="2800"/>
    <n v="3900"/>
    <n v="0.15"/>
    <x v="10"/>
    <n v="7"/>
    <n v="7800"/>
    <n v="1170"/>
    <n v="6630"/>
    <n v="5600"/>
    <n v="1030"/>
    <n v="0.15535444947209653"/>
    <s v="Healthy"/>
    <s v="Safe"/>
    <n v="0.28205128205128205"/>
    <s v="Safe"/>
    <n v="1100"/>
    <n v="0.28205128205128205"/>
  </r>
  <r>
    <s v="ORD-11044"/>
    <x v="125"/>
    <s v="P018"/>
    <x v="16"/>
    <s v="Electronics"/>
    <s v="Mobile Accessories"/>
    <s v="VoltSafe"/>
    <s v="B05"/>
    <x v="0"/>
    <s v="Kano"/>
    <x v="0"/>
    <s v="Walk-in"/>
    <s v="Transfer"/>
    <n v="3"/>
    <n v="18000"/>
    <n v="24500"/>
    <n v="0.05"/>
    <x v="12"/>
    <n v="14"/>
    <n v="73500"/>
    <n v="3675"/>
    <n v="69825"/>
    <n v="54000"/>
    <n v="15825"/>
    <n v="0.22663802363050484"/>
    <s v="Understocked"/>
    <s v="Safe"/>
    <n v="0.26530612244897961"/>
    <s v="Safe"/>
    <n v="6500"/>
    <n v="0.26530612244897961"/>
  </r>
  <r>
    <s v="ORD-11045"/>
    <x v="338"/>
    <s v="P020"/>
    <x v="5"/>
    <s v="Electronics"/>
    <s v="Lighting"/>
    <s v="Luma"/>
    <s v="B08"/>
    <x v="7"/>
    <s v="Kwara"/>
    <x v="2"/>
    <s v="Member"/>
    <s v="POS"/>
    <n v="2"/>
    <n v="1500"/>
    <n v="2500"/>
    <n v="0.05"/>
    <x v="12"/>
    <n v="6"/>
    <n v="5000"/>
    <n v="250"/>
    <n v="4750"/>
    <n v="3000"/>
    <n v="1750"/>
    <n v="0.36842105263157893"/>
    <s v="Healthy"/>
    <s v="Safe"/>
    <n v="0.4"/>
    <s v="Safe"/>
    <n v="1000"/>
    <n v="0.4"/>
  </r>
  <r>
    <s v="ORD-11046"/>
    <x v="98"/>
    <s v="P004"/>
    <x v="1"/>
    <s v="Beverages"/>
    <s v="Dairy"/>
    <s v="FreshDay"/>
    <s v="B03"/>
    <x v="6"/>
    <s v="Lagos"/>
    <x v="4"/>
    <s v="Walk-in"/>
    <s v="POS"/>
    <n v="5"/>
    <n v="1650"/>
    <n v="2200"/>
    <n v="0.05"/>
    <x v="2"/>
    <n v="3"/>
    <n v="11000"/>
    <n v="550"/>
    <n v="10450"/>
    <n v="8250"/>
    <n v="2200"/>
    <n v="0.21052631578947367"/>
    <s v="Understocked"/>
    <s v="Safe"/>
    <n v="0.25"/>
    <s v="Safe"/>
    <n v="550"/>
    <n v="0.25"/>
  </r>
  <r>
    <s v="ORD-11047"/>
    <x v="99"/>
    <s v="P001"/>
    <x v="14"/>
    <s v="Food"/>
    <s v="Grains"/>
    <s v="Golden Harvest"/>
    <s v="B05"/>
    <x v="0"/>
    <s v="Kano"/>
    <x v="0"/>
    <s v="Walk-in"/>
    <s v="Transfer"/>
    <n v="4"/>
    <n v="14500"/>
    <n v="17500"/>
    <n v="0"/>
    <x v="9"/>
    <n v="9"/>
    <n v="70000"/>
    <n v="0"/>
    <n v="70000"/>
    <n v="58000"/>
    <n v="12000"/>
    <n v="0.17142857142857143"/>
    <s v="Understocked"/>
    <s v="Safe"/>
    <n v="0.17142857142857143"/>
    <s v="Safe"/>
    <n v="3000"/>
    <n v="0.17142857142857143"/>
  </r>
  <r>
    <s v="ORD-11048"/>
    <x v="288"/>
    <s v="P012"/>
    <x v="21"/>
    <s v="Household"/>
    <s v="Home Care"/>
    <s v="HomeFresh"/>
    <s v="B04"/>
    <x v="5"/>
    <s v="Lagos"/>
    <x v="4"/>
    <s v="Member"/>
    <s v="POS"/>
    <n v="1"/>
    <n v="1700"/>
    <n v="2600"/>
    <n v="0"/>
    <x v="1"/>
    <n v="2"/>
    <n v="2600"/>
    <n v="0"/>
    <n v="2600"/>
    <n v="1700"/>
    <n v="900"/>
    <n v="0.34615384615384615"/>
    <s v="Overstocked"/>
    <s v="Safe"/>
    <n v="0.34615384615384615"/>
    <s v="Safe"/>
    <n v="900"/>
    <n v="0.34615384615384615"/>
  </r>
  <r>
    <s v="ORD-11049"/>
    <x v="90"/>
    <s v="P008"/>
    <x v="4"/>
    <s v="Beverages"/>
    <s v="Soft Drinks"/>
    <s v="Sparkle"/>
    <s v="B06"/>
    <x v="1"/>
    <s v="Rivers"/>
    <x v="1"/>
    <s v="Walk-in"/>
    <s v="POS"/>
    <n v="2"/>
    <n v="330"/>
    <n v="550"/>
    <n v="0.05"/>
    <x v="2"/>
    <n v="1"/>
    <n v="1100"/>
    <n v="55"/>
    <n v="1045"/>
    <n v="660"/>
    <n v="385"/>
    <n v="0.36842105263157893"/>
    <s v="Healthy"/>
    <s v="Safe"/>
    <n v="0.4"/>
    <s v="Safe"/>
    <n v="220"/>
    <n v="0.4"/>
  </r>
  <r>
    <s v="ORD-11050"/>
    <x v="318"/>
    <s v="P003"/>
    <x v="12"/>
    <s v="Food"/>
    <s v="Cooking Oil"/>
    <s v="SunGold"/>
    <s v="B04"/>
    <x v="5"/>
    <s v="Lagos"/>
    <x v="4"/>
    <s v="Walk-in"/>
    <s v="Cash"/>
    <n v="3"/>
    <n v="7800"/>
    <n v="9800"/>
    <n v="0.1"/>
    <x v="9"/>
    <n v="11"/>
    <n v="29400"/>
    <n v="2940"/>
    <n v="26460"/>
    <n v="23400"/>
    <n v="3060"/>
    <n v="0.11564625850340136"/>
    <s v="Understocked"/>
    <s v="Safe"/>
    <n v="0.20408163265306123"/>
    <s v="Safe"/>
    <n v="2000"/>
    <n v="0.20408163265306123"/>
  </r>
  <r>
    <s v="ORD-11051"/>
    <x v="122"/>
    <s v="P024"/>
    <x v="19"/>
    <s v="Office Supplies"/>
    <s v="Accessories"/>
    <s v="ErgoDesk"/>
    <s v="B07"/>
    <x v="3"/>
    <s v="Enugu"/>
    <x v="3"/>
    <s v="Walk-in"/>
    <s v="POS"/>
    <n v="2"/>
    <n v="1700"/>
    <n v="2800"/>
    <n v="0.25"/>
    <x v="5"/>
    <n v="1"/>
    <n v="5600"/>
    <n v="1400"/>
    <n v="4200"/>
    <n v="3400"/>
    <n v="800"/>
    <n v="0.19047619047619047"/>
    <s v="Overstocked"/>
    <s v="Safe"/>
    <n v="0.39285714285714285"/>
    <s v="Safe"/>
    <n v="1100"/>
    <n v="0.39285714285714285"/>
  </r>
  <r>
    <s v="ORD-11052"/>
    <x v="282"/>
    <s v="P002"/>
    <x v="10"/>
    <s v="Food"/>
    <s v="Grains"/>
    <s v="Mama's Pride"/>
    <s v="B01"/>
    <x v="2"/>
    <s v="Abuja"/>
    <x v="2"/>
    <s v="Walk-in"/>
    <s v="POS"/>
    <n v="5"/>
    <n v="6200"/>
    <n v="7900"/>
    <n v="0.1"/>
    <x v="8"/>
    <n v="2"/>
    <n v="39500"/>
    <n v="3950"/>
    <n v="35550"/>
    <n v="31000"/>
    <n v="4550"/>
    <n v="0.12798874824191281"/>
    <s v="Healthy"/>
    <s v="Safe"/>
    <n v="0.21518987341772153"/>
    <s v="Safe"/>
    <n v="1700"/>
    <n v="0.21518987341772153"/>
  </r>
  <r>
    <s v="ORD-11053"/>
    <x v="106"/>
    <s v="P008"/>
    <x v="4"/>
    <s v="Beverages"/>
    <s v="Soft Drinks"/>
    <s v="Sparkle"/>
    <s v="B01"/>
    <x v="2"/>
    <s v="Abuja"/>
    <x v="2"/>
    <s v="Walk-in"/>
    <s v="POS"/>
    <n v="2"/>
    <n v="330"/>
    <n v="550"/>
    <n v="0.2"/>
    <x v="3"/>
    <n v="14"/>
    <n v="1100"/>
    <n v="220"/>
    <n v="880"/>
    <n v="660"/>
    <n v="220"/>
    <n v="0.25"/>
    <s v="Healthy"/>
    <s v="Safe"/>
    <n v="0.4"/>
    <s v="Safe"/>
    <n v="220"/>
    <n v="0.4"/>
  </r>
  <r>
    <s v="ORD-11054"/>
    <x v="107"/>
    <s v="P003"/>
    <x v="12"/>
    <s v="Food"/>
    <s v="Cooking Oil"/>
    <s v="SunGold"/>
    <s v="B02"/>
    <x v="4"/>
    <s v="Abuja"/>
    <x v="2"/>
    <s v="Corporate"/>
    <s v="POS"/>
    <n v="5"/>
    <n v="7800"/>
    <n v="9800"/>
    <n v="0"/>
    <x v="1"/>
    <n v="7"/>
    <n v="49000"/>
    <n v="0"/>
    <n v="49000"/>
    <n v="39000"/>
    <n v="10000"/>
    <n v="0.20408163265306123"/>
    <s v="Understocked"/>
    <s v="Safe"/>
    <n v="0.20408163265306123"/>
    <s v="Safe"/>
    <n v="2000"/>
    <n v="0.20408163265306123"/>
  </r>
  <r>
    <s v="ORD-11055"/>
    <x v="219"/>
    <s v="P004"/>
    <x v="1"/>
    <s v="Beverages"/>
    <s v="Dairy"/>
    <s v="FreshDay"/>
    <s v="B07"/>
    <x v="3"/>
    <s v="Enugu"/>
    <x v="3"/>
    <s v="Corporate"/>
    <s v="POS"/>
    <n v="2"/>
    <n v="1650"/>
    <n v="2200"/>
    <n v="0.15"/>
    <x v="3"/>
    <n v="5"/>
    <n v="4400"/>
    <n v="660"/>
    <n v="3740"/>
    <n v="3300"/>
    <n v="440"/>
    <n v="0.11764705882352941"/>
    <s v="Understocked"/>
    <s v="Safe"/>
    <n v="0.25"/>
    <s v="Safe"/>
    <n v="550"/>
    <n v="0.25"/>
  </r>
  <r>
    <s v="ORD-11056"/>
    <x v="214"/>
    <s v="P003"/>
    <x v="12"/>
    <s v="Food"/>
    <s v="Cooking Oil"/>
    <s v="SunGold"/>
    <s v="B08"/>
    <x v="7"/>
    <s v="Kwara"/>
    <x v="2"/>
    <s v="Member"/>
    <s v="POS"/>
    <n v="1"/>
    <n v="7800"/>
    <n v="9800"/>
    <n v="0.05"/>
    <x v="8"/>
    <n v="12"/>
    <n v="9800"/>
    <n v="490"/>
    <n v="9310"/>
    <n v="7800"/>
    <n v="1510"/>
    <n v="0.16219119226638024"/>
    <s v="Understocked"/>
    <s v="Safe"/>
    <n v="0.20408163265306123"/>
    <s v="Safe"/>
    <n v="2000"/>
    <n v="0.20408163265306123"/>
  </r>
  <r>
    <s v="ORD-11057"/>
    <x v="119"/>
    <s v="P011"/>
    <x v="9"/>
    <s v="Household"/>
    <s v="Cleaning"/>
    <s v="CleanPro"/>
    <s v="B01"/>
    <x v="2"/>
    <s v="Abuja"/>
    <x v="2"/>
    <s v="Member"/>
    <s v="POS"/>
    <n v="2"/>
    <n v="2800"/>
    <n v="3900"/>
    <n v="0"/>
    <x v="10"/>
    <n v="11"/>
    <n v="7800"/>
    <n v="0"/>
    <n v="7800"/>
    <n v="5600"/>
    <n v="2200"/>
    <n v="0.28205128205128205"/>
    <s v="Healthy"/>
    <s v="Safe"/>
    <n v="0.28205128205128205"/>
    <s v="Safe"/>
    <n v="1100"/>
    <n v="0.28205128205128205"/>
  </r>
  <r>
    <s v="ORD-11058"/>
    <x v="99"/>
    <s v="P009"/>
    <x v="13"/>
    <s v="Household"/>
    <s v="Cleaning"/>
    <s v="BrightWash"/>
    <s v="B02"/>
    <x v="4"/>
    <s v="Abuja"/>
    <x v="2"/>
    <s v="Walk-in"/>
    <s v="POS"/>
    <n v="3"/>
    <n v="2400"/>
    <n v="3400"/>
    <n v="0.05"/>
    <x v="10"/>
    <n v="4"/>
    <n v="10200"/>
    <n v="510"/>
    <n v="9690"/>
    <n v="7200"/>
    <n v="2490"/>
    <n v="0.25696594427244585"/>
    <s v="Healthy"/>
    <s v="Safe"/>
    <n v="0.29411764705882354"/>
    <s v="Safe"/>
    <n v="1000"/>
    <n v="0.29411764705882354"/>
  </r>
  <r>
    <s v="ORD-11059"/>
    <x v="230"/>
    <s v="P015"/>
    <x v="8"/>
    <s v="Personal Care"/>
    <s v="Bath"/>
    <s v="SilkyTouch"/>
    <s v="B03"/>
    <x v="6"/>
    <s v="Lagos"/>
    <x v="4"/>
    <s v="Member"/>
    <s v="POS"/>
    <n v="5"/>
    <n v="600"/>
    <n v="950"/>
    <n v="0"/>
    <x v="10"/>
    <n v="2"/>
    <n v="4750"/>
    <n v="0"/>
    <n v="4750"/>
    <n v="3000"/>
    <n v="1750"/>
    <n v="0.36842105263157893"/>
    <s v="Healthy"/>
    <s v="Safe"/>
    <n v="0.36842105263157893"/>
    <s v="Safe"/>
    <n v="350"/>
    <n v="0.36842105263157893"/>
  </r>
  <r>
    <s v="ORD-11060"/>
    <x v="70"/>
    <s v="P002"/>
    <x v="10"/>
    <s v="Food"/>
    <s v="Grains"/>
    <s v="Mama's Pride"/>
    <s v="B01"/>
    <x v="2"/>
    <s v="Abuja"/>
    <x v="2"/>
    <s v="Walk-in"/>
    <s v="Cash"/>
    <n v="1"/>
    <n v="6200"/>
    <n v="7900"/>
    <n v="0.15"/>
    <x v="9"/>
    <n v="14"/>
    <n v="7900"/>
    <n v="1185"/>
    <n v="6715"/>
    <n v="6200"/>
    <n v="515"/>
    <n v="7.6693968726731204E-2"/>
    <s v="Healthy"/>
    <s v="Safe"/>
    <n v="0.21518987341772153"/>
    <s v="Safe"/>
    <n v="1700"/>
    <n v="0.21518987341772153"/>
  </r>
  <r>
    <s v="ORD-11061"/>
    <x v="283"/>
    <s v="P009"/>
    <x v="13"/>
    <s v="Household"/>
    <s v="Cleaning"/>
    <s v="BrightWash"/>
    <s v="B03"/>
    <x v="6"/>
    <s v="Lagos"/>
    <x v="4"/>
    <s v="Member"/>
    <s v="POS"/>
    <n v="8"/>
    <n v="2400"/>
    <n v="3400"/>
    <n v="0.1"/>
    <x v="7"/>
    <n v="3"/>
    <n v="27200"/>
    <n v="2720"/>
    <n v="24480"/>
    <n v="19200"/>
    <n v="5280"/>
    <n v="0.21568627450980393"/>
    <s v="Healthy"/>
    <s v="Safe"/>
    <n v="0.29411764705882354"/>
    <s v="Safe"/>
    <n v="1000"/>
    <n v="0.29411764705882354"/>
  </r>
  <r>
    <s v="ORD-11062"/>
    <x v="339"/>
    <s v="P007"/>
    <x v="3"/>
    <s v="Beverages"/>
    <s v="Malt"/>
    <s v="Naija Malt"/>
    <s v="B04"/>
    <x v="5"/>
    <s v="Lagos"/>
    <x v="4"/>
    <s v="Walk-in"/>
    <s v="Cash"/>
    <n v="3"/>
    <n v="550"/>
    <n v="850"/>
    <n v="0"/>
    <x v="2"/>
    <n v="3"/>
    <n v="2550"/>
    <n v="0"/>
    <n v="2550"/>
    <n v="1650"/>
    <n v="900"/>
    <n v="0.35294117647058826"/>
    <s v="Healthy"/>
    <s v="Safe"/>
    <n v="0.35294117647058826"/>
    <s v="Safe"/>
    <n v="300"/>
    <n v="0.35294117647058826"/>
  </r>
  <r>
    <s v="ORD-11063"/>
    <x v="252"/>
    <s v="P014"/>
    <x v="15"/>
    <s v="Personal Care"/>
    <s v="Oral Care"/>
    <s v="FreshMint"/>
    <s v="B02"/>
    <x v="4"/>
    <s v="Abuja"/>
    <x v="2"/>
    <s v="Walk-in"/>
    <s v="POS"/>
    <n v="6"/>
    <n v="1200"/>
    <n v="1900"/>
    <n v="0.1"/>
    <x v="6"/>
    <n v="5"/>
    <n v="11400"/>
    <n v="1140"/>
    <n v="10260"/>
    <n v="7200"/>
    <n v="3060"/>
    <n v="0.2982456140350877"/>
    <s v="Healthy"/>
    <s v="Safe"/>
    <n v="0.36842105263157893"/>
    <s v="Safe"/>
    <n v="700"/>
    <n v="0.36842105263157893"/>
  </r>
  <r>
    <s v="ORD-11064"/>
    <x v="162"/>
    <s v="P009"/>
    <x v="13"/>
    <s v="Household"/>
    <s v="Cleaning"/>
    <s v="BrightWash"/>
    <s v="B03"/>
    <x v="6"/>
    <s v="Lagos"/>
    <x v="4"/>
    <s v="Walk-in"/>
    <s v="Card"/>
    <n v="1"/>
    <n v="2400"/>
    <n v="3400"/>
    <n v="0.1"/>
    <x v="10"/>
    <n v="9"/>
    <n v="3400"/>
    <n v="340"/>
    <n v="3060"/>
    <n v="2400"/>
    <n v="660"/>
    <n v="0.21568627450980393"/>
    <s v="Healthy"/>
    <s v="Safe"/>
    <n v="0.29411764705882354"/>
    <s v="Safe"/>
    <n v="1000"/>
    <n v="0.29411764705882354"/>
  </r>
  <r>
    <s v="ORD-11065"/>
    <x v="182"/>
    <s v="P001"/>
    <x v="14"/>
    <s v="Food"/>
    <s v="Grains"/>
    <s v="Golden Harvest"/>
    <s v="B03"/>
    <x v="6"/>
    <s v="Lagos"/>
    <x v="4"/>
    <s v="Member"/>
    <s v="Transfer"/>
    <n v="1"/>
    <n v="14500"/>
    <n v="17500"/>
    <n v="0.1"/>
    <x v="8"/>
    <n v="4"/>
    <n v="17500"/>
    <n v="1750"/>
    <n v="15750"/>
    <n v="14500"/>
    <n v="1250"/>
    <n v="7.9365079365079361E-2"/>
    <s v="Understocked"/>
    <s v="Safe"/>
    <n v="0.17142857142857143"/>
    <s v="Safe"/>
    <n v="3000"/>
    <n v="0.17142857142857143"/>
  </r>
  <r>
    <s v="ORD-11066"/>
    <x v="340"/>
    <s v="P006"/>
    <x v="0"/>
    <s v="Beverages"/>
    <s v="Water"/>
    <s v="AquaPure"/>
    <s v="B05"/>
    <x v="0"/>
    <s v="Kano"/>
    <x v="0"/>
    <s v="Walk-in"/>
    <s v="Card"/>
    <n v="3"/>
    <n v="230"/>
    <n v="400"/>
    <n v="0"/>
    <x v="3"/>
    <n v="4"/>
    <n v="1200"/>
    <n v="0"/>
    <n v="1200"/>
    <n v="690"/>
    <n v="510"/>
    <n v="0.42499999999999999"/>
    <s v="Understocked"/>
    <s v="Safe"/>
    <n v="0.42499999999999999"/>
    <s v="Safe"/>
    <n v="170"/>
    <n v="0.42499999999999999"/>
  </r>
  <r>
    <s v="ORD-11067"/>
    <x v="77"/>
    <s v="P011"/>
    <x v="9"/>
    <s v="Household"/>
    <s v="Cleaning"/>
    <s v="CleanPro"/>
    <s v="B02"/>
    <x v="4"/>
    <s v="Abuja"/>
    <x v="2"/>
    <s v="Member"/>
    <s v="POS"/>
    <n v="3"/>
    <n v="2800"/>
    <n v="3900"/>
    <n v="0"/>
    <x v="10"/>
    <n v="7"/>
    <n v="11700"/>
    <n v="0"/>
    <n v="11700"/>
    <n v="8400"/>
    <n v="3300"/>
    <n v="0.28205128205128205"/>
    <s v="Healthy"/>
    <s v="Safe"/>
    <n v="0.28205128205128205"/>
    <s v="Safe"/>
    <n v="1100"/>
    <n v="0.28205128205128205"/>
  </r>
  <r>
    <s v="ORD-11068"/>
    <x v="158"/>
    <s v="P015"/>
    <x v="8"/>
    <s v="Personal Care"/>
    <s v="Bath"/>
    <s v="SilkyTouch"/>
    <s v="B07"/>
    <x v="3"/>
    <s v="Enugu"/>
    <x v="3"/>
    <s v="Member"/>
    <s v="Transfer"/>
    <n v="2"/>
    <n v="600"/>
    <n v="950"/>
    <n v="0"/>
    <x v="11"/>
    <n v="12"/>
    <n v="1900"/>
    <n v="0"/>
    <n v="1900"/>
    <n v="1200"/>
    <n v="700"/>
    <n v="0.36842105263157893"/>
    <s v="Healthy"/>
    <s v="Safe"/>
    <n v="0.36842105263157893"/>
    <s v="Safe"/>
    <n v="350"/>
    <n v="0.36842105263157893"/>
  </r>
  <r>
    <s v="ORD-11069"/>
    <x v="163"/>
    <s v="P002"/>
    <x v="10"/>
    <s v="Food"/>
    <s v="Grains"/>
    <s v="Mama's Pride"/>
    <s v="B04"/>
    <x v="5"/>
    <s v="Lagos"/>
    <x v="4"/>
    <s v="Walk-in"/>
    <s v="POS"/>
    <n v="4"/>
    <n v="6200"/>
    <n v="7900"/>
    <n v="0.05"/>
    <x v="9"/>
    <n v="3"/>
    <n v="31600"/>
    <n v="1580"/>
    <n v="30020"/>
    <n v="24800"/>
    <n v="5220"/>
    <n v="0.17388407728181213"/>
    <s v="Healthy"/>
    <s v="Safe"/>
    <n v="0.21518987341772153"/>
    <s v="Safe"/>
    <n v="1700"/>
    <n v="0.21518987341772153"/>
  </r>
  <r>
    <s v="ORD-11070"/>
    <x v="201"/>
    <s v="P004"/>
    <x v="1"/>
    <s v="Beverages"/>
    <s v="Dairy"/>
    <s v="FreshDay"/>
    <s v="B03"/>
    <x v="6"/>
    <s v="Lagos"/>
    <x v="4"/>
    <s v="Member"/>
    <s v="Transfer"/>
    <n v="2"/>
    <n v="1650"/>
    <n v="2200"/>
    <n v="0.2"/>
    <x v="3"/>
    <n v="3"/>
    <n v="4400"/>
    <n v="880"/>
    <n v="3520"/>
    <n v="3300"/>
    <n v="220"/>
    <n v="6.25E-2"/>
    <s v="Understocked"/>
    <s v="Safe"/>
    <n v="0.25"/>
    <s v="Safe"/>
    <n v="550"/>
    <n v="0.25"/>
  </r>
  <r>
    <s v="ORD-11071"/>
    <x v="181"/>
    <s v="P004"/>
    <x v="1"/>
    <s v="Beverages"/>
    <s v="Dairy"/>
    <s v="FreshDay"/>
    <s v="B06"/>
    <x v="1"/>
    <s v="Rivers"/>
    <x v="1"/>
    <s v="Walk-in"/>
    <s v="Cash"/>
    <n v="1"/>
    <n v="1650"/>
    <n v="2200"/>
    <n v="0.05"/>
    <x v="3"/>
    <n v="8"/>
    <n v="2200"/>
    <n v="110"/>
    <n v="2090"/>
    <n v="1650"/>
    <n v="440"/>
    <n v="0.21052631578947367"/>
    <s v="Understocked"/>
    <s v="Safe"/>
    <n v="0.25"/>
    <s v="Safe"/>
    <n v="550"/>
    <n v="0.25"/>
  </r>
  <r>
    <s v="ORD-11072"/>
    <x v="282"/>
    <s v="P010"/>
    <x v="22"/>
    <s v="Household"/>
    <s v="Paper Products"/>
    <s v="SoftCare"/>
    <s v="B08"/>
    <x v="7"/>
    <s v="Kwara"/>
    <x v="2"/>
    <s v="Walk-in"/>
    <s v="Cash"/>
    <n v="5"/>
    <n v="3200"/>
    <n v="4500"/>
    <n v="0.05"/>
    <x v="7"/>
    <n v="2"/>
    <n v="22500"/>
    <n v="1125"/>
    <n v="21375"/>
    <n v="16000"/>
    <n v="5375"/>
    <n v="0.25146198830409355"/>
    <s v="Healthy"/>
    <s v="Safe"/>
    <n v="0.28888888888888886"/>
    <s v="Safe"/>
    <n v="1300"/>
    <n v="0.28888888888888886"/>
  </r>
  <r>
    <s v="ORD-11073"/>
    <x v="269"/>
    <s v="P008"/>
    <x v="4"/>
    <s v="Beverages"/>
    <s v="Soft Drinks"/>
    <s v="Sparkle"/>
    <s v="B06"/>
    <x v="1"/>
    <s v="Rivers"/>
    <x v="1"/>
    <s v="Walk-in"/>
    <s v="Transfer"/>
    <n v="10"/>
    <n v="330"/>
    <n v="550"/>
    <n v="0"/>
    <x v="3"/>
    <n v="14"/>
    <n v="5500"/>
    <n v="0"/>
    <n v="5500"/>
    <n v="3300"/>
    <n v="2200"/>
    <n v="0.4"/>
    <s v="Healthy"/>
    <s v="Safe"/>
    <n v="0.4"/>
    <s v="Safe"/>
    <n v="220"/>
    <n v="0.4"/>
  </r>
  <r>
    <s v="ORD-11074"/>
    <x v="341"/>
    <s v="P006"/>
    <x v="0"/>
    <s v="Beverages"/>
    <s v="Water"/>
    <s v="AquaPure"/>
    <s v="B04"/>
    <x v="5"/>
    <s v="Lagos"/>
    <x v="4"/>
    <s v="Member"/>
    <s v="Transfer"/>
    <n v="4"/>
    <n v="230"/>
    <n v="400"/>
    <n v="0.15"/>
    <x v="2"/>
    <n v="11"/>
    <n v="1600"/>
    <n v="240"/>
    <n v="1360"/>
    <n v="920"/>
    <n v="440"/>
    <n v="0.3235294117647059"/>
    <s v="Understocked"/>
    <s v="Safe"/>
    <n v="0.42499999999999999"/>
    <s v="Safe"/>
    <n v="170"/>
    <n v="0.42499999999999999"/>
  </r>
  <r>
    <s v="ORD-11075"/>
    <x v="198"/>
    <s v="P001"/>
    <x v="14"/>
    <s v="Food"/>
    <s v="Grains"/>
    <s v="Golden Harvest"/>
    <s v="B08"/>
    <x v="7"/>
    <s v="Kwara"/>
    <x v="2"/>
    <s v="Walk-in"/>
    <s v="Transfer"/>
    <n v="5"/>
    <n v="14500"/>
    <n v="17500"/>
    <n v="0.1"/>
    <x v="9"/>
    <n v="10"/>
    <n v="87500"/>
    <n v="8750"/>
    <n v="78750"/>
    <n v="72500"/>
    <n v="6250"/>
    <n v="7.9365079365079361E-2"/>
    <s v="Understocked"/>
    <s v="Safe"/>
    <n v="0.17142857142857143"/>
    <s v="Safe"/>
    <n v="3000"/>
    <n v="0.17142857142857143"/>
  </r>
  <r>
    <s v="ORD-11076"/>
    <x v="337"/>
    <s v="P007"/>
    <x v="3"/>
    <s v="Beverages"/>
    <s v="Malt"/>
    <s v="Naija Malt"/>
    <s v="B06"/>
    <x v="1"/>
    <s v="Rivers"/>
    <x v="1"/>
    <s v="Member"/>
    <s v="POS"/>
    <n v="1"/>
    <n v="550"/>
    <n v="850"/>
    <n v="0.2"/>
    <x v="0"/>
    <n v="11"/>
    <n v="850"/>
    <n v="170"/>
    <n v="680"/>
    <n v="550"/>
    <n v="130"/>
    <n v="0.19117647058823528"/>
    <s v="Healthy"/>
    <s v="Safe"/>
    <n v="0.35294117647058826"/>
    <s v="Safe"/>
    <n v="300"/>
    <n v="0.35294117647058826"/>
  </r>
  <r>
    <s v="ORD-11077"/>
    <x v="323"/>
    <s v="P024"/>
    <x v="19"/>
    <s v="Office Supplies"/>
    <s v="Accessories"/>
    <s v="ErgoDesk"/>
    <s v="B07"/>
    <x v="3"/>
    <s v="Enugu"/>
    <x v="3"/>
    <s v="Walk-in"/>
    <s v="Transfer"/>
    <n v="1"/>
    <n v="1700"/>
    <n v="2800"/>
    <n v="0.25"/>
    <x v="5"/>
    <n v="7"/>
    <n v="2800"/>
    <n v="700"/>
    <n v="2100"/>
    <n v="1700"/>
    <n v="400"/>
    <n v="0.19047619047619047"/>
    <s v="Overstocked"/>
    <s v="Safe"/>
    <n v="0.39285714285714285"/>
    <s v="Safe"/>
    <n v="1100"/>
    <n v="0.39285714285714285"/>
  </r>
  <r>
    <s v="ORD-11078"/>
    <x v="222"/>
    <s v="P006"/>
    <x v="0"/>
    <s v="Beverages"/>
    <s v="Water"/>
    <s v="AquaPure"/>
    <s v="B01"/>
    <x v="2"/>
    <s v="Abuja"/>
    <x v="2"/>
    <s v="Member"/>
    <s v="Transfer"/>
    <n v="3"/>
    <n v="230"/>
    <n v="400"/>
    <n v="0.05"/>
    <x v="2"/>
    <n v="10"/>
    <n v="1200"/>
    <n v="60"/>
    <n v="1140"/>
    <n v="690"/>
    <n v="450"/>
    <n v="0.39473684210526316"/>
    <s v="Understocked"/>
    <s v="Safe"/>
    <n v="0.42499999999999999"/>
    <s v="Safe"/>
    <n v="170"/>
    <n v="0.42499999999999999"/>
  </r>
  <r>
    <s v="ORD-11079"/>
    <x v="264"/>
    <s v="P006"/>
    <x v="0"/>
    <s v="Beverages"/>
    <s v="Water"/>
    <s v="AquaPure"/>
    <s v="B08"/>
    <x v="7"/>
    <s v="Kwara"/>
    <x v="2"/>
    <s v="Walk-in"/>
    <s v="Cash"/>
    <n v="3"/>
    <n v="230"/>
    <n v="400"/>
    <n v="0.1"/>
    <x v="2"/>
    <n v="10"/>
    <n v="1200"/>
    <n v="120"/>
    <n v="1080"/>
    <n v="690"/>
    <n v="390"/>
    <n v="0.3611111111111111"/>
    <s v="Understocked"/>
    <s v="Safe"/>
    <n v="0.42499999999999999"/>
    <s v="Safe"/>
    <n v="170"/>
    <n v="0.42499999999999999"/>
  </r>
  <r>
    <s v="ORD-11080"/>
    <x v="301"/>
    <s v="P006"/>
    <x v="0"/>
    <s v="Beverages"/>
    <s v="Water"/>
    <s v="AquaPure"/>
    <s v="B03"/>
    <x v="6"/>
    <s v="Lagos"/>
    <x v="4"/>
    <s v="Walk-in"/>
    <s v="Card"/>
    <n v="5"/>
    <n v="230"/>
    <n v="400"/>
    <n v="0"/>
    <x v="0"/>
    <n v="2"/>
    <n v="2000"/>
    <n v="0"/>
    <n v="2000"/>
    <n v="1150"/>
    <n v="850"/>
    <n v="0.42499999999999999"/>
    <s v="Understocked"/>
    <s v="Safe"/>
    <n v="0.42499999999999999"/>
    <s v="Safe"/>
    <n v="170"/>
    <n v="0.42499999999999999"/>
  </r>
  <r>
    <s v="ORD-11081"/>
    <x v="305"/>
    <s v="P001"/>
    <x v="14"/>
    <s v="Food"/>
    <s v="Grains"/>
    <s v="Golden Harvest"/>
    <s v="B03"/>
    <x v="6"/>
    <s v="Lagos"/>
    <x v="4"/>
    <s v="Walk-in"/>
    <s v="POS"/>
    <n v="5"/>
    <n v="14500"/>
    <n v="17500"/>
    <n v="0"/>
    <x v="1"/>
    <n v="11"/>
    <n v="87500"/>
    <n v="0"/>
    <n v="87500"/>
    <n v="72500"/>
    <n v="15000"/>
    <n v="0.17142857142857143"/>
    <s v="Understocked"/>
    <s v="Safe"/>
    <n v="0.17142857142857143"/>
    <s v="Safe"/>
    <n v="3000"/>
    <n v="0.17142857142857143"/>
  </r>
  <r>
    <s v="ORD-11082"/>
    <x v="87"/>
    <s v="P004"/>
    <x v="1"/>
    <s v="Beverages"/>
    <s v="Dairy"/>
    <s v="FreshDay"/>
    <s v="B01"/>
    <x v="2"/>
    <s v="Abuja"/>
    <x v="2"/>
    <s v="Walk-in"/>
    <s v="POS"/>
    <n v="2"/>
    <n v="1650"/>
    <n v="2200"/>
    <n v="0.2"/>
    <x v="3"/>
    <n v="5"/>
    <n v="4400"/>
    <n v="880"/>
    <n v="3520"/>
    <n v="3300"/>
    <n v="220"/>
    <n v="6.25E-2"/>
    <s v="Understocked"/>
    <s v="Safe"/>
    <n v="0.25"/>
    <s v="Safe"/>
    <n v="550"/>
    <n v="0.25"/>
  </r>
  <r>
    <s v="ORD-11083"/>
    <x v="255"/>
    <s v="P022"/>
    <x v="17"/>
    <s v="Office Supplies"/>
    <s v="Writing"/>
    <s v="WriteWell"/>
    <s v="B03"/>
    <x v="6"/>
    <s v="Lagos"/>
    <x v="4"/>
    <s v="Walk-in"/>
    <s v="POS"/>
    <n v="4"/>
    <n v="1300"/>
    <n v="2100"/>
    <n v="0.05"/>
    <x v="14"/>
    <n v="5"/>
    <n v="8400"/>
    <n v="420"/>
    <n v="7980"/>
    <n v="5200"/>
    <n v="2780"/>
    <n v="0.34837092731829572"/>
    <s v="Understocked"/>
    <s v="Safe"/>
    <n v="0.38095238095238093"/>
    <s v="Safe"/>
    <n v="800"/>
    <n v="0.38095238095238093"/>
  </r>
  <r>
    <s v="ORD-11084"/>
    <x v="132"/>
    <s v="P010"/>
    <x v="22"/>
    <s v="Household"/>
    <s v="Paper Products"/>
    <s v="SoftCare"/>
    <s v="B05"/>
    <x v="0"/>
    <s v="Kano"/>
    <x v="0"/>
    <s v="Member"/>
    <s v="Cash"/>
    <n v="2"/>
    <n v="3200"/>
    <n v="4500"/>
    <n v="0.1"/>
    <x v="7"/>
    <n v="7"/>
    <n v="9000"/>
    <n v="900"/>
    <n v="8100"/>
    <n v="6400"/>
    <n v="1700"/>
    <n v="0.20987654320987653"/>
    <s v="Healthy"/>
    <s v="Safe"/>
    <n v="0.28888888888888886"/>
    <s v="Safe"/>
    <n v="1300"/>
    <n v="0.28888888888888886"/>
  </r>
  <r>
    <s v="ORD-11085"/>
    <x v="59"/>
    <s v="P006"/>
    <x v="0"/>
    <s v="Beverages"/>
    <s v="Water"/>
    <s v="AquaPure"/>
    <s v="B03"/>
    <x v="6"/>
    <s v="Lagos"/>
    <x v="4"/>
    <s v="Walk-in"/>
    <s v="POS"/>
    <n v="8"/>
    <n v="230"/>
    <n v="400"/>
    <n v="0.05"/>
    <x v="2"/>
    <n v="2"/>
    <n v="3200"/>
    <n v="160"/>
    <n v="3040"/>
    <n v="1840"/>
    <n v="1200"/>
    <n v="0.39473684210526316"/>
    <s v="Understocked"/>
    <s v="Safe"/>
    <n v="0.42499999999999999"/>
    <s v="Safe"/>
    <n v="170"/>
    <n v="0.42499999999999999"/>
  </r>
  <r>
    <s v="ORD-11086"/>
    <x v="240"/>
    <s v="P015"/>
    <x v="8"/>
    <s v="Personal Care"/>
    <s v="Bath"/>
    <s v="SilkyTouch"/>
    <s v="B04"/>
    <x v="5"/>
    <s v="Lagos"/>
    <x v="4"/>
    <s v="Walk-in"/>
    <s v="Transfer"/>
    <n v="4"/>
    <n v="600"/>
    <n v="950"/>
    <n v="0.05"/>
    <x v="11"/>
    <n v="8"/>
    <n v="3800"/>
    <n v="190"/>
    <n v="3610"/>
    <n v="2400"/>
    <n v="1210"/>
    <n v="0.33518005540166207"/>
    <s v="Healthy"/>
    <s v="Safe"/>
    <n v="0.36842105263157893"/>
    <s v="Safe"/>
    <n v="350"/>
    <n v="0.36842105263157893"/>
  </r>
  <r>
    <s v="ORD-11087"/>
    <x v="161"/>
    <s v="P001"/>
    <x v="14"/>
    <s v="Food"/>
    <s v="Grains"/>
    <s v="Golden Harvest"/>
    <s v="B06"/>
    <x v="1"/>
    <s v="Rivers"/>
    <x v="1"/>
    <s v="Member"/>
    <s v="POS"/>
    <n v="1"/>
    <n v="14500"/>
    <n v="17500"/>
    <n v="0"/>
    <x v="1"/>
    <n v="9"/>
    <n v="17500"/>
    <n v="0"/>
    <n v="17500"/>
    <n v="14500"/>
    <n v="3000"/>
    <n v="0.17142857142857143"/>
    <s v="Understocked"/>
    <s v="Safe"/>
    <n v="0.17142857142857143"/>
    <s v="Safe"/>
    <n v="3000"/>
    <n v="0.17142857142857143"/>
  </r>
  <r>
    <s v="ORD-11088"/>
    <x v="271"/>
    <s v="P010"/>
    <x v="22"/>
    <s v="Household"/>
    <s v="Paper Products"/>
    <s v="SoftCare"/>
    <s v="B04"/>
    <x v="5"/>
    <s v="Lagos"/>
    <x v="4"/>
    <s v="Walk-in"/>
    <s v="Transfer"/>
    <n v="2"/>
    <n v="3200"/>
    <n v="4500"/>
    <n v="0.1"/>
    <x v="7"/>
    <n v="8"/>
    <n v="9000"/>
    <n v="900"/>
    <n v="8100"/>
    <n v="6400"/>
    <n v="1700"/>
    <n v="0.20987654320987653"/>
    <s v="Healthy"/>
    <s v="Safe"/>
    <n v="0.28888888888888886"/>
    <s v="Safe"/>
    <n v="1300"/>
    <n v="0.28888888888888886"/>
  </r>
  <r>
    <s v="ORD-11089"/>
    <x v="135"/>
    <s v="P008"/>
    <x v="4"/>
    <s v="Beverages"/>
    <s v="Soft Drinks"/>
    <s v="Sparkle"/>
    <s v="B01"/>
    <x v="2"/>
    <s v="Abuja"/>
    <x v="2"/>
    <s v="Member"/>
    <s v="Transfer"/>
    <n v="1"/>
    <n v="330"/>
    <n v="550"/>
    <n v="0.15"/>
    <x v="3"/>
    <n v="14"/>
    <n v="550"/>
    <n v="82.5"/>
    <n v="467.5"/>
    <n v="330"/>
    <n v="137.5"/>
    <n v="0.29411764705882354"/>
    <s v="Healthy"/>
    <s v="Safe"/>
    <n v="0.4"/>
    <s v="Safe"/>
    <n v="220"/>
    <n v="0.4"/>
  </r>
  <r>
    <s v="ORD-11090"/>
    <x v="85"/>
    <s v="P015"/>
    <x v="8"/>
    <s v="Personal Care"/>
    <s v="Bath"/>
    <s v="SilkyTouch"/>
    <s v="B07"/>
    <x v="3"/>
    <s v="Enugu"/>
    <x v="3"/>
    <s v="Walk-in"/>
    <s v="POS"/>
    <n v="1"/>
    <n v="600"/>
    <n v="950"/>
    <n v="0.1"/>
    <x v="10"/>
    <n v="4"/>
    <n v="950"/>
    <n v="95"/>
    <n v="855"/>
    <n v="600"/>
    <n v="255"/>
    <n v="0.2982456140350877"/>
    <s v="Healthy"/>
    <s v="Safe"/>
    <n v="0.36842105263157893"/>
    <s v="Safe"/>
    <n v="350"/>
    <n v="0.36842105263157893"/>
  </r>
  <r>
    <s v="ORD-11091"/>
    <x v="87"/>
    <s v="P015"/>
    <x v="8"/>
    <s v="Personal Care"/>
    <s v="Bath"/>
    <s v="SilkyTouch"/>
    <s v="B04"/>
    <x v="5"/>
    <s v="Lagos"/>
    <x v="4"/>
    <s v="Member"/>
    <s v="Card"/>
    <n v="2"/>
    <n v="600"/>
    <n v="950"/>
    <n v="0.1"/>
    <x v="11"/>
    <n v="12"/>
    <n v="1900"/>
    <n v="190"/>
    <n v="1710"/>
    <n v="1200"/>
    <n v="510"/>
    <n v="0.2982456140350877"/>
    <s v="Healthy"/>
    <s v="Safe"/>
    <n v="0.36842105263157893"/>
    <s v="Safe"/>
    <n v="350"/>
    <n v="0.36842105263157893"/>
  </r>
  <r>
    <s v="ORD-11092"/>
    <x v="257"/>
    <s v="P018"/>
    <x v="16"/>
    <s v="Electronics"/>
    <s v="Mobile Accessories"/>
    <s v="VoltSafe"/>
    <s v="B05"/>
    <x v="0"/>
    <s v="Kano"/>
    <x v="0"/>
    <s v="Walk-in"/>
    <s v="POS"/>
    <n v="1"/>
    <n v="18000"/>
    <n v="24500"/>
    <n v="0"/>
    <x v="12"/>
    <n v="2"/>
    <n v="24500"/>
    <n v="0"/>
    <n v="24500"/>
    <n v="18000"/>
    <n v="6500"/>
    <n v="0.26530612244897961"/>
    <s v="Understocked"/>
    <s v="Safe"/>
    <n v="0.26530612244897961"/>
    <s v="Safe"/>
    <n v="6500"/>
    <n v="0.26530612244897961"/>
  </r>
  <r>
    <s v="ORD-11093"/>
    <x v="100"/>
    <s v="P008"/>
    <x v="4"/>
    <s v="Beverages"/>
    <s v="Soft Drinks"/>
    <s v="Sparkle"/>
    <s v="B07"/>
    <x v="3"/>
    <s v="Enugu"/>
    <x v="3"/>
    <s v="Walk-in"/>
    <s v="Transfer"/>
    <n v="2"/>
    <n v="330"/>
    <n v="550"/>
    <n v="0"/>
    <x v="3"/>
    <n v="14"/>
    <n v="1100"/>
    <n v="0"/>
    <n v="1100"/>
    <n v="660"/>
    <n v="440"/>
    <n v="0.4"/>
    <s v="Healthy"/>
    <s v="Safe"/>
    <n v="0.4"/>
    <s v="Safe"/>
    <n v="220"/>
    <n v="0.4"/>
  </r>
  <r>
    <s v="ORD-11094"/>
    <x v="28"/>
    <s v="P005"/>
    <x v="2"/>
    <s v="Food"/>
    <s v="Snacks"/>
    <s v="CrispyBite"/>
    <s v="B05"/>
    <x v="0"/>
    <s v="Kano"/>
    <x v="0"/>
    <s v="Walk-in"/>
    <s v="Cash"/>
    <n v="2"/>
    <n v="850"/>
    <n v="1300"/>
    <n v="0.1"/>
    <x v="9"/>
    <n v="3"/>
    <n v="2600"/>
    <n v="260"/>
    <n v="2340"/>
    <n v="1700"/>
    <n v="640"/>
    <n v="0.27350427350427353"/>
    <s v="Understocked"/>
    <s v="Safe"/>
    <n v="0.34615384615384615"/>
    <s v="Safe"/>
    <n v="450"/>
    <n v="0.34615384615384615"/>
  </r>
  <r>
    <s v="ORD-11095"/>
    <x v="102"/>
    <s v="P005"/>
    <x v="2"/>
    <s v="Food"/>
    <s v="Snacks"/>
    <s v="CrispyBite"/>
    <s v="B04"/>
    <x v="5"/>
    <s v="Lagos"/>
    <x v="4"/>
    <s v="Walk-in"/>
    <s v="Card"/>
    <n v="4"/>
    <n v="850"/>
    <n v="1300"/>
    <n v="0"/>
    <x v="9"/>
    <n v="10"/>
    <n v="5200"/>
    <n v="0"/>
    <n v="5200"/>
    <n v="3400"/>
    <n v="1800"/>
    <n v="0.34615384615384615"/>
    <s v="Understocked"/>
    <s v="Safe"/>
    <n v="0.34615384615384615"/>
    <s v="Safe"/>
    <n v="450"/>
    <n v="0.34615384615384615"/>
  </r>
  <r>
    <s v="ORD-11096"/>
    <x v="295"/>
    <s v="P006"/>
    <x v="0"/>
    <s v="Beverages"/>
    <s v="Water"/>
    <s v="AquaPure"/>
    <s v="B03"/>
    <x v="6"/>
    <s v="Lagos"/>
    <x v="4"/>
    <s v="Member"/>
    <s v="Cash"/>
    <n v="5"/>
    <n v="230"/>
    <n v="400"/>
    <n v="0.05"/>
    <x v="2"/>
    <n v="8"/>
    <n v="2000"/>
    <n v="100"/>
    <n v="1900"/>
    <n v="1150"/>
    <n v="750"/>
    <n v="0.39473684210526316"/>
    <s v="Understocked"/>
    <s v="Safe"/>
    <n v="0.42499999999999999"/>
    <s v="Safe"/>
    <n v="170"/>
    <n v="0.42499999999999999"/>
  </r>
  <r>
    <s v="ORD-11097"/>
    <x v="45"/>
    <s v="P001"/>
    <x v="14"/>
    <s v="Food"/>
    <s v="Grains"/>
    <s v="Golden Harvest"/>
    <s v="B03"/>
    <x v="6"/>
    <s v="Lagos"/>
    <x v="4"/>
    <s v="Member"/>
    <s v="Cash"/>
    <n v="3"/>
    <n v="14500"/>
    <n v="17500"/>
    <n v="0.15"/>
    <x v="8"/>
    <n v="3"/>
    <n v="52500"/>
    <n v="7875"/>
    <n v="44625"/>
    <n v="43500"/>
    <n v="1125"/>
    <n v="2.5210084033613446E-2"/>
    <s v="Understocked"/>
    <s v="Safe"/>
    <n v="0.17142857142857143"/>
    <s v="Safe"/>
    <n v="3000"/>
    <n v="0.17142857142857143"/>
  </r>
  <r>
    <s v="ORD-11098"/>
    <x v="294"/>
    <s v="P006"/>
    <x v="0"/>
    <s v="Beverages"/>
    <s v="Water"/>
    <s v="AquaPure"/>
    <s v="B08"/>
    <x v="7"/>
    <s v="Kwara"/>
    <x v="2"/>
    <s v="Walk-in"/>
    <s v="Transfer"/>
    <n v="2"/>
    <n v="230"/>
    <n v="400"/>
    <n v="0.15"/>
    <x v="0"/>
    <n v="9"/>
    <n v="800"/>
    <n v="120"/>
    <n v="680"/>
    <n v="460"/>
    <n v="220"/>
    <n v="0.3235294117647059"/>
    <s v="Understocked"/>
    <s v="Safe"/>
    <n v="0.42499999999999999"/>
    <s v="Safe"/>
    <n v="170"/>
    <n v="0.42499999999999999"/>
  </r>
  <r>
    <s v="ORD-11099"/>
    <x v="286"/>
    <s v="P004"/>
    <x v="1"/>
    <s v="Beverages"/>
    <s v="Dairy"/>
    <s v="FreshDay"/>
    <s v="B02"/>
    <x v="4"/>
    <s v="Abuja"/>
    <x v="2"/>
    <s v="Walk-in"/>
    <s v="POS"/>
    <n v="4"/>
    <n v="1650"/>
    <n v="2200"/>
    <n v="0.1"/>
    <x v="3"/>
    <n v="5"/>
    <n v="8800"/>
    <n v="880"/>
    <n v="7920"/>
    <n v="6600"/>
    <n v="1320"/>
    <n v="0.16666666666666666"/>
    <s v="Understocked"/>
    <s v="Safe"/>
    <n v="0.25"/>
    <s v="Safe"/>
    <n v="550"/>
    <n v="0.25"/>
  </r>
  <r>
    <s v="ORD-11100"/>
    <x v="10"/>
    <s v="P006"/>
    <x v="0"/>
    <s v="Beverages"/>
    <s v="Water"/>
    <s v="AquaPure"/>
    <s v="B03"/>
    <x v="6"/>
    <s v="Lagos"/>
    <x v="4"/>
    <s v="Walk-in"/>
    <s v="Transfer"/>
    <n v="6"/>
    <n v="230"/>
    <n v="400"/>
    <n v="0.1"/>
    <x v="0"/>
    <n v="3"/>
    <n v="2400"/>
    <n v="240"/>
    <n v="2160"/>
    <n v="1380"/>
    <n v="780"/>
    <n v="0.3611111111111111"/>
    <s v="Understocked"/>
    <s v="Safe"/>
    <n v="0.42499999999999999"/>
    <s v="Safe"/>
    <n v="170"/>
    <n v="0.42499999999999999"/>
  </r>
  <r>
    <s v="ORD-11101"/>
    <x v="74"/>
    <s v="P017"/>
    <x v="23"/>
    <s v="Electronics"/>
    <s v="Accessories"/>
    <s v="PowerMax"/>
    <s v="B04"/>
    <x v="5"/>
    <s v="Lagos"/>
    <x v="4"/>
    <s v="Corporate"/>
    <s v="Transfer"/>
    <n v="1"/>
    <n v="7500"/>
    <n v="10500"/>
    <n v="0.1"/>
    <x v="12"/>
    <n v="14"/>
    <n v="10500"/>
    <n v="1050"/>
    <n v="9450"/>
    <n v="7500"/>
    <n v="1950"/>
    <n v="0.20634920634920634"/>
    <s v="Healthy"/>
    <s v="Safe"/>
    <n v="0.2857142857142857"/>
    <s v="Safe"/>
    <n v="3000"/>
    <n v="0.2857142857142857"/>
  </r>
  <r>
    <s v="ORD-11102"/>
    <x v="88"/>
    <s v="P001"/>
    <x v="14"/>
    <s v="Food"/>
    <s v="Grains"/>
    <s v="Golden Harvest"/>
    <s v="B06"/>
    <x v="1"/>
    <s v="Rivers"/>
    <x v="1"/>
    <s v="Walk-in"/>
    <s v="POS"/>
    <n v="2"/>
    <n v="14500"/>
    <n v="17500"/>
    <n v="0.1"/>
    <x v="8"/>
    <n v="13"/>
    <n v="35000"/>
    <n v="3500"/>
    <n v="31500"/>
    <n v="29000"/>
    <n v="2500"/>
    <n v="7.9365079365079361E-2"/>
    <s v="Understocked"/>
    <s v="Safe"/>
    <n v="0.17142857142857143"/>
    <s v="Safe"/>
    <n v="3000"/>
    <n v="0.17142857142857143"/>
  </r>
  <r>
    <s v="ORD-11103"/>
    <x v="17"/>
    <s v="P003"/>
    <x v="12"/>
    <s v="Food"/>
    <s v="Cooking Oil"/>
    <s v="SunGold"/>
    <s v="B07"/>
    <x v="3"/>
    <s v="Enugu"/>
    <x v="3"/>
    <s v="Corporate"/>
    <s v="POS"/>
    <n v="4"/>
    <n v="7800"/>
    <n v="9800"/>
    <n v="0.05"/>
    <x v="9"/>
    <n v="10"/>
    <n v="39200"/>
    <n v="1960"/>
    <n v="37240"/>
    <n v="31200"/>
    <n v="6040"/>
    <n v="0.16219119226638024"/>
    <s v="Understocked"/>
    <s v="Safe"/>
    <n v="0.20408163265306123"/>
    <s v="Safe"/>
    <n v="2000"/>
    <n v="0.20408163265306123"/>
  </r>
  <r>
    <s v="ORD-11104"/>
    <x v="229"/>
    <s v="P020"/>
    <x v="5"/>
    <s v="Electronics"/>
    <s v="Lighting"/>
    <s v="Luma"/>
    <s v="B01"/>
    <x v="2"/>
    <s v="Abuja"/>
    <x v="2"/>
    <s v="Member"/>
    <s v="POS"/>
    <n v="4"/>
    <n v="1500"/>
    <n v="2500"/>
    <n v="0.1"/>
    <x v="13"/>
    <n v="2"/>
    <n v="10000"/>
    <n v="1000"/>
    <n v="9000"/>
    <n v="6000"/>
    <n v="3000"/>
    <n v="0.33333333333333331"/>
    <s v="Healthy"/>
    <s v="Safe"/>
    <n v="0.4"/>
    <s v="Safe"/>
    <n v="1000"/>
    <n v="0.4"/>
  </r>
  <r>
    <s v="ORD-11105"/>
    <x v="175"/>
    <s v="P003"/>
    <x v="12"/>
    <s v="Food"/>
    <s v="Cooking Oil"/>
    <s v="SunGold"/>
    <s v="B05"/>
    <x v="0"/>
    <s v="Kano"/>
    <x v="0"/>
    <s v="Walk-in"/>
    <s v="POS"/>
    <n v="3"/>
    <n v="7800"/>
    <n v="9800"/>
    <n v="0"/>
    <x v="9"/>
    <n v="4"/>
    <n v="29400"/>
    <n v="0"/>
    <n v="29400"/>
    <n v="23400"/>
    <n v="6000"/>
    <n v="0.20408163265306123"/>
    <s v="Understocked"/>
    <s v="Safe"/>
    <n v="0.20408163265306123"/>
    <s v="Safe"/>
    <n v="2000"/>
    <n v="0.20408163265306123"/>
  </r>
  <r>
    <s v="ORD-11106"/>
    <x v="34"/>
    <s v="P018"/>
    <x v="16"/>
    <s v="Electronics"/>
    <s v="Mobile Accessories"/>
    <s v="VoltSafe"/>
    <s v="B06"/>
    <x v="1"/>
    <s v="Rivers"/>
    <x v="1"/>
    <s v="Member"/>
    <s v="POS"/>
    <n v="1"/>
    <n v="18000"/>
    <n v="24500"/>
    <n v="0.1"/>
    <x v="4"/>
    <n v="1"/>
    <n v="24500"/>
    <n v="2450"/>
    <n v="22050"/>
    <n v="18000"/>
    <n v="4050"/>
    <n v="0.18367346938775511"/>
    <s v="Understocked"/>
    <s v="Safe"/>
    <n v="0.26530612244897961"/>
    <s v="Safe"/>
    <n v="6500"/>
    <n v="0.26530612244897961"/>
  </r>
  <r>
    <s v="ORD-11107"/>
    <x v="291"/>
    <s v="P007"/>
    <x v="3"/>
    <s v="Beverages"/>
    <s v="Malt"/>
    <s v="Naija Malt"/>
    <s v="B03"/>
    <x v="6"/>
    <s v="Lagos"/>
    <x v="4"/>
    <s v="Walk-in"/>
    <s v="POS"/>
    <n v="3"/>
    <n v="550"/>
    <n v="850"/>
    <n v="0"/>
    <x v="0"/>
    <n v="11"/>
    <n v="2550"/>
    <n v="0"/>
    <n v="2550"/>
    <n v="1650"/>
    <n v="900"/>
    <n v="0.35294117647058826"/>
    <s v="Healthy"/>
    <s v="Safe"/>
    <n v="0.35294117647058826"/>
    <s v="Safe"/>
    <n v="300"/>
    <n v="0.35294117647058826"/>
  </r>
  <r>
    <s v="ORD-11108"/>
    <x v="139"/>
    <s v="P019"/>
    <x v="18"/>
    <s v="Electronics"/>
    <s v="Audio"/>
    <s v="SoundBeat"/>
    <s v="B04"/>
    <x v="5"/>
    <s v="Lagos"/>
    <x v="4"/>
    <s v="Member"/>
    <s v="POS"/>
    <n v="3"/>
    <n v="12500"/>
    <n v="18500"/>
    <n v="0.05"/>
    <x v="4"/>
    <n v="13"/>
    <n v="55500"/>
    <n v="2775"/>
    <n v="52725"/>
    <n v="37500"/>
    <n v="15225"/>
    <n v="0.28876244665718348"/>
    <s v="Understocked"/>
    <s v="Safe"/>
    <n v="0.32432432432432434"/>
    <s v="Safe"/>
    <n v="6000"/>
    <n v="0.32432432432432434"/>
  </r>
  <r>
    <s v="ORD-11109"/>
    <x v="96"/>
    <s v="P013"/>
    <x v="11"/>
    <s v="Personal Care"/>
    <s v="Skin Care"/>
    <s v="GlowPlus"/>
    <s v="B07"/>
    <x v="3"/>
    <s v="Enugu"/>
    <x v="3"/>
    <s v="Walk-in"/>
    <s v="Cash"/>
    <n v="3"/>
    <n v="3500"/>
    <n v="5200"/>
    <n v="0"/>
    <x v="11"/>
    <n v="4"/>
    <n v="15600"/>
    <n v="0"/>
    <n v="15600"/>
    <n v="10500"/>
    <n v="5100"/>
    <n v="0.32692307692307693"/>
    <s v="Healthy"/>
    <s v="Safe"/>
    <n v="0.32692307692307693"/>
    <s v="Safe"/>
    <n v="1700"/>
    <n v="0.32692307692307693"/>
  </r>
  <r>
    <s v="ORD-11110"/>
    <x v="47"/>
    <s v="P006"/>
    <x v="0"/>
    <s v="Beverages"/>
    <s v="Water"/>
    <s v="AquaPure"/>
    <s v="B02"/>
    <x v="4"/>
    <s v="Abuja"/>
    <x v="2"/>
    <s v="Walk-in"/>
    <s v="POS"/>
    <n v="8"/>
    <n v="230"/>
    <n v="400"/>
    <n v="0.2"/>
    <x v="3"/>
    <n v="14"/>
    <n v="3200"/>
    <n v="640"/>
    <n v="2560"/>
    <n v="1840"/>
    <n v="720"/>
    <n v="0.28125"/>
    <s v="Understocked"/>
    <s v="Safe"/>
    <n v="0.42499999999999999"/>
    <s v="Safe"/>
    <n v="170"/>
    <n v="0.42499999999999999"/>
  </r>
  <r>
    <s v="ORD-11111"/>
    <x v="153"/>
    <s v="P002"/>
    <x v="10"/>
    <s v="Food"/>
    <s v="Grains"/>
    <s v="Mama's Pride"/>
    <s v="B04"/>
    <x v="5"/>
    <s v="Lagos"/>
    <x v="4"/>
    <s v="Walk-in"/>
    <s v="Transfer"/>
    <n v="5"/>
    <n v="6200"/>
    <n v="7900"/>
    <n v="0.2"/>
    <x v="9"/>
    <n v="9"/>
    <n v="39500"/>
    <n v="7900"/>
    <n v="31600"/>
    <n v="31000"/>
    <n v="600"/>
    <n v="1.8987341772151899E-2"/>
    <s v="Healthy"/>
    <s v="Safe"/>
    <n v="0.21518987341772153"/>
    <s v="Safe"/>
    <n v="1700"/>
    <n v="0.21518987341772153"/>
  </r>
  <r>
    <s v="ORD-11112"/>
    <x v="103"/>
    <s v="P011"/>
    <x v="9"/>
    <s v="Household"/>
    <s v="Cleaning"/>
    <s v="CleanPro"/>
    <s v="B08"/>
    <x v="7"/>
    <s v="Kwara"/>
    <x v="2"/>
    <s v="Walk-in"/>
    <s v="Transfer"/>
    <n v="10"/>
    <n v="2800"/>
    <n v="3900"/>
    <n v="0.1"/>
    <x v="7"/>
    <n v="6"/>
    <n v="39000"/>
    <n v="3900"/>
    <n v="35100"/>
    <n v="28000"/>
    <n v="7100"/>
    <n v="0.20227920227920229"/>
    <s v="Healthy"/>
    <s v="Safe"/>
    <n v="0.28205128205128205"/>
    <s v="Safe"/>
    <n v="1100"/>
    <n v="0.28205128205128205"/>
  </r>
  <r>
    <s v="ORD-11113"/>
    <x v="173"/>
    <s v="P003"/>
    <x v="12"/>
    <s v="Food"/>
    <s v="Cooking Oil"/>
    <s v="SunGold"/>
    <s v="B04"/>
    <x v="5"/>
    <s v="Lagos"/>
    <x v="4"/>
    <s v="Member"/>
    <s v="POS"/>
    <n v="4"/>
    <n v="7800"/>
    <n v="9800"/>
    <n v="0.2"/>
    <x v="9"/>
    <n v="8"/>
    <n v="39200"/>
    <n v="7840"/>
    <n v="31360"/>
    <n v="31200"/>
    <n v="160"/>
    <n v="5.1020408163265302E-3"/>
    <s v="Understocked"/>
    <s v="Safe"/>
    <n v="0.20408163265306123"/>
    <s v="Safe"/>
    <n v="2000"/>
    <n v="0.20408163265306123"/>
  </r>
  <r>
    <s v="ORD-11114"/>
    <x v="159"/>
    <s v="P021"/>
    <x v="20"/>
    <s v="Office Supplies"/>
    <s v="Paper"/>
    <s v="OfficeMate"/>
    <s v="B06"/>
    <x v="1"/>
    <s v="Rivers"/>
    <x v="1"/>
    <s v="Corporate"/>
    <s v="POS"/>
    <n v="4"/>
    <n v="5200"/>
    <n v="7000"/>
    <n v="0"/>
    <x v="5"/>
    <n v="12"/>
    <n v="28000"/>
    <n v="0"/>
    <n v="28000"/>
    <n v="20800"/>
    <n v="7200"/>
    <n v="0.25714285714285712"/>
    <s v="Overstocked"/>
    <s v="Safe"/>
    <n v="0.25714285714285712"/>
    <s v="Safe"/>
    <n v="1800"/>
    <n v="0.25714285714285712"/>
  </r>
  <r>
    <s v="ORD-11115"/>
    <x v="319"/>
    <s v="P020"/>
    <x v="5"/>
    <s v="Electronics"/>
    <s v="Lighting"/>
    <s v="Luma"/>
    <s v="B04"/>
    <x v="5"/>
    <s v="Lagos"/>
    <x v="4"/>
    <s v="Walk-in"/>
    <s v="Transfer"/>
    <n v="1"/>
    <n v="1500"/>
    <n v="2500"/>
    <n v="0.1"/>
    <x v="4"/>
    <n v="11"/>
    <n v="2500"/>
    <n v="250"/>
    <n v="2250"/>
    <n v="1500"/>
    <n v="750"/>
    <n v="0.33333333333333331"/>
    <s v="Healthy"/>
    <s v="Safe"/>
    <n v="0.4"/>
    <s v="Safe"/>
    <n v="1000"/>
    <n v="0.4"/>
  </r>
  <r>
    <s v="ORD-11116"/>
    <x v="342"/>
    <s v="P006"/>
    <x v="0"/>
    <s v="Beverages"/>
    <s v="Water"/>
    <s v="AquaPure"/>
    <s v="B07"/>
    <x v="3"/>
    <s v="Enugu"/>
    <x v="3"/>
    <s v="Walk-in"/>
    <s v="POS"/>
    <n v="10"/>
    <n v="230"/>
    <n v="400"/>
    <n v="0"/>
    <x v="3"/>
    <n v="9"/>
    <n v="4000"/>
    <n v="0"/>
    <n v="4000"/>
    <n v="2300"/>
    <n v="1700"/>
    <n v="0.42499999999999999"/>
    <s v="Understocked"/>
    <s v="Safe"/>
    <n v="0.42499999999999999"/>
    <s v="Safe"/>
    <n v="170"/>
    <n v="0.42499999999999999"/>
  </r>
  <r>
    <s v="ORD-11117"/>
    <x v="0"/>
    <s v="P014"/>
    <x v="15"/>
    <s v="Personal Care"/>
    <s v="Oral Care"/>
    <s v="FreshMint"/>
    <s v="B06"/>
    <x v="1"/>
    <s v="Rivers"/>
    <x v="1"/>
    <s v="Member"/>
    <s v="POS"/>
    <n v="3"/>
    <n v="1200"/>
    <n v="1900"/>
    <n v="0"/>
    <x v="11"/>
    <n v="12"/>
    <n v="5700"/>
    <n v="0"/>
    <n v="5700"/>
    <n v="3600"/>
    <n v="2100"/>
    <n v="0.36842105263157893"/>
    <s v="Healthy"/>
    <s v="Safe"/>
    <n v="0.36842105263157893"/>
    <s v="Safe"/>
    <n v="700"/>
    <n v="0.36842105263157893"/>
  </r>
  <r>
    <s v="ORD-11118"/>
    <x v="119"/>
    <s v="P003"/>
    <x v="12"/>
    <s v="Food"/>
    <s v="Cooking Oil"/>
    <s v="SunGold"/>
    <s v="B01"/>
    <x v="2"/>
    <s v="Abuja"/>
    <x v="2"/>
    <s v="Walk-in"/>
    <s v="Transfer"/>
    <n v="3"/>
    <n v="7800"/>
    <n v="9800"/>
    <n v="0.15"/>
    <x v="9"/>
    <n v="4"/>
    <n v="29400"/>
    <n v="4410"/>
    <n v="24990"/>
    <n v="23400"/>
    <n v="1590"/>
    <n v="6.3625450180072027E-2"/>
    <s v="Understocked"/>
    <s v="Safe"/>
    <n v="0.20408163265306123"/>
    <s v="Safe"/>
    <n v="2000"/>
    <n v="0.20408163265306123"/>
  </r>
  <r>
    <s v="ORD-11119"/>
    <x v="304"/>
    <s v="P001"/>
    <x v="14"/>
    <s v="Food"/>
    <s v="Grains"/>
    <s v="Golden Harvest"/>
    <s v="B03"/>
    <x v="6"/>
    <s v="Lagos"/>
    <x v="4"/>
    <s v="Walk-in"/>
    <s v="Cash"/>
    <n v="4"/>
    <n v="14500"/>
    <n v="17500"/>
    <n v="0.15"/>
    <x v="9"/>
    <n v="14"/>
    <n v="70000"/>
    <n v="10500"/>
    <n v="59500"/>
    <n v="58000"/>
    <n v="1500"/>
    <n v="2.5210084033613446E-2"/>
    <s v="Understocked"/>
    <s v="Safe"/>
    <n v="0.17142857142857143"/>
    <s v="Safe"/>
    <n v="3000"/>
    <n v="0.17142857142857143"/>
  </r>
  <r>
    <s v="ORD-11120"/>
    <x v="19"/>
    <s v="P002"/>
    <x v="10"/>
    <s v="Food"/>
    <s v="Grains"/>
    <s v="Mama's Pride"/>
    <s v="B01"/>
    <x v="2"/>
    <s v="Abuja"/>
    <x v="2"/>
    <s v="Walk-in"/>
    <s v="POS"/>
    <n v="1"/>
    <n v="6200"/>
    <n v="7900"/>
    <n v="0"/>
    <x v="9"/>
    <n v="5"/>
    <n v="7900"/>
    <n v="0"/>
    <n v="7900"/>
    <n v="6200"/>
    <n v="1700"/>
    <n v="0.21518987341772153"/>
    <s v="Healthy"/>
    <s v="Safe"/>
    <n v="0.21518987341772153"/>
    <s v="Safe"/>
    <n v="1700"/>
    <n v="0.21518987341772153"/>
  </r>
  <r>
    <s v="ORD-11121"/>
    <x v="213"/>
    <s v="P008"/>
    <x v="4"/>
    <s v="Beverages"/>
    <s v="Soft Drinks"/>
    <s v="Sparkle"/>
    <s v="B01"/>
    <x v="2"/>
    <s v="Abuja"/>
    <x v="2"/>
    <s v="Walk-in"/>
    <s v="Transfer"/>
    <n v="1"/>
    <n v="330"/>
    <n v="550"/>
    <n v="0"/>
    <x v="0"/>
    <n v="14"/>
    <n v="550"/>
    <n v="0"/>
    <n v="550"/>
    <n v="330"/>
    <n v="220"/>
    <n v="0.4"/>
    <s v="Healthy"/>
    <s v="Safe"/>
    <n v="0.4"/>
    <s v="Safe"/>
    <n v="220"/>
    <n v="0.4"/>
  </r>
  <r>
    <s v="ORD-11122"/>
    <x v="158"/>
    <s v="P008"/>
    <x v="4"/>
    <s v="Beverages"/>
    <s v="Soft Drinks"/>
    <s v="Sparkle"/>
    <s v="B03"/>
    <x v="6"/>
    <s v="Lagos"/>
    <x v="4"/>
    <s v="Member"/>
    <s v="Card"/>
    <n v="2"/>
    <n v="330"/>
    <n v="550"/>
    <n v="0.1"/>
    <x v="2"/>
    <n v="6"/>
    <n v="1100"/>
    <n v="110"/>
    <n v="990"/>
    <n v="660"/>
    <n v="330"/>
    <n v="0.33333333333333331"/>
    <s v="Healthy"/>
    <s v="Safe"/>
    <n v="0.4"/>
    <s v="Safe"/>
    <n v="220"/>
    <n v="0.4"/>
  </r>
  <r>
    <s v="ORD-11123"/>
    <x v="136"/>
    <s v="P003"/>
    <x v="12"/>
    <s v="Food"/>
    <s v="Cooking Oil"/>
    <s v="SunGold"/>
    <s v="B03"/>
    <x v="6"/>
    <s v="Lagos"/>
    <x v="4"/>
    <s v="Walk-in"/>
    <s v="Cash"/>
    <n v="2"/>
    <n v="7800"/>
    <n v="9800"/>
    <n v="0.2"/>
    <x v="9"/>
    <n v="14"/>
    <n v="19600"/>
    <n v="3920"/>
    <n v="15680"/>
    <n v="15600"/>
    <n v="80"/>
    <n v="5.1020408163265302E-3"/>
    <s v="Understocked"/>
    <s v="Safe"/>
    <n v="0.20408163265306123"/>
    <s v="Safe"/>
    <n v="2000"/>
    <n v="0.20408163265306123"/>
  </r>
  <r>
    <s v="ORD-11124"/>
    <x v="44"/>
    <s v="P006"/>
    <x v="0"/>
    <s v="Beverages"/>
    <s v="Water"/>
    <s v="AquaPure"/>
    <s v="B04"/>
    <x v="5"/>
    <s v="Lagos"/>
    <x v="4"/>
    <s v="Member"/>
    <s v="Cash"/>
    <n v="1"/>
    <n v="230"/>
    <n v="400"/>
    <n v="0.1"/>
    <x v="3"/>
    <n v="12"/>
    <n v="400"/>
    <n v="40"/>
    <n v="360"/>
    <n v="230"/>
    <n v="130"/>
    <n v="0.3611111111111111"/>
    <s v="Understocked"/>
    <s v="Safe"/>
    <n v="0.42499999999999999"/>
    <s v="Safe"/>
    <n v="170"/>
    <n v="0.42499999999999999"/>
  </r>
  <r>
    <s v="ORD-11125"/>
    <x v="18"/>
    <s v="P023"/>
    <x v="6"/>
    <s v="Office Supplies"/>
    <s v="Stationery"/>
    <s v="StudyPro"/>
    <s v="B01"/>
    <x v="2"/>
    <s v="Abuja"/>
    <x v="2"/>
    <s v="Member"/>
    <s v="Card"/>
    <n v="5"/>
    <n v="2800"/>
    <n v="4200"/>
    <n v="0"/>
    <x v="15"/>
    <n v="1"/>
    <n v="21000"/>
    <n v="0"/>
    <n v="21000"/>
    <n v="14000"/>
    <n v="7000"/>
    <n v="0.33333333333333331"/>
    <s v="Understocked"/>
    <s v="Safe"/>
    <n v="0.33333333333333331"/>
    <s v="Safe"/>
    <n v="1400"/>
    <n v="0.33333333333333331"/>
  </r>
  <r>
    <s v="ORD-11126"/>
    <x v="189"/>
    <s v="P007"/>
    <x v="3"/>
    <s v="Beverages"/>
    <s v="Malt"/>
    <s v="Naija Malt"/>
    <s v="B01"/>
    <x v="2"/>
    <s v="Abuja"/>
    <x v="2"/>
    <s v="Walk-in"/>
    <s v="Transfer"/>
    <n v="2"/>
    <n v="550"/>
    <n v="850"/>
    <n v="0.05"/>
    <x v="0"/>
    <n v="7"/>
    <n v="1700"/>
    <n v="85"/>
    <n v="1615"/>
    <n v="1100"/>
    <n v="515"/>
    <n v="0.31888544891640869"/>
    <s v="Healthy"/>
    <s v="Safe"/>
    <n v="0.35294117647058826"/>
    <s v="Safe"/>
    <n v="300"/>
    <n v="0.35294117647058826"/>
  </r>
  <r>
    <s v="ORD-11127"/>
    <x v="162"/>
    <s v="P006"/>
    <x v="0"/>
    <s v="Beverages"/>
    <s v="Water"/>
    <s v="AquaPure"/>
    <s v="B04"/>
    <x v="5"/>
    <s v="Lagos"/>
    <x v="4"/>
    <s v="Member"/>
    <s v="POS"/>
    <n v="2"/>
    <n v="230"/>
    <n v="400"/>
    <n v="0"/>
    <x v="2"/>
    <n v="13"/>
    <n v="800"/>
    <n v="0"/>
    <n v="800"/>
    <n v="460"/>
    <n v="340"/>
    <n v="0.42499999999999999"/>
    <s v="Understocked"/>
    <s v="Safe"/>
    <n v="0.42499999999999999"/>
    <s v="Safe"/>
    <n v="170"/>
    <n v="0.42499999999999999"/>
  </r>
  <r>
    <s v="ORD-11128"/>
    <x v="279"/>
    <s v="P016"/>
    <x v="7"/>
    <s v="Personal Care"/>
    <s v="Fragrance"/>
    <s v="RoyalScent"/>
    <s v="B03"/>
    <x v="6"/>
    <s v="Lagos"/>
    <x v="4"/>
    <s v="Walk-in"/>
    <s v="POS"/>
    <n v="5"/>
    <n v="8500"/>
    <n v="12500"/>
    <n v="0.15"/>
    <x v="10"/>
    <n v="13"/>
    <n v="62500"/>
    <n v="9375"/>
    <n v="53125"/>
    <n v="42500"/>
    <n v="10625"/>
    <n v="0.2"/>
    <s v="Overstocked"/>
    <s v="Safe"/>
    <n v="0.32"/>
    <s v="Safe"/>
    <n v="4000"/>
    <n v="0.32"/>
  </r>
  <r>
    <s v="ORD-11129"/>
    <x v="141"/>
    <s v="P010"/>
    <x v="22"/>
    <s v="Household"/>
    <s v="Paper Products"/>
    <s v="SoftCare"/>
    <s v="B08"/>
    <x v="7"/>
    <s v="Kwara"/>
    <x v="2"/>
    <s v="Corporate"/>
    <s v="POS"/>
    <n v="8"/>
    <n v="3200"/>
    <n v="4500"/>
    <n v="0"/>
    <x v="10"/>
    <n v="10"/>
    <n v="36000"/>
    <n v="0"/>
    <n v="36000"/>
    <n v="25600"/>
    <n v="10400"/>
    <n v="0.28888888888888886"/>
    <s v="Healthy"/>
    <s v="Safe"/>
    <n v="0.28888888888888886"/>
    <s v="Safe"/>
    <n v="1300"/>
    <n v="0.28888888888888886"/>
  </r>
  <r>
    <s v="ORD-11130"/>
    <x v="135"/>
    <s v="P005"/>
    <x v="2"/>
    <s v="Food"/>
    <s v="Snacks"/>
    <s v="CrispyBite"/>
    <s v="B08"/>
    <x v="7"/>
    <s v="Kwara"/>
    <x v="2"/>
    <s v="Walk-in"/>
    <s v="POS"/>
    <n v="2"/>
    <n v="850"/>
    <n v="1300"/>
    <n v="0.2"/>
    <x v="8"/>
    <n v="13"/>
    <n v="2600"/>
    <n v="520"/>
    <n v="2080"/>
    <n v="1700"/>
    <n v="380"/>
    <n v="0.18269230769230768"/>
    <s v="Understocked"/>
    <s v="Safe"/>
    <n v="0.34615384615384615"/>
    <s v="Safe"/>
    <n v="450"/>
    <n v="0.34615384615384615"/>
  </r>
  <r>
    <s v="ORD-11131"/>
    <x v="150"/>
    <s v="P002"/>
    <x v="10"/>
    <s v="Food"/>
    <s v="Grains"/>
    <s v="Mama's Pride"/>
    <s v="B03"/>
    <x v="6"/>
    <s v="Lagos"/>
    <x v="4"/>
    <s v="Walk-in"/>
    <s v="POS"/>
    <n v="3"/>
    <n v="6200"/>
    <n v="7900"/>
    <n v="0.05"/>
    <x v="8"/>
    <n v="5"/>
    <n v="23700"/>
    <n v="1185"/>
    <n v="22515"/>
    <n v="18600"/>
    <n v="3915"/>
    <n v="0.17388407728181213"/>
    <s v="Healthy"/>
    <s v="Safe"/>
    <n v="0.21518987341772153"/>
    <s v="Safe"/>
    <n v="1700"/>
    <n v="0.21518987341772153"/>
  </r>
  <r>
    <s v="ORD-11132"/>
    <x v="192"/>
    <s v="P018"/>
    <x v="16"/>
    <s v="Electronics"/>
    <s v="Mobile Accessories"/>
    <s v="VoltSafe"/>
    <s v="B05"/>
    <x v="0"/>
    <s v="Kano"/>
    <x v="0"/>
    <s v="Walk-in"/>
    <s v="Card"/>
    <n v="1"/>
    <n v="18000"/>
    <n v="24500"/>
    <n v="0.1"/>
    <x v="4"/>
    <n v="8"/>
    <n v="24500"/>
    <n v="2450"/>
    <n v="22050"/>
    <n v="18000"/>
    <n v="4050"/>
    <n v="0.18367346938775511"/>
    <s v="Understocked"/>
    <s v="Safe"/>
    <n v="0.26530612244897961"/>
    <s v="Safe"/>
    <n v="6500"/>
    <n v="0.26530612244897961"/>
  </r>
  <r>
    <s v="ORD-11133"/>
    <x v="147"/>
    <s v="P001"/>
    <x v="14"/>
    <s v="Food"/>
    <s v="Grains"/>
    <s v="Golden Harvest"/>
    <s v="B01"/>
    <x v="2"/>
    <s v="Abuja"/>
    <x v="2"/>
    <s v="Walk-in"/>
    <s v="Transfer"/>
    <n v="2"/>
    <n v="14500"/>
    <n v="17500"/>
    <n v="0.1"/>
    <x v="1"/>
    <n v="2"/>
    <n v="35000"/>
    <n v="3500"/>
    <n v="31500"/>
    <n v="29000"/>
    <n v="2500"/>
    <n v="7.9365079365079361E-2"/>
    <s v="Understocked"/>
    <s v="Safe"/>
    <n v="0.17142857142857143"/>
    <s v="Safe"/>
    <n v="3000"/>
    <n v="0.17142857142857143"/>
  </r>
  <r>
    <s v="ORD-11134"/>
    <x v="189"/>
    <s v="P010"/>
    <x v="22"/>
    <s v="Household"/>
    <s v="Paper Products"/>
    <s v="SoftCare"/>
    <s v="B08"/>
    <x v="7"/>
    <s v="Kwara"/>
    <x v="2"/>
    <s v="Member"/>
    <s v="Card"/>
    <n v="2"/>
    <n v="3200"/>
    <n v="4500"/>
    <n v="0"/>
    <x v="10"/>
    <n v="3"/>
    <n v="9000"/>
    <n v="0"/>
    <n v="9000"/>
    <n v="6400"/>
    <n v="2600"/>
    <n v="0.28888888888888886"/>
    <s v="Healthy"/>
    <s v="Safe"/>
    <n v="0.28888888888888886"/>
    <s v="Safe"/>
    <n v="1300"/>
    <n v="0.28888888888888886"/>
  </r>
  <r>
    <s v="ORD-11135"/>
    <x v="93"/>
    <s v="P003"/>
    <x v="12"/>
    <s v="Food"/>
    <s v="Cooking Oil"/>
    <s v="SunGold"/>
    <s v="B05"/>
    <x v="0"/>
    <s v="Kano"/>
    <x v="0"/>
    <s v="Walk-in"/>
    <s v="POS"/>
    <n v="1"/>
    <n v="7800"/>
    <n v="9800"/>
    <n v="0"/>
    <x v="8"/>
    <n v="10"/>
    <n v="9800"/>
    <n v="0"/>
    <n v="9800"/>
    <n v="7800"/>
    <n v="2000"/>
    <n v="0.20408163265306123"/>
    <s v="Understocked"/>
    <s v="Safe"/>
    <n v="0.20408163265306123"/>
    <s v="Safe"/>
    <n v="2000"/>
    <n v="0.20408163265306123"/>
  </r>
  <r>
    <s v="ORD-11136"/>
    <x v="142"/>
    <s v="P015"/>
    <x v="8"/>
    <s v="Personal Care"/>
    <s v="Bath"/>
    <s v="SilkyTouch"/>
    <s v="B01"/>
    <x v="2"/>
    <s v="Abuja"/>
    <x v="2"/>
    <s v="Walk-in"/>
    <s v="POS"/>
    <n v="4"/>
    <n v="600"/>
    <n v="950"/>
    <n v="0"/>
    <x v="11"/>
    <n v="9"/>
    <n v="3800"/>
    <n v="0"/>
    <n v="3800"/>
    <n v="2400"/>
    <n v="1400"/>
    <n v="0.36842105263157893"/>
    <s v="Healthy"/>
    <s v="Safe"/>
    <n v="0.36842105263157893"/>
    <s v="Safe"/>
    <n v="350"/>
    <n v="0.36842105263157893"/>
  </r>
  <r>
    <s v="ORD-11137"/>
    <x v="223"/>
    <s v="P005"/>
    <x v="2"/>
    <s v="Food"/>
    <s v="Snacks"/>
    <s v="CrispyBite"/>
    <s v="B01"/>
    <x v="2"/>
    <s v="Abuja"/>
    <x v="2"/>
    <s v="Walk-in"/>
    <s v="Card"/>
    <n v="3"/>
    <n v="850"/>
    <n v="1300"/>
    <n v="0"/>
    <x v="1"/>
    <n v="6"/>
    <n v="3900"/>
    <n v="0"/>
    <n v="3900"/>
    <n v="2550"/>
    <n v="1350"/>
    <n v="0.34615384615384615"/>
    <s v="Understocked"/>
    <s v="Safe"/>
    <n v="0.34615384615384615"/>
    <s v="Safe"/>
    <n v="450"/>
    <n v="0.34615384615384615"/>
  </r>
  <r>
    <s v="ORD-11138"/>
    <x v="5"/>
    <s v="P007"/>
    <x v="3"/>
    <s v="Beverages"/>
    <s v="Malt"/>
    <s v="Naija Malt"/>
    <s v="B05"/>
    <x v="0"/>
    <s v="Kano"/>
    <x v="0"/>
    <s v="Walk-in"/>
    <s v="POS"/>
    <n v="6"/>
    <n v="550"/>
    <n v="850"/>
    <n v="0"/>
    <x v="2"/>
    <n v="7"/>
    <n v="5100"/>
    <n v="0"/>
    <n v="5100"/>
    <n v="3300"/>
    <n v="1800"/>
    <n v="0.35294117647058826"/>
    <s v="Healthy"/>
    <s v="Safe"/>
    <n v="0.35294117647058826"/>
    <s v="Safe"/>
    <n v="300"/>
    <n v="0.35294117647058826"/>
  </r>
  <r>
    <s v="ORD-11139"/>
    <x v="8"/>
    <s v="P008"/>
    <x v="4"/>
    <s v="Beverages"/>
    <s v="Soft Drinks"/>
    <s v="Sparkle"/>
    <s v="B08"/>
    <x v="7"/>
    <s v="Kwara"/>
    <x v="2"/>
    <s v="Walk-in"/>
    <s v="POS"/>
    <n v="3"/>
    <n v="330"/>
    <n v="550"/>
    <n v="0"/>
    <x v="0"/>
    <n v="1"/>
    <n v="1650"/>
    <n v="0"/>
    <n v="1650"/>
    <n v="990"/>
    <n v="660"/>
    <n v="0.4"/>
    <s v="Healthy"/>
    <s v="Safe"/>
    <n v="0.4"/>
    <s v="Safe"/>
    <n v="220"/>
    <n v="0.4"/>
  </r>
  <r>
    <s v="ORD-11140"/>
    <x v="104"/>
    <s v="P018"/>
    <x v="16"/>
    <s v="Electronics"/>
    <s v="Mobile Accessories"/>
    <s v="VoltSafe"/>
    <s v="B04"/>
    <x v="5"/>
    <s v="Lagos"/>
    <x v="4"/>
    <s v="Member"/>
    <s v="Transfer"/>
    <n v="5"/>
    <n v="18000"/>
    <n v="24500"/>
    <n v="0.05"/>
    <x v="4"/>
    <n v="7"/>
    <n v="122500"/>
    <n v="6125"/>
    <n v="116375"/>
    <n v="90000"/>
    <n v="26375"/>
    <n v="0.22663802363050484"/>
    <s v="Understocked"/>
    <s v="Safe"/>
    <n v="0.26530612244897961"/>
    <s v="Safe"/>
    <n v="6500"/>
    <n v="0.26530612244897961"/>
  </r>
  <r>
    <s v="ORD-11141"/>
    <x v="260"/>
    <s v="P014"/>
    <x v="15"/>
    <s v="Personal Care"/>
    <s v="Oral Care"/>
    <s v="FreshMint"/>
    <s v="B02"/>
    <x v="4"/>
    <s v="Abuja"/>
    <x v="2"/>
    <s v="Corporate"/>
    <s v="POS"/>
    <n v="4"/>
    <n v="1200"/>
    <n v="1900"/>
    <n v="0.1"/>
    <x v="6"/>
    <n v="10"/>
    <n v="7600"/>
    <n v="760"/>
    <n v="6840"/>
    <n v="4800"/>
    <n v="2040"/>
    <n v="0.2982456140350877"/>
    <s v="Healthy"/>
    <s v="Safe"/>
    <n v="0.36842105263157893"/>
    <s v="Safe"/>
    <n v="700"/>
    <n v="0.36842105263157893"/>
  </r>
  <r>
    <s v="ORD-11142"/>
    <x v="122"/>
    <s v="P013"/>
    <x v="11"/>
    <s v="Personal Care"/>
    <s v="Skin Care"/>
    <s v="GlowPlus"/>
    <s v="B06"/>
    <x v="1"/>
    <s v="Rivers"/>
    <x v="1"/>
    <s v="Member"/>
    <s v="POS"/>
    <n v="3"/>
    <n v="3500"/>
    <n v="5200"/>
    <n v="0"/>
    <x v="10"/>
    <n v="8"/>
    <n v="15600"/>
    <n v="0"/>
    <n v="15600"/>
    <n v="10500"/>
    <n v="5100"/>
    <n v="0.32692307692307693"/>
    <s v="Healthy"/>
    <s v="Safe"/>
    <n v="0.32692307692307693"/>
    <s v="Safe"/>
    <n v="1700"/>
    <n v="0.32692307692307693"/>
  </r>
  <r>
    <s v="ORD-11143"/>
    <x v="343"/>
    <s v="P008"/>
    <x v="4"/>
    <s v="Beverages"/>
    <s v="Soft Drinks"/>
    <s v="Sparkle"/>
    <s v="B03"/>
    <x v="6"/>
    <s v="Lagos"/>
    <x v="4"/>
    <s v="Walk-in"/>
    <s v="Card"/>
    <n v="5"/>
    <n v="330"/>
    <n v="550"/>
    <n v="0"/>
    <x v="2"/>
    <n v="4"/>
    <n v="2750"/>
    <n v="0"/>
    <n v="2750"/>
    <n v="1650"/>
    <n v="1100"/>
    <n v="0.4"/>
    <s v="Healthy"/>
    <s v="Safe"/>
    <n v="0.4"/>
    <s v="Safe"/>
    <n v="220"/>
    <n v="0.4"/>
  </r>
  <r>
    <s v="ORD-11144"/>
    <x v="284"/>
    <s v="P015"/>
    <x v="8"/>
    <s v="Personal Care"/>
    <s v="Bath"/>
    <s v="SilkyTouch"/>
    <s v="B03"/>
    <x v="6"/>
    <s v="Lagos"/>
    <x v="4"/>
    <s v="Walk-in"/>
    <s v="POS"/>
    <n v="8"/>
    <n v="600"/>
    <n v="950"/>
    <n v="0.05"/>
    <x v="6"/>
    <n v="6"/>
    <n v="7600"/>
    <n v="380"/>
    <n v="7220"/>
    <n v="4800"/>
    <n v="2420"/>
    <n v="0.33518005540166207"/>
    <s v="Healthy"/>
    <s v="Safe"/>
    <n v="0.36842105263157893"/>
    <s v="Safe"/>
    <n v="350"/>
    <n v="0.36842105263157893"/>
  </r>
  <r>
    <s v="ORD-11145"/>
    <x v="178"/>
    <s v="P005"/>
    <x v="2"/>
    <s v="Food"/>
    <s v="Snacks"/>
    <s v="CrispyBite"/>
    <s v="B06"/>
    <x v="1"/>
    <s v="Rivers"/>
    <x v="1"/>
    <s v="Corporate"/>
    <s v="POS"/>
    <n v="2"/>
    <n v="850"/>
    <n v="1300"/>
    <n v="0.15"/>
    <x v="9"/>
    <n v="13"/>
    <n v="2600"/>
    <n v="390"/>
    <n v="2210"/>
    <n v="1700"/>
    <n v="510"/>
    <n v="0.23076923076923078"/>
    <s v="Understocked"/>
    <s v="Safe"/>
    <n v="0.34615384615384615"/>
    <s v="Safe"/>
    <n v="450"/>
    <n v="0.34615384615384615"/>
  </r>
  <r>
    <s v="ORD-11146"/>
    <x v="86"/>
    <s v="P011"/>
    <x v="9"/>
    <s v="Household"/>
    <s v="Cleaning"/>
    <s v="CleanPro"/>
    <s v="B01"/>
    <x v="2"/>
    <s v="Abuja"/>
    <x v="2"/>
    <s v="Walk-in"/>
    <s v="Cash"/>
    <n v="2"/>
    <n v="2800"/>
    <n v="3900"/>
    <n v="0"/>
    <x v="10"/>
    <n v="9"/>
    <n v="7800"/>
    <n v="0"/>
    <n v="7800"/>
    <n v="5600"/>
    <n v="2200"/>
    <n v="0.28205128205128205"/>
    <s v="Healthy"/>
    <s v="Safe"/>
    <n v="0.28205128205128205"/>
    <s v="Safe"/>
    <n v="1100"/>
    <n v="0.28205128205128205"/>
  </r>
  <r>
    <s v="ORD-11147"/>
    <x v="122"/>
    <s v="P008"/>
    <x v="4"/>
    <s v="Beverages"/>
    <s v="Soft Drinks"/>
    <s v="Sparkle"/>
    <s v="B07"/>
    <x v="3"/>
    <s v="Enugu"/>
    <x v="3"/>
    <s v="Walk-in"/>
    <s v="Cash"/>
    <n v="1"/>
    <n v="330"/>
    <n v="550"/>
    <n v="0"/>
    <x v="2"/>
    <n v="5"/>
    <n v="550"/>
    <n v="0"/>
    <n v="550"/>
    <n v="330"/>
    <n v="220"/>
    <n v="0.4"/>
    <s v="Healthy"/>
    <s v="Safe"/>
    <n v="0.4"/>
    <s v="Safe"/>
    <n v="220"/>
    <n v="0.4"/>
  </r>
  <r>
    <s v="ORD-11148"/>
    <x v="177"/>
    <s v="P022"/>
    <x v="17"/>
    <s v="Office Supplies"/>
    <s v="Writing"/>
    <s v="WriteWell"/>
    <s v="B06"/>
    <x v="1"/>
    <s v="Rivers"/>
    <x v="1"/>
    <s v="Walk-in"/>
    <s v="POS"/>
    <n v="1"/>
    <n v="1300"/>
    <n v="2100"/>
    <n v="0"/>
    <x v="15"/>
    <n v="3"/>
    <n v="2100"/>
    <n v="0"/>
    <n v="2100"/>
    <n v="1300"/>
    <n v="800"/>
    <n v="0.38095238095238093"/>
    <s v="Understocked"/>
    <s v="Safe"/>
    <n v="0.38095238095238093"/>
    <s v="Safe"/>
    <n v="800"/>
    <n v="0.38095238095238093"/>
  </r>
  <r>
    <s v="ORD-11149"/>
    <x v="42"/>
    <s v="P022"/>
    <x v="17"/>
    <s v="Office Supplies"/>
    <s v="Writing"/>
    <s v="WriteWell"/>
    <s v="B07"/>
    <x v="3"/>
    <s v="Enugu"/>
    <x v="3"/>
    <s v="Walk-in"/>
    <s v="POS"/>
    <n v="2"/>
    <n v="1300"/>
    <n v="2100"/>
    <n v="0.05"/>
    <x v="15"/>
    <n v="6"/>
    <n v="4200"/>
    <n v="210"/>
    <n v="3990"/>
    <n v="2600"/>
    <n v="1390"/>
    <n v="0.34837092731829572"/>
    <s v="Understocked"/>
    <s v="Safe"/>
    <n v="0.38095238095238093"/>
    <s v="Safe"/>
    <n v="800"/>
    <n v="0.38095238095238093"/>
  </r>
  <r>
    <s v="ORD-11150"/>
    <x v="155"/>
    <s v="P011"/>
    <x v="9"/>
    <s v="Household"/>
    <s v="Cleaning"/>
    <s v="CleanPro"/>
    <s v="B05"/>
    <x v="0"/>
    <s v="Kano"/>
    <x v="0"/>
    <s v="Member"/>
    <s v="Transfer"/>
    <n v="10"/>
    <n v="2800"/>
    <n v="3900"/>
    <n v="0"/>
    <x v="10"/>
    <n v="7"/>
    <n v="39000"/>
    <n v="0"/>
    <n v="39000"/>
    <n v="28000"/>
    <n v="11000"/>
    <n v="0.28205128205128205"/>
    <s v="Healthy"/>
    <s v="Safe"/>
    <n v="0.28205128205128205"/>
    <s v="Safe"/>
    <n v="1100"/>
    <n v="0.28205128205128205"/>
  </r>
  <r>
    <s v="ORD-11151"/>
    <x v="35"/>
    <s v="P006"/>
    <x v="0"/>
    <s v="Beverages"/>
    <s v="Water"/>
    <s v="AquaPure"/>
    <s v="B04"/>
    <x v="5"/>
    <s v="Lagos"/>
    <x v="4"/>
    <s v="Member"/>
    <s v="POS"/>
    <n v="1"/>
    <n v="230"/>
    <n v="400"/>
    <n v="0"/>
    <x v="0"/>
    <n v="2"/>
    <n v="400"/>
    <n v="0"/>
    <n v="400"/>
    <n v="230"/>
    <n v="170"/>
    <n v="0.42499999999999999"/>
    <s v="Understocked"/>
    <s v="Safe"/>
    <n v="0.42499999999999999"/>
    <s v="Safe"/>
    <n v="170"/>
    <n v="0.42499999999999999"/>
  </r>
  <r>
    <s v="ORD-11152"/>
    <x v="257"/>
    <s v="P011"/>
    <x v="9"/>
    <s v="Household"/>
    <s v="Cleaning"/>
    <s v="CleanPro"/>
    <s v="B03"/>
    <x v="6"/>
    <s v="Lagos"/>
    <x v="4"/>
    <s v="Walk-in"/>
    <s v="Transfer"/>
    <n v="3"/>
    <n v="2800"/>
    <n v="3900"/>
    <n v="0.05"/>
    <x v="1"/>
    <n v="5"/>
    <n v="11700"/>
    <n v="585"/>
    <n v="11115"/>
    <n v="8400"/>
    <n v="2715"/>
    <n v="0.24426450742240216"/>
    <s v="Healthy"/>
    <s v="Safe"/>
    <n v="0.28205128205128205"/>
    <s v="Safe"/>
    <n v="1100"/>
    <n v="0.28205128205128205"/>
  </r>
  <r>
    <s v="ORD-11153"/>
    <x v="83"/>
    <s v="P005"/>
    <x v="2"/>
    <s v="Food"/>
    <s v="Snacks"/>
    <s v="CrispyBite"/>
    <s v="B04"/>
    <x v="5"/>
    <s v="Lagos"/>
    <x v="4"/>
    <s v="Walk-in"/>
    <s v="Transfer"/>
    <n v="1"/>
    <n v="850"/>
    <n v="1300"/>
    <n v="0.05"/>
    <x v="8"/>
    <n v="5"/>
    <n v="1300"/>
    <n v="65"/>
    <n v="1235"/>
    <n v="850"/>
    <n v="385"/>
    <n v="0.31174089068825911"/>
    <s v="Understocked"/>
    <s v="Safe"/>
    <n v="0.34615384615384615"/>
    <s v="Safe"/>
    <n v="450"/>
    <n v="0.34615384615384615"/>
  </r>
  <r>
    <s v="ORD-11154"/>
    <x v="143"/>
    <s v="P016"/>
    <x v="7"/>
    <s v="Personal Care"/>
    <s v="Fragrance"/>
    <s v="RoyalScent"/>
    <s v="B08"/>
    <x v="7"/>
    <s v="Kwara"/>
    <x v="2"/>
    <s v="Member"/>
    <s v="POS"/>
    <n v="1"/>
    <n v="8500"/>
    <n v="12500"/>
    <n v="0.25"/>
    <x v="11"/>
    <n v="9"/>
    <n v="12500"/>
    <n v="3125"/>
    <n v="9375"/>
    <n v="8500"/>
    <n v="875"/>
    <n v="9.3333333333333338E-2"/>
    <s v="Overstocked"/>
    <s v="Safe"/>
    <n v="0.32"/>
    <s v="Safe"/>
    <n v="4000"/>
    <n v="0.32"/>
  </r>
  <r>
    <s v="ORD-11155"/>
    <x v="195"/>
    <s v="P006"/>
    <x v="0"/>
    <s v="Beverages"/>
    <s v="Water"/>
    <s v="AquaPure"/>
    <s v="B03"/>
    <x v="6"/>
    <s v="Lagos"/>
    <x v="4"/>
    <s v="Walk-in"/>
    <s v="Card"/>
    <n v="1"/>
    <n v="230"/>
    <n v="400"/>
    <n v="0"/>
    <x v="3"/>
    <n v="5"/>
    <n v="400"/>
    <n v="0"/>
    <n v="400"/>
    <n v="230"/>
    <n v="170"/>
    <n v="0.42499999999999999"/>
    <s v="Understocked"/>
    <s v="Safe"/>
    <n v="0.42499999999999999"/>
    <s v="Safe"/>
    <n v="170"/>
    <n v="0.42499999999999999"/>
  </r>
  <r>
    <s v="ORD-11156"/>
    <x v="221"/>
    <s v="P024"/>
    <x v="19"/>
    <s v="Office Supplies"/>
    <s v="Accessories"/>
    <s v="ErgoDesk"/>
    <s v="B06"/>
    <x v="1"/>
    <s v="Rivers"/>
    <x v="1"/>
    <s v="Walk-in"/>
    <s v="Card"/>
    <n v="8"/>
    <n v="1700"/>
    <n v="2800"/>
    <n v="0.2"/>
    <x v="5"/>
    <n v="13"/>
    <n v="22400"/>
    <n v="4480"/>
    <n v="17920"/>
    <n v="13600"/>
    <n v="4320"/>
    <n v="0.24107142857142858"/>
    <s v="Overstocked"/>
    <s v="Safe"/>
    <n v="0.39285714285714285"/>
    <s v="Safe"/>
    <n v="1100"/>
    <n v="0.39285714285714285"/>
  </r>
  <r>
    <s v="ORD-11157"/>
    <x v="68"/>
    <s v="P021"/>
    <x v="20"/>
    <s v="Office Supplies"/>
    <s v="Paper"/>
    <s v="OfficeMate"/>
    <s v="B08"/>
    <x v="7"/>
    <s v="Kwara"/>
    <x v="2"/>
    <s v="Walk-in"/>
    <s v="POS"/>
    <n v="3"/>
    <n v="5200"/>
    <n v="7000"/>
    <n v="0.2"/>
    <x v="15"/>
    <n v="6"/>
    <n v="21000"/>
    <n v="4200"/>
    <n v="16800"/>
    <n v="15600"/>
    <n v="1200"/>
    <n v="7.1428571428571425E-2"/>
    <s v="Overstocked"/>
    <s v="Safe"/>
    <n v="0.25714285714285712"/>
    <s v="Safe"/>
    <n v="1800"/>
    <n v="0.25714285714285712"/>
  </r>
  <r>
    <s v="ORD-11158"/>
    <x v="268"/>
    <s v="P008"/>
    <x v="4"/>
    <s v="Beverages"/>
    <s v="Soft Drinks"/>
    <s v="Sparkle"/>
    <s v="B03"/>
    <x v="6"/>
    <s v="Lagos"/>
    <x v="4"/>
    <s v="Member"/>
    <s v="POS"/>
    <n v="1"/>
    <n v="330"/>
    <n v="550"/>
    <n v="0.05"/>
    <x v="3"/>
    <n v="8"/>
    <n v="550"/>
    <n v="27.5"/>
    <n v="522.5"/>
    <n v="330"/>
    <n v="192.5"/>
    <n v="0.36842105263157893"/>
    <s v="Healthy"/>
    <s v="Safe"/>
    <n v="0.4"/>
    <s v="Safe"/>
    <n v="220"/>
    <n v="0.4"/>
  </r>
  <r>
    <s v="ORD-11159"/>
    <x v="210"/>
    <s v="P005"/>
    <x v="2"/>
    <s v="Food"/>
    <s v="Snacks"/>
    <s v="CrispyBite"/>
    <s v="B07"/>
    <x v="3"/>
    <s v="Enugu"/>
    <x v="3"/>
    <s v="Walk-in"/>
    <s v="Transfer"/>
    <n v="10"/>
    <n v="850"/>
    <n v="1300"/>
    <n v="0.1"/>
    <x v="9"/>
    <n v="12"/>
    <n v="13000"/>
    <n v="1300"/>
    <n v="11700"/>
    <n v="8500"/>
    <n v="3200"/>
    <n v="0.27350427350427353"/>
    <s v="Understocked"/>
    <s v="Safe"/>
    <n v="0.34615384615384615"/>
    <s v="Safe"/>
    <n v="450"/>
    <n v="0.34615384615384615"/>
  </r>
  <r>
    <s v="ORD-11160"/>
    <x v="254"/>
    <s v="P006"/>
    <x v="0"/>
    <s v="Beverages"/>
    <s v="Water"/>
    <s v="AquaPure"/>
    <s v="B04"/>
    <x v="5"/>
    <s v="Lagos"/>
    <x v="4"/>
    <s v="Walk-in"/>
    <s v="POS"/>
    <n v="2"/>
    <n v="230"/>
    <n v="400"/>
    <n v="0.1"/>
    <x v="0"/>
    <n v="12"/>
    <n v="800"/>
    <n v="80"/>
    <n v="720"/>
    <n v="460"/>
    <n v="260"/>
    <n v="0.3611111111111111"/>
    <s v="Understocked"/>
    <s v="Safe"/>
    <n v="0.42499999999999999"/>
    <s v="Safe"/>
    <n v="170"/>
    <n v="0.42499999999999999"/>
  </r>
  <r>
    <s v="ORD-11161"/>
    <x v="229"/>
    <s v="P008"/>
    <x v="4"/>
    <s v="Beverages"/>
    <s v="Soft Drinks"/>
    <s v="Sparkle"/>
    <s v="B08"/>
    <x v="7"/>
    <s v="Kwara"/>
    <x v="2"/>
    <s v="Member"/>
    <s v="POS"/>
    <n v="5"/>
    <n v="330"/>
    <n v="550"/>
    <n v="0.05"/>
    <x v="0"/>
    <n v="1"/>
    <n v="2750"/>
    <n v="137.5"/>
    <n v="2612.5"/>
    <n v="1650"/>
    <n v="962.5"/>
    <n v="0.36842105263157893"/>
    <s v="Healthy"/>
    <s v="Safe"/>
    <n v="0.4"/>
    <s v="Safe"/>
    <n v="220"/>
    <n v="0.4"/>
  </r>
  <r>
    <s v="ORD-11162"/>
    <x v="109"/>
    <s v="P001"/>
    <x v="14"/>
    <s v="Food"/>
    <s v="Grains"/>
    <s v="Golden Harvest"/>
    <s v="B01"/>
    <x v="2"/>
    <s v="Abuja"/>
    <x v="2"/>
    <s v="Member"/>
    <s v="Card"/>
    <n v="2"/>
    <n v="14500"/>
    <n v="17500"/>
    <n v="0.2"/>
    <x v="9"/>
    <n v="8"/>
    <n v="35000"/>
    <n v="7000"/>
    <n v="28000"/>
    <n v="29000"/>
    <n v="-1000"/>
    <n v="-3.5714285714285712E-2"/>
    <s v="Understocked"/>
    <s v="Discount loss"/>
    <n v="0.17142857142857143"/>
    <s v="Discount loss"/>
    <n v="3000"/>
    <n v="0.17142857142857143"/>
  </r>
  <r>
    <s v="ORD-11163"/>
    <x v="329"/>
    <s v="P006"/>
    <x v="0"/>
    <s v="Beverages"/>
    <s v="Water"/>
    <s v="AquaPure"/>
    <s v="B02"/>
    <x v="4"/>
    <s v="Abuja"/>
    <x v="2"/>
    <s v="Member"/>
    <s v="POS"/>
    <n v="6"/>
    <n v="230"/>
    <n v="400"/>
    <n v="0.2"/>
    <x v="3"/>
    <n v="7"/>
    <n v="2400"/>
    <n v="480"/>
    <n v="1920"/>
    <n v="1380"/>
    <n v="540"/>
    <n v="0.28125"/>
    <s v="Understocked"/>
    <s v="Safe"/>
    <n v="0.42499999999999999"/>
    <s v="Safe"/>
    <n v="170"/>
    <n v="0.42499999999999999"/>
  </r>
  <r>
    <s v="ORD-11164"/>
    <x v="236"/>
    <s v="P012"/>
    <x v="21"/>
    <s v="Household"/>
    <s v="Home Care"/>
    <s v="HomeFresh"/>
    <s v="B06"/>
    <x v="1"/>
    <s v="Rivers"/>
    <x v="1"/>
    <s v="Member"/>
    <s v="POS"/>
    <n v="1"/>
    <n v="1700"/>
    <n v="2600"/>
    <n v="0.1"/>
    <x v="7"/>
    <n v="11"/>
    <n v="2600"/>
    <n v="260"/>
    <n v="2340"/>
    <n v="1700"/>
    <n v="640"/>
    <n v="0.27350427350427353"/>
    <s v="Overstocked"/>
    <s v="Safe"/>
    <n v="0.34615384615384615"/>
    <s v="Safe"/>
    <n v="900"/>
    <n v="0.34615384615384615"/>
  </r>
  <r>
    <s v="ORD-11165"/>
    <x v="42"/>
    <s v="P014"/>
    <x v="15"/>
    <s v="Personal Care"/>
    <s v="Oral Care"/>
    <s v="FreshMint"/>
    <s v="B02"/>
    <x v="4"/>
    <s v="Abuja"/>
    <x v="2"/>
    <s v="Walk-in"/>
    <s v="Transfer"/>
    <n v="2"/>
    <n v="1200"/>
    <n v="1900"/>
    <n v="0"/>
    <x v="10"/>
    <n v="7"/>
    <n v="3800"/>
    <n v="0"/>
    <n v="3800"/>
    <n v="2400"/>
    <n v="1400"/>
    <n v="0.36842105263157893"/>
    <s v="Healthy"/>
    <s v="Safe"/>
    <n v="0.36842105263157893"/>
    <s v="Safe"/>
    <n v="700"/>
    <n v="0.36842105263157893"/>
  </r>
  <r>
    <s v="ORD-11166"/>
    <x v="24"/>
    <s v="P008"/>
    <x v="4"/>
    <s v="Beverages"/>
    <s v="Soft Drinks"/>
    <s v="Sparkle"/>
    <s v="B01"/>
    <x v="2"/>
    <s v="Abuja"/>
    <x v="2"/>
    <s v="Member"/>
    <s v="Card"/>
    <n v="1"/>
    <n v="330"/>
    <n v="550"/>
    <n v="0.15"/>
    <x v="2"/>
    <n v="6"/>
    <n v="550"/>
    <n v="82.5"/>
    <n v="467.5"/>
    <n v="330"/>
    <n v="137.5"/>
    <n v="0.29411764705882354"/>
    <s v="Healthy"/>
    <s v="Safe"/>
    <n v="0.4"/>
    <s v="Safe"/>
    <n v="220"/>
    <n v="0.4"/>
  </r>
  <r>
    <s v="ORD-11167"/>
    <x v="66"/>
    <s v="P003"/>
    <x v="12"/>
    <s v="Food"/>
    <s v="Cooking Oil"/>
    <s v="SunGold"/>
    <s v="B04"/>
    <x v="5"/>
    <s v="Lagos"/>
    <x v="4"/>
    <s v="Member"/>
    <s v="POS"/>
    <n v="2"/>
    <n v="7800"/>
    <n v="9800"/>
    <n v="0"/>
    <x v="8"/>
    <n v="14"/>
    <n v="19600"/>
    <n v="0"/>
    <n v="19600"/>
    <n v="15600"/>
    <n v="4000"/>
    <n v="0.20408163265306123"/>
    <s v="Understocked"/>
    <s v="Safe"/>
    <n v="0.20408163265306123"/>
    <s v="Safe"/>
    <n v="2000"/>
    <n v="0.20408163265306123"/>
  </r>
  <r>
    <s v="ORD-11168"/>
    <x v="51"/>
    <s v="P011"/>
    <x v="9"/>
    <s v="Household"/>
    <s v="Cleaning"/>
    <s v="CleanPro"/>
    <s v="B05"/>
    <x v="0"/>
    <s v="Kano"/>
    <x v="0"/>
    <s v="Walk-in"/>
    <s v="POS"/>
    <n v="1"/>
    <n v="2800"/>
    <n v="3900"/>
    <n v="0"/>
    <x v="10"/>
    <n v="1"/>
    <n v="3900"/>
    <n v="0"/>
    <n v="3900"/>
    <n v="2800"/>
    <n v="1100"/>
    <n v="0.28205128205128205"/>
    <s v="Healthy"/>
    <s v="Safe"/>
    <n v="0.28205128205128205"/>
    <s v="Safe"/>
    <n v="1100"/>
    <n v="0.28205128205128205"/>
  </r>
  <r>
    <s v="ORD-11169"/>
    <x v="344"/>
    <s v="P005"/>
    <x v="2"/>
    <s v="Food"/>
    <s v="Snacks"/>
    <s v="CrispyBite"/>
    <s v="B03"/>
    <x v="6"/>
    <s v="Lagos"/>
    <x v="4"/>
    <s v="Walk-in"/>
    <s v="POS"/>
    <n v="2"/>
    <n v="850"/>
    <n v="1300"/>
    <n v="0.05"/>
    <x v="8"/>
    <n v="8"/>
    <n v="2600"/>
    <n v="130"/>
    <n v="2470"/>
    <n v="1700"/>
    <n v="770"/>
    <n v="0.31174089068825911"/>
    <s v="Understocked"/>
    <s v="Safe"/>
    <n v="0.34615384615384615"/>
    <s v="Safe"/>
    <n v="450"/>
    <n v="0.34615384615384615"/>
  </r>
  <r>
    <s v="ORD-11170"/>
    <x v="321"/>
    <s v="P013"/>
    <x v="11"/>
    <s v="Personal Care"/>
    <s v="Skin Care"/>
    <s v="GlowPlus"/>
    <s v="B01"/>
    <x v="2"/>
    <s v="Abuja"/>
    <x v="2"/>
    <s v="Member"/>
    <s v="POS"/>
    <n v="2"/>
    <n v="3500"/>
    <n v="5200"/>
    <n v="0"/>
    <x v="10"/>
    <n v="2"/>
    <n v="10400"/>
    <n v="0"/>
    <n v="10400"/>
    <n v="7000"/>
    <n v="3400"/>
    <n v="0.32692307692307693"/>
    <s v="Healthy"/>
    <s v="Safe"/>
    <n v="0.32692307692307693"/>
    <s v="Safe"/>
    <n v="1700"/>
    <n v="0.32692307692307693"/>
  </r>
  <r>
    <s v="ORD-11171"/>
    <x v="95"/>
    <s v="P012"/>
    <x v="21"/>
    <s v="Household"/>
    <s v="Home Care"/>
    <s v="HomeFresh"/>
    <s v="B01"/>
    <x v="2"/>
    <s v="Abuja"/>
    <x v="2"/>
    <s v="Walk-in"/>
    <s v="Transfer"/>
    <n v="3"/>
    <n v="1700"/>
    <n v="2600"/>
    <n v="0.2"/>
    <x v="1"/>
    <n v="6"/>
    <n v="7800"/>
    <n v="1560"/>
    <n v="6240"/>
    <n v="5100"/>
    <n v="1140"/>
    <n v="0.18269230769230768"/>
    <s v="Overstocked"/>
    <s v="Safe"/>
    <n v="0.34615384615384615"/>
    <s v="Safe"/>
    <n v="900"/>
    <n v="0.34615384615384615"/>
  </r>
  <r>
    <s v="ORD-11172"/>
    <x v="142"/>
    <s v="P002"/>
    <x v="10"/>
    <s v="Food"/>
    <s v="Grains"/>
    <s v="Mama's Pride"/>
    <s v="B01"/>
    <x v="2"/>
    <s v="Abuja"/>
    <x v="2"/>
    <s v="Corporate"/>
    <s v="POS"/>
    <n v="1"/>
    <n v="6200"/>
    <n v="7900"/>
    <n v="0.05"/>
    <x v="8"/>
    <n v="14"/>
    <n v="7900"/>
    <n v="395"/>
    <n v="7505"/>
    <n v="6200"/>
    <n v="1305"/>
    <n v="0.17388407728181213"/>
    <s v="Healthy"/>
    <s v="Safe"/>
    <n v="0.21518987341772153"/>
    <s v="Safe"/>
    <n v="1700"/>
    <n v="0.21518987341772153"/>
  </r>
  <r>
    <s v="ORD-11173"/>
    <x v="154"/>
    <s v="P018"/>
    <x v="16"/>
    <s v="Electronics"/>
    <s v="Mobile Accessories"/>
    <s v="VoltSafe"/>
    <s v="B07"/>
    <x v="3"/>
    <s v="Enugu"/>
    <x v="3"/>
    <s v="Member"/>
    <s v="POS"/>
    <n v="2"/>
    <n v="18000"/>
    <n v="24500"/>
    <n v="0"/>
    <x v="4"/>
    <n v="14"/>
    <n v="49000"/>
    <n v="0"/>
    <n v="49000"/>
    <n v="36000"/>
    <n v="13000"/>
    <n v="0.26530612244897961"/>
    <s v="Understocked"/>
    <s v="Safe"/>
    <n v="0.26530612244897961"/>
    <s v="Safe"/>
    <n v="6500"/>
    <n v="0.26530612244897961"/>
  </r>
  <r>
    <s v="ORD-11174"/>
    <x v="114"/>
    <s v="P003"/>
    <x v="12"/>
    <s v="Food"/>
    <s v="Cooking Oil"/>
    <s v="SunGold"/>
    <s v="B03"/>
    <x v="6"/>
    <s v="Lagos"/>
    <x v="4"/>
    <s v="Walk-in"/>
    <s v="Card"/>
    <n v="3"/>
    <n v="7800"/>
    <n v="9800"/>
    <n v="0"/>
    <x v="1"/>
    <n v="4"/>
    <n v="29400"/>
    <n v="0"/>
    <n v="29400"/>
    <n v="23400"/>
    <n v="6000"/>
    <n v="0.20408163265306123"/>
    <s v="Understocked"/>
    <s v="Safe"/>
    <n v="0.20408163265306123"/>
    <s v="Safe"/>
    <n v="2000"/>
    <n v="0.20408163265306123"/>
  </r>
  <r>
    <s v="ORD-11175"/>
    <x v="220"/>
    <s v="P018"/>
    <x v="16"/>
    <s v="Electronics"/>
    <s v="Mobile Accessories"/>
    <s v="VoltSafe"/>
    <s v="B03"/>
    <x v="6"/>
    <s v="Lagos"/>
    <x v="4"/>
    <s v="Member"/>
    <s v="POS"/>
    <n v="2"/>
    <n v="18000"/>
    <n v="24500"/>
    <n v="0.15"/>
    <x v="4"/>
    <n v="2"/>
    <n v="49000"/>
    <n v="7350"/>
    <n v="41650"/>
    <n v="36000"/>
    <n v="5650"/>
    <n v="0.13565426170468187"/>
    <s v="Understocked"/>
    <s v="Safe"/>
    <n v="0.26530612244897961"/>
    <s v="Safe"/>
    <n v="6500"/>
    <n v="0.26530612244897961"/>
  </r>
  <r>
    <s v="ORD-11176"/>
    <x v="280"/>
    <s v="P016"/>
    <x v="7"/>
    <s v="Personal Care"/>
    <s v="Fragrance"/>
    <s v="RoyalScent"/>
    <s v="B03"/>
    <x v="6"/>
    <s v="Lagos"/>
    <x v="4"/>
    <s v="Member"/>
    <s v="Cash"/>
    <n v="1"/>
    <n v="8500"/>
    <n v="12500"/>
    <n v="0.25"/>
    <x v="10"/>
    <n v="10"/>
    <n v="12500"/>
    <n v="3125"/>
    <n v="9375"/>
    <n v="8500"/>
    <n v="875"/>
    <n v="9.3333333333333338E-2"/>
    <s v="Overstocked"/>
    <s v="Safe"/>
    <n v="0.32"/>
    <s v="Safe"/>
    <n v="4000"/>
    <n v="0.32"/>
  </r>
  <r>
    <s v="ORD-11177"/>
    <x v="226"/>
    <s v="P019"/>
    <x v="18"/>
    <s v="Electronics"/>
    <s v="Audio"/>
    <s v="SoundBeat"/>
    <s v="B07"/>
    <x v="3"/>
    <s v="Enugu"/>
    <x v="3"/>
    <s v="Member"/>
    <s v="Card"/>
    <n v="5"/>
    <n v="12500"/>
    <n v="18500"/>
    <n v="0.05"/>
    <x v="13"/>
    <n v="4"/>
    <n v="92500"/>
    <n v="4625"/>
    <n v="87875"/>
    <n v="62500"/>
    <n v="25375"/>
    <n v="0.28876244665718348"/>
    <s v="Understocked"/>
    <s v="Safe"/>
    <n v="0.32432432432432434"/>
    <s v="Safe"/>
    <n v="6000"/>
    <n v="0.32432432432432434"/>
  </r>
  <r>
    <s v="ORD-11178"/>
    <x v="234"/>
    <s v="P011"/>
    <x v="9"/>
    <s v="Household"/>
    <s v="Cleaning"/>
    <s v="CleanPro"/>
    <s v="B03"/>
    <x v="6"/>
    <s v="Lagos"/>
    <x v="4"/>
    <s v="Walk-in"/>
    <s v="Card"/>
    <n v="2"/>
    <n v="2800"/>
    <n v="3900"/>
    <n v="0"/>
    <x v="10"/>
    <n v="12"/>
    <n v="7800"/>
    <n v="0"/>
    <n v="7800"/>
    <n v="5600"/>
    <n v="2200"/>
    <n v="0.28205128205128205"/>
    <s v="Healthy"/>
    <s v="Safe"/>
    <n v="0.28205128205128205"/>
    <s v="Safe"/>
    <n v="1100"/>
    <n v="0.28205128205128205"/>
  </r>
  <r>
    <s v="ORD-11179"/>
    <x v="203"/>
    <s v="P007"/>
    <x v="3"/>
    <s v="Beverages"/>
    <s v="Malt"/>
    <s v="Naija Malt"/>
    <s v="B08"/>
    <x v="7"/>
    <s v="Kwara"/>
    <x v="2"/>
    <s v="Member"/>
    <s v="POS"/>
    <n v="4"/>
    <n v="550"/>
    <n v="850"/>
    <n v="0.2"/>
    <x v="2"/>
    <n v="4"/>
    <n v="3400"/>
    <n v="680"/>
    <n v="2720"/>
    <n v="2200"/>
    <n v="520"/>
    <n v="0.19117647058823528"/>
    <s v="Healthy"/>
    <s v="Safe"/>
    <n v="0.35294117647058826"/>
    <s v="Safe"/>
    <n v="300"/>
    <n v="0.35294117647058826"/>
  </r>
  <r>
    <s v="ORD-11180"/>
    <x v="186"/>
    <s v="P007"/>
    <x v="3"/>
    <s v="Beverages"/>
    <s v="Malt"/>
    <s v="Naija Malt"/>
    <s v="B02"/>
    <x v="4"/>
    <s v="Abuja"/>
    <x v="2"/>
    <s v="Member"/>
    <s v="Transfer"/>
    <n v="2"/>
    <n v="550"/>
    <n v="850"/>
    <n v="0.1"/>
    <x v="0"/>
    <n v="2"/>
    <n v="1700"/>
    <n v="170"/>
    <n v="1530"/>
    <n v="1100"/>
    <n v="430"/>
    <n v="0.28104575163398693"/>
    <s v="Healthy"/>
    <s v="Safe"/>
    <n v="0.35294117647058826"/>
    <s v="Safe"/>
    <n v="300"/>
    <n v="0.35294117647058826"/>
  </r>
  <r>
    <s v="ORD-11181"/>
    <x v="180"/>
    <s v="P005"/>
    <x v="2"/>
    <s v="Food"/>
    <s v="Snacks"/>
    <s v="CrispyBite"/>
    <s v="B08"/>
    <x v="7"/>
    <s v="Kwara"/>
    <x v="2"/>
    <s v="Walk-in"/>
    <s v="POS"/>
    <n v="3"/>
    <n v="850"/>
    <n v="1300"/>
    <n v="0"/>
    <x v="1"/>
    <n v="12"/>
    <n v="3900"/>
    <n v="0"/>
    <n v="3900"/>
    <n v="2550"/>
    <n v="1350"/>
    <n v="0.34615384615384615"/>
    <s v="Understocked"/>
    <s v="Safe"/>
    <n v="0.34615384615384615"/>
    <s v="Safe"/>
    <n v="450"/>
    <n v="0.34615384615384615"/>
  </r>
  <r>
    <s v="ORD-11182"/>
    <x v="92"/>
    <s v="P002"/>
    <x v="10"/>
    <s v="Food"/>
    <s v="Grains"/>
    <s v="Mama's Pride"/>
    <s v="B04"/>
    <x v="5"/>
    <s v="Lagos"/>
    <x v="4"/>
    <s v="Member"/>
    <s v="Cash"/>
    <n v="2"/>
    <n v="6200"/>
    <n v="7900"/>
    <n v="0.1"/>
    <x v="1"/>
    <n v="10"/>
    <n v="15800"/>
    <n v="1580"/>
    <n v="14220"/>
    <n v="12400"/>
    <n v="1820"/>
    <n v="0.12798874824191281"/>
    <s v="Healthy"/>
    <s v="Safe"/>
    <n v="0.21518987341772153"/>
    <s v="Safe"/>
    <n v="1700"/>
    <n v="0.21518987341772153"/>
  </r>
  <r>
    <s v="ORD-11183"/>
    <x v="291"/>
    <s v="P006"/>
    <x v="0"/>
    <s v="Beverages"/>
    <s v="Water"/>
    <s v="AquaPure"/>
    <s v="B02"/>
    <x v="4"/>
    <s v="Abuja"/>
    <x v="2"/>
    <s v="Walk-in"/>
    <s v="POS"/>
    <n v="3"/>
    <n v="230"/>
    <n v="400"/>
    <n v="0.05"/>
    <x v="3"/>
    <n v="6"/>
    <n v="1200"/>
    <n v="60"/>
    <n v="1140"/>
    <n v="690"/>
    <n v="450"/>
    <n v="0.39473684210526316"/>
    <s v="Understocked"/>
    <s v="Safe"/>
    <n v="0.42499999999999999"/>
    <s v="Safe"/>
    <n v="170"/>
    <n v="0.42499999999999999"/>
  </r>
  <r>
    <s v="ORD-11184"/>
    <x v="58"/>
    <s v="P009"/>
    <x v="13"/>
    <s v="Household"/>
    <s v="Cleaning"/>
    <s v="BrightWash"/>
    <s v="B07"/>
    <x v="3"/>
    <s v="Enugu"/>
    <x v="3"/>
    <s v="Walk-in"/>
    <s v="POS"/>
    <n v="10"/>
    <n v="2400"/>
    <n v="3400"/>
    <n v="0"/>
    <x v="10"/>
    <n v="3"/>
    <n v="34000"/>
    <n v="0"/>
    <n v="34000"/>
    <n v="24000"/>
    <n v="10000"/>
    <n v="0.29411764705882354"/>
    <s v="Healthy"/>
    <s v="Safe"/>
    <n v="0.29411764705882354"/>
    <s v="Safe"/>
    <n v="1000"/>
    <n v="0.29411764705882354"/>
  </r>
  <r>
    <s v="ORD-11185"/>
    <x v="249"/>
    <s v="P009"/>
    <x v="13"/>
    <s v="Household"/>
    <s v="Cleaning"/>
    <s v="BrightWash"/>
    <s v="B01"/>
    <x v="2"/>
    <s v="Abuja"/>
    <x v="2"/>
    <s v="Walk-in"/>
    <s v="POS"/>
    <n v="1"/>
    <n v="2400"/>
    <n v="3400"/>
    <n v="0.15"/>
    <x v="10"/>
    <n v="3"/>
    <n v="3400"/>
    <n v="510"/>
    <n v="2890"/>
    <n v="2400"/>
    <n v="490"/>
    <n v="0.16955017301038061"/>
    <s v="Healthy"/>
    <s v="Safe"/>
    <n v="0.29411764705882354"/>
    <s v="Safe"/>
    <n v="1000"/>
    <n v="0.29411764705882354"/>
  </r>
  <r>
    <s v="ORD-11186"/>
    <x v="146"/>
    <s v="P008"/>
    <x v="4"/>
    <s v="Beverages"/>
    <s v="Soft Drinks"/>
    <s v="Sparkle"/>
    <s v="B06"/>
    <x v="1"/>
    <s v="Rivers"/>
    <x v="1"/>
    <s v="Walk-in"/>
    <s v="Transfer"/>
    <n v="3"/>
    <n v="330"/>
    <n v="550"/>
    <n v="0.05"/>
    <x v="2"/>
    <n v="12"/>
    <n v="1650"/>
    <n v="82.5"/>
    <n v="1567.5"/>
    <n v="990"/>
    <n v="577.5"/>
    <n v="0.36842105263157893"/>
    <s v="Healthy"/>
    <s v="Safe"/>
    <n v="0.4"/>
    <s v="Safe"/>
    <n v="220"/>
    <n v="0.4"/>
  </r>
  <r>
    <s v="ORD-11187"/>
    <x v="345"/>
    <s v="P006"/>
    <x v="0"/>
    <s v="Beverages"/>
    <s v="Water"/>
    <s v="AquaPure"/>
    <s v="B03"/>
    <x v="6"/>
    <s v="Lagos"/>
    <x v="4"/>
    <s v="Walk-in"/>
    <s v="Card"/>
    <n v="6"/>
    <n v="230"/>
    <n v="400"/>
    <n v="0.1"/>
    <x v="0"/>
    <n v="4"/>
    <n v="2400"/>
    <n v="240"/>
    <n v="2160"/>
    <n v="1380"/>
    <n v="780"/>
    <n v="0.3611111111111111"/>
    <s v="Understocked"/>
    <s v="Safe"/>
    <n v="0.42499999999999999"/>
    <s v="Safe"/>
    <n v="170"/>
    <n v="0.42499999999999999"/>
  </r>
  <r>
    <s v="ORD-11188"/>
    <x v="117"/>
    <s v="P009"/>
    <x v="13"/>
    <s v="Household"/>
    <s v="Cleaning"/>
    <s v="BrightWash"/>
    <s v="B03"/>
    <x v="6"/>
    <s v="Lagos"/>
    <x v="4"/>
    <s v="Corporate"/>
    <s v="POS"/>
    <n v="2"/>
    <n v="2400"/>
    <n v="3400"/>
    <n v="0.2"/>
    <x v="7"/>
    <n v="3"/>
    <n v="6800"/>
    <n v="1360"/>
    <n v="5440"/>
    <n v="4800"/>
    <n v="640"/>
    <n v="0.11764705882352941"/>
    <s v="Healthy"/>
    <s v="Safe"/>
    <n v="0.29411764705882354"/>
    <s v="Safe"/>
    <n v="1000"/>
    <n v="0.29411764705882354"/>
  </r>
  <r>
    <s v="ORD-11189"/>
    <x v="255"/>
    <s v="P001"/>
    <x v="14"/>
    <s v="Food"/>
    <s v="Grains"/>
    <s v="Golden Harvest"/>
    <s v="B03"/>
    <x v="6"/>
    <s v="Lagos"/>
    <x v="4"/>
    <s v="Corporate"/>
    <s v="Card"/>
    <n v="1"/>
    <n v="14500"/>
    <n v="17500"/>
    <n v="0"/>
    <x v="9"/>
    <n v="4"/>
    <n v="17500"/>
    <n v="0"/>
    <n v="17500"/>
    <n v="14500"/>
    <n v="3000"/>
    <n v="0.17142857142857143"/>
    <s v="Understocked"/>
    <s v="Safe"/>
    <n v="0.17142857142857143"/>
    <s v="Safe"/>
    <n v="3000"/>
    <n v="0.17142857142857143"/>
  </r>
  <r>
    <s v="ORD-11190"/>
    <x v="298"/>
    <s v="P008"/>
    <x v="4"/>
    <s v="Beverages"/>
    <s v="Soft Drinks"/>
    <s v="Sparkle"/>
    <s v="B01"/>
    <x v="2"/>
    <s v="Abuja"/>
    <x v="2"/>
    <s v="Walk-in"/>
    <s v="POS"/>
    <n v="3"/>
    <n v="330"/>
    <n v="550"/>
    <n v="0.1"/>
    <x v="3"/>
    <n v="6"/>
    <n v="1650"/>
    <n v="165"/>
    <n v="1485"/>
    <n v="990"/>
    <n v="495"/>
    <n v="0.33333333333333331"/>
    <s v="Healthy"/>
    <s v="Safe"/>
    <n v="0.4"/>
    <s v="Safe"/>
    <n v="220"/>
    <n v="0.4"/>
  </r>
  <r>
    <s v="ORD-11191"/>
    <x v="314"/>
    <s v="P006"/>
    <x v="0"/>
    <s v="Beverages"/>
    <s v="Water"/>
    <s v="AquaPure"/>
    <s v="B07"/>
    <x v="3"/>
    <s v="Enugu"/>
    <x v="3"/>
    <s v="Walk-in"/>
    <s v="POS"/>
    <n v="6"/>
    <n v="230"/>
    <n v="400"/>
    <n v="0.1"/>
    <x v="2"/>
    <n v="5"/>
    <n v="2400"/>
    <n v="240"/>
    <n v="2160"/>
    <n v="1380"/>
    <n v="780"/>
    <n v="0.3611111111111111"/>
    <s v="Understocked"/>
    <s v="Safe"/>
    <n v="0.42499999999999999"/>
    <s v="Safe"/>
    <n v="170"/>
    <n v="0.42499999999999999"/>
  </r>
  <r>
    <s v="ORD-11192"/>
    <x v="320"/>
    <s v="P014"/>
    <x v="15"/>
    <s v="Personal Care"/>
    <s v="Oral Care"/>
    <s v="FreshMint"/>
    <s v="B01"/>
    <x v="2"/>
    <s v="Abuja"/>
    <x v="2"/>
    <s v="Walk-in"/>
    <s v="Card"/>
    <n v="1"/>
    <n v="1200"/>
    <n v="1900"/>
    <n v="0.1"/>
    <x v="6"/>
    <n v="3"/>
    <n v="1900"/>
    <n v="190"/>
    <n v="1710"/>
    <n v="1200"/>
    <n v="510"/>
    <n v="0.2982456140350877"/>
    <s v="Healthy"/>
    <s v="Safe"/>
    <n v="0.36842105263157893"/>
    <s v="Safe"/>
    <n v="700"/>
    <n v="0.36842105263157893"/>
  </r>
  <r>
    <s v="ORD-11193"/>
    <x v="168"/>
    <s v="P014"/>
    <x v="15"/>
    <s v="Personal Care"/>
    <s v="Oral Care"/>
    <s v="FreshMint"/>
    <s v="B03"/>
    <x v="6"/>
    <s v="Lagos"/>
    <x v="4"/>
    <s v="Member"/>
    <s v="POS"/>
    <n v="3"/>
    <n v="1200"/>
    <n v="1900"/>
    <n v="0.15"/>
    <x v="10"/>
    <n v="14"/>
    <n v="5700"/>
    <n v="855"/>
    <n v="4845"/>
    <n v="3600"/>
    <n v="1245"/>
    <n v="0.25696594427244585"/>
    <s v="Healthy"/>
    <s v="Safe"/>
    <n v="0.36842105263157893"/>
    <s v="Safe"/>
    <n v="700"/>
    <n v="0.36842105263157893"/>
  </r>
  <r>
    <s v="ORD-11194"/>
    <x v="255"/>
    <s v="P005"/>
    <x v="2"/>
    <s v="Food"/>
    <s v="Snacks"/>
    <s v="CrispyBite"/>
    <s v="B01"/>
    <x v="2"/>
    <s v="Abuja"/>
    <x v="2"/>
    <s v="Corporate"/>
    <s v="POS"/>
    <n v="2"/>
    <n v="850"/>
    <n v="1300"/>
    <n v="0"/>
    <x v="9"/>
    <n v="3"/>
    <n v="2600"/>
    <n v="0"/>
    <n v="2600"/>
    <n v="1700"/>
    <n v="900"/>
    <n v="0.34615384615384615"/>
    <s v="Understocked"/>
    <s v="Safe"/>
    <n v="0.34615384615384615"/>
    <s v="Safe"/>
    <n v="450"/>
    <n v="0.34615384615384615"/>
  </r>
  <r>
    <s v="ORD-11195"/>
    <x v="346"/>
    <s v="P006"/>
    <x v="0"/>
    <s v="Beverages"/>
    <s v="Water"/>
    <s v="AquaPure"/>
    <s v="B07"/>
    <x v="3"/>
    <s v="Enugu"/>
    <x v="3"/>
    <s v="Walk-in"/>
    <s v="POS"/>
    <n v="1"/>
    <n v="230"/>
    <n v="400"/>
    <n v="0.05"/>
    <x v="2"/>
    <n v="5"/>
    <n v="400"/>
    <n v="20"/>
    <n v="380"/>
    <n v="230"/>
    <n v="150"/>
    <n v="0.39473684210526316"/>
    <s v="Understocked"/>
    <s v="Safe"/>
    <n v="0.42499999999999999"/>
    <s v="Safe"/>
    <n v="170"/>
    <n v="0.42499999999999999"/>
  </r>
  <r>
    <s v="ORD-11196"/>
    <x v="62"/>
    <s v="P005"/>
    <x v="2"/>
    <s v="Food"/>
    <s v="Snacks"/>
    <s v="CrispyBite"/>
    <s v="B03"/>
    <x v="6"/>
    <s v="Lagos"/>
    <x v="4"/>
    <s v="Walk-in"/>
    <s v="POS"/>
    <n v="5"/>
    <n v="850"/>
    <n v="1300"/>
    <n v="0.1"/>
    <x v="8"/>
    <n v="9"/>
    <n v="6500"/>
    <n v="650"/>
    <n v="5850"/>
    <n v="4250"/>
    <n v="1600"/>
    <n v="0.27350427350427353"/>
    <s v="Understocked"/>
    <s v="Safe"/>
    <n v="0.34615384615384615"/>
    <s v="Safe"/>
    <n v="450"/>
    <n v="0.34615384615384615"/>
  </r>
  <r>
    <s v="ORD-11197"/>
    <x v="178"/>
    <s v="P019"/>
    <x v="18"/>
    <s v="Electronics"/>
    <s v="Audio"/>
    <s v="SoundBeat"/>
    <s v="B08"/>
    <x v="7"/>
    <s v="Kwara"/>
    <x v="2"/>
    <s v="Member"/>
    <s v="POS"/>
    <n v="8"/>
    <n v="12500"/>
    <n v="18500"/>
    <n v="0.15"/>
    <x v="12"/>
    <n v="8"/>
    <n v="148000"/>
    <n v="22200"/>
    <n v="125800"/>
    <n v="100000"/>
    <n v="25800"/>
    <n v="0.20508744038155802"/>
    <s v="Understocked"/>
    <s v="Safe"/>
    <n v="0.32432432432432434"/>
    <s v="Safe"/>
    <n v="6000"/>
    <n v="0.32432432432432434"/>
  </r>
  <r>
    <s v="ORD-11198"/>
    <x v="246"/>
    <s v="P014"/>
    <x v="15"/>
    <s v="Personal Care"/>
    <s v="Oral Care"/>
    <s v="FreshMint"/>
    <s v="B04"/>
    <x v="5"/>
    <s v="Lagos"/>
    <x v="4"/>
    <s v="Walk-in"/>
    <s v="Transfer"/>
    <n v="2"/>
    <n v="1200"/>
    <n v="1900"/>
    <n v="0.05"/>
    <x v="11"/>
    <n v="13"/>
    <n v="3800"/>
    <n v="190"/>
    <n v="3610"/>
    <n v="2400"/>
    <n v="1210"/>
    <n v="0.33518005540166207"/>
    <s v="Healthy"/>
    <s v="Safe"/>
    <n v="0.36842105263157893"/>
    <s v="Safe"/>
    <n v="700"/>
    <n v="0.36842105263157893"/>
  </r>
  <r>
    <s v="ORD-11199"/>
    <x v="66"/>
    <s v="P005"/>
    <x v="2"/>
    <s v="Food"/>
    <s v="Snacks"/>
    <s v="CrispyBite"/>
    <s v="B04"/>
    <x v="5"/>
    <s v="Lagos"/>
    <x v="4"/>
    <s v="Walk-in"/>
    <s v="Cash"/>
    <n v="10"/>
    <n v="850"/>
    <n v="1300"/>
    <n v="0.2"/>
    <x v="1"/>
    <n v="1"/>
    <n v="13000"/>
    <n v="2600"/>
    <n v="10400"/>
    <n v="8500"/>
    <n v="1900"/>
    <n v="0.18269230769230768"/>
    <s v="Understocked"/>
    <s v="Safe"/>
    <n v="0.34615384615384615"/>
    <s v="Safe"/>
    <n v="450"/>
    <n v="0.34615384615384615"/>
  </r>
  <r>
    <s v="ORD-11200"/>
    <x v="123"/>
    <s v="P009"/>
    <x v="13"/>
    <s v="Household"/>
    <s v="Cleaning"/>
    <s v="BrightWash"/>
    <s v="B01"/>
    <x v="2"/>
    <s v="Abuja"/>
    <x v="2"/>
    <s v="Walk-in"/>
    <s v="Card"/>
    <n v="2"/>
    <n v="2400"/>
    <n v="3400"/>
    <n v="0"/>
    <x v="7"/>
    <n v="10"/>
    <n v="6800"/>
    <n v="0"/>
    <n v="6800"/>
    <n v="4800"/>
    <n v="2000"/>
    <n v="0.29411764705882354"/>
    <s v="Healthy"/>
    <s v="Safe"/>
    <n v="0.29411764705882354"/>
    <s v="Safe"/>
    <n v="1000"/>
    <n v="0.29411764705882354"/>
  </r>
  <r>
    <s v="ORD-11201"/>
    <x v="72"/>
    <s v="P006"/>
    <x v="0"/>
    <s v="Beverages"/>
    <s v="Water"/>
    <s v="AquaPure"/>
    <s v="B04"/>
    <x v="5"/>
    <s v="Lagos"/>
    <x v="4"/>
    <s v="Walk-in"/>
    <s v="POS"/>
    <n v="1"/>
    <n v="230"/>
    <n v="400"/>
    <n v="0.1"/>
    <x v="0"/>
    <n v="14"/>
    <n v="400"/>
    <n v="40"/>
    <n v="360"/>
    <n v="230"/>
    <n v="130"/>
    <n v="0.3611111111111111"/>
    <s v="Understocked"/>
    <s v="Safe"/>
    <n v="0.42499999999999999"/>
    <s v="Safe"/>
    <n v="170"/>
    <n v="0.42499999999999999"/>
  </r>
  <r>
    <s v="ORD-11202"/>
    <x v="152"/>
    <s v="P024"/>
    <x v="19"/>
    <s v="Office Supplies"/>
    <s v="Accessories"/>
    <s v="ErgoDesk"/>
    <s v="B05"/>
    <x v="0"/>
    <s v="Kano"/>
    <x v="0"/>
    <s v="Member"/>
    <s v="POS"/>
    <n v="3"/>
    <n v="1700"/>
    <n v="2800"/>
    <n v="0.15"/>
    <x v="15"/>
    <n v="1"/>
    <n v="8400"/>
    <n v="1260"/>
    <n v="7140"/>
    <n v="5100"/>
    <n v="2040"/>
    <n v="0.2857142857142857"/>
    <s v="Overstocked"/>
    <s v="Safe"/>
    <n v="0.39285714285714285"/>
    <s v="Safe"/>
    <n v="1100"/>
    <n v="0.39285714285714285"/>
  </r>
  <r>
    <s v="ORD-11203"/>
    <x v="290"/>
    <s v="P021"/>
    <x v="20"/>
    <s v="Office Supplies"/>
    <s v="Paper"/>
    <s v="OfficeMate"/>
    <s v="B02"/>
    <x v="4"/>
    <s v="Abuja"/>
    <x v="2"/>
    <s v="Walk-in"/>
    <s v="Transfer"/>
    <n v="4"/>
    <n v="5200"/>
    <n v="7000"/>
    <n v="0.25"/>
    <x v="15"/>
    <n v="1"/>
    <n v="28000"/>
    <n v="7000"/>
    <n v="21000"/>
    <n v="20800"/>
    <n v="200"/>
    <n v="9.5238095238095247E-3"/>
    <s v="Overstocked"/>
    <s v="Safe"/>
    <n v="0.25714285714285712"/>
    <s v="Safe"/>
    <n v="1800"/>
    <n v="0.25714285714285712"/>
  </r>
  <r>
    <s v="ORD-11204"/>
    <x v="341"/>
    <s v="P002"/>
    <x v="10"/>
    <s v="Food"/>
    <s v="Grains"/>
    <s v="Mama's Pride"/>
    <s v="B01"/>
    <x v="2"/>
    <s v="Abuja"/>
    <x v="2"/>
    <s v="Walk-in"/>
    <s v="POS"/>
    <n v="3"/>
    <n v="6200"/>
    <n v="7900"/>
    <n v="0.2"/>
    <x v="9"/>
    <n v="6"/>
    <n v="23700"/>
    <n v="4740"/>
    <n v="18960"/>
    <n v="18600"/>
    <n v="360"/>
    <n v="1.8987341772151899E-2"/>
    <s v="Healthy"/>
    <s v="Safe"/>
    <n v="0.21518987341772153"/>
    <s v="Safe"/>
    <n v="1700"/>
    <n v="0.21518987341772153"/>
  </r>
  <r>
    <s v="ORD-11205"/>
    <x v="134"/>
    <s v="P021"/>
    <x v="20"/>
    <s v="Office Supplies"/>
    <s v="Paper"/>
    <s v="OfficeMate"/>
    <s v="B02"/>
    <x v="4"/>
    <s v="Abuja"/>
    <x v="2"/>
    <s v="Walk-in"/>
    <s v="Cash"/>
    <n v="10"/>
    <n v="5200"/>
    <n v="7000"/>
    <n v="0.2"/>
    <x v="5"/>
    <n v="7"/>
    <n v="70000"/>
    <n v="14000"/>
    <n v="56000"/>
    <n v="52000"/>
    <n v="4000"/>
    <n v="7.1428571428571425E-2"/>
    <s v="Overstocked"/>
    <s v="Safe"/>
    <n v="0.25714285714285712"/>
    <s v="Safe"/>
    <n v="1800"/>
    <n v="0.25714285714285712"/>
  </r>
  <r>
    <s v="ORD-11206"/>
    <x v="295"/>
    <s v="P014"/>
    <x v="15"/>
    <s v="Personal Care"/>
    <s v="Oral Care"/>
    <s v="FreshMint"/>
    <s v="B01"/>
    <x v="2"/>
    <s v="Abuja"/>
    <x v="2"/>
    <s v="Member"/>
    <s v="Cash"/>
    <n v="5"/>
    <n v="1200"/>
    <n v="1900"/>
    <n v="0.05"/>
    <x v="11"/>
    <n v="1"/>
    <n v="9500"/>
    <n v="475"/>
    <n v="9025"/>
    <n v="6000"/>
    <n v="3025"/>
    <n v="0.33518005540166207"/>
    <s v="Healthy"/>
    <s v="Safe"/>
    <n v="0.36842105263157893"/>
    <s v="Safe"/>
    <n v="700"/>
    <n v="0.36842105263157893"/>
  </r>
  <r>
    <s v="ORD-11207"/>
    <x v="188"/>
    <s v="P014"/>
    <x v="15"/>
    <s v="Personal Care"/>
    <s v="Oral Care"/>
    <s v="FreshMint"/>
    <s v="B03"/>
    <x v="6"/>
    <s v="Lagos"/>
    <x v="4"/>
    <s v="Corporate"/>
    <s v="Card"/>
    <n v="3"/>
    <n v="1200"/>
    <n v="1900"/>
    <n v="0.15"/>
    <x v="10"/>
    <n v="6"/>
    <n v="5700"/>
    <n v="855"/>
    <n v="4845"/>
    <n v="3600"/>
    <n v="1245"/>
    <n v="0.25696594427244585"/>
    <s v="Healthy"/>
    <s v="Safe"/>
    <n v="0.36842105263157893"/>
    <s v="Safe"/>
    <n v="700"/>
    <n v="0.36842105263157893"/>
  </r>
  <r>
    <s v="ORD-11208"/>
    <x v="272"/>
    <s v="P010"/>
    <x v="22"/>
    <s v="Household"/>
    <s v="Paper Products"/>
    <s v="SoftCare"/>
    <s v="B06"/>
    <x v="1"/>
    <s v="Rivers"/>
    <x v="1"/>
    <s v="Walk-in"/>
    <s v="Cash"/>
    <n v="3"/>
    <n v="3200"/>
    <n v="4500"/>
    <n v="0.05"/>
    <x v="1"/>
    <n v="2"/>
    <n v="13500"/>
    <n v="675"/>
    <n v="12825"/>
    <n v="9600"/>
    <n v="3225"/>
    <n v="0.25146198830409355"/>
    <s v="Healthy"/>
    <s v="Safe"/>
    <n v="0.28888888888888886"/>
    <s v="Safe"/>
    <n v="1300"/>
    <n v="0.28888888888888886"/>
  </r>
  <r>
    <s v="ORD-11209"/>
    <x v="276"/>
    <s v="P013"/>
    <x v="11"/>
    <s v="Personal Care"/>
    <s v="Skin Care"/>
    <s v="GlowPlus"/>
    <s v="B01"/>
    <x v="2"/>
    <s v="Abuja"/>
    <x v="2"/>
    <s v="Member"/>
    <s v="Transfer"/>
    <n v="1"/>
    <n v="3500"/>
    <n v="5200"/>
    <n v="0"/>
    <x v="10"/>
    <n v="4"/>
    <n v="5200"/>
    <n v="0"/>
    <n v="5200"/>
    <n v="3500"/>
    <n v="1700"/>
    <n v="0.32692307692307693"/>
    <s v="Healthy"/>
    <s v="Safe"/>
    <n v="0.32692307692307693"/>
    <s v="Safe"/>
    <n v="1700"/>
    <n v="0.32692307692307693"/>
  </r>
  <r>
    <s v="ORD-11210"/>
    <x v="5"/>
    <s v="P014"/>
    <x v="15"/>
    <s v="Personal Care"/>
    <s v="Oral Care"/>
    <s v="FreshMint"/>
    <s v="B07"/>
    <x v="3"/>
    <s v="Enugu"/>
    <x v="3"/>
    <s v="Walk-in"/>
    <s v="Cash"/>
    <n v="1"/>
    <n v="1200"/>
    <n v="1900"/>
    <n v="0.1"/>
    <x v="10"/>
    <n v="5"/>
    <n v="1900"/>
    <n v="190"/>
    <n v="1710"/>
    <n v="1200"/>
    <n v="510"/>
    <n v="0.2982456140350877"/>
    <s v="Healthy"/>
    <s v="Safe"/>
    <n v="0.36842105263157893"/>
    <s v="Safe"/>
    <n v="700"/>
    <n v="0.36842105263157893"/>
  </r>
  <r>
    <s v="ORD-11211"/>
    <x v="171"/>
    <s v="P010"/>
    <x v="22"/>
    <s v="Household"/>
    <s v="Paper Products"/>
    <s v="SoftCare"/>
    <s v="B03"/>
    <x v="6"/>
    <s v="Lagos"/>
    <x v="4"/>
    <s v="Walk-in"/>
    <s v="POS"/>
    <n v="5"/>
    <n v="3200"/>
    <n v="4500"/>
    <n v="0"/>
    <x v="10"/>
    <n v="12"/>
    <n v="22500"/>
    <n v="0"/>
    <n v="22500"/>
    <n v="16000"/>
    <n v="6500"/>
    <n v="0.28888888888888886"/>
    <s v="Healthy"/>
    <s v="Safe"/>
    <n v="0.28888888888888886"/>
    <s v="Safe"/>
    <n v="1300"/>
    <n v="0.28888888888888886"/>
  </r>
  <r>
    <s v="ORD-11212"/>
    <x v="204"/>
    <s v="P008"/>
    <x v="4"/>
    <s v="Beverages"/>
    <s v="Soft Drinks"/>
    <s v="Sparkle"/>
    <s v="B04"/>
    <x v="5"/>
    <s v="Lagos"/>
    <x v="4"/>
    <s v="Walk-in"/>
    <s v="POS"/>
    <n v="2"/>
    <n v="330"/>
    <n v="550"/>
    <n v="0.1"/>
    <x v="3"/>
    <n v="1"/>
    <n v="1100"/>
    <n v="110"/>
    <n v="990"/>
    <n v="660"/>
    <n v="330"/>
    <n v="0.33333333333333331"/>
    <s v="Healthy"/>
    <s v="Safe"/>
    <n v="0.4"/>
    <s v="Safe"/>
    <n v="220"/>
    <n v="0.4"/>
  </r>
  <r>
    <s v="ORD-11213"/>
    <x v="170"/>
    <s v="P007"/>
    <x v="3"/>
    <s v="Beverages"/>
    <s v="Malt"/>
    <s v="Naija Malt"/>
    <s v="B04"/>
    <x v="5"/>
    <s v="Lagos"/>
    <x v="4"/>
    <s v="Walk-in"/>
    <s v="POS"/>
    <n v="1"/>
    <n v="550"/>
    <n v="850"/>
    <n v="0.1"/>
    <x v="2"/>
    <n v="4"/>
    <n v="850"/>
    <n v="85"/>
    <n v="765"/>
    <n v="550"/>
    <n v="215"/>
    <n v="0.28104575163398693"/>
    <s v="Healthy"/>
    <s v="Safe"/>
    <n v="0.35294117647058826"/>
    <s v="Safe"/>
    <n v="300"/>
    <n v="0.35294117647058826"/>
  </r>
  <r>
    <s v="ORD-11214"/>
    <x v="136"/>
    <s v="P010"/>
    <x v="22"/>
    <s v="Household"/>
    <s v="Paper Products"/>
    <s v="SoftCare"/>
    <s v="B06"/>
    <x v="1"/>
    <s v="Rivers"/>
    <x v="1"/>
    <s v="Walk-in"/>
    <s v="Card"/>
    <n v="2"/>
    <n v="3200"/>
    <n v="4500"/>
    <n v="0.05"/>
    <x v="10"/>
    <n v="1"/>
    <n v="9000"/>
    <n v="450"/>
    <n v="8550"/>
    <n v="6400"/>
    <n v="2150"/>
    <n v="0.25146198830409355"/>
    <s v="Healthy"/>
    <s v="Safe"/>
    <n v="0.28888888888888886"/>
    <s v="Safe"/>
    <n v="1300"/>
    <n v="0.28888888888888886"/>
  </r>
  <r>
    <s v="ORD-11215"/>
    <x v="216"/>
    <s v="P014"/>
    <x v="15"/>
    <s v="Personal Care"/>
    <s v="Oral Care"/>
    <s v="FreshMint"/>
    <s v="B02"/>
    <x v="4"/>
    <s v="Abuja"/>
    <x v="2"/>
    <s v="Walk-in"/>
    <s v="Transfer"/>
    <n v="1"/>
    <n v="1200"/>
    <n v="1900"/>
    <n v="0.1"/>
    <x v="10"/>
    <n v="1"/>
    <n v="1900"/>
    <n v="190"/>
    <n v="1710"/>
    <n v="1200"/>
    <n v="510"/>
    <n v="0.2982456140350877"/>
    <s v="Healthy"/>
    <s v="Safe"/>
    <n v="0.36842105263157893"/>
    <s v="Safe"/>
    <n v="700"/>
    <n v="0.36842105263157893"/>
  </r>
  <r>
    <s v="ORD-11216"/>
    <x v="100"/>
    <s v="P013"/>
    <x v="11"/>
    <s v="Personal Care"/>
    <s v="Skin Care"/>
    <s v="GlowPlus"/>
    <s v="B07"/>
    <x v="3"/>
    <s v="Enugu"/>
    <x v="3"/>
    <s v="Walk-in"/>
    <s v="POS"/>
    <n v="1"/>
    <n v="3500"/>
    <n v="5200"/>
    <n v="0.05"/>
    <x v="6"/>
    <n v="3"/>
    <n v="5200"/>
    <n v="260"/>
    <n v="4940"/>
    <n v="3500"/>
    <n v="1440"/>
    <n v="0.291497975708502"/>
    <s v="Healthy"/>
    <s v="Safe"/>
    <n v="0.32692307692307693"/>
    <s v="Safe"/>
    <n v="1700"/>
    <n v="0.32692307692307693"/>
  </r>
  <r>
    <s v="ORD-11217"/>
    <x v="305"/>
    <s v="P004"/>
    <x v="1"/>
    <s v="Beverages"/>
    <s v="Dairy"/>
    <s v="FreshDay"/>
    <s v="B04"/>
    <x v="5"/>
    <s v="Lagos"/>
    <x v="4"/>
    <s v="Member"/>
    <s v="POS"/>
    <n v="4"/>
    <n v="1650"/>
    <n v="2200"/>
    <n v="0.05"/>
    <x v="0"/>
    <n v="7"/>
    <n v="8800"/>
    <n v="440"/>
    <n v="8360"/>
    <n v="6600"/>
    <n v="1760"/>
    <n v="0.21052631578947367"/>
    <s v="Understocked"/>
    <s v="Safe"/>
    <n v="0.25"/>
    <s v="Safe"/>
    <n v="550"/>
    <n v="0.25"/>
  </r>
  <r>
    <s v="ORD-11218"/>
    <x v="255"/>
    <s v="P019"/>
    <x v="18"/>
    <s v="Electronics"/>
    <s v="Audio"/>
    <s v="SoundBeat"/>
    <s v="B03"/>
    <x v="6"/>
    <s v="Lagos"/>
    <x v="4"/>
    <s v="Member"/>
    <s v="Card"/>
    <n v="2"/>
    <n v="12500"/>
    <n v="18500"/>
    <n v="0.05"/>
    <x v="4"/>
    <n v="13"/>
    <n v="37000"/>
    <n v="1850"/>
    <n v="35150"/>
    <n v="25000"/>
    <n v="10150"/>
    <n v="0.28876244665718348"/>
    <s v="Understocked"/>
    <s v="Safe"/>
    <n v="0.32432432432432434"/>
    <s v="Safe"/>
    <n v="6000"/>
    <n v="0.32432432432432434"/>
  </r>
  <r>
    <s v="ORD-11219"/>
    <x v="74"/>
    <s v="P003"/>
    <x v="12"/>
    <s v="Food"/>
    <s v="Cooking Oil"/>
    <s v="SunGold"/>
    <s v="B03"/>
    <x v="6"/>
    <s v="Lagos"/>
    <x v="4"/>
    <s v="Member"/>
    <s v="Cash"/>
    <n v="2"/>
    <n v="7800"/>
    <n v="9800"/>
    <n v="0.1"/>
    <x v="9"/>
    <n v="5"/>
    <n v="19600"/>
    <n v="1960"/>
    <n v="17640"/>
    <n v="15600"/>
    <n v="2040"/>
    <n v="0.11564625850340136"/>
    <s v="Understocked"/>
    <s v="Safe"/>
    <n v="0.20408163265306123"/>
    <s v="Safe"/>
    <n v="2000"/>
    <n v="0.20408163265306123"/>
  </r>
  <r>
    <s v="ORD-11220"/>
    <x v="209"/>
    <s v="P022"/>
    <x v="17"/>
    <s v="Office Supplies"/>
    <s v="Writing"/>
    <s v="WriteWell"/>
    <s v="B02"/>
    <x v="4"/>
    <s v="Abuja"/>
    <x v="2"/>
    <s v="Walk-in"/>
    <s v="Transfer"/>
    <n v="10"/>
    <n v="1300"/>
    <n v="2100"/>
    <n v="0.1"/>
    <x v="15"/>
    <n v="2"/>
    <n v="21000"/>
    <n v="2100"/>
    <n v="18900"/>
    <n v="13000"/>
    <n v="5900"/>
    <n v="0.31216931216931215"/>
    <s v="Understocked"/>
    <s v="Safe"/>
    <n v="0.38095238095238093"/>
    <s v="Safe"/>
    <n v="800"/>
    <n v="0.38095238095238093"/>
  </r>
  <r>
    <s v="ORD-11221"/>
    <x v="211"/>
    <s v="P018"/>
    <x v="16"/>
    <s v="Electronics"/>
    <s v="Mobile Accessories"/>
    <s v="VoltSafe"/>
    <s v="B04"/>
    <x v="5"/>
    <s v="Lagos"/>
    <x v="4"/>
    <s v="Walk-in"/>
    <s v="POS"/>
    <n v="1"/>
    <n v="18000"/>
    <n v="24500"/>
    <n v="0"/>
    <x v="13"/>
    <n v="5"/>
    <n v="24500"/>
    <n v="0"/>
    <n v="24500"/>
    <n v="18000"/>
    <n v="6500"/>
    <n v="0.26530612244897961"/>
    <s v="Understocked"/>
    <s v="Safe"/>
    <n v="0.26530612244897961"/>
    <s v="Safe"/>
    <n v="6500"/>
    <n v="0.26530612244897961"/>
  </r>
  <r>
    <s v="ORD-11222"/>
    <x v="40"/>
    <s v="P020"/>
    <x v="5"/>
    <s v="Electronics"/>
    <s v="Lighting"/>
    <s v="Luma"/>
    <s v="B03"/>
    <x v="6"/>
    <s v="Lagos"/>
    <x v="4"/>
    <s v="Walk-in"/>
    <s v="POS"/>
    <n v="4"/>
    <n v="1500"/>
    <n v="2500"/>
    <n v="0"/>
    <x v="4"/>
    <n v="8"/>
    <n v="10000"/>
    <n v="0"/>
    <n v="10000"/>
    <n v="6000"/>
    <n v="4000"/>
    <n v="0.4"/>
    <s v="Healthy"/>
    <s v="Safe"/>
    <n v="0.4"/>
    <s v="Safe"/>
    <n v="1000"/>
    <n v="0.4"/>
  </r>
  <r>
    <s v="ORD-11223"/>
    <x v="165"/>
    <s v="P008"/>
    <x v="4"/>
    <s v="Beverages"/>
    <s v="Soft Drinks"/>
    <s v="Sparkle"/>
    <s v="B05"/>
    <x v="0"/>
    <s v="Kano"/>
    <x v="0"/>
    <s v="Member"/>
    <s v="POS"/>
    <n v="4"/>
    <n v="330"/>
    <n v="550"/>
    <n v="0.15"/>
    <x v="0"/>
    <n v="4"/>
    <n v="2200"/>
    <n v="330"/>
    <n v="1870"/>
    <n v="1320"/>
    <n v="550"/>
    <n v="0.29411764705882354"/>
    <s v="Healthy"/>
    <s v="Safe"/>
    <n v="0.4"/>
    <s v="Safe"/>
    <n v="220"/>
    <n v="0.4"/>
  </r>
  <r>
    <s v="ORD-11224"/>
    <x v="83"/>
    <s v="P007"/>
    <x v="3"/>
    <s v="Beverages"/>
    <s v="Malt"/>
    <s v="Naija Malt"/>
    <s v="B03"/>
    <x v="6"/>
    <s v="Lagos"/>
    <x v="4"/>
    <s v="Walk-in"/>
    <s v="Card"/>
    <n v="8"/>
    <n v="550"/>
    <n v="850"/>
    <n v="0.05"/>
    <x v="0"/>
    <n v="12"/>
    <n v="6800"/>
    <n v="340"/>
    <n v="6460"/>
    <n v="4400"/>
    <n v="2060"/>
    <n v="0.31888544891640869"/>
    <s v="Healthy"/>
    <s v="Safe"/>
    <n v="0.35294117647058826"/>
    <s v="Safe"/>
    <n v="300"/>
    <n v="0.35294117647058826"/>
  </r>
  <r>
    <s v="ORD-11225"/>
    <x v="91"/>
    <s v="P007"/>
    <x v="3"/>
    <s v="Beverages"/>
    <s v="Malt"/>
    <s v="Naija Malt"/>
    <s v="B01"/>
    <x v="2"/>
    <s v="Abuja"/>
    <x v="2"/>
    <s v="Member"/>
    <s v="Card"/>
    <n v="3"/>
    <n v="550"/>
    <n v="850"/>
    <n v="0.1"/>
    <x v="0"/>
    <n v="3"/>
    <n v="2550"/>
    <n v="255"/>
    <n v="2295"/>
    <n v="1650"/>
    <n v="645"/>
    <n v="0.28104575163398693"/>
    <s v="Healthy"/>
    <s v="Safe"/>
    <n v="0.35294117647058826"/>
    <s v="Safe"/>
    <n v="300"/>
    <n v="0.35294117647058826"/>
  </r>
  <r>
    <s v="ORD-11226"/>
    <x v="126"/>
    <s v="P007"/>
    <x v="3"/>
    <s v="Beverages"/>
    <s v="Malt"/>
    <s v="Naija Malt"/>
    <s v="B04"/>
    <x v="5"/>
    <s v="Lagos"/>
    <x v="4"/>
    <s v="Walk-in"/>
    <s v="Cash"/>
    <n v="1"/>
    <n v="550"/>
    <n v="850"/>
    <n v="0.1"/>
    <x v="3"/>
    <n v="3"/>
    <n v="850"/>
    <n v="85"/>
    <n v="765"/>
    <n v="550"/>
    <n v="215"/>
    <n v="0.28104575163398693"/>
    <s v="Healthy"/>
    <s v="Safe"/>
    <n v="0.35294117647058826"/>
    <s v="Safe"/>
    <n v="300"/>
    <n v="0.35294117647058826"/>
  </r>
  <r>
    <s v="ORD-11227"/>
    <x v="214"/>
    <s v="P005"/>
    <x v="2"/>
    <s v="Food"/>
    <s v="Snacks"/>
    <s v="CrispyBite"/>
    <s v="B03"/>
    <x v="6"/>
    <s v="Lagos"/>
    <x v="4"/>
    <s v="Walk-in"/>
    <s v="Card"/>
    <n v="2"/>
    <n v="850"/>
    <n v="1300"/>
    <n v="0.1"/>
    <x v="8"/>
    <n v="11"/>
    <n v="2600"/>
    <n v="260"/>
    <n v="2340"/>
    <n v="1700"/>
    <n v="640"/>
    <n v="0.27350427350427353"/>
    <s v="Understocked"/>
    <s v="Safe"/>
    <n v="0.34615384615384615"/>
    <s v="Safe"/>
    <n v="450"/>
    <n v="0.34615384615384615"/>
  </r>
  <r>
    <s v="ORD-11228"/>
    <x v="261"/>
    <s v="P005"/>
    <x v="2"/>
    <s v="Food"/>
    <s v="Snacks"/>
    <s v="CrispyBite"/>
    <s v="B08"/>
    <x v="7"/>
    <s v="Kwara"/>
    <x v="2"/>
    <s v="Walk-in"/>
    <s v="Cash"/>
    <n v="1"/>
    <n v="850"/>
    <n v="1300"/>
    <n v="0.05"/>
    <x v="9"/>
    <n v="6"/>
    <n v="1300"/>
    <n v="65"/>
    <n v="1235"/>
    <n v="850"/>
    <n v="385"/>
    <n v="0.31174089068825911"/>
    <s v="Understocked"/>
    <s v="Safe"/>
    <n v="0.34615384615384615"/>
    <s v="Safe"/>
    <n v="450"/>
    <n v="0.34615384615384615"/>
  </r>
  <r>
    <s v="ORD-11229"/>
    <x v="165"/>
    <s v="P014"/>
    <x v="15"/>
    <s v="Personal Care"/>
    <s v="Oral Care"/>
    <s v="FreshMint"/>
    <s v="B03"/>
    <x v="6"/>
    <s v="Lagos"/>
    <x v="4"/>
    <s v="Walk-in"/>
    <s v="Transfer"/>
    <n v="-2"/>
    <n v="1200"/>
    <n v="1900"/>
    <n v="0"/>
    <x v="10"/>
    <n v="8"/>
    <n v="-3800"/>
    <n v="0"/>
    <n v="-3800"/>
    <n v="-2400"/>
    <n v="-1400"/>
    <n v="0.36842105263157893"/>
    <s v="Healthy"/>
    <s v="Safe"/>
    <n v="0.36842105263157893"/>
    <s v="Safe"/>
    <n v="700"/>
    <n v="0.36842105263157893"/>
  </r>
  <r>
    <s v="ORD-11230"/>
    <x v="224"/>
    <s v="P007"/>
    <x v="3"/>
    <s v="Beverages"/>
    <s v="Malt"/>
    <s v="Naija Malt"/>
    <s v="B06"/>
    <x v="1"/>
    <s v="Rivers"/>
    <x v="1"/>
    <s v="Member"/>
    <s v="POS"/>
    <n v="2"/>
    <n v="550"/>
    <n v="850"/>
    <n v="0"/>
    <x v="2"/>
    <n v="9"/>
    <n v="1700"/>
    <n v="0"/>
    <n v="1700"/>
    <n v="1100"/>
    <n v="600"/>
    <n v="0.35294117647058826"/>
    <s v="Healthy"/>
    <s v="Safe"/>
    <n v="0.35294117647058826"/>
    <s v="Safe"/>
    <n v="300"/>
    <n v="0.35294117647058826"/>
  </r>
  <r>
    <s v="ORD-11231"/>
    <x v="255"/>
    <s v="P015"/>
    <x v="8"/>
    <s v="Personal Care"/>
    <s v="Bath"/>
    <s v="SilkyTouch"/>
    <s v="B07"/>
    <x v="3"/>
    <s v="Enugu"/>
    <x v="3"/>
    <s v="Walk-in"/>
    <s v="Transfer"/>
    <n v="10"/>
    <n v="600"/>
    <n v="950"/>
    <n v="0"/>
    <x v="11"/>
    <n v="14"/>
    <n v="9500"/>
    <n v="0"/>
    <n v="9500"/>
    <n v="6000"/>
    <n v="3500"/>
    <n v="0.36842105263157893"/>
    <s v="Healthy"/>
    <s v="Safe"/>
    <n v="0.36842105263157893"/>
    <s v="Safe"/>
    <n v="350"/>
    <n v="0.36842105263157893"/>
  </r>
  <r>
    <s v="ORD-11232"/>
    <x v="200"/>
    <s v="P001"/>
    <x v="14"/>
    <s v="Food"/>
    <s v="Grains"/>
    <s v="Golden Harvest"/>
    <s v="B08"/>
    <x v="7"/>
    <s v="Kwara"/>
    <x v="2"/>
    <s v="Walk-in"/>
    <s v="POS"/>
    <n v="4"/>
    <n v="14500"/>
    <n v="17500"/>
    <n v="0"/>
    <x v="8"/>
    <n v="7"/>
    <n v="70000"/>
    <n v="0"/>
    <n v="70000"/>
    <n v="58000"/>
    <n v="12000"/>
    <n v="0.17142857142857143"/>
    <s v="Understocked"/>
    <s v="Safe"/>
    <n v="0.17142857142857143"/>
    <s v="Safe"/>
    <n v="3000"/>
    <n v="0.17142857142857143"/>
  </r>
  <r>
    <s v="ORD-11233"/>
    <x v="65"/>
    <s v="P001"/>
    <x v="14"/>
    <s v="Food"/>
    <s v="Grains"/>
    <s v="Golden Harvest"/>
    <s v="B07"/>
    <x v="3"/>
    <s v="Enugu"/>
    <x v="3"/>
    <s v="Member"/>
    <s v="Transfer"/>
    <n v="2"/>
    <n v="14500"/>
    <n v="17500"/>
    <n v="0"/>
    <x v="8"/>
    <n v="6"/>
    <n v="35000"/>
    <n v="0"/>
    <n v="35000"/>
    <n v="29000"/>
    <n v="6000"/>
    <n v="0.17142857142857143"/>
    <s v="Understocked"/>
    <s v="Safe"/>
    <n v="0.17142857142857143"/>
    <s v="Safe"/>
    <n v="3000"/>
    <n v="0.17142857142857143"/>
  </r>
  <r>
    <s v="ORD-11234"/>
    <x v="186"/>
    <s v="P010"/>
    <x v="22"/>
    <s v="Household"/>
    <s v="Paper Products"/>
    <s v="SoftCare"/>
    <s v="B02"/>
    <x v="4"/>
    <s v="Abuja"/>
    <x v="2"/>
    <s v="Walk-in"/>
    <s v="POS"/>
    <n v="2"/>
    <n v="3200"/>
    <n v="4500"/>
    <n v="0"/>
    <x v="1"/>
    <n v="2"/>
    <n v="9000"/>
    <n v="0"/>
    <n v="9000"/>
    <n v="6400"/>
    <n v="2600"/>
    <n v="0.28888888888888886"/>
    <s v="Healthy"/>
    <s v="Safe"/>
    <n v="0.28888888888888886"/>
    <s v="Safe"/>
    <n v="1300"/>
    <n v="0.28888888888888886"/>
  </r>
  <r>
    <s v="ORD-11235"/>
    <x v="77"/>
    <s v="P009"/>
    <x v="13"/>
    <s v="Household"/>
    <s v="Cleaning"/>
    <s v="BrightWash"/>
    <s v="B03"/>
    <x v="6"/>
    <s v="Lagos"/>
    <x v="4"/>
    <s v="Walk-in"/>
    <s v="Cash"/>
    <n v="1"/>
    <n v="2400"/>
    <n v="3400"/>
    <n v="0.05"/>
    <x v="10"/>
    <n v="7"/>
    <n v="3400"/>
    <n v="170"/>
    <n v="3230"/>
    <n v="2400"/>
    <n v="830"/>
    <n v="0.25696594427244585"/>
    <s v="Healthy"/>
    <s v="Safe"/>
    <n v="0.29411764705882354"/>
    <s v="Safe"/>
    <n v="1000"/>
    <n v="0.29411764705882354"/>
  </r>
  <r>
    <s v="ORD-11236"/>
    <x v="75"/>
    <s v="P023"/>
    <x v="6"/>
    <s v="Office Supplies"/>
    <s v="Stationery"/>
    <s v="StudyPro"/>
    <s v="B05"/>
    <x v="0"/>
    <s v="Kano"/>
    <x v="0"/>
    <s v="Member"/>
    <s v="POS"/>
    <n v="2"/>
    <n v="2800"/>
    <n v="4200"/>
    <n v="0.15"/>
    <x v="5"/>
    <n v="10"/>
    <n v="8400"/>
    <n v="1260"/>
    <n v="7140"/>
    <n v="5600"/>
    <n v="1540"/>
    <n v="0.21568627450980393"/>
    <s v="Understocked"/>
    <s v="Safe"/>
    <n v="0.33333333333333331"/>
    <s v="Safe"/>
    <n v="1400"/>
    <n v="0.33333333333333331"/>
  </r>
  <r>
    <s v="ORD-11237"/>
    <x v="181"/>
    <s v="P006"/>
    <x v="0"/>
    <s v="Beverages"/>
    <s v="Water"/>
    <s v="AquaPure"/>
    <s v="B01"/>
    <x v="2"/>
    <s v="Abuja"/>
    <x v="2"/>
    <s v="Member"/>
    <s v="Cash"/>
    <n v="3"/>
    <n v="230"/>
    <n v="400"/>
    <n v="0.1"/>
    <x v="0"/>
    <n v="12"/>
    <n v="1200"/>
    <n v="120"/>
    <n v="1080"/>
    <n v="690"/>
    <n v="390"/>
    <n v="0.3611111111111111"/>
    <s v="Understocked"/>
    <s v="Safe"/>
    <n v="0.42499999999999999"/>
    <s v="Safe"/>
    <n v="170"/>
    <n v="0.42499999999999999"/>
  </r>
  <r>
    <s v="ORD-11238"/>
    <x v="267"/>
    <s v="P015"/>
    <x v="8"/>
    <s v="Personal Care"/>
    <s v="Bath"/>
    <s v="SilkyTouch"/>
    <s v="B03"/>
    <x v="6"/>
    <s v="Lagos"/>
    <x v="4"/>
    <s v="Walk-in"/>
    <s v="POS"/>
    <n v="1"/>
    <n v="600"/>
    <n v="950"/>
    <n v="0.2"/>
    <x v="6"/>
    <n v="14"/>
    <n v="950"/>
    <n v="190"/>
    <n v="760"/>
    <n v="600"/>
    <n v="160"/>
    <n v="0.21052631578947367"/>
    <s v="Healthy"/>
    <s v="Safe"/>
    <n v="0.36842105263157893"/>
    <s v="Safe"/>
    <n v="350"/>
    <n v="0.36842105263157893"/>
  </r>
  <r>
    <s v="ORD-11239"/>
    <x v="284"/>
    <s v="P018"/>
    <x v="16"/>
    <s v="Electronics"/>
    <s v="Mobile Accessories"/>
    <s v="VoltSafe"/>
    <s v="B04"/>
    <x v="5"/>
    <s v="Lagos"/>
    <x v="4"/>
    <s v="Walk-in"/>
    <s v="POS"/>
    <n v="10"/>
    <n v="18000"/>
    <n v="24500"/>
    <n v="0.1"/>
    <x v="12"/>
    <n v="13"/>
    <n v="245000"/>
    <n v="24500"/>
    <n v="220500"/>
    <n v="180000"/>
    <n v="40500"/>
    <n v="0.18367346938775511"/>
    <s v="Understocked"/>
    <s v="Safe"/>
    <n v="0.26530612244897961"/>
    <s v="Safe"/>
    <n v="6500"/>
    <n v="0.26530612244897961"/>
  </r>
  <r>
    <s v="ORD-11240"/>
    <x v="101"/>
    <s v="P008"/>
    <x v="4"/>
    <s v="Beverages"/>
    <s v="Soft Drinks"/>
    <s v="Sparkle"/>
    <s v="B06"/>
    <x v="1"/>
    <s v="Rivers"/>
    <x v="1"/>
    <s v="Member"/>
    <s v="Card"/>
    <n v="2"/>
    <n v="330"/>
    <n v="550"/>
    <n v="0.1"/>
    <x v="0"/>
    <n v="1"/>
    <n v="1100"/>
    <n v="110"/>
    <n v="990"/>
    <n v="660"/>
    <n v="330"/>
    <n v="0.33333333333333331"/>
    <s v="Healthy"/>
    <s v="Safe"/>
    <n v="0.4"/>
    <s v="Safe"/>
    <n v="220"/>
    <n v="0.4"/>
  </r>
  <r>
    <s v="ORD-11241"/>
    <x v="184"/>
    <s v="P014"/>
    <x v="15"/>
    <s v="Personal Care"/>
    <s v="Oral Care"/>
    <s v="FreshMint"/>
    <s v="B03"/>
    <x v="6"/>
    <s v="Lagos"/>
    <x v="4"/>
    <s v="Walk-in"/>
    <s v="Cash"/>
    <n v="2"/>
    <n v="1200"/>
    <n v="1900"/>
    <n v="0"/>
    <x v="11"/>
    <n v="8"/>
    <n v="3800"/>
    <n v="0"/>
    <n v="3800"/>
    <n v="2400"/>
    <n v="1400"/>
    <n v="0.36842105263157893"/>
    <s v="Healthy"/>
    <s v="Safe"/>
    <n v="0.36842105263157893"/>
    <s v="Safe"/>
    <n v="700"/>
    <n v="0.36842105263157893"/>
  </r>
  <r>
    <s v="ORD-11242"/>
    <x v="1"/>
    <s v="P006"/>
    <x v="0"/>
    <s v="Beverages"/>
    <s v="Water"/>
    <s v="AquaPure"/>
    <s v="B02"/>
    <x v="4"/>
    <s v="Abuja"/>
    <x v="2"/>
    <s v="Walk-in"/>
    <s v="Card"/>
    <n v="1"/>
    <n v="230"/>
    <n v="400"/>
    <n v="0.05"/>
    <x v="0"/>
    <n v="10"/>
    <n v="400"/>
    <n v="20"/>
    <n v="380"/>
    <n v="230"/>
    <n v="150"/>
    <n v="0.39473684210526316"/>
    <s v="Understocked"/>
    <s v="Safe"/>
    <n v="0.42499999999999999"/>
    <s v="Safe"/>
    <n v="170"/>
    <n v="0.42499999999999999"/>
  </r>
  <r>
    <s v="ORD-11243"/>
    <x v="304"/>
    <s v="P008"/>
    <x v="4"/>
    <s v="Beverages"/>
    <s v="Soft Drinks"/>
    <s v="Sparkle"/>
    <s v="B04"/>
    <x v="5"/>
    <s v="Lagos"/>
    <x v="4"/>
    <s v="Walk-in"/>
    <s v="Transfer"/>
    <n v="3"/>
    <n v="330"/>
    <n v="550"/>
    <n v="0.05"/>
    <x v="2"/>
    <n v="6"/>
    <n v="1650"/>
    <n v="82.5"/>
    <n v="1567.5"/>
    <n v="990"/>
    <n v="577.5"/>
    <n v="0.36842105263157893"/>
    <s v="Healthy"/>
    <s v="Safe"/>
    <n v="0.4"/>
    <s v="Safe"/>
    <n v="220"/>
    <n v="0.4"/>
  </r>
  <r>
    <s v="ORD-11244"/>
    <x v="347"/>
    <s v="P008"/>
    <x v="4"/>
    <s v="Beverages"/>
    <s v="Soft Drinks"/>
    <s v="Sparkle"/>
    <s v="B06"/>
    <x v="1"/>
    <s v="Rivers"/>
    <x v="1"/>
    <s v="Member"/>
    <s v="Card"/>
    <n v="1"/>
    <n v="330"/>
    <n v="550"/>
    <n v="0.1"/>
    <x v="3"/>
    <n v="11"/>
    <n v="550"/>
    <n v="55"/>
    <n v="495"/>
    <n v="330"/>
    <n v="165"/>
    <n v="0.33333333333333331"/>
    <s v="Healthy"/>
    <s v="Safe"/>
    <n v="0.4"/>
    <s v="Safe"/>
    <n v="220"/>
    <n v="0.4"/>
  </r>
  <r>
    <s v="ORD-11245"/>
    <x v="151"/>
    <s v="P013"/>
    <x v="11"/>
    <s v="Personal Care"/>
    <s v="Skin Care"/>
    <s v="GlowPlus"/>
    <s v="B04"/>
    <x v="5"/>
    <s v="Lagos"/>
    <x v="4"/>
    <s v="Corporate"/>
    <s v="Transfer"/>
    <n v="2"/>
    <n v="3500"/>
    <n v="5200"/>
    <n v="0"/>
    <x v="11"/>
    <n v="13"/>
    <n v="10400"/>
    <n v="0"/>
    <n v="10400"/>
    <n v="7000"/>
    <n v="3400"/>
    <n v="0.32692307692307693"/>
    <s v="Healthy"/>
    <s v="Safe"/>
    <n v="0.32692307692307693"/>
    <s v="Safe"/>
    <n v="1700"/>
    <n v="0.32692307692307693"/>
  </r>
  <r>
    <s v="ORD-11246"/>
    <x v="86"/>
    <s v="P008"/>
    <x v="4"/>
    <s v="Beverages"/>
    <s v="Soft Drinks"/>
    <s v="Sparkle"/>
    <s v="B02"/>
    <x v="4"/>
    <s v="Abuja"/>
    <x v="2"/>
    <s v="Walk-in"/>
    <s v="Transfer"/>
    <n v="3"/>
    <n v="330"/>
    <n v="550"/>
    <n v="0.1"/>
    <x v="3"/>
    <n v="13"/>
    <n v="1650"/>
    <n v="165"/>
    <n v="1485"/>
    <n v="990"/>
    <n v="495"/>
    <n v="0.33333333333333331"/>
    <s v="Healthy"/>
    <s v="Safe"/>
    <n v="0.4"/>
    <s v="Safe"/>
    <n v="220"/>
    <n v="0.4"/>
  </r>
  <r>
    <s v="ORD-11247"/>
    <x v="241"/>
    <s v="P015"/>
    <x v="8"/>
    <s v="Personal Care"/>
    <s v="Bath"/>
    <s v="SilkyTouch"/>
    <s v="B08"/>
    <x v="7"/>
    <s v="Kwara"/>
    <x v="2"/>
    <s v="Walk-in"/>
    <s v="POS"/>
    <n v="2"/>
    <n v="600"/>
    <n v="950"/>
    <n v="0.05"/>
    <x v="6"/>
    <n v="2"/>
    <n v="1900"/>
    <n v="95"/>
    <n v="1805"/>
    <n v="1200"/>
    <n v="605"/>
    <n v="0.33518005540166207"/>
    <s v="Healthy"/>
    <s v="Safe"/>
    <n v="0.36842105263157893"/>
    <s v="Safe"/>
    <n v="350"/>
    <n v="0.36842105263157893"/>
  </r>
  <r>
    <s v="ORD-11248"/>
    <x v="104"/>
    <s v="P024"/>
    <x v="19"/>
    <s v="Office Supplies"/>
    <s v="Accessories"/>
    <s v="ErgoDesk"/>
    <s v="B04"/>
    <x v="5"/>
    <s v="Lagos"/>
    <x v="4"/>
    <s v="Member"/>
    <s v="POS"/>
    <n v="1"/>
    <n v="1700"/>
    <n v="2800"/>
    <n v="0.05"/>
    <x v="14"/>
    <n v="9"/>
    <n v="2800"/>
    <n v="140"/>
    <n v="2660"/>
    <n v="1700"/>
    <n v="960"/>
    <n v="0.36090225563909772"/>
    <s v="Overstocked"/>
    <s v="Safe"/>
    <n v="0.39285714285714285"/>
    <s v="Safe"/>
    <n v="1100"/>
    <n v="0.39285714285714285"/>
  </r>
  <r>
    <s v="ORD-11249"/>
    <x v="348"/>
    <s v="P007"/>
    <x v="3"/>
    <s v="Beverages"/>
    <s v="Malt"/>
    <s v="Naija Malt"/>
    <s v="B04"/>
    <x v="5"/>
    <s v="Lagos"/>
    <x v="4"/>
    <s v="Walk-in"/>
    <s v="POS"/>
    <n v="2"/>
    <n v="550"/>
    <n v="850"/>
    <n v="0.05"/>
    <x v="0"/>
    <n v="13"/>
    <n v="1700"/>
    <n v="85"/>
    <n v="1615"/>
    <n v="1100"/>
    <n v="515"/>
    <n v="0.31888544891640869"/>
    <s v="Healthy"/>
    <s v="Safe"/>
    <n v="0.35294117647058826"/>
    <s v="Safe"/>
    <n v="300"/>
    <n v="0.35294117647058826"/>
  </r>
  <r>
    <s v="ORD-11250"/>
    <x v="136"/>
    <s v="P009"/>
    <x v="13"/>
    <s v="Household"/>
    <s v="Cleaning"/>
    <s v="BrightWash"/>
    <s v="B03"/>
    <x v="6"/>
    <s v="Lagos"/>
    <x v="4"/>
    <s v="Walk-in"/>
    <s v="POS"/>
    <n v="5"/>
    <n v="2400"/>
    <n v="3400"/>
    <n v="0.05"/>
    <x v="10"/>
    <n v="3"/>
    <n v="17000"/>
    <n v="850"/>
    <n v="16150"/>
    <n v="12000"/>
    <n v="4150"/>
    <n v="0.25696594427244585"/>
    <s v="Healthy"/>
    <s v="Safe"/>
    <n v="0.29411764705882354"/>
    <s v="Safe"/>
    <n v="1000"/>
    <n v="0.29411764705882354"/>
  </r>
  <r>
    <s v="ORD-11251"/>
    <x v="30"/>
    <s v="P007"/>
    <x v="3"/>
    <s v="Beverages"/>
    <s v="Malt"/>
    <s v="Naija Malt"/>
    <s v="B01"/>
    <x v="2"/>
    <s v="Abuja"/>
    <x v="2"/>
    <s v="Member"/>
    <s v="POS"/>
    <n v="5"/>
    <n v="550"/>
    <n v="850"/>
    <n v="0.1"/>
    <x v="3"/>
    <n v="7"/>
    <n v="4250"/>
    <n v="425"/>
    <n v="3825"/>
    <n v="2750"/>
    <n v="1075"/>
    <n v="0.28104575163398693"/>
    <s v="Healthy"/>
    <s v="Safe"/>
    <n v="0.35294117647058826"/>
    <s v="Safe"/>
    <n v="300"/>
    <n v="0.35294117647058826"/>
  </r>
  <r>
    <s v="ORD-11252"/>
    <x v="300"/>
    <s v="P023"/>
    <x v="6"/>
    <s v="Office Supplies"/>
    <s v="Stationery"/>
    <s v="StudyPro"/>
    <s v="B03"/>
    <x v="6"/>
    <s v="Lagos"/>
    <x v="4"/>
    <s v="Walk-in"/>
    <s v="POS"/>
    <n v="3"/>
    <n v="2800"/>
    <n v="4200"/>
    <n v="0.1"/>
    <x v="15"/>
    <n v="10"/>
    <n v="12600"/>
    <n v="1260"/>
    <n v="11340"/>
    <n v="8400"/>
    <n v="2940"/>
    <n v="0.25925925925925924"/>
    <s v="Understocked"/>
    <s v="Safe"/>
    <n v="0.33333333333333331"/>
    <s v="Safe"/>
    <n v="1400"/>
    <n v="0.33333333333333331"/>
  </r>
  <r>
    <s v="ORD-11253"/>
    <x v="78"/>
    <s v="P022"/>
    <x v="17"/>
    <s v="Office Supplies"/>
    <s v="Writing"/>
    <s v="WriteWell"/>
    <s v="B03"/>
    <x v="6"/>
    <s v="Lagos"/>
    <x v="4"/>
    <s v="Walk-in"/>
    <s v="Cash"/>
    <n v="2"/>
    <n v="1300"/>
    <n v="2100"/>
    <n v="0.1"/>
    <x v="14"/>
    <n v="1"/>
    <n v="4200"/>
    <n v="420"/>
    <n v="3780"/>
    <n v="2600"/>
    <n v="1180"/>
    <n v="0.31216931216931215"/>
    <s v="Understocked"/>
    <s v="Safe"/>
    <n v="0.38095238095238093"/>
    <s v="Safe"/>
    <n v="800"/>
    <n v="0.38095238095238093"/>
  </r>
  <r>
    <s v="ORD-11254"/>
    <x v="192"/>
    <s v="P007"/>
    <x v="3"/>
    <s v="Beverages"/>
    <s v="Malt"/>
    <s v="Naija Malt"/>
    <s v="B04"/>
    <x v="5"/>
    <s v="Lagos"/>
    <x v="4"/>
    <s v="Walk-in"/>
    <s v="POS"/>
    <n v="1"/>
    <n v="550"/>
    <n v="850"/>
    <n v="0.15"/>
    <x v="3"/>
    <n v="3"/>
    <n v="850"/>
    <n v="127.5"/>
    <n v="722.5"/>
    <n v="550"/>
    <n v="172.5"/>
    <n v="0.23875432525951557"/>
    <s v="Healthy"/>
    <s v="Safe"/>
    <n v="0.35294117647058826"/>
    <s v="Safe"/>
    <n v="300"/>
    <n v="0.35294117647058826"/>
  </r>
  <r>
    <s v="ORD-11255"/>
    <x v="177"/>
    <s v="P022"/>
    <x v="17"/>
    <s v="Office Supplies"/>
    <s v="Writing"/>
    <s v="WriteWell"/>
    <s v="B03"/>
    <x v="6"/>
    <s v="Lagos"/>
    <x v="4"/>
    <s v="Walk-in"/>
    <s v="Transfer"/>
    <n v="2"/>
    <n v="1300"/>
    <n v="2100"/>
    <n v="0.15"/>
    <x v="15"/>
    <n v="11"/>
    <n v="4200"/>
    <n v="630"/>
    <n v="3570"/>
    <n v="2600"/>
    <n v="970"/>
    <n v="0.27170868347338933"/>
    <s v="Understocked"/>
    <s v="Safe"/>
    <n v="0.38095238095238093"/>
    <s v="Safe"/>
    <n v="800"/>
    <n v="0.38095238095238093"/>
  </r>
  <r>
    <s v="ORD-11256"/>
    <x v="140"/>
    <s v="P018"/>
    <x v="16"/>
    <s v="Electronics"/>
    <s v="Mobile Accessories"/>
    <s v="VoltSafe"/>
    <s v="B08"/>
    <x v="7"/>
    <s v="Kwara"/>
    <x v="2"/>
    <s v="Member"/>
    <s v="Transfer"/>
    <n v="3"/>
    <n v="18000"/>
    <n v="24500"/>
    <n v="0"/>
    <x v="4"/>
    <n v="4"/>
    <n v="73500"/>
    <n v="0"/>
    <n v="73500"/>
    <n v="54000"/>
    <n v="19500"/>
    <n v="0.26530612244897961"/>
    <s v="Understocked"/>
    <s v="Safe"/>
    <n v="0.26530612244897961"/>
    <s v="Safe"/>
    <n v="6500"/>
    <n v="0.26530612244897961"/>
  </r>
  <r>
    <s v="ORD-11257"/>
    <x v="201"/>
    <s v="P001"/>
    <x v="14"/>
    <s v="Food"/>
    <s v="Grains"/>
    <s v="Golden Harvest"/>
    <s v="B01"/>
    <x v="2"/>
    <s v="Abuja"/>
    <x v="2"/>
    <s v="Corporate"/>
    <s v="POS"/>
    <n v="4"/>
    <n v="14500"/>
    <n v="17500"/>
    <n v="0.15"/>
    <x v="9"/>
    <n v="13"/>
    <n v="70000"/>
    <n v="10500"/>
    <n v="59500"/>
    <n v="58000"/>
    <n v="1500"/>
    <n v="2.5210084033613446E-2"/>
    <s v="Understocked"/>
    <s v="Safe"/>
    <n v="0.17142857142857143"/>
    <s v="Safe"/>
    <n v="3000"/>
    <n v="0.17142857142857143"/>
  </r>
  <r>
    <s v="ORD-11258"/>
    <x v="131"/>
    <s v="P020"/>
    <x v="5"/>
    <s v="Electronics"/>
    <s v="Lighting"/>
    <s v="Luma"/>
    <s v="B04"/>
    <x v="5"/>
    <s v="Lagos"/>
    <x v="4"/>
    <s v="Corporate"/>
    <s v="POS"/>
    <n v="4"/>
    <n v="1500"/>
    <n v="2500"/>
    <n v="0.1"/>
    <x v="13"/>
    <n v="8"/>
    <n v="10000"/>
    <n v="1000"/>
    <n v="9000"/>
    <n v="6000"/>
    <n v="3000"/>
    <n v="0.33333333333333331"/>
    <s v="Healthy"/>
    <s v="Safe"/>
    <n v="0.4"/>
    <s v="Safe"/>
    <n v="1000"/>
    <n v="0.4"/>
  </r>
  <r>
    <s v="ORD-11259"/>
    <x v="173"/>
    <s v="P006"/>
    <x v="0"/>
    <s v="Beverages"/>
    <s v="Water"/>
    <s v="AquaPure"/>
    <s v="B03"/>
    <x v="6"/>
    <s v="Lagos"/>
    <x v="4"/>
    <s v="Walk-in"/>
    <s v="POS"/>
    <n v="5"/>
    <n v="230"/>
    <n v="400"/>
    <n v="0.1"/>
    <x v="0"/>
    <n v="11"/>
    <n v="2000"/>
    <n v="200"/>
    <n v="1800"/>
    <n v="1150"/>
    <n v="650"/>
    <n v="0.3611111111111111"/>
    <s v="Understocked"/>
    <s v="Safe"/>
    <n v="0.42499999999999999"/>
    <s v="Safe"/>
    <n v="170"/>
    <n v="0.42499999999999999"/>
  </r>
  <r>
    <s v="ORD-11260"/>
    <x v="63"/>
    <s v="P018"/>
    <x v="16"/>
    <s v="Electronics"/>
    <s v="Mobile Accessories"/>
    <s v="VoltSafe"/>
    <s v="B01"/>
    <x v="2"/>
    <s v="Abuja"/>
    <x v="2"/>
    <s v="Walk-in"/>
    <s v="POS"/>
    <n v="5"/>
    <n v="18000"/>
    <n v="24500"/>
    <n v="0.1"/>
    <x v="12"/>
    <n v="3"/>
    <n v="122500"/>
    <n v="12250"/>
    <n v="110250"/>
    <n v="90000"/>
    <n v="20250"/>
    <n v="0.18367346938775511"/>
    <s v="Understocked"/>
    <s v="Safe"/>
    <n v="0.26530612244897961"/>
    <s v="Safe"/>
    <n v="6500"/>
    <n v="0.26530612244897961"/>
  </r>
  <r>
    <s v="ORD-11261"/>
    <x v="102"/>
    <s v="P006"/>
    <x v="0"/>
    <s v="Beverages"/>
    <s v="Water"/>
    <s v="AquaPure"/>
    <s v="B07"/>
    <x v="3"/>
    <s v="Enugu"/>
    <x v="3"/>
    <s v="Walk-in"/>
    <s v="POS"/>
    <n v="5"/>
    <n v="230"/>
    <n v="400"/>
    <n v="0"/>
    <x v="3"/>
    <n v="8"/>
    <n v="2000"/>
    <n v="0"/>
    <n v="2000"/>
    <n v="1150"/>
    <n v="850"/>
    <n v="0.42499999999999999"/>
    <s v="Understocked"/>
    <s v="Safe"/>
    <n v="0.42499999999999999"/>
    <s v="Safe"/>
    <n v="170"/>
    <n v="0.42499999999999999"/>
  </r>
  <r>
    <s v="ORD-11262"/>
    <x v="60"/>
    <s v="P015"/>
    <x v="8"/>
    <s v="Personal Care"/>
    <s v="Bath"/>
    <s v="SilkyTouch"/>
    <s v="B06"/>
    <x v="1"/>
    <s v="Rivers"/>
    <x v="1"/>
    <s v="Walk-in"/>
    <s v="Transfer"/>
    <n v="2"/>
    <n v="600"/>
    <n v="950"/>
    <n v="0.1"/>
    <x v="11"/>
    <n v="10"/>
    <n v="1900"/>
    <n v="190"/>
    <n v="1710"/>
    <n v="1200"/>
    <n v="510"/>
    <n v="0.2982456140350877"/>
    <s v="Healthy"/>
    <s v="Safe"/>
    <n v="0.36842105263157893"/>
    <s v="Safe"/>
    <n v="350"/>
    <n v="0.36842105263157893"/>
  </r>
  <r>
    <s v="ORD-11263"/>
    <x v="77"/>
    <s v="P016"/>
    <x v="7"/>
    <s v="Personal Care"/>
    <s v="Fragrance"/>
    <s v="RoyalScent"/>
    <s v="B02"/>
    <x v="4"/>
    <s v="Abuja"/>
    <x v="2"/>
    <s v="Walk-in"/>
    <s v="Transfer"/>
    <n v="2"/>
    <n v="8500"/>
    <n v="12500"/>
    <n v="0.05"/>
    <x v="11"/>
    <n v="5"/>
    <n v="25000"/>
    <n v="1250"/>
    <n v="23750"/>
    <n v="17000"/>
    <n v="6750"/>
    <n v="0.28421052631578947"/>
    <s v="Overstocked"/>
    <s v="Safe"/>
    <n v="0.32"/>
    <s v="Safe"/>
    <n v="4000"/>
    <n v="0.32"/>
  </r>
  <r>
    <s v="ORD-11264"/>
    <x v="31"/>
    <s v="P010"/>
    <x v="22"/>
    <s v="Household"/>
    <s v="Paper Products"/>
    <s v="SoftCare"/>
    <s v="B03"/>
    <x v="6"/>
    <s v="Lagos"/>
    <x v="4"/>
    <s v="Walk-in"/>
    <s v="POS"/>
    <n v="4"/>
    <n v="3200"/>
    <n v="4500"/>
    <n v="0.1"/>
    <x v="7"/>
    <n v="3"/>
    <n v="18000"/>
    <n v="1800"/>
    <n v="16200"/>
    <n v="12800"/>
    <n v="3400"/>
    <n v="0.20987654320987653"/>
    <s v="Healthy"/>
    <s v="Safe"/>
    <n v="0.28888888888888886"/>
    <s v="Safe"/>
    <n v="1300"/>
    <n v="0.28888888888888886"/>
  </r>
  <r>
    <s v="ORD-11265"/>
    <x v="190"/>
    <s v="P005"/>
    <x v="2"/>
    <s v="Food"/>
    <s v="Snacks"/>
    <s v="CrispyBite"/>
    <s v="B02"/>
    <x v="4"/>
    <s v="Abuja"/>
    <x v="2"/>
    <s v="Walk-in"/>
    <s v="Cash"/>
    <n v="5"/>
    <n v="850"/>
    <n v="1300"/>
    <n v="0.1"/>
    <x v="8"/>
    <n v="12"/>
    <n v="6500"/>
    <n v="650"/>
    <n v="5850"/>
    <n v="4250"/>
    <n v="1600"/>
    <n v="0.27350427350427353"/>
    <s v="Understocked"/>
    <s v="Safe"/>
    <n v="0.34615384615384615"/>
    <s v="Safe"/>
    <n v="450"/>
    <n v="0.34615384615384615"/>
  </r>
  <r>
    <s v="ORD-11266"/>
    <x v="216"/>
    <s v="P007"/>
    <x v="3"/>
    <s v="Beverages"/>
    <s v="Malt"/>
    <s v="Naija Malt"/>
    <s v="B05"/>
    <x v="0"/>
    <s v="Kano"/>
    <x v="0"/>
    <s v="Walk-in"/>
    <s v="POS"/>
    <n v="1"/>
    <n v="550"/>
    <n v="850"/>
    <n v="0.05"/>
    <x v="2"/>
    <n v="9"/>
    <n v="850"/>
    <n v="42.5"/>
    <n v="807.5"/>
    <n v="550"/>
    <n v="257.5"/>
    <n v="0.31888544891640869"/>
    <s v="Healthy"/>
    <s v="Safe"/>
    <n v="0.35294117647058826"/>
    <s v="Safe"/>
    <n v="300"/>
    <n v="0.35294117647058826"/>
  </r>
  <r>
    <s v="ORD-11267"/>
    <x v="43"/>
    <s v="P014"/>
    <x v="15"/>
    <s v="Personal Care"/>
    <s v="Oral Care"/>
    <s v="FreshMint"/>
    <s v="B07"/>
    <x v="3"/>
    <s v="Enugu"/>
    <x v="3"/>
    <s v="Walk-in"/>
    <s v="POS"/>
    <n v="3"/>
    <n v="1200"/>
    <n v="1900"/>
    <n v="0.05"/>
    <x v="6"/>
    <n v="6"/>
    <n v="5700"/>
    <n v="285"/>
    <n v="5415"/>
    <n v="3600"/>
    <n v="1815"/>
    <n v="0.33518005540166207"/>
    <s v="Healthy"/>
    <s v="Safe"/>
    <n v="0.36842105263157893"/>
    <s v="Safe"/>
    <n v="700"/>
    <n v="0.36842105263157893"/>
  </r>
  <r>
    <s v="ORD-11268"/>
    <x v="160"/>
    <s v="P005"/>
    <x v="2"/>
    <s v="Food"/>
    <s v="Snacks"/>
    <s v="CrispyBite"/>
    <s v="B03"/>
    <x v="6"/>
    <s v="Lagos"/>
    <x v="4"/>
    <s v="Member"/>
    <s v="Transfer"/>
    <n v="5"/>
    <n v="850"/>
    <n v="1300"/>
    <n v="0.15"/>
    <x v="8"/>
    <n v="10"/>
    <n v="6500"/>
    <n v="975"/>
    <n v="5525"/>
    <n v="4250"/>
    <n v="1275"/>
    <n v="0.23076923076923078"/>
    <s v="Understocked"/>
    <s v="Safe"/>
    <n v="0.34615384615384615"/>
    <s v="Safe"/>
    <n v="450"/>
    <n v="0.34615384615384615"/>
  </r>
  <r>
    <s v="ORD-11269"/>
    <x v="238"/>
    <s v="P019"/>
    <x v="18"/>
    <s v="Electronics"/>
    <s v="Audio"/>
    <s v="SoundBeat"/>
    <s v="B07"/>
    <x v="3"/>
    <s v="Enugu"/>
    <x v="3"/>
    <s v="Walk-in"/>
    <s v="Card"/>
    <n v="5"/>
    <n v="12500"/>
    <n v="18500"/>
    <n v="0.05"/>
    <x v="12"/>
    <n v="1"/>
    <n v="92500"/>
    <n v="4625"/>
    <n v="87875"/>
    <n v="62500"/>
    <n v="25375"/>
    <n v="0.28876244665718348"/>
    <s v="Understocked"/>
    <s v="Safe"/>
    <n v="0.32432432432432434"/>
    <s v="Safe"/>
    <n v="6000"/>
    <n v="0.32432432432432434"/>
  </r>
  <r>
    <s v="ORD-11270"/>
    <x v="15"/>
    <s v="P022"/>
    <x v="17"/>
    <s v="Office Supplies"/>
    <s v="Writing"/>
    <s v="WriteWell"/>
    <s v="B04"/>
    <x v="5"/>
    <s v="Lagos"/>
    <x v="4"/>
    <s v="Member"/>
    <s v="POS"/>
    <n v="2"/>
    <n v="1300"/>
    <n v="2100"/>
    <n v="0.2"/>
    <x v="15"/>
    <n v="13"/>
    <n v="4200"/>
    <n v="840"/>
    <n v="3360"/>
    <n v="2600"/>
    <n v="760"/>
    <n v="0.22619047619047619"/>
    <s v="Understocked"/>
    <s v="Safe"/>
    <n v="0.38095238095238093"/>
    <s v="Safe"/>
    <n v="800"/>
    <n v="0.38095238095238093"/>
  </r>
  <r>
    <s v="ORD-11271"/>
    <x v="248"/>
    <s v="P009"/>
    <x v="13"/>
    <s v="Household"/>
    <s v="Cleaning"/>
    <s v="BrightWash"/>
    <s v="B02"/>
    <x v="4"/>
    <s v="Abuja"/>
    <x v="2"/>
    <s v="Corporate"/>
    <s v="POS"/>
    <n v="5"/>
    <n v="2400"/>
    <n v="3400"/>
    <n v="0"/>
    <x v="7"/>
    <n v="12"/>
    <n v="17000"/>
    <n v="0"/>
    <n v="17000"/>
    <n v="12000"/>
    <n v="5000"/>
    <n v="0.29411764705882354"/>
    <s v="Healthy"/>
    <s v="Safe"/>
    <n v="0.29411764705882354"/>
    <s v="Safe"/>
    <n v="1000"/>
    <n v="0.29411764705882354"/>
  </r>
  <r>
    <s v="ORD-11272"/>
    <x v="30"/>
    <s v="P001"/>
    <x v="14"/>
    <s v="Food"/>
    <s v="Grains"/>
    <s v="Golden Harvest"/>
    <s v="B05"/>
    <x v="0"/>
    <s v="Kano"/>
    <x v="0"/>
    <s v="Walk-in"/>
    <s v="POS"/>
    <n v="3"/>
    <n v="14500"/>
    <n v="17500"/>
    <n v="0"/>
    <x v="9"/>
    <n v="3"/>
    <n v="52500"/>
    <n v="0"/>
    <n v="52500"/>
    <n v="43500"/>
    <n v="9000"/>
    <n v="0.17142857142857143"/>
    <s v="Understocked"/>
    <s v="Safe"/>
    <n v="0.17142857142857143"/>
    <s v="Safe"/>
    <n v="3000"/>
    <n v="0.17142857142857143"/>
  </r>
  <r>
    <s v="ORD-11273"/>
    <x v="349"/>
    <s v="P005"/>
    <x v="2"/>
    <s v="Food"/>
    <s v="Snacks"/>
    <s v="CrispyBite"/>
    <s v="B02"/>
    <x v="4"/>
    <s v="Abuja"/>
    <x v="2"/>
    <s v="Walk-in"/>
    <s v="POS"/>
    <n v="4"/>
    <n v="850"/>
    <n v="1300"/>
    <n v="0.05"/>
    <x v="9"/>
    <n v="6"/>
    <n v="5200"/>
    <n v="260"/>
    <n v="4940"/>
    <n v="3400"/>
    <n v="1540"/>
    <n v="0.31174089068825911"/>
    <s v="Understocked"/>
    <s v="Safe"/>
    <n v="0.34615384615384615"/>
    <s v="Safe"/>
    <n v="450"/>
    <n v="0.34615384615384615"/>
  </r>
  <r>
    <s v="ORD-11274"/>
    <x v="23"/>
    <s v="P005"/>
    <x v="2"/>
    <s v="Food"/>
    <s v="Snacks"/>
    <s v="CrispyBite"/>
    <s v="B01"/>
    <x v="2"/>
    <s v="Abuja"/>
    <x v="2"/>
    <s v="Walk-in"/>
    <s v="Card"/>
    <n v="1"/>
    <n v="850"/>
    <n v="1300"/>
    <n v="0"/>
    <x v="8"/>
    <n v="5"/>
    <n v="1300"/>
    <n v="0"/>
    <n v="1300"/>
    <n v="850"/>
    <n v="450"/>
    <n v="0.34615384615384615"/>
    <s v="Understocked"/>
    <s v="Safe"/>
    <n v="0.34615384615384615"/>
    <s v="Safe"/>
    <n v="450"/>
    <n v="0.34615384615384615"/>
  </r>
  <r>
    <s v="ORD-11275"/>
    <x v="263"/>
    <s v="P008"/>
    <x v="4"/>
    <s v="Beverages"/>
    <s v="Soft Drinks"/>
    <s v="Sparkle"/>
    <s v="B07"/>
    <x v="3"/>
    <s v="Enugu"/>
    <x v="3"/>
    <s v="Member"/>
    <s v="POS"/>
    <n v="4"/>
    <n v="330"/>
    <n v="550"/>
    <n v="0.05"/>
    <x v="0"/>
    <n v="10"/>
    <n v="2200"/>
    <n v="110"/>
    <n v="2090"/>
    <n v="1320"/>
    <n v="770"/>
    <n v="0.36842105263157893"/>
    <s v="Healthy"/>
    <s v="Safe"/>
    <n v="0.4"/>
    <s v="Safe"/>
    <n v="220"/>
    <n v="0.4"/>
  </r>
  <r>
    <s v="ORD-11276"/>
    <x v="346"/>
    <s v="P005"/>
    <x v="2"/>
    <s v="Food"/>
    <s v="Snacks"/>
    <s v="CrispyBite"/>
    <s v="B03"/>
    <x v="6"/>
    <s v="Lagos"/>
    <x v="4"/>
    <s v="Walk-in"/>
    <s v="Transfer"/>
    <n v="2"/>
    <n v="850"/>
    <n v="1300"/>
    <n v="0.1"/>
    <x v="8"/>
    <n v="11"/>
    <n v="2600"/>
    <n v="260"/>
    <n v="2340"/>
    <n v="1700"/>
    <n v="640"/>
    <n v="0.27350427350427353"/>
    <s v="Understocked"/>
    <s v="Safe"/>
    <n v="0.34615384615384615"/>
    <s v="Safe"/>
    <n v="450"/>
    <n v="0.34615384615384615"/>
  </r>
  <r>
    <s v="ORD-11277"/>
    <x v="258"/>
    <s v="P005"/>
    <x v="2"/>
    <s v="Food"/>
    <s v="Snacks"/>
    <s v="CrispyBite"/>
    <s v="B03"/>
    <x v="6"/>
    <s v="Lagos"/>
    <x v="4"/>
    <s v="Walk-in"/>
    <s v="POS"/>
    <n v="-2"/>
    <n v="850"/>
    <n v="1300"/>
    <n v="0.05"/>
    <x v="9"/>
    <n v="8"/>
    <n v="-2600"/>
    <n v="-130"/>
    <n v="-2470"/>
    <n v="-1700"/>
    <n v="-770"/>
    <n v="0.31174089068825911"/>
    <s v="Understocked"/>
    <s v="Discount loss"/>
    <n v="0.34615384615384615"/>
    <s v="Safe"/>
    <n v="450"/>
    <n v="0.34615384615384615"/>
  </r>
  <r>
    <s v="ORD-11278"/>
    <x v="169"/>
    <s v="P008"/>
    <x v="4"/>
    <s v="Beverages"/>
    <s v="Soft Drinks"/>
    <s v="Sparkle"/>
    <s v="B02"/>
    <x v="4"/>
    <s v="Abuja"/>
    <x v="2"/>
    <s v="Walk-in"/>
    <s v="POS"/>
    <n v="4"/>
    <n v="330"/>
    <n v="550"/>
    <n v="0.1"/>
    <x v="2"/>
    <n v="11"/>
    <n v="2200"/>
    <n v="220"/>
    <n v="1980"/>
    <n v="1320"/>
    <n v="660"/>
    <n v="0.33333333333333331"/>
    <s v="Healthy"/>
    <s v="Safe"/>
    <n v="0.4"/>
    <s v="Safe"/>
    <n v="220"/>
    <n v="0.4"/>
  </r>
  <r>
    <s v="ORD-11279"/>
    <x v="350"/>
    <s v="P004"/>
    <x v="1"/>
    <s v="Beverages"/>
    <s v="Dairy"/>
    <s v="FreshDay"/>
    <s v="B01"/>
    <x v="2"/>
    <s v="Abuja"/>
    <x v="2"/>
    <s v="Walk-in"/>
    <s v="POS"/>
    <n v="2"/>
    <n v="1650"/>
    <n v="2200"/>
    <n v="0.05"/>
    <x v="2"/>
    <n v="2"/>
    <n v="4400"/>
    <n v="220"/>
    <n v="4180"/>
    <n v="3300"/>
    <n v="880"/>
    <n v="0.21052631578947367"/>
    <s v="Understocked"/>
    <s v="Safe"/>
    <n v="0.25"/>
    <s v="Safe"/>
    <n v="550"/>
    <n v="0.25"/>
  </r>
  <r>
    <s v="ORD-11280"/>
    <x v="189"/>
    <s v="P005"/>
    <x v="2"/>
    <s v="Food"/>
    <s v="Snacks"/>
    <s v="CrispyBite"/>
    <s v="B05"/>
    <x v="0"/>
    <s v="Kano"/>
    <x v="0"/>
    <s v="Walk-in"/>
    <s v="Cash"/>
    <n v="2"/>
    <n v="850"/>
    <n v="1300"/>
    <n v="0"/>
    <x v="9"/>
    <n v="10"/>
    <n v="2600"/>
    <n v="0"/>
    <n v="2600"/>
    <n v="1700"/>
    <n v="900"/>
    <n v="0.34615384615384615"/>
    <s v="Understocked"/>
    <s v="Safe"/>
    <n v="0.34615384615384615"/>
    <s v="Safe"/>
    <n v="450"/>
    <n v="0.34615384615384615"/>
  </r>
  <r>
    <s v="ORD-11281"/>
    <x v="256"/>
    <s v="P023"/>
    <x v="6"/>
    <s v="Office Supplies"/>
    <s v="Stationery"/>
    <s v="StudyPro"/>
    <s v="B08"/>
    <x v="7"/>
    <s v="Kwara"/>
    <x v="2"/>
    <s v="Member"/>
    <s v="Card"/>
    <n v="4"/>
    <n v="2800"/>
    <n v="4200"/>
    <n v="0.15"/>
    <x v="14"/>
    <n v="8"/>
    <n v="16800"/>
    <n v="2520"/>
    <n v="14280"/>
    <n v="11200"/>
    <n v="3080"/>
    <n v="0.21568627450980393"/>
    <s v="Understocked"/>
    <s v="Safe"/>
    <n v="0.33333333333333331"/>
    <s v="Safe"/>
    <n v="1400"/>
    <n v="0.33333333333333331"/>
  </r>
  <r>
    <s v="ORD-11282"/>
    <x v="202"/>
    <s v="P007"/>
    <x v="3"/>
    <s v="Beverages"/>
    <s v="Malt"/>
    <s v="Naija Malt"/>
    <s v="B03"/>
    <x v="6"/>
    <s v="Lagos"/>
    <x v="4"/>
    <s v="Walk-in"/>
    <s v="Card"/>
    <n v="4"/>
    <n v="550"/>
    <n v="850"/>
    <n v="0.15"/>
    <x v="0"/>
    <n v="7"/>
    <n v="3400"/>
    <n v="510"/>
    <n v="2890"/>
    <n v="2200"/>
    <n v="690"/>
    <n v="0.23875432525951557"/>
    <s v="Healthy"/>
    <s v="Safe"/>
    <n v="0.35294117647058826"/>
    <s v="Safe"/>
    <n v="300"/>
    <n v="0.35294117647058826"/>
  </r>
  <r>
    <s v="ORD-11283"/>
    <x v="291"/>
    <s v="P016"/>
    <x v="7"/>
    <s v="Personal Care"/>
    <s v="Fragrance"/>
    <s v="RoyalScent"/>
    <s v="B03"/>
    <x v="6"/>
    <s v="Lagos"/>
    <x v="4"/>
    <s v="Member"/>
    <s v="POS"/>
    <n v="8"/>
    <n v="8500"/>
    <n v="12500"/>
    <n v="0.1"/>
    <x v="11"/>
    <n v="1"/>
    <n v="100000"/>
    <n v="10000"/>
    <n v="90000"/>
    <n v="68000"/>
    <n v="22000"/>
    <n v="0.24444444444444444"/>
    <s v="Overstocked"/>
    <s v="Safe"/>
    <n v="0.32"/>
    <s v="Safe"/>
    <n v="4000"/>
    <n v="0.32"/>
  </r>
  <r>
    <s v="ORD-11284"/>
    <x v="275"/>
    <s v="P005"/>
    <x v="2"/>
    <s v="Food"/>
    <s v="Snacks"/>
    <s v="CrispyBite"/>
    <s v="B06"/>
    <x v="1"/>
    <s v="Rivers"/>
    <x v="1"/>
    <s v="Walk-in"/>
    <s v="POS"/>
    <n v="2"/>
    <n v="850"/>
    <n v="1300"/>
    <n v="0.05"/>
    <x v="8"/>
    <n v="9"/>
    <n v="2600"/>
    <n v="130"/>
    <n v="2470"/>
    <n v="1700"/>
    <n v="770"/>
    <n v="0.31174089068825911"/>
    <s v="Understocked"/>
    <s v="Safe"/>
    <n v="0.34615384615384615"/>
    <s v="Safe"/>
    <n v="450"/>
    <n v="0.34615384615384615"/>
  </r>
  <r>
    <s v="ORD-11285"/>
    <x v="11"/>
    <s v="P018"/>
    <x v="16"/>
    <s v="Electronics"/>
    <s v="Mobile Accessories"/>
    <s v="VoltSafe"/>
    <s v="B05"/>
    <x v="0"/>
    <s v="Kano"/>
    <x v="0"/>
    <s v="Walk-in"/>
    <s v="Cash"/>
    <n v="2"/>
    <n v="18000"/>
    <n v="24500"/>
    <n v="0"/>
    <x v="12"/>
    <n v="8"/>
    <n v="49000"/>
    <n v="0"/>
    <n v="49000"/>
    <n v="36000"/>
    <n v="13000"/>
    <n v="0.26530612244897961"/>
    <s v="Understocked"/>
    <s v="Safe"/>
    <n v="0.26530612244897961"/>
    <s v="Safe"/>
    <n v="6500"/>
    <n v="0.26530612244897961"/>
  </r>
  <r>
    <s v="ORD-11286"/>
    <x v="351"/>
    <s v="P008"/>
    <x v="4"/>
    <s v="Beverages"/>
    <s v="Soft Drinks"/>
    <s v="Sparkle"/>
    <s v="B08"/>
    <x v="7"/>
    <s v="Kwara"/>
    <x v="2"/>
    <s v="Member"/>
    <s v="POS"/>
    <n v="1"/>
    <n v="330"/>
    <n v="550"/>
    <n v="0.1"/>
    <x v="2"/>
    <n v="4"/>
    <n v="550"/>
    <n v="55"/>
    <n v="495"/>
    <n v="330"/>
    <n v="165"/>
    <n v="0.33333333333333331"/>
    <s v="Healthy"/>
    <s v="Safe"/>
    <n v="0.4"/>
    <s v="Safe"/>
    <n v="220"/>
    <n v="0.4"/>
  </r>
  <r>
    <s v="ORD-11287"/>
    <x v="48"/>
    <s v="P011"/>
    <x v="9"/>
    <s v="Household"/>
    <s v="Cleaning"/>
    <s v="CleanPro"/>
    <s v="B01"/>
    <x v="2"/>
    <s v="Abuja"/>
    <x v="2"/>
    <s v="Walk-in"/>
    <s v="Transfer"/>
    <n v="1"/>
    <n v="2800"/>
    <n v="3900"/>
    <n v="0.05"/>
    <x v="10"/>
    <n v="2"/>
    <n v="3900"/>
    <n v="195"/>
    <n v="3705"/>
    <n v="2800"/>
    <n v="905"/>
    <n v="0.24426450742240216"/>
    <s v="Healthy"/>
    <s v="Safe"/>
    <n v="0.28205128205128205"/>
    <s v="Safe"/>
    <n v="1100"/>
    <n v="0.28205128205128205"/>
  </r>
  <r>
    <s v="ORD-11288"/>
    <x v="23"/>
    <s v="P006"/>
    <x v="0"/>
    <s v="Beverages"/>
    <s v="Water"/>
    <s v="AquaPure"/>
    <s v="B06"/>
    <x v="1"/>
    <s v="Rivers"/>
    <x v="1"/>
    <s v="Walk-in"/>
    <s v="Card"/>
    <n v="2"/>
    <n v="230"/>
    <n v="400"/>
    <n v="0"/>
    <x v="3"/>
    <n v="9"/>
    <n v="800"/>
    <n v="0"/>
    <n v="800"/>
    <n v="460"/>
    <n v="340"/>
    <n v="0.42499999999999999"/>
    <s v="Understocked"/>
    <s v="Safe"/>
    <n v="0.42499999999999999"/>
    <s v="Safe"/>
    <n v="170"/>
    <n v="0.42499999999999999"/>
  </r>
  <r>
    <s v="ORD-11289"/>
    <x v="203"/>
    <s v="P006"/>
    <x v="0"/>
    <s v="Beverages"/>
    <s v="Water"/>
    <s v="AquaPure"/>
    <s v="B04"/>
    <x v="5"/>
    <s v="Lagos"/>
    <x v="4"/>
    <s v="Member"/>
    <s v="POS"/>
    <n v="4"/>
    <n v="230"/>
    <n v="400"/>
    <n v="0.1"/>
    <x v="3"/>
    <n v="13"/>
    <n v="1600"/>
    <n v="160"/>
    <n v="1440"/>
    <n v="920"/>
    <n v="520"/>
    <n v="0.3611111111111111"/>
    <s v="Understocked"/>
    <s v="Safe"/>
    <n v="0.42499999999999999"/>
    <s v="Safe"/>
    <n v="170"/>
    <n v="0.42499999999999999"/>
  </r>
  <r>
    <s v="ORD-11290"/>
    <x v="326"/>
    <s v="P015"/>
    <x v="8"/>
    <s v="Personal Care"/>
    <s v="Bath"/>
    <s v="SilkyTouch"/>
    <s v="B03"/>
    <x v="6"/>
    <s v="Lagos"/>
    <x v="4"/>
    <s v="Walk-in"/>
    <s v="POS"/>
    <n v="5"/>
    <n v="600"/>
    <n v="950"/>
    <n v="0.15"/>
    <x v="6"/>
    <n v="6"/>
    <n v="4750"/>
    <n v="712.5"/>
    <n v="4037.5"/>
    <n v="3000"/>
    <n v="1037.5"/>
    <n v="0.25696594427244585"/>
    <s v="Healthy"/>
    <s v="Safe"/>
    <n v="0.36842105263157893"/>
    <s v="Safe"/>
    <n v="350"/>
    <n v="0.36842105263157893"/>
  </r>
  <r>
    <s v="ORD-11291"/>
    <x v="194"/>
    <s v="P007"/>
    <x v="3"/>
    <s v="Beverages"/>
    <s v="Malt"/>
    <s v="Naija Malt"/>
    <s v="B02"/>
    <x v="4"/>
    <s v="Abuja"/>
    <x v="2"/>
    <s v="Member"/>
    <s v="POS"/>
    <n v="10"/>
    <n v="550"/>
    <n v="850"/>
    <n v="0"/>
    <x v="3"/>
    <n v="2"/>
    <n v="8500"/>
    <n v="0"/>
    <n v="8500"/>
    <n v="5500"/>
    <n v="3000"/>
    <n v="0.35294117647058826"/>
    <s v="Healthy"/>
    <s v="Safe"/>
    <n v="0.35294117647058826"/>
    <s v="Safe"/>
    <n v="300"/>
    <n v="0.35294117647058826"/>
  </r>
  <r>
    <s v="ORD-11292"/>
    <x v="96"/>
    <s v="P007"/>
    <x v="3"/>
    <s v="Beverages"/>
    <s v="Malt"/>
    <s v="Naija Malt"/>
    <s v="B04"/>
    <x v="5"/>
    <s v="Lagos"/>
    <x v="4"/>
    <s v="Member"/>
    <s v="Transfer"/>
    <n v="1"/>
    <n v="550"/>
    <n v="850"/>
    <n v="0.05"/>
    <x v="3"/>
    <n v="10"/>
    <n v="850"/>
    <n v="42.5"/>
    <n v="807.5"/>
    <n v="550"/>
    <n v="257.5"/>
    <n v="0.31888544891640869"/>
    <s v="Healthy"/>
    <s v="Safe"/>
    <n v="0.35294117647058826"/>
    <s v="Safe"/>
    <n v="300"/>
    <n v="0.35294117647058826"/>
  </r>
  <r>
    <s v="ORD-11293"/>
    <x v="260"/>
    <s v="P023"/>
    <x v="6"/>
    <s v="Office Supplies"/>
    <s v="Stationery"/>
    <s v="StudyPro"/>
    <s v="B07"/>
    <x v="3"/>
    <s v="Enugu"/>
    <x v="3"/>
    <s v="Walk-in"/>
    <s v="Transfer"/>
    <n v="2"/>
    <n v="2800"/>
    <n v="4200"/>
    <n v="0.05"/>
    <x v="15"/>
    <n v="12"/>
    <n v="8400"/>
    <n v="420"/>
    <n v="7980"/>
    <n v="5600"/>
    <n v="2380"/>
    <n v="0.2982456140350877"/>
    <s v="Understocked"/>
    <s v="Safe"/>
    <n v="0.33333333333333331"/>
    <s v="Safe"/>
    <n v="1400"/>
    <n v="0.33333333333333331"/>
  </r>
  <r>
    <s v="ORD-11294"/>
    <x v="204"/>
    <s v="P023"/>
    <x v="6"/>
    <s v="Office Supplies"/>
    <s v="Stationery"/>
    <s v="StudyPro"/>
    <s v="B06"/>
    <x v="1"/>
    <s v="Rivers"/>
    <x v="1"/>
    <s v="Member"/>
    <s v="Cash"/>
    <n v="3"/>
    <n v="2800"/>
    <n v="4200"/>
    <n v="0.15"/>
    <x v="14"/>
    <n v="10"/>
    <n v="12600"/>
    <n v="1890"/>
    <n v="10710"/>
    <n v="8400"/>
    <n v="2310"/>
    <n v="0.21568627450980393"/>
    <s v="Understocked"/>
    <s v="Safe"/>
    <n v="0.33333333333333331"/>
    <s v="Safe"/>
    <n v="1400"/>
    <n v="0.33333333333333331"/>
  </r>
  <r>
    <s v="ORD-11295"/>
    <x v="139"/>
    <s v="P015"/>
    <x v="8"/>
    <s v="Personal Care"/>
    <s v="Bath"/>
    <s v="SilkyTouch"/>
    <s v="B06"/>
    <x v="1"/>
    <s v="Rivers"/>
    <x v="1"/>
    <s v="Walk-in"/>
    <s v="POS"/>
    <n v="2"/>
    <n v="600"/>
    <n v="950"/>
    <n v="0"/>
    <x v="10"/>
    <n v="3"/>
    <n v="1900"/>
    <n v="0"/>
    <n v="1900"/>
    <n v="1200"/>
    <n v="700"/>
    <n v="0.36842105263157893"/>
    <s v="Healthy"/>
    <s v="Safe"/>
    <n v="0.36842105263157893"/>
    <s v="Safe"/>
    <n v="350"/>
    <n v="0.36842105263157893"/>
  </r>
  <r>
    <s v="ORD-11296"/>
    <x v="23"/>
    <s v="P004"/>
    <x v="1"/>
    <s v="Beverages"/>
    <s v="Dairy"/>
    <s v="FreshDay"/>
    <s v="B04"/>
    <x v="5"/>
    <s v="Lagos"/>
    <x v="4"/>
    <s v="Member"/>
    <s v="POS"/>
    <n v="2"/>
    <n v="1650"/>
    <n v="2200"/>
    <n v="0.15"/>
    <x v="3"/>
    <n v="7"/>
    <n v="4400"/>
    <n v="660"/>
    <n v="3740"/>
    <n v="3300"/>
    <n v="440"/>
    <n v="0.11764705882352941"/>
    <s v="Understocked"/>
    <s v="Safe"/>
    <n v="0.25"/>
    <s v="Safe"/>
    <n v="550"/>
    <n v="0.25"/>
  </r>
  <r>
    <s v="ORD-11297"/>
    <x v="257"/>
    <s v="P013"/>
    <x v="11"/>
    <s v="Personal Care"/>
    <s v="Skin Care"/>
    <s v="GlowPlus"/>
    <s v="B03"/>
    <x v="6"/>
    <s v="Lagos"/>
    <x v="4"/>
    <s v="Walk-in"/>
    <s v="POS"/>
    <n v="1"/>
    <n v="3500"/>
    <n v="5200"/>
    <n v="0.05"/>
    <x v="10"/>
    <n v="11"/>
    <n v="5200"/>
    <n v="260"/>
    <n v="4940"/>
    <n v="3500"/>
    <n v="1440"/>
    <n v="0.291497975708502"/>
    <s v="Healthy"/>
    <s v="Safe"/>
    <n v="0.32692307692307693"/>
    <s v="Safe"/>
    <n v="1700"/>
    <n v="0.32692307692307693"/>
  </r>
  <r>
    <s v="ORD-11298"/>
    <x v="258"/>
    <s v="P008"/>
    <x v="4"/>
    <s v="Beverages"/>
    <s v="Soft Drinks"/>
    <s v="Sparkle"/>
    <s v="B05"/>
    <x v="0"/>
    <s v="Kano"/>
    <x v="0"/>
    <s v="Walk-in"/>
    <s v="POS"/>
    <n v="4"/>
    <n v="330"/>
    <n v="550"/>
    <n v="0.1"/>
    <x v="0"/>
    <n v="3"/>
    <n v="2200"/>
    <n v="220"/>
    <n v="1980"/>
    <n v="1320"/>
    <n v="660"/>
    <n v="0.33333333333333331"/>
    <s v="Healthy"/>
    <s v="Safe"/>
    <n v="0.4"/>
    <s v="Safe"/>
    <n v="220"/>
    <n v="0.4"/>
  </r>
  <r>
    <s v="ORD-11299"/>
    <x v="118"/>
    <s v="P005"/>
    <x v="2"/>
    <s v="Food"/>
    <s v="Snacks"/>
    <s v="CrispyBite"/>
    <s v="B02"/>
    <x v="4"/>
    <s v="Abuja"/>
    <x v="2"/>
    <s v="Member"/>
    <s v="POS"/>
    <n v="1"/>
    <n v="850"/>
    <n v="1300"/>
    <n v="0.1"/>
    <x v="1"/>
    <n v="6"/>
    <n v="1300"/>
    <n v="130"/>
    <n v="1170"/>
    <n v="850"/>
    <n v="320"/>
    <n v="0.27350427350427353"/>
    <s v="Understocked"/>
    <s v="Safe"/>
    <n v="0.34615384615384615"/>
    <s v="Safe"/>
    <n v="450"/>
    <n v="0.34615384615384615"/>
  </r>
  <r>
    <s v="ORD-11300"/>
    <x v="327"/>
    <s v="P020"/>
    <x v="5"/>
    <s v="Electronics"/>
    <s v="Lighting"/>
    <s v="Luma"/>
    <s v="B08"/>
    <x v="7"/>
    <s v="Kwara"/>
    <x v="2"/>
    <s v="Walk-in"/>
    <s v="POS"/>
    <n v="4"/>
    <n v="1500"/>
    <n v="2500"/>
    <n v="0"/>
    <x v="4"/>
    <n v="4"/>
    <n v="10000"/>
    <n v="0"/>
    <n v="10000"/>
    <n v="6000"/>
    <n v="4000"/>
    <n v="0.4"/>
    <s v="Healthy"/>
    <s v="Safe"/>
    <n v="0.4"/>
    <s v="Safe"/>
    <n v="1000"/>
    <n v="0.4"/>
  </r>
  <r>
    <s v="ORD-11301"/>
    <x v="145"/>
    <s v="P003"/>
    <x v="12"/>
    <s v="Food"/>
    <s v="Cooking Oil"/>
    <s v="SunGold"/>
    <s v="B07"/>
    <x v="3"/>
    <s v="Enugu"/>
    <x v="3"/>
    <s v="Walk-in"/>
    <s v="Transfer"/>
    <n v="2"/>
    <n v="7800"/>
    <n v="9800"/>
    <n v="0.15"/>
    <x v="1"/>
    <n v="14"/>
    <n v="19600"/>
    <n v="2940"/>
    <n v="16660"/>
    <n v="15600"/>
    <n v="1060"/>
    <n v="6.3625450180072027E-2"/>
    <s v="Understocked"/>
    <s v="Safe"/>
    <n v="0.20408163265306123"/>
    <s v="Safe"/>
    <n v="2000"/>
    <n v="0.20408163265306123"/>
  </r>
  <r>
    <s v="ORD-11302"/>
    <x v="0"/>
    <s v="P001"/>
    <x v="14"/>
    <s v="Food"/>
    <s v="Grains"/>
    <s v="Golden Harvest"/>
    <s v="B03"/>
    <x v="6"/>
    <s v="Lagos"/>
    <x v="4"/>
    <s v="Member"/>
    <s v="Cash"/>
    <n v="1"/>
    <n v="14500"/>
    <n v="17500"/>
    <n v="0.15"/>
    <x v="9"/>
    <n v="9"/>
    <n v="17500"/>
    <n v="2625"/>
    <n v="14875"/>
    <n v="14500"/>
    <n v="375"/>
    <n v="2.5210084033613446E-2"/>
    <s v="Understocked"/>
    <s v="Safe"/>
    <n v="0.17142857142857143"/>
    <s v="Safe"/>
    <n v="3000"/>
    <n v="0.17142857142857143"/>
  </r>
  <r>
    <s v="ORD-11303"/>
    <x v="216"/>
    <s v="P003"/>
    <x v="12"/>
    <s v="Food"/>
    <s v="Cooking Oil"/>
    <s v="SunGold"/>
    <s v="B06"/>
    <x v="1"/>
    <s v="Rivers"/>
    <x v="1"/>
    <s v="Member"/>
    <s v="POS"/>
    <n v="1"/>
    <n v="7800"/>
    <n v="9800"/>
    <n v="0.05"/>
    <x v="8"/>
    <n v="7"/>
    <n v="9800"/>
    <n v="490"/>
    <n v="9310"/>
    <n v="7800"/>
    <n v="1510"/>
    <n v="0.16219119226638024"/>
    <s v="Understocked"/>
    <s v="Safe"/>
    <n v="0.20408163265306123"/>
    <s v="Safe"/>
    <n v="2000"/>
    <n v="0.20408163265306123"/>
  </r>
  <r>
    <s v="ORD-11304"/>
    <x v="307"/>
    <s v="P018"/>
    <x v="16"/>
    <s v="Electronics"/>
    <s v="Mobile Accessories"/>
    <s v="VoltSafe"/>
    <s v="B03"/>
    <x v="6"/>
    <s v="Lagos"/>
    <x v="4"/>
    <s v="Walk-in"/>
    <s v="Cash"/>
    <n v="2"/>
    <n v="18000"/>
    <n v="24500"/>
    <n v="0"/>
    <x v="13"/>
    <n v="7"/>
    <n v="49000"/>
    <n v="0"/>
    <n v="49000"/>
    <n v="36000"/>
    <n v="13000"/>
    <n v="0.26530612244897961"/>
    <s v="Understocked"/>
    <s v="Safe"/>
    <n v="0.26530612244897961"/>
    <s v="Safe"/>
    <n v="6500"/>
    <n v="0.26530612244897961"/>
  </r>
  <r>
    <s v="ORD-11305"/>
    <x v="165"/>
    <s v="P006"/>
    <x v="0"/>
    <s v="Beverages"/>
    <s v="Water"/>
    <s v="AquaPure"/>
    <s v="B08"/>
    <x v="7"/>
    <s v="Kwara"/>
    <x v="2"/>
    <s v="Member"/>
    <s v="Card"/>
    <n v="5"/>
    <n v="230"/>
    <n v="400"/>
    <n v="0.05"/>
    <x v="0"/>
    <n v="2"/>
    <n v="2000"/>
    <n v="100"/>
    <n v="1900"/>
    <n v="1150"/>
    <n v="750"/>
    <n v="0.39473684210526316"/>
    <s v="Understocked"/>
    <s v="Safe"/>
    <n v="0.42499999999999999"/>
    <s v="Safe"/>
    <n v="170"/>
    <n v="0.42499999999999999"/>
  </r>
  <r>
    <s v="ORD-11306"/>
    <x v="45"/>
    <s v="P020"/>
    <x v="5"/>
    <s v="Electronics"/>
    <s v="Lighting"/>
    <s v="Luma"/>
    <s v="B01"/>
    <x v="2"/>
    <s v="Abuja"/>
    <x v="2"/>
    <s v="Member"/>
    <s v="Cash"/>
    <n v="8"/>
    <n v="1500"/>
    <n v="2500"/>
    <n v="0.1"/>
    <x v="4"/>
    <n v="3"/>
    <n v="20000"/>
    <n v="2000"/>
    <n v="18000"/>
    <n v="12000"/>
    <n v="6000"/>
    <n v="0.33333333333333331"/>
    <s v="Healthy"/>
    <s v="Safe"/>
    <n v="0.4"/>
    <s v="Safe"/>
    <n v="1000"/>
    <n v="0.4"/>
  </r>
  <r>
    <s v="ORD-11307"/>
    <x v="212"/>
    <s v="P009"/>
    <x v="13"/>
    <s v="Household"/>
    <s v="Cleaning"/>
    <s v="BrightWash"/>
    <s v="B02"/>
    <x v="4"/>
    <s v="Abuja"/>
    <x v="2"/>
    <s v="Member"/>
    <s v="Card"/>
    <n v="2"/>
    <n v="2400"/>
    <n v="3400"/>
    <n v="0"/>
    <x v="1"/>
    <n v="11"/>
    <n v="6800"/>
    <n v="0"/>
    <n v="6800"/>
    <n v="4800"/>
    <n v="2000"/>
    <n v="0.29411764705882354"/>
    <s v="Healthy"/>
    <s v="Safe"/>
    <n v="0.29411764705882354"/>
    <s v="Safe"/>
    <n v="1000"/>
    <n v="0.29411764705882354"/>
  </r>
  <r>
    <s v="ORD-11308"/>
    <x v="107"/>
    <s v="P007"/>
    <x v="3"/>
    <s v="Beverages"/>
    <s v="Malt"/>
    <s v="Naija Malt"/>
    <s v="B02"/>
    <x v="4"/>
    <s v="Abuja"/>
    <x v="2"/>
    <s v="Corporate"/>
    <s v="POS"/>
    <n v="1"/>
    <n v="550"/>
    <n v="850"/>
    <n v="0.2"/>
    <x v="0"/>
    <n v="3"/>
    <n v="850"/>
    <n v="170"/>
    <n v="680"/>
    <n v="550"/>
    <n v="130"/>
    <n v="0.19117647058823528"/>
    <s v="Healthy"/>
    <s v="Safe"/>
    <n v="0.35294117647058826"/>
    <s v="Safe"/>
    <n v="300"/>
    <n v="0.35294117647058826"/>
  </r>
  <r>
    <s v="ORD-11309"/>
    <x v="103"/>
    <s v="P018"/>
    <x v="16"/>
    <s v="Electronics"/>
    <s v="Mobile Accessories"/>
    <s v="VoltSafe"/>
    <s v="B01"/>
    <x v="2"/>
    <s v="Abuja"/>
    <x v="2"/>
    <s v="Walk-in"/>
    <s v="POS"/>
    <n v="1"/>
    <n v="18000"/>
    <n v="24500"/>
    <n v="0.05"/>
    <x v="12"/>
    <n v="6"/>
    <n v="24500"/>
    <n v="1225"/>
    <n v="23275"/>
    <n v="18000"/>
    <n v="5275"/>
    <n v="0.22663802363050484"/>
    <s v="Understocked"/>
    <s v="Safe"/>
    <n v="0.26530612244897961"/>
    <s v="Safe"/>
    <n v="6500"/>
    <n v="0.26530612244897961"/>
  </r>
  <r>
    <s v="ORD-11310"/>
    <x v="145"/>
    <s v="P006"/>
    <x v="0"/>
    <s v="Beverages"/>
    <s v="Water"/>
    <s v="AquaPure"/>
    <s v="B07"/>
    <x v="3"/>
    <s v="Enugu"/>
    <x v="3"/>
    <s v="Member"/>
    <s v="Cash"/>
    <n v="1"/>
    <n v="230"/>
    <n v="400"/>
    <n v="0.15"/>
    <x v="2"/>
    <n v="13"/>
    <n v="400"/>
    <n v="60"/>
    <n v="340"/>
    <n v="230"/>
    <n v="110"/>
    <n v="0.3235294117647059"/>
    <s v="Understocked"/>
    <s v="Safe"/>
    <n v="0.42499999999999999"/>
    <s v="Safe"/>
    <n v="170"/>
    <n v="0.42499999999999999"/>
  </r>
  <r>
    <s v="ORD-11311"/>
    <x v="146"/>
    <s v="P004"/>
    <x v="1"/>
    <s v="Beverages"/>
    <s v="Dairy"/>
    <s v="FreshDay"/>
    <s v="B01"/>
    <x v="2"/>
    <s v="Abuja"/>
    <x v="2"/>
    <s v="Walk-in"/>
    <s v="Cash"/>
    <n v="2"/>
    <n v="1650"/>
    <n v="2200"/>
    <n v="0"/>
    <x v="2"/>
    <n v="8"/>
    <n v="4400"/>
    <n v="0"/>
    <n v="4400"/>
    <n v="3300"/>
    <n v="1100"/>
    <n v="0.25"/>
    <s v="Understocked"/>
    <s v="Safe"/>
    <n v="0.25"/>
    <s v="Safe"/>
    <n v="550"/>
    <n v="0.25"/>
  </r>
  <r>
    <s v="ORD-11312"/>
    <x v="185"/>
    <s v="P008"/>
    <x v="4"/>
    <s v="Beverages"/>
    <s v="Soft Drinks"/>
    <s v="Sparkle"/>
    <s v="B07"/>
    <x v="3"/>
    <s v="Enugu"/>
    <x v="3"/>
    <s v="Walk-in"/>
    <s v="POS"/>
    <n v="5"/>
    <n v="330"/>
    <n v="550"/>
    <n v="0"/>
    <x v="2"/>
    <n v="3"/>
    <n v="2750"/>
    <n v="0"/>
    <n v="2750"/>
    <n v="1650"/>
    <n v="1100"/>
    <n v="0.4"/>
    <s v="Healthy"/>
    <s v="Safe"/>
    <n v="0.4"/>
    <s v="Safe"/>
    <n v="220"/>
    <n v="0.4"/>
  </r>
  <r>
    <s v="ORD-11313"/>
    <x v="47"/>
    <s v="P007"/>
    <x v="3"/>
    <s v="Beverages"/>
    <s v="Malt"/>
    <s v="Naija Malt"/>
    <s v="B05"/>
    <x v="0"/>
    <s v="Kano"/>
    <x v="0"/>
    <s v="Member"/>
    <s v="POS"/>
    <n v="4"/>
    <n v="550"/>
    <n v="850"/>
    <n v="0.05"/>
    <x v="3"/>
    <n v="3"/>
    <n v="3400"/>
    <n v="170"/>
    <n v="3230"/>
    <n v="2200"/>
    <n v="1030"/>
    <n v="0.31888544891640869"/>
    <s v="Healthy"/>
    <s v="Safe"/>
    <n v="0.35294117647058826"/>
    <s v="Safe"/>
    <n v="300"/>
    <n v="0.35294117647058826"/>
  </r>
  <r>
    <s v="ORD-11314"/>
    <x v="27"/>
    <s v="P018"/>
    <x v="16"/>
    <s v="Electronics"/>
    <s v="Mobile Accessories"/>
    <s v="VoltSafe"/>
    <s v="B02"/>
    <x v="4"/>
    <s v="Abuja"/>
    <x v="2"/>
    <s v="Member"/>
    <s v="Card"/>
    <n v="4"/>
    <n v="18000"/>
    <n v="24500"/>
    <n v="0.1"/>
    <x v="12"/>
    <n v="2"/>
    <n v="98000"/>
    <n v="9800"/>
    <n v="88200"/>
    <n v="72000"/>
    <n v="16200"/>
    <n v="0.18367346938775511"/>
    <s v="Understocked"/>
    <s v="Safe"/>
    <n v="0.26530612244897961"/>
    <s v="Safe"/>
    <n v="6500"/>
    <n v="0.26530612244897961"/>
  </r>
  <r>
    <s v="ORD-11315"/>
    <x v="246"/>
    <s v="P004"/>
    <x v="1"/>
    <s v="Beverages"/>
    <s v="Dairy"/>
    <s v="FreshDay"/>
    <s v="B05"/>
    <x v="0"/>
    <s v="Kano"/>
    <x v="0"/>
    <s v="Member"/>
    <s v="Transfer"/>
    <n v="2"/>
    <n v="1650"/>
    <n v="2200"/>
    <n v="0.2"/>
    <x v="0"/>
    <n v="5"/>
    <n v="4400"/>
    <n v="880"/>
    <n v="3520"/>
    <n v="3300"/>
    <n v="220"/>
    <n v="6.25E-2"/>
    <s v="Understocked"/>
    <s v="Safe"/>
    <n v="0.25"/>
    <s v="Safe"/>
    <n v="550"/>
    <n v="0.25"/>
  </r>
  <r>
    <s v="ORD-11316"/>
    <x v="274"/>
    <s v="P006"/>
    <x v="0"/>
    <s v="Beverages"/>
    <s v="Water"/>
    <s v="AquaPure"/>
    <s v="B03"/>
    <x v="6"/>
    <s v="Lagos"/>
    <x v="4"/>
    <s v="Member"/>
    <s v="POS"/>
    <n v="1"/>
    <n v="230"/>
    <n v="400"/>
    <n v="0.1"/>
    <x v="2"/>
    <n v="11"/>
    <n v="400"/>
    <n v="40"/>
    <n v="360"/>
    <n v="230"/>
    <n v="130"/>
    <n v="0.3611111111111111"/>
    <s v="Understocked"/>
    <s v="Safe"/>
    <n v="0.42499999999999999"/>
    <s v="Safe"/>
    <n v="170"/>
    <n v="0.42499999999999999"/>
  </r>
  <r>
    <s v="ORD-11317"/>
    <x v="188"/>
    <s v="P023"/>
    <x v="6"/>
    <s v="Office Supplies"/>
    <s v="Stationery"/>
    <s v="StudyPro"/>
    <s v="B01"/>
    <x v="2"/>
    <s v="Abuja"/>
    <x v="2"/>
    <s v="Walk-in"/>
    <s v="Transfer"/>
    <n v="3"/>
    <n v="2800"/>
    <n v="4200"/>
    <n v="0.15"/>
    <x v="15"/>
    <n v="10"/>
    <n v="12600"/>
    <n v="1890"/>
    <n v="10710"/>
    <n v="8400"/>
    <n v="2310"/>
    <n v="0.21568627450980393"/>
    <s v="Understocked"/>
    <s v="Safe"/>
    <n v="0.33333333333333331"/>
    <s v="Safe"/>
    <n v="1400"/>
    <n v="0.33333333333333331"/>
  </r>
  <r>
    <s v="ORD-11318"/>
    <x v="75"/>
    <s v="P004"/>
    <x v="1"/>
    <s v="Beverages"/>
    <s v="Dairy"/>
    <s v="FreshDay"/>
    <s v="B07"/>
    <x v="3"/>
    <s v="Enugu"/>
    <x v="3"/>
    <s v="Corporate"/>
    <s v="Transfer"/>
    <n v="10"/>
    <n v="1650"/>
    <n v="2200"/>
    <n v="0.05"/>
    <x v="2"/>
    <n v="9"/>
    <n v="22000"/>
    <n v="1100"/>
    <n v="20900"/>
    <n v="16500"/>
    <n v="4400"/>
    <n v="0.21052631578947367"/>
    <s v="Understocked"/>
    <s v="Safe"/>
    <n v="0.25"/>
    <s v="Safe"/>
    <n v="550"/>
    <n v="0.25"/>
  </r>
  <r>
    <s v="ORD-11319"/>
    <x v="89"/>
    <s v="P014"/>
    <x v="15"/>
    <s v="Personal Care"/>
    <s v="Oral Care"/>
    <s v="FreshMint"/>
    <s v="B04"/>
    <x v="5"/>
    <s v="Lagos"/>
    <x v="4"/>
    <s v="Walk-in"/>
    <s v="Transfer"/>
    <n v="2"/>
    <n v="1200"/>
    <n v="1900"/>
    <n v="0.2"/>
    <x v="11"/>
    <n v="13"/>
    <n v="3800"/>
    <n v="760"/>
    <n v="3040"/>
    <n v="2400"/>
    <n v="640"/>
    <n v="0.21052631578947367"/>
    <s v="Healthy"/>
    <s v="Safe"/>
    <n v="0.36842105263157893"/>
    <s v="Safe"/>
    <n v="700"/>
    <n v="0.36842105263157893"/>
  </r>
  <r>
    <s v="ORD-11320"/>
    <x v="352"/>
    <s v="P003"/>
    <x v="12"/>
    <s v="Food"/>
    <s v="Cooking Oil"/>
    <s v="SunGold"/>
    <s v="B07"/>
    <x v="3"/>
    <s v="Enugu"/>
    <x v="3"/>
    <s v="Member"/>
    <s v="Transfer"/>
    <n v="4"/>
    <n v="7800"/>
    <n v="9800"/>
    <n v="0"/>
    <x v="9"/>
    <n v="9"/>
    <n v="39200"/>
    <n v="0"/>
    <n v="39200"/>
    <n v="31200"/>
    <n v="8000"/>
    <n v="0.20408163265306123"/>
    <s v="Understocked"/>
    <s v="Safe"/>
    <n v="0.20408163265306123"/>
    <s v="Safe"/>
    <n v="2000"/>
    <n v="0.20408163265306123"/>
  </r>
  <r>
    <s v="ORD-11321"/>
    <x v="32"/>
    <s v="P023"/>
    <x v="6"/>
    <s v="Office Supplies"/>
    <s v="Stationery"/>
    <s v="StudyPro"/>
    <s v="B07"/>
    <x v="3"/>
    <s v="Enugu"/>
    <x v="3"/>
    <s v="Walk-in"/>
    <s v="Transfer"/>
    <n v="1"/>
    <n v="2800"/>
    <n v="4200"/>
    <n v="0.1"/>
    <x v="14"/>
    <n v="7"/>
    <n v="4200"/>
    <n v="420"/>
    <n v="3780"/>
    <n v="2800"/>
    <n v="980"/>
    <n v="0.25925925925925924"/>
    <s v="Understocked"/>
    <s v="Safe"/>
    <n v="0.33333333333333331"/>
    <s v="Safe"/>
    <n v="1400"/>
    <n v="0.33333333333333331"/>
  </r>
  <r>
    <s v="ORD-11322"/>
    <x v="353"/>
    <s v="P023"/>
    <x v="6"/>
    <s v="Office Supplies"/>
    <s v="Stationery"/>
    <s v="StudyPro"/>
    <s v="B08"/>
    <x v="7"/>
    <s v="Kwara"/>
    <x v="2"/>
    <s v="Member"/>
    <s v="Transfer"/>
    <n v="1"/>
    <n v="2800"/>
    <n v="4200"/>
    <n v="0.15"/>
    <x v="15"/>
    <n v="14"/>
    <n v="4200"/>
    <n v="630"/>
    <n v="3570"/>
    <n v="2800"/>
    <n v="770"/>
    <n v="0.21568627450980393"/>
    <s v="Understocked"/>
    <s v="Safe"/>
    <n v="0.33333333333333331"/>
    <s v="Safe"/>
    <n v="1400"/>
    <n v="0.33333333333333331"/>
  </r>
  <r>
    <s v="ORD-11323"/>
    <x v="282"/>
    <s v="P005"/>
    <x v="2"/>
    <s v="Food"/>
    <s v="Snacks"/>
    <s v="CrispyBite"/>
    <s v="B06"/>
    <x v="1"/>
    <s v="Rivers"/>
    <x v="1"/>
    <s v="Walk-in"/>
    <s v="POS"/>
    <n v="3"/>
    <n v="850"/>
    <n v="1300"/>
    <n v="0.15"/>
    <x v="9"/>
    <n v="13"/>
    <n v="3900"/>
    <n v="585"/>
    <n v="3315"/>
    <n v="2550"/>
    <n v="765"/>
    <n v="0.23076923076923078"/>
    <s v="Understocked"/>
    <s v="Safe"/>
    <n v="0.34615384615384615"/>
    <s v="Safe"/>
    <n v="450"/>
    <n v="0.34615384615384615"/>
  </r>
  <r>
    <s v="ORD-11324"/>
    <x v="47"/>
    <s v="P005"/>
    <x v="2"/>
    <s v="Food"/>
    <s v="Snacks"/>
    <s v="CrispyBite"/>
    <s v="B08"/>
    <x v="7"/>
    <s v="Kwara"/>
    <x v="2"/>
    <s v="Walk-in"/>
    <s v="Cash"/>
    <n v="3"/>
    <n v="850"/>
    <n v="1300"/>
    <n v="0.05"/>
    <x v="1"/>
    <n v="14"/>
    <n v="3900"/>
    <n v="195"/>
    <n v="3705"/>
    <n v="2550"/>
    <n v="1155"/>
    <n v="0.31174089068825911"/>
    <s v="Understocked"/>
    <s v="Safe"/>
    <n v="0.34615384615384615"/>
    <s v="Safe"/>
    <n v="450"/>
    <n v="0.34615384615384615"/>
  </r>
  <r>
    <s v="ORD-11325"/>
    <x v="347"/>
    <s v="P010"/>
    <x v="22"/>
    <s v="Household"/>
    <s v="Paper Products"/>
    <s v="SoftCare"/>
    <s v="B08"/>
    <x v="7"/>
    <s v="Kwara"/>
    <x v="2"/>
    <s v="Walk-in"/>
    <s v="POS"/>
    <n v="2"/>
    <n v="3200"/>
    <n v="4500"/>
    <n v="0"/>
    <x v="10"/>
    <n v="5"/>
    <n v="9000"/>
    <n v="0"/>
    <n v="9000"/>
    <n v="6400"/>
    <n v="2600"/>
    <n v="0.28888888888888886"/>
    <s v="Healthy"/>
    <s v="Safe"/>
    <n v="0.28888888888888886"/>
    <s v="Safe"/>
    <n v="1300"/>
    <n v="0.28888888888888886"/>
  </r>
  <r>
    <s v="ORD-11326"/>
    <x v="235"/>
    <s v="P023"/>
    <x v="6"/>
    <s v="Office Supplies"/>
    <s v="Stationery"/>
    <s v="StudyPro"/>
    <s v="B07"/>
    <x v="3"/>
    <s v="Enugu"/>
    <x v="3"/>
    <s v="Corporate"/>
    <s v="Cash"/>
    <n v="2"/>
    <n v="2800"/>
    <n v="4200"/>
    <n v="0"/>
    <x v="14"/>
    <n v="12"/>
    <n v="8400"/>
    <n v="0"/>
    <n v="8400"/>
    <n v="5600"/>
    <n v="2800"/>
    <n v="0.33333333333333331"/>
    <s v="Understocked"/>
    <s v="Safe"/>
    <n v="0.33333333333333331"/>
    <s v="Safe"/>
    <n v="1400"/>
    <n v="0.33333333333333331"/>
  </r>
  <r>
    <s v="ORD-11327"/>
    <x v="228"/>
    <s v="P005"/>
    <x v="2"/>
    <s v="Food"/>
    <s v="Snacks"/>
    <s v="CrispyBite"/>
    <s v="B06"/>
    <x v="1"/>
    <s v="Rivers"/>
    <x v="1"/>
    <s v="Member"/>
    <s v="Cash"/>
    <n v="3"/>
    <n v="850"/>
    <n v="1300"/>
    <n v="0"/>
    <x v="8"/>
    <n v="14"/>
    <n v="3900"/>
    <n v="0"/>
    <n v="3900"/>
    <n v="2550"/>
    <n v="1350"/>
    <n v="0.34615384615384615"/>
    <s v="Understocked"/>
    <s v="Safe"/>
    <n v="0.34615384615384615"/>
    <s v="Safe"/>
    <n v="450"/>
    <n v="0.34615384615384615"/>
  </r>
  <r>
    <s v="ORD-11328"/>
    <x v="174"/>
    <s v="P007"/>
    <x v="3"/>
    <s v="Beverages"/>
    <s v="Malt"/>
    <s v="Naija Malt"/>
    <s v="B02"/>
    <x v="4"/>
    <s v="Abuja"/>
    <x v="2"/>
    <s v="Walk-in"/>
    <s v="Transfer"/>
    <n v="2"/>
    <n v="550"/>
    <n v="850"/>
    <n v="0.1"/>
    <x v="3"/>
    <n v="5"/>
    <n v="1700"/>
    <n v="170"/>
    <n v="1530"/>
    <n v="1100"/>
    <n v="430"/>
    <n v="0.28104575163398693"/>
    <s v="Healthy"/>
    <s v="Safe"/>
    <n v="0.35294117647058826"/>
    <s v="Safe"/>
    <n v="300"/>
    <n v="0.35294117647058826"/>
  </r>
  <r>
    <s v="ORD-11329"/>
    <x v="156"/>
    <s v="P003"/>
    <x v="12"/>
    <s v="Food"/>
    <s v="Cooking Oil"/>
    <s v="SunGold"/>
    <s v="B06"/>
    <x v="1"/>
    <s v="Rivers"/>
    <x v="1"/>
    <s v="Walk-in"/>
    <s v="POS"/>
    <n v="8"/>
    <n v="7800"/>
    <n v="9800"/>
    <n v="0"/>
    <x v="8"/>
    <n v="1"/>
    <n v="78400"/>
    <n v="0"/>
    <n v="78400"/>
    <n v="62400"/>
    <n v="16000"/>
    <n v="0.20408163265306123"/>
    <s v="Understocked"/>
    <s v="Safe"/>
    <n v="0.20408163265306123"/>
    <s v="Safe"/>
    <n v="2000"/>
    <n v="0.20408163265306123"/>
  </r>
  <r>
    <s v="ORD-11330"/>
    <x v="343"/>
    <s v="P006"/>
    <x v="0"/>
    <s v="Beverages"/>
    <s v="Water"/>
    <s v="AquaPure"/>
    <s v="B01"/>
    <x v="2"/>
    <s v="Abuja"/>
    <x v="2"/>
    <s v="Member"/>
    <s v="Card"/>
    <n v="3"/>
    <n v="230"/>
    <n v="400"/>
    <n v="0.05"/>
    <x v="3"/>
    <n v="9"/>
    <n v="1200"/>
    <n v="60"/>
    <n v="1140"/>
    <n v="690"/>
    <n v="450"/>
    <n v="0.39473684210526316"/>
    <s v="Understocked"/>
    <s v="Safe"/>
    <n v="0.42499999999999999"/>
    <s v="Safe"/>
    <n v="170"/>
    <n v="0.42499999999999999"/>
  </r>
  <r>
    <s v="ORD-11331"/>
    <x v="18"/>
    <s v="P004"/>
    <x v="1"/>
    <s v="Beverages"/>
    <s v="Dairy"/>
    <s v="FreshDay"/>
    <s v="B07"/>
    <x v="3"/>
    <s v="Enugu"/>
    <x v="3"/>
    <s v="Member"/>
    <s v="POS"/>
    <n v="4"/>
    <n v="1650"/>
    <n v="2200"/>
    <n v="0.1"/>
    <x v="3"/>
    <n v="7"/>
    <n v="8800"/>
    <n v="880"/>
    <n v="7920"/>
    <n v="6600"/>
    <n v="1320"/>
    <n v="0.16666666666666666"/>
    <s v="Understocked"/>
    <s v="Safe"/>
    <n v="0.25"/>
    <s v="Safe"/>
    <n v="550"/>
    <n v="0.25"/>
  </r>
  <r>
    <s v="ORD-11332"/>
    <x v="354"/>
    <s v="P003"/>
    <x v="12"/>
    <s v="Food"/>
    <s v="Cooking Oil"/>
    <s v="SunGold"/>
    <s v="B04"/>
    <x v="5"/>
    <s v="Lagos"/>
    <x v="4"/>
    <s v="Member"/>
    <s v="POS"/>
    <n v="3"/>
    <n v="7800"/>
    <n v="9800"/>
    <n v="0.15"/>
    <x v="8"/>
    <n v="4"/>
    <n v="29400"/>
    <n v="4410"/>
    <n v="24990"/>
    <n v="23400"/>
    <n v="1590"/>
    <n v="6.3625450180072027E-2"/>
    <s v="Understocked"/>
    <s v="Safe"/>
    <n v="0.20408163265306123"/>
    <s v="Safe"/>
    <n v="2000"/>
    <n v="0.20408163265306123"/>
  </r>
  <r>
    <s v="ORD-11333"/>
    <x v="219"/>
    <s v="P024"/>
    <x v="19"/>
    <s v="Office Supplies"/>
    <s v="Accessories"/>
    <s v="ErgoDesk"/>
    <s v="B05"/>
    <x v="0"/>
    <s v="Kano"/>
    <x v="0"/>
    <s v="Member"/>
    <s v="POS"/>
    <n v="3"/>
    <n v="1700"/>
    <n v="2800"/>
    <n v="0.1"/>
    <x v="5"/>
    <n v="7"/>
    <n v="8400"/>
    <n v="840"/>
    <n v="7560"/>
    <n v="5100"/>
    <n v="2460"/>
    <n v="0.32539682539682541"/>
    <s v="Overstocked"/>
    <s v="Safe"/>
    <n v="0.39285714285714285"/>
    <s v="Safe"/>
    <n v="1100"/>
    <n v="0.39285714285714285"/>
  </r>
  <r>
    <s v="ORD-11334"/>
    <x v="267"/>
    <s v="P003"/>
    <x v="12"/>
    <s v="Food"/>
    <s v="Cooking Oil"/>
    <s v="SunGold"/>
    <s v="B06"/>
    <x v="1"/>
    <s v="Rivers"/>
    <x v="1"/>
    <s v="Member"/>
    <s v="POS"/>
    <n v="5"/>
    <n v="7800"/>
    <n v="9800"/>
    <n v="0.1"/>
    <x v="8"/>
    <n v="7"/>
    <n v="49000"/>
    <n v="4900"/>
    <n v="44100"/>
    <n v="39000"/>
    <n v="5100"/>
    <n v="0.11564625850340136"/>
    <s v="Understocked"/>
    <s v="Safe"/>
    <n v="0.20408163265306123"/>
    <s v="Safe"/>
    <n v="2000"/>
    <n v="0.20408163265306123"/>
  </r>
  <r>
    <s v="ORD-11335"/>
    <x v="246"/>
    <s v="P023"/>
    <x v="6"/>
    <s v="Office Supplies"/>
    <s v="Stationery"/>
    <s v="StudyPro"/>
    <s v="B01"/>
    <x v="2"/>
    <s v="Abuja"/>
    <x v="2"/>
    <s v="Walk-in"/>
    <s v="Transfer"/>
    <n v="1"/>
    <n v="2800"/>
    <n v="4200"/>
    <n v="0.15"/>
    <x v="5"/>
    <n v="7"/>
    <n v="4200"/>
    <n v="630"/>
    <n v="3570"/>
    <n v="2800"/>
    <n v="770"/>
    <n v="0.21568627450980393"/>
    <s v="Understocked"/>
    <s v="Safe"/>
    <n v="0.33333333333333331"/>
    <s v="Safe"/>
    <n v="1400"/>
    <n v="0.33333333333333331"/>
  </r>
  <r>
    <s v="ORD-11336"/>
    <x v="100"/>
    <s v="P024"/>
    <x v="19"/>
    <s v="Office Supplies"/>
    <s v="Accessories"/>
    <s v="ErgoDesk"/>
    <s v="B07"/>
    <x v="3"/>
    <s v="Enugu"/>
    <x v="3"/>
    <s v="Walk-in"/>
    <s v="POS"/>
    <n v="3"/>
    <n v="1700"/>
    <n v="2800"/>
    <n v="0.2"/>
    <x v="5"/>
    <n v="7"/>
    <n v="8400"/>
    <n v="1680"/>
    <n v="6720"/>
    <n v="5100"/>
    <n v="1620"/>
    <n v="0.24107142857142858"/>
    <s v="Overstocked"/>
    <s v="Safe"/>
    <n v="0.39285714285714285"/>
    <s v="Safe"/>
    <n v="1100"/>
    <n v="0.39285714285714285"/>
  </r>
  <r>
    <s v="ORD-11337"/>
    <x v="141"/>
    <s v="P011"/>
    <x v="9"/>
    <s v="Household"/>
    <s v="Cleaning"/>
    <s v="CleanPro"/>
    <s v="B06"/>
    <x v="1"/>
    <s v="Rivers"/>
    <x v="1"/>
    <s v="Walk-in"/>
    <s v="POS"/>
    <n v="8"/>
    <n v="2800"/>
    <n v="3900"/>
    <n v="0.1"/>
    <x v="10"/>
    <n v="10"/>
    <n v="31200"/>
    <n v="3120"/>
    <n v="28080"/>
    <n v="22400"/>
    <n v="5680"/>
    <n v="0.20227920227920229"/>
    <s v="Healthy"/>
    <s v="Safe"/>
    <n v="0.28205128205128205"/>
    <s v="Safe"/>
    <n v="1100"/>
    <n v="0.28205128205128205"/>
  </r>
  <r>
    <s v="ORD-11338"/>
    <x v="178"/>
    <s v="P008"/>
    <x v="4"/>
    <s v="Beverages"/>
    <s v="Soft Drinks"/>
    <s v="Sparkle"/>
    <s v="B03"/>
    <x v="6"/>
    <s v="Lagos"/>
    <x v="4"/>
    <s v="Member"/>
    <s v="POS"/>
    <n v="4"/>
    <n v="330"/>
    <n v="550"/>
    <n v="0.05"/>
    <x v="0"/>
    <n v="14"/>
    <n v="2200"/>
    <n v="110"/>
    <n v="2090"/>
    <n v="1320"/>
    <n v="770"/>
    <n v="0.36842105263157893"/>
    <s v="Healthy"/>
    <s v="Safe"/>
    <n v="0.4"/>
    <s v="Safe"/>
    <n v="220"/>
    <n v="0.4"/>
  </r>
  <r>
    <s v="ORD-11339"/>
    <x v="311"/>
    <s v="P018"/>
    <x v="16"/>
    <s v="Electronics"/>
    <s v="Mobile Accessories"/>
    <s v="VoltSafe"/>
    <s v="B05"/>
    <x v="0"/>
    <s v="Kano"/>
    <x v="0"/>
    <s v="Walk-in"/>
    <s v="POS"/>
    <n v="5"/>
    <n v="18000"/>
    <n v="24500"/>
    <n v="0.1"/>
    <x v="4"/>
    <n v="11"/>
    <n v="122500"/>
    <n v="12250"/>
    <n v="110250"/>
    <n v="90000"/>
    <n v="20250"/>
    <n v="0.18367346938775511"/>
    <s v="Understocked"/>
    <s v="Safe"/>
    <n v="0.26530612244897961"/>
    <s v="Safe"/>
    <n v="6500"/>
    <n v="0.26530612244897961"/>
  </r>
  <r>
    <s v="ORD-11340"/>
    <x v="15"/>
    <s v="P006"/>
    <x v="0"/>
    <s v="Beverages"/>
    <s v="Water"/>
    <s v="AquaPure"/>
    <s v="B03"/>
    <x v="6"/>
    <s v="Lagos"/>
    <x v="4"/>
    <s v="Member"/>
    <s v="Transfer"/>
    <n v="1"/>
    <n v="230"/>
    <n v="400"/>
    <n v="0.05"/>
    <x v="0"/>
    <n v="6"/>
    <n v="400"/>
    <n v="20"/>
    <n v="380"/>
    <n v="230"/>
    <n v="150"/>
    <n v="0.39473684210526316"/>
    <s v="Understocked"/>
    <s v="Safe"/>
    <n v="0.42499999999999999"/>
    <s v="Safe"/>
    <n v="170"/>
    <n v="0.42499999999999999"/>
  </r>
  <r>
    <s v="ORD-11341"/>
    <x v="29"/>
    <s v="P006"/>
    <x v="0"/>
    <s v="Beverages"/>
    <s v="Water"/>
    <s v="AquaPure"/>
    <s v="B06"/>
    <x v="1"/>
    <s v="Rivers"/>
    <x v="1"/>
    <s v="Member"/>
    <s v="POS"/>
    <n v="2"/>
    <n v="230"/>
    <n v="400"/>
    <n v="0.1"/>
    <x v="3"/>
    <n v="4"/>
    <n v="800"/>
    <n v="80"/>
    <n v="720"/>
    <n v="460"/>
    <n v="260"/>
    <n v="0.3611111111111111"/>
    <s v="Understocked"/>
    <s v="Safe"/>
    <n v="0.42499999999999999"/>
    <s v="Safe"/>
    <n v="170"/>
    <n v="0.42499999999999999"/>
  </r>
  <r>
    <s v="ORD-11342"/>
    <x v="38"/>
    <s v="P014"/>
    <x v="15"/>
    <s v="Personal Care"/>
    <s v="Oral Care"/>
    <s v="FreshMint"/>
    <s v="B06"/>
    <x v="1"/>
    <s v="Rivers"/>
    <x v="1"/>
    <s v="Walk-in"/>
    <s v="Transfer"/>
    <n v="4"/>
    <n v="1200"/>
    <n v="1900"/>
    <n v="0.15"/>
    <x v="6"/>
    <n v="6"/>
    <n v="7600"/>
    <n v="1140"/>
    <n v="6460"/>
    <n v="4800"/>
    <n v="1660"/>
    <n v="0.25696594427244585"/>
    <s v="Healthy"/>
    <s v="Safe"/>
    <n v="0.36842105263157893"/>
    <s v="Safe"/>
    <n v="700"/>
    <n v="0.36842105263157893"/>
  </r>
  <r>
    <s v="ORD-11343"/>
    <x v="298"/>
    <s v="P015"/>
    <x v="8"/>
    <s v="Personal Care"/>
    <s v="Bath"/>
    <s v="SilkyTouch"/>
    <s v="B07"/>
    <x v="3"/>
    <s v="Enugu"/>
    <x v="3"/>
    <s v="Walk-in"/>
    <s v="POS"/>
    <n v="2"/>
    <n v="600"/>
    <n v="950"/>
    <n v="0.15"/>
    <x v="10"/>
    <n v="7"/>
    <n v="1900"/>
    <n v="285"/>
    <n v="1615"/>
    <n v="1200"/>
    <n v="415"/>
    <n v="0.25696594427244585"/>
    <s v="Healthy"/>
    <s v="Safe"/>
    <n v="0.36842105263157893"/>
    <s v="Safe"/>
    <n v="350"/>
    <n v="0.36842105263157893"/>
  </r>
  <r>
    <s v="ORD-11344"/>
    <x v="329"/>
    <s v="P013"/>
    <x v="11"/>
    <s v="Personal Care"/>
    <s v="Skin Care"/>
    <s v="GlowPlus"/>
    <s v="B06"/>
    <x v="1"/>
    <s v="Rivers"/>
    <x v="1"/>
    <s v="Walk-in"/>
    <s v="Transfer"/>
    <n v="1"/>
    <n v="3500"/>
    <n v="5200"/>
    <n v="0.15"/>
    <x v="11"/>
    <n v="6"/>
    <n v="5200"/>
    <n v="780"/>
    <n v="4420"/>
    <n v="3500"/>
    <n v="920"/>
    <n v="0.20814479638009051"/>
    <s v="Healthy"/>
    <s v="Safe"/>
    <n v="0.32692307692307693"/>
    <s v="Safe"/>
    <n v="1700"/>
    <n v="0.32692307692307693"/>
  </r>
  <r>
    <s v="ORD-11345"/>
    <x v="180"/>
    <s v="P006"/>
    <x v="0"/>
    <s v="Beverages"/>
    <s v="Water"/>
    <s v="AquaPure"/>
    <s v="B01"/>
    <x v="2"/>
    <s v="Abuja"/>
    <x v="2"/>
    <s v="Member"/>
    <s v="POS"/>
    <n v="3"/>
    <n v="230"/>
    <n v="400"/>
    <n v="0.15"/>
    <x v="0"/>
    <n v="9"/>
    <n v="1200"/>
    <n v="180"/>
    <n v="1020"/>
    <n v="690"/>
    <n v="330"/>
    <n v="0.3235294117647059"/>
    <s v="Understocked"/>
    <s v="Safe"/>
    <n v="0.42499999999999999"/>
    <s v="Safe"/>
    <n v="170"/>
    <n v="0.42499999999999999"/>
  </r>
  <r>
    <s v="ORD-11346"/>
    <x v="107"/>
    <s v="P015"/>
    <x v="8"/>
    <s v="Personal Care"/>
    <s v="Bath"/>
    <s v="SilkyTouch"/>
    <s v="B02"/>
    <x v="4"/>
    <s v="Abuja"/>
    <x v="2"/>
    <s v="Member"/>
    <s v="Transfer"/>
    <n v="1"/>
    <n v="600"/>
    <n v="950"/>
    <n v="0.1"/>
    <x v="11"/>
    <n v="3"/>
    <n v="950"/>
    <n v="95"/>
    <n v="855"/>
    <n v="600"/>
    <n v="255"/>
    <n v="0.2982456140350877"/>
    <s v="Healthy"/>
    <s v="Safe"/>
    <n v="0.36842105263157893"/>
    <s v="Safe"/>
    <n v="350"/>
    <n v="0.36842105263157893"/>
  </r>
  <r>
    <s v="ORD-11347"/>
    <x v="258"/>
    <s v="P006"/>
    <x v="0"/>
    <s v="Beverages"/>
    <s v="Water"/>
    <s v="AquaPure"/>
    <s v="B01"/>
    <x v="2"/>
    <s v="Abuja"/>
    <x v="2"/>
    <s v="Member"/>
    <s v="POS"/>
    <n v="2"/>
    <n v="230"/>
    <n v="400"/>
    <n v="0.15"/>
    <x v="2"/>
    <n v="10"/>
    <n v="800"/>
    <n v="120"/>
    <n v="680"/>
    <n v="460"/>
    <n v="220"/>
    <n v="0.3235294117647059"/>
    <s v="Understocked"/>
    <s v="Safe"/>
    <n v="0.42499999999999999"/>
    <s v="Safe"/>
    <n v="170"/>
    <n v="0.42499999999999999"/>
  </r>
  <r>
    <s v="ORD-11348"/>
    <x v="353"/>
    <s v="P006"/>
    <x v="0"/>
    <s v="Beverages"/>
    <s v="Water"/>
    <s v="AquaPure"/>
    <s v="B02"/>
    <x v="4"/>
    <s v="Abuja"/>
    <x v="2"/>
    <s v="Walk-in"/>
    <s v="POS"/>
    <n v="5"/>
    <n v="230"/>
    <n v="400"/>
    <n v="0"/>
    <x v="3"/>
    <n v="8"/>
    <n v="2000"/>
    <n v="0"/>
    <n v="2000"/>
    <n v="1150"/>
    <n v="850"/>
    <n v="0.42499999999999999"/>
    <s v="Understocked"/>
    <s v="Safe"/>
    <n v="0.42499999999999999"/>
    <s v="Safe"/>
    <n v="170"/>
    <n v="0.42499999999999999"/>
  </r>
  <r>
    <s v="ORD-11349"/>
    <x v="328"/>
    <s v="P023"/>
    <x v="6"/>
    <s v="Office Supplies"/>
    <s v="Stationery"/>
    <s v="StudyPro"/>
    <s v="B02"/>
    <x v="4"/>
    <s v="Abuja"/>
    <x v="2"/>
    <s v="Walk-in"/>
    <s v="Cash"/>
    <n v="2"/>
    <n v="2800"/>
    <n v="4200"/>
    <n v="0.1"/>
    <x v="15"/>
    <n v="1"/>
    <n v="8400"/>
    <n v="840"/>
    <n v="7560"/>
    <n v="5600"/>
    <n v="1960"/>
    <n v="0.25925925925925924"/>
    <s v="Understocked"/>
    <s v="Safe"/>
    <n v="0.33333333333333331"/>
    <s v="Safe"/>
    <n v="1400"/>
    <n v="0.33333333333333331"/>
  </r>
  <r>
    <s v="ORD-11350"/>
    <x v="58"/>
    <s v="P019"/>
    <x v="18"/>
    <s v="Electronics"/>
    <s v="Audio"/>
    <s v="SoundBeat"/>
    <s v="B03"/>
    <x v="6"/>
    <s v="Lagos"/>
    <x v="4"/>
    <s v="Walk-in"/>
    <s v="POS"/>
    <n v="3"/>
    <n v="12500"/>
    <n v="18500"/>
    <n v="0.1"/>
    <x v="12"/>
    <n v="7"/>
    <n v="55500"/>
    <n v="5550"/>
    <n v="49950"/>
    <n v="37500"/>
    <n v="12450"/>
    <n v="0.24924924924924924"/>
    <s v="Understocked"/>
    <s v="Safe"/>
    <n v="0.32432432432432434"/>
    <s v="Safe"/>
    <n v="6000"/>
    <n v="0.32432432432432434"/>
  </r>
  <r>
    <s v="ORD-11351"/>
    <x v="285"/>
    <s v="P015"/>
    <x v="8"/>
    <s v="Personal Care"/>
    <s v="Bath"/>
    <s v="SilkyTouch"/>
    <s v="B06"/>
    <x v="1"/>
    <s v="Rivers"/>
    <x v="1"/>
    <s v="Walk-in"/>
    <s v="Transfer"/>
    <n v="10"/>
    <n v="600"/>
    <n v="950"/>
    <n v="0.15"/>
    <x v="6"/>
    <n v="6"/>
    <n v="9500"/>
    <n v="1425"/>
    <n v="8075"/>
    <n v="6000"/>
    <n v="2075"/>
    <n v="0.25696594427244585"/>
    <s v="Healthy"/>
    <s v="Safe"/>
    <n v="0.36842105263157893"/>
    <s v="Safe"/>
    <n v="350"/>
    <n v="0.36842105263157893"/>
  </r>
  <r>
    <s v="ORD-11352"/>
    <x v="181"/>
    <s v="P023"/>
    <x v="6"/>
    <s v="Office Supplies"/>
    <s v="Stationery"/>
    <s v="StudyPro"/>
    <s v="B01"/>
    <x v="2"/>
    <s v="Abuja"/>
    <x v="2"/>
    <s v="Walk-in"/>
    <s v="POS"/>
    <n v="5"/>
    <n v="2800"/>
    <n v="4200"/>
    <n v="0.2"/>
    <x v="15"/>
    <n v="2"/>
    <n v="21000"/>
    <n v="4200"/>
    <n v="16800"/>
    <n v="14000"/>
    <n v="2800"/>
    <n v="0.16666666666666666"/>
    <s v="Understocked"/>
    <s v="Safe"/>
    <n v="0.33333333333333331"/>
    <s v="Safe"/>
    <n v="1400"/>
    <n v="0.33333333333333331"/>
  </r>
  <r>
    <s v="ORD-11353"/>
    <x v="74"/>
    <s v="P015"/>
    <x v="8"/>
    <s v="Personal Care"/>
    <s v="Bath"/>
    <s v="SilkyTouch"/>
    <s v="B04"/>
    <x v="5"/>
    <s v="Lagos"/>
    <x v="4"/>
    <s v="Walk-in"/>
    <s v="Transfer"/>
    <n v="1"/>
    <n v="600"/>
    <n v="950"/>
    <n v="0.15"/>
    <x v="10"/>
    <n v="11"/>
    <n v="950"/>
    <n v="142.5"/>
    <n v="807.5"/>
    <n v="600"/>
    <n v="207.5"/>
    <n v="0.25696594427244585"/>
    <s v="Healthy"/>
    <s v="Safe"/>
    <n v="0.36842105263157893"/>
    <s v="Safe"/>
    <n v="350"/>
    <n v="0.36842105263157893"/>
  </r>
  <r>
    <s v="ORD-11354"/>
    <x v="334"/>
    <s v="P008"/>
    <x v="4"/>
    <s v="Beverages"/>
    <s v="Soft Drinks"/>
    <s v="Sparkle"/>
    <s v="B04"/>
    <x v="5"/>
    <s v="Lagos"/>
    <x v="4"/>
    <s v="Walk-in"/>
    <s v="Transfer"/>
    <n v="1"/>
    <n v="330"/>
    <n v="550"/>
    <n v="0.1"/>
    <x v="3"/>
    <n v="1"/>
    <n v="550"/>
    <n v="55"/>
    <n v="495"/>
    <n v="330"/>
    <n v="165"/>
    <n v="0.33333333333333331"/>
    <s v="Healthy"/>
    <s v="Safe"/>
    <n v="0.4"/>
    <s v="Safe"/>
    <n v="220"/>
    <n v="0.4"/>
  </r>
  <r>
    <s v="ORD-11355"/>
    <x v="161"/>
    <s v="P014"/>
    <x v="15"/>
    <s v="Personal Care"/>
    <s v="Oral Care"/>
    <s v="FreshMint"/>
    <s v="B07"/>
    <x v="3"/>
    <s v="Enugu"/>
    <x v="3"/>
    <s v="Walk-in"/>
    <s v="Transfer"/>
    <n v="3"/>
    <n v="1200"/>
    <n v="1900"/>
    <n v="0.1"/>
    <x v="10"/>
    <n v="5"/>
    <n v="5700"/>
    <n v="570"/>
    <n v="5130"/>
    <n v="3600"/>
    <n v="1530"/>
    <n v="0.2982456140350877"/>
    <s v="Healthy"/>
    <s v="Safe"/>
    <n v="0.36842105263157893"/>
    <s v="Safe"/>
    <n v="700"/>
    <n v="0.36842105263157893"/>
  </r>
  <r>
    <s v="ORD-11356"/>
    <x v="278"/>
    <s v="P015"/>
    <x v="8"/>
    <s v="Personal Care"/>
    <s v="Bath"/>
    <s v="SilkyTouch"/>
    <s v="B04"/>
    <x v="5"/>
    <s v="Lagos"/>
    <x v="4"/>
    <s v="Corporate"/>
    <s v="Card"/>
    <n v="4"/>
    <n v="600"/>
    <n v="950"/>
    <n v="0.2"/>
    <x v="11"/>
    <n v="5"/>
    <n v="3800"/>
    <n v="760"/>
    <n v="3040"/>
    <n v="2400"/>
    <n v="640"/>
    <n v="0.21052631578947367"/>
    <s v="Healthy"/>
    <s v="Safe"/>
    <n v="0.36842105263157893"/>
    <s v="Safe"/>
    <n v="350"/>
    <n v="0.36842105263157893"/>
  </r>
  <r>
    <s v="ORD-11357"/>
    <x v="86"/>
    <s v="P006"/>
    <x v="0"/>
    <s v="Beverages"/>
    <s v="Water"/>
    <s v="AquaPure"/>
    <s v="B02"/>
    <x v="4"/>
    <s v="Abuja"/>
    <x v="2"/>
    <s v="Walk-in"/>
    <s v="POS"/>
    <n v="5"/>
    <n v="230"/>
    <n v="400"/>
    <n v="0.05"/>
    <x v="0"/>
    <n v="10"/>
    <n v="2000"/>
    <n v="100"/>
    <n v="1900"/>
    <n v="1150"/>
    <n v="750"/>
    <n v="0.39473684210526316"/>
    <s v="Understocked"/>
    <s v="Safe"/>
    <n v="0.42499999999999999"/>
    <s v="Safe"/>
    <n v="170"/>
    <n v="0.42499999999999999"/>
  </r>
  <r>
    <s v="ORD-11358"/>
    <x v="257"/>
    <s v="P023"/>
    <x v="6"/>
    <s v="Office Supplies"/>
    <s v="Stationery"/>
    <s v="StudyPro"/>
    <s v="B01"/>
    <x v="2"/>
    <s v="Abuja"/>
    <x v="2"/>
    <s v="Member"/>
    <s v="Cash"/>
    <n v="4"/>
    <n v="2800"/>
    <n v="4200"/>
    <n v="0.1"/>
    <x v="15"/>
    <n v="9"/>
    <n v="16800"/>
    <n v="1680"/>
    <n v="15120"/>
    <n v="11200"/>
    <n v="3920"/>
    <n v="0.25925925925925924"/>
    <s v="Understocked"/>
    <s v="Safe"/>
    <n v="0.33333333333333331"/>
    <s v="Safe"/>
    <n v="1400"/>
    <n v="0.33333333333333331"/>
  </r>
  <r>
    <s v="ORD-11359"/>
    <x v="249"/>
    <s v="P015"/>
    <x v="8"/>
    <s v="Personal Care"/>
    <s v="Bath"/>
    <s v="SilkyTouch"/>
    <s v="B03"/>
    <x v="6"/>
    <s v="Lagos"/>
    <x v="4"/>
    <s v="Walk-in"/>
    <s v="Cash"/>
    <n v="3"/>
    <n v="600"/>
    <n v="950"/>
    <n v="0.1"/>
    <x v="10"/>
    <n v="8"/>
    <n v="2850"/>
    <n v="285"/>
    <n v="2565"/>
    <n v="1800"/>
    <n v="765"/>
    <n v="0.2982456140350877"/>
    <s v="Healthy"/>
    <s v="Safe"/>
    <n v="0.36842105263157893"/>
    <s v="Safe"/>
    <n v="350"/>
    <n v="0.36842105263157893"/>
  </r>
  <r>
    <s v="ORD-11360"/>
    <x v="225"/>
    <s v="P002"/>
    <x v="10"/>
    <s v="Food"/>
    <s v="Grains"/>
    <s v="Mama's Pride"/>
    <s v="B08"/>
    <x v="7"/>
    <s v="Kwara"/>
    <x v="2"/>
    <s v="Walk-in"/>
    <s v="Transfer"/>
    <n v="3"/>
    <n v="6200"/>
    <n v="7900"/>
    <n v="0.2"/>
    <x v="1"/>
    <n v="8"/>
    <n v="23700"/>
    <n v="4740"/>
    <n v="18960"/>
    <n v="18600"/>
    <n v="360"/>
    <n v="1.8987341772151899E-2"/>
    <s v="Healthy"/>
    <s v="Safe"/>
    <n v="0.21518987341772153"/>
    <s v="Safe"/>
    <n v="1700"/>
    <n v="0.21518987341772153"/>
  </r>
  <r>
    <s v="ORD-11361"/>
    <x v="325"/>
    <s v="P004"/>
    <x v="1"/>
    <s v="Beverages"/>
    <s v="Dairy"/>
    <s v="FreshDay"/>
    <s v="B03"/>
    <x v="6"/>
    <s v="Lagos"/>
    <x v="4"/>
    <s v="Walk-in"/>
    <s v="Cash"/>
    <n v="1"/>
    <n v="1650"/>
    <n v="2200"/>
    <n v="0.05"/>
    <x v="2"/>
    <n v="7"/>
    <n v="2200"/>
    <n v="110"/>
    <n v="2090"/>
    <n v="1650"/>
    <n v="440"/>
    <n v="0.21052631578947367"/>
    <s v="Understocked"/>
    <s v="Safe"/>
    <n v="0.25"/>
    <s v="Safe"/>
    <n v="550"/>
    <n v="0.25"/>
  </r>
  <r>
    <s v="ORD-11362"/>
    <x v="330"/>
    <s v="P023"/>
    <x v="6"/>
    <s v="Office Supplies"/>
    <s v="Stationery"/>
    <s v="StudyPro"/>
    <s v="B05"/>
    <x v="0"/>
    <s v="Kano"/>
    <x v="0"/>
    <s v="Walk-in"/>
    <s v="Cash"/>
    <n v="2"/>
    <n v="2800"/>
    <n v="4200"/>
    <n v="0.1"/>
    <x v="5"/>
    <n v="1"/>
    <n v="8400"/>
    <n v="840"/>
    <n v="7560"/>
    <n v="5600"/>
    <n v="1960"/>
    <n v="0.25925925925925924"/>
    <s v="Understocked"/>
    <s v="Safe"/>
    <n v="0.33333333333333331"/>
    <s v="Safe"/>
    <n v="1400"/>
    <n v="0.33333333333333331"/>
  </r>
  <r>
    <s v="ORD-11363"/>
    <x v="173"/>
    <s v="P014"/>
    <x v="15"/>
    <s v="Personal Care"/>
    <s v="Oral Care"/>
    <s v="FreshMint"/>
    <s v="B01"/>
    <x v="2"/>
    <s v="Abuja"/>
    <x v="2"/>
    <s v="Walk-in"/>
    <s v="Transfer"/>
    <n v="1"/>
    <n v="1200"/>
    <n v="1900"/>
    <n v="0.2"/>
    <x v="11"/>
    <n v="1"/>
    <n v="1900"/>
    <n v="380"/>
    <n v="1520"/>
    <n v="1200"/>
    <n v="320"/>
    <n v="0.21052631578947367"/>
    <s v="Healthy"/>
    <s v="Safe"/>
    <n v="0.36842105263157893"/>
    <s v="Safe"/>
    <n v="700"/>
    <n v="0.36842105263157893"/>
  </r>
  <r>
    <s v="ORD-11364"/>
    <x v="248"/>
    <s v="P010"/>
    <x v="22"/>
    <s v="Household"/>
    <s v="Paper Products"/>
    <s v="SoftCare"/>
    <s v="B07"/>
    <x v="3"/>
    <s v="Enugu"/>
    <x v="3"/>
    <s v="Member"/>
    <s v="Cash"/>
    <n v="8"/>
    <n v="3200"/>
    <n v="4500"/>
    <n v="0"/>
    <x v="7"/>
    <n v="6"/>
    <n v="36000"/>
    <n v="0"/>
    <n v="36000"/>
    <n v="25600"/>
    <n v="10400"/>
    <n v="0.28888888888888886"/>
    <s v="Healthy"/>
    <s v="Safe"/>
    <n v="0.28888888888888886"/>
    <s v="Safe"/>
    <n v="1300"/>
    <n v="0.28888888888888886"/>
  </r>
  <r>
    <s v="ORD-11365"/>
    <x v="6"/>
    <s v="P022"/>
    <x v="17"/>
    <s v="Office Supplies"/>
    <s v="Writing"/>
    <s v="WriteWell"/>
    <s v="B04"/>
    <x v="5"/>
    <s v="Lagos"/>
    <x v="4"/>
    <s v="Member"/>
    <s v="POS"/>
    <n v="3"/>
    <n v="1300"/>
    <n v="2100"/>
    <n v="0.15"/>
    <x v="15"/>
    <n v="9"/>
    <n v="6300"/>
    <n v="945"/>
    <n v="5355"/>
    <n v="3900"/>
    <n v="1455"/>
    <n v="0.27170868347338933"/>
    <s v="Understocked"/>
    <s v="Safe"/>
    <n v="0.38095238095238093"/>
    <s v="Safe"/>
    <n v="800"/>
    <n v="0.38095238095238093"/>
  </r>
  <r>
    <s v="ORD-11366"/>
    <x v="80"/>
    <s v="P001"/>
    <x v="14"/>
    <s v="Food"/>
    <s v="Grains"/>
    <s v="Golden Harvest"/>
    <s v="B01"/>
    <x v="2"/>
    <s v="Abuja"/>
    <x v="2"/>
    <s v="Corporate"/>
    <s v="POS"/>
    <n v="3"/>
    <n v="14500"/>
    <n v="17500"/>
    <n v="0.2"/>
    <x v="8"/>
    <n v="5"/>
    <n v="52500"/>
    <n v="10500"/>
    <n v="42000"/>
    <n v="43500"/>
    <n v="-1500"/>
    <n v="-3.5714285714285712E-2"/>
    <s v="Understocked"/>
    <s v="Discount loss"/>
    <n v="0.17142857142857143"/>
    <s v="Discount loss"/>
    <n v="3000"/>
    <n v="0.17142857142857143"/>
  </r>
  <r>
    <s v="ORD-11367"/>
    <x v="6"/>
    <s v="P004"/>
    <x v="1"/>
    <s v="Beverages"/>
    <s v="Dairy"/>
    <s v="FreshDay"/>
    <s v="B04"/>
    <x v="5"/>
    <s v="Lagos"/>
    <x v="4"/>
    <s v="Member"/>
    <s v="POS"/>
    <n v="6"/>
    <n v="1650"/>
    <n v="2200"/>
    <n v="0.05"/>
    <x v="2"/>
    <n v="8"/>
    <n v="13200"/>
    <n v="660"/>
    <n v="12540"/>
    <n v="9900"/>
    <n v="2640"/>
    <n v="0.21052631578947367"/>
    <s v="Understocked"/>
    <s v="Safe"/>
    <n v="0.25"/>
    <s v="Safe"/>
    <n v="550"/>
    <n v="0.25"/>
  </r>
  <r>
    <s v="ORD-11368"/>
    <x v="38"/>
    <s v="P019"/>
    <x v="18"/>
    <s v="Electronics"/>
    <s v="Audio"/>
    <s v="SoundBeat"/>
    <s v="B06"/>
    <x v="1"/>
    <s v="Rivers"/>
    <x v="1"/>
    <s v="Walk-in"/>
    <s v="Card"/>
    <n v="8"/>
    <n v="12500"/>
    <n v="18500"/>
    <n v="0.1"/>
    <x v="4"/>
    <n v="4"/>
    <n v="148000"/>
    <n v="14800"/>
    <n v="133200"/>
    <n v="100000"/>
    <n v="33200"/>
    <n v="0.24924924924924924"/>
    <s v="Understocked"/>
    <s v="Safe"/>
    <n v="0.32432432432432434"/>
    <s v="Safe"/>
    <n v="6000"/>
    <n v="0.32432432432432434"/>
  </r>
  <r>
    <s v="ORD-11369"/>
    <x v="60"/>
    <s v="P004"/>
    <x v="1"/>
    <s v="Beverages"/>
    <s v="Dairy"/>
    <s v="FreshDay"/>
    <s v="B03"/>
    <x v="6"/>
    <s v="Lagos"/>
    <x v="4"/>
    <s v="Corporate"/>
    <s v="POS"/>
    <n v="2"/>
    <n v="1650"/>
    <n v="2200"/>
    <n v="0.15"/>
    <x v="0"/>
    <n v="12"/>
    <n v="4400"/>
    <n v="660"/>
    <n v="3740"/>
    <n v="3300"/>
    <n v="440"/>
    <n v="0.11764705882352941"/>
    <s v="Understocked"/>
    <s v="Safe"/>
    <n v="0.25"/>
    <s v="Safe"/>
    <n v="550"/>
    <n v="0.25"/>
  </r>
  <r>
    <s v="ORD-11370"/>
    <x v="276"/>
    <s v="P003"/>
    <x v="12"/>
    <s v="Food"/>
    <s v="Cooking Oil"/>
    <s v="SunGold"/>
    <s v="B04"/>
    <x v="5"/>
    <s v="Lagos"/>
    <x v="4"/>
    <s v="Walk-in"/>
    <s v="POS"/>
    <n v="4"/>
    <n v="7800"/>
    <n v="9800"/>
    <n v="0.05"/>
    <x v="1"/>
    <n v="9"/>
    <n v="39200"/>
    <n v="1960"/>
    <n v="37240"/>
    <n v="31200"/>
    <n v="6040"/>
    <n v="0.16219119226638024"/>
    <s v="Understocked"/>
    <s v="Safe"/>
    <n v="0.20408163265306123"/>
    <s v="Safe"/>
    <n v="2000"/>
    <n v="0.20408163265306123"/>
  </r>
  <r>
    <s v="ORD-11371"/>
    <x v="28"/>
    <s v="P014"/>
    <x v="15"/>
    <s v="Personal Care"/>
    <s v="Oral Care"/>
    <s v="FreshMint"/>
    <s v="B03"/>
    <x v="6"/>
    <s v="Lagos"/>
    <x v="4"/>
    <s v="Walk-in"/>
    <s v="POS"/>
    <n v="1"/>
    <n v="1200"/>
    <n v="1900"/>
    <n v="0.1"/>
    <x v="11"/>
    <n v="7"/>
    <n v="1900"/>
    <n v="190"/>
    <n v="1710"/>
    <n v="1200"/>
    <n v="510"/>
    <n v="0.2982456140350877"/>
    <s v="Healthy"/>
    <s v="Safe"/>
    <n v="0.36842105263157893"/>
    <s v="Safe"/>
    <n v="700"/>
    <n v="0.36842105263157893"/>
  </r>
  <r>
    <s v="ORD-11372"/>
    <x v="60"/>
    <s v="P001"/>
    <x v="14"/>
    <s v="Food"/>
    <s v="Grains"/>
    <s v="Golden Harvest"/>
    <s v="B01"/>
    <x v="2"/>
    <s v="Abuja"/>
    <x v="2"/>
    <s v="Walk-in"/>
    <s v="POS"/>
    <n v="3"/>
    <n v="14500"/>
    <n v="17500"/>
    <n v="0.1"/>
    <x v="8"/>
    <n v="13"/>
    <n v="52500"/>
    <n v="5250"/>
    <n v="47250"/>
    <n v="43500"/>
    <n v="3750"/>
    <n v="7.9365079365079361E-2"/>
    <s v="Understocked"/>
    <s v="Safe"/>
    <n v="0.17142857142857143"/>
    <s v="Safe"/>
    <n v="3000"/>
    <n v="0.17142857142857143"/>
  </r>
  <r>
    <s v="ORD-11373"/>
    <x v="2"/>
    <s v="P009"/>
    <x v="13"/>
    <s v="Household"/>
    <s v="Cleaning"/>
    <s v="BrightWash"/>
    <s v="B01"/>
    <x v="2"/>
    <s v="Abuja"/>
    <x v="2"/>
    <s v="Member"/>
    <s v="POS"/>
    <n v="8"/>
    <n v="2400"/>
    <n v="3400"/>
    <n v="0.05"/>
    <x v="1"/>
    <n v="3"/>
    <n v="27200"/>
    <n v="1360"/>
    <n v="25840"/>
    <n v="19200"/>
    <n v="6640"/>
    <n v="0.25696594427244585"/>
    <s v="Healthy"/>
    <s v="Safe"/>
    <n v="0.29411764705882354"/>
    <s v="Safe"/>
    <n v="1000"/>
    <n v="0.29411764705882354"/>
  </r>
  <r>
    <s v="ORD-11374"/>
    <x v="121"/>
    <s v="P009"/>
    <x v="13"/>
    <s v="Household"/>
    <s v="Cleaning"/>
    <s v="BrightWash"/>
    <s v="B01"/>
    <x v="2"/>
    <s v="Abuja"/>
    <x v="2"/>
    <s v="Corporate"/>
    <s v="Cash"/>
    <n v="2"/>
    <n v="2400"/>
    <n v="3400"/>
    <n v="0"/>
    <x v="1"/>
    <n v="14"/>
    <n v="6800"/>
    <n v="0"/>
    <n v="6800"/>
    <n v="4800"/>
    <n v="2000"/>
    <n v="0.29411764705882354"/>
    <s v="Healthy"/>
    <s v="Safe"/>
    <n v="0.29411764705882354"/>
    <s v="Safe"/>
    <n v="1000"/>
    <n v="0.29411764705882354"/>
  </r>
  <r>
    <s v="ORD-11375"/>
    <x v="20"/>
    <s v="P009"/>
    <x v="13"/>
    <s v="Household"/>
    <s v="Cleaning"/>
    <s v="BrightWash"/>
    <s v="B02"/>
    <x v="4"/>
    <s v="Abuja"/>
    <x v="2"/>
    <s v="Member"/>
    <s v="Cash"/>
    <n v="2"/>
    <n v="2400"/>
    <n v="3400"/>
    <n v="0.1"/>
    <x v="7"/>
    <n v="4"/>
    <n v="6800"/>
    <n v="680"/>
    <n v="6120"/>
    <n v="4800"/>
    <n v="1320"/>
    <n v="0.21568627450980393"/>
    <s v="Healthy"/>
    <s v="Safe"/>
    <n v="0.29411764705882354"/>
    <s v="Safe"/>
    <n v="1000"/>
    <n v="0.29411764705882354"/>
  </r>
  <r>
    <s v="ORD-11376"/>
    <x v="23"/>
    <s v="P015"/>
    <x v="8"/>
    <s v="Personal Care"/>
    <s v="Bath"/>
    <s v="SilkyTouch"/>
    <s v="B04"/>
    <x v="5"/>
    <s v="Lagos"/>
    <x v="4"/>
    <s v="Walk-in"/>
    <s v="Transfer"/>
    <n v="3"/>
    <n v="600"/>
    <n v="950"/>
    <n v="0.1"/>
    <x v="10"/>
    <n v="2"/>
    <n v="2850"/>
    <n v="285"/>
    <n v="2565"/>
    <n v="1800"/>
    <n v="765"/>
    <n v="0.2982456140350877"/>
    <s v="Healthy"/>
    <s v="Safe"/>
    <n v="0.36842105263157893"/>
    <s v="Safe"/>
    <n v="350"/>
    <n v="0.36842105263157893"/>
  </r>
  <r>
    <s v="ORD-11377"/>
    <x v="291"/>
    <s v="P021"/>
    <x v="20"/>
    <s v="Office Supplies"/>
    <s v="Paper"/>
    <s v="OfficeMate"/>
    <s v="B05"/>
    <x v="0"/>
    <s v="Kano"/>
    <x v="0"/>
    <s v="Walk-in"/>
    <s v="Transfer"/>
    <n v="6"/>
    <n v="5200"/>
    <n v="7000"/>
    <n v="0.1"/>
    <x v="15"/>
    <n v="6"/>
    <n v="42000"/>
    <n v="4200"/>
    <n v="37800"/>
    <n v="31200"/>
    <n v="6600"/>
    <n v="0.17460317460317459"/>
    <s v="Overstocked"/>
    <s v="Safe"/>
    <n v="0.25714285714285712"/>
    <s v="Safe"/>
    <n v="1800"/>
    <n v="0.25714285714285712"/>
  </r>
  <r>
    <s v="ORD-11378"/>
    <x v="156"/>
    <s v="P001"/>
    <x v="14"/>
    <s v="Food"/>
    <s v="Grains"/>
    <s v="Golden Harvest"/>
    <s v="B02"/>
    <x v="4"/>
    <s v="Abuja"/>
    <x v="2"/>
    <s v="Member"/>
    <s v="Transfer"/>
    <n v="2"/>
    <n v="14500"/>
    <n v="17500"/>
    <n v="0.1"/>
    <x v="1"/>
    <n v="12"/>
    <n v="35000"/>
    <n v="3500"/>
    <n v="31500"/>
    <n v="29000"/>
    <n v="2500"/>
    <n v="7.9365079365079361E-2"/>
    <s v="Understocked"/>
    <s v="Safe"/>
    <n v="0.17142857142857143"/>
    <s v="Safe"/>
    <n v="3000"/>
    <n v="0.17142857142857143"/>
  </r>
  <r>
    <s v="ORD-11379"/>
    <x v="166"/>
    <s v="P006"/>
    <x v="0"/>
    <s v="Beverages"/>
    <s v="Water"/>
    <s v="AquaPure"/>
    <s v="B08"/>
    <x v="7"/>
    <s v="Kwara"/>
    <x v="2"/>
    <s v="Walk-in"/>
    <s v="Cash"/>
    <n v="4"/>
    <n v="230"/>
    <n v="400"/>
    <n v="0.15"/>
    <x v="2"/>
    <n v="7"/>
    <n v="1600"/>
    <n v="240"/>
    <n v="1360"/>
    <n v="920"/>
    <n v="440"/>
    <n v="0.3235294117647059"/>
    <s v="Understocked"/>
    <s v="Safe"/>
    <n v="0.42499999999999999"/>
    <s v="Safe"/>
    <n v="170"/>
    <n v="0.42499999999999999"/>
  </r>
  <r>
    <s v="ORD-11380"/>
    <x v="139"/>
    <s v="P018"/>
    <x v="16"/>
    <s v="Electronics"/>
    <s v="Mobile Accessories"/>
    <s v="VoltSafe"/>
    <s v="B04"/>
    <x v="5"/>
    <s v="Lagos"/>
    <x v="4"/>
    <s v="Walk-in"/>
    <s v="POS"/>
    <n v="3"/>
    <n v="18000"/>
    <n v="24500"/>
    <n v="0.1"/>
    <x v="13"/>
    <n v="3"/>
    <n v="73500"/>
    <n v="7350"/>
    <n v="66150"/>
    <n v="54000"/>
    <n v="12150"/>
    <n v="0.18367346938775511"/>
    <s v="Understocked"/>
    <s v="Safe"/>
    <n v="0.26530612244897961"/>
    <s v="Safe"/>
    <n v="6500"/>
    <n v="0.26530612244897961"/>
  </r>
  <r>
    <s v="ORD-11381"/>
    <x v="334"/>
    <s v="P002"/>
    <x v="10"/>
    <s v="Food"/>
    <s v="Grains"/>
    <s v="Mama's Pride"/>
    <s v="B01"/>
    <x v="2"/>
    <s v="Abuja"/>
    <x v="2"/>
    <s v="Walk-in"/>
    <s v="POS"/>
    <n v="1"/>
    <n v="6200"/>
    <n v="7900"/>
    <n v="0.15"/>
    <x v="9"/>
    <n v="12"/>
    <n v="7900"/>
    <n v="1185"/>
    <n v="6715"/>
    <n v="6200"/>
    <n v="515"/>
    <n v="7.6693968726731204E-2"/>
    <s v="Healthy"/>
    <s v="Safe"/>
    <n v="0.21518987341772153"/>
    <s v="Safe"/>
    <n v="1700"/>
    <n v="0.21518987341772153"/>
  </r>
  <r>
    <s v="ORD-11382"/>
    <x v="5"/>
    <s v="P015"/>
    <x v="8"/>
    <s v="Personal Care"/>
    <s v="Bath"/>
    <s v="SilkyTouch"/>
    <s v="B06"/>
    <x v="1"/>
    <s v="Rivers"/>
    <x v="1"/>
    <s v="Member"/>
    <s v="Card"/>
    <n v="2"/>
    <n v="600"/>
    <n v="950"/>
    <n v="0"/>
    <x v="6"/>
    <n v="7"/>
    <n v="1900"/>
    <n v="0"/>
    <n v="1900"/>
    <n v="1200"/>
    <n v="700"/>
    <n v="0.36842105263157893"/>
    <s v="Healthy"/>
    <s v="Safe"/>
    <n v="0.36842105263157893"/>
    <s v="Safe"/>
    <n v="350"/>
    <n v="0.36842105263157893"/>
  </r>
  <r>
    <s v="ORD-11383"/>
    <x v="275"/>
    <s v="P022"/>
    <x v="17"/>
    <s v="Office Supplies"/>
    <s v="Writing"/>
    <s v="WriteWell"/>
    <s v="B04"/>
    <x v="5"/>
    <s v="Lagos"/>
    <x v="4"/>
    <s v="Corporate"/>
    <s v="Transfer"/>
    <n v="3"/>
    <n v="1300"/>
    <n v="2100"/>
    <n v="0"/>
    <x v="15"/>
    <n v="2"/>
    <n v="6300"/>
    <n v="0"/>
    <n v="6300"/>
    <n v="3900"/>
    <n v="2400"/>
    <n v="0.38095238095238093"/>
    <s v="Understocked"/>
    <s v="Safe"/>
    <n v="0.38095238095238093"/>
    <s v="Safe"/>
    <n v="800"/>
    <n v="0.38095238095238093"/>
  </r>
  <r>
    <s v="ORD-11384"/>
    <x v="285"/>
    <s v="P004"/>
    <x v="1"/>
    <s v="Beverages"/>
    <s v="Dairy"/>
    <s v="FreshDay"/>
    <s v="B06"/>
    <x v="1"/>
    <s v="Rivers"/>
    <x v="1"/>
    <s v="Member"/>
    <s v="Transfer"/>
    <n v="5"/>
    <n v="1650"/>
    <n v="2200"/>
    <n v="0"/>
    <x v="3"/>
    <n v="8"/>
    <n v="11000"/>
    <n v="0"/>
    <n v="11000"/>
    <n v="8250"/>
    <n v="2750"/>
    <n v="0.25"/>
    <s v="Understocked"/>
    <s v="Safe"/>
    <n v="0.25"/>
    <s v="Safe"/>
    <n v="550"/>
    <n v="0.25"/>
  </r>
  <r>
    <s v="ORD-11385"/>
    <x v="137"/>
    <s v="P014"/>
    <x v="15"/>
    <s v="Personal Care"/>
    <s v="Oral Care"/>
    <s v="FreshMint"/>
    <s v="B04"/>
    <x v="5"/>
    <s v="Lagos"/>
    <x v="4"/>
    <s v="Member"/>
    <s v="Cash"/>
    <n v="10"/>
    <n v="1200"/>
    <n v="1900"/>
    <n v="0.1"/>
    <x v="6"/>
    <n v="3"/>
    <n v="19000"/>
    <n v="1900"/>
    <n v="17100"/>
    <n v="12000"/>
    <n v="5100"/>
    <n v="0.2982456140350877"/>
    <s v="Healthy"/>
    <s v="Safe"/>
    <n v="0.36842105263157893"/>
    <s v="Safe"/>
    <n v="700"/>
    <n v="0.36842105263157893"/>
  </r>
  <r>
    <s v="ORD-11386"/>
    <x v="246"/>
    <s v="P022"/>
    <x v="17"/>
    <s v="Office Supplies"/>
    <s v="Writing"/>
    <s v="WriteWell"/>
    <s v="B03"/>
    <x v="6"/>
    <s v="Lagos"/>
    <x v="4"/>
    <s v="Walk-in"/>
    <s v="Cash"/>
    <n v="1"/>
    <n v="1300"/>
    <n v="2100"/>
    <n v="0.1"/>
    <x v="14"/>
    <n v="9"/>
    <n v="2100"/>
    <n v="210"/>
    <n v="1890"/>
    <n v="1300"/>
    <n v="590"/>
    <n v="0.31216931216931215"/>
    <s v="Understocked"/>
    <s v="Safe"/>
    <n v="0.38095238095238093"/>
    <s v="Safe"/>
    <n v="800"/>
    <n v="0.38095238095238093"/>
  </r>
  <r>
    <s v="ORD-11387"/>
    <x v="265"/>
    <s v="P013"/>
    <x v="11"/>
    <s v="Personal Care"/>
    <s v="Skin Care"/>
    <s v="GlowPlus"/>
    <s v="B03"/>
    <x v="6"/>
    <s v="Lagos"/>
    <x v="4"/>
    <s v="Walk-in"/>
    <s v="POS"/>
    <n v="4"/>
    <n v="3500"/>
    <n v="5200"/>
    <n v="0"/>
    <x v="10"/>
    <n v="9"/>
    <n v="20800"/>
    <n v="0"/>
    <n v="20800"/>
    <n v="14000"/>
    <n v="6800"/>
    <n v="0.32692307692307693"/>
    <s v="Healthy"/>
    <s v="Safe"/>
    <n v="0.32692307692307693"/>
    <s v="Safe"/>
    <n v="1700"/>
    <n v="0.32692307692307693"/>
  </r>
  <r>
    <s v="ORD-11388"/>
    <x v="249"/>
    <s v="P003"/>
    <x v="12"/>
    <s v="Food"/>
    <s v="Cooking Oil"/>
    <s v="SunGold"/>
    <s v="B08"/>
    <x v="7"/>
    <s v="Kwara"/>
    <x v="2"/>
    <s v="Walk-in"/>
    <s v="POS"/>
    <n v="1"/>
    <n v="7800"/>
    <n v="9800"/>
    <n v="0.1"/>
    <x v="1"/>
    <n v="12"/>
    <n v="9800"/>
    <n v="980"/>
    <n v="8820"/>
    <n v="7800"/>
    <n v="1020"/>
    <n v="0.11564625850340136"/>
    <s v="Understocked"/>
    <s v="Safe"/>
    <n v="0.20408163265306123"/>
    <s v="Safe"/>
    <n v="2000"/>
    <n v="0.20408163265306123"/>
  </r>
  <r>
    <s v="ORD-11389"/>
    <x v="183"/>
    <s v="P007"/>
    <x v="3"/>
    <s v="Beverages"/>
    <s v="Malt"/>
    <s v="Naija Malt"/>
    <s v="B02"/>
    <x v="4"/>
    <s v="Abuja"/>
    <x v="2"/>
    <s v="Walk-in"/>
    <s v="POS"/>
    <n v="1"/>
    <n v="550"/>
    <n v="850"/>
    <n v="0"/>
    <x v="2"/>
    <n v="13"/>
    <n v="850"/>
    <n v="0"/>
    <n v="850"/>
    <n v="550"/>
    <n v="300"/>
    <n v="0.35294117647058826"/>
    <s v="Healthy"/>
    <s v="Safe"/>
    <n v="0.35294117647058826"/>
    <s v="Safe"/>
    <n v="300"/>
    <n v="0.35294117647058826"/>
  </r>
  <r>
    <s v="ORD-11390"/>
    <x v="334"/>
    <s v="P016"/>
    <x v="7"/>
    <s v="Personal Care"/>
    <s v="Fragrance"/>
    <s v="RoyalScent"/>
    <s v="B01"/>
    <x v="2"/>
    <s v="Abuja"/>
    <x v="2"/>
    <s v="Member"/>
    <s v="Transfer"/>
    <n v="3"/>
    <n v="8500"/>
    <n v="12500"/>
    <n v="0"/>
    <x v="10"/>
    <n v="11"/>
    <n v="37500"/>
    <n v="0"/>
    <n v="37500"/>
    <n v="25500"/>
    <n v="12000"/>
    <n v="0.32"/>
    <s v="Overstocked"/>
    <s v="Safe"/>
    <n v="0.32"/>
    <s v="Safe"/>
    <n v="4000"/>
    <n v="0.32"/>
  </r>
  <r>
    <s v="ORD-11391"/>
    <x v="215"/>
    <s v="P013"/>
    <x v="11"/>
    <s v="Personal Care"/>
    <s v="Skin Care"/>
    <s v="GlowPlus"/>
    <s v="B04"/>
    <x v="5"/>
    <s v="Lagos"/>
    <x v="4"/>
    <s v="Member"/>
    <s v="Transfer"/>
    <n v="4"/>
    <n v="3500"/>
    <n v="5200"/>
    <n v="0.1"/>
    <x v="10"/>
    <n v="8"/>
    <n v="20800"/>
    <n v="2080"/>
    <n v="18720"/>
    <n v="14000"/>
    <n v="4720"/>
    <n v="0.25213675213675213"/>
    <s v="Healthy"/>
    <s v="Safe"/>
    <n v="0.32692307692307693"/>
    <s v="Safe"/>
    <n v="1700"/>
    <n v="0.32692307692307693"/>
  </r>
  <r>
    <s v="ORD-11392"/>
    <x v="270"/>
    <s v="P008"/>
    <x v="4"/>
    <s v="Beverages"/>
    <s v="Soft Drinks"/>
    <s v="Sparkle"/>
    <s v="B07"/>
    <x v="3"/>
    <s v="Enugu"/>
    <x v="3"/>
    <s v="Member"/>
    <s v="POS"/>
    <n v="2"/>
    <n v="330"/>
    <n v="550"/>
    <n v="0"/>
    <x v="2"/>
    <n v="5"/>
    <n v="1100"/>
    <n v="0"/>
    <n v="1100"/>
    <n v="660"/>
    <n v="440"/>
    <n v="0.4"/>
    <s v="Healthy"/>
    <s v="Safe"/>
    <n v="0.4"/>
    <s v="Safe"/>
    <n v="220"/>
    <n v="0.4"/>
  </r>
  <r>
    <s v="ORD-11393"/>
    <x v="126"/>
    <s v="P015"/>
    <x v="8"/>
    <s v="Personal Care"/>
    <s v="Bath"/>
    <s v="SilkyTouch"/>
    <s v="B03"/>
    <x v="6"/>
    <s v="Lagos"/>
    <x v="4"/>
    <s v="Walk-in"/>
    <s v="POS"/>
    <n v="2"/>
    <n v="600"/>
    <n v="950"/>
    <n v="0"/>
    <x v="6"/>
    <n v="7"/>
    <n v="1900"/>
    <n v="0"/>
    <n v="1900"/>
    <n v="1200"/>
    <n v="700"/>
    <n v="0.36842105263157893"/>
    <s v="Healthy"/>
    <s v="Safe"/>
    <n v="0.36842105263157893"/>
    <s v="Safe"/>
    <n v="350"/>
    <n v="0.36842105263157893"/>
  </r>
  <r>
    <s v="ORD-11394"/>
    <x v="166"/>
    <s v="P006"/>
    <x v="0"/>
    <s v="Beverages"/>
    <s v="Water"/>
    <s v="AquaPure"/>
    <s v="B08"/>
    <x v="7"/>
    <s v="Kwara"/>
    <x v="2"/>
    <s v="Member"/>
    <s v="Transfer"/>
    <n v="2"/>
    <n v="230"/>
    <n v="400"/>
    <n v="0.05"/>
    <x v="2"/>
    <n v="8"/>
    <n v="800"/>
    <n v="40"/>
    <n v="760"/>
    <n v="460"/>
    <n v="300"/>
    <n v="0.39473684210526316"/>
    <s v="Understocked"/>
    <s v="Safe"/>
    <n v="0.42499999999999999"/>
    <s v="Safe"/>
    <n v="170"/>
    <n v="0.42499999999999999"/>
  </r>
  <r>
    <s v="ORD-11395"/>
    <x v="256"/>
    <s v="P014"/>
    <x v="15"/>
    <s v="Personal Care"/>
    <s v="Oral Care"/>
    <s v="FreshMint"/>
    <s v="B01"/>
    <x v="2"/>
    <s v="Abuja"/>
    <x v="2"/>
    <s v="Member"/>
    <s v="POS"/>
    <n v="3"/>
    <n v="1200"/>
    <n v="1900"/>
    <n v="0"/>
    <x v="10"/>
    <n v="11"/>
    <n v="5700"/>
    <n v="0"/>
    <n v="5700"/>
    <n v="3600"/>
    <n v="2100"/>
    <n v="0.36842105263157893"/>
    <s v="Healthy"/>
    <s v="Safe"/>
    <n v="0.36842105263157893"/>
    <s v="Safe"/>
    <n v="700"/>
    <n v="0.36842105263157893"/>
  </r>
  <r>
    <s v="ORD-11396"/>
    <x v="339"/>
    <s v="P021"/>
    <x v="20"/>
    <s v="Office Supplies"/>
    <s v="Paper"/>
    <s v="OfficeMate"/>
    <s v="B04"/>
    <x v="5"/>
    <s v="Lagos"/>
    <x v="4"/>
    <s v="Member"/>
    <s v="Card"/>
    <n v="4"/>
    <n v="5200"/>
    <n v="7000"/>
    <n v="0.1"/>
    <x v="15"/>
    <n v="8"/>
    <n v="28000"/>
    <n v="2800"/>
    <n v="25200"/>
    <n v="20800"/>
    <n v="4400"/>
    <n v="0.17460317460317459"/>
    <s v="Overstocked"/>
    <s v="Safe"/>
    <n v="0.25714285714285712"/>
    <s v="Safe"/>
    <n v="1800"/>
    <n v="0.25714285714285712"/>
  </r>
  <r>
    <s v="ORD-11397"/>
    <x v="317"/>
    <s v="P008"/>
    <x v="4"/>
    <s v="Beverages"/>
    <s v="Soft Drinks"/>
    <s v="Sparkle"/>
    <s v="B07"/>
    <x v="3"/>
    <s v="Enugu"/>
    <x v="3"/>
    <s v="Walk-in"/>
    <s v="Cash"/>
    <n v="8"/>
    <n v="330"/>
    <n v="550"/>
    <n v="0.15"/>
    <x v="2"/>
    <n v="9"/>
    <n v="4400"/>
    <n v="660"/>
    <n v="3740"/>
    <n v="2640"/>
    <n v="1100"/>
    <n v="0.29411764705882354"/>
    <s v="Healthy"/>
    <s v="Safe"/>
    <n v="0.4"/>
    <s v="Safe"/>
    <n v="220"/>
    <n v="0.4"/>
  </r>
  <r>
    <s v="ORD-11398"/>
    <x v="10"/>
    <s v="P007"/>
    <x v="3"/>
    <s v="Beverages"/>
    <s v="Malt"/>
    <s v="Naija Malt"/>
    <s v="B04"/>
    <x v="5"/>
    <s v="Lagos"/>
    <x v="4"/>
    <s v="Member"/>
    <s v="Transfer"/>
    <n v="1"/>
    <n v="550"/>
    <n v="850"/>
    <n v="0.05"/>
    <x v="0"/>
    <n v="3"/>
    <n v="850"/>
    <n v="42.5"/>
    <n v="807.5"/>
    <n v="550"/>
    <n v="257.5"/>
    <n v="0.31888544891640869"/>
    <s v="Healthy"/>
    <s v="Safe"/>
    <n v="0.35294117647058826"/>
    <s v="Safe"/>
    <n v="300"/>
    <n v="0.35294117647058826"/>
  </r>
  <r>
    <s v="ORD-11399"/>
    <x v="5"/>
    <s v="P010"/>
    <x v="22"/>
    <s v="Household"/>
    <s v="Paper Products"/>
    <s v="SoftCare"/>
    <s v="B02"/>
    <x v="4"/>
    <s v="Abuja"/>
    <x v="2"/>
    <s v="Walk-in"/>
    <s v="Transfer"/>
    <n v="2"/>
    <n v="3200"/>
    <n v="4500"/>
    <n v="0.15"/>
    <x v="10"/>
    <n v="4"/>
    <n v="9000"/>
    <n v="1350"/>
    <n v="7650"/>
    <n v="6400"/>
    <n v="1250"/>
    <n v="0.16339869281045752"/>
    <s v="Healthy"/>
    <s v="Safe"/>
    <n v="0.28888888888888886"/>
    <s v="Safe"/>
    <n v="1300"/>
    <n v="0.28888888888888886"/>
  </r>
  <r>
    <s v="ORD-11400"/>
    <x v="27"/>
    <s v="P016"/>
    <x v="7"/>
    <s v="Personal Care"/>
    <s v="Fragrance"/>
    <s v="RoyalScent"/>
    <s v="B04"/>
    <x v="5"/>
    <s v="Lagos"/>
    <x v="4"/>
    <s v="Walk-in"/>
    <s v="POS"/>
    <n v="3"/>
    <n v="8500"/>
    <n v="12500"/>
    <n v="0.2"/>
    <x v="6"/>
    <n v="11"/>
    <n v="37500"/>
    <n v="7500"/>
    <n v="30000"/>
    <n v="25500"/>
    <n v="4500"/>
    <n v="0.15"/>
    <s v="Overstocked"/>
    <s v="Safe"/>
    <n v="0.32"/>
    <s v="Safe"/>
    <n v="4000"/>
    <n v="0.32"/>
  </r>
  <r>
    <s v="ORD-11401"/>
    <x v="61"/>
    <s v="P002"/>
    <x v="10"/>
    <s v="Food"/>
    <s v="Grains"/>
    <s v="Mama's Pride"/>
    <s v="B01"/>
    <x v="2"/>
    <s v="Abuja"/>
    <x v="2"/>
    <s v="Member"/>
    <s v="Card"/>
    <n v="6"/>
    <n v="6200"/>
    <n v="7900"/>
    <n v="0"/>
    <x v="8"/>
    <n v="4"/>
    <n v="47400"/>
    <n v="0"/>
    <n v="47400"/>
    <n v="37200"/>
    <n v="10200"/>
    <n v="0.21518987341772153"/>
    <s v="Healthy"/>
    <s v="Safe"/>
    <n v="0.21518987341772153"/>
    <s v="Safe"/>
    <n v="1700"/>
    <n v="0.21518987341772153"/>
  </r>
  <r>
    <s v="ORD-11402"/>
    <x v="242"/>
    <s v="P006"/>
    <x v="0"/>
    <s v="Beverages"/>
    <s v="Water"/>
    <s v="AquaPure"/>
    <s v="B01"/>
    <x v="2"/>
    <s v="Abuja"/>
    <x v="2"/>
    <s v="Member"/>
    <s v="Transfer"/>
    <n v="3"/>
    <n v="230"/>
    <n v="400"/>
    <n v="0.05"/>
    <x v="2"/>
    <n v="12"/>
    <n v="1200"/>
    <n v="60"/>
    <n v="1140"/>
    <n v="690"/>
    <n v="450"/>
    <n v="0.39473684210526316"/>
    <s v="Understocked"/>
    <s v="Safe"/>
    <n v="0.42499999999999999"/>
    <s v="Safe"/>
    <n v="170"/>
    <n v="0.42499999999999999"/>
  </r>
  <r>
    <s v="ORD-11403"/>
    <x v="202"/>
    <s v="P003"/>
    <x v="12"/>
    <s v="Food"/>
    <s v="Cooking Oil"/>
    <s v="SunGold"/>
    <s v="B04"/>
    <x v="5"/>
    <s v="Lagos"/>
    <x v="4"/>
    <s v="Walk-in"/>
    <s v="POS"/>
    <n v="6"/>
    <n v="7800"/>
    <n v="9800"/>
    <n v="0"/>
    <x v="1"/>
    <n v="7"/>
    <n v="58800"/>
    <n v="0"/>
    <n v="58800"/>
    <n v="46800"/>
    <n v="12000"/>
    <n v="0.20408163265306123"/>
    <s v="Understocked"/>
    <s v="Safe"/>
    <n v="0.20408163265306123"/>
    <s v="Safe"/>
    <n v="2000"/>
    <n v="0.20408163265306123"/>
  </r>
  <r>
    <s v="ORD-11404"/>
    <x v="302"/>
    <s v="P013"/>
    <x v="11"/>
    <s v="Personal Care"/>
    <s v="Skin Care"/>
    <s v="GlowPlus"/>
    <s v="B06"/>
    <x v="1"/>
    <s v="Rivers"/>
    <x v="1"/>
    <s v="Walk-in"/>
    <s v="Cash"/>
    <n v="2"/>
    <n v="3500"/>
    <n v="5200"/>
    <n v="0.15"/>
    <x v="6"/>
    <n v="8"/>
    <n v="10400"/>
    <n v="1560"/>
    <n v="8840"/>
    <n v="7000"/>
    <n v="1840"/>
    <n v="0.20814479638009051"/>
    <s v="Healthy"/>
    <s v="Safe"/>
    <n v="0.32692307692307693"/>
    <s v="Safe"/>
    <n v="1700"/>
    <n v="0.32692307692307693"/>
  </r>
  <r>
    <s v="ORD-11405"/>
    <x v="21"/>
    <s v="P003"/>
    <x v="12"/>
    <s v="Food"/>
    <s v="Cooking Oil"/>
    <s v="SunGold"/>
    <s v="B03"/>
    <x v="6"/>
    <s v="Lagos"/>
    <x v="4"/>
    <s v="Walk-in"/>
    <s v="POS"/>
    <n v="2"/>
    <n v="7800"/>
    <n v="9800"/>
    <n v="0"/>
    <x v="8"/>
    <n v="8"/>
    <n v="19600"/>
    <n v="0"/>
    <n v="19600"/>
    <n v="15600"/>
    <n v="4000"/>
    <n v="0.20408163265306123"/>
    <s v="Understocked"/>
    <s v="Safe"/>
    <n v="0.20408163265306123"/>
    <s v="Safe"/>
    <n v="2000"/>
    <n v="0.20408163265306123"/>
  </r>
  <r>
    <s v="ORD-11406"/>
    <x v="350"/>
    <s v="P008"/>
    <x v="4"/>
    <s v="Beverages"/>
    <s v="Soft Drinks"/>
    <s v="Sparkle"/>
    <s v="B01"/>
    <x v="2"/>
    <s v="Abuja"/>
    <x v="2"/>
    <s v="Walk-in"/>
    <s v="Transfer"/>
    <n v="3"/>
    <n v="330"/>
    <n v="550"/>
    <n v="0.1"/>
    <x v="3"/>
    <n v="6"/>
    <n v="1650"/>
    <n v="165"/>
    <n v="1485"/>
    <n v="990"/>
    <n v="495"/>
    <n v="0.33333333333333331"/>
    <s v="Healthy"/>
    <s v="Safe"/>
    <n v="0.4"/>
    <s v="Safe"/>
    <n v="220"/>
    <n v="0.4"/>
  </r>
  <r>
    <s v="ORD-11407"/>
    <x v="124"/>
    <s v="P013"/>
    <x v="11"/>
    <s v="Personal Care"/>
    <s v="Skin Care"/>
    <s v="GlowPlus"/>
    <s v="B05"/>
    <x v="0"/>
    <s v="Kano"/>
    <x v="0"/>
    <s v="Corporate"/>
    <s v="POS"/>
    <n v="6"/>
    <n v="3500"/>
    <n v="5200"/>
    <n v="0"/>
    <x v="6"/>
    <n v="11"/>
    <n v="31200"/>
    <n v="0"/>
    <n v="31200"/>
    <n v="21000"/>
    <n v="10200"/>
    <n v="0.32692307692307693"/>
    <s v="Healthy"/>
    <s v="Safe"/>
    <n v="0.32692307692307693"/>
    <s v="Safe"/>
    <n v="1700"/>
    <n v="0.32692307692307693"/>
  </r>
  <r>
    <s v="ORD-11408"/>
    <x v="177"/>
    <s v="P018"/>
    <x v="16"/>
    <s v="Electronics"/>
    <s v="Mobile Accessories"/>
    <s v="VoltSafe"/>
    <s v="B06"/>
    <x v="1"/>
    <s v="Rivers"/>
    <x v="1"/>
    <s v="Walk-in"/>
    <s v="POS"/>
    <n v="2"/>
    <n v="18000"/>
    <n v="24500"/>
    <n v="0.2"/>
    <x v="12"/>
    <n v="7"/>
    <n v="49000"/>
    <n v="9800"/>
    <n v="39200"/>
    <n v="36000"/>
    <n v="3200"/>
    <n v="8.1632653061224483E-2"/>
    <s v="Understocked"/>
    <s v="Safe"/>
    <n v="0.26530612244897961"/>
    <s v="Safe"/>
    <n v="6500"/>
    <n v="0.26530612244897961"/>
  </r>
  <r>
    <s v="ORD-11409"/>
    <x v="339"/>
    <s v="P020"/>
    <x v="5"/>
    <s v="Electronics"/>
    <s v="Lighting"/>
    <s v="Luma"/>
    <s v="B02"/>
    <x v="4"/>
    <s v="Abuja"/>
    <x v="2"/>
    <s v="Member"/>
    <s v="Transfer"/>
    <n v="2"/>
    <n v="1500"/>
    <n v="2500"/>
    <n v="0.05"/>
    <x v="4"/>
    <n v="1"/>
    <n v="5000"/>
    <n v="250"/>
    <n v="4750"/>
    <n v="3000"/>
    <n v="1750"/>
    <n v="0.36842105263157893"/>
    <s v="Healthy"/>
    <s v="Safe"/>
    <n v="0.4"/>
    <s v="Safe"/>
    <n v="1000"/>
    <n v="0.4"/>
  </r>
  <r>
    <s v="ORD-11410"/>
    <x v="326"/>
    <s v="P006"/>
    <x v="0"/>
    <s v="Beverages"/>
    <s v="Water"/>
    <s v="AquaPure"/>
    <s v="B04"/>
    <x v="5"/>
    <s v="Lagos"/>
    <x v="4"/>
    <s v="Member"/>
    <s v="POS"/>
    <n v="2"/>
    <n v="230"/>
    <n v="400"/>
    <n v="0"/>
    <x v="2"/>
    <n v="11"/>
    <n v="800"/>
    <n v="0"/>
    <n v="800"/>
    <n v="460"/>
    <n v="340"/>
    <n v="0.42499999999999999"/>
    <s v="Understocked"/>
    <s v="Safe"/>
    <n v="0.42499999999999999"/>
    <s v="Safe"/>
    <n v="170"/>
    <n v="0.42499999999999999"/>
  </r>
  <r>
    <s v="ORD-11411"/>
    <x v="302"/>
    <s v="P001"/>
    <x v="14"/>
    <s v="Food"/>
    <s v="Grains"/>
    <s v="Golden Harvest"/>
    <s v="B07"/>
    <x v="3"/>
    <s v="Enugu"/>
    <x v="3"/>
    <s v="Walk-in"/>
    <s v="Card"/>
    <n v="8"/>
    <n v="14500"/>
    <n v="17500"/>
    <n v="0"/>
    <x v="9"/>
    <n v="8"/>
    <n v="140000"/>
    <n v="0"/>
    <n v="140000"/>
    <n v="116000"/>
    <n v="24000"/>
    <n v="0.17142857142857143"/>
    <s v="Understocked"/>
    <s v="Safe"/>
    <n v="0.17142857142857143"/>
    <s v="Safe"/>
    <n v="3000"/>
    <n v="0.17142857142857143"/>
  </r>
  <r>
    <s v="ORD-11412"/>
    <x v="77"/>
    <s v="P015"/>
    <x v="8"/>
    <s v="Personal Care"/>
    <s v="Bath"/>
    <s v="SilkyTouch"/>
    <s v="B03"/>
    <x v="6"/>
    <s v="Lagos"/>
    <x v="4"/>
    <s v="Walk-in"/>
    <s v="POS"/>
    <n v="2"/>
    <n v="600"/>
    <n v="950"/>
    <n v="0.05"/>
    <x v="11"/>
    <n v="7"/>
    <n v="1900"/>
    <n v="95"/>
    <n v="1805"/>
    <n v="1200"/>
    <n v="605"/>
    <n v="0.33518005540166207"/>
    <s v="Healthy"/>
    <s v="Safe"/>
    <n v="0.36842105263157893"/>
    <s v="Safe"/>
    <n v="350"/>
    <n v="0.36842105263157893"/>
  </r>
  <r>
    <s v="ORD-11413"/>
    <x v="274"/>
    <s v="P022"/>
    <x v="17"/>
    <s v="Office Supplies"/>
    <s v="Writing"/>
    <s v="WriteWell"/>
    <s v="B06"/>
    <x v="1"/>
    <s v="Rivers"/>
    <x v="1"/>
    <s v="Walk-in"/>
    <s v="POS"/>
    <n v="3"/>
    <n v="1300"/>
    <n v="2100"/>
    <n v="0.05"/>
    <x v="5"/>
    <n v="2"/>
    <n v="6300"/>
    <n v="315"/>
    <n v="5985"/>
    <n v="3900"/>
    <n v="2085"/>
    <n v="0.34837092731829572"/>
    <s v="Understocked"/>
    <s v="Safe"/>
    <n v="0.38095238095238093"/>
    <s v="Safe"/>
    <n v="800"/>
    <n v="0.38095238095238093"/>
  </r>
  <r>
    <s v="ORD-11414"/>
    <x v="143"/>
    <s v="P020"/>
    <x v="5"/>
    <s v="Electronics"/>
    <s v="Lighting"/>
    <s v="Luma"/>
    <s v="B07"/>
    <x v="3"/>
    <s v="Enugu"/>
    <x v="3"/>
    <s v="Member"/>
    <s v="Card"/>
    <n v="1"/>
    <n v="1500"/>
    <n v="2500"/>
    <n v="0"/>
    <x v="4"/>
    <n v="6"/>
    <n v="2500"/>
    <n v="0"/>
    <n v="2500"/>
    <n v="1500"/>
    <n v="1000"/>
    <n v="0.4"/>
    <s v="Healthy"/>
    <s v="Safe"/>
    <n v="0.4"/>
    <s v="Safe"/>
    <n v="1000"/>
    <n v="0.4"/>
  </r>
  <r>
    <s v="ORD-11415"/>
    <x v="268"/>
    <s v="P018"/>
    <x v="16"/>
    <s v="Electronics"/>
    <s v="Mobile Accessories"/>
    <s v="VoltSafe"/>
    <s v="B06"/>
    <x v="1"/>
    <s v="Rivers"/>
    <x v="1"/>
    <s v="Walk-in"/>
    <s v="POS"/>
    <n v="6"/>
    <n v="18000"/>
    <n v="24500"/>
    <n v="0"/>
    <x v="12"/>
    <n v="2"/>
    <n v="147000"/>
    <n v="0"/>
    <n v="147000"/>
    <n v="108000"/>
    <n v="39000"/>
    <n v="0.26530612244897961"/>
    <s v="Understocked"/>
    <s v="Safe"/>
    <n v="0.26530612244897961"/>
    <s v="Safe"/>
    <n v="6500"/>
    <n v="0.26530612244897961"/>
  </r>
  <r>
    <s v="ORD-11416"/>
    <x v="166"/>
    <s v="P023"/>
    <x v="6"/>
    <s v="Office Supplies"/>
    <s v="Stationery"/>
    <s v="StudyPro"/>
    <s v="B08"/>
    <x v="7"/>
    <s v="Kwara"/>
    <x v="2"/>
    <s v="Member"/>
    <s v="POS"/>
    <n v="3"/>
    <n v="2800"/>
    <n v="4200"/>
    <n v="0.05"/>
    <x v="15"/>
    <n v="12"/>
    <n v="12600"/>
    <n v="630"/>
    <n v="11970"/>
    <n v="8400"/>
    <n v="3570"/>
    <n v="0.2982456140350877"/>
    <s v="Understocked"/>
    <s v="Safe"/>
    <n v="0.33333333333333331"/>
    <s v="Safe"/>
    <n v="1400"/>
    <n v="0.33333333333333331"/>
  </r>
  <r>
    <s v="ORD-11417"/>
    <x v="319"/>
    <s v="P004"/>
    <x v="1"/>
    <s v="Beverages"/>
    <s v="Dairy"/>
    <s v="FreshDay"/>
    <s v="B06"/>
    <x v="1"/>
    <s v="Rivers"/>
    <x v="1"/>
    <s v="Member"/>
    <s v="Card"/>
    <n v="1"/>
    <n v="1650"/>
    <n v="2200"/>
    <n v="0.05"/>
    <x v="0"/>
    <n v="2"/>
    <n v="2200"/>
    <n v="110"/>
    <n v="2090"/>
    <n v="1650"/>
    <n v="440"/>
    <n v="0.21052631578947367"/>
    <s v="Understocked"/>
    <s v="Safe"/>
    <n v="0.25"/>
    <s v="Safe"/>
    <n v="550"/>
    <n v="0.25"/>
  </r>
  <r>
    <s v="ORD-11418"/>
    <x v="166"/>
    <s v="P009"/>
    <x v="13"/>
    <s v="Household"/>
    <s v="Cleaning"/>
    <s v="BrightWash"/>
    <s v="B04"/>
    <x v="5"/>
    <s v="Lagos"/>
    <x v="4"/>
    <s v="Member"/>
    <s v="Cash"/>
    <n v="1"/>
    <n v="2400"/>
    <n v="3400"/>
    <n v="0.2"/>
    <x v="10"/>
    <n v="12"/>
    <n v="3400"/>
    <n v="680"/>
    <n v="2720"/>
    <n v="2400"/>
    <n v="320"/>
    <n v="0.11764705882352941"/>
    <s v="Healthy"/>
    <s v="Safe"/>
    <n v="0.29411764705882354"/>
    <s v="Safe"/>
    <n v="1000"/>
    <n v="0.29411764705882354"/>
  </r>
  <r>
    <s v="ORD-11419"/>
    <x v="349"/>
    <s v="P008"/>
    <x v="4"/>
    <s v="Beverages"/>
    <s v="Soft Drinks"/>
    <s v="Sparkle"/>
    <s v="B04"/>
    <x v="5"/>
    <s v="Lagos"/>
    <x v="4"/>
    <s v="Walk-in"/>
    <s v="POS"/>
    <n v="1"/>
    <n v="330"/>
    <n v="550"/>
    <n v="0.2"/>
    <x v="0"/>
    <n v="4"/>
    <n v="550"/>
    <n v="110"/>
    <n v="440"/>
    <n v="330"/>
    <n v="110"/>
    <n v="0.25"/>
    <s v="Healthy"/>
    <s v="Safe"/>
    <n v="0.4"/>
    <s v="Safe"/>
    <n v="220"/>
    <n v="0.4"/>
  </r>
  <r>
    <s v="ORD-11420"/>
    <x v="57"/>
    <s v="P016"/>
    <x v="7"/>
    <s v="Personal Care"/>
    <s v="Fragrance"/>
    <s v="RoyalScent"/>
    <s v="B02"/>
    <x v="4"/>
    <s v="Abuja"/>
    <x v="2"/>
    <s v="Walk-in"/>
    <s v="Transfer"/>
    <n v="5"/>
    <n v="8500"/>
    <n v="12500"/>
    <n v="0.2"/>
    <x v="10"/>
    <n v="5"/>
    <n v="62500"/>
    <n v="12500"/>
    <n v="50000"/>
    <n v="42500"/>
    <n v="7500"/>
    <n v="0.15"/>
    <s v="Overstocked"/>
    <s v="Safe"/>
    <n v="0.32"/>
    <s v="Safe"/>
    <n v="4000"/>
    <n v="0.32"/>
  </r>
  <r>
    <s v="ORD-11421"/>
    <x v="74"/>
    <s v="P013"/>
    <x v="11"/>
    <s v="Personal Care"/>
    <s v="Skin Care"/>
    <s v="GlowPlus"/>
    <s v="B02"/>
    <x v="4"/>
    <s v="Abuja"/>
    <x v="2"/>
    <s v="Walk-in"/>
    <s v="Cash"/>
    <n v="2"/>
    <n v="3500"/>
    <n v="5200"/>
    <n v="0.05"/>
    <x v="10"/>
    <n v="5"/>
    <n v="10400"/>
    <n v="520"/>
    <n v="9880"/>
    <n v="7000"/>
    <n v="2880"/>
    <n v="0.291497975708502"/>
    <s v="Healthy"/>
    <s v="Safe"/>
    <n v="0.32692307692307693"/>
    <s v="Safe"/>
    <n v="1700"/>
    <n v="0.32692307692307693"/>
  </r>
  <r>
    <s v="ORD-11422"/>
    <x v="249"/>
    <s v="P002"/>
    <x v="10"/>
    <s v="Food"/>
    <s v="Grains"/>
    <s v="Mama's Pride"/>
    <s v="B01"/>
    <x v="2"/>
    <s v="Abuja"/>
    <x v="2"/>
    <s v="Member"/>
    <s v="POS"/>
    <n v="2"/>
    <n v="6200"/>
    <n v="7900"/>
    <n v="0.1"/>
    <x v="9"/>
    <n v="11"/>
    <n v="15800"/>
    <n v="1580"/>
    <n v="14220"/>
    <n v="12400"/>
    <n v="1820"/>
    <n v="0.12798874824191281"/>
    <s v="Healthy"/>
    <s v="Safe"/>
    <n v="0.21518987341772153"/>
    <s v="Safe"/>
    <n v="1700"/>
    <n v="0.21518987341772153"/>
  </r>
  <r>
    <s v="ORD-11423"/>
    <x v="244"/>
    <s v="P001"/>
    <x v="14"/>
    <s v="Food"/>
    <s v="Grains"/>
    <s v="Golden Harvest"/>
    <s v="B06"/>
    <x v="1"/>
    <s v="Rivers"/>
    <x v="1"/>
    <s v="Member"/>
    <s v="Transfer"/>
    <n v="1"/>
    <n v="14500"/>
    <n v="17500"/>
    <n v="0.1"/>
    <x v="1"/>
    <n v="10"/>
    <n v="17500"/>
    <n v="1750"/>
    <n v="15750"/>
    <n v="14500"/>
    <n v="1250"/>
    <n v="7.9365079365079361E-2"/>
    <s v="Understocked"/>
    <s v="Safe"/>
    <n v="0.17142857142857143"/>
    <s v="Safe"/>
    <n v="3000"/>
    <n v="0.17142857142857143"/>
  </r>
  <r>
    <s v="ORD-11424"/>
    <x v="61"/>
    <s v="P010"/>
    <x v="22"/>
    <s v="Household"/>
    <s v="Paper Products"/>
    <s v="SoftCare"/>
    <s v="B06"/>
    <x v="1"/>
    <s v="Rivers"/>
    <x v="1"/>
    <s v="Member"/>
    <s v="Transfer"/>
    <n v="2"/>
    <n v="3200"/>
    <n v="4500"/>
    <n v="0.05"/>
    <x v="10"/>
    <n v="13"/>
    <n v="9000"/>
    <n v="450"/>
    <n v="8550"/>
    <n v="6400"/>
    <n v="2150"/>
    <n v="0.25146198830409355"/>
    <s v="Healthy"/>
    <s v="Safe"/>
    <n v="0.28888888888888886"/>
    <s v="Safe"/>
    <n v="1300"/>
    <n v="0.28888888888888886"/>
  </r>
  <r>
    <s v="ORD-11425"/>
    <x v="28"/>
    <s v="P024"/>
    <x v="19"/>
    <s v="Office Supplies"/>
    <s v="Accessories"/>
    <s v="ErgoDesk"/>
    <s v="B02"/>
    <x v="4"/>
    <s v="Abuja"/>
    <x v="2"/>
    <s v="Walk-in"/>
    <s v="Transfer"/>
    <n v="3"/>
    <n v="1700"/>
    <n v="2800"/>
    <n v="0"/>
    <x v="14"/>
    <n v="6"/>
    <n v="8400"/>
    <n v="0"/>
    <n v="8400"/>
    <n v="5100"/>
    <n v="3300"/>
    <n v="0.39285714285714285"/>
    <s v="Overstocked"/>
    <s v="Safe"/>
    <n v="0.39285714285714285"/>
    <s v="Safe"/>
    <n v="1100"/>
    <n v="0.39285714285714285"/>
  </r>
  <r>
    <s v="ORD-11426"/>
    <x v="71"/>
    <s v="P008"/>
    <x v="4"/>
    <s v="Beverages"/>
    <s v="Soft Drinks"/>
    <s v="Sparkle"/>
    <s v="B07"/>
    <x v="3"/>
    <s v="Enugu"/>
    <x v="3"/>
    <s v="Member"/>
    <s v="Transfer"/>
    <n v="2"/>
    <n v="330"/>
    <n v="550"/>
    <n v="0"/>
    <x v="3"/>
    <n v="14"/>
    <n v="1100"/>
    <n v="0"/>
    <n v="1100"/>
    <n v="660"/>
    <n v="440"/>
    <n v="0.4"/>
    <s v="Healthy"/>
    <s v="Safe"/>
    <n v="0.4"/>
    <s v="Safe"/>
    <n v="220"/>
    <n v="0.4"/>
  </r>
  <r>
    <s v="ORD-11427"/>
    <x v="134"/>
    <s v="P007"/>
    <x v="3"/>
    <s v="Beverages"/>
    <s v="Malt"/>
    <s v="Naija Malt"/>
    <s v="B07"/>
    <x v="3"/>
    <s v="Enugu"/>
    <x v="3"/>
    <s v="Walk-in"/>
    <s v="POS"/>
    <n v="1"/>
    <n v="550"/>
    <n v="850"/>
    <n v="0.05"/>
    <x v="3"/>
    <n v="3"/>
    <n v="850"/>
    <n v="42.5"/>
    <n v="807.5"/>
    <n v="550"/>
    <n v="257.5"/>
    <n v="0.31888544891640869"/>
    <s v="Healthy"/>
    <s v="Safe"/>
    <n v="0.35294117647058826"/>
    <s v="Safe"/>
    <n v="300"/>
    <n v="0.35294117647058826"/>
  </r>
  <r>
    <s v="ORD-11428"/>
    <x v="265"/>
    <s v="P005"/>
    <x v="2"/>
    <s v="Food"/>
    <s v="Snacks"/>
    <s v="CrispyBite"/>
    <s v="B01"/>
    <x v="2"/>
    <s v="Abuja"/>
    <x v="2"/>
    <s v="Walk-in"/>
    <s v="Transfer"/>
    <n v="3"/>
    <n v="850"/>
    <n v="1300"/>
    <n v="0"/>
    <x v="9"/>
    <n v="5"/>
    <n v="3900"/>
    <n v="0"/>
    <n v="3900"/>
    <n v="2550"/>
    <n v="1350"/>
    <n v="0.34615384615384615"/>
    <s v="Understocked"/>
    <s v="Safe"/>
    <n v="0.34615384615384615"/>
    <s v="Safe"/>
    <n v="450"/>
    <n v="0.34615384615384615"/>
  </r>
  <r>
    <s v="ORD-11429"/>
    <x v="322"/>
    <s v="P006"/>
    <x v="0"/>
    <s v="Beverages"/>
    <s v="Water"/>
    <s v="AquaPure"/>
    <s v="B02"/>
    <x v="4"/>
    <s v="Abuja"/>
    <x v="2"/>
    <s v="Walk-in"/>
    <s v="POS"/>
    <n v="3"/>
    <n v="230"/>
    <n v="400"/>
    <n v="0.05"/>
    <x v="2"/>
    <n v="11"/>
    <n v="1200"/>
    <n v="60"/>
    <n v="1140"/>
    <n v="690"/>
    <n v="450"/>
    <n v="0.39473684210526316"/>
    <s v="Understocked"/>
    <s v="Safe"/>
    <n v="0.42499999999999999"/>
    <s v="Safe"/>
    <n v="170"/>
    <n v="0.42499999999999999"/>
  </r>
  <r>
    <s v="ORD-11430"/>
    <x v="247"/>
    <s v="P002"/>
    <x v="10"/>
    <s v="Food"/>
    <s v="Grains"/>
    <s v="Mama's Pride"/>
    <s v="B03"/>
    <x v="6"/>
    <s v="Lagos"/>
    <x v="4"/>
    <s v="Walk-in"/>
    <s v="POS"/>
    <n v="3"/>
    <n v="6200"/>
    <n v="7900"/>
    <n v="0"/>
    <x v="9"/>
    <n v="7"/>
    <n v="23700"/>
    <n v="0"/>
    <n v="23700"/>
    <n v="18600"/>
    <n v="5100"/>
    <n v="0.21518987341772153"/>
    <s v="Healthy"/>
    <s v="Safe"/>
    <n v="0.21518987341772153"/>
    <s v="Safe"/>
    <n v="1700"/>
    <n v="0.21518987341772153"/>
  </r>
  <r>
    <s v="ORD-11431"/>
    <x v="9"/>
    <s v="P013"/>
    <x v="11"/>
    <s v="Personal Care"/>
    <s v="Skin Care"/>
    <s v="GlowPlus"/>
    <s v="B03"/>
    <x v="6"/>
    <s v="Lagos"/>
    <x v="4"/>
    <s v="Member"/>
    <s v="POS"/>
    <n v="2"/>
    <n v="3500"/>
    <n v="5200"/>
    <n v="0.1"/>
    <x v="10"/>
    <n v="5"/>
    <n v="10400"/>
    <n v="1040"/>
    <n v="9360"/>
    <n v="7000"/>
    <n v="2360"/>
    <n v="0.25213675213675213"/>
    <s v="Healthy"/>
    <s v="Safe"/>
    <n v="0.32692307692307693"/>
    <s v="Safe"/>
    <n v="1700"/>
    <n v="0.32692307692307693"/>
  </r>
  <r>
    <s v="ORD-11432"/>
    <x v="8"/>
    <s v="P018"/>
    <x v="16"/>
    <s v="Electronics"/>
    <s v="Mobile Accessories"/>
    <s v="VoltSafe"/>
    <s v="B07"/>
    <x v="3"/>
    <s v="Enugu"/>
    <x v="3"/>
    <s v="Walk-in"/>
    <s v="Transfer"/>
    <n v="2"/>
    <n v="18000"/>
    <n v="24500"/>
    <n v="0.2"/>
    <x v="13"/>
    <n v="4"/>
    <n v="49000"/>
    <n v="9800"/>
    <n v="39200"/>
    <n v="36000"/>
    <n v="3200"/>
    <n v="8.1632653061224483E-2"/>
    <s v="Understocked"/>
    <s v="Safe"/>
    <n v="0.26530612244897961"/>
    <s v="Safe"/>
    <n v="6500"/>
    <n v="0.26530612244897961"/>
  </r>
  <r>
    <s v="ORD-11433"/>
    <x v="327"/>
    <s v="P014"/>
    <x v="15"/>
    <s v="Personal Care"/>
    <s v="Oral Care"/>
    <s v="FreshMint"/>
    <s v="B07"/>
    <x v="3"/>
    <s v="Enugu"/>
    <x v="3"/>
    <s v="Member"/>
    <s v="Transfer"/>
    <n v="6"/>
    <n v="1200"/>
    <n v="1900"/>
    <n v="0.1"/>
    <x v="11"/>
    <n v="9"/>
    <n v="11400"/>
    <n v="1140"/>
    <n v="10260"/>
    <n v="7200"/>
    <n v="3060"/>
    <n v="0.2982456140350877"/>
    <s v="Healthy"/>
    <s v="Safe"/>
    <n v="0.36842105263157893"/>
    <s v="Safe"/>
    <n v="700"/>
    <n v="0.36842105263157893"/>
  </r>
  <r>
    <s v="ORD-11434"/>
    <x v="225"/>
    <s v="P015"/>
    <x v="8"/>
    <s v="Personal Care"/>
    <s v="Bath"/>
    <s v="SilkyTouch"/>
    <s v="B07"/>
    <x v="3"/>
    <s v="Enugu"/>
    <x v="3"/>
    <s v="Walk-in"/>
    <s v="POS"/>
    <n v="8"/>
    <n v="600"/>
    <n v="950"/>
    <n v="0.15"/>
    <x v="10"/>
    <n v="10"/>
    <n v="7600"/>
    <n v="1140"/>
    <n v="6460"/>
    <n v="4800"/>
    <n v="1660"/>
    <n v="0.25696594427244585"/>
    <s v="Healthy"/>
    <s v="Safe"/>
    <n v="0.36842105263157893"/>
    <s v="Safe"/>
    <n v="350"/>
    <n v="0.36842105263157893"/>
  </r>
  <r>
    <s v="ORD-11435"/>
    <x v="29"/>
    <s v="P008"/>
    <x v="4"/>
    <s v="Beverages"/>
    <s v="Soft Drinks"/>
    <s v="Sparkle"/>
    <s v="B04"/>
    <x v="5"/>
    <s v="Lagos"/>
    <x v="4"/>
    <s v="Walk-in"/>
    <s v="POS"/>
    <n v="1"/>
    <n v="330"/>
    <n v="550"/>
    <n v="0.05"/>
    <x v="0"/>
    <n v="6"/>
    <n v="550"/>
    <n v="27.5"/>
    <n v="522.5"/>
    <n v="330"/>
    <n v="192.5"/>
    <n v="0.36842105263157893"/>
    <s v="Healthy"/>
    <s v="Safe"/>
    <n v="0.4"/>
    <s v="Safe"/>
    <n v="220"/>
    <n v="0.4"/>
  </r>
  <r>
    <s v="ORD-11436"/>
    <x v="60"/>
    <s v="P008"/>
    <x v="4"/>
    <s v="Beverages"/>
    <s v="Soft Drinks"/>
    <s v="Sparkle"/>
    <s v="B07"/>
    <x v="3"/>
    <s v="Enugu"/>
    <x v="3"/>
    <s v="Walk-in"/>
    <s v="Transfer"/>
    <n v="8"/>
    <n v="330"/>
    <n v="550"/>
    <n v="0.1"/>
    <x v="3"/>
    <n v="13"/>
    <n v="4400"/>
    <n v="440"/>
    <n v="3960"/>
    <n v="2640"/>
    <n v="1320"/>
    <n v="0.33333333333333331"/>
    <s v="Healthy"/>
    <s v="Safe"/>
    <n v="0.4"/>
    <s v="Safe"/>
    <n v="220"/>
    <n v="0.4"/>
  </r>
  <r>
    <s v="ORD-11437"/>
    <x v="177"/>
    <s v="P003"/>
    <x v="12"/>
    <s v="Food"/>
    <s v="Cooking Oil"/>
    <s v="SunGold"/>
    <s v="B07"/>
    <x v="3"/>
    <s v="Enugu"/>
    <x v="3"/>
    <s v="Member"/>
    <s v="Transfer"/>
    <n v="1"/>
    <n v="7800"/>
    <n v="9800"/>
    <n v="0"/>
    <x v="1"/>
    <n v="8"/>
    <n v="9800"/>
    <n v="0"/>
    <n v="9800"/>
    <n v="7800"/>
    <n v="2000"/>
    <n v="0.20408163265306123"/>
    <s v="Understocked"/>
    <s v="Safe"/>
    <n v="0.20408163265306123"/>
    <s v="Safe"/>
    <n v="2000"/>
    <n v="0.20408163265306123"/>
  </r>
  <r>
    <s v="ORD-11438"/>
    <x v="125"/>
    <s v="P023"/>
    <x v="6"/>
    <s v="Office Supplies"/>
    <s v="Stationery"/>
    <s v="StudyPro"/>
    <s v="B04"/>
    <x v="5"/>
    <s v="Lagos"/>
    <x v="4"/>
    <s v="Walk-in"/>
    <s v="POS"/>
    <n v="2"/>
    <n v="2800"/>
    <n v="4200"/>
    <n v="0.15"/>
    <x v="15"/>
    <n v="10"/>
    <n v="8400"/>
    <n v="1260"/>
    <n v="7140"/>
    <n v="5600"/>
    <n v="1540"/>
    <n v="0.21568627450980393"/>
    <s v="Understocked"/>
    <s v="Safe"/>
    <n v="0.33333333333333331"/>
    <s v="Safe"/>
    <n v="1400"/>
    <n v="0.33333333333333331"/>
  </r>
  <r>
    <s v="ORD-11439"/>
    <x v="230"/>
    <s v="P015"/>
    <x v="8"/>
    <s v="Personal Care"/>
    <s v="Bath"/>
    <s v="SilkyTouch"/>
    <s v="B06"/>
    <x v="1"/>
    <s v="Rivers"/>
    <x v="1"/>
    <s v="Walk-in"/>
    <s v="POS"/>
    <n v="1"/>
    <n v="600"/>
    <n v="950"/>
    <n v="0.15"/>
    <x v="11"/>
    <n v="12"/>
    <n v="950"/>
    <n v="142.5"/>
    <n v="807.5"/>
    <n v="600"/>
    <n v="207.5"/>
    <n v="0.25696594427244585"/>
    <s v="Healthy"/>
    <s v="Safe"/>
    <n v="0.36842105263157893"/>
    <s v="Safe"/>
    <n v="350"/>
    <n v="0.36842105263157893"/>
  </r>
  <r>
    <s v="ORD-11440"/>
    <x v="199"/>
    <s v="P006"/>
    <x v="0"/>
    <s v="Beverages"/>
    <s v="Water"/>
    <s v="AquaPure"/>
    <s v="B02"/>
    <x v="4"/>
    <s v="Abuja"/>
    <x v="2"/>
    <s v="Member"/>
    <s v="Transfer"/>
    <n v="2"/>
    <n v="230"/>
    <n v="400"/>
    <n v="0"/>
    <x v="2"/>
    <n v="8"/>
    <n v="800"/>
    <n v="0"/>
    <n v="800"/>
    <n v="460"/>
    <n v="340"/>
    <n v="0.42499999999999999"/>
    <s v="Understocked"/>
    <s v="Safe"/>
    <n v="0.42499999999999999"/>
    <s v="Safe"/>
    <n v="170"/>
    <n v="0.42499999999999999"/>
  </r>
  <r>
    <s v="ORD-11441"/>
    <x v="118"/>
    <s v="P008"/>
    <x v="4"/>
    <s v="Beverages"/>
    <s v="Soft Drinks"/>
    <s v="Sparkle"/>
    <s v="B03"/>
    <x v="6"/>
    <s v="Lagos"/>
    <x v="4"/>
    <s v="Walk-in"/>
    <s v="POS"/>
    <n v="1"/>
    <n v="330"/>
    <n v="550"/>
    <n v="0.05"/>
    <x v="2"/>
    <n v="5"/>
    <n v="550"/>
    <n v="27.5"/>
    <n v="522.5"/>
    <n v="330"/>
    <n v="192.5"/>
    <n v="0.36842105263157893"/>
    <s v="Healthy"/>
    <s v="Safe"/>
    <n v="0.4"/>
    <s v="Safe"/>
    <n v="220"/>
    <n v="0.4"/>
  </r>
  <r>
    <s v="ORD-11442"/>
    <x v="48"/>
    <s v="P008"/>
    <x v="4"/>
    <s v="Beverages"/>
    <s v="Soft Drinks"/>
    <s v="Sparkle"/>
    <s v="B02"/>
    <x v="4"/>
    <s v="Abuja"/>
    <x v="2"/>
    <s v="Walk-in"/>
    <s v="POS"/>
    <n v="1"/>
    <n v="330"/>
    <n v="550"/>
    <n v="0.2"/>
    <x v="0"/>
    <n v="8"/>
    <n v="550"/>
    <n v="110"/>
    <n v="440"/>
    <n v="330"/>
    <n v="110"/>
    <n v="0.25"/>
    <s v="Healthy"/>
    <s v="Safe"/>
    <n v="0.4"/>
    <s v="Safe"/>
    <n v="220"/>
    <n v="0.4"/>
  </r>
  <r>
    <s v="ORD-11443"/>
    <x v="196"/>
    <s v="P019"/>
    <x v="18"/>
    <s v="Electronics"/>
    <s v="Audio"/>
    <s v="SoundBeat"/>
    <s v="B03"/>
    <x v="6"/>
    <s v="Lagos"/>
    <x v="4"/>
    <s v="Walk-in"/>
    <s v="Cash"/>
    <n v="1"/>
    <n v="12500"/>
    <n v="18500"/>
    <n v="0.05"/>
    <x v="12"/>
    <n v="14"/>
    <n v="18500"/>
    <n v="925"/>
    <n v="17575"/>
    <n v="12500"/>
    <n v="5075"/>
    <n v="0.28876244665718348"/>
    <s v="Understocked"/>
    <s v="Safe"/>
    <n v="0.32432432432432434"/>
    <s v="Safe"/>
    <n v="6000"/>
    <n v="0.32432432432432434"/>
  </r>
  <r>
    <s v="ORD-11444"/>
    <x v="316"/>
    <s v="P006"/>
    <x v="0"/>
    <s v="Beverages"/>
    <s v="Water"/>
    <s v="AquaPure"/>
    <s v="B04"/>
    <x v="5"/>
    <s v="Lagos"/>
    <x v="4"/>
    <s v="Walk-in"/>
    <s v="POS"/>
    <n v="3"/>
    <n v="230"/>
    <n v="400"/>
    <n v="0.15"/>
    <x v="3"/>
    <n v="8"/>
    <n v="1200"/>
    <n v="180"/>
    <n v="1020"/>
    <n v="690"/>
    <n v="330"/>
    <n v="0.3235294117647059"/>
    <s v="Understocked"/>
    <s v="Safe"/>
    <n v="0.42499999999999999"/>
    <s v="Safe"/>
    <n v="170"/>
    <n v="0.42499999999999999"/>
  </r>
  <r>
    <s v="ORD-11445"/>
    <x v="217"/>
    <s v="P003"/>
    <x v="12"/>
    <s v="Food"/>
    <s v="Cooking Oil"/>
    <s v="SunGold"/>
    <s v="B01"/>
    <x v="2"/>
    <s v="Abuja"/>
    <x v="2"/>
    <s v="Walk-in"/>
    <s v="Transfer"/>
    <n v="1"/>
    <n v="7800"/>
    <n v="9800"/>
    <n v="0.1"/>
    <x v="8"/>
    <n v="6"/>
    <n v="9800"/>
    <n v="980"/>
    <n v="8820"/>
    <n v="7800"/>
    <n v="1020"/>
    <n v="0.11564625850340136"/>
    <s v="Understocked"/>
    <s v="Safe"/>
    <n v="0.20408163265306123"/>
    <s v="Safe"/>
    <n v="2000"/>
    <n v="0.20408163265306123"/>
  </r>
  <r>
    <s v="ORD-11446"/>
    <x v="325"/>
    <s v="P015"/>
    <x v="8"/>
    <s v="Personal Care"/>
    <s v="Bath"/>
    <s v="SilkyTouch"/>
    <s v="B04"/>
    <x v="5"/>
    <s v="Lagos"/>
    <x v="4"/>
    <s v="Member"/>
    <s v="Transfer"/>
    <n v="3"/>
    <n v="600"/>
    <n v="950"/>
    <n v="0.05"/>
    <x v="6"/>
    <n v="9"/>
    <n v="2850"/>
    <n v="142.5"/>
    <n v="2707.5"/>
    <n v="1800"/>
    <n v="907.5"/>
    <n v="0.33518005540166207"/>
    <s v="Healthy"/>
    <s v="Safe"/>
    <n v="0.36842105263157893"/>
    <s v="Safe"/>
    <n v="350"/>
    <n v="0.36842105263157893"/>
  </r>
  <r>
    <s v="ORD-11447"/>
    <x v="293"/>
    <s v="P008"/>
    <x v="4"/>
    <s v="Beverages"/>
    <s v="Soft Drinks"/>
    <s v="Sparkle"/>
    <s v="B01"/>
    <x v="2"/>
    <s v="Abuja"/>
    <x v="2"/>
    <s v="Walk-in"/>
    <s v="POS"/>
    <n v="6"/>
    <n v="330"/>
    <n v="550"/>
    <n v="0"/>
    <x v="0"/>
    <n v="1"/>
    <n v="3300"/>
    <n v="0"/>
    <n v="3300"/>
    <n v="1980"/>
    <n v="1320"/>
    <n v="0.4"/>
    <s v="Healthy"/>
    <s v="Safe"/>
    <n v="0.4"/>
    <s v="Safe"/>
    <n v="220"/>
    <n v="0.4"/>
  </r>
  <r>
    <s v="ORD-11448"/>
    <x v="209"/>
    <s v="P005"/>
    <x v="2"/>
    <s v="Food"/>
    <s v="Snacks"/>
    <s v="CrispyBite"/>
    <s v="B01"/>
    <x v="2"/>
    <s v="Abuja"/>
    <x v="2"/>
    <s v="Walk-in"/>
    <s v="POS"/>
    <n v="1"/>
    <n v="850"/>
    <n v="1300"/>
    <n v="0"/>
    <x v="1"/>
    <n v="6"/>
    <n v="1300"/>
    <n v="0"/>
    <n v="1300"/>
    <n v="850"/>
    <n v="450"/>
    <n v="0.34615384615384615"/>
    <s v="Understocked"/>
    <s v="Safe"/>
    <n v="0.34615384615384615"/>
    <s v="Safe"/>
    <n v="450"/>
    <n v="0.34615384615384615"/>
  </r>
  <r>
    <s v="ORD-11449"/>
    <x v="97"/>
    <s v="P014"/>
    <x v="15"/>
    <s v="Personal Care"/>
    <s v="Oral Care"/>
    <s v="FreshMint"/>
    <s v="B01"/>
    <x v="2"/>
    <s v="Abuja"/>
    <x v="2"/>
    <s v="Member"/>
    <s v="POS"/>
    <n v="4"/>
    <n v="1200"/>
    <n v="1900"/>
    <n v="0.05"/>
    <x v="10"/>
    <n v="2"/>
    <n v="7600"/>
    <n v="380"/>
    <n v="7220"/>
    <n v="4800"/>
    <n v="2420"/>
    <n v="0.33518005540166207"/>
    <s v="Healthy"/>
    <s v="Safe"/>
    <n v="0.36842105263157893"/>
    <s v="Safe"/>
    <n v="700"/>
    <n v="0.36842105263157893"/>
  </r>
  <r>
    <s v="ORD-11450"/>
    <x v="304"/>
    <s v="P001"/>
    <x v="14"/>
    <s v="Food"/>
    <s v="Grains"/>
    <s v="Golden Harvest"/>
    <s v="B02"/>
    <x v="4"/>
    <s v="Abuja"/>
    <x v="2"/>
    <s v="Walk-in"/>
    <s v="POS"/>
    <n v="3"/>
    <n v="14500"/>
    <n v="17500"/>
    <n v="0.05"/>
    <x v="1"/>
    <n v="14"/>
    <n v="52500"/>
    <n v="2625"/>
    <n v="49875"/>
    <n v="43500"/>
    <n v="6375"/>
    <n v="0.12781954887218044"/>
    <s v="Understocked"/>
    <s v="Safe"/>
    <n v="0.17142857142857143"/>
    <s v="Safe"/>
    <n v="3000"/>
    <n v="0.17142857142857143"/>
  </r>
  <r>
    <s v="ORD-11451"/>
    <x v="104"/>
    <s v="P004"/>
    <x v="1"/>
    <s v="Beverages"/>
    <s v="Dairy"/>
    <s v="FreshDay"/>
    <s v="B01"/>
    <x v="2"/>
    <s v="Abuja"/>
    <x v="2"/>
    <s v="Walk-in"/>
    <s v="Transfer"/>
    <n v="3"/>
    <n v="1650"/>
    <n v="2200"/>
    <n v="0.1"/>
    <x v="2"/>
    <n v="3"/>
    <n v="6600"/>
    <n v="660"/>
    <n v="5940"/>
    <n v="4950"/>
    <n v="990"/>
    <n v="0.16666666666666666"/>
    <s v="Understocked"/>
    <s v="Safe"/>
    <n v="0.25"/>
    <s v="Safe"/>
    <n v="550"/>
    <n v="0.25"/>
  </r>
  <r>
    <s v="ORD-11452"/>
    <x v="355"/>
    <s v="P005"/>
    <x v="2"/>
    <s v="Food"/>
    <s v="Snacks"/>
    <s v="CrispyBite"/>
    <s v="B02"/>
    <x v="4"/>
    <s v="Abuja"/>
    <x v="2"/>
    <s v="Member"/>
    <s v="Transfer"/>
    <n v="6"/>
    <n v="850"/>
    <n v="1300"/>
    <n v="0.05"/>
    <x v="8"/>
    <n v="10"/>
    <n v="7800"/>
    <n v="390"/>
    <n v="7410"/>
    <n v="5100"/>
    <n v="2310"/>
    <n v="0.31174089068825911"/>
    <s v="Understocked"/>
    <s v="Safe"/>
    <n v="0.34615384615384615"/>
    <s v="Safe"/>
    <n v="450"/>
    <n v="0.34615384615384615"/>
  </r>
  <r>
    <s v="ORD-11453"/>
    <x v="224"/>
    <s v="P009"/>
    <x v="13"/>
    <s v="Household"/>
    <s v="Cleaning"/>
    <s v="BrightWash"/>
    <s v="B03"/>
    <x v="6"/>
    <s v="Lagos"/>
    <x v="4"/>
    <s v="Member"/>
    <s v="POS"/>
    <n v="1"/>
    <n v="2400"/>
    <n v="3400"/>
    <n v="0"/>
    <x v="7"/>
    <n v="4"/>
    <n v="3400"/>
    <n v="0"/>
    <n v="3400"/>
    <n v="2400"/>
    <n v="1000"/>
    <n v="0.29411764705882354"/>
    <s v="Healthy"/>
    <s v="Safe"/>
    <n v="0.29411764705882354"/>
    <s v="Safe"/>
    <n v="1000"/>
    <n v="0.29411764705882354"/>
  </r>
  <r>
    <s v="ORD-11454"/>
    <x v="335"/>
    <s v="P019"/>
    <x v="18"/>
    <s v="Electronics"/>
    <s v="Audio"/>
    <s v="SoundBeat"/>
    <s v="B05"/>
    <x v="0"/>
    <s v="Kano"/>
    <x v="0"/>
    <s v="Walk-in"/>
    <s v="Cash"/>
    <n v="6"/>
    <n v="12500"/>
    <n v="18500"/>
    <n v="0.15"/>
    <x v="12"/>
    <n v="4"/>
    <n v="111000"/>
    <n v="16650"/>
    <n v="94350"/>
    <n v="75000"/>
    <n v="19350"/>
    <n v="0.20508744038155802"/>
    <s v="Understocked"/>
    <s v="Safe"/>
    <n v="0.32432432432432434"/>
    <s v="Safe"/>
    <n v="6000"/>
    <n v="0.32432432432432434"/>
  </r>
  <r>
    <s v="ORD-11455"/>
    <x v="356"/>
    <s v="P005"/>
    <x v="2"/>
    <s v="Food"/>
    <s v="Snacks"/>
    <s v="CrispyBite"/>
    <s v="B01"/>
    <x v="2"/>
    <s v="Abuja"/>
    <x v="2"/>
    <s v="Member"/>
    <s v="Card"/>
    <n v="1"/>
    <n v="850"/>
    <n v="1300"/>
    <n v="0.15"/>
    <x v="1"/>
    <n v="7"/>
    <n v="1300"/>
    <n v="195"/>
    <n v="1105"/>
    <n v="850"/>
    <n v="255"/>
    <n v="0.23076923076923078"/>
    <s v="Understocked"/>
    <s v="Safe"/>
    <n v="0.34615384615384615"/>
    <s v="Safe"/>
    <n v="450"/>
    <n v="0.34615384615384615"/>
  </r>
  <r>
    <s v="ORD-11456"/>
    <x v="294"/>
    <s v="P023"/>
    <x v="6"/>
    <s v="Office Supplies"/>
    <s v="Stationery"/>
    <s v="StudyPro"/>
    <s v="B05"/>
    <x v="0"/>
    <s v="Kano"/>
    <x v="0"/>
    <s v="Walk-in"/>
    <s v="Card"/>
    <n v="1"/>
    <n v="2800"/>
    <n v="4200"/>
    <n v="0.05"/>
    <x v="5"/>
    <n v="14"/>
    <n v="4200"/>
    <n v="210"/>
    <n v="3990"/>
    <n v="2800"/>
    <n v="1190"/>
    <n v="0.2982456140350877"/>
    <s v="Understocked"/>
    <s v="Safe"/>
    <n v="0.33333333333333331"/>
    <s v="Safe"/>
    <n v="1400"/>
    <n v="0.33333333333333331"/>
  </r>
  <r>
    <s v="ORD-11457"/>
    <x v="181"/>
    <s v="P013"/>
    <x v="11"/>
    <s v="Personal Care"/>
    <s v="Skin Care"/>
    <s v="GlowPlus"/>
    <s v="B07"/>
    <x v="3"/>
    <s v="Enugu"/>
    <x v="3"/>
    <s v="Member"/>
    <s v="POS"/>
    <n v="5"/>
    <n v="3500"/>
    <n v="5200"/>
    <n v="0.1"/>
    <x v="6"/>
    <n v="5"/>
    <n v="26000"/>
    <n v="2600"/>
    <n v="23400"/>
    <n v="17500"/>
    <n v="5900"/>
    <n v="0.25213675213675213"/>
    <s v="Healthy"/>
    <s v="Safe"/>
    <n v="0.32692307692307693"/>
    <s v="Safe"/>
    <n v="1700"/>
    <n v="0.32692307692307693"/>
  </r>
  <r>
    <s v="ORD-11458"/>
    <x v="248"/>
    <s v="P023"/>
    <x v="6"/>
    <s v="Office Supplies"/>
    <s v="Stationery"/>
    <s v="StudyPro"/>
    <s v="B01"/>
    <x v="2"/>
    <s v="Abuja"/>
    <x v="2"/>
    <s v="Corporate"/>
    <s v="POS"/>
    <n v="2"/>
    <n v="2800"/>
    <n v="4200"/>
    <n v="0.1"/>
    <x v="14"/>
    <n v="2"/>
    <n v="8400"/>
    <n v="840"/>
    <n v="7560"/>
    <n v="5600"/>
    <n v="1960"/>
    <n v="0.25925925925925924"/>
    <s v="Understocked"/>
    <s v="Safe"/>
    <n v="0.33333333333333331"/>
    <s v="Safe"/>
    <n v="1400"/>
    <n v="0.33333333333333331"/>
  </r>
  <r>
    <s v="ORD-11459"/>
    <x v="192"/>
    <s v="P001"/>
    <x v="14"/>
    <s v="Food"/>
    <s v="Grains"/>
    <s v="Golden Harvest"/>
    <s v="B06"/>
    <x v="1"/>
    <s v="Rivers"/>
    <x v="1"/>
    <s v="Walk-in"/>
    <s v="POS"/>
    <n v="6"/>
    <n v="14500"/>
    <n v="17500"/>
    <n v="0.05"/>
    <x v="9"/>
    <n v="2"/>
    <n v="105000"/>
    <n v="5250"/>
    <n v="99750"/>
    <n v="87000"/>
    <n v="12750"/>
    <n v="0.12781954887218044"/>
    <s v="Understocked"/>
    <s v="Safe"/>
    <n v="0.17142857142857143"/>
    <s v="Safe"/>
    <n v="3000"/>
    <n v="0.17142857142857143"/>
  </r>
  <r>
    <s v="ORD-11460"/>
    <x v="6"/>
    <s v="P018"/>
    <x v="16"/>
    <s v="Electronics"/>
    <s v="Mobile Accessories"/>
    <s v="VoltSafe"/>
    <s v="B07"/>
    <x v="3"/>
    <s v="Enugu"/>
    <x v="3"/>
    <s v="Walk-in"/>
    <s v="POS"/>
    <n v="8"/>
    <n v="18000"/>
    <n v="24500"/>
    <n v="0"/>
    <x v="13"/>
    <n v="14"/>
    <n v="196000"/>
    <n v="0"/>
    <n v="196000"/>
    <n v="144000"/>
    <n v="52000"/>
    <n v="0.26530612244897961"/>
    <s v="Understocked"/>
    <s v="Safe"/>
    <n v="0.26530612244897961"/>
    <s v="Safe"/>
    <n v="6500"/>
    <n v="0.26530612244897961"/>
  </r>
  <r>
    <s v="ORD-11461"/>
    <x v="328"/>
    <s v="P010"/>
    <x v="22"/>
    <s v="Household"/>
    <s v="Paper Products"/>
    <s v="SoftCare"/>
    <s v="B03"/>
    <x v="6"/>
    <s v="Lagos"/>
    <x v="4"/>
    <s v="Member"/>
    <s v="Cash"/>
    <n v="4"/>
    <n v="3200"/>
    <n v="4500"/>
    <n v="0.05"/>
    <x v="7"/>
    <n v="7"/>
    <n v="18000"/>
    <n v="900"/>
    <n v="17100"/>
    <n v="12800"/>
    <n v="4300"/>
    <n v="0.25146198830409355"/>
    <s v="Healthy"/>
    <s v="Safe"/>
    <n v="0.28888888888888886"/>
    <s v="Safe"/>
    <n v="1300"/>
    <n v="0.28888888888888886"/>
  </r>
  <r>
    <s v="ORD-11462"/>
    <x v="138"/>
    <s v="P001"/>
    <x v="14"/>
    <s v="Food"/>
    <s v="Grains"/>
    <s v="Golden Harvest"/>
    <s v="B03"/>
    <x v="6"/>
    <s v="Lagos"/>
    <x v="4"/>
    <s v="Walk-in"/>
    <s v="POS"/>
    <n v="2"/>
    <n v="14500"/>
    <n v="17500"/>
    <n v="0"/>
    <x v="1"/>
    <n v="2"/>
    <n v="35000"/>
    <n v="0"/>
    <n v="35000"/>
    <n v="29000"/>
    <n v="6000"/>
    <n v="0.17142857142857143"/>
    <s v="Understocked"/>
    <s v="Safe"/>
    <n v="0.17142857142857143"/>
    <s v="Safe"/>
    <n v="3000"/>
    <n v="0.17142857142857143"/>
  </r>
  <r>
    <s v="ORD-11463"/>
    <x v="89"/>
    <s v="P015"/>
    <x v="8"/>
    <s v="Personal Care"/>
    <s v="Bath"/>
    <s v="SilkyTouch"/>
    <s v="B06"/>
    <x v="1"/>
    <s v="Rivers"/>
    <x v="1"/>
    <s v="Member"/>
    <s v="POS"/>
    <n v="1"/>
    <n v="600"/>
    <n v="950"/>
    <n v="0"/>
    <x v="6"/>
    <n v="4"/>
    <n v="950"/>
    <n v="0"/>
    <n v="950"/>
    <n v="600"/>
    <n v="350"/>
    <n v="0.36842105263157893"/>
    <s v="Healthy"/>
    <s v="Safe"/>
    <n v="0.36842105263157893"/>
    <s v="Safe"/>
    <n v="350"/>
    <n v="0.36842105263157893"/>
  </r>
  <r>
    <s v="ORD-11464"/>
    <x v="346"/>
    <s v="P024"/>
    <x v="19"/>
    <s v="Office Supplies"/>
    <s v="Accessories"/>
    <s v="ErgoDesk"/>
    <s v="B01"/>
    <x v="2"/>
    <s v="Abuja"/>
    <x v="2"/>
    <s v="Walk-in"/>
    <s v="POS"/>
    <n v="3"/>
    <n v="1700"/>
    <n v="2800"/>
    <n v="0.25"/>
    <x v="15"/>
    <n v="12"/>
    <n v="8400"/>
    <n v="2100"/>
    <n v="6300"/>
    <n v="5100"/>
    <n v="1200"/>
    <n v="0.19047619047619047"/>
    <s v="Overstocked"/>
    <s v="Safe"/>
    <n v="0.39285714285714285"/>
    <s v="Safe"/>
    <n v="1100"/>
    <n v="0.39285714285714285"/>
  </r>
  <r>
    <s v="ORD-11465"/>
    <x v="121"/>
    <s v="P006"/>
    <x v="0"/>
    <s v="Beverages"/>
    <s v="Water"/>
    <s v="AquaPure"/>
    <s v="B01"/>
    <x v="2"/>
    <s v="Abuja"/>
    <x v="2"/>
    <s v="Walk-in"/>
    <s v="Transfer"/>
    <n v="2"/>
    <n v="230"/>
    <n v="400"/>
    <n v="0.15"/>
    <x v="2"/>
    <n v="12"/>
    <n v="800"/>
    <n v="120"/>
    <n v="680"/>
    <n v="460"/>
    <n v="220"/>
    <n v="0.3235294117647059"/>
    <s v="Understocked"/>
    <s v="Safe"/>
    <n v="0.42499999999999999"/>
    <s v="Safe"/>
    <n v="170"/>
    <n v="0.42499999999999999"/>
  </r>
  <r>
    <s v="ORD-11466"/>
    <x v="73"/>
    <s v="P006"/>
    <x v="0"/>
    <s v="Beverages"/>
    <s v="Water"/>
    <s v="AquaPure"/>
    <s v="B05"/>
    <x v="0"/>
    <s v="Kano"/>
    <x v="0"/>
    <s v="Walk-in"/>
    <s v="POS"/>
    <n v="2"/>
    <n v="230"/>
    <n v="400"/>
    <n v="0.1"/>
    <x v="2"/>
    <n v="3"/>
    <n v="800"/>
    <n v="80"/>
    <n v="720"/>
    <n v="460"/>
    <n v="260"/>
    <n v="0.3611111111111111"/>
    <s v="Understocked"/>
    <s v="Safe"/>
    <n v="0.42499999999999999"/>
    <s v="Safe"/>
    <n v="170"/>
    <n v="0.42499999999999999"/>
  </r>
  <r>
    <s v="ORD-11467"/>
    <x v="70"/>
    <s v="P014"/>
    <x v="15"/>
    <s v="Personal Care"/>
    <s v="Oral Care"/>
    <s v="FreshMint"/>
    <s v="B03"/>
    <x v="6"/>
    <s v="Lagos"/>
    <x v="4"/>
    <s v="Walk-in"/>
    <s v="Cash"/>
    <n v="8"/>
    <n v="1200"/>
    <n v="1900"/>
    <n v="0"/>
    <x v="11"/>
    <n v="11"/>
    <n v="15200"/>
    <n v="0"/>
    <n v="15200"/>
    <n v="9600"/>
    <n v="5600"/>
    <n v="0.36842105263157893"/>
    <s v="Healthy"/>
    <s v="Safe"/>
    <n v="0.36842105263157893"/>
    <s v="Safe"/>
    <n v="700"/>
    <n v="0.36842105263157893"/>
  </r>
  <r>
    <s v="ORD-11468"/>
    <x v="47"/>
    <s v="P020"/>
    <x v="5"/>
    <s v="Electronics"/>
    <s v="Lighting"/>
    <s v="Luma"/>
    <s v="B02"/>
    <x v="4"/>
    <s v="Abuja"/>
    <x v="2"/>
    <s v="Member"/>
    <s v="POS"/>
    <n v="1"/>
    <n v="1500"/>
    <n v="2500"/>
    <n v="0.05"/>
    <x v="12"/>
    <n v="6"/>
    <n v="2500"/>
    <n v="125"/>
    <n v="2375"/>
    <n v="1500"/>
    <n v="875"/>
    <n v="0.36842105263157893"/>
    <s v="Healthy"/>
    <s v="Safe"/>
    <n v="0.4"/>
    <s v="Safe"/>
    <n v="1000"/>
    <n v="0.4"/>
  </r>
  <r>
    <s v="ORD-11469"/>
    <x v="31"/>
    <s v="P020"/>
    <x v="5"/>
    <s v="Electronics"/>
    <s v="Lighting"/>
    <s v="Luma"/>
    <s v="B04"/>
    <x v="5"/>
    <s v="Lagos"/>
    <x v="4"/>
    <s v="Member"/>
    <s v="Transfer"/>
    <n v="10"/>
    <n v="1500"/>
    <n v="2500"/>
    <n v="0.15"/>
    <x v="13"/>
    <n v="2"/>
    <n v="25000"/>
    <n v="3750"/>
    <n v="21250"/>
    <n v="15000"/>
    <n v="6250"/>
    <n v="0.29411764705882354"/>
    <s v="Healthy"/>
    <s v="Safe"/>
    <n v="0.4"/>
    <s v="Safe"/>
    <n v="1000"/>
    <n v="0.4"/>
  </r>
  <r>
    <s v="ORD-11470"/>
    <x v="24"/>
    <s v="P001"/>
    <x v="14"/>
    <s v="Food"/>
    <s v="Grains"/>
    <s v="Golden Harvest"/>
    <s v="B01"/>
    <x v="2"/>
    <s v="Abuja"/>
    <x v="2"/>
    <s v="Member"/>
    <s v="Cash"/>
    <n v="1"/>
    <n v="14500"/>
    <n v="17500"/>
    <n v="0.2"/>
    <x v="9"/>
    <n v="11"/>
    <n v="17500"/>
    <n v="3500"/>
    <n v="14000"/>
    <n v="14500"/>
    <n v="-500"/>
    <n v="-3.5714285714285712E-2"/>
    <s v="Understocked"/>
    <s v="Discount loss"/>
    <n v="0.17142857142857143"/>
    <s v="Discount loss"/>
    <n v="3000"/>
    <n v="0.17142857142857143"/>
  </r>
  <r>
    <s v="ORD-11471"/>
    <x v="269"/>
    <s v="P008"/>
    <x v="4"/>
    <s v="Beverages"/>
    <s v="Soft Drinks"/>
    <s v="Sparkle"/>
    <s v="B03"/>
    <x v="6"/>
    <s v="Lagos"/>
    <x v="4"/>
    <s v="Corporate"/>
    <s v="POS"/>
    <n v="5"/>
    <n v="330"/>
    <n v="550"/>
    <n v="0.05"/>
    <x v="2"/>
    <n v="4"/>
    <n v="2750"/>
    <n v="137.5"/>
    <n v="2612.5"/>
    <n v="1650"/>
    <n v="962.5"/>
    <n v="0.36842105263157893"/>
    <s v="Healthy"/>
    <s v="Safe"/>
    <n v="0.4"/>
    <s v="Safe"/>
    <n v="220"/>
    <n v="0.4"/>
  </r>
  <r>
    <s v="ORD-11472"/>
    <x v="14"/>
    <s v="P014"/>
    <x v="15"/>
    <s v="Personal Care"/>
    <s v="Oral Care"/>
    <s v="FreshMint"/>
    <s v="B08"/>
    <x v="7"/>
    <s v="Kwara"/>
    <x v="2"/>
    <s v="Walk-in"/>
    <s v="POS"/>
    <n v="-2"/>
    <n v="1200"/>
    <n v="1900"/>
    <n v="0.1"/>
    <x v="6"/>
    <n v="12"/>
    <n v="-3800"/>
    <n v="-380"/>
    <n v="-3420"/>
    <n v="-2400"/>
    <n v="-1020"/>
    <n v="0.2982456140350877"/>
    <s v="Healthy"/>
    <s v="Discount loss"/>
    <n v="0.36842105263157893"/>
    <s v="Safe"/>
    <n v="700"/>
    <n v="0.36842105263157893"/>
  </r>
  <r>
    <s v="ORD-11473"/>
    <x v="141"/>
    <s v="P008"/>
    <x v="4"/>
    <s v="Beverages"/>
    <s v="Soft Drinks"/>
    <s v="Sparkle"/>
    <s v="B07"/>
    <x v="3"/>
    <s v="Enugu"/>
    <x v="3"/>
    <s v="Member"/>
    <s v="Card"/>
    <n v="4"/>
    <n v="330"/>
    <n v="550"/>
    <n v="0.05"/>
    <x v="3"/>
    <n v="9"/>
    <n v="2200"/>
    <n v="110"/>
    <n v="2090"/>
    <n v="1320"/>
    <n v="770"/>
    <n v="0.36842105263157893"/>
    <s v="Healthy"/>
    <s v="Safe"/>
    <n v="0.4"/>
    <s v="Safe"/>
    <n v="220"/>
    <n v="0.4"/>
  </r>
  <r>
    <s v="ORD-11474"/>
    <x v="139"/>
    <s v="P001"/>
    <x v="14"/>
    <s v="Food"/>
    <s v="Grains"/>
    <s v="Golden Harvest"/>
    <s v="B01"/>
    <x v="2"/>
    <s v="Abuja"/>
    <x v="2"/>
    <s v="Member"/>
    <s v="Cash"/>
    <n v="1"/>
    <n v="14500"/>
    <n v="17500"/>
    <n v="0"/>
    <x v="8"/>
    <n v="8"/>
    <n v="17500"/>
    <n v="0"/>
    <n v="17500"/>
    <n v="14500"/>
    <n v="3000"/>
    <n v="0.17142857142857143"/>
    <s v="Understocked"/>
    <s v="Safe"/>
    <n v="0.17142857142857143"/>
    <s v="Safe"/>
    <n v="3000"/>
    <n v="0.17142857142857143"/>
  </r>
  <r>
    <s v="ORD-11475"/>
    <x v="312"/>
    <s v="P022"/>
    <x v="17"/>
    <s v="Office Supplies"/>
    <s v="Writing"/>
    <s v="WriteWell"/>
    <s v="B05"/>
    <x v="0"/>
    <s v="Kano"/>
    <x v="0"/>
    <s v="Walk-in"/>
    <s v="Transfer"/>
    <n v="1"/>
    <n v="1300"/>
    <n v="2100"/>
    <n v="0.1"/>
    <x v="14"/>
    <n v="7"/>
    <n v="2100"/>
    <n v="210"/>
    <n v="1890"/>
    <n v="1300"/>
    <n v="590"/>
    <n v="0.31216931216931215"/>
    <s v="Understocked"/>
    <s v="Safe"/>
    <n v="0.38095238095238093"/>
    <s v="Safe"/>
    <n v="800"/>
    <n v="0.38095238095238093"/>
  </r>
  <r>
    <s v="ORD-11476"/>
    <x v="342"/>
    <s v="P013"/>
    <x v="11"/>
    <s v="Personal Care"/>
    <s v="Skin Care"/>
    <s v="GlowPlus"/>
    <s v="B04"/>
    <x v="5"/>
    <s v="Lagos"/>
    <x v="4"/>
    <s v="Walk-in"/>
    <s v="Transfer"/>
    <n v="4"/>
    <n v="3500"/>
    <n v="5200"/>
    <n v="0.2"/>
    <x v="11"/>
    <n v="12"/>
    <n v="20800"/>
    <n v="4160"/>
    <n v="16640"/>
    <n v="14000"/>
    <n v="2640"/>
    <n v="0.15865384615384615"/>
    <s v="Healthy"/>
    <s v="Safe"/>
    <n v="0.32692307692307693"/>
    <s v="Safe"/>
    <n v="1700"/>
    <n v="0.32692307692307693"/>
  </r>
  <r>
    <s v="ORD-11477"/>
    <x v="190"/>
    <s v="P015"/>
    <x v="8"/>
    <s v="Personal Care"/>
    <s v="Bath"/>
    <s v="SilkyTouch"/>
    <s v="B06"/>
    <x v="1"/>
    <s v="Rivers"/>
    <x v="1"/>
    <s v="Member"/>
    <s v="POS"/>
    <n v="2"/>
    <n v="600"/>
    <n v="950"/>
    <n v="0.1"/>
    <x v="10"/>
    <n v="8"/>
    <n v="1900"/>
    <n v="190"/>
    <n v="1710"/>
    <n v="1200"/>
    <n v="510"/>
    <n v="0.2982456140350877"/>
    <s v="Healthy"/>
    <s v="Safe"/>
    <n v="0.36842105263157893"/>
    <s v="Safe"/>
    <n v="350"/>
    <n v="0.36842105263157893"/>
  </r>
  <r>
    <s v="ORD-11478"/>
    <x v="0"/>
    <s v="P001"/>
    <x v="14"/>
    <s v="Food"/>
    <s v="Grains"/>
    <s v="Golden Harvest"/>
    <s v="B04"/>
    <x v="5"/>
    <s v="Lagos"/>
    <x v="4"/>
    <s v="Walk-in"/>
    <s v="Cash"/>
    <n v="6"/>
    <n v="14500"/>
    <n v="17500"/>
    <n v="0.05"/>
    <x v="1"/>
    <n v="14"/>
    <n v="105000"/>
    <n v="5250"/>
    <n v="99750"/>
    <n v="87000"/>
    <n v="12750"/>
    <n v="0.12781954887218044"/>
    <s v="Understocked"/>
    <s v="Safe"/>
    <n v="0.17142857142857143"/>
    <s v="Safe"/>
    <n v="3000"/>
    <n v="0.17142857142857143"/>
  </r>
  <r>
    <s v="ORD-11479"/>
    <x v="176"/>
    <s v="P008"/>
    <x v="4"/>
    <s v="Beverages"/>
    <s v="Soft Drinks"/>
    <s v="Sparkle"/>
    <s v="B06"/>
    <x v="1"/>
    <s v="Rivers"/>
    <x v="1"/>
    <s v="Walk-in"/>
    <s v="Card"/>
    <n v="2"/>
    <n v="330"/>
    <n v="550"/>
    <n v="0.2"/>
    <x v="0"/>
    <n v="14"/>
    <n v="1100"/>
    <n v="220"/>
    <n v="880"/>
    <n v="660"/>
    <n v="220"/>
    <n v="0.25"/>
    <s v="Healthy"/>
    <s v="Safe"/>
    <n v="0.4"/>
    <s v="Safe"/>
    <n v="220"/>
    <n v="0.4"/>
  </r>
  <r>
    <s v="ORD-11480"/>
    <x v="95"/>
    <s v="P007"/>
    <x v="3"/>
    <s v="Beverages"/>
    <s v="Malt"/>
    <s v="Naija Malt"/>
    <s v="B01"/>
    <x v="2"/>
    <s v="Abuja"/>
    <x v="2"/>
    <s v="Member"/>
    <s v="POS"/>
    <n v="1"/>
    <n v="550"/>
    <n v="850"/>
    <n v="0.15"/>
    <x v="2"/>
    <n v="2"/>
    <n v="850"/>
    <n v="127.5"/>
    <n v="722.5"/>
    <n v="550"/>
    <n v="172.5"/>
    <n v="0.23875432525951557"/>
    <s v="Healthy"/>
    <s v="Safe"/>
    <n v="0.35294117647058826"/>
    <s v="Safe"/>
    <n v="300"/>
    <n v="0.35294117647058826"/>
  </r>
  <r>
    <s v="ORD-11481"/>
    <x v="299"/>
    <s v="P006"/>
    <x v="0"/>
    <s v="Beverages"/>
    <s v="Water"/>
    <s v="AquaPure"/>
    <s v="B04"/>
    <x v="5"/>
    <s v="Lagos"/>
    <x v="4"/>
    <s v="Member"/>
    <s v="Card"/>
    <n v="5"/>
    <n v="230"/>
    <n v="400"/>
    <n v="0.05"/>
    <x v="3"/>
    <n v="12"/>
    <n v="2000"/>
    <n v="100"/>
    <n v="1900"/>
    <n v="1150"/>
    <n v="750"/>
    <n v="0.39473684210526316"/>
    <s v="Understocked"/>
    <s v="Safe"/>
    <n v="0.42499999999999999"/>
    <s v="Safe"/>
    <n v="170"/>
    <n v="0.42499999999999999"/>
  </r>
  <r>
    <s v="ORD-11482"/>
    <x v="93"/>
    <s v="P021"/>
    <x v="20"/>
    <s v="Office Supplies"/>
    <s v="Paper"/>
    <s v="OfficeMate"/>
    <s v="B03"/>
    <x v="6"/>
    <s v="Lagos"/>
    <x v="4"/>
    <s v="Walk-in"/>
    <s v="Cash"/>
    <n v="1"/>
    <n v="5200"/>
    <n v="7000"/>
    <n v="0.1"/>
    <x v="15"/>
    <n v="14"/>
    <n v="7000"/>
    <n v="700"/>
    <n v="6300"/>
    <n v="5200"/>
    <n v="1100"/>
    <n v="0.17460317460317459"/>
    <s v="Overstocked"/>
    <s v="Safe"/>
    <n v="0.25714285714285712"/>
    <s v="Safe"/>
    <n v="1800"/>
    <n v="0.25714285714285712"/>
  </r>
  <r>
    <s v="ORD-11483"/>
    <x v="85"/>
    <s v="P008"/>
    <x v="4"/>
    <s v="Beverages"/>
    <s v="Soft Drinks"/>
    <s v="Sparkle"/>
    <s v="B01"/>
    <x v="2"/>
    <s v="Abuja"/>
    <x v="2"/>
    <s v="Member"/>
    <s v="POS"/>
    <n v="5"/>
    <n v="330"/>
    <n v="550"/>
    <n v="0.15"/>
    <x v="3"/>
    <n v="5"/>
    <n v="2750"/>
    <n v="412.5"/>
    <n v="2337.5"/>
    <n v="1650"/>
    <n v="687.5"/>
    <n v="0.29411764705882354"/>
    <s v="Healthy"/>
    <s v="Safe"/>
    <n v="0.4"/>
    <s v="Safe"/>
    <n v="220"/>
    <n v="0.4"/>
  </r>
  <r>
    <s v="ORD-11484"/>
    <x v="357"/>
    <s v="P020"/>
    <x v="5"/>
    <s v="Electronics"/>
    <s v="Lighting"/>
    <s v="Luma"/>
    <s v="B04"/>
    <x v="5"/>
    <s v="Lagos"/>
    <x v="4"/>
    <s v="Member"/>
    <s v="POS"/>
    <n v="3"/>
    <n v="1500"/>
    <n v="2500"/>
    <n v="0.1"/>
    <x v="4"/>
    <n v="2"/>
    <n v="7500"/>
    <n v="750"/>
    <n v="6750"/>
    <n v="4500"/>
    <n v="2250"/>
    <n v="0.33333333333333331"/>
    <s v="Healthy"/>
    <s v="Safe"/>
    <n v="0.4"/>
    <s v="Safe"/>
    <n v="1000"/>
    <n v="0.4"/>
  </r>
  <r>
    <s v="ORD-11485"/>
    <x v="274"/>
    <s v="P015"/>
    <x v="8"/>
    <s v="Personal Care"/>
    <s v="Bath"/>
    <s v="SilkyTouch"/>
    <s v="B08"/>
    <x v="7"/>
    <s v="Kwara"/>
    <x v="2"/>
    <s v="Walk-in"/>
    <s v="POS"/>
    <n v="3"/>
    <n v="600"/>
    <n v="950"/>
    <n v="0.05"/>
    <x v="6"/>
    <n v="12"/>
    <n v="2850"/>
    <n v="142.5"/>
    <n v="2707.5"/>
    <n v="1800"/>
    <n v="907.5"/>
    <n v="0.33518005540166207"/>
    <s v="Healthy"/>
    <s v="Safe"/>
    <n v="0.36842105263157893"/>
    <s v="Safe"/>
    <n v="350"/>
    <n v="0.36842105263157893"/>
  </r>
  <r>
    <s v="ORD-11486"/>
    <x v="328"/>
    <s v="P007"/>
    <x v="3"/>
    <s v="Beverages"/>
    <s v="Malt"/>
    <s v="Naija Malt"/>
    <s v="B04"/>
    <x v="5"/>
    <s v="Lagos"/>
    <x v="4"/>
    <s v="Walk-in"/>
    <s v="POS"/>
    <n v="2"/>
    <n v="550"/>
    <n v="850"/>
    <n v="0"/>
    <x v="3"/>
    <n v="2"/>
    <n v="1700"/>
    <n v="0"/>
    <n v="1700"/>
    <n v="1100"/>
    <n v="600"/>
    <n v="0.35294117647058826"/>
    <s v="Healthy"/>
    <s v="Safe"/>
    <n v="0.35294117647058826"/>
    <s v="Safe"/>
    <n v="300"/>
    <n v="0.35294117647058826"/>
  </r>
  <r>
    <s v="ORD-11487"/>
    <x v="36"/>
    <s v="P006"/>
    <x v="0"/>
    <s v="Beverages"/>
    <s v="Water"/>
    <s v="AquaPure"/>
    <s v="B03"/>
    <x v="6"/>
    <s v="Lagos"/>
    <x v="4"/>
    <s v="Member"/>
    <s v="Cash"/>
    <n v="6"/>
    <n v="230"/>
    <n v="400"/>
    <n v="0.15"/>
    <x v="3"/>
    <n v="2"/>
    <n v="2400"/>
    <n v="360"/>
    <n v="2040"/>
    <n v="1380"/>
    <n v="660"/>
    <n v="0.3235294117647059"/>
    <s v="Understocked"/>
    <s v="Safe"/>
    <n v="0.42499999999999999"/>
    <s v="Safe"/>
    <n v="170"/>
    <n v="0.42499999999999999"/>
  </r>
  <r>
    <s v="ORD-11488"/>
    <x v="36"/>
    <s v="P005"/>
    <x v="2"/>
    <s v="Food"/>
    <s v="Snacks"/>
    <s v="CrispyBite"/>
    <s v="B05"/>
    <x v="0"/>
    <s v="Kano"/>
    <x v="0"/>
    <s v="Walk-in"/>
    <s v="POS"/>
    <n v="3"/>
    <n v="850"/>
    <n v="1300"/>
    <n v="0.1"/>
    <x v="1"/>
    <n v="3"/>
    <n v="3900"/>
    <n v="390"/>
    <n v="3510"/>
    <n v="2550"/>
    <n v="960"/>
    <n v="0.27350427350427353"/>
    <s v="Understocked"/>
    <s v="Safe"/>
    <n v="0.34615384615384615"/>
    <s v="Safe"/>
    <n v="450"/>
    <n v="0.34615384615384615"/>
  </r>
  <r>
    <s v="ORD-11489"/>
    <x v="284"/>
    <s v="P010"/>
    <x v="22"/>
    <s v="Household"/>
    <s v="Paper Products"/>
    <s v="SoftCare"/>
    <s v="B02"/>
    <x v="4"/>
    <s v="Abuja"/>
    <x v="2"/>
    <s v="Member"/>
    <s v="Cash"/>
    <n v="1"/>
    <n v="3200"/>
    <n v="4500"/>
    <n v="0"/>
    <x v="7"/>
    <n v="9"/>
    <n v="4500"/>
    <n v="0"/>
    <n v="4500"/>
    <n v="3200"/>
    <n v="1300"/>
    <n v="0.28888888888888886"/>
    <s v="Healthy"/>
    <s v="Safe"/>
    <n v="0.28888888888888886"/>
    <s v="Safe"/>
    <n v="1300"/>
    <n v="0.28888888888888886"/>
  </r>
  <r>
    <s v="ORD-11490"/>
    <x v="262"/>
    <s v="P009"/>
    <x v="13"/>
    <s v="Household"/>
    <s v="Cleaning"/>
    <s v="BrightWash"/>
    <s v="B03"/>
    <x v="6"/>
    <s v="Lagos"/>
    <x v="4"/>
    <s v="Member"/>
    <s v="Card"/>
    <n v="3"/>
    <n v="2400"/>
    <n v="3400"/>
    <n v="0.05"/>
    <x v="7"/>
    <n v="14"/>
    <n v="10200"/>
    <n v="510"/>
    <n v="9690"/>
    <n v="7200"/>
    <n v="2490"/>
    <n v="0.25696594427244585"/>
    <s v="Healthy"/>
    <s v="Safe"/>
    <n v="0.29411764705882354"/>
    <s v="Safe"/>
    <n v="1000"/>
    <n v="0.29411764705882354"/>
  </r>
  <r>
    <s v="ORD-11491"/>
    <x v="242"/>
    <s v="P004"/>
    <x v="1"/>
    <s v="Beverages"/>
    <s v="Dairy"/>
    <s v="FreshDay"/>
    <s v="B04"/>
    <x v="5"/>
    <s v="Lagos"/>
    <x v="4"/>
    <s v="Walk-in"/>
    <s v="POS"/>
    <n v="3"/>
    <n v="1650"/>
    <n v="2200"/>
    <n v="0"/>
    <x v="0"/>
    <n v="14"/>
    <n v="6600"/>
    <n v="0"/>
    <n v="6600"/>
    <n v="4950"/>
    <n v="1650"/>
    <n v="0.25"/>
    <s v="Understocked"/>
    <s v="Safe"/>
    <n v="0.25"/>
    <s v="Safe"/>
    <n v="550"/>
    <n v="0.25"/>
  </r>
  <r>
    <s v="ORD-11492"/>
    <x v="73"/>
    <s v="P014"/>
    <x v="15"/>
    <s v="Personal Care"/>
    <s v="Oral Care"/>
    <s v="FreshMint"/>
    <s v="B07"/>
    <x v="3"/>
    <s v="Enugu"/>
    <x v="3"/>
    <s v="Walk-in"/>
    <s v="POS"/>
    <n v="1"/>
    <n v="1200"/>
    <n v="1900"/>
    <n v="0.1"/>
    <x v="6"/>
    <n v="10"/>
    <n v="1900"/>
    <n v="190"/>
    <n v="1710"/>
    <n v="1200"/>
    <n v="510"/>
    <n v="0.2982456140350877"/>
    <s v="Healthy"/>
    <s v="Safe"/>
    <n v="0.36842105263157893"/>
    <s v="Safe"/>
    <n v="700"/>
    <n v="0.36842105263157893"/>
  </r>
  <r>
    <s v="ORD-11493"/>
    <x v="166"/>
    <s v="P015"/>
    <x v="8"/>
    <s v="Personal Care"/>
    <s v="Bath"/>
    <s v="SilkyTouch"/>
    <s v="B07"/>
    <x v="3"/>
    <s v="Enugu"/>
    <x v="3"/>
    <s v="Walk-in"/>
    <s v="Cash"/>
    <n v="2"/>
    <n v="600"/>
    <n v="950"/>
    <n v="0"/>
    <x v="11"/>
    <n v="1"/>
    <n v="1900"/>
    <n v="0"/>
    <n v="1900"/>
    <n v="1200"/>
    <n v="700"/>
    <n v="0.36842105263157893"/>
    <s v="Healthy"/>
    <s v="Safe"/>
    <n v="0.36842105263157893"/>
    <s v="Safe"/>
    <n v="350"/>
    <n v="0.36842105263157893"/>
  </r>
  <r>
    <s v="ORD-11494"/>
    <x v="22"/>
    <s v="P001"/>
    <x v="14"/>
    <s v="Food"/>
    <s v="Grains"/>
    <s v="Golden Harvest"/>
    <s v="B05"/>
    <x v="0"/>
    <s v="Kano"/>
    <x v="0"/>
    <s v="Member"/>
    <s v="POS"/>
    <n v="8"/>
    <n v="14500"/>
    <n v="17500"/>
    <n v="0.05"/>
    <x v="1"/>
    <n v="3"/>
    <n v="140000"/>
    <n v="7000"/>
    <n v="133000"/>
    <n v="116000"/>
    <n v="17000"/>
    <n v="0.12781954887218044"/>
    <s v="Understocked"/>
    <s v="Safe"/>
    <n v="0.17142857142857143"/>
    <s v="Safe"/>
    <n v="3000"/>
    <n v="0.17142857142857143"/>
  </r>
  <r>
    <s v="ORD-11495"/>
    <x v="20"/>
    <s v="P020"/>
    <x v="5"/>
    <s v="Electronics"/>
    <s v="Lighting"/>
    <s v="Luma"/>
    <s v="B05"/>
    <x v="0"/>
    <s v="Kano"/>
    <x v="0"/>
    <s v="Member"/>
    <s v="Card"/>
    <n v="4"/>
    <n v="1500"/>
    <n v="2500"/>
    <n v="0"/>
    <x v="4"/>
    <n v="7"/>
    <n v="10000"/>
    <n v="0"/>
    <n v="10000"/>
    <n v="6000"/>
    <n v="4000"/>
    <n v="0.4"/>
    <s v="Healthy"/>
    <s v="Safe"/>
    <n v="0.4"/>
    <s v="Safe"/>
    <n v="1000"/>
    <n v="0.4"/>
  </r>
  <r>
    <s v="ORD-11496"/>
    <x v="358"/>
    <s v="P002"/>
    <x v="10"/>
    <s v="Food"/>
    <s v="Grains"/>
    <s v="Mama's Pride"/>
    <s v="B01"/>
    <x v="2"/>
    <s v="Abuja"/>
    <x v="2"/>
    <s v="Member"/>
    <s v="Transfer"/>
    <n v="6"/>
    <n v="6200"/>
    <n v="7900"/>
    <n v="0"/>
    <x v="8"/>
    <n v="5"/>
    <n v="47400"/>
    <n v="0"/>
    <n v="47400"/>
    <n v="37200"/>
    <n v="10200"/>
    <n v="0.21518987341772153"/>
    <s v="Healthy"/>
    <s v="Safe"/>
    <n v="0.21518987341772153"/>
    <s v="Safe"/>
    <n v="1700"/>
    <n v="0.21518987341772153"/>
  </r>
  <r>
    <s v="ORD-11497"/>
    <x v="357"/>
    <s v="P006"/>
    <x v="0"/>
    <s v="Beverages"/>
    <s v="Water"/>
    <s v="AquaPure"/>
    <s v="B04"/>
    <x v="5"/>
    <s v="Lagos"/>
    <x v="4"/>
    <s v="Corporate"/>
    <s v="Transfer"/>
    <n v="2"/>
    <n v="230"/>
    <n v="400"/>
    <n v="0.05"/>
    <x v="2"/>
    <n v="13"/>
    <n v="800"/>
    <n v="40"/>
    <n v="760"/>
    <n v="460"/>
    <n v="300"/>
    <n v="0.39473684210526316"/>
    <s v="Understocked"/>
    <s v="Safe"/>
    <n v="0.42499999999999999"/>
    <s v="Safe"/>
    <n v="170"/>
    <n v="0.42499999999999999"/>
  </r>
  <r>
    <s v="ORD-11498"/>
    <x v="359"/>
    <s v="P011"/>
    <x v="9"/>
    <s v="Household"/>
    <s v="Cleaning"/>
    <s v="CleanPro"/>
    <s v="B04"/>
    <x v="5"/>
    <s v="Lagos"/>
    <x v="4"/>
    <s v="Member"/>
    <s v="Cash"/>
    <n v="4"/>
    <n v="2800"/>
    <n v="3900"/>
    <n v="0.1"/>
    <x v="10"/>
    <n v="2"/>
    <n v="15600"/>
    <n v="1560"/>
    <n v="14040"/>
    <n v="11200"/>
    <n v="2840"/>
    <n v="0.20227920227920229"/>
    <s v="Healthy"/>
    <s v="Safe"/>
    <n v="0.28205128205128205"/>
    <s v="Safe"/>
    <n v="1100"/>
    <n v="0.28205128205128205"/>
  </r>
  <r>
    <s v="ORD-11499"/>
    <x v="325"/>
    <s v="P009"/>
    <x v="13"/>
    <s v="Household"/>
    <s v="Cleaning"/>
    <s v="BrightWash"/>
    <s v="B05"/>
    <x v="0"/>
    <s v="Kano"/>
    <x v="0"/>
    <s v="Corporate"/>
    <s v="POS"/>
    <n v="1"/>
    <n v="2400"/>
    <n v="3400"/>
    <n v="0.1"/>
    <x v="1"/>
    <n v="9"/>
    <n v="3400"/>
    <n v="340"/>
    <n v="3060"/>
    <n v="2400"/>
    <n v="660"/>
    <n v="0.21568627450980393"/>
    <s v="Healthy"/>
    <s v="Safe"/>
    <n v="0.29411764705882354"/>
    <s v="Safe"/>
    <n v="1000"/>
    <n v="0.29411764705882354"/>
  </r>
  <r>
    <s v="ORD-11500"/>
    <x v="344"/>
    <s v="P021"/>
    <x v="20"/>
    <s v="Office Supplies"/>
    <s v="Paper"/>
    <s v="OfficeMate"/>
    <s v="B04"/>
    <x v="5"/>
    <s v="Lagos"/>
    <x v="4"/>
    <s v="Member"/>
    <s v="Transfer"/>
    <n v="2"/>
    <n v="5200"/>
    <n v="7000"/>
    <n v="0.1"/>
    <x v="14"/>
    <n v="5"/>
    <n v="14000"/>
    <n v="1400"/>
    <n v="12600"/>
    <n v="10400"/>
    <n v="2200"/>
    <n v="0.17460317460317459"/>
    <s v="Overstocked"/>
    <s v="Safe"/>
    <n v="0.25714285714285712"/>
    <s v="Safe"/>
    <n v="1800"/>
    <n v="0.25714285714285712"/>
  </r>
  <r>
    <s v="ORD-11501"/>
    <x v="66"/>
    <s v="P014"/>
    <x v="15"/>
    <s v="Personal Care"/>
    <s v="Oral Care"/>
    <s v="FreshMint"/>
    <s v="B02"/>
    <x v="4"/>
    <s v="Abuja"/>
    <x v="2"/>
    <s v="Member"/>
    <s v="POS"/>
    <n v="3"/>
    <n v="1200"/>
    <n v="1900"/>
    <n v="0.15"/>
    <x v="6"/>
    <n v="11"/>
    <n v="5700"/>
    <n v="855"/>
    <n v="4845"/>
    <n v="3600"/>
    <n v="1245"/>
    <n v="0.25696594427244585"/>
    <s v="Healthy"/>
    <s v="Safe"/>
    <n v="0.36842105263157893"/>
    <s v="Safe"/>
    <n v="700"/>
    <n v="0.36842105263157893"/>
  </r>
  <r>
    <s v="ORD-11502"/>
    <x v="177"/>
    <s v="P010"/>
    <x v="22"/>
    <s v="Household"/>
    <s v="Paper Products"/>
    <s v="SoftCare"/>
    <s v="B03"/>
    <x v="6"/>
    <s v="Lagos"/>
    <x v="4"/>
    <s v="Walk-in"/>
    <s v="POS"/>
    <n v="5"/>
    <n v="3200"/>
    <n v="4500"/>
    <n v="0.1"/>
    <x v="10"/>
    <n v="11"/>
    <n v="22500"/>
    <n v="2250"/>
    <n v="20250"/>
    <n v="16000"/>
    <n v="4250"/>
    <n v="0.20987654320987653"/>
    <s v="Healthy"/>
    <s v="Safe"/>
    <n v="0.28888888888888886"/>
    <s v="Safe"/>
    <n v="1300"/>
    <n v="0.28888888888888886"/>
  </r>
  <r>
    <s v="ORD-11503"/>
    <x v="68"/>
    <s v="P018"/>
    <x v="16"/>
    <s v="Electronics"/>
    <s v="Mobile Accessories"/>
    <s v="VoltSafe"/>
    <s v="B07"/>
    <x v="3"/>
    <s v="Enugu"/>
    <x v="3"/>
    <s v="Walk-in"/>
    <s v="Card"/>
    <n v="1"/>
    <n v="18000"/>
    <n v="24500"/>
    <n v="0.1"/>
    <x v="13"/>
    <n v="12"/>
    <n v="24500"/>
    <n v="2450"/>
    <n v="22050"/>
    <n v="18000"/>
    <n v="4050"/>
    <n v="0.18367346938775511"/>
    <s v="Understocked"/>
    <s v="Safe"/>
    <n v="0.26530612244897961"/>
    <s v="Safe"/>
    <n v="6500"/>
    <n v="0.26530612244897961"/>
  </r>
  <r>
    <s v="ORD-11504"/>
    <x v="248"/>
    <s v="P008"/>
    <x v="4"/>
    <s v="Beverages"/>
    <s v="Soft Drinks"/>
    <s v="Sparkle"/>
    <s v="B03"/>
    <x v="6"/>
    <s v="Lagos"/>
    <x v="4"/>
    <s v="Walk-in"/>
    <s v="Transfer"/>
    <n v="-1"/>
    <n v="330"/>
    <n v="550"/>
    <n v="0"/>
    <x v="0"/>
    <n v="7"/>
    <n v="-550"/>
    <n v="0"/>
    <n v="-550"/>
    <n v="-330"/>
    <n v="-220"/>
    <n v="0.4"/>
    <s v="Healthy"/>
    <s v="Safe"/>
    <n v="0.4"/>
    <s v="Safe"/>
    <n v="220"/>
    <n v="0.4"/>
  </r>
  <r>
    <s v="ORD-11505"/>
    <x v="354"/>
    <s v="P022"/>
    <x v="17"/>
    <s v="Office Supplies"/>
    <s v="Writing"/>
    <s v="WriteWell"/>
    <s v="B04"/>
    <x v="5"/>
    <s v="Lagos"/>
    <x v="4"/>
    <s v="Walk-in"/>
    <s v="POS"/>
    <n v="10"/>
    <n v="1300"/>
    <n v="2100"/>
    <n v="0.1"/>
    <x v="15"/>
    <n v="5"/>
    <n v="21000"/>
    <n v="2100"/>
    <n v="18900"/>
    <n v="13000"/>
    <n v="5900"/>
    <n v="0.31216931216931215"/>
    <s v="Understocked"/>
    <s v="Safe"/>
    <n v="0.38095238095238093"/>
    <s v="Safe"/>
    <n v="800"/>
    <n v="0.38095238095238093"/>
  </r>
  <r>
    <s v="ORD-11506"/>
    <x v="96"/>
    <s v="P013"/>
    <x v="11"/>
    <s v="Personal Care"/>
    <s v="Skin Care"/>
    <s v="GlowPlus"/>
    <s v="B04"/>
    <x v="5"/>
    <s v="Lagos"/>
    <x v="4"/>
    <s v="Walk-in"/>
    <s v="Cash"/>
    <n v="1"/>
    <n v="3500"/>
    <n v="5200"/>
    <n v="0.05"/>
    <x v="6"/>
    <n v="6"/>
    <n v="5200"/>
    <n v="260"/>
    <n v="4940"/>
    <n v="3500"/>
    <n v="1440"/>
    <n v="0.291497975708502"/>
    <s v="Healthy"/>
    <s v="Safe"/>
    <n v="0.32692307692307693"/>
    <s v="Safe"/>
    <n v="1700"/>
    <n v="0.32692307692307693"/>
  </r>
  <r>
    <s v="ORD-11507"/>
    <x v="308"/>
    <s v="P001"/>
    <x v="14"/>
    <s v="Food"/>
    <s v="Grains"/>
    <s v="Golden Harvest"/>
    <s v="B01"/>
    <x v="2"/>
    <s v="Abuja"/>
    <x v="2"/>
    <s v="Walk-in"/>
    <s v="Cash"/>
    <n v="1"/>
    <n v="14500"/>
    <n v="17500"/>
    <n v="0.05"/>
    <x v="1"/>
    <n v="11"/>
    <n v="17500"/>
    <n v="875"/>
    <n v="16625"/>
    <n v="14500"/>
    <n v="2125"/>
    <n v="0.12781954887218044"/>
    <s v="Understocked"/>
    <s v="Safe"/>
    <n v="0.17142857142857143"/>
    <s v="Safe"/>
    <n v="3000"/>
    <n v="0.17142857142857143"/>
  </r>
  <r>
    <s v="ORD-11508"/>
    <x v="21"/>
    <s v="P020"/>
    <x v="5"/>
    <s v="Electronics"/>
    <s v="Lighting"/>
    <s v="Luma"/>
    <s v="B04"/>
    <x v="5"/>
    <s v="Lagos"/>
    <x v="4"/>
    <s v="Member"/>
    <s v="Card"/>
    <n v="1"/>
    <n v="1500"/>
    <n v="2500"/>
    <n v="0.05"/>
    <x v="13"/>
    <n v="4"/>
    <n v="2500"/>
    <n v="125"/>
    <n v="2375"/>
    <n v="1500"/>
    <n v="875"/>
    <n v="0.36842105263157893"/>
    <s v="Healthy"/>
    <s v="Safe"/>
    <n v="0.4"/>
    <s v="Safe"/>
    <n v="1000"/>
    <n v="0.4"/>
  </r>
  <r>
    <s v="ORD-11509"/>
    <x v="107"/>
    <s v="P012"/>
    <x v="21"/>
    <s v="Household"/>
    <s v="Home Care"/>
    <s v="HomeFresh"/>
    <s v="B06"/>
    <x v="1"/>
    <s v="Rivers"/>
    <x v="1"/>
    <s v="Walk-in"/>
    <s v="Cash"/>
    <n v="8"/>
    <n v="1700"/>
    <n v="2600"/>
    <n v="0.05"/>
    <x v="1"/>
    <n v="6"/>
    <n v="20800"/>
    <n v="1040"/>
    <n v="19760"/>
    <n v="13600"/>
    <n v="6160"/>
    <n v="0.31174089068825911"/>
    <s v="Overstocked"/>
    <s v="Safe"/>
    <n v="0.34615384615384615"/>
    <s v="Safe"/>
    <n v="900"/>
    <n v="0.34615384615384615"/>
  </r>
  <r>
    <s v="ORD-11510"/>
    <x v="250"/>
    <s v="P018"/>
    <x v="16"/>
    <s v="Electronics"/>
    <s v="Mobile Accessories"/>
    <s v="VoltSafe"/>
    <s v="B07"/>
    <x v="3"/>
    <s v="Enugu"/>
    <x v="3"/>
    <s v="Corporate"/>
    <s v="Cash"/>
    <n v="1"/>
    <n v="18000"/>
    <n v="24500"/>
    <n v="0.1"/>
    <x v="12"/>
    <n v="10"/>
    <n v="24500"/>
    <n v="2450"/>
    <n v="22050"/>
    <n v="18000"/>
    <n v="4050"/>
    <n v="0.18367346938775511"/>
    <s v="Understocked"/>
    <s v="Safe"/>
    <n v="0.26530612244897961"/>
    <s v="Safe"/>
    <n v="6500"/>
    <n v="0.26530612244897961"/>
  </r>
  <r>
    <s v="ORD-11511"/>
    <x v="52"/>
    <s v="P018"/>
    <x v="16"/>
    <s v="Electronics"/>
    <s v="Mobile Accessories"/>
    <s v="VoltSafe"/>
    <s v="B01"/>
    <x v="2"/>
    <s v="Abuja"/>
    <x v="2"/>
    <s v="Walk-in"/>
    <s v="POS"/>
    <n v="2"/>
    <n v="18000"/>
    <n v="24500"/>
    <n v="0.05"/>
    <x v="4"/>
    <n v="4"/>
    <n v="49000"/>
    <n v="2450"/>
    <n v="46550"/>
    <n v="36000"/>
    <n v="10550"/>
    <n v="0.22663802363050484"/>
    <s v="Understocked"/>
    <s v="Safe"/>
    <n v="0.26530612244897961"/>
    <s v="Safe"/>
    <n v="6500"/>
    <n v="0.26530612244897961"/>
  </r>
  <r>
    <s v="ORD-11512"/>
    <x v="163"/>
    <s v="P005"/>
    <x v="2"/>
    <s v="Food"/>
    <s v="Snacks"/>
    <s v="CrispyBite"/>
    <s v="B03"/>
    <x v="6"/>
    <s v="Lagos"/>
    <x v="4"/>
    <s v="Walk-in"/>
    <s v="Card"/>
    <n v="3"/>
    <n v="850"/>
    <n v="1300"/>
    <n v="0.1"/>
    <x v="9"/>
    <n v="14"/>
    <n v="3900"/>
    <n v="390"/>
    <n v="3510"/>
    <n v="2550"/>
    <n v="960"/>
    <n v="0.27350427350427353"/>
    <s v="Understocked"/>
    <s v="Safe"/>
    <n v="0.34615384615384615"/>
    <s v="Safe"/>
    <n v="450"/>
    <n v="0.34615384615384615"/>
  </r>
  <r>
    <s v="ORD-11513"/>
    <x v="177"/>
    <s v="P008"/>
    <x v="4"/>
    <s v="Beverages"/>
    <s v="Soft Drinks"/>
    <s v="Sparkle"/>
    <s v="B02"/>
    <x v="4"/>
    <s v="Abuja"/>
    <x v="2"/>
    <s v="Member"/>
    <s v="Cash"/>
    <n v="6"/>
    <n v="330"/>
    <n v="550"/>
    <n v="0.15"/>
    <x v="2"/>
    <n v="4"/>
    <n v="3300"/>
    <n v="495"/>
    <n v="2805"/>
    <n v="1980"/>
    <n v="825"/>
    <n v="0.29411764705882354"/>
    <s v="Healthy"/>
    <s v="Safe"/>
    <n v="0.4"/>
    <s v="Safe"/>
    <n v="220"/>
    <n v="0.4"/>
  </r>
  <r>
    <s v="ORD-11514"/>
    <x v="60"/>
    <s v="P008"/>
    <x v="4"/>
    <s v="Beverages"/>
    <s v="Soft Drinks"/>
    <s v="Sparkle"/>
    <s v="B07"/>
    <x v="3"/>
    <s v="Enugu"/>
    <x v="3"/>
    <s v="Walk-in"/>
    <s v="Transfer"/>
    <n v="2"/>
    <n v="330"/>
    <n v="550"/>
    <n v="0"/>
    <x v="2"/>
    <n v="10"/>
    <n v="1100"/>
    <n v="0"/>
    <n v="1100"/>
    <n v="660"/>
    <n v="440"/>
    <n v="0.4"/>
    <s v="Healthy"/>
    <s v="Safe"/>
    <n v="0.4"/>
    <s v="Safe"/>
    <n v="220"/>
    <n v="0.4"/>
  </r>
  <r>
    <s v="ORD-11515"/>
    <x v="81"/>
    <s v="P015"/>
    <x v="8"/>
    <s v="Personal Care"/>
    <s v="Bath"/>
    <s v="SilkyTouch"/>
    <s v="B05"/>
    <x v="0"/>
    <s v="Kano"/>
    <x v="0"/>
    <s v="Member"/>
    <s v="Card"/>
    <n v="4"/>
    <n v="600"/>
    <n v="950"/>
    <n v="0.05"/>
    <x v="11"/>
    <n v="6"/>
    <n v="3800"/>
    <n v="190"/>
    <n v="3610"/>
    <n v="2400"/>
    <n v="1210"/>
    <n v="0.33518005540166207"/>
    <s v="Healthy"/>
    <s v="Safe"/>
    <n v="0.36842105263157893"/>
    <s v="Safe"/>
    <n v="350"/>
    <n v="0.36842105263157893"/>
  </r>
  <r>
    <s v="ORD-11516"/>
    <x v="29"/>
    <s v="P015"/>
    <x v="8"/>
    <s v="Personal Care"/>
    <s v="Bath"/>
    <s v="SilkyTouch"/>
    <s v="B07"/>
    <x v="3"/>
    <s v="Enugu"/>
    <x v="3"/>
    <s v="Corporate"/>
    <s v="POS"/>
    <n v="2"/>
    <n v="600"/>
    <n v="950"/>
    <n v="0.15"/>
    <x v="10"/>
    <n v="4"/>
    <n v="1900"/>
    <n v="285"/>
    <n v="1615"/>
    <n v="1200"/>
    <n v="415"/>
    <n v="0.25696594427244585"/>
    <s v="Healthy"/>
    <s v="Safe"/>
    <n v="0.36842105263157893"/>
    <s v="Safe"/>
    <n v="350"/>
    <n v="0.36842105263157893"/>
  </r>
  <r>
    <s v="ORD-11517"/>
    <x v="61"/>
    <s v="P008"/>
    <x v="4"/>
    <s v="Beverages"/>
    <s v="Soft Drinks"/>
    <s v="Sparkle"/>
    <s v="B06"/>
    <x v="1"/>
    <s v="Rivers"/>
    <x v="1"/>
    <s v="Walk-in"/>
    <s v="Transfer"/>
    <n v="2"/>
    <n v="330"/>
    <n v="550"/>
    <n v="0.05"/>
    <x v="0"/>
    <n v="8"/>
    <n v="1100"/>
    <n v="55"/>
    <n v="1045"/>
    <n v="660"/>
    <n v="385"/>
    <n v="0.36842105263157893"/>
    <s v="Healthy"/>
    <s v="Safe"/>
    <n v="0.4"/>
    <s v="Safe"/>
    <n v="220"/>
    <n v="0.4"/>
  </r>
  <r>
    <s v="ORD-11518"/>
    <x v="219"/>
    <s v="P008"/>
    <x v="4"/>
    <s v="Beverages"/>
    <s v="Soft Drinks"/>
    <s v="Sparkle"/>
    <s v="B03"/>
    <x v="6"/>
    <s v="Lagos"/>
    <x v="4"/>
    <s v="Walk-in"/>
    <s v="Cash"/>
    <n v="2"/>
    <n v="330"/>
    <n v="550"/>
    <n v="0.15"/>
    <x v="3"/>
    <n v="14"/>
    <n v="1100"/>
    <n v="165"/>
    <n v="935"/>
    <n v="660"/>
    <n v="275"/>
    <n v="0.29411764705882354"/>
    <s v="Healthy"/>
    <s v="Safe"/>
    <n v="0.4"/>
    <s v="Safe"/>
    <n v="220"/>
    <n v="0.4"/>
  </r>
  <r>
    <s v="ORD-11519"/>
    <x v="216"/>
    <s v="P011"/>
    <x v="9"/>
    <s v="Household"/>
    <s v="Cleaning"/>
    <s v="CleanPro"/>
    <s v="B06"/>
    <x v="1"/>
    <s v="Rivers"/>
    <x v="1"/>
    <s v="Walk-in"/>
    <s v="POS"/>
    <n v="5"/>
    <n v="2800"/>
    <n v="3900"/>
    <n v="0.2"/>
    <x v="7"/>
    <n v="12"/>
    <n v="19500"/>
    <n v="3900"/>
    <n v="15600"/>
    <n v="14000"/>
    <n v="1600"/>
    <n v="0.10256410256410256"/>
    <s v="Healthy"/>
    <s v="Safe"/>
    <n v="0.28205128205128205"/>
    <s v="Safe"/>
    <n v="1100"/>
    <n v="0.28205128205128205"/>
  </r>
  <r>
    <s v="ORD-11520"/>
    <x v="204"/>
    <s v="P013"/>
    <x v="11"/>
    <s v="Personal Care"/>
    <s v="Skin Care"/>
    <s v="GlowPlus"/>
    <s v="B04"/>
    <x v="5"/>
    <s v="Lagos"/>
    <x v="4"/>
    <s v="Walk-in"/>
    <s v="Cash"/>
    <n v="2"/>
    <n v="3500"/>
    <n v="5200"/>
    <n v="0.05"/>
    <x v="6"/>
    <n v="14"/>
    <n v="10400"/>
    <n v="520"/>
    <n v="9880"/>
    <n v="7000"/>
    <n v="2880"/>
    <n v="0.291497975708502"/>
    <s v="Healthy"/>
    <s v="Safe"/>
    <n v="0.32692307692307693"/>
    <s v="Safe"/>
    <n v="1700"/>
    <n v="0.32692307692307693"/>
  </r>
  <r>
    <s v="ORD-11521"/>
    <x v="191"/>
    <s v="P005"/>
    <x v="2"/>
    <s v="Food"/>
    <s v="Snacks"/>
    <s v="CrispyBite"/>
    <s v="B03"/>
    <x v="6"/>
    <s v="Lagos"/>
    <x v="4"/>
    <s v="Walk-in"/>
    <s v="Cash"/>
    <n v="3"/>
    <n v="850"/>
    <n v="1300"/>
    <n v="0"/>
    <x v="1"/>
    <n v="13"/>
    <n v="3900"/>
    <n v="0"/>
    <n v="3900"/>
    <n v="2550"/>
    <n v="1350"/>
    <n v="0.34615384615384615"/>
    <s v="Understocked"/>
    <s v="Safe"/>
    <n v="0.34615384615384615"/>
    <s v="Safe"/>
    <n v="450"/>
    <n v="0.34615384615384615"/>
  </r>
  <r>
    <s v="ORD-11522"/>
    <x v="30"/>
    <s v="P006"/>
    <x v="0"/>
    <s v="Beverages"/>
    <s v="Water"/>
    <s v="AquaPure"/>
    <s v="B04"/>
    <x v="5"/>
    <s v="Lagos"/>
    <x v="4"/>
    <s v="Walk-in"/>
    <s v="POS"/>
    <n v="2"/>
    <n v="230"/>
    <n v="400"/>
    <n v="0"/>
    <x v="0"/>
    <n v="12"/>
    <n v="800"/>
    <n v="0"/>
    <n v="800"/>
    <n v="460"/>
    <n v="340"/>
    <n v="0.42499999999999999"/>
    <s v="Understocked"/>
    <s v="Safe"/>
    <n v="0.42499999999999999"/>
    <s v="Safe"/>
    <n v="170"/>
    <n v="0.42499999999999999"/>
  </r>
  <r>
    <s v="ORD-11523"/>
    <x v="165"/>
    <s v="P006"/>
    <x v="0"/>
    <s v="Beverages"/>
    <s v="Water"/>
    <s v="AquaPure"/>
    <s v="B06"/>
    <x v="1"/>
    <s v="Rivers"/>
    <x v="1"/>
    <s v="Walk-in"/>
    <s v="Transfer"/>
    <n v="3"/>
    <n v="230"/>
    <n v="400"/>
    <n v="0.15"/>
    <x v="3"/>
    <n v="3"/>
    <n v="1200"/>
    <n v="180"/>
    <n v="1020"/>
    <n v="690"/>
    <n v="330"/>
    <n v="0.3235294117647059"/>
    <s v="Understocked"/>
    <s v="Safe"/>
    <n v="0.42499999999999999"/>
    <s v="Safe"/>
    <n v="170"/>
    <n v="0.42499999999999999"/>
  </r>
  <r>
    <s v="ORD-11524"/>
    <x v="191"/>
    <s v="P005"/>
    <x v="2"/>
    <s v="Food"/>
    <s v="Snacks"/>
    <s v="CrispyBite"/>
    <s v="B01"/>
    <x v="2"/>
    <s v="Abuja"/>
    <x v="2"/>
    <s v="Walk-in"/>
    <s v="Cash"/>
    <n v="5"/>
    <n v="850"/>
    <n v="1300"/>
    <n v="0.1"/>
    <x v="1"/>
    <n v="1"/>
    <n v="6500"/>
    <n v="650"/>
    <n v="5850"/>
    <n v="4250"/>
    <n v="1600"/>
    <n v="0.27350427350427353"/>
    <s v="Understocked"/>
    <s v="Safe"/>
    <n v="0.34615384615384615"/>
    <s v="Safe"/>
    <n v="450"/>
    <n v="0.34615384615384615"/>
  </r>
  <r>
    <s v="ORD-11525"/>
    <x v="338"/>
    <s v="P001"/>
    <x v="14"/>
    <s v="Food"/>
    <s v="Grains"/>
    <s v="Golden Harvest"/>
    <s v="B02"/>
    <x v="4"/>
    <s v="Abuja"/>
    <x v="2"/>
    <s v="Member"/>
    <s v="POS"/>
    <n v="1"/>
    <n v="14500"/>
    <n v="17500"/>
    <n v="0.15"/>
    <x v="8"/>
    <n v="8"/>
    <n v="17500"/>
    <n v="2625"/>
    <n v="14875"/>
    <n v="14500"/>
    <n v="375"/>
    <n v="2.5210084033613446E-2"/>
    <s v="Understocked"/>
    <s v="Safe"/>
    <n v="0.17142857142857143"/>
    <s v="Safe"/>
    <n v="3000"/>
    <n v="0.17142857142857143"/>
  </r>
  <r>
    <s v="ORD-11526"/>
    <x v="93"/>
    <s v="P015"/>
    <x v="8"/>
    <s v="Personal Care"/>
    <s v="Bath"/>
    <s v="SilkyTouch"/>
    <s v="B06"/>
    <x v="1"/>
    <s v="Rivers"/>
    <x v="1"/>
    <s v="Walk-in"/>
    <s v="POS"/>
    <n v="1"/>
    <n v="600"/>
    <n v="950"/>
    <n v="0.1"/>
    <x v="6"/>
    <n v="1"/>
    <n v="950"/>
    <n v="95"/>
    <n v="855"/>
    <n v="600"/>
    <n v="255"/>
    <n v="0.2982456140350877"/>
    <s v="Healthy"/>
    <s v="Safe"/>
    <n v="0.36842105263157893"/>
    <s v="Safe"/>
    <n v="350"/>
    <n v="0.36842105263157893"/>
  </r>
  <r>
    <s v="ORD-11527"/>
    <x v="283"/>
    <s v="P018"/>
    <x v="16"/>
    <s v="Electronics"/>
    <s v="Mobile Accessories"/>
    <s v="VoltSafe"/>
    <s v="B05"/>
    <x v="0"/>
    <s v="Kano"/>
    <x v="0"/>
    <s v="Walk-in"/>
    <s v="POS"/>
    <n v="2"/>
    <n v="18000"/>
    <n v="24500"/>
    <n v="0.05"/>
    <x v="12"/>
    <n v="9"/>
    <n v="49000"/>
    <n v="2450"/>
    <n v="46550"/>
    <n v="36000"/>
    <n v="10550"/>
    <n v="0.22663802363050484"/>
    <s v="Understocked"/>
    <s v="Safe"/>
    <n v="0.26530612244897961"/>
    <s v="Safe"/>
    <n v="6500"/>
    <n v="0.26530612244897961"/>
  </r>
  <r>
    <s v="ORD-11528"/>
    <x v="48"/>
    <s v="P011"/>
    <x v="9"/>
    <s v="Household"/>
    <s v="Cleaning"/>
    <s v="CleanPro"/>
    <s v="B07"/>
    <x v="3"/>
    <s v="Enugu"/>
    <x v="3"/>
    <s v="Corporate"/>
    <s v="Cash"/>
    <n v="2"/>
    <n v="2800"/>
    <n v="3900"/>
    <n v="0"/>
    <x v="10"/>
    <n v="3"/>
    <n v="7800"/>
    <n v="0"/>
    <n v="7800"/>
    <n v="5600"/>
    <n v="2200"/>
    <n v="0.28205128205128205"/>
    <s v="Healthy"/>
    <s v="Safe"/>
    <n v="0.28205128205128205"/>
    <s v="Safe"/>
    <n v="1100"/>
    <n v="0.28205128205128205"/>
  </r>
  <r>
    <s v="ORD-11529"/>
    <x v="160"/>
    <s v="P002"/>
    <x v="10"/>
    <s v="Food"/>
    <s v="Grains"/>
    <s v="Mama's Pride"/>
    <s v="B08"/>
    <x v="7"/>
    <s v="Kwara"/>
    <x v="2"/>
    <s v="Member"/>
    <s v="Transfer"/>
    <n v="5"/>
    <n v="6200"/>
    <n v="7900"/>
    <n v="0"/>
    <x v="8"/>
    <n v="6"/>
    <n v="39500"/>
    <n v="0"/>
    <n v="39500"/>
    <n v="31000"/>
    <n v="8500"/>
    <n v="0.21518987341772153"/>
    <s v="Healthy"/>
    <s v="Safe"/>
    <n v="0.21518987341772153"/>
    <s v="Safe"/>
    <n v="1700"/>
    <n v="0.21518987341772153"/>
  </r>
  <r>
    <s v="ORD-11530"/>
    <x v="54"/>
    <s v="P005"/>
    <x v="2"/>
    <s v="Food"/>
    <s v="Snacks"/>
    <s v="CrispyBite"/>
    <s v="B01"/>
    <x v="2"/>
    <s v="Abuja"/>
    <x v="2"/>
    <s v="Walk-in"/>
    <s v="POS"/>
    <n v="2"/>
    <n v="850"/>
    <n v="1300"/>
    <n v="0.1"/>
    <x v="1"/>
    <n v="3"/>
    <n v="2600"/>
    <n v="260"/>
    <n v="2340"/>
    <n v="1700"/>
    <n v="640"/>
    <n v="0.27350427350427353"/>
    <s v="Understocked"/>
    <s v="Safe"/>
    <n v="0.34615384615384615"/>
    <s v="Safe"/>
    <n v="450"/>
    <n v="0.34615384615384615"/>
  </r>
  <r>
    <s v="ORD-11531"/>
    <x v="59"/>
    <s v="P007"/>
    <x v="3"/>
    <s v="Beverages"/>
    <s v="Malt"/>
    <s v="Naija Malt"/>
    <s v="B02"/>
    <x v="4"/>
    <s v="Abuja"/>
    <x v="2"/>
    <s v="Walk-in"/>
    <s v="Transfer"/>
    <n v="6"/>
    <n v="550"/>
    <n v="850"/>
    <n v="0.15"/>
    <x v="0"/>
    <n v="8"/>
    <n v="5100"/>
    <n v="765"/>
    <n v="4335"/>
    <n v="3300"/>
    <n v="1035"/>
    <n v="0.23875432525951557"/>
    <s v="Healthy"/>
    <s v="Safe"/>
    <n v="0.35294117647058826"/>
    <s v="Safe"/>
    <n v="300"/>
    <n v="0.35294117647058826"/>
  </r>
  <r>
    <s v="ORD-11532"/>
    <x v="310"/>
    <s v="P008"/>
    <x v="4"/>
    <s v="Beverages"/>
    <s v="Soft Drinks"/>
    <s v="Sparkle"/>
    <s v="B03"/>
    <x v="6"/>
    <s v="Lagos"/>
    <x v="4"/>
    <s v="Member"/>
    <s v="POS"/>
    <n v="1"/>
    <n v="330"/>
    <n v="550"/>
    <n v="0.2"/>
    <x v="2"/>
    <n v="6"/>
    <n v="550"/>
    <n v="110"/>
    <n v="440"/>
    <n v="330"/>
    <n v="110"/>
    <n v="0.25"/>
    <s v="Healthy"/>
    <s v="Safe"/>
    <n v="0.4"/>
    <s v="Safe"/>
    <n v="220"/>
    <n v="0.4"/>
  </r>
  <r>
    <s v="ORD-11533"/>
    <x v="272"/>
    <s v="P021"/>
    <x v="20"/>
    <s v="Office Supplies"/>
    <s v="Paper"/>
    <s v="OfficeMate"/>
    <s v="B07"/>
    <x v="3"/>
    <s v="Enugu"/>
    <x v="3"/>
    <s v="Walk-in"/>
    <s v="POS"/>
    <n v="6"/>
    <n v="5200"/>
    <n v="7000"/>
    <n v="0"/>
    <x v="5"/>
    <n v="8"/>
    <n v="42000"/>
    <n v="0"/>
    <n v="42000"/>
    <n v="31200"/>
    <n v="10800"/>
    <n v="0.25714285714285712"/>
    <s v="Overstocked"/>
    <s v="Safe"/>
    <n v="0.25714285714285712"/>
    <s v="Safe"/>
    <n v="1800"/>
    <n v="0.25714285714285712"/>
  </r>
  <r>
    <s v="ORD-11534"/>
    <x v="208"/>
    <s v="P002"/>
    <x v="10"/>
    <s v="Food"/>
    <s v="Grains"/>
    <s v="Mama's Pride"/>
    <s v="B03"/>
    <x v="6"/>
    <s v="Lagos"/>
    <x v="4"/>
    <s v="Walk-in"/>
    <s v="Cash"/>
    <n v="2"/>
    <n v="6200"/>
    <n v="7900"/>
    <n v="0.05"/>
    <x v="1"/>
    <n v="12"/>
    <n v="15800"/>
    <n v="790"/>
    <n v="15010"/>
    <n v="12400"/>
    <n v="2610"/>
    <n v="0.17388407728181213"/>
    <s v="Healthy"/>
    <s v="Safe"/>
    <n v="0.21518987341772153"/>
    <s v="Safe"/>
    <n v="1700"/>
    <n v="0.21518987341772153"/>
  </r>
  <r>
    <s v="ORD-11535"/>
    <x v="173"/>
    <s v="P001"/>
    <x v="14"/>
    <s v="Food"/>
    <s v="Grains"/>
    <s v="Golden Harvest"/>
    <s v="B02"/>
    <x v="4"/>
    <s v="Abuja"/>
    <x v="2"/>
    <s v="Walk-in"/>
    <s v="POS"/>
    <n v="3"/>
    <n v="14500"/>
    <n v="17500"/>
    <n v="0"/>
    <x v="8"/>
    <n v="6"/>
    <n v="52500"/>
    <n v="0"/>
    <n v="52500"/>
    <n v="43500"/>
    <n v="9000"/>
    <n v="0.17142857142857143"/>
    <s v="Understocked"/>
    <s v="Safe"/>
    <n v="0.17142857142857143"/>
    <s v="Safe"/>
    <n v="3000"/>
    <n v="0.17142857142857143"/>
  </r>
  <r>
    <s v="ORD-11536"/>
    <x v="288"/>
    <s v="P007"/>
    <x v="3"/>
    <s v="Beverages"/>
    <s v="Malt"/>
    <s v="Naija Malt"/>
    <s v="B06"/>
    <x v="1"/>
    <s v="Rivers"/>
    <x v="1"/>
    <s v="Member"/>
    <s v="Transfer"/>
    <n v="3"/>
    <n v="550"/>
    <n v="850"/>
    <n v="0.15"/>
    <x v="0"/>
    <n v="1"/>
    <n v="2550"/>
    <n v="382.5"/>
    <n v="2167.5"/>
    <n v="1650"/>
    <n v="517.5"/>
    <n v="0.23875432525951557"/>
    <s v="Healthy"/>
    <s v="Safe"/>
    <n v="0.35294117647058826"/>
    <s v="Safe"/>
    <n v="300"/>
    <n v="0.35294117647058826"/>
  </r>
  <r>
    <s v="ORD-11537"/>
    <x v="38"/>
    <s v="P015"/>
    <x v="8"/>
    <s v="Personal Care"/>
    <s v="Bath"/>
    <s v="SilkyTouch"/>
    <s v="B04"/>
    <x v="5"/>
    <s v="Lagos"/>
    <x v="4"/>
    <s v="Corporate"/>
    <s v="Transfer"/>
    <n v="1"/>
    <n v="600"/>
    <n v="950"/>
    <n v="0.2"/>
    <x v="10"/>
    <n v="12"/>
    <n v="950"/>
    <n v="190"/>
    <n v="760"/>
    <n v="600"/>
    <n v="160"/>
    <n v="0.21052631578947367"/>
    <s v="Healthy"/>
    <s v="Safe"/>
    <n v="0.36842105263157893"/>
    <s v="Safe"/>
    <n v="350"/>
    <n v="0.36842105263157893"/>
  </r>
  <r>
    <s v="ORD-11538"/>
    <x v="1"/>
    <s v="P006"/>
    <x v="0"/>
    <s v="Beverages"/>
    <s v="Water"/>
    <s v="AquaPure"/>
    <s v="B02"/>
    <x v="4"/>
    <s v="Abuja"/>
    <x v="2"/>
    <s v="Walk-in"/>
    <s v="Transfer"/>
    <n v="6"/>
    <n v="230"/>
    <n v="400"/>
    <n v="0"/>
    <x v="3"/>
    <n v="1"/>
    <n v="2400"/>
    <n v="0"/>
    <n v="2400"/>
    <n v="1380"/>
    <n v="1020"/>
    <n v="0.42499999999999999"/>
    <s v="Understocked"/>
    <s v="Safe"/>
    <n v="0.42499999999999999"/>
    <s v="Safe"/>
    <n v="170"/>
    <n v="0.42499999999999999"/>
  </r>
  <r>
    <s v="ORD-11539"/>
    <x v="25"/>
    <s v="P004"/>
    <x v="1"/>
    <s v="Beverages"/>
    <s v="Dairy"/>
    <s v="FreshDay"/>
    <s v="B04"/>
    <x v="5"/>
    <s v="Lagos"/>
    <x v="4"/>
    <s v="Walk-in"/>
    <s v="POS"/>
    <n v="-1"/>
    <n v="1650"/>
    <n v="2200"/>
    <n v="0.15"/>
    <x v="2"/>
    <n v="4"/>
    <n v="-2200"/>
    <n v="-330"/>
    <n v="-1870"/>
    <n v="-1650"/>
    <n v="-220"/>
    <n v="0.11764705882352941"/>
    <s v="Understocked"/>
    <s v="Discount loss"/>
    <n v="0.25"/>
    <s v="Safe"/>
    <n v="550"/>
    <n v="0.25"/>
  </r>
  <r>
    <s v="ORD-11540"/>
    <x v="301"/>
    <s v="P020"/>
    <x v="5"/>
    <s v="Electronics"/>
    <s v="Lighting"/>
    <s v="Luma"/>
    <s v="B03"/>
    <x v="6"/>
    <s v="Lagos"/>
    <x v="4"/>
    <s v="Walk-in"/>
    <s v="POS"/>
    <n v="3"/>
    <n v="1500"/>
    <n v="2500"/>
    <n v="0"/>
    <x v="12"/>
    <n v="8"/>
    <n v="7500"/>
    <n v="0"/>
    <n v="7500"/>
    <n v="4500"/>
    <n v="3000"/>
    <n v="0.4"/>
    <s v="Healthy"/>
    <s v="Safe"/>
    <n v="0.4"/>
    <s v="Safe"/>
    <n v="1000"/>
    <n v="0.4"/>
  </r>
  <r>
    <s v="ORD-11541"/>
    <x v="172"/>
    <s v="P008"/>
    <x v="4"/>
    <s v="Beverages"/>
    <s v="Soft Drinks"/>
    <s v="Sparkle"/>
    <s v="B07"/>
    <x v="3"/>
    <s v="Enugu"/>
    <x v="3"/>
    <s v="Member"/>
    <s v="POS"/>
    <n v="3"/>
    <n v="330"/>
    <n v="550"/>
    <n v="0.2"/>
    <x v="2"/>
    <n v="10"/>
    <n v="1650"/>
    <n v="330"/>
    <n v="1320"/>
    <n v="990"/>
    <n v="330"/>
    <n v="0.25"/>
    <s v="Healthy"/>
    <s v="Safe"/>
    <n v="0.4"/>
    <s v="Safe"/>
    <n v="220"/>
    <n v="0.4"/>
  </r>
  <r>
    <s v="ORD-11542"/>
    <x v="225"/>
    <s v="P013"/>
    <x v="11"/>
    <s v="Personal Care"/>
    <s v="Skin Care"/>
    <s v="GlowPlus"/>
    <s v="B03"/>
    <x v="6"/>
    <s v="Lagos"/>
    <x v="4"/>
    <s v="Member"/>
    <s v="POS"/>
    <n v="1"/>
    <n v="3500"/>
    <n v="5200"/>
    <n v="0.1"/>
    <x v="11"/>
    <n v="13"/>
    <n v="5200"/>
    <n v="520"/>
    <n v="4680"/>
    <n v="3500"/>
    <n v="1180"/>
    <n v="0.25213675213675213"/>
    <s v="Healthy"/>
    <s v="Safe"/>
    <n v="0.32692307692307693"/>
    <s v="Safe"/>
    <n v="1700"/>
    <n v="0.32692307692307693"/>
  </r>
  <r>
    <s v="ORD-11543"/>
    <x v="203"/>
    <s v="P005"/>
    <x v="2"/>
    <s v="Food"/>
    <s v="Snacks"/>
    <s v="CrispyBite"/>
    <s v="B01"/>
    <x v="2"/>
    <s v="Abuja"/>
    <x v="2"/>
    <s v="Walk-in"/>
    <s v="Transfer"/>
    <n v="3"/>
    <n v="850"/>
    <n v="1300"/>
    <n v="0.05"/>
    <x v="1"/>
    <n v="7"/>
    <n v="3900"/>
    <n v="195"/>
    <n v="3705"/>
    <n v="2550"/>
    <n v="1155"/>
    <n v="0.31174089068825911"/>
    <s v="Understocked"/>
    <s v="Safe"/>
    <n v="0.34615384615384615"/>
    <s v="Safe"/>
    <n v="450"/>
    <n v="0.34615384615384615"/>
  </r>
  <r>
    <s v="ORD-11544"/>
    <x v="276"/>
    <s v="P006"/>
    <x v="0"/>
    <s v="Beverages"/>
    <s v="Water"/>
    <s v="AquaPure"/>
    <s v="B07"/>
    <x v="3"/>
    <s v="Enugu"/>
    <x v="3"/>
    <s v="Walk-in"/>
    <s v="POS"/>
    <n v="1"/>
    <n v="230"/>
    <n v="400"/>
    <n v="0"/>
    <x v="3"/>
    <n v="8"/>
    <n v="400"/>
    <n v="0"/>
    <n v="400"/>
    <n v="230"/>
    <n v="170"/>
    <n v="0.42499999999999999"/>
    <s v="Understocked"/>
    <s v="Safe"/>
    <n v="0.42499999999999999"/>
    <s v="Safe"/>
    <n v="170"/>
    <n v="0.42499999999999999"/>
  </r>
  <r>
    <s v="ORD-11545"/>
    <x v="15"/>
    <s v="P015"/>
    <x v="8"/>
    <s v="Personal Care"/>
    <s v="Bath"/>
    <s v="SilkyTouch"/>
    <s v="B04"/>
    <x v="5"/>
    <s v="Lagos"/>
    <x v="4"/>
    <s v="Walk-in"/>
    <s v="Card"/>
    <n v="2"/>
    <n v="600"/>
    <n v="950"/>
    <n v="0.05"/>
    <x v="6"/>
    <n v="3"/>
    <n v="1900"/>
    <n v="95"/>
    <n v="1805"/>
    <n v="1200"/>
    <n v="605"/>
    <n v="0.33518005540166207"/>
    <s v="Healthy"/>
    <s v="Safe"/>
    <n v="0.36842105263157893"/>
    <s v="Safe"/>
    <n v="350"/>
    <n v="0.36842105263157893"/>
  </r>
  <r>
    <s v="ORD-11546"/>
    <x v="352"/>
    <s v="P002"/>
    <x v="10"/>
    <s v="Food"/>
    <s v="Grains"/>
    <s v="Mama's Pride"/>
    <s v="B03"/>
    <x v="6"/>
    <s v="Lagos"/>
    <x v="4"/>
    <s v="Member"/>
    <s v="Cash"/>
    <n v="6"/>
    <n v="6200"/>
    <n v="7900"/>
    <n v="0.05"/>
    <x v="8"/>
    <n v="1"/>
    <n v="47400"/>
    <n v="2370"/>
    <n v="45030"/>
    <n v="37200"/>
    <n v="7830"/>
    <n v="0.17388407728181213"/>
    <s v="Healthy"/>
    <s v="Safe"/>
    <n v="0.21518987341772153"/>
    <s v="Safe"/>
    <n v="1700"/>
    <n v="0.21518987341772153"/>
  </r>
  <r>
    <s v="ORD-11547"/>
    <x v="167"/>
    <s v="P003"/>
    <x v="12"/>
    <s v="Food"/>
    <s v="Cooking Oil"/>
    <s v="SunGold"/>
    <s v="B02"/>
    <x v="4"/>
    <s v="Abuja"/>
    <x v="2"/>
    <s v="Corporate"/>
    <s v="POS"/>
    <n v="6"/>
    <n v="7800"/>
    <n v="9800"/>
    <n v="0.05"/>
    <x v="8"/>
    <n v="7"/>
    <n v="58800"/>
    <n v="2940"/>
    <n v="55860"/>
    <n v="46800"/>
    <n v="9060"/>
    <n v="0.16219119226638024"/>
    <s v="Understocked"/>
    <s v="Safe"/>
    <n v="0.20408163265306123"/>
    <s v="Safe"/>
    <n v="2000"/>
    <n v="0.20408163265306123"/>
  </r>
  <r>
    <s v="ORD-11548"/>
    <x v="331"/>
    <s v="P005"/>
    <x v="2"/>
    <s v="Food"/>
    <s v="Snacks"/>
    <s v="CrispyBite"/>
    <s v="B06"/>
    <x v="1"/>
    <s v="Rivers"/>
    <x v="1"/>
    <s v="Member"/>
    <s v="POS"/>
    <n v="2"/>
    <n v="850"/>
    <n v="1300"/>
    <n v="0.1"/>
    <x v="9"/>
    <n v="2"/>
    <n v="2600"/>
    <n v="260"/>
    <n v="2340"/>
    <n v="1700"/>
    <n v="640"/>
    <n v="0.27350427350427353"/>
    <s v="Understocked"/>
    <s v="Safe"/>
    <n v="0.34615384615384615"/>
    <s v="Safe"/>
    <n v="450"/>
    <n v="0.34615384615384615"/>
  </r>
  <r>
    <s v="ORD-11549"/>
    <x v="360"/>
    <s v="P004"/>
    <x v="1"/>
    <s v="Beverages"/>
    <s v="Dairy"/>
    <s v="FreshDay"/>
    <s v="B03"/>
    <x v="6"/>
    <s v="Lagos"/>
    <x v="4"/>
    <s v="Member"/>
    <s v="POS"/>
    <n v="-1"/>
    <n v="1650"/>
    <n v="2200"/>
    <n v="0.2"/>
    <x v="3"/>
    <n v="1"/>
    <n v="-2200"/>
    <n v="-440"/>
    <n v="-1760"/>
    <n v="-1650"/>
    <n v="-110"/>
    <n v="6.25E-2"/>
    <s v="Understocked"/>
    <s v="Discount loss"/>
    <n v="0.25"/>
    <s v="Safe"/>
    <n v="550"/>
    <n v="0.25"/>
  </r>
  <r>
    <s v="ORD-11550"/>
    <x v="260"/>
    <s v="P003"/>
    <x v="12"/>
    <s v="Food"/>
    <s v="Cooking Oil"/>
    <s v="SunGold"/>
    <s v="B08"/>
    <x v="7"/>
    <s v="Kwara"/>
    <x v="2"/>
    <s v="Member"/>
    <s v="Transfer"/>
    <n v="2"/>
    <n v="7800"/>
    <n v="9800"/>
    <n v="0.1"/>
    <x v="1"/>
    <n v="2"/>
    <n v="19600"/>
    <n v="1960"/>
    <n v="17640"/>
    <n v="15600"/>
    <n v="2040"/>
    <n v="0.11564625850340136"/>
    <s v="Understocked"/>
    <s v="Safe"/>
    <n v="0.20408163265306123"/>
    <s v="Safe"/>
    <n v="2000"/>
    <n v="0.20408163265306123"/>
  </r>
  <r>
    <s v="ORD-11551"/>
    <x v="108"/>
    <s v="P006"/>
    <x v="0"/>
    <s v="Beverages"/>
    <s v="Water"/>
    <s v="AquaPure"/>
    <s v="B01"/>
    <x v="2"/>
    <s v="Abuja"/>
    <x v="2"/>
    <s v="Member"/>
    <s v="POS"/>
    <n v="3"/>
    <n v="230"/>
    <n v="400"/>
    <n v="0.2"/>
    <x v="3"/>
    <n v="13"/>
    <n v="1200"/>
    <n v="240"/>
    <n v="960"/>
    <n v="690"/>
    <n v="270"/>
    <n v="0.28125"/>
    <s v="Understocked"/>
    <s v="Safe"/>
    <n v="0.42499999999999999"/>
    <s v="Safe"/>
    <n v="170"/>
    <n v="0.42499999999999999"/>
  </r>
  <r>
    <s v="ORD-11552"/>
    <x v="112"/>
    <s v="P019"/>
    <x v="18"/>
    <s v="Electronics"/>
    <s v="Audio"/>
    <s v="SoundBeat"/>
    <s v="B04"/>
    <x v="5"/>
    <s v="Lagos"/>
    <x v="4"/>
    <s v="Member"/>
    <s v="Cash"/>
    <n v="2"/>
    <n v="12500"/>
    <n v="18500"/>
    <n v="0"/>
    <x v="12"/>
    <n v="5"/>
    <n v="37000"/>
    <n v="0"/>
    <n v="37000"/>
    <n v="25000"/>
    <n v="12000"/>
    <n v="0.32432432432432434"/>
    <s v="Understocked"/>
    <s v="Safe"/>
    <n v="0.32432432432432434"/>
    <s v="Safe"/>
    <n v="6000"/>
    <n v="0.32432432432432434"/>
  </r>
  <r>
    <s v="ORD-11553"/>
    <x v="16"/>
    <s v="P012"/>
    <x v="21"/>
    <s v="Household"/>
    <s v="Home Care"/>
    <s v="HomeFresh"/>
    <s v="B03"/>
    <x v="6"/>
    <s v="Lagos"/>
    <x v="4"/>
    <s v="Walk-in"/>
    <s v="POS"/>
    <n v="3"/>
    <n v="1700"/>
    <n v="2600"/>
    <n v="0.1"/>
    <x v="1"/>
    <n v="5"/>
    <n v="7800"/>
    <n v="780"/>
    <n v="7020"/>
    <n v="5100"/>
    <n v="1920"/>
    <n v="0.27350427350427353"/>
    <s v="Overstocked"/>
    <s v="Safe"/>
    <n v="0.34615384615384615"/>
    <s v="Safe"/>
    <n v="900"/>
    <n v="0.34615384615384615"/>
  </r>
  <r>
    <s v="ORD-11554"/>
    <x v="321"/>
    <s v="P014"/>
    <x v="15"/>
    <s v="Personal Care"/>
    <s v="Oral Care"/>
    <s v="FreshMint"/>
    <s v="B06"/>
    <x v="1"/>
    <s v="Rivers"/>
    <x v="1"/>
    <s v="Walk-in"/>
    <s v="Card"/>
    <n v="5"/>
    <n v="1200"/>
    <n v="1900"/>
    <n v="0.05"/>
    <x v="10"/>
    <n v="14"/>
    <n v="9500"/>
    <n v="475"/>
    <n v="9025"/>
    <n v="6000"/>
    <n v="3025"/>
    <n v="0.33518005540166207"/>
    <s v="Healthy"/>
    <s v="Safe"/>
    <n v="0.36842105263157893"/>
    <s v="Safe"/>
    <n v="700"/>
    <n v="0.36842105263157893"/>
  </r>
  <r>
    <s v="ORD-11555"/>
    <x v="40"/>
    <s v="P018"/>
    <x v="16"/>
    <s v="Electronics"/>
    <s v="Mobile Accessories"/>
    <s v="VoltSafe"/>
    <s v="B07"/>
    <x v="3"/>
    <s v="Enugu"/>
    <x v="3"/>
    <s v="Walk-in"/>
    <s v="POS"/>
    <n v="4"/>
    <n v="18000"/>
    <n v="24500"/>
    <n v="0"/>
    <x v="4"/>
    <n v="2"/>
    <n v="98000"/>
    <n v="0"/>
    <n v="98000"/>
    <n v="72000"/>
    <n v="26000"/>
    <n v="0.26530612244897961"/>
    <s v="Understocked"/>
    <s v="Safe"/>
    <n v="0.26530612244897961"/>
    <s v="Safe"/>
    <n v="6500"/>
    <n v="0.26530612244897961"/>
  </r>
  <r>
    <s v="ORD-11556"/>
    <x v="62"/>
    <s v="P003"/>
    <x v="12"/>
    <s v="Food"/>
    <s v="Cooking Oil"/>
    <s v="SunGold"/>
    <s v="B08"/>
    <x v="7"/>
    <s v="Kwara"/>
    <x v="2"/>
    <s v="Walk-in"/>
    <s v="Transfer"/>
    <n v="1"/>
    <n v="7800"/>
    <n v="9800"/>
    <n v="0.1"/>
    <x v="8"/>
    <n v="10"/>
    <n v="9800"/>
    <n v="980"/>
    <n v="8820"/>
    <n v="7800"/>
    <n v="1020"/>
    <n v="0.11564625850340136"/>
    <s v="Understocked"/>
    <s v="Safe"/>
    <n v="0.20408163265306123"/>
    <s v="Safe"/>
    <n v="2000"/>
    <n v="0.20408163265306123"/>
  </r>
  <r>
    <s v="ORD-11557"/>
    <x v="85"/>
    <s v="P008"/>
    <x v="4"/>
    <s v="Beverages"/>
    <s v="Soft Drinks"/>
    <s v="Sparkle"/>
    <s v="B01"/>
    <x v="2"/>
    <s v="Abuja"/>
    <x v="2"/>
    <s v="Walk-in"/>
    <s v="POS"/>
    <n v="3"/>
    <n v="330"/>
    <n v="550"/>
    <n v="0.2"/>
    <x v="0"/>
    <n v="4"/>
    <n v="1650"/>
    <n v="330"/>
    <n v="1320"/>
    <n v="990"/>
    <n v="330"/>
    <n v="0.25"/>
    <s v="Healthy"/>
    <s v="Safe"/>
    <n v="0.4"/>
    <s v="Safe"/>
    <n v="220"/>
    <n v="0.4"/>
  </r>
  <r>
    <s v="ORD-11558"/>
    <x v="234"/>
    <s v="P001"/>
    <x v="14"/>
    <s v="Food"/>
    <s v="Grains"/>
    <s v="Golden Harvest"/>
    <s v="B02"/>
    <x v="4"/>
    <s v="Abuja"/>
    <x v="2"/>
    <s v="Walk-in"/>
    <s v="POS"/>
    <n v="1"/>
    <n v="14500"/>
    <n v="17500"/>
    <n v="0"/>
    <x v="8"/>
    <n v="7"/>
    <n v="17500"/>
    <n v="0"/>
    <n v="17500"/>
    <n v="14500"/>
    <n v="3000"/>
    <n v="0.17142857142857143"/>
    <s v="Understocked"/>
    <s v="Safe"/>
    <n v="0.17142857142857143"/>
    <s v="Safe"/>
    <n v="3000"/>
    <n v="0.17142857142857143"/>
  </r>
  <r>
    <s v="ORD-11559"/>
    <x v="329"/>
    <s v="P008"/>
    <x v="4"/>
    <s v="Beverages"/>
    <s v="Soft Drinks"/>
    <s v="Sparkle"/>
    <s v="B08"/>
    <x v="7"/>
    <s v="Kwara"/>
    <x v="2"/>
    <s v="Walk-in"/>
    <s v="POS"/>
    <n v="5"/>
    <n v="330"/>
    <n v="550"/>
    <n v="0.15"/>
    <x v="0"/>
    <n v="12"/>
    <n v="2750"/>
    <n v="412.5"/>
    <n v="2337.5"/>
    <n v="1650"/>
    <n v="687.5"/>
    <n v="0.29411764705882354"/>
    <s v="Healthy"/>
    <s v="Safe"/>
    <n v="0.4"/>
    <s v="Safe"/>
    <n v="220"/>
    <n v="0.4"/>
  </r>
  <r>
    <s v="ORD-11560"/>
    <x v="196"/>
    <s v="P023"/>
    <x v="6"/>
    <s v="Office Supplies"/>
    <s v="Stationery"/>
    <s v="StudyPro"/>
    <s v="B06"/>
    <x v="1"/>
    <s v="Rivers"/>
    <x v="1"/>
    <s v="Member"/>
    <s v="Cash"/>
    <n v="6"/>
    <n v="2800"/>
    <n v="4200"/>
    <n v="0"/>
    <x v="14"/>
    <n v="7"/>
    <n v="25200"/>
    <n v="0"/>
    <n v="25200"/>
    <n v="16800"/>
    <n v="8400"/>
    <n v="0.33333333333333331"/>
    <s v="Understocked"/>
    <s v="Safe"/>
    <n v="0.33333333333333331"/>
    <s v="Safe"/>
    <n v="1400"/>
    <n v="0.33333333333333331"/>
  </r>
  <r>
    <s v="ORD-11561"/>
    <x v="269"/>
    <s v="P003"/>
    <x v="12"/>
    <s v="Food"/>
    <s v="Cooking Oil"/>
    <s v="SunGold"/>
    <s v="B07"/>
    <x v="3"/>
    <s v="Enugu"/>
    <x v="3"/>
    <s v="Corporate"/>
    <s v="POS"/>
    <n v="2"/>
    <n v="7800"/>
    <n v="9800"/>
    <n v="0.1"/>
    <x v="1"/>
    <n v="3"/>
    <n v="19600"/>
    <n v="1960"/>
    <n v="17640"/>
    <n v="15600"/>
    <n v="2040"/>
    <n v="0.11564625850340136"/>
    <s v="Understocked"/>
    <s v="Safe"/>
    <n v="0.20408163265306123"/>
    <s v="Safe"/>
    <n v="2000"/>
    <n v="0.20408163265306123"/>
  </r>
  <r>
    <s v="ORD-11562"/>
    <x v="360"/>
    <s v="P013"/>
    <x v="11"/>
    <s v="Personal Care"/>
    <s v="Skin Care"/>
    <s v="GlowPlus"/>
    <s v="B06"/>
    <x v="1"/>
    <s v="Rivers"/>
    <x v="1"/>
    <s v="Walk-in"/>
    <s v="Transfer"/>
    <n v="5"/>
    <n v="3500"/>
    <n v="5200"/>
    <n v="0.05"/>
    <x v="10"/>
    <n v="4"/>
    <n v="26000"/>
    <n v="1300"/>
    <n v="24700"/>
    <n v="17500"/>
    <n v="7200"/>
    <n v="0.291497975708502"/>
    <s v="Healthy"/>
    <s v="Safe"/>
    <n v="0.32692307692307693"/>
    <s v="Safe"/>
    <n v="1700"/>
    <n v="0.32692307692307693"/>
  </r>
  <r>
    <s v="ORD-11563"/>
    <x v="182"/>
    <s v="P014"/>
    <x v="15"/>
    <s v="Personal Care"/>
    <s v="Oral Care"/>
    <s v="FreshMint"/>
    <s v="B07"/>
    <x v="3"/>
    <s v="Enugu"/>
    <x v="3"/>
    <s v="Walk-in"/>
    <s v="POS"/>
    <n v="4"/>
    <n v="1200"/>
    <n v="1900"/>
    <n v="0"/>
    <x v="10"/>
    <n v="10"/>
    <n v="7600"/>
    <n v="0"/>
    <n v="7600"/>
    <n v="4800"/>
    <n v="2800"/>
    <n v="0.36842105263157893"/>
    <s v="Healthy"/>
    <s v="Safe"/>
    <n v="0.36842105263157893"/>
    <s v="Safe"/>
    <n v="700"/>
    <n v="0.36842105263157893"/>
  </r>
  <r>
    <s v="ORD-11564"/>
    <x v="237"/>
    <s v="P008"/>
    <x v="4"/>
    <s v="Beverages"/>
    <s v="Soft Drinks"/>
    <s v="Sparkle"/>
    <s v="B08"/>
    <x v="7"/>
    <s v="Kwara"/>
    <x v="2"/>
    <s v="Member"/>
    <s v="POS"/>
    <n v="5"/>
    <n v="330"/>
    <n v="550"/>
    <n v="0.05"/>
    <x v="0"/>
    <n v="13"/>
    <n v="2750"/>
    <n v="137.5"/>
    <n v="2612.5"/>
    <n v="1650"/>
    <n v="962.5"/>
    <n v="0.36842105263157893"/>
    <s v="Healthy"/>
    <s v="Safe"/>
    <n v="0.4"/>
    <s v="Safe"/>
    <n v="220"/>
    <n v="0.4"/>
  </r>
  <r>
    <s v="ORD-11565"/>
    <x v="288"/>
    <s v="P006"/>
    <x v="0"/>
    <s v="Beverages"/>
    <s v="Water"/>
    <s v="AquaPure"/>
    <s v="B03"/>
    <x v="6"/>
    <s v="Lagos"/>
    <x v="4"/>
    <s v="Walk-in"/>
    <s v="POS"/>
    <n v="3"/>
    <n v="230"/>
    <n v="400"/>
    <n v="0.15"/>
    <x v="2"/>
    <n v="10"/>
    <n v="1200"/>
    <n v="180"/>
    <n v="1020"/>
    <n v="690"/>
    <n v="330"/>
    <n v="0.3235294117647059"/>
    <s v="Understocked"/>
    <s v="Safe"/>
    <n v="0.42499999999999999"/>
    <s v="Safe"/>
    <n v="170"/>
    <n v="0.42499999999999999"/>
  </r>
  <r>
    <s v="ORD-11566"/>
    <x v="196"/>
    <s v="P019"/>
    <x v="18"/>
    <s v="Electronics"/>
    <s v="Audio"/>
    <s v="SoundBeat"/>
    <s v="B02"/>
    <x v="4"/>
    <s v="Abuja"/>
    <x v="2"/>
    <s v="Member"/>
    <s v="POS"/>
    <n v="2"/>
    <n v="12500"/>
    <n v="18500"/>
    <n v="0.15"/>
    <x v="12"/>
    <n v="10"/>
    <n v="37000"/>
    <n v="5550"/>
    <n v="31450"/>
    <n v="25000"/>
    <n v="6450"/>
    <n v="0.20508744038155802"/>
    <s v="Understocked"/>
    <s v="Safe"/>
    <n v="0.32432432432432434"/>
    <s v="Safe"/>
    <n v="6000"/>
    <n v="0.32432432432432434"/>
  </r>
  <r>
    <s v="ORD-11567"/>
    <x v="26"/>
    <s v="P001"/>
    <x v="14"/>
    <s v="Food"/>
    <s v="Grains"/>
    <s v="Golden Harvest"/>
    <s v="B02"/>
    <x v="4"/>
    <s v="Abuja"/>
    <x v="2"/>
    <s v="Walk-in"/>
    <s v="Cash"/>
    <n v="2"/>
    <n v="14500"/>
    <n v="17500"/>
    <n v="0.15"/>
    <x v="9"/>
    <n v="2"/>
    <n v="35000"/>
    <n v="5250"/>
    <n v="29750"/>
    <n v="29000"/>
    <n v="750"/>
    <n v="2.5210084033613446E-2"/>
    <s v="Understocked"/>
    <s v="Safe"/>
    <n v="0.17142857142857143"/>
    <s v="Safe"/>
    <n v="3000"/>
    <n v="0.17142857142857143"/>
  </r>
  <r>
    <s v="ORD-11568"/>
    <x v="150"/>
    <s v="P009"/>
    <x v="13"/>
    <s v="Household"/>
    <s v="Cleaning"/>
    <s v="BrightWash"/>
    <s v="B07"/>
    <x v="3"/>
    <s v="Enugu"/>
    <x v="3"/>
    <s v="Member"/>
    <s v="POS"/>
    <n v="8"/>
    <n v="2400"/>
    <n v="3400"/>
    <n v="0"/>
    <x v="1"/>
    <n v="13"/>
    <n v="27200"/>
    <n v="0"/>
    <n v="27200"/>
    <n v="19200"/>
    <n v="8000"/>
    <n v="0.29411764705882354"/>
    <s v="Healthy"/>
    <s v="Safe"/>
    <n v="0.29411764705882354"/>
    <s v="Safe"/>
    <n v="1000"/>
    <n v="0.29411764705882354"/>
  </r>
  <r>
    <s v="ORD-11569"/>
    <x v="223"/>
    <s v="P014"/>
    <x v="15"/>
    <s v="Personal Care"/>
    <s v="Oral Care"/>
    <s v="FreshMint"/>
    <s v="B04"/>
    <x v="5"/>
    <s v="Lagos"/>
    <x v="4"/>
    <s v="Walk-in"/>
    <s v="POS"/>
    <n v="3"/>
    <n v="1200"/>
    <n v="1900"/>
    <n v="0.05"/>
    <x v="6"/>
    <n v="7"/>
    <n v="5700"/>
    <n v="285"/>
    <n v="5415"/>
    <n v="3600"/>
    <n v="1815"/>
    <n v="0.33518005540166207"/>
    <s v="Healthy"/>
    <s v="Safe"/>
    <n v="0.36842105263157893"/>
    <s v="Safe"/>
    <n v="700"/>
    <n v="0.36842105263157893"/>
  </r>
  <r>
    <s v="ORD-11570"/>
    <x v="79"/>
    <s v="P004"/>
    <x v="1"/>
    <s v="Beverages"/>
    <s v="Dairy"/>
    <s v="FreshDay"/>
    <s v="B05"/>
    <x v="0"/>
    <s v="Kano"/>
    <x v="0"/>
    <s v="Walk-in"/>
    <s v="Card"/>
    <n v="1"/>
    <n v="1650"/>
    <n v="2200"/>
    <n v="0.05"/>
    <x v="2"/>
    <n v="1"/>
    <n v="2200"/>
    <n v="110"/>
    <n v="2090"/>
    <n v="1650"/>
    <n v="440"/>
    <n v="0.21052631578947367"/>
    <s v="Understocked"/>
    <s v="Safe"/>
    <n v="0.25"/>
    <s v="Safe"/>
    <n v="550"/>
    <n v="0.25"/>
  </r>
  <r>
    <s v="ORD-11571"/>
    <x v="221"/>
    <s v="P004"/>
    <x v="1"/>
    <s v="Beverages"/>
    <s v="Dairy"/>
    <s v="FreshDay"/>
    <s v="B03"/>
    <x v="6"/>
    <s v="Lagos"/>
    <x v="4"/>
    <s v="Walk-in"/>
    <s v="POS"/>
    <n v="2"/>
    <n v="1650"/>
    <n v="2200"/>
    <n v="0"/>
    <x v="2"/>
    <n v="2"/>
    <n v="4400"/>
    <n v="0"/>
    <n v="4400"/>
    <n v="3300"/>
    <n v="1100"/>
    <n v="0.25"/>
    <s v="Understocked"/>
    <s v="Safe"/>
    <n v="0.25"/>
    <s v="Safe"/>
    <n v="550"/>
    <n v="0.25"/>
  </r>
  <r>
    <s v="ORD-11572"/>
    <x v="153"/>
    <s v="P006"/>
    <x v="0"/>
    <s v="Beverages"/>
    <s v="Water"/>
    <s v="AquaPure"/>
    <s v="B04"/>
    <x v="5"/>
    <s v="Lagos"/>
    <x v="4"/>
    <s v="Corporate"/>
    <s v="POS"/>
    <n v="3"/>
    <n v="230"/>
    <n v="400"/>
    <n v="0"/>
    <x v="3"/>
    <n v="4"/>
    <n v="1200"/>
    <n v="0"/>
    <n v="1200"/>
    <n v="690"/>
    <n v="510"/>
    <n v="0.42499999999999999"/>
    <s v="Understocked"/>
    <s v="Safe"/>
    <n v="0.42499999999999999"/>
    <s v="Safe"/>
    <n v="170"/>
    <n v="0.42499999999999999"/>
  </r>
  <r>
    <s v="ORD-11573"/>
    <x v="52"/>
    <s v="P023"/>
    <x v="6"/>
    <s v="Office Supplies"/>
    <s v="Stationery"/>
    <s v="StudyPro"/>
    <s v="B01"/>
    <x v="2"/>
    <s v="Abuja"/>
    <x v="2"/>
    <s v="Member"/>
    <s v="POS"/>
    <n v="2"/>
    <n v="2800"/>
    <n v="4200"/>
    <n v="0"/>
    <x v="14"/>
    <n v="9"/>
    <n v="8400"/>
    <n v="0"/>
    <n v="8400"/>
    <n v="5600"/>
    <n v="2800"/>
    <n v="0.33333333333333331"/>
    <s v="Understocked"/>
    <s v="Safe"/>
    <n v="0.33333333333333331"/>
    <s v="Safe"/>
    <n v="1400"/>
    <n v="0.33333333333333331"/>
  </r>
  <r>
    <s v="ORD-11574"/>
    <x v="172"/>
    <s v="P012"/>
    <x v="21"/>
    <s v="Household"/>
    <s v="Home Care"/>
    <s v="HomeFresh"/>
    <s v="B06"/>
    <x v="1"/>
    <s v="Rivers"/>
    <x v="1"/>
    <s v="Walk-in"/>
    <s v="POS"/>
    <n v="2"/>
    <n v="1700"/>
    <n v="2600"/>
    <n v="0"/>
    <x v="1"/>
    <n v="5"/>
    <n v="5200"/>
    <n v="0"/>
    <n v="5200"/>
    <n v="3400"/>
    <n v="1800"/>
    <n v="0.34615384615384615"/>
    <s v="Overstocked"/>
    <s v="Safe"/>
    <n v="0.34615384615384615"/>
    <s v="Safe"/>
    <n v="900"/>
    <n v="0.34615384615384615"/>
  </r>
  <r>
    <s v="ORD-11575"/>
    <x v="271"/>
    <s v="P018"/>
    <x v="16"/>
    <s v="Electronics"/>
    <s v="Mobile Accessories"/>
    <s v="VoltSafe"/>
    <s v="B06"/>
    <x v="1"/>
    <s v="Rivers"/>
    <x v="1"/>
    <s v="Walk-in"/>
    <s v="Cash"/>
    <n v="1"/>
    <n v="18000"/>
    <n v="24500"/>
    <n v="0"/>
    <x v="12"/>
    <n v="9"/>
    <n v="24500"/>
    <n v="0"/>
    <n v="24500"/>
    <n v="18000"/>
    <n v="6500"/>
    <n v="0.26530612244897961"/>
    <s v="Understocked"/>
    <s v="Safe"/>
    <n v="0.26530612244897961"/>
    <s v="Safe"/>
    <n v="6500"/>
    <n v="0.26530612244897961"/>
  </r>
  <r>
    <s v="ORD-11576"/>
    <x v="287"/>
    <s v="P006"/>
    <x v="0"/>
    <s v="Beverages"/>
    <s v="Water"/>
    <s v="AquaPure"/>
    <s v="B03"/>
    <x v="6"/>
    <s v="Lagos"/>
    <x v="4"/>
    <s v="Walk-in"/>
    <s v="Transfer"/>
    <n v="2"/>
    <n v="230"/>
    <n v="400"/>
    <n v="0.1"/>
    <x v="2"/>
    <n v="4"/>
    <n v="800"/>
    <n v="80"/>
    <n v="720"/>
    <n v="460"/>
    <n v="260"/>
    <n v="0.3611111111111111"/>
    <s v="Understocked"/>
    <s v="Safe"/>
    <n v="0.42499999999999999"/>
    <s v="Safe"/>
    <n v="170"/>
    <n v="0.42499999999999999"/>
  </r>
  <r>
    <s v="ORD-11577"/>
    <x v="271"/>
    <s v="P013"/>
    <x v="11"/>
    <s v="Personal Care"/>
    <s v="Skin Care"/>
    <s v="GlowPlus"/>
    <s v="B06"/>
    <x v="1"/>
    <s v="Rivers"/>
    <x v="1"/>
    <s v="Corporate"/>
    <s v="Card"/>
    <n v="4"/>
    <n v="3500"/>
    <n v="5200"/>
    <n v="0"/>
    <x v="10"/>
    <n v="13"/>
    <n v="20800"/>
    <n v="0"/>
    <n v="20800"/>
    <n v="14000"/>
    <n v="6800"/>
    <n v="0.32692307692307693"/>
    <s v="Healthy"/>
    <s v="Safe"/>
    <n v="0.32692307692307693"/>
    <s v="Safe"/>
    <n v="1700"/>
    <n v="0.32692307692307693"/>
  </r>
  <r>
    <s v="ORD-11578"/>
    <x v="294"/>
    <s v="P007"/>
    <x v="3"/>
    <s v="Beverages"/>
    <s v="Malt"/>
    <s v="Naija Malt"/>
    <s v="B05"/>
    <x v="0"/>
    <s v="Kano"/>
    <x v="0"/>
    <s v="Walk-in"/>
    <s v="Cash"/>
    <n v="1"/>
    <n v="550"/>
    <n v="850"/>
    <n v="0"/>
    <x v="2"/>
    <n v="1"/>
    <n v="850"/>
    <n v="0"/>
    <n v="850"/>
    <n v="550"/>
    <n v="300"/>
    <n v="0.35294117647058826"/>
    <s v="Healthy"/>
    <s v="Safe"/>
    <n v="0.35294117647058826"/>
    <s v="Safe"/>
    <n v="300"/>
    <n v="0.35294117647058826"/>
  </r>
  <r>
    <s v="ORD-11579"/>
    <x v="117"/>
    <s v="P014"/>
    <x v="15"/>
    <s v="Personal Care"/>
    <s v="Oral Care"/>
    <s v="FreshMint"/>
    <s v="B03"/>
    <x v="6"/>
    <s v="Lagos"/>
    <x v="4"/>
    <s v="Member"/>
    <s v="Cash"/>
    <n v="5"/>
    <n v="1200"/>
    <n v="1900"/>
    <n v="0.2"/>
    <x v="6"/>
    <n v="10"/>
    <n v="9500"/>
    <n v="1900"/>
    <n v="7600"/>
    <n v="6000"/>
    <n v="1600"/>
    <n v="0.21052631578947367"/>
    <s v="Healthy"/>
    <s v="Safe"/>
    <n v="0.36842105263157893"/>
    <s v="Safe"/>
    <n v="700"/>
    <n v="0.36842105263157893"/>
  </r>
  <r>
    <s v="ORD-11580"/>
    <x v="284"/>
    <s v="P011"/>
    <x v="9"/>
    <s v="Household"/>
    <s v="Cleaning"/>
    <s v="CleanPro"/>
    <s v="B04"/>
    <x v="5"/>
    <s v="Lagos"/>
    <x v="4"/>
    <s v="Member"/>
    <s v="Cash"/>
    <n v="3"/>
    <n v="2800"/>
    <n v="3900"/>
    <n v="0.1"/>
    <x v="7"/>
    <n v="13"/>
    <n v="11700"/>
    <n v="1170"/>
    <n v="10530"/>
    <n v="8400"/>
    <n v="2130"/>
    <n v="0.20227920227920229"/>
    <s v="Healthy"/>
    <s v="Safe"/>
    <n v="0.28205128205128205"/>
    <s v="Safe"/>
    <n v="1100"/>
    <n v="0.28205128205128205"/>
  </r>
  <r>
    <s v="ORD-11581"/>
    <x v="134"/>
    <s v="P005"/>
    <x v="2"/>
    <s v="Food"/>
    <s v="Snacks"/>
    <s v="CrispyBite"/>
    <s v="B04"/>
    <x v="5"/>
    <s v="Lagos"/>
    <x v="4"/>
    <s v="Walk-in"/>
    <s v="POS"/>
    <n v="2"/>
    <n v="850"/>
    <n v="1300"/>
    <n v="0"/>
    <x v="1"/>
    <n v="3"/>
    <n v="2600"/>
    <n v="0"/>
    <n v="2600"/>
    <n v="1700"/>
    <n v="900"/>
    <n v="0.34615384615384615"/>
    <s v="Understocked"/>
    <s v="Safe"/>
    <n v="0.34615384615384615"/>
    <s v="Safe"/>
    <n v="450"/>
    <n v="0.34615384615384615"/>
  </r>
  <r>
    <s v="ORD-11582"/>
    <x v="0"/>
    <s v="P024"/>
    <x v="19"/>
    <s v="Office Supplies"/>
    <s v="Accessories"/>
    <s v="ErgoDesk"/>
    <s v="B03"/>
    <x v="6"/>
    <s v="Lagos"/>
    <x v="4"/>
    <s v="Corporate"/>
    <s v="Transfer"/>
    <n v="5"/>
    <n v="1700"/>
    <n v="2800"/>
    <n v="0.25"/>
    <x v="14"/>
    <n v="5"/>
    <n v="14000"/>
    <n v="3500"/>
    <n v="10500"/>
    <n v="8500"/>
    <n v="2000"/>
    <n v="0.19047619047619047"/>
    <s v="Overstocked"/>
    <s v="Safe"/>
    <n v="0.39285714285714285"/>
    <s v="Safe"/>
    <n v="1100"/>
    <n v="0.39285714285714285"/>
  </r>
  <r>
    <s v="ORD-11583"/>
    <x v="14"/>
    <s v="P001"/>
    <x v="14"/>
    <s v="Food"/>
    <s v="Grains"/>
    <s v="Golden Harvest"/>
    <s v="B08"/>
    <x v="7"/>
    <s v="Kwara"/>
    <x v="2"/>
    <s v="Member"/>
    <s v="POS"/>
    <n v="2"/>
    <n v="14500"/>
    <n v="17500"/>
    <n v="0.1"/>
    <x v="1"/>
    <n v="10"/>
    <n v="35000"/>
    <n v="3500"/>
    <n v="31500"/>
    <n v="29000"/>
    <n v="2500"/>
    <n v="7.9365079365079361E-2"/>
    <s v="Understocked"/>
    <s v="Safe"/>
    <n v="0.17142857142857143"/>
    <s v="Safe"/>
    <n v="3000"/>
    <n v="0.17142857142857143"/>
  </r>
  <r>
    <s v="ORD-11584"/>
    <x v="129"/>
    <s v="P003"/>
    <x v="12"/>
    <s v="Food"/>
    <s v="Cooking Oil"/>
    <s v="SunGold"/>
    <s v="B08"/>
    <x v="7"/>
    <s v="Kwara"/>
    <x v="2"/>
    <s v="Walk-in"/>
    <s v="POS"/>
    <n v="4"/>
    <n v="7800"/>
    <n v="9800"/>
    <n v="0.05"/>
    <x v="1"/>
    <n v="13"/>
    <n v="39200"/>
    <n v="1960"/>
    <n v="37240"/>
    <n v="31200"/>
    <n v="6040"/>
    <n v="0.16219119226638024"/>
    <s v="Understocked"/>
    <s v="Safe"/>
    <n v="0.20408163265306123"/>
    <s v="Safe"/>
    <n v="2000"/>
    <n v="0.20408163265306123"/>
  </r>
  <r>
    <s v="ORD-11585"/>
    <x v="207"/>
    <s v="P006"/>
    <x v="0"/>
    <s v="Beverages"/>
    <s v="Water"/>
    <s v="AquaPure"/>
    <s v="B07"/>
    <x v="3"/>
    <s v="Enugu"/>
    <x v="3"/>
    <s v="Member"/>
    <s v="POS"/>
    <n v="3"/>
    <n v="230"/>
    <n v="400"/>
    <n v="0.05"/>
    <x v="0"/>
    <n v="10"/>
    <n v="1200"/>
    <n v="60"/>
    <n v="1140"/>
    <n v="690"/>
    <n v="450"/>
    <n v="0.39473684210526316"/>
    <s v="Understocked"/>
    <s v="Safe"/>
    <n v="0.42499999999999999"/>
    <s v="Safe"/>
    <n v="170"/>
    <n v="0.42499999999999999"/>
  </r>
  <r>
    <s v="ORD-11586"/>
    <x v="28"/>
    <s v="P006"/>
    <x v="0"/>
    <s v="Beverages"/>
    <s v="Water"/>
    <s v="AquaPure"/>
    <s v="B04"/>
    <x v="5"/>
    <s v="Lagos"/>
    <x v="4"/>
    <s v="Member"/>
    <s v="Cash"/>
    <n v="2"/>
    <n v="230"/>
    <n v="400"/>
    <n v="0.15"/>
    <x v="2"/>
    <n v="2"/>
    <n v="800"/>
    <n v="120"/>
    <n v="680"/>
    <n v="460"/>
    <n v="220"/>
    <n v="0.3235294117647059"/>
    <s v="Understocked"/>
    <s v="Safe"/>
    <n v="0.42499999999999999"/>
    <s v="Safe"/>
    <n v="170"/>
    <n v="0.42499999999999999"/>
  </r>
  <r>
    <s v="ORD-11587"/>
    <x v="179"/>
    <s v="P015"/>
    <x v="8"/>
    <s v="Personal Care"/>
    <s v="Bath"/>
    <s v="SilkyTouch"/>
    <s v="B01"/>
    <x v="2"/>
    <s v="Abuja"/>
    <x v="2"/>
    <s v="Walk-in"/>
    <s v="POS"/>
    <n v="1"/>
    <n v="600"/>
    <n v="950"/>
    <n v="0.2"/>
    <x v="6"/>
    <n v="8"/>
    <n v="950"/>
    <n v="190"/>
    <n v="760"/>
    <n v="600"/>
    <n v="160"/>
    <n v="0.21052631578947367"/>
    <s v="Healthy"/>
    <s v="Safe"/>
    <n v="0.36842105263157893"/>
    <s v="Safe"/>
    <n v="350"/>
    <n v="0.36842105263157893"/>
  </r>
  <r>
    <s v="ORD-11588"/>
    <x v="157"/>
    <s v="P010"/>
    <x v="22"/>
    <s v="Household"/>
    <s v="Paper Products"/>
    <s v="SoftCare"/>
    <s v="B03"/>
    <x v="6"/>
    <s v="Lagos"/>
    <x v="4"/>
    <s v="Member"/>
    <s v="Cash"/>
    <n v="3"/>
    <n v="3200"/>
    <n v="4500"/>
    <n v="0.1"/>
    <x v="7"/>
    <n v="3"/>
    <n v="13500"/>
    <n v="1350"/>
    <n v="12150"/>
    <n v="9600"/>
    <n v="2550"/>
    <n v="0.20987654320987653"/>
    <s v="Healthy"/>
    <s v="Safe"/>
    <n v="0.28888888888888886"/>
    <s v="Safe"/>
    <n v="1300"/>
    <n v="0.28888888888888886"/>
  </r>
  <r>
    <s v="ORD-11589"/>
    <x v="67"/>
    <s v="P015"/>
    <x v="8"/>
    <s v="Personal Care"/>
    <s v="Bath"/>
    <s v="SilkyTouch"/>
    <s v="B01"/>
    <x v="2"/>
    <s v="Abuja"/>
    <x v="2"/>
    <s v="Member"/>
    <s v="Cash"/>
    <n v="5"/>
    <n v="600"/>
    <n v="950"/>
    <n v="0.05"/>
    <x v="10"/>
    <n v="14"/>
    <n v="4750"/>
    <n v="237.5"/>
    <n v="4512.5"/>
    <n v="3000"/>
    <n v="1512.5"/>
    <n v="0.33518005540166207"/>
    <s v="Healthy"/>
    <s v="Safe"/>
    <n v="0.36842105263157893"/>
    <s v="Safe"/>
    <n v="350"/>
    <n v="0.36842105263157893"/>
  </r>
  <r>
    <s v="ORD-11590"/>
    <x v="20"/>
    <s v="P005"/>
    <x v="2"/>
    <s v="Food"/>
    <s v="Snacks"/>
    <s v="CrispyBite"/>
    <s v="B03"/>
    <x v="6"/>
    <s v="Lagos"/>
    <x v="4"/>
    <s v="Walk-in"/>
    <s v="POS"/>
    <n v="4"/>
    <n v="850"/>
    <n v="1300"/>
    <n v="0.15"/>
    <x v="9"/>
    <n v="8"/>
    <n v="5200"/>
    <n v="780"/>
    <n v="4420"/>
    <n v="3400"/>
    <n v="1020"/>
    <n v="0.23076923076923078"/>
    <s v="Understocked"/>
    <s v="Safe"/>
    <n v="0.34615384615384615"/>
    <s v="Safe"/>
    <n v="450"/>
    <n v="0.34615384615384615"/>
  </r>
  <r>
    <s v="ORD-11591"/>
    <x v="173"/>
    <s v="P008"/>
    <x v="4"/>
    <s v="Beverages"/>
    <s v="Soft Drinks"/>
    <s v="Sparkle"/>
    <s v="B05"/>
    <x v="0"/>
    <s v="Kano"/>
    <x v="0"/>
    <s v="Walk-in"/>
    <s v="Cash"/>
    <n v="2"/>
    <n v="330"/>
    <n v="550"/>
    <n v="0.15"/>
    <x v="0"/>
    <n v="7"/>
    <n v="1100"/>
    <n v="165"/>
    <n v="935"/>
    <n v="660"/>
    <n v="275"/>
    <n v="0.29411764705882354"/>
    <s v="Healthy"/>
    <s v="Safe"/>
    <n v="0.4"/>
    <s v="Safe"/>
    <n v="220"/>
    <n v="0.4"/>
  </r>
  <r>
    <s v="ORD-11592"/>
    <x v="153"/>
    <s v="P006"/>
    <x v="0"/>
    <s v="Beverages"/>
    <s v="Water"/>
    <s v="AquaPure"/>
    <s v="B05"/>
    <x v="0"/>
    <s v="Kano"/>
    <x v="0"/>
    <s v="Walk-in"/>
    <s v="POS"/>
    <n v="6"/>
    <n v="230"/>
    <n v="400"/>
    <n v="0.1"/>
    <x v="3"/>
    <n v="2"/>
    <n v="2400"/>
    <n v="240"/>
    <n v="2160"/>
    <n v="1380"/>
    <n v="780"/>
    <n v="0.3611111111111111"/>
    <s v="Understocked"/>
    <s v="Safe"/>
    <n v="0.42499999999999999"/>
    <s v="Safe"/>
    <n v="170"/>
    <n v="0.42499999999999999"/>
  </r>
  <r>
    <s v="ORD-11593"/>
    <x v="139"/>
    <s v="P015"/>
    <x v="8"/>
    <s v="Personal Care"/>
    <s v="Bath"/>
    <s v="SilkyTouch"/>
    <s v="B05"/>
    <x v="0"/>
    <s v="Kano"/>
    <x v="0"/>
    <s v="Member"/>
    <s v="POS"/>
    <n v="3"/>
    <n v="600"/>
    <n v="950"/>
    <n v="0.15"/>
    <x v="6"/>
    <n v="3"/>
    <n v="2850"/>
    <n v="427.5"/>
    <n v="2422.5"/>
    <n v="1800"/>
    <n v="622.5"/>
    <n v="0.25696594427244585"/>
    <s v="Healthy"/>
    <s v="Safe"/>
    <n v="0.36842105263157893"/>
    <s v="Safe"/>
    <n v="350"/>
    <n v="0.36842105263157893"/>
  </r>
  <r>
    <s v="ORD-11594"/>
    <x v="44"/>
    <s v="P024"/>
    <x v="19"/>
    <s v="Office Supplies"/>
    <s v="Accessories"/>
    <s v="ErgoDesk"/>
    <s v="B06"/>
    <x v="1"/>
    <s v="Rivers"/>
    <x v="1"/>
    <s v="Walk-in"/>
    <s v="Card"/>
    <n v="-1"/>
    <n v="1700"/>
    <n v="2800"/>
    <n v="0.2"/>
    <x v="15"/>
    <n v="10"/>
    <n v="-2800"/>
    <n v="-560"/>
    <n v="-2240"/>
    <n v="-1700"/>
    <n v="-540"/>
    <n v="0.24107142857142858"/>
    <s v="Overstocked"/>
    <s v="Discount loss"/>
    <n v="0.39285714285714285"/>
    <s v="Safe"/>
    <n v="1100"/>
    <n v="0.39285714285714285"/>
  </r>
  <r>
    <s v="ORD-11595"/>
    <x v="103"/>
    <s v="P019"/>
    <x v="18"/>
    <s v="Electronics"/>
    <s v="Audio"/>
    <s v="SoundBeat"/>
    <s v="B01"/>
    <x v="2"/>
    <s v="Abuja"/>
    <x v="2"/>
    <s v="Walk-in"/>
    <s v="POS"/>
    <n v="1"/>
    <n v="12500"/>
    <n v="18500"/>
    <n v="0"/>
    <x v="4"/>
    <n v="14"/>
    <n v="18500"/>
    <n v="0"/>
    <n v="18500"/>
    <n v="12500"/>
    <n v="6000"/>
    <n v="0.32432432432432434"/>
    <s v="Understocked"/>
    <s v="Safe"/>
    <n v="0.32432432432432434"/>
    <s v="Safe"/>
    <n v="6000"/>
    <n v="0.32432432432432434"/>
  </r>
  <r>
    <s v="ORD-11596"/>
    <x v="76"/>
    <s v="P007"/>
    <x v="3"/>
    <s v="Beverages"/>
    <s v="Malt"/>
    <s v="Naija Malt"/>
    <s v="B04"/>
    <x v="5"/>
    <s v="Lagos"/>
    <x v="4"/>
    <s v="Member"/>
    <s v="Cash"/>
    <n v="2"/>
    <n v="550"/>
    <n v="850"/>
    <n v="0.1"/>
    <x v="2"/>
    <n v="6"/>
    <n v="1700"/>
    <n v="170"/>
    <n v="1530"/>
    <n v="1100"/>
    <n v="430"/>
    <n v="0.28104575163398693"/>
    <s v="Healthy"/>
    <s v="Safe"/>
    <n v="0.35294117647058826"/>
    <s v="Safe"/>
    <n v="300"/>
    <n v="0.35294117647058826"/>
  </r>
  <r>
    <s v="ORD-11597"/>
    <x v="36"/>
    <s v="P020"/>
    <x v="5"/>
    <s v="Electronics"/>
    <s v="Lighting"/>
    <s v="Luma"/>
    <s v="B05"/>
    <x v="0"/>
    <s v="Kano"/>
    <x v="0"/>
    <s v="Walk-in"/>
    <s v="Card"/>
    <n v="3"/>
    <n v="1500"/>
    <n v="2500"/>
    <n v="0.2"/>
    <x v="13"/>
    <n v="8"/>
    <n v="7500"/>
    <n v="1500"/>
    <n v="6000"/>
    <n v="4500"/>
    <n v="1500"/>
    <n v="0.25"/>
    <s v="Healthy"/>
    <s v="Safe"/>
    <n v="0.4"/>
    <s v="Safe"/>
    <n v="1000"/>
    <n v="0.4"/>
  </r>
  <r>
    <s v="ORD-11598"/>
    <x v="173"/>
    <s v="P015"/>
    <x v="8"/>
    <s v="Personal Care"/>
    <s v="Bath"/>
    <s v="SilkyTouch"/>
    <s v="B04"/>
    <x v="5"/>
    <s v="Lagos"/>
    <x v="4"/>
    <s v="Walk-in"/>
    <s v="Card"/>
    <n v="1"/>
    <n v="600"/>
    <n v="950"/>
    <n v="0"/>
    <x v="6"/>
    <n v="7"/>
    <n v="950"/>
    <n v="0"/>
    <n v="950"/>
    <n v="600"/>
    <n v="350"/>
    <n v="0.36842105263157893"/>
    <s v="Healthy"/>
    <s v="Safe"/>
    <n v="0.36842105263157893"/>
    <s v="Safe"/>
    <n v="350"/>
    <n v="0.36842105263157893"/>
  </r>
  <r>
    <s v="ORD-11599"/>
    <x v="255"/>
    <s v="P018"/>
    <x v="16"/>
    <s v="Electronics"/>
    <s v="Mobile Accessories"/>
    <s v="VoltSafe"/>
    <s v="B04"/>
    <x v="5"/>
    <s v="Lagos"/>
    <x v="4"/>
    <s v="Member"/>
    <s v="Transfer"/>
    <n v="3"/>
    <n v="18000"/>
    <n v="24500"/>
    <n v="0.05"/>
    <x v="12"/>
    <n v="14"/>
    <n v="73500"/>
    <n v="3675"/>
    <n v="69825"/>
    <n v="54000"/>
    <n v="15825"/>
    <n v="0.22663802363050484"/>
    <s v="Understocked"/>
    <s v="Safe"/>
    <n v="0.26530612244897961"/>
    <s v="Safe"/>
    <n v="6500"/>
    <n v="0.26530612244897961"/>
  </r>
  <r>
    <s v="ORD-11600"/>
    <x v="342"/>
    <s v="P023"/>
    <x v="6"/>
    <s v="Office Supplies"/>
    <s v="Stationery"/>
    <s v="StudyPro"/>
    <s v="B03"/>
    <x v="6"/>
    <s v="Lagos"/>
    <x v="4"/>
    <s v="Walk-in"/>
    <s v="POS"/>
    <n v="3"/>
    <n v="2800"/>
    <n v="4200"/>
    <n v="0.05"/>
    <x v="5"/>
    <n v="8"/>
    <n v="12600"/>
    <n v="630"/>
    <n v="11970"/>
    <n v="8400"/>
    <n v="3570"/>
    <n v="0.2982456140350877"/>
    <s v="Understocked"/>
    <s v="Safe"/>
    <n v="0.33333333333333331"/>
    <s v="Safe"/>
    <n v="1400"/>
    <n v="0.33333333333333331"/>
  </r>
  <r>
    <s v="ORD-11601"/>
    <x v="302"/>
    <s v="P009"/>
    <x v="13"/>
    <s v="Household"/>
    <s v="Cleaning"/>
    <s v="BrightWash"/>
    <s v="B08"/>
    <x v="7"/>
    <s v="Kwara"/>
    <x v="2"/>
    <s v="Walk-in"/>
    <s v="POS"/>
    <n v="1"/>
    <n v="2400"/>
    <n v="3400"/>
    <n v="0.1"/>
    <x v="10"/>
    <n v="14"/>
    <n v="3400"/>
    <n v="340"/>
    <n v="3060"/>
    <n v="2400"/>
    <n v="660"/>
    <n v="0.21568627450980393"/>
    <s v="Healthy"/>
    <s v="Safe"/>
    <n v="0.29411764705882354"/>
    <s v="Safe"/>
    <n v="1000"/>
    <n v="0.29411764705882354"/>
  </r>
  <r>
    <s v="ORD-11602"/>
    <x v="108"/>
    <s v="P015"/>
    <x v="8"/>
    <s v="Personal Care"/>
    <s v="Bath"/>
    <s v="SilkyTouch"/>
    <s v="B01"/>
    <x v="2"/>
    <s v="Abuja"/>
    <x v="2"/>
    <s v="Walk-in"/>
    <s v="Card"/>
    <n v="3"/>
    <n v="600"/>
    <n v="950"/>
    <n v="0.15"/>
    <x v="6"/>
    <n v="13"/>
    <n v="2850"/>
    <n v="427.5"/>
    <n v="2422.5"/>
    <n v="1800"/>
    <n v="622.5"/>
    <n v="0.25696594427244585"/>
    <s v="Healthy"/>
    <s v="Safe"/>
    <n v="0.36842105263157893"/>
    <s v="Safe"/>
    <n v="350"/>
    <n v="0.36842105263157893"/>
  </r>
  <r>
    <s v="ORD-11603"/>
    <x v="241"/>
    <s v="P020"/>
    <x v="5"/>
    <s v="Electronics"/>
    <s v="Lighting"/>
    <s v="Luma"/>
    <s v="B04"/>
    <x v="5"/>
    <s v="Lagos"/>
    <x v="4"/>
    <s v="Member"/>
    <s v="POS"/>
    <n v="8"/>
    <n v="1500"/>
    <n v="2500"/>
    <n v="0.2"/>
    <x v="4"/>
    <n v="3"/>
    <n v="20000"/>
    <n v="4000"/>
    <n v="16000"/>
    <n v="12000"/>
    <n v="4000"/>
    <n v="0.25"/>
    <s v="Healthy"/>
    <s v="Safe"/>
    <n v="0.4"/>
    <s v="Safe"/>
    <n v="1000"/>
    <n v="0.4"/>
  </r>
  <r>
    <s v="ORD-11604"/>
    <x v="327"/>
    <s v="P017"/>
    <x v="23"/>
    <s v="Electronics"/>
    <s v="Accessories"/>
    <s v="PowerMax"/>
    <s v="B06"/>
    <x v="1"/>
    <s v="Rivers"/>
    <x v="1"/>
    <s v="Walk-in"/>
    <s v="Cash"/>
    <n v="2"/>
    <n v="7500"/>
    <n v="10500"/>
    <n v="0.1"/>
    <x v="12"/>
    <n v="5"/>
    <n v="21000"/>
    <n v="2100"/>
    <n v="18900"/>
    <n v="15000"/>
    <n v="3900"/>
    <n v="0.20634920634920634"/>
    <s v="Healthy"/>
    <s v="Safe"/>
    <n v="0.2857142857142857"/>
    <s v="Safe"/>
    <n v="3000"/>
    <n v="0.2857142857142857"/>
  </r>
  <r>
    <s v="ORD-11605"/>
    <x v="66"/>
    <s v="P005"/>
    <x v="2"/>
    <s v="Food"/>
    <s v="Snacks"/>
    <s v="CrispyBite"/>
    <s v="B06"/>
    <x v="1"/>
    <s v="Rivers"/>
    <x v="1"/>
    <s v="Member"/>
    <s v="POS"/>
    <n v="3"/>
    <n v="850"/>
    <n v="1300"/>
    <n v="0.1"/>
    <x v="1"/>
    <n v="10"/>
    <n v="3900"/>
    <n v="390"/>
    <n v="3510"/>
    <n v="2550"/>
    <n v="960"/>
    <n v="0.27350427350427353"/>
    <s v="Understocked"/>
    <s v="Safe"/>
    <n v="0.34615384615384615"/>
    <s v="Safe"/>
    <n v="450"/>
    <n v="0.34615384615384615"/>
  </r>
  <r>
    <s v="ORD-11606"/>
    <x v="0"/>
    <s v="P008"/>
    <x v="4"/>
    <s v="Beverages"/>
    <s v="Soft Drinks"/>
    <s v="Sparkle"/>
    <s v="B02"/>
    <x v="4"/>
    <s v="Abuja"/>
    <x v="2"/>
    <s v="Walk-in"/>
    <s v="Transfer"/>
    <n v="2"/>
    <n v="330"/>
    <n v="550"/>
    <n v="0"/>
    <x v="3"/>
    <n v="9"/>
    <n v="1100"/>
    <n v="0"/>
    <n v="1100"/>
    <n v="660"/>
    <n v="440"/>
    <n v="0.4"/>
    <s v="Healthy"/>
    <s v="Safe"/>
    <n v="0.4"/>
    <s v="Safe"/>
    <n v="220"/>
    <n v="0.4"/>
  </r>
  <r>
    <s v="ORD-11607"/>
    <x v="32"/>
    <s v="P008"/>
    <x v="4"/>
    <s v="Beverages"/>
    <s v="Soft Drinks"/>
    <s v="Sparkle"/>
    <s v="B04"/>
    <x v="5"/>
    <s v="Lagos"/>
    <x v="4"/>
    <s v="Member"/>
    <s v="Card"/>
    <n v="4"/>
    <n v="330"/>
    <n v="550"/>
    <n v="0"/>
    <x v="3"/>
    <n v="4"/>
    <n v="2200"/>
    <n v="0"/>
    <n v="2200"/>
    <n v="1320"/>
    <n v="880"/>
    <n v="0.4"/>
    <s v="Healthy"/>
    <s v="Safe"/>
    <n v="0.4"/>
    <s v="Safe"/>
    <n v="220"/>
    <n v="0.4"/>
  </r>
  <r>
    <s v="ORD-11608"/>
    <x v="116"/>
    <s v="P024"/>
    <x v="19"/>
    <s v="Office Supplies"/>
    <s v="Accessories"/>
    <s v="ErgoDesk"/>
    <s v="B01"/>
    <x v="2"/>
    <s v="Abuja"/>
    <x v="2"/>
    <s v="Walk-in"/>
    <s v="Cash"/>
    <n v="4"/>
    <n v="1700"/>
    <n v="2800"/>
    <n v="0.25"/>
    <x v="5"/>
    <n v="4"/>
    <n v="11200"/>
    <n v="2800"/>
    <n v="8400"/>
    <n v="6800"/>
    <n v="1600"/>
    <n v="0.19047619047619047"/>
    <s v="Overstocked"/>
    <s v="Safe"/>
    <n v="0.39285714285714285"/>
    <s v="Safe"/>
    <n v="1100"/>
    <n v="0.39285714285714285"/>
  </r>
  <r>
    <s v="ORD-11609"/>
    <x v="83"/>
    <s v="P001"/>
    <x v="14"/>
    <s v="Food"/>
    <s v="Grains"/>
    <s v="Golden Harvest"/>
    <s v="B01"/>
    <x v="2"/>
    <s v="Abuja"/>
    <x v="2"/>
    <s v="Walk-in"/>
    <s v="POS"/>
    <n v="3"/>
    <n v="14500"/>
    <n v="17500"/>
    <n v="0"/>
    <x v="8"/>
    <n v="4"/>
    <n v="52500"/>
    <n v="0"/>
    <n v="52500"/>
    <n v="43500"/>
    <n v="9000"/>
    <n v="0.17142857142857143"/>
    <s v="Understocked"/>
    <s v="Safe"/>
    <n v="0.17142857142857143"/>
    <s v="Safe"/>
    <n v="3000"/>
    <n v="0.17142857142857143"/>
  </r>
  <r>
    <s v="ORD-11610"/>
    <x v="17"/>
    <s v="P012"/>
    <x v="21"/>
    <s v="Household"/>
    <s v="Home Care"/>
    <s v="HomeFresh"/>
    <s v="B01"/>
    <x v="2"/>
    <s v="Abuja"/>
    <x v="2"/>
    <s v="Member"/>
    <s v="POS"/>
    <n v="2"/>
    <n v="1700"/>
    <n v="2600"/>
    <n v="0.1"/>
    <x v="7"/>
    <n v="1"/>
    <n v="5200"/>
    <n v="520"/>
    <n v="4680"/>
    <n v="3400"/>
    <n v="1280"/>
    <n v="0.27350427350427353"/>
    <s v="Overstocked"/>
    <s v="Safe"/>
    <n v="0.34615384615384615"/>
    <s v="Safe"/>
    <n v="900"/>
    <n v="0.34615384615384615"/>
  </r>
  <r>
    <s v="ORD-11611"/>
    <x v="222"/>
    <s v="P010"/>
    <x v="22"/>
    <s v="Household"/>
    <s v="Paper Products"/>
    <s v="SoftCare"/>
    <s v="B05"/>
    <x v="0"/>
    <s v="Kano"/>
    <x v="0"/>
    <s v="Member"/>
    <s v="POS"/>
    <n v="4"/>
    <n v="3200"/>
    <n v="4500"/>
    <n v="0"/>
    <x v="7"/>
    <n v="13"/>
    <n v="18000"/>
    <n v="0"/>
    <n v="18000"/>
    <n v="12800"/>
    <n v="5200"/>
    <n v="0.28888888888888886"/>
    <s v="Healthy"/>
    <s v="Safe"/>
    <n v="0.28888888888888886"/>
    <s v="Safe"/>
    <n v="1300"/>
    <n v="0.28888888888888886"/>
  </r>
  <r>
    <s v="ORD-11612"/>
    <x v="225"/>
    <s v="P003"/>
    <x v="12"/>
    <s v="Food"/>
    <s v="Cooking Oil"/>
    <s v="SunGold"/>
    <s v="B04"/>
    <x v="5"/>
    <s v="Lagos"/>
    <x v="4"/>
    <s v="Walk-in"/>
    <s v="POS"/>
    <n v="2"/>
    <n v="7800"/>
    <n v="9800"/>
    <n v="0.1"/>
    <x v="8"/>
    <n v="13"/>
    <n v="19600"/>
    <n v="1960"/>
    <n v="17640"/>
    <n v="15600"/>
    <n v="2040"/>
    <n v="0.11564625850340136"/>
    <s v="Understocked"/>
    <s v="Safe"/>
    <n v="0.20408163265306123"/>
    <s v="Safe"/>
    <n v="2000"/>
    <n v="0.20408163265306123"/>
  </r>
  <r>
    <s v="ORD-11613"/>
    <x v="37"/>
    <s v="P004"/>
    <x v="1"/>
    <s v="Beverages"/>
    <s v="Dairy"/>
    <s v="FreshDay"/>
    <s v="B06"/>
    <x v="1"/>
    <s v="Rivers"/>
    <x v="1"/>
    <s v="Member"/>
    <s v="Cash"/>
    <n v="10"/>
    <n v="1650"/>
    <n v="2200"/>
    <n v="0.1"/>
    <x v="3"/>
    <n v="4"/>
    <n v="22000"/>
    <n v="2200"/>
    <n v="19800"/>
    <n v="16500"/>
    <n v="3300"/>
    <n v="0.16666666666666666"/>
    <s v="Understocked"/>
    <s v="Safe"/>
    <n v="0.25"/>
    <s v="Safe"/>
    <n v="550"/>
    <n v="0.25"/>
  </r>
  <r>
    <s v="ORD-11614"/>
    <x v="277"/>
    <s v="P004"/>
    <x v="1"/>
    <s v="Beverages"/>
    <s v="Dairy"/>
    <s v="FreshDay"/>
    <s v="B02"/>
    <x v="4"/>
    <s v="Abuja"/>
    <x v="2"/>
    <s v="Member"/>
    <s v="Card"/>
    <n v="1"/>
    <n v="1650"/>
    <n v="2200"/>
    <n v="0.05"/>
    <x v="3"/>
    <n v="1"/>
    <n v="2200"/>
    <n v="110"/>
    <n v="2090"/>
    <n v="1650"/>
    <n v="440"/>
    <n v="0.21052631578947367"/>
    <s v="Understocked"/>
    <s v="Safe"/>
    <n v="0.25"/>
    <s v="Safe"/>
    <n v="550"/>
    <n v="0.25"/>
  </r>
  <r>
    <s v="ORD-11615"/>
    <x v="310"/>
    <s v="P007"/>
    <x v="3"/>
    <s v="Beverages"/>
    <s v="Malt"/>
    <s v="Naija Malt"/>
    <s v="B06"/>
    <x v="1"/>
    <s v="Rivers"/>
    <x v="1"/>
    <s v="Walk-in"/>
    <s v="POS"/>
    <n v="4"/>
    <n v="550"/>
    <n v="850"/>
    <n v="0.15"/>
    <x v="3"/>
    <n v="8"/>
    <n v="3400"/>
    <n v="510"/>
    <n v="2890"/>
    <n v="2200"/>
    <n v="690"/>
    <n v="0.23875432525951557"/>
    <s v="Healthy"/>
    <s v="Safe"/>
    <n v="0.35294117647058826"/>
    <s v="Safe"/>
    <n v="300"/>
    <n v="0.35294117647058826"/>
  </r>
  <r>
    <s v="ORD-11616"/>
    <x v="250"/>
    <s v="P007"/>
    <x v="3"/>
    <s v="Beverages"/>
    <s v="Malt"/>
    <s v="Naija Malt"/>
    <s v="B04"/>
    <x v="5"/>
    <s v="Lagos"/>
    <x v="4"/>
    <s v="Walk-in"/>
    <s v="POS"/>
    <n v="4"/>
    <n v="550"/>
    <n v="850"/>
    <n v="0.15"/>
    <x v="3"/>
    <n v="2"/>
    <n v="3400"/>
    <n v="510"/>
    <n v="2890"/>
    <n v="2200"/>
    <n v="690"/>
    <n v="0.23875432525951557"/>
    <s v="Healthy"/>
    <s v="Safe"/>
    <n v="0.35294117647058826"/>
    <s v="Safe"/>
    <n v="300"/>
    <n v="0.35294117647058826"/>
  </r>
  <r>
    <s v="ORD-11617"/>
    <x v="141"/>
    <s v="P008"/>
    <x v="4"/>
    <s v="Beverages"/>
    <s v="Soft Drinks"/>
    <s v="Sparkle"/>
    <s v="B06"/>
    <x v="1"/>
    <s v="Rivers"/>
    <x v="1"/>
    <s v="Member"/>
    <s v="POS"/>
    <n v="1"/>
    <n v="330"/>
    <n v="550"/>
    <n v="0.1"/>
    <x v="0"/>
    <n v="10"/>
    <n v="550"/>
    <n v="55"/>
    <n v="495"/>
    <n v="330"/>
    <n v="165"/>
    <n v="0.33333333333333331"/>
    <s v="Healthy"/>
    <s v="Safe"/>
    <n v="0.4"/>
    <s v="Safe"/>
    <n v="220"/>
    <n v="0.4"/>
  </r>
  <r>
    <s v="ORD-11618"/>
    <x v="170"/>
    <s v="P023"/>
    <x v="6"/>
    <s v="Office Supplies"/>
    <s v="Stationery"/>
    <s v="StudyPro"/>
    <s v="B07"/>
    <x v="3"/>
    <s v="Enugu"/>
    <x v="3"/>
    <s v="Walk-in"/>
    <s v="POS"/>
    <n v="1"/>
    <n v="2800"/>
    <n v="4200"/>
    <n v="0.2"/>
    <x v="14"/>
    <n v="7"/>
    <n v="4200"/>
    <n v="840"/>
    <n v="3360"/>
    <n v="2800"/>
    <n v="560"/>
    <n v="0.16666666666666666"/>
    <s v="Understocked"/>
    <s v="Safe"/>
    <n v="0.33333333333333331"/>
    <s v="Safe"/>
    <n v="1400"/>
    <n v="0.33333333333333331"/>
  </r>
  <r>
    <s v="ORD-11619"/>
    <x v="80"/>
    <s v="P006"/>
    <x v="0"/>
    <s v="Beverages"/>
    <s v="Water"/>
    <s v="AquaPure"/>
    <s v="B03"/>
    <x v="6"/>
    <s v="Lagos"/>
    <x v="4"/>
    <s v="Member"/>
    <s v="Cash"/>
    <n v="1"/>
    <n v="230"/>
    <n v="400"/>
    <n v="0.1"/>
    <x v="2"/>
    <n v="5"/>
    <n v="400"/>
    <n v="40"/>
    <n v="360"/>
    <n v="230"/>
    <n v="130"/>
    <n v="0.3611111111111111"/>
    <s v="Understocked"/>
    <s v="Safe"/>
    <n v="0.42499999999999999"/>
    <s v="Safe"/>
    <n v="170"/>
    <n v="0.42499999999999999"/>
  </r>
  <r>
    <s v="ORD-11620"/>
    <x v="185"/>
    <s v="P008"/>
    <x v="4"/>
    <s v="Beverages"/>
    <s v="Soft Drinks"/>
    <s v="Sparkle"/>
    <s v="B01"/>
    <x v="2"/>
    <s v="Abuja"/>
    <x v="2"/>
    <s v="Walk-in"/>
    <s v="Cash"/>
    <n v="3"/>
    <n v="330"/>
    <n v="550"/>
    <n v="0.15"/>
    <x v="0"/>
    <n v="12"/>
    <n v="1650"/>
    <n v="247.5"/>
    <n v="1402.5"/>
    <n v="990"/>
    <n v="412.5"/>
    <n v="0.29411764705882354"/>
    <s v="Healthy"/>
    <s v="Safe"/>
    <n v="0.4"/>
    <s v="Safe"/>
    <n v="220"/>
    <n v="0.4"/>
  </r>
  <r>
    <s v="ORD-11621"/>
    <x v="262"/>
    <s v="P010"/>
    <x v="22"/>
    <s v="Household"/>
    <s v="Paper Products"/>
    <s v="SoftCare"/>
    <s v="B03"/>
    <x v="6"/>
    <s v="Lagos"/>
    <x v="4"/>
    <s v="Member"/>
    <s v="Cash"/>
    <n v="3"/>
    <n v="3200"/>
    <n v="4500"/>
    <n v="0.1"/>
    <x v="7"/>
    <n v="9"/>
    <n v="13500"/>
    <n v="1350"/>
    <n v="12150"/>
    <n v="9600"/>
    <n v="2550"/>
    <n v="0.20987654320987653"/>
    <s v="Healthy"/>
    <s v="Safe"/>
    <n v="0.28888888888888886"/>
    <s v="Safe"/>
    <n v="1300"/>
    <n v="0.28888888888888886"/>
  </r>
  <r>
    <s v="ORD-11622"/>
    <x v="94"/>
    <s v="P005"/>
    <x v="2"/>
    <s v="Food"/>
    <s v="Snacks"/>
    <s v="CrispyBite"/>
    <s v="B01"/>
    <x v="2"/>
    <s v="Abuja"/>
    <x v="2"/>
    <s v="Walk-in"/>
    <s v="POS"/>
    <n v="5"/>
    <n v="850"/>
    <n v="1300"/>
    <n v="0.05"/>
    <x v="9"/>
    <n v="6"/>
    <n v="6500"/>
    <n v="325"/>
    <n v="6175"/>
    <n v="4250"/>
    <n v="1925"/>
    <n v="0.31174089068825911"/>
    <s v="Understocked"/>
    <s v="Safe"/>
    <n v="0.34615384615384615"/>
    <s v="Safe"/>
    <n v="450"/>
    <n v="0.34615384615384615"/>
  </r>
  <r>
    <s v="ORD-11623"/>
    <x v="204"/>
    <s v="P005"/>
    <x v="2"/>
    <s v="Food"/>
    <s v="Snacks"/>
    <s v="CrispyBite"/>
    <s v="B03"/>
    <x v="6"/>
    <s v="Lagos"/>
    <x v="4"/>
    <s v="Walk-in"/>
    <s v="POS"/>
    <n v="1"/>
    <n v="850"/>
    <n v="1300"/>
    <n v="0"/>
    <x v="9"/>
    <n v="3"/>
    <n v="1300"/>
    <n v="0"/>
    <n v="1300"/>
    <n v="850"/>
    <n v="450"/>
    <n v="0.34615384615384615"/>
    <s v="Understocked"/>
    <s v="Safe"/>
    <n v="0.34615384615384615"/>
    <s v="Safe"/>
    <n v="450"/>
    <n v="0.34615384615384615"/>
  </r>
  <r>
    <s v="ORD-11624"/>
    <x v="158"/>
    <s v="P015"/>
    <x v="8"/>
    <s v="Personal Care"/>
    <s v="Bath"/>
    <s v="SilkyTouch"/>
    <s v="B01"/>
    <x v="2"/>
    <s v="Abuja"/>
    <x v="2"/>
    <s v="Walk-in"/>
    <s v="POS"/>
    <n v="1"/>
    <n v="600"/>
    <n v="950"/>
    <n v="0.05"/>
    <x v="6"/>
    <n v="12"/>
    <n v="950"/>
    <n v="47.5"/>
    <n v="902.5"/>
    <n v="600"/>
    <n v="302.5"/>
    <n v="0.33518005540166207"/>
    <s v="Healthy"/>
    <s v="Safe"/>
    <n v="0.36842105263157893"/>
    <s v="Safe"/>
    <n v="350"/>
    <n v="0.36842105263157893"/>
  </r>
  <r>
    <s v="ORD-11625"/>
    <x v="194"/>
    <s v="P004"/>
    <x v="1"/>
    <s v="Beverages"/>
    <s v="Dairy"/>
    <s v="FreshDay"/>
    <s v="B03"/>
    <x v="6"/>
    <s v="Lagos"/>
    <x v="4"/>
    <s v="Member"/>
    <s v="POS"/>
    <n v="5"/>
    <n v="1650"/>
    <n v="2200"/>
    <n v="0"/>
    <x v="0"/>
    <n v="12"/>
    <n v="11000"/>
    <n v="0"/>
    <n v="11000"/>
    <n v="8250"/>
    <n v="2750"/>
    <n v="0.25"/>
    <s v="Understocked"/>
    <s v="Safe"/>
    <n v="0.25"/>
    <s v="Safe"/>
    <n v="550"/>
    <n v="0.25"/>
  </r>
  <r>
    <s v="ORD-11626"/>
    <x v="138"/>
    <s v="P002"/>
    <x v="10"/>
    <s v="Food"/>
    <s v="Grains"/>
    <s v="Mama's Pride"/>
    <s v="B02"/>
    <x v="4"/>
    <s v="Abuja"/>
    <x v="2"/>
    <s v="Walk-in"/>
    <s v="POS"/>
    <n v="4"/>
    <n v="6200"/>
    <n v="7900"/>
    <n v="0.1"/>
    <x v="8"/>
    <n v="13"/>
    <n v="31600"/>
    <n v="3160"/>
    <n v="28440"/>
    <n v="24800"/>
    <n v="3640"/>
    <n v="0.12798874824191281"/>
    <s v="Healthy"/>
    <s v="Safe"/>
    <n v="0.21518987341772153"/>
    <s v="Safe"/>
    <n v="1700"/>
    <n v="0.21518987341772153"/>
  </r>
  <r>
    <s v="ORD-11627"/>
    <x v="298"/>
    <s v="P014"/>
    <x v="15"/>
    <s v="Personal Care"/>
    <s v="Oral Care"/>
    <s v="FreshMint"/>
    <s v="B01"/>
    <x v="2"/>
    <s v="Abuja"/>
    <x v="2"/>
    <s v="Walk-in"/>
    <s v="Cash"/>
    <n v="3"/>
    <n v="1200"/>
    <n v="1900"/>
    <n v="0.2"/>
    <x v="11"/>
    <n v="6"/>
    <n v="5700"/>
    <n v="1140"/>
    <n v="4560"/>
    <n v="3600"/>
    <n v="960"/>
    <n v="0.21052631578947367"/>
    <s v="Healthy"/>
    <s v="Safe"/>
    <n v="0.36842105263157893"/>
    <s v="Safe"/>
    <n v="700"/>
    <n v="0.36842105263157893"/>
  </r>
  <r>
    <s v="ORD-11628"/>
    <x v="98"/>
    <s v="P018"/>
    <x v="16"/>
    <s v="Electronics"/>
    <s v="Mobile Accessories"/>
    <s v="VoltSafe"/>
    <s v="B04"/>
    <x v="5"/>
    <s v="Lagos"/>
    <x v="4"/>
    <s v="Walk-in"/>
    <s v="POS"/>
    <n v="2"/>
    <n v="18000"/>
    <n v="24500"/>
    <n v="0"/>
    <x v="4"/>
    <n v="10"/>
    <n v="49000"/>
    <n v="0"/>
    <n v="49000"/>
    <n v="36000"/>
    <n v="13000"/>
    <n v="0.26530612244897961"/>
    <s v="Understocked"/>
    <s v="Safe"/>
    <n v="0.26530612244897961"/>
    <s v="Safe"/>
    <n v="6500"/>
    <n v="0.26530612244897961"/>
  </r>
  <r>
    <s v="ORD-11629"/>
    <x v="47"/>
    <s v="P008"/>
    <x v="4"/>
    <s v="Beverages"/>
    <s v="Soft Drinks"/>
    <s v="Sparkle"/>
    <s v="B04"/>
    <x v="5"/>
    <s v="Lagos"/>
    <x v="4"/>
    <s v="Walk-in"/>
    <s v="POS"/>
    <n v="6"/>
    <n v="330"/>
    <n v="550"/>
    <n v="0"/>
    <x v="0"/>
    <n v="10"/>
    <n v="3300"/>
    <n v="0"/>
    <n v="3300"/>
    <n v="1980"/>
    <n v="1320"/>
    <n v="0.4"/>
    <s v="Healthy"/>
    <s v="Safe"/>
    <n v="0.4"/>
    <s v="Safe"/>
    <n v="220"/>
    <n v="0.4"/>
  </r>
  <r>
    <s v="ORD-11630"/>
    <x v="106"/>
    <s v="P007"/>
    <x v="3"/>
    <s v="Beverages"/>
    <s v="Malt"/>
    <s v="Naija Malt"/>
    <s v="B01"/>
    <x v="2"/>
    <s v="Abuja"/>
    <x v="2"/>
    <s v="Member"/>
    <s v="Cash"/>
    <n v="2"/>
    <n v="550"/>
    <n v="850"/>
    <n v="0"/>
    <x v="2"/>
    <n v="4"/>
    <n v="1700"/>
    <n v="0"/>
    <n v="1700"/>
    <n v="1100"/>
    <n v="600"/>
    <n v="0.35294117647058826"/>
    <s v="Healthy"/>
    <s v="Safe"/>
    <n v="0.35294117647058826"/>
    <s v="Safe"/>
    <n v="300"/>
    <n v="0.35294117647058826"/>
  </r>
  <r>
    <s v="ORD-11631"/>
    <x v="1"/>
    <s v="P006"/>
    <x v="0"/>
    <s v="Beverages"/>
    <s v="Water"/>
    <s v="AquaPure"/>
    <s v="B03"/>
    <x v="6"/>
    <s v="Lagos"/>
    <x v="4"/>
    <s v="Walk-in"/>
    <s v="POS"/>
    <n v="3"/>
    <n v="230"/>
    <n v="400"/>
    <n v="0.05"/>
    <x v="3"/>
    <n v="7"/>
    <n v="1200"/>
    <n v="60"/>
    <n v="1140"/>
    <n v="690"/>
    <n v="450"/>
    <n v="0.39473684210526316"/>
    <s v="Understocked"/>
    <s v="Safe"/>
    <n v="0.42499999999999999"/>
    <s v="Safe"/>
    <n v="170"/>
    <n v="0.42499999999999999"/>
  </r>
  <r>
    <s v="ORD-11632"/>
    <x v="179"/>
    <s v="P009"/>
    <x v="13"/>
    <s v="Household"/>
    <s v="Cleaning"/>
    <s v="BrightWash"/>
    <s v="B08"/>
    <x v="7"/>
    <s v="Kwara"/>
    <x v="2"/>
    <s v="Walk-in"/>
    <s v="Cash"/>
    <n v="2"/>
    <n v="2400"/>
    <n v="3400"/>
    <n v="0"/>
    <x v="1"/>
    <n v="7"/>
    <n v="6800"/>
    <n v="0"/>
    <n v="6800"/>
    <n v="4800"/>
    <n v="2000"/>
    <n v="0.29411764705882354"/>
    <s v="Healthy"/>
    <s v="Safe"/>
    <n v="0.29411764705882354"/>
    <s v="Safe"/>
    <n v="1000"/>
    <n v="0.29411764705882354"/>
  </r>
  <r>
    <s v="ORD-11633"/>
    <x v="302"/>
    <s v="P015"/>
    <x v="8"/>
    <s v="Personal Care"/>
    <s v="Bath"/>
    <s v="SilkyTouch"/>
    <s v="B05"/>
    <x v="0"/>
    <s v="Kano"/>
    <x v="0"/>
    <s v="Walk-in"/>
    <s v="POS"/>
    <n v="1"/>
    <n v="600"/>
    <n v="950"/>
    <n v="0"/>
    <x v="10"/>
    <n v="8"/>
    <n v="950"/>
    <n v="0"/>
    <n v="950"/>
    <n v="600"/>
    <n v="350"/>
    <n v="0.36842105263157893"/>
    <s v="Healthy"/>
    <s v="Safe"/>
    <n v="0.36842105263157893"/>
    <s v="Safe"/>
    <n v="350"/>
    <n v="0.36842105263157893"/>
  </r>
  <r>
    <s v="ORD-11634"/>
    <x v="282"/>
    <s v="P017"/>
    <x v="23"/>
    <s v="Electronics"/>
    <s v="Accessories"/>
    <s v="PowerMax"/>
    <s v="B06"/>
    <x v="1"/>
    <s v="Rivers"/>
    <x v="1"/>
    <s v="Walk-in"/>
    <s v="Cash"/>
    <n v="8"/>
    <n v="7500"/>
    <n v="10500"/>
    <n v="0.25"/>
    <x v="4"/>
    <n v="5"/>
    <n v="84000"/>
    <n v="21000"/>
    <n v="63000"/>
    <n v="60000"/>
    <n v="3000"/>
    <n v="4.7619047619047616E-2"/>
    <s v="Healthy"/>
    <s v="Safe"/>
    <n v="0.2857142857142857"/>
    <s v="Safe"/>
    <n v="3000"/>
    <n v="0.2857142857142857"/>
  </r>
  <r>
    <s v="ORD-11635"/>
    <x v="99"/>
    <s v="P020"/>
    <x v="5"/>
    <s v="Electronics"/>
    <s v="Lighting"/>
    <s v="Luma"/>
    <s v="B03"/>
    <x v="6"/>
    <s v="Lagos"/>
    <x v="4"/>
    <s v="Member"/>
    <s v="POS"/>
    <n v="3"/>
    <n v="1500"/>
    <n v="2500"/>
    <n v="0.15"/>
    <x v="13"/>
    <n v="11"/>
    <n v="7500"/>
    <n v="1125"/>
    <n v="6375"/>
    <n v="4500"/>
    <n v="1875"/>
    <n v="0.29411764705882354"/>
    <s v="Healthy"/>
    <s v="Safe"/>
    <n v="0.4"/>
    <s v="Safe"/>
    <n v="1000"/>
    <n v="0.4"/>
  </r>
  <r>
    <s v="ORD-11636"/>
    <x v="316"/>
    <s v="P004"/>
    <x v="1"/>
    <s v="Beverages"/>
    <s v="Dairy"/>
    <s v="FreshDay"/>
    <s v="B08"/>
    <x v="7"/>
    <s v="Kwara"/>
    <x v="2"/>
    <s v="Walk-in"/>
    <s v="Transfer"/>
    <n v="3"/>
    <n v="1650"/>
    <n v="2200"/>
    <n v="0.2"/>
    <x v="3"/>
    <n v="9"/>
    <n v="6600"/>
    <n v="1320"/>
    <n v="5280"/>
    <n v="4950"/>
    <n v="330"/>
    <n v="6.25E-2"/>
    <s v="Understocked"/>
    <s v="Safe"/>
    <n v="0.25"/>
    <s v="Safe"/>
    <n v="550"/>
    <n v="0.25"/>
  </r>
  <r>
    <s v="ORD-11637"/>
    <x v="311"/>
    <s v="P006"/>
    <x v="0"/>
    <s v="Beverages"/>
    <s v="Water"/>
    <s v="AquaPure"/>
    <s v="B02"/>
    <x v="4"/>
    <s v="Abuja"/>
    <x v="2"/>
    <s v="Member"/>
    <s v="Card"/>
    <n v="1"/>
    <n v="230"/>
    <n v="400"/>
    <n v="0.1"/>
    <x v="3"/>
    <n v="9"/>
    <n v="400"/>
    <n v="40"/>
    <n v="360"/>
    <n v="230"/>
    <n v="130"/>
    <n v="0.3611111111111111"/>
    <s v="Understocked"/>
    <s v="Safe"/>
    <n v="0.42499999999999999"/>
    <s v="Safe"/>
    <n v="170"/>
    <n v="0.42499999999999999"/>
  </r>
  <r>
    <s v="ORD-11638"/>
    <x v="172"/>
    <s v="P014"/>
    <x v="15"/>
    <s v="Personal Care"/>
    <s v="Oral Care"/>
    <s v="FreshMint"/>
    <s v="B03"/>
    <x v="6"/>
    <s v="Lagos"/>
    <x v="4"/>
    <s v="Member"/>
    <s v="POS"/>
    <n v="2"/>
    <n v="1200"/>
    <n v="1900"/>
    <n v="0"/>
    <x v="6"/>
    <n v="6"/>
    <n v="3800"/>
    <n v="0"/>
    <n v="3800"/>
    <n v="2400"/>
    <n v="1400"/>
    <n v="0.36842105263157893"/>
    <s v="Healthy"/>
    <s v="Safe"/>
    <n v="0.36842105263157893"/>
    <s v="Safe"/>
    <n v="700"/>
    <n v="0.36842105263157893"/>
  </r>
  <r>
    <s v="ORD-11639"/>
    <x v="283"/>
    <s v="P008"/>
    <x v="4"/>
    <s v="Beverages"/>
    <s v="Soft Drinks"/>
    <s v="Sparkle"/>
    <s v="B01"/>
    <x v="2"/>
    <s v="Abuja"/>
    <x v="2"/>
    <s v="Walk-in"/>
    <s v="Cash"/>
    <n v="8"/>
    <n v="330"/>
    <n v="550"/>
    <n v="0"/>
    <x v="2"/>
    <n v="5"/>
    <n v="4400"/>
    <n v="0"/>
    <n v="4400"/>
    <n v="2640"/>
    <n v="1760"/>
    <n v="0.4"/>
    <s v="Healthy"/>
    <s v="Safe"/>
    <n v="0.4"/>
    <s v="Safe"/>
    <n v="220"/>
    <n v="0.4"/>
  </r>
  <r>
    <s v="ORD-11640"/>
    <x v="287"/>
    <s v="P007"/>
    <x v="3"/>
    <s v="Beverages"/>
    <s v="Malt"/>
    <s v="Naija Malt"/>
    <s v="B03"/>
    <x v="6"/>
    <s v="Lagos"/>
    <x v="4"/>
    <s v="Member"/>
    <s v="Cash"/>
    <n v="4"/>
    <n v="550"/>
    <n v="850"/>
    <n v="0.1"/>
    <x v="2"/>
    <n v="13"/>
    <n v="3400"/>
    <n v="340"/>
    <n v="3060"/>
    <n v="2200"/>
    <n v="860"/>
    <n v="0.28104575163398693"/>
    <s v="Healthy"/>
    <s v="Safe"/>
    <n v="0.35294117647058826"/>
    <s v="Safe"/>
    <n v="300"/>
    <n v="0.35294117647058826"/>
  </r>
  <r>
    <s v="ORD-11641"/>
    <x v="86"/>
    <s v="P007"/>
    <x v="3"/>
    <s v="Beverages"/>
    <s v="Malt"/>
    <s v="Naija Malt"/>
    <s v="B04"/>
    <x v="5"/>
    <s v="Lagos"/>
    <x v="4"/>
    <s v="Member"/>
    <s v="POS"/>
    <n v="1"/>
    <n v="550"/>
    <n v="850"/>
    <n v="0"/>
    <x v="0"/>
    <n v="2"/>
    <n v="850"/>
    <n v="0"/>
    <n v="850"/>
    <n v="550"/>
    <n v="300"/>
    <n v="0.35294117647058826"/>
    <s v="Healthy"/>
    <s v="Safe"/>
    <n v="0.35294117647058826"/>
    <s v="Safe"/>
    <n v="300"/>
    <n v="0.35294117647058826"/>
  </r>
  <r>
    <s v="ORD-11642"/>
    <x v="9"/>
    <s v="P007"/>
    <x v="3"/>
    <s v="Beverages"/>
    <s v="Malt"/>
    <s v="Naija Malt"/>
    <s v="B03"/>
    <x v="6"/>
    <s v="Lagos"/>
    <x v="4"/>
    <s v="Member"/>
    <s v="Transfer"/>
    <n v="2"/>
    <n v="550"/>
    <n v="850"/>
    <n v="0.1"/>
    <x v="3"/>
    <n v="13"/>
    <n v="1700"/>
    <n v="170"/>
    <n v="1530"/>
    <n v="1100"/>
    <n v="430"/>
    <n v="0.28104575163398693"/>
    <s v="Healthy"/>
    <s v="Safe"/>
    <n v="0.35294117647058826"/>
    <s v="Safe"/>
    <n v="300"/>
    <n v="0.35294117647058826"/>
  </r>
  <r>
    <s v="ORD-11643"/>
    <x v="141"/>
    <s v="P007"/>
    <x v="3"/>
    <s v="Beverages"/>
    <s v="Malt"/>
    <s v="Naija Malt"/>
    <s v="B04"/>
    <x v="5"/>
    <s v="Lagos"/>
    <x v="4"/>
    <s v="Corporate"/>
    <s v="Transfer"/>
    <n v="3"/>
    <n v="550"/>
    <n v="850"/>
    <n v="0"/>
    <x v="3"/>
    <n v="8"/>
    <n v="2550"/>
    <n v="0"/>
    <n v="2550"/>
    <n v="1650"/>
    <n v="900"/>
    <n v="0.35294117647058826"/>
    <s v="Healthy"/>
    <s v="Safe"/>
    <n v="0.35294117647058826"/>
    <s v="Safe"/>
    <n v="300"/>
    <n v="0.35294117647058826"/>
  </r>
  <r>
    <s v="ORD-11644"/>
    <x v="37"/>
    <s v="P002"/>
    <x v="10"/>
    <s v="Food"/>
    <s v="Grains"/>
    <s v="Mama's Pride"/>
    <s v="B05"/>
    <x v="0"/>
    <s v="Kano"/>
    <x v="0"/>
    <s v="Walk-in"/>
    <s v="POS"/>
    <n v="1"/>
    <n v="6200"/>
    <n v="7900"/>
    <n v="0.1"/>
    <x v="9"/>
    <n v="4"/>
    <n v="7900"/>
    <n v="790"/>
    <n v="7110"/>
    <n v="6200"/>
    <n v="910"/>
    <n v="0.12798874824191281"/>
    <s v="Healthy"/>
    <s v="Safe"/>
    <n v="0.21518987341772153"/>
    <s v="Safe"/>
    <n v="1700"/>
    <n v="0.21518987341772153"/>
  </r>
  <r>
    <s v="ORD-11645"/>
    <x v="293"/>
    <s v="P023"/>
    <x v="6"/>
    <s v="Office Supplies"/>
    <s v="Stationery"/>
    <s v="StudyPro"/>
    <s v="B07"/>
    <x v="3"/>
    <s v="Enugu"/>
    <x v="3"/>
    <s v="Member"/>
    <s v="POS"/>
    <n v="1"/>
    <n v="2800"/>
    <n v="4200"/>
    <n v="0.05"/>
    <x v="15"/>
    <n v="7"/>
    <n v="4200"/>
    <n v="210"/>
    <n v="3990"/>
    <n v="2800"/>
    <n v="1190"/>
    <n v="0.2982456140350877"/>
    <s v="Understocked"/>
    <s v="Safe"/>
    <n v="0.33333333333333331"/>
    <s v="Safe"/>
    <n v="1400"/>
    <n v="0.33333333333333331"/>
  </r>
  <r>
    <s v="ORD-11646"/>
    <x v="211"/>
    <s v="P018"/>
    <x v="16"/>
    <s v="Electronics"/>
    <s v="Mobile Accessories"/>
    <s v="VoltSafe"/>
    <s v="B01"/>
    <x v="2"/>
    <s v="Abuja"/>
    <x v="2"/>
    <s v="Walk-in"/>
    <s v="POS"/>
    <n v="4"/>
    <n v="18000"/>
    <n v="24500"/>
    <n v="0.05"/>
    <x v="4"/>
    <n v="9"/>
    <n v="98000"/>
    <n v="4900"/>
    <n v="93100"/>
    <n v="72000"/>
    <n v="21100"/>
    <n v="0.22663802363050484"/>
    <s v="Understocked"/>
    <s v="Safe"/>
    <n v="0.26530612244897961"/>
    <s v="Safe"/>
    <n v="6500"/>
    <n v="0.26530612244897961"/>
  </r>
  <r>
    <s v="ORD-11647"/>
    <x v="188"/>
    <s v="P005"/>
    <x v="2"/>
    <s v="Food"/>
    <s v="Snacks"/>
    <s v="CrispyBite"/>
    <s v="B01"/>
    <x v="2"/>
    <s v="Abuja"/>
    <x v="2"/>
    <s v="Walk-in"/>
    <s v="POS"/>
    <n v="4"/>
    <n v="850"/>
    <n v="1300"/>
    <n v="0.05"/>
    <x v="9"/>
    <n v="1"/>
    <n v="5200"/>
    <n v="260"/>
    <n v="4940"/>
    <n v="3400"/>
    <n v="1540"/>
    <n v="0.31174089068825911"/>
    <s v="Understocked"/>
    <s v="Safe"/>
    <n v="0.34615384615384615"/>
    <s v="Safe"/>
    <n v="450"/>
    <n v="0.34615384615384615"/>
  </r>
  <r>
    <s v="ORD-11648"/>
    <x v="261"/>
    <s v="P015"/>
    <x v="8"/>
    <s v="Personal Care"/>
    <s v="Bath"/>
    <s v="SilkyTouch"/>
    <s v="B08"/>
    <x v="7"/>
    <s v="Kwara"/>
    <x v="2"/>
    <s v="Walk-in"/>
    <s v="POS"/>
    <n v="6"/>
    <n v="600"/>
    <n v="950"/>
    <n v="0.1"/>
    <x v="11"/>
    <n v="7"/>
    <n v="5700"/>
    <n v="570"/>
    <n v="5130"/>
    <n v="3600"/>
    <n v="1530"/>
    <n v="0.2982456140350877"/>
    <s v="Healthy"/>
    <s v="Safe"/>
    <n v="0.36842105263157893"/>
    <s v="Safe"/>
    <n v="350"/>
    <n v="0.36842105263157893"/>
  </r>
  <r>
    <s v="ORD-11649"/>
    <x v="110"/>
    <s v="P020"/>
    <x v="5"/>
    <s v="Electronics"/>
    <s v="Lighting"/>
    <s v="Luma"/>
    <s v="B06"/>
    <x v="1"/>
    <s v="Rivers"/>
    <x v="1"/>
    <s v="Walk-in"/>
    <s v="POS"/>
    <n v="4"/>
    <n v="1500"/>
    <n v="2500"/>
    <n v="0.05"/>
    <x v="4"/>
    <n v="14"/>
    <n v="10000"/>
    <n v="500"/>
    <n v="9500"/>
    <n v="6000"/>
    <n v="3500"/>
    <n v="0.36842105263157893"/>
    <s v="Healthy"/>
    <s v="Safe"/>
    <n v="0.4"/>
    <s v="Safe"/>
    <n v="1000"/>
    <n v="0.4"/>
  </r>
  <r>
    <s v="ORD-11650"/>
    <x v="138"/>
    <s v="P011"/>
    <x v="9"/>
    <s v="Household"/>
    <s v="Cleaning"/>
    <s v="CleanPro"/>
    <s v="B03"/>
    <x v="6"/>
    <s v="Lagos"/>
    <x v="4"/>
    <s v="Member"/>
    <s v="POS"/>
    <n v="2"/>
    <n v="2800"/>
    <n v="3900"/>
    <n v="0.05"/>
    <x v="7"/>
    <n v="4"/>
    <n v="7800"/>
    <n v="390"/>
    <n v="7410"/>
    <n v="5600"/>
    <n v="1810"/>
    <n v="0.24426450742240216"/>
    <s v="Healthy"/>
    <s v="Safe"/>
    <n v="0.28205128205128205"/>
    <s v="Safe"/>
    <n v="1100"/>
    <n v="0.28205128205128205"/>
  </r>
  <r>
    <s v="ORD-11651"/>
    <x v="182"/>
    <s v="P008"/>
    <x v="4"/>
    <s v="Beverages"/>
    <s v="Soft Drinks"/>
    <s v="Sparkle"/>
    <s v="B06"/>
    <x v="1"/>
    <s v="Rivers"/>
    <x v="1"/>
    <s v="Corporate"/>
    <s v="Cash"/>
    <n v="2"/>
    <n v="330"/>
    <n v="550"/>
    <n v="0"/>
    <x v="0"/>
    <n v="7"/>
    <n v="1100"/>
    <n v="0"/>
    <n v="1100"/>
    <n v="660"/>
    <n v="440"/>
    <n v="0.4"/>
    <s v="Healthy"/>
    <s v="Safe"/>
    <n v="0.4"/>
    <s v="Safe"/>
    <n v="220"/>
    <n v="0.4"/>
  </r>
  <r>
    <s v="ORD-11652"/>
    <x v="271"/>
    <s v="P014"/>
    <x v="15"/>
    <s v="Personal Care"/>
    <s v="Oral Care"/>
    <s v="FreshMint"/>
    <s v="B03"/>
    <x v="6"/>
    <s v="Lagos"/>
    <x v="4"/>
    <s v="Member"/>
    <s v="Cash"/>
    <n v="3"/>
    <n v="1200"/>
    <n v="1900"/>
    <n v="0.05"/>
    <x v="10"/>
    <n v="2"/>
    <n v="5700"/>
    <n v="285"/>
    <n v="5415"/>
    <n v="3600"/>
    <n v="1815"/>
    <n v="0.33518005540166207"/>
    <s v="Healthy"/>
    <s v="Safe"/>
    <n v="0.36842105263157893"/>
    <s v="Safe"/>
    <n v="700"/>
    <n v="0.36842105263157893"/>
  </r>
  <r>
    <s v="ORD-11653"/>
    <x v="114"/>
    <s v="P013"/>
    <x v="11"/>
    <s v="Personal Care"/>
    <s v="Skin Care"/>
    <s v="GlowPlus"/>
    <s v="B04"/>
    <x v="5"/>
    <s v="Lagos"/>
    <x v="4"/>
    <s v="Walk-in"/>
    <s v="POS"/>
    <n v="1"/>
    <n v="3500"/>
    <n v="5200"/>
    <n v="0"/>
    <x v="11"/>
    <n v="14"/>
    <n v="5200"/>
    <n v="0"/>
    <n v="5200"/>
    <n v="3500"/>
    <n v="1700"/>
    <n v="0.32692307692307693"/>
    <s v="Healthy"/>
    <s v="Safe"/>
    <n v="0.32692307692307693"/>
    <s v="Safe"/>
    <n v="1700"/>
    <n v="0.32692307692307693"/>
  </r>
  <r>
    <s v="ORD-11654"/>
    <x v="171"/>
    <s v="P015"/>
    <x v="8"/>
    <s v="Personal Care"/>
    <s v="Bath"/>
    <s v="SilkyTouch"/>
    <s v="B03"/>
    <x v="6"/>
    <s v="Lagos"/>
    <x v="4"/>
    <s v="Corporate"/>
    <s v="POS"/>
    <n v="1"/>
    <n v="600"/>
    <n v="950"/>
    <n v="0.1"/>
    <x v="10"/>
    <n v="3"/>
    <n v="950"/>
    <n v="95"/>
    <n v="855"/>
    <n v="600"/>
    <n v="255"/>
    <n v="0.2982456140350877"/>
    <s v="Healthy"/>
    <s v="Safe"/>
    <n v="0.36842105263157893"/>
    <s v="Safe"/>
    <n v="350"/>
    <n v="0.36842105263157893"/>
  </r>
  <r>
    <s v="ORD-11655"/>
    <x v="206"/>
    <s v="P006"/>
    <x v="0"/>
    <s v="Beverages"/>
    <s v="Water"/>
    <s v="AquaPure"/>
    <s v="B03"/>
    <x v="6"/>
    <s v="Lagos"/>
    <x v="4"/>
    <s v="Walk-in"/>
    <s v="POS"/>
    <n v="1"/>
    <n v="230"/>
    <n v="400"/>
    <n v="0"/>
    <x v="0"/>
    <n v="5"/>
    <n v="400"/>
    <n v="0"/>
    <n v="400"/>
    <n v="230"/>
    <n v="170"/>
    <n v="0.42499999999999999"/>
    <s v="Understocked"/>
    <s v="Safe"/>
    <n v="0.42499999999999999"/>
    <s v="Safe"/>
    <n v="170"/>
    <n v="0.42499999999999999"/>
  </r>
  <r>
    <s v="ORD-11656"/>
    <x v="185"/>
    <s v="P007"/>
    <x v="3"/>
    <s v="Beverages"/>
    <s v="Malt"/>
    <s v="Naija Malt"/>
    <s v="B06"/>
    <x v="1"/>
    <s v="Rivers"/>
    <x v="1"/>
    <s v="Member"/>
    <s v="Transfer"/>
    <n v="5"/>
    <n v="550"/>
    <n v="850"/>
    <n v="0.1"/>
    <x v="2"/>
    <n v="7"/>
    <n v="4250"/>
    <n v="425"/>
    <n v="3825"/>
    <n v="2750"/>
    <n v="1075"/>
    <n v="0.28104575163398693"/>
    <s v="Healthy"/>
    <s v="Safe"/>
    <n v="0.35294117647058826"/>
    <s v="Safe"/>
    <n v="300"/>
    <n v="0.35294117647058826"/>
  </r>
  <r>
    <s v="ORD-11657"/>
    <x v="88"/>
    <s v="P009"/>
    <x v="13"/>
    <s v="Household"/>
    <s v="Cleaning"/>
    <s v="BrightWash"/>
    <s v="B01"/>
    <x v="2"/>
    <s v="Abuja"/>
    <x v="2"/>
    <s v="Member"/>
    <s v="POS"/>
    <n v="4"/>
    <n v="2400"/>
    <n v="3400"/>
    <n v="0.05"/>
    <x v="7"/>
    <n v="14"/>
    <n v="13600"/>
    <n v="680"/>
    <n v="12920"/>
    <n v="9600"/>
    <n v="3320"/>
    <n v="0.25696594427244585"/>
    <s v="Healthy"/>
    <s v="Safe"/>
    <n v="0.29411764705882354"/>
    <s v="Safe"/>
    <n v="1000"/>
    <n v="0.29411764705882354"/>
  </r>
  <r>
    <s v="ORD-11658"/>
    <x v="343"/>
    <s v="P020"/>
    <x v="5"/>
    <s v="Electronics"/>
    <s v="Lighting"/>
    <s v="Luma"/>
    <s v="B03"/>
    <x v="6"/>
    <s v="Lagos"/>
    <x v="4"/>
    <s v="Member"/>
    <s v="POS"/>
    <n v="2"/>
    <n v="1500"/>
    <n v="2500"/>
    <n v="0.1"/>
    <x v="13"/>
    <n v="3"/>
    <n v="5000"/>
    <n v="500"/>
    <n v="4500"/>
    <n v="3000"/>
    <n v="1500"/>
    <n v="0.33333333333333331"/>
    <s v="Healthy"/>
    <s v="Safe"/>
    <n v="0.4"/>
    <s v="Safe"/>
    <n v="1000"/>
    <n v="0.4"/>
  </r>
  <r>
    <s v="ORD-11659"/>
    <x v="23"/>
    <s v="P006"/>
    <x v="0"/>
    <s v="Beverages"/>
    <s v="Water"/>
    <s v="AquaPure"/>
    <s v="B06"/>
    <x v="1"/>
    <s v="Rivers"/>
    <x v="1"/>
    <s v="Walk-in"/>
    <s v="POS"/>
    <n v="1"/>
    <n v="230"/>
    <n v="400"/>
    <n v="0"/>
    <x v="2"/>
    <n v="1"/>
    <n v="400"/>
    <n v="0"/>
    <n v="400"/>
    <n v="230"/>
    <n v="170"/>
    <n v="0.42499999999999999"/>
    <s v="Understocked"/>
    <s v="Safe"/>
    <n v="0.42499999999999999"/>
    <s v="Safe"/>
    <n v="170"/>
    <n v="0.42499999999999999"/>
  </r>
  <r>
    <s v="ORD-11660"/>
    <x v="20"/>
    <s v="P010"/>
    <x v="22"/>
    <s v="Household"/>
    <s v="Paper Products"/>
    <s v="SoftCare"/>
    <s v="B03"/>
    <x v="6"/>
    <s v="Lagos"/>
    <x v="4"/>
    <s v="Walk-in"/>
    <s v="POS"/>
    <n v="1"/>
    <n v="3200"/>
    <n v="4500"/>
    <n v="0.1"/>
    <x v="1"/>
    <n v="3"/>
    <n v="4500"/>
    <n v="450"/>
    <n v="4050"/>
    <n v="3200"/>
    <n v="850"/>
    <n v="0.20987654320987653"/>
    <s v="Healthy"/>
    <s v="Safe"/>
    <n v="0.28888888888888886"/>
    <s v="Safe"/>
    <n v="1300"/>
    <n v="0.28888888888888886"/>
  </r>
  <r>
    <s v="ORD-11661"/>
    <x v="146"/>
    <s v="P019"/>
    <x v="18"/>
    <s v="Electronics"/>
    <s v="Audio"/>
    <s v="SoundBeat"/>
    <s v="B03"/>
    <x v="6"/>
    <s v="Lagos"/>
    <x v="4"/>
    <s v="Walk-in"/>
    <s v="POS"/>
    <n v="8"/>
    <n v="12500"/>
    <n v="18500"/>
    <n v="0"/>
    <x v="12"/>
    <n v="8"/>
    <n v="148000"/>
    <n v="0"/>
    <n v="148000"/>
    <n v="100000"/>
    <n v="48000"/>
    <n v="0.32432432432432434"/>
    <s v="Understocked"/>
    <s v="Safe"/>
    <n v="0.32432432432432434"/>
    <s v="Safe"/>
    <n v="6000"/>
    <n v="0.32432432432432434"/>
  </r>
  <r>
    <s v="ORD-11662"/>
    <x v="325"/>
    <s v="P006"/>
    <x v="0"/>
    <s v="Beverages"/>
    <s v="Water"/>
    <s v="AquaPure"/>
    <s v="B04"/>
    <x v="5"/>
    <s v="Lagos"/>
    <x v="4"/>
    <s v="Member"/>
    <s v="Cash"/>
    <n v="4"/>
    <n v="230"/>
    <n v="400"/>
    <n v="0.1"/>
    <x v="3"/>
    <n v="4"/>
    <n v="1600"/>
    <n v="160"/>
    <n v="1440"/>
    <n v="920"/>
    <n v="520"/>
    <n v="0.3611111111111111"/>
    <s v="Understocked"/>
    <s v="Safe"/>
    <n v="0.42499999999999999"/>
    <s v="Safe"/>
    <n v="170"/>
    <n v="0.42499999999999999"/>
  </r>
  <r>
    <s v="ORD-11663"/>
    <x v="8"/>
    <s v="P012"/>
    <x v="21"/>
    <s v="Household"/>
    <s v="Home Care"/>
    <s v="HomeFresh"/>
    <s v="B01"/>
    <x v="2"/>
    <s v="Abuja"/>
    <x v="2"/>
    <s v="Member"/>
    <s v="Cash"/>
    <n v="1"/>
    <n v="1700"/>
    <n v="2600"/>
    <n v="0.05"/>
    <x v="7"/>
    <n v="9"/>
    <n v="2600"/>
    <n v="130"/>
    <n v="2470"/>
    <n v="1700"/>
    <n v="770"/>
    <n v="0.31174089068825911"/>
    <s v="Overstocked"/>
    <s v="Safe"/>
    <n v="0.34615384615384615"/>
    <s v="Safe"/>
    <n v="900"/>
    <n v="0.34615384615384615"/>
  </r>
  <r>
    <s v="ORD-11664"/>
    <x v="82"/>
    <s v="P011"/>
    <x v="9"/>
    <s v="Household"/>
    <s v="Cleaning"/>
    <s v="CleanPro"/>
    <s v="B01"/>
    <x v="2"/>
    <s v="Abuja"/>
    <x v="2"/>
    <s v="Corporate"/>
    <s v="POS"/>
    <n v="2"/>
    <n v="2800"/>
    <n v="3900"/>
    <n v="0.1"/>
    <x v="10"/>
    <n v="5"/>
    <n v="7800"/>
    <n v="780"/>
    <n v="7020"/>
    <n v="5600"/>
    <n v="1420"/>
    <n v="0.20227920227920229"/>
    <s v="Healthy"/>
    <s v="Safe"/>
    <n v="0.28205128205128205"/>
    <s v="Safe"/>
    <n v="1100"/>
    <n v="0.28205128205128205"/>
  </r>
  <r>
    <s v="ORD-11665"/>
    <x v="115"/>
    <s v="P007"/>
    <x v="3"/>
    <s v="Beverages"/>
    <s v="Malt"/>
    <s v="Naija Malt"/>
    <s v="B04"/>
    <x v="5"/>
    <s v="Lagos"/>
    <x v="4"/>
    <s v="Walk-in"/>
    <s v="POS"/>
    <n v="3"/>
    <n v="550"/>
    <n v="850"/>
    <n v="0.2"/>
    <x v="2"/>
    <n v="14"/>
    <n v="2550"/>
    <n v="510"/>
    <n v="2040"/>
    <n v="1650"/>
    <n v="390"/>
    <n v="0.19117647058823528"/>
    <s v="Healthy"/>
    <s v="Safe"/>
    <n v="0.35294117647058826"/>
    <s v="Safe"/>
    <n v="300"/>
    <n v="0.35294117647058826"/>
  </r>
  <r>
    <s v="ORD-11666"/>
    <x v="230"/>
    <s v="P019"/>
    <x v="18"/>
    <s v="Electronics"/>
    <s v="Audio"/>
    <s v="SoundBeat"/>
    <s v="B05"/>
    <x v="0"/>
    <s v="Kano"/>
    <x v="0"/>
    <s v="Member"/>
    <s v="POS"/>
    <n v="4"/>
    <n v="12500"/>
    <n v="18500"/>
    <n v="0.1"/>
    <x v="13"/>
    <n v="2"/>
    <n v="74000"/>
    <n v="7400"/>
    <n v="66600"/>
    <n v="50000"/>
    <n v="16600"/>
    <n v="0.24924924924924924"/>
    <s v="Understocked"/>
    <s v="Safe"/>
    <n v="0.32432432432432434"/>
    <s v="Safe"/>
    <n v="6000"/>
    <n v="0.32432432432432434"/>
  </r>
  <r>
    <s v="ORD-11667"/>
    <x v="230"/>
    <s v="P003"/>
    <x v="12"/>
    <s v="Food"/>
    <s v="Cooking Oil"/>
    <s v="SunGold"/>
    <s v="B06"/>
    <x v="1"/>
    <s v="Rivers"/>
    <x v="1"/>
    <s v="Walk-in"/>
    <s v="Cash"/>
    <n v="3"/>
    <n v="7800"/>
    <n v="9800"/>
    <n v="0.1"/>
    <x v="1"/>
    <n v="2"/>
    <n v="29400"/>
    <n v="2940"/>
    <n v="26460"/>
    <n v="23400"/>
    <n v="3060"/>
    <n v="0.11564625850340136"/>
    <s v="Understocked"/>
    <s v="Safe"/>
    <n v="0.20408163265306123"/>
    <s v="Safe"/>
    <n v="2000"/>
    <n v="0.20408163265306123"/>
  </r>
  <r>
    <s v="ORD-11668"/>
    <x v="110"/>
    <s v="P020"/>
    <x v="5"/>
    <s v="Electronics"/>
    <s v="Lighting"/>
    <s v="Luma"/>
    <s v="B04"/>
    <x v="5"/>
    <s v="Lagos"/>
    <x v="4"/>
    <s v="Corporate"/>
    <s v="POS"/>
    <n v="5"/>
    <n v="1500"/>
    <n v="2500"/>
    <n v="0.15"/>
    <x v="4"/>
    <n v="3"/>
    <n v="12500"/>
    <n v="1875"/>
    <n v="10625"/>
    <n v="7500"/>
    <n v="3125"/>
    <n v="0.29411764705882354"/>
    <s v="Healthy"/>
    <s v="Safe"/>
    <n v="0.4"/>
    <s v="Safe"/>
    <n v="1000"/>
    <n v="0.4"/>
  </r>
  <r>
    <s v="ORD-11669"/>
    <x v="334"/>
    <s v="P006"/>
    <x v="0"/>
    <s v="Beverages"/>
    <s v="Water"/>
    <s v="AquaPure"/>
    <s v="B02"/>
    <x v="4"/>
    <s v="Abuja"/>
    <x v="2"/>
    <s v="Walk-in"/>
    <s v="POS"/>
    <n v="8"/>
    <n v="230"/>
    <n v="400"/>
    <n v="0.05"/>
    <x v="2"/>
    <n v="10"/>
    <n v="3200"/>
    <n v="160"/>
    <n v="3040"/>
    <n v="1840"/>
    <n v="1200"/>
    <n v="0.39473684210526316"/>
    <s v="Understocked"/>
    <s v="Safe"/>
    <n v="0.42499999999999999"/>
    <s v="Safe"/>
    <n v="170"/>
    <n v="0.42499999999999999"/>
  </r>
  <r>
    <s v="ORD-11670"/>
    <x v="236"/>
    <s v="P008"/>
    <x v="4"/>
    <s v="Beverages"/>
    <s v="Soft Drinks"/>
    <s v="Sparkle"/>
    <s v="B03"/>
    <x v="6"/>
    <s v="Lagos"/>
    <x v="4"/>
    <s v="Corporate"/>
    <s v="Cash"/>
    <n v="1"/>
    <n v="330"/>
    <n v="550"/>
    <n v="0.1"/>
    <x v="2"/>
    <n v="3"/>
    <n v="550"/>
    <n v="55"/>
    <n v="495"/>
    <n v="330"/>
    <n v="165"/>
    <n v="0.33333333333333331"/>
    <s v="Healthy"/>
    <s v="Safe"/>
    <n v="0.4"/>
    <s v="Safe"/>
    <n v="220"/>
    <n v="0.4"/>
  </r>
  <r>
    <s v="ORD-11671"/>
    <x v="108"/>
    <s v="P010"/>
    <x v="22"/>
    <s v="Household"/>
    <s v="Paper Products"/>
    <s v="SoftCare"/>
    <s v="B08"/>
    <x v="7"/>
    <s v="Kwara"/>
    <x v="2"/>
    <s v="Walk-in"/>
    <s v="POS"/>
    <n v="2"/>
    <n v="3200"/>
    <n v="4500"/>
    <n v="0.1"/>
    <x v="10"/>
    <n v="11"/>
    <n v="9000"/>
    <n v="900"/>
    <n v="8100"/>
    <n v="6400"/>
    <n v="1700"/>
    <n v="0.20987654320987653"/>
    <s v="Healthy"/>
    <s v="Safe"/>
    <n v="0.28888888888888886"/>
    <s v="Safe"/>
    <n v="1300"/>
    <n v="0.28888888888888886"/>
  </r>
  <r>
    <s v="ORD-11672"/>
    <x v="343"/>
    <s v="P003"/>
    <x v="12"/>
    <s v="Food"/>
    <s v="Cooking Oil"/>
    <s v="SunGold"/>
    <s v="B07"/>
    <x v="3"/>
    <s v="Enugu"/>
    <x v="3"/>
    <s v="Corporate"/>
    <s v="POS"/>
    <n v="4"/>
    <n v="7800"/>
    <n v="9800"/>
    <n v="0.15"/>
    <x v="8"/>
    <n v="7"/>
    <n v="39200"/>
    <n v="5880"/>
    <n v="33320"/>
    <n v="31200"/>
    <n v="2120"/>
    <n v="6.3625450180072027E-2"/>
    <s v="Understocked"/>
    <s v="Safe"/>
    <n v="0.20408163265306123"/>
    <s v="Safe"/>
    <n v="2000"/>
    <n v="0.20408163265306123"/>
  </r>
  <r>
    <s v="ORD-11673"/>
    <x v="62"/>
    <s v="P023"/>
    <x v="6"/>
    <s v="Office Supplies"/>
    <s v="Stationery"/>
    <s v="StudyPro"/>
    <s v="B07"/>
    <x v="3"/>
    <s v="Enugu"/>
    <x v="3"/>
    <s v="Walk-in"/>
    <s v="POS"/>
    <n v="3"/>
    <n v="2800"/>
    <n v="4200"/>
    <n v="0.05"/>
    <x v="15"/>
    <n v="7"/>
    <n v="12600"/>
    <n v="630"/>
    <n v="11970"/>
    <n v="8400"/>
    <n v="3570"/>
    <n v="0.2982456140350877"/>
    <s v="Understocked"/>
    <s v="Safe"/>
    <n v="0.33333333333333331"/>
    <s v="Safe"/>
    <n v="1400"/>
    <n v="0.33333333333333331"/>
  </r>
  <r>
    <s v="ORD-11674"/>
    <x v="193"/>
    <s v="P010"/>
    <x v="22"/>
    <s v="Household"/>
    <s v="Paper Products"/>
    <s v="SoftCare"/>
    <s v="B02"/>
    <x v="4"/>
    <s v="Abuja"/>
    <x v="2"/>
    <s v="Walk-in"/>
    <s v="POS"/>
    <n v="4"/>
    <n v="3200"/>
    <n v="4500"/>
    <n v="0"/>
    <x v="10"/>
    <n v="7"/>
    <n v="18000"/>
    <n v="0"/>
    <n v="18000"/>
    <n v="12800"/>
    <n v="5200"/>
    <n v="0.28888888888888886"/>
    <s v="Healthy"/>
    <s v="Safe"/>
    <n v="0.28888888888888886"/>
    <s v="Safe"/>
    <n v="1300"/>
    <n v="0.28888888888888886"/>
  </r>
  <r>
    <s v="ORD-11675"/>
    <x v="279"/>
    <s v="P001"/>
    <x v="14"/>
    <s v="Food"/>
    <s v="Grains"/>
    <s v="Golden Harvest"/>
    <s v="B04"/>
    <x v="5"/>
    <s v="Lagos"/>
    <x v="4"/>
    <s v="Member"/>
    <s v="Cash"/>
    <n v="2"/>
    <n v="14500"/>
    <n v="17500"/>
    <n v="0.1"/>
    <x v="9"/>
    <n v="13"/>
    <n v="35000"/>
    <n v="3500"/>
    <n v="31500"/>
    <n v="29000"/>
    <n v="2500"/>
    <n v="7.9365079365079361E-2"/>
    <s v="Understocked"/>
    <s v="Safe"/>
    <n v="0.17142857142857143"/>
    <s v="Safe"/>
    <n v="3000"/>
    <n v="0.17142857142857143"/>
  </r>
  <r>
    <s v="ORD-11676"/>
    <x v="268"/>
    <s v="P006"/>
    <x v="0"/>
    <s v="Beverages"/>
    <s v="Water"/>
    <s v="AquaPure"/>
    <s v="B08"/>
    <x v="7"/>
    <s v="Kwara"/>
    <x v="2"/>
    <s v="Member"/>
    <s v="Transfer"/>
    <n v="1"/>
    <n v="230"/>
    <n v="400"/>
    <n v="0.15"/>
    <x v="3"/>
    <n v="4"/>
    <n v="400"/>
    <n v="60"/>
    <n v="340"/>
    <n v="230"/>
    <n v="110"/>
    <n v="0.3235294117647059"/>
    <s v="Understocked"/>
    <s v="Safe"/>
    <n v="0.42499999999999999"/>
    <s v="Safe"/>
    <n v="170"/>
    <n v="0.42499999999999999"/>
  </r>
  <r>
    <s v="ORD-11677"/>
    <x v="228"/>
    <s v="P020"/>
    <x v="5"/>
    <s v="Electronics"/>
    <s v="Lighting"/>
    <s v="Luma"/>
    <s v="B03"/>
    <x v="6"/>
    <s v="Lagos"/>
    <x v="4"/>
    <s v="Member"/>
    <s v="Cash"/>
    <n v="-2"/>
    <n v="1500"/>
    <n v="2500"/>
    <n v="0.15"/>
    <x v="4"/>
    <n v="1"/>
    <n v="-5000"/>
    <n v="-750"/>
    <n v="-4250"/>
    <n v="-3000"/>
    <n v="-1250"/>
    <n v="0.29411764705882354"/>
    <s v="Healthy"/>
    <s v="Discount loss"/>
    <n v="0.4"/>
    <s v="Safe"/>
    <n v="1000"/>
    <n v="0.4"/>
  </r>
  <r>
    <s v="ORD-11678"/>
    <x v="34"/>
    <s v="P011"/>
    <x v="9"/>
    <s v="Household"/>
    <s v="Cleaning"/>
    <s v="CleanPro"/>
    <s v="B07"/>
    <x v="3"/>
    <s v="Enugu"/>
    <x v="3"/>
    <s v="Walk-in"/>
    <s v="POS"/>
    <n v="2"/>
    <n v="2800"/>
    <n v="3900"/>
    <n v="0.2"/>
    <x v="10"/>
    <n v="9"/>
    <n v="7800"/>
    <n v="1560"/>
    <n v="6240"/>
    <n v="5600"/>
    <n v="640"/>
    <n v="0.10256410256410256"/>
    <s v="Healthy"/>
    <s v="Safe"/>
    <n v="0.28205128205128205"/>
    <s v="Safe"/>
    <n v="1100"/>
    <n v="0.28205128205128205"/>
  </r>
  <r>
    <s v="ORD-11679"/>
    <x v="319"/>
    <s v="P014"/>
    <x v="15"/>
    <s v="Personal Care"/>
    <s v="Oral Care"/>
    <s v="FreshMint"/>
    <s v="B06"/>
    <x v="1"/>
    <s v="Rivers"/>
    <x v="1"/>
    <s v="Member"/>
    <s v="Cash"/>
    <n v="2"/>
    <n v="1200"/>
    <n v="1900"/>
    <n v="0.2"/>
    <x v="6"/>
    <n v="7"/>
    <n v="3800"/>
    <n v="760"/>
    <n v="3040"/>
    <n v="2400"/>
    <n v="640"/>
    <n v="0.21052631578947367"/>
    <s v="Healthy"/>
    <s v="Safe"/>
    <n v="0.36842105263157893"/>
    <s v="Safe"/>
    <n v="700"/>
    <n v="0.36842105263157893"/>
  </r>
  <r>
    <s v="ORD-11680"/>
    <x v="290"/>
    <s v="P014"/>
    <x v="15"/>
    <s v="Personal Care"/>
    <s v="Oral Care"/>
    <s v="FreshMint"/>
    <s v="B01"/>
    <x v="2"/>
    <s v="Abuja"/>
    <x v="2"/>
    <s v="Member"/>
    <s v="Cash"/>
    <n v="3"/>
    <n v="1200"/>
    <n v="1900"/>
    <n v="0"/>
    <x v="11"/>
    <n v="13"/>
    <n v="5700"/>
    <n v="0"/>
    <n v="5700"/>
    <n v="3600"/>
    <n v="2100"/>
    <n v="0.36842105263157893"/>
    <s v="Healthy"/>
    <s v="Safe"/>
    <n v="0.36842105263157893"/>
    <s v="Safe"/>
    <n v="700"/>
    <n v="0.36842105263157893"/>
  </r>
  <r>
    <s v="ORD-11681"/>
    <x v="41"/>
    <s v="P009"/>
    <x v="13"/>
    <s v="Household"/>
    <s v="Cleaning"/>
    <s v="BrightWash"/>
    <s v="B07"/>
    <x v="3"/>
    <s v="Enugu"/>
    <x v="3"/>
    <s v="Member"/>
    <s v="Cash"/>
    <n v="8"/>
    <n v="2400"/>
    <n v="3400"/>
    <n v="0.1"/>
    <x v="10"/>
    <n v="4"/>
    <n v="27200"/>
    <n v="2720"/>
    <n v="24480"/>
    <n v="19200"/>
    <n v="5280"/>
    <n v="0.21568627450980393"/>
    <s v="Healthy"/>
    <s v="Safe"/>
    <n v="0.29411764705882354"/>
    <s v="Safe"/>
    <n v="1000"/>
    <n v="0.29411764705882354"/>
  </r>
  <r>
    <s v="ORD-11682"/>
    <x v="52"/>
    <s v="P001"/>
    <x v="14"/>
    <s v="Food"/>
    <s v="Grains"/>
    <s v="Golden Harvest"/>
    <s v="B04"/>
    <x v="5"/>
    <s v="Lagos"/>
    <x v="4"/>
    <s v="Walk-in"/>
    <s v="POS"/>
    <n v="2"/>
    <n v="14500"/>
    <n v="17500"/>
    <n v="0"/>
    <x v="8"/>
    <n v="3"/>
    <n v="35000"/>
    <n v="0"/>
    <n v="35000"/>
    <n v="29000"/>
    <n v="6000"/>
    <n v="0.17142857142857143"/>
    <s v="Understocked"/>
    <s v="Safe"/>
    <n v="0.17142857142857143"/>
    <s v="Safe"/>
    <n v="3000"/>
    <n v="0.17142857142857143"/>
  </r>
  <r>
    <s v="ORD-11683"/>
    <x v="76"/>
    <s v="P014"/>
    <x v="15"/>
    <s v="Personal Care"/>
    <s v="Oral Care"/>
    <s v="FreshMint"/>
    <s v="B04"/>
    <x v="5"/>
    <s v="Lagos"/>
    <x v="4"/>
    <s v="Walk-in"/>
    <s v="POS"/>
    <n v="2"/>
    <n v="1200"/>
    <n v="1900"/>
    <n v="0.1"/>
    <x v="10"/>
    <n v="11"/>
    <n v="3800"/>
    <n v="380"/>
    <n v="3420"/>
    <n v="2400"/>
    <n v="1020"/>
    <n v="0.2982456140350877"/>
    <s v="Healthy"/>
    <s v="Safe"/>
    <n v="0.36842105263157893"/>
    <s v="Safe"/>
    <n v="700"/>
    <n v="0.36842105263157893"/>
  </r>
  <r>
    <s v="ORD-11684"/>
    <x v="190"/>
    <s v="P022"/>
    <x v="17"/>
    <s v="Office Supplies"/>
    <s v="Writing"/>
    <s v="WriteWell"/>
    <s v="B08"/>
    <x v="7"/>
    <s v="Kwara"/>
    <x v="2"/>
    <s v="Walk-in"/>
    <s v="POS"/>
    <n v="3"/>
    <n v="1300"/>
    <n v="2100"/>
    <n v="0.2"/>
    <x v="15"/>
    <n v="7"/>
    <n v="6300"/>
    <n v="1260"/>
    <n v="5040"/>
    <n v="3900"/>
    <n v="1140"/>
    <n v="0.22619047619047619"/>
    <s v="Understocked"/>
    <s v="Safe"/>
    <n v="0.38095238095238093"/>
    <s v="Safe"/>
    <n v="800"/>
    <n v="0.38095238095238093"/>
  </r>
  <r>
    <s v="ORD-11685"/>
    <x v="86"/>
    <s v="P009"/>
    <x v="13"/>
    <s v="Household"/>
    <s v="Cleaning"/>
    <s v="BrightWash"/>
    <s v="B01"/>
    <x v="2"/>
    <s v="Abuja"/>
    <x v="2"/>
    <s v="Walk-in"/>
    <s v="POS"/>
    <n v="1"/>
    <n v="2400"/>
    <n v="3400"/>
    <n v="0"/>
    <x v="10"/>
    <n v="6"/>
    <n v="3400"/>
    <n v="0"/>
    <n v="3400"/>
    <n v="2400"/>
    <n v="1000"/>
    <n v="0.29411764705882354"/>
    <s v="Healthy"/>
    <s v="Safe"/>
    <n v="0.29411764705882354"/>
    <s v="Safe"/>
    <n v="1000"/>
    <n v="0.29411764705882354"/>
  </r>
  <r>
    <s v="ORD-11686"/>
    <x v="250"/>
    <s v="P005"/>
    <x v="2"/>
    <s v="Food"/>
    <s v="Snacks"/>
    <s v="CrispyBite"/>
    <s v="B07"/>
    <x v="3"/>
    <s v="Enugu"/>
    <x v="3"/>
    <s v="Corporate"/>
    <s v="Transfer"/>
    <n v="2"/>
    <n v="850"/>
    <n v="1300"/>
    <n v="0.05"/>
    <x v="9"/>
    <n v="14"/>
    <n v="2600"/>
    <n v="130"/>
    <n v="2470"/>
    <n v="1700"/>
    <n v="770"/>
    <n v="0.31174089068825911"/>
    <s v="Understocked"/>
    <s v="Safe"/>
    <n v="0.34615384615384615"/>
    <s v="Safe"/>
    <n v="450"/>
    <n v="0.34615384615384615"/>
  </r>
  <r>
    <s v="ORD-11687"/>
    <x v="115"/>
    <s v="P014"/>
    <x v="15"/>
    <s v="Personal Care"/>
    <s v="Oral Care"/>
    <s v="FreshMint"/>
    <s v="B01"/>
    <x v="2"/>
    <s v="Abuja"/>
    <x v="2"/>
    <s v="Walk-in"/>
    <s v="Transfer"/>
    <n v="1"/>
    <n v="1200"/>
    <n v="1900"/>
    <n v="0.05"/>
    <x v="10"/>
    <n v="11"/>
    <n v="1900"/>
    <n v="95"/>
    <n v="1805"/>
    <n v="1200"/>
    <n v="605"/>
    <n v="0.33518005540166207"/>
    <s v="Healthy"/>
    <s v="Safe"/>
    <n v="0.36842105263157893"/>
    <s v="Safe"/>
    <n v="700"/>
    <n v="0.36842105263157893"/>
  </r>
  <r>
    <s v="ORD-11688"/>
    <x v="306"/>
    <s v="P008"/>
    <x v="4"/>
    <s v="Beverages"/>
    <s v="Soft Drinks"/>
    <s v="Sparkle"/>
    <s v="B04"/>
    <x v="5"/>
    <s v="Lagos"/>
    <x v="4"/>
    <s v="Walk-in"/>
    <s v="Cash"/>
    <n v="2"/>
    <n v="330"/>
    <n v="550"/>
    <n v="0"/>
    <x v="0"/>
    <n v="9"/>
    <n v="1100"/>
    <n v="0"/>
    <n v="1100"/>
    <n v="660"/>
    <n v="440"/>
    <n v="0.4"/>
    <s v="Healthy"/>
    <s v="Safe"/>
    <n v="0.4"/>
    <s v="Safe"/>
    <n v="220"/>
    <n v="0.4"/>
  </r>
  <r>
    <s v="ORD-11689"/>
    <x v="26"/>
    <s v="P011"/>
    <x v="9"/>
    <s v="Household"/>
    <s v="Cleaning"/>
    <s v="CleanPro"/>
    <s v="B06"/>
    <x v="1"/>
    <s v="Rivers"/>
    <x v="1"/>
    <s v="Walk-in"/>
    <s v="POS"/>
    <n v="1"/>
    <n v="2800"/>
    <n v="3900"/>
    <n v="0.1"/>
    <x v="10"/>
    <n v="9"/>
    <n v="3900"/>
    <n v="390"/>
    <n v="3510"/>
    <n v="2800"/>
    <n v="710"/>
    <n v="0.20227920227920229"/>
    <s v="Healthy"/>
    <s v="Safe"/>
    <n v="0.28205128205128205"/>
    <s v="Safe"/>
    <n v="1100"/>
    <n v="0.28205128205128205"/>
  </r>
  <r>
    <s v="ORD-11690"/>
    <x v="176"/>
    <s v="P008"/>
    <x v="4"/>
    <s v="Beverages"/>
    <s v="Soft Drinks"/>
    <s v="Sparkle"/>
    <s v="B03"/>
    <x v="6"/>
    <s v="Lagos"/>
    <x v="4"/>
    <s v="Member"/>
    <s v="POS"/>
    <n v="1"/>
    <n v="330"/>
    <n v="550"/>
    <n v="0.05"/>
    <x v="2"/>
    <n v="8"/>
    <n v="550"/>
    <n v="27.5"/>
    <n v="522.5"/>
    <n v="330"/>
    <n v="192.5"/>
    <n v="0.36842105263157893"/>
    <s v="Healthy"/>
    <s v="Safe"/>
    <n v="0.4"/>
    <s v="Safe"/>
    <n v="220"/>
    <n v="0.4"/>
  </r>
  <r>
    <s v="ORD-11691"/>
    <x v="211"/>
    <s v="P021"/>
    <x v="20"/>
    <s v="Office Supplies"/>
    <s v="Paper"/>
    <s v="OfficeMate"/>
    <s v="B06"/>
    <x v="1"/>
    <s v="Rivers"/>
    <x v="1"/>
    <s v="Member"/>
    <s v="Cash"/>
    <n v="3"/>
    <n v="5200"/>
    <n v="7000"/>
    <n v="0.15"/>
    <x v="15"/>
    <n v="11"/>
    <n v="21000"/>
    <n v="3150"/>
    <n v="17850"/>
    <n v="15600"/>
    <n v="2250"/>
    <n v="0.12605042016806722"/>
    <s v="Overstocked"/>
    <s v="Safe"/>
    <n v="0.25714285714285712"/>
    <s v="Safe"/>
    <n v="1800"/>
    <n v="0.25714285714285712"/>
  </r>
  <r>
    <s v="ORD-11692"/>
    <x v="60"/>
    <s v="P021"/>
    <x v="20"/>
    <s v="Office Supplies"/>
    <s v="Paper"/>
    <s v="OfficeMate"/>
    <s v="B04"/>
    <x v="5"/>
    <s v="Lagos"/>
    <x v="4"/>
    <s v="Walk-in"/>
    <s v="Transfer"/>
    <n v="5"/>
    <n v="5200"/>
    <n v="7000"/>
    <n v="0.05"/>
    <x v="14"/>
    <n v="3"/>
    <n v="35000"/>
    <n v="1750"/>
    <n v="33250"/>
    <n v="26000"/>
    <n v="7250"/>
    <n v="0.21804511278195488"/>
    <s v="Overstocked"/>
    <s v="Safe"/>
    <n v="0.25714285714285712"/>
    <s v="Safe"/>
    <n v="1800"/>
    <n v="0.25714285714285712"/>
  </r>
  <r>
    <s v="ORD-11693"/>
    <x v="357"/>
    <s v="P015"/>
    <x v="8"/>
    <s v="Personal Care"/>
    <s v="Bath"/>
    <s v="SilkyTouch"/>
    <s v="B04"/>
    <x v="5"/>
    <s v="Lagos"/>
    <x v="4"/>
    <s v="Walk-in"/>
    <s v="Transfer"/>
    <n v="4"/>
    <n v="600"/>
    <n v="950"/>
    <n v="0.1"/>
    <x v="6"/>
    <n v="14"/>
    <n v="3800"/>
    <n v="380"/>
    <n v="3420"/>
    <n v="2400"/>
    <n v="1020"/>
    <n v="0.2982456140350877"/>
    <s v="Healthy"/>
    <s v="Safe"/>
    <n v="0.36842105263157893"/>
    <s v="Safe"/>
    <n v="350"/>
    <n v="0.36842105263157893"/>
  </r>
  <r>
    <s v="ORD-11694"/>
    <x v="174"/>
    <s v="P020"/>
    <x v="5"/>
    <s v="Electronics"/>
    <s v="Lighting"/>
    <s v="Luma"/>
    <s v="B07"/>
    <x v="3"/>
    <s v="Enugu"/>
    <x v="3"/>
    <s v="Walk-in"/>
    <s v="Cash"/>
    <n v="1"/>
    <n v="1500"/>
    <n v="2500"/>
    <n v="0.1"/>
    <x v="4"/>
    <n v="10"/>
    <n v="2500"/>
    <n v="250"/>
    <n v="2250"/>
    <n v="1500"/>
    <n v="750"/>
    <n v="0.33333333333333331"/>
    <s v="Healthy"/>
    <s v="Safe"/>
    <n v="0.4"/>
    <s v="Safe"/>
    <n v="1000"/>
    <n v="0.4"/>
  </r>
  <r>
    <s v="ORD-11695"/>
    <x v="187"/>
    <s v="P008"/>
    <x v="4"/>
    <s v="Beverages"/>
    <s v="Soft Drinks"/>
    <s v="Sparkle"/>
    <s v="B06"/>
    <x v="1"/>
    <s v="Rivers"/>
    <x v="1"/>
    <s v="Walk-in"/>
    <s v="POS"/>
    <n v="3"/>
    <n v="330"/>
    <n v="550"/>
    <n v="0.1"/>
    <x v="3"/>
    <n v="8"/>
    <n v="1650"/>
    <n v="165"/>
    <n v="1485"/>
    <n v="990"/>
    <n v="495"/>
    <n v="0.33333333333333331"/>
    <s v="Healthy"/>
    <s v="Safe"/>
    <n v="0.4"/>
    <s v="Safe"/>
    <n v="220"/>
    <n v="0.4"/>
  </r>
  <r>
    <s v="ORD-11696"/>
    <x v="349"/>
    <s v="P007"/>
    <x v="3"/>
    <s v="Beverages"/>
    <s v="Malt"/>
    <s v="Naija Malt"/>
    <s v="B08"/>
    <x v="7"/>
    <s v="Kwara"/>
    <x v="2"/>
    <s v="Member"/>
    <s v="Cash"/>
    <n v="2"/>
    <n v="550"/>
    <n v="850"/>
    <n v="0.05"/>
    <x v="3"/>
    <n v="6"/>
    <n v="1700"/>
    <n v="85"/>
    <n v="1615"/>
    <n v="1100"/>
    <n v="515"/>
    <n v="0.31888544891640869"/>
    <s v="Healthy"/>
    <s v="Safe"/>
    <n v="0.35294117647058826"/>
    <s v="Safe"/>
    <n v="300"/>
    <n v="0.35294117647058826"/>
  </r>
  <r>
    <s v="ORD-11697"/>
    <x v="49"/>
    <s v="P010"/>
    <x v="22"/>
    <s v="Household"/>
    <s v="Paper Products"/>
    <s v="SoftCare"/>
    <s v="B01"/>
    <x v="2"/>
    <s v="Abuja"/>
    <x v="2"/>
    <s v="Member"/>
    <s v="Transfer"/>
    <n v="5"/>
    <n v="3200"/>
    <n v="4500"/>
    <n v="0"/>
    <x v="7"/>
    <n v="2"/>
    <n v="22500"/>
    <n v="0"/>
    <n v="22500"/>
    <n v="16000"/>
    <n v="6500"/>
    <n v="0.28888888888888886"/>
    <s v="Healthy"/>
    <s v="Safe"/>
    <n v="0.28888888888888886"/>
    <s v="Safe"/>
    <n v="1300"/>
    <n v="0.28888888888888886"/>
  </r>
  <r>
    <s v="ORD-11698"/>
    <x v="33"/>
    <s v="P020"/>
    <x v="5"/>
    <s v="Electronics"/>
    <s v="Lighting"/>
    <s v="Luma"/>
    <s v="B03"/>
    <x v="6"/>
    <s v="Lagos"/>
    <x v="4"/>
    <s v="Walk-in"/>
    <s v="Cash"/>
    <n v="5"/>
    <n v="1500"/>
    <n v="2500"/>
    <n v="0.05"/>
    <x v="13"/>
    <n v="7"/>
    <n v="12500"/>
    <n v="625"/>
    <n v="11875"/>
    <n v="7500"/>
    <n v="4375"/>
    <n v="0.36842105263157893"/>
    <s v="Healthy"/>
    <s v="Safe"/>
    <n v="0.4"/>
    <s v="Safe"/>
    <n v="1000"/>
    <n v="0.4"/>
  </r>
  <r>
    <s v="ORD-11699"/>
    <x v="23"/>
    <s v="P009"/>
    <x v="13"/>
    <s v="Household"/>
    <s v="Cleaning"/>
    <s v="BrightWash"/>
    <s v="B06"/>
    <x v="1"/>
    <s v="Rivers"/>
    <x v="1"/>
    <s v="Walk-in"/>
    <s v="POS"/>
    <n v="1"/>
    <n v="2400"/>
    <n v="3400"/>
    <n v="0.2"/>
    <x v="10"/>
    <n v="13"/>
    <n v="3400"/>
    <n v="680"/>
    <n v="2720"/>
    <n v="2400"/>
    <n v="320"/>
    <n v="0.11764705882352941"/>
    <s v="Healthy"/>
    <s v="Safe"/>
    <n v="0.29411764705882354"/>
    <s v="Safe"/>
    <n v="1000"/>
    <n v="0.29411764705882354"/>
  </r>
  <r>
    <s v="ORD-11700"/>
    <x v="21"/>
    <s v="P010"/>
    <x v="22"/>
    <s v="Household"/>
    <s v="Paper Products"/>
    <s v="SoftCare"/>
    <s v="B04"/>
    <x v="5"/>
    <s v="Lagos"/>
    <x v="4"/>
    <s v="Member"/>
    <s v="POS"/>
    <n v="-1"/>
    <n v="3200"/>
    <n v="4500"/>
    <n v="0"/>
    <x v="1"/>
    <n v="14"/>
    <n v="-4500"/>
    <n v="0"/>
    <n v="-4500"/>
    <n v="-3200"/>
    <n v="-1300"/>
    <n v="0.28888888888888886"/>
    <s v="Healthy"/>
    <s v="Safe"/>
    <n v="0.28888888888888886"/>
    <s v="Safe"/>
    <n v="1300"/>
    <n v="0.28888888888888886"/>
  </r>
  <r>
    <s v="ORD-11701"/>
    <x v="94"/>
    <s v="P021"/>
    <x v="20"/>
    <s v="Office Supplies"/>
    <s v="Paper"/>
    <s v="OfficeMate"/>
    <s v="B01"/>
    <x v="2"/>
    <s v="Abuja"/>
    <x v="2"/>
    <s v="Member"/>
    <s v="POS"/>
    <n v="2"/>
    <n v="5200"/>
    <n v="7000"/>
    <n v="0"/>
    <x v="5"/>
    <n v="14"/>
    <n v="14000"/>
    <n v="0"/>
    <n v="14000"/>
    <n v="10400"/>
    <n v="3600"/>
    <n v="0.25714285714285712"/>
    <s v="Overstocked"/>
    <s v="Safe"/>
    <n v="0.25714285714285712"/>
    <s v="Safe"/>
    <n v="1800"/>
    <n v="0.25714285714285712"/>
  </r>
  <r>
    <s v="ORD-11702"/>
    <x v="68"/>
    <s v="P015"/>
    <x v="8"/>
    <s v="Personal Care"/>
    <s v="Bath"/>
    <s v="SilkyTouch"/>
    <s v="B03"/>
    <x v="6"/>
    <s v="Lagos"/>
    <x v="4"/>
    <s v="Walk-in"/>
    <s v="POS"/>
    <n v="8"/>
    <n v="600"/>
    <n v="950"/>
    <n v="0.1"/>
    <x v="10"/>
    <n v="10"/>
    <n v="7600"/>
    <n v="760"/>
    <n v="6840"/>
    <n v="4800"/>
    <n v="2040"/>
    <n v="0.2982456140350877"/>
    <s v="Healthy"/>
    <s v="Safe"/>
    <n v="0.36842105263157893"/>
    <s v="Safe"/>
    <n v="350"/>
    <n v="0.36842105263157893"/>
  </r>
  <r>
    <s v="ORD-11703"/>
    <x v="41"/>
    <s v="P002"/>
    <x v="10"/>
    <s v="Food"/>
    <s v="Grains"/>
    <s v="Mama's Pride"/>
    <s v="B01"/>
    <x v="2"/>
    <s v="Abuja"/>
    <x v="2"/>
    <s v="Walk-in"/>
    <s v="POS"/>
    <n v="2"/>
    <n v="6200"/>
    <n v="7900"/>
    <n v="0.1"/>
    <x v="9"/>
    <n v="12"/>
    <n v="15800"/>
    <n v="1580"/>
    <n v="14220"/>
    <n v="12400"/>
    <n v="1820"/>
    <n v="0.12798874824191281"/>
    <s v="Healthy"/>
    <s v="Safe"/>
    <n v="0.21518987341772153"/>
    <s v="Safe"/>
    <n v="1700"/>
    <n v="0.21518987341772153"/>
  </r>
  <r>
    <s v="ORD-11704"/>
    <x v="307"/>
    <s v="P006"/>
    <x v="0"/>
    <s v="Beverages"/>
    <s v="Water"/>
    <s v="AquaPure"/>
    <s v="B02"/>
    <x v="4"/>
    <s v="Abuja"/>
    <x v="2"/>
    <s v="Walk-in"/>
    <s v="Cash"/>
    <n v="6"/>
    <n v="230"/>
    <n v="400"/>
    <n v="0.05"/>
    <x v="0"/>
    <n v="3"/>
    <n v="2400"/>
    <n v="120"/>
    <n v="2280"/>
    <n v="1380"/>
    <n v="900"/>
    <n v="0.39473684210526316"/>
    <s v="Understocked"/>
    <s v="Safe"/>
    <n v="0.42499999999999999"/>
    <s v="Safe"/>
    <n v="170"/>
    <n v="0.42499999999999999"/>
  </r>
  <r>
    <s v="ORD-11705"/>
    <x v="195"/>
    <s v="P008"/>
    <x v="4"/>
    <s v="Beverages"/>
    <s v="Soft Drinks"/>
    <s v="Sparkle"/>
    <s v="B03"/>
    <x v="6"/>
    <s v="Lagos"/>
    <x v="4"/>
    <s v="Member"/>
    <s v="POS"/>
    <n v="1"/>
    <n v="330"/>
    <n v="550"/>
    <n v="0.1"/>
    <x v="2"/>
    <n v="8"/>
    <n v="550"/>
    <n v="55"/>
    <n v="495"/>
    <n v="330"/>
    <n v="165"/>
    <n v="0.33333333333333331"/>
    <s v="Healthy"/>
    <s v="Safe"/>
    <n v="0.4"/>
    <s v="Safe"/>
    <n v="220"/>
    <n v="0.4"/>
  </r>
  <r>
    <s v="ORD-11706"/>
    <x v="210"/>
    <s v="P007"/>
    <x v="3"/>
    <s v="Beverages"/>
    <s v="Malt"/>
    <s v="Naija Malt"/>
    <s v="B02"/>
    <x v="4"/>
    <s v="Abuja"/>
    <x v="2"/>
    <s v="Walk-in"/>
    <s v="POS"/>
    <n v="3"/>
    <n v="550"/>
    <n v="850"/>
    <n v="0.15"/>
    <x v="3"/>
    <n v="14"/>
    <n v="2550"/>
    <n v="382.5"/>
    <n v="2167.5"/>
    <n v="1650"/>
    <n v="517.5"/>
    <n v="0.23875432525951557"/>
    <s v="Healthy"/>
    <s v="Safe"/>
    <n v="0.35294117647058826"/>
    <s v="Safe"/>
    <n v="300"/>
    <n v="0.35294117647058826"/>
  </r>
  <r>
    <s v="ORD-11707"/>
    <x v="143"/>
    <s v="P009"/>
    <x v="13"/>
    <s v="Household"/>
    <s v="Cleaning"/>
    <s v="BrightWash"/>
    <s v="B02"/>
    <x v="4"/>
    <s v="Abuja"/>
    <x v="2"/>
    <s v="Member"/>
    <s v="Card"/>
    <n v="10"/>
    <n v="2400"/>
    <n v="3400"/>
    <n v="0"/>
    <x v="1"/>
    <n v="1"/>
    <n v="34000"/>
    <n v="0"/>
    <n v="34000"/>
    <n v="24000"/>
    <n v="10000"/>
    <n v="0.29411764705882354"/>
    <s v="Healthy"/>
    <s v="Safe"/>
    <n v="0.29411764705882354"/>
    <s v="Safe"/>
    <n v="1000"/>
    <n v="0.29411764705882354"/>
  </r>
  <r>
    <s v="ORD-11708"/>
    <x v="191"/>
    <s v="P014"/>
    <x v="15"/>
    <s v="Personal Care"/>
    <s v="Oral Care"/>
    <s v="FreshMint"/>
    <s v="B06"/>
    <x v="1"/>
    <s v="Rivers"/>
    <x v="1"/>
    <s v="Member"/>
    <s v="POS"/>
    <n v="2"/>
    <n v="1200"/>
    <n v="1900"/>
    <n v="0.1"/>
    <x v="11"/>
    <n v="13"/>
    <n v="3800"/>
    <n v="380"/>
    <n v="3420"/>
    <n v="2400"/>
    <n v="1020"/>
    <n v="0.2982456140350877"/>
    <s v="Healthy"/>
    <s v="Safe"/>
    <n v="0.36842105263157893"/>
    <s v="Safe"/>
    <n v="700"/>
    <n v="0.36842105263157893"/>
  </r>
  <r>
    <s v="ORD-11709"/>
    <x v="239"/>
    <s v="P015"/>
    <x v="8"/>
    <s v="Personal Care"/>
    <s v="Bath"/>
    <s v="SilkyTouch"/>
    <s v="B03"/>
    <x v="6"/>
    <s v="Lagos"/>
    <x v="4"/>
    <s v="Member"/>
    <s v="Cash"/>
    <n v="2"/>
    <n v="600"/>
    <n v="950"/>
    <n v="0"/>
    <x v="10"/>
    <n v="3"/>
    <n v="1900"/>
    <n v="0"/>
    <n v="1900"/>
    <n v="1200"/>
    <n v="700"/>
    <n v="0.36842105263157893"/>
    <s v="Healthy"/>
    <s v="Safe"/>
    <n v="0.36842105263157893"/>
    <s v="Safe"/>
    <n v="350"/>
    <n v="0.36842105263157893"/>
  </r>
  <r>
    <s v="ORD-11710"/>
    <x v="325"/>
    <s v="P020"/>
    <x v="5"/>
    <s v="Electronics"/>
    <s v="Lighting"/>
    <s v="Luma"/>
    <s v="B03"/>
    <x v="6"/>
    <s v="Lagos"/>
    <x v="4"/>
    <s v="Walk-in"/>
    <s v="Transfer"/>
    <n v="1"/>
    <n v="1500"/>
    <n v="2500"/>
    <n v="0.05"/>
    <x v="4"/>
    <n v="6"/>
    <n v="2500"/>
    <n v="125"/>
    <n v="2375"/>
    <n v="1500"/>
    <n v="875"/>
    <n v="0.36842105263157893"/>
    <s v="Healthy"/>
    <s v="Safe"/>
    <n v="0.4"/>
    <s v="Safe"/>
    <n v="1000"/>
    <n v="0.4"/>
  </r>
  <r>
    <s v="ORD-11711"/>
    <x v="290"/>
    <s v="P006"/>
    <x v="0"/>
    <s v="Beverages"/>
    <s v="Water"/>
    <s v="AquaPure"/>
    <s v="B05"/>
    <x v="0"/>
    <s v="Kano"/>
    <x v="0"/>
    <s v="Walk-in"/>
    <s v="POS"/>
    <n v="3"/>
    <n v="230"/>
    <n v="400"/>
    <n v="0"/>
    <x v="2"/>
    <n v="13"/>
    <n v="1200"/>
    <n v="0"/>
    <n v="1200"/>
    <n v="690"/>
    <n v="510"/>
    <n v="0.42499999999999999"/>
    <s v="Understocked"/>
    <s v="Safe"/>
    <n v="0.42499999999999999"/>
    <s v="Safe"/>
    <n v="170"/>
    <n v="0.42499999999999999"/>
  </r>
  <r>
    <s v="ORD-11712"/>
    <x v="56"/>
    <s v="P020"/>
    <x v="5"/>
    <s v="Electronics"/>
    <s v="Lighting"/>
    <s v="Luma"/>
    <s v="B02"/>
    <x v="4"/>
    <s v="Abuja"/>
    <x v="2"/>
    <s v="Corporate"/>
    <s v="Transfer"/>
    <n v="8"/>
    <n v="1500"/>
    <n v="2500"/>
    <n v="0.2"/>
    <x v="4"/>
    <n v="5"/>
    <n v="20000"/>
    <n v="4000"/>
    <n v="16000"/>
    <n v="12000"/>
    <n v="4000"/>
    <n v="0.25"/>
    <s v="Healthy"/>
    <s v="Safe"/>
    <n v="0.4"/>
    <s v="Safe"/>
    <n v="1000"/>
    <n v="0.4"/>
  </r>
  <r>
    <s v="ORD-11713"/>
    <x v="5"/>
    <s v="P022"/>
    <x v="17"/>
    <s v="Office Supplies"/>
    <s v="Writing"/>
    <s v="WriteWell"/>
    <s v="B02"/>
    <x v="4"/>
    <s v="Abuja"/>
    <x v="2"/>
    <s v="Corporate"/>
    <s v="Cash"/>
    <n v="4"/>
    <n v="1300"/>
    <n v="2100"/>
    <n v="0.1"/>
    <x v="14"/>
    <n v="7"/>
    <n v="8400"/>
    <n v="840"/>
    <n v="7560"/>
    <n v="5200"/>
    <n v="2360"/>
    <n v="0.31216931216931215"/>
    <s v="Understocked"/>
    <s v="Safe"/>
    <n v="0.38095238095238093"/>
    <s v="Safe"/>
    <n v="800"/>
    <n v="0.38095238095238093"/>
  </r>
  <r>
    <s v="ORD-11714"/>
    <x v="122"/>
    <s v="P004"/>
    <x v="1"/>
    <s v="Beverages"/>
    <s v="Dairy"/>
    <s v="FreshDay"/>
    <s v="B08"/>
    <x v="7"/>
    <s v="Kwara"/>
    <x v="2"/>
    <s v="Walk-in"/>
    <s v="POS"/>
    <n v="2"/>
    <n v="1650"/>
    <n v="2200"/>
    <n v="0.1"/>
    <x v="0"/>
    <n v="6"/>
    <n v="4400"/>
    <n v="440"/>
    <n v="3960"/>
    <n v="3300"/>
    <n v="660"/>
    <n v="0.16666666666666666"/>
    <s v="Understocked"/>
    <s v="Safe"/>
    <n v="0.25"/>
    <s v="Safe"/>
    <n v="550"/>
    <n v="0.25"/>
  </r>
  <r>
    <s v="ORD-11715"/>
    <x v="205"/>
    <s v="P003"/>
    <x v="12"/>
    <s v="Food"/>
    <s v="Cooking Oil"/>
    <s v="SunGold"/>
    <s v="B06"/>
    <x v="1"/>
    <s v="Rivers"/>
    <x v="1"/>
    <s v="Member"/>
    <s v="Transfer"/>
    <n v="2"/>
    <n v="7800"/>
    <n v="9800"/>
    <n v="0"/>
    <x v="8"/>
    <n v="14"/>
    <n v="19600"/>
    <n v="0"/>
    <n v="19600"/>
    <n v="15600"/>
    <n v="4000"/>
    <n v="0.20408163265306123"/>
    <s v="Understocked"/>
    <s v="Safe"/>
    <n v="0.20408163265306123"/>
    <s v="Safe"/>
    <n v="2000"/>
    <n v="0.20408163265306123"/>
  </r>
  <r>
    <s v="ORD-11716"/>
    <x v="282"/>
    <s v="P012"/>
    <x v="21"/>
    <s v="Household"/>
    <s v="Home Care"/>
    <s v="HomeFresh"/>
    <s v="B06"/>
    <x v="1"/>
    <s v="Rivers"/>
    <x v="1"/>
    <s v="Walk-in"/>
    <s v="Cash"/>
    <n v="5"/>
    <n v="1700"/>
    <n v="2600"/>
    <n v="0"/>
    <x v="10"/>
    <n v="11"/>
    <n v="13000"/>
    <n v="0"/>
    <n v="13000"/>
    <n v="8500"/>
    <n v="4500"/>
    <n v="0.34615384615384615"/>
    <s v="Overstocked"/>
    <s v="Safe"/>
    <n v="0.34615384615384615"/>
    <s v="Safe"/>
    <n v="900"/>
    <n v="0.34615384615384615"/>
  </r>
  <r>
    <s v="ORD-11717"/>
    <x v="86"/>
    <s v="P021"/>
    <x v="20"/>
    <s v="Office Supplies"/>
    <s v="Paper"/>
    <s v="OfficeMate"/>
    <s v="B07"/>
    <x v="3"/>
    <s v="Enugu"/>
    <x v="3"/>
    <s v="Member"/>
    <s v="POS"/>
    <n v="1"/>
    <n v="5200"/>
    <n v="7000"/>
    <n v="0.25"/>
    <x v="15"/>
    <n v="1"/>
    <n v="7000"/>
    <n v="1750"/>
    <n v="5250"/>
    <n v="5200"/>
    <n v="50"/>
    <n v="9.5238095238095247E-3"/>
    <s v="Overstocked"/>
    <s v="Safe"/>
    <n v="0.25714285714285712"/>
    <s v="Safe"/>
    <n v="1800"/>
    <n v="0.25714285714285712"/>
  </r>
  <r>
    <s v="ORD-11718"/>
    <x v="280"/>
    <s v="P006"/>
    <x v="0"/>
    <s v="Beverages"/>
    <s v="Water"/>
    <s v="AquaPure"/>
    <s v="B02"/>
    <x v="4"/>
    <s v="Abuja"/>
    <x v="2"/>
    <s v="Walk-in"/>
    <s v="Transfer"/>
    <n v="5"/>
    <n v="230"/>
    <n v="400"/>
    <n v="0"/>
    <x v="3"/>
    <n v="6"/>
    <n v="2000"/>
    <n v="0"/>
    <n v="2000"/>
    <n v="1150"/>
    <n v="850"/>
    <n v="0.42499999999999999"/>
    <s v="Understocked"/>
    <s v="Safe"/>
    <n v="0.42499999999999999"/>
    <s v="Safe"/>
    <n v="170"/>
    <n v="0.42499999999999999"/>
  </r>
  <r>
    <s v="ORD-11719"/>
    <x v="141"/>
    <s v="P006"/>
    <x v="0"/>
    <s v="Beverages"/>
    <s v="Water"/>
    <s v="AquaPure"/>
    <s v="B03"/>
    <x v="6"/>
    <s v="Lagos"/>
    <x v="4"/>
    <s v="Walk-in"/>
    <s v="POS"/>
    <n v="1"/>
    <n v="230"/>
    <n v="400"/>
    <n v="0.1"/>
    <x v="2"/>
    <n v="8"/>
    <n v="400"/>
    <n v="40"/>
    <n v="360"/>
    <n v="230"/>
    <n v="130"/>
    <n v="0.3611111111111111"/>
    <s v="Understocked"/>
    <s v="Safe"/>
    <n v="0.42499999999999999"/>
    <s v="Safe"/>
    <n v="170"/>
    <n v="0.42499999999999999"/>
  </r>
  <r>
    <s v="ORD-11720"/>
    <x v="146"/>
    <s v="P003"/>
    <x v="12"/>
    <s v="Food"/>
    <s v="Cooking Oil"/>
    <s v="SunGold"/>
    <s v="B06"/>
    <x v="1"/>
    <s v="Rivers"/>
    <x v="1"/>
    <s v="Walk-in"/>
    <s v="POS"/>
    <n v="2"/>
    <n v="7800"/>
    <n v="9800"/>
    <n v="0.05"/>
    <x v="9"/>
    <n v="12"/>
    <n v="19600"/>
    <n v="980"/>
    <n v="18620"/>
    <n v="15600"/>
    <n v="3020"/>
    <n v="0.16219119226638024"/>
    <s v="Understocked"/>
    <s v="Safe"/>
    <n v="0.20408163265306123"/>
    <s v="Safe"/>
    <n v="2000"/>
    <n v="0.20408163265306123"/>
  </r>
  <r>
    <s v="ORD-11721"/>
    <x v="141"/>
    <s v="P006"/>
    <x v="0"/>
    <s v="Beverages"/>
    <s v="Water"/>
    <s v="AquaPure"/>
    <s v="B06"/>
    <x v="1"/>
    <s v="Rivers"/>
    <x v="1"/>
    <s v="Walk-in"/>
    <s v="Transfer"/>
    <n v="1"/>
    <n v="230"/>
    <n v="400"/>
    <n v="0.15"/>
    <x v="0"/>
    <n v="2"/>
    <n v="400"/>
    <n v="60"/>
    <n v="340"/>
    <n v="230"/>
    <n v="110"/>
    <n v="0.3235294117647059"/>
    <s v="Understocked"/>
    <s v="Safe"/>
    <n v="0.42499999999999999"/>
    <s v="Safe"/>
    <n v="170"/>
    <n v="0.42499999999999999"/>
  </r>
  <r>
    <s v="ORD-11722"/>
    <x v="146"/>
    <s v="P008"/>
    <x v="4"/>
    <s v="Beverages"/>
    <s v="Soft Drinks"/>
    <s v="Sparkle"/>
    <s v="B01"/>
    <x v="2"/>
    <s v="Abuja"/>
    <x v="2"/>
    <s v="Walk-in"/>
    <s v="Card"/>
    <n v="4"/>
    <n v="330"/>
    <n v="550"/>
    <n v="0"/>
    <x v="3"/>
    <n v="4"/>
    <n v="2200"/>
    <n v="0"/>
    <n v="2200"/>
    <n v="1320"/>
    <n v="880"/>
    <n v="0.4"/>
    <s v="Healthy"/>
    <s v="Safe"/>
    <n v="0.4"/>
    <s v="Safe"/>
    <n v="220"/>
    <n v="0.4"/>
  </r>
  <r>
    <s v="ORD-11723"/>
    <x v="114"/>
    <s v="P010"/>
    <x v="22"/>
    <s v="Household"/>
    <s v="Paper Products"/>
    <s v="SoftCare"/>
    <s v="B06"/>
    <x v="1"/>
    <s v="Rivers"/>
    <x v="1"/>
    <s v="Corporate"/>
    <s v="POS"/>
    <n v="2"/>
    <n v="3200"/>
    <n v="4500"/>
    <n v="0.15"/>
    <x v="10"/>
    <n v="7"/>
    <n v="9000"/>
    <n v="1350"/>
    <n v="7650"/>
    <n v="6400"/>
    <n v="1250"/>
    <n v="0.16339869281045752"/>
    <s v="Healthy"/>
    <s v="Safe"/>
    <n v="0.28888888888888886"/>
    <s v="Safe"/>
    <n v="1300"/>
    <n v="0.28888888888888886"/>
  </r>
  <r>
    <s v="ORD-11724"/>
    <x v="256"/>
    <s v="P020"/>
    <x v="5"/>
    <s v="Electronics"/>
    <s v="Lighting"/>
    <s v="Luma"/>
    <s v="B04"/>
    <x v="5"/>
    <s v="Lagos"/>
    <x v="4"/>
    <s v="Walk-in"/>
    <s v="Card"/>
    <n v="2"/>
    <n v="1500"/>
    <n v="2500"/>
    <n v="0.1"/>
    <x v="4"/>
    <n v="3"/>
    <n v="5000"/>
    <n v="500"/>
    <n v="4500"/>
    <n v="3000"/>
    <n v="1500"/>
    <n v="0.33333333333333331"/>
    <s v="Healthy"/>
    <s v="Safe"/>
    <n v="0.4"/>
    <s v="Safe"/>
    <n v="1000"/>
    <n v="0.4"/>
  </r>
  <r>
    <s v="ORD-11725"/>
    <x v="155"/>
    <s v="P009"/>
    <x v="13"/>
    <s v="Household"/>
    <s v="Cleaning"/>
    <s v="BrightWash"/>
    <s v="B08"/>
    <x v="7"/>
    <s v="Kwara"/>
    <x v="2"/>
    <s v="Member"/>
    <s v="POS"/>
    <n v="6"/>
    <n v="2400"/>
    <n v="3400"/>
    <n v="0"/>
    <x v="10"/>
    <n v="6"/>
    <n v="20400"/>
    <n v="0"/>
    <n v="20400"/>
    <n v="14400"/>
    <n v="6000"/>
    <n v="0.29411764705882354"/>
    <s v="Healthy"/>
    <s v="Safe"/>
    <n v="0.29411764705882354"/>
    <s v="Safe"/>
    <n v="1000"/>
    <n v="0.29411764705882354"/>
  </r>
  <r>
    <s v="ORD-11726"/>
    <x v="134"/>
    <s v="P018"/>
    <x v="16"/>
    <s v="Electronics"/>
    <s v="Mobile Accessories"/>
    <s v="VoltSafe"/>
    <s v="B07"/>
    <x v="3"/>
    <s v="Enugu"/>
    <x v="3"/>
    <s v="Walk-in"/>
    <s v="POS"/>
    <n v="2"/>
    <n v="18000"/>
    <n v="24500"/>
    <n v="0.05"/>
    <x v="4"/>
    <n v="2"/>
    <n v="49000"/>
    <n v="2450"/>
    <n v="46550"/>
    <n v="36000"/>
    <n v="10550"/>
    <n v="0.22663802363050484"/>
    <s v="Understocked"/>
    <s v="Safe"/>
    <n v="0.26530612244897961"/>
    <s v="Safe"/>
    <n v="6500"/>
    <n v="0.26530612244897961"/>
  </r>
  <r>
    <s v="ORD-11727"/>
    <x v="63"/>
    <s v="P023"/>
    <x v="6"/>
    <s v="Office Supplies"/>
    <s v="Stationery"/>
    <s v="StudyPro"/>
    <s v="B01"/>
    <x v="2"/>
    <s v="Abuja"/>
    <x v="2"/>
    <s v="Walk-in"/>
    <s v="Cash"/>
    <n v="8"/>
    <n v="2800"/>
    <n v="4200"/>
    <n v="0"/>
    <x v="14"/>
    <n v="6"/>
    <n v="33600"/>
    <n v="0"/>
    <n v="33600"/>
    <n v="22400"/>
    <n v="11200"/>
    <n v="0.33333333333333331"/>
    <s v="Understocked"/>
    <s v="Safe"/>
    <n v="0.33333333333333331"/>
    <s v="Safe"/>
    <n v="1400"/>
    <n v="0.33333333333333331"/>
  </r>
  <r>
    <s v="ORD-11728"/>
    <x v="168"/>
    <s v="P014"/>
    <x v="15"/>
    <s v="Personal Care"/>
    <s v="Oral Care"/>
    <s v="FreshMint"/>
    <s v="B02"/>
    <x v="4"/>
    <s v="Abuja"/>
    <x v="2"/>
    <s v="Member"/>
    <s v="POS"/>
    <n v="8"/>
    <n v="1200"/>
    <n v="1900"/>
    <n v="0"/>
    <x v="6"/>
    <n v="13"/>
    <n v="15200"/>
    <n v="0"/>
    <n v="15200"/>
    <n v="9600"/>
    <n v="5600"/>
    <n v="0.36842105263157893"/>
    <s v="Healthy"/>
    <s v="Safe"/>
    <n v="0.36842105263157893"/>
    <s v="Safe"/>
    <n v="700"/>
    <n v="0.36842105263157893"/>
  </r>
  <r>
    <s v="ORD-11729"/>
    <x v="134"/>
    <s v="P002"/>
    <x v="10"/>
    <s v="Food"/>
    <s v="Grains"/>
    <s v="Mama's Pride"/>
    <s v="B01"/>
    <x v="2"/>
    <s v="Abuja"/>
    <x v="2"/>
    <s v="Walk-in"/>
    <s v="POS"/>
    <n v="2"/>
    <n v="6200"/>
    <n v="7900"/>
    <n v="0"/>
    <x v="1"/>
    <n v="12"/>
    <n v="15800"/>
    <n v="0"/>
    <n v="15800"/>
    <n v="12400"/>
    <n v="3400"/>
    <n v="0.21518987341772153"/>
    <s v="Healthy"/>
    <s v="Safe"/>
    <n v="0.21518987341772153"/>
    <s v="Safe"/>
    <n v="1700"/>
    <n v="0.21518987341772153"/>
  </r>
  <r>
    <s v="ORD-11730"/>
    <x v="165"/>
    <s v="P006"/>
    <x v="0"/>
    <s v="Beverages"/>
    <s v="Water"/>
    <s v="AquaPure"/>
    <s v="B03"/>
    <x v="6"/>
    <s v="Lagos"/>
    <x v="4"/>
    <s v="Walk-in"/>
    <s v="POS"/>
    <n v="3"/>
    <n v="230"/>
    <n v="400"/>
    <n v="0.1"/>
    <x v="0"/>
    <n v="8"/>
    <n v="1200"/>
    <n v="120"/>
    <n v="1080"/>
    <n v="690"/>
    <n v="390"/>
    <n v="0.3611111111111111"/>
    <s v="Understocked"/>
    <s v="Safe"/>
    <n v="0.42499999999999999"/>
    <s v="Safe"/>
    <n v="170"/>
    <n v="0.42499999999999999"/>
  </r>
  <r>
    <s v="ORD-11731"/>
    <x v="303"/>
    <s v="P024"/>
    <x v="19"/>
    <s v="Office Supplies"/>
    <s v="Accessories"/>
    <s v="ErgoDesk"/>
    <s v="B02"/>
    <x v="4"/>
    <s v="Abuja"/>
    <x v="2"/>
    <s v="Walk-in"/>
    <s v="POS"/>
    <n v="2"/>
    <n v="1700"/>
    <n v="2800"/>
    <n v="0.2"/>
    <x v="5"/>
    <n v="7"/>
    <n v="5600"/>
    <n v="1120"/>
    <n v="4480"/>
    <n v="3400"/>
    <n v="1080"/>
    <n v="0.24107142857142858"/>
    <s v="Overstocked"/>
    <s v="Safe"/>
    <n v="0.39285714285714285"/>
    <s v="Safe"/>
    <n v="1100"/>
    <n v="0.39285714285714285"/>
  </r>
  <r>
    <s v="ORD-11732"/>
    <x v="257"/>
    <s v="P003"/>
    <x v="12"/>
    <s v="Food"/>
    <s v="Cooking Oil"/>
    <s v="SunGold"/>
    <s v="B07"/>
    <x v="3"/>
    <s v="Enugu"/>
    <x v="3"/>
    <s v="Member"/>
    <s v="Card"/>
    <n v="10"/>
    <n v="7800"/>
    <n v="9800"/>
    <n v="0.1"/>
    <x v="9"/>
    <n v="9"/>
    <n v="98000"/>
    <n v="9800"/>
    <n v="88200"/>
    <n v="78000"/>
    <n v="10200"/>
    <n v="0.11564625850340136"/>
    <s v="Understocked"/>
    <s v="Safe"/>
    <n v="0.20408163265306123"/>
    <s v="Safe"/>
    <n v="2000"/>
    <n v="0.20408163265306123"/>
  </r>
  <r>
    <s v="ORD-11733"/>
    <x v="132"/>
    <s v="P015"/>
    <x v="8"/>
    <s v="Personal Care"/>
    <s v="Bath"/>
    <s v="SilkyTouch"/>
    <s v="B06"/>
    <x v="1"/>
    <s v="Rivers"/>
    <x v="1"/>
    <s v="Member"/>
    <s v="Cash"/>
    <n v="1"/>
    <n v="600"/>
    <n v="950"/>
    <n v="0"/>
    <x v="10"/>
    <n v="3"/>
    <n v="950"/>
    <n v="0"/>
    <n v="950"/>
    <n v="600"/>
    <n v="350"/>
    <n v="0.36842105263157893"/>
    <s v="Healthy"/>
    <s v="Safe"/>
    <n v="0.36842105263157893"/>
    <s v="Safe"/>
    <n v="350"/>
    <n v="0.36842105263157893"/>
  </r>
  <r>
    <s v="ORD-11734"/>
    <x v="90"/>
    <s v="P001"/>
    <x v="14"/>
    <s v="Food"/>
    <s v="Grains"/>
    <s v="Golden Harvest"/>
    <s v="B03"/>
    <x v="6"/>
    <s v="Lagos"/>
    <x v="4"/>
    <s v="Walk-in"/>
    <s v="Cash"/>
    <n v="1"/>
    <n v="14500"/>
    <n v="17500"/>
    <n v="0.05"/>
    <x v="9"/>
    <n v="7"/>
    <n v="17500"/>
    <n v="875"/>
    <n v="16625"/>
    <n v="14500"/>
    <n v="2125"/>
    <n v="0.12781954887218044"/>
    <s v="Understocked"/>
    <s v="Safe"/>
    <n v="0.17142857142857143"/>
    <s v="Safe"/>
    <n v="3000"/>
    <n v="0.17142857142857143"/>
  </r>
  <r>
    <s v="ORD-11735"/>
    <x v="31"/>
    <s v="P005"/>
    <x v="2"/>
    <s v="Food"/>
    <s v="Snacks"/>
    <s v="CrispyBite"/>
    <s v="B04"/>
    <x v="5"/>
    <s v="Lagos"/>
    <x v="4"/>
    <s v="Member"/>
    <s v="Transfer"/>
    <n v="2"/>
    <n v="850"/>
    <n v="1300"/>
    <n v="0.05"/>
    <x v="1"/>
    <n v="2"/>
    <n v="2600"/>
    <n v="130"/>
    <n v="2470"/>
    <n v="1700"/>
    <n v="770"/>
    <n v="0.31174089068825911"/>
    <s v="Understocked"/>
    <s v="Safe"/>
    <n v="0.34615384615384615"/>
    <s v="Safe"/>
    <n v="450"/>
    <n v="0.34615384615384615"/>
  </r>
  <r>
    <s v="ORD-11736"/>
    <x v="30"/>
    <s v="P018"/>
    <x v="16"/>
    <s v="Electronics"/>
    <s v="Mobile Accessories"/>
    <s v="VoltSafe"/>
    <s v="B07"/>
    <x v="3"/>
    <s v="Enugu"/>
    <x v="3"/>
    <s v="Member"/>
    <s v="Transfer"/>
    <n v="3"/>
    <n v="18000"/>
    <n v="24500"/>
    <n v="0.05"/>
    <x v="12"/>
    <n v="5"/>
    <n v="73500"/>
    <n v="3675"/>
    <n v="69825"/>
    <n v="54000"/>
    <n v="15825"/>
    <n v="0.22663802363050484"/>
    <s v="Understocked"/>
    <s v="Safe"/>
    <n v="0.26530612244897961"/>
    <s v="Safe"/>
    <n v="6500"/>
    <n v="0.26530612244897961"/>
  </r>
  <r>
    <s v="ORD-11737"/>
    <x v="0"/>
    <s v="P004"/>
    <x v="1"/>
    <s v="Beverages"/>
    <s v="Dairy"/>
    <s v="FreshDay"/>
    <s v="B04"/>
    <x v="5"/>
    <s v="Lagos"/>
    <x v="4"/>
    <s v="Walk-in"/>
    <s v="POS"/>
    <n v="1"/>
    <n v="1650"/>
    <n v="2200"/>
    <n v="0"/>
    <x v="0"/>
    <n v="12"/>
    <n v="2200"/>
    <n v="0"/>
    <n v="2200"/>
    <n v="1650"/>
    <n v="550"/>
    <n v="0.25"/>
    <s v="Understocked"/>
    <s v="Safe"/>
    <n v="0.25"/>
    <s v="Safe"/>
    <n v="550"/>
    <n v="0.25"/>
  </r>
  <r>
    <s v="ORD-11738"/>
    <x v="102"/>
    <s v="P010"/>
    <x v="22"/>
    <s v="Household"/>
    <s v="Paper Products"/>
    <s v="SoftCare"/>
    <s v="B06"/>
    <x v="1"/>
    <s v="Rivers"/>
    <x v="1"/>
    <s v="Walk-in"/>
    <s v="Transfer"/>
    <n v="2"/>
    <n v="3200"/>
    <n v="4500"/>
    <n v="0.05"/>
    <x v="7"/>
    <n v="11"/>
    <n v="9000"/>
    <n v="450"/>
    <n v="8550"/>
    <n v="6400"/>
    <n v="2150"/>
    <n v="0.25146198830409355"/>
    <s v="Healthy"/>
    <s v="Safe"/>
    <n v="0.28888888888888886"/>
    <s v="Safe"/>
    <n v="1300"/>
    <n v="0.28888888888888886"/>
  </r>
  <r>
    <s v="ORD-11739"/>
    <x v="286"/>
    <s v="P008"/>
    <x v="4"/>
    <s v="Beverages"/>
    <s v="Soft Drinks"/>
    <s v="Sparkle"/>
    <s v="B02"/>
    <x v="4"/>
    <s v="Abuja"/>
    <x v="2"/>
    <s v="Walk-in"/>
    <s v="POS"/>
    <n v="2"/>
    <n v="330"/>
    <n v="550"/>
    <n v="0.1"/>
    <x v="0"/>
    <n v="3"/>
    <n v="1100"/>
    <n v="110"/>
    <n v="990"/>
    <n v="660"/>
    <n v="330"/>
    <n v="0.33333333333333331"/>
    <s v="Healthy"/>
    <s v="Safe"/>
    <n v="0.4"/>
    <s v="Safe"/>
    <n v="220"/>
    <n v="0.4"/>
  </r>
  <r>
    <s v="ORD-11740"/>
    <x v="278"/>
    <s v="P006"/>
    <x v="0"/>
    <s v="Beverages"/>
    <s v="Water"/>
    <s v="AquaPure"/>
    <s v="B02"/>
    <x v="4"/>
    <s v="Abuja"/>
    <x v="2"/>
    <s v="Member"/>
    <s v="POS"/>
    <n v="3"/>
    <n v="230"/>
    <n v="400"/>
    <n v="0.1"/>
    <x v="3"/>
    <n v="2"/>
    <n v="1200"/>
    <n v="120"/>
    <n v="1080"/>
    <n v="690"/>
    <n v="390"/>
    <n v="0.3611111111111111"/>
    <s v="Understocked"/>
    <s v="Safe"/>
    <n v="0.42499999999999999"/>
    <s v="Safe"/>
    <n v="170"/>
    <n v="0.42499999999999999"/>
  </r>
  <r>
    <s v="ORD-11741"/>
    <x v="327"/>
    <s v="P014"/>
    <x v="15"/>
    <s v="Personal Care"/>
    <s v="Oral Care"/>
    <s v="FreshMint"/>
    <s v="B04"/>
    <x v="5"/>
    <s v="Lagos"/>
    <x v="4"/>
    <s v="Walk-in"/>
    <s v="Card"/>
    <n v="3"/>
    <n v="1200"/>
    <n v="1900"/>
    <n v="0"/>
    <x v="6"/>
    <n v="6"/>
    <n v="5700"/>
    <n v="0"/>
    <n v="5700"/>
    <n v="3600"/>
    <n v="2100"/>
    <n v="0.36842105263157893"/>
    <s v="Healthy"/>
    <s v="Safe"/>
    <n v="0.36842105263157893"/>
    <s v="Safe"/>
    <n v="700"/>
    <n v="0.36842105263157893"/>
  </r>
  <r>
    <s v="ORD-11742"/>
    <x v="57"/>
    <s v="P023"/>
    <x v="6"/>
    <s v="Office Supplies"/>
    <s v="Stationery"/>
    <s v="StudyPro"/>
    <s v="B06"/>
    <x v="1"/>
    <s v="Rivers"/>
    <x v="1"/>
    <s v="Walk-in"/>
    <s v="POS"/>
    <n v="5"/>
    <n v="2800"/>
    <n v="4200"/>
    <n v="0.05"/>
    <x v="14"/>
    <n v="7"/>
    <n v="21000"/>
    <n v="1050"/>
    <n v="19950"/>
    <n v="14000"/>
    <n v="5950"/>
    <n v="0.2982456140350877"/>
    <s v="Understocked"/>
    <s v="Safe"/>
    <n v="0.33333333333333331"/>
    <s v="Safe"/>
    <n v="1400"/>
    <n v="0.33333333333333331"/>
  </r>
  <r>
    <s v="ORD-11743"/>
    <x v="90"/>
    <s v="P008"/>
    <x v="4"/>
    <s v="Beverages"/>
    <s v="Soft Drinks"/>
    <s v="Sparkle"/>
    <s v="B06"/>
    <x v="1"/>
    <s v="Rivers"/>
    <x v="1"/>
    <s v="Walk-in"/>
    <s v="Card"/>
    <n v="3"/>
    <n v="330"/>
    <n v="550"/>
    <n v="0"/>
    <x v="3"/>
    <n v="10"/>
    <n v="1650"/>
    <n v="0"/>
    <n v="1650"/>
    <n v="990"/>
    <n v="660"/>
    <n v="0.4"/>
    <s v="Healthy"/>
    <s v="Safe"/>
    <n v="0.4"/>
    <s v="Safe"/>
    <n v="220"/>
    <n v="0.4"/>
  </r>
  <r>
    <s v="ORD-11744"/>
    <x v="356"/>
    <s v="P011"/>
    <x v="9"/>
    <s v="Household"/>
    <s v="Cleaning"/>
    <s v="CleanPro"/>
    <s v="B08"/>
    <x v="7"/>
    <s v="Kwara"/>
    <x v="2"/>
    <s v="Walk-in"/>
    <s v="POS"/>
    <n v="3"/>
    <n v="2800"/>
    <n v="3900"/>
    <n v="0.1"/>
    <x v="1"/>
    <n v="14"/>
    <n v="11700"/>
    <n v="1170"/>
    <n v="10530"/>
    <n v="8400"/>
    <n v="2130"/>
    <n v="0.20227920227920229"/>
    <s v="Healthy"/>
    <s v="Safe"/>
    <n v="0.28205128205128205"/>
    <s v="Safe"/>
    <n v="1100"/>
    <n v="0.28205128205128205"/>
  </r>
  <r>
    <s v="ORD-11745"/>
    <x v="4"/>
    <s v="P008"/>
    <x v="4"/>
    <s v="Beverages"/>
    <s v="Soft Drinks"/>
    <s v="Sparkle"/>
    <s v="B02"/>
    <x v="4"/>
    <s v="Abuja"/>
    <x v="2"/>
    <s v="Walk-in"/>
    <s v="Card"/>
    <n v="1"/>
    <n v="330"/>
    <n v="550"/>
    <n v="0"/>
    <x v="0"/>
    <n v="8"/>
    <n v="550"/>
    <n v="0"/>
    <n v="550"/>
    <n v="330"/>
    <n v="220"/>
    <n v="0.4"/>
    <s v="Healthy"/>
    <s v="Safe"/>
    <n v="0.4"/>
    <s v="Safe"/>
    <n v="220"/>
    <n v="0.4"/>
  </r>
  <r>
    <s v="ORD-11746"/>
    <x v="329"/>
    <s v="P015"/>
    <x v="8"/>
    <s v="Personal Care"/>
    <s v="Bath"/>
    <s v="SilkyTouch"/>
    <s v="B02"/>
    <x v="4"/>
    <s v="Abuja"/>
    <x v="2"/>
    <s v="Walk-in"/>
    <s v="POS"/>
    <n v="4"/>
    <n v="600"/>
    <n v="950"/>
    <n v="0.15"/>
    <x v="10"/>
    <n v="4"/>
    <n v="3800"/>
    <n v="570"/>
    <n v="3230"/>
    <n v="2400"/>
    <n v="830"/>
    <n v="0.25696594427244585"/>
    <s v="Healthy"/>
    <s v="Safe"/>
    <n v="0.36842105263157893"/>
    <s v="Safe"/>
    <n v="350"/>
    <n v="0.36842105263157893"/>
  </r>
  <r>
    <s v="ORD-11747"/>
    <x v="278"/>
    <s v="P018"/>
    <x v="16"/>
    <s v="Electronics"/>
    <s v="Mobile Accessories"/>
    <s v="VoltSafe"/>
    <s v="B06"/>
    <x v="1"/>
    <s v="Rivers"/>
    <x v="1"/>
    <s v="Walk-in"/>
    <s v="POS"/>
    <n v="1"/>
    <n v="18000"/>
    <n v="24500"/>
    <n v="0.15"/>
    <x v="4"/>
    <n v="9"/>
    <n v="24500"/>
    <n v="3675"/>
    <n v="20825"/>
    <n v="18000"/>
    <n v="2825"/>
    <n v="0.13565426170468187"/>
    <s v="Understocked"/>
    <s v="Safe"/>
    <n v="0.26530612244897961"/>
    <s v="Safe"/>
    <n v="6500"/>
    <n v="0.26530612244897961"/>
  </r>
  <r>
    <s v="ORD-11748"/>
    <x v="229"/>
    <s v="P020"/>
    <x v="5"/>
    <s v="Electronics"/>
    <s v="Lighting"/>
    <s v="Luma"/>
    <s v="B03"/>
    <x v="6"/>
    <s v="Lagos"/>
    <x v="4"/>
    <s v="Corporate"/>
    <s v="POS"/>
    <n v="3"/>
    <n v="1500"/>
    <n v="2500"/>
    <n v="0.1"/>
    <x v="12"/>
    <n v="9"/>
    <n v="7500"/>
    <n v="750"/>
    <n v="6750"/>
    <n v="4500"/>
    <n v="2250"/>
    <n v="0.33333333333333331"/>
    <s v="Healthy"/>
    <s v="Safe"/>
    <n v="0.4"/>
    <s v="Safe"/>
    <n v="1000"/>
    <n v="0.4"/>
  </r>
  <r>
    <s v="ORD-11749"/>
    <x v="67"/>
    <s v="P008"/>
    <x v="4"/>
    <s v="Beverages"/>
    <s v="Soft Drinks"/>
    <s v="Sparkle"/>
    <s v="B05"/>
    <x v="0"/>
    <s v="Kano"/>
    <x v="0"/>
    <s v="Member"/>
    <s v="POS"/>
    <n v="4"/>
    <n v="330"/>
    <n v="550"/>
    <n v="0.1"/>
    <x v="2"/>
    <n v="3"/>
    <n v="2200"/>
    <n v="220"/>
    <n v="1980"/>
    <n v="1320"/>
    <n v="660"/>
    <n v="0.33333333333333331"/>
    <s v="Healthy"/>
    <s v="Safe"/>
    <n v="0.4"/>
    <s v="Safe"/>
    <n v="220"/>
    <n v="0.4"/>
  </r>
  <r>
    <s v="ORD-11750"/>
    <x v="116"/>
    <s v="P007"/>
    <x v="3"/>
    <s v="Beverages"/>
    <s v="Malt"/>
    <s v="Naija Malt"/>
    <s v="B01"/>
    <x v="2"/>
    <s v="Abuja"/>
    <x v="2"/>
    <s v="Corporate"/>
    <s v="POS"/>
    <n v="5"/>
    <n v="550"/>
    <n v="850"/>
    <n v="0.1"/>
    <x v="3"/>
    <n v="1"/>
    <n v="4250"/>
    <n v="425"/>
    <n v="3825"/>
    <n v="2750"/>
    <n v="1075"/>
    <n v="0.28104575163398693"/>
    <s v="Healthy"/>
    <s v="Safe"/>
    <n v="0.35294117647058826"/>
    <s v="Safe"/>
    <n v="300"/>
    <n v="0.35294117647058826"/>
  </r>
  <r>
    <s v="ORD-11751"/>
    <x v="59"/>
    <s v="P005"/>
    <x v="2"/>
    <s v="Food"/>
    <s v="Snacks"/>
    <s v="CrispyBite"/>
    <s v="B03"/>
    <x v="6"/>
    <s v="Lagos"/>
    <x v="4"/>
    <s v="Member"/>
    <s v="Transfer"/>
    <n v="1"/>
    <n v="850"/>
    <n v="1300"/>
    <n v="0.1"/>
    <x v="8"/>
    <n v="2"/>
    <n v="1300"/>
    <n v="130"/>
    <n v="1170"/>
    <n v="850"/>
    <n v="320"/>
    <n v="0.27350427350427353"/>
    <s v="Understocked"/>
    <s v="Safe"/>
    <n v="0.34615384615384615"/>
    <s v="Safe"/>
    <n v="450"/>
    <n v="0.34615384615384615"/>
  </r>
  <r>
    <s v="ORD-11752"/>
    <x v="301"/>
    <s v="P023"/>
    <x v="6"/>
    <s v="Office Supplies"/>
    <s v="Stationery"/>
    <s v="StudyPro"/>
    <s v="B07"/>
    <x v="3"/>
    <s v="Enugu"/>
    <x v="3"/>
    <s v="Walk-in"/>
    <s v="POS"/>
    <n v="3"/>
    <n v="2800"/>
    <n v="4200"/>
    <n v="0.2"/>
    <x v="5"/>
    <n v="10"/>
    <n v="12600"/>
    <n v="2520"/>
    <n v="10080"/>
    <n v="8400"/>
    <n v="1680"/>
    <n v="0.16666666666666666"/>
    <s v="Understocked"/>
    <s v="Safe"/>
    <n v="0.33333333333333331"/>
    <s v="Safe"/>
    <n v="1400"/>
    <n v="0.33333333333333331"/>
  </r>
  <r>
    <s v="ORD-11753"/>
    <x v="168"/>
    <s v="P015"/>
    <x v="8"/>
    <s v="Personal Care"/>
    <s v="Bath"/>
    <s v="SilkyTouch"/>
    <s v="B05"/>
    <x v="0"/>
    <s v="Kano"/>
    <x v="0"/>
    <s v="Walk-in"/>
    <s v="POS"/>
    <n v="1"/>
    <n v="600"/>
    <n v="950"/>
    <n v="0"/>
    <x v="10"/>
    <n v="4"/>
    <n v="950"/>
    <n v="0"/>
    <n v="950"/>
    <n v="600"/>
    <n v="350"/>
    <n v="0.36842105263157893"/>
    <s v="Healthy"/>
    <s v="Safe"/>
    <n v="0.36842105263157893"/>
    <s v="Safe"/>
    <n v="350"/>
    <n v="0.36842105263157893"/>
  </r>
  <r>
    <s v="ORD-11754"/>
    <x v="237"/>
    <s v="P021"/>
    <x v="20"/>
    <s v="Office Supplies"/>
    <s v="Paper"/>
    <s v="OfficeMate"/>
    <s v="B04"/>
    <x v="5"/>
    <s v="Lagos"/>
    <x v="4"/>
    <s v="Member"/>
    <s v="Transfer"/>
    <n v="10"/>
    <n v="5200"/>
    <n v="7000"/>
    <n v="0"/>
    <x v="5"/>
    <n v="2"/>
    <n v="70000"/>
    <n v="0"/>
    <n v="70000"/>
    <n v="52000"/>
    <n v="18000"/>
    <n v="0.25714285714285712"/>
    <s v="Overstocked"/>
    <s v="Safe"/>
    <n v="0.25714285714285712"/>
    <s v="Safe"/>
    <n v="1800"/>
    <n v="0.25714285714285712"/>
  </r>
  <r>
    <s v="ORD-11755"/>
    <x v="121"/>
    <s v="P013"/>
    <x v="11"/>
    <s v="Personal Care"/>
    <s v="Skin Care"/>
    <s v="GlowPlus"/>
    <s v="B06"/>
    <x v="1"/>
    <s v="Rivers"/>
    <x v="1"/>
    <s v="Member"/>
    <s v="POS"/>
    <n v="1"/>
    <n v="3500"/>
    <n v="5200"/>
    <n v="0"/>
    <x v="11"/>
    <n v="7"/>
    <n v="5200"/>
    <n v="0"/>
    <n v="5200"/>
    <n v="3500"/>
    <n v="1700"/>
    <n v="0.32692307692307693"/>
    <s v="Healthy"/>
    <s v="Safe"/>
    <n v="0.32692307692307693"/>
    <s v="Safe"/>
    <n v="1700"/>
    <n v="0.32692307692307693"/>
  </r>
  <r>
    <s v="ORD-11756"/>
    <x v="162"/>
    <s v="P003"/>
    <x v="12"/>
    <s v="Food"/>
    <s v="Cooking Oil"/>
    <s v="SunGold"/>
    <s v="B01"/>
    <x v="2"/>
    <s v="Abuja"/>
    <x v="2"/>
    <s v="Walk-in"/>
    <s v="Transfer"/>
    <n v="5"/>
    <n v="7800"/>
    <n v="9800"/>
    <n v="0.1"/>
    <x v="9"/>
    <n v="3"/>
    <n v="49000"/>
    <n v="4900"/>
    <n v="44100"/>
    <n v="39000"/>
    <n v="5100"/>
    <n v="0.11564625850340136"/>
    <s v="Understocked"/>
    <s v="Safe"/>
    <n v="0.20408163265306123"/>
    <s v="Safe"/>
    <n v="2000"/>
    <n v="0.20408163265306123"/>
  </r>
  <r>
    <s v="ORD-11757"/>
    <x v="137"/>
    <s v="P003"/>
    <x v="12"/>
    <s v="Food"/>
    <s v="Cooking Oil"/>
    <s v="SunGold"/>
    <s v="B06"/>
    <x v="1"/>
    <s v="Rivers"/>
    <x v="1"/>
    <s v="Member"/>
    <s v="POS"/>
    <n v="2"/>
    <n v="7800"/>
    <n v="9800"/>
    <n v="0.1"/>
    <x v="8"/>
    <n v="4"/>
    <n v="19600"/>
    <n v="1960"/>
    <n v="17640"/>
    <n v="15600"/>
    <n v="2040"/>
    <n v="0.11564625850340136"/>
    <s v="Understocked"/>
    <s v="Safe"/>
    <n v="0.20408163265306123"/>
    <s v="Safe"/>
    <n v="2000"/>
    <n v="0.20408163265306123"/>
  </r>
  <r>
    <s v="ORD-11758"/>
    <x v="259"/>
    <s v="P015"/>
    <x v="8"/>
    <s v="Personal Care"/>
    <s v="Bath"/>
    <s v="SilkyTouch"/>
    <s v="B02"/>
    <x v="4"/>
    <s v="Abuja"/>
    <x v="2"/>
    <s v="Walk-in"/>
    <s v="Card"/>
    <n v="2"/>
    <n v="600"/>
    <n v="950"/>
    <n v="0"/>
    <x v="6"/>
    <n v="11"/>
    <n v="1900"/>
    <n v="0"/>
    <n v="1900"/>
    <n v="1200"/>
    <n v="700"/>
    <n v="0.36842105263157893"/>
    <s v="Healthy"/>
    <s v="Safe"/>
    <n v="0.36842105263157893"/>
    <s v="Safe"/>
    <n v="350"/>
    <n v="0.36842105263157893"/>
  </r>
  <r>
    <s v="ORD-11759"/>
    <x v="317"/>
    <s v="P020"/>
    <x v="5"/>
    <s v="Electronics"/>
    <s v="Lighting"/>
    <s v="Luma"/>
    <s v="B06"/>
    <x v="1"/>
    <s v="Rivers"/>
    <x v="1"/>
    <s v="Member"/>
    <s v="Card"/>
    <n v="5"/>
    <n v="1500"/>
    <n v="2500"/>
    <n v="0"/>
    <x v="4"/>
    <n v="2"/>
    <n v="12500"/>
    <n v="0"/>
    <n v="12500"/>
    <n v="7500"/>
    <n v="5000"/>
    <n v="0.4"/>
    <s v="Healthy"/>
    <s v="Safe"/>
    <n v="0.4"/>
    <s v="Safe"/>
    <n v="1000"/>
    <n v="0.4"/>
  </r>
  <r>
    <s v="ORD-11760"/>
    <x v="236"/>
    <s v="P014"/>
    <x v="15"/>
    <s v="Personal Care"/>
    <s v="Oral Care"/>
    <s v="FreshMint"/>
    <s v="B05"/>
    <x v="0"/>
    <s v="Kano"/>
    <x v="0"/>
    <s v="Walk-in"/>
    <s v="POS"/>
    <n v="1"/>
    <n v="1200"/>
    <n v="1900"/>
    <n v="0.05"/>
    <x v="6"/>
    <n v="3"/>
    <n v="1900"/>
    <n v="95"/>
    <n v="1805"/>
    <n v="1200"/>
    <n v="605"/>
    <n v="0.33518005540166207"/>
    <s v="Healthy"/>
    <s v="Safe"/>
    <n v="0.36842105263157893"/>
    <s v="Safe"/>
    <n v="700"/>
    <n v="0.36842105263157893"/>
  </r>
  <r>
    <s v="ORD-11761"/>
    <x v="49"/>
    <s v="P003"/>
    <x v="12"/>
    <s v="Food"/>
    <s v="Cooking Oil"/>
    <s v="SunGold"/>
    <s v="B07"/>
    <x v="3"/>
    <s v="Enugu"/>
    <x v="3"/>
    <s v="Walk-in"/>
    <s v="POS"/>
    <n v="3"/>
    <n v="7800"/>
    <n v="9800"/>
    <n v="0.1"/>
    <x v="1"/>
    <n v="7"/>
    <n v="29400"/>
    <n v="2940"/>
    <n v="26460"/>
    <n v="23400"/>
    <n v="3060"/>
    <n v="0.11564625850340136"/>
    <s v="Understocked"/>
    <s v="Safe"/>
    <n v="0.20408163265306123"/>
    <s v="Safe"/>
    <n v="2000"/>
    <n v="0.20408163265306123"/>
  </r>
  <r>
    <s v="ORD-11762"/>
    <x v="61"/>
    <s v="P018"/>
    <x v="16"/>
    <s v="Electronics"/>
    <s v="Mobile Accessories"/>
    <s v="VoltSafe"/>
    <s v="B06"/>
    <x v="1"/>
    <s v="Rivers"/>
    <x v="1"/>
    <s v="Member"/>
    <s v="POS"/>
    <n v="1"/>
    <n v="18000"/>
    <n v="24500"/>
    <n v="0.2"/>
    <x v="13"/>
    <n v="3"/>
    <n v="24500"/>
    <n v="4900"/>
    <n v="19600"/>
    <n v="18000"/>
    <n v="1600"/>
    <n v="8.1632653061224483E-2"/>
    <s v="Understocked"/>
    <s v="Safe"/>
    <n v="0.26530612244897961"/>
    <s v="Safe"/>
    <n v="6500"/>
    <n v="0.26530612244897961"/>
  </r>
  <r>
    <s v="ORD-11763"/>
    <x v="4"/>
    <s v="P008"/>
    <x v="4"/>
    <s v="Beverages"/>
    <s v="Soft Drinks"/>
    <s v="Sparkle"/>
    <s v="B01"/>
    <x v="2"/>
    <s v="Abuja"/>
    <x v="2"/>
    <s v="Walk-in"/>
    <s v="Card"/>
    <n v="1"/>
    <n v="330"/>
    <n v="550"/>
    <n v="0.2"/>
    <x v="2"/>
    <n v="6"/>
    <n v="550"/>
    <n v="110"/>
    <n v="440"/>
    <n v="330"/>
    <n v="110"/>
    <n v="0.25"/>
    <s v="Healthy"/>
    <s v="Safe"/>
    <n v="0.4"/>
    <s v="Safe"/>
    <n v="220"/>
    <n v="0.4"/>
  </r>
  <r>
    <s v="ORD-11764"/>
    <x v="47"/>
    <s v="P007"/>
    <x v="3"/>
    <s v="Beverages"/>
    <s v="Malt"/>
    <s v="Naija Malt"/>
    <s v="B03"/>
    <x v="6"/>
    <s v="Lagos"/>
    <x v="4"/>
    <s v="Walk-in"/>
    <s v="POS"/>
    <n v="8"/>
    <n v="550"/>
    <n v="850"/>
    <n v="0"/>
    <x v="0"/>
    <n v="13"/>
    <n v="6800"/>
    <n v="0"/>
    <n v="6800"/>
    <n v="4400"/>
    <n v="2400"/>
    <n v="0.35294117647058826"/>
    <s v="Healthy"/>
    <s v="Safe"/>
    <n v="0.35294117647058826"/>
    <s v="Safe"/>
    <n v="300"/>
    <n v="0.35294117647058826"/>
  </r>
  <r>
    <s v="ORD-11765"/>
    <x v="211"/>
    <s v="P024"/>
    <x v="19"/>
    <s v="Office Supplies"/>
    <s v="Accessories"/>
    <s v="ErgoDesk"/>
    <s v="B08"/>
    <x v="7"/>
    <s v="Kwara"/>
    <x v="2"/>
    <s v="Walk-in"/>
    <s v="Card"/>
    <n v="2"/>
    <n v="1700"/>
    <n v="2800"/>
    <n v="0.1"/>
    <x v="14"/>
    <n v="5"/>
    <n v="5600"/>
    <n v="560"/>
    <n v="5040"/>
    <n v="3400"/>
    <n v="1640"/>
    <n v="0.32539682539682541"/>
    <s v="Overstocked"/>
    <s v="Safe"/>
    <n v="0.39285714285714285"/>
    <s v="Safe"/>
    <n v="1100"/>
    <n v="0.39285714285714285"/>
  </r>
  <r>
    <s v="ORD-11766"/>
    <x v="68"/>
    <s v="P013"/>
    <x v="11"/>
    <s v="Personal Care"/>
    <s v="Skin Care"/>
    <s v="GlowPlus"/>
    <s v="B03"/>
    <x v="6"/>
    <s v="Lagos"/>
    <x v="4"/>
    <s v="Walk-in"/>
    <s v="POS"/>
    <n v="4"/>
    <n v="3500"/>
    <n v="5200"/>
    <n v="0"/>
    <x v="11"/>
    <n v="4"/>
    <n v="20800"/>
    <n v="0"/>
    <n v="20800"/>
    <n v="14000"/>
    <n v="6800"/>
    <n v="0.32692307692307693"/>
    <s v="Healthy"/>
    <s v="Safe"/>
    <n v="0.32692307692307693"/>
    <s v="Safe"/>
    <n v="1700"/>
    <n v="0.32692307692307693"/>
  </r>
  <r>
    <s v="ORD-11767"/>
    <x v="65"/>
    <s v="P009"/>
    <x v="13"/>
    <s v="Household"/>
    <s v="Cleaning"/>
    <s v="BrightWash"/>
    <s v="B08"/>
    <x v="7"/>
    <s v="Kwara"/>
    <x v="2"/>
    <s v="Corporate"/>
    <s v="Cash"/>
    <n v="1"/>
    <n v="2400"/>
    <n v="3400"/>
    <n v="0.05"/>
    <x v="1"/>
    <n v="11"/>
    <n v="3400"/>
    <n v="170"/>
    <n v="3230"/>
    <n v="2400"/>
    <n v="830"/>
    <n v="0.25696594427244585"/>
    <s v="Healthy"/>
    <s v="Safe"/>
    <n v="0.29411764705882354"/>
    <s v="Safe"/>
    <n v="1000"/>
    <n v="0.29411764705882354"/>
  </r>
  <r>
    <s v="ORD-11768"/>
    <x v="56"/>
    <s v="P015"/>
    <x v="8"/>
    <s v="Personal Care"/>
    <s v="Bath"/>
    <s v="SilkyTouch"/>
    <s v="B07"/>
    <x v="3"/>
    <s v="Enugu"/>
    <x v="3"/>
    <s v="Walk-in"/>
    <s v="Transfer"/>
    <n v="1"/>
    <n v="600"/>
    <n v="950"/>
    <n v="0"/>
    <x v="11"/>
    <n v="8"/>
    <n v="950"/>
    <n v="0"/>
    <n v="950"/>
    <n v="600"/>
    <n v="350"/>
    <n v="0.36842105263157893"/>
    <s v="Healthy"/>
    <s v="Safe"/>
    <n v="0.36842105263157893"/>
    <s v="Safe"/>
    <n v="350"/>
    <n v="0.36842105263157893"/>
  </r>
  <r>
    <s v="ORD-11769"/>
    <x v="198"/>
    <s v="P008"/>
    <x v="4"/>
    <s v="Beverages"/>
    <s v="Soft Drinks"/>
    <s v="Sparkle"/>
    <s v="B03"/>
    <x v="6"/>
    <s v="Lagos"/>
    <x v="4"/>
    <s v="Walk-in"/>
    <s v="POS"/>
    <n v="5"/>
    <n v="330"/>
    <n v="550"/>
    <n v="0.1"/>
    <x v="2"/>
    <n v="6"/>
    <n v="2750"/>
    <n v="275"/>
    <n v="2475"/>
    <n v="1650"/>
    <n v="825"/>
    <n v="0.33333333333333331"/>
    <s v="Healthy"/>
    <s v="Safe"/>
    <n v="0.4"/>
    <s v="Safe"/>
    <n v="220"/>
    <n v="0.4"/>
  </r>
  <r>
    <s v="ORD-11770"/>
    <x v="132"/>
    <s v="P022"/>
    <x v="17"/>
    <s v="Office Supplies"/>
    <s v="Writing"/>
    <s v="WriteWell"/>
    <s v="B03"/>
    <x v="6"/>
    <s v="Lagos"/>
    <x v="4"/>
    <s v="Member"/>
    <s v="Transfer"/>
    <n v="5"/>
    <n v="1300"/>
    <n v="2100"/>
    <n v="0"/>
    <x v="15"/>
    <n v="2"/>
    <n v="10500"/>
    <n v="0"/>
    <n v="10500"/>
    <n v="6500"/>
    <n v="4000"/>
    <n v="0.38095238095238093"/>
    <s v="Understocked"/>
    <s v="Safe"/>
    <n v="0.38095238095238093"/>
    <s v="Safe"/>
    <n v="800"/>
    <n v="0.38095238095238093"/>
  </r>
  <r>
    <s v="ORD-11771"/>
    <x v="173"/>
    <s v="P017"/>
    <x v="23"/>
    <s v="Electronics"/>
    <s v="Accessories"/>
    <s v="PowerMax"/>
    <s v="B06"/>
    <x v="1"/>
    <s v="Rivers"/>
    <x v="1"/>
    <s v="Walk-in"/>
    <s v="POS"/>
    <n v="3"/>
    <n v="7500"/>
    <n v="10500"/>
    <n v="0"/>
    <x v="13"/>
    <n v="9"/>
    <n v="31500"/>
    <n v="0"/>
    <n v="31500"/>
    <n v="22500"/>
    <n v="9000"/>
    <n v="0.2857142857142857"/>
    <s v="Healthy"/>
    <s v="Safe"/>
    <n v="0.2857142857142857"/>
    <s v="Safe"/>
    <n v="3000"/>
    <n v="0.2857142857142857"/>
  </r>
  <r>
    <s v="ORD-11772"/>
    <x v="323"/>
    <s v="P007"/>
    <x v="3"/>
    <s v="Beverages"/>
    <s v="Malt"/>
    <s v="Naija Malt"/>
    <s v="B06"/>
    <x v="1"/>
    <s v="Rivers"/>
    <x v="1"/>
    <s v="Walk-in"/>
    <s v="POS"/>
    <n v="1"/>
    <n v="550"/>
    <n v="850"/>
    <n v="0"/>
    <x v="0"/>
    <n v="2"/>
    <n v="850"/>
    <n v="0"/>
    <n v="850"/>
    <n v="550"/>
    <n v="300"/>
    <n v="0.35294117647058826"/>
    <s v="Healthy"/>
    <s v="Safe"/>
    <n v="0.35294117647058826"/>
    <s v="Safe"/>
    <n v="300"/>
    <n v="0.35294117647058826"/>
  </r>
  <r>
    <s v="ORD-11773"/>
    <x v="224"/>
    <s v="P007"/>
    <x v="3"/>
    <s v="Beverages"/>
    <s v="Malt"/>
    <s v="Naija Malt"/>
    <s v="B01"/>
    <x v="2"/>
    <s v="Abuja"/>
    <x v="2"/>
    <s v="Walk-in"/>
    <s v="Transfer"/>
    <n v="3"/>
    <n v="550"/>
    <n v="850"/>
    <n v="0.15"/>
    <x v="3"/>
    <n v="8"/>
    <n v="2550"/>
    <n v="382.5"/>
    <n v="2167.5"/>
    <n v="1650"/>
    <n v="517.5"/>
    <n v="0.23875432525951557"/>
    <s v="Healthy"/>
    <s v="Safe"/>
    <n v="0.35294117647058826"/>
    <s v="Safe"/>
    <n v="300"/>
    <n v="0.35294117647058826"/>
  </r>
  <r>
    <s v="ORD-11774"/>
    <x v="20"/>
    <s v="P001"/>
    <x v="14"/>
    <s v="Food"/>
    <s v="Grains"/>
    <s v="Golden Harvest"/>
    <s v="B04"/>
    <x v="5"/>
    <s v="Lagos"/>
    <x v="4"/>
    <s v="Walk-in"/>
    <s v="Cash"/>
    <n v="2"/>
    <n v="14500"/>
    <n v="17500"/>
    <n v="0.05"/>
    <x v="9"/>
    <n v="14"/>
    <n v="35000"/>
    <n v="1750"/>
    <n v="33250"/>
    <n v="29000"/>
    <n v="4250"/>
    <n v="0.12781954887218044"/>
    <s v="Understocked"/>
    <s v="Safe"/>
    <n v="0.17142857142857143"/>
    <s v="Safe"/>
    <n v="3000"/>
    <n v="0.17142857142857143"/>
  </r>
  <r>
    <s v="ORD-11775"/>
    <x v="123"/>
    <s v="P023"/>
    <x v="6"/>
    <s v="Office Supplies"/>
    <s v="Stationery"/>
    <s v="StudyPro"/>
    <s v="B08"/>
    <x v="7"/>
    <s v="Kwara"/>
    <x v="2"/>
    <s v="Walk-in"/>
    <s v="Cash"/>
    <n v="-1"/>
    <n v="2800"/>
    <n v="4200"/>
    <n v="0"/>
    <x v="15"/>
    <n v="1"/>
    <n v="-4200"/>
    <n v="0"/>
    <n v="-4200"/>
    <n v="-2800"/>
    <n v="-1400"/>
    <n v="0.33333333333333331"/>
    <s v="Understocked"/>
    <s v="Safe"/>
    <n v="0.33333333333333331"/>
    <s v="Safe"/>
    <n v="1400"/>
    <n v="0.33333333333333331"/>
  </r>
  <r>
    <s v="ORD-11776"/>
    <x v="350"/>
    <s v="P006"/>
    <x v="0"/>
    <s v="Beverages"/>
    <s v="Water"/>
    <s v="AquaPure"/>
    <s v="B07"/>
    <x v="3"/>
    <s v="Enugu"/>
    <x v="3"/>
    <s v="Member"/>
    <s v="POS"/>
    <n v="4"/>
    <n v="230"/>
    <n v="400"/>
    <n v="0.05"/>
    <x v="2"/>
    <n v="1"/>
    <n v="1600"/>
    <n v="80"/>
    <n v="1520"/>
    <n v="920"/>
    <n v="600"/>
    <n v="0.39473684210526316"/>
    <s v="Understocked"/>
    <s v="Safe"/>
    <n v="0.42499999999999999"/>
    <s v="Safe"/>
    <n v="170"/>
    <n v="0.42499999999999999"/>
  </r>
  <r>
    <s v="ORD-11777"/>
    <x v="87"/>
    <s v="P001"/>
    <x v="14"/>
    <s v="Food"/>
    <s v="Grains"/>
    <s v="Golden Harvest"/>
    <s v="B02"/>
    <x v="4"/>
    <s v="Abuja"/>
    <x v="2"/>
    <s v="Walk-in"/>
    <s v="Transfer"/>
    <n v="4"/>
    <n v="14500"/>
    <n v="17500"/>
    <n v="0.15"/>
    <x v="8"/>
    <n v="5"/>
    <n v="70000"/>
    <n v="10500"/>
    <n v="59500"/>
    <n v="58000"/>
    <n v="1500"/>
    <n v="2.5210084033613446E-2"/>
    <s v="Understocked"/>
    <s v="Safe"/>
    <n v="0.17142857142857143"/>
    <s v="Safe"/>
    <n v="3000"/>
    <n v="0.17142857142857143"/>
  </r>
  <r>
    <s v="ORD-11778"/>
    <x v="46"/>
    <s v="P008"/>
    <x v="4"/>
    <s v="Beverages"/>
    <s v="Soft Drinks"/>
    <s v="Sparkle"/>
    <s v="B02"/>
    <x v="4"/>
    <s v="Abuja"/>
    <x v="2"/>
    <s v="Walk-in"/>
    <s v="Cash"/>
    <n v="2"/>
    <n v="330"/>
    <n v="550"/>
    <n v="0"/>
    <x v="2"/>
    <n v="1"/>
    <n v="1100"/>
    <n v="0"/>
    <n v="1100"/>
    <n v="660"/>
    <n v="440"/>
    <n v="0.4"/>
    <s v="Healthy"/>
    <s v="Safe"/>
    <n v="0.4"/>
    <s v="Safe"/>
    <n v="220"/>
    <n v="0.4"/>
  </r>
  <r>
    <s v="ORD-11779"/>
    <x v="266"/>
    <s v="P007"/>
    <x v="3"/>
    <s v="Beverages"/>
    <s v="Malt"/>
    <s v="Naija Malt"/>
    <s v="B03"/>
    <x v="6"/>
    <s v="Lagos"/>
    <x v="4"/>
    <s v="Member"/>
    <s v="POS"/>
    <n v="2"/>
    <n v="550"/>
    <n v="850"/>
    <n v="0.05"/>
    <x v="3"/>
    <n v="1"/>
    <n v="1700"/>
    <n v="85"/>
    <n v="1615"/>
    <n v="1100"/>
    <n v="515"/>
    <n v="0.31888544891640869"/>
    <s v="Healthy"/>
    <s v="Safe"/>
    <n v="0.35294117647058826"/>
    <s v="Safe"/>
    <n v="300"/>
    <n v="0.35294117647058826"/>
  </r>
  <r>
    <s v="ORD-11780"/>
    <x v="43"/>
    <s v="P014"/>
    <x v="15"/>
    <s v="Personal Care"/>
    <s v="Oral Care"/>
    <s v="FreshMint"/>
    <s v="B01"/>
    <x v="2"/>
    <s v="Abuja"/>
    <x v="2"/>
    <s v="Member"/>
    <s v="POS"/>
    <n v="2"/>
    <n v="1200"/>
    <n v="1900"/>
    <n v="0"/>
    <x v="10"/>
    <n v="13"/>
    <n v="3800"/>
    <n v="0"/>
    <n v="3800"/>
    <n v="2400"/>
    <n v="1400"/>
    <n v="0.36842105263157893"/>
    <s v="Healthy"/>
    <s v="Safe"/>
    <n v="0.36842105263157893"/>
    <s v="Safe"/>
    <n v="700"/>
    <n v="0.36842105263157893"/>
  </r>
  <r>
    <s v="ORD-11781"/>
    <x v="217"/>
    <s v="P019"/>
    <x v="18"/>
    <s v="Electronics"/>
    <s v="Audio"/>
    <s v="SoundBeat"/>
    <s v="B04"/>
    <x v="5"/>
    <s v="Lagos"/>
    <x v="4"/>
    <s v="Member"/>
    <s v="POS"/>
    <n v="4"/>
    <n v="12500"/>
    <n v="18500"/>
    <n v="0.1"/>
    <x v="13"/>
    <n v="4"/>
    <n v="74000"/>
    <n v="7400"/>
    <n v="66600"/>
    <n v="50000"/>
    <n v="16600"/>
    <n v="0.24924924924924924"/>
    <s v="Understocked"/>
    <s v="Safe"/>
    <n v="0.32432432432432434"/>
    <s v="Safe"/>
    <n v="6000"/>
    <n v="0.32432432432432434"/>
  </r>
  <r>
    <s v="ORD-11782"/>
    <x v="296"/>
    <s v="P002"/>
    <x v="10"/>
    <s v="Food"/>
    <s v="Grains"/>
    <s v="Mama's Pride"/>
    <s v="B06"/>
    <x v="1"/>
    <s v="Rivers"/>
    <x v="1"/>
    <s v="Walk-in"/>
    <s v="POS"/>
    <n v="1"/>
    <n v="6200"/>
    <n v="7900"/>
    <n v="0.1"/>
    <x v="8"/>
    <n v="11"/>
    <n v="7900"/>
    <n v="790"/>
    <n v="7110"/>
    <n v="6200"/>
    <n v="910"/>
    <n v="0.12798874824191281"/>
    <s v="Healthy"/>
    <s v="Safe"/>
    <n v="0.21518987341772153"/>
    <s v="Safe"/>
    <n v="1700"/>
    <n v="0.21518987341772153"/>
  </r>
  <r>
    <s v="ORD-11783"/>
    <x v="329"/>
    <s v="P022"/>
    <x v="17"/>
    <s v="Office Supplies"/>
    <s v="Writing"/>
    <s v="WriteWell"/>
    <s v="B03"/>
    <x v="6"/>
    <s v="Lagos"/>
    <x v="4"/>
    <s v="Member"/>
    <s v="POS"/>
    <n v="3"/>
    <n v="1300"/>
    <n v="2100"/>
    <n v="0.2"/>
    <x v="15"/>
    <n v="8"/>
    <n v="6300"/>
    <n v="1260"/>
    <n v="5040"/>
    <n v="3900"/>
    <n v="1140"/>
    <n v="0.22619047619047619"/>
    <s v="Understocked"/>
    <s v="Safe"/>
    <n v="0.38095238095238093"/>
    <s v="Safe"/>
    <n v="800"/>
    <n v="0.38095238095238093"/>
  </r>
  <r>
    <s v="ORD-11784"/>
    <x v="113"/>
    <s v="P003"/>
    <x v="12"/>
    <s v="Food"/>
    <s v="Cooking Oil"/>
    <s v="SunGold"/>
    <s v="B03"/>
    <x v="6"/>
    <s v="Lagos"/>
    <x v="4"/>
    <s v="Walk-in"/>
    <s v="POS"/>
    <n v="3"/>
    <n v="7800"/>
    <n v="9800"/>
    <n v="0.1"/>
    <x v="9"/>
    <n v="3"/>
    <n v="29400"/>
    <n v="2940"/>
    <n v="26460"/>
    <n v="23400"/>
    <n v="3060"/>
    <n v="0.11564625850340136"/>
    <s v="Understocked"/>
    <s v="Safe"/>
    <n v="0.20408163265306123"/>
    <s v="Safe"/>
    <n v="2000"/>
    <n v="0.20408163265306123"/>
  </r>
  <r>
    <s v="ORD-11785"/>
    <x v="331"/>
    <s v="P022"/>
    <x v="17"/>
    <s v="Office Supplies"/>
    <s v="Writing"/>
    <s v="WriteWell"/>
    <s v="B04"/>
    <x v="5"/>
    <s v="Lagos"/>
    <x v="4"/>
    <s v="Member"/>
    <s v="POS"/>
    <n v="3"/>
    <n v="1300"/>
    <n v="2100"/>
    <n v="0"/>
    <x v="14"/>
    <n v="3"/>
    <n v="6300"/>
    <n v="0"/>
    <n v="6300"/>
    <n v="3900"/>
    <n v="2400"/>
    <n v="0.38095238095238093"/>
    <s v="Understocked"/>
    <s v="Safe"/>
    <n v="0.38095238095238093"/>
    <s v="Safe"/>
    <n v="800"/>
    <n v="0.38095238095238093"/>
  </r>
  <r>
    <s v="ORD-11786"/>
    <x v="359"/>
    <s v="P023"/>
    <x v="6"/>
    <s v="Office Supplies"/>
    <s v="Stationery"/>
    <s v="StudyPro"/>
    <s v="B05"/>
    <x v="0"/>
    <s v="Kano"/>
    <x v="0"/>
    <s v="Member"/>
    <s v="POS"/>
    <n v="-2"/>
    <n v="2800"/>
    <n v="4200"/>
    <n v="0.1"/>
    <x v="14"/>
    <n v="13"/>
    <n v="-8400"/>
    <n v="-840"/>
    <n v="-7560"/>
    <n v="-5600"/>
    <n v="-1960"/>
    <n v="0.25925925925925924"/>
    <s v="Understocked"/>
    <s v="Discount loss"/>
    <n v="0.33333333333333331"/>
    <s v="Safe"/>
    <n v="1400"/>
    <n v="0.33333333333333331"/>
  </r>
  <r>
    <s v="ORD-11787"/>
    <x v="26"/>
    <s v="P004"/>
    <x v="1"/>
    <s v="Beverages"/>
    <s v="Dairy"/>
    <s v="FreshDay"/>
    <s v="B03"/>
    <x v="6"/>
    <s v="Lagos"/>
    <x v="4"/>
    <s v="Walk-in"/>
    <s v="Transfer"/>
    <n v="10"/>
    <n v="1650"/>
    <n v="2200"/>
    <n v="0.1"/>
    <x v="0"/>
    <n v="8"/>
    <n v="22000"/>
    <n v="2200"/>
    <n v="19800"/>
    <n v="16500"/>
    <n v="3300"/>
    <n v="0.16666666666666666"/>
    <s v="Understocked"/>
    <s v="Safe"/>
    <n v="0.25"/>
    <s v="Safe"/>
    <n v="550"/>
    <n v="0.25"/>
  </r>
  <r>
    <s v="ORD-11788"/>
    <x v="47"/>
    <s v="P019"/>
    <x v="18"/>
    <s v="Electronics"/>
    <s v="Audio"/>
    <s v="SoundBeat"/>
    <s v="B01"/>
    <x v="2"/>
    <s v="Abuja"/>
    <x v="2"/>
    <s v="Member"/>
    <s v="POS"/>
    <n v="2"/>
    <n v="12500"/>
    <n v="18500"/>
    <n v="0.15"/>
    <x v="12"/>
    <n v="13"/>
    <n v="37000"/>
    <n v="5550"/>
    <n v="31450"/>
    <n v="25000"/>
    <n v="6450"/>
    <n v="0.20508744038155802"/>
    <s v="Understocked"/>
    <s v="Safe"/>
    <n v="0.32432432432432434"/>
    <s v="Safe"/>
    <n v="6000"/>
    <n v="0.32432432432432434"/>
  </r>
  <r>
    <s v="ORD-11789"/>
    <x v="221"/>
    <s v="P003"/>
    <x v="12"/>
    <s v="Food"/>
    <s v="Cooking Oil"/>
    <s v="SunGold"/>
    <s v="B08"/>
    <x v="7"/>
    <s v="Kwara"/>
    <x v="2"/>
    <s v="Member"/>
    <s v="Card"/>
    <n v="8"/>
    <n v="7800"/>
    <n v="9800"/>
    <n v="0.2"/>
    <x v="1"/>
    <n v="12"/>
    <n v="78400"/>
    <n v="15680"/>
    <n v="62720"/>
    <n v="62400"/>
    <n v="320"/>
    <n v="5.1020408163265302E-3"/>
    <s v="Understocked"/>
    <s v="Safe"/>
    <n v="0.20408163265306123"/>
    <s v="Safe"/>
    <n v="2000"/>
    <n v="0.20408163265306123"/>
  </r>
  <r>
    <s v="ORD-11790"/>
    <x v="268"/>
    <s v="P009"/>
    <x v="13"/>
    <s v="Household"/>
    <s v="Cleaning"/>
    <s v="BrightWash"/>
    <s v="B04"/>
    <x v="5"/>
    <s v="Lagos"/>
    <x v="4"/>
    <s v="Member"/>
    <s v="POS"/>
    <n v="10"/>
    <n v="2400"/>
    <n v="3400"/>
    <n v="0.1"/>
    <x v="7"/>
    <n v="8"/>
    <n v="34000"/>
    <n v="3400"/>
    <n v="30600"/>
    <n v="24000"/>
    <n v="6600"/>
    <n v="0.21568627450980393"/>
    <s v="Healthy"/>
    <s v="Safe"/>
    <n v="0.29411764705882354"/>
    <s v="Safe"/>
    <n v="1000"/>
    <n v="0.29411764705882354"/>
  </r>
  <r>
    <s v="ORD-11791"/>
    <x v="298"/>
    <s v="P009"/>
    <x v="13"/>
    <s v="Household"/>
    <s v="Cleaning"/>
    <s v="BrightWash"/>
    <s v="B04"/>
    <x v="5"/>
    <s v="Lagos"/>
    <x v="4"/>
    <s v="Walk-in"/>
    <s v="POS"/>
    <n v="2"/>
    <n v="2400"/>
    <n v="3400"/>
    <n v="0.1"/>
    <x v="7"/>
    <n v="9"/>
    <n v="6800"/>
    <n v="680"/>
    <n v="6120"/>
    <n v="4800"/>
    <n v="1320"/>
    <n v="0.21568627450980393"/>
    <s v="Healthy"/>
    <s v="Safe"/>
    <n v="0.29411764705882354"/>
    <s v="Safe"/>
    <n v="1000"/>
    <n v="0.29411764705882354"/>
  </r>
  <r>
    <s v="ORD-11792"/>
    <x v="131"/>
    <s v="P006"/>
    <x v="0"/>
    <s v="Beverages"/>
    <s v="Water"/>
    <s v="AquaPure"/>
    <s v="B01"/>
    <x v="2"/>
    <s v="Abuja"/>
    <x v="2"/>
    <s v="Member"/>
    <s v="Transfer"/>
    <n v="4"/>
    <n v="230"/>
    <n v="400"/>
    <n v="0.05"/>
    <x v="0"/>
    <n v="12"/>
    <n v="1600"/>
    <n v="80"/>
    <n v="1520"/>
    <n v="920"/>
    <n v="600"/>
    <n v="0.39473684210526316"/>
    <s v="Understocked"/>
    <s v="Safe"/>
    <n v="0.42499999999999999"/>
    <s v="Safe"/>
    <n v="170"/>
    <n v="0.42499999999999999"/>
  </r>
  <r>
    <s v="ORD-11793"/>
    <x v="268"/>
    <s v="P023"/>
    <x v="6"/>
    <s v="Office Supplies"/>
    <s v="Stationery"/>
    <s v="StudyPro"/>
    <s v="B08"/>
    <x v="7"/>
    <s v="Kwara"/>
    <x v="2"/>
    <s v="Walk-in"/>
    <s v="Cash"/>
    <n v="2"/>
    <n v="2800"/>
    <n v="4200"/>
    <n v="0.2"/>
    <x v="15"/>
    <n v="5"/>
    <n v="8400"/>
    <n v="1680"/>
    <n v="6720"/>
    <n v="5600"/>
    <n v="1120"/>
    <n v="0.16666666666666666"/>
    <s v="Understocked"/>
    <s v="Safe"/>
    <n v="0.33333333333333331"/>
    <s v="Safe"/>
    <n v="1400"/>
    <n v="0.33333333333333331"/>
  </r>
  <r>
    <s v="ORD-11794"/>
    <x v="300"/>
    <s v="P008"/>
    <x v="4"/>
    <s v="Beverages"/>
    <s v="Soft Drinks"/>
    <s v="Sparkle"/>
    <s v="B04"/>
    <x v="5"/>
    <s v="Lagos"/>
    <x v="4"/>
    <s v="Member"/>
    <s v="Transfer"/>
    <n v="1"/>
    <n v="330"/>
    <n v="550"/>
    <n v="0.15"/>
    <x v="3"/>
    <n v="5"/>
    <n v="550"/>
    <n v="82.5"/>
    <n v="467.5"/>
    <n v="330"/>
    <n v="137.5"/>
    <n v="0.29411764705882354"/>
    <s v="Healthy"/>
    <s v="Safe"/>
    <n v="0.4"/>
    <s v="Safe"/>
    <n v="220"/>
    <n v="0.4"/>
  </r>
  <r>
    <s v="ORD-11795"/>
    <x v="307"/>
    <s v="P017"/>
    <x v="23"/>
    <s v="Electronics"/>
    <s v="Accessories"/>
    <s v="PowerMax"/>
    <s v="B05"/>
    <x v="0"/>
    <s v="Kano"/>
    <x v="0"/>
    <s v="Walk-in"/>
    <s v="POS"/>
    <n v="8"/>
    <n v="7500"/>
    <n v="10500"/>
    <n v="0.15"/>
    <x v="13"/>
    <n v="13"/>
    <n v="84000"/>
    <n v="12600"/>
    <n v="71400"/>
    <n v="60000"/>
    <n v="11400"/>
    <n v="0.15966386554621848"/>
    <s v="Healthy"/>
    <s v="Safe"/>
    <n v="0.2857142857142857"/>
    <s v="Safe"/>
    <n v="3000"/>
    <n v="0.2857142857142857"/>
  </r>
  <r>
    <s v="ORD-11796"/>
    <x v="224"/>
    <s v="P008"/>
    <x v="4"/>
    <s v="Beverages"/>
    <s v="Soft Drinks"/>
    <s v="Sparkle"/>
    <s v="B07"/>
    <x v="3"/>
    <s v="Enugu"/>
    <x v="3"/>
    <s v="Walk-in"/>
    <s v="POS"/>
    <n v="1"/>
    <n v="330"/>
    <n v="550"/>
    <n v="0.1"/>
    <x v="0"/>
    <n v="14"/>
    <n v="550"/>
    <n v="55"/>
    <n v="495"/>
    <n v="330"/>
    <n v="165"/>
    <n v="0.33333333333333331"/>
    <s v="Healthy"/>
    <s v="Safe"/>
    <n v="0.4"/>
    <s v="Safe"/>
    <n v="220"/>
    <n v="0.4"/>
  </r>
  <r>
    <s v="ORD-11797"/>
    <x v="1"/>
    <s v="P001"/>
    <x v="14"/>
    <s v="Food"/>
    <s v="Grains"/>
    <s v="Golden Harvest"/>
    <s v="B01"/>
    <x v="2"/>
    <s v="Abuja"/>
    <x v="2"/>
    <s v="Walk-in"/>
    <s v="POS"/>
    <n v="2"/>
    <n v="14500"/>
    <n v="17500"/>
    <n v="0.1"/>
    <x v="1"/>
    <n v="7"/>
    <n v="35000"/>
    <n v="3500"/>
    <n v="31500"/>
    <n v="29000"/>
    <n v="2500"/>
    <n v="7.9365079365079361E-2"/>
    <s v="Understocked"/>
    <s v="Safe"/>
    <n v="0.17142857142857143"/>
    <s v="Safe"/>
    <n v="3000"/>
    <n v="0.17142857142857143"/>
  </r>
  <r>
    <s v="ORD-11798"/>
    <x v="96"/>
    <s v="P001"/>
    <x v="14"/>
    <s v="Food"/>
    <s v="Grains"/>
    <s v="Golden Harvest"/>
    <s v="B07"/>
    <x v="3"/>
    <s v="Enugu"/>
    <x v="3"/>
    <s v="Walk-in"/>
    <s v="POS"/>
    <n v="3"/>
    <n v="14500"/>
    <n v="17500"/>
    <n v="0"/>
    <x v="1"/>
    <n v="9"/>
    <n v="52500"/>
    <n v="0"/>
    <n v="52500"/>
    <n v="43500"/>
    <n v="9000"/>
    <n v="0.17142857142857143"/>
    <s v="Understocked"/>
    <s v="Safe"/>
    <n v="0.17142857142857143"/>
    <s v="Safe"/>
    <n v="3000"/>
    <n v="0.17142857142857143"/>
  </r>
  <r>
    <s v="ORD-11799"/>
    <x v="182"/>
    <s v="P015"/>
    <x v="8"/>
    <s v="Personal Care"/>
    <s v="Bath"/>
    <s v="SilkyTouch"/>
    <s v="B03"/>
    <x v="6"/>
    <s v="Lagos"/>
    <x v="4"/>
    <s v="Member"/>
    <s v="POS"/>
    <n v="5"/>
    <n v="600"/>
    <n v="950"/>
    <n v="0.05"/>
    <x v="10"/>
    <n v="11"/>
    <n v="4750"/>
    <n v="237.5"/>
    <n v="4512.5"/>
    <n v="3000"/>
    <n v="1512.5"/>
    <n v="0.33518005540166207"/>
    <s v="Healthy"/>
    <s v="Safe"/>
    <n v="0.36842105263157893"/>
    <s v="Safe"/>
    <n v="350"/>
    <n v="0.36842105263157893"/>
  </r>
  <r>
    <s v="ORD-11800"/>
    <x v="361"/>
    <s v="P013"/>
    <x v="11"/>
    <s v="Personal Care"/>
    <s v="Skin Care"/>
    <s v="GlowPlus"/>
    <s v="B07"/>
    <x v="3"/>
    <s v="Enugu"/>
    <x v="3"/>
    <s v="Walk-in"/>
    <s v="POS"/>
    <n v="8"/>
    <n v="3500"/>
    <n v="5200"/>
    <n v="0.1"/>
    <x v="11"/>
    <n v="9"/>
    <n v="41600"/>
    <n v="4160"/>
    <n v="37440"/>
    <n v="28000"/>
    <n v="9440"/>
    <n v="0.25213675213675213"/>
    <s v="Healthy"/>
    <s v="Safe"/>
    <n v="0.32692307692307693"/>
    <s v="Safe"/>
    <n v="1700"/>
    <n v="0.32692307692307693"/>
  </r>
  <r>
    <s v="ORD-11801"/>
    <x v="26"/>
    <s v="P022"/>
    <x v="17"/>
    <s v="Office Supplies"/>
    <s v="Writing"/>
    <s v="WriteWell"/>
    <s v="B03"/>
    <x v="6"/>
    <s v="Lagos"/>
    <x v="4"/>
    <s v="Walk-in"/>
    <s v="Transfer"/>
    <n v="2"/>
    <n v="1300"/>
    <n v="2100"/>
    <n v="0.05"/>
    <x v="15"/>
    <n v="9"/>
    <n v="4200"/>
    <n v="210"/>
    <n v="3990"/>
    <n v="2600"/>
    <n v="1390"/>
    <n v="0.34837092731829572"/>
    <s v="Understocked"/>
    <s v="Safe"/>
    <n v="0.38095238095238093"/>
    <s v="Safe"/>
    <n v="800"/>
    <n v="0.38095238095238093"/>
  </r>
  <r>
    <s v="ORD-11802"/>
    <x v="233"/>
    <s v="P003"/>
    <x v="12"/>
    <s v="Food"/>
    <s v="Cooking Oil"/>
    <s v="SunGold"/>
    <s v="B08"/>
    <x v="7"/>
    <s v="Kwara"/>
    <x v="2"/>
    <s v="Member"/>
    <s v="Transfer"/>
    <n v="2"/>
    <n v="7800"/>
    <n v="9800"/>
    <n v="0.1"/>
    <x v="1"/>
    <n v="9"/>
    <n v="19600"/>
    <n v="1960"/>
    <n v="17640"/>
    <n v="15600"/>
    <n v="2040"/>
    <n v="0.11564625850340136"/>
    <s v="Understocked"/>
    <s v="Safe"/>
    <n v="0.20408163265306123"/>
    <s v="Safe"/>
    <n v="2000"/>
    <n v="0.20408163265306123"/>
  </r>
  <r>
    <s v="ORD-11803"/>
    <x v="136"/>
    <s v="P023"/>
    <x v="6"/>
    <s v="Office Supplies"/>
    <s v="Stationery"/>
    <s v="StudyPro"/>
    <s v="B08"/>
    <x v="7"/>
    <s v="Kwara"/>
    <x v="2"/>
    <s v="Walk-in"/>
    <s v="POS"/>
    <n v="5"/>
    <n v="2800"/>
    <n v="4200"/>
    <n v="0"/>
    <x v="15"/>
    <n v="10"/>
    <n v="21000"/>
    <n v="0"/>
    <n v="21000"/>
    <n v="14000"/>
    <n v="7000"/>
    <n v="0.33333333333333331"/>
    <s v="Understocked"/>
    <s v="Safe"/>
    <n v="0.33333333333333331"/>
    <s v="Safe"/>
    <n v="1400"/>
    <n v="0.33333333333333331"/>
  </r>
  <r>
    <s v="ORD-11804"/>
    <x v="35"/>
    <s v="P003"/>
    <x v="12"/>
    <s v="Food"/>
    <s v="Cooking Oil"/>
    <s v="SunGold"/>
    <s v="B03"/>
    <x v="6"/>
    <s v="Lagos"/>
    <x v="4"/>
    <s v="Member"/>
    <s v="Transfer"/>
    <n v="3"/>
    <n v="7800"/>
    <n v="9800"/>
    <n v="0.2"/>
    <x v="1"/>
    <n v="2"/>
    <n v="29400"/>
    <n v="5880"/>
    <n v="23520"/>
    <n v="23400"/>
    <n v="120"/>
    <n v="5.1020408163265302E-3"/>
    <s v="Understocked"/>
    <s v="Safe"/>
    <n v="0.20408163265306123"/>
    <s v="Safe"/>
    <n v="2000"/>
    <n v="0.20408163265306123"/>
  </r>
  <r>
    <s v="ORD-11805"/>
    <x v="362"/>
    <s v="P019"/>
    <x v="18"/>
    <s v="Electronics"/>
    <s v="Audio"/>
    <s v="SoundBeat"/>
    <s v="B01"/>
    <x v="2"/>
    <s v="Abuja"/>
    <x v="2"/>
    <s v="Walk-in"/>
    <s v="POS"/>
    <n v="1"/>
    <n v="12500"/>
    <n v="18500"/>
    <n v="0.2"/>
    <x v="12"/>
    <n v="4"/>
    <n v="18500"/>
    <n v="3700"/>
    <n v="14800"/>
    <n v="12500"/>
    <n v="2300"/>
    <n v="0.1554054054054054"/>
    <s v="Understocked"/>
    <s v="Safe"/>
    <n v="0.32432432432432434"/>
    <s v="Safe"/>
    <n v="6000"/>
    <n v="0.32432432432432434"/>
  </r>
  <r>
    <s v="ORD-11806"/>
    <x v="223"/>
    <s v="P013"/>
    <x v="11"/>
    <s v="Personal Care"/>
    <s v="Skin Care"/>
    <s v="GlowPlus"/>
    <s v="B02"/>
    <x v="4"/>
    <s v="Abuja"/>
    <x v="2"/>
    <s v="Walk-in"/>
    <s v="Card"/>
    <n v="5"/>
    <n v="3500"/>
    <n v="5200"/>
    <n v="0"/>
    <x v="11"/>
    <n v="12"/>
    <n v="26000"/>
    <n v="0"/>
    <n v="26000"/>
    <n v="17500"/>
    <n v="8500"/>
    <n v="0.32692307692307693"/>
    <s v="Healthy"/>
    <s v="Safe"/>
    <n v="0.32692307692307693"/>
    <s v="Safe"/>
    <n v="1700"/>
    <n v="0.32692307692307693"/>
  </r>
  <r>
    <s v="ORD-11807"/>
    <x v="346"/>
    <s v="P006"/>
    <x v="0"/>
    <s v="Beverages"/>
    <s v="Water"/>
    <s v="AquaPure"/>
    <s v="B08"/>
    <x v="7"/>
    <s v="Kwara"/>
    <x v="2"/>
    <s v="Walk-in"/>
    <s v="Cash"/>
    <n v="1"/>
    <n v="230"/>
    <n v="400"/>
    <n v="0"/>
    <x v="2"/>
    <n v="13"/>
    <n v="400"/>
    <n v="0"/>
    <n v="400"/>
    <n v="230"/>
    <n v="170"/>
    <n v="0.42499999999999999"/>
    <s v="Understocked"/>
    <s v="Safe"/>
    <n v="0.42499999999999999"/>
    <s v="Safe"/>
    <n v="170"/>
    <n v="0.42499999999999999"/>
  </r>
  <r>
    <s v="ORD-11808"/>
    <x v="187"/>
    <s v="P021"/>
    <x v="20"/>
    <s v="Office Supplies"/>
    <s v="Paper"/>
    <s v="OfficeMate"/>
    <s v="B03"/>
    <x v="6"/>
    <s v="Lagos"/>
    <x v="4"/>
    <s v="Walk-in"/>
    <s v="Card"/>
    <n v="8"/>
    <n v="5200"/>
    <n v="7000"/>
    <n v="0.2"/>
    <x v="5"/>
    <n v="2"/>
    <n v="56000"/>
    <n v="11200"/>
    <n v="44800"/>
    <n v="41600"/>
    <n v="3200"/>
    <n v="7.1428571428571425E-2"/>
    <s v="Overstocked"/>
    <s v="Safe"/>
    <n v="0.25714285714285712"/>
    <s v="Safe"/>
    <n v="1800"/>
    <n v="0.25714285714285712"/>
  </r>
  <r>
    <s v="ORD-11809"/>
    <x v="243"/>
    <s v="P001"/>
    <x v="14"/>
    <s v="Food"/>
    <s v="Grains"/>
    <s v="Golden Harvest"/>
    <s v="B02"/>
    <x v="4"/>
    <s v="Abuja"/>
    <x v="2"/>
    <s v="Walk-in"/>
    <s v="Transfer"/>
    <n v="2"/>
    <n v="14500"/>
    <n v="17500"/>
    <n v="0"/>
    <x v="9"/>
    <n v="8"/>
    <n v="35000"/>
    <n v="0"/>
    <n v="35000"/>
    <n v="29000"/>
    <n v="6000"/>
    <n v="0.17142857142857143"/>
    <s v="Understocked"/>
    <s v="Safe"/>
    <n v="0.17142857142857143"/>
    <s v="Safe"/>
    <n v="3000"/>
    <n v="0.17142857142857143"/>
  </r>
  <r>
    <s v="ORD-11810"/>
    <x v="58"/>
    <s v="P021"/>
    <x v="20"/>
    <s v="Office Supplies"/>
    <s v="Paper"/>
    <s v="OfficeMate"/>
    <s v="B08"/>
    <x v="7"/>
    <s v="Kwara"/>
    <x v="2"/>
    <s v="Member"/>
    <s v="POS"/>
    <n v="1"/>
    <n v="5200"/>
    <n v="7000"/>
    <n v="0.15"/>
    <x v="5"/>
    <n v="13"/>
    <n v="7000"/>
    <n v="1050"/>
    <n v="5950"/>
    <n v="5200"/>
    <n v="750"/>
    <n v="0.12605042016806722"/>
    <s v="Overstocked"/>
    <s v="Safe"/>
    <n v="0.25714285714285712"/>
    <s v="Safe"/>
    <n v="1800"/>
    <n v="0.25714285714285712"/>
  </r>
  <r>
    <s v="ORD-11811"/>
    <x v="137"/>
    <s v="P010"/>
    <x v="22"/>
    <s v="Household"/>
    <s v="Paper Products"/>
    <s v="SoftCare"/>
    <s v="B08"/>
    <x v="7"/>
    <s v="Kwara"/>
    <x v="2"/>
    <s v="Walk-in"/>
    <s v="POS"/>
    <n v="4"/>
    <n v="3200"/>
    <n v="4500"/>
    <n v="0.15"/>
    <x v="7"/>
    <n v="5"/>
    <n v="18000"/>
    <n v="2700"/>
    <n v="15300"/>
    <n v="12800"/>
    <n v="2500"/>
    <n v="0.16339869281045752"/>
    <s v="Healthy"/>
    <s v="Safe"/>
    <n v="0.28888888888888886"/>
    <s v="Safe"/>
    <n v="1300"/>
    <n v="0.28888888888888886"/>
  </r>
  <r>
    <s v="ORD-11812"/>
    <x v="52"/>
    <s v="P007"/>
    <x v="3"/>
    <s v="Beverages"/>
    <s v="Malt"/>
    <s v="Naija Malt"/>
    <s v="B07"/>
    <x v="3"/>
    <s v="Enugu"/>
    <x v="3"/>
    <s v="Walk-in"/>
    <s v="Cash"/>
    <n v="1"/>
    <n v="550"/>
    <n v="850"/>
    <n v="0"/>
    <x v="2"/>
    <n v="11"/>
    <n v="850"/>
    <n v="0"/>
    <n v="850"/>
    <n v="550"/>
    <n v="300"/>
    <n v="0.35294117647058826"/>
    <s v="Healthy"/>
    <s v="Safe"/>
    <n v="0.35294117647058826"/>
    <s v="Safe"/>
    <n v="300"/>
    <n v="0.35294117647058826"/>
  </r>
  <r>
    <s v="ORD-11813"/>
    <x v="26"/>
    <s v="P010"/>
    <x v="22"/>
    <s v="Household"/>
    <s v="Paper Products"/>
    <s v="SoftCare"/>
    <s v="B05"/>
    <x v="0"/>
    <s v="Kano"/>
    <x v="0"/>
    <s v="Walk-in"/>
    <s v="POS"/>
    <n v="3"/>
    <n v="3200"/>
    <n v="4500"/>
    <n v="0.15"/>
    <x v="10"/>
    <n v="12"/>
    <n v="13500"/>
    <n v="2025"/>
    <n v="11475"/>
    <n v="9600"/>
    <n v="1875"/>
    <n v="0.16339869281045752"/>
    <s v="Healthy"/>
    <s v="Safe"/>
    <n v="0.28888888888888886"/>
    <s v="Safe"/>
    <n v="1300"/>
    <n v="0.28888888888888886"/>
  </r>
  <r>
    <s v="ORD-11814"/>
    <x v="147"/>
    <s v="P006"/>
    <x v="0"/>
    <s v="Beverages"/>
    <s v="Water"/>
    <s v="AquaPure"/>
    <s v="B04"/>
    <x v="5"/>
    <s v="Lagos"/>
    <x v="4"/>
    <s v="Member"/>
    <s v="Transfer"/>
    <n v="3"/>
    <n v="230"/>
    <n v="400"/>
    <n v="0.1"/>
    <x v="0"/>
    <n v="5"/>
    <n v="1200"/>
    <n v="120"/>
    <n v="1080"/>
    <n v="690"/>
    <n v="390"/>
    <n v="0.3611111111111111"/>
    <s v="Understocked"/>
    <s v="Safe"/>
    <n v="0.42499999999999999"/>
    <s v="Safe"/>
    <n v="170"/>
    <n v="0.42499999999999999"/>
  </r>
  <r>
    <s v="ORD-11815"/>
    <x v="10"/>
    <s v="P001"/>
    <x v="14"/>
    <s v="Food"/>
    <s v="Grains"/>
    <s v="Golden Harvest"/>
    <s v="B01"/>
    <x v="2"/>
    <s v="Abuja"/>
    <x v="2"/>
    <s v="Walk-in"/>
    <s v="POS"/>
    <n v="1"/>
    <n v="14500"/>
    <n v="17500"/>
    <n v="0.1"/>
    <x v="8"/>
    <n v="6"/>
    <n v="17500"/>
    <n v="1750"/>
    <n v="15750"/>
    <n v="14500"/>
    <n v="1250"/>
    <n v="7.9365079365079361E-2"/>
    <s v="Understocked"/>
    <s v="Safe"/>
    <n v="0.17142857142857143"/>
    <s v="Safe"/>
    <n v="3000"/>
    <n v="0.17142857142857143"/>
  </r>
  <r>
    <s v="ORD-11816"/>
    <x v="239"/>
    <s v="P020"/>
    <x v="5"/>
    <s v="Electronics"/>
    <s v="Lighting"/>
    <s v="Luma"/>
    <s v="B01"/>
    <x v="2"/>
    <s v="Abuja"/>
    <x v="2"/>
    <s v="Walk-in"/>
    <s v="POS"/>
    <n v="1"/>
    <n v="1500"/>
    <n v="2500"/>
    <n v="0.05"/>
    <x v="4"/>
    <n v="14"/>
    <n v="2500"/>
    <n v="125"/>
    <n v="2375"/>
    <n v="1500"/>
    <n v="875"/>
    <n v="0.36842105263157893"/>
    <s v="Healthy"/>
    <s v="Safe"/>
    <n v="0.4"/>
    <s v="Safe"/>
    <n v="1000"/>
    <n v="0.4"/>
  </r>
  <r>
    <s v="ORD-11817"/>
    <x v="241"/>
    <s v="P018"/>
    <x v="16"/>
    <s v="Electronics"/>
    <s v="Mobile Accessories"/>
    <s v="VoltSafe"/>
    <s v="B02"/>
    <x v="4"/>
    <s v="Abuja"/>
    <x v="2"/>
    <s v="Member"/>
    <s v="Cash"/>
    <n v="2"/>
    <n v="18000"/>
    <n v="24500"/>
    <n v="0.05"/>
    <x v="12"/>
    <n v="10"/>
    <n v="49000"/>
    <n v="2450"/>
    <n v="46550"/>
    <n v="36000"/>
    <n v="10550"/>
    <n v="0.22663802363050484"/>
    <s v="Understocked"/>
    <s v="Safe"/>
    <n v="0.26530612244897961"/>
    <s v="Safe"/>
    <n v="6500"/>
    <n v="0.26530612244897961"/>
  </r>
  <r>
    <s v="ORD-11818"/>
    <x v="117"/>
    <s v="P011"/>
    <x v="9"/>
    <s v="Household"/>
    <s v="Cleaning"/>
    <s v="CleanPro"/>
    <s v="B03"/>
    <x v="6"/>
    <s v="Lagos"/>
    <x v="4"/>
    <s v="Member"/>
    <s v="POS"/>
    <n v="1"/>
    <n v="2800"/>
    <n v="3900"/>
    <n v="0"/>
    <x v="7"/>
    <n v="5"/>
    <n v="3900"/>
    <n v="0"/>
    <n v="3900"/>
    <n v="2800"/>
    <n v="1100"/>
    <n v="0.28205128205128205"/>
    <s v="Healthy"/>
    <s v="Safe"/>
    <n v="0.28205128205128205"/>
    <s v="Safe"/>
    <n v="1100"/>
    <n v="0.28205128205128205"/>
  </r>
  <r>
    <s v="ORD-11819"/>
    <x v="263"/>
    <s v="P005"/>
    <x v="2"/>
    <s v="Food"/>
    <s v="Snacks"/>
    <s v="CrispyBite"/>
    <s v="B01"/>
    <x v="2"/>
    <s v="Abuja"/>
    <x v="2"/>
    <s v="Member"/>
    <s v="Card"/>
    <n v="8"/>
    <n v="850"/>
    <n v="1300"/>
    <n v="0.2"/>
    <x v="1"/>
    <n v="14"/>
    <n v="10400"/>
    <n v="2080"/>
    <n v="8320"/>
    <n v="6800"/>
    <n v="1520"/>
    <n v="0.18269230769230768"/>
    <s v="Understocked"/>
    <s v="Safe"/>
    <n v="0.34615384615384615"/>
    <s v="Safe"/>
    <n v="450"/>
    <n v="0.34615384615384615"/>
  </r>
  <r>
    <s v="ORD-11820"/>
    <x v="34"/>
    <s v="P008"/>
    <x v="4"/>
    <s v="Beverages"/>
    <s v="Soft Drinks"/>
    <s v="Sparkle"/>
    <s v="B03"/>
    <x v="6"/>
    <s v="Lagos"/>
    <x v="4"/>
    <s v="Walk-in"/>
    <s v="POS"/>
    <n v="2"/>
    <n v="330"/>
    <n v="550"/>
    <n v="0.05"/>
    <x v="2"/>
    <n v="6"/>
    <n v="1100"/>
    <n v="55"/>
    <n v="1045"/>
    <n v="660"/>
    <n v="385"/>
    <n v="0.36842105263157893"/>
    <s v="Healthy"/>
    <s v="Safe"/>
    <n v="0.4"/>
    <s v="Safe"/>
    <n v="220"/>
    <n v="0.4"/>
  </r>
  <r>
    <s v="ORD-11821"/>
    <x v="339"/>
    <s v="P008"/>
    <x v="4"/>
    <s v="Beverages"/>
    <s v="Soft Drinks"/>
    <s v="Sparkle"/>
    <s v="B03"/>
    <x v="6"/>
    <s v="Lagos"/>
    <x v="4"/>
    <s v="Walk-in"/>
    <s v="POS"/>
    <n v="3"/>
    <n v="330"/>
    <n v="550"/>
    <n v="0"/>
    <x v="2"/>
    <n v="4"/>
    <n v="1650"/>
    <n v="0"/>
    <n v="1650"/>
    <n v="990"/>
    <n v="660"/>
    <n v="0.4"/>
    <s v="Healthy"/>
    <s v="Safe"/>
    <n v="0.4"/>
    <s v="Safe"/>
    <n v="220"/>
    <n v="0.4"/>
  </r>
  <r>
    <s v="ORD-11822"/>
    <x v="74"/>
    <s v="P018"/>
    <x v="16"/>
    <s v="Electronics"/>
    <s v="Mobile Accessories"/>
    <s v="VoltSafe"/>
    <s v="B01"/>
    <x v="2"/>
    <s v="Abuja"/>
    <x v="2"/>
    <s v="Walk-in"/>
    <s v="POS"/>
    <n v="1"/>
    <n v="18000"/>
    <n v="24500"/>
    <n v="0.15"/>
    <x v="13"/>
    <n v="13"/>
    <n v="24500"/>
    <n v="3675"/>
    <n v="20825"/>
    <n v="18000"/>
    <n v="2825"/>
    <n v="0.13565426170468187"/>
    <s v="Understocked"/>
    <s v="Safe"/>
    <n v="0.26530612244897961"/>
    <s v="Safe"/>
    <n v="6500"/>
    <n v="0.26530612244897961"/>
  </r>
  <r>
    <s v="ORD-11823"/>
    <x v="97"/>
    <s v="P004"/>
    <x v="1"/>
    <s v="Beverages"/>
    <s v="Dairy"/>
    <s v="FreshDay"/>
    <s v="B03"/>
    <x v="6"/>
    <s v="Lagos"/>
    <x v="4"/>
    <s v="Walk-in"/>
    <s v="Transfer"/>
    <n v="4"/>
    <n v="1650"/>
    <n v="2200"/>
    <n v="0"/>
    <x v="0"/>
    <n v="6"/>
    <n v="8800"/>
    <n v="0"/>
    <n v="8800"/>
    <n v="6600"/>
    <n v="2200"/>
    <n v="0.25"/>
    <s v="Understocked"/>
    <s v="Safe"/>
    <n v="0.25"/>
    <s v="Safe"/>
    <n v="550"/>
    <n v="0.25"/>
  </r>
  <r>
    <s v="ORD-11824"/>
    <x v="308"/>
    <s v="P001"/>
    <x v="14"/>
    <s v="Food"/>
    <s v="Grains"/>
    <s v="Golden Harvest"/>
    <s v="B08"/>
    <x v="7"/>
    <s v="Kwara"/>
    <x v="2"/>
    <s v="Walk-in"/>
    <s v="Cash"/>
    <n v="2"/>
    <n v="14500"/>
    <n v="17500"/>
    <n v="0.15"/>
    <x v="9"/>
    <n v="13"/>
    <n v="35000"/>
    <n v="5250"/>
    <n v="29750"/>
    <n v="29000"/>
    <n v="750"/>
    <n v="2.5210084033613446E-2"/>
    <s v="Understocked"/>
    <s v="Safe"/>
    <n v="0.17142857142857143"/>
    <s v="Safe"/>
    <n v="3000"/>
    <n v="0.17142857142857143"/>
  </r>
  <r>
    <s v="ORD-11825"/>
    <x v="63"/>
    <s v="P023"/>
    <x v="6"/>
    <s v="Office Supplies"/>
    <s v="Stationery"/>
    <s v="StudyPro"/>
    <s v="B04"/>
    <x v="5"/>
    <s v="Lagos"/>
    <x v="4"/>
    <s v="Walk-in"/>
    <s v="Card"/>
    <n v="4"/>
    <n v="2800"/>
    <n v="4200"/>
    <n v="0.05"/>
    <x v="15"/>
    <n v="7"/>
    <n v="16800"/>
    <n v="840"/>
    <n v="15960"/>
    <n v="11200"/>
    <n v="4760"/>
    <n v="0.2982456140350877"/>
    <s v="Understocked"/>
    <s v="Safe"/>
    <n v="0.33333333333333331"/>
    <s v="Safe"/>
    <n v="1400"/>
    <n v="0.33333333333333331"/>
  </r>
  <r>
    <s v="ORD-11826"/>
    <x v="151"/>
    <s v="P004"/>
    <x v="1"/>
    <s v="Beverages"/>
    <s v="Dairy"/>
    <s v="FreshDay"/>
    <s v="B06"/>
    <x v="1"/>
    <s v="Rivers"/>
    <x v="1"/>
    <s v="Corporate"/>
    <s v="Transfer"/>
    <n v="1"/>
    <n v="1650"/>
    <n v="2200"/>
    <n v="0.05"/>
    <x v="2"/>
    <n v="9"/>
    <n v="2200"/>
    <n v="110"/>
    <n v="2090"/>
    <n v="1650"/>
    <n v="440"/>
    <n v="0.21052631578947367"/>
    <s v="Understocked"/>
    <s v="Safe"/>
    <n v="0.25"/>
    <s v="Safe"/>
    <n v="550"/>
    <n v="0.25"/>
  </r>
  <r>
    <s v="ORD-11827"/>
    <x v="198"/>
    <s v="P007"/>
    <x v="3"/>
    <s v="Beverages"/>
    <s v="Malt"/>
    <s v="Naija Malt"/>
    <s v="B01"/>
    <x v="2"/>
    <s v="Abuja"/>
    <x v="2"/>
    <s v="Walk-in"/>
    <s v="Transfer"/>
    <n v="4"/>
    <n v="550"/>
    <n v="850"/>
    <n v="0.2"/>
    <x v="0"/>
    <n v="7"/>
    <n v="3400"/>
    <n v="680"/>
    <n v="2720"/>
    <n v="2200"/>
    <n v="520"/>
    <n v="0.19117647058823528"/>
    <s v="Healthy"/>
    <s v="Safe"/>
    <n v="0.35294117647058826"/>
    <s v="Safe"/>
    <n v="300"/>
    <n v="0.35294117647058826"/>
  </r>
  <r>
    <s v="ORD-11828"/>
    <x v="70"/>
    <s v="P024"/>
    <x v="19"/>
    <s v="Office Supplies"/>
    <s v="Accessories"/>
    <s v="ErgoDesk"/>
    <s v="B01"/>
    <x v="2"/>
    <s v="Abuja"/>
    <x v="2"/>
    <s v="Member"/>
    <s v="POS"/>
    <n v="6"/>
    <n v="1700"/>
    <n v="2800"/>
    <n v="0.05"/>
    <x v="14"/>
    <n v="13"/>
    <n v="16800"/>
    <n v="840"/>
    <n v="15960"/>
    <n v="10200"/>
    <n v="5760"/>
    <n v="0.36090225563909772"/>
    <s v="Overstocked"/>
    <s v="Safe"/>
    <n v="0.39285714285714285"/>
    <s v="Safe"/>
    <n v="1100"/>
    <n v="0.39285714285714285"/>
  </r>
  <r>
    <s v="ORD-11829"/>
    <x v="125"/>
    <s v="P008"/>
    <x v="4"/>
    <s v="Beverages"/>
    <s v="Soft Drinks"/>
    <s v="Sparkle"/>
    <s v="B08"/>
    <x v="7"/>
    <s v="Kwara"/>
    <x v="2"/>
    <s v="Walk-in"/>
    <s v="POS"/>
    <n v="2"/>
    <n v="330"/>
    <n v="550"/>
    <n v="0"/>
    <x v="3"/>
    <n v="3"/>
    <n v="1100"/>
    <n v="0"/>
    <n v="1100"/>
    <n v="660"/>
    <n v="440"/>
    <n v="0.4"/>
    <s v="Healthy"/>
    <s v="Safe"/>
    <n v="0.4"/>
    <s v="Safe"/>
    <n v="220"/>
    <n v="0.4"/>
  </r>
  <r>
    <s v="ORD-11830"/>
    <x v="115"/>
    <s v="P001"/>
    <x v="14"/>
    <s v="Food"/>
    <s v="Grains"/>
    <s v="Golden Harvest"/>
    <s v="B04"/>
    <x v="5"/>
    <s v="Lagos"/>
    <x v="4"/>
    <s v="Walk-in"/>
    <s v="Card"/>
    <n v="2"/>
    <n v="14500"/>
    <n v="17500"/>
    <n v="0.1"/>
    <x v="8"/>
    <n v="12"/>
    <n v="35000"/>
    <n v="3500"/>
    <n v="31500"/>
    <n v="29000"/>
    <n v="2500"/>
    <n v="7.9365079365079361E-2"/>
    <s v="Understocked"/>
    <s v="Safe"/>
    <n v="0.17142857142857143"/>
    <s v="Safe"/>
    <n v="3000"/>
    <n v="0.17142857142857143"/>
  </r>
  <r>
    <s v="ORD-11831"/>
    <x v="233"/>
    <s v="P020"/>
    <x v="5"/>
    <s v="Electronics"/>
    <s v="Lighting"/>
    <s v="Luma"/>
    <s v="B04"/>
    <x v="5"/>
    <s v="Lagos"/>
    <x v="4"/>
    <s v="Member"/>
    <s v="Cash"/>
    <n v="2"/>
    <n v="1500"/>
    <n v="2500"/>
    <n v="0.05"/>
    <x v="13"/>
    <n v="9"/>
    <n v="5000"/>
    <n v="250"/>
    <n v="4750"/>
    <n v="3000"/>
    <n v="1750"/>
    <n v="0.36842105263157893"/>
    <s v="Healthy"/>
    <s v="Safe"/>
    <n v="0.4"/>
    <s v="Safe"/>
    <n v="1000"/>
    <n v="0.4"/>
  </r>
  <r>
    <s v="ORD-11832"/>
    <x v="212"/>
    <s v="P003"/>
    <x v="12"/>
    <s v="Food"/>
    <s v="Cooking Oil"/>
    <s v="SunGold"/>
    <s v="B04"/>
    <x v="5"/>
    <s v="Lagos"/>
    <x v="4"/>
    <s v="Member"/>
    <s v="Transfer"/>
    <n v="4"/>
    <n v="7800"/>
    <n v="9800"/>
    <n v="0.05"/>
    <x v="8"/>
    <n v="1"/>
    <n v="39200"/>
    <n v="1960"/>
    <n v="37240"/>
    <n v="31200"/>
    <n v="6040"/>
    <n v="0.16219119226638024"/>
    <s v="Understocked"/>
    <s v="Safe"/>
    <n v="0.20408163265306123"/>
    <s v="Safe"/>
    <n v="2000"/>
    <n v="0.20408163265306123"/>
  </r>
  <r>
    <s v="ORD-11833"/>
    <x v="63"/>
    <s v="P005"/>
    <x v="2"/>
    <s v="Food"/>
    <s v="Snacks"/>
    <s v="CrispyBite"/>
    <s v="B05"/>
    <x v="0"/>
    <s v="Kano"/>
    <x v="0"/>
    <s v="Member"/>
    <s v="POS"/>
    <n v="2"/>
    <n v="850"/>
    <n v="1300"/>
    <n v="0.05"/>
    <x v="9"/>
    <n v="2"/>
    <n v="2600"/>
    <n v="130"/>
    <n v="2470"/>
    <n v="1700"/>
    <n v="770"/>
    <n v="0.31174089068825911"/>
    <s v="Understocked"/>
    <s v="Safe"/>
    <n v="0.34615384615384615"/>
    <s v="Safe"/>
    <n v="450"/>
    <n v="0.34615384615384615"/>
  </r>
  <r>
    <s v="ORD-11834"/>
    <x v="226"/>
    <s v="P004"/>
    <x v="1"/>
    <s v="Beverages"/>
    <s v="Dairy"/>
    <s v="FreshDay"/>
    <s v="B06"/>
    <x v="1"/>
    <s v="Rivers"/>
    <x v="1"/>
    <s v="Member"/>
    <s v="POS"/>
    <n v="2"/>
    <n v="1650"/>
    <n v="2200"/>
    <n v="0.1"/>
    <x v="2"/>
    <n v="11"/>
    <n v="4400"/>
    <n v="440"/>
    <n v="3960"/>
    <n v="3300"/>
    <n v="660"/>
    <n v="0.16666666666666666"/>
    <s v="Understocked"/>
    <s v="Safe"/>
    <n v="0.25"/>
    <s v="Safe"/>
    <n v="550"/>
    <n v="0.25"/>
  </r>
  <r>
    <s v="ORD-11835"/>
    <x v="55"/>
    <s v="P008"/>
    <x v="4"/>
    <s v="Beverages"/>
    <s v="Soft Drinks"/>
    <s v="Sparkle"/>
    <s v="B07"/>
    <x v="3"/>
    <s v="Enugu"/>
    <x v="3"/>
    <s v="Member"/>
    <s v="POS"/>
    <n v="2"/>
    <n v="330"/>
    <n v="550"/>
    <n v="0"/>
    <x v="0"/>
    <n v="12"/>
    <n v="1100"/>
    <n v="0"/>
    <n v="1100"/>
    <n v="660"/>
    <n v="440"/>
    <n v="0.4"/>
    <s v="Healthy"/>
    <s v="Safe"/>
    <n v="0.4"/>
    <s v="Safe"/>
    <n v="220"/>
    <n v="0.4"/>
  </r>
  <r>
    <s v="ORD-11836"/>
    <x v="180"/>
    <s v="P001"/>
    <x v="14"/>
    <s v="Food"/>
    <s v="Grains"/>
    <s v="Golden Harvest"/>
    <s v="B07"/>
    <x v="3"/>
    <s v="Enugu"/>
    <x v="3"/>
    <s v="Walk-in"/>
    <s v="Cash"/>
    <n v="3"/>
    <n v="14500"/>
    <n v="17500"/>
    <n v="0.05"/>
    <x v="8"/>
    <n v="6"/>
    <n v="52500"/>
    <n v="2625"/>
    <n v="49875"/>
    <n v="43500"/>
    <n v="6375"/>
    <n v="0.12781954887218044"/>
    <s v="Understocked"/>
    <s v="Safe"/>
    <n v="0.17142857142857143"/>
    <s v="Safe"/>
    <n v="3000"/>
    <n v="0.17142857142857143"/>
  </r>
  <r>
    <s v="ORD-11837"/>
    <x v="234"/>
    <s v="P010"/>
    <x v="22"/>
    <s v="Household"/>
    <s v="Paper Products"/>
    <s v="SoftCare"/>
    <s v="B06"/>
    <x v="1"/>
    <s v="Rivers"/>
    <x v="1"/>
    <s v="Corporate"/>
    <s v="POS"/>
    <n v="1"/>
    <n v="3200"/>
    <n v="4500"/>
    <n v="0.15"/>
    <x v="10"/>
    <n v="6"/>
    <n v="4500"/>
    <n v="675"/>
    <n v="3825"/>
    <n v="3200"/>
    <n v="625"/>
    <n v="0.16339869281045752"/>
    <s v="Healthy"/>
    <s v="Safe"/>
    <n v="0.28888888888888886"/>
    <s v="Safe"/>
    <n v="1300"/>
    <n v="0.28888888888888886"/>
  </r>
  <r>
    <s v="ORD-11838"/>
    <x v="226"/>
    <s v="P001"/>
    <x v="14"/>
    <s v="Food"/>
    <s v="Grains"/>
    <s v="Golden Harvest"/>
    <s v="B05"/>
    <x v="0"/>
    <s v="Kano"/>
    <x v="0"/>
    <s v="Member"/>
    <s v="Transfer"/>
    <n v="5"/>
    <n v="14500"/>
    <n v="17500"/>
    <n v="0"/>
    <x v="9"/>
    <n v="5"/>
    <n v="87500"/>
    <n v="0"/>
    <n v="87500"/>
    <n v="72500"/>
    <n v="15000"/>
    <n v="0.17142857142857143"/>
    <s v="Understocked"/>
    <s v="Safe"/>
    <n v="0.17142857142857143"/>
    <s v="Safe"/>
    <n v="3000"/>
    <n v="0.17142857142857143"/>
  </r>
  <r>
    <s v="ORD-11839"/>
    <x v="105"/>
    <s v="P006"/>
    <x v="0"/>
    <s v="Beverages"/>
    <s v="Water"/>
    <s v="AquaPure"/>
    <s v="B02"/>
    <x v="4"/>
    <s v="Abuja"/>
    <x v="2"/>
    <s v="Corporate"/>
    <s v="POS"/>
    <n v="2"/>
    <n v="230"/>
    <n v="400"/>
    <n v="0"/>
    <x v="0"/>
    <n v="12"/>
    <n v="800"/>
    <n v="0"/>
    <n v="800"/>
    <n v="460"/>
    <n v="340"/>
    <n v="0.42499999999999999"/>
    <s v="Understocked"/>
    <s v="Safe"/>
    <n v="0.42499999999999999"/>
    <s v="Safe"/>
    <n v="170"/>
    <n v="0.42499999999999999"/>
  </r>
  <r>
    <s v="ORD-11840"/>
    <x v="201"/>
    <s v="P015"/>
    <x v="8"/>
    <s v="Personal Care"/>
    <s v="Bath"/>
    <s v="SilkyTouch"/>
    <s v="B03"/>
    <x v="6"/>
    <s v="Lagos"/>
    <x v="4"/>
    <s v="Member"/>
    <s v="POS"/>
    <n v="3"/>
    <n v="600"/>
    <n v="950"/>
    <n v="0"/>
    <x v="11"/>
    <n v="3"/>
    <n v="2850"/>
    <n v="0"/>
    <n v="2850"/>
    <n v="1800"/>
    <n v="1050"/>
    <n v="0.36842105263157893"/>
    <s v="Healthy"/>
    <s v="Safe"/>
    <n v="0.36842105263157893"/>
    <s v="Safe"/>
    <n v="350"/>
    <n v="0.36842105263157893"/>
  </r>
  <r>
    <s v="ORD-11841"/>
    <x v="354"/>
    <s v="P022"/>
    <x v="17"/>
    <s v="Office Supplies"/>
    <s v="Writing"/>
    <s v="WriteWell"/>
    <s v="B08"/>
    <x v="7"/>
    <s v="Kwara"/>
    <x v="2"/>
    <s v="Member"/>
    <s v="Card"/>
    <n v="2"/>
    <n v="1300"/>
    <n v="2100"/>
    <n v="0.05"/>
    <x v="5"/>
    <n v="6"/>
    <n v="4200"/>
    <n v="210"/>
    <n v="3990"/>
    <n v="2600"/>
    <n v="1390"/>
    <n v="0.34837092731829572"/>
    <s v="Understocked"/>
    <s v="Safe"/>
    <n v="0.38095238095238093"/>
    <s v="Safe"/>
    <n v="800"/>
    <n v="0.38095238095238093"/>
  </r>
  <r>
    <s v="ORD-11842"/>
    <x v="218"/>
    <s v="P012"/>
    <x v="21"/>
    <s v="Household"/>
    <s v="Home Care"/>
    <s v="HomeFresh"/>
    <s v="B02"/>
    <x v="4"/>
    <s v="Abuja"/>
    <x v="2"/>
    <s v="Walk-in"/>
    <s v="POS"/>
    <n v="4"/>
    <n v="1700"/>
    <n v="2600"/>
    <n v="0.1"/>
    <x v="1"/>
    <n v="11"/>
    <n v="10400"/>
    <n v="1040"/>
    <n v="9360"/>
    <n v="6800"/>
    <n v="2560"/>
    <n v="0.27350427350427353"/>
    <s v="Overstocked"/>
    <s v="Safe"/>
    <n v="0.34615384615384615"/>
    <s v="Safe"/>
    <n v="900"/>
    <n v="0.34615384615384615"/>
  </r>
  <r>
    <s v="ORD-11843"/>
    <x v="316"/>
    <s v="P011"/>
    <x v="9"/>
    <s v="Household"/>
    <s v="Cleaning"/>
    <s v="CleanPro"/>
    <s v="B02"/>
    <x v="4"/>
    <s v="Abuja"/>
    <x v="2"/>
    <s v="Member"/>
    <s v="POS"/>
    <n v="2"/>
    <n v="2800"/>
    <n v="3900"/>
    <n v="0.05"/>
    <x v="1"/>
    <n v="7"/>
    <n v="7800"/>
    <n v="390"/>
    <n v="7410"/>
    <n v="5600"/>
    <n v="1810"/>
    <n v="0.24426450742240216"/>
    <s v="Healthy"/>
    <s v="Safe"/>
    <n v="0.28205128205128205"/>
    <s v="Safe"/>
    <n v="1100"/>
    <n v="0.28205128205128205"/>
  </r>
  <r>
    <s v="ORD-11844"/>
    <x v="248"/>
    <s v="P011"/>
    <x v="9"/>
    <s v="Household"/>
    <s v="Cleaning"/>
    <s v="CleanPro"/>
    <s v="B08"/>
    <x v="7"/>
    <s v="Kwara"/>
    <x v="2"/>
    <s v="Member"/>
    <s v="POS"/>
    <n v="3"/>
    <n v="2800"/>
    <n v="3900"/>
    <n v="0.15"/>
    <x v="1"/>
    <n v="1"/>
    <n v="11700"/>
    <n v="1755"/>
    <n v="9945"/>
    <n v="8400"/>
    <n v="1545"/>
    <n v="0.15535444947209653"/>
    <s v="Healthy"/>
    <s v="Safe"/>
    <n v="0.28205128205128205"/>
    <s v="Safe"/>
    <n v="1100"/>
    <n v="0.28205128205128205"/>
  </r>
  <r>
    <s v="ORD-11845"/>
    <x v="196"/>
    <s v="P008"/>
    <x v="4"/>
    <s v="Beverages"/>
    <s v="Soft Drinks"/>
    <s v="Sparkle"/>
    <s v="B06"/>
    <x v="1"/>
    <s v="Rivers"/>
    <x v="1"/>
    <s v="Member"/>
    <s v="POS"/>
    <n v="5"/>
    <n v="330"/>
    <n v="550"/>
    <n v="0"/>
    <x v="2"/>
    <n v="7"/>
    <n v="2750"/>
    <n v="0"/>
    <n v="2750"/>
    <n v="1650"/>
    <n v="1100"/>
    <n v="0.4"/>
    <s v="Healthy"/>
    <s v="Safe"/>
    <n v="0.4"/>
    <s v="Safe"/>
    <n v="220"/>
    <n v="0.4"/>
  </r>
  <r>
    <s v="ORD-11846"/>
    <x v="219"/>
    <s v="P020"/>
    <x v="5"/>
    <s v="Electronics"/>
    <s v="Lighting"/>
    <s v="Luma"/>
    <s v="B08"/>
    <x v="7"/>
    <s v="Kwara"/>
    <x v="2"/>
    <s v="Member"/>
    <s v="Cash"/>
    <n v="3"/>
    <n v="1500"/>
    <n v="2500"/>
    <n v="0.2"/>
    <x v="4"/>
    <n v="4"/>
    <n v="7500"/>
    <n v="1500"/>
    <n v="6000"/>
    <n v="4500"/>
    <n v="1500"/>
    <n v="0.25"/>
    <s v="Healthy"/>
    <s v="Safe"/>
    <n v="0.4"/>
    <s v="Safe"/>
    <n v="1000"/>
    <n v="0.4"/>
  </r>
  <r>
    <s v="ORD-11847"/>
    <x v="243"/>
    <s v="P005"/>
    <x v="2"/>
    <s v="Food"/>
    <s v="Snacks"/>
    <s v="CrispyBite"/>
    <s v="B04"/>
    <x v="5"/>
    <s v="Lagos"/>
    <x v="4"/>
    <s v="Member"/>
    <s v="Cash"/>
    <n v="3"/>
    <n v="850"/>
    <n v="1300"/>
    <n v="0"/>
    <x v="9"/>
    <n v="11"/>
    <n v="3900"/>
    <n v="0"/>
    <n v="3900"/>
    <n v="2550"/>
    <n v="1350"/>
    <n v="0.34615384615384615"/>
    <s v="Understocked"/>
    <s v="Safe"/>
    <n v="0.34615384615384615"/>
    <s v="Safe"/>
    <n v="450"/>
    <n v="0.34615384615384615"/>
  </r>
  <r>
    <s v="ORD-11848"/>
    <x v="3"/>
    <s v="P001"/>
    <x v="14"/>
    <s v="Food"/>
    <s v="Grains"/>
    <s v="Golden Harvest"/>
    <s v="B07"/>
    <x v="3"/>
    <s v="Enugu"/>
    <x v="3"/>
    <s v="Walk-in"/>
    <s v="Cash"/>
    <n v="1"/>
    <n v="14500"/>
    <n v="17500"/>
    <n v="0.15"/>
    <x v="1"/>
    <n v="1"/>
    <n v="17500"/>
    <n v="2625"/>
    <n v="14875"/>
    <n v="14500"/>
    <n v="375"/>
    <n v="2.5210084033613446E-2"/>
    <s v="Understocked"/>
    <s v="Safe"/>
    <n v="0.17142857142857143"/>
    <s v="Safe"/>
    <n v="3000"/>
    <n v="0.17142857142857143"/>
  </r>
  <r>
    <s v="ORD-11849"/>
    <x v="236"/>
    <s v="P022"/>
    <x v="17"/>
    <s v="Office Supplies"/>
    <s v="Writing"/>
    <s v="WriteWell"/>
    <s v="B02"/>
    <x v="4"/>
    <s v="Abuja"/>
    <x v="2"/>
    <s v="Walk-in"/>
    <s v="Card"/>
    <n v="1"/>
    <n v="1300"/>
    <n v="2100"/>
    <n v="0.15"/>
    <x v="15"/>
    <n v="1"/>
    <n v="2100"/>
    <n v="315"/>
    <n v="1785"/>
    <n v="1300"/>
    <n v="485"/>
    <n v="0.27170868347338933"/>
    <s v="Understocked"/>
    <s v="Safe"/>
    <n v="0.38095238095238093"/>
    <s v="Safe"/>
    <n v="800"/>
    <n v="0.38095238095238093"/>
  </r>
  <r>
    <s v="ORD-11850"/>
    <x v="235"/>
    <s v="P007"/>
    <x v="3"/>
    <s v="Beverages"/>
    <s v="Malt"/>
    <s v="Naija Malt"/>
    <s v="B03"/>
    <x v="6"/>
    <s v="Lagos"/>
    <x v="4"/>
    <s v="Walk-in"/>
    <s v="POS"/>
    <n v="1"/>
    <n v="550"/>
    <n v="850"/>
    <n v="0.15"/>
    <x v="0"/>
    <n v="14"/>
    <n v="850"/>
    <n v="127.5"/>
    <n v="722.5"/>
    <n v="550"/>
    <n v="172.5"/>
    <n v="0.23875432525951557"/>
    <s v="Healthy"/>
    <s v="Safe"/>
    <n v="0.35294117647058826"/>
    <s v="Safe"/>
    <n v="300"/>
    <n v="0.35294117647058826"/>
  </r>
  <r>
    <s v="ORD-11851"/>
    <x v="345"/>
    <s v="P008"/>
    <x v="4"/>
    <s v="Beverages"/>
    <s v="Soft Drinks"/>
    <s v="Sparkle"/>
    <s v="B03"/>
    <x v="6"/>
    <s v="Lagos"/>
    <x v="4"/>
    <s v="Walk-in"/>
    <s v="Transfer"/>
    <n v="1"/>
    <n v="330"/>
    <n v="550"/>
    <n v="0"/>
    <x v="3"/>
    <n v="5"/>
    <n v="550"/>
    <n v="0"/>
    <n v="550"/>
    <n v="330"/>
    <n v="220"/>
    <n v="0.4"/>
    <s v="Healthy"/>
    <s v="Safe"/>
    <n v="0.4"/>
    <s v="Safe"/>
    <n v="220"/>
    <n v="0.4"/>
  </r>
  <r>
    <s v="ORD-11852"/>
    <x v="40"/>
    <s v="P021"/>
    <x v="20"/>
    <s v="Office Supplies"/>
    <s v="Paper"/>
    <s v="OfficeMate"/>
    <s v="B03"/>
    <x v="6"/>
    <s v="Lagos"/>
    <x v="4"/>
    <s v="Corporate"/>
    <s v="POS"/>
    <n v="2"/>
    <n v="5200"/>
    <n v="7000"/>
    <n v="0.1"/>
    <x v="15"/>
    <n v="13"/>
    <n v="14000"/>
    <n v="1400"/>
    <n v="12600"/>
    <n v="10400"/>
    <n v="2200"/>
    <n v="0.17460317460317459"/>
    <s v="Overstocked"/>
    <s v="Safe"/>
    <n v="0.25714285714285712"/>
    <s v="Safe"/>
    <n v="1800"/>
    <n v="0.25714285714285712"/>
  </r>
  <r>
    <s v="ORD-11853"/>
    <x v="318"/>
    <s v="P017"/>
    <x v="23"/>
    <s v="Electronics"/>
    <s v="Accessories"/>
    <s v="PowerMax"/>
    <s v="B06"/>
    <x v="1"/>
    <s v="Rivers"/>
    <x v="1"/>
    <s v="Walk-in"/>
    <s v="Transfer"/>
    <n v="3"/>
    <n v="7500"/>
    <n v="10500"/>
    <n v="0.05"/>
    <x v="12"/>
    <n v="6"/>
    <n v="31500"/>
    <n v="1575"/>
    <n v="29925"/>
    <n v="22500"/>
    <n v="7425"/>
    <n v="0.24812030075187969"/>
    <s v="Healthy"/>
    <s v="Safe"/>
    <n v="0.2857142857142857"/>
    <s v="Safe"/>
    <n v="3000"/>
    <n v="0.2857142857142857"/>
  </r>
  <r>
    <s v="ORD-11854"/>
    <x v="15"/>
    <s v="P001"/>
    <x v="14"/>
    <s v="Food"/>
    <s v="Grains"/>
    <s v="Golden Harvest"/>
    <s v="B02"/>
    <x v="4"/>
    <s v="Abuja"/>
    <x v="2"/>
    <s v="Member"/>
    <s v="Transfer"/>
    <n v="5"/>
    <n v="14500"/>
    <n v="17500"/>
    <n v="0"/>
    <x v="9"/>
    <n v="1"/>
    <n v="87500"/>
    <n v="0"/>
    <n v="87500"/>
    <n v="72500"/>
    <n v="15000"/>
    <n v="0.17142857142857143"/>
    <s v="Understocked"/>
    <s v="Safe"/>
    <n v="0.17142857142857143"/>
    <s v="Safe"/>
    <n v="3000"/>
    <n v="0.17142857142857143"/>
  </r>
  <r>
    <s v="ORD-11855"/>
    <x v="333"/>
    <s v="P022"/>
    <x v="17"/>
    <s v="Office Supplies"/>
    <s v="Writing"/>
    <s v="WriteWell"/>
    <s v="B08"/>
    <x v="7"/>
    <s v="Kwara"/>
    <x v="2"/>
    <s v="Walk-in"/>
    <s v="Cash"/>
    <n v="3"/>
    <n v="1300"/>
    <n v="2100"/>
    <n v="0.05"/>
    <x v="5"/>
    <n v="1"/>
    <n v="6300"/>
    <n v="315"/>
    <n v="5985"/>
    <n v="3900"/>
    <n v="2085"/>
    <n v="0.34837092731829572"/>
    <s v="Understocked"/>
    <s v="Safe"/>
    <n v="0.38095238095238093"/>
    <s v="Safe"/>
    <n v="800"/>
    <n v="0.38095238095238093"/>
  </r>
  <r>
    <s v="ORD-11856"/>
    <x v="172"/>
    <s v="P007"/>
    <x v="3"/>
    <s v="Beverages"/>
    <s v="Malt"/>
    <s v="Naija Malt"/>
    <s v="B03"/>
    <x v="6"/>
    <s v="Lagos"/>
    <x v="4"/>
    <s v="Walk-in"/>
    <s v="Transfer"/>
    <n v="1"/>
    <n v="550"/>
    <n v="850"/>
    <n v="0.15"/>
    <x v="3"/>
    <n v="12"/>
    <n v="850"/>
    <n v="127.5"/>
    <n v="722.5"/>
    <n v="550"/>
    <n v="172.5"/>
    <n v="0.23875432525951557"/>
    <s v="Healthy"/>
    <s v="Safe"/>
    <n v="0.35294117647058826"/>
    <s v="Safe"/>
    <n v="300"/>
    <n v="0.35294117647058826"/>
  </r>
  <r>
    <s v="ORD-11857"/>
    <x v="149"/>
    <s v="P024"/>
    <x v="19"/>
    <s v="Office Supplies"/>
    <s v="Accessories"/>
    <s v="ErgoDesk"/>
    <s v="B01"/>
    <x v="2"/>
    <s v="Abuja"/>
    <x v="2"/>
    <s v="Walk-in"/>
    <s v="POS"/>
    <n v="2"/>
    <n v="1700"/>
    <n v="2800"/>
    <n v="0.1"/>
    <x v="5"/>
    <n v="5"/>
    <n v="5600"/>
    <n v="560"/>
    <n v="5040"/>
    <n v="3400"/>
    <n v="1640"/>
    <n v="0.32539682539682541"/>
    <s v="Overstocked"/>
    <s v="Safe"/>
    <n v="0.39285714285714285"/>
    <s v="Safe"/>
    <n v="1100"/>
    <n v="0.39285714285714285"/>
  </r>
  <r>
    <s v="ORD-11858"/>
    <x v="169"/>
    <s v="P001"/>
    <x v="14"/>
    <s v="Food"/>
    <s v="Grains"/>
    <s v="Golden Harvest"/>
    <s v="B05"/>
    <x v="0"/>
    <s v="Kano"/>
    <x v="0"/>
    <s v="Walk-in"/>
    <s v="Transfer"/>
    <n v="2"/>
    <n v="14500"/>
    <n v="17500"/>
    <n v="0.1"/>
    <x v="9"/>
    <n v="5"/>
    <n v="35000"/>
    <n v="3500"/>
    <n v="31500"/>
    <n v="29000"/>
    <n v="2500"/>
    <n v="7.9365079365079361E-2"/>
    <s v="Understocked"/>
    <s v="Safe"/>
    <n v="0.17142857142857143"/>
    <s v="Safe"/>
    <n v="3000"/>
    <n v="0.17142857142857143"/>
  </r>
  <r>
    <s v="ORD-11859"/>
    <x v="175"/>
    <s v="P009"/>
    <x v="13"/>
    <s v="Household"/>
    <s v="Cleaning"/>
    <s v="BrightWash"/>
    <s v="B04"/>
    <x v="5"/>
    <s v="Lagos"/>
    <x v="4"/>
    <s v="Member"/>
    <s v="POS"/>
    <n v="3"/>
    <n v="2400"/>
    <n v="3400"/>
    <n v="0"/>
    <x v="1"/>
    <n v="4"/>
    <n v="10200"/>
    <n v="0"/>
    <n v="10200"/>
    <n v="7200"/>
    <n v="3000"/>
    <n v="0.29411764705882354"/>
    <s v="Healthy"/>
    <s v="Safe"/>
    <n v="0.29411764705882354"/>
    <s v="Safe"/>
    <n v="1000"/>
    <n v="0.29411764705882354"/>
  </r>
  <r>
    <s v="ORD-11860"/>
    <x v="236"/>
    <s v="P010"/>
    <x v="22"/>
    <s v="Household"/>
    <s v="Paper Products"/>
    <s v="SoftCare"/>
    <s v="B07"/>
    <x v="3"/>
    <s v="Enugu"/>
    <x v="3"/>
    <s v="Corporate"/>
    <s v="POS"/>
    <n v="3"/>
    <n v="3200"/>
    <n v="4500"/>
    <n v="0.05"/>
    <x v="10"/>
    <n v="13"/>
    <n v="13500"/>
    <n v="675"/>
    <n v="12825"/>
    <n v="9600"/>
    <n v="3225"/>
    <n v="0.25146198830409355"/>
    <s v="Healthy"/>
    <s v="Safe"/>
    <n v="0.28888888888888886"/>
    <s v="Safe"/>
    <n v="1300"/>
    <n v="0.28888888888888886"/>
  </r>
  <r>
    <s v="ORD-11861"/>
    <x v="339"/>
    <s v="P001"/>
    <x v="14"/>
    <s v="Food"/>
    <s v="Grains"/>
    <s v="Golden Harvest"/>
    <s v="B06"/>
    <x v="1"/>
    <s v="Rivers"/>
    <x v="1"/>
    <s v="Member"/>
    <s v="POS"/>
    <n v="2"/>
    <n v="14500"/>
    <n v="17500"/>
    <n v="0.05"/>
    <x v="8"/>
    <n v="1"/>
    <n v="35000"/>
    <n v="1750"/>
    <n v="33250"/>
    <n v="29000"/>
    <n v="4250"/>
    <n v="0.12781954887218044"/>
    <s v="Understocked"/>
    <s v="Safe"/>
    <n v="0.17142857142857143"/>
    <s v="Safe"/>
    <n v="3000"/>
    <n v="0.17142857142857143"/>
  </r>
  <r>
    <s v="ORD-11862"/>
    <x v="17"/>
    <s v="P003"/>
    <x v="12"/>
    <s v="Food"/>
    <s v="Cooking Oil"/>
    <s v="SunGold"/>
    <s v="B08"/>
    <x v="7"/>
    <s v="Kwara"/>
    <x v="2"/>
    <s v="Member"/>
    <s v="Transfer"/>
    <n v="1"/>
    <n v="7800"/>
    <n v="9800"/>
    <n v="0.15"/>
    <x v="1"/>
    <n v="9"/>
    <n v="9800"/>
    <n v="1470"/>
    <n v="8330"/>
    <n v="7800"/>
    <n v="530"/>
    <n v="6.3625450180072027E-2"/>
    <s v="Understocked"/>
    <s v="Safe"/>
    <n v="0.20408163265306123"/>
    <s v="Safe"/>
    <n v="2000"/>
    <n v="0.20408163265306123"/>
  </r>
  <r>
    <s v="ORD-11863"/>
    <x v="191"/>
    <s v="P007"/>
    <x v="3"/>
    <s v="Beverages"/>
    <s v="Malt"/>
    <s v="Naija Malt"/>
    <s v="B03"/>
    <x v="6"/>
    <s v="Lagos"/>
    <x v="4"/>
    <s v="Member"/>
    <s v="POS"/>
    <n v="1"/>
    <n v="550"/>
    <n v="850"/>
    <n v="0.15"/>
    <x v="0"/>
    <n v="6"/>
    <n v="850"/>
    <n v="127.5"/>
    <n v="722.5"/>
    <n v="550"/>
    <n v="172.5"/>
    <n v="0.23875432525951557"/>
    <s v="Healthy"/>
    <s v="Safe"/>
    <n v="0.35294117647058826"/>
    <s v="Safe"/>
    <n v="300"/>
    <n v="0.35294117647058826"/>
  </r>
  <r>
    <s v="ORD-11864"/>
    <x v="23"/>
    <s v="P018"/>
    <x v="16"/>
    <s v="Electronics"/>
    <s v="Mobile Accessories"/>
    <s v="VoltSafe"/>
    <s v="B03"/>
    <x v="6"/>
    <s v="Lagos"/>
    <x v="4"/>
    <s v="Walk-in"/>
    <s v="Transfer"/>
    <n v="3"/>
    <n v="18000"/>
    <n v="24500"/>
    <n v="0.2"/>
    <x v="13"/>
    <n v="12"/>
    <n v="73500"/>
    <n v="14700"/>
    <n v="58800"/>
    <n v="54000"/>
    <n v="4800"/>
    <n v="8.1632653061224483E-2"/>
    <s v="Understocked"/>
    <s v="Safe"/>
    <n v="0.26530612244897961"/>
    <s v="Safe"/>
    <n v="6500"/>
    <n v="0.26530612244897961"/>
  </r>
  <r>
    <s v="ORD-11865"/>
    <x v="119"/>
    <s v="P008"/>
    <x v="4"/>
    <s v="Beverages"/>
    <s v="Soft Drinks"/>
    <s v="Sparkle"/>
    <s v="B03"/>
    <x v="6"/>
    <s v="Lagos"/>
    <x v="4"/>
    <s v="Walk-in"/>
    <s v="POS"/>
    <n v="1"/>
    <n v="330"/>
    <n v="550"/>
    <n v="0"/>
    <x v="0"/>
    <n v="9"/>
    <n v="550"/>
    <n v="0"/>
    <n v="550"/>
    <n v="330"/>
    <n v="220"/>
    <n v="0.4"/>
    <s v="Healthy"/>
    <s v="Safe"/>
    <n v="0.4"/>
    <s v="Safe"/>
    <n v="220"/>
    <n v="0.4"/>
  </r>
  <r>
    <s v="ORD-11866"/>
    <x v="204"/>
    <s v="P012"/>
    <x v="21"/>
    <s v="Household"/>
    <s v="Home Care"/>
    <s v="HomeFresh"/>
    <s v="B04"/>
    <x v="5"/>
    <s v="Lagos"/>
    <x v="4"/>
    <s v="Walk-in"/>
    <s v="Cash"/>
    <n v="8"/>
    <n v="1700"/>
    <n v="2600"/>
    <n v="0.05"/>
    <x v="10"/>
    <n v="6"/>
    <n v="20800"/>
    <n v="1040"/>
    <n v="19760"/>
    <n v="13600"/>
    <n v="6160"/>
    <n v="0.31174089068825911"/>
    <s v="Overstocked"/>
    <s v="Safe"/>
    <n v="0.34615384615384615"/>
    <s v="Safe"/>
    <n v="900"/>
    <n v="0.34615384615384615"/>
  </r>
  <r>
    <s v="ORD-11867"/>
    <x v="254"/>
    <s v="P008"/>
    <x v="4"/>
    <s v="Beverages"/>
    <s v="Soft Drinks"/>
    <s v="Sparkle"/>
    <s v="B06"/>
    <x v="1"/>
    <s v="Rivers"/>
    <x v="1"/>
    <s v="Walk-in"/>
    <s v="POS"/>
    <n v="6"/>
    <n v="330"/>
    <n v="550"/>
    <n v="0.15"/>
    <x v="2"/>
    <n v="3"/>
    <n v="3300"/>
    <n v="495"/>
    <n v="2805"/>
    <n v="1980"/>
    <n v="825"/>
    <n v="0.29411764705882354"/>
    <s v="Healthy"/>
    <s v="Safe"/>
    <n v="0.4"/>
    <s v="Safe"/>
    <n v="220"/>
    <n v="0.4"/>
  </r>
  <r>
    <s v="ORD-11868"/>
    <x v="142"/>
    <s v="P006"/>
    <x v="0"/>
    <s v="Beverages"/>
    <s v="Water"/>
    <s v="AquaPure"/>
    <s v="B03"/>
    <x v="6"/>
    <s v="Lagos"/>
    <x v="4"/>
    <s v="Walk-in"/>
    <s v="POS"/>
    <n v="3"/>
    <n v="230"/>
    <n v="400"/>
    <n v="0.15"/>
    <x v="3"/>
    <n v="1"/>
    <n v="1200"/>
    <n v="180"/>
    <n v="1020"/>
    <n v="690"/>
    <n v="330"/>
    <n v="0.3235294117647059"/>
    <s v="Understocked"/>
    <s v="Safe"/>
    <n v="0.42499999999999999"/>
    <s v="Safe"/>
    <n v="170"/>
    <n v="0.42499999999999999"/>
  </r>
  <r>
    <s v="ORD-11869"/>
    <x v="211"/>
    <s v="P003"/>
    <x v="12"/>
    <s v="Food"/>
    <s v="Cooking Oil"/>
    <s v="SunGold"/>
    <s v="B07"/>
    <x v="3"/>
    <s v="Enugu"/>
    <x v="3"/>
    <s v="Walk-in"/>
    <s v="POS"/>
    <n v="3"/>
    <n v="7800"/>
    <n v="9800"/>
    <n v="0"/>
    <x v="9"/>
    <n v="2"/>
    <n v="29400"/>
    <n v="0"/>
    <n v="29400"/>
    <n v="23400"/>
    <n v="6000"/>
    <n v="0.20408163265306123"/>
    <s v="Understocked"/>
    <s v="Safe"/>
    <n v="0.20408163265306123"/>
    <s v="Safe"/>
    <n v="2000"/>
    <n v="0.20408163265306123"/>
  </r>
  <r>
    <s v="ORD-11870"/>
    <x v="158"/>
    <s v="P022"/>
    <x v="17"/>
    <s v="Office Supplies"/>
    <s v="Writing"/>
    <s v="WriteWell"/>
    <s v="B07"/>
    <x v="3"/>
    <s v="Enugu"/>
    <x v="3"/>
    <s v="Walk-in"/>
    <s v="Card"/>
    <n v="2"/>
    <n v="1300"/>
    <n v="2100"/>
    <n v="0.2"/>
    <x v="15"/>
    <n v="5"/>
    <n v="4200"/>
    <n v="840"/>
    <n v="3360"/>
    <n v="2600"/>
    <n v="760"/>
    <n v="0.22619047619047619"/>
    <s v="Understocked"/>
    <s v="Safe"/>
    <n v="0.38095238095238093"/>
    <s v="Safe"/>
    <n v="800"/>
    <n v="0.38095238095238093"/>
  </r>
  <r>
    <s v="ORD-11871"/>
    <x v="169"/>
    <s v="P024"/>
    <x v="19"/>
    <s v="Office Supplies"/>
    <s v="Accessories"/>
    <s v="ErgoDesk"/>
    <s v="B04"/>
    <x v="5"/>
    <s v="Lagos"/>
    <x v="4"/>
    <s v="Member"/>
    <s v="POS"/>
    <n v="6"/>
    <n v="1700"/>
    <n v="2800"/>
    <n v="0.2"/>
    <x v="14"/>
    <n v="1"/>
    <n v="16800"/>
    <n v="3360"/>
    <n v="13440"/>
    <n v="10200"/>
    <n v="3240"/>
    <n v="0.24107142857142858"/>
    <s v="Overstocked"/>
    <s v="Safe"/>
    <n v="0.39285714285714285"/>
    <s v="Safe"/>
    <n v="1100"/>
    <n v="0.39285714285714285"/>
  </r>
  <r>
    <s v="ORD-11872"/>
    <x v="43"/>
    <s v="P009"/>
    <x v="13"/>
    <s v="Household"/>
    <s v="Cleaning"/>
    <s v="BrightWash"/>
    <s v="B08"/>
    <x v="7"/>
    <s v="Kwara"/>
    <x v="2"/>
    <s v="Member"/>
    <s v="POS"/>
    <n v="5"/>
    <n v="2400"/>
    <n v="3400"/>
    <n v="0"/>
    <x v="7"/>
    <n v="2"/>
    <n v="17000"/>
    <n v="0"/>
    <n v="17000"/>
    <n v="12000"/>
    <n v="5000"/>
    <n v="0.29411764705882354"/>
    <s v="Healthy"/>
    <s v="Safe"/>
    <n v="0.29411764705882354"/>
    <s v="Safe"/>
    <n v="1000"/>
    <n v="0.29411764705882354"/>
  </r>
  <r>
    <s v="ORD-11873"/>
    <x v="300"/>
    <s v="P002"/>
    <x v="10"/>
    <s v="Food"/>
    <s v="Grains"/>
    <s v="Mama's Pride"/>
    <s v="B08"/>
    <x v="7"/>
    <s v="Kwara"/>
    <x v="2"/>
    <s v="Member"/>
    <s v="Cash"/>
    <n v="3"/>
    <n v="6200"/>
    <n v="7900"/>
    <n v="0.2"/>
    <x v="9"/>
    <n v="1"/>
    <n v="23700"/>
    <n v="4740"/>
    <n v="18960"/>
    <n v="18600"/>
    <n v="360"/>
    <n v="1.8987341772151899E-2"/>
    <s v="Healthy"/>
    <s v="Safe"/>
    <n v="0.21518987341772153"/>
    <s v="Safe"/>
    <n v="1700"/>
    <n v="0.21518987341772153"/>
  </r>
  <r>
    <s v="ORD-11874"/>
    <x v="87"/>
    <s v="P013"/>
    <x v="11"/>
    <s v="Personal Care"/>
    <s v="Skin Care"/>
    <s v="GlowPlus"/>
    <s v="B06"/>
    <x v="1"/>
    <s v="Rivers"/>
    <x v="1"/>
    <s v="Walk-in"/>
    <s v="Cash"/>
    <n v="1"/>
    <n v="3500"/>
    <n v="5200"/>
    <n v="0"/>
    <x v="6"/>
    <n v="14"/>
    <n v="5200"/>
    <n v="0"/>
    <n v="5200"/>
    <n v="3500"/>
    <n v="1700"/>
    <n v="0.32692307692307693"/>
    <s v="Healthy"/>
    <s v="Safe"/>
    <n v="0.32692307692307693"/>
    <s v="Safe"/>
    <n v="1700"/>
    <n v="0.32692307692307693"/>
  </r>
  <r>
    <s v="ORD-11875"/>
    <x v="141"/>
    <s v="P023"/>
    <x v="6"/>
    <s v="Office Supplies"/>
    <s v="Stationery"/>
    <s v="StudyPro"/>
    <s v="B05"/>
    <x v="0"/>
    <s v="Kano"/>
    <x v="0"/>
    <s v="Member"/>
    <s v="Cash"/>
    <n v="2"/>
    <n v="2800"/>
    <n v="4200"/>
    <n v="0.05"/>
    <x v="14"/>
    <n v="4"/>
    <n v="8400"/>
    <n v="420"/>
    <n v="7980"/>
    <n v="5600"/>
    <n v="2380"/>
    <n v="0.2982456140350877"/>
    <s v="Understocked"/>
    <s v="Safe"/>
    <n v="0.33333333333333331"/>
    <s v="Safe"/>
    <n v="1400"/>
    <n v="0.33333333333333331"/>
  </r>
  <r>
    <s v="ORD-11876"/>
    <x v="147"/>
    <s v="P001"/>
    <x v="14"/>
    <s v="Food"/>
    <s v="Grains"/>
    <s v="Golden Harvest"/>
    <s v="B04"/>
    <x v="5"/>
    <s v="Lagos"/>
    <x v="4"/>
    <s v="Walk-in"/>
    <s v="Transfer"/>
    <n v="-1"/>
    <n v="14500"/>
    <n v="17500"/>
    <n v="0"/>
    <x v="8"/>
    <n v="11"/>
    <n v="-17500"/>
    <n v="0"/>
    <n v="-17500"/>
    <n v="-14500"/>
    <n v="-3000"/>
    <n v="0.17142857142857143"/>
    <s v="Understocked"/>
    <s v="Safe"/>
    <n v="0.17142857142857143"/>
    <s v="Safe"/>
    <n v="3000"/>
    <n v="0.17142857142857143"/>
  </r>
  <r>
    <s v="ORD-11877"/>
    <x v="273"/>
    <s v="P021"/>
    <x v="20"/>
    <s v="Office Supplies"/>
    <s v="Paper"/>
    <s v="OfficeMate"/>
    <s v="B07"/>
    <x v="3"/>
    <s v="Enugu"/>
    <x v="3"/>
    <s v="Walk-in"/>
    <s v="Card"/>
    <n v="4"/>
    <n v="5200"/>
    <n v="7000"/>
    <n v="0.25"/>
    <x v="5"/>
    <n v="6"/>
    <n v="28000"/>
    <n v="7000"/>
    <n v="21000"/>
    <n v="20800"/>
    <n v="200"/>
    <n v="9.5238095238095247E-3"/>
    <s v="Overstocked"/>
    <s v="Safe"/>
    <n v="0.25714285714285712"/>
    <s v="Safe"/>
    <n v="1800"/>
    <n v="0.25714285714285712"/>
  </r>
  <r>
    <s v="ORD-11878"/>
    <x v="32"/>
    <s v="P018"/>
    <x v="16"/>
    <s v="Electronics"/>
    <s v="Mobile Accessories"/>
    <s v="VoltSafe"/>
    <s v="B02"/>
    <x v="4"/>
    <s v="Abuja"/>
    <x v="2"/>
    <s v="Member"/>
    <s v="POS"/>
    <n v="3"/>
    <n v="18000"/>
    <n v="24500"/>
    <n v="0.05"/>
    <x v="13"/>
    <n v="6"/>
    <n v="73500"/>
    <n v="3675"/>
    <n v="69825"/>
    <n v="54000"/>
    <n v="15825"/>
    <n v="0.22663802363050484"/>
    <s v="Understocked"/>
    <s v="Safe"/>
    <n v="0.26530612244897961"/>
    <s v="Safe"/>
    <n v="6500"/>
    <n v="0.26530612244897961"/>
  </r>
  <r>
    <s v="ORD-11879"/>
    <x v="273"/>
    <s v="P006"/>
    <x v="0"/>
    <s v="Beverages"/>
    <s v="Water"/>
    <s v="AquaPure"/>
    <s v="B04"/>
    <x v="5"/>
    <s v="Lagos"/>
    <x v="4"/>
    <s v="Walk-in"/>
    <s v="POS"/>
    <n v="1"/>
    <n v="230"/>
    <n v="400"/>
    <n v="0.15"/>
    <x v="0"/>
    <n v="9"/>
    <n v="400"/>
    <n v="60"/>
    <n v="340"/>
    <n v="230"/>
    <n v="110"/>
    <n v="0.3235294117647059"/>
    <s v="Understocked"/>
    <s v="Safe"/>
    <n v="0.42499999999999999"/>
    <s v="Safe"/>
    <n v="170"/>
    <n v="0.42499999999999999"/>
  </r>
  <r>
    <s v="ORD-11880"/>
    <x v="255"/>
    <s v="P005"/>
    <x v="2"/>
    <s v="Food"/>
    <s v="Snacks"/>
    <s v="CrispyBite"/>
    <s v="B03"/>
    <x v="6"/>
    <s v="Lagos"/>
    <x v="4"/>
    <s v="Member"/>
    <s v="POS"/>
    <n v="3"/>
    <n v="850"/>
    <n v="1300"/>
    <n v="0"/>
    <x v="9"/>
    <n v="5"/>
    <n v="3900"/>
    <n v="0"/>
    <n v="3900"/>
    <n v="2550"/>
    <n v="1350"/>
    <n v="0.34615384615384615"/>
    <s v="Understocked"/>
    <s v="Safe"/>
    <n v="0.34615384615384615"/>
    <s v="Safe"/>
    <n v="450"/>
    <n v="0.34615384615384615"/>
  </r>
  <r>
    <s v="ORD-11881"/>
    <x v="270"/>
    <s v="P006"/>
    <x v="0"/>
    <s v="Beverages"/>
    <s v="Water"/>
    <s v="AquaPure"/>
    <s v="B04"/>
    <x v="5"/>
    <s v="Lagos"/>
    <x v="4"/>
    <s v="Walk-in"/>
    <s v="Transfer"/>
    <n v="3"/>
    <n v="230"/>
    <n v="400"/>
    <n v="0"/>
    <x v="2"/>
    <n v="4"/>
    <n v="1200"/>
    <n v="0"/>
    <n v="1200"/>
    <n v="690"/>
    <n v="510"/>
    <n v="0.42499999999999999"/>
    <s v="Understocked"/>
    <s v="Safe"/>
    <n v="0.42499999999999999"/>
    <s v="Safe"/>
    <n v="170"/>
    <n v="0.42499999999999999"/>
  </r>
  <r>
    <s v="ORD-11882"/>
    <x v="123"/>
    <s v="P008"/>
    <x v="4"/>
    <s v="Beverages"/>
    <s v="Soft Drinks"/>
    <s v="Sparkle"/>
    <s v="B04"/>
    <x v="5"/>
    <s v="Lagos"/>
    <x v="4"/>
    <s v="Member"/>
    <s v="Cash"/>
    <n v="6"/>
    <n v="330"/>
    <n v="550"/>
    <n v="0"/>
    <x v="0"/>
    <n v="1"/>
    <n v="3300"/>
    <n v="0"/>
    <n v="3300"/>
    <n v="1980"/>
    <n v="1320"/>
    <n v="0.4"/>
    <s v="Healthy"/>
    <s v="Safe"/>
    <n v="0.4"/>
    <s v="Safe"/>
    <n v="220"/>
    <n v="0.4"/>
  </r>
  <r>
    <s v="ORD-11883"/>
    <x v="125"/>
    <s v="P023"/>
    <x v="6"/>
    <s v="Office Supplies"/>
    <s v="Stationery"/>
    <s v="StudyPro"/>
    <s v="B03"/>
    <x v="6"/>
    <s v="Lagos"/>
    <x v="4"/>
    <s v="Member"/>
    <s v="Card"/>
    <n v="4"/>
    <n v="2800"/>
    <n v="4200"/>
    <n v="0.05"/>
    <x v="5"/>
    <n v="5"/>
    <n v="16800"/>
    <n v="840"/>
    <n v="15960"/>
    <n v="11200"/>
    <n v="4760"/>
    <n v="0.2982456140350877"/>
    <s v="Understocked"/>
    <s v="Safe"/>
    <n v="0.33333333333333331"/>
    <s v="Safe"/>
    <n v="1400"/>
    <n v="0.33333333333333331"/>
  </r>
  <r>
    <s v="ORD-11884"/>
    <x v="133"/>
    <s v="P009"/>
    <x v="13"/>
    <s v="Household"/>
    <s v="Cleaning"/>
    <s v="BrightWash"/>
    <s v="B04"/>
    <x v="5"/>
    <s v="Lagos"/>
    <x v="4"/>
    <s v="Walk-in"/>
    <s v="POS"/>
    <n v="8"/>
    <n v="2400"/>
    <n v="3400"/>
    <n v="0.05"/>
    <x v="1"/>
    <n v="14"/>
    <n v="27200"/>
    <n v="1360"/>
    <n v="25840"/>
    <n v="19200"/>
    <n v="6640"/>
    <n v="0.25696594427244585"/>
    <s v="Healthy"/>
    <s v="Safe"/>
    <n v="0.29411764705882354"/>
    <s v="Safe"/>
    <n v="1000"/>
    <n v="0.29411764705882354"/>
  </r>
  <r>
    <s v="ORD-11885"/>
    <x v="119"/>
    <s v="P009"/>
    <x v="13"/>
    <s v="Household"/>
    <s v="Cleaning"/>
    <s v="BrightWash"/>
    <s v="B03"/>
    <x v="6"/>
    <s v="Lagos"/>
    <x v="4"/>
    <s v="Corporate"/>
    <s v="POS"/>
    <n v="1"/>
    <n v="2400"/>
    <n v="3400"/>
    <n v="0.15"/>
    <x v="10"/>
    <n v="6"/>
    <n v="3400"/>
    <n v="510"/>
    <n v="2890"/>
    <n v="2400"/>
    <n v="490"/>
    <n v="0.16955017301038061"/>
    <s v="Healthy"/>
    <s v="Safe"/>
    <n v="0.29411764705882354"/>
    <s v="Safe"/>
    <n v="1000"/>
    <n v="0.29411764705882354"/>
  </r>
  <r>
    <s v="ORD-11886"/>
    <x v="269"/>
    <s v="P006"/>
    <x v="0"/>
    <s v="Beverages"/>
    <s v="Water"/>
    <s v="AquaPure"/>
    <s v="B03"/>
    <x v="6"/>
    <s v="Lagos"/>
    <x v="4"/>
    <s v="Walk-in"/>
    <s v="POS"/>
    <n v="2"/>
    <n v="230"/>
    <n v="400"/>
    <n v="0"/>
    <x v="0"/>
    <n v="1"/>
    <n v="800"/>
    <n v="0"/>
    <n v="800"/>
    <n v="460"/>
    <n v="340"/>
    <n v="0.42499999999999999"/>
    <s v="Understocked"/>
    <s v="Safe"/>
    <n v="0.42499999999999999"/>
    <s v="Safe"/>
    <n v="170"/>
    <n v="0.42499999999999999"/>
  </r>
  <r>
    <s v="ORD-11887"/>
    <x v="182"/>
    <s v="P021"/>
    <x v="20"/>
    <s v="Office Supplies"/>
    <s v="Paper"/>
    <s v="OfficeMate"/>
    <s v="B03"/>
    <x v="6"/>
    <s v="Lagos"/>
    <x v="4"/>
    <s v="Walk-in"/>
    <s v="Cash"/>
    <n v="1"/>
    <n v="5200"/>
    <n v="7000"/>
    <n v="0.2"/>
    <x v="5"/>
    <n v="2"/>
    <n v="7000"/>
    <n v="1400"/>
    <n v="5600"/>
    <n v="5200"/>
    <n v="400"/>
    <n v="7.1428571428571425E-2"/>
    <s v="Overstocked"/>
    <s v="Safe"/>
    <n v="0.25714285714285712"/>
    <s v="Safe"/>
    <n v="1800"/>
    <n v="0.25714285714285712"/>
  </r>
  <r>
    <s v="ORD-11888"/>
    <x v="165"/>
    <s v="P022"/>
    <x v="17"/>
    <s v="Office Supplies"/>
    <s v="Writing"/>
    <s v="WriteWell"/>
    <s v="B08"/>
    <x v="7"/>
    <s v="Kwara"/>
    <x v="2"/>
    <s v="Walk-in"/>
    <s v="POS"/>
    <n v="2"/>
    <n v="1300"/>
    <n v="2100"/>
    <n v="0.05"/>
    <x v="5"/>
    <n v="1"/>
    <n v="4200"/>
    <n v="210"/>
    <n v="3990"/>
    <n v="2600"/>
    <n v="1390"/>
    <n v="0.34837092731829572"/>
    <s v="Understocked"/>
    <s v="Safe"/>
    <n v="0.38095238095238093"/>
    <s v="Safe"/>
    <n v="800"/>
    <n v="0.38095238095238093"/>
  </r>
  <r>
    <s v="ORD-11889"/>
    <x v="230"/>
    <s v="P015"/>
    <x v="8"/>
    <s v="Personal Care"/>
    <s v="Bath"/>
    <s v="SilkyTouch"/>
    <s v="B03"/>
    <x v="6"/>
    <s v="Lagos"/>
    <x v="4"/>
    <s v="Walk-in"/>
    <s v="POS"/>
    <n v="2"/>
    <n v="600"/>
    <n v="950"/>
    <n v="0.1"/>
    <x v="11"/>
    <n v="12"/>
    <n v="1900"/>
    <n v="190"/>
    <n v="1710"/>
    <n v="1200"/>
    <n v="510"/>
    <n v="0.2982456140350877"/>
    <s v="Healthy"/>
    <s v="Safe"/>
    <n v="0.36842105263157893"/>
    <s v="Safe"/>
    <n v="350"/>
    <n v="0.36842105263157893"/>
  </r>
  <r>
    <s v="ORD-11890"/>
    <x v="92"/>
    <s v="P006"/>
    <x v="0"/>
    <s v="Beverages"/>
    <s v="Water"/>
    <s v="AquaPure"/>
    <s v="B07"/>
    <x v="3"/>
    <s v="Enugu"/>
    <x v="3"/>
    <s v="Member"/>
    <s v="POS"/>
    <n v="2"/>
    <n v="230"/>
    <n v="400"/>
    <n v="0.2"/>
    <x v="3"/>
    <n v="11"/>
    <n v="800"/>
    <n v="160"/>
    <n v="640"/>
    <n v="460"/>
    <n v="180"/>
    <n v="0.28125"/>
    <s v="Understocked"/>
    <s v="Safe"/>
    <n v="0.42499999999999999"/>
    <s v="Safe"/>
    <n v="170"/>
    <n v="0.42499999999999999"/>
  </r>
  <r>
    <s v="ORD-11891"/>
    <x v="232"/>
    <s v="P021"/>
    <x v="20"/>
    <s v="Office Supplies"/>
    <s v="Paper"/>
    <s v="OfficeMate"/>
    <s v="B06"/>
    <x v="1"/>
    <s v="Rivers"/>
    <x v="1"/>
    <s v="Corporate"/>
    <s v="Cash"/>
    <n v="6"/>
    <n v="5200"/>
    <n v="7000"/>
    <n v="0.1"/>
    <x v="14"/>
    <n v="13"/>
    <n v="42000"/>
    <n v="4200"/>
    <n v="37800"/>
    <n v="31200"/>
    <n v="6600"/>
    <n v="0.17460317460317459"/>
    <s v="Overstocked"/>
    <s v="Safe"/>
    <n v="0.25714285714285712"/>
    <s v="Safe"/>
    <n v="1800"/>
    <n v="0.25714285714285712"/>
  </r>
  <r>
    <s v="ORD-11892"/>
    <x v="207"/>
    <s v="P002"/>
    <x v="10"/>
    <s v="Food"/>
    <s v="Grains"/>
    <s v="Mama's Pride"/>
    <s v="B01"/>
    <x v="2"/>
    <s v="Abuja"/>
    <x v="2"/>
    <s v="Walk-in"/>
    <s v="POS"/>
    <n v="1"/>
    <n v="6200"/>
    <n v="7900"/>
    <n v="0.1"/>
    <x v="1"/>
    <n v="11"/>
    <n v="7900"/>
    <n v="790"/>
    <n v="7110"/>
    <n v="6200"/>
    <n v="910"/>
    <n v="0.12798874824191281"/>
    <s v="Healthy"/>
    <s v="Safe"/>
    <n v="0.21518987341772153"/>
    <s v="Safe"/>
    <n v="1700"/>
    <n v="0.21518987341772153"/>
  </r>
  <r>
    <s v="ORD-11893"/>
    <x v="221"/>
    <s v="P008"/>
    <x v="4"/>
    <s v="Beverages"/>
    <s v="Soft Drinks"/>
    <s v="Sparkle"/>
    <s v="B07"/>
    <x v="3"/>
    <s v="Enugu"/>
    <x v="3"/>
    <s v="Walk-in"/>
    <s v="POS"/>
    <n v="2"/>
    <n v="330"/>
    <n v="550"/>
    <n v="0.05"/>
    <x v="3"/>
    <n v="13"/>
    <n v="1100"/>
    <n v="55"/>
    <n v="1045"/>
    <n v="660"/>
    <n v="385"/>
    <n v="0.36842105263157893"/>
    <s v="Healthy"/>
    <s v="Safe"/>
    <n v="0.4"/>
    <s v="Safe"/>
    <n v="220"/>
    <n v="0.4"/>
  </r>
  <r>
    <s v="ORD-11894"/>
    <x v="139"/>
    <s v="P019"/>
    <x v="18"/>
    <s v="Electronics"/>
    <s v="Audio"/>
    <s v="SoundBeat"/>
    <s v="B04"/>
    <x v="5"/>
    <s v="Lagos"/>
    <x v="4"/>
    <s v="Member"/>
    <s v="POS"/>
    <n v="3"/>
    <n v="12500"/>
    <n v="18500"/>
    <n v="0.2"/>
    <x v="13"/>
    <n v="11"/>
    <n v="55500"/>
    <n v="11100"/>
    <n v="44400"/>
    <n v="37500"/>
    <n v="6900"/>
    <n v="0.1554054054054054"/>
    <s v="Understocked"/>
    <s v="Safe"/>
    <n v="0.32432432432432434"/>
    <s v="Safe"/>
    <n v="6000"/>
    <n v="0.32432432432432434"/>
  </r>
  <r>
    <s v="ORD-11895"/>
    <x v="44"/>
    <s v="P014"/>
    <x v="15"/>
    <s v="Personal Care"/>
    <s v="Oral Care"/>
    <s v="FreshMint"/>
    <s v="B07"/>
    <x v="3"/>
    <s v="Enugu"/>
    <x v="3"/>
    <s v="Walk-in"/>
    <s v="POS"/>
    <n v="1"/>
    <n v="1200"/>
    <n v="1900"/>
    <n v="0.2"/>
    <x v="6"/>
    <n v="5"/>
    <n v="1900"/>
    <n v="380"/>
    <n v="1520"/>
    <n v="1200"/>
    <n v="320"/>
    <n v="0.21052631578947367"/>
    <s v="Healthy"/>
    <s v="Safe"/>
    <n v="0.36842105263157893"/>
    <s v="Safe"/>
    <n v="700"/>
    <n v="0.36842105263157893"/>
  </r>
  <r>
    <s v="ORD-11896"/>
    <x v="238"/>
    <s v="P005"/>
    <x v="2"/>
    <s v="Food"/>
    <s v="Snacks"/>
    <s v="CrispyBite"/>
    <s v="B07"/>
    <x v="3"/>
    <s v="Enugu"/>
    <x v="3"/>
    <s v="Walk-in"/>
    <s v="Cash"/>
    <n v="1"/>
    <n v="850"/>
    <n v="1300"/>
    <n v="0"/>
    <x v="9"/>
    <n v="7"/>
    <n v="1300"/>
    <n v="0"/>
    <n v="1300"/>
    <n v="850"/>
    <n v="450"/>
    <n v="0.34615384615384615"/>
    <s v="Understocked"/>
    <s v="Safe"/>
    <n v="0.34615384615384615"/>
    <s v="Safe"/>
    <n v="450"/>
    <n v="0.34615384615384615"/>
  </r>
  <r>
    <s v="ORD-11897"/>
    <x v="290"/>
    <s v="P015"/>
    <x v="8"/>
    <s v="Personal Care"/>
    <s v="Bath"/>
    <s v="SilkyTouch"/>
    <s v="B06"/>
    <x v="1"/>
    <s v="Rivers"/>
    <x v="1"/>
    <s v="Member"/>
    <s v="POS"/>
    <n v="1"/>
    <n v="600"/>
    <n v="950"/>
    <n v="0.05"/>
    <x v="6"/>
    <n v="11"/>
    <n v="950"/>
    <n v="47.5"/>
    <n v="902.5"/>
    <n v="600"/>
    <n v="302.5"/>
    <n v="0.33518005540166207"/>
    <s v="Healthy"/>
    <s v="Safe"/>
    <n v="0.36842105263157893"/>
    <s v="Safe"/>
    <n v="350"/>
    <n v="0.36842105263157893"/>
  </r>
  <r>
    <s v="ORD-11898"/>
    <x v="195"/>
    <s v="P013"/>
    <x v="11"/>
    <s v="Personal Care"/>
    <s v="Skin Care"/>
    <s v="GlowPlus"/>
    <s v="B02"/>
    <x v="4"/>
    <s v="Abuja"/>
    <x v="2"/>
    <s v="Member"/>
    <s v="POS"/>
    <n v="3"/>
    <n v="3500"/>
    <n v="5200"/>
    <n v="0.05"/>
    <x v="10"/>
    <n v="10"/>
    <n v="15600"/>
    <n v="780"/>
    <n v="14820"/>
    <n v="10500"/>
    <n v="4320"/>
    <n v="0.291497975708502"/>
    <s v="Healthy"/>
    <s v="Safe"/>
    <n v="0.32692307692307693"/>
    <s v="Safe"/>
    <n v="1700"/>
    <n v="0.32692307692307693"/>
  </r>
  <r>
    <s v="ORD-11899"/>
    <x v="88"/>
    <s v="P007"/>
    <x v="3"/>
    <s v="Beverages"/>
    <s v="Malt"/>
    <s v="Naija Malt"/>
    <s v="B01"/>
    <x v="2"/>
    <s v="Abuja"/>
    <x v="2"/>
    <s v="Walk-in"/>
    <s v="POS"/>
    <n v="1"/>
    <n v="550"/>
    <n v="850"/>
    <n v="0.2"/>
    <x v="0"/>
    <n v="1"/>
    <n v="850"/>
    <n v="170"/>
    <n v="680"/>
    <n v="550"/>
    <n v="130"/>
    <n v="0.19117647058823528"/>
    <s v="Healthy"/>
    <s v="Safe"/>
    <n v="0.35294117647058826"/>
    <s v="Safe"/>
    <n v="300"/>
    <n v="0.35294117647058826"/>
  </r>
  <r>
    <s v="ORD-11900"/>
    <x v="63"/>
    <s v="P022"/>
    <x v="17"/>
    <s v="Office Supplies"/>
    <s v="Writing"/>
    <s v="WriteWell"/>
    <s v="B07"/>
    <x v="3"/>
    <s v="Enugu"/>
    <x v="3"/>
    <s v="Walk-in"/>
    <s v="Transfer"/>
    <n v="3"/>
    <n v="1300"/>
    <n v="2100"/>
    <n v="0"/>
    <x v="14"/>
    <n v="1"/>
    <n v="6300"/>
    <n v="0"/>
    <n v="6300"/>
    <n v="3900"/>
    <n v="2400"/>
    <n v="0.38095238095238093"/>
    <s v="Understocked"/>
    <s v="Safe"/>
    <n v="0.38095238095238093"/>
    <s v="Safe"/>
    <n v="800"/>
    <n v="0.38095238095238093"/>
  </r>
  <r>
    <s v="ORD-11901"/>
    <x v="140"/>
    <s v="P024"/>
    <x v="19"/>
    <s v="Office Supplies"/>
    <s v="Accessories"/>
    <s v="ErgoDesk"/>
    <s v="B04"/>
    <x v="5"/>
    <s v="Lagos"/>
    <x v="4"/>
    <s v="Member"/>
    <s v="Card"/>
    <n v="4"/>
    <n v="1700"/>
    <n v="2800"/>
    <n v="0.05"/>
    <x v="15"/>
    <n v="10"/>
    <n v="11200"/>
    <n v="560"/>
    <n v="10640"/>
    <n v="6800"/>
    <n v="3840"/>
    <n v="0.36090225563909772"/>
    <s v="Overstocked"/>
    <s v="Safe"/>
    <n v="0.39285714285714285"/>
    <s v="Safe"/>
    <n v="1100"/>
    <n v="0.39285714285714285"/>
  </r>
  <r>
    <s v="ORD-11902"/>
    <x v="9"/>
    <s v="P011"/>
    <x v="9"/>
    <s v="Household"/>
    <s v="Cleaning"/>
    <s v="CleanPro"/>
    <s v="B08"/>
    <x v="7"/>
    <s v="Kwara"/>
    <x v="2"/>
    <s v="Walk-in"/>
    <s v="Transfer"/>
    <n v="2"/>
    <n v="2800"/>
    <n v="3900"/>
    <n v="0"/>
    <x v="10"/>
    <n v="13"/>
    <n v="7800"/>
    <n v="0"/>
    <n v="7800"/>
    <n v="5600"/>
    <n v="2200"/>
    <n v="0.28205128205128205"/>
    <s v="Healthy"/>
    <s v="Safe"/>
    <n v="0.28205128205128205"/>
    <s v="Safe"/>
    <n v="1100"/>
    <n v="0.28205128205128205"/>
  </r>
  <r>
    <s v="ORD-11903"/>
    <x v="64"/>
    <s v="P006"/>
    <x v="0"/>
    <s v="Beverages"/>
    <s v="Water"/>
    <s v="AquaPure"/>
    <s v="B01"/>
    <x v="2"/>
    <s v="Abuja"/>
    <x v="2"/>
    <s v="Walk-in"/>
    <s v="Transfer"/>
    <n v="1"/>
    <n v="230"/>
    <n v="400"/>
    <n v="0.05"/>
    <x v="2"/>
    <n v="6"/>
    <n v="400"/>
    <n v="20"/>
    <n v="380"/>
    <n v="230"/>
    <n v="150"/>
    <n v="0.39473684210526316"/>
    <s v="Understocked"/>
    <s v="Safe"/>
    <n v="0.42499999999999999"/>
    <s v="Safe"/>
    <n v="170"/>
    <n v="0.42499999999999999"/>
  </r>
  <r>
    <s v="ORD-11904"/>
    <x v="112"/>
    <s v="P004"/>
    <x v="1"/>
    <s v="Beverages"/>
    <s v="Dairy"/>
    <s v="FreshDay"/>
    <s v="B01"/>
    <x v="2"/>
    <s v="Abuja"/>
    <x v="2"/>
    <s v="Walk-in"/>
    <s v="Cash"/>
    <n v="3"/>
    <n v="1650"/>
    <n v="2200"/>
    <n v="0"/>
    <x v="0"/>
    <n v="12"/>
    <n v="6600"/>
    <n v="0"/>
    <n v="6600"/>
    <n v="4950"/>
    <n v="1650"/>
    <n v="0.25"/>
    <s v="Understocked"/>
    <s v="Safe"/>
    <n v="0.25"/>
    <s v="Safe"/>
    <n v="550"/>
    <n v="0.25"/>
  </r>
  <r>
    <s v="ORD-11905"/>
    <x v="158"/>
    <s v="P018"/>
    <x v="16"/>
    <s v="Electronics"/>
    <s v="Mobile Accessories"/>
    <s v="VoltSafe"/>
    <s v="B03"/>
    <x v="6"/>
    <s v="Lagos"/>
    <x v="4"/>
    <s v="Member"/>
    <s v="Cash"/>
    <n v="5"/>
    <n v="18000"/>
    <n v="24500"/>
    <n v="0"/>
    <x v="4"/>
    <n v="11"/>
    <n v="122500"/>
    <n v="0"/>
    <n v="122500"/>
    <n v="90000"/>
    <n v="32500"/>
    <n v="0.26530612244897961"/>
    <s v="Understocked"/>
    <s v="Safe"/>
    <n v="0.26530612244897961"/>
    <s v="Safe"/>
    <n v="6500"/>
    <n v="0.26530612244897961"/>
  </r>
  <r>
    <s v="ORD-11906"/>
    <x v="318"/>
    <s v="P019"/>
    <x v="18"/>
    <s v="Electronics"/>
    <s v="Audio"/>
    <s v="SoundBeat"/>
    <s v="B01"/>
    <x v="2"/>
    <s v="Abuja"/>
    <x v="2"/>
    <s v="Corporate"/>
    <s v="POS"/>
    <n v="2"/>
    <n v="12500"/>
    <n v="18500"/>
    <n v="0.1"/>
    <x v="13"/>
    <n v="9"/>
    <n v="37000"/>
    <n v="3700"/>
    <n v="33300"/>
    <n v="25000"/>
    <n v="8300"/>
    <n v="0.24924924924924924"/>
    <s v="Understocked"/>
    <s v="Safe"/>
    <n v="0.32432432432432434"/>
    <s v="Safe"/>
    <n v="6000"/>
    <n v="0.32432432432432434"/>
  </r>
  <r>
    <s v="ORD-11907"/>
    <x v="227"/>
    <s v="P004"/>
    <x v="1"/>
    <s v="Beverages"/>
    <s v="Dairy"/>
    <s v="FreshDay"/>
    <s v="B07"/>
    <x v="3"/>
    <s v="Enugu"/>
    <x v="3"/>
    <s v="Walk-in"/>
    <s v="Cash"/>
    <n v="1"/>
    <n v="1650"/>
    <n v="2200"/>
    <n v="0.05"/>
    <x v="3"/>
    <n v="5"/>
    <n v="2200"/>
    <n v="110"/>
    <n v="2090"/>
    <n v="1650"/>
    <n v="440"/>
    <n v="0.21052631578947367"/>
    <s v="Understocked"/>
    <s v="Safe"/>
    <n v="0.25"/>
    <s v="Safe"/>
    <n v="550"/>
    <n v="0.25"/>
  </r>
  <r>
    <s v="ORD-11908"/>
    <x v="269"/>
    <s v="P023"/>
    <x v="6"/>
    <s v="Office Supplies"/>
    <s v="Stationery"/>
    <s v="StudyPro"/>
    <s v="B08"/>
    <x v="7"/>
    <s v="Kwara"/>
    <x v="2"/>
    <s v="Corporate"/>
    <s v="POS"/>
    <n v="2"/>
    <n v="2800"/>
    <n v="4200"/>
    <n v="0.1"/>
    <x v="5"/>
    <n v="8"/>
    <n v="8400"/>
    <n v="840"/>
    <n v="7560"/>
    <n v="5600"/>
    <n v="1960"/>
    <n v="0.25925925925925924"/>
    <s v="Understocked"/>
    <s v="Safe"/>
    <n v="0.33333333333333331"/>
    <s v="Safe"/>
    <n v="1400"/>
    <n v="0.33333333333333331"/>
  </r>
  <r>
    <s v="ORD-11909"/>
    <x v="82"/>
    <s v="P020"/>
    <x v="5"/>
    <s v="Electronics"/>
    <s v="Lighting"/>
    <s v="Luma"/>
    <s v="B01"/>
    <x v="2"/>
    <s v="Abuja"/>
    <x v="2"/>
    <s v="Walk-in"/>
    <s v="Cash"/>
    <n v="3"/>
    <n v="1500"/>
    <n v="2500"/>
    <n v="0.1"/>
    <x v="4"/>
    <n v="4"/>
    <n v="7500"/>
    <n v="750"/>
    <n v="6750"/>
    <n v="4500"/>
    <n v="2250"/>
    <n v="0.33333333333333331"/>
    <s v="Healthy"/>
    <s v="Safe"/>
    <n v="0.4"/>
    <s v="Safe"/>
    <n v="1000"/>
    <n v="0.4"/>
  </r>
  <r>
    <s v="ORD-11910"/>
    <x v="140"/>
    <s v="P008"/>
    <x v="4"/>
    <s v="Beverages"/>
    <s v="Soft Drinks"/>
    <s v="Sparkle"/>
    <s v="B06"/>
    <x v="1"/>
    <s v="Rivers"/>
    <x v="1"/>
    <s v="Member"/>
    <s v="Transfer"/>
    <n v="1"/>
    <n v="330"/>
    <n v="550"/>
    <n v="0"/>
    <x v="2"/>
    <n v="9"/>
    <n v="550"/>
    <n v="0"/>
    <n v="550"/>
    <n v="330"/>
    <n v="220"/>
    <n v="0.4"/>
    <s v="Healthy"/>
    <s v="Safe"/>
    <n v="0.4"/>
    <s v="Safe"/>
    <n v="220"/>
    <n v="0.4"/>
  </r>
  <r>
    <s v="ORD-11911"/>
    <x v="354"/>
    <s v="P008"/>
    <x v="4"/>
    <s v="Beverages"/>
    <s v="Soft Drinks"/>
    <s v="Sparkle"/>
    <s v="B04"/>
    <x v="5"/>
    <s v="Lagos"/>
    <x v="4"/>
    <s v="Walk-in"/>
    <s v="Transfer"/>
    <n v="1"/>
    <n v="330"/>
    <n v="550"/>
    <n v="0.1"/>
    <x v="3"/>
    <n v="13"/>
    <n v="550"/>
    <n v="55"/>
    <n v="495"/>
    <n v="330"/>
    <n v="165"/>
    <n v="0.33333333333333331"/>
    <s v="Healthy"/>
    <s v="Safe"/>
    <n v="0.4"/>
    <s v="Safe"/>
    <n v="220"/>
    <n v="0.4"/>
  </r>
  <r>
    <s v="ORD-11912"/>
    <x v="249"/>
    <s v="P005"/>
    <x v="2"/>
    <s v="Food"/>
    <s v="Snacks"/>
    <s v="CrispyBite"/>
    <s v="B06"/>
    <x v="1"/>
    <s v="Rivers"/>
    <x v="1"/>
    <s v="Member"/>
    <s v="Cash"/>
    <n v="1"/>
    <n v="850"/>
    <n v="1300"/>
    <n v="0"/>
    <x v="1"/>
    <n v="13"/>
    <n v="1300"/>
    <n v="0"/>
    <n v="1300"/>
    <n v="850"/>
    <n v="450"/>
    <n v="0.34615384615384615"/>
    <s v="Understocked"/>
    <s v="Safe"/>
    <n v="0.34615384615384615"/>
    <s v="Safe"/>
    <n v="450"/>
    <n v="0.34615384615384615"/>
  </r>
  <r>
    <s v="ORD-11913"/>
    <x v="162"/>
    <s v="P004"/>
    <x v="1"/>
    <s v="Beverages"/>
    <s v="Dairy"/>
    <s v="FreshDay"/>
    <s v="B03"/>
    <x v="6"/>
    <s v="Lagos"/>
    <x v="4"/>
    <s v="Walk-in"/>
    <s v="POS"/>
    <n v="6"/>
    <n v="1650"/>
    <n v="2200"/>
    <n v="0.15"/>
    <x v="0"/>
    <n v="1"/>
    <n v="13200"/>
    <n v="1980"/>
    <n v="11220"/>
    <n v="9900"/>
    <n v="1320"/>
    <n v="0.11764705882352941"/>
    <s v="Understocked"/>
    <s v="Safe"/>
    <n v="0.25"/>
    <s v="Safe"/>
    <n v="550"/>
    <n v="0.25"/>
  </r>
  <r>
    <s v="ORD-11914"/>
    <x v="82"/>
    <s v="P002"/>
    <x v="10"/>
    <s v="Food"/>
    <s v="Grains"/>
    <s v="Mama's Pride"/>
    <s v="B01"/>
    <x v="2"/>
    <s v="Abuja"/>
    <x v="2"/>
    <s v="Walk-in"/>
    <s v="Transfer"/>
    <n v="1"/>
    <n v="6200"/>
    <n v="7900"/>
    <n v="0.05"/>
    <x v="1"/>
    <n v="2"/>
    <n v="7900"/>
    <n v="395"/>
    <n v="7505"/>
    <n v="6200"/>
    <n v="1305"/>
    <n v="0.17388407728181213"/>
    <s v="Healthy"/>
    <s v="Safe"/>
    <n v="0.21518987341772153"/>
    <s v="Safe"/>
    <n v="1700"/>
    <n v="0.21518987341772153"/>
  </r>
  <r>
    <s v="ORD-11915"/>
    <x v="106"/>
    <s v="P010"/>
    <x v="22"/>
    <s v="Household"/>
    <s v="Paper Products"/>
    <s v="SoftCare"/>
    <s v="B04"/>
    <x v="5"/>
    <s v="Lagos"/>
    <x v="4"/>
    <s v="Member"/>
    <s v="Transfer"/>
    <n v="10"/>
    <n v="3200"/>
    <n v="4500"/>
    <n v="0"/>
    <x v="1"/>
    <n v="1"/>
    <n v="45000"/>
    <n v="0"/>
    <n v="45000"/>
    <n v="32000"/>
    <n v="13000"/>
    <n v="0.28888888888888886"/>
    <s v="Healthy"/>
    <s v="Safe"/>
    <n v="0.28888888888888886"/>
    <s v="Safe"/>
    <n v="1300"/>
    <n v="0.28888888888888886"/>
  </r>
  <r>
    <s v="ORD-11916"/>
    <x v="321"/>
    <s v="P022"/>
    <x v="17"/>
    <s v="Office Supplies"/>
    <s v="Writing"/>
    <s v="WriteWell"/>
    <s v="B04"/>
    <x v="5"/>
    <s v="Lagos"/>
    <x v="4"/>
    <s v="Member"/>
    <s v="Cash"/>
    <n v="4"/>
    <n v="1300"/>
    <n v="2100"/>
    <n v="0.1"/>
    <x v="14"/>
    <n v="10"/>
    <n v="8400"/>
    <n v="840"/>
    <n v="7560"/>
    <n v="5200"/>
    <n v="2360"/>
    <n v="0.31216931216931215"/>
    <s v="Understocked"/>
    <s v="Safe"/>
    <n v="0.38095238095238093"/>
    <s v="Safe"/>
    <n v="800"/>
    <n v="0.38095238095238093"/>
  </r>
  <r>
    <s v="ORD-11917"/>
    <x v="20"/>
    <s v="P021"/>
    <x v="20"/>
    <s v="Office Supplies"/>
    <s v="Paper"/>
    <s v="OfficeMate"/>
    <s v="B04"/>
    <x v="5"/>
    <s v="Lagos"/>
    <x v="4"/>
    <s v="Walk-in"/>
    <s v="POS"/>
    <n v="1"/>
    <n v="5200"/>
    <n v="7000"/>
    <n v="0.15"/>
    <x v="15"/>
    <n v="11"/>
    <n v="7000"/>
    <n v="1050"/>
    <n v="5950"/>
    <n v="5200"/>
    <n v="750"/>
    <n v="0.12605042016806722"/>
    <s v="Overstocked"/>
    <s v="Safe"/>
    <n v="0.25714285714285712"/>
    <s v="Safe"/>
    <n v="1800"/>
    <n v="0.25714285714285712"/>
  </r>
  <r>
    <s v="ORD-11918"/>
    <x v="13"/>
    <s v="P003"/>
    <x v="12"/>
    <s v="Food"/>
    <s v="Cooking Oil"/>
    <s v="SunGold"/>
    <s v="B06"/>
    <x v="1"/>
    <s v="Rivers"/>
    <x v="1"/>
    <s v="Walk-in"/>
    <s v="Card"/>
    <n v="3"/>
    <n v="7800"/>
    <n v="9800"/>
    <n v="0"/>
    <x v="8"/>
    <n v="9"/>
    <n v="29400"/>
    <n v="0"/>
    <n v="29400"/>
    <n v="23400"/>
    <n v="6000"/>
    <n v="0.20408163265306123"/>
    <s v="Understocked"/>
    <s v="Safe"/>
    <n v="0.20408163265306123"/>
    <s v="Safe"/>
    <n v="2000"/>
    <n v="0.20408163265306123"/>
  </r>
  <r>
    <s v="ORD-11919"/>
    <x v="105"/>
    <s v="P003"/>
    <x v="12"/>
    <s v="Food"/>
    <s v="Cooking Oil"/>
    <s v="SunGold"/>
    <s v="B08"/>
    <x v="7"/>
    <s v="Kwara"/>
    <x v="2"/>
    <s v="Walk-in"/>
    <s v="POS"/>
    <n v="1"/>
    <n v="7800"/>
    <n v="9800"/>
    <n v="0"/>
    <x v="1"/>
    <n v="4"/>
    <n v="9800"/>
    <n v="0"/>
    <n v="9800"/>
    <n v="7800"/>
    <n v="2000"/>
    <n v="0.20408163265306123"/>
    <s v="Understocked"/>
    <s v="Safe"/>
    <n v="0.20408163265306123"/>
    <s v="Safe"/>
    <n v="2000"/>
    <n v="0.20408163265306123"/>
  </r>
  <r>
    <s v="ORD-11920"/>
    <x v="146"/>
    <s v="P015"/>
    <x v="8"/>
    <s v="Personal Care"/>
    <s v="Bath"/>
    <s v="SilkyTouch"/>
    <s v="B01"/>
    <x v="2"/>
    <s v="Abuja"/>
    <x v="2"/>
    <s v="Walk-in"/>
    <s v="POS"/>
    <n v="10"/>
    <n v="600"/>
    <n v="950"/>
    <n v="0.2"/>
    <x v="10"/>
    <n v="1"/>
    <n v="9500"/>
    <n v="1900"/>
    <n v="7600"/>
    <n v="6000"/>
    <n v="1600"/>
    <n v="0.21052631578947367"/>
    <s v="Healthy"/>
    <s v="Safe"/>
    <n v="0.36842105263157893"/>
    <s v="Safe"/>
    <n v="350"/>
    <n v="0.36842105263157893"/>
  </r>
  <r>
    <s v="ORD-11921"/>
    <x v="109"/>
    <s v="P015"/>
    <x v="8"/>
    <s v="Personal Care"/>
    <s v="Bath"/>
    <s v="SilkyTouch"/>
    <s v="B01"/>
    <x v="2"/>
    <s v="Abuja"/>
    <x v="2"/>
    <s v="Walk-in"/>
    <s v="POS"/>
    <n v="3"/>
    <n v="600"/>
    <n v="950"/>
    <n v="0.2"/>
    <x v="6"/>
    <n v="4"/>
    <n v="2850"/>
    <n v="570"/>
    <n v="2280"/>
    <n v="1800"/>
    <n v="480"/>
    <n v="0.21052631578947367"/>
    <s v="Healthy"/>
    <s v="Safe"/>
    <n v="0.36842105263157893"/>
    <s v="Safe"/>
    <n v="350"/>
    <n v="0.36842105263157893"/>
  </r>
  <r>
    <s v="ORD-11922"/>
    <x v="27"/>
    <s v="P015"/>
    <x v="8"/>
    <s v="Personal Care"/>
    <s v="Bath"/>
    <s v="SilkyTouch"/>
    <s v="B04"/>
    <x v="5"/>
    <s v="Lagos"/>
    <x v="4"/>
    <s v="Member"/>
    <s v="Card"/>
    <n v="5"/>
    <n v="600"/>
    <n v="950"/>
    <n v="0"/>
    <x v="10"/>
    <n v="4"/>
    <n v="4750"/>
    <n v="0"/>
    <n v="4750"/>
    <n v="3000"/>
    <n v="1750"/>
    <n v="0.36842105263157893"/>
    <s v="Healthy"/>
    <s v="Safe"/>
    <n v="0.36842105263157893"/>
    <s v="Safe"/>
    <n v="350"/>
    <n v="0.36842105263157893"/>
  </r>
  <r>
    <s v="ORD-11923"/>
    <x v="27"/>
    <s v="P009"/>
    <x v="13"/>
    <s v="Household"/>
    <s v="Cleaning"/>
    <s v="BrightWash"/>
    <s v="B03"/>
    <x v="6"/>
    <s v="Lagos"/>
    <x v="4"/>
    <s v="Walk-in"/>
    <s v="Cash"/>
    <n v="6"/>
    <n v="2400"/>
    <n v="3400"/>
    <n v="0.05"/>
    <x v="7"/>
    <n v="6"/>
    <n v="20400"/>
    <n v="1020"/>
    <n v="19380"/>
    <n v="14400"/>
    <n v="4980"/>
    <n v="0.25696594427244585"/>
    <s v="Healthy"/>
    <s v="Safe"/>
    <n v="0.29411764705882354"/>
    <s v="Safe"/>
    <n v="1000"/>
    <n v="0.29411764705882354"/>
  </r>
  <r>
    <s v="ORD-11924"/>
    <x v="340"/>
    <s v="P005"/>
    <x v="2"/>
    <s v="Food"/>
    <s v="Snacks"/>
    <s v="CrispyBite"/>
    <s v="B07"/>
    <x v="3"/>
    <s v="Enugu"/>
    <x v="3"/>
    <s v="Member"/>
    <s v="Cash"/>
    <n v="2"/>
    <n v="850"/>
    <n v="1300"/>
    <n v="0.05"/>
    <x v="1"/>
    <n v="4"/>
    <n v="2600"/>
    <n v="130"/>
    <n v="2470"/>
    <n v="1700"/>
    <n v="770"/>
    <n v="0.31174089068825911"/>
    <s v="Understocked"/>
    <s v="Safe"/>
    <n v="0.34615384615384615"/>
    <s v="Safe"/>
    <n v="450"/>
    <n v="0.34615384615384615"/>
  </r>
  <r>
    <s v="ORD-11925"/>
    <x v="292"/>
    <s v="P014"/>
    <x v="15"/>
    <s v="Personal Care"/>
    <s v="Oral Care"/>
    <s v="FreshMint"/>
    <s v="B05"/>
    <x v="0"/>
    <s v="Kano"/>
    <x v="0"/>
    <s v="Member"/>
    <s v="POS"/>
    <n v="10"/>
    <n v="1200"/>
    <n v="1900"/>
    <n v="0"/>
    <x v="10"/>
    <n v="2"/>
    <n v="19000"/>
    <n v="0"/>
    <n v="19000"/>
    <n v="12000"/>
    <n v="7000"/>
    <n v="0.36842105263157893"/>
    <s v="Healthy"/>
    <s v="Safe"/>
    <n v="0.36842105263157893"/>
    <s v="Safe"/>
    <n v="700"/>
    <n v="0.36842105263157893"/>
  </r>
  <r>
    <s v="ORD-11926"/>
    <x v="175"/>
    <s v="P020"/>
    <x v="5"/>
    <s v="Electronics"/>
    <s v="Lighting"/>
    <s v="Luma"/>
    <s v="B01"/>
    <x v="2"/>
    <s v="Abuja"/>
    <x v="2"/>
    <s v="Corporate"/>
    <s v="Card"/>
    <n v="8"/>
    <n v="1500"/>
    <n v="2500"/>
    <n v="0.1"/>
    <x v="4"/>
    <n v="5"/>
    <n v="20000"/>
    <n v="2000"/>
    <n v="18000"/>
    <n v="12000"/>
    <n v="6000"/>
    <n v="0.33333333333333331"/>
    <s v="Healthy"/>
    <s v="Safe"/>
    <n v="0.4"/>
    <s v="Safe"/>
    <n v="1000"/>
    <n v="0.4"/>
  </r>
  <r>
    <s v="ORD-11927"/>
    <x v="133"/>
    <s v="P019"/>
    <x v="18"/>
    <s v="Electronics"/>
    <s v="Audio"/>
    <s v="SoundBeat"/>
    <s v="B01"/>
    <x v="2"/>
    <s v="Abuja"/>
    <x v="2"/>
    <s v="Walk-in"/>
    <s v="POS"/>
    <n v="2"/>
    <n v="12500"/>
    <n v="18500"/>
    <n v="0"/>
    <x v="4"/>
    <n v="2"/>
    <n v="37000"/>
    <n v="0"/>
    <n v="37000"/>
    <n v="25000"/>
    <n v="12000"/>
    <n v="0.32432432432432434"/>
    <s v="Understocked"/>
    <s v="Safe"/>
    <n v="0.32432432432432434"/>
    <s v="Safe"/>
    <n v="6000"/>
    <n v="0.32432432432432434"/>
  </r>
  <r>
    <s v="ORD-11928"/>
    <x v="227"/>
    <s v="P009"/>
    <x v="13"/>
    <s v="Household"/>
    <s v="Cleaning"/>
    <s v="BrightWash"/>
    <s v="B03"/>
    <x v="6"/>
    <s v="Lagos"/>
    <x v="4"/>
    <s v="Member"/>
    <s v="POS"/>
    <n v="3"/>
    <n v="2400"/>
    <n v="3400"/>
    <n v="0.05"/>
    <x v="10"/>
    <n v="8"/>
    <n v="10200"/>
    <n v="510"/>
    <n v="9690"/>
    <n v="7200"/>
    <n v="2490"/>
    <n v="0.25696594427244585"/>
    <s v="Healthy"/>
    <s v="Safe"/>
    <n v="0.29411764705882354"/>
    <s v="Safe"/>
    <n v="1000"/>
    <n v="0.29411764705882354"/>
  </r>
  <r>
    <s v="ORD-11929"/>
    <x v="21"/>
    <s v="P007"/>
    <x v="3"/>
    <s v="Beverages"/>
    <s v="Malt"/>
    <s v="Naija Malt"/>
    <s v="B06"/>
    <x v="1"/>
    <s v="Rivers"/>
    <x v="1"/>
    <s v="Walk-in"/>
    <s v="Transfer"/>
    <n v="8"/>
    <n v="550"/>
    <n v="850"/>
    <n v="0"/>
    <x v="2"/>
    <n v="1"/>
    <n v="6800"/>
    <n v="0"/>
    <n v="6800"/>
    <n v="4400"/>
    <n v="2400"/>
    <n v="0.35294117647058826"/>
    <s v="Healthy"/>
    <s v="Safe"/>
    <n v="0.35294117647058826"/>
    <s v="Safe"/>
    <n v="300"/>
    <n v="0.35294117647058826"/>
  </r>
  <r>
    <s v="ORD-11930"/>
    <x v="331"/>
    <s v="P017"/>
    <x v="23"/>
    <s v="Electronics"/>
    <s v="Accessories"/>
    <s v="PowerMax"/>
    <s v="B06"/>
    <x v="1"/>
    <s v="Rivers"/>
    <x v="1"/>
    <s v="Corporate"/>
    <s v="Transfer"/>
    <n v="2"/>
    <n v="7500"/>
    <n v="10500"/>
    <n v="0"/>
    <x v="4"/>
    <n v="11"/>
    <n v="21000"/>
    <n v="0"/>
    <n v="21000"/>
    <n v="15000"/>
    <n v="6000"/>
    <n v="0.2857142857142857"/>
    <s v="Healthy"/>
    <s v="Safe"/>
    <n v="0.2857142857142857"/>
    <s v="Safe"/>
    <n v="3000"/>
    <n v="0.2857142857142857"/>
  </r>
  <r>
    <s v="ORD-11931"/>
    <x v="251"/>
    <s v="P015"/>
    <x v="8"/>
    <s v="Personal Care"/>
    <s v="Bath"/>
    <s v="SilkyTouch"/>
    <s v="B04"/>
    <x v="5"/>
    <s v="Lagos"/>
    <x v="4"/>
    <s v="Member"/>
    <s v="Cash"/>
    <n v="2"/>
    <n v="600"/>
    <n v="950"/>
    <n v="0.05"/>
    <x v="6"/>
    <n v="3"/>
    <n v="1900"/>
    <n v="95"/>
    <n v="1805"/>
    <n v="1200"/>
    <n v="605"/>
    <n v="0.33518005540166207"/>
    <s v="Healthy"/>
    <s v="Safe"/>
    <n v="0.36842105263157893"/>
    <s v="Safe"/>
    <n v="350"/>
    <n v="0.36842105263157893"/>
  </r>
  <r>
    <s v="ORD-11932"/>
    <x v="233"/>
    <s v="P003"/>
    <x v="12"/>
    <s v="Food"/>
    <s v="Cooking Oil"/>
    <s v="SunGold"/>
    <s v="B07"/>
    <x v="3"/>
    <s v="Enugu"/>
    <x v="3"/>
    <s v="Walk-in"/>
    <s v="Card"/>
    <n v="1"/>
    <n v="7800"/>
    <n v="9800"/>
    <n v="0"/>
    <x v="8"/>
    <n v="11"/>
    <n v="9800"/>
    <n v="0"/>
    <n v="9800"/>
    <n v="7800"/>
    <n v="2000"/>
    <n v="0.20408163265306123"/>
    <s v="Understocked"/>
    <s v="Safe"/>
    <n v="0.20408163265306123"/>
    <s v="Safe"/>
    <n v="2000"/>
    <n v="0.20408163265306123"/>
  </r>
  <r>
    <s v="ORD-11933"/>
    <x v="325"/>
    <s v="P022"/>
    <x v="17"/>
    <s v="Office Supplies"/>
    <s v="Writing"/>
    <s v="WriteWell"/>
    <s v="B04"/>
    <x v="5"/>
    <s v="Lagos"/>
    <x v="4"/>
    <s v="Walk-in"/>
    <s v="Transfer"/>
    <n v="2"/>
    <n v="1300"/>
    <n v="2100"/>
    <n v="0.1"/>
    <x v="5"/>
    <n v="11"/>
    <n v="4200"/>
    <n v="420"/>
    <n v="3780"/>
    <n v="2600"/>
    <n v="1180"/>
    <n v="0.31216931216931215"/>
    <s v="Understocked"/>
    <s v="Safe"/>
    <n v="0.38095238095238093"/>
    <s v="Safe"/>
    <n v="800"/>
    <n v="0.38095238095238093"/>
  </r>
  <r>
    <s v="ORD-11934"/>
    <x v="21"/>
    <s v="P009"/>
    <x v="13"/>
    <s v="Household"/>
    <s v="Cleaning"/>
    <s v="BrightWash"/>
    <s v="B04"/>
    <x v="5"/>
    <s v="Lagos"/>
    <x v="4"/>
    <s v="Member"/>
    <s v="POS"/>
    <n v="10"/>
    <n v="2400"/>
    <n v="3400"/>
    <n v="0.2"/>
    <x v="10"/>
    <n v="3"/>
    <n v="34000"/>
    <n v="6800"/>
    <n v="27200"/>
    <n v="24000"/>
    <n v="3200"/>
    <n v="0.11764705882352941"/>
    <s v="Healthy"/>
    <s v="Safe"/>
    <n v="0.29411764705882354"/>
    <s v="Safe"/>
    <n v="1000"/>
    <n v="0.29411764705882354"/>
  </r>
  <r>
    <s v="ORD-11935"/>
    <x v="228"/>
    <s v="P021"/>
    <x v="20"/>
    <s v="Office Supplies"/>
    <s v="Paper"/>
    <s v="OfficeMate"/>
    <s v="B06"/>
    <x v="1"/>
    <s v="Rivers"/>
    <x v="1"/>
    <s v="Walk-in"/>
    <s v="Card"/>
    <n v="4"/>
    <n v="5200"/>
    <n v="7000"/>
    <n v="0.15"/>
    <x v="5"/>
    <n v="6"/>
    <n v="28000"/>
    <n v="4200"/>
    <n v="23800"/>
    <n v="20800"/>
    <n v="3000"/>
    <n v="0.12605042016806722"/>
    <s v="Overstocked"/>
    <s v="Safe"/>
    <n v="0.25714285714285712"/>
    <s v="Safe"/>
    <n v="1800"/>
    <n v="0.25714285714285712"/>
  </r>
  <r>
    <s v="ORD-11936"/>
    <x v="25"/>
    <s v="P015"/>
    <x v="8"/>
    <s v="Personal Care"/>
    <s v="Bath"/>
    <s v="SilkyTouch"/>
    <s v="B08"/>
    <x v="7"/>
    <s v="Kwara"/>
    <x v="2"/>
    <s v="Corporate"/>
    <s v="POS"/>
    <n v="2"/>
    <n v="600"/>
    <n v="950"/>
    <n v="0.05"/>
    <x v="10"/>
    <n v="1"/>
    <n v="1900"/>
    <n v="95"/>
    <n v="1805"/>
    <n v="1200"/>
    <n v="605"/>
    <n v="0.33518005540166207"/>
    <s v="Healthy"/>
    <s v="Safe"/>
    <n v="0.36842105263157893"/>
    <s v="Safe"/>
    <n v="350"/>
    <n v="0.36842105263157893"/>
  </r>
  <r>
    <s v="ORD-11937"/>
    <x v="40"/>
    <s v="P005"/>
    <x v="2"/>
    <s v="Food"/>
    <s v="Snacks"/>
    <s v="CrispyBite"/>
    <s v="B03"/>
    <x v="6"/>
    <s v="Lagos"/>
    <x v="4"/>
    <s v="Member"/>
    <s v="Card"/>
    <n v="1"/>
    <n v="850"/>
    <n v="1300"/>
    <n v="0.15"/>
    <x v="9"/>
    <n v="12"/>
    <n v="1300"/>
    <n v="195"/>
    <n v="1105"/>
    <n v="850"/>
    <n v="255"/>
    <n v="0.23076923076923078"/>
    <s v="Understocked"/>
    <s v="Safe"/>
    <n v="0.34615384615384615"/>
    <s v="Safe"/>
    <n v="450"/>
    <n v="0.34615384615384615"/>
  </r>
  <r>
    <s v="ORD-11938"/>
    <x v="172"/>
    <s v="P009"/>
    <x v="13"/>
    <s v="Household"/>
    <s v="Cleaning"/>
    <s v="BrightWash"/>
    <s v="B03"/>
    <x v="6"/>
    <s v="Lagos"/>
    <x v="4"/>
    <s v="Walk-in"/>
    <s v="Transfer"/>
    <n v="2"/>
    <n v="2400"/>
    <n v="3400"/>
    <n v="0.1"/>
    <x v="1"/>
    <n v="7"/>
    <n v="6800"/>
    <n v="680"/>
    <n v="6120"/>
    <n v="4800"/>
    <n v="1320"/>
    <n v="0.21568627450980393"/>
    <s v="Healthy"/>
    <s v="Safe"/>
    <n v="0.29411764705882354"/>
    <s v="Safe"/>
    <n v="1000"/>
    <n v="0.29411764705882354"/>
  </r>
  <r>
    <s v="ORD-11939"/>
    <x v="159"/>
    <s v="P014"/>
    <x v="15"/>
    <s v="Personal Care"/>
    <s v="Oral Care"/>
    <s v="FreshMint"/>
    <s v="B04"/>
    <x v="5"/>
    <s v="Lagos"/>
    <x v="4"/>
    <s v="Member"/>
    <s v="POS"/>
    <n v="5"/>
    <n v="1200"/>
    <n v="1900"/>
    <n v="0.05"/>
    <x v="11"/>
    <n v="12"/>
    <n v="9500"/>
    <n v="475"/>
    <n v="9025"/>
    <n v="6000"/>
    <n v="3025"/>
    <n v="0.33518005540166207"/>
    <s v="Healthy"/>
    <s v="Safe"/>
    <n v="0.36842105263157893"/>
    <s v="Safe"/>
    <n v="700"/>
    <n v="0.36842105263157893"/>
  </r>
  <r>
    <s v="ORD-11940"/>
    <x v="1"/>
    <s v="P006"/>
    <x v="0"/>
    <s v="Beverages"/>
    <s v="Water"/>
    <s v="AquaPure"/>
    <s v="B02"/>
    <x v="4"/>
    <s v="Abuja"/>
    <x v="2"/>
    <s v="Walk-in"/>
    <s v="POS"/>
    <n v="8"/>
    <n v="230"/>
    <n v="400"/>
    <n v="0.05"/>
    <x v="2"/>
    <n v="7"/>
    <n v="3200"/>
    <n v="160"/>
    <n v="3040"/>
    <n v="1840"/>
    <n v="1200"/>
    <n v="0.39473684210526316"/>
    <s v="Understocked"/>
    <s v="Safe"/>
    <n v="0.42499999999999999"/>
    <s v="Safe"/>
    <n v="170"/>
    <n v="0.42499999999999999"/>
  </r>
  <r>
    <s v="ORD-11941"/>
    <x v="340"/>
    <s v="P017"/>
    <x v="23"/>
    <s v="Electronics"/>
    <s v="Accessories"/>
    <s v="PowerMax"/>
    <s v="B03"/>
    <x v="6"/>
    <s v="Lagos"/>
    <x v="4"/>
    <s v="Member"/>
    <s v="Cash"/>
    <n v="5"/>
    <n v="7500"/>
    <n v="10500"/>
    <n v="0.15"/>
    <x v="4"/>
    <n v="6"/>
    <n v="52500"/>
    <n v="7875"/>
    <n v="44625"/>
    <n v="37500"/>
    <n v="7125"/>
    <n v="0.15966386554621848"/>
    <s v="Healthy"/>
    <s v="Safe"/>
    <n v="0.2857142857142857"/>
    <s v="Safe"/>
    <n v="3000"/>
    <n v="0.2857142857142857"/>
  </r>
  <r>
    <s v="ORD-11942"/>
    <x v="187"/>
    <s v="P009"/>
    <x v="13"/>
    <s v="Household"/>
    <s v="Cleaning"/>
    <s v="BrightWash"/>
    <s v="B07"/>
    <x v="3"/>
    <s v="Enugu"/>
    <x v="3"/>
    <s v="Corporate"/>
    <s v="POS"/>
    <n v="3"/>
    <n v="2400"/>
    <n v="3400"/>
    <n v="0.2"/>
    <x v="10"/>
    <n v="9"/>
    <n v="10200"/>
    <n v="2040"/>
    <n v="8160"/>
    <n v="7200"/>
    <n v="960"/>
    <n v="0.11764705882352941"/>
    <s v="Healthy"/>
    <s v="Safe"/>
    <n v="0.29411764705882354"/>
    <s v="Safe"/>
    <n v="1000"/>
    <n v="0.29411764705882354"/>
  </r>
  <r>
    <s v="ORD-11943"/>
    <x v="357"/>
    <s v="P004"/>
    <x v="1"/>
    <s v="Beverages"/>
    <s v="Dairy"/>
    <s v="FreshDay"/>
    <s v="B03"/>
    <x v="6"/>
    <s v="Lagos"/>
    <x v="4"/>
    <s v="Walk-in"/>
    <s v="Transfer"/>
    <n v="1"/>
    <n v="1650"/>
    <n v="2200"/>
    <n v="0.15"/>
    <x v="2"/>
    <n v="14"/>
    <n v="2200"/>
    <n v="330"/>
    <n v="1870"/>
    <n v="1650"/>
    <n v="220"/>
    <n v="0.11764705882352941"/>
    <s v="Understocked"/>
    <s v="Safe"/>
    <n v="0.25"/>
    <s v="Safe"/>
    <n v="550"/>
    <n v="0.25"/>
  </r>
  <r>
    <s v="ORD-11944"/>
    <x v="262"/>
    <s v="P020"/>
    <x v="5"/>
    <s v="Electronics"/>
    <s v="Lighting"/>
    <s v="Luma"/>
    <s v="B02"/>
    <x v="4"/>
    <s v="Abuja"/>
    <x v="2"/>
    <s v="Walk-in"/>
    <s v="Transfer"/>
    <n v="2"/>
    <n v="1500"/>
    <n v="2500"/>
    <n v="0.2"/>
    <x v="12"/>
    <n v="10"/>
    <n v="5000"/>
    <n v="1000"/>
    <n v="4000"/>
    <n v="3000"/>
    <n v="1000"/>
    <n v="0.25"/>
    <s v="Healthy"/>
    <s v="Safe"/>
    <n v="0.4"/>
    <s v="Safe"/>
    <n v="1000"/>
    <n v="0.4"/>
  </r>
  <r>
    <s v="ORD-11945"/>
    <x v="266"/>
    <s v="P004"/>
    <x v="1"/>
    <s v="Beverages"/>
    <s v="Dairy"/>
    <s v="FreshDay"/>
    <s v="B01"/>
    <x v="2"/>
    <s v="Abuja"/>
    <x v="2"/>
    <s v="Member"/>
    <s v="Card"/>
    <n v="5"/>
    <n v="1650"/>
    <n v="2200"/>
    <n v="0"/>
    <x v="0"/>
    <n v="10"/>
    <n v="11000"/>
    <n v="0"/>
    <n v="11000"/>
    <n v="8250"/>
    <n v="2750"/>
    <n v="0.25"/>
    <s v="Understocked"/>
    <s v="Safe"/>
    <n v="0.25"/>
    <s v="Safe"/>
    <n v="550"/>
    <n v="0.25"/>
  </r>
  <r>
    <s v="ORD-11946"/>
    <x v="64"/>
    <s v="P022"/>
    <x v="17"/>
    <s v="Office Supplies"/>
    <s v="Writing"/>
    <s v="WriteWell"/>
    <s v="B07"/>
    <x v="3"/>
    <s v="Enugu"/>
    <x v="3"/>
    <s v="Walk-in"/>
    <s v="POS"/>
    <n v="2"/>
    <n v="1300"/>
    <n v="2100"/>
    <n v="0.05"/>
    <x v="15"/>
    <n v="8"/>
    <n v="4200"/>
    <n v="210"/>
    <n v="3990"/>
    <n v="2600"/>
    <n v="1390"/>
    <n v="0.34837092731829572"/>
    <s v="Understocked"/>
    <s v="Safe"/>
    <n v="0.38095238095238093"/>
    <s v="Safe"/>
    <n v="800"/>
    <n v="0.38095238095238093"/>
  </r>
  <r>
    <s v="ORD-11947"/>
    <x v="158"/>
    <s v="P014"/>
    <x v="15"/>
    <s v="Personal Care"/>
    <s v="Oral Care"/>
    <s v="FreshMint"/>
    <s v="B04"/>
    <x v="5"/>
    <s v="Lagos"/>
    <x v="4"/>
    <s v="Member"/>
    <s v="Cash"/>
    <n v="1"/>
    <n v="1200"/>
    <n v="1900"/>
    <n v="0.15"/>
    <x v="10"/>
    <n v="11"/>
    <n v="1900"/>
    <n v="285"/>
    <n v="1615"/>
    <n v="1200"/>
    <n v="415"/>
    <n v="0.25696594427244585"/>
    <s v="Healthy"/>
    <s v="Safe"/>
    <n v="0.36842105263157893"/>
    <s v="Safe"/>
    <n v="700"/>
    <n v="0.36842105263157893"/>
  </r>
  <r>
    <s v="ORD-11948"/>
    <x v="70"/>
    <s v="P022"/>
    <x v="17"/>
    <s v="Office Supplies"/>
    <s v="Writing"/>
    <s v="WriteWell"/>
    <s v="B07"/>
    <x v="3"/>
    <s v="Enugu"/>
    <x v="3"/>
    <s v="Walk-in"/>
    <s v="Transfer"/>
    <n v="6"/>
    <n v="1300"/>
    <n v="2100"/>
    <n v="0"/>
    <x v="5"/>
    <n v="8"/>
    <n v="12600"/>
    <n v="0"/>
    <n v="12600"/>
    <n v="7800"/>
    <n v="4800"/>
    <n v="0.38095238095238093"/>
    <s v="Understocked"/>
    <s v="Safe"/>
    <n v="0.38095238095238093"/>
    <s v="Safe"/>
    <n v="800"/>
    <n v="0.38095238095238093"/>
  </r>
  <r>
    <s v="ORD-11949"/>
    <x v="236"/>
    <s v="P006"/>
    <x v="0"/>
    <s v="Beverages"/>
    <s v="Water"/>
    <s v="AquaPure"/>
    <s v="B02"/>
    <x v="4"/>
    <s v="Abuja"/>
    <x v="2"/>
    <s v="Walk-in"/>
    <s v="POS"/>
    <n v="2"/>
    <n v="230"/>
    <n v="400"/>
    <n v="0.2"/>
    <x v="2"/>
    <n v="9"/>
    <n v="800"/>
    <n v="160"/>
    <n v="640"/>
    <n v="460"/>
    <n v="180"/>
    <n v="0.28125"/>
    <s v="Understocked"/>
    <s v="Safe"/>
    <n v="0.42499999999999999"/>
    <s v="Safe"/>
    <n v="170"/>
    <n v="0.42499999999999999"/>
  </r>
  <r>
    <s v="ORD-11950"/>
    <x v="221"/>
    <s v="P006"/>
    <x v="0"/>
    <s v="Beverages"/>
    <s v="Water"/>
    <s v="AquaPure"/>
    <s v="B05"/>
    <x v="0"/>
    <s v="Kano"/>
    <x v="0"/>
    <s v="Walk-in"/>
    <s v="Cash"/>
    <n v="6"/>
    <n v="230"/>
    <n v="400"/>
    <n v="0.05"/>
    <x v="3"/>
    <n v="14"/>
    <n v="2400"/>
    <n v="120"/>
    <n v="2280"/>
    <n v="1380"/>
    <n v="900"/>
    <n v="0.39473684210526316"/>
    <s v="Understocked"/>
    <s v="Safe"/>
    <n v="0.42499999999999999"/>
    <s v="Safe"/>
    <n v="170"/>
    <n v="0.42499999999999999"/>
  </r>
  <r>
    <s v="ORD-11951"/>
    <x v="345"/>
    <s v="P001"/>
    <x v="14"/>
    <s v="Food"/>
    <s v="Grains"/>
    <s v="Golden Harvest"/>
    <s v="B04"/>
    <x v="5"/>
    <s v="Lagos"/>
    <x v="4"/>
    <s v="Member"/>
    <s v="Card"/>
    <n v="5"/>
    <n v="14500"/>
    <n v="17500"/>
    <n v="0.15"/>
    <x v="8"/>
    <n v="8"/>
    <n v="87500"/>
    <n v="13125"/>
    <n v="74375"/>
    <n v="72500"/>
    <n v="1875"/>
    <n v="2.5210084033613446E-2"/>
    <s v="Understocked"/>
    <s v="Safe"/>
    <n v="0.17142857142857143"/>
    <s v="Safe"/>
    <n v="3000"/>
    <n v="0.17142857142857143"/>
  </r>
  <r>
    <s v="ORD-11952"/>
    <x v="252"/>
    <s v="P008"/>
    <x v="4"/>
    <s v="Beverages"/>
    <s v="Soft Drinks"/>
    <s v="Sparkle"/>
    <s v="B05"/>
    <x v="0"/>
    <s v="Kano"/>
    <x v="0"/>
    <s v="Walk-in"/>
    <s v="Card"/>
    <n v="2"/>
    <n v="330"/>
    <n v="550"/>
    <n v="0"/>
    <x v="3"/>
    <n v="11"/>
    <n v="1100"/>
    <n v="0"/>
    <n v="1100"/>
    <n v="660"/>
    <n v="440"/>
    <n v="0.4"/>
    <s v="Healthy"/>
    <s v="Safe"/>
    <n v="0.4"/>
    <s v="Safe"/>
    <n v="220"/>
    <n v="0.4"/>
  </r>
  <r>
    <s v="ORD-11953"/>
    <x v="41"/>
    <s v="P015"/>
    <x v="8"/>
    <s v="Personal Care"/>
    <s v="Bath"/>
    <s v="SilkyTouch"/>
    <s v="B06"/>
    <x v="1"/>
    <s v="Rivers"/>
    <x v="1"/>
    <s v="Walk-in"/>
    <s v="POS"/>
    <n v="5"/>
    <n v="600"/>
    <n v="950"/>
    <n v="0.2"/>
    <x v="11"/>
    <n v="6"/>
    <n v="4750"/>
    <n v="950"/>
    <n v="3800"/>
    <n v="3000"/>
    <n v="800"/>
    <n v="0.21052631578947367"/>
    <s v="Healthy"/>
    <s v="Safe"/>
    <n v="0.36842105263157893"/>
    <s v="Safe"/>
    <n v="350"/>
    <n v="0.36842105263157893"/>
  </r>
  <r>
    <s v="ORD-11954"/>
    <x v="10"/>
    <s v="P023"/>
    <x v="6"/>
    <s v="Office Supplies"/>
    <s v="Stationery"/>
    <s v="StudyPro"/>
    <s v="B01"/>
    <x v="2"/>
    <s v="Abuja"/>
    <x v="2"/>
    <s v="Member"/>
    <s v="POS"/>
    <n v="8"/>
    <n v="2800"/>
    <n v="4200"/>
    <n v="0.05"/>
    <x v="15"/>
    <n v="5"/>
    <n v="33600"/>
    <n v="1680"/>
    <n v="31920"/>
    <n v="22400"/>
    <n v="9520"/>
    <n v="0.2982456140350877"/>
    <s v="Understocked"/>
    <s v="Safe"/>
    <n v="0.33333333333333331"/>
    <s v="Safe"/>
    <n v="1400"/>
    <n v="0.33333333333333331"/>
  </r>
  <r>
    <s v="ORD-11955"/>
    <x v="299"/>
    <s v="P014"/>
    <x v="15"/>
    <s v="Personal Care"/>
    <s v="Oral Care"/>
    <s v="FreshMint"/>
    <s v="B08"/>
    <x v="7"/>
    <s v="Kwara"/>
    <x v="2"/>
    <s v="Walk-in"/>
    <s v="POS"/>
    <n v="1"/>
    <n v="1200"/>
    <n v="1900"/>
    <n v="0"/>
    <x v="10"/>
    <n v="13"/>
    <n v="1900"/>
    <n v="0"/>
    <n v="1900"/>
    <n v="1200"/>
    <n v="700"/>
    <n v="0.36842105263157893"/>
    <s v="Healthy"/>
    <s v="Safe"/>
    <n v="0.36842105263157893"/>
    <s v="Safe"/>
    <n v="700"/>
    <n v="0.36842105263157893"/>
  </r>
  <r>
    <s v="ORD-11956"/>
    <x v="348"/>
    <s v="P016"/>
    <x v="7"/>
    <s v="Personal Care"/>
    <s v="Fragrance"/>
    <s v="RoyalScent"/>
    <s v="B04"/>
    <x v="5"/>
    <s v="Lagos"/>
    <x v="4"/>
    <s v="Corporate"/>
    <s v="POS"/>
    <n v="3"/>
    <n v="8500"/>
    <n v="12500"/>
    <n v="0"/>
    <x v="6"/>
    <n v="2"/>
    <n v="37500"/>
    <n v="0"/>
    <n v="37500"/>
    <n v="25500"/>
    <n v="12000"/>
    <n v="0.32"/>
    <s v="Overstocked"/>
    <s v="Safe"/>
    <n v="0.32"/>
    <s v="Safe"/>
    <n v="4000"/>
    <n v="0.32"/>
  </r>
  <r>
    <s v="ORD-11957"/>
    <x v="259"/>
    <s v="P006"/>
    <x v="0"/>
    <s v="Beverages"/>
    <s v="Water"/>
    <s v="AquaPure"/>
    <s v="B06"/>
    <x v="1"/>
    <s v="Rivers"/>
    <x v="1"/>
    <s v="Member"/>
    <s v="Cash"/>
    <n v="3"/>
    <n v="230"/>
    <n v="400"/>
    <n v="0.05"/>
    <x v="0"/>
    <n v="3"/>
    <n v="1200"/>
    <n v="60"/>
    <n v="1140"/>
    <n v="690"/>
    <n v="450"/>
    <n v="0.39473684210526316"/>
    <s v="Understocked"/>
    <s v="Safe"/>
    <n v="0.42499999999999999"/>
    <s v="Safe"/>
    <n v="170"/>
    <n v="0.42499999999999999"/>
  </r>
  <r>
    <s v="ORD-11958"/>
    <x v="287"/>
    <s v="P020"/>
    <x v="5"/>
    <s v="Electronics"/>
    <s v="Lighting"/>
    <s v="Luma"/>
    <s v="B06"/>
    <x v="1"/>
    <s v="Rivers"/>
    <x v="1"/>
    <s v="Corporate"/>
    <s v="Transfer"/>
    <n v="2"/>
    <n v="1500"/>
    <n v="2500"/>
    <n v="0.1"/>
    <x v="12"/>
    <n v="11"/>
    <n v="5000"/>
    <n v="500"/>
    <n v="4500"/>
    <n v="3000"/>
    <n v="1500"/>
    <n v="0.33333333333333331"/>
    <s v="Healthy"/>
    <s v="Safe"/>
    <n v="0.4"/>
    <s v="Safe"/>
    <n v="1000"/>
    <n v="0.4"/>
  </r>
  <r>
    <s v="ORD-11959"/>
    <x v="40"/>
    <s v="P003"/>
    <x v="12"/>
    <s v="Food"/>
    <s v="Cooking Oil"/>
    <s v="SunGold"/>
    <s v="B02"/>
    <x v="4"/>
    <s v="Abuja"/>
    <x v="2"/>
    <s v="Walk-in"/>
    <s v="POS"/>
    <n v="4"/>
    <n v="7800"/>
    <n v="9800"/>
    <n v="0.15"/>
    <x v="1"/>
    <n v="10"/>
    <n v="39200"/>
    <n v="5880"/>
    <n v="33320"/>
    <n v="31200"/>
    <n v="2120"/>
    <n v="6.3625450180072027E-2"/>
    <s v="Understocked"/>
    <s v="Safe"/>
    <n v="0.20408163265306123"/>
    <s v="Safe"/>
    <n v="2000"/>
    <n v="0.20408163265306123"/>
  </r>
  <r>
    <s v="ORD-11960"/>
    <x v="346"/>
    <s v="P006"/>
    <x v="0"/>
    <s v="Beverages"/>
    <s v="Water"/>
    <s v="AquaPure"/>
    <s v="B07"/>
    <x v="3"/>
    <s v="Enugu"/>
    <x v="3"/>
    <s v="Member"/>
    <s v="Card"/>
    <n v="4"/>
    <n v="230"/>
    <n v="400"/>
    <n v="0.15"/>
    <x v="2"/>
    <n v="4"/>
    <n v="1600"/>
    <n v="240"/>
    <n v="1360"/>
    <n v="920"/>
    <n v="440"/>
    <n v="0.3235294117647059"/>
    <s v="Understocked"/>
    <s v="Safe"/>
    <n v="0.42499999999999999"/>
    <s v="Safe"/>
    <n v="170"/>
    <n v="0.42499999999999999"/>
  </r>
  <r>
    <s v="ORD-11961"/>
    <x v="312"/>
    <s v="P008"/>
    <x v="4"/>
    <s v="Beverages"/>
    <s v="Soft Drinks"/>
    <s v="Sparkle"/>
    <s v="B04"/>
    <x v="5"/>
    <s v="Lagos"/>
    <x v="4"/>
    <s v="Walk-in"/>
    <s v="Cash"/>
    <n v="10"/>
    <n v="330"/>
    <n v="550"/>
    <n v="0.05"/>
    <x v="2"/>
    <n v="1"/>
    <n v="5500"/>
    <n v="275"/>
    <n v="5225"/>
    <n v="3300"/>
    <n v="1925"/>
    <n v="0.36842105263157893"/>
    <s v="Healthy"/>
    <s v="Safe"/>
    <n v="0.4"/>
    <s v="Safe"/>
    <n v="220"/>
    <n v="0.4"/>
  </r>
  <r>
    <s v="ORD-11962"/>
    <x v="45"/>
    <s v="P012"/>
    <x v="21"/>
    <s v="Household"/>
    <s v="Home Care"/>
    <s v="HomeFresh"/>
    <s v="B06"/>
    <x v="1"/>
    <s v="Rivers"/>
    <x v="1"/>
    <s v="Walk-in"/>
    <s v="POS"/>
    <n v="1"/>
    <n v="1700"/>
    <n v="2600"/>
    <n v="0.05"/>
    <x v="10"/>
    <n v="1"/>
    <n v="2600"/>
    <n v="130"/>
    <n v="2470"/>
    <n v="1700"/>
    <n v="770"/>
    <n v="0.31174089068825911"/>
    <s v="Overstocked"/>
    <s v="Safe"/>
    <n v="0.34615384615384615"/>
    <s v="Safe"/>
    <n v="900"/>
    <n v="0.34615384615384615"/>
  </r>
  <r>
    <s v="ORD-11963"/>
    <x v="60"/>
    <s v="P003"/>
    <x v="12"/>
    <s v="Food"/>
    <s v="Cooking Oil"/>
    <s v="SunGold"/>
    <s v="B03"/>
    <x v="6"/>
    <s v="Lagos"/>
    <x v="4"/>
    <s v="Member"/>
    <s v="POS"/>
    <n v="2"/>
    <n v="7800"/>
    <n v="9800"/>
    <n v="0.15"/>
    <x v="9"/>
    <n v="11"/>
    <n v="19600"/>
    <n v="2940"/>
    <n v="16660"/>
    <n v="15600"/>
    <n v="1060"/>
    <n v="6.3625450180072027E-2"/>
    <s v="Understocked"/>
    <s v="Safe"/>
    <n v="0.20408163265306123"/>
    <s v="Safe"/>
    <n v="2000"/>
    <n v="0.20408163265306123"/>
  </r>
  <r>
    <s v="ORD-11964"/>
    <x v="350"/>
    <s v="P015"/>
    <x v="8"/>
    <s v="Personal Care"/>
    <s v="Bath"/>
    <s v="SilkyTouch"/>
    <s v="B08"/>
    <x v="7"/>
    <s v="Kwara"/>
    <x v="2"/>
    <s v="Member"/>
    <s v="POS"/>
    <n v="3"/>
    <n v="600"/>
    <n v="950"/>
    <n v="0.15"/>
    <x v="11"/>
    <n v="9"/>
    <n v="2850"/>
    <n v="427.5"/>
    <n v="2422.5"/>
    <n v="1800"/>
    <n v="622.5"/>
    <n v="0.25696594427244585"/>
    <s v="Healthy"/>
    <s v="Safe"/>
    <n v="0.36842105263157893"/>
    <s v="Safe"/>
    <n v="350"/>
    <n v="0.36842105263157893"/>
  </r>
  <r>
    <s v="ORD-11965"/>
    <x v="71"/>
    <s v="P008"/>
    <x v="4"/>
    <s v="Beverages"/>
    <s v="Soft Drinks"/>
    <s v="Sparkle"/>
    <s v="B03"/>
    <x v="6"/>
    <s v="Lagos"/>
    <x v="4"/>
    <s v="Walk-in"/>
    <s v="POS"/>
    <n v="4"/>
    <n v="330"/>
    <n v="550"/>
    <n v="0"/>
    <x v="3"/>
    <n v="12"/>
    <n v="2200"/>
    <n v="0"/>
    <n v="2200"/>
    <n v="1320"/>
    <n v="880"/>
    <n v="0.4"/>
    <s v="Healthy"/>
    <s v="Safe"/>
    <n v="0.4"/>
    <s v="Safe"/>
    <n v="220"/>
    <n v="0.4"/>
  </r>
  <r>
    <s v="ORD-11966"/>
    <x v="211"/>
    <s v="P022"/>
    <x v="17"/>
    <s v="Office Supplies"/>
    <s v="Writing"/>
    <s v="WriteWell"/>
    <s v="B07"/>
    <x v="3"/>
    <s v="Enugu"/>
    <x v="3"/>
    <s v="Member"/>
    <s v="Card"/>
    <n v="3"/>
    <n v="1300"/>
    <n v="2100"/>
    <n v="0.1"/>
    <x v="15"/>
    <n v="6"/>
    <n v="6300"/>
    <n v="630"/>
    <n v="5670"/>
    <n v="3900"/>
    <n v="1770"/>
    <n v="0.31216931216931215"/>
    <s v="Understocked"/>
    <s v="Safe"/>
    <n v="0.38095238095238093"/>
    <s v="Safe"/>
    <n v="800"/>
    <n v="0.38095238095238093"/>
  </r>
  <r>
    <s v="ORD-11967"/>
    <x v="224"/>
    <s v="P020"/>
    <x v="5"/>
    <s v="Electronics"/>
    <s v="Lighting"/>
    <s v="Luma"/>
    <s v="B04"/>
    <x v="5"/>
    <s v="Lagos"/>
    <x v="4"/>
    <s v="Member"/>
    <s v="POS"/>
    <n v="4"/>
    <n v="1500"/>
    <n v="2500"/>
    <n v="0.1"/>
    <x v="4"/>
    <n v="12"/>
    <n v="10000"/>
    <n v="1000"/>
    <n v="9000"/>
    <n v="6000"/>
    <n v="3000"/>
    <n v="0.33333333333333331"/>
    <s v="Healthy"/>
    <s v="Safe"/>
    <n v="0.4"/>
    <s v="Safe"/>
    <n v="1000"/>
    <n v="0.4"/>
  </r>
  <r>
    <s v="ORD-11968"/>
    <x v="157"/>
    <s v="P002"/>
    <x v="10"/>
    <s v="Food"/>
    <s v="Grains"/>
    <s v="Mama's Pride"/>
    <s v="B02"/>
    <x v="4"/>
    <s v="Abuja"/>
    <x v="2"/>
    <s v="Walk-in"/>
    <s v="Transfer"/>
    <n v="6"/>
    <n v="6200"/>
    <n v="7900"/>
    <n v="0.2"/>
    <x v="9"/>
    <n v="7"/>
    <n v="47400"/>
    <n v="9480"/>
    <n v="37920"/>
    <n v="37200"/>
    <n v="720"/>
    <n v="1.8987341772151899E-2"/>
    <s v="Healthy"/>
    <s v="Safe"/>
    <n v="0.21518987341772153"/>
    <s v="Safe"/>
    <n v="1700"/>
    <n v="0.21518987341772153"/>
  </r>
  <r>
    <s v="ORD-11969"/>
    <x v="1"/>
    <s v="P018"/>
    <x v="16"/>
    <s v="Electronics"/>
    <s v="Mobile Accessories"/>
    <s v="VoltSafe"/>
    <s v="B04"/>
    <x v="5"/>
    <s v="Lagos"/>
    <x v="4"/>
    <s v="Member"/>
    <s v="POS"/>
    <n v="5"/>
    <n v="18000"/>
    <n v="24500"/>
    <n v="0"/>
    <x v="13"/>
    <n v="7"/>
    <n v="122500"/>
    <n v="0"/>
    <n v="122500"/>
    <n v="90000"/>
    <n v="32500"/>
    <n v="0.26530612244897961"/>
    <s v="Understocked"/>
    <s v="Safe"/>
    <n v="0.26530612244897961"/>
    <s v="Safe"/>
    <n v="6500"/>
    <n v="0.26530612244897961"/>
  </r>
  <r>
    <s v="ORD-11970"/>
    <x v="60"/>
    <s v="P006"/>
    <x v="0"/>
    <s v="Beverages"/>
    <s v="Water"/>
    <s v="AquaPure"/>
    <s v="B07"/>
    <x v="3"/>
    <s v="Enugu"/>
    <x v="3"/>
    <s v="Walk-in"/>
    <s v="POS"/>
    <n v="1"/>
    <n v="230"/>
    <n v="400"/>
    <n v="0.1"/>
    <x v="2"/>
    <n v="13"/>
    <n v="400"/>
    <n v="40"/>
    <n v="360"/>
    <n v="230"/>
    <n v="130"/>
    <n v="0.3611111111111111"/>
    <s v="Understocked"/>
    <s v="Safe"/>
    <n v="0.42499999999999999"/>
    <s v="Safe"/>
    <n v="170"/>
    <n v="0.42499999999999999"/>
  </r>
  <r>
    <s v="ORD-11971"/>
    <x v="87"/>
    <s v="P006"/>
    <x v="0"/>
    <s v="Beverages"/>
    <s v="Water"/>
    <s v="AquaPure"/>
    <s v="B01"/>
    <x v="2"/>
    <s v="Abuja"/>
    <x v="2"/>
    <s v="Walk-in"/>
    <s v="Transfer"/>
    <n v="4"/>
    <n v="230"/>
    <n v="400"/>
    <n v="0"/>
    <x v="3"/>
    <n v="9"/>
    <n v="1600"/>
    <n v="0"/>
    <n v="1600"/>
    <n v="920"/>
    <n v="680"/>
    <n v="0.42499999999999999"/>
    <s v="Understocked"/>
    <s v="Safe"/>
    <n v="0.42499999999999999"/>
    <s v="Safe"/>
    <n v="170"/>
    <n v="0.42499999999999999"/>
  </r>
  <r>
    <s v="ORD-11972"/>
    <x v="352"/>
    <s v="P007"/>
    <x v="3"/>
    <s v="Beverages"/>
    <s v="Malt"/>
    <s v="Naija Malt"/>
    <s v="B04"/>
    <x v="5"/>
    <s v="Lagos"/>
    <x v="4"/>
    <s v="Walk-in"/>
    <s v="Card"/>
    <n v="4"/>
    <n v="550"/>
    <n v="850"/>
    <n v="0.1"/>
    <x v="2"/>
    <n v="13"/>
    <n v="3400"/>
    <n v="340"/>
    <n v="3060"/>
    <n v="2200"/>
    <n v="860"/>
    <n v="0.28104575163398693"/>
    <s v="Healthy"/>
    <s v="Safe"/>
    <n v="0.35294117647058826"/>
    <s v="Safe"/>
    <n v="300"/>
    <n v="0.35294117647058826"/>
  </r>
  <r>
    <s v="ORD-11973"/>
    <x v="129"/>
    <s v="P006"/>
    <x v="0"/>
    <s v="Beverages"/>
    <s v="Water"/>
    <s v="AquaPure"/>
    <s v="B04"/>
    <x v="5"/>
    <s v="Lagos"/>
    <x v="4"/>
    <s v="Member"/>
    <s v="Transfer"/>
    <n v="5"/>
    <n v="230"/>
    <n v="400"/>
    <n v="0.2"/>
    <x v="2"/>
    <n v="12"/>
    <n v="2000"/>
    <n v="400"/>
    <n v="1600"/>
    <n v="1150"/>
    <n v="450"/>
    <n v="0.28125"/>
    <s v="Understocked"/>
    <s v="Safe"/>
    <n v="0.42499999999999999"/>
    <s v="Safe"/>
    <n v="170"/>
    <n v="0.42499999999999999"/>
  </r>
  <r>
    <s v="ORD-11974"/>
    <x v="181"/>
    <s v="P010"/>
    <x v="22"/>
    <s v="Household"/>
    <s v="Paper Products"/>
    <s v="SoftCare"/>
    <s v="B07"/>
    <x v="3"/>
    <s v="Enugu"/>
    <x v="3"/>
    <s v="Walk-in"/>
    <s v="POS"/>
    <n v="2"/>
    <n v="3200"/>
    <n v="4500"/>
    <n v="0.05"/>
    <x v="7"/>
    <n v="10"/>
    <n v="9000"/>
    <n v="450"/>
    <n v="8550"/>
    <n v="6400"/>
    <n v="2150"/>
    <n v="0.25146198830409355"/>
    <s v="Healthy"/>
    <s v="Safe"/>
    <n v="0.28888888888888886"/>
    <s v="Safe"/>
    <n v="1300"/>
    <n v="0.28888888888888886"/>
  </r>
  <r>
    <s v="ORD-11975"/>
    <x v="351"/>
    <s v="P023"/>
    <x v="6"/>
    <s v="Office Supplies"/>
    <s v="Stationery"/>
    <s v="StudyPro"/>
    <s v="B04"/>
    <x v="5"/>
    <s v="Lagos"/>
    <x v="4"/>
    <s v="Member"/>
    <s v="Cash"/>
    <n v="2"/>
    <n v="2800"/>
    <n v="4200"/>
    <n v="0.05"/>
    <x v="15"/>
    <n v="13"/>
    <n v="8400"/>
    <n v="420"/>
    <n v="7980"/>
    <n v="5600"/>
    <n v="2380"/>
    <n v="0.2982456140350877"/>
    <s v="Understocked"/>
    <s v="Safe"/>
    <n v="0.33333333333333331"/>
    <s v="Safe"/>
    <n v="1400"/>
    <n v="0.33333333333333331"/>
  </r>
  <r>
    <s v="ORD-11976"/>
    <x v="356"/>
    <s v="P004"/>
    <x v="1"/>
    <s v="Beverages"/>
    <s v="Dairy"/>
    <s v="FreshDay"/>
    <s v="B08"/>
    <x v="7"/>
    <s v="Kwara"/>
    <x v="2"/>
    <s v="Member"/>
    <s v="Transfer"/>
    <n v="4"/>
    <n v="1650"/>
    <n v="2200"/>
    <n v="0"/>
    <x v="3"/>
    <n v="12"/>
    <n v="8800"/>
    <n v="0"/>
    <n v="8800"/>
    <n v="6600"/>
    <n v="2200"/>
    <n v="0.25"/>
    <s v="Understocked"/>
    <s v="Safe"/>
    <n v="0.25"/>
    <s v="Safe"/>
    <n v="550"/>
    <n v="0.25"/>
  </r>
  <r>
    <s v="ORD-11977"/>
    <x v="200"/>
    <s v="P006"/>
    <x v="0"/>
    <s v="Beverages"/>
    <s v="Water"/>
    <s v="AquaPure"/>
    <s v="B08"/>
    <x v="7"/>
    <s v="Kwara"/>
    <x v="2"/>
    <s v="Walk-in"/>
    <s v="POS"/>
    <n v="3"/>
    <n v="230"/>
    <n v="400"/>
    <n v="0.1"/>
    <x v="2"/>
    <n v="8"/>
    <n v="1200"/>
    <n v="120"/>
    <n v="1080"/>
    <n v="690"/>
    <n v="390"/>
    <n v="0.3611111111111111"/>
    <s v="Understocked"/>
    <s v="Safe"/>
    <n v="0.42499999999999999"/>
    <s v="Safe"/>
    <n v="170"/>
    <n v="0.42499999999999999"/>
  </r>
  <r>
    <s v="ORD-11978"/>
    <x v="72"/>
    <s v="P008"/>
    <x v="4"/>
    <s v="Beverages"/>
    <s v="Soft Drinks"/>
    <s v="Sparkle"/>
    <s v="B01"/>
    <x v="2"/>
    <s v="Abuja"/>
    <x v="2"/>
    <s v="Walk-in"/>
    <s v="Transfer"/>
    <n v="8"/>
    <n v="330"/>
    <n v="550"/>
    <n v="0.05"/>
    <x v="2"/>
    <n v="4"/>
    <n v="4400"/>
    <n v="220"/>
    <n v="4180"/>
    <n v="2640"/>
    <n v="1540"/>
    <n v="0.36842105263157893"/>
    <s v="Healthy"/>
    <s v="Safe"/>
    <n v="0.4"/>
    <s v="Safe"/>
    <n v="220"/>
    <n v="0.4"/>
  </r>
  <r>
    <s v="ORD-11979"/>
    <x v="324"/>
    <s v="P023"/>
    <x v="6"/>
    <s v="Office Supplies"/>
    <s v="Stationery"/>
    <s v="StudyPro"/>
    <s v="B02"/>
    <x v="4"/>
    <s v="Abuja"/>
    <x v="2"/>
    <s v="Member"/>
    <s v="Transfer"/>
    <n v="2"/>
    <n v="2800"/>
    <n v="4200"/>
    <n v="0.05"/>
    <x v="14"/>
    <n v="12"/>
    <n v="8400"/>
    <n v="420"/>
    <n v="7980"/>
    <n v="5600"/>
    <n v="2380"/>
    <n v="0.2982456140350877"/>
    <s v="Understocked"/>
    <s v="Safe"/>
    <n v="0.33333333333333331"/>
    <s v="Safe"/>
    <n v="1400"/>
    <n v="0.33333333333333331"/>
  </r>
  <r>
    <s v="ORD-11980"/>
    <x v="42"/>
    <s v="P009"/>
    <x v="13"/>
    <s v="Household"/>
    <s v="Cleaning"/>
    <s v="BrightWash"/>
    <s v="B04"/>
    <x v="5"/>
    <s v="Lagos"/>
    <x v="4"/>
    <s v="Member"/>
    <s v="POS"/>
    <n v="3"/>
    <n v="2400"/>
    <n v="3400"/>
    <n v="0.05"/>
    <x v="1"/>
    <n v="11"/>
    <n v="10200"/>
    <n v="510"/>
    <n v="9690"/>
    <n v="7200"/>
    <n v="2490"/>
    <n v="0.25696594427244585"/>
    <s v="Healthy"/>
    <s v="Safe"/>
    <n v="0.29411764705882354"/>
    <s v="Safe"/>
    <n v="1000"/>
    <n v="0.29411764705882354"/>
  </r>
  <r>
    <s v="ORD-11981"/>
    <x v="209"/>
    <s v="P015"/>
    <x v="8"/>
    <s v="Personal Care"/>
    <s v="Bath"/>
    <s v="SilkyTouch"/>
    <s v="B02"/>
    <x v="4"/>
    <s v="Abuja"/>
    <x v="2"/>
    <s v="Walk-in"/>
    <s v="Card"/>
    <n v="3"/>
    <n v="600"/>
    <n v="950"/>
    <n v="0.1"/>
    <x v="6"/>
    <n v="9"/>
    <n v="2850"/>
    <n v="285"/>
    <n v="2565"/>
    <n v="1800"/>
    <n v="765"/>
    <n v="0.2982456140350877"/>
    <s v="Healthy"/>
    <s v="Safe"/>
    <n v="0.36842105263157893"/>
    <s v="Safe"/>
    <n v="350"/>
    <n v="0.36842105263157893"/>
  </r>
  <r>
    <s v="ORD-11982"/>
    <x v="336"/>
    <s v="P013"/>
    <x v="11"/>
    <s v="Personal Care"/>
    <s v="Skin Care"/>
    <s v="GlowPlus"/>
    <s v="B02"/>
    <x v="4"/>
    <s v="Abuja"/>
    <x v="2"/>
    <s v="Walk-in"/>
    <s v="Cash"/>
    <n v="1"/>
    <n v="3500"/>
    <n v="5200"/>
    <n v="0"/>
    <x v="6"/>
    <n v="13"/>
    <n v="5200"/>
    <n v="0"/>
    <n v="5200"/>
    <n v="3500"/>
    <n v="1700"/>
    <n v="0.32692307692307693"/>
    <s v="Healthy"/>
    <s v="Safe"/>
    <n v="0.32692307692307693"/>
    <s v="Safe"/>
    <n v="1700"/>
    <n v="0.32692307692307693"/>
  </r>
  <r>
    <s v="ORD-11983"/>
    <x v="175"/>
    <s v="P006"/>
    <x v="0"/>
    <s v="Beverages"/>
    <s v="Water"/>
    <s v="AquaPure"/>
    <s v="B03"/>
    <x v="6"/>
    <s v="Lagos"/>
    <x v="4"/>
    <s v="Walk-in"/>
    <s v="Cash"/>
    <n v="3"/>
    <n v="230"/>
    <n v="400"/>
    <n v="0.15"/>
    <x v="3"/>
    <n v="1"/>
    <n v="1200"/>
    <n v="180"/>
    <n v="1020"/>
    <n v="690"/>
    <n v="330"/>
    <n v="0.3235294117647059"/>
    <s v="Understocked"/>
    <s v="Safe"/>
    <n v="0.42499999999999999"/>
    <s v="Safe"/>
    <n v="170"/>
    <n v="0.42499999999999999"/>
  </r>
  <r>
    <s v="ORD-11984"/>
    <x v="87"/>
    <s v="P008"/>
    <x v="4"/>
    <s v="Beverages"/>
    <s v="Soft Drinks"/>
    <s v="Sparkle"/>
    <s v="B03"/>
    <x v="6"/>
    <s v="Lagos"/>
    <x v="4"/>
    <s v="Walk-in"/>
    <s v="Card"/>
    <n v="3"/>
    <n v="330"/>
    <n v="550"/>
    <n v="0.1"/>
    <x v="2"/>
    <n v="10"/>
    <n v="1650"/>
    <n v="165"/>
    <n v="1485"/>
    <n v="990"/>
    <n v="495"/>
    <n v="0.33333333333333331"/>
    <s v="Healthy"/>
    <s v="Safe"/>
    <n v="0.4"/>
    <s v="Safe"/>
    <n v="220"/>
    <n v="0.4"/>
  </r>
  <r>
    <s v="ORD-11985"/>
    <x v="108"/>
    <s v="P020"/>
    <x v="5"/>
    <s v="Electronics"/>
    <s v="Lighting"/>
    <s v="Luma"/>
    <s v="B01"/>
    <x v="2"/>
    <s v="Abuja"/>
    <x v="2"/>
    <s v="Walk-in"/>
    <s v="POS"/>
    <n v="5"/>
    <n v="1500"/>
    <n v="2500"/>
    <n v="0.05"/>
    <x v="4"/>
    <n v="5"/>
    <n v="12500"/>
    <n v="625"/>
    <n v="11875"/>
    <n v="7500"/>
    <n v="4375"/>
    <n v="0.36842105263157893"/>
    <s v="Healthy"/>
    <s v="Safe"/>
    <n v="0.4"/>
    <s v="Safe"/>
    <n v="1000"/>
    <n v="0.4"/>
  </r>
  <r>
    <s v="ORD-11986"/>
    <x v="260"/>
    <s v="P001"/>
    <x v="14"/>
    <s v="Food"/>
    <s v="Grains"/>
    <s v="Golden Harvest"/>
    <s v="B02"/>
    <x v="4"/>
    <s v="Abuja"/>
    <x v="2"/>
    <s v="Walk-in"/>
    <s v="POS"/>
    <n v="2"/>
    <n v="14500"/>
    <n v="17500"/>
    <n v="0"/>
    <x v="8"/>
    <n v="5"/>
    <n v="35000"/>
    <n v="0"/>
    <n v="35000"/>
    <n v="29000"/>
    <n v="6000"/>
    <n v="0.17142857142857143"/>
    <s v="Understocked"/>
    <s v="Safe"/>
    <n v="0.17142857142857143"/>
    <s v="Safe"/>
    <n v="3000"/>
    <n v="0.17142857142857143"/>
  </r>
  <r>
    <s v="ORD-11987"/>
    <x v="195"/>
    <s v="P004"/>
    <x v="1"/>
    <s v="Beverages"/>
    <s v="Dairy"/>
    <s v="FreshDay"/>
    <s v="B04"/>
    <x v="5"/>
    <s v="Lagos"/>
    <x v="4"/>
    <s v="Walk-in"/>
    <s v="Transfer"/>
    <n v="1"/>
    <n v="1650"/>
    <n v="2200"/>
    <n v="0.15"/>
    <x v="0"/>
    <n v="12"/>
    <n v="2200"/>
    <n v="330"/>
    <n v="1870"/>
    <n v="1650"/>
    <n v="220"/>
    <n v="0.11764705882352941"/>
    <s v="Understocked"/>
    <s v="Safe"/>
    <n v="0.25"/>
    <s v="Safe"/>
    <n v="550"/>
    <n v="0.25"/>
  </r>
  <r>
    <s v="ORD-11988"/>
    <x v="183"/>
    <s v="P005"/>
    <x v="2"/>
    <s v="Food"/>
    <s v="Snacks"/>
    <s v="CrispyBite"/>
    <s v="B06"/>
    <x v="1"/>
    <s v="Rivers"/>
    <x v="1"/>
    <s v="Walk-in"/>
    <s v="Transfer"/>
    <n v="3"/>
    <n v="850"/>
    <n v="1300"/>
    <n v="0.1"/>
    <x v="9"/>
    <n v="9"/>
    <n v="3900"/>
    <n v="390"/>
    <n v="3510"/>
    <n v="2550"/>
    <n v="960"/>
    <n v="0.27350427350427353"/>
    <s v="Understocked"/>
    <s v="Safe"/>
    <n v="0.34615384615384615"/>
    <s v="Safe"/>
    <n v="450"/>
    <n v="0.34615384615384615"/>
  </r>
  <r>
    <s v="ORD-11989"/>
    <x v="253"/>
    <s v="P014"/>
    <x v="15"/>
    <s v="Personal Care"/>
    <s v="Oral Care"/>
    <s v="FreshMint"/>
    <s v="B03"/>
    <x v="6"/>
    <s v="Lagos"/>
    <x v="4"/>
    <s v="Walk-in"/>
    <s v="Card"/>
    <n v="2"/>
    <n v="1200"/>
    <n v="1900"/>
    <n v="0"/>
    <x v="10"/>
    <n v="10"/>
    <n v="3800"/>
    <n v="0"/>
    <n v="3800"/>
    <n v="2400"/>
    <n v="1400"/>
    <n v="0.36842105263157893"/>
    <s v="Healthy"/>
    <s v="Safe"/>
    <n v="0.36842105263157893"/>
    <s v="Safe"/>
    <n v="700"/>
    <n v="0.36842105263157893"/>
  </r>
  <r>
    <s v="ORD-11990"/>
    <x v="67"/>
    <s v="P016"/>
    <x v="7"/>
    <s v="Personal Care"/>
    <s v="Fragrance"/>
    <s v="RoyalScent"/>
    <s v="B05"/>
    <x v="0"/>
    <s v="Kano"/>
    <x v="0"/>
    <s v="Member"/>
    <s v="Card"/>
    <n v="2"/>
    <n v="8500"/>
    <n v="12500"/>
    <n v="0.1"/>
    <x v="11"/>
    <n v="13"/>
    <n v="25000"/>
    <n v="2500"/>
    <n v="22500"/>
    <n v="17000"/>
    <n v="5500"/>
    <n v="0.24444444444444444"/>
    <s v="Overstocked"/>
    <s v="Safe"/>
    <n v="0.32"/>
    <s v="Safe"/>
    <n v="4000"/>
    <n v="0.32"/>
  </r>
  <r>
    <s v="ORD-11991"/>
    <x v="361"/>
    <s v="P015"/>
    <x v="8"/>
    <s v="Personal Care"/>
    <s v="Bath"/>
    <s v="SilkyTouch"/>
    <s v="B03"/>
    <x v="6"/>
    <s v="Lagos"/>
    <x v="4"/>
    <s v="Member"/>
    <s v="POS"/>
    <n v="2"/>
    <n v="600"/>
    <n v="950"/>
    <n v="0"/>
    <x v="11"/>
    <n v="10"/>
    <n v="1900"/>
    <n v="0"/>
    <n v="1900"/>
    <n v="1200"/>
    <n v="700"/>
    <n v="0.36842105263157893"/>
    <s v="Healthy"/>
    <s v="Safe"/>
    <n v="0.36842105263157893"/>
    <s v="Safe"/>
    <n v="350"/>
    <n v="0.36842105263157893"/>
  </r>
  <r>
    <s v="ORD-11992"/>
    <x v="304"/>
    <s v="P005"/>
    <x v="2"/>
    <s v="Food"/>
    <s v="Snacks"/>
    <s v="CrispyBite"/>
    <s v="B05"/>
    <x v="0"/>
    <s v="Kano"/>
    <x v="0"/>
    <s v="Walk-in"/>
    <s v="POS"/>
    <n v="5"/>
    <n v="850"/>
    <n v="1300"/>
    <n v="0.2"/>
    <x v="8"/>
    <n v="4"/>
    <n v="6500"/>
    <n v="1300"/>
    <n v="5200"/>
    <n v="4250"/>
    <n v="950"/>
    <n v="0.18269230769230768"/>
    <s v="Understocked"/>
    <s v="Safe"/>
    <n v="0.34615384615384615"/>
    <s v="Safe"/>
    <n v="450"/>
    <n v="0.34615384615384615"/>
  </r>
  <r>
    <s v="ORD-11993"/>
    <x v="52"/>
    <s v="P020"/>
    <x v="5"/>
    <s v="Electronics"/>
    <s v="Lighting"/>
    <s v="Luma"/>
    <s v="B03"/>
    <x v="6"/>
    <s v="Lagos"/>
    <x v="4"/>
    <s v="Member"/>
    <s v="POS"/>
    <n v="3"/>
    <n v="1500"/>
    <n v="2500"/>
    <n v="0.1"/>
    <x v="4"/>
    <n v="4"/>
    <n v="7500"/>
    <n v="750"/>
    <n v="6750"/>
    <n v="4500"/>
    <n v="2250"/>
    <n v="0.33333333333333331"/>
    <s v="Healthy"/>
    <s v="Safe"/>
    <n v="0.4"/>
    <s v="Safe"/>
    <n v="1000"/>
    <n v="0.4"/>
  </r>
  <r>
    <s v="ORD-11994"/>
    <x v="79"/>
    <s v="P009"/>
    <x v="13"/>
    <s v="Household"/>
    <s v="Cleaning"/>
    <s v="BrightWash"/>
    <s v="B01"/>
    <x v="2"/>
    <s v="Abuja"/>
    <x v="2"/>
    <s v="Walk-in"/>
    <s v="POS"/>
    <n v="4"/>
    <n v="2400"/>
    <n v="3400"/>
    <n v="0.1"/>
    <x v="1"/>
    <n v="11"/>
    <n v="13600"/>
    <n v="1360"/>
    <n v="12240"/>
    <n v="9600"/>
    <n v="2640"/>
    <n v="0.21568627450980393"/>
    <s v="Healthy"/>
    <s v="Safe"/>
    <n v="0.29411764705882354"/>
    <s v="Safe"/>
    <n v="1000"/>
    <n v="0.29411764705882354"/>
  </r>
  <r>
    <s v="ORD-11995"/>
    <x v="235"/>
    <s v="P011"/>
    <x v="9"/>
    <s v="Household"/>
    <s v="Cleaning"/>
    <s v="CleanPro"/>
    <s v="B08"/>
    <x v="7"/>
    <s v="Kwara"/>
    <x v="2"/>
    <s v="Corporate"/>
    <s v="POS"/>
    <n v="1"/>
    <n v="2800"/>
    <n v="3900"/>
    <n v="0"/>
    <x v="1"/>
    <n v="8"/>
    <n v="3900"/>
    <n v="0"/>
    <n v="3900"/>
    <n v="2800"/>
    <n v="1100"/>
    <n v="0.28205128205128205"/>
    <s v="Healthy"/>
    <s v="Safe"/>
    <n v="0.28205128205128205"/>
    <s v="Safe"/>
    <n v="1100"/>
    <n v="0.28205128205128205"/>
  </r>
  <r>
    <s v="ORD-11996"/>
    <x v="303"/>
    <s v="P004"/>
    <x v="1"/>
    <s v="Beverages"/>
    <s v="Dairy"/>
    <s v="FreshDay"/>
    <s v="B07"/>
    <x v="3"/>
    <s v="Enugu"/>
    <x v="3"/>
    <s v="Walk-in"/>
    <s v="POS"/>
    <n v="4"/>
    <n v="1650"/>
    <n v="2200"/>
    <n v="0.05"/>
    <x v="2"/>
    <n v="4"/>
    <n v="8800"/>
    <n v="440"/>
    <n v="8360"/>
    <n v="6600"/>
    <n v="1760"/>
    <n v="0.21052631578947367"/>
    <s v="Understocked"/>
    <s v="Safe"/>
    <n v="0.25"/>
    <s v="Safe"/>
    <n v="550"/>
    <n v="0.25"/>
  </r>
  <r>
    <s v="ORD-11997"/>
    <x v="341"/>
    <s v="P018"/>
    <x v="16"/>
    <s v="Electronics"/>
    <s v="Mobile Accessories"/>
    <s v="VoltSafe"/>
    <s v="B03"/>
    <x v="6"/>
    <s v="Lagos"/>
    <x v="4"/>
    <s v="Member"/>
    <s v="Cash"/>
    <n v="3"/>
    <n v="18000"/>
    <n v="24500"/>
    <n v="0.1"/>
    <x v="4"/>
    <n v="1"/>
    <n v="73500"/>
    <n v="7350"/>
    <n v="66150"/>
    <n v="54000"/>
    <n v="12150"/>
    <n v="0.18367346938775511"/>
    <s v="Understocked"/>
    <s v="Safe"/>
    <n v="0.26530612244897961"/>
    <s v="Safe"/>
    <n v="6500"/>
    <n v="0.26530612244897961"/>
  </r>
  <r>
    <s v="ORD-11998"/>
    <x v="333"/>
    <s v="P010"/>
    <x v="22"/>
    <s v="Household"/>
    <s v="Paper Products"/>
    <s v="SoftCare"/>
    <s v="B07"/>
    <x v="3"/>
    <s v="Enugu"/>
    <x v="3"/>
    <s v="Member"/>
    <s v="Card"/>
    <n v="2"/>
    <n v="3200"/>
    <n v="4500"/>
    <n v="0"/>
    <x v="7"/>
    <n v="14"/>
    <n v="9000"/>
    <n v="0"/>
    <n v="9000"/>
    <n v="6400"/>
    <n v="2600"/>
    <n v="0.28888888888888886"/>
    <s v="Healthy"/>
    <s v="Safe"/>
    <n v="0.28888888888888886"/>
    <s v="Safe"/>
    <n v="1300"/>
    <n v="0.28888888888888886"/>
  </r>
  <r>
    <s v="ORD-11999"/>
    <x v="363"/>
    <s v="P003"/>
    <x v="12"/>
    <s v="Food"/>
    <s v="Cooking Oil"/>
    <s v="SunGold"/>
    <s v="B06"/>
    <x v="1"/>
    <s v="Rivers"/>
    <x v="1"/>
    <s v="Walk-in"/>
    <s v="Transfer"/>
    <n v="1"/>
    <n v="7800"/>
    <n v="9800"/>
    <n v="0.15"/>
    <x v="8"/>
    <n v="9"/>
    <n v="9800"/>
    <n v="1470"/>
    <n v="8330"/>
    <n v="7800"/>
    <n v="530"/>
    <n v="6.3625450180072027E-2"/>
    <s v="Understocked"/>
    <s v="Safe"/>
    <n v="0.20408163265306123"/>
    <s v="Safe"/>
    <n v="2000"/>
    <n v="0.20408163265306123"/>
  </r>
  <r>
    <s v="ORD-12000"/>
    <x v="112"/>
    <s v="P004"/>
    <x v="1"/>
    <s v="Beverages"/>
    <s v="Dairy"/>
    <s v="FreshDay"/>
    <s v="B04"/>
    <x v="5"/>
    <s v="Lagos"/>
    <x v="4"/>
    <s v="Corporate"/>
    <s v="POS"/>
    <n v="3"/>
    <n v="1650"/>
    <n v="2200"/>
    <n v="0.15"/>
    <x v="2"/>
    <n v="13"/>
    <n v="6600"/>
    <n v="990"/>
    <n v="5610"/>
    <n v="4950"/>
    <n v="660"/>
    <n v="0.11764705882352941"/>
    <s v="Understocked"/>
    <s v="Safe"/>
    <n v="0.25"/>
    <s v="Safe"/>
    <n v="550"/>
    <n v="0.25"/>
  </r>
  <r>
    <s v="ORD-12001"/>
    <x v="101"/>
    <s v="P012"/>
    <x v="21"/>
    <s v="Household"/>
    <s v="Home Care"/>
    <s v="HomeFresh"/>
    <s v="B08"/>
    <x v="7"/>
    <s v="Kwara"/>
    <x v="2"/>
    <s v="Walk-in"/>
    <s v="Card"/>
    <n v="2"/>
    <n v="1700"/>
    <n v="2600"/>
    <n v="0.05"/>
    <x v="10"/>
    <n v="7"/>
    <n v="5200"/>
    <n v="260"/>
    <n v="4940"/>
    <n v="3400"/>
    <n v="1540"/>
    <n v="0.31174089068825911"/>
    <s v="Overstocked"/>
    <s v="Safe"/>
    <n v="0.34615384615384615"/>
    <s v="Safe"/>
    <n v="900"/>
    <n v="0.34615384615384615"/>
  </r>
  <r>
    <s v="ORD-12002"/>
    <x v="55"/>
    <s v="P002"/>
    <x v="10"/>
    <s v="Food"/>
    <s v="Grains"/>
    <s v="Mama's Pride"/>
    <s v="B08"/>
    <x v="7"/>
    <s v="Kwara"/>
    <x v="2"/>
    <s v="Walk-in"/>
    <s v="POS"/>
    <n v="3"/>
    <n v="6200"/>
    <n v="7900"/>
    <n v="0"/>
    <x v="9"/>
    <n v="14"/>
    <n v="23700"/>
    <n v="0"/>
    <n v="23700"/>
    <n v="18600"/>
    <n v="5100"/>
    <n v="0.21518987341772153"/>
    <s v="Healthy"/>
    <s v="Safe"/>
    <n v="0.21518987341772153"/>
    <s v="Safe"/>
    <n v="1700"/>
    <n v="0.21518987341772153"/>
  </r>
  <r>
    <s v="ORD-12003"/>
    <x v="224"/>
    <s v="P015"/>
    <x v="8"/>
    <s v="Personal Care"/>
    <s v="Bath"/>
    <s v="SilkyTouch"/>
    <s v="B01"/>
    <x v="2"/>
    <s v="Abuja"/>
    <x v="2"/>
    <s v="Walk-in"/>
    <s v="Card"/>
    <n v="2"/>
    <n v="600"/>
    <n v="950"/>
    <n v="0.05"/>
    <x v="6"/>
    <n v="11"/>
    <n v="1900"/>
    <n v="95"/>
    <n v="1805"/>
    <n v="1200"/>
    <n v="605"/>
    <n v="0.33518005540166207"/>
    <s v="Healthy"/>
    <s v="Safe"/>
    <n v="0.36842105263157893"/>
    <s v="Safe"/>
    <n v="350"/>
    <n v="0.36842105263157893"/>
  </r>
  <r>
    <s v="ORD-12004"/>
    <x v="59"/>
    <s v="P005"/>
    <x v="2"/>
    <s v="Food"/>
    <s v="Snacks"/>
    <s v="CrispyBite"/>
    <s v="B04"/>
    <x v="5"/>
    <s v="Lagos"/>
    <x v="4"/>
    <s v="Member"/>
    <s v="POS"/>
    <n v="3"/>
    <n v="850"/>
    <n v="1300"/>
    <n v="0.05"/>
    <x v="8"/>
    <n v="13"/>
    <n v="3900"/>
    <n v="195"/>
    <n v="3705"/>
    <n v="2550"/>
    <n v="1155"/>
    <n v="0.31174089068825911"/>
    <s v="Understocked"/>
    <s v="Safe"/>
    <n v="0.34615384615384615"/>
    <s v="Safe"/>
    <n v="450"/>
    <n v="0.34615384615384615"/>
  </r>
  <r>
    <s v="ORD-12005"/>
    <x v="278"/>
    <s v="P001"/>
    <x v="14"/>
    <s v="Food"/>
    <s v="Grains"/>
    <s v="Golden Harvest"/>
    <s v="B06"/>
    <x v="1"/>
    <s v="Rivers"/>
    <x v="1"/>
    <s v="Member"/>
    <s v="POS"/>
    <n v="10"/>
    <n v="14500"/>
    <n v="17500"/>
    <n v="0.1"/>
    <x v="1"/>
    <n v="14"/>
    <n v="175000"/>
    <n v="17500"/>
    <n v="157500"/>
    <n v="145000"/>
    <n v="12500"/>
    <n v="7.9365079365079361E-2"/>
    <s v="Understocked"/>
    <s v="Safe"/>
    <n v="0.17142857142857143"/>
    <s v="Safe"/>
    <n v="3000"/>
    <n v="0.17142857142857143"/>
  </r>
  <r>
    <s v="ORD-12006"/>
    <x v="4"/>
    <s v="P023"/>
    <x v="6"/>
    <s v="Office Supplies"/>
    <s v="Stationery"/>
    <s v="StudyPro"/>
    <s v="B02"/>
    <x v="4"/>
    <s v="Abuja"/>
    <x v="2"/>
    <s v="Member"/>
    <s v="Transfer"/>
    <n v="5"/>
    <n v="2800"/>
    <n v="4200"/>
    <n v="0"/>
    <x v="14"/>
    <n v="2"/>
    <n v="21000"/>
    <n v="0"/>
    <n v="21000"/>
    <n v="14000"/>
    <n v="7000"/>
    <n v="0.33333333333333331"/>
    <s v="Understocked"/>
    <s v="Safe"/>
    <n v="0.33333333333333331"/>
    <s v="Safe"/>
    <n v="1400"/>
    <n v="0.33333333333333331"/>
  </r>
  <r>
    <s v="ORD-12007"/>
    <x v="251"/>
    <s v="P024"/>
    <x v="19"/>
    <s v="Office Supplies"/>
    <s v="Accessories"/>
    <s v="ErgoDesk"/>
    <s v="B03"/>
    <x v="6"/>
    <s v="Lagos"/>
    <x v="4"/>
    <s v="Walk-in"/>
    <s v="POS"/>
    <n v="5"/>
    <n v="1700"/>
    <n v="2800"/>
    <n v="0"/>
    <x v="14"/>
    <n v="1"/>
    <n v="14000"/>
    <n v="0"/>
    <n v="14000"/>
    <n v="8500"/>
    <n v="5500"/>
    <n v="0.39285714285714285"/>
    <s v="Overstocked"/>
    <s v="Safe"/>
    <n v="0.39285714285714285"/>
    <s v="Safe"/>
    <n v="1100"/>
    <n v="0.39285714285714285"/>
  </r>
  <r>
    <s v="ORD-12008"/>
    <x v="161"/>
    <s v="P012"/>
    <x v="21"/>
    <s v="Household"/>
    <s v="Home Care"/>
    <s v="HomeFresh"/>
    <s v="B03"/>
    <x v="6"/>
    <s v="Lagos"/>
    <x v="4"/>
    <s v="Member"/>
    <s v="POS"/>
    <n v="2"/>
    <n v="1700"/>
    <n v="2600"/>
    <n v="0"/>
    <x v="7"/>
    <n v="4"/>
    <n v="5200"/>
    <n v="0"/>
    <n v="5200"/>
    <n v="3400"/>
    <n v="1800"/>
    <n v="0.34615384615384615"/>
    <s v="Overstocked"/>
    <s v="Safe"/>
    <n v="0.34615384615384615"/>
    <s v="Safe"/>
    <n v="900"/>
    <n v="0.34615384615384615"/>
  </r>
  <r>
    <s v="ORD-12009"/>
    <x v="343"/>
    <s v="P024"/>
    <x v="19"/>
    <s v="Office Supplies"/>
    <s v="Accessories"/>
    <s v="ErgoDesk"/>
    <s v="B05"/>
    <x v="0"/>
    <s v="Kano"/>
    <x v="0"/>
    <s v="Walk-in"/>
    <s v="Transfer"/>
    <n v="2"/>
    <n v="1700"/>
    <n v="2800"/>
    <n v="0.05"/>
    <x v="15"/>
    <n v="4"/>
    <n v="5600"/>
    <n v="280"/>
    <n v="5320"/>
    <n v="3400"/>
    <n v="1920"/>
    <n v="0.36090225563909772"/>
    <s v="Overstocked"/>
    <s v="Safe"/>
    <n v="0.39285714285714285"/>
    <s v="Safe"/>
    <n v="1100"/>
    <n v="0.39285714285714285"/>
  </r>
  <r>
    <s v="ORD-12010"/>
    <x v="199"/>
    <s v="P005"/>
    <x v="2"/>
    <s v="Food"/>
    <s v="Snacks"/>
    <s v="CrispyBite"/>
    <s v="B02"/>
    <x v="4"/>
    <s v="Abuja"/>
    <x v="2"/>
    <s v="Walk-in"/>
    <s v="POS"/>
    <n v="2"/>
    <n v="850"/>
    <n v="1300"/>
    <n v="0.05"/>
    <x v="1"/>
    <n v="7"/>
    <n v="2600"/>
    <n v="130"/>
    <n v="2470"/>
    <n v="1700"/>
    <n v="770"/>
    <n v="0.31174089068825911"/>
    <s v="Understocked"/>
    <s v="Safe"/>
    <n v="0.34615384615384615"/>
    <s v="Safe"/>
    <n v="450"/>
    <n v="0.34615384615384615"/>
  </r>
  <r>
    <s v="ORD-12011"/>
    <x v="339"/>
    <s v="P022"/>
    <x v="17"/>
    <s v="Office Supplies"/>
    <s v="Writing"/>
    <s v="WriteWell"/>
    <s v="B01"/>
    <x v="2"/>
    <s v="Abuja"/>
    <x v="2"/>
    <s v="Walk-in"/>
    <s v="POS"/>
    <n v="5"/>
    <n v="1300"/>
    <n v="2100"/>
    <n v="0"/>
    <x v="14"/>
    <n v="4"/>
    <n v="10500"/>
    <n v="0"/>
    <n v="10500"/>
    <n v="6500"/>
    <n v="4000"/>
    <n v="0.38095238095238093"/>
    <s v="Understocked"/>
    <s v="Safe"/>
    <n v="0.38095238095238093"/>
    <s v="Safe"/>
    <n v="800"/>
    <n v="0.38095238095238093"/>
  </r>
  <r>
    <s v="ORD-12012"/>
    <x v="19"/>
    <s v="P004"/>
    <x v="1"/>
    <s v="Beverages"/>
    <s v="Dairy"/>
    <s v="FreshDay"/>
    <s v="B05"/>
    <x v="0"/>
    <s v="Kano"/>
    <x v="0"/>
    <s v="Member"/>
    <s v="POS"/>
    <n v="1"/>
    <n v="1650"/>
    <n v="2200"/>
    <n v="0"/>
    <x v="0"/>
    <n v="10"/>
    <n v="2200"/>
    <n v="0"/>
    <n v="2200"/>
    <n v="1650"/>
    <n v="550"/>
    <n v="0.25"/>
    <s v="Understocked"/>
    <s v="Safe"/>
    <n v="0.25"/>
    <s v="Safe"/>
    <n v="550"/>
    <n v="0.25"/>
  </r>
  <r>
    <s v="ORD-12013"/>
    <x v="221"/>
    <s v="P018"/>
    <x v="16"/>
    <s v="Electronics"/>
    <s v="Mobile Accessories"/>
    <s v="VoltSafe"/>
    <s v="B02"/>
    <x v="4"/>
    <s v="Abuja"/>
    <x v="2"/>
    <s v="Member"/>
    <s v="POS"/>
    <n v="1"/>
    <n v="18000"/>
    <n v="24500"/>
    <n v="0"/>
    <x v="4"/>
    <n v="3"/>
    <n v="24500"/>
    <n v="0"/>
    <n v="24500"/>
    <n v="18000"/>
    <n v="6500"/>
    <n v="0.26530612244897961"/>
    <s v="Understocked"/>
    <s v="Safe"/>
    <n v="0.26530612244897961"/>
    <s v="Safe"/>
    <n v="6500"/>
    <n v="0.26530612244897961"/>
  </r>
  <r>
    <s v="ORD-12014"/>
    <x v="294"/>
    <s v="P002"/>
    <x v="10"/>
    <s v="Food"/>
    <s v="Grains"/>
    <s v="Mama's Pride"/>
    <s v="B08"/>
    <x v="7"/>
    <s v="Kwara"/>
    <x v="2"/>
    <s v="Corporate"/>
    <s v="POS"/>
    <n v="3"/>
    <n v="6200"/>
    <n v="7900"/>
    <n v="0.1"/>
    <x v="9"/>
    <n v="8"/>
    <n v="23700"/>
    <n v="2370"/>
    <n v="21330"/>
    <n v="18600"/>
    <n v="2730"/>
    <n v="0.12798874824191281"/>
    <s v="Healthy"/>
    <s v="Safe"/>
    <n v="0.21518987341772153"/>
    <s v="Safe"/>
    <n v="1700"/>
    <n v="0.21518987341772153"/>
  </r>
  <r>
    <s v="ORD-12015"/>
    <x v="301"/>
    <s v="P014"/>
    <x v="15"/>
    <s v="Personal Care"/>
    <s v="Oral Care"/>
    <s v="FreshMint"/>
    <s v="B01"/>
    <x v="2"/>
    <s v="Abuja"/>
    <x v="2"/>
    <s v="Walk-in"/>
    <s v="POS"/>
    <n v="1"/>
    <n v="1200"/>
    <n v="1900"/>
    <n v="0.05"/>
    <x v="11"/>
    <n v="14"/>
    <n v="1900"/>
    <n v="95"/>
    <n v="1805"/>
    <n v="1200"/>
    <n v="605"/>
    <n v="0.33518005540166207"/>
    <s v="Healthy"/>
    <s v="Safe"/>
    <n v="0.36842105263157893"/>
    <s v="Safe"/>
    <n v="700"/>
    <n v="0.36842105263157893"/>
  </r>
  <r>
    <s v="ORD-12016"/>
    <x v="28"/>
    <s v="P008"/>
    <x v="4"/>
    <s v="Beverages"/>
    <s v="Soft Drinks"/>
    <s v="Sparkle"/>
    <s v="B06"/>
    <x v="1"/>
    <s v="Rivers"/>
    <x v="1"/>
    <s v="Member"/>
    <s v="POS"/>
    <n v="1"/>
    <n v="330"/>
    <n v="550"/>
    <n v="0.15"/>
    <x v="2"/>
    <n v="14"/>
    <n v="550"/>
    <n v="82.5"/>
    <n v="467.5"/>
    <n v="330"/>
    <n v="137.5"/>
    <n v="0.29411764705882354"/>
    <s v="Healthy"/>
    <s v="Safe"/>
    <n v="0.4"/>
    <s v="Safe"/>
    <n v="220"/>
    <n v="0.4"/>
  </r>
  <r>
    <s v="ORD-12017"/>
    <x v="247"/>
    <s v="P013"/>
    <x v="11"/>
    <s v="Personal Care"/>
    <s v="Skin Care"/>
    <s v="GlowPlus"/>
    <s v="B07"/>
    <x v="3"/>
    <s v="Enugu"/>
    <x v="3"/>
    <s v="Walk-in"/>
    <s v="Transfer"/>
    <n v="8"/>
    <n v="3500"/>
    <n v="5200"/>
    <n v="0"/>
    <x v="10"/>
    <n v="9"/>
    <n v="41600"/>
    <n v="0"/>
    <n v="41600"/>
    <n v="28000"/>
    <n v="13600"/>
    <n v="0.32692307692307693"/>
    <s v="Healthy"/>
    <s v="Safe"/>
    <n v="0.32692307692307693"/>
    <s v="Safe"/>
    <n v="1700"/>
    <n v="0.32692307692307693"/>
  </r>
  <r>
    <s v="ORD-12018"/>
    <x v="147"/>
    <s v="P004"/>
    <x v="1"/>
    <s v="Beverages"/>
    <s v="Dairy"/>
    <s v="FreshDay"/>
    <s v="B05"/>
    <x v="0"/>
    <s v="Kano"/>
    <x v="0"/>
    <s v="Member"/>
    <s v="Cash"/>
    <n v="3"/>
    <n v="1650"/>
    <n v="2200"/>
    <n v="0.05"/>
    <x v="3"/>
    <n v="6"/>
    <n v="6600"/>
    <n v="330"/>
    <n v="6270"/>
    <n v="4950"/>
    <n v="1320"/>
    <n v="0.21052631578947367"/>
    <s v="Understocked"/>
    <s v="Safe"/>
    <n v="0.25"/>
    <s v="Safe"/>
    <n v="550"/>
    <n v="0.25"/>
  </r>
  <r>
    <s v="ORD-12019"/>
    <x v="170"/>
    <s v="P017"/>
    <x v="23"/>
    <s v="Electronics"/>
    <s v="Accessories"/>
    <s v="PowerMax"/>
    <s v="B03"/>
    <x v="6"/>
    <s v="Lagos"/>
    <x v="4"/>
    <s v="Member"/>
    <s v="POS"/>
    <n v="2"/>
    <n v="7500"/>
    <n v="10500"/>
    <n v="0.15"/>
    <x v="12"/>
    <n v="12"/>
    <n v="21000"/>
    <n v="3150"/>
    <n v="17850"/>
    <n v="15000"/>
    <n v="2850"/>
    <n v="0.15966386554621848"/>
    <s v="Healthy"/>
    <s v="Safe"/>
    <n v="0.2857142857142857"/>
    <s v="Safe"/>
    <n v="3000"/>
    <n v="0.2857142857142857"/>
  </r>
  <r>
    <s v="ORD-12020"/>
    <x v="111"/>
    <s v="P008"/>
    <x v="4"/>
    <s v="Beverages"/>
    <s v="Soft Drinks"/>
    <s v="Sparkle"/>
    <s v="B05"/>
    <x v="0"/>
    <s v="Kano"/>
    <x v="0"/>
    <s v="Walk-in"/>
    <s v="Cash"/>
    <n v="2"/>
    <n v="330"/>
    <n v="550"/>
    <n v="0.1"/>
    <x v="3"/>
    <n v="2"/>
    <n v="1100"/>
    <n v="110"/>
    <n v="990"/>
    <n v="660"/>
    <n v="330"/>
    <n v="0.33333333333333331"/>
    <s v="Healthy"/>
    <s v="Safe"/>
    <n v="0.4"/>
    <s v="Safe"/>
    <n v="220"/>
    <n v="0.4"/>
  </r>
  <r>
    <s v="ORD-12021"/>
    <x v="121"/>
    <s v="P003"/>
    <x v="12"/>
    <s v="Food"/>
    <s v="Cooking Oil"/>
    <s v="SunGold"/>
    <s v="B04"/>
    <x v="5"/>
    <s v="Lagos"/>
    <x v="4"/>
    <s v="Walk-in"/>
    <s v="POS"/>
    <n v="3"/>
    <n v="7800"/>
    <n v="9800"/>
    <n v="0"/>
    <x v="8"/>
    <n v="13"/>
    <n v="29400"/>
    <n v="0"/>
    <n v="29400"/>
    <n v="23400"/>
    <n v="6000"/>
    <n v="0.20408163265306123"/>
    <s v="Understocked"/>
    <s v="Safe"/>
    <n v="0.20408163265306123"/>
    <s v="Safe"/>
    <n v="2000"/>
    <n v="0.20408163265306123"/>
  </r>
  <r>
    <s v="ORD-12022"/>
    <x v="95"/>
    <s v="P001"/>
    <x v="14"/>
    <s v="Food"/>
    <s v="Grains"/>
    <s v="Golden Harvest"/>
    <s v="B07"/>
    <x v="3"/>
    <s v="Enugu"/>
    <x v="3"/>
    <s v="Member"/>
    <s v="POS"/>
    <n v="10"/>
    <n v="14500"/>
    <n v="17500"/>
    <n v="0"/>
    <x v="8"/>
    <n v="5"/>
    <n v="175000"/>
    <n v="0"/>
    <n v="175000"/>
    <n v="145000"/>
    <n v="30000"/>
    <n v="0.17142857142857143"/>
    <s v="Understocked"/>
    <s v="Safe"/>
    <n v="0.17142857142857143"/>
    <s v="Safe"/>
    <n v="3000"/>
    <n v="0.17142857142857143"/>
  </r>
  <r>
    <s v="ORD-12023"/>
    <x v="41"/>
    <s v="P022"/>
    <x v="17"/>
    <s v="Office Supplies"/>
    <s v="Writing"/>
    <s v="WriteWell"/>
    <s v="B04"/>
    <x v="5"/>
    <s v="Lagos"/>
    <x v="4"/>
    <s v="Member"/>
    <s v="Card"/>
    <n v="2"/>
    <n v="1300"/>
    <n v="2100"/>
    <n v="0.1"/>
    <x v="14"/>
    <n v="3"/>
    <n v="4200"/>
    <n v="420"/>
    <n v="3780"/>
    <n v="2600"/>
    <n v="1180"/>
    <n v="0.31216931216931215"/>
    <s v="Understocked"/>
    <s v="Safe"/>
    <n v="0.38095238095238093"/>
    <s v="Safe"/>
    <n v="800"/>
    <n v="0.38095238095238093"/>
  </r>
  <r>
    <s v="ORD-12024"/>
    <x v="103"/>
    <s v="P008"/>
    <x v="4"/>
    <s v="Beverages"/>
    <s v="Soft Drinks"/>
    <s v="Sparkle"/>
    <s v="B02"/>
    <x v="4"/>
    <s v="Abuja"/>
    <x v="2"/>
    <s v="Walk-in"/>
    <s v="Card"/>
    <n v="1"/>
    <n v="330"/>
    <n v="550"/>
    <n v="0.05"/>
    <x v="3"/>
    <n v="9"/>
    <n v="550"/>
    <n v="27.5"/>
    <n v="522.5"/>
    <n v="330"/>
    <n v="192.5"/>
    <n v="0.36842105263157893"/>
    <s v="Healthy"/>
    <s v="Safe"/>
    <n v="0.4"/>
    <s v="Safe"/>
    <n v="220"/>
    <n v="0.4"/>
  </r>
  <r>
    <s v="ORD-12025"/>
    <x v="301"/>
    <s v="P001"/>
    <x v="14"/>
    <s v="Food"/>
    <s v="Grains"/>
    <s v="Golden Harvest"/>
    <s v="B07"/>
    <x v="3"/>
    <s v="Enugu"/>
    <x v="3"/>
    <s v="Walk-in"/>
    <s v="POS"/>
    <n v="1"/>
    <n v="14500"/>
    <n v="17500"/>
    <n v="0"/>
    <x v="1"/>
    <n v="13"/>
    <n v="17500"/>
    <n v="0"/>
    <n v="17500"/>
    <n v="14500"/>
    <n v="3000"/>
    <n v="0.17142857142857143"/>
    <s v="Understocked"/>
    <s v="Safe"/>
    <n v="0.17142857142857143"/>
    <s v="Safe"/>
    <n v="3000"/>
    <n v="0.17142857142857143"/>
  </r>
  <r>
    <s v="ORD-12026"/>
    <x v="90"/>
    <s v="P007"/>
    <x v="3"/>
    <s v="Beverages"/>
    <s v="Malt"/>
    <s v="Naija Malt"/>
    <s v="B08"/>
    <x v="7"/>
    <s v="Kwara"/>
    <x v="2"/>
    <s v="Walk-in"/>
    <s v="POS"/>
    <n v="6"/>
    <n v="550"/>
    <n v="850"/>
    <n v="0.1"/>
    <x v="3"/>
    <n v="4"/>
    <n v="5100"/>
    <n v="510"/>
    <n v="4590"/>
    <n v="3300"/>
    <n v="1290"/>
    <n v="0.28104575163398693"/>
    <s v="Healthy"/>
    <s v="Safe"/>
    <n v="0.35294117647058826"/>
    <s v="Safe"/>
    <n v="300"/>
    <n v="0.35294117647058826"/>
  </r>
  <r>
    <s v="ORD-12027"/>
    <x v="315"/>
    <s v="P006"/>
    <x v="0"/>
    <s v="Beverages"/>
    <s v="Water"/>
    <s v="AquaPure"/>
    <s v="B07"/>
    <x v="3"/>
    <s v="Enugu"/>
    <x v="3"/>
    <s v="Member"/>
    <s v="Transfer"/>
    <n v="5"/>
    <n v="230"/>
    <n v="400"/>
    <n v="0.05"/>
    <x v="0"/>
    <n v="10"/>
    <n v="2000"/>
    <n v="100"/>
    <n v="1900"/>
    <n v="1150"/>
    <n v="750"/>
    <n v="0.39473684210526316"/>
    <s v="Understocked"/>
    <s v="Safe"/>
    <n v="0.42499999999999999"/>
    <s v="Safe"/>
    <n v="170"/>
    <n v="0.42499999999999999"/>
  </r>
  <r>
    <s v="ORD-12028"/>
    <x v="238"/>
    <s v="P006"/>
    <x v="0"/>
    <s v="Beverages"/>
    <s v="Water"/>
    <s v="AquaPure"/>
    <s v="B01"/>
    <x v="2"/>
    <s v="Abuja"/>
    <x v="2"/>
    <s v="Member"/>
    <s v="Transfer"/>
    <n v="1"/>
    <n v="230"/>
    <n v="400"/>
    <n v="0.15"/>
    <x v="0"/>
    <n v="11"/>
    <n v="400"/>
    <n v="60"/>
    <n v="340"/>
    <n v="230"/>
    <n v="110"/>
    <n v="0.3235294117647059"/>
    <s v="Understocked"/>
    <s v="Safe"/>
    <n v="0.42499999999999999"/>
    <s v="Safe"/>
    <n v="170"/>
    <n v="0.42499999999999999"/>
  </r>
  <r>
    <s v="ORD-12029"/>
    <x v="290"/>
    <s v="P017"/>
    <x v="23"/>
    <s v="Electronics"/>
    <s v="Accessories"/>
    <s v="PowerMax"/>
    <s v="B03"/>
    <x v="6"/>
    <s v="Lagos"/>
    <x v="4"/>
    <s v="Walk-in"/>
    <s v="POS"/>
    <n v="5"/>
    <n v="7500"/>
    <n v="10500"/>
    <n v="0.15"/>
    <x v="4"/>
    <n v="7"/>
    <n v="52500"/>
    <n v="7875"/>
    <n v="44625"/>
    <n v="37500"/>
    <n v="7125"/>
    <n v="0.15966386554621848"/>
    <s v="Healthy"/>
    <s v="Safe"/>
    <n v="0.2857142857142857"/>
    <s v="Safe"/>
    <n v="3000"/>
    <n v="0.2857142857142857"/>
  </r>
  <r>
    <s v="ORD-12030"/>
    <x v="102"/>
    <s v="P005"/>
    <x v="2"/>
    <s v="Food"/>
    <s v="Snacks"/>
    <s v="CrispyBite"/>
    <s v="B08"/>
    <x v="7"/>
    <s v="Kwara"/>
    <x v="2"/>
    <s v="Walk-in"/>
    <s v="Cash"/>
    <n v="3"/>
    <n v="850"/>
    <n v="1300"/>
    <n v="0.05"/>
    <x v="8"/>
    <n v="8"/>
    <n v="3900"/>
    <n v="195"/>
    <n v="3705"/>
    <n v="2550"/>
    <n v="1155"/>
    <n v="0.31174089068825911"/>
    <s v="Understocked"/>
    <s v="Safe"/>
    <n v="0.34615384615384615"/>
    <s v="Safe"/>
    <n v="450"/>
    <n v="0.34615384615384615"/>
  </r>
  <r>
    <s v="ORD-12031"/>
    <x v="250"/>
    <s v="P004"/>
    <x v="1"/>
    <s v="Beverages"/>
    <s v="Dairy"/>
    <s v="FreshDay"/>
    <s v="B03"/>
    <x v="6"/>
    <s v="Lagos"/>
    <x v="4"/>
    <s v="Member"/>
    <s v="Transfer"/>
    <n v="1"/>
    <n v="1650"/>
    <n v="2200"/>
    <n v="0.05"/>
    <x v="3"/>
    <n v="3"/>
    <n v="2200"/>
    <n v="110"/>
    <n v="2090"/>
    <n v="1650"/>
    <n v="440"/>
    <n v="0.21052631578947367"/>
    <s v="Understocked"/>
    <s v="Safe"/>
    <n v="0.25"/>
    <s v="Safe"/>
    <n v="550"/>
    <n v="0.25"/>
  </r>
  <r>
    <s v="ORD-12032"/>
    <x v="25"/>
    <s v="P001"/>
    <x v="14"/>
    <s v="Food"/>
    <s v="Grains"/>
    <s v="Golden Harvest"/>
    <s v="B03"/>
    <x v="6"/>
    <s v="Lagos"/>
    <x v="4"/>
    <s v="Member"/>
    <s v="Cash"/>
    <n v="4"/>
    <n v="14500"/>
    <n v="17500"/>
    <n v="0"/>
    <x v="8"/>
    <n v="14"/>
    <n v="70000"/>
    <n v="0"/>
    <n v="70000"/>
    <n v="58000"/>
    <n v="12000"/>
    <n v="0.17142857142857143"/>
    <s v="Understocked"/>
    <s v="Safe"/>
    <n v="0.17142857142857143"/>
    <s v="Safe"/>
    <n v="3000"/>
    <n v="0.17142857142857143"/>
  </r>
  <r>
    <s v="ORD-12033"/>
    <x v="76"/>
    <s v="P005"/>
    <x v="2"/>
    <s v="Food"/>
    <s v="Snacks"/>
    <s v="CrispyBite"/>
    <s v="B02"/>
    <x v="4"/>
    <s v="Abuja"/>
    <x v="2"/>
    <s v="Member"/>
    <s v="Transfer"/>
    <n v="2"/>
    <n v="850"/>
    <n v="1300"/>
    <n v="0.1"/>
    <x v="8"/>
    <n v="4"/>
    <n v="2600"/>
    <n v="260"/>
    <n v="2340"/>
    <n v="1700"/>
    <n v="640"/>
    <n v="0.27350427350427353"/>
    <s v="Understocked"/>
    <s v="Safe"/>
    <n v="0.34615384615384615"/>
    <s v="Safe"/>
    <n v="450"/>
    <n v="0.34615384615384615"/>
  </r>
  <r>
    <s v="ORD-12034"/>
    <x v="270"/>
    <s v="P014"/>
    <x v="15"/>
    <s v="Personal Care"/>
    <s v="Oral Care"/>
    <s v="FreshMint"/>
    <s v="B02"/>
    <x v="4"/>
    <s v="Abuja"/>
    <x v="2"/>
    <s v="Member"/>
    <s v="Cash"/>
    <n v="3"/>
    <n v="1200"/>
    <n v="1900"/>
    <n v="0"/>
    <x v="11"/>
    <n v="7"/>
    <n v="5700"/>
    <n v="0"/>
    <n v="5700"/>
    <n v="3600"/>
    <n v="2100"/>
    <n v="0.36842105263157893"/>
    <s v="Healthy"/>
    <s v="Safe"/>
    <n v="0.36842105263157893"/>
    <s v="Safe"/>
    <n v="700"/>
    <n v="0.36842105263157893"/>
  </r>
  <r>
    <s v="ORD-12035"/>
    <x v="352"/>
    <s v="P005"/>
    <x v="2"/>
    <s v="Food"/>
    <s v="Snacks"/>
    <s v="CrispyBite"/>
    <s v="B04"/>
    <x v="5"/>
    <s v="Lagos"/>
    <x v="4"/>
    <s v="Walk-in"/>
    <s v="Card"/>
    <n v="3"/>
    <n v="850"/>
    <n v="1300"/>
    <n v="0.1"/>
    <x v="9"/>
    <n v="4"/>
    <n v="3900"/>
    <n v="390"/>
    <n v="3510"/>
    <n v="2550"/>
    <n v="960"/>
    <n v="0.27350427350427353"/>
    <s v="Understocked"/>
    <s v="Safe"/>
    <n v="0.34615384615384615"/>
    <s v="Safe"/>
    <n v="450"/>
    <n v="0.34615384615384615"/>
  </r>
  <r>
    <s v="ORD-12036"/>
    <x v="21"/>
    <s v="P001"/>
    <x v="14"/>
    <s v="Food"/>
    <s v="Grains"/>
    <s v="Golden Harvest"/>
    <s v="B04"/>
    <x v="5"/>
    <s v="Lagos"/>
    <x v="4"/>
    <s v="Member"/>
    <s v="Cash"/>
    <n v="5"/>
    <n v="14500"/>
    <n v="17500"/>
    <n v="0"/>
    <x v="1"/>
    <n v="2"/>
    <n v="87500"/>
    <n v="0"/>
    <n v="87500"/>
    <n v="72500"/>
    <n v="15000"/>
    <n v="0.17142857142857143"/>
    <s v="Understocked"/>
    <s v="Safe"/>
    <n v="0.17142857142857143"/>
    <s v="Safe"/>
    <n v="3000"/>
    <n v="0.17142857142857143"/>
  </r>
  <r>
    <s v="ORD-12037"/>
    <x v="347"/>
    <s v="P002"/>
    <x v="10"/>
    <s v="Food"/>
    <s v="Grains"/>
    <s v="Mama's Pride"/>
    <s v="B07"/>
    <x v="3"/>
    <s v="Enugu"/>
    <x v="3"/>
    <s v="Walk-in"/>
    <s v="POS"/>
    <n v="5"/>
    <n v="6200"/>
    <n v="7900"/>
    <n v="0.05"/>
    <x v="9"/>
    <n v="12"/>
    <n v="39500"/>
    <n v="1975"/>
    <n v="37525"/>
    <n v="31000"/>
    <n v="6525"/>
    <n v="0.17388407728181213"/>
    <s v="Healthy"/>
    <s v="Safe"/>
    <n v="0.21518987341772153"/>
    <s v="Safe"/>
    <n v="1700"/>
    <n v="0.21518987341772153"/>
  </r>
  <r>
    <s v="ORD-12038"/>
    <x v="270"/>
    <s v="P020"/>
    <x v="5"/>
    <s v="Electronics"/>
    <s v="Lighting"/>
    <s v="Luma"/>
    <s v="B04"/>
    <x v="5"/>
    <s v="Lagos"/>
    <x v="4"/>
    <s v="Walk-in"/>
    <s v="Cash"/>
    <n v="3"/>
    <n v="1500"/>
    <n v="2500"/>
    <n v="0.2"/>
    <x v="12"/>
    <n v="2"/>
    <n v="7500"/>
    <n v="1500"/>
    <n v="6000"/>
    <n v="4500"/>
    <n v="1500"/>
    <n v="0.25"/>
    <s v="Healthy"/>
    <s v="Safe"/>
    <n v="0.4"/>
    <s v="Safe"/>
    <n v="1000"/>
    <n v="0.4"/>
  </r>
  <r>
    <s v="ORD-12039"/>
    <x v="7"/>
    <s v="P010"/>
    <x v="22"/>
    <s v="Household"/>
    <s v="Paper Products"/>
    <s v="SoftCare"/>
    <s v="B01"/>
    <x v="2"/>
    <s v="Abuja"/>
    <x v="2"/>
    <s v="Walk-in"/>
    <s v="POS"/>
    <n v="2"/>
    <n v="3200"/>
    <n v="4500"/>
    <n v="0.05"/>
    <x v="7"/>
    <n v="1"/>
    <n v="9000"/>
    <n v="450"/>
    <n v="8550"/>
    <n v="6400"/>
    <n v="2150"/>
    <n v="0.25146198830409355"/>
    <s v="Healthy"/>
    <s v="Safe"/>
    <n v="0.28888888888888886"/>
    <s v="Safe"/>
    <n v="1300"/>
    <n v="0.28888888888888886"/>
  </r>
  <r>
    <s v="ORD-12040"/>
    <x v="30"/>
    <s v="P010"/>
    <x v="22"/>
    <s v="Household"/>
    <s v="Paper Products"/>
    <s v="SoftCare"/>
    <s v="B04"/>
    <x v="5"/>
    <s v="Lagos"/>
    <x v="4"/>
    <s v="Walk-in"/>
    <s v="Card"/>
    <n v="8"/>
    <n v="3200"/>
    <n v="4500"/>
    <n v="0.05"/>
    <x v="10"/>
    <n v="9"/>
    <n v="36000"/>
    <n v="1800"/>
    <n v="34200"/>
    <n v="25600"/>
    <n v="8600"/>
    <n v="0.25146198830409355"/>
    <s v="Healthy"/>
    <s v="Safe"/>
    <n v="0.28888888888888886"/>
    <s v="Safe"/>
    <n v="1300"/>
    <n v="0.28888888888888886"/>
  </r>
  <r>
    <s v="ORD-12041"/>
    <x v="285"/>
    <s v="P013"/>
    <x v="11"/>
    <s v="Personal Care"/>
    <s v="Skin Care"/>
    <s v="GlowPlus"/>
    <s v="B03"/>
    <x v="6"/>
    <s v="Lagos"/>
    <x v="4"/>
    <s v="Member"/>
    <s v="Cash"/>
    <n v="6"/>
    <n v="3500"/>
    <n v="5200"/>
    <n v="0.1"/>
    <x v="11"/>
    <n v="12"/>
    <n v="31200"/>
    <n v="3120"/>
    <n v="28080"/>
    <n v="21000"/>
    <n v="7080"/>
    <n v="0.25213675213675213"/>
    <s v="Healthy"/>
    <s v="Safe"/>
    <n v="0.32692307692307693"/>
    <s v="Safe"/>
    <n v="1700"/>
    <n v="0.32692307692307693"/>
  </r>
  <r>
    <s v="ORD-12042"/>
    <x v="230"/>
    <s v="P014"/>
    <x v="15"/>
    <s v="Personal Care"/>
    <s v="Oral Care"/>
    <s v="FreshMint"/>
    <s v="B01"/>
    <x v="2"/>
    <s v="Abuja"/>
    <x v="2"/>
    <s v="Member"/>
    <s v="Cash"/>
    <n v="-2"/>
    <n v="1200"/>
    <n v="1900"/>
    <n v="0.2"/>
    <x v="6"/>
    <n v="3"/>
    <n v="-3800"/>
    <n v="-760"/>
    <n v="-3040"/>
    <n v="-2400"/>
    <n v="-640"/>
    <n v="0.21052631578947367"/>
    <s v="Healthy"/>
    <s v="Discount loss"/>
    <n v="0.36842105263157893"/>
    <s v="Safe"/>
    <n v="700"/>
    <n v="0.36842105263157893"/>
  </r>
  <r>
    <s v="ORD-12043"/>
    <x v="286"/>
    <s v="P001"/>
    <x v="14"/>
    <s v="Food"/>
    <s v="Grains"/>
    <s v="Golden Harvest"/>
    <s v="B02"/>
    <x v="4"/>
    <s v="Abuja"/>
    <x v="2"/>
    <s v="Corporate"/>
    <s v="Card"/>
    <n v="2"/>
    <n v="14500"/>
    <n v="17500"/>
    <n v="0"/>
    <x v="8"/>
    <n v="9"/>
    <n v="35000"/>
    <n v="0"/>
    <n v="35000"/>
    <n v="29000"/>
    <n v="6000"/>
    <n v="0.17142857142857143"/>
    <s v="Understocked"/>
    <s v="Safe"/>
    <n v="0.17142857142857143"/>
    <s v="Safe"/>
    <n v="3000"/>
    <n v="0.17142857142857143"/>
  </r>
  <r>
    <s v="ORD-12044"/>
    <x v="248"/>
    <s v="P017"/>
    <x v="23"/>
    <s v="Electronics"/>
    <s v="Accessories"/>
    <s v="PowerMax"/>
    <s v="B06"/>
    <x v="1"/>
    <s v="Rivers"/>
    <x v="1"/>
    <s v="Member"/>
    <s v="Cash"/>
    <n v="1"/>
    <n v="7500"/>
    <n v="10500"/>
    <n v="0.15"/>
    <x v="13"/>
    <n v="10"/>
    <n v="10500"/>
    <n v="1575"/>
    <n v="8925"/>
    <n v="7500"/>
    <n v="1425"/>
    <n v="0.15966386554621848"/>
    <s v="Healthy"/>
    <s v="Safe"/>
    <n v="0.2857142857142857"/>
    <s v="Safe"/>
    <n v="3000"/>
    <n v="0.2857142857142857"/>
  </r>
  <r>
    <s v="ORD-12045"/>
    <x v="290"/>
    <s v="P006"/>
    <x v="0"/>
    <s v="Beverages"/>
    <s v="Water"/>
    <s v="AquaPure"/>
    <s v="B05"/>
    <x v="0"/>
    <s v="Kano"/>
    <x v="0"/>
    <s v="Member"/>
    <s v="Cash"/>
    <n v="1"/>
    <n v="230"/>
    <n v="400"/>
    <n v="0"/>
    <x v="0"/>
    <n v="1"/>
    <n v="400"/>
    <n v="0"/>
    <n v="400"/>
    <n v="230"/>
    <n v="170"/>
    <n v="0.42499999999999999"/>
    <s v="Understocked"/>
    <s v="Safe"/>
    <n v="0.42499999999999999"/>
    <s v="Safe"/>
    <n v="170"/>
    <n v="0.42499999999999999"/>
  </r>
  <r>
    <s v="ORD-12046"/>
    <x v="281"/>
    <s v="P008"/>
    <x v="4"/>
    <s v="Beverages"/>
    <s v="Soft Drinks"/>
    <s v="Sparkle"/>
    <s v="B01"/>
    <x v="2"/>
    <s v="Abuja"/>
    <x v="2"/>
    <s v="Walk-in"/>
    <s v="Cash"/>
    <n v="4"/>
    <n v="330"/>
    <n v="550"/>
    <n v="0"/>
    <x v="3"/>
    <n v="12"/>
    <n v="2200"/>
    <n v="0"/>
    <n v="2200"/>
    <n v="1320"/>
    <n v="880"/>
    <n v="0.4"/>
    <s v="Healthy"/>
    <s v="Safe"/>
    <n v="0.4"/>
    <s v="Safe"/>
    <n v="220"/>
    <n v="0.4"/>
  </r>
  <r>
    <s v="ORD-12047"/>
    <x v="155"/>
    <s v="P004"/>
    <x v="1"/>
    <s v="Beverages"/>
    <s v="Dairy"/>
    <s v="FreshDay"/>
    <s v="B03"/>
    <x v="6"/>
    <s v="Lagos"/>
    <x v="4"/>
    <s v="Member"/>
    <s v="Transfer"/>
    <n v="6"/>
    <n v="1650"/>
    <n v="2200"/>
    <n v="0"/>
    <x v="3"/>
    <n v="5"/>
    <n v="13200"/>
    <n v="0"/>
    <n v="13200"/>
    <n v="9900"/>
    <n v="3300"/>
    <n v="0.25"/>
    <s v="Understocked"/>
    <s v="Safe"/>
    <n v="0.25"/>
    <s v="Safe"/>
    <n v="550"/>
    <n v="0.25"/>
  </r>
  <r>
    <s v="ORD-12048"/>
    <x v="42"/>
    <s v="P021"/>
    <x v="20"/>
    <s v="Office Supplies"/>
    <s v="Paper"/>
    <s v="OfficeMate"/>
    <s v="B04"/>
    <x v="5"/>
    <s v="Lagos"/>
    <x v="4"/>
    <s v="Member"/>
    <s v="POS"/>
    <n v="1"/>
    <n v="5200"/>
    <n v="7000"/>
    <n v="0.1"/>
    <x v="5"/>
    <n v="3"/>
    <n v="7000"/>
    <n v="700"/>
    <n v="6300"/>
    <n v="5200"/>
    <n v="1100"/>
    <n v="0.17460317460317459"/>
    <s v="Overstocked"/>
    <s v="Safe"/>
    <n v="0.25714285714285712"/>
    <s v="Safe"/>
    <n v="1800"/>
    <n v="0.25714285714285712"/>
  </r>
  <r>
    <s v="ORD-12049"/>
    <x v="82"/>
    <s v="P017"/>
    <x v="23"/>
    <s v="Electronics"/>
    <s v="Accessories"/>
    <s v="PowerMax"/>
    <s v="B01"/>
    <x v="2"/>
    <s v="Abuja"/>
    <x v="2"/>
    <s v="Walk-in"/>
    <s v="POS"/>
    <n v="2"/>
    <n v="7500"/>
    <n v="10500"/>
    <n v="0.15"/>
    <x v="13"/>
    <n v="4"/>
    <n v="21000"/>
    <n v="3150"/>
    <n v="17850"/>
    <n v="15000"/>
    <n v="2850"/>
    <n v="0.15966386554621848"/>
    <s v="Healthy"/>
    <s v="Safe"/>
    <n v="0.2857142857142857"/>
    <s v="Safe"/>
    <n v="3000"/>
    <n v="0.2857142857142857"/>
  </r>
  <r>
    <s v="ORD-12050"/>
    <x v="30"/>
    <s v="P019"/>
    <x v="18"/>
    <s v="Electronics"/>
    <s v="Audio"/>
    <s v="SoundBeat"/>
    <s v="B08"/>
    <x v="7"/>
    <s v="Kwara"/>
    <x v="2"/>
    <s v="Member"/>
    <s v="Transfer"/>
    <n v="1"/>
    <n v="12500"/>
    <n v="18500"/>
    <n v="0.15"/>
    <x v="4"/>
    <n v="4"/>
    <n v="18500"/>
    <n v="2775"/>
    <n v="15725"/>
    <n v="12500"/>
    <n v="3225"/>
    <n v="0.20508744038155802"/>
    <s v="Understocked"/>
    <s v="Safe"/>
    <n v="0.32432432432432434"/>
    <s v="Safe"/>
    <n v="6000"/>
    <n v="0.32432432432432434"/>
  </r>
  <r>
    <s v="ORD-12051"/>
    <x v="14"/>
    <s v="P021"/>
    <x v="20"/>
    <s v="Office Supplies"/>
    <s v="Paper"/>
    <s v="OfficeMate"/>
    <s v="B01"/>
    <x v="2"/>
    <s v="Abuja"/>
    <x v="2"/>
    <s v="Member"/>
    <s v="POS"/>
    <n v="2"/>
    <n v="5200"/>
    <n v="7000"/>
    <n v="0.05"/>
    <x v="14"/>
    <n v="3"/>
    <n v="14000"/>
    <n v="700"/>
    <n v="13300"/>
    <n v="10400"/>
    <n v="2900"/>
    <n v="0.21804511278195488"/>
    <s v="Overstocked"/>
    <s v="Safe"/>
    <n v="0.25714285714285712"/>
    <s v="Safe"/>
    <n v="1800"/>
    <n v="0.25714285714285712"/>
  </r>
  <r>
    <s v="ORD-12052"/>
    <x v="100"/>
    <s v="P005"/>
    <x v="2"/>
    <s v="Food"/>
    <s v="Snacks"/>
    <s v="CrispyBite"/>
    <s v="B04"/>
    <x v="5"/>
    <s v="Lagos"/>
    <x v="4"/>
    <s v="Corporate"/>
    <s v="Cash"/>
    <n v="8"/>
    <n v="850"/>
    <n v="1300"/>
    <n v="0"/>
    <x v="1"/>
    <n v="9"/>
    <n v="10400"/>
    <n v="0"/>
    <n v="10400"/>
    <n v="6800"/>
    <n v="3600"/>
    <n v="0.34615384615384615"/>
    <s v="Understocked"/>
    <s v="Safe"/>
    <n v="0.34615384615384615"/>
    <s v="Safe"/>
    <n v="450"/>
    <n v="0.34615384615384615"/>
  </r>
  <r>
    <s v="ORD-12053"/>
    <x v="11"/>
    <s v="P021"/>
    <x v="20"/>
    <s v="Office Supplies"/>
    <s v="Paper"/>
    <s v="OfficeMate"/>
    <s v="B06"/>
    <x v="1"/>
    <s v="Rivers"/>
    <x v="1"/>
    <s v="Member"/>
    <s v="POS"/>
    <n v="1"/>
    <n v="5200"/>
    <n v="7000"/>
    <n v="0.2"/>
    <x v="15"/>
    <n v="6"/>
    <n v="7000"/>
    <n v="1400"/>
    <n v="5600"/>
    <n v="5200"/>
    <n v="400"/>
    <n v="7.1428571428571425E-2"/>
    <s v="Overstocked"/>
    <s v="Safe"/>
    <n v="0.25714285714285712"/>
    <s v="Safe"/>
    <n v="1800"/>
    <n v="0.25714285714285712"/>
  </r>
  <r>
    <s v="ORD-12054"/>
    <x v="16"/>
    <s v="P015"/>
    <x v="8"/>
    <s v="Personal Care"/>
    <s v="Bath"/>
    <s v="SilkyTouch"/>
    <s v="B06"/>
    <x v="1"/>
    <s v="Rivers"/>
    <x v="1"/>
    <s v="Member"/>
    <s v="POS"/>
    <n v="1"/>
    <n v="600"/>
    <n v="950"/>
    <n v="0.05"/>
    <x v="10"/>
    <n v="1"/>
    <n v="950"/>
    <n v="47.5"/>
    <n v="902.5"/>
    <n v="600"/>
    <n v="302.5"/>
    <n v="0.33518005540166207"/>
    <s v="Healthy"/>
    <s v="Safe"/>
    <n v="0.36842105263157893"/>
    <s v="Safe"/>
    <n v="350"/>
    <n v="0.36842105263157893"/>
  </r>
  <r>
    <s v="ORD-12055"/>
    <x v="85"/>
    <s v="P008"/>
    <x v="4"/>
    <s v="Beverages"/>
    <s v="Soft Drinks"/>
    <s v="Sparkle"/>
    <s v="B01"/>
    <x v="2"/>
    <s v="Abuja"/>
    <x v="2"/>
    <s v="Member"/>
    <s v="POS"/>
    <n v="1"/>
    <n v="330"/>
    <n v="550"/>
    <n v="0.1"/>
    <x v="3"/>
    <n v="1"/>
    <n v="550"/>
    <n v="55"/>
    <n v="495"/>
    <n v="330"/>
    <n v="165"/>
    <n v="0.33333333333333331"/>
    <s v="Healthy"/>
    <s v="Safe"/>
    <n v="0.4"/>
    <s v="Safe"/>
    <n v="220"/>
    <n v="0.4"/>
  </r>
  <r>
    <s v="ORD-12056"/>
    <x v="298"/>
    <s v="P009"/>
    <x v="13"/>
    <s v="Household"/>
    <s v="Cleaning"/>
    <s v="BrightWash"/>
    <s v="B07"/>
    <x v="3"/>
    <s v="Enugu"/>
    <x v="3"/>
    <s v="Walk-in"/>
    <s v="Cash"/>
    <n v="5"/>
    <n v="2400"/>
    <n v="3400"/>
    <n v="0"/>
    <x v="1"/>
    <n v="8"/>
    <n v="17000"/>
    <n v="0"/>
    <n v="17000"/>
    <n v="12000"/>
    <n v="5000"/>
    <n v="0.29411764705882354"/>
    <s v="Healthy"/>
    <s v="Safe"/>
    <n v="0.29411764705882354"/>
    <s v="Safe"/>
    <n v="1000"/>
    <n v="0.29411764705882354"/>
  </r>
  <r>
    <s v="ORD-12057"/>
    <x v="284"/>
    <s v="P008"/>
    <x v="4"/>
    <s v="Beverages"/>
    <s v="Soft Drinks"/>
    <s v="Sparkle"/>
    <s v="B04"/>
    <x v="5"/>
    <s v="Lagos"/>
    <x v="4"/>
    <s v="Walk-in"/>
    <s v="POS"/>
    <n v="1"/>
    <n v="330"/>
    <n v="550"/>
    <n v="0.2"/>
    <x v="0"/>
    <n v="4"/>
    <n v="550"/>
    <n v="110"/>
    <n v="440"/>
    <n v="330"/>
    <n v="110"/>
    <n v="0.25"/>
    <s v="Healthy"/>
    <s v="Safe"/>
    <n v="0.4"/>
    <s v="Safe"/>
    <n v="220"/>
    <n v="0.4"/>
  </r>
  <r>
    <s v="ORD-12058"/>
    <x v="144"/>
    <s v="P006"/>
    <x v="0"/>
    <s v="Beverages"/>
    <s v="Water"/>
    <s v="AquaPure"/>
    <s v="B04"/>
    <x v="5"/>
    <s v="Lagos"/>
    <x v="4"/>
    <s v="Member"/>
    <s v="POS"/>
    <n v="4"/>
    <n v="230"/>
    <n v="400"/>
    <n v="0"/>
    <x v="0"/>
    <n v="7"/>
    <n v="1600"/>
    <n v="0"/>
    <n v="1600"/>
    <n v="920"/>
    <n v="680"/>
    <n v="0.42499999999999999"/>
    <s v="Understocked"/>
    <s v="Safe"/>
    <n v="0.42499999999999999"/>
    <s v="Safe"/>
    <n v="170"/>
    <n v="0.42499999999999999"/>
  </r>
  <r>
    <s v="ORD-12059"/>
    <x v="37"/>
    <s v="P023"/>
    <x v="6"/>
    <s v="Office Supplies"/>
    <s v="Stationery"/>
    <s v="StudyPro"/>
    <s v="B03"/>
    <x v="6"/>
    <s v="Lagos"/>
    <x v="4"/>
    <s v="Member"/>
    <s v="POS"/>
    <n v="2"/>
    <n v="2800"/>
    <n v="4200"/>
    <n v="0"/>
    <x v="15"/>
    <n v="3"/>
    <n v="8400"/>
    <n v="0"/>
    <n v="8400"/>
    <n v="5600"/>
    <n v="2800"/>
    <n v="0.33333333333333331"/>
    <s v="Understocked"/>
    <s v="Safe"/>
    <n v="0.33333333333333331"/>
    <s v="Safe"/>
    <n v="1400"/>
    <n v="0.33333333333333331"/>
  </r>
  <r>
    <s v="ORD-12060"/>
    <x v="310"/>
    <s v="P006"/>
    <x v="0"/>
    <s v="Beverages"/>
    <s v="Water"/>
    <s v="AquaPure"/>
    <s v="B04"/>
    <x v="5"/>
    <s v="Lagos"/>
    <x v="4"/>
    <s v="Walk-in"/>
    <s v="Card"/>
    <n v="3"/>
    <n v="230"/>
    <n v="400"/>
    <n v="0.2"/>
    <x v="2"/>
    <n v="11"/>
    <n v="1200"/>
    <n v="240"/>
    <n v="960"/>
    <n v="690"/>
    <n v="270"/>
    <n v="0.28125"/>
    <s v="Understocked"/>
    <s v="Safe"/>
    <n v="0.42499999999999999"/>
    <s v="Safe"/>
    <n v="170"/>
    <n v="0.42499999999999999"/>
  </r>
  <r>
    <s v="ORD-12061"/>
    <x v="1"/>
    <s v="P001"/>
    <x v="14"/>
    <s v="Food"/>
    <s v="Grains"/>
    <s v="Golden Harvest"/>
    <s v="B03"/>
    <x v="6"/>
    <s v="Lagos"/>
    <x v="4"/>
    <s v="Member"/>
    <s v="Cash"/>
    <n v="2"/>
    <n v="14500"/>
    <n v="17500"/>
    <n v="0"/>
    <x v="8"/>
    <n v="11"/>
    <n v="35000"/>
    <n v="0"/>
    <n v="35000"/>
    <n v="29000"/>
    <n v="6000"/>
    <n v="0.17142857142857143"/>
    <s v="Understocked"/>
    <s v="Safe"/>
    <n v="0.17142857142857143"/>
    <s v="Safe"/>
    <n v="3000"/>
    <n v="0.17142857142857143"/>
  </r>
  <r>
    <s v="ORD-12062"/>
    <x v="107"/>
    <s v="P007"/>
    <x v="3"/>
    <s v="Beverages"/>
    <s v="Malt"/>
    <s v="Naija Malt"/>
    <s v="B04"/>
    <x v="5"/>
    <s v="Lagos"/>
    <x v="4"/>
    <s v="Walk-in"/>
    <s v="POS"/>
    <n v="10"/>
    <n v="550"/>
    <n v="850"/>
    <n v="0"/>
    <x v="2"/>
    <n v="1"/>
    <n v="8500"/>
    <n v="0"/>
    <n v="8500"/>
    <n v="5500"/>
    <n v="3000"/>
    <n v="0.35294117647058826"/>
    <s v="Healthy"/>
    <s v="Safe"/>
    <n v="0.35294117647058826"/>
    <s v="Safe"/>
    <n v="300"/>
    <n v="0.35294117647058826"/>
  </r>
  <r>
    <s v="ORD-12063"/>
    <x v="142"/>
    <s v="P017"/>
    <x v="23"/>
    <s v="Electronics"/>
    <s v="Accessories"/>
    <s v="PowerMax"/>
    <s v="B04"/>
    <x v="5"/>
    <s v="Lagos"/>
    <x v="4"/>
    <s v="Walk-in"/>
    <s v="POS"/>
    <n v="4"/>
    <n v="7500"/>
    <n v="10500"/>
    <n v="0.15"/>
    <x v="12"/>
    <n v="5"/>
    <n v="42000"/>
    <n v="6300"/>
    <n v="35700"/>
    <n v="30000"/>
    <n v="5700"/>
    <n v="0.15966386554621848"/>
    <s v="Healthy"/>
    <s v="Safe"/>
    <n v="0.2857142857142857"/>
    <s v="Safe"/>
    <n v="3000"/>
    <n v="0.2857142857142857"/>
  </r>
  <r>
    <s v="ORD-12064"/>
    <x v="254"/>
    <s v="P023"/>
    <x v="6"/>
    <s v="Office Supplies"/>
    <s v="Stationery"/>
    <s v="StudyPro"/>
    <s v="B02"/>
    <x v="4"/>
    <s v="Abuja"/>
    <x v="2"/>
    <s v="Walk-in"/>
    <s v="Transfer"/>
    <n v="3"/>
    <n v="2800"/>
    <n v="4200"/>
    <n v="0.05"/>
    <x v="15"/>
    <n v="5"/>
    <n v="12600"/>
    <n v="630"/>
    <n v="11970"/>
    <n v="8400"/>
    <n v="3570"/>
    <n v="0.2982456140350877"/>
    <s v="Understocked"/>
    <s v="Safe"/>
    <n v="0.33333333333333331"/>
    <s v="Safe"/>
    <n v="1400"/>
    <n v="0.33333333333333331"/>
  </r>
  <r>
    <s v="ORD-12065"/>
    <x v="135"/>
    <s v="P022"/>
    <x v="17"/>
    <s v="Office Supplies"/>
    <s v="Writing"/>
    <s v="WriteWell"/>
    <s v="B03"/>
    <x v="6"/>
    <s v="Lagos"/>
    <x v="4"/>
    <s v="Member"/>
    <s v="Cash"/>
    <n v="2"/>
    <n v="1300"/>
    <n v="2100"/>
    <n v="0.1"/>
    <x v="14"/>
    <n v="5"/>
    <n v="4200"/>
    <n v="420"/>
    <n v="3780"/>
    <n v="2600"/>
    <n v="1180"/>
    <n v="0.31216931216931215"/>
    <s v="Understocked"/>
    <s v="Safe"/>
    <n v="0.38095238095238093"/>
    <s v="Safe"/>
    <n v="800"/>
    <n v="0.38095238095238093"/>
  </r>
  <r>
    <s v="ORD-12066"/>
    <x v="116"/>
    <s v="P001"/>
    <x v="14"/>
    <s v="Food"/>
    <s v="Grains"/>
    <s v="Golden Harvest"/>
    <s v="B03"/>
    <x v="6"/>
    <s v="Lagos"/>
    <x v="4"/>
    <s v="Member"/>
    <s v="Transfer"/>
    <n v="1"/>
    <n v="14500"/>
    <n v="17500"/>
    <n v="0.1"/>
    <x v="8"/>
    <n v="1"/>
    <n v="17500"/>
    <n v="1750"/>
    <n v="15750"/>
    <n v="14500"/>
    <n v="1250"/>
    <n v="7.9365079365079361E-2"/>
    <s v="Understocked"/>
    <s v="Safe"/>
    <n v="0.17142857142857143"/>
    <s v="Safe"/>
    <n v="3000"/>
    <n v="0.17142857142857143"/>
  </r>
  <r>
    <s v="ORD-12067"/>
    <x v="250"/>
    <s v="P003"/>
    <x v="12"/>
    <s v="Food"/>
    <s v="Cooking Oil"/>
    <s v="SunGold"/>
    <s v="B07"/>
    <x v="3"/>
    <s v="Enugu"/>
    <x v="3"/>
    <s v="Corporate"/>
    <s v="Cash"/>
    <n v="1"/>
    <n v="7800"/>
    <n v="9800"/>
    <n v="0.05"/>
    <x v="8"/>
    <n v="5"/>
    <n v="9800"/>
    <n v="490"/>
    <n v="9310"/>
    <n v="7800"/>
    <n v="1510"/>
    <n v="0.16219119226638024"/>
    <s v="Understocked"/>
    <s v="Safe"/>
    <n v="0.20408163265306123"/>
    <s v="Safe"/>
    <n v="2000"/>
    <n v="0.20408163265306123"/>
  </r>
  <r>
    <s v="ORD-12068"/>
    <x v="349"/>
    <s v="P001"/>
    <x v="14"/>
    <s v="Food"/>
    <s v="Grains"/>
    <s v="Golden Harvest"/>
    <s v="B04"/>
    <x v="5"/>
    <s v="Lagos"/>
    <x v="4"/>
    <s v="Walk-in"/>
    <s v="Cash"/>
    <n v="2"/>
    <n v="14500"/>
    <n v="17500"/>
    <n v="0.15"/>
    <x v="9"/>
    <n v="1"/>
    <n v="35000"/>
    <n v="5250"/>
    <n v="29750"/>
    <n v="29000"/>
    <n v="750"/>
    <n v="2.5210084033613446E-2"/>
    <s v="Understocked"/>
    <s v="Safe"/>
    <n v="0.17142857142857143"/>
    <s v="Safe"/>
    <n v="3000"/>
    <n v="0.17142857142857143"/>
  </r>
  <r>
    <s v="ORD-12069"/>
    <x v="47"/>
    <s v="P010"/>
    <x v="22"/>
    <s v="Household"/>
    <s v="Paper Products"/>
    <s v="SoftCare"/>
    <s v="B02"/>
    <x v="4"/>
    <s v="Abuja"/>
    <x v="2"/>
    <s v="Walk-in"/>
    <s v="POS"/>
    <n v="4"/>
    <n v="3200"/>
    <n v="4500"/>
    <n v="0"/>
    <x v="1"/>
    <n v="9"/>
    <n v="18000"/>
    <n v="0"/>
    <n v="18000"/>
    <n v="12800"/>
    <n v="5200"/>
    <n v="0.28888888888888886"/>
    <s v="Healthy"/>
    <s v="Safe"/>
    <n v="0.28888888888888886"/>
    <s v="Safe"/>
    <n v="1300"/>
    <n v="0.28888888888888886"/>
  </r>
  <r>
    <s v="ORD-12070"/>
    <x v="340"/>
    <s v="P015"/>
    <x v="8"/>
    <s v="Personal Care"/>
    <s v="Bath"/>
    <s v="SilkyTouch"/>
    <s v="B03"/>
    <x v="6"/>
    <s v="Lagos"/>
    <x v="4"/>
    <s v="Walk-in"/>
    <s v="Transfer"/>
    <n v="5"/>
    <n v="600"/>
    <n v="950"/>
    <n v="0.2"/>
    <x v="6"/>
    <n v="1"/>
    <n v="4750"/>
    <n v="950"/>
    <n v="3800"/>
    <n v="3000"/>
    <n v="800"/>
    <n v="0.21052631578947367"/>
    <s v="Healthy"/>
    <s v="Safe"/>
    <n v="0.36842105263157893"/>
    <s v="Safe"/>
    <n v="350"/>
    <n v="0.36842105263157893"/>
  </r>
  <r>
    <s v="ORD-12071"/>
    <x v="244"/>
    <s v="P018"/>
    <x v="16"/>
    <s v="Electronics"/>
    <s v="Mobile Accessories"/>
    <s v="VoltSafe"/>
    <s v="B07"/>
    <x v="3"/>
    <s v="Enugu"/>
    <x v="3"/>
    <s v="Member"/>
    <s v="POS"/>
    <n v="1"/>
    <n v="18000"/>
    <n v="24500"/>
    <n v="0"/>
    <x v="12"/>
    <n v="7"/>
    <n v="24500"/>
    <n v="0"/>
    <n v="24500"/>
    <n v="18000"/>
    <n v="6500"/>
    <n v="0.26530612244897961"/>
    <s v="Understocked"/>
    <s v="Safe"/>
    <n v="0.26530612244897961"/>
    <s v="Safe"/>
    <n v="6500"/>
    <n v="0.26530612244897961"/>
  </r>
  <r>
    <s v="ORD-12072"/>
    <x v="91"/>
    <s v="P006"/>
    <x v="0"/>
    <s v="Beverages"/>
    <s v="Water"/>
    <s v="AquaPure"/>
    <s v="B02"/>
    <x v="4"/>
    <s v="Abuja"/>
    <x v="2"/>
    <s v="Walk-in"/>
    <s v="Cash"/>
    <n v="6"/>
    <n v="230"/>
    <n v="400"/>
    <n v="0.2"/>
    <x v="2"/>
    <n v="13"/>
    <n v="2400"/>
    <n v="480"/>
    <n v="1920"/>
    <n v="1380"/>
    <n v="540"/>
    <n v="0.28125"/>
    <s v="Understocked"/>
    <s v="Safe"/>
    <n v="0.42499999999999999"/>
    <s v="Safe"/>
    <n v="170"/>
    <n v="0.42499999999999999"/>
  </r>
  <r>
    <s v="ORD-12073"/>
    <x v="232"/>
    <s v="P023"/>
    <x v="6"/>
    <s v="Office Supplies"/>
    <s v="Stationery"/>
    <s v="StudyPro"/>
    <s v="B05"/>
    <x v="0"/>
    <s v="Kano"/>
    <x v="0"/>
    <s v="Walk-in"/>
    <s v="Cash"/>
    <n v="6"/>
    <n v="2800"/>
    <n v="4200"/>
    <n v="0"/>
    <x v="14"/>
    <n v="12"/>
    <n v="25200"/>
    <n v="0"/>
    <n v="25200"/>
    <n v="16800"/>
    <n v="8400"/>
    <n v="0.33333333333333331"/>
    <s v="Understocked"/>
    <s v="Safe"/>
    <n v="0.33333333333333331"/>
    <s v="Safe"/>
    <n v="1400"/>
    <n v="0.33333333333333331"/>
  </r>
  <r>
    <s v="ORD-12074"/>
    <x v="192"/>
    <s v="P003"/>
    <x v="12"/>
    <s v="Food"/>
    <s v="Cooking Oil"/>
    <s v="SunGold"/>
    <s v="B04"/>
    <x v="5"/>
    <s v="Lagos"/>
    <x v="4"/>
    <s v="Walk-in"/>
    <s v="Cash"/>
    <n v="2"/>
    <n v="7800"/>
    <n v="9800"/>
    <n v="0.1"/>
    <x v="9"/>
    <n v="7"/>
    <n v="19600"/>
    <n v="1960"/>
    <n v="17640"/>
    <n v="15600"/>
    <n v="2040"/>
    <n v="0.11564625850340136"/>
    <s v="Understocked"/>
    <s v="Safe"/>
    <n v="0.20408163265306123"/>
    <s v="Safe"/>
    <n v="2000"/>
    <n v="0.20408163265306123"/>
  </r>
  <r>
    <s v="ORD-12075"/>
    <x v="359"/>
    <s v="P003"/>
    <x v="12"/>
    <s v="Food"/>
    <s v="Cooking Oil"/>
    <s v="SunGold"/>
    <s v="B02"/>
    <x v="4"/>
    <s v="Abuja"/>
    <x v="2"/>
    <s v="Corporate"/>
    <s v="Cash"/>
    <n v="6"/>
    <n v="7800"/>
    <n v="9800"/>
    <n v="0.05"/>
    <x v="1"/>
    <n v="1"/>
    <n v="58800"/>
    <n v="2940"/>
    <n v="55860"/>
    <n v="46800"/>
    <n v="9060"/>
    <n v="0.16219119226638024"/>
    <s v="Understocked"/>
    <s v="Safe"/>
    <n v="0.20408163265306123"/>
    <s v="Safe"/>
    <n v="2000"/>
    <n v="0.20408163265306123"/>
  </r>
  <r>
    <s v="ORD-12076"/>
    <x v="150"/>
    <s v="P014"/>
    <x v="15"/>
    <s v="Personal Care"/>
    <s v="Oral Care"/>
    <s v="FreshMint"/>
    <s v="B08"/>
    <x v="7"/>
    <s v="Kwara"/>
    <x v="2"/>
    <s v="Member"/>
    <s v="Transfer"/>
    <n v="3"/>
    <n v="1200"/>
    <n v="1900"/>
    <n v="0.2"/>
    <x v="11"/>
    <n v="1"/>
    <n v="5700"/>
    <n v="1140"/>
    <n v="4560"/>
    <n v="3600"/>
    <n v="960"/>
    <n v="0.21052631578947367"/>
    <s v="Healthy"/>
    <s v="Safe"/>
    <n v="0.36842105263157893"/>
    <s v="Safe"/>
    <n v="700"/>
    <n v="0.36842105263157893"/>
  </r>
  <r>
    <s v="ORD-12077"/>
    <x v="94"/>
    <s v="P003"/>
    <x v="12"/>
    <s v="Food"/>
    <s v="Cooking Oil"/>
    <s v="SunGold"/>
    <s v="B07"/>
    <x v="3"/>
    <s v="Enugu"/>
    <x v="3"/>
    <s v="Walk-in"/>
    <s v="Card"/>
    <n v="3"/>
    <n v="7800"/>
    <n v="9800"/>
    <n v="0.05"/>
    <x v="8"/>
    <n v="13"/>
    <n v="29400"/>
    <n v="1470"/>
    <n v="27930"/>
    <n v="23400"/>
    <n v="4530"/>
    <n v="0.16219119226638024"/>
    <s v="Understocked"/>
    <s v="Safe"/>
    <n v="0.20408163265306123"/>
    <s v="Safe"/>
    <n v="2000"/>
    <n v="0.20408163265306123"/>
  </r>
  <r>
    <s v="ORD-12078"/>
    <x v="184"/>
    <s v="P003"/>
    <x v="12"/>
    <s v="Food"/>
    <s v="Cooking Oil"/>
    <s v="SunGold"/>
    <s v="B01"/>
    <x v="2"/>
    <s v="Abuja"/>
    <x v="2"/>
    <s v="Member"/>
    <s v="Card"/>
    <n v="2"/>
    <n v="7800"/>
    <n v="9800"/>
    <n v="0.2"/>
    <x v="9"/>
    <n v="5"/>
    <n v="19600"/>
    <n v="3920"/>
    <n v="15680"/>
    <n v="15600"/>
    <n v="80"/>
    <n v="5.1020408163265302E-3"/>
    <s v="Understocked"/>
    <s v="Safe"/>
    <n v="0.20408163265306123"/>
    <s v="Safe"/>
    <n v="2000"/>
    <n v="0.20408163265306123"/>
  </r>
  <r>
    <s v="ORD-12079"/>
    <x v="208"/>
    <s v="P021"/>
    <x v="20"/>
    <s v="Office Supplies"/>
    <s v="Paper"/>
    <s v="OfficeMate"/>
    <s v="B03"/>
    <x v="6"/>
    <s v="Lagos"/>
    <x v="4"/>
    <s v="Walk-in"/>
    <s v="Card"/>
    <n v="2"/>
    <n v="5200"/>
    <n v="7000"/>
    <n v="0.2"/>
    <x v="14"/>
    <n v="6"/>
    <n v="14000"/>
    <n v="2800"/>
    <n v="11200"/>
    <n v="10400"/>
    <n v="800"/>
    <n v="7.1428571428571425E-2"/>
    <s v="Overstocked"/>
    <s v="Safe"/>
    <n v="0.25714285714285712"/>
    <s v="Safe"/>
    <n v="1800"/>
    <n v="0.25714285714285712"/>
  </r>
  <r>
    <s v="ORD-12080"/>
    <x v="44"/>
    <s v="P009"/>
    <x v="13"/>
    <s v="Household"/>
    <s v="Cleaning"/>
    <s v="BrightWash"/>
    <s v="B03"/>
    <x v="6"/>
    <s v="Lagos"/>
    <x v="4"/>
    <s v="Walk-in"/>
    <s v="Transfer"/>
    <n v="3"/>
    <n v="2400"/>
    <n v="3400"/>
    <n v="0"/>
    <x v="10"/>
    <n v="4"/>
    <n v="10200"/>
    <n v="0"/>
    <n v="10200"/>
    <n v="7200"/>
    <n v="3000"/>
    <n v="0.29411764705882354"/>
    <s v="Healthy"/>
    <s v="Safe"/>
    <n v="0.29411764705882354"/>
    <s v="Safe"/>
    <n v="1000"/>
    <n v="0.29411764705882354"/>
  </r>
  <r>
    <s v="ORD-12081"/>
    <x v="57"/>
    <s v="P019"/>
    <x v="18"/>
    <s v="Electronics"/>
    <s v="Audio"/>
    <s v="SoundBeat"/>
    <s v="B07"/>
    <x v="3"/>
    <s v="Enugu"/>
    <x v="3"/>
    <s v="Walk-in"/>
    <s v="POS"/>
    <n v="1"/>
    <n v="12500"/>
    <n v="18500"/>
    <n v="0.1"/>
    <x v="4"/>
    <n v="14"/>
    <n v="18500"/>
    <n v="1850"/>
    <n v="16650"/>
    <n v="12500"/>
    <n v="4150"/>
    <n v="0.24924924924924924"/>
    <s v="Understocked"/>
    <s v="Safe"/>
    <n v="0.32432432432432434"/>
    <s v="Safe"/>
    <n v="6000"/>
    <n v="0.32432432432432434"/>
  </r>
  <r>
    <s v="ORD-12082"/>
    <x v="152"/>
    <s v="P005"/>
    <x v="2"/>
    <s v="Food"/>
    <s v="Snacks"/>
    <s v="CrispyBite"/>
    <s v="B06"/>
    <x v="1"/>
    <s v="Rivers"/>
    <x v="1"/>
    <s v="Walk-in"/>
    <s v="Transfer"/>
    <n v="1"/>
    <n v="850"/>
    <n v="1300"/>
    <n v="0.2"/>
    <x v="8"/>
    <n v="9"/>
    <n v="1300"/>
    <n v="260"/>
    <n v="1040"/>
    <n v="850"/>
    <n v="190"/>
    <n v="0.18269230769230768"/>
    <s v="Understocked"/>
    <s v="Safe"/>
    <n v="0.34615384615384615"/>
    <s v="Safe"/>
    <n v="450"/>
    <n v="0.34615384615384615"/>
  </r>
  <r>
    <s v="ORD-12083"/>
    <x v="111"/>
    <s v="P013"/>
    <x v="11"/>
    <s v="Personal Care"/>
    <s v="Skin Care"/>
    <s v="GlowPlus"/>
    <s v="B04"/>
    <x v="5"/>
    <s v="Lagos"/>
    <x v="4"/>
    <s v="Walk-in"/>
    <s v="Cash"/>
    <n v="4"/>
    <n v="3500"/>
    <n v="5200"/>
    <n v="0.05"/>
    <x v="10"/>
    <n v="5"/>
    <n v="20800"/>
    <n v="1040"/>
    <n v="19760"/>
    <n v="14000"/>
    <n v="5760"/>
    <n v="0.291497975708502"/>
    <s v="Healthy"/>
    <s v="Safe"/>
    <n v="0.32692307692307693"/>
    <s v="Safe"/>
    <n v="1700"/>
    <n v="0.32692307692307693"/>
  </r>
  <r>
    <s v="ORD-12084"/>
    <x v="264"/>
    <s v="P003"/>
    <x v="12"/>
    <s v="Food"/>
    <s v="Cooking Oil"/>
    <s v="SunGold"/>
    <s v="B07"/>
    <x v="3"/>
    <s v="Enugu"/>
    <x v="3"/>
    <s v="Walk-in"/>
    <s v="Transfer"/>
    <n v="1"/>
    <n v="7800"/>
    <n v="9800"/>
    <n v="0"/>
    <x v="1"/>
    <n v="2"/>
    <n v="9800"/>
    <n v="0"/>
    <n v="9800"/>
    <n v="7800"/>
    <n v="2000"/>
    <n v="0.20408163265306123"/>
    <s v="Understocked"/>
    <s v="Safe"/>
    <n v="0.20408163265306123"/>
    <s v="Safe"/>
    <n v="2000"/>
    <n v="0.20408163265306123"/>
  </r>
  <r>
    <s v="ORD-12085"/>
    <x v="2"/>
    <s v="P006"/>
    <x v="0"/>
    <s v="Beverages"/>
    <s v="Water"/>
    <s v="AquaPure"/>
    <s v="B01"/>
    <x v="2"/>
    <s v="Abuja"/>
    <x v="2"/>
    <s v="Walk-in"/>
    <s v="Cash"/>
    <n v="5"/>
    <n v="230"/>
    <n v="400"/>
    <n v="0"/>
    <x v="2"/>
    <n v="8"/>
    <n v="2000"/>
    <n v="0"/>
    <n v="2000"/>
    <n v="1150"/>
    <n v="850"/>
    <n v="0.42499999999999999"/>
    <s v="Understocked"/>
    <s v="Safe"/>
    <n v="0.42499999999999999"/>
    <s v="Safe"/>
    <n v="170"/>
    <n v="0.42499999999999999"/>
  </r>
  <r>
    <s v="ORD-12086"/>
    <x v="152"/>
    <s v="P005"/>
    <x v="2"/>
    <s v="Food"/>
    <s v="Snacks"/>
    <s v="CrispyBite"/>
    <s v="B03"/>
    <x v="6"/>
    <s v="Lagos"/>
    <x v="4"/>
    <s v="Walk-in"/>
    <s v="POS"/>
    <n v="1"/>
    <n v="850"/>
    <n v="1300"/>
    <n v="0.15"/>
    <x v="1"/>
    <n v="12"/>
    <n v="1300"/>
    <n v="195"/>
    <n v="1105"/>
    <n v="850"/>
    <n v="255"/>
    <n v="0.23076923076923078"/>
    <s v="Understocked"/>
    <s v="Safe"/>
    <n v="0.34615384615384615"/>
    <s v="Safe"/>
    <n v="450"/>
    <n v="0.34615384615384615"/>
  </r>
  <r>
    <s v="ORD-12087"/>
    <x v="230"/>
    <s v="P003"/>
    <x v="12"/>
    <s v="Food"/>
    <s v="Cooking Oil"/>
    <s v="SunGold"/>
    <s v="B06"/>
    <x v="1"/>
    <s v="Rivers"/>
    <x v="1"/>
    <s v="Walk-in"/>
    <s v="POS"/>
    <n v="2"/>
    <n v="7800"/>
    <n v="9800"/>
    <n v="0.05"/>
    <x v="1"/>
    <n v="8"/>
    <n v="19600"/>
    <n v="980"/>
    <n v="18620"/>
    <n v="15600"/>
    <n v="3020"/>
    <n v="0.16219119226638024"/>
    <s v="Understocked"/>
    <s v="Safe"/>
    <n v="0.20408163265306123"/>
    <s v="Safe"/>
    <n v="2000"/>
    <n v="0.20408163265306123"/>
  </r>
  <r>
    <s v="ORD-12088"/>
    <x v="154"/>
    <s v="P020"/>
    <x v="5"/>
    <s v="Electronics"/>
    <s v="Lighting"/>
    <s v="Luma"/>
    <s v="B05"/>
    <x v="0"/>
    <s v="Kano"/>
    <x v="0"/>
    <s v="Walk-in"/>
    <s v="Cash"/>
    <n v="1"/>
    <n v="1500"/>
    <n v="2500"/>
    <n v="0"/>
    <x v="4"/>
    <n v="2"/>
    <n v="2500"/>
    <n v="0"/>
    <n v="2500"/>
    <n v="1500"/>
    <n v="1000"/>
    <n v="0.4"/>
    <s v="Healthy"/>
    <s v="Safe"/>
    <n v="0.4"/>
    <s v="Safe"/>
    <n v="1000"/>
    <n v="0.4"/>
  </r>
  <r>
    <s v="ORD-12089"/>
    <x v="318"/>
    <s v="P002"/>
    <x v="10"/>
    <s v="Food"/>
    <s v="Grains"/>
    <s v="Mama's Pride"/>
    <s v="B06"/>
    <x v="1"/>
    <s v="Rivers"/>
    <x v="1"/>
    <s v="Member"/>
    <s v="POS"/>
    <n v="4"/>
    <n v="6200"/>
    <n v="7900"/>
    <n v="0"/>
    <x v="9"/>
    <n v="7"/>
    <n v="31600"/>
    <n v="0"/>
    <n v="31600"/>
    <n v="24800"/>
    <n v="6800"/>
    <n v="0.21518987341772153"/>
    <s v="Healthy"/>
    <s v="Safe"/>
    <n v="0.21518987341772153"/>
    <s v="Safe"/>
    <n v="1700"/>
    <n v="0.21518987341772153"/>
  </r>
  <r>
    <s v="ORD-12090"/>
    <x v="313"/>
    <s v="P008"/>
    <x v="4"/>
    <s v="Beverages"/>
    <s v="Soft Drinks"/>
    <s v="Sparkle"/>
    <s v="B04"/>
    <x v="5"/>
    <s v="Lagos"/>
    <x v="4"/>
    <s v="Walk-in"/>
    <s v="POS"/>
    <n v="1"/>
    <n v="330"/>
    <n v="550"/>
    <n v="0.15"/>
    <x v="2"/>
    <n v="9"/>
    <n v="550"/>
    <n v="82.5"/>
    <n v="467.5"/>
    <n v="330"/>
    <n v="137.5"/>
    <n v="0.29411764705882354"/>
    <s v="Healthy"/>
    <s v="Safe"/>
    <n v="0.4"/>
    <s v="Safe"/>
    <n v="220"/>
    <n v="0.4"/>
  </r>
  <r>
    <s v="ORD-12091"/>
    <x v="360"/>
    <s v="P006"/>
    <x v="0"/>
    <s v="Beverages"/>
    <s v="Water"/>
    <s v="AquaPure"/>
    <s v="B04"/>
    <x v="5"/>
    <s v="Lagos"/>
    <x v="4"/>
    <s v="Walk-in"/>
    <s v="Cash"/>
    <n v="1"/>
    <n v="230"/>
    <n v="400"/>
    <n v="0.1"/>
    <x v="0"/>
    <n v="5"/>
    <n v="400"/>
    <n v="40"/>
    <n v="360"/>
    <n v="230"/>
    <n v="130"/>
    <n v="0.3611111111111111"/>
    <s v="Understocked"/>
    <s v="Safe"/>
    <n v="0.42499999999999999"/>
    <s v="Safe"/>
    <n v="170"/>
    <n v="0.42499999999999999"/>
  </r>
  <r>
    <s v="ORD-12092"/>
    <x v="162"/>
    <s v="P005"/>
    <x v="2"/>
    <s v="Food"/>
    <s v="Snacks"/>
    <s v="CrispyBite"/>
    <s v="B03"/>
    <x v="6"/>
    <s v="Lagos"/>
    <x v="4"/>
    <s v="Member"/>
    <s v="Cash"/>
    <n v="2"/>
    <n v="850"/>
    <n v="1300"/>
    <n v="0.15"/>
    <x v="1"/>
    <n v="10"/>
    <n v="2600"/>
    <n v="390"/>
    <n v="2210"/>
    <n v="1700"/>
    <n v="510"/>
    <n v="0.23076923076923078"/>
    <s v="Understocked"/>
    <s v="Safe"/>
    <n v="0.34615384615384615"/>
    <s v="Safe"/>
    <n v="450"/>
    <n v="0.34615384615384615"/>
  </r>
  <r>
    <s v="ORD-12093"/>
    <x v="363"/>
    <s v="P008"/>
    <x v="4"/>
    <s v="Beverages"/>
    <s v="Soft Drinks"/>
    <s v="Sparkle"/>
    <s v="B04"/>
    <x v="5"/>
    <s v="Lagos"/>
    <x v="4"/>
    <s v="Walk-in"/>
    <s v="POS"/>
    <n v="2"/>
    <n v="330"/>
    <n v="550"/>
    <n v="0.15"/>
    <x v="2"/>
    <n v="12"/>
    <n v="1100"/>
    <n v="165"/>
    <n v="935"/>
    <n v="660"/>
    <n v="275"/>
    <n v="0.29411764705882354"/>
    <s v="Healthy"/>
    <s v="Safe"/>
    <n v="0.4"/>
    <s v="Safe"/>
    <n v="220"/>
    <n v="0.4"/>
  </r>
  <r>
    <s v="ORD-12094"/>
    <x v="301"/>
    <s v="P011"/>
    <x v="9"/>
    <s v="Household"/>
    <s v="Cleaning"/>
    <s v="CleanPro"/>
    <s v="B03"/>
    <x v="6"/>
    <s v="Lagos"/>
    <x v="4"/>
    <s v="Walk-in"/>
    <s v="POS"/>
    <n v="8"/>
    <n v="2800"/>
    <n v="3900"/>
    <n v="0.2"/>
    <x v="7"/>
    <n v="10"/>
    <n v="31200"/>
    <n v="6240"/>
    <n v="24960"/>
    <n v="22400"/>
    <n v="2560"/>
    <n v="0.10256410256410256"/>
    <s v="Healthy"/>
    <s v="Safe"/>
    <n v="0.28205128205128205"/>
    <s v="Safe"/>
    <n v="1100"/>
    <n v="0.28205128205128205"/>
  </r>
  <r>
    <s v="ORD-12095"/>
    <x v="273"/>
    <s v="P020"/>
    <x v="5"/>
    <s v="Electronics"/>
    <s v="Lighting"/>
    <s v="Luma"/>
    <s v="B05"/>
    <x v="0"/>
    <s v="Kano"/>
    <x v="0"/>
    <s v="Walk-in"/>
    <s v="POS"/>
    <n v="2"/>
    <n v="1500"/>
    <n v="2500"/>
    <n v="0.2"/>
    <x v="12"/>
    <n v="10"/>
    <n v="5000"/>
    <n v="1000"/>
    <n v="4000"/>
    <n v="3000"/>
    <n v="1000"/>
    <n v="0.25"/>
    <s v="Healthy"/>
    <s v="Safe"/>
    <n v="0.4"/>
    <s v="Safe"/>
    <n v="1000"/>
    <n v="0.4"/>
  </r>
  <r>
    <s v="ORD-12096"/>
    <x v="303"/>
    <s v="P001"/>
    <x v="14"/>
    <s v="Food"/>
    <s v="Grains"/>
    <s v="Golden Harvest"/>
    <s v="B01"/>
    <x v="2"/>
    <s v="Abuja"/>
    <x v="2"/>
    <s v="Walk-in"/>
    <s v="Cash"/>
    <n v="3"/>
    <n v="14500"/>
    <n v="17500"/>
    <n v="0.05"/>
    <x v="9"/>
    <n v="14"/>
    <n v="52500"/>
    <n v="2625"/>
    <n v="49875"/>
    <n v="43500"/>
    <n v="6375"/>
    <n v="0.12781954887218044"/>
    <s v="Understocked"/>
    <s v="Safe"/>
    <n v="0.17142857142857143"/>
    <s v="Safe"/>
    <n v="3000"/>
    <n v="0.17142857142857143"/>
  </r>
  <r>
    <s v="ORD-12097"/>
    <x v="296"/>
    <s v="P006"/>
    <x v="0"/>
    <s v="Beverages"/>
    <s v="Water"/>
    <s v="AquaPure"/>
    <s v="B01"/>
    <x v="2"/>
    <s v="Abuja"/>
    <x v="2"/>
    <s v="Member"/>
    <s v="Card"/>
    <n v="1"/>
    <n v="230"/>
    <n v="400"/>
    <n v="0.1"/>
    <x v="2"/>
    <n v="3"/>
    <n v="400"/>
    <n v="40"/>
    <n v="360"/>
    <n v="230"/>
    <n v="130"/>
    <n v="0.3611111111111111"/>
    <s v="Understocked"/>
    <s v="Safe"/>
    <n v="0.42499999999999999"/>
    <s v="Safe"/>
    <n v="170"/>
    <n v="0.42499999999999999"/>
  </r>
  <r>
    <s v="ORD-12098"/>
    <x v="45"/>
    <s v="P006"/>
    <x v="0"/>
    <s v="Beverages"/>
    <s v="Water"/>
    <s v="AquaPure"/>
    <s v="B08"/>
    <x v="7"/>
    <s v="Kwara"/>
    <x v="2"/>
    <s v="Member"/>
    <s v="POS"/>
    <n v="5"/>
    <n v="230"/>
    <n v="400"/>
    <n v="0"/>
    <x v="0"/>
    <n v="10"/>
    <n v="2000"/>
    <n v="0"/>
    <n v="2000"/>
    <n v="1150"/>
    <n v="850"/>
    <n v="0.42499999999999999"/>
    <s v="Understocked"/>
    <s v="Safe"/>
    <n v="0.42499999999999999"/>
    <s v="Safe"/>
    <n v="170"/>
    <n v="0.42499999999999999"/>
  </r>
  <r>
    <s v="ORD-12099"/>
    <x v="4"/>
    <s v="P007"/>
    <x v="3"/>
    <s v="Beverages"/>
    <s v="Malt"/>
    <s v="Naija Malt"/>
    <s v="B02"/>
    <x v="4"/>
    <s v="Abuja"/>
    <x v="2"/>
    <s v="Member"/>
    <s v="Transfer"/>
    <n v="6"/>
    <n v="550"/>
    <n v="850"/>
    <n v="0.05"/>
    <x v="0"/>
    <n v="12"/>
    <n v="5100"/>
    <n v="255"/>
    <n v="4845"/>
    <n v="3300"/>
    <n v="1545"/>
    <n v="0.31888544891640869"/>
    <s v="Healthy"/>
    <s v="Safe"/>
    <n v="0.35294117647058826"/>
    <s v="Safe"/>
    <n v="300"/>
    <n v="0.35294117647058826"/>
  </r>
  <r>
    <s v="ORD-12100"/>
    <x v="343"/>
    <s v="P003"/>
    <x v="12"/>
    <s v="Food"/>
    <s v="Cooking Oil"/>
    <s v="SunGold"/>
    <s v="B04"/>
    <x v="5"/>
    <s v="Lagos"/>
    <x v="4"/>
    <s v="Walk-in"/>
    <s v="Cash"/>
    <n v="1"/>
    <n v="7800"/>
    <n v="9800"/>
    <n v="0.1"/>
    <x v="1"/>
    <n v="10"/>
    <n v="9800"/>
    <n v="980"/>
    <n v="8820"/>
    <n v="7800"/>
    <n v="1020"/>
    <n v="0.11564625850340136"/>
    <s v="Understocked"/>
    <s v="Safe"/>
    <n v="0.20408163265306123"/>
    <s v="Safe"/>
    <n v="2000"/>
    <n v="0.20408163265306123"/>
  </r>
  <r>
    <s v="ORD-12101"/>
    <x v="298"/>
    <s v="P012"/>
    <x v="21"/>
    <s v="Household"/>
    <s v="Home Care"/>
    <s v="HomeFresh"/>
    <s v="B07"/>
    <x v="3"/>
    <s v="Enugu"/>
    <x v="3"/>
    <s v="Member"/>
    <s v="Card"/>
    <n v="5"/>
    <n v="1700"/>
    <n v="2600"/>
    <n v="0.15"/>
    <x v="1"/>
    <n v="4"/>
    <n v="13000"/>
    <n v="1950"/>
    <n v="11050"/>
    <n v="8500"/>
    <n v="2550"/>
    <n v="0.23076923076923078"/>
    <s v="Overstocked"/>
    <s v="Safe"/>
    <n v="0.34615384615384615"/>
    <s v="Safe"/>
    <n v="900"/>
    <n v="0.34615384615384615"/>
  </r>
  <r>
    <s v="ORD-12102"/>
    <x v="206"/>
    <s v="P021"/>
    <x v="20"/>
    <s v="Office Supplies"/>
    <s v="Paper"/>
    <s v="OfficeMate"/>
    <s v="B04"/>
    <x v="5"/>
    <s v="Lagos"/>
    <x v="4"/>
    <s v="Walk-in"/>
    <s v="POS"/>
    <n v="8"/>
    <n v="5200"/>
    <n v="7000"/>
    <n v="0.2"/>
    <x v="14"/>
    <n v="6"/>
    <n v="56000"/>
    <n v="11200"/>
    <n v="44800"/>
    <n v="41600"/>
    <n v="3200"/>
    <n v="7.1428571428571425E-2"/>
    <s v="Overstocked"/>
    <s v="Safe"/>
    <n v="0.25714285714285712"/>
    <s v="Safe"/>
    <n v="1800"/>
    <n v="0.25714285714285712"/>
  </r>
  <r>
    <s v="ORD-12103"/>
    <x v="266"/>
    <s v="P018"/>
    <x v="16"/>
    <s v="Electronics"/>
    <s v="Mobile Accessories"/>
    <s v="VoltSafe"/>
    <s v="B02"/>
    <x v="4"/>
    <s v="Abuja"/>
    <x v="2"/>
    <s v="Walk-in"/>
    <s v="Transfer"/>
    <n v="3"/>
    <n v="18000"/>
    <n v="24500"/>
    <n v="0.15"/>
    <x v="12"/>
    <n v="2"/>
    <n v="73500"/>
    <n v="11025"/>
    <n v="62475"/>
    <n v="54000"/>
    <n v="8475"/>
    <n v="0.13565426170468187"/>
    <s v="Understocked"/>
    <s v="Safe"/>
    <n v="0.26530612244897961"/>
    <s v="Safe"/>
    <n v="6500"/>
    <n v="0.26530612244897961"/>
  </r>
  <r>
    <s v="ORD-12104"/>
    <x v="348"/>
    <s v="P013"/>
    <x v="11"/>
    <s v="Personal Care"/>
    <s v="Skin Care"/>
    <s v="GlowPlus"/>
    <s v="B02"/>
    <x v="4"/>
    <s v="Abuja"/>
    <x v="2"/>
    <s v="Member"/>
    <s v="Cash"/>
    <n v="3"/>
    <n v="3500"/>
    <n v="5200"/>
    <n v="0.1"/>
    <x v="6"/>
    <n v="10"/>
    <n v="15600"/>
    <n v="1560"/>
    <n v="14040"/>
    <n v="10500"/>
    <n v="3540"/>
    <n v="0.25213675213675213"/>
    <s v="Healthy"/>
    <s v="Safe"/>
    <n v="0.32692307692307693"/>
    <s v="Safe"/>
    <n v="1700"/>
    <n v="0.32692307692307693"/>
  </r>
  <r>
    <s v="ORD-12105"/>
    <x v="60"/>
    <s v="P019"/>
    <x v="18"/>
    <s v="Electronics"/>
    <s v="Audio"/>
    <s v="SoundBeat"/>
    <s v="B01"/>
    <x v="2"/>
    <s v="Abuja"/>
    <x v="2"/>
    <s v="Walk-in"/>
    <s v="POS"/>
    <n v="8"/>
    <n v="12500"/>
    <n v="18500"/>
    <n v="0.05"/>
    <x v="12"/>
    <n v="13"/>
    <n v="148000"/>
    <n v="7400"/>
    <n v="140600"/>
    <n v="100000"/>
    <n v="40600"/>
    <n v="0.28876244665718348"/>
    <s v="Understocked"/>
    <s v="Safe"/>
    <n v="0.32432432432432434"/>
    <s v="Safe"/>
    <n v="6000"/>
    <n v="0.32432432432432434"/>
  </r>
  <r>
    <s v="ORD-12106"/>
    <x v="101"/>
    <s v="P013"/>
    <x v="11"/>
    <s v="Personal Care"/>
    <s v="Skin Care"/>
    <s v="GlowPlus"/>
    <s v="B02"/>
    <x v="4"/>
    <s v="Abuja"/>
    <x v="2"/>
    <s v="Walk-in"/>
    <s v="Card"/>
    <n v="1"/>
    <n v="3500"/>
    <n v="5200"/>
    <n v="0.05"/>
    <x v="11"/>
    <n v="14"/>
    <n v="5200"/>
    <n v="260"/>
    <n v="4940"/>
    <n v="3500"/>
    <n v="1440"/>
    <n v="0.291497975708502"/>
    <s v="Healthy"/>
    <s v="Safe"/>
    <n v="0.32692307692307693"/>
    <s v="Safe"/>
    <n v="1700"/>
    <n v="0.32692307692307693"/>
  </r>
  <r>
    <s v="ORD-12107"/>
    <x v="312"/>
    <s v="P011"/>
    <x v="9"/>
    <s v="Household"/>
    <s v="Cleaning"/>
    <s v="CleanPro"/>
    <s v="B02"/>
    <x v="4"/>
    <s v="Abuja"/>
    <x v="2"/>
    <s v="Member"/>
    <s v="Card"/>
    <n v="5"/>
    <n v="2800"/>
    <n v="3900"/>
    <n v="0"/>
    <x v="1"/>
    <n v="9"/>
    <n v="19500"/>
    <n v="0"/>
    <n v="19500"/>
    <n v="14000"/>
    <n v="5500"/>
    <n v="0.28205128205128205"/>
    <s v="Healthy"/>
    <s v="Safe"/>
    <n v="0.28205128205128205"/>
    <s v="Safe"/>
    <n v="1100"/>
    <n v="0.28205128205128205"/>
  </r>
  <r>
    <s v="ORD-12108"/>
    <x v="299"/>
    <s v="P023"/>
    <x v="6"/>
    <s v="Office Supplies"/>
    <s v="Stationery"/>
    <s v="StudyPro"/>
    <s v="B01"/>
    <x v="2"/>
    <s v="Abuja"/>
    <x v="2"/>
    <s v="Walk-in"/>
    <s v="Transfer"/>
    <n v="5"/>
    <n v="2800"/>
    <n v="4200"/>
    <n v="0.05"/>
    <x v="5"/>
    <n v="12"/>
    <n v="21000"/>
    <n v="1050"/>
    <n v="19950"/>
    <n v="14000"/>
    <n v="5950"/>
    <n v="0.2982456140350877"/>
    <s v="Understocked"/>
    <s v="Safe"/>
    <n v="0.33333333333333331"/>
    <s v="Safe"/>
    <n v="1400"/>
    <n v="0.33333333333333331"/>
  </r>
  <r>
    <s v="ORD-12109"/>
    <x v="122"/>
    <s v="P005"/>
    <x v="2"/>
    <s v="Food"/>
    <s v="Snacks"/>
    <s v="CrispyBite"/>
    <s v="B04"/>
    <x v="5"/>
    <s v="Lagos"/>
    <x v="4"/>
    <s v="Walk-in"/>
    <s v="POS"/>
    <n v="1"/>
    <n v="850"/>
    <n v="1300"/>
    <n v="0.2"/>
    <x v="8"/>
    <n v="5"/>
    <n v="1300"/>
    <n v="260"/>
    <n v="1040"/>
    <n v="850"/>
    <n v="190"/>
    <n v="0.18269230769230768"/>
    <s v="Understocked"/>
    <s v="Safe"/>
    <n v="0.34615384615384615"/>
    <s v="Safe"/>
    <n v="450"/>
    <n v="0.34615384615384615"/>
  </r>
  <r>
    <s v="ORD-12110"/>
    <x v="196"/>
    <s v="P006"/>
    <x v="0"/>
    <s v="Beverages"/>
    <s v="Water"/>
    <s v="AquaPure"/>
    <s v="B02"/>
    <x v="4"/>
    <s v="Abuja"/>
    <x v="2"/>
    <s v="Member"/>
    <s v="Transfer"/>
    <n v="2"/>
    <n v="230"/>
    <n v="400"/>
    <n v="0.1"/>
    <x v="0"/>
    <n v="13"/>
    <n v="800"/>
    <n v="80"/>
    <n v="720"/>
    <n v="460"/>
    <n v="260"/>
    <n v="0.3611111111111111"/>
    <s v="Understocked"/>
    <s v="Safe"/>
    <n v="0.42499999999999999"/>
    <s v="Safe"/>
    <n v="170"/>
    <n v="0.42499999999999999"/>
  </r>
  <r>
    <s v="ORD-12111"/>
    <x v="136"/>
    <s v="P015"/>
    <x v="8"/>
    <s v="Personal Care"/>
    <s v="Bath"/>
    <s v="SilkyTouch"/>
    <s v="B01"/>
    <x v="2"/>
    <s v="Abuja"/>
    <x v="2"/>
    <s v="Walk-in"/>
    <s v="POS"/>
    <n v="2"/>
    <n v="600"/>
    <n v="950"/>
    <n v="0.15"/>
    <x v="6"/>
    <n v="7"/>
    <n v="1900"/>
    <n v="285"/>
    <n v="1615"/>
    <n v="1200"/>
    <n v="415"/>
    <n v="0.25696594427244585"/>
    <s v="Healthy"/>
    <s v="Safe"/>
    <n v="0.36842105263157893"/>
    <s v="Safe"/>
    <n v="350"/>
    <n v="0.36842105263157893"/>
  </r>
  <r>
    <s v="ORD-12112"/>
    <x v="325"/>
    <s v="P022"/>
    <x v="17"/>
    <s v="Office Supplies"/>
    <s v="Writing"/>
    <s v="WriteWell"/>
    <s v="B06"/>
    <x v="1"/>
    <s v="Rivers"/>
    <x v="1"/>
    <s v="Member"/>
    <s v="Cash"/>
    <n v="3"/>
    <n v="1300"/>
    <n v="2100"/>
    <n v="0"/>
    <x v="14"/>
    <n v="2"/>
    <n v="6300"/>
    <n v="0"/>
    <n v="6300"/>
    <n v="3900"/>
    <n v="2400"/>
    <n v="0.38095238095238093"/>
    <s v="Understocked"/>
    <s v="Safe"/>
    <n v="0.38095238095238093"/>
    <s v="Safe"/>
    <n v="800"/>
    <n v="0.38095238095238093"/>
  </r>
  <r>
    <s v="ORD-12113"/>
    <x v="364"/>
    <s v="P009"/>
    <x v="13"/>
    <s v="Household"/>
    <s v="Cleaning"/>
    <s v="BrightWash"/>
    <s v="B04"/>
    <x v="5"/>
    <s v="Lagos"/>
    <x v="4"/>
    <s v="Walk-in"/>
    <s v="POS"/>
    <n v="3"/>
    <n v="2400"/>
    <n v="3400"/>
    <n v="0"/>
    <x v="1"/>
    <n v="1"/>
    <n v="10200"/>
    <n v="0"/>
    <n v="10200"/>
    <n v="7200"/>
    <n v="3000"/>
    <n v="0.29411764705882354"/>
    <s v="Healthy"/>
    <s v="Safe"/>
    <n v="0.29411764705882354"/>
    <s v="Safe"/>
    <n v="1000"/>
    <n v="0.29411764705882354"/>
  </r>
  <r>
    <s v="ORD-12114"/>
    <x v="24"/>
    <s v="P006"/>
    <x v="0"/>
    <s v="Beverages"/>
    <s v="Water"/>
    <s v="AquaPure"/>
    <s v="B07"/>
    <x v="3"/>
    <s v="Enugu"/>
    <x v="3"/>
    <s v="Walk-in"/>
    <s v="POS"/>
    <n v="4"/>
    <n v="230"/>
    <n v="400"/>
    <n v="0.2"/>
    <x v="2"/>
    <n v="8"/>
    <n v="1600"/>
    <n v="320"/>
    <n v="1280"/>
    <n v="920"/>
    <n v="360"/>
    <n v="0.28125"/>
    <s v="Understocked"/>
    <s v="Safe"/>
    <n v="0.42499999999999999"/>
    <s v="Safe"/>
    <n v="170"/>
    <n v="0.42499999999999999"/>
  </r>
  <r>
    <s v="ORD-12115"/>
    <x v="53"/>
    <s v="P014"/>
    <x v="15"/>
    <s v="Personal Care"/>
    <s v="Oral Care"/>
    <s v="FreshMint"/>
    <s v="B07"/>
    <x v="3"/>
    <s v="Enugu"/>
    <x v="3"/>
    <s v="Walk-in"/>
    <s v="Cash"/>
    <n v="5"/>
    <n v="1200"/>
    <n v="1900"/>
    <n v="0"/>
    <x v="11"/>
    <n v="13"/>
    <n v="9500"/>
    <n v="0"/>
    <n v="9500"/>
    <n v="6000"/>
    <n v="3500"/>
    <n v="0.36842105263157893"/>
    <s v="Healthy"/>
    <s v="Safe"/>
    <n v="0.36842105263157893"/>
    <s v="Safe"/>
    <n v="700"/>
    <n v="0.36842105263157893"/>
  </r>
  <r>
    <s v="ORD-12116"/>
    <x v="165"/>
    <s v="P007"/>
    <x v="3"/>
    <s v="Beverages"/>
    <s v="Malt"/>
    <s v="Naija Malt"/>
    <s v="B02"/>
    <x v="4"/>
    <s v="Abuja"/>
    <x v="2"/>
    <s v="Member"/>
    <s v="POS"/>
    <n v="8"/>
    <n v="550"/>
    <n v="850"/>
    <n v="0.1"/>
    <x v="3"/>
    <n v="8"/>
    <n v="6800"/>
    <n v="680"/>
    <n v="6120"/>
    <n v="4400"/>
    <n v="1720"/>
    <n v="0.28104575163398693"/>
    <s v="Healthy"/>
    <s v="Safe"/>
    <n v="0.35294117647058826"/>
    <s v="Safe"/>
    <n v="300"/>
    <n v="0.35294117647058826"/>
  </r>
  <r>
    <s v="ORD-12117"/>
    <x v="231"/>
    <s v="P001"/>
    <x v="14"/>
    <s v="Food"/>
    <s v="Grains"/>
    <s v="Golden Harvest"/>
    <s v="B02"/>
    <x v="4"/>
    <s v="Abuja"/>
    <x v="2"/>
    <s v="Member"/>
    <s v="Transfer"/>
    <n v="3"/>
    <n v="14500"/>
    <n v="17500"/>
    <n v="0.2"/>
    <x v="8"/>
    <n v="4"/>
    <n v="52500"/>
    <n v="10500"/>
    <n v="42000"/>
    <n v="43500"/>
    <n v="-1500"/>
    <n v="-3.5714285714285712E-2"/>
    <s v="Understocked"/>
    <s v="Discount loss"/>
    <n v="0.17142857142857143"/>
    <s v="Discount loss"/>
    <n v="3000"/>
    <n v="0.17142857142857143"/>
  </r>
  <r>
    <s v="ORD-12118"/>
    <x v="343"/>
    <s v="P002"/>
    <x v="10"/>
    <s v="Food"/>
    <s v="Grains"/>
    <s v="Mama's Pride"/>
    <s v="B06"/>
    <x v="1"/>
    <s v="Rivers"/>
    <x v="1"/>
    <s v="Member"/>
    <s v="Cash"/>
    <n v="2"/>
    <n v="6200"/>
    <n v="7900"/>
    <n v="0.15"/>
    <x v="9"/>
    <n v="10"/>
    <n v="15800"/>
    <n v="2370"/>
    <n v="13430"/>
    <n v="12400"/>
    <n v="1030"/>
    <n v="7.6693968726731204E-2"/>
    <s v="Healthy"/>
    <s v="Safe"/>
    <n v="0.21518987341772153"/>
    <s v="Safe"/>
    <n v="1700"/>
    <n v="0.21518987341772153"/>
  </r>
  <r>
    <s v="ORD-12119"/>
    <x v="16"/>
    <s v="P023"/>
    <x v="6"/>
    <s v="Office Supplies"/>
    <s v="Stationery"/>
    <s v="StudyPro"/>
    <s v="B03"/>
    <x v="6"/>
    <s v="Lagos"/>
    <x v="4"/>
    <s v="Member"/>
    <s v="POS"/>
    <n v="6"/>
    <n v="2800"/>
    <n v="4200"/>
    <n v="0.05"/>
    <x v="14"/>
    <n v="7"/>
    <n v="25200"/>
    <n v="1260"/>
    <n v="23940"/>
    <n v="16800"/>
    <n v="7140"/>
    <n v="0.2982456140350877"/>
    <s v="Understocked"/>
    <s v="Safe"/>
    <n v="0.33333333333333331"/>
    <s v="Safe"/>
    <n v="1400"/>
    <n v="0.33333333333333331"/>
  </r>
  <r>
    <s v="ORD-12120"/>
    <x v="137"/>
    <s v="P023"/>
    <x v="6"/>
    <s v="Office Supplies"/>
    <s v="Stationery"/>
    <s v="StudyPro"/>
    <s v="B08"/>
    <x v="7"/>
    <s v="Kwara"/>
    <x v="2"/>
    <s v="Walk-in"/>
    <s v="Cash"/>
    <n v="1"/>
    <n v="2800"/>
    <n v="4200"/>
    <n v="0.1"/>
    <x v="15"/>
    <n v="1"/>
    <n v="4200"/>
    <n v="420"/>
    <n v="3780"/>
    <n v="2800"/>
    <n v="980"/>
    <n v="0.25925925925925924"/>
    <s v="Understocked"/>
    <s v="Safe"/>
    <n v="0.33333333333333331"/>
    <s v="Safe"/>
    <n v="1400"/>
    <n v="0.33333333333333331"/>
  </r>
  <r>
    <s v="ORD-12121"/>
    <x v="54"/>
    <s v="P008"/>
    <x v="4"/>
    <s v="Beverages"/>
    <s v="Soft Drinks"/>
    <s v="Sparkle"/>
    <s v="B03"/>
    <x v="6"/>
    <s v="Lagos"/>
    <x v="4"/>
    <s v="Walk-in"/>
    <s v="POS"/>
    <n v="8"/>
    <n v="330"/>
    <n v="550"/>
    <n v="0.05"/>
    <x v="0"/>
    <n v="5"/>
    <n v="4400"/>
    <n v="220"/>
    <n v="4180"/>
    <n v="2640"/>
    <n v="1540"/>
    <n v="0.36842105263157893"/>
    <s v="Healthy"/>
    <s v="Safe"/>
    <n v="0.4"/>
    <s v="Safe"/>
    <n v="220"/>
    <n v="0.4"/>
  </r>
  <r>
    <s v="ORD-12122"/>
    <x v="283"/>
    <s v="P015"/>
    <x v="8"/>
    <s v="Personal Care"/>
    <s v="Bath"/>
    <s v="SilkyTouch"/>
    <s v="B02"/>
    <x v="4"/>
    <s v="Abuja"/>
    <x v="2"/>
    <s v="Walk-in"/>
    <s v="Transfer"/>
    <n v="2"/>
    <n v="600"/>
    <n v="950"/>
    <n v="0"/>
    <x v="6"/>
    <n v="7"/>
    <n v="1900"/>
    <n v="0"/>
    <n v="1900"/>
    <n v="1200"/>
    <n v="700"/>
    <n v="0.36842105263157893"/>
    <s v="Healthy"/>
    <s v="Safe"/>
    <n v="0.36842105263157893"/>
    <s v="Safe"/>
    <n v="350"/>
    <n v="0.36842105263157893"/>
  </r>
  <r>
    <s v="ORD-12123"/>
    <x v="131"/>
    <s v="P015"/>
    <x v="8"/>
    <s v="Personal Care"/>
    <s v="Bath"/>
    <s v="SilkyTouch"/>
    <s v="B07"/>
    <x v="3"/>
    <s v="Enugu"/>
    <x v="3"/>
    <s v="Corporate"/>
    <s v="POS"/>
    <n v="4"/>
    <n v="600"/>
    <n v="950"/>
    <n v="0.1"/>
    <x v="10"/>
    <n v="3"/>
    <n v="3800"/>
    <n v="380"/>
    <n v="3420"/>
    <n v="2400"/>
    <n v="1020"/>
    <n v="0.2982456140350877"/>
    <s v="Healthy"/>
    <s v="Safe"/>
    <n v="0.36842105263157893"/>
    <s v="Safe"/>
    <n v="350"/>
    <n v="0.36842105263157893"/>
  </r>
  <r>
    <s v="ORD-12124"/>
    <x v="185"/>
    <s v="P017"/>
    <x v="23"/>
    <s v="Electronics"/>
    <s v="Accessories"/>
    <s v="PowerMax"/>
    <s v="B03"/>
    <x v="6"/>
    <s v="Lagos"/>
    <x v="4"/>
    <s v="Walk-in"/>
    <s v="Card"/>
    <n v="3"/>
    <n v="7500"/>
    <n v="10500"/>
    <n v="0.15"/>
    <x v="13"/>
    <n v="2"/>
    <n v="31500"/>
    <n v="4725"/>
    <n v="26775"/>
    <n v="22500"/>
    <n v="4275"/>
    <n v="0.15966386554621848"/>
    <s v="Healthy"/>
    <s v="Safe"/>
    <n v="0.2857142857142857"/>
    <s v="Safe"/>
    <n v="3000"/>
    <n v="0.2857142857142857"/>
  </r>
  <r>
    <s v="ORD-12125"/>
    <x v="17"/>
    <s v="P019"/>
    <x v="18"/>
    <s v="Electronics"/>
    <s v="Audio"/>
    <s v="SoundBeat"/>
    <s v="B06"/>
    <x v="1"/>
    <s v="Rivers"/>
    <x v="1"/>
    <s v="Walk-in"/>
    <s v="Transfer"/>
    <n v="3"/>
    <n v="12500"/>
    <n v="18500"/>
    <n v="0.15"/>
    <x v="13"/>
    <n v="5"/>
    <n v="55500"/>
    <n v="8325"/>
    <n v="47175"/>
    <n v="37500"/>
    <n v="9675"/>
    <n v="0.20508744038155802"/>
    <s v="Understocked"/>
    <s v="Safe"/>
    <n v="0.32432432432432434"/>
    <s v="Safe"/>
    <n v="6000"/>
    <n v="0.32432432432432434"/>
  </r>
  <r>
    <s v="ORD-12126"/>
    <x v="12"/>
    <s v="P013"/>
    <x v="11"/>
    <s v="Personal Care"/>
    <s v="Skin Care"/>
    <s v="GlowPlus"/>
    <s v="B03"/>
    <x v="6"/>
    <s v="Lagos"/>
    <x v="4"/>
    <s v="Walk-in"/>
    <s v="Cash"/>
    <n v="3"/>
    <n v="3500"/>
    <n v="5200"/>
    <n v="0.1"/>
    <x v="11"/>
    <n v="14"/>
    <n v="15600"/>
    <n v="1560"/>
    <n v="14040"/>
    <n v="10500"/>
    <n v="3540"/>
    <n v="0.25213675213675213"/>
    <s v="Healthy"/>
    <s v="Safe"/>
    <n v="0.32692307692307693"/>
    <s v="Safe"/>
    <n v="1700"/>
    <n v="0.32692307692307693"/>
  </r>
  <r>
    <s v="ORD-12127"/>
    <x v="52"/>
    <s v="P017"/>
    <x v="23"/>
    <s v="Electronics"/>
    <s v="Accessories"/>
    <s v="PowerMax"/>
    <s v="B06"/>
    <x v="1"/>
    <s v="Rivers"/>
    <x v="1"/>
    <s v="Walk-in"/>
    <s v="Transfer"/>
    <n v="1"/>
    <n v="7500"/>
    <n v="10500"/>
    <n v="0.1"/>
    <x v="12"/>
    <n v="2"/>
    <n v="10500"/>
    <n v="1050"/>
    <n v="9450"/>
    <n v="7500"/>
    <n v="1950"/>
    <n v="0.20634920634920634"/>
    <s v="Healthy"/>
    <s v="Safe"/>
    <n v="0.2857142857142857"/>
    <s v="Safe"/>
    <n v="3000"/>
    <n v="0.2857142857142857"/>
  </r>
  <r>
    <s v="ORD-12128"/>
    <x v="160"/>
    <s v="P010"/>
    <x v="22"/>
    <s v="Household"/>
    <s v="Paper Products"/>
    <s v="SoftCare"/>
    <s v="B03"/>
    <x v="6"/>
    <s v="Lagos"/>
    <x v="4"/>
    <s v="Walk-in"/>
    <s v="Card"/>
    <n v="4"/>
    <n v="3200"/>
    <n v="4500"/>
    <n v="0.2"/>
    <x v="10"/>
    <n v="5"/>
    <n v="18000"/>
    <n v="3600"/>
    <n v="14400"/>
    <n v="12800"/>
    <n v="1600"/>
    <n v="0.1111111111111111"/>
    <s v="Healthy"/>
    <s v="Safe"/>
    <n v="0.28888888888888886"/>
    <s v="Safe"/>
    <n v="1300"/>
    <n v="0.28888888888888886"/>
  </r>
  <r>
    <s v="ORD-12129"/>
    <x v="323"/>
    <s v="P001"/>
    <x v="14"/>
    <s v="Food"/>
    <s v="Grains"/>
    <s v="Golden Harvest"/>
    <s v="B03"/>
    <x v="6"/>
    <s v="Lagos"/>
    <x v="4"/>
    <s v="Walk-in"/>
    <s v="POS"/>
    <n v="2"/>
    <n v="14500"/>
    <n v="17500"/>
    <n v="0"/>
    <x v="8"/>
    <n v="4"/>
    <n v="35000"/>
    <n v="0"/>
    <n v="35000"/>
    <n v="29000"/>
    <n v="6000"/>
    <n v="0.17142857142857143"/>
    <s v="Understocked"/>
    <s v="Safe"/>
    <n v="0.17142857142857143"/>
    <s v="Safe"/>
    <n v="3000"/>
    <n v="0.17142857142857143"/>
  </r>
  <r>
    <s v="ORD-12130"/>
    <x v="267"/>
    <s v="P020"/>
    <x v="5"/>
    <s v="Electronics"/>
    <s v="Lighting"/>
    <s v="Luma"/>
    <s v="B08"/>
    <x v="7"/>
    <s v="Kwara"/>
    <x v="2"/>
    <s v="Walk-in"/>
    <s v="Card"/>
    <n v="1"/>
    <n v="1500"/>
    <n v="2500"/>
    <n v="0"/>
    <x v="4"/>
    <n v="1"/>
    <n v="2500"/>
    <n v="0"/>
    <n v="2500"/>
    <n v="1500"/>
    <n v="1000"/>
    <n v="0.4"/>
    <s v="Healthy"/>
    <s v="Safe"/>
    <n v="0.4"/>
    <s v="Safe"/>
    <n v="1000"/>
    <n v="0.4"/>
  </r>
  <r>
    <s v="ORD-12131"/>
    <x v="217"/>
    <s v="P014"/>
    <x v="15"/>
    <s v="Personal Care"/>
    <s v="Oral Care"/>
    <s v="FreshMint"/>
    <s v="B02"/>
    <x v="4"/>
    <s v="Abuja"/>
    <x v="2"/>
    <s v="Member"/>
    <s v="POS"/>
    <n v="6"/>
    <n v="1200"/>
    <n v="1900"/>
    <n v="0.15"/>
    <x v="11"/>
    <n v="8"/>
    <n v="11400"/>
    <n v="1710"/>
    <n v="9690"/>
    <n v="7200"/>
    <n v="2490"/>
    <n v="0.25696594427244585"/>
    <s v="Healthy"/>
    <s v="Safe"/>
    <n v="0.36842105263157893"/>
    <s v="Safe"/>
    <n v="700"/>
    <n v="0.36842105263157893"/>
  </r>
  <r>
    <s v="ORD-12132"/>
    <x v="257"/>
    <s v="P006"/>
    <x v="0"/>
    <s v="Beverages"/>
    <s v="Water"/>
    <s v="AquaPure"/>
    <s v="B03"/>
    <x v="6"/>
    <s v="Lagos"/>
    <x v="4"/>
    <s v="Walk-in"/>
    <s v="POS"/>
    <n v="1"/>
    <n v="230"/>
    <n v="400"/>
    <n v="0.1"/>
    <x v="0"/>
    <n v="5"/>
    <n v="400"/>
    <n v="40"/>
    <n v="360"/>
    <n v="230"/>
    <n v="130"/>
    <n v="0.3611111111111111"/>
    <s v="Understocked"/>
    <s v="Safe"/>
    <n v="0.42499999999999999"/>
    <s v="Safe"/>
    <n v="170"/>
    <n v="0.42499999999999999"/>
  </r>
  <r>
    <s v="ORD-12133"/>
    <x v="279"/>
    <s v="P004"/>
    <x v="1"/>
    <s v="Beverages"/>
    <s v="Dairy"/>
    <s v="FreshDay"/>
    <s v="B03"/>
    <x v="6"/>
    <s v="Lagos"/>
    <x v="4"/>
    <s v="Member"/>
    <s v="Cash"/>
    <n v="5"/>
    <n v="1650"/>
    <n v="2200"/>
    <n v="0.15"/>
    <x v="2"/>
    <n v="12"/>
    <n v="11000"/>
    <n v="1650"/>
    <n v="9350"/>
    <n v="8250"/>
    <n v="1100"/>
    <n v="0.11764705882352941"/>
    <s v="Understocked"/>
    <s v="Safe"/>
    <n v="0.25"/>
    <s v="Safe"/>
    <n v="550"/>
    <n v="0.25"/>
  </r>
  <r>
    <s v="ORD-12134"/>
    <x v="15"/>
    <s v="P023"/>
    <x v="6"/>
    <s v="Office Supplies"/>
    <s v="Stationery"/>
    <s v="StudyPro"/>
    <s v="B08"/>
    <x v="7"/>
    <s v="Kwara"/>
    <x v="2"/>
    <s v="Corporate"/>
    <s v="Cash"/>
    <n v="1"/>
    <n v="2800"/>
    <n v="4200"/>
    <n v="0"/>
    <x v="5"/>
    <n v="12"/>
    <n v="4200"/>
    <n v="0"/>
    <n v="4200"/>
    <n v="2800"/>
    <n v="1400"/>
    <n v="0.33333333333333331"/>
    <s v="Understocked"/>
    <s v="Safe"/>
    <n v="0.33333333333333331"/>
    <s v="Safe"/>
    <n v="1400"/>
    <n v="0.33333333333333331"/>
  </r>
  <r>
    <s v="ORD-12135"/>
    <x v="347"/>
    <s v="P015"/>
    <x v="8"/>
    <s v="Personal Care"/>
    <s v="Bath"/>
    <s v="SilkyTouch"/>
    <s v="B08"/>
    <x v="7"/>
    <s v="Kwara"/>
    <x v="2"/>
    <s v="Walk-in"/>
    <s v="Cash"/>
    <n v="6"/>
    <n v="600"/>
    <n v="950"/>
    <n v="0.1"/>
    <x v="6"/>
    <n v="8"/>
    <n v="5700"/>
    <n v="570"/>
    <n v="5130"/>
    <n v="3600"/>
    <n v="1530"/>
    <n v="0.2982456140350877"/>
    <s v="Healthy"/>
    <s v="Safe"/>
    <n v="0.36842105263157893"/>
    <s v="Safe"/>
    <n v="350"/>
    <n v="0.36842105263157893"/>
  </r>
  <r>
    <s v="ORD-12136"/>
    <x v="81"/>
    <s v="P004"/>
    <x v="1"/>
    <s v="Beverages"/>
    <s v="Dairy"/>
    <s v="FreshDay"/>
    <s v="B01"/>
    <x v="2"/>
    <s v="Abuja"/>
    <x v="2"/>
    <s v="Member"/>
    <s v="Cash"/>
    <n v="5"/>
    <n v="1650"/>
    <n v="2200"/>
    <n v="0.1"/>
    <x v="3"/>
    <n v="2"/>
    <n v="11000"/>
    <n v="1100"/>
    <n v="9900"/>
    <n v="8250"/>
    <n v="1650"/>
    <n v="0.16666666666666666"/>
    <s v="Understocked"/>
    <s v="Safe"/>
    <n v="0.25"/>
    <s v="Safe"/>
    <n v="550"/>
    <n v="0.25"/>
  </r>
  <r>
    <s v="ORD-12137"/>
    <x v="259"/>
    <s v="P001"/>
    <x v="14"/>
    <s v="Food"/>
    <s v="Grains"/>
    <s v="Golden Harvest"/>
    <s v="B02"/>
    <x v="4"/>
    <s v="Abuja"/>
    <x v="2"/>
    <s v="Member"/>
    <s v="Card"/>
    <n v="2"/>
    <n v="14500"/>
    <n v="17500"/>
    <n v="0.05"/>
    <x v="8"/>
    <n v="1"/>
    <n v="35000"/>
    <n v="1750"/>
    <n v="33250"/>
    <n v="29000"/>
    <n v="4250"/>
    <n v="0.12781954887218044"/>
    <s v="Understocked"/>
    <s v="Safe"/>
    <n v="0.17142857142857143"/>
    <s v="Safe"/>
    <n v="3000"/>
    <n v="0.17142857142857143"/>
  </r>
  <r>
    <s v="ORD-12138"/>
    <x v="311"/>
    <s v="P008"/>
    <x v="4"/>
    <s v="Beverages"/>
    <s v="Soft Drinks"/>
    <s v="Sparkle"/>
    <s v="B05"/>
    <x v="0"/>
    <s v="Kano"/>
    <x v="0"/>
    <s v="Member"/>
    <s v="Cash"/>
    <n v="1"/>
    <n v="330"/>
    <n v="550"/>
    <n v="0.2"/>
    <x v="2"/>
    <n v="13"/>
    <n v="550"/>
    <n v="110"/>
    <n v="440"/>
    <n v="330"/>
    <n v="110"/>
    <n v="0.25"/>
    <s v="Healthy"/>
    <s v="Safe"/>
    <n v="0.4"/>
    <s v="Safe"/>
    <n v="220"/>
    <n v="0.4"/>
  </r>
  <r>
    <s v="ORD-12139"/>
    <x v="112"/>
    <s v="P021"/>
    <x v="20"/>
    <s v="Office Supplies"/>
    <s v="Paper"/>
    <s v="OfficeMate"/>
    <s v="B03"/>
    <x v="6"/>
    <s v="Lagos"/>
    <x v="4"/>
    <s v="Walk-in"/>
    <s v="POS"/>
    <n v="-1"/>
    <n v="5200"/>
    <n v="7000"/>
    <n v="0.15"/>
    <x v="5"/>
    <n v="1"/>
    <n v="-7000"/>
    <n v="-1050"/>
    <n v="-5950"/>
    <n v="-5200"/>
    <n v="-750"/>
    <n v="0.12605042016806722"/>
    <s v="Overstocked"/>
    <s v="Discount loss"/>
    <n v="0.25714285714285712"/>
    <s v="Safe"/>
    <n v="1800"/>
    <n v="0.25714285714285712"/>
  </r>
  <r>
    <s v="ORD-12140"/>
    <x v="218"/>
    <s v="P012"/>
    <x v="21"/>
    <s v="Household"/>
    <s v="Home Care"/>
    <s v="HomeFresh"/>
    <s v="B01"/>
    <x v="2"/>
    <s v="Abuja"/>
    <x v="2"/>
    <s v="Walk-in"/>
    <s v="POS"/>
    <n v="1"/>
    <n v="1700"/>
    <n v="2600"/>
    <n v="0"/>
    <x v="7"/>
    <n v="1"/>
    <n v="2600"/>
    <n v="0"/>
    <n v="2600"/>
    <n v="1700"/>
    <n v="900"/>
    <n v="0.34615384615384615"/>
    <s v="Overstocked"/>
    <s v="Safe"/>
    <n v="0.34615384615384615"/>
    <s v="Safe"/>
    <n v="900"/>
    <n v="0.34615384615384615"/>
  </r>
  <r>
    <s v="ORD-12141"/>
    <x v="279"/>
    <s v="P013"/>
    <x v="11"/>
    <s v="Personal Care"/>
    <s v="Skin Care"/>
    <s v="GlowPlus"/>
    <s v="B01"/>
    <x v="2"/>
    <s v="Abuja"/>
    <x v="2"/>
    <s v="Walk-in"/>
    <s v="Cash"/>
    <n v="4"/>
    <n v="3500"/>
    <n v="5200"/>
    <n v="0"/>
    <x v="6"/>
    <n v="4"/>
    <n v="20800"/>
    <n v="0"/>
    <n v="20800"/>
    <n v="14000"/>
    <n v="6800"/>
    <n v="0.32692307692307693"/>
    <s v="Healthy"/>
    <s v="Safe"/>
    <n v="0.32692307692307693"/>
    <s v="Safe"/>
    <n v="1700"/>
    <n v="0.32692307692307693"/>
  </r>
  <r>
    <s v="ORD-12142"/>
    <x v="0"/>
    <s v="P010"/>
    <x v="22"/>
    <s v="Household"/>
    <s v="Paper Products"/>
    <s v="SoftCare"/>
    <s v="B06"/>
    <x v="1"/>
    <s v="Rivers"/>
    <x v="1"/>
    <s v="Walk-in"/>
    <s v="Cash"/>
    <n v="3"/>
    <n v="3200"/>
    <n v="4500"/>
    <n v="0"/>
    <x v="7"/>
    <n v="1"/>
    <n v="13500"/>
    <n v="0"/>
    <n v="13500"/>
    <n v="9600"/>
    <n v="3900"/>
    <n v="0.28888888888888886"/>
    <s v="Healthy"/>
    <s v="Safe"/>
    <n v="0.28888888888888886"/>
    <s v="Safe"/>
    <n v="1300"/>
    <n v="0.28888888888888886"/>
  </r>
  <r>
    <s v="ORD-12143"/>
    <x v="356"/>
    <s v="P006"/>
    <x v="0"/>
    <s v="Beverages"/>
    <s v="Water"/>
    <s v="AquaPure"/>
    <s v="B07"/>
    <x v="3"/>
    <s v="Enugu"/>
    <x v="3"/>
    <s v="Member"/>
    <s v="POS"/>
    <n v="5"/>
    <n v="230"/>
    <n v="400"/>
    <n v="0.1"/>
    <x v="3"/>
    <n v="10"/>
    <n v="2000"/>
    <n v="200"/>
    <n v="1800"/>
    <n v="1150"/>
    <n v="650"/>
    <n v="0.3611111111111111"/>
    <s v="Understocked"/>
    <s v="Safe"/>
    <n v="0.42499999999999999"/>
    <s v="Safe"/>
    <n v="170"/>
    <n v="0.42499999999999999"/>
  </r>
  <r>
    <s v="ORD-12144"/>
    <x v="201"/>
    <s v="P008"/>
    <x v="4"/>
    <s v="Beverages"/>
    <s v="Soft Drinks"/>
    <s v="Sparkle"/>
    <s v="B01"/>
    <x v="2"/>
    <s v="Abuja"/>
    <x v="2"/>
    <s v="Walk-in"/>
    <s v="POS"/>
    <n v="2"/>
    <n v="330"/>
    <n v="550"/>
    <n v="0"/>
    <x v="3"/>
    <n v="13"/>
    <n v="1100"/>
    <n v="0"/>
    <n v="1100"/>
    <n v="660"/>
    <n v="440"/>
    <n v="0.4"/>
    <s v="Healthy"/>
    <s v="Safe"/>
    <n v="0.4"/>
    <s v="Safe"/>
    <n v="220"/>
    <n v="0.4"/>
  </r>
  <r>
    <s v="ORD-12145"/>
    <x v="274"/>
    <s v="P004"/>
    <x v="1"/>
    <s v="Beverages"/>
    <s v="Dairy"/>
    <s v="FreshDay"/>
    <s v="B02"/>
    <x v="4"/>
    <s v="Abuja"/>
    <x v="2"/>
    <s v="Walk-in"/>
    <s v="Card"/>
    <n v="3"/>
    <n v="1650"/>
    <n v="2200"/>
    <n v="0"/>
    <x v="0"/>
    <n v="5"/>
    <n v="6600"/>
    <n v="0"/>
    <n v="6600"/>
    <n v="4950"/>
    <n v="1650"/>
    <n v="0.25"/>
    <s v="Understocked"/>
    <s v="Safe"/>
    <n v="0.25"/>
    <s v="Safe"/>
    <n v="550"/>
    <n v="0.25"/>
  </r>
  <r>
    <s v="ORD-12146"/>
    <x v="211"/>
    <s v="P023"/>
    <x v="6"/>
    <s v="Office Supplies"/>
    <s v="Stationery"/>
    <s v="StudyPro"/>
    <s v="B07"/>
    <x v="3"/>
    <s v="Enugu"/>
    <x v="3"/>
    <s v="Walk-in"/>
    <s v="POS"/>
    <n v="4"/>
    <n v="2800"/>
    <n v="4200"/>
    <n v="0"/>
    <x v="14"/>
    <n v="13"/>
    <n v="16800"/>
    <n v="0"/>
    <n v="16800"/>
    <n v="11200"/>
    <n v="5600"/>
    <n v="0.33333333333333331"/>
    <s v="Understocked"/>
    <s v="Safe"/>
    <n v="0.33333333333333331"/>
    <s v="Safe"/>
    <n v="1400"/>
    <n v="0.33333333333333331"/>
  </r>
  <r>
    <s v="ORD-12147"/>
    <x v="184"/>
    <s v="P007"/>
    <x v="3"/>
    <s v="Beverages"/>
    <s v="Malt"/>
    <s v="Naija Malt"/>
    <s v="B01"/>
    <x v="2"/>
    <s v="Abuja"/>
    <x v="2"/>
    <s v="Member"/>
    <s v="Card"/>
    <n v="4"/>
    <n v="550"/>
    <n v="850"/>
    <n v="0.05"/>
    <x v="3"/>
    <n v="3"/>
    <n v="3400"/>
    <n v="170"/>
    <n v="3230"/>
    <n v="2200"/>
    <n v="1030"/>
    <n v="0.31888544891640869"/>
    <s v="Healthy"/>
    <s v="Safe"/>
    <n v="0.35294117647058826"/>
    <s v="Safe"/>
    <n v="300"/>
    <n v="0.35294117647058826"/>
  </r>
  <r>
    <s v="ORD-12148"/>
    <x v="151"/>
    <s v="P014"/>
    <x v="15"/>
    <s v="Personal Care"/>
    <s v="Oral Care"/>
    <s v="FreshMint"/>
    <s v="B05"/>
    <x v="0"/>
    <s v="Kano"/>
    <x v="0"/>
    <s v="Corporate"/>
    <s v="POS"/>
    <n v="2"/>
    <n v="1200"/>
    <n v="1900"/>
    <n v="0.1"/>
    <x v="11"/>
    <n v="6"/>
    <n v="3800"/>
    <n v="380"/>
    <n v="3420"/>
    <n v="2400"/>
    <n v="1020"/>
    <n v="0.2982456140350877"/>
    <s v="Healthy"/>
    <s v="Safe"/>
    <n v="0.36842105263157893"/>
    <s v="Safe"/>
    <n v="700"/>
    <n v="0.36842105263157893"/>
  </r>
  <r>
    <s v="ORD-12149"/>
    <x v="193"/>
    <s v="P011"/>
    <x v="9"/>
    <s v="Household"/>
    <s v="Cleaning"/>
    <s v="CleanPro"/>
    <s v="B03"/>
    <x v="6"/>
    <s v="Lagos"/>
    <x v="4"/>
    <s v="Walk-in"/>
    <s v="POS"/>
    <n v="2"/>
    <n v="2800"/>
    <n v="3900"/>
    <n v="0"/>
    <x v="10"/>
    <n v="9"/>
    <n v="7800"/>
    <n v="0"/>
    <n v="7800"/>
    <n v="5600"/>
    <n v="2200"/>
    <n v="0.28205128205128205"/>
    <s v="Healthy"/>
    <s v="Safe"/>
    <n v="0.28205128205128205"/>
    <s v="Safe"/>
    <n v="1100"/>
    <n v="0.28205128205128205"/>
  </r>
  <r>
    <s v="ORD-12150"/>
    <x v="307"/>
    <s v="P004"/>
    <x v="1"/>
    <s v="Beverages"/>
    <s v="Dairy"/>
    <s v="FreshDay"/>
    <s v="B03"/>
    <x v="6"/>
    <s v="Lagos"/>
    <x v="4"/>
    <s v="Member"/>
    <s v="POS"/>
    <n v="6"/>
    <n v="1650"/>
    <n v="2200"/>
    <n v="0.2"/>
    <x v="0"/>
    <n v="7"/>
    <n v="13200"/>
    <n v="2640"/>
    <n v="10560"/>
    <n v="9900"/>
    <n v="660"/>
    <n v="6.25E-2"/>
    <s v="Understocked"/>
    <s v="Safe"/>
    <n v="0.25"/>
    <s v="Safe"/>
    <n v="550"/>
    <n v="0.25"/>
  </r>
  <r>
    <s v="ORD-12151"/>
    <x v="241"/>
    <s v="P008"/>
    <x v="4"/>
    <s v="Beverages"/>
    <s v="Soft Drinks"/>
    <s v="Sparkle"/>
    <s v="B07"/>
    <x v="3"/>
    <s v="Enugu"/>
    <x v="3"/>
    <s v="Walk-in"/>
    <s v="Transfer"/>
    <n v="10"/>
    <n v="330"/>
    <n v="550"/>
    <n v="0.1"/>
    <x v="3"/>
    <n v="1"/>
    <n v="5500"/>
    <n v="550"/>
    <n v="4950"/>
    <n v="3300"/>
    <n v="1650"/>
    <n v="0.33333333333333331"/>
    <s v="Healthy"/>
    <s v="Safe"/>
    <n v="0.4"/>
    <s v="Safe"/>
    <n v="220"/>
    <n v="0.4"/>
  </r>
  <r>
    <s v="ORD-12152"/>
    <x v="179"/>
    <s v="P006"/>
    <x v="0"/>
    <s v="Beverages"/>
    <s v="Water"/>
    <s v="AquaPure"/>
    <s v="B03"/>
    <x v="6"/>
    <s v="Lagos"/>
    <x v="4"/>
    <s v="Member"/>
    <s v="POS"/>
    <n v="3"/>
    <n v="230"/>
    <n v="400"/>
    <n v="0"/>
    <x v="3"/>
    <n v="10"/>
    <n v="1200"/>
    <n v="0"/>
    <n v="1200"/>
    <n v="690"/>
    <n v="510"/>
    <n v="0.42499999999999999"/>
    <s v="Understocked"/>
    <s v="Safe"/>
    <n v="0.42499999999999999"/>
    <s v="Safe"/>
    <n v="170"/>
    <n v="0.42499999999999999"/>
  </r>
  <r>
    <s v="ORD-12153"/>
    <x v="260"/>
    <s v="P008"/>
    <x v="4"/>
    <s v="Beverages"/>
    <s v="Soft Drinks"/>
    <s v="Sparkle"/>
    <s v="B05"/>
    <x v="0"/>
    <s v="Kano"/>
    <x v="0"/>
    <s v="Walk-in"/>
    <s v="Cash"/>
    <n v="3"/>
    <n v="330"/>
    <n v="550"/>
    <n v="0"/>
    <x v="0"/>
    <n v="12"/>
    <n v="1650"/>
    <n v="0"/>
    <n v="1650"/>
    <n v="990"/>
    <n v="660"/>
    <n v="0.4"/>
    <s v="Healthy"/>
    <s v="Safe"/>
    <n v="0.4"/>
    <s v="Safe"/>
    <n v="220"/>
    <n v="0.4"/>
  </r>
  <r>
    <s v="ORD-12154"/>
    <x v="283"/>
    <s v="P022"/>
    <x v="17"/>
    <s v="Office Supplies"/>
    <s v="Writing"/>
    <s v="WriteWell"/>
    <s v="B06"/>
    <x v="1"/>
    <s v="Rivers"/>
    <x v="1"/>
    <s v="Member"/>
    <s v="POS"/>
    <n v="8"/>
    <n v="1300"/>
    <n v="2100"/>
    <n v="0"/>
    <x v="15"/>
    <n v="14"/>
    <n v="16800"/>
    <n v="0"/>
    <n v="16800"/>
    <n v="10400"/>
    <n v="6400"/>
    <n v="0.38095238095238093"/>
    <s v="Understocked"/>
    <s v="Safe"/>
    <n v="0.38095238095238093"/>
    <s v="Safe"/>
    <n v="800"/>
    <n v="0.38095238095238093"/>
  </r>
  <r>
    <s v="ORD-12155"/>
    <x v="256"/>
    <s v="P023"/>
    <x v="6"/>
    <s v="Office Supplies"/>
    <s v="Stationery"/>
    <s v="StudyPro"/>
    <s v="B03"/>
    <x v="6"/>
    <s v="Lagos"/>
    <x v="4"/>
    <s v="Walk-in"/>
    <s v="POS"/>
    <n v="2"/>
    <n v="2800"/>
    <n v="4200"/>
    <n v="0.05"/>
    <x v="5"/>
    <n v="3"/>
    <n v="8400"/>
    <n v="420"/>
    <n v="7980"/>
    <n v="5600"/>
    <n v="2380"/>
    <n v="0.2982456140350877"/>
    <s v="Understocked"/>
    <s v="Safe"/>
    <n v="0.33333333333333331"/>
    <s v="Safe"/>
    <n v="1400"/>
    <n v="0.33333333333333331"/>
  </r>
  <r>
    <s v="ORD-12156"/>
    <x v="101"/>
    <s v="P023"/>
    <x v="6"/>
    <s v="Office Supplies"/>
    <s v="Stationery"/>
    <s v="StudyPro"/>
    <s v="B03"/>
    <x v="6"/>
    <s v="Lagos"/>
    <x v="4"/>
    <s v="Member"/>
    <s v="Cash"/>
    <n v="2"/>
    <n v="2800"/>
    <n v="4200"/>
    <n v="0"/>
    <x v="15"/>
    <n v="3"/>
    <n v="8400"/>
    <n v="0"/>
    <n v="8400"/>
    <n v="5600"/>
    <n v="2800"/>
    <n v="0.33333333333333331"/>
    <s v="Understocked"/>
    <s v="Safe"/>
    <n v="0.33333333333333331"/>
    <s v="Safe"/>
    <n v="1400"/>
    <n v="0.33333333333333331"/>
  </r>
  <r>
    <s v="ORD-12157"/>
    <x v="60"/>
    <s v="P014"/>
    <x v="15"/>
    <s v="Personal Care"/>
    <s v="Oral Care"/>
    <s v="FreshMint"/>
    <s v="B06"/>
    <x v="1"/>
    <s v="Rivers"/>
    <x v="1"/>
    <s v="Walk-in"/>
    <s v="POS"/>
    <n v="6"/>
    <n v="1200"/>
    <n v="1900"/>
    <n v="0.05"/>
    <x v="6"/>
    <n v="1"/>
    <n v="11400"/>
    <n v="570"/>
    <n v="10830"/>
    <n v="7200"/>
    <n v="3630"/>
    <n v="0.33518005540166207"/>
    <s v="Healthy"/>
    <s v="Safe"/>
    <n v="0.36842105263157893"/>
    <s v="Safe"/>
    <n v="700"/>
    <n v="0.36842105263157893"/>
  </r>
  <r>
    <s v="ORD-12158"/>
    <x v="120"/>
    <s v="P010"/>
    <x v="22"/>
    <s v="Household"/>
    <s v="Paper Products"/>
    <s v="SoftCare"/>
    <s v="B03"/>
    <x v="6"/>
    <s v="Lagos"/>
    <x v="4"/>
    <s v="Corporate"/>
    <s v="Transfer"/>
    <n v="5"/>
    <n v="3200"/>
    <n v="4500"/>
    <n v="0.1"/>
    <x v="1"/>
    <n v="2"/>
    <n v="22500"/>
    <n v="2250"/>
    <n v="20250"/>
    <n v="16000"/>
    <n v="4250"/>
    <n v="0.20987654320987653"/>
    <s v="Healthy"/>
    <s v="Safe"/>
    <n v="0.28888888888888886"/>
    <s v="Safe"/>
    <n v="1300"/>
    <n v="0.28888888888888886"/>
  </r>
  <r>
    <s v="ORD-12159"/>
    <x v="163"/>
    <s v="P009"/>
    <x v="13"/>
    <s v="Household"/>
    <s v="Cleaning"/>
    <s v="BrightWash"/>
    <s v="B04"/>
    <x v="5"/>
    <s v="Lagos"/>
    <x v="4"/>
    <s v="Walk-in"/>
    <s v="Cash"/>
    <n v="5"/>
    <n v="2400"/>
    <n v="3400"/>
    <n v="0.2"/>
    <x v="7"/>
    <n v="1"/>
    <n v="17000"/>
    <n v="3400"/>
    <n v="13600"/>
    <n v="12000"/>
    <n v="1600"/>
    <n v="0.11764705882352941"/>
    <s v="Healthy"/>
    <s v="Safe"/>
    <n v="0.29411764705882354"/>
    <s v="Safe"/>
    <n v="1000"/>
    <n v="0.29411764705882354"/>
  </r>
  <r>
    <s v="ORD-12160"/>
    <x v="204"/>
    <s v="P007"/>
    <x v="3"/>
    <s v="Beverages"/>
    <s v="Malt"/>
    <s v="Naija Malt"/>
    <s v="B06"/>
    <x v="1"/>
    <s v="Rivers"/>
    <x v="1"/>
    <s v="Walk-in"/>
    <s v="Transfer"/>
    <n v="3"/>
    <n v="550"/>
    <n v="850"/>
    <n v="0.15"/>
    <x v="2"/>
    <n v="12"/>
    <n v="2550"/>
    <n v="382.5"/>
    <n v="2167.5"/>
    <n v="1650"/>
    <n v="517.5"/>
    <n v="0.23875432525951557"/>
    <s v="Healthy"/>
    <s v="Safe"/>
    <n v="0.35294117647058826"/>
    <s v="Safe"/>
    <n v="300"/>
    <n v="0.35294117647058826"/>
  </r>
  <r>
    <s v="ORD-12161"/>
    <x v="69"/>
    <s v="P009"/>
    <x v="13"/>
    <s v="Household"/>
    <s v="Cleaning"/>
    <s v="BrightWash"/>
    <s v="B06"/>
    <x v="1"/>
    <s v="Rivers"/>
    <x v="1"/>
    <s v="Member"/>
    <s v="Transfer"/>
    <n v="4"/>
    <n v="2400"/>
    <n v="3400"/>
    <n v="0.1"/>
    <x v="1"/>
    <n v="13"/>
    <n v="13600"/>
    <n v="1360"/>
    <n v="12240"/>
    <n v="9600"/>
    <n v="2640"/>
    <n v="0.21568627450980393"/>
    <s v="Healthy"/>
    <s v="Safe"/>
    <n v="0.29411764705882354"/>
    <s v="Safe"/>
    <n v="1000"/>
    <n v="0.29411764705882354"/>
  </r>
  <r>
    <s v="ORD-12162"/>
    <x v="144"/>
    <s v="P010"/>
    <x v="22"/>
    <s v="Household"/>
    <s v="Paper Products"/>
    <s v="SoftCare"/>
    <s v="B07"/>
    <x v="3"/>
    <s v="Enugu"/>
    <x v="3"/>
    <s v="Member"/>
    <s v="Transfer"/>
    <n v="1"/>
    <n v="3200"/>
    <n v="4500"/>
    <n v="0.15"/>
    <x v="10"/>
    <n v="7"/>
    <n v="4500"/>
    <n v="675"/>
    <n v="3825"/>
    <n v="3200"/>
    <n v="625"/>
    <n v="0.16339869281045752"/>
    <s v="Healthy"/>
    <s v="Safe"/>
    <n v="0.28888888888888886"/>
    <s v="Safe"/>
    <n v="1300"/>
    <n v="0.28888888888888886"/>
  </r>
  <r>
    <s v="ORD-12163"/>
    <x v="207"/>
    <s v="P001"/>
    <x v="14"/>
    <s v="Food"/>
    <s v="Grains"/>
    <s v="Golden Harvest"/>
    <s v="B04"/>
    <x v="5"/>
    <s v="Lagos"/>
    <x v="4"/>
    <s v="Walk-in"/>
    <s v="Card"/>
    <n v="5"/>
    <n v="14500"/>
    <n v="17500"/>
    <n v="0.1"/>
    <x v="8"/>
    <n v="2"/>
    <n v="87500"/>
    <n v="8750"/>
    <n v="78750"/>
    <n v="72500"/>
    <n v="6250"/>
    <n v="7.9365079365079361E-2"/>
    <s v="Understocked"/>
    <s v="Safe"/>
    <n v="0.17142857142857143"/>
    <s v="Safe"/>
    <n v="3000"/>
    <n v="0.17142857142857143"/>
  </r>
  <r>
    <s v="ORD-12164"/>
    <x v="203"/>
    <s v="P023"/>
    <x v="6"/>
    <s v="Office Supplies"/>
    <s v="Stationery"/>
    <s v="StudyPro"/>
    <s v="B01"/>
    <x v="2"/>
    <s v="Abuja"/>
    <x v="2"/>
    <s v="Walk-in"/>
    <s v="POS"/>
    <n v="1"/>
    <n v="2800"/>
    <n v="4200"/>
    <n v="0.15"/>
    <x v="5"/>
    <n v="11"/>
    <n v="4200"/>
    <n v="630"/>
    <n v="3570"/>
    <n v="2800"/>
    <n v="770"/>
    <n v="0.21568627450980393"/>
    <s v="Understocked"/>
    <s v="Safe"/>
    <n v="0.33333333333333331"/>
    <s v="Safe"/>
    <n v="1400"/>
    <n v="0.33333333333333331"/>
  </r>
  <r>
    <s v="ORD-12165"/>
    <x v="221"/>
    <s v="P006"/>
    <x v="0"/>
    <s v="Beverages"/>
    <s v="Water"/>
    <s v="AquaPure"/>
    <s v="B02"/>
    <x v="4"/>
    <s v="Abuja"/>
    <x v="2"/>
    <s v="Walk-in"/>
    <s v="Cash"/>
    <n v="3"/>
    <n v="230"/>
    <n v="400"/>
    <n v="0.15"/>
    <x v="0"/>
    <n v="5"/>
    <n v="1200"/>
    <n v="180"/>
    <n v="1020"/>
    <n v="690"/>
    <n v="330"/>
    <n v="0.3235294117647059"/>
    <s v="Understocked"/>
    <s v="Safe"/>
    <n v="0.42499999999999999"/>
    <s v="Safe"/>
    <n v="170"/>
    <n v="0.42499999999999999"/>
  </r>
  <r>
    <s v="ORD-12166"/>
    <x v="36"/>
    <s v="P001"/>
    <x v="14"/>
    <s v="Food"/>
    <s v="Grains"/>
    <s v="Golden Harvest"/>
    <s v="B03"/>
    <x v="6"/>
    <s v="Lagos"/>
    <x v="4"/>
    <s v="Walk-in"/>
    <s v="Cash"/>
    <n v="2"/>
    <n v="14500"/>
    <n v="17500"/>
    <n v="0"/>
    <x v="8"/>
    <n v="7"/>
    <n v="35000"/>
    <n v="0"/>
    <n v="35000"/>
    <n v="29000"/>
    <n v="6000"/>
    <n v="0.17142857142857143"/>
    <s v="Understocked"/>
    <s v="Safe"/>
    <n v="0.17142857142857143"/>
    <s v="Safe"/>
    <n v="3000"/>
    <n v="0.17142857142857143"/>
  </r>
  <r>
    <s v="ORD-12167"/>
    <x v="48"/>
    <s v="P011"/>
    <x v="9"/>
    <s v="Household"/>
    <s v="Cleaning"/>
    <s v="CleanPro"/>
    <s v="B03"/>
    <x v="6"/>
    <s v="Lagos"/>
    <x v="4"/>
    <s v="Walk-in"/>
    <s v="Transfer"/>
    <n v="6"/>
    <n v="2800"/>
    <n v="3900"/>
    <n v="0"/>
    <x v="1"/>
    <n v="1"/>
    <n v="23400"/>
    <n v="0"/>
    <n v="23400"/>
    <n v="16800"/>
    <n v="6600"/>
    <n v="0.28205128205128205"/>
    <s v="Healthy"/>
    <s v="Safe"/>
    <n v="0.28205128205128205"/>
    <s v="Safe"/>
    <n v="1100"/>
    <n v="0.28205128205128205"/>
  </r>
  <r>
    <s v="ORD-12168"/>
    <x v="322"/>
    <s v="P003"/>
    <x v="12"/>
    <s v="Food"/>
    <s v="Cooking Oil"/>
    <s v="SunGold"/>
    <s v="B07"/>
    <x v="3"/>
    <s v="Enugu"/>
    <x v="3"/>
    <s v="Member"/>
    <s v="POS"/>
    <n v="4"/>
    <n v="7800"/>
    <n v="9800"/>
    <n v="0.15"/>
    <x v="9"/>
    <n v="12"/>
    <n v="39200"/>
    <n v="5880"/>
    <n v="33320"/>
    <n v="31200"/>
    <n v="2120"/>
    <n v="6.3625450180072027E-2"/>
    <s v="Understocked"/>
    <s v="Safe"/>
    <n v="0.20408163265306123"/>
    <s v="Safe"/>
    <n v="2000"/>
    <n v="0.20408163265306123"/>
  </r>
  <r>
    <s v="ORD-12169"/>
    <x v="119"/>
    <s v="P014"/>
    <x v="15"/>
    <s v="Personal Care"/>
    <s v="Oral Care"/>
    <s v="FreshMint"/>
    <s v="B04"/>
    <x v="5"/>
    <s v="Lagos"/>
    <x v="4"/>
    <s v="Corporate"/>
    <s v="Cash"/>
    <n v="3"/>
    <n v="1200"/>
    <n v="1900"/>
    <n v="0.1"/>
    <x v="11"/>
    <n v="3"/>
    <n v="5700"/>
    <n v="570"/>
    <n v="5130"/>
    <n v="3600"/>
    <n v="1530"/>
    <n v="0.2982456140350877"/>
    <s v="Healthy"/>
    <s v="Safe"/>
    <n v="0.36842105263157893"/>
    <s v="Safe"/>
    <n v="700"/>
    <n v="0.36842105263157893"/>
  </r>
  <r>
    <s v="ORD-12170"/>
    <x v="264"/>
    <s v="P009"/>
    <x v="13"/>
    <s v="Household"/>
    <s v="Cleaning"/>
    <s v="BrightWash"/>
    <s v="B01"/>
    <x v="2"/>
    <s v="Abuja"/>
    <x v="2"/>
    <s v="Walk-in"/>
    <s v="Card"/>
    <n v="2"/>
    <n v="2400"/>
    <n v="3400"/>
    <n v="0.05"/>
    <x v="10"/>
    <n v="11"/>
    <n v="6800"/>
    <n v="340"/>
    <n v="6460"/>
    <n v="4800"/>
    <n v="1660"/>
    <n v="0.25696594427244585"/>
    <s v="Healthy"/>
    <s v="Safe"/>
    <n v="0.29411764705882354"/>
    <s v="Safe"/>
    <n v="1000"/>
    <n v="0.29411764705882354"/>
  </r>
  <r>
    <s v="ORD-12171"/>
    <x v="76"/>
    <s v="P006"/>
    <x v="0"/>
    <s v="Beverages"/>
    <s v="Water"/>
    <s v="AquaPure"/>
    <s v="B08"/>
    <x v="7"/>
    <s v="Kwara"/>
    <x v="2"/>
    <s v="Walk-in"/>
    <s v="Card"/>
    <n v="2"/>
    <n v="230"/>
    <n v="400"/>
    <n v="0.2"/>
    <x v="3"/>
    <n v="10"/>
    <n v="800"/>
    <n v="160"/>
    <n v="640"/>
    <n v="460"/>
    <n v="180"/>
    <n v="0.28125"/>
    <s v="Understocked"/>
    <s v="Safe"/>
    <n v="0.42499999999999999"/>
    <s v="Safe"/>
    <n v="170"/>
    <n v="0.42499999999999999"/>
  </r>
  <r>
    <s v="ORD-12172"/>
    <x v="161"/>
    <s v="P022"/>
    <x v="17"/>
    <s v="Office Supplies"/>
    <s v="Writing"/>
    <s v="WriteWell"/>
    <s v="B04"/>
    <x v="5"/>
    <s v="Lagos"/>
    <x v="4"/>
    <s v="Member"/>
    <s v="POS"/>
    <n v="2"/>
    <n v="1300"/>
    <n v="2100"/>
    <n v="0.05"/>
    <x v="5"/>
    <n v="3"/>
    <n v="4200"/>
    <n v="210"/>
    <n v="3990"/>
    <n v="2600"/>
    <n v="1390"/>
    <n v="0.34837092731829572"/>
    <s v="Understocked"/>
    <s v="Safe"/>
    <n v="0.38095238095238093"/>
    <s v="Safe"/>
    <n v="800"/>
    <n v="0.38095238095238093"/>
  </r>
  <r>
    <s v="ORD-12173"/>
    <x v="327"/>
    <s v="P006"/>
    <x v="0"/>
    <s v="Beverages"/>
    <s v="Water"/>
    <s v="AquaPure"/>
    <s v="B01"/>
    <x v="2"/>
    <s v="Abuja"/>
    <x v="2"/>
    <s v="Walk-in"/>
    <s v="Cash"/>
    <n v="4"/>
    <n v="230"/>
    <n v="400"/>
    <n v="0.15"/>
    <x v="2"/>
    <n v="10"/>
    <n v="1600"/>
    <n v="240"/>
    <n v="1360"/>
    <n v="920"/>
    <n v="440"/>
    <n v="0.3235294117647059"/>
    <s v="Understocked"/>
    <s v="Safe"/>
    <n v="0.42499999999999999"/>
    <s v="Safe"/>
    <n v="170"/>
    <n v="0.42499999999999999"/>
  </r>
  <r>
    <s v="ORD-12174"/>
    <x v="2"/>
    <s v="P006"/>
    <x v="0"/>
    <s v="Beverages"/>
    <s v="Water"/>
    <s v="AquaPure"/>
    <s v="B03"/>
    <x v="6"/>
    <s v="Lagos"/>
    <x v="4"/>
    <s v="Walk-in"/>
    <s v="Cash"/>
    <n v="1"/>
    <n v="230"/>
    <n v="400"/>
    <n v="0"/>
    <x v="3"/>
    <n v="1"/>
    <n v="400"/>
    <n v="0"/>
    <n v="400"/>
    <n v="230"/>
    <n v="170"/>
    <n v="0.42499999999999999"/>
    <s v="Understocked"/>
    <s v="Safe"/>
    <n v="0.42499999999999999"/>
    <s v="Safe"/>
    <n v="170"/>
    <n v="0.42499999999999999"/>
  </r>
  <r>
    <s v="ORD-12175"/>
    <x v="93"/>
    <s v="P005"/>
    <x v="2"/>
    <s v="Food"/>
    <s v="Snacks"/>
    <s v="CrispyBite"/>
    <s v="B07"/>
    <x v="3"/>
    <s v="Enugu"/>
    <x v="3"/>
    <s v="Member"/>
    <s v="Cash"/>
    <n v="3"/>
    <n v="850"/>
    <n v="1300"/>
    <n v="0.2"/>
    <x v="9"/>
    <n v="3"/>
    <n v="3900"/>
    <n v="780"/>
    <n v="3120"/>
    <n v="2550"/>
    <n v="570"/>
    <n v="0.18269230769230768"/>
    <s v="Understocked"/>
    <s v="Safe"/>
    <n v="0.34615384615384615"/>
    <s v="Safe"/>
    <n v="450"/>
    <n v="0.34615384615384615"/>
  </r>
  <r>
    <s v="ORD-12176"/>
    <x v="26"/>
    <s v="P022"/>
    <x v="17"/>
    <s v="Office Supplies"/>
    <s v="Writing"/>
    <s v="WriteWell"/>
    <s v="B06"/>
    <x v="1"/>
    <s v="Rivers"/>
    <x v="1"/>
    <s v="Walk-in"/>
    <s v="Transfer"/>
    <n v="1"/>
    <n v="1300"/>
    <n v="2100"/>
    <n v="0.1"/>
    <x v="5"/>
    <n v="13"/>
    <n v="2100"/>
    <n v="210"/>
    <n v="1890"/>
    <n v="1300"/>
    <n v="590"/>
    <n v="0.31216931216931215"/>
    <s v="Understocked"/>
    <s v="Safe"/>
    <n v="0.38095238095238093"/>
    <s v="Safe"/>
    <n v="800"/>
    <n v="0.38095238095238093"/>
  </r>
  <r>
    <s v="ORD-12177"/>
    <x v="239"/>
    <s v="P015"/>
    <x v="8"/>
    <s v="Personal Care"/>
    <s v="Bath"/>
    <s v="SilkyTouch"/>
    <s v="B08"/>
    <x v="7"/>
    <s v="Kwara"/>
    <x v="2"/>
    <s v="Walk-in"/>
    <s v="Transfer"/>
    <n v="2"/>
    <n v="600"/>
    <n v="950"/>
    <n v="0"/>
    <x v="6"/>
    <n v="14"/>
    <n v="1900"/>
    <n v="0"/>
    <n v="1900"/>
    <n v="1200"/>
    <n v="700"/>
    <n v="0.36842105263157893"/>
    <s v="Healthy"/>
    <s v="Safe"/>
    <n v="0.36842105263157893"/>
    <s v="Safe"/>
    <n v="350"/>
    <n v="0.36842105263157893"/>
  </r>
  <r>
    <s v="ORD-12178"/>
    <x v="190"/>
    <s v="P019"/>
    <x v="18"/>
    <s v="Electronics"/>
    <s v="Audio"/>
    <s v="SoundBeat"/>
    <s v="B01"/>
    <x v="2"/>
    <s v="Abuja"/>
    <x v="2"/>
    <s v="Walk-in"/>
    <s v="Transfer"/>
    <n v="3"/>
    <n v="12500"/>
    <n v="18500"/>
    <n v="0.05"/>
    <x v="12"/>
    <n v="13"/>
    <n v="55500"/>
    <n v="2775"/>
    <n v="52725"/>
    <n v="37500"/>
    <n v="15225"/>
    <n v="0.28876244665718348"/>
    <s v="Understocked"/>
    <s v="Safe"/>
    <n v="0.32432432432432434"/>
    <s v="Safe"/>
    <n v="6000"/>
    <n v="0.32432432432432434"/>
  </r>
  <r>
    <s v="ORD-12179"/>
    <x v="310"/>
    <s v="P023"/>
    <x v="6"/>
    <s v="Office Supplies"/>
    <s v="Stationery"/>
    <s v="StudyPro"/>
    <s v="B03"/>
    <x v="6"/>
    <s v="Lagos"/>
    <x v="4"/>
    <s v="Walk-in"/>
    <s v="POS"/>
    <n v="5"/>
    <n v="2800"/>
    <n v="4200"/>
    <n v="0"/>
    <x v="15"/>
    <n v="8"/>
    <n v="21000"/>
    <n v="0"/>
    <n v="21000"/>
    <n v="14000"/>
    <n v="7000"/>
    <n v="0.33333333333333331"/>
    <s v="Understocked"/>
    <s v="Safe"/>
    <n v="0.33333333333333331"/>
    <s v="Safe"/>
    <n v="1400"/>
    <n v="0.33333333333333331"/>
  </r>
  <r>
    <s v="ORD-12180"/>
    <x v="116"/>
    <s v="P004"/>
    <x v="1"/>
    <s v="Beverages"/>
    <s v="Dairy"/>
    <s v="FreshDay"/>
    <s v="B08"/>
    <x v="7"/>
    <s v="Kwara"/>
    <x v="2"/>
    <s v="Walk-in"/>
    <s v="Transfer"/>
    <n v="4"/>
    <n v="1650"/>
    <n v="2200"/>
    <n v="0.1"/>
    <x v="3"/>
    <n v="7"/>
    <n v="8800"/>
    <n v="880"/>
    <n v="7920"/>
    <n v="6600"/>
    <n v="1320"/>
    <n v="0.16666666666666666"/>
    <s v="Understocked"/>
    <s v="Safe"/>
    <n v="0.25"/>
    <s v="Safe"/>
    <n v="550"/>
    <n v="0.25"/>
  </r>
  <r>
    <s v="ORD-12181"/>
    <x v="163"/>
    <s v="P009"/>
    <x v="13"/>
    <s v="Household"/>
    <s v="Cleaning"/>
    <s v="BrightWash"/>
    <s v="B07"/>
    <x v="3"/>
    <s v="Enugu"/>
    <x v="3"/>
    <s v="Walk-in"/>
    <s v="POS"/>
    <n v="4"/>
    <n v="2400"/>
    <n v="3400"/>
    <n v="0.05"/>
    <x v="10"/>
    <n v="3"/>
    <n v="13600"/>
    <n v="680"/>
    <n v="12920"/>
    <n v="9600"/>
    <n v="3320"/>
    <n v="0.25696594427244585"/>
    <s v="Healthy"/>
    <s v="Safe"/>
    <n v="0.29411764705882354"/>
    <s v="Safe"/>
    <n v="1000"/>
    <n v="0.29411764705882354"/>
  </r>
  <r>
    <s v="ORD-12182"/>
    <x v="222"/>
    <s v="P023"/>
    <x v="6"/>
    <s v="Office Supplies"/>
    <s v="Stationery"/>
    <s v="StudyPro"/>
    <s v="B08"/>
    <x v="7"/>
    <s v="Kwara"/>
    <x v="2"/>
    <s v="Corporate"/>
    <s v="POS"/>
    <n v="3"/>
    <n v="2800"/>
    <n v="4200"/>
    <n v="0.05"/>
    <x v="14"/>
    <n v="9"/>
    <n v="12600"/>
    <n v="630"/>
    <n v="11970"/>
    <n v="8400"/>
    <n v="3570"/>
    <n v="0.2982456140350877"/>
    <s v="Understocked"/>
    <s v="Safe"/>
    <n v="0.33333333333333331"/>
    <s v="Safe"/>
    <n v="1400"/>
    <n v="0.33333333333333331"/>
  </r>
  <r>
    <s v="ORD-12183"/>
    <x v="52"/>
    <s v="P018"/>
    <x v="16"/>
    <s v="Electronics"/>
    <s v="Mobile Accessories"/>
    <s v="VoltSafe"/>
    <s v="B03"/>
    <x v="6"/>
    <s v="Lagos"/>
    <x v="4"/>
    <s v="Walk-in"/>
    <s v="Cash"/>
    <n v="-1"/>
    <n v="18000"/>
    <n v="24500"/>
    <n v="0"/>
    <x v="4"/>
    <n v="6"/>
    <n v="-24500"/>
    <n v="0"/>
    <n v="-24500"/>
    <n v="-18000"/>
    <n v="-6500"/>
    <n v="0.26530612244897961"/>
    <s v="Understocked"/>
    <s v="Safe"/>
    <n v="0.26530612244897961"/>
    <s v="Safe"/>
    <n v="6500"/>
    <n v="0.26530612244897961"/>
  </r>
  <r>
    <s v="ORD-12184"/>
    <x v="141"/>
    <s v="P018"/>
    <x v="16"/>
    <s v="Electronics"/>
    <s v="Mobile Accessories"/>
    <s v="VoltSafe"/>
    <s v="B03"/>
    <x v="6"/>
    <s v="Lagos"/>
    <x v="4"/>
    <s v="Corporate"/>
    <s v="Cash"/>
    <n v="3"/>
    <n v="18000"/>
    <n v="24500"/>
    <n v="0.2"/>
    <x v="13"/>
    <n v="14"/>
    <n v="73500"/>
    <n v="14700"/>
    <n v="58800"/>
    <n v="54000"/>
    <n v="4800"/>
    <n v="8.1632653061224483E-2"/>
    <s v="Understocked"/>
    <s v="Safe"/>
    <n v="0.26530612244897961"/>
    <s v="Safe"/>
    <n v="6500"/>
    <n v="0.26530612244897961"/>
  </r>
  <r>
    <s v="ORD-12185"/>
    <x v="245"/>
    <s v="P006"/>
    <x v="0"/>
    <s v="Beverages"/>
    <s v="Water"/>
    <s v="AquaPure"/>
    <s v="B03"/>
    <x v="6"/>
    <s v="Lagos"/>
    <x v="4"/>
    <s v="Walk-in"/>
    <s v="Cash"/>
    <n v="2"/>
    <n v="230"/>
    <n v="400"/>
    <n v="0.1"/>
    <x v="3"/>
    <n v="3"/>
    <n v="800"/>
    <n v="80"/>
    <n v="720"/>
    <n v="460"/>
    <n v="260"/>
    <n v="0.3611111111111111"/>
    <s v="Understocked"/>
    <s v="Safe"/>
    <n v="0.42499999999999999"/>
    <s v="Safe"/>
    <n v="170"/>
    <n v="0.42499999999999999"/>
  </r>
  <r>
    <s v="ORD-12186"/>
    <x v="267"/>
    <s v="P008"/>
    <x v="4"/>
    <s v="Beverages"/>
    <s v="Soft Drinks"/>
    <s v="Sparkle"/>
    <s v="B03"/>
    <x v="6"/>
    <s v="Lagos"/>
    <x v="4"/>
    <s v="Walk-in"/>
    <s v="POS"/>
    <n v="4"/>
    <n v="330"/>
    <n v="550"/>
    <n v="0.05"/>
    <x v="3"/>
    <n v="1"/>
    <n v="2200"/>
    <n v="110"/>
    <n v="2090"/>
    <n v="1320"/>
    <n v="770"/>
    <n v="0.36842105263157893"/>
    <s v="Healthy"/>
    <s v="Safe"/>
    <n v="0.4"/>
    <s v="Safe"/>
    <n v="220"/>
    <n v="0.4"/>
  </r>
  <r>
    <s v="ORD-12187"/>
    <x v="10"/>
    <s v="P015"/>
    <x v="8"/>
    <s v="Personal Care"/>
    <s v="Bath"/>
    <s v="SilkyTouch"/>
    <s v="B06"/>
    <x v="1"/>
    <s v="Rivers"/>
    <x v="1"/>
    <s v="Walk-in"/>
    <s v="POS"/>
    <n v="3"/>
    <n v="600"/>
    <n v="950"/>
    <n v="0"/>
    <x v="10"/>
    <n v="8"/>
    <n v="2850"/>
    <n v="0"/>
    <n v="2850"/>
    <n v="1800"/>
    <n v="1050"/>
    <n v="0.36842105263157893"/>
    <s v="Healthy"/>
    <s v="Safe"/>
    <n v="0.36842105263157893"/>
    <s v="Safe"/>
    <n v="350"/>
    <n v="0.36842105263157893"/>
  </r>
  <r>
    <s v="ORD-12188"/>
    <x v="28"/>
    <s v="P010"/>
    <x v="22"/>
    <s v="Household"/>
    <s v="Paper Products"/>
    <s v="SoftCare"/>
    <s v="B04"/>
    <x v="5"/>
    <s v="Lagos"/>
    <x v="4"/>
    <s v="Member"/>
    <s v="Card"/>
    <n v="2"/>
    <n v="3200"/>
    <n v="4500"/>
    <n v="0"/>
    <x v="7"/>
    <n v="6"/>
    <n v="9000"/>
    <n v="0"/>
    <n v="9000"/>
    <n v="6400"/>
    <n v="2600"/>
    <n v="0.28888888888888886"/>
    <s v="Healthy"/>
    <s v="Safe"/>
    <n v="0.28888888888888886"/>
    <s v="Safe"/>
    <n v="1300"/>
    <n v="0.28888888888888886"/>
  </r>
  <r>
    <s v="ORD-12189"/>
    <x v="153"/>
    <s v="P009"/>
    <x v="13"/>
    <s v="Household"/>
    <s v="Cleaning"/>
    <s v="BrightWash"/>
    <s v="B07"/>
    <x v="3"/>
    <s v="Enugu"/>
    <x v="3"/>
    <s v="Walk-in"/>
    <s v="Card"/>
    <n v="5"/>
    <n v="2400"/>
    <n v="3400"/>
    <n v="0.1"/>
    <x v="10"/>
    <n v="9"/>
    <n v="17000"/>
    <n v="1700"/>
    <n v="15300"/>
    <n v="12000"/>
    <n v="3300"/>
    <n v="0.21568627450980393"/>
    <s v="Healthy"/>
    <s v="Safe"/>
    <n v="0.29411764705882354"/>
    <s v="Safe"/>
    <n v="1000"/>
    <n v="0.29411764705882354"/>
  </r>
  <r>
    <s v="ORD-12190"/>
    <x v="157"/>
    <s v="P007"/>
    <x v="3"/>
    <s v="Beverages"/>
    <s v="Malt"/>
    <s v="Naija Malt"/>
    <s v="B07"/>
    <x v="3"/>
    <s v="Enugu"/>
    <x v="3"/>
    <s v="Member"/>
    <s v="POS"/>
    <n v="1"/>
    <n v="550"/>
    <n v="850"/>
    <n v="0.15"/>
    <x v="3"/>
    <n v="2"/>
    <n v="850"/>
    <n v="127.5"/>
    <n v="722.5"/>
    <n v="550"/>
    <n v="172.5"/>
    <n v="0.23875432525951557"/>
    <s v="Healthy"/>
    <s v="Safe"/>
    <n v="0.35294117647058826"/>
    <s v="Safe"/>
    <n v="300"/>
    <n v="0.35294117647058826"/>
  </r>
  <r>
    <s v="ORD-12191"/>
    <x v="167"/>
    <s v="P006"/>
    <x v="0"/>
    <s v="Beverages"/>
    <s v="Water"/>
    <s v="AquaPure"/>
    <s v="B05"/>
    <x v="0"/>
    <s v="Kano"/>
    <x v="0"/>
    <s v="Walk-in"/>
    <s v="POS"/>
    <n v="2"/>
    <n v="230"/>
    <n v="400"/>
    <n v="0.15"/>
    <x v="3"/>
    <n v="12"/>
    <n v="800"/>
    <n v="120"/>
    <n v="680"/>
    <n v="460"/>
    <n v="220"/>
    <n v="0.3235294117647059"/>
    <s v="Understocked"/>
    <s v="Safe"/>
    <n v="0.42499999999999999"/>
    <s v="Safe"/>
    <n v="170"/>
    <n v="0.42499999999999999"/>
  </r>
  <r>
    <s v="ORD-12192"/>
    <x v="228"/>
    <s v="P012"/>
    <x v="21"/>
    <s v="Household"/>
    <s v="Home Care"/>
    <s v="HomeFresh"/>
    <s v="B08"/>
    <x v="7"/>
    <s v="Kwara"/>
    <x v="2"/>
    <s v="Walk-in"/>
    <s v="Cash"/>
    <n v="2"/>
    <n v="1700"/>
    <n v="2600"/>
    <n v="0.15"/>
    <x v="1"/>
    <n v="12"/>
    <n v="5200"/>
    <n v="780"/>
    <n v="4420"/>
    <n v="3400"/>
    <n v="1020"/>
    <n v="0.23076923076923078"/>
    <s v="Overstocked"/>
    <s v="Safe"/>
    <n v="0.34615384615384615"/>
    <s v="Safe"/>
    <n v="900"/>
    <n v="0.34615384615384615"/>
  </r>
  <r>
    <s v="ORD-12193"/>
    <x v="205"/>
    <s v="P007"/>
    <x v="3"/>
    <s v="Beverages"/>
    <s v="Malt"/>
    <s v="Naija Malt"/>
    <s v="B08"/>
    <x v="7"/>
    <s v="Kwara"/>
    <x v="2"/>
    <s v="Member"/>
    <s v="Cash"/>
    <n v="1"/>
    <n v="550"/>
    <n v="850"/>
    <n v="0"/>
    <x v="2"/>
    <n v="9"/>
    <n v="850"/>
    <n v="0"/>
    <n v="850"/>
    <n v="550"/>
    <n v="300"/>
    <n v="0.35294117647058826"/>
    <s v="Healthy"/>
    <s v="Safe"/>
    <n v="0.35294117647058826"/>
    <s v="Safe"/>
    <n v="300"/>
    <n v="0.35294117647058826"/>
  </r>
  <r>
    <s v="ORD-12194"/>
    <x v="259"/>
    <s v="P012"/>
    <x v="21"/>
    <s v="Household"/>
    <s v="Home Care"/>
    <s v="HomeFresh"/>
    <s v="B08"/>
    <x v="7"/>
    <s v="Kwara"/>
    <x v="2"/>
    <s v="Walk-in"/>
    <s v="Cash"/>
    <n v="1"/>
    <n v="1700"/>
    <n v="2600"/>
    <n v="0.15"/>
    <x v="10"/>
    <n v="8"/>
    <n v="2600"/>
    <n v="390"/>
    <n v="2210"/>
    <n v="1700"/>
    <n v="510"/>
    <n v="0.23076923076923078"/>
    <s v="Overstocked"/>
    <s v="Safe"/>
    <n v="0.34615384615384615"/>
    <s v="Safe"/>
    <n v="900"/>
    <n v="0.34615384615384615"/>
  </r>
  <r>
    <s v="ORD-12195"/>
    <x v="140"/>
    <s v="P003"/>
    <x v="12"/>
    <s v="Food"/>
    <s v="Cooking Oil"/>
    <s v="SunGold"/>
    <s v="B05"/>
    <x v="0"/>
    <s v="Kano"/>
    <x v="0"/>
    <s v="Walk-in"/>
    <s v="POS"/>
    <n v="4"/>
    <n v="7800"/>
    <n v="9800"/>
    <n v="0.1"/>
    <x v="8"/>
    <n v="1"/>
    <n v="39200"/>
    <n v="3920"/>
    <n v="35280"/>
    <n v="31200"/>
    <n v="4080"/>
    <n v="0.11564625850340136"/>
    <s v="Understocked"/>
    <s v="Safe"/>
    <n v="0.20408163265306123"/>
    <s v="Safe"/>
    <n v="2000"/>
    <n v="0.20408163265306123"/>
  </r>
  <r>
    <s v="ORD-12196"/>
    <x v="100"/>
    <s v="P020"/>
    <x v="5"/>
    <s v="Electronics"/>
    <s v="Lighting"/>
    <s v="Luma"/>
    <s v="B06"/>
    <x v="1"/>
    <s v="Rivers"/>
    <x v="1"/>
    <s v="Corporate"/>
    <s v="Transfer"/>
    <n v="6"/>
    <n v="1500"/>
    <n v="2500"/>
    <n v="0"/>
    <x v="12"/>
    <n v="10"/>
    <n v="15000"/>
    <n v="0"/>
    <n v="15000"/>
    <n v="9000"/>
    <n v="6000"/>
    <n v="0.4"/>
    <s v="Healthy"/>
    <s v="Safe"/>
    <n v="0.4"/>
    <s v="Safe"/>
    <n v="1000"/>
    <n v="0.4"/>
  </r>
  <r>
    <s v="ORD-12197"/>
    <x v="289"/>
    <s v="P015"/>
    <x v="8"/>
    <s v="Personal Care"/>
    <s v="Bath"/>
    <s v="SilkyTouch"/>
    <s v="B03"/>
    <x v="6"/>
    <s v="Lagos"/>
    <x v="4"/>
    <s v="Corporate"/>
    <s v="Transfer"/>
    <n v="3"/>
    <n v="600"/>
    <n v="950"/>
    <n v="0"/>
    <x v="10"/>
    <n v="6"/>
    <n v="2850"/>
    <n v="0"/>
    <n v="2850"/>
    <n v="1800"/>
    <n v="1050"/>
    <n v="0.36842105263157893"/>
    <s v="Healthy"/>
    <s v="Safe"/>
    <n v="0.36842105263157893"/>
    <s v="Safe"/>
    <n v="350"/>
    <n v="0.36842105263157893"/>
  </r>
  <r>
    <s v="ORD-12198"/>
    <x v="360"/>
    <s v="P013"/>
    <x v="11"/>
    <s v="Personal Care"/>
    <s v="Skin Care"/>
    <s v="GlowPlus"/>
    <s v="B01"/>
    <x v="2"/>
    <s v="Abuja"/>
    <x v="2"/>
    <s v="Walk-in"/>
    <s v="Cash"/>
    <n v="8"/>
    <n v="3500"/>
    <n v="5200"/>
    <n v="0.05"/>
    <x v="6"/>
    <n v="1"/>
    <n v="41600"/>
    <n v="2080"/>
    <n v="39520"/>
    <n v="28000"/>
    <n v="11520"/>
    <n v="0.291497975708502"/>
    <s v="Healthy"/>
    <s v="Safe"/>
    <n v="0.32692307692307693"/>
    <s v="Safe"/>
    <n v="1700"/>
    <n v="0.32692307692307693"/>
  </r>
  <r>
    <s v="ORD-12199"/>
    <x v="338"/>
    <s v="P010"/>
    <x v="22"/>
    <s v="Household"/>
    <s v="Paper Products"/>
    <s v="SoftCare"/>
    <s v="B05"/>
    <x v="0"/>
    <s v="Kano"/>
    <x v="0"/>
    <s v="Walk-in"/>
    <s v="Cash"/>
    <n v="5"/>
    <n v="3200"/>
    <n v="4500"/>
    <n v="0.05"/>
    <x v="10"/>
    <n v="10"/>
    <n v="22500"/>
    <n v="1125"/>
    <n v="21375"/>
    <n v="16000"/>
    <n v="5375"/>
    <n v="0.25146198830409355"/>
    <s v="Healthy"/>
    <s v="Safe"/>
    <n v="0.28888888888888886"/>
    <s v="Safe"/>
    <n v="1300"/>
    <n v="0.28888888888888886"/>
  </r>
  <r>
    <s v="ORD-12200"/>
    <x v="32"/>
    <s v="P008"/>
    <x v="4"/>
    <s v="Beverages"/>
    <s v="Soft Drinks"/>
    <s v="Sparkle"/>
    <s v="B08"/>
    <x v="7"/>
    <s v="Kwara"/>
    <x v="2"/>
    <s v="Member"/>
    <s v="Cash"/>
    <n v="1"/>
    <n v="330"/>
    <n v="550"/>
    <n v="0"/>
    <x v="0"/>
    <n v="8"/>
    <n v="550"/>
    <n v="0"/>
    <n v="550"/>
    <n v="330"/>
    <n v="220"/>
    <n v="0.4"/>
    <s v="Healthy"/>
    <s v="Safe"/>
    <n v="0.4"/>
    <s v="Safe"/>
    <n v="220"/>
    <n v="0.4"/>
  </r>
  <r>
    <s v="ORD-12201"/>
    <x v="164"/>
    <s v="P003"/>
    <x v="12"/>
    <s v="Food"/>
    <s v="Cooking Oil"/>
    <s v="SunGold"/>
    <s v="B02"/>
    <x v="4"/>
    <s v="Abuja"/>
    <x v="2"/>
    <s v="Member"/>
    <s v="Transfer"/>
    <n v="3"/>
    <n v="7800"/>
    <n v="9800"/>
    <n v="0.1"/>
    <x v="8"/>
    <n v="8"/>
    <n v="29400"/>
    <n v="2940"/>
    <n v="26460"/>
    <n v="23400"/>
    <n v="3060"/>
    <n v="0.11564625850340136"/>
    <s v="Understocked"/>
    <s v="Safe"/>
    <n v="0.20408163265306123"/>
    <s v="Safe"/>
    <n v="2000"/>
    <n v="0.20408163265306123"/>
  </r>
  <r>
    <s v="ORD-12202"/>
    <x v="185"/>
    <s v="P005"/>
    <x v="2"/>
    <s v="Food"/>
    <s v="Snacks"/>
    <s v="CrispyBite"/>
    <s v="B03"/>
    <x v="6"/>
    <s v="Lagos"/>
    <x v="4"/>
    <s v="Walk-in"/>
    <s v="POS"/>
    <n v="2"/>
    <n v="850"/>
    <n v="1300"/>
    <n v="0.05"/>
    <x v="9"/>
    <n v="3"/>
    <n v="2600"/>
    <n v="130"/>
    <n v="2470"/>
    <n v="1700"/>
    <n v="770"/>
    <n v="0.31174089068825911"/>
    <s v="Understocked"/>
    <s v="Safe"/>
    <n v="0.34615384615384615"/>
    <s v="Safe"/>
    <n v="450"/>
    <n v="0.34615384615384615"/>
  </r>
  <r>
    <s v="ORD-12203"/>
    <x v="38"/>
    <s v="P001"/>
    <x v="14"/>
    <s v="Food"/>
    <s v="Grains"/>
    <s v="Golden Harvest"/>
    <s v="B06"/>
    <x v="1"/>
    <s v="Rivers"/>
    <x v="1"/>
    <s v="Walk-in"/>
    <s v="POS"/>
    <n v="3"/>
    <n v="14500"/>
    <n v="17500"/>
    <n v="0.15"/>
    <x v="9"/>
    <n v="1"/>
    <n v="52500"/>
    <n v="7875"/>
    <n v="44625"/>
    <n v="43500"/>
    <n v="1125"/>
    <n v="2.5210084033613446E-2"/>
    <s v="Understocked"/>
    <s v="Safe"/>
    <n v="0.17142857142857143"/>
    <s v="Safe"/>
    <n v="3000"/>
    <n v="0.17142857142857143"/>
  </r>
  <r>
    <s v="ORD-12204"/>
    <x v="273"/>
    <s v="P014"/>
    <x v="15"/>
    <s v="Personal Care"/>
    <s v="Oral Care"/>
    <s v="FreshMint"/>
    <s v="B03"/>
    <x v="6"/>
    <s v="Lagos"/>
    <x v="4"/>
    <s v="Member"/>
    <s v="POS"/>
    <n v="5"/>
    <n v="1200"/>
    <n v="1900"/>
    <n v="0"/>
    <x v="6"/>
    <n v="14"/>
    <n v="9500"/>
    <n v="0"/>
    <n v="9500"/>
    <n v="6000"/>
    <n v="3500"/>
    <n v="0.36842105263157893"/>
    <s v="Healthy"/>
    <s v="Safe"/>
    <n v="0.36842105263157893"/>
    <s v="Safe"/>
    <n v="700"/>
    <n v="0.36842105263157893"/>
  </r>
  <r>
    <s v="ORD-12205"/>
    <x v="170"/>
    <s v="P001"/>
    <x v="14"/>
    <s v="Food"/>
    <s v="Grains"/>
    <s v="Golden Harvest"/>
    <s v="B08"/>
    <x v="7"/>
    <s v="Kwara"/>
    <x v="2"/>
    <s v="Walk-in"/>
    <s v="POS"/>
    <n v="3"/>
    <n v="14500"/>
    <n v="17500"/>
    <n v="0.1"/>
    <x v="8"/>
    <n v="7"/>
    <n v="52500"/>
    <n v="5250"/>
    <n v="47250"/>
    <n v="43500"/>
    <n v="3750"/>
    <n v="7.9365079365079361E-2"/>
    <s v="Understocked"/>
    <s v="Safe"/>
    <n v="0.17142857142857143"/>
    <s v="Safe"/>
    <n v="3000"/>
    <n v="0.17142857142857143"/>
  </r>
  <r>
    <s v="ORD-12206"/>
    <x v="12"/>
    <s v="P007"/>
    <x v="3"/>
    <s v="Beverages"/>
    <s v="Malt"/>
    <s v="Naija Malt"/>
    <s v="B03"/>
    <x v="6"/>
    <s v="Lagos"/>
    <x v="4"/>
    <s v="Member"/>
    <s v="Cash"/>
    <n v="4"/>
    <n v="550"/>
    <n v="850"/>
    <n v="0"/>
    <x v="0"/>
    <n v="14"/>
    <n v="3400"/>
    <n v="0"/>
    <n v="3400"/>
    <n v="2200"/>
    <n v="1200"/>
    <n v="0.35294117647058826"/>
    <s v="Healthy"/>
    <s v="Safe"/>
    <n v="0.35294117647058826"/>
    <s v="Safe"/>
    <n v="300"/>
    <n v="0.35294117647058826"/>
  </r>
  <r>
    <s v="ORD-12207"/>
    <x v="339"/>
    <s v="P015"/>
    <x v="8"/>
    <s v="Personal Care"/>
    <s v="Bath"/>
    <s v="SilkyTouch"/>
    <s v="B08"/>
    <x v="7"/>
    <s v="Kwara"/>
    <x v="2"/>
    <s v="Walk-in"/>
    <s v="Cash"/>
    <n v="8"/>
    <n v="600"/>
    <n v="950"/>
    <n v="0"/>
    <x v="11"/>
    <n v="5"/>
    <n v="7600"/>
    <n v="0"/>
    <n v="7600"/>
    <n v="4800"/>
    <n v="2800"/>
    <n v="0.36842105263157893"/>
    <s v="Healthy"/>
    <s v="Safe"/>
    <n v="0.36842105263157893"/>
    <s v="Safe"/>
    <n v="350"/>
    <n v="0.36842105263157893"/>
  </r>
  <r>
    <s v="ORD-12208"/>
    <x v="285"/>
    <s v="P002"/>
    <x v="10"/>
    <s v="Food"/>
    <s v="Grains"/>
    <s v="Mama's Pride"/>
    <s v="B04"/>
    <x v="5"/>
    <s v="Lagos"/>
    <x v="4"/>
    <s v="Walk-in"/>
    <s v="POS"/>
    <n v="1"/>
    <n v="6200"/>
    <n v="7900"/>
    <n v="0"/>
    <x v="1"/>
    <n v="9"/>
    <n v="7900"/>
    <n v="0"/>
    <n v="7900"/>
    <n v="6200"/>
    <n v="1700"/>
    <n v="0.21518987341772153"/>
    <s v="Healthy"/>
    <s v="Safe"/>
    <n v="0.21518987341772153"/>
    <s v="Safe"/>
    <n v="1700"/>
    <n v="0.21518987341772153"/>
  </r>
  <r>
    <s v="ORD-12209"/>
    <x v="64"/>
    <s v="P006"/>
    <x v="0"/>
    <s v="Beverages"/>
    <s v="Water"/>
    <s v="AquaPure"/>
    <s v="B02"/>
    <x v="4"/>
    <s v="Abuja"/>
    <x v="2"/>
    <s v="Walk-in"/>
    <s v="Card"/>
    <n v="4"/>
    <n v="230"/>
    <n v="400"/>
    <n v="0"/>
    <x v="3"/>
    <n v="5"/>
    <n v="1600"/>
    <n v="0"/>
    <n v="1600"/>
    <n v="920"/>
    <n v="680"/>
    <n v="0.42499999999999999"/>
    <s v="Understocked"/>
    <s v="Safe"/>
    <n v="0.42499999999999999"/>
    <s v="Safe"/>
    <n v="170"/>
    <n v="0.42499999999999999"/>
  </r>
  <r>
    <s v="ORD-12210"/>
    <x v="361"/>
    <s v="P009"/>
    <x v="13"/>
    <s v="Household"/>
    <s v="Cleaning"/>
    <s v="BrightWash"/>
    <s v="B02"/>
    <x v="4"/>
    <s v="Abuja"/>
    <x v="2"/>
    <s v="Member"/>
    <s v="POS"/>
    <n v="-1"/>
    <n v="2400"/>
    <n v="3400"/>
    <n v="0.15"/>
    <x v="7"/>
    <n v="14"/>
    <n v="-3400"/>
    <n v="-510"/>
    <n v="-2890"/>
    <n v="-2400"/>
    <n v="-490"/>
    <n v="0.16955017301038061"/>
    <s v="Healthy"/>
    <s v="Discount loss"/>
    <n v="0.29411764705882354"/>
    <s v="Safe"/>
    <n v="1000"/>
    <n v="0.29411764705882354"/>
  </r>
  <r>
    <s v="ORD-12211"/>
    <x v="88"/>
    <s v="P003"/>
    <x v="12"/>
    <s v="Food"/>
    <s v="Cooking Oil"/>
    <s v="SunGold"/>
    <s v="B03"/>
    <x v="6"/>
    <s v="Lagos"/>
    <x v="4"/>
    <s v="Walk-in"/>
    <s v="POS"/>
    <n v="1"/>
    <n v="7800"/>
    <n v="9800"/>
    <n v="0.05"/>
    <x v="1"/>
    <n v="7"/>
    <n v="9800"/>
    <n v="490"/>
    <n v="9310"/>
    <n v="7800"/>
    <n v="1510"/>
    <n v="0.16219119226638024"/>
    <s v="Understocked"/>
    <s v="Safe"/>
    <n v="0.20408163265306123"/>
    <s v="Safe"/>
    <n v="2000"/>
    <n v="0.20408163265306123"/>
  </r>
  <r>
    <s v="ORD-12212"/>
    <x v="71"/>
    <s v="P015"/>
    <x v="8"/>
    <s v="Personal Care"/>
    <s v="Bath"/>
    <s v="SilkyTouch"/>
    <s v="B02"/>
    <x v="4"/>
    <s v="Abuja"/>
    <x v="2"/>
    <s v="Member"/>
    <s v="Card"/>
    <n v="4"/>
    <n v="600"/>
    <n v="950"/>
    <n v="0.2"/>
    <x v="10"/>
    <n v="2"/>
    <n v="3800"/>
    <n v="760"/>
    <n v="3040"/>
    <n v="2400"/>
    <n v="640"/>
    <n v="0.21052631578947367"/>
    <s v="Healthy"/>
    <s v="Safe"/>
    <n v="0.36842105263157893"/>
    <s v="Safe"/>
    <n v="350"/>
    <n v="0.36842105263157893"/>
  </r>
  <r>
    <s v="ORD-12213"/>
    <x v="256"/>
    <s v="P001"/>
    <x v="14"/>
    <s v="Food"/>
    <s v="Grains"/>
    <s v="Golden Harvest"/>
    <s v="B01"/>
    <x v="2"/>
    <s v="Abuja"/>
    <x v="2"/>
    <s v="Walk-in"/>
    <s v="POS"/>
    <n v="4"/>
    <n v="14500"/>
    <n v="17500"/>
    <n v="0.15"/>
    <x v="9"/>
    <n v="8"/>
    <n v="70000"/>
    <n v="10500"/>
    <n v="59500"/>
    <n v="58000"/>
    <n v="1500"/>
    <n v="2.5210084033613446E-2"/>
    <s v="Understocked"/>
    <s v="Safe"/>
    <n v="0.17142857142857143"/>
    <s v="Safe"/>
    <n v="3000"/>
    <n v="0.17142857142857143"/>
  </r>
  <r>
    <s v="ORD-12214"/>
    <x v="170"/>
    <s v="P018"/>
    <x v="16"/>
    <s v="Electronics"/>
    <s v="Mobile Accessories"/>
    <s v="VoltSafe"/>
    <s v="B07"/>
    <x v="3"/>
    <s v="Enugu"/>
    <x v="3"/>
    <s v="Walk-in"/>
    <s v="Transfer"/>
    <n v="1"/>
    <n v="18000"/>
    <n v="24500"/>
    <n v="0.05"/>
    <x v="4"/>
    <n v="3"/>
    <n v="24500"/>
    <n v="1225"/>
    <n v="23275"/>
    <n v="18000"/>
    <n v="5275"/>
    <n v="0.22663802363050484"/>
    <s v="Understocked"/>
    <s v="Safe"/>
    <n v="0.26530612244897961"/>
    <s v="Safe"/>
    <n v="6500"/>
    <n v="0.26530612244897961"/>
  </r>
  <r>
    <s v="ORD-12215"/>
    <x v="181"/>
    <s v="P021"/>
    <x v="20"/>
    <s v="Office Supplies"/>
    <s v="Paper"/>
    <s v="OfficeMate"/>
    <s v="B07"/>
    <x v="3"/>
    <s v="Enugu"/>
    <x v="3"/>
    <s v="Walk-in"/>
    <s v="Transfer"/>
    <n v="2"/>
    <n v="5200"/>
    <n v="7000"/>
    <n v="0"/>
    <x v="5"/>
    <n v="8"/>
    <n v="14000"/>
    <n v="0"/>
    <n v="14000"/>
    <n v="10400"/>
    <n v="3600"/>
    <n v="0.25714285714285712"/>
    <s v="Overstocked"/>
    <s v="Safe"/>
    <n v="0.25714285714285712"/>
    <s v="Safe"/>
    <n v="1800"/>
    <n v="0.25714285714285712"/>
  </r>
  <r>
    <s v="ORD-12216"/>
    <x v="357"/>
    <s v="P007"/>
    <x v="3"/>
    <s v="Beverages"/>
    <s v="Malt"/>
    <s v="Naija Malt"/>
    <s v="B02"/>
    <x v="4"/>
    <s v="Abuja"/>
    <x v="2"/>
    <s v="Member"/>
    <s v="POS"/>
    <n v="5"/>
    <n v="550"/>
    <n v="850"/>
    <n v="0.1"/>
    <x v="2"/>
    <n v="3"/>
    <n v="4250"/>
    <n v="425"/>
    <n v="3825"/>
    <n v="2750"/>
    <n v="1075"/>
    <n v="0.28104575163398693"/>
    <s v="Healthy"/>
    <s v="Safe"/>
    <n v="0.35294117647058826"/>
    <s v="Safe"/>
    <n v="300"/>
    <n v="0.35294117647058826"/>
  </r>
  <r>
    <s v="ORD-12217"/>
    <x v="190"/>
    <s v="P001"/>
    <x v="14"/>
    <s v="Food"/>
    <s v="Grains"/>
    <s v="Golden Harvest"/>
    <s v="B03"/>
    <x v="6"/>
    <s v="Lagos"/>
    <x v="4"/>
    <s v="Member"/>
    <s v="Transfer"/>
    <n v="2"/>
    <n v="14500"/>
    <n v="17500"/>
    <n v="0.1"/>
    <x v="8"/>
    <n v="7"/>
    <n v="35000"/>
    <n v="3500"/>
    <n v="31500"/>
    <n v="29000"/>
    <n v="2500"/>
    <n v="7.9365079365079361E-2"/>
    <s v="Understocked"/>
    <s v="Safe"/>
    <n v="0.17142857142857143"/>
    <s v="Safe"/>
    <n v="3000"/>
    <n v="0.17142857142857143"/>
  </r>
  <r>
    <s v="ORD-12218"/>
    <x v="306"/>
    <s v="P003"/>
    <x v="12"/>
    <s v="Food"/>
    <s v="Cooking Oil"/>
    <s v="SunGold"/>
    <s v="B03"/>
    <x v="6"/>
    <s v="Lagos"/>
    <x v="4"/>
    <s v="Walk-in"/>
    <s v="POS"/>
    <n v="2"/>
    <n v="7800"/>
    <n v="9800"/>
    <n v="0"/>
    <x v="8"/>
    <n v="2"/>
    <n v="19600"/>
    <n v="0"/>
    <n v="19600"/>
    <n v="15600"/>
    <n v="4000"/>
    <n v="0.20408163265306123"/>
    <s v="Understocked"/>
    <s v="Safe"/>
    <n v="0.20408163265306123"/>
    <s v="Safe"/>
    <n v="2000"/>
    <n v="0.20408163265306123"/>
  </r>
  <r>
    <s v="ORD-12219"/>
    <x v="7"/>
    <s v="P015"/>
    <x v="8"/>
    <s v="Personal Care"/>
    <s v="Bath"/>
    <s v="SilkyTouch"/>
    <s v="B04"/>
    <x v="5"/>
    <s v="Lagos"/>
    <x v="4"/>
    <s v="Walk-in"/>
    <s v="POS"/>
    <n v="10"/>
    <n v="600"/>
    <n v="950"/>
    <n v="0.1"/>
    <x v="6"/>
    <n v="2"/>
    <n v="9500"/>
    <n v="950"/>
    <n v="8550"/>
    <n v="6000"/>
    <n v="2550"/>
    <n v="0.2982456140350877"/>
    <s v="Healthy"/>
    <s v="Safe"/>
    <n v="0.36842105263157893"/>
    <s v="Safe"/>
    <n v="350"/>
    <n v="0.36842105263157893"/>
  </r>
  <r>
    <s v="ORD-12220"/>
    <x v="9"/>
    <s v="P023"/>
    <x v="6"/>
    <s v="Office Supplies"/>
    <s v="Stationery"/>
    <s v="StudyPro"/>
    <s v="B04"/>
    <x v="5"/>
    <s v="Lagos"/>
    <x v="4"/>
    <s v="Walk-in"/>
    <s v="Cash"/>
    <n v="5"/>
    <n v="2800"/>
    <n v="4200"/>
    <n v="0.15"/>
    <x v="14"/>
    <n v="9"/>
    <n v="21000"/>
    <n v="3150"/>
    <n v="17850"/>
    <n v="14000"/>
    <n v="3850"/>
    <n v="0.21568627450980393"/>
    <s v="Understocked"/>
    <s v="Safe"/>
    <n v="0.33333333333333331"/>
    <s v="Safe"/>
    <n v="1400"/>
    <n v="0.33333333333333331"/>
  </r>
  <r>
    <s v="ORD-12221"/>
    <x v="297"/>
    <s v="P008"/>
    <x v="4"/>
    <s v="Beverages"/>
    <s v="Soft Drinks"/>
    <s v="Sparkle"/>
    <s v="B02"/>
    <x v="4"/>
    <s v="Abuja"/>
    <x v="2"/>
    <s v="Walk-in"/>
    <s v="POS"/>
    <n v="1"/>
    <n v="330"/>
    <n v="550"/>
    <n v="0.1"/>
    <x v="2"/>
    <n v="11"/>
    <n v="550"/>
    <n v="55"/>
    <n v="495"/>
    <n v="330"/>
    <n v="165"/>
    <n v="0.33333333333333331"/>
    <s v="Healthy"/>
    <s v="Safe"/>
    <n v="0.4"/>
    <s v="Safe"/>
    <n v="220"/>
    <n v="0.4"/>
  </r>
  <r>
    <s v="ORD-12222"/>
    <x v="118"/>
    <s v="P021"/>
    <x v="20"/>
    <s v="Office Supplies"/>
    <s v="Paper"/>
    <s v="OfficeMate"/>
    <s v="B02"/>
    <x v="4"/>
    <s v="Abuja"/>
    <x v="2"/>
    <s v="Walk-in"/>
    <s v="Transfer"/>
    <n v="-2"/>
    <n v="5200"/>
    <n v="7000"/>
    <n v="0.1"/>
    <x v="14"/>
    <n v="3"/>
    <n v="-14000"/>
    <n v="-1400"/>
    <n v="-12600"/>
    <n v="-10400"/>
    <n v="-2200"/>
    <n v="0.17460317460317459"/>
    <s v="Overstocked"/>
    <s v="Discount loss"/>
    <n v="0.25714285714285712"/>
    <s v="Safe"/>
    <n v="1800"/>
    <n v="0.25714285714285712"/>
  </r>
  <r>
    <s v="ORD-12223"/>
    <x v="175"/>
    <s v="P014"/>
    <x v="15"/>
    <s v="Personal Care"/>
    <s v="Oral Care"/>
    <s v="FreshMint"/>
    <s v="B02"/>
    <x v="4"/>
    <s v="Abuja"/>
    <x v="2"/>
    <s v="Member"/>
    <s v="POS"/>
    <n v="8"/>
    <n v="1200"/>
    <n v="1900"/>
    <n v="0.15"/>
    <x v="6"/>
    <n v="12"/>
    <n v="15200"/>
    <n v="2280"/>
    <n v="12920"/>
    <n v="9600"/>
    <n v="3320"/>
    <n v="0.25696594427244585"/>
    <s v="Healthy"/>
    <s v="Safe"/>
    <n v="0.36842105263157893"/>
    <s v="Safe"/>
    <n v="700"/>
    <n v="0.36842105263157893"/>
  </r>
  <r>
    <s v="ORD-12224"/>
    <x v="156"/>
    <s v="P008"/>
    <x v="4"/>
    <s v="Beverages"/>
    <s v="Soft Drinks"/>
    <s v="Sparkle"/>
    <s v="B05"/>
    <x v="0"/>
    <s v="Kano"/>
    <x v="0"/>
    <s v="Member"/>
    <s v="Transfer"/>
    <n v="2"/>
    <n v="330"/>
    <n v="550"/>
    <n v="0"/>
    <x v="0"/>
    <n v="14"/>
    <n v="1100"/>
    <n v="0"/>
    <n v="1100"/>
    <n v="660"/>
    <n v="440"/>
    <n v="0.4"/>
    <s v="Healthy"/>
    <s v="Safe"/>
    <n v="0.4"/>
    <s v="Safe"/>
    <n v="220"/>
    <n v="0.4"/>
  </r>
  <r>
    <s v="ORD-12225"/>
    <x v="289"/>
    <s v="P007"/>
    <x v="3"/>
    <s v="Beverages"/>
    <s v="Malt"/>
    <s v="Naija Malt"/>
    <s v="B05"/>
    <x v="0"/>
    <s v="Kano"/>
    <x v="0"/>
    <s v="Member"/>
    <s v="POS"/>
    <n v="1"/>
    <n v="550"/>
    <n v="850"/>
    <n v="0"/>
    <x v="2"/>
    <n v="10"/>
    <n v="850"/>
    <n v="0"/>
    <n v="850"/>
    <n v="550"/>
    <n v="300"/>
    <n v="0.35294117647058826"/>
    <s v="Healthy"/>
    <s v="Safe"/>
    <n v="0.35294117647058826"/>
    <s v="Safe"/>
    <n v="300"/>
    <n v="0.35294117647058826"/>
  </r>
  <r>
    <s v="ORD-12226"/>
    <x v="30"/>
    <s v="P002"/>
    <x v="10"/>
    <s v="Food"/>
    <s v="Grains"/>
    <s v="Mama's Pride"/>
    <s v="B03"/>
    <x v="6"/>
    <s v="Lagos"/>
    <x v="4"/>
    <s v="Walk-in"/>
    <s v="POS"/>
    <n v="2"/>
    <n v="6200"/>
    <n v="7900"/>
    <n v="0"/>
    <x v="1"/>
    <n v="9"/>
    <n v="15800"/>
    <n v="0"/>
    <n v="15800"/>
    <n v="12400"/>
    <n v="3400"/>
    <n v="0.21518987341772153"/>
    <s v="Healthy"/>
    <s v="Safe"/>
    <n v="0.21518987341772153"/>
    <s v="Safe"/>
    <n v="1700"/>
    <n v="0.21518987341772153"/>
  </r>
  <r>
    <s v="ORD-12227"/>
    <x v="178"/>
    <s v="P017"/>
    <x v="23"/>
    <s v="Electronics"/>
    <s v="Accessories"/>
    <s v="PowerMax"/>
    <s v="B04"/>
    <x v="5"/>
    <s v="Lagos"/>
    <x v="4"/>
    <s v="Corporate"/>
    <s v="Transfer"/>
    <n v="3"/>
    <n v="7500"/>
    <n v="10500"/>
    <n v="0.2"/>
    <x v="13"/>
    <n v="7"/>
    <n v="31500"/>
    <n v="6300"/>
    <n v="25200"/>
    <n v="22500"/>
    <n v="2700"/>
    <n v="0.10714285714285714"/>
    <s v="Healthy"/>
    <s v="Safe"/>
    <n v="0.2857142857142857"/>
    <s v="Safe"/>
    <n v="3000"/>
    <n v="0.2857142857142857"/>
  </r>
  <r>
    <s v="ORD-12228"/>
    <x v="360"/>
    <s v="P006"/>
    <x v="0"/>
    <s v="Beverages"/>
    <s v="Water"/>
    <s v="AquaPure"/>
    <s v="B05"/>
    <x v="0"/>
    <s v="Kano"/>
    <x v="0"/>
    <s v="Walk-in"/>
    <s v="Transfer"/>
    <n v="4"/>
    <n v="230"/>
    <n v="400"/>
    <n v="0.05"/>
    <x v="0"/>
    <n v="8"/>
    <n v="1600"/>
    <n v="80"/>
    <n v="1520"/>
    <n v="920"/>
    <n v="600"/>
    <n v="0.39473684210526316"/>
    <s v="Understocked"/>
    <s v="Safe"/>
    <n v="0.42499999999999999"/>
    <s v="Safe"/>
    <n v="170"/>
    <n v="0.42499999999999999"/>
  </r>
  <r>
    <s v="ORD-12229"/>
    <x v="321"/>
    <s v="P006"/>
    <x v="0"/>
    <s v="Beverages"/>
    <s v="Water"/>
    <s v="AquaPure"/>
    <s v="B02"/>
    <x v="4"/>
    <s v="Abuja"/>
    <x v="2"/>
    <s v="Member"/>
    <s v="Card"/>
    <n v="5"/>
    <n v="230"/>
    <n v="400"/>
    <n v="0.1"/>
    <x v="0"/>
    <n v="5"/>
    <n v="2000"/>
    <n v="200"/>
    <n v="1800"/>
    <n v="1150"/>
    <n v="650"/>
    <n v="0.3611111111111111"/>
    <s v="Understocked"/>
    <s v="Safe"/>
    <n v="0.42499999999999999"/>
    <s v="Safe"/>
    <n v="170"/>
    <n v="0.42499999999999999"/>
  </r>
  <r>
    <s v="ORD-12230"/>
    <x v="184"/>
    <s v="P008"/>
    <x v="4"/>
    <s v="Beverages"/>
    <s v="Soft Drinks"/>
    <s v="Sparkle"/>
    <s v="B07"/>
    <x v="3"/>
    <s v="Enugu"/>
    <x v="3"/>
    <s v="Member"/>
    <s v="Cash"/>
    <n v="4"/>
    <n v="330"/>
    <n v="550"/>
    <n v="0"/>
    <x v="0"/>
    <n v="3"/>
    <n v="2200"/>
    <n v="0"/>
    <n v="2200"/>
    <n v="1320"/>
    <n v="880"/>
    <n v="0.4"/>
    <s v="Healthy"/>
    <s v="Safe"/>
    <n v="0.4"/>
    <s v="Safe"/>
    <n v="220"/>
    <n v="0.4"/>
  </r>
  <r>
    <s v="ORD-12231"/>
    <x v="316"/>
    <s v="P003"/>
    <x v="12"/>
    <s v="Food"/>
    <s v="Cooking Oil"/>
    <s v="SunGold"/>
    <s v="B01"/>
    <x v="2"/>
    <s v="Abuja"/>
    <x v="2"/>
    <s v="Member"/>
    <s v="POS"/>
    <n v="4"/>
    <n v="7800"/>
    <n v="9800"/>
    <n v="0.15"/>
    <x v="8"/>
    <n v="7"/>
    <n v="39200"/>
    <n v="5880"/>
    <n v="33320"/>
    <n v="31200"/>
    <n v="2120"/>
    <n v="6.3625450180072027E-2"/>
    <s v="Understocked"/>
    <s v="Safe"/>
    <n v="0.20408163265306123"/>
    <s v="Safe"/>
    <n v="2000"/>
    <n v="0.20408163265306123"/>
  </r>
  <r>
    <s v="ORD-12232"/>
    <x v="60"/>
    <s v="P003"/>
    <x v="12"/>
    <s v="Food"/>
    <s v="Cooking Oil"/>
    <s v="SunGold"/>
    <s v="B02"/>
    <x v="4"/>
    <s v="Abuja"/>
    <x v="2"/>
    <s v="Member"/>
    <s v="Transfer"/>
    <n v="5"/>
    <n v="7800"/>
    <n v="9800"/>
    <n v="0"/>
    <x v="8"/>
    <n v="5"/>
    <n v="49000"/>
    <n v="0"/>
    <n v="49000"/>
    <n v="39000"/>
    <n v="10000"/>
    <n v="0.20408163265306123"/>
    <s v="Understocked"/>
    <s v="Safe"/>
    <n v="0.20408163265306123"/>
    <s v="Safe"/>
    <n v="2000"/>
    <n v="0.20408163265306123"/>
  </r>
  <r>
    <s v="ORD-12233"/>
    <x v="71"/>
    <s v="P011"/>
    <x v="9"/>
    <s v="Household"/>
    <s v="Cleaning"/>
    <s v="CleanPro"/>
    <s v="B02"/>
    <x v="4"/>
    <s v="Abuja"/>
    <x v="2"/>
    <s v="Member"/>
    <s v="POS"/>
    <n v="2"/>
    <n v="2800"/>
    <n v="3900"/>
    <n v="0.2"/>
    <x v="7"/>
    <n v="4"/>
    <n v="7800"/>
    <n v="1560"/>
    <n v="6240"/>
    <n v="5600"/>
    <n v="640"/>
    <n v="0.10256410256410256"/>
    <s v="Healthy"/>
    <s v="Safe"/>
    <n v="0.28205128205128205"/>
    <s v="Safe"/>
    <n v="1100"/>
    <n v="0.28205128205128205"/>
  </r>
  <r>
    <s v="ORD-12234"/>
    <x v="277"/>
    <s v="P004"/>
    <x v="1"/>
    <s v="Beverages"/>
    <s v="Dairy"/>
    <s v="FreshDay"/>
    <s v="B07"/>
    <x v="3"/>
    <s v="Enugu"/>
    <x v="3"/>
    <s v="Corporate"/>
    <s v="POS"/>
    <n v="4"/>
    <n v="1650"/>
    <n v="2200"/>
    <n v="0.2"/>
    <x v="3"/>
    <n v="2"/>
    <n v="8800"/>
    <n v="1760"/>
    <n v="7040"/>
    <n v="6600"/>
    <n v="440"/>
    <n v="6.25E-2"/>
    <s v="Understocked"/>
    <s v="Safe"/>
    <n v="0.25"/>
    <s v="Safe"/>
    <n v="550"/>
    <n v="0.25"/>
  </r>
  <r>
    <s v="ORD-12235"/>
    <x v="266"/>
    <s v="P004"/>
    <x v="1"/>
    <s v="Beverages"/>
    <s v="Dairy"/>
    <s v="FreshDay"/>
    <s v="B03"/>
    <x v="6"/>
    <s v="Lagos"/>
    <x v="4"/>
    <s v="Walk-in"/>
    <s v="Cash"/>
    <n v="3"/>
    <n v="1650"/>
    <n v="2200"/>
    <n v="0"/>
    <x v="3"/>
    <n v="8"/>
    <n v="6600"/>
    <n v="0"/>
    <n v="6600"/>
    <n v="4950"/>
    <n v="1650"/>
    <n v="0.25"/>
    <s v="Understocked"/>
    <s v="Safe"/>
    <n v="0.25"/>
    <s v="Safe"/>
    <n v="550"/>
    <n v="0.25"/>
  </r>
  <r>
    <s v="ORD-12236"/>
    <x v="120"/>
    <s v="P022"/>
    <x v="17"/>
    <s v="Office Supplies"/>
    <s v="Writing"/>
    <s v="WriteWell"/>
    <s v="B06"/>
    <x v="1"/>
    <s v="Rivers"/>
    <x v="1"/>
    <s v="Walk-in"/>
    <s v="POS"/>
    <n v="-1"/>
    <n v="1300"/>
    <n v="2100"/>
    <n v="0.2"/>
    <x v="14"/>
    <n v="11"/>
    <n v="-2100"/>
    <n v="-420"/>
    <n v="-1680"/>
    <n v="-1300"/>
    <n v="-380"/>
    <n v="0.22619047619047619"/>
    <s v="Understocked"/>
    <s v="Discount loss"/>
    <n v="0.38095238095238093"/>
    <s v="Safe"/>
    <n v="800"/>
    <n v="0.38095238095238093"/>
  </r>
  <r>
    <s v="ORD-12237"/>
    <x v="361"/>
    <s v="P011"/>
    <x v="9"/>
    <s v="Household"/>
    <s v="Cleaning"/>
    <s v="CleanPro"/>
    <s v="B02"/>
    <x v="4"/>
    <s v="Abuja"/>
    <x v="2"/>
    <s v="Walk-in"/>
    <s v="Card"/>
    <n v="2"/>
    <n v="2800"/>
    <n v="3900"/>
    <n v="0.05"/>
    <x v="1"/>
    <n v="4"/>
    <n v="7800"/>
    <n v="390"/>
    <n v="7410"/>
    <n v="5600"/>
    <n v="1810"/>
    <n v="0.24426450742240216"/>
    <s v="Healthy"/>
    <s v="Safe"/>
    <n v="0.28205128205128205"/>
    <s v="Safe"/>
    <n v="1100"/>
    <n v="0.28205128205128205"/>
  </r>
  <r>
    <s v="ORD-12238"/>
    <x v="147"/>
    <s v="P004"/>
    <x v="1"/>
    <s v="Beverages"/>
    <s v="Dairy"/>
    <s v="FreshDay"/>
    <s v="B03"/>
    <x v="6"/>
    <s v="Lagos"/>
    <x v="4"/>
    <s v="Member"/>
    <s v="Cash"/>
    <n v="2"/>
    <n v="1650"/>
    <n v="2200"/>
    <n v="0.2"/>
    <x v="3"/>
    <n v="10"/>
    <n v="4400"/>
    <n v="880"/>
    <n v="3520"/>
    <n v="3300"/>
    <n v="220"/>
    <n v="6.25E-2"/>
    <s v="Understocked"/>
    <s v="Safe"/>
    <n v="0.25"/>
    <s v="Safe"/>
    <n v="550"/>
    <n v="0.25"/>
  </r>
  <r>
    <s v="ORD-12239"/>
    <x v="213"/>
    <s v="P015"/>
    <x v="8"/>
    <s v="Personal Care"/>
    <s v="Bath"/>
    <s v="SilkyTouch"/>
    <s v="B03"/>
    <x v="6"/>
    <s v="Lagos"/>
    <x v="4"/>
    <s v="Member"/>
    <s v="POS"/>
    <n v="1"/>
    <n v="600"/>
    <n v="950"/>
    <n v="0.15"/>
    <x v="10"/>
    <n v="6"/>
    <n v="950"/>
    <n v="142.5"/>
    <n v="807.5"/>
    <n v="600"/>
    <n v="207.5"/>
    <n v="0.25696594427244585"/>
    <s v="Healthy"/>
    <s v="Safe"/>
    <n v="0.36842105263157893"/>
    <s v="Safe"/>
    <n v="350"/>
    <n v="0.36842105263157893"/>
  </r>
  <r>
    <s v="ORD-12240"/>
    <x v="178"/>
    <s v="P005"/>
    <x v="2"/>
    <s v="Food"/>
    <s v="Snacks"/>
    <s v="CrispyBite"/>
    <s v="B05"/>
    <x v="0"/>
    <s v="Kano"/>
    <x v="0"/>
    <s v="Corporate"/>
    <s v="Transfer"/>
    <n v="1"/>
    <n v="850"/>
    <n v="1300"/>
    <n v="0.1"/>
    <x v="1"/>
    <n v="14"/>
    <n v="1300"/>
    <n v="130"/>
    <n v="1170"/>
    <n v="850"/>
    <n v="320"/>
    <n v="0.27350427350427353"/>
    <s v="Understocked"/>
    <s v="Safe"/>
    <n v="0.34615384615384615"/>
    <s v="Safe"/>
    <n v="450"/>
    <n v="0.34615384615384615"/>
  </r>
  <r>
    <s v="ORD-12241"/>
    <x v="101"/>
    <s v="P003"/>
    <x v="12"/>
    <s v="Food"/>
    <s v="Cooking Oil"/>
    <s v="SunGold"/>
    <s v="B03"/>
    <x v="6"/>
    <s v="Lagos"/>
    <x v="4"/>
    <s v="Corporate"/>
    <s v="POS"/>
    <n v="2"/>
    <n v="7800"/>
    <n v="9800"/>
    <n v="0"/>
    <x v="8"/>
    <n v="1"/>
    <n v="19600"/>
    <n v="0"/>
    <n v="19600"/>
    <n v="15600"/>
    <n v="4000"/>
    <n v="0.20408163265306123"/>
    <s v="Understocked"/>
    <s v="Safe"/>
    <n v="0.20408163265306123"/>
    <s v="Safe"/>
    <n v="2000"/>
    <n v="0.20408163265306123"/>
  </r>
  <r>
    <s v="ORD-12242"/>
    <x v="337"/>
    <s v="P015"/>
    <x v="8"/>
    <s v="Personal Care"/>
    <s v="Bath"/>
    <s v="SilkyTouch"/>
    <s v="B04"/>
    <x v="5"/>
    <s v="Lagos"/>
    <x v="4"/>
    <s v="Walk-in"/>
    <s v="Cash"/>
    <n v="3"/>
    <n v="600"/>
    <n v="950"/>
    <n v="0.15"/>
    <x v="10"/>
    <n v="5"/>
    <n v="2850"/>
    <n v="427.5"/>
    <n v="2422.5"/>
    <n v="1800"/>
    <n v="622.5"/>
    <n v="0.25696594427244585"/>
    <s v="Healthy"/>
    <s v="Safe"/>
    <n v="0.36842105263157893"/>
    <s v="Safe"/>
    <n v="350"/>
    <n v="0.36842105263157893"/>
  </r>
  <r>
    <s v="ORD-12243"/>
    <x v="160"/>
    <s v="P011"/>
    <x v="9"/>
    <s v="Household"/>
    <s v="Cleaning"/>
    <s v="CleanPro"/>
    <s v="B03"/>
    <x v="6"/>
    <s v="Lagos"/>
    <x v="4"/>
    <s v="Walk-in"/>
    <s v="POS"/>
    <n v="4"/>
    <n v="2800"/>
    <n v="3900"/>
    <n v="0.1"/>
    <x v="1"/>
    <n v="14"/>
    <n v="15600"/>
    <n v="1560"/>
    <n v="14040"/>
    <n v="11200"/>
    <n v="2840"/>
    <n v="0.20227920227920229"/>
    <s v="Healthy"/>
    <s v="Safe"/>
    <n v="0.28205128205128205"/>
    <s v="Safe"/>
    <n v="1100"/>
    <n v="0.28205128205128205"/>
  </r>
  <r>
    <s v="ORD-12244"/>
    <x v="59"/>
    <s v="P018"/>
    <x v="16"/>
    <s v="Electronics"/>
    <s v="Mobile Accessories"/>
    <s v="VoltSafe"/>
    <s v="B03"/>
    <x v="6"/>
    <s v="Lagos"/>
    <x v="4"/>
    <s v="Walk-in"/>
    <s v="POS"/>
    <n v="3"/>
    <n v="18000"/>
    <n v="24500"/>
    <n v="0.05"/>
    <x v="4"/>
    <n v="1"/>
    <n v="73500"/>
    <n v="3675"/>
    <n v="69825"/>
    <n v="54000"/>
    <n v="15825"/>
    <n v="0.22663802363050484"/>
    <s v="Understocked"/>
    <s v="Safe"/>
    <n v="0.26530612244897961"/>
    <s v="Safe"/>
    <n v="6500"/>
    <n v="0.26530612244897961"/>
  </r>
  <r>
    <s v="ORD-12245"/>
    <x v="36"/>
    <s v="P015"/>
    <x v="8"/>
    <s v="Personal Care"/>
    <s v="Bath"/>
    <s v="SilkyTouch"/>
    <s v="B01"/>
    <x v="2"/>
    <s v="Abuja"/>
    <x v="2"/>
    <s v="Member"/>
    <s v="Cash"/>
    <n v="8"/>
    <n v="600"/>
    <n v="950"/>
    <n v="0.15"/>
    <x v="6"/>
    <n v="6"/>
    <n v="7600"/>
    <n v="1140"/>
    <n v="6460"/>
    <n v="4800"/>
    <n v="1660"/>
    <n v="0.25696594427244585"/>
    <s v="Healthy"/>
    <s v="Safe"/>
    <n v="0.36842105263157893"/>
    <s v="Safe"/>
    <n v="350"/>
    <n v="0.36842105263157893"/>
  </r>
  <r>
    <s v="ORD-12246"/>
    <x v="144"/>
    <s v="P020"/>
    <x v="5"/>
    <s v="Electronics"/>
    <s v="Lighting"/>
    <s v="Luma"/>
    <s v="B02"/>
    <x v="4"/>
    <s v="Abuja"/>
    <x v="2"/>
    <s v="Walk-in"/>
    <s v="Cash"/>
    <n v="1"/>
    <n v="1500"/>
    <n v="2500"/>
    <n v="0"/>
    <x v="4"/>
    <n v="3"/>
    <n v="2500"/>
    <n v="0"/>
    <n v="2500"/>
    <n v="1500"/>
    <n v="1000"/>
    <n v="0.4"/>
    <s v="Healthy"/>
    <s v="Safe"/>
    <n v="0.4"/>
    <s v="Safe"/>
    <n v="1000"/>
    <n v="0.4"/>
  </r>
  <r>
    <s v="ORD-12247"/>
    <x v="364"/>
    <s v="P023"/>
    <x v="6"/>
    <s v="Office Supplies"/>
    <s v="Stationery"/>
    <s v="StudyPro"/>
    <s v="B03"/>
    <x v="6"/>
    <s v="Lagos"/>
    <x v="4"/>
    <s v="Walk-in"/>
    <s v="Cash"/>
    <n v="1"/>
    <n v="2800"/>
    <n v="4200"/>
    <n v="0.2"/>
    <x v="15"/>
    <n v="13"/>
    <n v="4200"/>
    <n v="840"/>
    <n v="3360"/>
    <n v="2800"/>
    <n v="560"/>
    <n v="0.16666666666666666"/>
    <s v="Understocked"/>
    <s v="Safe"/>
    <n v="0.33333333333333331"/>
    <s v="Safe"/>
    <n v="1400"/>
    <n v="0.33333333333333331"/>
  </r>
  <r>
    <s v="ORD-12248"/>
    <x v="317"/>
    <s v="P018"/>
    <x v="16"/>
    <s v="Electronics"/>
    <s v="Mobile Accessories"/>
    <s v="VoltSafe"/>
    <s v="B03"/>
    <x v="6"/>
    <s v="Lagos"/>
    <x v="4"/>
    <s v="Member"/>
    <s v="Card"/>
    <n v="10"/>
    <n v="18000"/>
    <n v="24500"/>
    <n v="0"/>
    <x v="13"/>
    <n v="5"/>
    <n v="245000"/>
    <n v="0"/>
    <n v="245000"/>
    <n v="180000"/>
    <n v="65000"/>
    <n v="0.26530612244897961"/>
    <s v="Understocked"/>
    <s v="Safe"/>
    <n v="0.26530612244897961"/>
    <s v="Safe"/>
    <n v="6500"/>
    <n v="0.26530612244897961"/>
  </r>
  <r>
    <s v="ORD-12249"/>
    <x v="6"/>
    <s v="P021"/>
    <x v="20"/>
    <s v="Office Supplies"/>
    <s v="Paper"/>
    <s v="OfficeMate"/>
    <s v="B02"/>
    <x v="4"/>
    <s v="Abuja"/>
    <x v="2"/>
    <s v="Walk-in"/>
    <s v="POS"/>
    <n v="2"/>
    <n v="5200"/>
    <n v="7000"/>
    <n v="0.15"/>
    <x v="5"/>
    <n v="13"/>
    <n v="14000"/>
    <n v="2100"/>
    <n v="11900"/>
    <n v="10400"/>
    <n v="1500"/>
    <n v="0.12605042016806722"/>
    <s v="Overstocked"/>
    <s v="Safe"/>
    <n v="0.25714285714285712"/>
    <s v="Safe"/>
    <n v="1800"/>
    <n v="0.25714285714285712"/>
  </r>
  <r>
    <s v="ORD-12250"/>
    <x v="226"/>
    <s v="P015"/>
    <x v="8"/>
    <s v="Personal Care"/>
    <s v="Bath"/>
    <s v="SilkyTouch"/>
    <s v="B02"/>
    <x v="4"/>
    <s v="Abuja"/>
    <x v="2"/>
    <s v="Walk-in"/>
    <s v="POS"/>
    <n v="6"/>
    <n v="600"/>
    <n v="950"/>
    <n v="0"/>
    <x v="10"/>
    <n v="7"/>
    <n v="5700"/>
    <n v="0"/>
    <n v="5700"/>
    <n v="3600"/>
    <n v="2100"/>
    <n v="0.36842105263157893"/>
    <s v="Healthy"/>
    <s v="Safe"/>
    <n v="0.36842105263157893"/>
    <s v="Safe"/>
    <n v="350"/>
    <n v="0.36842105263157893"/>
  </r>
  <r>
    <s v="ORD-12251"/>
    <x v="298"/>
    <s v="P001"/>
    <x v="14"/>
    <s v="Food"/>
    <s v="Grains"/>
    <s v="Golden Harvest"/>
    <s v="B04"/>
    <x v="5"/>
    <s v="Lagos"/>
    <x v="4"/>
    <s v="Walk-in"/>
    <s v="Cash"/>
    <n v="4"/>
    <n v="14500"/>
    <n v="17500"/>
    <n v="0.2"/>
    <x v="8"/>
    <n v="13"/>
    <n v="70000"/>
    <n v="14000"/>
    <n v="56000"/>
    <n v="58000"/>
    <n v="-2000"/>
    <n v="-3.5714285714285712E-2"/>
    <s v="Understocked"/>
    <s v="Discount loss"/>
    <n v="0.17142857142857143"/>
    <s v="Discount loss"/>
    <n v="3000"/>
    <n v="0.17142857142857143"/>
  </r>
  <r>
    <s v="ORD-12252"/>
    <x v="249"/>
    <s v="P020"/>
    <x v="5"/>
    <s v="Electronics"/>
    <s v="Lighting"/>
    <s v="Luma"/>
    <s v="B01"/>
    <x v="2"/>
    <s v="Abuja"/>
    <x v="2"/>
    <s v="Walk-in"/>
    <s v="POS"/>
    <n v="5"/>
    <n v="1500"/>
    <n v="2500"/>
    <n v="0.1"/>
    <x v="12"/>
    <n v="10"/>
    <n v="12500"/>
    <n v="1250"/>
    <n v="11250"/>
    <n v="7500"/>
    <n v="3750"/>
    <n v="0.33333333333333331"/>
    <s v="Healthy"/>
    <s v="Safe"/>
    <n v="0.4"/>
    <s v="Safe"/>
    <n v="1000"/>
    <n v="0.4"/>
  </r>
  <r>
    <s v="ORD-12253"/>
    <x v="2"/>
    <s v="P003"/>
    <x v="12"/>
    <s v="Food"/>
    <s v="Cooking Oil"/>
    <s v="SunGold"/>
    <s v="B02"/>
    <x v="4"/>
    <s v="Abuja"/>
    <x v="2"/>
    <s v="Walk-in"/>
    <s v="Card"/>
    <n v="3"/>
    <n v="7800"/>
    <n v="9800"/>
    <n v="0"/>
    <x v="8"/>
    <n v="5"/>
    <n v="29400"/>
    <n v="0"/>
    <n v="29400"/>
    <n v="23400"/>
    <n v="6000"/>
    <n v="0.20408163265306123"/>
    <s v="Understocked"/>
    <s v="Safe"/>
    <n v="0.20408163265306123"/>
    <s v="Safe"/>
    <n v="2000"/>
    <n v="0.20408163265306123"/>
  </r>
  <r>
    <s v="ORD-12254"/>
    <x v="227"/>
    <s v="P007"/>
    <x v="3"/>
    <s v="Beverages"/>
    <s v="Malt"/>
    <s v="Naija Malt"/>
    <s v="B04"/>
    <x v="5"/>
    <s v="Lagos"/>
    <x v="4"/>
    <s v="Walk-in"/>
    <s v="POS"/>
    <n v="6"/>
    <n v="550"/>
    <n v="850"/>
    <n v="0.1"/>
    <x v="2"/>
    <n v="10"/>
    <n v="5100"/>
    <n v="510"/>
    <n v="4590"/>
    <n v="3300"/>
    <n v="1290"/>
    <n v="0.28104575163398693"/>
    <s v="Healthy"/>
    <s v="Safe"/>
    <n v="0.35294117647058826"/>
    <s v="Safe"/>
    <n v="300"/>
    <n v="0.35294117647058826"/>
  </r>
  <r>
    <s v="ORD-12255"/>
    <x v="15"/>
    <s v="P011"/>
    <x v="9"/>
    <s v="Household"/>
    <s v="Cleaning"/>
    <s v="CleanPro"/>
    <s v="B02"/>
    <x v="4"/>
    <s v="Abuja"/>
    <x v="2"/>
    <s v="Walk-in"/>
    <s v="Transfer"/>
    <n v="2"/>
    <n v="2800"/>
    <n v="3900"/>
    <n v="0.1"/>
    <x v="1"/>
    <n v="7"/>
    <n v="7800"/>
    <n v="780"/>
    <n v="7020"/>
    <n v="5600"/>
    <n v="1420"/>
    <n v="0.20227920227920229"/>
    <s v="Healthy"/>
    <s v="Safe"/>
    <n v="0.28205128205128205"/>
    <s v="Safe"/>
    <n v="1100"/>
    <n v="0.28205128205128205"/>
  </r>
  <r>
    <s v="ORD-12256"/>
    <x v="312"/>
    <s v="P020"/>
    <x v="5"/>
    <s v="Electronics"/>
    <s v="Lighting"/>
    <s v="Luma"/>
    <s v="B03"/>
    <x v="6"/>
    <s v="Lagos"/>
    <x v="4"/>
    <s v="Walk-in"/>
    <s v="POS"/>
    <n v="2"/>
    <n v="1500"/>
    <n v="2500"/>
    <n v="0.1"/>
    <x v="13"/>
    <n v="7"/>
    <n v="5000"/>
    <n v="500"/>
    <n v="4500"/>
    <n v="3000"/>
    <n v="1500"/>
    <n v="0.33333333333333331"/>
    <s v="Healthy"/>
    <s v="Safe"/>
    <n v="0.4"/>
    <s v="Safe"/>
    <n v="1000"/>
    <n v="0.4"/>
  </r>
  <r>
    <s v="ORD-12257"/>
    <x v="211"/>
    <s v="P015"/>
    <x v="8"/>
    <s v="Personal Care"/>
    <s v="Bath"/>
    <s v="SilkyTouch"/>
    <s v="B07"/>
    <x v="3"/>
    <s v="Enugu"/>
    <x v="3"/>
    <s v="Member"/>
    <s v="Cash"/>
    <n v="2"/>
    <n v="600"/>
    <n v="950"/>
    <n v="0.05"/>
    <x v="10"/>
    <n v="10"/>
    <n v="1900"/>
    <n v="95"/>
    <n v="1805"/>
    <n v="1200"/>
    <n v="605"/>
    <n v="0.33518005540166207"/>
    <s v="Healthy"/>
    <s v="Safe"/>
    <n v="0.36842105263157893"/>
    <s v="Safe"/>
    <n v="350"/>
    <n v="0.36842105263157893"/>
  </r>
  <r>
    <s v="ORD-12258"/>
    <x v="258"/>
    <s v="P021"/>
    <x v="20"/>
    <s v="Office Supplies"/>
    <s v="Paper"/>
    <s v="OfficeMate"/>
    <s v="B03"/>
    <x v="6"/>
    <s v="Lagos"/>
    <x v="4"/>
    <s v="Walk-in"/>
    <s v="Cash"/>
    <n v="1"/>
    <n v="5200"/>
    <n v="7000"/>
    <n v="0"/>
    <x v="14"/>
    <n v="12"/>
    <n v="7000"/>
    <n v="0"/>
    <n v="7000"/>
    <n v="5200"/>
    <n v="1800"/>
    <n v="0.25714285714285712"/>
    <s v="Overstocked"/>
    <s v="Safe"/>
    <n v="0.25714285714285712"/>
    <s v="Safe"/>
    <n v="1800"/>
    <n v="0.25714285714285712"/>
  </r>
  <r>
    <s v="ORD-12259"/>
    <x v="225"/>
    <s v="P006"/>
    <x v="0"/>
    <s v="Beverages"/>
    <s v="Water"/>
    <s v="AquaPure"/>
    <s v="B03"/>
    <x v="6"/>
    <s v="Lagos"/>
    <x v="4"/>
    <s v="Walk-in"/>
    <s v="POS"/>
    <n v="2"/>
    <n v="230"/>
    <n v="400"/>
    <n v="0.1"/>
    <x v="3"/>
    <n v="5"/>
    <n v="800"/>
    <n v="80"/>
    <n v="720"/>
    <n v="460"/>
    <n v="260"/>
    <n v="0.3611111111111111"/>
    <s v="Understocked"/>
    <s v="Safe"/>
    <n v="0.42499999999999999"/>
    <s v="Safe"/>
    <n v="170"/>
    <n v="0.42499999999999999"/>
  </r>
  <r>
    <s v="ORD-12260"/>
    <x v="207"/>
    <s v="P009"/>
    <x v="13"/>
    <s v="Household"/>
    <s v="Cleaning"/>
    <s v="BrightWash"/>
    <s v="B03"/>
    <x v="6"/>
    <s v="Lagos"/>
    <x v="4"/>
    <s v="Walk-in"/>
    <s v="Transfer"/>
    <n v="6"/>
    <n v="2400"/>
    <n v="3400"/>
    <n v="0.05"/>
    <x v="7"/>
    <n v="6"/>
    <n v="20400"/>
    <n v="1020"/>
    <n v="19380"/>
    <n v="14400"/>
    <n v="4980"/>
    <n v="0.25696594427244585"/>
    <s v="Healthy"/>
    <s v="Safe"/>
    <n v="0.29411764705882354"/>
    <s v="Safe"/>
    <n v="1000"/>
    <n v="0.29411764705882354"/>
  </r>
  <r>
    <s v="ORD-12261"/>
    <x v="246"/>
    <s v="P020"/>
    <x v="5"/>
    <s v="Electronics"/>
    <s v="Lighting"/>
    <s v="Luma"/>
    <s v="B02"/>
    <x v="4"/>
    <s v="Abuja"/>
    <x v="2"/>
    <s v="Member"/>
    <s v="Card"/>
    <n v="1"/>
    <n v="1500"/>
    <n v="2500"/>
    <n v="0.05"/>
    <x v="12"/>
    <n v="6"/>
    <n v="2500"/>
    <n v="125"/>
    <n v="2375"/>
    <n v="1500"/>
    <n v="875"/>
    <n v="0.36842105263157893"/>
    <s v="Healthy"/>
    <s v="Safe"/>
    <n v="0.4"/>
    <s v="Safe"/>
    <n v="1000"/>
    <n v="0.4"/>
  </r>
  <r>
    <s v="ORD-12262"/>
    <x v="47"/>
    <s v="P018"/>
    <x v="16"/>
    <s v="Electronics"/>
    <s v="Mobile Accessories"/>
    <s v="VoltSafe"/>
    <s v="B04"/>
    <x v="5"/>
    <s v="Lagos"/>
    <x v="4"/>
    <s v="Walk-in"/>
    <s v="POS"/>
    <n v="4"/>
    <n v="18000"/>
    <n v="24500"/>
    <n v="0.2"/>
    <x v="13"/>
    <n v="1"/>
    <n v="98000"/>
    <n v="19600"/>
    <n v="78400"/>
    <n v="72000"/>
    <n v="6400"/>
    <n v="8.1632653061224483E-2"/>
    <s v="Understocked"/>
    <s v="Safe"/>
    <n v="0.26530612244897961"/>
    <s v="Safe"/>
    <n v="6500"/>
    <n v="0.26530612244897961"/>
  </r>
  <r>
    <s v="ORD-12263"/>
    <x v="97"/>
    <s v="P007"/>
    <x v="3"/>
    <s v="Beverages"/>
    <s v="Malt"/>
    <s v="Naija Malt"/>
    <s v="B04"/>
    <x v="5"/>
    <s v="Lagos"/>
    <x v="4"/>
    <s v="Member"/>
    <s v="POS"/>
    <n v="8"/>
    <n v="550"/>
    <n v="850"/>
    <n v="0.15"/>
    <x v="0"/>
    <n v="7"/>
    <n v="6800"/>
    <n v="1020"/>
    <n v="5780"/>
    <n v="4400"/>
    <n v="1380"/>
    <n v="0.23875432525951557"/>
    <s v="Healthy"/>
    <s v="Safe"/>
    <n v="0.35294117647058826"/>
    <s v="Safe"/>
    <n v="300"/>
    <n v="0.35294117647058826"/>
  </r>
  <r>
    <s v="ORD-12264"/>
    <x v="193"/>
    <s v="P020"/>
    <x v="5"/>
    <s v="Electronics"/>
    <s v="Lighting"/>
    <s v="Luma"/>
    <s v="B08"/>
    <x v="7"/>
    <s v="Kwara"/>
    <x v="2"/>
    <s v="Walk-in"/>
    <s v="Card"/>
    <n v="1"/>
    <n v="1500"/>
    <n v="2500"/>
    <n v="0.05"/>
    <x v="13"/>
    <n v="5"/>
    <n v="2500"/>
    <n v="125"/>
    <n v="2375"/>
    <n v="1500"/>
    <n v="875"/>
    <n v="0.36842105263157893"/>
    <s v="Healthy"/>
    <s v="Safe"/>
    <n v="0.4"/>
    <s v="Safe"/>
    <n v="1000"/>
    <n v="0.4"/>
  </r>
  <r>
    <s v="ORD-12265"/>
    <x v="343"/>
    <s v="P006"/>
    <x v="0"/>
    <s v="Beverages"/>
    <s v="Water"/>
    <s v="AquaPure"/>
    <s v="B04"/>
    <x v="5"/>
    <s v="Lagos"/>
    <x v="4"/>
    <s v="Walk-in"/>
    <s v="POS"/>
    <n v="5"/>
    <n v="230"/>
    <n v="400"/>
    <n v="0.1"/>
    <x v="0"/>
    <n v="3"/>
    <n v="2000"/>
    <n v="200"/>
    <n v="1800"/>
    <n v="1150"/>
    <n v="650"/>
    <n v="0.3611111111111111"/>
    <s v="Understocked"/>
    <s v="Safe"/>
    <n v="0.42499999999999999"/>
    <s v="Safe"/>
    <n v="170"/>
    <n v="0.42499999999999999"/>
  </r>
  <r>
    <s v="ORD-12266"/>
    <x v="183"/>
    <s v="P015"/>
    <x v="8"/>
    <s v="Personal Care"/>
    <s v="Bath"/>
    <s v="SilkyTouch"/>
    <s v="B06"/>
    <x v="1"/>
    <s v="Rivers"/>
    <x v="1"/>
    <s v="Walk-in"/>
    <s v="POS"/>
    <n v="3"/>
    <n v="600"/>
    <n v="950"/>
    <n v="0.05"/>
    <x v="11"/>
    <n v="7"/>
    <n v="2850"/>
    <n v="142.5"/>
    <n v="2707.5"/>
    <n v="1800"/>
    <n v="907.5"/>
    <n v="0.33518005540166207"/>
    <s v="Healthy"/>
    <s v="Safe"/>
    <n v="0.36842105263157893"/>
    <s v="Safe"/>
    <n v="350"/>
    <n v="0.36842105263157893"/>
  </r>
  <r>
    <s v="ORD-12267"/>
    <x v="10"/>
    <s v="P011"/>
    <x v="9"/>
    <s v="Household"/>
    <s v="Cleaning"/>
    <s v="CleanPro"/>
    <s v="B02"/>
    <x v="4"/>
    <s v="Abuja"/>
    <x v="2"/>
    <s v="Member"/>
    <s v="POS"/>
    <n v="2"/>
    <n v="2800"/>
    <n v="3900"/>
    <n v="0"/>
    <x v="1"/>
    <n v="6"/>
    <n v="7800"/>
    <n v="0"/>
    <n v="7800"/>
    <n v="5600"/>
    <n v="2200"/>
    <n v="0.28205128205128205"/>
    <s v="Healthy"/>
    <s v="Safe"/>
    <n v="0.28205128205128205"/>
    <s v="Safe"/>
    <n v="1100"/>
    <n v="0.28205128205128205"/>
  </r>
  <r>
    <s v="ORD-12268"/>
    <x v="170"/>
    <s v="P007"/>
    <x v="3"/>
    <s v="Beverages"/>
    <s v="Malt"/>
    <s v="Naija Malt"/>
    <s v="B04"/>
    <x v="5"/>
    <s v="Lagos"/>
    <x v="4"/>
    <s v="Walk-in"/>
    <s v="Cash"/>
    <n v="1"/>
    <n v="550"/>
    <n v="850"/>
    <n v="0.15"/>
    <x v="3"/>
    <n v="6"/>
    <n v="850"/>
    <n v="127.5"/>
    <n v="722.5"/>
    <n v="550"/>
    <n v="172.5"/>
    <n v="0.23875432525951557"/>
    <s v="Healthy"/>
    <s v="Safe"/>
    <n v="0.35294117647058826"/>
    <s v="Safe"/>
    <n v="300"/>
    <n v="0.35294117647058826"/>
  </r>
  <r>
    <s v="ORD-12269"/>
    <x v="352"/>
    <s v="P022"/>
    <x v="17"/>
    <s v="Office Supplies"/>
    <s v="Writing"/>
    <s v="WriteWell"/>
    <s v="B03"/>
    <x v="6"/>
    <s v="Lagos"/>
    <x v="4"/>
    <s v="Walk-in"/>
    <s v="POS"/>
    <n v="4"/>
    <n v="1300"/>
    <n v="2100"/>
    <n v="0.2"/>
    <x v="15"/>
    <n v="10"/>
    <n v="8400"/>
    <n v="1680"/>
    <n v="6720"/>
    <n v="5200"/>
    <n v="1520"/>
    <n v="0.22619047619047619"/>
    <s v="Understocked"/>
    <s v="Safe"/>
    <n v="0.38095238095238093"/>
    <s v="Safe"/>
    <n v="800"/>
    <n v="0.38095238095238093"/>
  </r>
  <r>
    <s v="ORD-12270"/>
    <x v="184"/>
    <s v="P014"/>
    <x v="15"/>
    <s v="Personal Care"/>
    <s v="Oral Care"/>
    <s v="FreshMint"/>
    <s v="B01"/>
    <x v="2"/>
    <s v="Abuja"/>
    <x v="2"/>
    <s v="Walk-in"/>
    <s v="Card"/>
    <n v="8"/>
    <n v="1200"/>
    <n v="1900"/>
    <n v="0.15"/>
    <x v="11"/>
    <n v="10"/>
    <n v="15200"/>
    <n v="2280"/>
    <n v="12920"/>
    <n v="9600"/>
    <n v="3320"/>
    <n v="0.25696594427244585"/>
    <s v="Healthy"/>
    <s v="Safe"/>
    <n v="0.36842105263157893"/>
    <s v="Safe"/>
    <n v="700"/>
    <n v="0.36842105263157893"/>
  </r>
  <r>
    <s v="ORD-12271"/>
    <x v="340"/>
    <s v="P001"/>
    <x v="14"/>
    <s v="Food"/>
    <s v="Grains"/>
    <s v="Golden Harvest"/>
    <s v="B01"/>
    <x v="2"/>
    <s v="Abuja"/>
    <x v="2"/>
    <s v="Walk-in"/>
    <s v="POS"/>
    <n v="4"/>
    <n v="14500"/>
    <n v="17500"/>
    <n v="0.05"/>
    <x v="9"/>
    <n v="3"/>
    <n v="70000"/>
    <n v="3500"/>
    <n v="66500"/>
    <n v="58000"/>
    <n v="8500"/>
    <n v="0.12781954887218044"/>
    <s v="Understocked"/>
    <s v="Safe"/>
    <n v="0.17142857142857143"/>
    <s v="Safe"/>
    <n v="3000"/>
    <n v="0.17142857142857143"/>
  </r>
  <r>
    <s v="ORD-12272"/>
    <x v="346"/>
    <s v="P005"/>
    <x v="2"/>
    <s v="Food"/>
    <s v="Snacks"/>
    <s v="CrispyBite"/>
    <s v="B07"/>
    <x v="3"/>
    <s v="Enugu"/>
    <x v="3"/>
    <s v="Corporate"/>
    <s v="Transfer"/>
    <n v="2"/>
    <n v="850"/>
    <n v="1300"/>
    <n v="0.15"/>
    <x v="9"/>
    <n v="3"/>
    <n v="2600"/>
    <n v="390"/>
    <n v="2210"/>
    <n v="1700"/>
    <n v="510"/>
    <n v="0.23076923076923078"/>
    <s v="Understocked"/>
    <s v="Safe"/>
    <n v="0.34615384615384615"/>
    <s v="Safe"/>
    <n v="450"/>
    <n v="0.34615384615384615"/>
  </r>
  <r>
    <s v="ORD-12273"/>
    <x v="288"/>
    <s v="P014"/>
    <x v="15"/>
    <s v="Personal Care"/>
    <s v="Oral Care"/>
    <s v="FreshMint"/>
    <s v="B01"/>
    <x v="2"/>
    <s v="Abuja"/>
    <x v="2"/>
    <s v="Member"/>
    <s v="Cash"/>
    <n v="2"/>
    <n v="1200"/>
    <n v="1900"/>
    <n v="0"/>
    <x v="6"/>
    <n v="4"/>
    <n v="3800"/>
    <n v="0"/>
    <n v="3800"/>
    <n v="2400"/>
    <n v="1400"/>
    <n v="0.36842105263157893"/>
    <s v="Healthy"/>
    <s v="Safe"/>
    <n v="0.36842105263157893"/>
    <s v="Safe"/>
    <n v="700"/>
    <n v="0.36842105263157893"/>
  </r>
  <r>
    <s v="ORD-12274"/>
    <x v="11"/>
    <s v="P009"/>
    <x v="13"/>
    <s v="Household"/>
    <s v="Cleaning"/>
    <s v="BrightWash"/>
    <s v="B02"/>
    <x v="4"/>
    <s v="Abuja"/>
    <x v="2"/>
    <s v="Walk-in"/>
    <s v="POS"/>
    <n v="1"/>
    <n v="2400"/>
    <n v="3400"/>
    <n v="0.15"/>
    <x v="7"/>
    <n v="7"/>
    <n v="3400"/>
    <n v="510"/>
    <n v="2890"/>
    <n v="2400"/>
    <n v="490"/>
    <n v="0.16955017301038061"/>
    <s v="Healthy"/>
    <s v="Safe"/>
    <n v="0.29411764705882354"/>
    <s v="Safe"/>
    <n v="1000"/>
    <n v="0.29411764705882354"/>
  </r>
  <r>
    <s v="ORD-12275"/>
    <x v="328"/>
    <s v="P001"/>
    <x v="14"/>
    <s v="Food"/>
    <s v="Grains"/>
    <s v="Golden Harvest"/>
    <s v="B08"/>
    <x v="7"/>
    <s v="Kwara"/>
    <x v="2"/>
    <s v="Walk-in"/>
    <s v="Cash"/>
    <n v="8"/>
    <n v="14500"/>
    <n v="17500"/>
    <n v="0"/>
    <x v="8"/>
    <n v="5"/>
    <n v="140000"/>
    <n v="0"/>
    <n v="140000"/>
    <n v="116000"/>
    <n v="24000"/>
    <n v="0.17142857142857143"/>
    <s v="Understocked"/>
    <s v="Safe"/>
    <n v="0.17142857142857143"/>
    <s v="Safe"/>
    <n v="3000"/>
    <n v="0.17142857142857143"/>
  </r>
  <r>
    <s v="ORD-12276"/>
    <x v="113"/>
    <s v="P015"/>
    <x v="8"/>
    <s v="Personal Care"/>
    <s v="Bath"/>
    <s v="SilkyTouch"/>
    <s v="B07"/>
    <x v="3"/>
    <s v="Enugu"/>
    <x v="3"/>
    <s v="Member"/>
    <s v="Transfer"/>
    <n v="1"/>
    <n v="600"/>
    <n v="950"/>
    <n v="0.2"/>
    <x v="6"/>
    <n v="12"/>
    <n v="950"/>
    <n v="190"/>
    <n v="760"/>
    <n v="600"/>
    <n v="160"/>
    <n v="0.21052631578947367"/>
    <s v="Healthy"/>
    <s v="Safe"/>
    <n v="0.36842105263157893"/>
    <s v="Safe"/>
    <n v="350"/>
    <n v="0.36842105263157893"/>
  </r>
  <r>
    <s v="ORD-12277"/>
    <x v="148"/>
    <s v="P001"/>
    <x v="14"/>
    <s v="Food"/>
    <s v="Grains"/>
    <s v="Golden Harvest"/>
    <s v="B04"/>
    <x v="5"/>
    <s v="Lagos"/>
    <x v="4"/>
    <s v="Walk-in"/>
    <s v="Cash"/>
    <n v="2"/>
    <n v="14500"/>
    <n v="17500"/>
    <n v="0"/>
    <x v="8"/>
    <n v="11"/>
    <n v="35000"/>
    <n v="0"/>
    <n v="35000"/>
    <n v="29000"/>
    <n v="6000"/>
    <n v="0.17142857142857143"/>
    <s v="Understocked"/>
    <s v="Safe"/>
    <n v="0.17142857142857143"/>
    <s v="Safe"/>
    <n v="3000"/>
    <n v="0.17142857142857143"/>
  </r>
  <r>
    <s v="ORD-12278"/>
    <x v="334"/>
    <s v="P014"/>
    <x v="15"/>
    <s v="Personal Care"/>
    <s v="Oral Care"/>
    <s v="FreshMint"/>
    <s v="B02"/>
    <x v="4"/>
    <s v="Abuja"/>
    <x v="2"/>
    <s v="Walk-in"/>
    <s v="Cash"/>
    <n v="6"/>
    <n v="1200"/>
    <n v="1900"/>
    <n v="0"/>
    <x v="10"/>
    <n v="5"/>
    <n v="11400"/>
    <n v="0"/>
    <n v="11400"/>
    <n v="7200"/>
    <n v="4200"/>
    <n v="0.36842105263157893"/>
    <s v="Healthy"/>
    <s v="Safe"/>
    <n v="0.36842105263157893"/>
    <s v="Safe"/>
    <n v="700"/>
    <n v="0.36842105263157893"/>
  </r>
  <r>
    <s v="ORD-12279"/>
    <x v="204"/>
    <s v="P023"/>
    <x v="6"/>
    <s v="Office Supplies"/>
    <s v="Stationery"/>
    <s v="StudyPro"/>
    <s v="B03"/>
    <x v="6"/>
    <s v="Lagos"/>
    <x v="4"/>
    <s v="Walk-in"/>
    <s v="Card"/>
    <n v="8"/>
    <n v="2800"/>
    <n v="4200"/>
    <n v="0.1"/>
    <x v="14"/>
    <n v="2"/>
    <n v="33600"/>
    <n v="3360"/>
    <n v="30240"/>
    <n v="22400"/>
    <n v="7840"/>
    <n v="0.25925925925925924"/>
    <s v="Understocked"/>
    <s v="Safe"/>
    <n v="0.33333333333333331"/>
    <s v="Safe"/>
    <n v="1400"/>
    <n v="0.33333333333333331"/>
  </r>
  <r>
    <s v="ORD-12280"/>
    <x v="237"/>
    <s v="P008"/>
    <x v="4"/>
    <s v="Beverages"/>
    <s v="Soft Drinks"/>
    <s v="Sparkle"/>
    <s v="B04"/>
    <x v="5"/>
    <s v="Lagos"/>
    <x v="4"/>
    <s v="Walk-in"/>
    <s v="POS"/>
    <n v="4"/>
    <n v="330"/>
    <n v="550"/>
    <n v="0.05"/>
    <x v="3"/>
    <n v="7"/>
    <n v="2200"/>
    <n v="110"/>
    <n v="2090"/>
    <n v="1320"/>
    <n v="770"/>
    <n v="0.36842105263157893"/>
    <s v="Healthy"/>
    <s v="Safe"/>
    <n v="0.4"/>
    <s v="Safe"/>
    <n v="220"/>
    <n v="0.4"/>
  </r>
  <r>
    <s v="ORD-12281"/>
    <x v="293"/>
    <s v="P018"/>
    <x v="16"/>
    <s v="Electronics"/>
    <s v="Mobile Accessories"/>
    <s v="VoltSafe"/>
    <s v="B05"/>
    <x v="0"/>
    <s v="Kano"/>
    <x v="0"/>
    <s v="Member"/>
    <s v="POS"/>
    <n v="1"/>
    <n v="18000"/>
    <n v="24500"/>
    <n v="0.2"/>
    <x v="4"/>
    <n v="8"/>
    <n v="24500"/>
    <n v="4900"/>
    <n v="19600"/>
    <n v="18000"/>
    <n v="1600"/>
    <n v="8.1632653061224483E-2"/>
    <s v="Understocked"/>
    <s v="Safe"/>
    <n v="0.26530612244897961"/>
    <s v="Safe"/>
    <n v="6500"/>
    <n v="0.26530612244897961"/>
  </r>
  <r>
    <s v="ORD-12282"/>
    <x v="357"/>
    <s v="P003"/>
    <x v="12"/>
    <s v="Food"/>
    <s v="Cooking Oil"/>
    <s v="SunGold"/>
    <s v="B04"/>
    <x v="5"/>
    <s v="Lagos"/>
    <x v="4"/>
    <s v="Member"/>
    <s v="POS"/>
    <n v="1"/>
    <n v="7800"/>
    <n v="9800"/>
    <n v="0"/>
    <x v="1"/>
    <n v="4"/>
    <n v="9800"/>
    <n v="0"/>
    <n v="9800"/>
    <n v="7800"/>
    <n v="2000"/>
    <n v="0.20408163265306123"/>
    <s v="Understocked"/>
    <s v="Safe"/>
    <n v="0.20408163265306123"/>
    <s v="Safe"/>
    <n v="2000"/>
    <n v="0.20408163265306123"/>
  </r>
  <r>
    <s v="ORD-12283"/>
    <x v="209"/>
    <s v="P004"/>
    <x v="1"/>
    <s v="Beverages"/>
    <s v="Dairy"/>
    <s v="FreshDay"/>
    <s v="B07"/>
    <x v="3"/>
    <s v="Enugu"/>
    <x v="3"/>
    <s v="Walk-in"/>
    <s v="POS"/>
    <n v="2"/>
    <n v="1650"/>
    <n v="2200"/>
    <n v="0"/>
    <x v="3"/>
    <n v="13"/>
    <n v="4400"/>
    <n v="0"/>
    <n v="4400"/>
    <n v="3300"/>
    <n v="1100"/>
    <n v="0.25"/>
    <s v="Understocked"/>
    <s v="Safe"/>
    <n v="0.25"/>
    <s v="Safe"/>
    <n v="550"/>
    <n v="0.25"/>
  </r>
  <r>
    <s v="ORD-12284"/>
    <x v="158"/>
    <s v="P006"/>
    <x v="0"/>
    <s v="Beverages"/>
    <s v="Water"/>
    <s v="AquaPure"/>
    <s v="B03"/>
    <x v="6"/>
    <s v="Lagos"/>
    <x v="4"/>
    <s v="Member"/>
    <s v="POS"/>
    <n v="2"/>
    <n v="230"/>
    <n v="400"/>
    <n v="0"/>
    <x v="2"/>
    <n v="10"/>
    <n v="800"/>
    <n v="0"/>
    <n v="800"/>
    <n v="460"/>
    <n v="340"/>
    <n v="0.42499999999999999"/>
    <s v="Understocked"/>
    <s v="Safe"/>
    <n v="0.42499999999999999"/>
    <s v="Safe"/>
    <n v="170"/>
    <n v="0.42499999999999999"/>
  </r>
  <r>
    <s v="ORD-12285"/>
    <x v="199"/>
    <s v="P004"/>
    <x v="1"/>
    <s v="Beverages"/>
    <s v="Dairy"/>
    <s v="FreshDay"/>
    <s v="B07"/>
    <x v="3"/>
    <s v="Enugu"/>
    <x v="3"/>
    <s v="Walk-in"/>
    <s v="POS"/>
    <n v="5"/>
    <n v="1650"/>
    <n v="2200"/>
    <n v="0.05"/>
    <x v="3"/>
    <n v="7"/>
    <n v="11000"/>
    <n v="550"/>
    <n v="10450"/>
    <n v="8250"/>
    <n v="2200"/>
    <n v="0.21052631578947367"/>
    <s v="Understocked"/>
    <s v="Safe"/>
    <n v="0.25"/>
    <s v="Safe"/>
    <n v="550"/>
    <n v="0.25"/>
  </r>
  <r>
    <s v="ORD-12286"/>
    <x v="137"/>
    <s v="P006"/>
    <x v="0"/>
    <s v="Beverages"/>
    <s v="Water"/>
    <s v="AquaPure"/>
    <s v="B04"/>
    <x v="5"/>
    <s v="Lagos"/>
    <x v="4"/>
    <s v="Member"/>
    <s v="Cash"/>
    <n v="1"/>
    <n v="230"/>
    <n v="400"/>
    <n v="0.05"/>
    <x v="3"/>
    <n v="1"/>
    <n v="400"/>
    <n v="20"/>
    <n v="380"/>
    <n v="230"/>
    <n v="150"/>
    <n v="0.39473684210526316"/>
    <s v="Understocked"/>
    <s v="Safe"/>
    <n v="0.42499999999999999"/>
    <s v="Safe"/>
    <n v="170"/>
    <n v="0.42499999999999999"/>
  </r>
  <r>
    <s v="ORD-12287"/>
    <x v="32"/>
    <s v="P009"/>
    <x v="13"/>
    <s v="Household"/>
    <s v="Cleaning"/>
    <s v="BrightWash"/>
    <s v="B03"/>
    <x v="6"/>
    <s v="Lagos"/>
    <x v="4"/>
    <s v="Corporate"/>
    <s v="Cash"/>
    <n v="6"/>
    <n v="2400"/>
    <n v="3400"/>
    <n v="0.05"/>
    <x v="10"/>
    <n v="12"/>
    <n v="20400"/>
    <n v="1020"/>
    <n v="19380"/>
    <n v="14400"/>
    <n v="4980"/>
    <n v="0.25696594427244585"/>
    <s v="Healthy"/>
    <s v="Safe"/>
    <n v="0.29411764705882354"/>
    <s v="Safe"/>
    <n v="1000"/>
    <n v="0.29411764705882354"/>
  </r>
  <r>
    <s v="ORD-12288"/>
    <x v="183"/>
    <s v="P017"/>
    <x v="23"/>
    <s v="Electronics"/>
    <s v="Accessories"/>
    <s v="PowerMax"/>
    <s v="B05"/>
    <x v="0"/>
    <s v="Kano"/>
    <x v="0"/>
    <s v="Member"/>
    <s v="Transfer"/>
    <n v="5"/>
    <n v="7500"/>
    <n v="10500"/>
    <n v="0"/>
    <x v="4"/>
    <n v="5"/>
    <n v="52500"/>
    <n v="0"/>
    <n v="52500"/>
    <n v="37500"/>
    <n v="15000"/>
    <n v="0.2857142857142857"/>
    <s v="Healthy"/>
    <s v="Safe"/>
    <n v="0.2857142857142857"/>
    <s v="Safe"/>
    <n v="3000"/>
    <n v="0.2857142857142857"/>
  </r>
  <r>
    <s v="ORD-12289"/>
    <x v="207"/>
    <s v="P006"/>
    <x v="0"/>
    <s v="Beverages"/>
    <s v="Water"/>
    <s v="AquaPure"/>
    <s v="B07"/>
    <x v="3"/>
    <s v="Enugu"/>
    <x v="3"/>
    <s v="Walk-in"/>
    <s v="Transfer"/>
    <n v="3"/>
    <n v="230"/>
    <n v="400"/>
    <n v="0.1"/>
    <x v="0"/>
    <n v="5"/>
    <n v="1200"/>
    <n v="120"/>
    <n v="1080"/>
    <n v="690"/>
    <n v="390"/>
    <n v="0.3611111111111111"/>
    <s v="Understocked"/>
    <s v="Safe"/>
    <n v="0.42499999999999999"/>
    <s v="Safe"/>
    <n v="170"/>
    <n v="0.42499999999999999"/>
  </r>
  <r>
    <s v="ORD-12290"/>
    <x v="294"/>
    <s v="P001"/>
    <x v="14"/>
    <s v="Food"/>
    <s v="Grains"/>
    <s v="Golden Harvest"/>
    <s v="B06"/>
    <x v="1"/>
    <s v="Rivers"/>
    <x v="1"/>
    <s v="Member"/>
    <s v="POS"/>
    <n v="1"/>
    <n v="14500"/>
    <n v="17500"/>
    <n v="0.1"/>
    <x v="8"/>
    <n v="7"/>
    <n v="17500"/>
    <n v="1750"/>
    <n v="15750"/>
    <n v="14500"/>
    <n v="1250"/>
    <n v="7.9365079365079361E-2"/>
    <s v="Understocked"/>
    <s v="Safe"/>
    <n v="0.17142857142857143"/>
    <s v="Safe"/>
    <n v="3000"/>
    <n v="0.17142857142857143"/>
  </r>
  <r>
    <s v="ORD-12291"/>
    <x v="84"/>
    <s v="P020"/>
    <x v="5"/>
    <s v="Electronics"/>
    <s v="Lighting"/>
    <s v="Luma"/>
    <s v="B01"/>
    <x v="2"/>
    <s v="Abuja"/>
    <x v="2"/>
    <s v="Walk-in"/>
    <s v="POS"/>
    <n v="6"/>
    <n v="1500"/>
    <n v="2500"/>
    <n v="0.1"/>
    <x v="4"/>
    <n v="6"/>
    <n v="15000"/>
    <n v="1500"/>
    <n v="13500"/>
    <n v="9000"/>
    <n v="4500"/>
    <n v="0.33333333333333331"/>
    <s v="Healthy"/>
    <s v="Safe"/>
    <n v="0.4"/>
    <s v="Safe"/>
    <n v="1000"/>
    <n v="0.4"/>
  </r>
  <r>
    <s v="ORD-12292"/>
    <x v="328"/>
    <s v="P002"/>
    <x v="10"/>
    <s v="Food"/>
    <s v="Grains"/>
    <s v="Mama's Pride"/>
    <s v="B03"/>
    <x v="6"/>
    <s v="Lagos"/>
    <x v="4"/>
    <s v="Walk-in"/>
    <s v="Cash"/>
    <n v="3"/>
    <n v="6200"/>
    <n v="7900"/>
    <n v="0.1"/>
    <x v="8"/>
    <n v="8"/>
    <n v="23700"/>
    <n v="2370"/>
    <n v="21330"/>
    <n v="18600"/>
    <n v="2730"/>
    <n v="0.12798874824191281"/>
    <s v="Healthy"/>
    <s v="Safe"/>
    <n v="0.21518987341772153"/>
    <s v="Safe"/>
    <n v="1700"/>
    <n v="0.21518987341772153"/>
  </r>
  <r>
    <s v="ORD-12293"/>
    <x v="338"/>
    <s v="P011"/>
    <x v="9"/>
    <s v="Household"/>
    <s v="Cleaning"/>
    <s v="CleanPro"/>
    <s v="B01"/>
    <x v="2"/>
    <s v="Abuja"/>
    <x v="2"/>
    <s v="Walk-in"/>
    <s v="Transfer"/>
    <n v="5"/>
    <n v="2800"/>
    <n v="3900"/>
    <n v="0.05"/>
    <x v="1"/>
    <n v="7"/>
    <n v="19500"/>
    <n v="975"/>
    <n v="18525"/>
    <n v="14000"/>
    <n v="4525"/>
    <n v="0.24426450742240216"/>
    <s v="Healthy"/>
    <s v="Safe"/>
    <n v="0.28205128205128205"/>
    <s v="Safe"/>
    <n v="1100"/>
    <n v="0.28205128205128205"/>
  </r>
  <r>
    <s v="ORD-12294"/>
    <x v="40"/>
    <s v="P007"/>
    <x v="3"/>
    <s v="Beverages"/>
    <s v="Malt"/>
    <s v="Naija Malt"/>
    <s v="B06"/>
    <x v="1"/>
    <s v="Rivers"/>
    <x v="1"/>
    <s v="Walk-in"/>
    <s v="POS"/>
    <n v="2"/>
    <n v="550"/>
    <n v="850"/>
    <n v="0.05"/>
    <x v="2"/>
    <n v="5"/>
    <n v="1700"/>
    <n v="85"/>
    <n v="1615"/>
    <n v="1100"/>
    <n v="515"/>
    <n v="0.31888544891640869"/>
    <s v="Healthy"/>
    <s v="Safe"/>
    <n v="0.35294117647058826"/>
    <s v="Safe"/>
    <n v="300"/>
    <n v="0.35294117647058826"/>
  </r>
  <r>
    <s v="ORD-12295"/>
    <x v="351"/>
    <s v="P009"/>
    <x v="13"/>
    <s v="Household"/>
    <s v="Cleaning"/>
    <s v="BrightWash"/>
    <s v="B02"/>
    <x v="4"/>
    <s v="Abuja"/>
    <x v="2"/>
    <s v="Member"/>
    <s v="Cash"/>
    <n v="2"/>
    <n v="2400"/>
    <n v="3400"/>
    <n v="0.1"/>
    <x v="10"/>
    <n v="8"/>
    <n v="6800"/>
    <n v="680"/>
    <n v="6120"/>
    <n v="4800"/>
    <n v="1320"/>
    <n v="0.21568627450980393"/>
    <s v="Healthy"/>
    <s v="Safe"/>
    <n v="0.29411764705882354"/>
    <s v="Safe"/>
    <n v="1000"/>
    <n v="0.29411764705882354"/>
  </r>
  <r>
    <s v="ORD-12296"/>
    <x v="50"/>
    <s v="P010"/>
    <x v="22"/>
    <s v="Household"/>
    <s v="Paper Products"/>
    <s v="SoftCare"/>
    <s v="B01"/>
    <x v="2"/>
    <s v="Abuja"/>
    <x v="2"/>
    <s v="Member"/>
    <s v="Transfer"/>
    <n v="4"/>
    <n v="3200"/>
    <n v="4500"/>
    <n v="0.05"/>
    <x v="1"/>
    <n v="11"/>
    <n v="18000"/>
    <n v="900"/>
    <n v="17100"/>
    <n v="12800"/>
    <n v="4300"/>
    <n v="0.25146198830409355"/>
    <s v="Healthy"/>
    <s v="Safe"/>
    <n v="0.28888888888888886"/>
    <s v="Safe"/>
    <n v="1300"/>
    <n v="0.28888888888888886"/>
  </r>
  <r>
    <s v="ORD-12297"/>
    <x v="319"/>
    <s v="P012"/>
    <x v="21"/>
    <s v="Household"/>
    <s v="Home Care"/>
    <s v="HomeFresh"/>
    <s v="B06"/>
    <x v="1"/>
    <s v="Rivers"/>
    <x v="1"/>
    <s v="Walk-in"/>
    <s v="Card"/>
    <n v="2"/>
    <n v="1700"/>
    <n v="2600"/>
    <n v="0.1"/>
    <x v="10"/>
    <n v="11"/>
    <n v="5200"/>
    <n v="520"/>
    <n v="4680"/>
    <n v="3400"/>
    <n v="1280"/>
    <n v="0.27350427350427353"/>
    <s v="Overstocked"/>
    <s v="Safe"/>
    <n v="0.34615384615384615"/>
    <s v="Safe"/>
    <n v="900"/>
    <n v="0.34615384615384615"/>
  </r>
  <r>
    <s v="ORD-12298"/>
    <x v="88"/>
    <s v="P007"/>
    <x v="3"/>
    <s v="Beverages"/>
    <s v="Malt"/>
    <s v="Naija Malt"/>
    <s v="B06"/>
    <x v="1"/>
    <s v="Rivers"/>
    <x v="1"/>
    <s v="Member"/>
    <s v="Cash"/>
    <n v="3"/>
    <n v="550"/>
    <n v="850"/>
    <n v="0"/>
    <x v="0"/>
    <n v="12"/>
    <n v="2550"/>
    <n v="0"/>
    <n v="2550"/>
    <n v="1650"/>
    <n v="900"/>
    <n v="0.35294117647058826"/>
    <s v="Healthy"/>
    <s v="Safe"/>
    <n v="0.35294117647058826"/>
    <s v="Safe"/>
    <n v="300"/>
    <n v="0.35294117647058826"/>
  </r>
  <r>
    <s v="ORD-12299"/>
    <x v="136"/>
    <s v="P015"/>
    <x v="8"/>
    <s v="Personal Care"/>
    <s v="Bath"/>
    <s v="SilkyTouch"/>
    <s v="B08"/>
    <x v="7"/>
    <s v="Kwara"/>
    <x v="2"/>
    <s v="Member"/>
    <s v="POS"/>
    <n v="1"/>
    <n v="600"/>
    <n v="950"/>
    <n v="0.15"/>
    <x v="6"/>
    <n v="14"/>
    <n v="950"/>
    <n v="142.5"/>
    <n v="807.5"/>
    <n v="600"/>
    <n v="207.5"/>
    <n v="0.25696594427244585"/>
    <s v="Healthy"/>
    <s v="Safe"/>
    <n v="0.36842105263157893"/>
    <s v="Safe"/>
    <n v="350"/>
    <n v="0.36842105263157893"/>
  </r>
  <r>
    <s v="ORD-12300"/>
    <x v="59"/>
    <s v="P010"/>
    <x v="22"/>
    <s v="Household"/>
    <s v="Paper Products"/>
    <s v="SoftCare"/>
    <s v="B02"/>
    <x v="4"/>
    <s v="Abuja"/>
    <x v="2"/>
    <s v="Walk-in"/>
    <s v="POS"/>
    <n v="1"/>
    <n v="3200"/>
    <n v="4500"/>
    <n v="0.05"/>
    <x v="10"/>
    <n v="13"/>
    <n v="4500"/>
    <n v="225"/>
    <n v="4275"/>
    <n v="3200"/>
    <n v="1075"/>
    <n v="0.25146198830409355"/>
    <s v="Healthy"/>
    <s v="Safe"/>
    <n v="0.28888888888888886"/>
    <s v="Safe"/>
    <n v="1300"/>
    <n v="0.28888888888888886"/>
  </r>
  <r>
    <s v="ORD-12301"/>
    <x v="181"/>
    <s v="P010"/>
    <x v="22"/>
    <s v="Household"/>
    <s v="Paper Products"/>
    <s v="SoftCare"/>
    <s v="B03"/>
    <x v="6"/>
    <s v="Lagos"/>
    <x v="4"/>
    <s v="Walk-in"/>
    <s v="Cash"/>
    <n v="4"/>
    <n v="3200"/>
    <n v="4500"/>
    <n v="0"/>
    <x v="7"/>
    <n v="13"/>
    <n v="18000"/>
    <n v="0"/>
    <n v="18000"/>
    <n v="12800"/>
    <n v="5200"/>
    <n v="0.28888888888888886"/>
    <s v="Healthy"/>
    <s v="Safe"/>
    <n v="0.28888888888888886"/>
    <s v="Safe"/>
    <n v="1300"/>
    <n v="0.28888888888888886"/>
  </r>
  <r>
    <s v="ORD-12302"/>
    <x v="301"/>
    <s v="P011"/>
    <x v="9"/>
    <s v="Household"/>
    <s v="Cleaning"/>
    <s v="CleanPro"/>
    <s v="B08"/>
    <x v="7"/>
    <s v="Kwara"/>
    <x v="2"/>
    <s v="Walk-in"/>
    <s v="POS"/>
    <n v="6"/>
    <n v="2800"/>
    <n v="3900"/>
    <n v="0"/>
    <x v="1"/>
    <n v="3"/>
    <n v="23400"/>
    <n v="0"/>
    <n v="23400"/>
    <n v="16800"/>
    <n v="6600"/>
    <n v="0.28205128205128205"/>
    <s v="Healthy"/>
    <s v="Safe"/>
    <n v="0.28205128205128205"/>
    <s v="Safe"/>
    <n v="1100"/>
    <n v="0.28205128205128205"/>
  </r>
  <r>
    <s v="ORD-12303"/>
    <x v="20"/>
    <s v="P019"/>
    <x v="18"/>
    <s v="Electronics"/>
    <s v="Audio"/>
    <s v="SoundBeat"/>
    <s v="B01"/>
    <x v="2"/>
    <s v="Abuja"/>
    <x v="2"/>
    <s v="Corporate"/>
    <s v="Transfer"/>
    <n v="10"/>
    <n v="12500"/>
    <n v="18500"/>
    <n v="0.15"/>
    <x v="12"/>
    <n v="3"/>
    <n v="185000"/>
    <n v="27750"/>
    <n v="157250"/>
    <n v="125000"/>
    <n v="32250"/>
    <n v="0.20508744038155802"/>
    <s v="Understocked"/>
    <s v="Safe"/>
    <n v="0.32432432432432434"/>
    <s v="Safe"/>
    <n v="6000"/>
    <n v="0.32432432432432434"/>
  </r>
  <r>
    <s v="ORD-12304"/>
    <x v="344"/>
    <s v="P023"/>
    <x v="6"/>
    <s v="Office Supplies"/>
    <s v="Stationery"/>
    <s v="StudyPro"/>
    <s v="B06"/>
    <x v="1"/>
    <s v="Rivers"/>
    <x v="1"/>
    <s v="Walk-in"/>
    <s v="POS"/>
    <n v="5"/>
    <n v="2800"/>
    <n v="4200"/>
    <n v="0"/>
    <x v="15"/>
    <n v="9"/>
    <n v="21000"/>
    <n v="0"/>
    <n v="21000"/>
    <n v="14000"/>
    <n v="7000"/>
    <n v="0.33333333333333331"/>
    <s v="Understocked"/>
    <s v="Safe"/>
    <n v="0.33333333333333331"/>
    <s v="Safe"/>
    <n v="1400"/>
    <n v="0.33333333333333331"/>
  </r>
  <r>
    <s v="ORD-12305"/>
    <x v="9"/>
    <s v="P012"/>
    <x v="21"/>
    <s v="Household"/>
    <s v="Home Care"/>
    <s v="HomeFresh"/>
    <s v="B02"/>
    <x v="4"/>
    <s v="Abuja"/>
    <x v="2"/>
    <s v="Walk-in"/>
    <s v="POS"/>
    <n v="3"/>
    <n v="1700"/>
    <n v="2600"/>
    <n v="0"/>
    <x v="1"/>
    <n v="11"/>
    <n v="7800"/>
    <n v="0"/>
    <n v="7800"/>
    <n v="5100"/>
    <n v="2700"/>
    <n v="0.34615384615384615"/>
    <s v="Overstocked"/>
    <s v="Safe"/>
    <n v="0.34615384615384615"/>
    <s v="Safe"/>
    <n v="900"/>
    <n v="0.34615384615384615"/>
  </r>
  <r>
    <s v="ORD-12306"/>
    <x v="40"/>
    <s v="P023"/>
    <x v="6"/>
    <s v="Office Supplies"/>
    <s v="Stationery"/>
    <s v="StudyPro"/>
    <s v="B01"/>
    <x v="2"/>
    <s v="Abuja"/>
    <x v="2"/>
    <s v="Walk-in"/>
    <s v="POS"/>
    <n v="5"/>
    <n v="2800"/>
    <n v="4200"/>
    <n v="0.2"/>
    <x v="5"/>
    <n v="12"/>
    <n v="21000"/>
    <n v="4200"/>
    <n v="16800"/>
    <n v="14000"/>
    <n v="2800"/>
    <n v="0.16666666666666666"/>
    <s v="Understocked"/>
    <s v="Safe"/>
    <n v="0.33333333333333331"/>
    <s v="Safe"/>
    <n v="1400"/>
    <n v="0.33333333333333331"/>
  </r>
  <r>
    <s v="ORD-12307"/>
    <x v="65"/>
    <s v="P007"/>
    <x v="3"/>
    <s v="Beverages"/>
    <s v="Malt"/>
    <s v="Naija Malt"/>
    <s v="B04"/>
    <x v="5"/>
    <s v="Lagos"/>
    <x v="4"/>
    <s v="Corporate"/>
    <s v="POS"/>
    <n v="10"/>
    <n v="550"/>
    <n v="850"/>
    <n v="0.05"/>
    <x v="3"/>
    <n v="10"/>
    <n v="8500"/>
    <n v="425"/>
    <n v="8075"/>
    <n v="5500"/>
    <n v="2575"/>
    <n v="0.31888544891640869"/>
    <s v="Healthy"/>
    <s v="Safe"/>
    <n v="0.35294117647058826"/>
    <s v="Safe"/>
    <n v="300"/>
    <n v="0.35294117647058826"/>
  </r>
  <r>
    <s v="ORD-12308"/>
    <x v="298"/>
    <s v="P008"/>
    <x v="4"/>
    <s v="Beverages"/>
    <s v="Soft Drinks"/>
    <s v="Sparkle"/>
    <s v="B01"/>
    <x v="2"/>
    <s v="Abuja"/>
    <x v="2"/>
    <s v="Walk-in"/>
    <s v="POS"/>
    <n v="2"/>
    <n v="330"/>
    <n v="550"/>
    <n v="0.1"/>
    <x v="3"/>
    <n v="9"/>
    <n v="1100"/>
    <n v="110"/>
    <n v="990"/>
    <n v="660"/>
    <n v="330"/>
    <n v="0.33333333333333331"/>
    <s v="Healthy"/>
    <s v="Safe"/>
    <n v="0.4"/>
    <s v="Safe"/>
    <n v="220"/>
    <n v="0.4"/>
  </r>
  <r>
    <s v="ORD-12309"/>
    <x v="333"/>
    <s v="P014"/>
    <x v="15"/>
    <s v="Personal Care"/>
    <s v="Oral Care"/>
    <s v="FreshMint"/>
    <s v="B02"/>
    <x v="4"/>
    <s v="Abuja"/>
    <x v="2"/>
    <s v="Member"/>
    <s v="POS"/>
    <n v="1"/>
    <n v="1200"/>
    <n v="1900"/>
    <n v="0"/>
    <x v="10"/>
    <n v="2"/>
    <n v="1900"/>
    <n v="0"/>
    <n v="1900"/>
    <n v="1200"/>
    <n v="700"/>
    <n v="0.36842105263157893"/>
    <s v="Healthy"/>
    <s v="Safe"/>
    <n v="0.36842105263157893"/>
    <s v="Safe"/>
    <n v="700"/>
    <n v="0.36842105263157893"/>
  </r>
  <r>
    <s v="ORD-12310"/>
    <x v="298"/>
    <s v="P003"/>
    <x v="12"/>
    <s v="Food"/>
    <s v="Cooking Oil"/>
    <s v="SunGold"/>
    <s v="B04"/>
    <x v="5"/>
    <s v="Lagos"/>
    <x v="4"/>
    <s v="Member"/>
    <s v="POS"/>
    <n v="6"/>
    <n v="7800"/>
    <n v="9800"/>
    <n v="0"/>
    <x v="8"/>
    <n v="11"/>
    <n v="58800"/>
    <n v="0"/>
    <n v="58800"/>
    <n v="46800"/>
    <n v="12000"/>
    <n v="0.20408163265306123"/>
    <s v="Understocked"/>
    <s v="Safe"/>
    <n v="0.20408163265306123"/>
    <s v="Safe"/>
    <n v="2000"/>
    <n v="0.20408163265306123"/>
  </r>
  <r>
    <s v="ORD-12311"/>
    <x v="98"/>
    <s v="P006"/>
    <x v="0"/>
    <s v="Beverages"/>
    <s v="Water"/>
    <s v="AquaPure"/>
    <s v="B05"/>
    <x v="0"/>
    <s v="Kano"/>
    <x v="0"/>
    <s v="Member"/>
    <s v="Cash"/>
    <n v="3"/>
    <n v="230"/>
    <n v="400"/>
    <n v="0.1"/>
    <x v="2"/>
    <n v="11"/>
    <n v="1200"/>
    <n v="120"/>
    <n v="1080"/>
    <n v="690"/>
    <n v="390"/>
    <n v="0.3611111111111111"/>
    <s v="Understocked"/>
    <s v="Safe"/>
    <n v="0.42499999999999999"/>
    <s v="Safe"/>
    <n v="170"/>
    <n v="0.42499999999999999"/>
  </r>
  <r>
    <s v="ORD-12312"/>
    <x v="263"/>
    <s v="P022"/>
    <x v="17"/>
    <s v="Office Supplies"/>
    <s v="Writing"/>
    <s v="WriteWell"/>
    <s v="B05"/>
    <x v="0"/>
    <s v="Kano"/>
    <x v="0"/>
    <s v="Walk-in"/>
    <s v="Cash"/>
    <n v="6"/>
    <n v="1300"/>
    <n v="2100"/>
    <n v="0.1"/>
    <x v="14"/>
    <n v="13"/>
    <n v="12600"/>
    <n v="1260"/>
    <n v="11340"/>
    <n v="7800"/>
    <n v="3540"/>
    <n v="0.31216931216931215"/>
    <s v="Understocked"/>
    <s v="Safe"/>
    <n v="0.38095238095238093"/>
    <s v="Safe"/>
    <n v="800"/>
    <n v="0.38095238095238093"/>
  </r>
  <r>
    <s v="ORD-12313"/>
    <x v="218"/>
    <s v="P002"/>
    <x v="10"/>
    <s v="Food"/>
    <s v="Grains"/>
    <s v="Mama's Pride"/>
    <s v="B04"/>
    <x v="5"/>
    <s v="Lagos"/>
    <x v="4"/>
    <s v="Walk-in"/>
    <s v="POS"/>
    <n v="1"/>
    <n v="6200"/>
    <n v="7900"/>
    <n v="0.1"/>
    <x v="9"/>
    <n v="1"/>
    <n v="7900"/>
    <n v="790"/>
    <n v="7110"/>
    <n v="6200"/>
    <n v="910"/>
    <n v="0.12798874824191281"/>
    <s v="Healthy"/>
    <s v="Safe"/>
    <n v="0.21518987341772153"/>
    <s v="Safe"/>
    <n v="1700"/>
    <n v="0.21518987341772153"/>
  </r>
  <r>
    <s v="ORD-12314"/>
    <x v="47"/>
    <s v="P001"/>
    <x v="14"/>
    <s v="Food"/>
    <s v="Grains"/>
    <s v="Golden Harvest"/>
    <s v="B05"/>
    <x v="0"/>
    <s v="Kano"/>
    <x v="0"/>
    <s v="Walk-in"/>
    <s v="Transfer"/>
    <n v="6"/>
    <n v="14500"/>
    <n v="17500"/>
    <n v="0.15"/>
    <x v="1"/>
    <n v="3"/>
    <n v="105000"/>
    <n v="15750"/>
    <n v="89250"/>
    <n v="87000"/>
    <n v="2250"/>
    <n v="2.5210084033613446E-2"/>
    <s v="Understocked"/>
    <s v="Safe"/>
    <n v="0.17142857142857143"/>
    <s v="Safe"/>
    <n v="3000"/>
    <n v="0.17142857142857143"/>
  </r>
  <r>
    <s v="ORD-12315"/>
    <x v="84"/>
    <s v="P010"/>
    <x v="22"/>
    <s v="Household"/>
    <s v="Paper Products"/>
    <s v="SoftCare"/>
    <s v="B05"/>
    <x v="0"/>
    <s v="Kano"/>
    <x v="0"/>
    <s v="Member"/>
    <s v="Transfer"/>
    <n v="5"/>
    <n v="3200"/>
    <n v="4500"/>
    <n v="0.15"/>
    <x v="7"/>
    <n v="11"/>
    <n v="22500"/>
    <n v="3375"/>
    <n v="19125"/>
    <n v="16000"/>
    <n v="3125"/>
    <n v="0.16339869281045752"/>
    <s v="Healthy"/>
    <s v="Safe"/>
    <n v="0.28888888888888886"/>
    <s v="Safe"/>
    <n v="1300"/>
    <n v="0.28888888888888886"/>
  </r>
  <r>
    <s v="ORD-12316"/>
    <x v="294"/>
    <s v="P003"/>
    <x v="12"/>
    <s v="Food"/>
    <s v="Cooking Oil"/>
    <s v="SunGold"/>
    <s v="B04"/>
    <x v="5"/>
    <s v="Lagos"/>
    <x v="4"/>
    <s v="Walk-in"/>
    <s v="POS"/>
    <n v="3"/>
    <n v="7800"/>
    <n v="9800"/>
    <n v="0.05"/>
    <x v="8"/>
    <n v="11"/>
    <n v="29400"/>
    <n v="1470"/>
    <n v="27930"/>
    <n v="23400"/>
    <n v="4530"/>
    <n v="0.16219119226638024"/>
    <s v="Understocked"/>
    <s v="Safe"/>
    <n v="0.20408163265306123"/>
    <s v="Safe"/>
    <n v="2000"/>
    <n v="0.20408163265306123"/>
  </r>
  <r>
    <s v="ORD-12317"/>
    <x v="254"/>
    <s v="P008"/>
    <x v="4"/>
    <s v="Beverages"/>
    <s v="Soft Drinks"/>
    <s v="Sparkle"/>
    <s v="B01"/>
    <x v="2"/>
    <s v="Abuja"/>
    <x v="2"/>
    <s v="Member"/>
    <s v="POS"/>
    <n v="8"/>
    <n v="330"/>
    <n v="550"/>
    <n v="0.1"/>
    <x v="2"/>
    <n v="14"/>
    <n v="4400"/>
    <n v="440"/>
    <n v="3960"/>
    <n v="2640"/>
    <n v="1320"/>
    <n v="0.33333333333333331"/>
    <s v="Healthy"/>
    <s v="Safe"/>
    <n v="0.4"/>
    <s v="Safe"/>
    <n v="220"/>
    <n v="0.4"/>
  </r>
  <r>
    <s v="ORD-12318"/>
    <x v="152"/>
    <s v="P007"/>
    <x v="3"/>
    <s v="Beverages"/>
    <s v="Malt"/>
    <s v="Naija Malt"/>
    <s v="B01"/>
    <x v="2"/>
    <s v="Abuja"/>
    <x v="2"/>
    <s v="Member"/>
    <s v="Card"/>
    <n v="3"/>
    <n v="550"/>
    <n v="850"/>
    <n v="0.05"/>
    <x v="3"/>
    <n v="8"/>
    <n v="2550"/>
    <n v="127.5"/>
    <n v="2422.5"/>
    <n v="1650"/>
    <n v="772.5"/>
    <n v="0.31888544891640869"/>
    <s v="Healthy"/>
    <s v="Safe"/>
    <n v="0.35294117647058826"/>
    <s v="Safe"/>
    <n v="300"/>
    <n v="0.35294117647058826"/>
  </r>
  <r>
    <s v="ORD-12319"/>
    <x v="93"/>
    <s v="P024"/>
    <x v="19"/>
    <s v="Office Supplies"/>
    <s v="Accessories"/>
    <s v="ErgoDesk"/>
    <s v="B03"/>
    <x v="6"/>
    <s v="Lagos"/>
    <x v="4"/>
    <s v="Walk-in"/>
    <s v="Card"/>
    <n v="4"/>
    <n v="1700"/>
    <n v="2800"/>
    <n v="0.25"/>
    <x v="5"/>
    <n v="7"/>
    <n v="11200"/>
    <n v="2800"/>
    <n v="8400"/>
    <n v="6800"/>
    <n v="1600"/>
    <n v="0.19047619047619047"/>
    <s v="Overstocked"/>
    <s v="Safe"/>
    <n v="0.39285714285714285"/>
    <s v="Safe"/>
    <n v="1100"/>
    <n v="0.39285714285714285"/>
  </r>
  <r>
    <s v="ORD-12320"/>
    <x v="265"/>
    <s v="P014"/>
    <x v="15"/>
    <s v="Personal Care"/>
    <s v="Oral Care"/>
    <s v="FreshMint"/>
    <s v="B03"/>
    <x v="6"/>
    <s v="Lagos"/>
    <x v="4"/>
    <s v="Walk-in"/>
    <s v="Cash"/>
    <n v="3"/>
    <n v="1200"/>
    <n v="1900"/>
    <n v="0.15"/>
    <x v="6"/>
    <n v="1"/>
    <n v="5700"/>
    <n v="855"/>
    <n v="4845"/>
    <n v="3600"/>
    <n v="1245"/>
    <n v="0.25696594427244585"/>
    <s v="Healthy"/>
    <s v="Safe"/>
    <n v="0.36842105263157893"/>
    <s v="Safe"/>
    <n v="700"/>
    <n v="0.36842105263157893"/>
  </r>
  <r>
    <s v="ORD-12321"/>
    <x v="230"/>
    <s v="P018"/>
    <x v="16"/>
    <s v="Electronics"/>
    <s v="Mobile Accessories"/>
    <s v="VoltSafe"/>
    <s v="B08"/>
    <x v="7"/>
    <s v="Kwara"/>
    <x v="2"/>
    <s v="Member"/>
    <s v="Card"/>
    <n v="1"/>
    <n v="18000"/>
    <n v="24500"/>
    <n v="0"/>
    <x v="12"/>
    <n v="1"/>
    <n v="24500"/>
    <n v="0"/>
    <n v="24500"/>
    <n v="18000"/>
    <n v="6500"/>
    <n v="0.26530612244897961"/>
    <s v="Understocked"/>
    <s v="Safe"/>
    <n v="0.26530612244897961"/>
    <s v="Safe"/>
    <n v="6500"/>
    <n v="0.26530612244897961"/>
  </r>
  <r>
    <s v="ORD-12322"/>
    <x v="164"/>
    <s v="P023"/>
    <x v="6"/>
    <s v="Office Supplies"/>
    <s v="Stationery"/>
    <s v="StudyPro"/>
    <s v="B04"/>
    <x v="5"/>
    <s v="Lagos"/>
    <x v="4"/>
    <s v="Member"/>
    <s v="POS"/>
    <n v="2"/>
    <n v="2800"/>
    <n v="4200"/>
    <n v="0"/>
    <x v="14"/>
    <n v="14"/>
    <n v="8400"/>
    <n v="0"/>
    <n v="8400"/>
    <n v="5600"/>
    <n v="2800"/>
    <n v="0.33333333333333331"/>
    <s v="Understocked"/>
    <s v="Safe"/>
    <n v="0.33333333333333331"/>
    <s v="Safe"/>
    <n v="1400"/>
    <n v="0.33333333333333331"/>
  </r>
  <r>
    <s v="ORD-12323"/>
    <x v="280"/>
    <s v="P002"/>
    <x v="10"/>
    <s v="Food"/>
    <s v="Grains"/>
    <s v="Mama's Pride"/>
    <s v="B05"/>
    <x v="0"/>
    <s v="Kano"/>
    <x v="0"/>
    <s v="Walk-in"/>
    <s v="POS"/>
    <n v="3"/>
    <n v="6200"/>
    <n v="7900"/>
    <n v="0.05"/>
    <x v="9"/>
    <n v="7"/>
    <n v="23700"/>
    <n v="1185"/>
    <n v="22515"/>
    <n v="18600"/>
    <n v="3915"/>
    <n v="0.17388407728181213"/>
    <s v="Healthy"/>
    <s v="Safe"/>
    <n v="0.21518987341772153"/>
    <s v="Safe"/>
    <n v="1700"/>
    <n v="0.21518987341772153"/>
  </r>
  <r>
    <s v="ORD-12324"/>
    <x v="303"/>
    <s v="P006"/>
    <x v="0"/>
    <s v="Beverages"/>
    <s v="Water"/>
    <s v="AquaPure"/>
    <s v="B03"/>
    <x v="6"/>
    <s v="Lagos"/>
    <x v="4"/>
    <s v="Walk-in"/>
    <s v="POS"/>
    <n v="2"/>
    <n v="230"/>
    <n v="400"/>
    <n v="0.1"/>
    <x v="0"/>
    <n v="9"/>
    <n v="800"/>
    <n v="80"/>
    <n v="720"/>
    <n v="460"/>
    <n v="260"/>
    <n v="0.3611111111111111"/>
    <s v="Understocked"/>
    <s v="Safe"/>
    <n v="0.42499999999999999"/>
    <s v="Safe"/>
    <n v="170"/>
    <n v="0.42499999999999999"/>
  </r>
  <r>
    <s v="ORD-12325"/>
    <x v="126"/>
    <s v="P017"/>
    <x v="23"/>
    <s v="Electronics"/>
    <s v="Accessories"/>
    <s v="PowerMax"/>
    <s v="B03"/>
    <x v="6"/>
    <s v="Lagos"/>
    <x v="4"/>
    <s v="Walk-in"/>
    <s v="POS"/>
    <n v="1"/>
    <n v="7500"/>
    <n v="10500"/>
    <n v="0.1"/>
    <x v="12"/>
    <n v="9"/>
    <n v="10500"/>
    <n v="1050"/>
    <n v="9450"/>
    <n v="7500"/>
    <n v="1950"/>
    <n v="0.20634920634920634"/>
    <s v="Healthy"/>
    <s v="Safe"/>
    <n v="0.2857142857142857"/>
    <s v="Safe"/>
    <n v="3000"/>
    <n v="0.2857142857142857"/>
  </r>
  <r>
    <s v="ORD-12326"/>
    <x v="128"/>
    <s v="P020"/>
    <x v="5"/>
    <s v="Electronics"/>
    <s v="Lighting"/>
    <s v="Luma"/>
    <s v="B04"/>
    <x v="5"/>
    <s v="Lagos"/>
    <x v="4"/>
    <s v="Walk-in"/>
    <s v="POS"/>
    <n v="10"/>
    <n v="1500"/>
    <n v="2500"/>
    <n v="0"/>
    <x v="13"/>
    <n v="7"/>
    <n v="25000"/>
    <n v="0"/>
    <n v="25000"/>
    <n v="15000"/>
    <n v="10000"/>
    <n v="0.4"/>
    <s v="Healthy"/>
    <s v="Safe"/>
    <n v="0.4"/>
    <s v="Safe"/>
    <n v="1000"/>
    <n v="0.4"/>
  </r>
  <r>
    <s v="ORD-12327"/>
    <x v="188"/>
    <s v="P023"/>
    <x v="6"/>
    <s v="Office Supplies"/>
    <s v="Stationery"/>
    <s v="StudyPro"/>
    <s v="B02"/>
    <x v="4"/>
    <s v="Abuja"/>
    <x v="2"/>
    <s v="Walk-in"/>
    <s v="POS"/>
    <n v="1"/>
    <n v="2800"/>
    <n v="4200"/>
    <n v="0.05"/>
    <x v="5"/>
    <n v="7"/>
    <n v="4200"/>
    <n v="210"/>
    <n v="3990"/>
    <n v="2800"/>
    <n v="1190"/>
    <n v="0.2982456140350877"/>
    <s v="Understocked"/>
    <s v="Safe"/>
    <n v="0.33333333333333331"/>
    <s v="Safe"/>
    <n v="1400"/>
    <n v="0.33333333333333331"/>
  </r>
  <r>
    <s v="ORD-12328"/>
    <x v="23"/>
    <s v="P003"/>
    <x v="12"/>
    <s v="Food"/>
    <s v="Cooking Oil"/>
    <s v="SunGold"/>
    <s v="B04"/>
    <x v="5"/>
    <s v="Lagos"/>
    <x v="4"/>
    <s v="Member"/>
    <s v="POS"/>
    <n v="3"/>
    <n v="7800"/>
    <n v="9800"/>
    <n v="0.05"/>
    <x v="9"/>
    <n v="3"/>
    <n v="29400"/>
    <n v="1470"/>
    <n v="27930"/>
    <n v="23400"/>
    <n v="4530"/>
    <n v="0.16219119226638024"/>
    <s v="Understocked"/>
    <s v="Safe"/>
    <n v="0.20408163265306123"/>
    <s v="Safe"/>
    <n v="2000"/>
    <n v="0.20408163265306123"/>
  </r>
  <r>
    <s v="ORD-12329"/>
    <x v="273"/>
    <s v="P004"/>
    <x v="1"/>
    <s v="Beverages"/>
    <s v="Dairy"/>
    <s v="FreshDay"/>
    <s v="B04"/>
    <x v="5"/>
    <s v="Lagos"/>
    <x v="4"/>
    <s v="Walk-in"/>
    <s v="Cash"/>
    <n v="1"/>
    <n v="1650"/>
    <n v="2200"/>
    <n v="0.2"/>
    <x v="2"/>
    <n v="7"/>
    <n v="2200"/>
    <n v="440"/>
    <n v="1760"/>
    <n v="1650"/>
    <n v="110"/>
    <n v="6.25E-2"/>
    <s v="Understocked"/>
    <s v="Safe"/>
    <n v="0.25"/>
    <s v="Safe"/>
    <n v="550"/>
    <n v="0.25"/>
  </r>
  <r>
    <s v="ORD-12330"/>
    <x v="18"/>
    <s v="P022"/>
    <x v="17"/>
    <s v="Office Supplies"/>
    <s v="Writing"/>
    <s v="WriteWell"/>
    <s v="B04"/>
    <x v="5"/>
    <s v="Lagos"/>
    <x v="4"/>
    <s v="Walk-in"/>
    <s v="POS"/>
    <n v="2"/>
    <n v="1300"/>
    <n v="2100"/>
    <n v="0"/>
    <x v="5"/>
    <n v="10"/>
    <n v="4200"/>
    <n v="0"/>
    <n v="4200"/>
    <n v="2600"/>
    <n v="1600"/>
    <n v="0.38095238095238093"/>
    <s v="Understocked"/>
    <s v="Safe"/>
    <n v="0.38095238095238093"/>
    <s v="Safe"/>
    <n v="800"/>
    <n v="0.38095238095238093"/>
  </r>
  <r>
    <s v="ORD-12331"/>
    <x v="164"/>
    <s v="P011"/>
    <x v="9"/>
    <s v="Household"/>
    <s v="Cleaning"/>
    <s v="CleanPro"/>
    <s v="B06"/>
    <x v="1"/>
    <s v="Rivers"/>
    <x v="1"/>
    <s v="Walk-in"/>
    <s v="Transfer"/>
    <n v="5"/>
    <n v="2800"/>
    <n v="3900"/>
    <n v="0.1"/>
    <x v="1"/>
    <n v="12"/>
    <n v="19500"/>
    <n v="1950"/>
    <n v="17550"/>
    <n v="14000"/>
    <n v="3550"/>
    <n v="0.20227920227920229"/>
    <s v="Healthy"/>
    <s v="Safe"/>
    <n v="0.28205128205128205"/>
    <s v="Safe"/>
    <n v="1100"/>
    <n v="0.28205128205128205"/>
  </r>
  <r>
    <s v="ORD-12332"/>
    <x v="311"/>
    <s v="P010"/>
    <x v="22"/>
    <s v="Household"/>
    <s v="Paper Products"/>
    <s v="SoftCare"/>
    <s v="B04"/>
    <x v="5"/>
    <s v="Lagos"/>
    <x v="4"/>
    <s v="Walk-in"/>
    <s v="POS"/>
    <n v="3"/>
    <n v="3200"/>
    <n v="4500"/>
    <n v="0.1"/>
    <x v="7"/>
    <n v="5"/>
    <n v="13500"/>
    <n v="1350"/>
    <n v="12150"/>
    <n v="9600"/>
    <n v="2550"/>
    <n v="0.20987654320987653"/>
    <s v="Healthy"/>
    <s v="Safe"/>
    <n v="0.28888888888888886"/>
    <s v="Safe"/>
    <n v="1300"/>
    <n v="0.28888888888888886"/>
  </r>
  <r>
    <s v="ORD-12333"/>
    <x v="354"/>
    <s v="P009"/>
    <x v="13"/>
    <s v="Household"/>
    <s v="Cleaning"/>
    <s v="BrightWash"/>
    <s v="B01"/>
    <x v="2"/>
    <s v="Abuja"/>
    <x v="2"/>
    <s v="Member"/>
    <s v="POS"/>
    <n v="8"/>
    <n v="2400"/>
    <n v="3400"/>
    <n v="0.15"/>
    <x v="7"/>
    <n v="6"/>
    <n v="27200"/>
    <n v="4080"/>
    <n v="23120"/>
    <n v="19200"/>
    <n v="3920"/>
    <n v="0.16955017301038061"/>
    <s v="Healthy"/>
    <s v="Safe"/>
    <n v="0.29411764705882354"/>
    <s v="Safe"/>
    <n v="1000"/>
    <n v="0.29411764705882354"/>
  </r>
  <r>
    <s v="ORD-12334"/>
    <x v="283"/>
    <s v="P015"/>
    <x v="8"/>
    <s v="Personal Care"/>
    <s v="Bath"/>
    <s v="SilkyTouch"/>
    <s v="B08"/>
    <x v="7"/>
    <s v="Kwara"/>
    <x v="2"/>
    <s v="Walk-in"/>
    <s v="Cash"/>
    <n v="3"/>
    <n v="600"/>
    <n v="950"/>
    <n v="0"/>
    <x v="6"/>
    <n v="2"/>
    <n v="2850"/>
    <n v="0"/>
    <n v="2850"/>
    <n v="1800"/>
    <n v="1050"/>
    <n v="0.36842105263157893"/>
    <s v="Healthy"/>
    <s v="Safe"/>
    <n v="0.36842105263157893"/>
    <s v="Safe"/>
    <n v="350"/>
    <n v="0.36842105263157893"/>
  </r>
  <r>
    <s v="ORD-12335"/>
    <x v="207"/>
    <s v="P014"/>
    <x v="15"/>
    <s v="Personal Care"/>
    <s v="Oral Care"/>
    <s v="FreshMint"/>
    <s v="B05"/>
    <x v="0"/>
    <s v="Kano"/>
    <x v="0"/>
    <s v="Member"/>
    <s v="POS"/>
    <n v="2"/>
    <n v="1200"/>
    <n v="1900"/>
    <n v="0.05"/>
    <x v="6"/>
    <n v="13"/>
    <n v="3800"/>
    <n v="190"/>
    <n v="3610"/>
    <n v="2400"/>
    <n v="1210"/>
    <n v="0.33518005540166207"/>
    <s v="Healthy"/>
    <s v="Safe"/>
    <n v="0.36842105263157893"/>
    <s v="Safe"/>
    <n v="700"/>
    <n v="0.36842105263157893"/>
  </r>
  <r>
    <s v="ORD-12336"/>
    <x v="317"/>
    <s v="P014"/>
    <x v="15"/>
    <s v="Personal Care"/>
    <s v="Oral Care"/>
    <s v="FreshMint"/>
    <s v="B07"/>
    <x v="3"/>
    <s v="Enugu"/>
    <x v="3"/>
    <s v="Walk-in"/>
    <s v="Card"/>
    <n v="6"/>
    <n v="1200"/>
    <n v="1900"/>
    <n v="0.1"/>
    <x v="6"/>
    <n v="1"/>
    <n v="11400"/>
    <n v="1140"/>
    <n v="10260"/>
    <n v="7200"/>
    <n v="3060"/>
    <n v="0.2982456140350877"/>
    <s v="Healthy"/>
    <s v="Safe"/>
    <n v="0.36842105263157893"/>
    <s v="Safe"/>
    <n v="700"/>
    <n v="0.36842105263157893"/>
  </r>
  <r>
    <s v="ORD-12337"/>
    <x v="122"/>
    <s v="P008"/>
    <x v="4"/>
    <s v="Beverages"/>
    <s v="Soft Drinks"/>
    <s v="Sparkle"/>
    <s v="B02"/>
    <x v="4"/>
    <s v="Abuja"/>
    <x v="2"/>
    <s v="Walk-in"/>
    <s v="POS"/>
    <n v="3"/>
    <n v="330"/>
    <n v="550"/>
    <n v="0.05"/>
    <x v="0"/>
    <n v="7"/>
    <n v="1650"/>
    <n v="82.5"/>
    <n v="1567.5"/>
    <n v="990"/>
    <n v="577.5"/>
    <n v="0.36842105263157893"/>
    <s v="Healthy"/>
    <s v="Safe"/>
    <n v="0.4"/>
    <s v="Safe"/>
    <n v="220"/>
    <n v="0.4"/>
  </r>
  <r>
    <s v="ORD-12338"/>
    <x v="224"/>
    <s v="P007"/>
    <x v="3"/>
    <s v="Beverages"/>
    <s v="Malt"/>
    <s v="Naija Malt"/>
    <s v="B02"/>
    <x v="4"/>
    <s v="Abuja"/>
    <x v="2"/>
    <s v="Walk-in"/>
    <s v="POS"/>
    <n v="5"/>
    <n v="550"/>
    <n v="850"/>
    <n v="0.2"/>
    <x v="2"/>
    <n v="10"/>
    <n v="4250"/>
    <n v="850"/>
    <n v="3400"/>
    <n v="2750"/>
    <n v="650"/>
    <n v="0.19117647058823528"/>
    <s v="Healthy"/>
    <s v="Safe"/>
    <n v="0.35294117647058826"/>
    <s v="Safe"/>
    <n v="300"/>
    <n v="0.35294117647058826"/>
  </r>
  <r>
    <s v="ORD-12339"/>
    <x v="243"/>
    <s v="P004"/>
    <x v="1"/>
    <s v="Beverages"/>
    <s v="Dairy"/>
    <s v="FreshDay"/>
    <s v="B04"/>
    <x v="5"/>
    <s v="Lagos"/>
    <x v="4"/>
    <s v="Walk-in"/>
    <s v="POS"/>
    <n v="2"/>
    <n v="1650"/>
    <n v="2200"/>
    <n v="0.15"/>
    <x v="2"/>
    <n v="7"/>
    <n v="4400"/>
    <n v="660"/>
    <n v="3740"/>
    <n v="3300"/>
    <n v="440"/>
    <n v="0.11764705882352941"/>
    <s v="Understocked"/>
    <s v="Safe"/>
    <n v="0.25"/>
    <s v="Safe"/>
    <n v="550"/>
    <n v="0.25"/>
  </r>
  <r>
    <s v="ORD-12340"/>
    <x v="127"/>
    <s v="P013"/>
    <x v="11"/>
    <s v="Personal Care"/>
    <s v="Skin Care"/>
    <s v="GlowPlus"/>
    <s v="B03"/>
    <x v="6"/>
    <s v="Lagos"/>
    <x v="4"/>
    <s v="Member"/>
    <s v="POS"/>
    <n v="6"/>
    <n v="3500"/>
    <n v="5200"/>
    <n v="0.05"/>
    <x v="10"/>
    <n v="14"/>
    <n v="31200"/>
    <n v="1560"/>
    <n v="29640"/>
    <n v="21000"/>
    <n v="8640"/>
    <n v="0.291497975708502"/>
    <s v="Healthy"/>
    <s v="Safe"/>
    <n v="0.32692307692307693"/>
    <s v="Safe"/>
    <n v="1700"/>
    <n v="0.32692307692307693"/>
  </r>
  <r>
    <s v="ORD-12341"/>
    <x v="167"/>
    <s v="P007"/>
    <x v="3"/>
    <s v="Beverages"/>
    <s v="Malt"/>
    <s v="Naija Malt"/>
    <s v="B01"/>
    <x v="2"/>
    <s v="Abuja"/>
    <x v="2"/>
    <s v="Walk-in"/>
    <s v="POS"/>
    <n v="1"/>
    <n v="550"/>
    <n v="850"/>
    <n v="0.05"/>
    <x v="3"/>
    <n v="8"/>
    <n v="850"/>
    <n v="42.5"/>
    <n v="807.5"/>
    <n v="550"/>
    <n v="257.5"/>
    <n v="0.31888544891640869"/>
    <s v="Healthy"/>
    <s v="Safe"/>
    <n v="0.35294117647058826"/>
    <s v="Safe"/>
    <n v="300"/>
    <n v="0.35294117647058826"/>
  </r>
  <r>
    <s v="ORD-12342"/>
    <x v="78"/>
    <s v="P003"/>
    <x v="12"/>
    <s v="Food"/>
    <s v="Cooking Oil"/>
    <s v="SunGold"/>
    <s v="B04"/>
    <x v="5"/>
    <s v="Lagos"/>
    <x v="4"/>
    <s v="Walk-in"/>
    <s v="POS"/>
    <n v="3"/>
    <n v="7800"/>
    <n v="9800"/>
    <n v="0.2"/>
    <x v="1"/>
    <n v="11"/>
    <n v="29400"/>
    <n v="5880"/>
    <n v="23520"/>
    <n v="23400"/>
    <n v="120"/>
    <n v="5.1020408163265302E-3"/>
    <s v="Understocked"/>
    <s v="Safe"/>
    <n v="0.20408163265306123"/>
    <s v="Safe"/>
    <n v="2000"/>
    <n v="0.20408163265306123"/>
  </r>
  <r>
    <s v="ORD-12343"/>
    <x v="154"/>
    <s v="P020"/>
    <x v="5"/>
    <s v="Electronics"/>
    <s v="Lighting"/>
    <s v="Luma"/>
    <s v="B01"/>
    <x v="2"/>
    <s v="Abuja"/>
    <x v="2"/>
    <s v="Walk-in"/>
    <s v="Cash"/>
    <n v="2"/>
    <n v="1500"/>
    <n v="2500"/>
    <n v="0.2"/>
    <x v="4"/>
    <n v="6"/>
    <n v="5000"/>
    <n v="1000"/>
    <n v="4000"/>
    <n v="3000"/>
    <n v="1000"/>
    <n v="0.25"/>
    <s v="Healthy"/>
    <s v="Safe"/>
    <n v="0.4"/>
    <s v="Safe"/>
    <n v="1000"/>
    <n v="0.4"/>
  </r>
  <r>
    <s v="ORD-12344"/>
    <x v="23"/>
    <s v="P014"/>
    <x v="15"/>
    <s v="Personal Care"/>
    <s v="Oral Care"/>
    <s v="FreshMint"/>
    <s v="B04"/>
    <x v="5"/>
    <s v="Lagos"/>
    <x v="4"/>
    <s v="Walk-in"/>
    <s v="Cash"/>
    <n v="3"/>
    <n v="1200"/>
    <n v="1900"/>
    <n v="0.15"/>
    <x v="11"/>
    <n v="8"/>
    <n v="5700"/>
    <n v="855"/>
    <n v="4845"/>
    <n v="3600"/>
    <n v="1245"/>
    <n v="0.25696594427244585"/>
    <s v="Healthy"/>
    <s v="Safe"/>
    <n v="0.36842105263157893"/>
    <s v="Safe"/>
    <n v="700"/>
    <n v="0.36842105263157893"/>
  </r>
  <r>
    <s v="ORD-12345"/>
    <x v="180"/>
    <s v="P002"/>
    <x v="10"/>
    <s v="Food"/>
    <s v="Grains"/>
    <s v="Mama's Pride"/>
    <s v="B08"/>
    <x v="7"/>
    <s v="Kwara"/>
    <x v="2"/>
    <s v="Walk-in"/>
    <s v="POS"/>
    <n v="2"/>
    <n v="6200"/>
    <n v="7900"/>
    <n v="0"/>
    <x v="1"/>
    <n v="3"/>
    <n v="15800"/>
    <n v="0"/>
    <n v="15800"/>
    <n v="12400"/>
    <n v="3400"/>
    <n v="0.21518987341772153"/>
    <s v="Healthy"/>
    <s v="Safe"/>
    <n v="0.21518987341772153"/>
    <s v="Safe"/>
    <n v="1700"/>
    <n v="0.21518987341772153"/>
  </r>
  <r>
    <s v="ORD-12346"/>
    <x v="118"/>
    <s v="P015"/>
    <x v="8"/>
    <s v="Personal Care"/>
    <s v="Bath"/>
    <s v="SilkyTouch"/>
    <s v="B07"/>
    <x v="3"/>
    <s v="Enugu"/>
    <x v="3"/>
    <s v="Member"/>
    <s v="POS"/>
    <n v="4"/>
    <n v="600"/>
    <n v="950"/>
    <n v="0.1"/>
    <x v="10"/>
    <n v="8"/>
    <n v="3800"/>
    <n v="380"/>
    <n v="3420"/>
    <n v="2400"/>
    <n v="1020"/>
    <n v="0.2982456140350877"/>
    <s v="Healthy"/>
    <s v="Safe"/>
    <n v="0.36842105263157893"/>
    <s v="Safe"/>
    <n v="350"/>
    <n v="0.36842105263157893"/>
  </r>
  <r>
    <s v="ORD-12347"/>
    <x v="194"/>
    <s v="P001"/>
    <x v="14"/>
    <s v="Food"/>
    <s v="Grains"/>
    <s v="Golden Harvest"/>
    <s v="B03"/>
    <x v="6"/>
    <s v="Lagos"/>
    <x v="4"/>
    <s v="Corporate"/>
    <s v="Card"/>
    <n v="1"/>
    <n v="14500"/>
    <n v="17500"/>
    <n v="0"/>
    <x v="8"/>
    <n v="5"/>
    <n v="17500"/>
    <n v="0"/>
    <n v="17500"/>
    <n v="14500"/>
    <n v="3000"/>
    <n v="0.17142857142857143"/>
    <s v="Understocked"/>
    <s v="Safe"/>
    <n v="0.17142857142857143"/>
    <s v="Safe"/>
    <n v="3000"/>
    <n v="0.17142857142857143"/>
  </r>
  <r>
    <s v="ORD-12348"/>
    <x v="346"/>
    <s v="P017"/>
    <x v="23"/>
    <s v="Electronics"/>
    <s v="Accessories"/>
    <s v="PowerMax"/>
    <s v="B04"/>
    <x v="5"/>
    <s v="Lagos"/>
    <x v="4"/>
    <s v="Walk-in"/>
    <s v="POS"/>
    <n v="1"/>
    <n v="7500"/>
    <n v="10500"/>
    <n v="0.2"/>
    <x v="4"/>
    <n v="6"/>
    <n v="10500"/>
    <n v="2100"/>
    <n v="8400"/>
    <n v="7500"/>
    <n v="900"/>
    <n v="0.10714285714285714"/>
    <s v="Healthy"/>
    <s v="Safe"/>
    <n v="0.2857142857142857"/>
    <s v="Safe"/>
    <n v="3000"/>
    <n v="0.2857142857142857"/>
  </r>
  <r>
    <s v="ORD-12349"/>
    <x v="291"/>
    <s v="P015"/>
    <x v="8"/>
    <s v="Personal Care"/>
    <s v="Bath"/>
    <s v="SilkyTouch"/>
    <s v="B04"/>
    <x v="5"/>
    <s v="Lagos"/>
    <x v="4"/>
    <s v="Member"/>
    <s v="POS"/>
    <n v="2"/>
    <n v="600"/>
    <n v="950"/>
    <n v="0.15"/>
    <x v="10"/>
    <n v="1"/>
    <n v="1900"/>
    <n v="285"/>
    <n v="1615"/>
    <n v="1200"/>
    <n v="415"/>
    <n v="0.25696594427244585"/>
    <s v="Healthy"/>
    <s v="Safe"/>
    <n v="0.36842105263157893"/>
    <s v="Safe"/>
    <n v="350"/>
    <n v="0.36842105263157893"/>
  </r>
  <r>
    <s v="ORD-12350"/>
    <x v="359"/>
    <s v="P010"/>
    <x v="22"/>
    <s v="Household"/>
    <s v="Paper Products"/>
    <s v="SoftCare"/>
    <s v="B06"/>
    <x v="1"/>
    <s v="Rivers"/>
    <x v="1"/>
    <s v="Walk-in"/>
    <s v="POS"/>
    <n v="2"/>
    <n v="3200"/>
    <n v="4500"/>
    <n v="0.05"/>
    <x v="1"/>
    <n v="10"/>
    <n v="9000"/>
    <n v="450"/>
    <n v="8550"/>
    <n v="6400"/>
    <n v="2150"/>
    <n v="0.25146198830409355"/>
    <s v="Healthy"/>
    <s v="Safe"/>
    <n v="0.28888888888888886"/>
    <s v="Safe"/>
    <n v="1300"/>
    <n v="0.28888888888888886"/>
  </r>
  <r>
    <s v="ORD-12351"/>
    <x v="179"/>
    <s v="P006"/>
    <x v="0"/>
    <s v="Beverages"/>
    <s v="Water"/>
    <s v="AquaPure"/>
    <s v="B02"/>
    <x v="4"/>
    <s v="Abuja"/>
    <x v="2"/>
    <s v="Walk-in"/>
    <s v="POS"/>
    <n v="2"/>
    <n v="230"/>
    <n v="400"/>
    <n v="0.1"/>
    <x v="0"/>
    <n v="1"/>
    <n v="800"/>
    <n v="80"/>
    <n v="720"/>
    <n v="460"/>
    <n v="260"/>
    <n v="0.3611111111111111"/>
    <s v="Understocked"/>
    <s v="Safe"/>
    <n v="0.42499999999999999"/>
    <s v="Safe"/>
    <n v="170"/>
    <n v="0.42499999999999999"/>
  </r>
  <r>
    <s v="ORD-12352"/>
    <x v="24"/>
    <s v="P015"/>
    <x v="8"/>
    <s v="Personal Care"/>
    <s v="Bath"/>
    <s v="SilkyTouch"/>
    <s v="B06"/>
    <x v="1"/>
    <s v="Rivers"/>
    <x v="1"/>
    <s v="Member"/>
    <s v="Card"/>
    <n v="5"/>
    <n v="600"/>
    <n v="950"/>
    <n v="0.05"/>
    <x v="10"/>
    <n v="13"/>
    <n v="4750"/>
    <n v="237.5"/>
    <n v="4512.5"/>
    <n v="3000"/>
    <n v="1512.5"/>
    <n v="0.33518005540166207"/>
    <s v="Healthy"/>
    <s v="Safe"/>
    <n v="0.36842105263157893"/>
    <s v="Safe"/>
    <n v="350"/>
    <n v="0.36842105263157893"/>
  </r>
  <r>
    <s v="ORD-12353"/>
    <x v="172"/>
    <s v="P007"/>
    <x v="3"/>
    <s v="Beverages"/>
    <s v="Malt"/>
    <s v="Naija Malt"/>
    <s v="B05"/>
    <x v="0"/>
    <s v="Kano"/>
    <x v="0"/>
    <s v="Member"/>
    <s v="POS"/>
    <n v="1"/>
    <n v="550"/>
    <n v="850"/>
    <n v="0.05"/>
    <x v="3"/>
    <n v="1"/>
    <n v="850"/>
    <n v="42.5"/>
    <n v="807.5"/>
    <n v="550"/>
    <n v="257.5"/>
    <n v="0.31888544891640869"/>
    <s v="Healthy"/>
    <s v="Safe"/>
    <n v="0.35294117647058826"/>
    <s v="Safe"/>
    <n v="300"/>
    <n v="0.35294117647058826"/>
  </r>
  <r>
    <s v="ORD-12354"/>
    <x v="168"/>
    <s v="P005"/>
    <x v="2"/>
    <s v="Food"/>
    <s v="Snacks"/>
    <s v="CrispyBite"/>
    <s v="B07"/>
    <x v="3"/>
    <s v="Enugu"/>
    <x v="3"/>
    <s v="Member"/>
    <s v="Cash"/>
    <n v="1"/>
    <n v="850"/>
    <n v="1300"/>
    <n v="0.05"/>
    <x v="8"/>
    <n v="1"/>
    <n v="1300"/>
    <n v="65"/>
    <n v="1235"/>
    <n v="850"/>
    <n v="385"/>
    <n v="0.31174089068825911"/>
    <s v="Understocked"/>
    <s v="Safe"/>
    <n v="0.34615384615384615"/>
    <s v="Safe"/>
    <n v="450"/>
    <n v="0.34615384615384615"/>
  </r>
  <r>
    <s v="ORD-12355"/>
    <x v="29"/>
    <s v="P012"/>
    <x v="21"/>
    <s v="Household"/>
    <s v="Home Care"/>
    <s v="HomeFresh"/>
    <s v="B06"/>
    <x v="1"/>
    <s v="Rivers"/>
    <x v="1"/>
    <s v="Member"/>
    <s v="Cash"/>
    <n v="3"/>
    <n v="1700"/>
    <n v="2600"/>
    <n v="0"/>
    <x v="7"/>
    <n v="10"/>
    <n v="7800"/>
    <n v="0"/>
    <n v="7800"/>
    <n v="5100"/>
    <n v="2700"/>
    <n v="0.34615384615384615"/>
    <s v="Overstocked"/>
    <s v="Safe"/>
    <n v="0.34615384615384615"/>
    <s v="Safe"/>
    <n v="900"/>
    <n v="0.34615384615384615"/>
  </r>
  <r>
    <s v="ORD-12356"/>
    <x v="249"/>
    <s v="P017"/>
    <x v="23"/>
    <s v="Electronics"/>
    <s v="Accessories"/>
    <s v="PowerMax"/>
    <s v="B06"/>
    <x v="1"/>
    <s v="Rivers"/>
    <x v="1"/>
    <s v="Member"/>
    <s v="POS"/>
    <n v="1"/>
    <n v="7500"/>
    <n v="10500"/>
    <n v="0.15"/>
    <x v="13"/>
    <n v="11"/>
    <n v="10500"/>
    <n v="1575"/>
    <n v="8925"/>
    <n v="7500"/>
    <n v="1425"/>
    <n v="0.15966386554621848"/>
    <s v="Healthy"/>
    <s v="Safe"/>
    <n v="0.2857142857142857"/>
    <s v="Safe"/>
    <n v="3000"/>
    <n v="0.2857142857142857"/>
  </r>
  <r>
    <s v="ORD-12357"/>
    <x v="109"/>
    <s v="P023"/>
    <x v="6"/>
    <s v="Office Supplies"/>
    <s v="Stationery"/>
    <s v="StudyPro"/>
    <s v="B06"/>
    <x v="1"/>
    <s v="Rivers"/>
    <x v="1"/>
    <s v="Walk-in"/>
    <s v="Transfer"/>
    <n v="4"/>
    <n v="2800"/>
    <n v="4200"/>
    <n v="0.05"/>
    <x v="15"/>
    <n v="10"/>
    <n v="16800"/>
    <n v="840"/>
    <n v="15960"/>
    <n v="11200"/>
    <n v="4760"/>
    <n v="0.2982456140350877"/>
    <s v="Understocked"/>
    <s v="Safe"/>
    <n v="0.33333333333333331"/>
    <s v="Safe"/>
    <n v="1400"/>
    <n v="0.33333333333333331"/>
  </r>
  <r>
    <s v="ORD-12358"/>
    <x v="307"/>
    <s v="P023"/>
    <x v="6"/>
    <s v="Office Supplies"/>
    <s v="Stationery"/>
    <s v="StudyPro"/>
    <s v="B03"/>
    <x v="6"/>
    <s v="Lagos"/>
    <x v="4"/>
    <s v="Walk-in"/>
    <s v="Card"/>
    <n v="4"/>
    <n v="2800"/>
    <n v="4200"/>
    <n v="0.1"/>
    <x v="15"/>
    <n v="6"/>
    <n v="16800"/>
    <n v="1680"/>
    <n v="15120"/>
    <n v="11200"/>
    <n v="3920"/>
    <n v="0.25925925925925924"/>
    <s v="Understocked"/>
    <s v="Safe"/>
    <n v="0.33333333333333331"/>
    <s v="Safe"/>
    <n v="1400"/>
    <n v="0.33333333333333331"/>
  </r>
  <r>
    <s v="ORD-12359"/>
    <x v="274"/>
    <s v="P005"/>
    <x v="2"/>
    <s v="Food"/>
    <s v="Snacks"/>
    <s v="CrispyBite"/>
    <s v="B08"/>
    <x v="7"/>
    <s v="Kwara"/>
    <x v="2"/>
    <s v="Walk-in"/>
    <s v="Cash"/>
    <n v="3"/>
    <n v="850"/>
    <n v="1300"/>
    <n v="0.05"/>
    <x v="1"/>
    <n v="1"/>
    <n v="3900"/>
    <n v="195"/>
    <n v="3705"/>
    <n v="2550"/>
    <n v="1155"/>
    <n v="0.31174089068825911"/>
    <s v="Understocked"/>
    <s v="Safe"/>
    <n v="0.34615384615384615"/>
    <s v="Safe"/>
    <n v="450"/>
    <n v="0.34615384615384615"/>
  </r>
  <r>
    <s v="ORD-12360"/>
    <x v="281"/>
    <s v="P008"/>
    <x v="4"/>
    <s v="Beverages"/>
    <s v="Soft Drinks"/>
    <s v="Sparkle"/>
    <s v="B04"/>
    <x v="5"/>
    <s v="Lagos"/>
    <x v="4"/>
    <s v="Corporate"/>
    <s v="Cash"/>
    <n v="8"/>
    <n v="330"/>
    <n v="550"/>
    <n v="0.1"/>
    <x v="3"/>
    <n v="1"/>
    <n v="4400"/>
    <n v="440"/>
    <n v="3960"/>
    <n v="2640"/>
    <n v="1320"/>
    <n v="0.33333333333333331"/>
    <s v="Healthy"/>
    <s v="Safe"/>
    <n v="0.4"/>
    <s v="Safe"/>
    <n v="220"/>
    <n v="0.4"/>
  </r>
  <r>
    <s v="ORD-12361"/>
    <x v="62"/>
    <s v="P011"/>
    <x v="9"/>
    <s v="Household"/>
    <s v="Cleaning"/>
    <s v="CleanPro"/>
    <s v="B05"/>
    <x v="0"/>
    <s v="Kano"/>
    <x v="0"/>
    <s v="Member"/>
    <s v="POS"/>
    <n v="3"/>
    <n v="2800"/>
    <n v="3900"/>
    <n v="0.1"/>
    <x v="10"/>
    <n v="14"/>
    <n v="11700"/>
    <n v="1170"/>
    <n v="10530"/>
    <n v="8400"/>
    <n v="2130"/>
    <n v="0.20227920227920229"/>
    <s v="Healthy"/>
    <s v="Safe"/>
    <n v="0.28205128205128205"/>
    <s v="Safe"/>
    <n v="1100"/>
    <n v="0.28205128205128205"/>
  </r>
  <r>
    <s v="ORD-12362"/>
    <x v="204"/>
    <s v="P005"/>
    <x v="2"/>
    <s v="Food"/>
    <s v="Snacks"/>
    <s v="CrispyBite"/>
    <s v="B07"/>
    <x v="3"/>
    <s v="Enugu"/>
    <x v="3"/>
    <s v="Walk-in"/>
    <s v="Transfer"/>
    <n v="1"/>
    <n v="850"/>
    <n v="1300"/>
    <n v="0.05"/>
    <x v="8"/>
    <n v="9"/>
    <n v="1300"/>
    <n v="65"/>
    <n v="1235"/>
    <n v="850"/>
    <n v="385"/>
    <n v="0.31174089068825911"/>
    <s v="Understocked"/>
    <s v="Safe"/>
    <n v="0.34615384615384615"/>
    <s v="Safe"/>
    <n v="450"/>
    <n v="0.34615384615384615"/>
  </r>
  <r>
    <s v="ORD-12363"/>
    <x v="121"/>
    <s v="P006"/>
    <x v="0"/>
    <s v="Beverages"/>
    <s v="Water"/>
    <s v="AquaPure"/>
    <s v="B06"/>
    <x v="1"/>
    <s v="Rivers"/>
    <x v="1"/>
    <s v="Walk-in"/>
    <s v="POS"/>
    <n v="2"/>
    <n v="230"/>
    <n v="400"/>
    <n v="0.1"/>
    <x v="3"/>
    <n v="5"/>
    <n v="800"/>
    <n v="80"/>
    <n v="720"/>
    <n v="460"/>
    <n v="260"/>
    <n v="0.3611111111111111"/>
    <s v="Understocked"/>
    <s v="Safe"/>
    <n v="0.42499999999999999"/>
    <s v="Safe"/>
    <n v="170"/>
    <n v="0.42499999999999999"/>
  </r>
  <r>
    <s v="ORD-12364"/>
    <x v="113"/>
    <s v="P014"/>
    <x v="15"/>
    <s v="Personal Care"/>
    <s v="Oral Care"/>
    <s v="FreshMint"/>
    <s v="B02"/>
    <x v="4"/>
    <s v="Abuja"/>
    <x v="2"/>
    <s v="Member"/>
    <s v="POS"/>
    <n v="1"/>
    <n v="1200"/>
    <n v="1900"/>
    <n v="0"/>
    <x v="11"/>
    <n v="8"/>
    <n v="1900"/>
    <n v="0"/>
    <n v="1900"/>
    <n v="1200"/>
    <n v="700"/>
    <n v="0.36842105263157893"/>
    <s v="Healthy"/>
    <s v="Safe"/>
    <n v="0.36842105263157893"/>
    <s v="Safe"/>
    <n v="700"/>
    <n v="0.36842105263157893"/>
  </r>
  <r>
    <s v="ORD-12365"/>
    <x v="339"/>
    <s v="P015"/>
    <x v="8"/>
    <s v="Personal Care"/>
    <s v="Bath"/>
    <s v="SilkyTouch"/>
    <s v="B03"/>
    <x v="6"/>
    <s v="Lagos"/>
    <x v="4"/>
    <s v="Walk-in"/>
    <s v="POS"/>
    <n v="4"/>
    <n v="600"/>
    <n v="950"/>
    <n v="0.2"/>
    <x v="10"/>
    <n v="13"/>
    <n v="3800"/>
    <n v="760"/>
    <n v="3040"/>
    <n v="2400"/>
    <n v="640"/>
    <n v="0.21052631578947367"/>
    <s v="Healthy"/>
    <s v="Safe"/>
    <n v="0.36842105263157893"/>
    <s v="Safe"/>
    <n v="350"/>
    <n v="0.36842105263157893"/>
  </r>
  <r>
    <s v="ORD-12366"/>
    <x v="198"/>
    <s v="P021"/>
    <x v="20"/>
    <s v="Office Supplies"/>
    <s v="Paper"/>
    <s v="OfficeMate"/>
    <s v="B01"/>
    <x v="2"/>
    <s v="Abuja"/>
    <x v="2"/>
    <s v="Member"/>
    <s v="POS"/>
    <n v="4"/>
    <n v="5200"/>
    <n v="7000"/>
    <n v="0.1"/>
    <x v="5"/>
    <n v="6"/>
    <n v="28000"/>
    <n v="2800"/>
    <n v="25200"/>
    <n v="20800"/>
    <n v="4400"/>
    <n v="0.17460317460317459"/>
    <s v="Overstocked"/>
    <s v="Safe"/>
    <n v="0.25714285714285712"/>
    <s v="Safe"/>
    <n v="1800"/>
    <n v="0.25714285714285712"/>
  </r>
  <r>
    <s v="ORD-12367"/>
    <x v="252"/>
    <s v="P006"/>
    <x v="0"/>
    <s v="Beverages"/>
    <s v="Water"/>
    <s v="AquaPure"/>
    <s v="B07"/>
    <x v="3"/>
    <s v="Enugu"/>
    <x v="3"/>
    <s v="Walk-in"/>
    <s v="POS"/>
    <n v="3"/>
    <n v="230"/>
    <n v="400"/>
    <n v="0.05"/>
    <x v="3"/>
    <n v="4"/>
    <n v="1200"/>
    <n v="60"/>
    <n v="1140"/>
    <n v="690"/>
    <n v="450"/>
    <n v="0.39473684210526316"/>
    <s v="Understocked"/>
    <s v="Safe"/>
    <n v="0.42499999999999999"/>
    <s v="Safe"/>
    <n v="170"/>
    <n v="0.42499999999999999"/>
  </r>
  <r>
    <s v="ORD-12368"/>
    <x v="252"/>
    <s v="P007"/>
    <x v="3"/>
    <s v="Beverages"/>
    <s v="Malt"/>
    <s v="Naija Malt"/>
    <s v="B01"/>
    <x v="2"/>
    <s v="Abuja"/>
    <x v="2"/>
    <s v="Member"/>
    <s v="Cash"/>
    <n v="-1"/>
    <n v="550"/>
    <n v="850"/>
    <n v="0"/>
    <x v="0"/>
    <n v="5"/>
    <n v="-850"/>
    <n v="0"/>
    <n v="-850"/>
    <n v="-550"/>
    <n v="-300"/>
    <n v="0.35294117647058826"/>
    <s v="Healthy"/>
    <s v="Safe"/>
    <n v="0.35294117647058826"/>
    <s v="Safe"/>
    <n v="300"/>
    <n v="0.35294117647058826"/>
  </r>
  <r>
    <s v="ORD-12369"/>
    <x v="43"/>
    <s v="P018"/>
    <x v="16"/>
    <s v="Electronics"/>
    <s v="Mobile Accessories"/>
    <s v="VoltSafe"/>
    <s v="B07"/>
    <x v="3"/>
    <s v="Enugu"/>
    <x v="3"/>
    <s v="Walk-in"/>
    <s v="Cash"/>
    <n v="1"/>
    <n v="18000"/>
    <n v="24500"/>
    <n v="0.15"/>
    <x v="4"/>
    <n v="7"/>
    <n v="24500"/>
    <n v="3675"/>
    <n v="20825"/>
    <n v="18000"/>
    <n v="2825"/>
    <n v="0.13565426170468187"/>
    <s v="Understocked"/>
    <s v="Safe"/>
    <n v="0.26530612244897961"/>
    <s v="Safe"/>
    <n v="6500"/>
    <n v="0.26530612244897961"/>
  </r>
  <r>
    <s v="ORD-12370"/>
    <x v="22"/>
    <s v="P007"/>
    <x v="3"/>
    <s v="Beverages"/>
    <s v="Malt"/>
    <s v="Naija Malt"/>
    <s v="B03"/>
    <x v="6"/>
    <s v="Lagos"/>
    <x v="4"/>
    <s v="Member"/>
    <s v="POS"/>
    <n v="1"/>
    <n v="550"/>
    <n v="850"/>
    <n v="0"/>
    <x v="3"/>
    <n v="11"/>
    <n v="850"/>
    <n v="0"/>
    <n v="850"/>
    <n v="550"/>
    <n v="300"/>
    <n v="0.35294117647058826"/>
    <s v="Healthy"/>
    <s v="Safe"/>
    <n v="0.35294117647058826"/>
    <s v="Safe"/>
    <n v="300"/>
    <n v="0.35294117647058826"/>
  </r>
  <r>
    <s v="ORD-12371"/>
    <x v="266"/>
    <s v="P019"/>
    <x v="18"/>
    <s v="Electronics"/>
    <s v="Audio"/>
    <s v="SoundBeat"/>
    <s v="B05"/>
    <x v="0"/>
    <s v="Kano"/>
    <x v="0"/>
    <s v="Walk-in"/>
    <s v="Cash"/>
    <n v="3"/>
    <n v="12500"/>
    <n v="18500"/>
    <n v="0"/>
    <x v="4"/>
    <n v="3"/>
    <n v="55500"/>
    <n v="0"/>
    <n v="55500"/>
    <n v="37500"/>
    <n v="18000"/>
    <n v="0.32432432432432434"/>
    <s v="Understocked"/>
    <s v="Safe"/>
    <n v="0.32432432432432434"/>
    <s v="Safe"/>
    <n v="6000"/>
    <n v="0.32432432432432434"/>
  </r>
  <r>
    <s v="ORD-12372"/>
    <x v="17"/>
    <s v="P013"/>
    <x v="11"/>
    <s v="Personal Care"/>
    <s v="Skin Care"/>
    <s v="GlowPlus"/>
    <s v="B02"/>
    <x v="4"/>
    <s v="Abuja"/>
    <x v="2"/>
    <s v="Walk-in"/>
    <s v="POS"/>
    <n v="1"/>
    <n v="3500"/>
    <n v="5200"/>
    <n v="0.1"/>
    <x v="11"/>
    <n v="13"/>
    <n v="5200"/>
    <n v="520"/>
    <n v="4680"/>
    <n v="3500"/>
    <n v="1180"/>
    <n v="0.25213675213675213"/>
    <s v="Healthy"/>
    <s v="Safe"/>
    <n v="0.32692307692307693"/>
    <s v="Safe"/>
    <n v="1700"/>
    <n v="0.32692307692307693"/>
  </r>
  <r>
    <s v="ORD-12373"/>
    <x v="306"/>
    <s v="P015"/>
    <x v="8"/>
    <s v="Personal Care"/>
    <s v="Bath"/>
    <s v="SilkyTouch"/>
    <s v="B03"/>
    <x v="6"/>
    <s v="Lagos"/>
    <x v="4"/>
    <s v="Member"/>
    <s v="POS"/>
    <n v="5"/>
    <n v="600"/>
    <n v="950"/>
    <n v="0.1"/>
    <x v="6"/>
    <n v="1"/>
    <n v="4750"/>
    <n v="475"/>
    <n v="4275"/>
    <n v="3000"/>
    <n v="1275"/>
    <n v="0.2982456140350877"/>
    <s v="Healthy"/>
    <s v="Safe"/>
    <n v="0.36842105263157893"/>
    <s v="Safe"/>
    <n v="350"/>
    <n v="0.36842105263157893"/>
  </r>
  <r>
    <s v="ORD-12374"/>
    <x v="116"/>
    <s v="P008"/>
    <x v="4"/>
    <s v="Beverages"/>
    <s v="Soft Drinks"/>
    <s v="Sparkle"/>
    <s v="B01"/>
    <x v="2"/>
    <s v="Abuja"/>
    <x v="2"/>
    <s v="Member"/>
    <s v="Transfer"/>
    <n v="8"/>
    <n v="330"/>
    <n v="550"/>
    <n v="0.05"/>
    <x v="2"/>
    <n v="11"/>
    <n v="4400"/>
    <n v="220"/>
    <n v="4180"/>
    <n v="2640"/>
    <n v="1540"/>
    <n v="0.36842105263157893"/>
    <s v="Healthy"/>
    <s v="Safe"/>
    <n v="0.4"/>
    <s v="Safe"/>
    <n v="220"/>
    <n v="0.4"/>
  </r>
  <r>
    <s v="ORD-12375"/>
    <x v="125"/>
    <s v="P023"/>
    <x v="6"/>
    <s v="Office Supplies"/>
    <s v="Stationery"/>
    <s v="StudyPro"/>
    <s v="B04"/>
    <x v="5"/>
    <s v="Lagos"/>
    <x v="4"/>
    <s v="Member"/>
    <s v="POS"/>
    <n v="1"/>
    <n v="2800"/>
    <n v="4200"/>
    <n v="0.05"/>
    <x v="14"/>
    <n v="12"/>
    <n v="4200"/>
    <n v="210"/>
    <n v="3990"/>
    <n v="2800"/>
    <n v="1190"/>
    <n v="0.2982456140350877"/>
    <s v="Understocked"/>
    <s v="Safe"/>
    <n v="0.33333333333333331"/>
    <s v="Safe"/>
    <n v="1400"/>
    <n v="0.33333333333333331"/>
  </r>
  <r>
    <s v="ORD-12376"/>
    <x v="79"/>
    <s v="P005"/>
    <x v="2"/>
    <s v="Food"/>
    <s v="Snacks"/>
    <s v="CrispyBite"/>
    <s v="B01"/>
    <x v="2"/>
    <s v="Abuja"/>
    <x v="2"/>
    <s v="Walk-in"/>
    <s v="POS"/>
    <n v="3"/>
    <n v="850"/>
    <n v="1300"/>
    <n v="0.1"/>
    <x v="8"/>
    <n v="6"/>
    <n v="3900"/>
    <n v="390"/>
    <n v="3510"/>
    <n v="2550"/>
    <n v="960"/>
    <n v="0.27350427350427353"/>
    <s v="Understocked"/>
    <s v="Safe"/>
    <n v="0.34615384615384615"/>
    <s v="Safe"/>
    <n v="450"/>
    <n v="0.34615384615384615"/>
  </r>
  <r>
    <s v="ORD-12377"/>
    <x v="42"/>
    <s v="P005"/>
    <x v="2"/>
    <s v="Food"/>
    <s v="Snacks"/>
    <s v="CrispyBite"/>
    <s v="B07"/>
    <x v="3"/>
    <s v="Enugu"/>
    <x v="3"/>
    <s v="Walk-in"/>
    <s v="Transfer"/>
    <n v="5"/>
    <n v="850"/>
    <n v="1300"/>
    <n v="0.1"/>
    <x v="9"/>
    <n v="10"/>
    <n v="6500"/>
    <n v="650"/>
    <n v="5850"/>
    <n v="4250"/>
    <n v="1600"/>
    <n v="0.27350427350427353"/>
    <s v="Understocked"/>
    <s v="Safe"/>
    <n v="0.34615384615384615"/>
    <s v="Safe"/>
    <n v="450"/>
    <n v="0.34615384615384615"/>
  </r>
  <r>
    <s v="ORD-12378"/>
    <x v="167"/>
    <s v="P004"/>
    <x v="1"/>
    <s v="Beverages"/>
    <s v="Dairy"/>
    <s v="FreshDay"/>
    <s v="B04"/>
    <x v="5"/>
    <s v="Lagos"/>
    <x v="4"/>
    <s v="Walk-in"/>
    <s v="Cash"/>
    <n v="3"/>
    <n v="1650"/>
    <n v="2200"/>
    <n v="0.05"/>
    <x v="2"/>
    <n v="2"/>
    <n v="6600"/>
    <n v="330"/>
    <n v="6270"/>
    <n v="4950"/>
    <n v="1320"/>
    <n v="0.21052631578947367"/>
    <s v="Understocked"/>
    <s v="Safe"/>
    <n v="0.25"/>
    <s v="Safe"/>
    <n v="550"/>
    <n v="0.25"/>
  </r>
  <r>
    <s v="ORD-12379"/>
    <x v="171"/>
    <s v="P006"/>
    <x v="0"/>
    <s v="Beverages"/>
    <s v="Water"/>
    <s v="AquaPure"/>
    <s v="B03"/>
    <x v="6"/>
    <s v="Lagos"/>
    <x v="4"/>
    <s v="Member"/>
    <s v="Cash"/>
    <n v="-1"/>
    <n v="230"/>
    <n v="400"/>
    <n v="0"/>
    <x v="2"/>
    <n v="7"/>
    <n v="-400"/>
    <n v="0"/>
    <n v="-400"/>
    <n v="-230"/>
    <n v="-170"/>
    <n v="0.42499999999999999"/>
    <s v="Understocked"/>
    <s v="Safe"/>
    <n v="0.42499999999999999"/>
    <s v="Safe"/>
    <n v="170"/>
    <n v="0.42499999999999999"/>
  </r>
  <r>
    <s v="ORD-12380"/>
    <x v="128"/>
    <s v="P018"/>
    <x v="16"/>
    <s v="Electronics"/>
    <s v="Mobile Accessories"/>
    <s v="VoltSafe"/>
    <s v="B01"/>
    <x v="2"/>
    <s v="Abuja"/>
    <x v="2"/>
    <s v="Walk-in"/>
    <s v="Cash"/>
    <n v="3"/>
    <n v="18000"/>
    <n v="24500"/>
    <n v="0"/>
    <x v="4"/>
    <n v="2"/>
    <n v="73500"/>
    <n v="0"/>
    <n v="73500"/>
    <n v="54000"/>
    <n v="19500"/>
    <n v="0.26530612244897961"/>
    <s v="Understocked"/>
    <s v="Safe"/>
    <n v="0.26530612244897961"/>
    <s v="Safe"/>
    <n v="6500"/>
    <n v="0.26530612244897961"/>
  </r>
  <r>
    <s v="ORD-12381"/>
    <x v="33"/>
    <s v="P015"/>
    <x v="8"/>
    <s v="Personal Care"/>
    <s v="Bath"/>
    <s v="SilkyTouch"/>
    <s v="B08"/>
    <x v="7"/>
    <s v="Kwara"/>
    <x v="2"/>
    <s v="Walk-in"/>
    <s v="Cash"/>
    <n v="2"/>
    <n v="600"/>
    <n v="950"/>
    <n v="0.15"/>
    <x v="10"/>
    <n v="8"/>
    <n v="1900"/>
    <n v="285"/>
    <n v="1615"/>
    <n v="1200"/>
    <n v="415"/>
    <n v="0.25696594427244585"/>
    <s v="Healthy"/>
    <s v="Safe"/>
    <n v="0.36842105263157893"/>
    <s v="Safe"/>
    <n v="350"/>
    <n v="0.36842105263157893"/>
  </r>
  <r>
    <s v="ORD-12382"/>
    <x v="8"/>
    <s v="P003"/>
    <x v="12"/>
    <s v="Food"/>
    <s v="Cooking Oil"/>
    <s v="SunGold"/>
    <s v="B03"/>
    <x v="6"/>
    <s v="Lagos"/>
    <x v="4"/>
    <s v="Walk-in"/>
    <s v="Transfer"/>
    <n v="1"/>
    <n v="7800"/>
    <n v="9800"/>
    <n v="0"/>
    <x v="8"/>
    <n v="1"/>
    <n v="9800"/>
    <n v="0"/>
    <n v="9800"/>
    <n v="7800"/>
    <n v="2000"/>
    <n v="0.20408163265306123"/>
    <s v="Understocked"/>
    <s v="Safe"/>
    <n v="0.20408163265306123"/>
    <s v="Safe"/>
    <n v="2000"/>
    <n v="0.20408163265306123"/>
  </r>
  <r>
    <s v="ORD-12383"/>
    <x v="26"/>
    <s v="P015"/>
    <x v="8"/>
    <s v="Personal Care"/>
    <s v="Bath"/>
    <s v="SilkyTouch"/>
    <s v="B03"/>
    <x v="6"/>
    <s v="Lagos"/>
    <x v="4"/>
    <s v="Member"/>
    <s v="POS"/>
    <n v="1"/>
    <n v="600"/>
    <n v="950"/>
    <n v="0.15"/>
    <x v="11"/>
    <n v="10"/>
    <n v="950"/>
    <n v="142.5"/>
    <n v="807.5"/>
    <n v="600"/>
    <n v="207.5"/>
    <n v="0.25696594427244585"/>
    <s v="Healthy"/>
    <s v="Safe"/>
    <n v="0.36842105263157893"/>
    <s v="Safe"/>
    <n v="350"/>
    <n v="0.36842105263157893"/>
  </r>
  <r>
    <s v="ORD-12384"/>
    <x v="194"/>
    <s v="P003"/>
    <x v="12"/>
    <s v="Food"/>
    <s v="Cooking Oil"/>
    <s v="SunGold"/>
    <s v="B08"/>
    <x v="7"/>
    <s v="Kwara"/>
    <x v="2"/>
    <s v="Walk-in"/>
    <s v="POS"/>
    <n v="1"/>
    <n v="7800"/>
    <n v="9800"/>
    <n v="0.1"/>
    <x v="8"/>
    <n v="7"/>
    <n v="9800"/>
    <n v="980"/>
    <n v="8820"/>
    <n v="7800"/>
    <n v="1020"/>
    <n v="0.11564625850340136"/>
    <s v="Understocked"/>
    <s v="Safe"/>
    <n v="0.20408163265306123"/>
    <s v="Safe"/>
    <n v="2000"/>
    <n v="0.20408163265306123"/>
  </r>
  <r>
    <s v="ORD-12385"/>
    <x v="144"/>
    <s v="P020"/>
    <x v="5"/>
    <s v="Electronics"/>
    <s v="Lighting"/>
    <s v="Luma"/>
    <s v="B03"/>
    <x v="6"/>
    <s v="Lagos"/>
    <x v="4"/>
    <s v="Member"/>
    <s v="POS"/>
    <n v="1"/>
    <n v="1500"/>
    <n v="2500"/>
    <n v="0.05"/>
    <x v="4"/>
    <n v="6"/>
    <n v="2500"/>
    <n v="125"/>
    <n v="2375"/>
    <n v="1500"/>
    <n v="875"/>
    <n v="0.36842105263157893"/>
    <s v="Healthy"/>
    <s v="Safe"/>
    <n v="0.4"/>
    <s v="Safe"/>
    <n v="1000"/>
    <n v="0.4"/>
  </r>
  <r>
    <s v="ORD-12386"/>
    <x v="70"/>
    <s v="P006"/>
    <x v="0"/>
    <s v="Beverages"/>
    <s v="Water"/>
    <s v="AquaPure"/>
    <s v="B05"/>
    <x v="0"/>
    <s v="Kano"/>
    <x v="0"/>
    <s v="Walk-in"/>
    <s v="POS"/>
    <n v="2"/>
    <n v="230"/>
    <n v="400"/>
    <n v="0.05"/>
    <x v="3"/>
    <n v="13"/>
    <n v="800"/>
    <n v="40"/>
    <n v="760"/>
    <n v="460"/>
    <n v="300"/>
    <n v="0.39473684210526316"/>
    <s v="Understocked"/>
    <s v="Safe"/>
    <n v="0.42499999999999999"/>
    <s v="Safe"/>
    <n v="170"/>
    <n v="0.42499999999999999"/>
  </r>
  <r>
    <s v="ORD-12387"/>
    <x v="174"/>
    <s v="P024"/>
    <x v="19"/>
    <s v="Office Supplies"/>
    <s v="Accessories"/>
    <s v="ErgoDesk"/>
    <s v="B06"/>
    <x v="1"/>
    <s v="Rivers"/>
    <x v="1"/>
    <s v="Walk-in"/>
    <s v="Card"/>
    <n v="5"/>
    <n v="1700"/>
    <n v="2800"/>
    <n v="0.2"/>
    <x v="15"/>
    <n v="13"/>
    <n v="14000"/>
    <n v="2800"/>
    <n v="11200"/>
    <n v="8500"/>
    <n v="2700"/>
    <n v="0.24107142857142858"/>
    <s v="Overstocked"/>
    <s v="Safe"/>
    <n v="0.39285714285714285"/>
    <s v="Safe"/>
    <n v="1100"/>
    <n v="0.39285714285714285"/>
  </r>
  <r>
    <s v="ORD-12388"/>
    <x v="159"/>
    <s v="P004"/>
    <x v="1"/>
    <s v="Beverages"/>
    <s v="Dairy"/>
    <s v="FreshDay"/>
    <s v="B01"/>
    <x v="2"/>
    <s v="Abuja"/>
    <x v="2"/>
    <s v="Walk-in"/>
    <s v="POS"/>
    <n v="2"/>
    <n v="1650"/>
    <n v="2200"/>
    <n v="0.05"/>
    <x v="3"/>
    <n v="12"/>
    <n v="4400"/>
    <n v="220"/>
    <n v="4180"/>
    <n v="3300"/>
    <n v="880"/>
    <n v="0.21052631578947367"/>
    <s v="Understocked"/>
    <s v="Safe"/>
    <n v="0.25"/>
    <s v="Safe"/>
    <n v="550"/>
    <n v="0.25"/>
  </r>
  <r>
    <s v="ORD-12389"/>
    <x v="209"/>
    <s v="P008"/>
    <x v="4"/>
    <s v="Beverages"/>
    <s v="Soft Drinks"/>
    <s v="Sparkle"/>
    <s v="B06"/>
    <x v="1"/>
    <s v="Rivers"/>
    <x v="1"/>
    <s v="Member"/>
    <s v="Card"/>
    <n v="1"/>
    <n v="330"/>
    <n v="550"/>
    <n v="0.1"/>
    <x v="3"/>
    <n v="3"/>
    <n v="550"/>
    <n v="55"/>
    <n v="495"/>
    <n v="330"/>
    <n v="165"/>
    <n v="0.33333333333333331"/>
    <s v="Healthy"/>
    <s v="Safe"/>
    <n v="0.4"/>
    <s v="Safe"/>
    <n v="220"/>
    <n v="0.4"/>
  </r>
  <r>
    <s v="ORD-12390"/>
    <x v="25"/>
    <s v="P006"/>
    <x v="0"/>
    <s v="Beverages"/>
    <s v="Water"/>
    <s v="AquaPure"/>
    <s v="B06"/>
    <x v="1"/>
    <s v="Rivers"/>
    <x v="1"/>
    <s v="Member"/>
    <s v="Transfer"/>
    <n v="5"/>
    <n v="230"/>
    <n v="400"/>
    <n v="0.2"/>
    <x v="0"/>
    <n v="14"/>
    <n v="2000"/>
    <n v="400"/>
    <n v="1600"/>
    <n v="1150"/>
    <n v="450"/>
    <n v="0.28125"/>
    <s v="Understocked"/>
    <s v="Safe"/>
    <n v="0.42499999999999999"/>
    <s v="Safe"/>
    <n v="170"/>
    <n v="0.42499999999999999"/>
  </r>
  <r>
    <s v="ORD-12391"/>
    <x v="191"/>
    <s v="P005"/>
    <x v="2"/>
    <s v="Food"/>
    <s v="Snacks"/>
    <s v="CrispyBite"/>
    <s v="B03"/>
    <x v="6"/>
    <s v="Lagos"/>
    <x v="4"/>
    <s v="Member"/>
    <s v="Card"/>
    <n v="6"/>
    <n v="850"/>
    <n v="1300"/>
    <n v="0.1"/>
    <x v="1"/>
    <n v="14"/>
    <n v="7800"/>
    <n v="780"/>
    <n v="7020"/>
    <n v="5100"/>
    <n v="1920"/>
    <n v="0.27350427350427353"/>
    <s v="Understocked"/>
    <s v="Safe"/>
    <n v="0.34615384615384615"/>
    <s v="Safe"/>
    <n v="450"/>
    <n v="0.34615384615384615"/>
  </r>
  <r>
    <s v="ORD-12392"/>
    <x v="211"/>
    <s v="P001"/>
    <x v="14"/>
    <s v="Food"/>
    <s v="Grains"/>
    <s v="Golden Harvest"/>
    <s v="B02"/>
    <x v="4"/>
    <s v="Abuja"/>
    <x v="2"/>
    <s v="Walk-in"/>
    <s v="POS"/>
    <n v="1"/>
    <n v="14500"/>
    <n v="17500"/>
    <n v="0.1"/>
    <x v="9"/>
    <n v="7"/>
    <n v="17500"/>
    <n v="1750"/>
    <n v="15750"/>
    <n v="14500"/>
    <n v="1250"/>
    <n v="7.9365079365079361E-2"/>
    <s v="Understocked"/>
    <s v="Safe"/>
    <n v="0.17142857142857143"/>
    <s v="Safe"/>
    <n v="3000"/>
    <n v="0.17142857142857143"/>
  </r>
  <r>
    <s v="ORD-12393"/>
    <x v="32"/>
    <s v="P016"/>
    <x v="7"/>
    <s v="Personal Care"/>
    <s v="Fragrance"/>
    <s v="RoyalScent"/>
    <s v="B02"/>
    <x v="4"/>
    <s v="Abuja"/>
    <x v="2"/>
    <s v="Corporate"/>
    <s v="Transfer"/>
    <n v="2"/>
    <n v="8500"/>
    <n v="12500"/>
    <n v="0.05"/>
    <x v="6"/>
    <n v="10"/>
    <n v="25000"/>
    <n v="1250"/>
    <n v="23750"/>
    <n v="17000"/>
    <n v="6750"/>
    <n v="0.28421052631578947"/>
    <s v="Overstocked"/>
    <s v="Safe"/>
    <n v="0.32"/>
    <s v="Safe"/>
    <n v="4000"/>
    <n v="0.32"/>
  </r>
  <r>
    <s v="ORD-12394"/>
    <x v="200"/>
    <s v="P020"/>
    <x v="5"/>
    <s v="Electronics"/>
    <s v="Lighting"/>
    <s v="Luma"/>
    <s v="B01"/>
    <x v="2"/>
    <s v="Abuja"/>
    <x v="2"/>
    <s v="Walk-in"/>
    <s v="Cash"/>
    <n v="4"/>
    <n v="1500"/>
    <n v="2500"/>
    <n v="0.05"/>
    <x v="13"/>
    <n v="12"/>
    <n v="10000"/>
    <n v="500"/>
    <n v="9500"/>
    <n v="6000"/>
    <n v="3500"/>
    <n v="0.36842105263157893"/>
    <s v="Healthy"/>
    <s v="Safe"/>
    <n v="0.4"/>
    <s v="Safe"/>
    <n v="1000"/>
    <n v="0.4"/>
  </r>
  <r>
    <s v="ORD-12395"/>
    <x v="45"/>
    <s v="P002"/>
    <x v="10"/>
    <s v="Food"/>
    <s v="Grains"/>
    <s v="Mama's Pride"/>
    <s v="B08"/>
    <x v="7"/>
    <s v="Kwara"/>
    <x v="2"/>
    <s v="Member"/>
    <s v="Cash"/>
    <n v="2"/>
    <n v="6200"/>
    <n v="7900"/>
    <n v="0.1"/>
    <x v="1"/>
    <n v="4"/>
    <n v="15800"/>
    <n v="1580"/>
    <n v="14220"/>
    <n v="12400"/>
    <n v="1820"/>
    <n v="0.12798874824191281"/>
    <s v="Healthy"/>
    <s v="Safe"/>
    <n v="0.21518987341772153"/>
    <s v="Safe"/>
    <n v="1700"/>
    <n v="0.21518987341772153"/>
  </r>
  <r>
    <s v="ORD-12396"/>
    <x v="163"/>
    <s v="P015"/>
    <x v="8"/>
    <s v="Personal Care"/>
    <s v="Bath"/>
    <s v="SilkyTouch"/>
    <s v="B03"/>
    <x v="6"/>
    <s v="Lagos"/>
    <x v="4"/>
    <s v="Member"/>
    <s v="Cash"/>
    <n v="2"/>
    <n v="600"/>
    <n v="950"/>
    <n v="0"/>
    <x v="11"/>
    <n v="11"/>
    <n v="1900"/>
    <n v="0"/>
    <n v="1900"/>
    <n v="1200"/>
    <n v="700"/>
    <n v="0.36842105263157893"/>
    <s v="Healthy"/>
    <s v="Safe"/>
    <n v="0.36842105263157893"/>
    <s v="Safe"/>
    <n v="350"/>
    <n v="0.36842105263157893"/>
  </r>
  <r>
    <s v="ORD-12397"/>
    <x v="347"/>
    <s v="P022"/>
    <x v="17"/>
    <s v="Office Supplies"/>
    <s v="Writing"/>
    <s v="WriteWell"/>
    <s v="B04"/>
    <x v="5"/>
    <s v="Lagos"/>
    <x v="4"/>
    <s v="Corporate"/>
    <s v="Transfer"/>
    <n v="2"/>
    <n v="1300"/>
    <n v="2100"/>
    <n v="0"/>
    <x v="5"/>
    <n v="9"/>
    <n v="4200"/>
    <n v="0"/>
    <n v="4200"/>
    <n v="2600"/>
    <n v="1600"/>
    <n v="0.38095238095238093"/>
    <s v="Understocked"/>
    <s v="Safe"/>
    <n v="0.38095238095238093"/>
    <s v="Safe"/>
    <n v="800"/>
    <n v="0.38095238095238093"/>
  </r>
  <r>
    <s v="ORD-12398"/>
    <x v="261"/>
    <s v="P023"/>
    <x v="6"/>
    <s v="Office Supplies"/>
    <s v="Stationery"/>
    <s v="StudyPro"/>
    <s v="B03"/>
    <x v="6"/>
    <s v="Lagos"/>
    <x v="4"/>
    <s v="Corporate"/>
    <s v="Transfer"/>
    <n v="2"/>
    <n v="2800"/>
    <n v="4200"/>
    <n v="0.05"/>
    <x v="15"/>
    <n v="9"/>
    <n v="8400"/>
    <n v="420"/>
    <n v="7980"/>
    <n v="5600"/>
    <n v="2380"/>
    <n v="0.2982456140350877"/>
    <s v="Understocked"/>
    <s v="Safe"/>
    <n v="0.33333333333333331"/>
    <s v="Safe"/>
    <n v="1400"/>
    <n v="0.33333333333333331"/>
  </r>
  <r>
    <s v="ORD-12399"/>
    <x v="17"/>
    <s v="P007"/>
    <x v="3"/>
    <s v="Beverages"/>
    <s v="Malt"/>
    <s v="Naija Malt"/>
    <s v="B01"/>
    <x v="2"/>
    <s v="Abuja"/>
    <x v="2"/>
    <s v="Walk-in"/>
    <s v="Card"/>
    <n v="3"/>
    <n v="550"/>
    <n v="850"/>
    <n v="0"/>
    <x v="0"/>
    <n v="5"/>
    <n v="2550"/>
    <n v="0"/>
    <n v="2550"/>
    <n v="1650"/>
    <n v="900"/>
    <n v="0.35294117647058826"/>
    <s v="Healthy"/>
    <s v="Safe"/>
    <n v="0.35294117647058826"/>
    <s v="Safe"/>
    <n v="300"/>
    <n v="0.35294117647058826"/>
  </r>
  <r>
    <s v="ORD-12400"/>
    <x v="229"/>
    <s v="P013"/>
    <x v="11"/>
    <s v="Personal Care"/>
    <s v="Skin Care"/>
    <s v="GlowPlus"/>
    <s v="B06"/>
    <x v="1"/>
    <s v="Rivers"/>
    <x v="1"/>
    <s v="Member"/>
    <s v="Card"/>
    <n v="2"/>
    <n v="3500"/>
    <n v="5200"/>
    <n v="0"/>
    <x v="10"/>
    <n v="11"/>
    <n v="10400"/>
    <n v="0"/>
    <n v="10400"/>
    <n v="7000"/>
    <n v="3400"/>
    <n v="0.32692307692307693"/>
    <s v="Healthy"/>
    <s v="Safe"/>
    <n v="0.32692307692307693"/>
    <s v="Safe"/>
    <n v="1700"/>
    <n v="0.32692307692307693"/>
  </r>
  <r>
    <s v="ORD-12401"/>
    <x v="255"/>
    <s v="P017"/>
    <x v="23"/>
    <s v="Electronics"/>
    <s v="Accessories"/>
    <s v="PowerMax"/>
    <s v="B03"/>
    <x v="6"/>
    <s v="Lagos"/>
    <x v="4"/>
    <s v="Walk-in"/>
    <s v="POS"/>
    <n v="1"/>
    <n v="7500"/>
    <n v="10500"/>
    <n v="0.15"/>
    <x v="4"/>
    <n v="14"/>
    <n v="10500"/>
    <n v="1575"/>
    <n v="8925"/>
    <n v="7500"/>
    <n v="1425"/>
    <n v="0.15966386554621848"/>
    <s v="Healthy"/>
    <s v="Safe"/>
    <n v="0.2857142857142857"/>
    <s v="Safe"/>
    <n v="3000"/>
    <n v="0.2857142857142857"/>
  </r>
  <r>
    <s v="ORD-12402"/>
    <x v="31"/>
    <s v="P001"/>
    <x v="14"/>
    <s v="Food"/>
    <s v="Grains"/>
    <s v="Golden Harvest"/>
    <s v="B01"/>
    <x v="2"/>
    <s v="Abuja"/>
    <x v="2"/>
    <s v="Walk-in"/>
    <s v="POS"/>
    <n v="4"/>
    <n v="14500"/>
    <n v="17500"/>
    <n v="0"/>
    <x v="1"/>
    <n v="14"/>
    <n v="70000"/>
    <n v="0"/>
    <n v="70000"/>
    <n v="58000"/>
    <n v="12000"/>
    <n v="0.17142857142857143"/>
    <s v="Understocked"/>
    <s v="Safe"/>
    <n v="0.17142857142857143"/>
    <s v="Safe"/>
    <n v="3000"/>
    <n v="0.17142857142857143"/>
  </r>
  <r>
    <s v="ORD-12403"/>
    <x v="71"/>
    <s v="P020"/>
    <x v="5"/>
    <s v="Electronics"/>
    <s v="Lighting"/>
    <s v="Luma"/>
    <s v="B06"/>
    <x v="1"/>
    <s v="Rivers"/>
    <x v="1"/>
    <s v="Walk-in"/>
    <s v="Transfer"/>
    <n v="8"/>
    <n v="1500"/>
    <n v="2500"/>
    <n v="0.1"/>
    <x v="13"/>
    <n v="10"/>
    <n v="20000"/>
    <n v="2000"/>
    <n v="18000"/>
    <n v="12000"/>
    <n v="6000"/>
    <n v="0.33333333333333331"/>
    <s v="Healthy"/>
    <s v="Safe"/>
    <n v="0.4"/>
    <s v="Safe"/>
    <n v="1000"/>
    <n v="0.4"/>
  </r>
  <r>
    <s v="ORD-12404"/>
    <x v="168"/>
    <s v="P005"/>
    <x v="2"/>
    <s v="Food"/>
    <s v="Snacks"/>
    <s v="CrispyBite"/>
    <s v="B04"/>
    <x v="5"/>
    <s v="Lagos"/>
    <x v="4"/>
    <s v="Member"/>
    <s v="POS"/>
    <n v="1"/>
    <n v="850"/>
    <n v="1300"/>
    <n v="0.1"/>
    <x v="1"/>
    <n v="10"/>
    <n v="1300"/>
    <n v="130"/>
    <n v="1170"/>
    <n v="850"/>
    <n v="320"/>
    <n v="0.27350427350427353"/>
    <s v="Understocked"/>
    <s v="Safe"/>
    <n v="0.34615384615384615"/>
    <s v="Safe"/>
    <n v="450"/>
    <n v="0.34615384615384615"/>
  </r>
  <r>
    <s v="ORD-12405"/>
    <x v="296"/>
    <s v="P006"/>
    <x v="0"/>
    <s v="Beverages"/>
    <s v="Water"/>
    <s v="AquaPure"/>
    <s v="B08"/>
    <x v="7"/>
    <s v="Kwara"/>
    <x v="2"/>
    <s v="Member"/>
    <s v="Transfer"/>
    <n v="5"/>
    <n v="230"/>
    <n v="400"/>
    <n v="0"/>
    <x v="3"/>
    <n v="10"/>
    <n v="2000"/>
    <n v="0"/>
    <n v="2000"/>
    <n v="1150"/>
    <n v="850"/>
    <n v="0.42499999999999999"/>
    <s v="Understocked"/>
    <s v="Safe"/>
    <n v="0.42499999999999999"/>
    <s v="Safe"/>
    <n v="170"/>
    <n v="0.42499999999999999"/>
  </r>
  <r>
    <s v="ORD-12406"/>
    <x v="196"/>
    <s v="P018"/>
    <x v="16"/>
    <s v="Electronics"/>
    <s v="Mobile Accessories"/>
    <s v="VoltSafe"/>
    <s v="B01"/>
    <x v="2"/>
    <s v="Abuja"/>
    <x v="2"/>
    <s v="Member"/>
    <s v="Cash"/>
    <n v="2"/>
    <n v="18000"/>
    <n v="24500"/>
    <n v="0.1"/>
    <x v="13"/>
    <n v="13"/>
    <n v="49000"/>
    <n v="4900"/>
    <n v="44100"/>
    <n v="36000"/>
    <n v="8100"/>
    <n v="0.18367346938775511"/>
    <s v="Understocked"/>
    <s v="Safe"/>
    <n v="0.26530612244897961"/>
    <s v="Safe"/>
    <n v="6500"/>
    <n v="0.26530612244897961"/>
  </r>
  <r>
    <s v="ORD-12407"/>
    <x v="230"/>
    <s v="P005"/>
    <x v="2"/>
    <s v="Food"/>
    <s v="Snacks"/>
    <s v="CrispyBite"/>
    <s v="B01"/>
    <x v="2"/>
    <s v="Abuja"/>
    <x v="2"/>
    <s v="Member"/>
    <s v="Cash"/>
    <n v="2"/>
    <n v="850"/>
    <n v="1300"/>
    <n v="0.1"/>
    <x v="9"/>
    <n v="3"/>
    <n v="2600"/>
    <n v="260"/>
    <n v="2340"/>
    <n v="1700"/>
    <n v="640"/>
    <n v="0.27350427350427353"/>
    <s v="Understocked"/>
    <s v="Safe"/>
    <n v="0.34615384615384615"/>
    <s v="Safe"/>
    <n v="450"/>
    <n v="0.34615384615384615"/>
  </r>
  <r>
    <s v="ORD-12408"/>
    <x v="170"/>
    <s v="P015"/>
    <x v="8"/>
    <s v="Personal Care"/>
    <s v="Bath"/>
    <s v="SilkyTouch"/>
    <s v="B07"/>
    <x v="3"/>
    <s v="Enugu"/>
    <x v="3"/>
    <s v="Member"/>
    <s v="Cash"/>
    <n v="5"/>
    <n v="600"/>
    <n v="950"/>
    <n v="0"/>
    <x v="10"/>
    <n v="5"/>
    <n v="4750"/>
    <n v="0"/>
    <n v="4750"/>
    <n v="3000"/>
    <n v="1750"/>
    <n v="0.36842105263157893"/>
    <s v="Healthy"/>
    <s v="Safe"/>
    <n v="0.36842105263157893"/>
    <s v="Safe"/>
    <n v="350"/>
    <n v="0.36842105263157893"/>
  </r>
  <r>
    <s v="ORD-12409"/>
    <x v="321"/>
    <s v="P005"/>
    <x v="2"/>
    <s v="Food"/>
    <s v="Snacks"/>
    <s v="CrispyBite"/>
    <s v="B01"/>
    <x v="2"/>
    <s v="Abuja"/>
    <x v="2"/>
    <s v="Walk-in"/>
    <s v="POS"/>
    <n v="4"/>
    <n v="850"/>
    <n v="1300"/>
    <n v="0"/>
    <x v="9"/>
    <n v="3"/>
    <n v="5200"/>
    <n v="0"/>
    <n v="5200"/>
    <n v="3400"/>
    <n v="1800"/>
    <n v="0.34615384615384615"/>
    <s v="Understocked"/>
    <s v="Safe"/>
    <n v="0.34615384615384615"/>
    <s v="Safe"/>
    <n v="450"/>
    <n v="0.34615384615384615"/>
  </r>
  <r>
    <s v="ORD-12410"/>
    <x v="276"/>
    <s v="P023"/>
    <x v="6"/>
    <s v="Office Supplies"/>
    <s v="Stationery"/>
    <s v="StudyPro"/>
    <s v="B06"/>
    <x v="1"/>
    <s v="Rivers"/>
    <x v="1"/>
    <s v="Walk-in"/>
    <s v="POS"/>
    <n v="2"/>
    <n v="2800"/>
    <n v="4200"/>
    <n v="0.05"/>
    <x v="5"/>
    <n v="3"/>
    <n v="8400"/>
    <n v="420"/>
    <n v="7980"/>
    <n v="5600"/>
    <n v="2380"/>
    <n v="0.2982456140350877"/>
    <s v="Understocked"/>
    <s v="Safe"/>
    <n v="0.33333333333333331"/>
    <s v="Safe"/>
    <n v="1400"/>
    <n v="0.33333333333333331"/>
  </r>
  <r>
    <s v="ORD-12411"/>
    <x v="16"/>
    <s v="P015"/>
    <x v="8"/>
    <s v="Personal Care"/>
    <s v="Bath"/>
    <s v="SilkyTouch"/>
    <s v="B06"/>
    <x v="1"/>
    <s v="Rivers"/>
    <x v="1"/>
    <s v="Walk-in"/>
    <s v="Cash"/>
    <n v="1"/>
    <n v="600"/>
    <n v="950"/>
    <n v="0.05"/>
    <x v="6"/>
    <n v="4"/>
    <n v="950"/>
    <n v="47.5"/>
    <n v="902.5"/>
    <n v="600"/>
    <n v="302.5"/>
    <n v="0.33518005540166207"/>
    <s v="Healthy"/>
    <s v="Safe"/>
    <n v="0.36842105263157893"/>
    <s v="Safe"/>
    <n v="350"/>
    <n v="0.36842105263157893"/>
  </r>
  <r>
    <s v="ORD-12412"/>
    <x v="316"/>
    <s v="P010"/>
    <x v="22"/>
    <s v="Household"/>
    <s v="Paper Products"/>
    <s v="SoftCare"/>
    <s v="B04"/>
    <x v="5"/>
    <s v="Lagos"/>
    <x v="4"/>
    <s v="Member"/>
    <s v="Cash"/>
    <n v="2"/>
    <n v="3200"/>
    <n v="4500"/>
    <n v="0.05"/>
    <x v="1"/>
    <n v="1"/>
    <n v="9000"/>
    <n v="450"/>
    <n v="8550"/>
    <n v="6400"/>
    <n v="2150"/>
    <n v="0.25146198830409355"/>
    <s v="Healthy"/>
    <s v="Safe"/>
    <n v="0.28888888888888886"/>
    <s v="Safe"/>
    <n v="1300"/>
    <n v="0.28888888888888886"/>
  </r>
  <r>
    <s v="ORD-12413"/>
    <x v="181"/>
    <s v="P024"/>
    <x v="19"/>
    <s v="Office Supplies"/>
    <s v="Accessories"/>
    <s v="ErgoDesk"/>
    <s v="B02"/>
    <x v="4"/>
    <s v="Abuja"/>
    <x v="2"/>
    <s v="Walk-in"/>
    <s v="Card"/>
    <n v="4"/>
    <n v="1700"/>
    <n v="2800"/>
    <n v="0.15"/>
    <x v="5"/>
    <n v="10"/>
    <n v="11200"/>
    <n v="1680"/>
    <n v="9520"/>
    <n v="6800"/>
    <n v="2720"/>
    <n v="0.2857142857142857"/>
    <s v="Overstocked"/>
    <s v="Safe"/>
    <n v="0.39285714285714285"/>
    <s v="Safe"/>
    <n v="1100"/>
    <n v="0.39285714285714285"/>
  </r>
  <r>
    <s v="ORD-12414"/>
    <x v="52"/>
    <s v="P007"/>
    <x v="3"/>
    <s v="Beverages"/>
    <s v="Malt"/>
    <s v="Naija Malt"/>
    <s v="B06"/>
    <x v="1"/>
    <s v="Rivers"/>
    <x v="1"/>
    <s v="Walk-in"/>
    <s v="Card"/>
    <n v="2"/>
    <n v="550"/>
    <n v="850"/>
    <n v="0.05"/>
    <x v="2"/>
    <n v="4"/>
    <n v="1700"/>
    <n v="85"/>
    <n v="1615"/>
    <n v="1100"/>
    <n v="515"/>
    <n v="0.31888544891640869"/>
    <s v="Healthy"/>
    <s v="Safe"/>
    <n v="0.35294117647058826"/>
    <s v="Safe"/>
    <n v="300"/>
    <n v="0.35294117647058826"/>
  </r>
  <r>
    <s v="ORD-12415"/>
    <x v="133"/>
    <s v="P005"/>
    <x v="2"/>
    <s v="Food"/>
    <s v="Snacks"/>
    <s v="CrispyBite"/>
    <s v="B01"/>
    <x v="2"/>
    <s v="Abuja"/>
    <x v="2"/>
    <s v="Walk-in"/>
    <s v="Transfer"/>
    <n v="3"/>
    <n v="850"/>
    <n v="1300"/>
    <n v="0.15"/>
    <x v="9"/>
    <n v="1"/>
    <n v="3900"/>
    <n v="585"/>
    <n v="3315"/>
    <n v="2550"/>
    <n v="765"/>
    <n v="0.23076923076923078"/>
    <s v="Understocked"/>
    <s v="Safe"/>
    <n v="0.34615384615384615"/>
    <s v="Safe"/>
    <n v="450"/>
    <n v="0.34615384615384615"/>
  </r>
  <r>
    <s v="ORD-12416"/>
    <x v="173"/>
    <s v="P010"/>
    <x v="22"/>
    <s v="Household"/>
    <s v="Paper Products"/>
    <s v="SoftCare"/>
    <s v="B02"/>
    <x v="4"/>
    <s v="Abuja"/>
    <x v="2"/>
    <s v="Walk-in"/>
    <s v="Transfer"/>
    <n v="1"/>
    <n v="3200"/>
    <n v="4500"/>
    <n v="0.05"/>
    <x v="10"/>
    <n v="6"/>
    <n v="4500"/>
    <n v="225"/>
    <n v="4275"/>
    <n v="3200"/>
    <n v="1075"/>
    <n v="0.25146198830409355"/>
    <s v="Healthy"/>
    <s v="Safe"/>
    <n v="0.28888888888888886"/>
    <s v="Safe"/>
    <n v="1300"/>
    <n v="0.28888888888888886"/>
  </r>
  <r>
    <s v="ORD-12417"/>
    <x v="113"/>
    <s v="P009"/>
    <x v="13"/>
    <s v="Household"/>
    <s v="Cleaning"/>
    <s v="BrightWash"/>
    <s v="B08"/>
    <x v="7"/>
    <s v="Kwara"/>
    <x v="2"/>
    <s v="Walk-in"/>
    <s v="Transfer"/>
    <n v="2"/>
    <n v="2400"/>
    <n v="3400"/>
    <n v="0.1"/>
    <x v="10"/>
    <n v="13"/>
    <n v="6800"/>
    <n v="680"/>
    <n v="6120"/>
    <n v="4800"/>
    <n v="1320"/>
    <n v="0.21568627450980393"/>
    <s v="Healthy"/>
    <s v="Safe"/>
    <n v="0.29411764705882354"/>
    <s v="Safe"/>
    <n v="1000"/>
    <n v="0.29411764705882354"/>
  </r>
  <r>
    <s v="ORD-12418"/>
    <x v="210"/>
    <s v="P006"/>
    <x v="0"/>
    <s v="Beverages"/>
    <s v="Water"/>
    <s v="AquaPure"/>
    <s v="B08"/>
    <x v="7"/>
    <s v="Kwara"/>
    <x v="2"/>
    <s v="Walk-in"/>
    <s v="Cash"/>
    <n v="1"/>
    <n v="230"/>
    <n v="400"/>
    <n v="0.05"/>
    <x v="2"/>
    <n v="9"/>
    <n v="400"/>
    <n v="20"/>
    <n v="380"/>
    <n v="230"/>
    <n v="150"/>
    <n v="0.39473684210526316"/>
    <s v="Understocked"/>
    <s v="Safe"/>
    <n v="0.42499999999999999"/>
    <s v="Safe"/>
    <n v="170"/>
    <n v="0.42499999999999999"/>
  </r>
  <r>
    <s v="ORD-12419"/>
    <x v="343"/>
    <s v="P018"/>
    <x v="16"/>
    <s v="Electronics"/>
    <s v="Mobile Accessories"/>
    <s v="VoltSafe"/>
    <s v="B03"/>
    <x v="6"/>
    <s v="Lagos"/>
    <x v="4"/>
    <s v="Member"/>
    <s v="Transfer"/>
    <n v="3"/>
    <n v="18000"/>
    <n v="24500"/>
    <n v="0"/>
    <x v="13"/>
    <n v="7"/>
    <n v="73500"/>
    <n v="0"/>
    <n v="73500"/>
    <n v="54000"/>
    <n v="19500"/>
    <n v="0.26530612244897961"/>
    <s v="Understocked"/>
    <s v="Safe"/>
    <n v="0.26530612244897961"/>
    <s v="Safe"/>
    <n v="6500"/>
    <n v="0.26530612244897961"/>
  </r>
  <r>
    <s v="ORD-12420"/>
    <x v="256"/>
    <s v="P003"/>
    <x v="12"/>
    <s v="Food"/>
    <s v="Cooking Oil"/>
    <s v="SunGold"/>
    <s v="B02"/>
    <x v="4"/>
    <s v="Abuja"/>
    <x v="2"/>
    <s v="Walk-in"/>
    <s v="Transfer"/>
    <n v="2"/>
    <n v="7800"/>
    <n v="9800"/>
    <n v="0.05"/>
    <x v="1"/>
    <n v="8"/>
    <n v="19600"/>
    <n v="980"/>
    <n v="18620"/>
    <n v="15600"/>
    <n v="3020"/>
    <n v="0.16219119226638024"/>
    <s v="Understocked"/>
    <s v="Safe"/>
    <n v="0.20408163265306123"/>
    <s v="Safe"/>
    <n v="2000"/>
    <n v="0.20408163265306123"/>
  </r>
  <r>
    <s v="ORD-12421"/>
    <x v="291"/>
    <s v="P003"/>
    <x v="12"/>
    <s v="Food"/>
    <s v="Cooking Oil"/>
    <s v="SunGold"/>
    <s v="B07"/>
    <x v="3"/>
    <s v="Enugu"/>
    <x v="3"/>
    <s v="Member"/>
    <s v="POS"/>
    <n v="1"/>
    <n v="7800"/>
    <n v="9800"/>
    <n v="0.05"/>
    <x v="9"/>
    <n v="9"/>
    <n v="9800"/>
    <n v="490"/>
    <n v="9310"/>
    <n v="7800"/>
    <n v="1510"/>
    <n v="0.16219119226638024"/>
    <s v="Understocked"/>
    <s v="Safe"/>
    <n v="0.20408163265306123"/>
    <s v="Safe"/>
    <n v="2000"/>
    <n v="0.20408163265306123"/>
  </r>
  <r>
    <s v="ORD-12422"/>
    <x v="134"/>
    <s v="P019"/>
    <x v="18"/>
    <s v="Electronics"/>
    <s v="Audio"/>
    <s v="SoundBeat"/>
    <s v="B07"/>
    <x v="3"/>
    <s v="Enugu"/>
    <x v="3"/>
    <s v="Corporate"/>
    <s v="Transfer"/>
    <n v="4"/>
    <n v="12500"/>
    <n v="18500"/>
    <n v="0.05"/>
    <x v="4"/>
    <n v="10"/>
    <n v="74000"/>
    <n v="3700"/>
    <n v="70300"/>
    <n v="50000"/>
    <n v="20300"/>
    <n v="0.28876244665718348"/>
    <s v="Understocked"/>
    <s v="Safe"/>
    <n v="0.32432432432432434"/>
    <s v="Safe"/>
    <n v="6000"/>
    <n v="0.32432432432432434"/>
  </r>
  <r>
    <s v="ORD-12423"/>
    <x v="179"/>
    <s v="P004"/>
    <x v="1"/>
    <s v="Beverages"/>
    <s v="Dairy"/>
    <s v="FreshDay"/>
    <s v="B02"/>
    <x v="4"/>
    <s v="Abuja"/>
    <x v="2"/>
    <s v="Walk-in"/>
    <s v="POS"/>
    <n v="3"/>
    <n v="1650"/>
    <n v="2200"/>
    <n v="0"/>
    <x v="0"/>
    <n v="1"/>
    <n v="6600"/>
    <n v="0"/>
    <n v="6600"/>
    <n v="4950"/>
    <n v="1650"/>
    <n v="0.25"/>
    <s v="Understocked"/>
    <s v="Safe"/>
    <n v="0.25"/>
    <s v="Safe"/>
    <n v="550"/>
    <n v="0.25"/>
  </r>
  <r>
    <s v="ORD-12424"/>
    <x v="116"/>
    <s v="P005"/>
    <x v="2"/>
    <s v="Food"/>
    <s v="Snacks"/>
    <s v="CrispyBite"/>
    <s v="B08"/>
    <x v="7"/>
    <s v="Kwara"/>
    <x v="2"/>
    <s v="Walk-in"/>
    <s v="Card"/>
    <n v="5"/>
    <n v="850"/>
    <n v="1300"/>
    <n v="0"/>
    <x v="1"/>
    <n v="1"/>
    <n v="6500"/>
    <n v="0"/>
    <n v="6500"/>
    <n v="4250"/>
    <n v="2250"/>
    <n v="0.34615384615384615"/>
    <s v="Understocked"/>
    <s v="Safe"/>
    <n v="0.34615384615384615"/>
    <s v="Safe"/>
    <n v="450"/>
    <n v="0.34615384615384615"/>
  </r>
  <r>
    <s v="ORD-12425"/>
    <x v="281"/>
    <s v="P013"/>
    <x v="11"/>
    <s v="Personal Care"/>
    <s v="Skin Care"/>
    <s v="GlowPlus"/>
    <s v="B07"/>
    <x v="3"/>
    <s v="Enugu"/>
    <x v="3"/>
    <s v="Member"/>
    <s v="POS"/>
    <n v="3"/>
    <n v="3500"/>
    <n v="5200"/>
    <n v="0.05"/>
    <x v="10"/>
    <n v="8"/>
    <n v="15600"/>
    <n v="780"/>
    <n v="14820"/>
    <n v="10500"/>
    <n v="4320"/>
    <n v="0.291497975708502"/>
    <s v="Healthy"/>
    <s v="Safe"/>
    <n v="0.32692307692307693"/>
    <s v="Safe"/>
    <n v="1700"/>
    <n v="0.32692307692307693"/>
  </r>
  <r>
    <s v="ORD-12426"/>
    <x v="125"/>
    <s v="P006"/>
    <x v="0"/>
    <s v="Beverages"/>
    <s v="Water"/>
    <s v="AquaPure"/>
    <s v="B02"/>
    <x v="4"/>
    <s v="Abuja"/>
    <x v="2"/>
    <s v="Walk-in"/>
    <s v="Card"/>
    <n v="2"/>
    <n v="230"/>
    <n v="400"/>
    <n v="0"/>
    <x v="3"/>
    <n v="5"/>
    <n v="800"/>
    <n v="0"/>
    <n v="800"/>
    <n v="460"/>
    <n v="340"/>
    <n v="0.42499999999999999"/>
    <s v="Understocked"/>
    <s v="Safe"/>
    <n v="0.42499999999999999"/>
    <s v="Safe"/>
    <n v="170"/>
    <n v="0.42499999999999999"/>
  </r>
  <r>
    <s v="ORD-12427"/>
    <x v="137"/>
    <s v="P008"/>
    <x v="4"/>
    <s v="Beverages"/>
    <s v="Soft Drinks"/>
    <s v="Sparkle"/>
    <s v="B03"/>
    <x v="6"/>
    <s v="Lagos"/>
    <x v="4"/>
    <s v="Walk-in"/>
    <s v="POS"/>
    <n v="5"/>
    <n v="330"/>
    <n v="550"/>
    <n v="0.1"/>
    <x v="3"/>
    <n v="10"/>
    <n v="2750"/>
    <n v="275"/>
    <n v="2475"/>
    <n v="1650"/>
    <n v="825"/>
    <n v="0.33333333333333331"/>
    <s v="Healthy"/>
    <s v="Safe"/>
    <n v="0.4"/>
    <s v="Safe"/>
    <n v="220"/>
    <n v="0.4"/>
  </r>
  <r>
    <s v="ORD-12428"/>
    <x v="198"/>
    <s v="P013"/>
    <x v="11"/>
    <s v="Personal Care"/>
    <s v="Skin Care"/>
    <s v="GlowPlus"/>
    <s v="B02"/>
    <x v="4"/>
    <s v="Abuja"/>
    <x v="2"/>
    <s v="Walk-in"/>
    <s v="POS"/>
    <n v="2"/>
    <n v="3500"/>
    <n v="5200"/>
    <n v="0"/>
    <x v="10"/>
    <n v="1"/>
    <n v="10400"/>
    <n v="0"/>
    <n v="10400"/>
    <n v="7000"/>
    <n v="3400"/>
    <n v="0.32692307692307693"/>
    <s v="Healthy"/>
    <s v="Safe"/>
    <n v="0.32692307692307693"/>
    <s v="Safe"/>
    <n v="1700"/>
    <n v="0.32692307692307693"/>
  </r>
  <r>
    <s v="ORD-12429"/>
    <x v="281"/>
    <s v="P001"/>
    <x v="14"/>
    <s v="Food"/>
    <s v="Grains"/>
    <s v="Golden Harvest"/>
    <s v="B06"/>
    <x v="1"/>
    <s v="Rivers"/>
    <x v="1"/>
    <s v="Member"/>
    <s v="POS"/>
    <n v="2"/>
    <n v="14500"/>
    <n v="17500"/>
    <n v="0"/>
    <x v="9"/>
    <n v="2"/>
    <n v="35000"/>
    <n v="0"/>
    <n v="35000"/>
    <n v="29000"/>
    <n v="6000"/>
    <n v="0.17142857142857143"/>
    <s v="Understocked"/>
    <s v="Safe"/>
    <n v="0.17142857142857143"/>
    <s v="Safe"/>
    <n v="3000"/>
    <n v="0.17142857142857143"/>
  </r>
  <r>
    <s v="ORD-12430"/>
    <x v="42"/>
    <s v="P011"/>
    <x v="9"/>
    <s v="Household"/>
    <s v="Cleaning"/>
    <s v="CleanPro"/>
    <s v="B06"/>
    <x v="1"/>
    <s v="Rivers"/>
    <x v="1"/>
    <s v="Member"/>
    <s v="Cash"/>
    <n v="2"/>
    <n v="2800"/>
    <n v="3900"/>
    <n v="0"/>
    <x v="7"/>
    <n v="14"/>
    <n v="7800"/>
    <n v="0"/>
    <n v="7800"/>
    <n v="5600"/>
    <n v="2200"/>
    <n v="0.28205128205128205"/>
    <s v="Healthy"/>
    <s v="Safe"/>
    <n v="0.28205128205128205"/>
    <s v="Safe"/>
    <n v="1100"/>
    <n v="0.28205128205128205"/>
  </r>
  <r>
    <s v="ORD-12431"/>
    <x v="21"/>
    <s v="P005"/>
    <x v="2"/>
    <s v="Food"/>
    <s v="Snacks"/>
    <s v="CrispyBite"/>
    <s v="B04"/>
    <x v="5"/>
    <s v="Lagos"/>
    <x v="4"/>
    <s v="Walk-in"/>
    <s v="Transfer"/>
    <n v="2"/>
    <n v="850"/>
    <n v="1300"/>
    <n v="0.05"/>
    <x v="8"/>
    <n v="10"/>
    <n v="2600"/>
    <n v="130"/>
    <n v="2470"/>
    <n v="1700"/>
    <n v="770"/>
    <n v="0.31174089068825911"/>
    <s v="Understocked"/>
    <s v="Safe"/>
    <n v="0.34615384615384615"/>
    <s v="Safe"/>
    <n v="450"/>
    <n v="0.34615384615384615"/>
  </r>
  <r>
    <s v="ORD-12432"/>
    <x v="98"/>
    <s v="P014"/>
    <x v="15"/>
    <s v="Personal Care"/>
    <s v="Oral Care"/>
    <s v="FreshMint"/>
    <s v="B01"/>
    <x v="2"/>
    <s v="Abuja"/>
    <x v="2"/>
    <s v="Corporate"/>
    <s v="POS"/>
    <n v="6"/>
    <n v="1200"/>
    <n v="1900"/>
    <n v="0.1"/>
    <x v="10"/>
    <n v="3"/>
    <n v="11400"/>
    <n v="1140"/>
    <n v="10260"/>
    <n v="7200"/>
    <n v="3060"/>
    <n v="0.2982456140350877"/>
    <s v="Healthy"/>
    <s v="Safe"/>
    <n v="0.36842105263157893"/>
    <s v="Safe"/>
    <n v="700"/>
    <n v="0.36842105263157893"/>
  </r>
  <r>
    <s v="ORD-12433"/>
    <x v="110"/>
    <s v="P009"/>
    <x v="13"/>
    <s v="Household"/>
    <s v="Cleaning"/>
    <s v="BrightWash"/>
    <s v="B06"/>
    <x v="1"/>
    <s v="Rivers"/>
    <x v="1"/>
    <s v="Member"/>
    <s v="POS"/>
    <n v="5"/>
    <n v="2400"/>
    <n v="3400"/>
    <n v="0.05"/>
    <x v="1"/>
    <n v="9"/>
    <n v="17000"/>
    <n v="850"/>
    <n v="16150"/>
    <n v="12000"/>
    <n v="4150"/>
    <n v="0.25696594427244585"/>
    <s v="Healthy"/>
    <s v="Safe"/>
    <n v="0.29411764705882354"/>
    <s v="Safe"/>
    <n v="1000"/>
    <n v="0.29411764705882354"/>
  </r>
  <r>
    <s v="ORD-12434"/>
    <x v="222"/>
    <s v="P003"/>
    <x v="12"/>
    <s v="Food"/>
    <s v="Cooking Oil"/>
    <s v="SunGold"/>
    <s v="B03"/>
    <x v="6"/>
    <s v="Lagos"/>
    <x v="4"/>
    <s v="Walk-in"/>
    <s v="POS"/>
    <n v="2"/>
    <n v="7800"/>
    <n v="9800"/>
    <n v="0.1"/>
    <x v="9"/>
    <n v="12"/>
    <n v="19600"/>
    <n v="1960"/>
    <n v="17640"/>
    <n v="15600"/>
    <n v="2040"/>
    <n v="0.11564625850340136"/>
    <s v="Understocked"/>
    <s v="Safe"/>
    <n v="0.20408163265306123"/>
    <s v="Safe"/>
    <n v="2000"/>
    <n v="0.20408163265306123"/>
  </r>
  <r>
    <s v="ORD-12435"/>
    <x v="38"/>
    <s v="P007"/>
    <x v="3"/>
    <s v="Beverages"/>
    <s v="Malt"/>
    <s v="Naija Malt"/>
    <s v="B05"/>
    <x v="0"/>
    <s v="Kano"/>
    <x v="0"/>
    <s v="Member"/>
    <s v="Card"/>
    <n v="2"/>
    <n v="550"/>
    <n v="850"/>
    <n v="0.05"/>
    <x v="0"/>
    <n v="4"/>
    <n v="1700"/>
    <n v="85"/>
    <n v="1615"/>
    <n v="1100"/>
    <n v="515"/>
    <n v="0.31888544891640869"/>
    <s v="Healthy"/>
    <s v="Safe"/>
    <n v="0.35294117647058826"/>
    <s v="Safe"/>
    <n v="300"/>
    <n v="0.35294117647058826"/>
  </r>
  <r>
    <s v="ORD-12436"/>
    <x v="80"/>
    <s v="P004"/>
    <x v="1"/>
    <s v="Beverages"/>
    <s v="Dairy"/>
    <s v="FreshDay"/>
    <s v="B01"/>
    <x v="2"/>
    <s v="Abuja"/>
    <x v="2"/>
    <s v="Walk-in"/>
    <s v="POS"/>
    <n v="2"/>
    <n v="1650"/>
    <n v="2200"/>
    <n v="0.15"/>
    <x v="0"/>
    <n v="2"/>
    <n v="4400"/>
    <n v="660"/>
    <n v="3740"/>
    <n v="3300"/>
    <n v="440"/>
    <n v="0.11764705882352941"/>
    <s v="Understocked"/>
    <s v="Safe"/>
    <n v="0.25"/>
    <s v="Safe"/>
    <n v="550"/>
    <n v="0.25"/>
  </r>
  <r>
    <s v="ORD-12437"/>
    <x v="42"/>
    <s v="P022"/>
    <x v="17"/>
    <s v="Office Supplies"/>
    <s v="Writing"/>
    <s v="WriteWell"/>
    <s v="B06"/>
    <x v="1"/>
    <s v="Rivers"/>
    <x v="1"/>
    <s v="Walk-in"/>
    <s v="POS"/>
    <n v="1"/>
    <n v="1300"/>
    <n v="2100"/>
    <n v="0.05"/>
    <x v="14"/>
    <n v="14"/>
    <n v="2100"/>
    <n v="105"/>
    <n v="1995"/>
    <n v="1300"/>
    <n v="695"/>
    <n v="0.34837092731829572"/>
    <s v="Understocked"/>
    <s v="Safe"/>
    <n v="0.38095238095238093"/>
    <s v="Safe"/>
    <n v="800"/>
    <n v="0.38095238095238093"/>
  </r>
  <r>
    <s v="ORD-12438"/>
    <x v="357"/>
    <s v="P010"/>
    <x v="22"/>
    <s v="Household"/>
    <s v="Paper Products"/>
    <s v="SoftCare"/>
    <s v="B03"/>
    <x v="6"/>
    <s v="Lagos"/>
    <x v="4"/>
    <s v="Corporate"/>
    <s v="POS"/>
    <n v="3"/>
    <n v="3200"/>
    <n v="4500"/>
    <n v="0.15"/>
    <x v="7"/>
    <n v="3"/>
    <n v="13500"/>
    <n v="2025"/>
    <n v="11475"/>
    <n v="9600"/>
    <n v="1875"/>
    <n v="0.16339869281045752"/>
    <s v="Healthy"/>
    <s v="Safe"/>
    <n v="0.28888888888888886"/>
    <s v="Safe"/>
    <n v="1300"/>
    <n v="0.28888888888888886"/>
  </r>
  <r>
    <s v="ORD-12439"/>
    <x v="81"/>
    <s v="P005"/>
    <x v="2"/>
    <s v="Food"/>
    <s v="Snacks"/>
    <s v="CrispyBite"/>
    <s v="B04"/>
    <x v="5"/>
    <s v="Lagos"/>
    <x v="4"/>
    <s v="Walk-in"/>
    <s v="POS"/>
    <n v="2"/>
    <n v="850"/>
    <n v="1300"/>
    <n v="0.05"/>
    <x v="9"/>
    <n v="4"/>
    <n v="2600"/>
    <n v="130"/>
    <n v="2470"/>
    <n v="1700"/>
    <n v="770"/>
    <n v="0.31174089068825911"/>
    <s v="Understocked"/>
    <s v="Safe"/>
    <n v="0.34615384615384615"/>
    <s v="Safe"/>
    <n v="450"/>
    <n v="0.34615384615384615"/>
  </r>
  <r>
    <s v="ORD-12440"/>
    <x v="101"/>
    <s v="P002"/>
    <x v="10"/>
    <s v="Food"/>
    <s v="Grains"/>
    <s v="Mama's Pride"/>
    <s v="B06"/>
    <x v="1"/>
    <s v="Rivers"/>
    <x v="1"/>
    <s v="Walk-in"/>
    <s v="Card"/>
    <n v="5"/>
    <n v="6200"/>
    <n v="7900"/>
    <n v="0.2"/>
    <x v="1"/>
    <n v="9"/>
    <n v="39500"/>
    <n v="7900"/>
    <n v="31600"/>
    <n v="31000"/>
    <n v="600"/>
    <n v="1.8987341772151899E-2"/>
    <s v="Healthy"/>
    <s v="Safe"/>
    <n v="0.21518987341772153"/>
    <s v="Safe"/>
    <n v="1700"/>
    <n v="0.21518987341772153"/>
  </r>
  <r>
    <s v="ORD-12441"/>
    <x v="332"/>
    <s v="P002"/>
    <x v="10"/>
    <s v="Food"/>
    <s v="Grains"/>
    <s v="Mama's Pride"/>
    <s v="B07"/>
    <x v="3"/>
    <s v="Enugu"/>
    <x v="3"/>
    <s v="Walk-in"/>
    <s v="Transfer"/>
    <n v="2"/>
    <n v="6200"/>
    <n v="7900"/>
    <n v="0.05"/>
    <x v="8"/>
    <n v="2"/>
    <n v="15800"/>
    <n v="790"/>
    <n v="15010"/>
    <n v="12400"/>
    <n v="2610"/>
    <n v="0.17388407728181213"/>
    <s v="Healthy"/>
    <s v="Safe"/>
    <n v="0.21518987341772153"/>
    <s v="Safe"/>
    <n v="1700"/>
    <n v="0.21518987341772153"/>
  </r>
  <r>
    <s v="ORD-12442"/>
    <x v="80"/>
    <s v="P008"/>
    <x v="4"/>
    <s v="Beverages"/>
    <s v="Soft Drinks"/>
    <s v="Sparkle"/>
    <s v="B03"/>
    <x v="6"/>
    <s v="Lagos"/>
    <x v="4"/>
    <s v="Corporate"/>
    <s v="POS"/>
    <n v="1"/>
    <n v="330"/>
    <n v="550"/>
    <n v="0.05"/>
    <x v="0"/>
    <n v="9"/>
    <n v="550"/>
    <n v="27.5"/>
    <n v="522.5"/>
    <n v="330"/>
    <n v="192.5"/>
    <n v="0.36842105263157893"/>
    <s v="Healthy"/>
    <s v="Safe"/>
    <n v="0.4"/>
    <s v="Safe"/>
    <n v="220"/>
    <n v="0.4"/>
  </r>
  <r>
    <s v="ORD-12443"/>
    <x v="21"/>
    <s v="P019"/>
    <x v="18"/>
    <s v="Electronics"/>
    <s v="Audio"/>
    <s v="SoundBeat"/>
    <s v="B06"/>
    <x v="1"/>
    <s v="Rivers"/>
    <x v="1"/>
    <s v="Member"/>
    <s v="Transfer"/>
    <n v="2"/>
    <n v="12500"/>
    <n v="18500"/>
    <n v="0"/>
    <x v="12"/>
    <n v="1"/>
    <n v="37000"/>
    <n v="0"/>
    <n v="37000"/>
    <n v="25000"/>
    <n v="12000"/>
    <n v="0.32432432432432434"/>
    <s v="Understocked"/>
    <s v="Safe"/>
    <n v="0.32432432432432434"/>
    <s v="Safe"/>
    <n v="6000"/>
    <n v="0.32432432432432434"/>
  </r>
  <r>
    <s v="ORD-12444"/>
    <x v="59"/>
    <s v="P007"/>
    <x v="3"/>
    <s v="Beverages"/>
    <s v="Malt"/>
    <s v="Naija Malt"/>
    <s v="B08"/>
    <x v="7"/>
    <s v="Kwara"/>
    <x v="2"/>
    <s v="Walk-in"/>
    <s v="POS"/>
    <n v="4"/>
    <n v="550"/>
    <n v="850"/>
    <n v="0.1"/>
    <x v="3"/>
    <n v="9"/>
    <n v="3400"/>
    <n v="340"/>
    <n v="3060"/>
    <n v="2200"/>
    <n v="860"/>
    <n v="0.28104575163398693"/>
    <s v="Healthy"/>
    <s v="Safe"/>
    <n v="0.35294117647058826"/>
    <s v="Safe"/>
    <n v="300"/>
    <n v="0.35294117647058826"/>
  </r>
  <r>
    <s v="ORD-12445"/>
    <x v="313"/>
    <s v="P008"/>
    <x v="4"/>
    <s v="Beverages"/>
    <s v="Soft Drinks"/>
    <s v="Sparkle"/>
    <s v="B02"/>
    <x v="4"/>
    <s v="Abuja"/>
    <x v="2"/>
    <s v="Walk-in"/>
    <s v="Transfer"/>
    <n v="1"/>
    <n v="330"/>
    <n v="550"/>
    <n v="0"/>
    <x v="3"/>
    <n v="3"/>
    <n v="550"/>
    <n v="0"/>
    <n v="550"/>
    <n v="330"/>
    <n v="220"/>
    <n v="0.4"/>
    <s v="Healthy"/>
    <s v="Safe"/>
    <n v="0.4"/>
    <s v="Safe"/>
    <n v="220"/>
    <n v="0.4"/>
  </r>
  <r>
    <s v="ORD-12446"/>
    <x v="311"/>
    <s v="P014"/>
    <x v="15"/>
    <s v="Personal Care"/>
    <s v="Oral Care"/>
    <s v="FreshMint"/>
    <s v="B02"/>
    <x v="4"/>
    <s v="Abuja"/>
    <x v="2"/>
    <s v="Member"/>
    <s v="POS"/>
    <n v="8"/>
    <n v="1200"/>
    <n v="1900"/>
    <n v="0.15"/>
    <x v="11"/>
    <n v="12"/>
    <n v="15200"/>
    <n v="2280"/>
    <n v="12920"/>
    <n v="9600"/>
    <n v="3320"/>
    <n v="0.25696594427244585"/>
    <s v="Healthy"/>
    <s v="Safe"/>
    <n v="0.36842105263157893"/>
    <s v="Safe"/>
    <n v="700"/>
    <n v="0.36842105263157893"/>
  </r>
  <r>
    <s v="ORD-12447"/>
    <x v="28"/>
    <s v="P003"/>
    <x v="12"/>
    <s v="Food"/>
    <s v="Cooking Oil"/>
    <s v="SunGold"/>
    <s v="B08"/>
    <x v="7"/>
    <s v="Kwara"/>
    <x v="2"/>
    <s v="Member"/>
    <s v="POS"/>
    <n v="3"/>
    <n v="7800"/>
    <n v="9800"/>
    <n v="0.05"/>
    <x v="9"/>
    <n v="9"/>
    <n v="29400"/>
    <n v="1470"/>
    <n v="27930"/>
    <n v="23400"/>
    <n v="4530"/>
    <n v="0.16219119226638024"/>
    <s v="Understocked"/>
    <s v="Safe"/>
    <n v="0.20408163265306123"/>
    <s v="Safe"/>
    <n v="2000"/>
    <n v="0.20408163265306123"/>
  </r>
  <r>
    <s v="ORD-12448"/>
    <x v="145"/>
    <s v="P014"/>
    <x v="15"/>
    <s v="Personal Care"/>
    <s v="Oral Care"/>
    <s v="FreshMint"/>
    <s v="B04"/>
    <x v="5"/>
    <s v="Lagos"/>
    <x v="4"/>
    <s v="Member"/>
    <s v="POS"/>
    <n v="6"/>
    <n v="1200"/>
    <n v="1900"/>
    <n v="0.05"/>
    <x v="6"/>
    <n v="14"/>
    <n v="11400"/>
    <n v="570"/>
    <n v="10830"/>
    <n v="7200"/>
    <n v="3630"/>
    <n v="0.33518005540166207"/>
    <s v="Healthy"/>
    <s v="Safe"/>
    <n v="0.36842105263157893"/>
    <s v="Safe"/>
    <n v="700"/>
    <n v="0.36842105263157893"/>
  </r>
  <r>
    <s v="ORD-12449"/>
    <x v="18"/>
    <s v="P011"/>
    <x v="9"/>
    <s v="Household"/>
    <s v="Cleaning"/>
    <s v="CleanPro"/>
    <s v="B02"/>
    <x v="4"/>
    <s v="Abuja"/>
    <x v="2"/>
    <s v="Walk-in"/>
    <s v="POS"/>
    <n v="5"/>
    <n v="2800"/>
    <n v="3900"/>
    <n v="0.1"/>
    <x v="7"/>
    <n v="4"/>
    <n v="19500"/>
    <n v="1950"/>
    <n v="17550"/>
    <n v="14000"/>
    <n v="3550"/>
    <n v="0.20227920227920229"/>
    <s v="Healthy"/>
    <s v="Safe"/>
    <n v="0.28205128205128205"/>
    <s v="Safe"/>
    <n v="1100"/>
    <n v="0.28205128205128205"/>
  </r>
  <r>
    <s v="ORD-12450"/>
    <x v="297"/>
    <s v="P009"/>
    <x v="13"/>
    <s v="Household"/>
    <s v="Cleaning"/>
    <s v="BrightWash"/>
    <s v="B08"/>
    <x v="7"/>
    <s v="Kwara"/>
    <x v="2"/>
    <s v="Member"/>
    <s v="POS"/>
    <n v="2"/>
    <n v="2400"/>
    <n v="3400"/>
    <n v="0.05"/>
    <x v="7"/>
    <n v="12"/>
    <n v="6800"/>
    <n v="340"/>
    <n v="6460"/>
    <n v="4800"/>
    <n v="1660"/>
    <n v="0.25696594427244585"/>
    <s v="Healthy"/>
    <s v="Safe"/>
    <n v="0.29411764705882354"/>
    <s v="Safe"/>
    <n v="1000"/>
    <n v="0.29411764705882354"/>
  </r>
  <r>
    <s v="ORD-12451"/>
    <x v="318"/>
    <s v="P008"/>
    <x v="4"/>
    <s v="Beverages"/>
    <s v="Soft Drinks"/>
    <s v="Sparkle"/>
    <s v="B04"/>
    <x v="5"/>
    <s v="Lagos"/>
    <x v="4"/>
    <s v="Member"/>
    <s v="POS"/>
    <n v="3"/>
    <n v="330"/>
    <n v="550"/>
    <n v="0.15"/>
    <x v="3"/>
    <n v="6"/>
    <n v="1650"/>
    <n v="247.5"/>
    <n v="1402.5"/>
    <n v="990"/>
    <n v="412.5"/>
    <n v="0.29411764705882354"/>
    <s v="Healthy"/>
    <s v="Safe"/>
    <n v="0.4"/>
    <s v="Safe"/>
    <n v="220"/>
    <n v="0.4"/>
  </r>
  <r>
    <s v="ORD-12452"/>
    <x v="244"/>
    <s v="P001"/>
    <x v="14"/>
    <s v="Food"/>
    <s v="Grains"/>
    <s v="Golden Harvest"/>
    <s v="B04"/>
    <x v="5"/>
    <s v="Lagos"/>
    <x v="4"/>
    <s v="Walk-in"/>
    <s v="POS"/>
    <n v="2"/>
    <n v="14500"/>
    <n v="17500"/>
    <n v="0"/>
    <x v="9"/>
    <n v="2"/>
    <n v="35000"/>
    <n v="0"/>
    <n v="35000"/>
    <n v="29000"/>
    <n v="6000"/>
    <n v="0.17142857142857143"/>
    <s v="Understocked"/>
    <s v="Safe"/>
    <n v="0.17142857142857143"/>
    <s v="Safe"/>
    <n v="3000"/>
    <n v="0.17142857142857143"/>
  </r>
  <r>
    <s v="ORD-12453"/>
    <x v="357"/>
    <s v="P013"/>
    <x v="11"/>
    <s v="Personal Care"/>
    <s v="Skin Care"/>
    <s v="GlowPlus"/>
    <s v="B05"/>
    <x v="0"/>
    <s v="Kano"/>
    <x v="0"/>
    <s v="Member"/>
    <s v="Transfer"/>
    <n v="4"/>
    <n v="3500"/>
    <n v="5200"/>
    <n v="0.05"/>
    <x v="10"/>
    <n v="2"/>
    <n v="20800"/>
    <n v="1040"/>
    <n v="19760"/>
    <n v="14000"/>
    <n v="5760"/>
    <n v="0.291497975708502"/>
    <s v="Healthy"/>
    <s v="Safe"/>
    <n v="0.32692307692307693"/>
    <s v="Safe"/>
    <n v="1700"/>
    <n v="0.32692307692307693"/>
  </r>
  <r>
    <s v="ORD-12454"/>
    <x v="107"/>
    <s v="P012"/>
    <x v="21"/>
    <s v="Household"/>
    <s v="Home Care"/>
    <s v="HomeFresh"/>
    <s v="B07"/>
    <x v="3"/>
    <s v="Enugu"/>
    <x v="3"/>
    <s v="Member"/>
    <s v="Card"/>
    <n v="2"/>
    <n v="1700"/>
    <n v="2600"/>
    <n v="0"/>
    <x v="10"/>
    <n v="6"/>
    <n v="5200"/>
    <n v="0"/>
    <n v="5200"/>
    <n v="3400"/>
    <n v="1800"/>
    <n v="0.34615384615384615"/>
    <s v="Overstocked"/>
    <s v="Safe"/>
    <n v="0.34615384615384615"/>
    <s v="Safe"/>
    <n v="900"/>
    <n v="0.34615384615384615"/>
  </r>
  <r>
    <s v="ORD-12455"/>
    <x v="298"/>
    <s v="P005"/>
    <x v="2"/>
    <s v="Food"/>
    <s v="Snacks"/>
    <s v="CrispyBite"/>
    <s v="B08"/>
    <x v="7"/>
    <s v="Kwara"/>
    <x v="2"/>
    <s v="Walk-in"/>
    <s v="Cash"/>
    <n v="2"/>
    <n v="850"/>
    <n v="1300"/>
    <n v="0.05"/>
    <x v="1"/>
    <n v="2"/>
    <n v="2600"/>
    <n v="130"/>
    <n v="2470"/>
    <n v="1700"/>
    <n v="770"/>
    <n v="0.31174089068825911"/>
    <s v="Understocked"/>
    <s v="Safe"/>
    <n v="0.34615384615384615"/>
    <s v="Safe"/>
    <n v="450"/>
    <n v="0.34615384615384615"/>
  </r>
  <r>
    <s v="ORD-12456"/>
    <x v="32"/>
    <s v="P023"/>
    <x v="6"/>
    <s v="Office Supplies"/>
    <s v="Stationery"/>
    <s v="StudyPro"/>
    <s v="B06"/>
    <x v="1"/>
    <s v="Rivers"/>
    <x v="1"/>
    <s v="Walk-in"/>
    <s v="Transfer"/>
    <n v="5"/>
    <n v="2800"/>
    <n v="4200"/>
    <n v="0"/>
    <x v="14"/>
    <n v="11"/>
    <n v="21000"/>
    <n v="0"/>
    <n v="21000"/>
    <n v="14000"/>
    <n v="7000"/>
    <n v="0.33333333333333331"/>
    <s v="Understocked"/>
    <s v="Safe"/>
    <n v="0.33333333333333331"/>
    <s v="Safe"/>
    <n v="1400"/>
    <n v="0.33333333333333331"/>
  </r>
  <r>
    <s v="ORD-12457"/>
    <x v="116"/>
    <s v="P012"/>
    <x v="21"/>
    <s v="Household"/>
    <s v="Home Care"/>
    <s v="HomeFresh"/>
    <s v="B06"/>
    <x v="1"/>
    <s v="Rivers"/>
    <x v="1"/>
    <s v="Member"/>
    <s v="POS"/>
    <n v="3"/>
    <n v="1700"/>
    <n v="2600"/>
    <n v="0.05"/>
    <x v="1"/>
    <n v="1"/>
    <n v="7800"/>
    <n v="390"/>
    <n v="7410"/>
    <n v="5100"/>
    <n v="2310"/>
    <n v="0.31174089068825911"/>
    <s v="Overstocked"/>
    <s v="Safe"/>
    <n v="0.34615384615384615"/>
    <s v="Safe"/>
    <n v="900"/>
    <n v="0.34615384615384615"/>
  </r>
  <r>
    <s v="ORD-12458"/>
    <x v="211"/>
    <s v="P005"/>
    <x v="2"/>
    <s v="Food"/>
    <s v="Snacks"/>
    <s v="CrispyBite"/>
    <s v="B08"/>
    <x v="7"/>
    <s v="Kwara"/>
    <x v="2"/>
    <s v="Walk-in"/>
    <s v="Transfer"/>
    <n v="5"/>
    <n v="850"/>
    <n v="1300"/>
    <n v="0.1"/>
    <x v="8"/>
    <n v="7"/>
    <n v="6500"/>
    <n v="650"/>
    <n v="5850"/>
    <n v="4250"/>
    <n v="1600"/>
    <n v="0.27350427350427353"/>
    <s v="Understocked"/>
    <s v="Safe"/>
    <n v="0.34615384615384615"/>
    <s v="Safe"/>
    <n v="450"/>
    <n v="0.34615384615384615"/>
  </r>
  <r>
    <s v="ORD-12459"/>
    <x v="122"/>
    <s v="P018"/>
    <x v="16"/>
    <s v="Electronics"/>
    <s v="Mobile Accessories"/>
    <s v="VoltSafe"/>
    <s v="B01"/>
    <x v="2"/>
    <s v="Abuja"/>
    <x v="2"/>
    <s v="Member"/>
    <s v="POS"/>
    <n v="4"/>
    <n v="18000"/>
    <n v="24500"/>
    <n v="0"/>
    <x v="13"/>
    <n v="5"/>
    <n v="98000"/>
    <n v="0"/>
    <n v="98000"/>
    <n v="72000"/>
    <n v="26000"/>
    <n v="0.26530612244897961"/>
    <s v="Understocked"/>
    <s v="Safe"/>
    <n v="0.26530612244897961"/>
    <s v="Safe"/>
    <n v="6500"/>
    <n v="0.26530612244897961"/>
  </r>
  <r>
    <s v="ORD-12460"/>
    <x v="61"/>
    <s v="P008"/>
    <x v="4"/>
    <s v="Beverages"/>
    <s v="Soft Drinks"/>
    <s v="Sparkle"/>
    <s v="B08"/>
    <x v="7"/>
    <s v="Kwara"/>
    <x v="2"/>
    <s v="Member"/>
    <s v="Transfer"/>
    <n v="3"/>
    <n v="330"/>
    <n v="550"/>
    <n v="0.05"/>
    <x v="3"/>
    <n v="14"/>
    <n v="1650"/>
    <n v="82.5"/>
    <n v="1567.5"/>
    <n v="990"/>
    <n v="577.5"/>
    <n v="0.36842105263157893"/>
    <s v="Healthy"/>
    <s v="Safe"/>
    <n v="0.4"/>
    <s v="Safe"/>
    <n v="220"/>
    <n v="0.4"/>
  </r>
  <r>
    <s v="ORD-12461"/>
    <x v="4"/>
    <s v="P022"/>
    <x v="17"/>
    <s v="Office Supplies"/>
    <s v="Writing"/>
    <s v="WriteWell"/>
    <s v="B03"/>
    <x v="6"/>
    <s v="Lagos"/>
    <x v="4"/>
    <s v="Member"/>
    <s v="POS"/>
    <n v="4"/>
    <n v="1300"/>
    <n v="2100"/>
    <n v="0"/>
    <x v="5"/>
    <n v="8"/>
    <n v="8400"/>
    <n v="0"/>
    <n v="8400"/>
    <n v="5200"/>
    <n v="3200"/>
    <n v="0.38095238095238093"/>
    <s v="Understocked"/>
    <s v="Safe"/>
    <n v="0.38095238095238093"/>
    <s v="Safe"/>
    <n v="800"/>
    <n v="0.38095238095238093"/>
  </r>
  <r>
    <s v="ORD-12462"/>
    <x v="20"/>
    <s v="P007"/>
    <x v="3"/>
    <s v="Beverages"/>
    <s v="Malt"/>
    <s v="Naija Malt"/>
    <s v="B04"/>
    <x v="5"/>
    <s v="Lagos"/>
    <x v="4"/>
    <s v="Walk-in"/>
    <s v="POS"/>
    <n v="4"/>
    <n v="550"/>
    <n v="850"/>
    <n v="0.1"/>
    <x v="2"/>
    <n v="9"/>
    <n v="3400"/>
    <n v="340"/>
    <n v="3060"/>
    <n v="2200"/>
    <n v="860"/>
    <n v="0.28104575163398693"/>
    <s v="Healthy"/>
    <s v="Safe"/>
    <n v="0.35294117647058826"/>
    <s v="Safe"/>
    <n v="300"/>
    <n v="0.35294117647058826"/>
  </r>
  <r>
    <s v="ORD-12463"/>
    <x v="297"/>
    <s v="P014"/>
    <x v="15"/>
    <s v="Personal Care"/>
    <s v="Oral Care"/>
    <s v="FreshMint"/>
    <s v="B05"/>
    <x v="0"/>
    <s v="Kano"/>
    <x v="0"/>
    <s v="Walk-in"/>
    <s v="Cash"/>
    <n v="10"/>
    <n v="1200"/>
    <n v="1900"/>
    <n v="0"/>
    <x v="10"/>
    <n v="6"/>
    <n v="19000"/>
    <n v="0"/>
    <n v="19000"/>
    <n v="12000"/>
    <n v="7000"/>
    <n v="0.36842105263157893"/>
    <s v="Healthy"/>
    <s v="Safe"/>
    <n v="0.36842105263157893"/>
    <s v="Safe"/>
    <n v="700"/>
    <n v="0.36842105263157893"/>
  </r>
  <r>
    <s v="ORD-12464"/>
    <x v="264"/>
    <s v="P013"/>
    <x v="11"/>
    <s v="Personal Care"/>
    <s v="Skin Care"/>
    <s v="GlowPlus"/>
    <s v="B03"/>
    <x v="6"/>
    <s v="Lagos"/>
    <x v="4"/>
    <s v="Walk-in"/>
    <s v="POS"/>
    <n v="2"/>
    <n v="3500"/>
    <n v="5200"/>
    <n v="0.05"/>
    <x v="6"/>
    <n v="5"/>
    <n v="10400"/>
    <n v="520"/>
    <n v="9880"/>
    <n v="7000"/>
    <n v="2880"/>
    <n v="0.291497975708502"/>
    <s v="Healthy"/>
    <s v="Safe"/>
    <n v="0.32692307692307693"/>
    <s v="Safe"/>
    <n v="1700"/>
    <n v="0.32692307692307693"/>
  </r>
  <r>
    <s v="ORD-12465"/>
    <x v="190"/>
    <s v="P020"/>
    <x v="5"/>
    <s v="Electronics"/>
    <s v="Lighting"/>
    <s v="Luma"/>
    <s v="B06"/>
    <x v="1"/>
    <s v="Rivers"/>
    <x v="1"/>
    <s v="Walk-in"/>
    <s v="POS"/>
    <n v="2"/>
    <n v="1500"/>
    <n v="2500"/>
    <n v="0.1"/>
    <x v="13"/>
    <n v="9"/>
    <n v="5000"/>
    <n v="500"/>
    <n v="4500"/>
    <n v="3000"/>
    <n v="1500"/>
    <n v="0.33333333333333331"/>
    <s v="Healthy"/>
    <s v="Safe"/>
    <n v="0.4"/>
    <s v="Safe"/>
    <n v="1000"/>
    <n v="0.4"/>
  </r>
  <r>
    <s v="ORD-12466"/>
    <x v="353"/>
    <s v="P022"/>
    <x v="17"/>
    <s v="Office Supplies"/>
    <s v="Writing"/>
    <s v="WriteWell"/>
    <s v="B04"/>
    <x v="5"/>
    <s v="Lagos"/>
    <x v="4"/>
    <s v="Member"/>
    <s v="Transfer"/>
    <n v="4"/>
    <n v="1300"/>
    <n v="2100"/>
    <n v="0.2"/>
    <x v="14"/>
    <n v="1"/>
    <n v="8400"/>
    <n v="1680"/>
    <n v="6720"/>
    <n v="5200"/>
    <n v="1520"/>
    <n v="0.22619047619047619"/>
    <s v="Understocked"/>
    <s v="Safe"/>
    <n v="0.38095238095238093"/>
    <s v="Safe"/>
    <n v="800"/>
    <n v="0.38095238095238093"/>
  </r>
  <r>
    <s v="ORD-12467"/>
    <x v="249"/>
    <s v="P021"/>
    <x v="20"/>
    <s v="Office Supplies"/>
    <s v="Paper"/>
    <s v="OfficeMate"/>
    <s v="B01"/>
    <x v="2"/>
    <s v="Abuja"/>
    <x v="2"/>
    <s v="Walk-in"/>
    <s v="POS"/>
    <n v="4"/>
    <n v="5200"/>
    <n v="7000"/>
    <n v="0.1"/>
    <x v="14"/>
    <n v="2"/>
    <n v="28000"/>
    <n v="2800"/>
    <n v="25200"/>
    <n v="20800"/>
    <n v="4400"/>
    <n v="0.17460317460317459"/>
    <s v="Overstocked"/>
    <s v="Safe"/>
    <n v="0.25714285714285712"/>
    <s v="Safe"/>
    <n v="1800"/>
    <n v="0.25714285714285712"/>
  </r>
  <r>
    <s v="ORD-12468"/>
    <x v="144"/>
    <s v="P019"/>
    <x v="18"/>
    <s v="Electronics"/>
    <s v="Audio"/>
    <s v="SoundBeat"/>
    <s v="B05"/>
    <x v="0"/>
    <s v="Kano"/>
    <x v="0"/>
    <s v="Member"/>
    <s v="Card"/>
    <n v="2"/>
    <n v="12500"/>
    <n v="18500"/>
    <n v="0.15"/>
    <x v="12"/>
    <n v="4"/>
    <n v="37000"/>
    <n v="5550"/>
    <n v="31450"/>
    <n v="25000"/>
    <n v="6450"/>
    <n v="0.20508744038155802"/>
    <s v="Understocked"/>
    <s v="Safe"/>
    <n v="0.32432432432432434"/>
    <s v="Safe"/>
    <n v="6000"/>
    <n v="0.32432432432432434"/>
  </r>
  <r>
    <s v="ORD-12469"/>
    <x v="323"/>
    <s v="P006"/>
    <x v="0"/>
    <s v="Beverages"/>
    <s v="Water"/>
    <s v="AquaPure"/>
    <s v="B06"/>
    <x v="1"/>
    <s v="Rivers"/>
    <x v="1"/>
    <s v="Member"/>
    <s v="POS"/>
    <n v="1"/>
    <n v="230"/>
    <n v="400"/>
    <n v="0.15"/>
    <x v="2"/>
    <n v="11"/>
    <n v="400"/>
    <n v="60"/>
    <n v="340"/>
    <n v="230"/>
    <n v="110"/>
    <n v="0.3235294117647059"/>
    <s v="Understocked"/>
    <s v="Safe"/>
    <n v="0.42499999999999999"/>
    <s v="Safe"/>
    <n v="170"/>
    <n v="0.42499999999999999"/>
  </r>
  <r>
    <s v="ORD-12470"/>
    <x v="140"/>
    <s v="P023"/>
    <x v="6"/>
    <s v="Office Supplies"/>
    <s v="Stationery"/>
    <s v="StudyPro"/>
    <s v="B06"/>
    <x v="1"/>
    <s v="Rivers"/>
    <x v="1"/>
    <s v="Corporate"/>
    <s v="POS"/>
    <n v="1"/>
    <n v="2800"/>
    <n v="4200"/>
    <n v="0"/>
    <x v="5"/>
    <n v="1"/>
    <n v="4200"/>
    <n v="0"/>
    <n v="4200"/>
    <n v="2800"/>
    <n v="1400"/>
    <n v="0.33333333333333331"/>
    <s v="Understocked"/>
    <s v="Safe"/>
    <n v="0.33333333333333331"/>
    <s v="Safe"/>
    <n v="1400"/>
    <n v="0.33333333333333331"/>
  </r>
  <r>
    <s v="ORD-12471"/>
    <x v="90"/>
    <s v="P011"/>
    <x v="9"/>
    <s v="Household"/>
    <s v="Cleaning"/>
    <s v="CleanPro"/>
    <s v="B06"/>
    <x v="1"/>
    <s v="Rivers"/>
    <x v="1"/>
    <s v="Walk-in"/>
    <s v="Transfer"/>
    <n v="1"/>
    <n v="2800"/>
    <n v="3900"/>
    <n v="0.1"/>
    <x v="10"/>
    <n v="2"/>
    <n v="3900"/>
    <n v="390"/>
    <n v="3510"/>
    <n v="2800"/>
    <n v="710"/>
    <n v="0.20227920227920229"/>
    <s v="Healthy"/>
    <s v="Safe"/>
    <n v="0.28205128205128205"/>
    <s v="Safe"/>
    <n v="1100"/>
    <n v="0.28205128205128205"/>
  </r>
  <r>
    <s v="ORD-12472"/>
    <x v="175"/>
    <s v="P024"/>
    <x v="19"/>
    <s v="Office Supplies"/>
    <s v="Accessories"/>
    <s v="ErgoDesk"/>
    <s v="B03"/>
    <x v="6"/>
    <s v="Lagos"/>
    <x v="4"/>
    <s v="Corporate"/>
    <s v="POS"/>
    <n v="8"/>
    <n v="1700"/>
    <n v="2800"/>
    <n v="0"/>
    <x v="15"/>
    <n v="5"/>
    <n v="22400"/>
    <n v="0"/>
    <n v="22400"/>
    <n v="13600"/>
    <n v="8800"/>
    <n v="0.39285714285714285"/>
    <s v="Overstocked"/>
    <s v="Safe"/>
    <n v="0.39285714285714285"/>
    <s v="Safe"/>
    <n v="1100"/>
    <n v="0.39285714285714285"/>
  </r>
  <r>
    <s v="ORD-12473"/>
    <x v="260"/>
    <s v="P003"/>
    <x v="12"/>
    <s v="Food"/>
    <s v="Cooking Oil"/>
    <s v="SunGold"/>
    <s v="B07"/>
    <x v="3"/>
    <s v="Enugu"/>
    <x v="3"/>
    <s v="Corporate"/>
    <s v="Card"/>
    <n v="1"/>
    <n v="7800"/>
    <n v="9800"/>
    <n v="0.1"/>
    <x v="1"/>
    <n v="9"/>
    <n v="9800"/>
    <n v="980"/>
    <n v="8820"/>
    <n v="7800"/>
    <n v="1020"/>
    <n v="0.11564625850340136"/>
    <s v="Understocked"/>
    <s v="Safe"/>
    <n v="0.20408163265306123"/>
    <s v="Safe"/>
    <n v="2000"/>
    <n v="0.20408163265306123"/>
  </r>
  <r>
    <s v="ORD-12474"/>
    <x v="293"/>
    <s v="P015"/>
    <x v="8"/>
    <s v="Personal Care"/>
    <s v="Bath"/>
    <s v="SilkyTouch"/>
    <s v="B08"/>
    <x v="7"/>
    <s v="Kwara"/>
    <x v="2"/>
    <s v="Walk-in"/>
    <s v="POS"/>
    <n v="3"/>
    <n v="600"/>
    <n v="950"/>
    <n v="0.15"/>
    <x v="6"/>
    <n v="2"/>
    <n v="2850"/>
    <n v="427.5"/>
    <n v="2422.5"/>
    <n v="1800"/>
    <n v="622.5"/>
    <n v="0.25696594427244585"/>
    <s v="Healthy"/>
    <s v="Safe"/>
    <n v="0.36842105263157893"/>
    <s v="Safe"/>
    <n v="350"/>
    <n v="0.36842105263157893"/>
  </r>
  <r>
    <s v="ORD-12475"/>
    <x v="206"/>
    <s v="P012"/>
    <x v="21"/>
    <s v="Household"/>
    <s v="Home Care"/>
    <s v="HomeFresh"/>
    <s v="B03"/>
    <x v="6"/>
    <s v="Lagos"/>
    <x v="4"/>
    <s v="Walk-in"/>
    <s v="Card"/>
    <n v="3"/>
    <n v="1700"/>
    <n v="2600"/>
    <n v="0"/>
    <x v="7"/>
    <n v="10"/>
    <n v="7800"/>
    <n v="0"/>
    <n v="7800"/>
    <n v="5100"/>
    <n v="2700"/>
    <n v="0.34615384615384615"/>
    <s v="Overstocked"/>
    <s v="Safe"/>
    <n v="0.34615384615384615"/>
    <s v="Safe"/>
    <n v="900"/>
    <n v="0.34615384615384615"/>
  </r>
  <r>
    <s v="ORD-12476"/>
    <x v="203"/>
    <s v="P017"/>
    <x v="23"/>
    <s v="Electronics"/>
    <s v="Accessories"/>
    <s v="PowerMax"/>
    <s v="B03"/>
    <x v="6"/>
    <s v="Lagos"/>
    <x v="4"/>
    <s v="Member"/>
    <s v="Transfer"/>
    <n v="2"/>
    <n v="7500"/>
    <n v="10500"/>
    <n v="0.25"/>
    <x v="13"/>
    <n v="3"/>
    <n v="21000"/>
    <n v="5250"/>
    <n v="15750"/>
    <n v="15000"/>
    <n v="750"/>
    <n v="4.7619047619047616E-2"/>
    <s v="Healthy"/>
    <s v="Safe"/>
    <n v="0.2857142857142857"/>
    <s v="Safe"/>
    <n v="3000"/>
    <n v="0.2857142857142857"/>
  </r>
  <r>
    <s v="ORD-12477"/>
    <x v="49"/>
    <s v="P018"/>
    <x v="16"/>
    <s v="Electronics"/>
    <s v="Mobile Accessories"/>
    <s v="VoltSafe"/>
    <s v="B01"/>
    <x v="2"/>
    <s v="Abuja"/>
    <x v="2"/>
    <s v="Walk-in"/>
    <s v="Card"/>
    <n v="2"/>
    <n v="18000"/>
    <n v="24500"/>
    <n v="0.05"/>
    <x v="12"/>
    <n v="10"/>
    <n v="49000"/>
    <n v="2450"/>
    <n v="46550"/>
    <n v="36000"/>
    <n v="10550"/>
    <n v="0.22663802363050484"/>
    <s v="Understocked"/>
    <s v="Safe"/>
    <n v="0.26530612244897961"/>
    <s v="Safe"/>
    <n v="6500"/>
    <n v="0.26530612244897961"/>
  </r>
  <r>
    <s v="ORD-12478"/>
    <x v="363"/>
    <s v="P015"/>
    <x v="8"/>
    <s v="Personal Care"/>
    <s v="Bath"/>
    <s v="SilkyTouch"/>
    <s v="B05"/>
    <x v="0"/>
    <s v="Kano"/>
    <x v="0"/>
    <s v="Walk-in"/>
    <s v="POS"/>
    <n v="6"/>
    <n v="600"/>
    <n v="950"/>
    <n v="0.1"/>
    <x v="10"/>
    <n v="3"/>
    <n v="5700"/>
    <n v="570"/>
    <n v="5130"/>
    <n v="3600"/>
    <n v="1530"/>
    <n v="0.2982456140350877"/>
    <s v="Healthy"/>
    <s v="Safe"/>
    <n v="0.36842105263157893"/>
    <s v="Safe"/>
    <n v="350"/>
    <n v="0.36842105263157893"/>
  </r>
  <r>
    <s v="ORD-12479"/>
    <x v="232"/>
    <s v="P007"/>
    <x v="3"/>
    <s v="Beverages"/>
    <s v="Malt"/>
    <s v="Naija Malt"/>
    <s v="B07"/>
    <x v="3"/>
    <s v="Enugu"/>
    <x v="3"/>
    <s v="Walk-in"/>
    <s v="Card"/>
    <n v="-1"/>
    <n v="550"/>
    <n v="850"/>
    <n v="0"/>
    <x v="0"/>
    <n v="6"/>
    <n v="-850"/>
    <n v="0"/>
    <n v="-850"/>
    <n v="-550"/>
    <n v="-300"/>
    <n v="0.35294117647058826"/>
    <s v="Healthy"/>
    <s v="Safe"/>
    <n v="0.35294117647058826"/>
    <s v="Safe"/>
    <n v="300"/>
    <n v="0.35294117647058826"/>
  </r>
  <r>
    <s v="ORD-12480"/>
    <x v="269"/>
    <s v="P006"/>
    <x v="0"/>
    <s v="Beverages"/>
    <s v="Water"/>
    <s v="AquaPure"/>
    <s v="B06"/>
    <x v="1"/>
    <s v="Rivers"/>
    <x v="1"/>
    <s v="Member"/>
    <s v="Card"/>
    <n v="10"/>
    <n v="230"/>
    <n v="400"/>
    <n v="0.15"/>
    <x v="2"/>
    <n v="11"/>
    <n v="4000"/>
    <n v="600"/>
    <n v="3400"/>
    <n v="2300"/>
    <n v="1100"/>
    <n v="0.3235294117647059"/>
    <s v="Understocked"/>
    <s v="Safe"/>
    <n v="0.42499999999999999"/>
    <s v="Safe"/>
    <n v="170"/>
    <n v="0.42499999999999999"/>
  </r>
  <r>
    <s v="ORD-12481"/>
    <x v="322"/>
    <s v="P007"/>
    <x v="3"/>
    <s v="Beverages"/>
    <s v="Malt"/>
    <s v="Naija Malt"/>
    <s v="B02"/>
    <x v="4"/>
    <s v="Abuja"/>
    <x v="2"/>
    <s v="Walk-in"/>
    <s v="Card"/>
    <n v="3"/>
    <n v="550"/>
    <n v="850"/>
    <n v="0.05"/>
    <x v="3"/>
    <n v="4"/>
    <n v="2550"/>
    <n v="127.5"/>
    <n v="2422.5"/>
    <n v="1650"/>
    <n v="772.5"/>
    <n v="0.31888544891640869"/>
    <s v="Healthy"/>
    <s v="Safe"/>
    <n v="0.35294117647058826"/>
    <s v="Safe"/>
    <n v="300"/>
    <n v="0.35294117647058826"/>
  </r>
  <r>
    <s v="ORD-12482"/>
    <x v="123"/>
    <s v="P006"/>
    <x v="0"/>
    <s v="Beverages"/>
    <s v="Water"/>
    <s v="AquaPure"/>
    <s v="B06"/>
    <x v="1"/>
    <s v="Rivers"/>
    <x v="1"/>
    <s v="Walk-in"/>
    <s v="POS"/>
    <n v="4"/>
    <n v="230"/>
    <n v="400"/>
    <n v="0.05"/>
    <x v="3"/>
    <n v="3"/>
    <n v="1600"/>
    <n v="80"/>
    <n v="1520"/>
    <n v="920"/>
    <n v="600"/>
    <n v="0.39473684210526316"/>
    <s v="Understocked"/>
    <s v="Safe"/>
    <n v="0.42499999999999999"/>
    <s v="Safe"/>
    <n v="170"/>
    <n v="0.42499999999999999"/>
  </r>
  <r>
    <s v="ORD-12483"/>
    <x v="98"/>
    <s v="P005"/>
    <x v="2"/>
    <s v="Food"/>
    <s v="Snacks"/>
    <s v="CrispyBite"/>
    <s v="B06"/>
    <x v="1"/>
    <s v="Rivers"/>
    <x v="1"/>
    <s v="Member"/>
    <s v="Card"/>
    <n v="2"/>
    <n v="850"/>
    <n v="1300"/>
    <n v="0.05"/>
    <x v="9"/>
    <n v="3"/>
    <n v="2600"/>
    <n v="130"/>
    <n v="2470"/>
    <n v="1700"/>
    <n v="770"/>
    <n v="0.31174089068825911"/>
    <s v="Understocked"/>
    <s v="Safe"/>
    <n v="0.34615384615384615"/>
    <s v="Safe"/>
    <n v="450"/>
    <n v="0.34615384615384615"/>
  </r>
  <r>
    <s v="ORD-12484"/>
    <x v="360"/>
    <s v="P006"/>
    <x v="0"/>
    <s v="Beverages"/>
    <s v="Water"/>
    <s v="AquaPure"/>
    <s v="B04"/>
    <x v="5"/>
    <s v="Lagos"/>
    <x v="4"/>
    <s v="Member"/>
    <s v="Transfer"/>
    <n v="2"/>
    <n v="230"/>
    <n v="400"/>
    <n v="0.05"/>
    <x v="0"/>
    <n v="4"/>
    <n v="800"/>
    <n v="40"/>
    <n v="760"/>
    <n v="460"/>
    <n v="300"/>
    <n v="0.39473684210526316"/>
    <s v="Understocked"/>
    <s v="Safe"/>
    <n v="0.42499999999999999"/>
    <s v="Safe"/>
    <n v="170"/>
    <n v="0.42499999999999999"/>
  </r>
  <r>
    <s v="ORD-12485"/>
    <x v="283"/>
    <s v="P018"/>
    <x v="16"/>
    <s v="Electronics"/>
    <s v="Mobile Accessories"/>
    <s v="VoltSafe"/>
    <s v="B04"/>
    <x v="5"/>
    <s v="Lagos"/>
    <x v="4"/>
    <s v="Walk-in"/>
    <s v="POS"/>
    <n v="1"/>
    <n v="18000"/>
    <n v="24500"/>
    <n v="0.1"/>
    <x v="4"/>
    <n v="5"/>
    <n v="24500"/>
    <n v="2450"/>
    <n v="22050"/>
    <n v="18000"/>
    <n v="4050"/>
    <n v="0.18367346938775511"/>
    <s v="Understocked"/>
    <s v="Safe"/>
    <n v="0.26530612244897961"/>
    <s v="Safe"/>
    <n v="6500"/>
    <n v="0.26530612244897961"/>
  </r>
  <r>
    <s v="ORD-12486"/>
    <x v="55"/>
    <s v="P006"/>
    <x v="0"/>
    <s v="Beverages"/>
    <s v="Water"/>
    <s v="AquaPure"/>
    <s v="B08"/>
    <x v="7"/>
    <s v="Kwara"/>
    <x v="2"/>
    <s v="Walk-in"/>
    <s v="Cash"/>
    <n v="-2"/>
    <n v="230"/>
    <n v="400"/>
    <n v="0.05"/>
    <x v="3"/>
    <n v="13"/>
    <n v="-800"/>
    <n v="-40"/>
    <n v="-760"/>
    <n v="-460"/>
    <n v="-300"/>
    <n v="0.39473684210526316"/>
    <s v="Understocked"/>
    <s v="Discount loss"/>
    <n v="0.42499999999999999"/>
    <s v="Safe"/>
    <n v="170"/>
    <n v="0.42499999999999999"/>
  </r>
  <r>
    <s v="ORD-12487"/>
    <x v="181"/>
    <s v="P010"/>
    <x v="22"/>
    <s v="Household"/>
    <s v="Paper Products"/>
    <s v="SoftCare"/>
    <s v="B01"/>
    <x v="2"/>
    <s v="Abuja"/>
    <x v="2"/>
    <s v="Walk-in"/>
    <s v="Transfer"/>
    <n v="3"/>
    <n v="3200"/>
    <n v="4500"/>
    <n v="0.05"/>
    <x v="7"/>
    <n v="6"/>
    <n v="13500"/>
    <n v="675"/>
    <n v="12825"/>
    <n v="9600"/>
    <n v="3225"/>
    <n v="0.25146198830409355"/>
    <s v="Healthy"/>
    <s v="Safe"/>
    <n v="0.28888888888888886"/>
    <s v="Safe"/>
    <n v="1300"/>
    <n v="0.28888888888888886"/>
  </r>
  <r>
    <s v="ORD-12488"/>
    <x v="308"/>
    <s v="P007"/>
    <x v="3"/>
    <s v="Beverages"/>
    <s v="Malt"/>
    <s v="Naija Malt"/>
    <s v="B04"/>
    <x v="5"/>
    <s v="Lagos"/>
    <x v="4"/>
    <s v="Walk-in"/>
    <s v="POS"/>
    <n v="5"/>
    <n v="550"/>
    <n v="850"/>
    <n v="0"/>
    <x v="3"/>
    <n v="4"/>
    <n v="4250"/>
    <n v="0"/>
    <n v="4250"/>
    <n v="2750"/>
    <n v="1500"/>
    <n v="0.35294117647058826"/>
    <s v="Healthy"/>
    <s v="Safe"/>
    <n v="0.35294117647058826"/>
    <s v="Safe"/>
    <n v="300"/>
    <n v="0.35294117647058826"/>
  </r>
  <r>
    <s v="ORD-12489"/>
    <x v="292"/>
    <s v="P007"/>
    <x v="3"/>
    <s v="Beverages"/>
    <s v="Malt"/>
    <s v="Naija Malt"/>
    <s v="B03"/>
    <x v="6"/>
    <s v="Lagos"/>
    <x v="4"/>
    <s v="Walk-in"/>
    <s v="Cash"/>
    <n v="4"/>
    <n v="550"/>
    <n v="850"/>
    <n v="0"/>
    <x v="3"/>
    <n v="1"/>
    <n v="3400"/>
    <n v="0"/>
    <n v="3400"/>
    <n v="2200"/>
    <n v="1200"/>
    <n v="0.35294117647058826"/>
    <s v="Healthy"/>
    <s v="Safe"/>
    <n v="0.35294117647058826"/>
    <s v="Safe"/>
    <n v="300"/>
    <n v="0.35294117647058826"/>
  </r>
  <r>
    <s v="ORD-12490"/>
    <x v="136"/>
    <s v="P008"/>
    <x v="4"/>
    <s v="Beverages"/>
    <s v="Soft Drinks"/>
    <s v="Sparkle"/>
    <s v="B03"/>
    <x v="6"/>
    <s v="Lagos"/>
    <x v="4"/>
    <s v="Member"/>
    <s v="Cash"/>
    <n v="3"/>
    <n v="330"/>
    <n v="550"/>
    <n v="0.2"/>
    <x v="2"/>
    <n v="14"/>
    <n v="1650"/>
    <n v="330"/>
    <n v="1320"/>
    <n v="990"/>
    <n v="330"/>
    <n v="0.25"/>
    <s v="Healthy"/>
    <s v="Safe"/>
    <n v="0.4"/>
    <s v="Safe"/>
    <n v="220"/>
    <n v="0.4"/>
  </r>
  <r>
    <s v="ORD-12491"/>
    <x v="153"/>
    <s v="P015"/>
    <x v="8"/>
    <s v="Personal Care"/>
    <s v="Bath"/>
    <s v="SilkyTouch"/>
    <s v="B01"/>
    <x v="2"/>
    <s v="Abuja"/>
    <x v="2"/>
    <s v="Walk-in"/>
    <s v="Cash"/>
    <n v="5"/>
    <n v="600"/>
    <n v="950"/>
    <n v="0"/>
    <x v="11"/>
    <n v="2"/>
    <n v="4750"/>
    <n v="0"/>
    <n v="4750"/>
    <n v="3000"/>
    <n v="1750"/>
    <n v="0.36842105263157893"/>
    <s v="Healthy"/>
    <s v="Safe"/>
    <n v="0.36842105263157893"/>
    <s v="Safe"/>
    <n v="350"/>
    <n v="0.36842105263157893"/>
  </r>
  <r>
    <s v="ORD-12492"/>
    <x v="304"/>
    <s v="P010"/>
    <x v="22"/>
    <s v="Household"/>
    <s v="Paper Products"/>
    <s v="SoftCare"/>
    <s v="B01"/>
    <x v="2"/>
    <s v="Abuja"/>
    <x v="2"/>
    <s v="Member"/>
    <s v="Card"/>
    <n v="10"/>
    <n v="3200"/>
    <n v="4500"/>
    <n v="0.05"/>
    <x v="1"/>
    <n v="9"/>
    <n v="45000"/>
    <n v="2250"/>
    <n v="42750"/>
    <n v="32000"/>
    <n v="10750"/>
    <n v="0.25146198830409355"/>
    <s v="Healthy"/>
    <s v="Safe"/>
    <n v="0.28888888888888886"/>
    <s v="Safe"/>
    <n v="1300"/>
    <n v="0.28888888888888886"/>
  </r>
  <r>
    <s v="ORD-12493"/>
    <x v="124"/>
    <s v="P020"/>
    <x v="5"/>
    <s v="Electronics"/>
    <s v="Lighting"/>
    <s v="Luma"/>
    <s v="B03"/>
    <x v="6"/>
    <s v="Lagos"/>
    <x v="4"/>
    <s v="Member"/>
    <s v="POS"/>
    <n v="1"/>
    <n v="1500"/>
    <n v="2500"/>
    <n v="0.05"/>
    <x v="4"/>
    <n v="11"/>
    <n v="2500"/>
    <n v="125"/>
    <n v="2375"/>
    <n v="1500"/>
    <n v="875"/>
    <n v="0.36842105263157893"/>
    <s v="Healthy"/>
    <s v="Safe"/>
    <n v="0.4"/>
    <s v="Safe"/>
    <n v="1000"/>
    <n v="0.4"/>
  </r>
  <r>
    <s v="ORD-12494"/>
    <x v="117"/>
    <s v="P007"/>
    <x v="3"/>
    <s v="Beverages"/>
    <s v="Malt"/>
    <s v="Naija Malt"/>
    <s v="B05"/>
    <x v="0"/>
    <s v="Kano"/>
    <x v="0"/>
    <s v="Member"/>
    <s v="Cash"/>
    <n v="1"/>
    <n v="550"/>
    <n v="850"/>
    <n v="0.1"/>
    <x v="3"/>
    <n v="2"/>
    <n v="850"/>
    <n v="85"/>
    <n v="765"/>
    <n v="550"/>
    <n v="215"/>
    <n v="0.28104575163398693"/>
    <s v="Healthy"/>
    <s v="Safe"/>
    <n v="0.35294117647058826"/>
    <s v="Safe"/>
    <n v="300"/>
    <n v="0.35294117647058826"/>
  </r>
  <r>
    <s v="ORD-12495"/>
    <x v="273"/>
    <s v="P009"/>
    <x v="13"/>
    <s v="Household"/>
    <s v="Cleaning"/>
    <s v="BrightWash"/>
    <s v="B02"/>
    <x v="4"/>
    <s v="Abuja"/>
    <x v="2"/>
    <s v="Member"/>
    <s v="Transfer"/>
    <n v="3"/>
    <n v="2400"/>
    <n v="3400"/>
    <n v="0"/>
    <x v="1"/>
    <n v="7"/>
    <n v="10200"/>
    <n v="0"/>
    <n v="10200"/>
    <n v="7200"/>
    <n v="3000"/>
    <n v="0.29411764705882354"/>
    <s v="Healthy"/>
    <s v="Safe"/>
    <n v="0.29411764705882354"/>
    <s v="Safe"/>
    <n v="1000"/>
    <n v="0.29411764705882354"/>
  </r>
  <r>
    <s v="ORD-12496"/>
    <x v="284"/>
    <s v="P018"/>
    <x v="16"/>
    <s v="Electronics"/>
    <s v="Mobile Accessories"/>
    <s v="VoltSafe"/>
    <s v="B02"/>
    <x v="4"/>
    <s v="Abuja"/>
    <x v="2"/>
    <s v="Member"/>
    <s v="Transfer"/>
    <n v="4"/>
    <n v="18000"/>
    <n v="24500"/>
    <n v="0"/>
    <x v="13"/>
    <n v="6"/>
    <n v="98000"/>
    <n v="0"/>
    <n v="98000"/>
    <n v="72000"/>
    <n v="26000"/>
    <n v="0.26530612244897961"/>
    <s v="Understocked"/>
    <s v="Safe"/>
    <n v="0.26530612244897961"/>
    <s v="Safe"/>
    <n v="6500"/>
    <n v="0.26530612244897961"/>
  </r>
  <r>
    <s v="ORD-12497"/>
    <x v="202"/>
    <s v="P004"/>
    <x v="1"/>
    <s v="Beverages"/>
    <s v="Dairy"/>
    <s v="FreshDay"/>
    <s v="B03"/>
    <x v="6"/>
    <s v="Lagos"/>
    <x v="4"/>
    <s v="Walk-in"/>
    <s v="POS"/>
    <n v="5"/>
    <n v="1650"/>
    <n v="2200"/>
    <n v="0"/>
    <x v="3"/>
    <n v="5"/>
    <n v="11000"/>
    <n v="0"/>
    <n v="11000"/>
    <n v="8250"/>
    <n v="2750"/>
    <n v="0.25"/>
    <s v="Understocked"/>
    <s v="Safe"/>
    <n v="0.25"/>
    <s v="Safe"/>
    <n v="550"/>
    <n v="0.25"/>
  </r>
  <r>
    <s v="ORD-12498"/>
    <x v="337"/>
    <s v="P008"/>
    <x v="4"/>
    <s v="Beverages"/>
    <s v="Soft Drinks"/>
    <s v="Sparkle"/>
    <s v="B03"/>
    <x v="6"/>
    <s v="Lagos"/>
    <x v="4"/>
    <s v="Member"/>
    <s v="Transfer"/>
    <n v="4"/>
    <n v="330"/>
    <n v="550"/>
    <n v="0.1"/>
    <x v="2"/>
    <n v="13"/>
    <n v="2200"/>
    <n v="220"/>
    <n v="1980"/>
    <n v="1320"/>
    <n v="660"/>
    <n v="0.33333333333333331"/>
    <s v="Healthy"/>
    <s v="Safe"/>
    <n v="0.4"/>
    <s v="Safe"/>
    <n v="220"/>
    <n v="0.4"/>
  </r>
  <r>
    <s v="ORD-12499"/>
    <x v="224"/>
    <s v="P008"/>
    <x v="4"/>
    <s v="Beverages"/>
    <s v="Soft Drinks"/>
    <s v="Sparkle"/>
    <s v="B07"/>
    <x v="3"/>
    <s v="Enugu"/>
    <x v="3"/>
    <s v="Walk-in"/>
    <s v="POS"/>
    <n v="5"/>
    <n v="330"/>
    <n v="550"/>
    <n v="0"/>
    <x v="2"/>
    <n v="3"/>
    <n v="2750"/>
    <n v="0"/>
    <n v="2750"/>
    <n v="1650"/>
    <n v="1100"/>
    <n v="0.4"/>
    <s v="Healthy"/>
    <s v="Safe"/>
    <n v="0.4"/>
    <s v="Safe"/>
    <n v="220"/>
    <n v="0.4"/>
  </r>
  <r>
    <s v="ORD-12500"/>
    <x v="44"/>
    <s v="P006"/>
    <x v="0"/>
    <s v="Beverages"/>
    <s v="Water"/>
    <s v="AquaPure"/>
    <s v="B07"/>
    <x v="3"/>
    <s v="Enugu"/>
    <x v="3"/>
    <s v="Corporate"/>
    <s v="POS"/>
    <n v="1"/>
    <n v="230"/>
    <n v="400"/>
    <n v="0.1"/>
    <x v="2"/>
    <n v="6"/>
    <n v="400"/>
    <n v="40"/>
    <n v="360"/>
    <n v="230"/>
    <n v="130"/>
    <n v="0.3611111111111111"/>
    <s v="Understocked"/>
    <s v="Safe"/>
    <n v="0.42499999999999999"/>
    <s v="Safe"/>
    <n v="170"/>
    <n v="0.42499999999999999"/>
  </r>
  <r>
    <s v="ORD-12501"/>
    <x v="159"/>
    <s v="P020"/>
    <x v="5"/>
    <s v="Electronics"/>
    <s v="Lighting"/>
    <s v="Luma"/>
    <s v="B03"/>
    <x v="6"/>
    <s v="Lagos"/>
    <x v="4"/>
    <s v="Walk-in"/>
    <s v="POS"/>
    <n v="4"/>
    <n v="1500"/>
    <n v="2500"/>
    <n v="0.05"/>
    <x v="12"/>
    <n v="9"/>
    <n v="10000"/>
    <n v="500"/>
    <n v="9500"/>
    <n v="6000"/>
    <n v="3500"/>
    <n v="0.36842105263157893"/>
    <s v="Healthy"/>
    <s v="Safe"/>
    <n v="0.4"/>
    <s v="Safe"/>
    <n v="1000"/>
    <n v="0.4"/>
  </r>
  <r>
    <s v="ORD-12502"/>
    <x v="358"/>
    <s v="P007"/>
    <x v="3"/>
    <s v="Beverages"/>
    <s v="Malt"/>
    <s v="Naija Malt"/>
    <s v="B01"/>
    <x v="2"/>
    <s v="Abuja"/>
    <x v="2"/>
    <s v="Walk-in"/>
    <s v="Transfer"/>
    <n v="3"/>
    <n v="550"/>
    <n v="850"/>
    <n v="0.2"/>
    <x v="0"/>
    <n v="12"/>
    <n v="2550"/>
    <n v="510"/>
    <n v="2040"/>
    <n v="1650"/>
    <n v="390"/>
    <n v="0.19117647058823528"/>
    <s v="Healthy"/>
    <s v="Safe"/>
    <n v="0.35294117647058826"/>
    <s v="Safe"/>
    <n v="300"/>
    <n v="0.35294117647058826"/>
  </r>
  <r>
    <s v="ORD-12503"/>
    <x v="153"/>
    <s v="P020"/>
    <x v="5"/>
    <s v="Electronics"/>
    <s v="Lighting"/>
    <s v="Luma"/>
    <s v="B06"/>
    <x v="1"/>
    <s v="Rivers"/>
    <x v="1"/>
    <s v="Walk-in"/>
    <s v="POS"/>
    <n v="8"/>
    <n v="1500"/>
    <n v="2500"/>
    <n v="0.2"/>
    <x v="12"/>
    <n v="4"/>
    <n v="20000"/>
    <n v="4000"/>
    <n v="16000"/>
    <n v="12000"/>
    <n v="4000"/>
    <n v="0.25"/>
    <s v="Healthy"/>
    <s v="Safe"/>
    <n v="0.4"/>
    <s v="Safe"/>
    <n v="1000"/>
    <n v="0.4"/>
  </r>
  <r>
    <s v="ORD-12504"/>
    <x v="87"/>
    <s v="P011"/>
    <x v="9"/>
    <s v="Household"/>
    <s v="Cleaning"/>
    <s v="CleanPro"/>
    <s v="B05"/>
    <x v="0"/>
    <s v="Kano"/>
    <x v="0"/>
    <s v="Member"/>
    <s v="POS"/>
    <n v="8"/>
    <n v="2800"/>
    <n v="3900"/>
    <n v="0"/>
    <x v="1"/>
    <n v="6"/>
    <n v="31200"/>
    <n v="0"/>
    <n v="31200"/>
    <n v="22400"/>
    <n v="8800"/>
    <n v="0.28205128205128205"/>
    <s v="Healthy"/>
    <s v="Safe"/>
    <n v="0.28205128205128205"/>
    <s v="Safe"/>
    <n v="1100"/>
    <n v="0.28205128205128205"/>
  </r>
  <r>
    <s v="ORD-12505"/>
    <x v="270"/>
    <s v="P006"/>
    <x v="0"/>
    <s v="Beverages"/>
    <s v="Water"/>
    <s v="AquaPure"/>
    <s v="B07"/>
    <x v="3"/>
    <s v="Enugu"/>
    <x v="3"/>
    <s v="Walk-in"/>
    <s v="POS"/>
    <n v="4"/>
    <n v="230"/>
    <n v="400"/>
    <n v="0.2"/>
    <x v="2"/>
    <n v="2"/>
    <n v="1600"/>
    <n v="320"/>
    <n v="1280"/>
    <n v="920"/>
    <n v="360"/>
    <n v="0.28125"/>
    <s v="Understocked"/>
    <s v="Safe"/>
    <n v="0.42499999999999999"/>
    <s v="Safe"/>
    <n v="170"/>
    <n v="0.42499999999999999"/>
  </r>
  <r>
    <s v="ORD-12506"/>
    <x v="319"/>
    <s v="P004"/>
    <x v="1"/>
    <s v="Beverages"/>
    <s v="Dairy"/>
    <s v="FreshDay"/>
    <s v="B04"/>
    <x v="5"/>
    <s v="Lagos"/>
    <x v="4"/>
    <s v="Corporate"/>
    <s v="POS"/>
    <n v="3"/>
    <n v="1650"/>
    <n v="2200"/>
    <n v="0.2"/>
    <x v="0"/>
    <n v="4"/>
    <n v="6600"/>
    <n v="1320"/>
    <n v="5280"/>
    <n v="4950"/>
    <n v="330"/>
    <n v="6.25E-2"/>
    <s v="Understocked"/>
    <s v="Safe"/>
    <n v="0.25"/>
    <s v="Safe"/>
    <n v="550"/>
    <n v="0.25"/>
  </r>
  <r>
    <s v="ORD-12507"/>
    <x v="104"/>
    <s v="P022"/>
    <x v="17"/>
    <s v="Office Supplies"/>
    <s v="Writing"/>
    <s v="WriteWell"/>
    <s v="B03"/>
    <x v="6"/>
    <s v="Lagos"/>
    <x v="4"/>
    <s v="Walk-in"/>
    <s v="POS"/>
    <n v="3"/>
    <n v="1300"/>
    <n v="2100"/>
    <n v="0.05"/>
    <x v="15"/>
    <n v="7"/>
    <n v="6300"/>
    <n v="315"/>
    <n v="5985"/>
    <n v="3900"/>
    <n v="2085"/>
    <n v="0.34837092731829572"/>
    <s v="Understocked"/>
    <s v="Safe"/>
    <n v="0.38095238095238093"/>
    <s v="Safe"/>
    <n v="800"/>
    <n v="0.38095238095238093"/>
  </r>
  <r>
    <s v="ORD-12508"/>
    <x v="46"/>
    <s v="P015"/>
    <x v="8"/>
    <s v="Personal Care"/>
    <s v="Bath"/>
    <s v="SilkyTouch"/>
    <s v="B02"/>
    <x v="4"/>
    <s v="Abuja"/>
    <x v="2"/>
    <s v="Walk-in"/>
    <s v="POS"/>
    <n v="3"/>
    <n v="600"/>
    <n v="950"/>
    <n v="0.1"/>
    <x v="10"/>
    <n v="13"/>
    <n v="2850"/>
    <n v="285"/>
    <n v="2565"/>
    <n v="1800"/>
    <n v="765"/>
    <n v="0.2982456140350877"/>
    <s v="Healthy"/>
    <s v="Safe"/>
    <n v="0.36842105263157893"/>
    <s v="Safe"/>
    <n v="350"/>
    <n v="0.36842105263157893"/>
  </r>
  <r>
    <s v="ORD-12509"/>
    <x v="84"/>
    <s v="P003"/>
    <x v="12"/>
    <s v="Food"/>
    <s v="Cooking Oil"/>
    <s v="SunGold"/>
    <s v="B07"/>
    <x v="3"/>
    <s v="Enugu"/>
    <x v="3"/>
    <s v="Walk-in"/>
    <s v="POS"/>
    <n v="4"/>
    <n v="7800"/>
    <n v="9800"/>
    <n v="0.05"/>
    <x v="1"/>
    <n v="11"/>
    <n v="39200"/>
    <n v="1960"/>
    <n v="37240"/>
    <n v="31200"/>
    <n v="6040"/>
    <n v="0.16219119226638024"/>
    <s v="Understocked"/>
    <s v="Safe"/>
    <n v="0.20408163265306123"/>
    <s v="Safe"/>
    <n v="2000"/>
    <n v="0.20408163265306123"/>
  </r>
  <r>
    <s v="ORD-12510"/>
    <x v="16"/>
    <s v="P002"/>
    <x v="10"/>
    <s v="Food"/>
    <s v="Grains"/>
    <s v="Mama's Pride"/>
    <s v="B02"/>
    <x v="4"/>
    <s v="Abuja"/>
    <x v="2"/>
    <s v="Walk-in"/>
    <s v="Cash"/>
    <n v="3"/>
    <n v="6200"/>
    <n v="7900"/>
    <n v="0"/>
    <x v="1"/>
    <n v="3"/>
    <n v="23700"/>
    <n v="0"/>
    <n v="23700"/>
    <n v="18600"/>
    <n v="5100"/>
    <n v="0.21518987341772153"/>
    <s v="Healthy"/>
    <s v="Safe"/>
    <n v="0.21518987341772153"/>
    <s v="Safe"/>
    <n v="1700"/>
    <n v="0.21518987341772153"/>
  </r>
  <r>
    <s v="ORD-12511"/>
    <x v="291"/>
    <s v="P022"/>
    <x v="17"/>
    <s v="Office Supplies"/>
    <s v="Writing"/>
    <s v="WriteWell"/>
    <s v="B03"/>
    <x v="6"/>
    <s v="Lagos"/>
    <x v="4"/>
    <s v="Corporate"/>
    <s v="POS"/>
    <n v="3"/>
    <n v="1300"/>
    <n v="2100"/>
    <n v="0.15"/>
    <x v="15"/>
    <n v="9"/>
    <n v="6300"/>
    <n v="945"/>
    <n v="5355"/>
    <n v="3900"/>
    <n v="1455"/>
    <n v="0.27170868347338933"/>
    <s v="Understocked"/>
    <s v="Safe"/>
    <n v="0.38095238095238093"/>
    <s v="Safe"/>
    <n v="800"/>
    <n v="0.38095238095238093"/>
  </r>
  <r>
    <s v="ORD-12512"/>
    <x v="233"/>
    <s v="P015"/>
    <x v="8"/>
    <s v="Personal Care"/>
    <s v="Bath"/>
    <s v="SilkyTouch"/>
    <s v="B04"/>
    <x v="5"/>
    <s v="Lagos"/>
    <x v="4"/>
    <s v="Corporate"/>
    <s v="Transfer"/>
    <n v="1"/>
    <n v="600"/>
    <n v="950"/>
    <n v="0.2"/>
    <x v="6"/>
    <n v="10"/>
    <n v="950"/>
    <n v="190"/>
    <n v="760"/>
    <n v="600"/>
    <n v="160"/>
    <n v="0.21052631578947367"/>
    <s v="Healthy"/>
    <s v="Safe"/>
    <n v="0.36842105263157893"/>
    <s v="Safe"/>
    <n v="350"/>
    <n v="0.36842105263157893"/>
  </r>
  <r>
    <s v="ORD-12513"/>
    <x v="240"/>
    <s v="P007"/>
    <x v="3"/>
    <s v="Beverages"/>
    <s v="Malt"/>
    <s v="Naija Malt"/>
    <s v="B03"/>
    <x v="6"/>
    <s v="Lagos"/>
    <x v="4"/>
    <s v="Walk-in"/>
    <s v="POS"/>
    <n v="2"/>
    <n v="550"/>
    <n v="850"/>
    <n v="0"/>
    <x v="3"/>
    <n v="7"/>
    <n v="1700"/>
    <n v="0"/>
    <n v="1700"/>
    <n v="1100"/>
    <n v="600"/>
    <n v="0.35294117647058826"/>
    <s v="Healthy"/>
    <s v="Safe"/>
    <n v="0.35294117647058826"/>
    <s v="Safe"/>
    <n v="300"/>
    <n v="0.35294117647058826"/>
  </r>
  <r>
    <s v="ORD-12514"/>
    <x v="230"/>
    <s v="P006"/>
    <x v="0"/>
    <s v="Beverages"/>
    <s v="Water"/>
    <s v="AquaPure"/>
    <s v="B03"/>
    <x v="6"/>
    <s v="Lagos"/>
    <x v="4"/>
    <s v="Walk-in"/>
    <s v="Cash"/>
    <n v="6"/>
    <n v="230"/>
    <n v="400"/>
    <n v="0"/>
    <x v="0"/>
    <n v="14"/>
    <n v="2400"/>
    <n v="0"/>
    <n v="2400"/>
    <n v="1380"/>
    <n v="1020"/>
    <n v="0.42499999999999999"/>
    <s v="Understocked"/>
    <s v="Safe"/>
    <n v="0.42499999999999999"/>
    <s v="Safe"/>
    <n v="170"/>
    <n v="0.42499999999999999"/>
  </r>
  <r>
    <s v="ORD-12515"/>
    <x v="41"/>
    <s v="P021"/>
    <x v="20"/>
    <s v="Office Supplies"/>
    <s v="Paper"/>
    <s v="OfficeMate"/>
    <s v="B01"/>
    <x v="2"/>
    <s v="Abuja"/>
    <x v="2"/>
    <s v="Walk-in"/>
    <s v="POS"/>
    <n v="2"/>
    <n v="5200"/>
    <n v="7000"/>
    <n v="0.15"/>
    <x v="5"/>
    <n v="2"/>
    <n v="14000"/>
    <n v="2100"/>
    <n v="11900"/>
    <n v="10400"/>
    <n v="1500"/>
    <n v="0.12605042016806722"/>
    <s v="Overstocked"/>
    <s v="Safe"/>
    <n v="0.25714285714285712"/>
    <s v="Safe"/>
    <n v="1800"/>
    <n v="0.25714285714285712"/>
  </r>
  <r>
    <s v="ORD-12516"/>
    <x v="253"/>
    <s v="P015"/>
    <x v="8"/>
    <s v="Personal Care"/>
    <s v="Bath"/>
    <s v="SilkyTouch"/>
    <s v="B03"/>
    <x v="6"/>
    <s v="Lagos"/>
    <x v="4"/>
    <s v="Member"/>
    <s v="Transfer"/>
    <n v="2"/>
    <n v="600"/>
    <n v="950"/>
    <n v="0.05"/>
    <x v="10"/>
    <n v="1"/>
    <n v="1900"/>
    <n v="95"/>
    <n v="1805"/>
    <n v="1200"/>
    <n v="605"/>
    <n v="0.33518005540166207"/>
    <s v="Healthy"/>
    <s v="Safe"/>
    <n v="0.36842105263157893"/>
    <s v="Safe"/>
    <n v="350"/>
    <n v="0.36842105263157893"/>
  </r>
  <r>
    <s v="ORD-12517"/>
    <x v="322"/>
    <s v="P005"/>
    <x v="2"/>
    <s v="Food"/>
    <s v="Snacks"/>
    <s v="CrispyBite"/>
    <s v="B03"/>
    <x v="6"/>
    <s v="Lagos"/>
    <x v="4"/>
    <s v="Corporate"/>
    <s v="Cash"/>
    <n v="3"/>
    <n v="850"/>
    <n v="1300"/>
    <n v="0"/>
    <x v="8"/>
    <n v="13"/>
    <n v="3900"/>
    <n v="0"/>
    <n v="3900"/>
    <n v="2550"/>
    <n v="1350"/>
    <n v="0.34615384615384615"/>
    <s v="Understocked"/>
    <s v="Safe"/>
    <n v="0.34615384615384615"/>
    <s v="Safe"/>
    <n v="450"/>
    <n v="0.34615384615384615"/>
  </r>
  <r>
    <s v="ORD-12518"/>
    <x v="278"/>
    <s v="P003"/>
    <x v="12"/>
    <s v="Food"/>
    <s v="Cooking Oil"/>
    <s v="SunGold"/>
    <s v="B06"/>
    <x v="1"/>
    <s v="Rivers"/>
    <x v="1"/>
    <s v="Member"/>
    <s v="Cash"/>
    <n v="2"/>
    <n v="7800"/>
    <n v="9800"/>
    <n v="0.1"/>
    <x v="9"/>
    <n v="4"/>
    <n v="19600"/>
    <n v="1960"/>
    <n v="17640"/>
    <n v="15600"/>
    <n v="2040"/>
    <n v="0.11564625850340136"/>
    <s v="Understocked"/>
    <s v="Safe"/>
    <n v="0.20408163265306123"/>
    <s v="Safe"/>
    <n v="2000"/>
    <n v="0.20408163265306123"/>
  </r>
  <r>
    <s v="ORD-12519"/>
    <x v="125"/>
    <s v="P023"/>
    <x v="6"/>
    <s v="Office Supplies"/>
    <s v="Stationery"/>
    <s v="StudyPro"/>
    <s v="B02"/>
    <x v="4"/>
    <s v="Abuja"/>
    <x v="2"/>
    <s v="Walk-in"/>
    <s v="POS"/>
    <n v="6"/>
    <n v="2800"/>
    <n v="4200"/>
    <n v="0.05"/>
    <x v="5"/>
    <n v="5"/>
    <n v="25200"/>
    <n v="1260"/>
    <n v="23940"/>
    <n v="16800"/>
    <n v="7140"/>
    <n v="0.2982456140350877"/>
    <s v="Understocked"/>
    <s v="Safe"/>
    <n v="0.33333333333333331"/>
    <s v="Safe"/>
    <n v="1400"/>
    <n v="0.33333333333333331"/>
  </r>
  <r>
    <s v="ORD-12520"/>
    <x v="165"/>
    <s v="P006"/>
    <x v="0"/>
    <s v="Beverages"/>
    <s v="Water"/>
    <s v="AquaPure"/>
    <s v="B07"/>
    <x v="3"/>
    <s v="Enugu"/>
    <x v="3"/>
    <s v="Walk-in"/>
    <s v="Cash"/>
    <n v="3"/>
    <n v="230"/>
    <n v="400"/>
    <n v="0.1"/>
    <x v="3"/>
    <n v="14"/>
    <n v="1200"/>
    <n v="120"/>
    <n v="1080"/>
    <n v="690"/>
    <n v="390"/>
    <n v="0.3611111111111111"/>
    <s v="Understocked"/>
    <s v="Safe"/>
    <n v="0.42499999999999999"/>
    <s v="Safe"/>
    <n v="170"/>
    <n v="0.42499999999999999"/>
  </r>
  <r>
    <s v="ORD-12521"/>
    <x v="223"/>
    <s v="P005"/>
    <x v="2"/>
    <s v="Food"/>
    <s v="Snacks"/>
    <s v="CrispyBite"/>
    <s v="B01"/>
    <x v="2"/>
    <s v="Abuja"/>
    <x v="2"/>
    <s v="Walk-in"/>
    <s v="Cash"/>
    <n v="2"/>
    <n v="850"/>
    <n v="1300"/>
    <n v="0.05"/>
    <x v="8"/>
    <n v="10"/>
    <n v="2600"/>
    <n v="130"/>
    <n v="2470"/>
    <n v="1700"/>
    <n v="770"/>
    <n v="0.31174089068825911"/>
    <s v="Understocked"/>
    <s v="Safe"/>
    <n v="0.34615384615384615"/>
    <s v="Safe"/>
    <n v="450"/>
    <n v="0.34615384615384615"/>
  </r>
  <r>
    <s v="ORD-12522"/>
    <x v="276"/>
    <s v="P014"/>
    <x v="15"/>
    <s v="Personal Care"/>
    <s v="Oral Care"/>
    <s v="FreshMint"/>
    <s v="B01"/>
    <x v="2"/>
    <s v="Abuja"/>
    <x v="2"/>
    <s v="Member"/>
    <s v="POS"/>
    <n v="1"/>
    <n v="1200"/>
    <n v="1900"/>
    <n v="0.15"/>
    <x v="6"/>
    <n v="3"/>
    <n v="1900"/>
    <n v="285"/>
    <n v="1615"/>
    <n v="1200"/>
    <n v="415"/>
    <n v="0.25696594427244585"/>
    <s v="Healthy"/>
    <s v="Safe"/>
    <n v="0.36842105263157893"/>
    <s v="Safe"/>
    <n v="700"/>
    <n v="0.36842105263157893"/>
  </r>
  <r>
    <s v="ORD-12523"/>
    <x v="358"/>
    <s v="P020"/>
    <x v="5"/>
    <s v="Electronics"/>
    <s v="Lighting"/>
    <s v="Luma"/>
    <s v="B08"/>
    <x v="7"/>
    <s v="Kwara"/>
    <x v="2"/>
    <s v="Walk-in"/>
    <s v="POS"/>
    <n v="2"/>
    <n v="1500"/>
    <n v="2500"/>
    <n v="0.05"/>
    <x v="12"/>
    <n v="10"/>
    <n v="5000"/>
    <n v="250"/>
    <n v="4750"/>
    <n v="3000"/>
    <n v="1750"/>
    <n v="0.36842105263157893"/>
    <s v="Healthy"/>
    <s v="Safe"/>
    <n v="0.4"/>
    <s v="Safe"/>
    <n v="1000"/>
    <n v="0.4"/>
  </r>
  <r>
    <s v="ORD-12524"/>
    <x v="361"/>
    <s v="P003"/>
    <x v="12"/>
    <s v="Food"/>
    <s v="Cooking Oil"/>
    <s v="SunGold"/>
    <s v="B08"/>
    <x v="7"/>
    <s v="Kwara"/>
    <x v="2"/>
    <s v="Member"/>
    <s v="POS"/>
    <n v="4"/>
    <n v="7800"/>
    <n v="9800"/>
    <n v="0"/>
    <x v="8"/>
    <n v="9"/>
    <n v="39200"/>
    <n v="0"/>
    <n v="39200"/>
    <n v="31200"/>
    <n v="8000"/>
    <n v="0.20408163265306123"/>
    <s v="Understocked"/>
    <s v="Safe"/>
    <n v="0.20408163265306123"/>
    <s v="Safe"/>
    <n v="2000"/>
    <n v="0.20408163265306123"/>
  </r>
  <r>
    <s v="ORD-12525"/>
    <x v="164"/>
    <s v="P024"/>
    <x v="19"/>
    <s v="Office Supplies"/>
    <s v="Accessories"/>
    <s v="ErgoDesk"/>
    <s v="B02"/>
    <x v="4"/>
    <s v="Abuja"/>
    <x v="2"/>
    <s v="Member"/>
    <s v="POS"/>
    <n v="1"/>
    <n v="1700"/>
    <n v="2800"/>
    <n v="0.15"/>
    <x v="5"/>
    <n v="2"/>
    <n v="2800"/>
    <n v="420"/>
    <n v="2380"/>
    <n v="1700"/>
    <n v="680"/>
    <n v="0.2857142857142857"/>
    <s v="Overstocked"/>
    <s v="Safe"/>
    <n v="0.39285714285714285"/>
    <s v="Safe"/>
    <n v="1100"/>
    <n v="0.39285714285714285"/>
  </r>
  <r>
    <s v="ORD-12526"/>
    <x v="276"/>
    <s v="P003"/>
    <x v="12"/>
    <s v="Food"/>
    <s v="Cooking Oil"/>
    <s v="SunGold"/>
    <s v="B07"/>
    <x v="3"/>
    <s v="Enugu"/>
    <x v="3"/>
    <s v="Member"/>
    <s v="Cash"/>
    <n v="2"/>
    <n v="7800"/>
    <n v="9800"/>
    <n v="0"/>
    <x v="1"/>
    <n v="2"/>
    <n v="19600"/>
    <n v="0"/>
    <n v="19600"/>
    <n v="15600"/>
    <n v="4000"/>
    <n v="0.20408163265306123"/>
    <s v="Understocked"/>
    <s v="Safe"/>
    <n v="0.20408163265306123"/>
    <s v="Safe"/>
    <n v="2000"/>
    <n v="0.20408163265306123"/>
  </r>
  <r>
    <s v="ORD-12527"/>
    <x v="284"/>
    <s v="P005"/>
    <x v="2"/>
    <s v="Food"/>
    <s v="Snacks"/>
    <s v="CrispyBite"/>
    <s v="B01"/>
    <x v="2"/>
    <s v="Abuja"/>
    <x v="2"/>
    <s v="Walk-in"/>
    <s v="POS"/>
    <n v="4"/>
    <n v="850"/>
    <n v="1300"/>
    <n v="0.1"/>
    <x v="9"/>
    <n v="3"/>
    <n v="5200"/>
    <n v="520"/>
    <n v="4680"/>
    <n v="3400"/>
    <n v="1280"/>
    <n v="0.27350427350427353"/>
    <s v="Understocked"/>
    <s v="Safe"/>
    <n v="0.34615384615384615"/>
    <s v="Safe"/>
    <n v="450"/>
    <n v="0.34615384615384615"/>
  </r>
  <r>
    <s v="ORD-12528"/>
    <x v="299"/>
    <s v="P014"/>
    <x v="15"/>
    <s v="Personal Care"/>
    <s v="Oral Care"/>
    <s v="FreshMint"/>
    <s v="B01"/>
    <x v="2"/>
    <s v="Abuja"/>
    <x v="2"/>
    <s v="Member"/>
    <s v="Cash"/>
    <n v="10"/>
    <n v="1200"/>
    <n v="1900"/>
    <n v="0.05"/>
    <x v="6"/>
    <n v="2"/>
    <n v="19000"/>
    <n v="950"/>
    <n v="18050"/>
    <n v="12000"/>
    <n v="6050"/>
    <n v="0.33518005540166207"/>
    <s v="Healthy"/>
    <s v="Safe"/>
    <n v="0.36842105263157893"/>
    <s v="Safe"/>
    <n v="700"/>
    <n v="0.36842105263157893"/>
  </r>
  <r>
    <s v="ORD-12529"/>
    <x v="116"/>
    <s v="P008"/>
    <x v="4"/>
    <s v="Beverages"/>
    <s v="Soft Drinks"/>
    <s v="Sparkle"/>
    <s v="B05"/>
    <x v="0"/>
    <s v="Kano"/>
    <x v="0"/>
    <s v="Corporate"/>
    <s v="Cash"/>
    <n v="2"/>
    <n v="330"/>
    <n v="550"/>
    <n v="0.15"/>
    <x v="0"/>
    <n v="4"/>
    <n v="1100"/>
    <n v="165"/>
    <n v="935"/>
    <n v="660"/>
    <n v="275"/>
    <n v="0.29411764705882354"/>
    <s v="Healthy"/>
    <s v="Safe"/>
    <n v="0.4"/>
    <s v="Safe"/>
    <n v="220"/>
    <n v="0.4"/>
  </r>
  <r>
    <s v="ORD-12530"/>
    <x v="218"/>
    <s v="P020"/>
    <x v="5"/>
    <s v="Electronics"/>
    <s v="Lighting"/>
    <s v="Luma"/>
    <s v="B03"/>
    <x v="6"/>
    <s v="Lagos"/>
    <x v="4"/>
    <s v="Walk-in"/>
    <s v="Cash"/>
    <n v="2"/>
    <n v="1500"/>
    <n v="2500"/>
    <n v="0.15"/>
    <x v="12"/>
    <n v="13"/>
    <n v="5000"/>
    <n v="750"/>
    <n v="4250"/>
    <n v="3000"/>
    <n v="1250"/>
    <n v="0.29411764705882354"/>
    <s v="Healthy"/>
    <s v="Safe"/>
    <n v="0.4"/>
    <s v="Safe"/>
    <n v="1000"/>
    <n v="0.4"/>
  </r>
  <r>
    <s v="ORD-12531"/>
    <x v="229"/>
    <s v="P022"/>
    <x v="17"/>
    <s v="Office Supplies"/>
    <s v="Writing"/>
    <s v="WriteWell"/>
    <s v="B04"/>
    <x v="5"/>
    <s v="Lagos"/>
    <x v="4"/>
    <s v="Corporate"/>
    <s v="Cash"/>
    <n v="3"/>
    <n v="1300"/>
    <n v="2100"/>
    <n v="0"/>
    <x v="5"/>
    <n v="5"/>
    <n v="6300"/>
    <n v="0"/>
    <n v="6300"/>
    <n v="3900"/>
    <n v="2400"/>
    <n v="0.38095238095238093"/>
    <s v="Understocked"/>
    <s v="Safe"/>
    <n v="0.38095238095238093"/>
    <s v="Safe"/>
    <n v="800"/>
    <n v="0.38095238095238093"/>
  </r>
  <r>
    <s v="ORD-12532"/>
    <x v="320"/>
    <s v="P004"/>
    <x v="1"/>
    <s v="Beverages"/>
    <s v="Dairy"/>
    <s v="FreshDay"/>
    <s v="B03"/>
    <x v="6"/>
    <s v="Lagos"/>
    <x v="4"/>
    <s v="Walk-in"/>
    <s v="POS"/>
    <n v="6"/>
    <n v="1650"/>
    <n v="2200"/>
    <n v="0"/>
    <x v="3"/>
    <n v="6"/>
    <n v="13200"/>
    <n v="0"/>
    <n v="13200"/>
    <n v="9900"/>
    <n v="3300"/>
    <n v="0.25"/>
    <s v="Understocked"/>
    <s v="Safe"/>
    <n v="0.25"/>
    <s v="Safe"/>
    <n v="550"/>
    <n v="0.25"/>
  </r>
  <r>
    <s v="ORD-12533"/>
    <x v="91"/>
    <s v="P014"/>
    <x v="15"/>
    <s v="Personal Care"/>
    <s v="Oral Care"/>
    <s v="FreshMint"/>
    <s v="B08"/>
    <x v="7"/>
    <s v="Kwara"/>
    <x v="2"/>
    <s v="Walk-in"/>
    <s v="POS"/>
    <n v="1"/>
    <n v="1200"/>
    <n v="1900"/>
    <n v="0"/>
    <x v="11"/>
    <n v="3"/>
    <n v="1900"/>
    <n v="0"/>
    <n v="1900"/>
    <n v="1200"/>
    <n v="700"/>
    <n v="0.36842105263157893"/>
    <s v="Healthy"/>
    <s v="Safe"/>
    <n v="0.36842105263157893"/>
    <s v="Safe"/>
    <n v="700"/>
    <n v="0.36842105263157893"/>
  </r>
  <r>
    <s v="ORD-12534"/>
    <x v="93"/>
    <s v="P016"/>
    <x v="7"/>
    <s v="Personal Care"/>
    <s v="Fragrance"/>
    <s v="RoyalScent"/>
    <s v="B04"/>
    <x v="5"/>
    <s v="Lagos"/>
    <x v="4"/>
    <s v="Walk-in"/>
    <s v="Transfer"/>
    <n v="2"/>
    <n v="8500"/>
    <n v="12500"/>
    <n v="0"/>
    <x v="11"/>
    <n v="12"/>
    <n v="25000"/>
    <n v="0"/>
    <n v="25000"/>
    <n v="17000"/>
    <n v="8000"/>
    <n v="0.32"/>
    <s v="Overstocked"/>
    <s v="Safe"/>
    <n v="0.32"/>
    <s v="Safe"/>
    <n v="4000"/>
    <n v="0.32"/>
  </r>
  <r>
    <s v="ORD-12535"/>
    <x v="296"/>
    <s v="P008"/>
    <x v="4"/>
    <s v="Beverages"/>
    <s v="Soft Drinks"/>
    <s v="Sparkle"/>
    <s v="B04"/>
    <x v="5"/>
    <s v="Lagos"/>
    <x v="4"/>
    <s v="Walk-in"/>
    <s v="POS"/>
    <n v="4"/>
    <n v="330"/>
    <n v="550"/>
    <n v="0"/>
    <x v="2"/>
    <n v="7"/>
    <n v="2200"/>
    <n v="0"/>
    <n v="2200"/>
    <n v="1320"/>
    <n v="880"/>
    <n v="0.4"/>
    <s v="Healthy"/>
    <s v="Safe"/>
    <n v="0.4"/>
    <s v="Safe"/>
    <n v="220"/>
    <n v="0.4"/>
  </r>
  <r>
    <s v="ORD-12536"/>
    <x v="74"/>
    <s v="P010"/>
    <x v="22"/>
    <s v="Household"/>
    <s v="Paper Products"/>
    <s v="SoftCare"/>
    <s v="B08"/>
    <x v="7"/>
    <s v="Kwara"/>
    <x v="2"/>
    <s v="Walk-in"/>
    <s v="POS"/>
    <n v="2"/>
    <n v="3200"/>
    <n v="4500"/>
    <n v="0"/>
    <x v="1"/>
    <n v="12"/>
    <n v="9000"/>
    <n v="0"/>
    <n v="9000"/>
    <n v="6400"/>
    <n v="2600"/>
    <n v="0.28888888888888886"/>
    <s v="Healthy"/>
    <s v="Safe"/>
    <n v="0.28888888888888886"/>
    <s v="Safe"/>
    <n v="1300"/>
    <n v="0.28888888888888886"/>
  </r>
  <r>
    <s v="ORD-12537"/>
    <x v="281"/>
    <s v="P008"/>
    <x v="4"/>
    <s v="Beverages"/>
    <s v="Soft Drinks"/>
    <s v="Sparkle"/>
    <s v="B08"/>
    <x v="7"/>
    <s v="Kwara"/>
    <x v="2"/>
    <s v="Walk-in"/>
    <s v="Transfer"/>
    <n v="6"/>
    <n v="330"/>
    <n v="550"/>
    <n v="0"/>
    <x v="3"/>
    <n v="14"/>
    <n v="3300"/>
    <n v="0"/>
    <n v="3300"/>
    <n v="1980"/>
    <n v="1320"/>
    <n v="0.4"/>
    <s v="Healthy"/>
    <s v="Safe"/>
    <n v="0.4"/>
    <s v="Safe"/>
    <n v="220"/>
    <n v="0.4"/>
  </r>
  <r>
    <s v="ORD-12538"/>
    <x v="332"/>
    <s v="P013"/>
    <x v="11"/>
    <s v="Personal Care"/>
    <s v="Skin Care"/>
    <s v="GlowPlus"/>
    <s v="B01"/>
    <x v="2"/>
    <s v="Abuja"/>
    <x v="2"/>
    <s v="Member"/>
    <s v="Transfer"/>
    <n v="1"/>
    <n v="3500"/>
    <n v="5200"/>
    <n v="0.05"/>
    <x v="11"/>
    <n v="1"/>
    <n v="5200"/>
    <n v="260"/>
    <n v="4940"/>
    <n v="3500"/>
    <n v="1440"/>
    <n v="0.291497975708502"/>
    <s v="Healthy"/>
    <s v="Safe"/>
    <n v="0.32692307692307693"/>
    <s v="Safe"/>
    <n v="1700"/>
    <n v="0.32692307692307693"/>
  </r>
  <r>
    <s v="ORD-12539"/>
    <x v="360"/>
    <s v="P008"/>
    <x v="4"/>
    <s v="Beverages"/>
    <s v="Soft Drinks"/>
    <s v="Sparkle"/>
    <s v="B05"/>
    <x v="0"/>
    <s v="Kano"/>
    <x v="0"/>
    <s v="Member"/>
    <s v="Card"/>
    <n v="1"/>
    <n v="330"/>
    <n v="550"/>
    <n v="0.15"/>
    <x v="3"/>
    <n v="1"/>
    <n v="550"/>
    <n v="82.5"/>
    <n v="467.5"/>
    <n v="330"/>
    <n v="137.5"/>
    <n v="0.29411764705882354"/>
    <s v="Healthy"/>
    <s v="Safe"/>
    <n v="0.4"/>
    <s v="Safe"/>
    <n v="220"/>
    <n v="0.4"/>
  </r>
  <r>
    <s v="ORD-12540"/>
    <x v="175"/>
    <s v="P009"/>
    <x v="13"/>
    <s v="Household"/>
    <s v="Cleaning"/>
    <s v="BrightWash"/>
    <s v="B08"/>
    <x v="7"/>
    <s v="Kwara"/>
    <x v="2"/>
    <s v="Walk-in"/>
    <s v="POS"/>
    <n v="2"/>
    <n v="2400"/>
    <n v="3400"/>
    <n v="0"/>
    <x v="10"/>
    <n v="13"/>
    <n v="6800"/>
    <n v="0"/>
    <n v="6800"/>
    <n v="4800"/>
    <n v="2000"/>
    <n v="0.29411764705882354"/>
    <s v="Healthy"/>
    <s v="Safe"/>
    <n v="0.29411764705882354"/>
    <s v="Safe"/>
    <n v="1000"/>
    <n v="0.29411764705882354"/>
  </r>
  <r>
    <s v="ORD-12541"/>
    <x v="291"/>
    <s v="P001"/>
    <x v="14"/>
    <s v="Food"/>
    <s v="Grains"/>
    <s v="Golden Harvest"/>
    <s v="B05"/>
    <x v="0"/>
    <s v="Kano"/>
    <x v="0"/>
    <s v="Member"/>
    <s v="POS"/>
    <n v="5"/>
    <n v="14500"/>
    <n v="17500"/>
    <n v="0.05"/>
    <x v="9"/>
    <n v="8"/>
    <n v="87500"/>
    <n v="4375"/>
    <n v="83125"/>
    <n v="72500"/>
    <n v="10625"/>
    <n v="0.12781954887218044"/>
    <s v="Understocked"/>
    <s v="Safe"/>
    <n v="0.17142857142857143"/>
    <s v="Safe"/>
    <n v="3000"/>
    <n v="0.17142857142857143"/>
  </r>
  <r>
    <s v="ORD-12542"/>
    <x v="211"/>
    <s v="P001"/>
    <x v="14"/>
    <s v="Food"/>
    <s v="Grains"/>
    <s v="Golden Harvest"/>
    <s v="B03"/>
    <x v="6"/>
    <s v="Lagos"/>
    <x v="4"/>
    <s v="Walk-in"/>
    <s v="POS"/>
    <n v="1"/>
    <n v="14500"/>
    <n v="17500"/>
    <n v="0.1"/>
    <x v="1"/>
    <n v="3"/>
    <n v="17500"/>
    <n v="1750"/>
    <n v="15750"/>
    <n v="14500"/>
    <n v="1250"/>
    <n v="7.9365079365079361E-2"/>
    <s v="Understocked"/>
    <s v="Safe"/>
    <n v="0.17142857142857143"/>
    <s v="Safe"/>
    <n v="3000"/>
    <n v="0.17142857142857143"/>
  </r>
  <r>
    <s v="ORD-12543"/>
    <x v="81"/>
    <s v="P010"/>
    <x v="22"/>
    <s v="Household"/>
    <s v="Paper Products"/>
    <s v="SoftCare"/>
    <s v="B02"/>
    <x v="4"/>
    <s v="Abuja"/>
    <x v="2"/>
    <s v="Walk-in"/>
    <s v="Transfer"/>
    <n v="3"/>
    <n v="3200"/>
    <n v="4500"/>
    <n v="0"/>
    <x v="7"/>
    <n v="9"/>
    <n v="13500"/>
    <n v="0"/>
    <n v="13500"/>
    <n v="9600"/>
    <n v="3900"/>
    <n v="0.28888888888888886"/>
    <s v="Healthy"/>
    <s v="Safe"/>
    <n v="0.28888888888888886"/>
    <s v="Safe"/>
    <n v="1300"/>
    <n v="0.28888888888888886"/>
  </r>
  <r>
    <s v="ORD-12544"/>
    <x v="48"/>
    <s v="P011"/>
    <x v="9"/>
    <s v="Household"/>
    <s v="Cleaning"/>
    <s v="CleanPro"/>
    <s v="B03"/>
    <x v="6"/>
    <s v="Lagos"/>
    <x v="4"/>
    <s v="Member"/>
    <s v="POS"/>
    <n v="1"/>
    <n v="2800"/>
    <n v="3900"/>
    <n v="0"/>
    <x v="10"/>
    <n v="10"/>
    <n v="3900"/>
    <n v="0"/>
    <n v="3900"/>
    <n v="2800"/>
    <n v="1100"/>
    <n v="0.28205128205128205"/>
    <s v="Healthy"/>
    <s v="Safe"/>
    <n v="0.28205128205128205"/>
    <s v="Safe"/>
    <n v="1100"/>
    <n v="0.28205128205128205"/>
  </r>
  <r>
    <s v="ORD-12545"/>
    <x v="32"/>
    <s v="P007"/>
    <x v="3"/>
    <s v="Beverages"/>
    <s v="Malt"/>
    <s v="Naija Malt"/>
    <s v="B06"/>
    <x v="1"/>
    <s v="Rivers"/>
    <x v="1"/>
    <s v="Walk-in"/>
    <s v="Cash"/>
    <n v="4"/>
    <n v="550"/>
    <n v="850"/>
    <n v="0.2"/>
    <x v="2"/>
    <n v="4"/>
    <n v="3400"/>
    <n v="680"/>
    <n v="2720"/>
    <n v="2200"/>
    <n v="520"/>
    <n v="0.19117647058823528"/>
    <s v="Healthy"/>
    <s v="Safe"/>
    <n v="0.35294117647058826"/>
    <s v="Safe"/>
    <n v="300"/>
    <n v="0.35294117647058826"/>
  </r>
  <r>
    <s v="ORD-12546"/>
    <x v="240"/>
    <s v="P022"/>
    <x v="17"/>
    <s v="Office Supplies"/>
    <s v="Writing"/>
    <s v="WriteWell"/>
    <s v="B02"/>
    <x v="4"/>
    <s v="Abuja"/>
    <x v="2"/>
    <s v="Corporate"/>
    <s v="Cash"/>
    <n v="3"/>
    <n v="1300"/>
    <n v="2100"/>
    <n v="0.1"/>
    <x v="14"/>
    <n v="5"/>
    <n v="6300"/>
    <n v="630"/>
    <n v="5670"/>
    <n v="3900"/>
    <n v="1770"/>
    <n v="0.31216931216931215"/>
    <s v="Understocked"/>
    <s v="Safe"/>
    <n v="0.38095238095238093"/>
    <s v="Safe"/>
    <n v="800"/>
    <n v="0.38095238095238093"/>
  </r>
  <r>
    <s v="ORD-12547"/>
    <x v="326"/>
    <s v="P022"/>
    <x v="17"/>
    <s v="Office Supplies"/>
    <s v="Writing"/>
    <s v="WriteWell"/>
    <s v="B03"/>
    <x v="6"/>
    <s v="Lagos"/>
    <x v="4"/>
    <s v="Member"/>
    <s v="Transfer"/>
    <n v="3"/>
    <n v="1300"/>
    <n v="2100"/>
    <n v="0.2"/>
    <x v="15"/>
    <n v="1"/>
    <n v="6300"/>
    <n v="1260"/>
    <n v="5040"/>
    <n v="3900"/>
    <n v="1140"/>
    <n v="0.22619047619047619"/>
    <s v="Understocked"/>
    <s v="Safe"/>
    <n v="0.38095238095238093"/>
    <s v="Safe"/>
    <n v="800"/>
    <n v="0.38095238095238093"/>
  </r>
  <r>
    <s v="ORD-12548"/>
    <x v="47"/>
    <s v="P001"/>
    <x v="14"/>
    <s v="Food"/>
    <s v="Grains"/>
    <s v="Golden Harvest"/>
    <s v="B01"/>
    <x v="2"/>
    <s v="Abuja"/>
    <x v="2"/>
    <s v="Walk-in"/>
    <s v="POS"/>
    <n v="6"/>
    <n v="14500"/>
    <n v="17500"/>
    <n v="0"/>
    <x v="8"/>
    <n v="4"/>
    <n v="105000"/>
    <n v="0"/>
    <n v="105000"/>
    <n v="87000"/>
    <n v="18000"/>
    <n v="0.17142857142857143"/>
    <s v="Understocked"/>
    <s v="Safe"/>
    <n v="0.17142857142857143"/>
    <s v="Safe"/>
    <n v="3000"/>
    <n v="0.17142857142857143"/>
  </r>
  <r>
    <s v="ORD-12549"/>
    <x v="290"/>
    <s v="P006"/>
    <x v="0"/>
    <s v="Beverages"/>
    <s v="Water"/>
    <s v="AquaPure"/>
    <s v="B06"/>
    <x v="1"/>
    <s v="Rivers"/>
    <x v="1"/>
    <s v="Member"/>
    <s v="POS"/>
    <n v="5"/>
    <n v="230"/>
    <n v="400"/>
    <n v="0.05"/>
    <x v="2"/>
    <n v="5"/>
    <n v="2000"/>
    <n v="100"/>
    <n v="1900"/>
    <n v="1150"/>
    <n v="750"/>
    <n v="0.39473684210526316"/>
    <s v="Understocked"/>
    <s v="Safe"/>
    <n v="0.42499999999999999"/>
    <s v="Safe"/>
    <n v="170"/>
    <n v="0.42499999999999999"/>
  </r>
  <r>
    <s v="ORD-12550"/>
    <x v="78"/>
    <s v="P018"/>
    <x v="16"/>
    <s v="Electronics"/>
    <s v="Mobile Accessories"/>
    <s v="VoltSafe"/>
    <s v="B03"/>
    <x v="6"/>
    <s v="Lagos"/>
    <x v="4"/>
    <s v="Walk-in"/>
    <s v="Cash"/>
    <n v="6"/>
    <n v="18000"/>
    <n v="24500"/>
    <n v="0"/>
    <x v="12"/>
    <n v="11"/>
    <n v="147000"/>
    <n v="0"/>
    <n v="147000"/>
    <n v="108000"/>
    <n v="39000"/>
    <n v="0.26530612244897961"/>
    <s v="Understocked"/>
    <s v="Safe"/>
    <n v="0.26530612244897961"/>
    <s v="Safe"/>
    <n v="6500"/>
    <n v="0.26530612244897961"/>
  </r>
  <r>
    <s v="ORD-12551"/>
    <x v="189"/>
    <s v="P005"/>
    <x v="2"/>
    <s v="Food"/>
    <s v="Snacks"/>
    <s v="CrispyBite"/>
    <s v="B03"/>
    <x v="6"/>
    <s v="Lagos"/>
    <x v="4"/>
    <s v="Member"/>
    <s v="POS"/>
    <n v="4"/>
    <n v="850"/>
    <n v="1300"/>
    <n v="0.05"/>
    <x v="9"/>
    <n v="11"/>
    <n v="5200"/>
    <n v="260"/>
    <n v="4940"/>
    <n v="3400"/>
    <n v="1540"/>
    <n v="0.31174089068825911"/>
    <s v="Understocked"/>
    <s v="Safe"/>
    <n v="0.34615384615384615"/>
    <s v="Safe"/>
    <n v="450"/>
    <n v="0.34615384615384615"/>
  </r>
  <r>
    <s v="ORD-12552"/>
    <x v="299"/>
    <s v="P010"/>
    <x v="22"/>
    <s v="Household"/>
    <s v="Paper Products"/>
    <s v="SoftCare"/>
    <s v="B06"/>
    <x v="1"/>
    <s v="Rivers"/>
    <x v="1"/>
    <s v="Member"/>
    <s v="POS"/>
    <n v="4"/>
    <n v="3200"/>
    <n v="4500"/>
    <n v="0"/>
    <x v="1"/>
    <n v="8"/>
    <n v="18000"/>
    <n v="0"/>
    <n v="18000"/>
    <n v="12800"/>
    <n v="5200"/>
    <n v="0.28888888888888886"/>
    <s v="Healthy"/>
    <s v="Safe"/>
    <n v="0.28888888888888886"/>
    <s v="Safe"/>
    <n v="1300"/>
    <n v="0.28888888888888886"/>
  </r>
  <r>
    <s v="ORD-12553"/>
    <x v="197"/>
    <s v="P019"/>
    <x v="18"/>
    <s v="Electronics"/>
    <s v="Audio"/>
    <s v="SoundBeat"/>
    <s v="B03"/>
    <x v="6"/>
    <s v="Lagos"/>
    <x v="4"/>
    <s v="Walk-in"/>
    <s v="Transfer"/>
    <n v="3"/>
    <n v="12500"/>
    <n v="18500"/>
    <n v="0.05"/>
    <x v="13"/>
    <n v="8"/>
    <n v="55500"/>
    <n v="2775"/>
    <n v="52725"/>
    <n v="37500"/>
    <n v="15225"/>
    <n v="0.28876244665718348"/>
    <s v="Understocked"/>
    <s v="Safe"/>
    <n v="0.32432432432432434"/>
    <s v="Safe"/>
    <n v="6000"/>
    <n v="0.32432432432432434"/>
  </r>
  <r>
    <s v="ORD-12554"/>
    <x v="351"/>
    <s v="P010"/>
    <x v="22"/>
    <s v="Household"/>
    <s v="Paper Products"/>
    <s v="SoftCare"/>
    <s v="B06"/>
    <x v="1"/>
    <s v="Rivers"/>
    <x v="1"/>
    <s v="Walk-in"/>
    <s v="POS"/>
    <n v="1"/>
    <n v="3200"/>
    <n v="4500"/>
    <n v="0.1"/>
    <x v="7"/>
    <n v="14"/>
    <n v="4500"/>
    <n v="450"/>
    <n v="4050"/>
    <n v="3200"/>
    <n v="850"/>
    <n v="0.20987654320987653"/>
    <s v="Healthy"/>
    <s v="Safe"/>
    <n v="0.28888888888888886"/>
    <s v="Safe"/>
    <n v="1300"/>
    <n v="0.28888888888888886"/>
  </r>
  <r>
    <s v="ORD-12555"/>
    <x v="337"/>
    <s v="P010"/>
    <x v="22"/>
    <s v="Household"/>
    <s v="Paper Products"/>
    <s v="SoftCare"/>
    <s v="B01"/>
    <x v="2"/>
    <s v="Abuja"/>
    <x v="2"/>
    <s v="Walk-in"/>
    <s v="POS"/>
    <n v="2"/>
    <n v="3200"/>
    <n v="4500"/>
    <n v="0.15"/>
    <x v="10"/>
    <n v="1"/>
    <n v="9000"/>
    <n v="1350"/>
    <n v="7650"/>
    <n v="6400"/>
    <n v="1250"/>
    <n v="0.16339869281045752"/>
    <s v="Healthy"/>
    <s v="Safe"/>
    <n v="0.28888888888888886"/>
    <s v="Safe"/>
    <n v="1300"/>
    <n v="0.28888888888888886"/>
  </r>
  <r>
    <s v="ORD-12556"/>
    <x v="121"/>
    <s v="P007"/>
    <x v="3"/>
    <s v="Beverages"/>
    <s v="Malt"/>
    <s v="Naija Malt"/>
    <s v="B03"/>
    <x v="6"/>
    <s v="Lagos"/>
    <x v="4"/>
    <s v="Walk-in"/>
    <s v="Transfer"/>
    <n v="2"/>
    <n v="550"/>
    <n v="850"/>
    <n v="0.05"/>
    <x v="3"/>
    <n v="2"/>
    <n v="1700"/>
    <n v="85"/>
    <n v="1615"/>
    <n v="1100"/>
    <n v="515"/>
    <n v="0.31888544891640869"/>
    <s v="Healthy"/>
    <s v="Safe"/>
    <n v="0.35294117647058826"/>
    <s v="Safe"/>
    <n v="300"/>
    <n v="0.35294117647058826"/>
  </r>
  <r>
    <s v="ORD-12557"/>
    <x v="81"/>
    <s v="P008"/>
    <x v="4"/>
    <s v="Beverages"/>
    <s v="Soft Drinks"/>
    <s v="Sparkle"/>
    <s v="B01"/>
    <x v="2"/>
    <s v="Abuja"/>
    <x v="2"/>
    <s v="Walk-in"/>
    <s v="POS"/>
    <n v="2"/>
    <n v="330"/>
    <n v="550"/>
    <n v="0.1"/>
    <x v="0"/>
    <n v="1"/>
    <n v="1100"/>
    <n v="110"/>
    <n v="990"/>
    <n v="660"/>
    <n v="330"/>
    <n v="0.33333333333333331"/>
    <s v="Healthy"/>
    <s v="Safe"/>
    <n v="0.4"/>
    <s v="Safe"/>
    <n v="220"/>
    <n v="0.4"/>
  </r>
  <r>
    <s v="ORD-12558"/>
    <x v="158"/>
    <s v="P013"/>
    <x v="11"/>
    <s v="Personal Care"/>
    <s v="Skin Care"/>
    <s v="GlowPlus"/>
    <s v="B04"/>
    <x v="5"/>
    <s v="Lagos"/>
    <x v="4"/>
    <s v="Member"/>
    <s v="Cash"/>
    <n v="1"/>
    <n v="3500"/>
    <n v="5200"/>
    <n v="0.1"/>
    <x v="10"/>
    <n v="14"/>
    <n v="5200"/>
    <n v="520"/>
    <n v="4680"/>
    <n v="3500"/>
    <n v="1180"/>
    <n v="0.25213675213675213"/>
    <s v="Healthy"/>
    <s v="Safe"/>
    <n v="0.32692307692307693"/>
    <s v="Safe"/>
    <n v="1700"/>
    <n v="0.32692307692307693"/>
  </r>
  <r>
    <s v="ORD-12559"/>
    <x v="179"/>
    <s v="P006"/>
    <x v="0"/>
    <s v="Beverages"/>
    <s v="Water"/>
    <s v="AquaPure"/>
    <s v="B06"/>
    <x v="1"/>
    <s v="Rivers"/>
    <x v="1"/>
    <s v="Walk-in"/>
    <s v="POS"/>
    <n v="3"/>
    <n v="230"/>
    <n v="400"/>
    <n v="0.15"/>
    <x v="3"/>
    <n v="9"/>
    <n v="1200"/>
    <n v="180"/>
    <n v="1020"/>
    <n v="690"/>
    <n v="330"/>
    <n v="0.3235294117647059"/>
    <s v="Understocked"/>
    <s v="Safe"/>
    <n v="0.42499999999999999"/>
    <s v="Safe"/>
    <n v="170"/>
    <n v="0.42499999999999999"/>
  </r>
  <r>
    <s v="ORD-12560"/>
    <x v="265"/>
    <s v="P005"/>
    <x v="2"/>
    <s v="Food"/>
    <s v="Snacks"/>
    <s v="CrispyBite"/>
    <s v="B02"/>
    <x v="4"/>
    <s v="Abuja"/>
    <x v="2"/>
    <s v="Walk-in"/>
    <s v="POS"/>
    <n v="2"/>
    <n v="850"/>
    <n v="1300"/>
    <n v="0"/>
    <x v="8"/>
    <n v="2"/>
    <n v="2600"/>
    <n v="0"/>
    <n v="2600"/>
    <n v="1700"/>
    <n v="900"/>
    <n v="0.34615384615384615"/>
    <s v="Understocked"/>
    <s v="Safe"/>
    <n v="0.34615384615384615"/>
    <s v="Safe"/>
    <n v="450"/>
    <n v="0.34615384615384615"/>
  </r>
  <r>
    <s v="ORD-12561"/>
    <x v="94"/>
    <s v="P006"/>
    <x v="0"/>
    <s v="Beverages"/>
    <s v="Water"/>
    <s v="AquaPure"/>
    <s v="B06"/>
    <x v="1"/>
    <s v="Rivers"/>
    <x v="1"/>
    <s v="Walk-in"/>
    <s v="Cash"/>
    <n v="2"/>
    <n v="230"/>
    <n v="400"/>
    <n v="0.2"/>
    <x v="0"/>
    <n v="6"/>
    <n v="800"/>
    <n v="160"/>
    <n v="640"/>
    <n v="460"/>
    <n v="180"/>
    <n v="0.28125"/>
    <s v="Understocked"/>
    <s v="Safe"/>
    <n v="0.42499999999999999"/>
    <s v="Safe"/>
    <n v="170"/>
    <n v="0.42499999999999999"/>
  </r>
  <r>
    <s v="ORD-12562"/>
    <x v="65"/>
    <s v="P020"/>
    <x v="5"/>
    <s v="Electronics"/>
    <s v="Lighting"/>
    <s v="Luma"/>
    <s v="B04"/>
    <x v="5"/>
    <s v="Lagos"/>
    <x v="4"/>
    <s v="Walk-in"/>
    <s v="POS"/>
    <n v="1"/>
    <n v="1500"/>
    <n v="2500"/>
    <n v="0"/>
    <x v="4"/>
    <n v="3"/>
    <n v="2500"/>
    <n v="0"/>
    <n v="2500"/>
    <n v="1500"/>
    <n v="1000"/>
    <n v="0.4"/>
    <s v="Healthy"/>
    <s v="Safe"/>
    <n v="0.4"/>
    <s v="Safe"/>
    <n v="1000"/>
    <n v="0.4"/>
  </r>
  <r>
    <s v="ORD-12563"/>
    <x v="126"/>
    <s v="P008"/>
    <x v="4"/>
    <s v="Beverages"/>
    <s v="Soft Drinks"/>
    <s v="Sparkle"/>
    <s v="B02"/>
    <x v="4"/>
    <s v="Abuja"/>
    <x v="2"/>
    <s v="Walk-in"/>
    <s v="POS"/>
    <n v="4"/>
    <n v="330"/>
    <n v="550"/>
    <n v="0"/>
    <x v="0"/>
    <n v="10"/>
    <n v="2200"/>
    <n v="0"/>
    <n v="2200"/>
    <n v="1320"/>
    <n v="880"/>
    <n v="0.4"/>
    <s v="Healthy"/>
    <s v="Safe"/>
    <n v="0.4"/>
    <s v="Safe"/>
    <n v="220"/>
    <n v="0.4"/>
  </r>
  <r>
    <s v="ORD-12564"/>
    <x v="184"/>
    <s v="P022"/>
    <x v="17"/>
    <s v="Office Supplies"/>
    <s v="Writing"/>
    <s v="WriteWell"/>
    <s v="B07"/>
    <x v="3"/>
    <s v="Enugu"/>
    <x v="3"/>
    <s v="Member"/>
    <s v="POS"/>
    <n v="2"/>
    <n v="1300"/>
    <n v="2100"/>
    <n v="0.05"/>
    <x v="15"/>
    <n v="1"/>
    <n v="4200"/>
    <n v="210"/>
    <n v="3990"/>
    <n v="2600"/>
    <n v="1390"/>
    <n v="0.34837092731829572"/>
    <s v="Understocked"/>
    <s v="Safe"/>
    <n v="0.38095238095238093"/>
    <s v="Safe"/>
    <n v="800"/>
    <n v="0.38095238095238093"/>
  </r>
  <r>
    <s v="ORD-12565"/>
    <x v="171"/>
    <s v="P012"/>
    <x v="21"/>
    <s v="Household"/>
    <s v="Home Care"/>
    <s v="HomeFresh"/>
    <s v="B03"/>
    <x v="6"/>
    <s v="Lagos"/>
    <x v="4"/>
    <s v="Member"/>
    <s v="Transfer"/>
    <n v="6"/>
    <n v="1700"/>
    <n v="2600"/>
    <n v="0.1"/>
    <x v="7"/>
    <n v="8"/>
    <n v="15600"/>
    <n v="1560"/>
    <n v="14040"/>
    <n v="10200"/>
    <n v="3840"/>
    <n v="0.27350427350427353"/>
    <s v="Overstocked"/>
    <s v="Safe"/>
    <n v="0.34615384615384615"/>
    <s v="Safe"/>
    <n v="900"/>
    <n v="0.34615384615384615"/>
  </r>
  <r>
    <s v="ORD-12566"/>
    <x v="64"/>
    <s v="P011"/>
    <x v="9"/>
    <s v="Household"/>
    <s v="Cleaning"/>
    <s v="CleanPro"/>
    <s v="B07"/>
    <x v="3"/>
    <s v="Enugu"/>
    <x v="3"/>
    <s v="Walk-in"/>
    <s v="POS"/>
    <n v="1"/>
    <n v="2800"/>
    <n v="3900"/>
    <n v="0"/>
    <x v="7"/>
    <n v="2"/>
    <n v="3900"/>
    <n v="0"/>
    <n v="3900"/>
    <n v="2800"/>
    <n v="1100"/>
    <n v="0.28205128205128205"/>
    <s v="Healthy"/>
    <s v="Safe"/>
    <n v="0.28205128205128205"/>
    <s v="Safe"/>
    <n v="1100"/>
    <n v="0.28205128205128205"/>
  </r>
  <r>
    <s v="ORD-12567"/>
    <x v="140"/>
    <s v="P011"/>
    <x v="9"/>
    <s v="Household"/>
    <s v="Cleaning"/>
    <s v="CleanPro"/>
    <s v="B07"/>
    <x v="3"/>
    <s v="Enugu"/>
    <x v="3"/>
    <s v="Member"/>
    <s v="POS"/>
    <n v="2"/>
    <n v="2800"/>
    <n v="3900"/>
    <n v="0"/>
    <x v="10"/>
    <n v="4"/>
    <n v="7800"/>
    <n v="0"/>
    <n v="7800"/>
    <n v="5600"/>
    <n v="2200"/>
    <n v="0.28205128205128205"/>
    <s v="Healthy"/>
    <s v="Safe"/>
    <n v="0.28205128205128205"/>
    <s v="Safe"/>
    <n v="1100"/>
    <n v="0.28205128205128205"/>
  </r>
  <r>
    <s v="ORD-12568"/>
    <x v="148"/>
    <s v="P015"/>
    <x v="8"/>
    <s v="Personal Care"/>
    <s v="Bath"/>
    <s v="SilkyTouch"/>
    <s v="B08"/>
    <x v="7"/>
    <s v="Kwara"/>
    <x v="2"/>
    <s v="Walk-in"/>
    <s v="Cash"/>
    <n v="1"/>
    <n v="600"/>
    <n v="950"/>
    <n v="0"/>
    <x v="10"/>
    <n v="13"/>
    <n v="950"/>
    <n v="0"/>
    <n v="950"/>
    <n v="600"/>
    <n v="350"/>
    <n v="0.36842105263157893"/>
    <s v="Healthy"/>
    <s v="Safe"/>
    <n v="0.36842105263157893"/>
    <s v="Safe"/>
    <n v="350"/>
    <n v="0.36842105263157893"/>
  </r>
  <r>
    <s v="ORD-12569"/>
    <x v="193"/>
    <s v="P001"/>
    <x v="14"/>
    <s v="Food"/>
    <s v="Grains"/>
    <s v="Golden Harvest"/>
    <s v="B02"/>
    <x v="4"/>
    <s v="Abuja"/>
    <x v="2"/>
    <s v="Walk-in"/>
    <s v="POS"/>
    <n v="2"/>
    <n v="14500"/>
    <n v="17500"/>
    <n v="0.1"/>
    <x v="1"/>
    <n v="4"/>
    <n v="35000"/>
    <n v="3500"/>
    <n v="31500"/>
    <n v="29000"/>
    <n v="2500"/>
    <n v="7.9365079365079361E-2"/>
    <s v="Understocked"/>
    <s v="Safe"/>
    <n v="0.17142857142857143"/>
    <s v="Safe"/>
    <n v="3000"/>
    <n v="0.17142857142857143"/>
  </r>
  <r>
    <s v="ORD-12570"/>
    <x v="107"/>
    <s v="P005"/>
    <x v="2"/>
    <s v="Food"/>
    <s v="Snacks"/>
    <s v="CrispyBite"/>
    <s v="B05"/>
    <x v="0"/>
    <s v="Kano"/>
    <x v="0"/>
    <s v="Walk-in"/>
    <s v="Cash"/>
    <n v="1"/>
    <n v="850"/>
    <n v="1300"/>
    <n v="0"/>
    <x v="1"/>
    <n v="10"/>
    <n v="1300"/>
    <n v="0"/>
    <n v="1300"/>
    <n v="850"/>
    <n v="450"/>
    <n v="0.34615384615384615"/>
    <s v="Understocked"/>
    <s v="Safe"/>
    <n v="0.34615384615384615"/>
    <s v="Safe"/>
    <n v="450"/>
    <n v="0.34615384615384615"/>
  </r>
  <r>
    <s v="ORD-12571"/>
    <x v="337"/>
    <s v="P003"/>
    <x v="12"/>
    <s v="Food"/>
    <s v="Cooking Oil"/>
    <s v="SunGold"/>
    <s v="B02"/>
    <x v="4"/>
    <s v="Abuja"/>
    <x v="2"/>
    <s v="Member"/>
    <s v="Card"/>
    <n v="5"/>
    <n v="7800"/>
    <n v="9800"/>
    <n v="0.05"/>
    <x v="8"/>
    <n v="2"/>
    <n v="49000"/>
    <n v="2450"/>
    <n v="46550"/>
    <n v="39000"/>
    <n v="7550"/>
    <n v="0.16219119226638024"/>
    <s v="Understocked"/>
    <s v="Safe"/>
    <n v="0.20408163265306123"/>
    <s v="Safe"/>
    <n v="2000"/>
    <n v="0.20408163265306123"/>
  </r>
  <r>
    <s v="ORD-12572"/>
    <x v="126"/>
    <s v="P006"/>
    <x v="0"/>
    <s v="Beverages"/>
    <s v="Water"/>
    <s v="AquaPure"/>
    <s v="B04"/>
    <x v="5"/>
    <s v="Lagos"/>
    <x v="4"/>
    <s v="Corporate"/>
    <s v="POS"/>
    <n v="-1"/>
    <n v="230"/>
    <n v="400"/>
    <n v="0.05"/>
    <x v="3"/>
    <n v="4"/>
    <n v="-400"/>
    <n v="-20"/>
    <n v="-380"/>
    <n v="-230"/>
    <n v="-150"/>
    <n v="0.39473684210526316"/>
    <s v="Understocked"/>
    <s v="Discount loss"/>
    <n v="0.42499999999999999"/>
    <s v="Safe"/>
    <n v="170"/>
    <n v="0.42499999999999999"/>
  </r>
  <r>
    <s v="ORD-12573"/>
    <x v="348"/>
    <s v="P003"/>
    <x v="12"/>
    <s v="Food"/>
    <s v="Cooking Oil"/>
    <s v="SunGold"/>
    <s v="B02"/>
    <x v="4"/>
    <s v="Abuja"/>
    <x v="2"/>
    <s v="Walk-in"/>
    <s v="POS"/>
    <n v="8"/>
    <n v="7800"/>
    <n v="9800"/>
    <n v="0.1"/>
    <x v="1"/>
    <n v="13"/>
    <n v="78400"/>
    <n v="7840"/>
    <n v="70560"/>
    <n v="62400"/>
    <n v="8160"/>
    <n v="0.11564625850340136"/>
    <s v="Understocked"/>
    <s v="Safe"/>
    <n v="0.20408163265306123"/>
    <s v="Safe"/>
    <n v="2000"/>
    <n v="0.20408163265306123"/>
  </r>
  <r>
    <s v="ORD-12574"/>
    <x v="225"/>
    <s v="P007"/>
    <x v="3"/>
    <s v="Beverages"/>
    <s v="Malt"/>
    <s v="Naija Malt"/>
    <s v="B03"/>
    <x v="6"/>
    <s v="Lagos"/>
    <x v="4"/>
    <s v="Walk-in"/>
    <s v="POS"/>
    <n v="2"/>
    <n v="550"/>
    <n v="850"/>
    <n v="0"/>
    <x v="0"/>
    <n v="5"/>
    <n v="1700"/>
    <n v="0"/>
    <n v="1700"/>
    <n v="1100"/>
    <n v="600"/>
    <n v="0.35294117647058826"/>
    <s v="Healthy"/>
    <s v="Safe"/>
    <n v="0.35294117647058826"/>
    <s v="Safe"/>
    <n v="300"/>
    <n v="0.35294117647058826"/>
  </r>
  <r>
    <s v="ORD-12575"/>
    <x v="128"/>
    <s v="P004"/>
    <x v="1"/>
    <s v="Beverages"/>
    <s v="Dairy"/>
    <s v="FreshDay"/>
    <s v="B05"/>
    <x v="0"/>
    <s v="Kano"/>
    <x v="0"/>
    <s v="Member"/>
    <s v="POS"/>
    <n v="6"/>
    <n v="1650"/>
    <n v="2200"/>
    <n v="0.15"/>
    <x v="2"/>
    <n v="7"/>
    <n v="13200"/>
    <n v="1980"/>
    <n v="11220"/>
    <n v="9900"/>
    <n v="1320"/>
    <n v="0.11764705882352941"/>
    <s v="Understocked"/>
    <s v="Safe"/>
    <n v="0.25"/>
    <s v="Safe"/>
    <n v="550"/>
    <n v="0.25"/>
  </r>
  <r>
    <s v="ORD-12576"/>
    <x v="357"/>
    <s v="P002"/>
    <x v="10"/>
    <s v="Food"/>
    <s v="Grains"/>
    <s v="Mama's Pride"/>
    <s v="B02"/>
    <x v="4"/>
    <s v="Abuja"/>
    <x v="2"/>
    <s v="Walk-in"/>
    <s v="Cash"/>
    <n v="3"/>
    <n v="6200"/>
    <n v="7900"/>
    <n v="0.15"/>
    <x v="1"/>
    <n v="3"/>
    <n v="23700"/>
    <n v="3555"/>
    <n v="20145"/>
    <n v="18600"/>
    <n v="1545"/>
    <n v="7.6693968726731204E-2"/>
    <s v="Healthy"/>
    <s v="Safe"/>
    <n v="0.21518987341772153"/>
    <s v="Safe"/>
    <n v="1700"/>
    <n v="0.21518987341772153"/>
  </r>
  <r>
    <s v="ORD-12577"/>
    <x v="326"/>
    <s v="P014"/>
    <x v="15"/>
    <s v="Personal Care"/>
    <s v="Oral Care"/>
    <s v="FreshMint"/>
    <s v="B04"/>
    <x v="5"/>
    <s v="Lagos"/>
    <x v="4"/>
    <s v="Member"/>
    <s v="POS"/>
    <n v="1"/>
    <n v="1200"/>
    <n v="1900"/>
    <n v="0.1"/>
    <x v="6"/>
    <n v="3"/>
    <n v="1900"/>
    <n v="190"/>
    <n v="1710"/>
    <n v="1200"/>
    <n v="510"/>
    <n v="0.2982456140350877"/>
    <s v="Healthy"/>
    <s v="Safe"/>
    <n v="0.36842105263157893"/>
    <s v="Safe"/>
    <n v="700"/>
    <n v="0.36842105263157893"/>
  </r>
  <r>
    <s v="ORD-12578"/>
    <x v="86"/>
    <s v="P003"/>
    <x v="12"/>
    <s v="Food"/>
    <s v="Cooking Oil"/>
    <s v="SunGold"/>
    <s v="B04"/>
    <x v="5"/>
    <s v="Lagos"/>
    <x v="4"/>
    <s v="Walk-in"/>
    <s v="POS"/>
    <n v="3"/>
    <n v="7800"/>
    <n v="9800"/>
    <n v="0.2"/>
    <x v="8"/>
    <n v="11"/>
    <n v="29400"/>
    <n v="5880"/>
    <n v="23520"/>
    <n v="23400"/>
    <n v="120"/>
    <n v="5.1020408163265302E-3"/>
    <s v="Understocked"/>
    <s v="Safe"/>
    <n v="0.20408163265306123"/>
    <s v="Safe"/>
    <n v="2000"/>
    <n v="0.20408163265306123"/>
  </r>
  <r>
    <s v="ORD-12579"/>
    <x v="269"/>
    <s v="P005"/>
    <x v="2"/>
    <s v="Food"/>
    <s v="Snacks"/>
    <s v="CrispyBite"/>
    <s v="B02"/>
    <x v="4"/>
    <s v="Abuja"/>
    <x v="2"/>
    <s v="Walk-in"/>
    <s v="Cash"/>
    <n v="4"/>
    <n v="850"/>
    <n v="1300"/>
    <n v="0"/>
    <x v="9"/>
    <n v="7"/>
    <n v="5200"/>
    <n v="0"/>
    <n v="5200"/>
    <n v="3400"/>
    <n v="1800"/>
    <n v="0.34615384615384615"/>
    <s v="Understocked"/>
    <s v="Safe"/>
    <n v="0.34615384615384615"/>
    <s v="Safe"/>
    <n v="450"/>
    <n v="0.34615384615384615"/>
  </r>
  <r>
    <s v="ORD-12580"/>
    <x v="216"/>
    <s v="P015"/>
    <x v="8"/>
    <s v="Personal Care"/>
    <s v="Bath"/>
    <s v="SilkyTouch"/>
    <s v="B05"/>
    <x v="0"/>
    <s v="Kano"/>
    <x v="0"/>
    <s v="Walk-in"/>
    <s v="Cash"/>
    <n v="2"/>
    <n v="600"/>
    <n v="950"/>
    <n v="0"/>
    <x v="6"/>
    <n v="10"/>
    <n v="1900"/>
    <n v="0"/>
    <n v="1900"/>
    <n v="1200"/>
    <n v="700"/>
    <n v="0.36842105263157893"/>
    <s v="Healthy"/>
    <s v="Safe"/>
    <n v="0.36842105263157893"/>
    <s v="Safe"/>
    <n v="350"/>
    <n v="0.36842105263157893"/>
  </r>
  <r>
    <s v="ORD-12581"/>
    <x v="187"/>
    <s v="P001"/>
    <x v="14"/>
    <s v="Food"/>
    <s v="Grains"/>
    <s v="Golden Harvest"/>
    <s v="B08"/>
    <x v="7"/>
    <s v="Kwara"/>
    <x v="2"/>
    <s v="Member"/>
    <s v="Card"/>
    <n v="2"/>
    <n v="14500"/>
    <n v="17500"/>
    <n v="0.15"/>
    <x v="1"/>
    <n v="10"/>
    <n v="35000"/>
    <n v="5250"/>
    <n v="29750"/>
    <n v="29000"/>
    <n v="750"/>
    <n v="2.5210084033613446E-2"/>
    <s v="Understocked"/>
    <s v="Safe"/>
    <n v="0.17142857142857143"/>
    <s v="Safe"/>
    <n v="3000"/>
    <n v="0.17142857142857143"/>
  </r>
  <r>
    <s v="ORD-12582"/>
    <x v="200"/>
    <s v="P020"/>
    <x v="5"/>
    <s v="Electronics"/>
    <s v="Lighting"/>
    <s v="Luma"/>
    <s v="B06"/>
    <x v="1"/>
    <s v="Rivers"/>
    <x v="1"/>
    <s v="Walk-in"/>
    <s v="POS"/>
    <n v="1"/>
    <n v="1500"/>
    <n v="2500"/>
    <n v="0"/>
    <x v="12"/>
    <n v="9"/>
    <n v="2500"/>
    <n v="0"/>
    <n v="2500"/>
    <n v="1500"/>
    <n v="1000"/>
    <n v="0.4"/>
    <s v="Healthy"/>
    <s v="Safe"/>
    <n v="0.4"/>
    <s v="Safe"/>
    <n v="1000"/>
    <n v="0.4"/>
  </r>
  <r>
    <s v="ORD-12583"/>
    <x v="0"/>
    <s v="P012"/>
    <x v="21"/>
    <s v="Household"/>
    <s v="Home Care"/>
    <s v="HomeFresh"/>
    <s v="B01"/>
    <x v="2"/>
    <s v="Abuja"/>
    <x v="2"/>
    <s v="Member"/>
    <s v="Cash"/>
    <n v="3"/>
    <n v="1700"/>
    <n v="2600"/>
    <n v="0.2"/>
    <x v="1"/>
    <n v="9"/>
    <n v="7800"/>
    <n v="1560"/>
    <n v="6240"/>
    <n v="5100"/>
    <n v="1140"/>
    <n v="0.18269230769230768"/>
    <s v="Overstocked"/>
    <s v="Safe"/>
    <n v="0.34615384615384615"/>
    <s v="Safe"/>
    <n v="900"/>
    <n v="0.34615384615384615"/>
  </r>
  <r>
    <s v="ORD-12584"/>
    <x v="6"/>
    <s v="P008"/>
    <x v="4"/>
    <s v="Beverages"/>
    <s v="Soft Drinks"/>
    <s v="Sparkle"/>
    <s v="B03"/>
    <x v="6"/>
    <s v="Lagos"/>
    <x v="4"/>
    <s v="Member"/>
    <s v="POS"/>
    <n v="1"/>
    <n v="330"/>
    <n v="550"/>
    <n v="0.2"/>
    <x v="3"/>
    <n v="1"/>
    <n v="550"/>
    <n v="110"/>
    <n v="440"/>
    <n v="330"/>
    <n v="110"/>
    <n v="0.25"/>
    <s v="Healthy"/>
    <s v="Safe"/>
    <n v="0.4"/>
    <s v="Safe"/>
    <n v="220"/>
    <n v="0.4"/>
  </r>
  <r>
    <s v="ORD-12585"/>
    <x v="150"/>
    <s v="P014"/>
    <x v="15"/>
    <s v="Personal Care"/>
    <s v="Oral Care"/>
    <s v="FreshMint"/>
    <s v="B01"/>
    <x v="2"/>
    <s v="Abuja"/>
    <x v="2"/>
    <s v="Member"/>
    <s v="Transfer"/>
    <n v="2"/>
    <n v="1200"/>
    <n v="1900"/>
    <n v="0.05"/>
    <x v="6"/>
    <n v="7"/>
    <n v="3800"/>
    <n v="190"/>
    <n v="3610"/>
    <n v="2400"/>
    <n v="1210"/>
    <n v="0.33518005540166207"/>
    <s v="Healthy"/>
    <s v="Safe"/>
    <n v="0.36842105263157893"/>
    <s v="Safe"/>
    <n v="700"/>
    <n v="0.36842105263157893"/>
  </r>
  <r>
    <s v="ORD-12586"/>
    <x v="158"/>
    <s v="P020"/>
    <x v="5"/>
    <s v="Electronics"/>
    <s v="Lighting"/>
    <s v="Luma"/>
    <s v="B03"/>
    <x v="6"/>
    <s v="Lagos"/>
    <x v="4"/>
    <s v="Corporate"/>
    <s v="Card"/>
    <n v="5"/>
    <n v="1500"/>
    <n v="2500"/>
    <n v="0.05"/>
    <x v="13"/>
    <n v="4"/>
    <n v="12500"/>
    <n v="625"/>
    <n v="11875"/>
    <n v="7500"/>
    <n v="4375"/>
    <n v="0.36842105263157893"/>
    <s v="Healthy"/>
    <s v="Safe"/>
    <n v="0.4"/>
    <s v="Safe"/>
    <n v="1000"/>
    <n v="0.4"/>
  </r>
  <r>
    <s v="ORD-12587"/>
    <x v="29"/>
    <s v="P008"/>
    <x v="4"/>
    <s v="Beverages"/>
    <s v="Soft Drinks"/>
    <s v="Sparkle"/>
    <s v="B07"/>
    <x v="3"/>
    <s v="Enugu"/>
    <x v="3"/>
    <s v="Member"/>
    <s v="POS"/>
    <n v="4"/>
    <n v="330"/>
    <n v="550"/>
    <n v="0.05"/>
    <x v="2"/>
    <n v="5"/>
    <n v="2200"/>
    <n v="110"/>
    <n v="2090"/>
    <n v="1320"/>
    <n v="770"/>
    <n v="0.36842105263157893"/>
    <s v="Healthy"/>
    <s v="Safe"/>
    <n v="0.4"/>
    <s v="Safe"/>
    <n v="220"/>
    <n v="0.4"/>
  </r>
  <r>
    <s v="ORD-12588"/>
    <x v="39"/>
    <s v="P006"/>
    <x v="0"/>
    <s v="Beverages"/>
    <s v="Water"/>
    <s v="AquaPure"/>
    <s v="B03"/>
    <x v="6"/>
    <s v="Lagos"/>
    <x v="4"/>
    <s v="Walk-in"/>
    <s v="POS"/>
    <n v="1"/>
    <n v="230"/>
    <n v="400"/>
    <n v="0.15"/>
    <x v="3"/>
    <n v="1"/>
    <n v="400"/>
    <n v="60"/>
    <n v="340"/>
    <n v="230"/>
    <n v="110"/>
    <n v="0.3235294117647059"/>
    <s v="Understocked"/>
    <s v="Safe"/>
    <n v="0.42499999999999999"/>
    <s v="Safe"/>
    <n v="170"/>
    <n v="0.42499999999999999"/>
  </r>
  <r>
    <s v="ORD-12589"/>
    <x v="166"/>
    <s v="P003"/>
    <x v="12"/>
    <s v="Food"/>
    <s v="Cooking Oil"/>
    <s v="SunGold"/>
    <s v="B01"/>
    <x v="2"/>
    <s v="Abuja"/>
    <x v="2"/>
    <s v="Walk-in"/>
    <s v="Transfer"/>
    <n v="2"/>
    <n v="7800"/>
    <n v="9800"/>
    <n v="0"/>
    <x v="1"/>
    <n v="6"/>
    <n v="19600"/>
    <n v="0"/>
    <n v="19600"/>
    <n v="15600"/>
    <n v="4000"/>
    <n v="0.20408163265306123"/>
    <s v="Understocked"/>
    <s v="Safe"/>
    <n v="0.20408163265306123"/>
    <s v="Safe"/>
    <n v="2000"/>
    <n v="0.20408163265306123"/>
  </r>
  <r>
    <s v="ORD-12590"/>
    <x v="81"/>
    <s v="P019"/>
    <x v="18"/>
    <s v="Electronics"/>
    <s v="Audio"/>
    <s v="SoundBeat"/>
    <s v="B01"/>
    <x v="2"/>
    <s v="Abuja"/>
    <x v="2"/>
    <s v="Walk-in"/>
    <s v="Transfer"/>
    <n v="2"/>
    <n v="12500"/>
    <n v="18500"/>
    <n v="0"/>
    <x v="13"/>
    <n v="3"/>
    <n v="37000"/>
    <n v="0"/>
    <n v="37000"/>
    <n v="25000"/>
    <n v="12000"/>
    <n v="0.32432432432432434"/>
    <s v="Understocked"/>
    <s v="Safe"/>
    <n v="0.32432432432432434"/>
    <s v="Safe"/>
    <n v="6000"/>
    <n v="0.32432432432432434"/>
  </r>
  <r>
    <s v="ORD-12591"/>
    <x v="44"/>
    <s v="P015"/>
    <x v="8"/>
    <s v="Personal Care"/>
    <s v="Bath"/>
    <s v="SilkyTouch"/>
    <s v="B06"/>
    <x v="1"/>
    <s v="Rivers"/>
    <x v="1"/>
    <s v="Walk-in"/>
    <s v="POS"/>
    <n v="3"/>
    <n v="600"/>
    <n v="950"/>
    <n v="0.1"/>
    <x v="11"/>
    <n v="14"/>
    <n v="2850"/>
    <n v="285"/>
    <n v="2565"/>
    <n v="1800"/>
    <n v="765"/>
    <n v="0.2982456140350877"/>
    <s v="Healthy"/>
    <s v="Safe"/>
    <n v="0.36842105263157893"/>
    <s v="Safe"/>
    <n v="350"/>
    <n v="0.36842105263157893"/>
  </r>
  <r>
    <s v="ORD-12592"/>
    <x v="274"/>
    <s v="P011"/>
    <x v="9"/>
    <s v="Household"/>
    <s v="Cleaning"/>
    <s v="CleanPro"/>
    <s v="B03"/>
    <x v="6"/>
    <s v="Lagos"/>
    <x v="4"/>
    <s v="Member"/>
    <s v="Cash"/>
    <n v="6"/>
    <n v="2800"/>
    <n v="3900"/>
    <n v="0.1"/>
    <x v="7"/>
    <n v="5"/>
    <n v="23400"/>
    <n v="2340"/>
    <n v="21060"/>
    <n v="16800"/>
    <n v="4260"/>
    <n v="0.20227920227920229"/>
    <s v="Healthy"/>
    <s v="Safe"/>
    <n v="0.28205128205128205"/>
    <s v="Safe"/>
    <n v="1100"/>
    <n v="0.28205128205128205"/>
  </r>
  <r>
    <s v="ORD-12593"/>
    <x v="16"/>
    <s v="P010"/>
    <x v="22"/>
    <s v="Household"/>
    <s v="Paper Products"/>
    <s v="SoftCare"/>
    <s v="B07"/>
    <x v="3"/>
    <s v="Enugu"/>
    <x v="3"/>
    <s v="Member"/>
    <s v="Cash"/>
    <n v="8"/>
    <n v="3200"/>
    <n v="4500"/>
    <n v="0.1"/>
    <x v="10"/>
    <n v="8"/>
    <n v="36000"/>
    <n v="3600"/>
    <n v="32400"/>
    <n v="25600"/>
    <n v="6800"/>
    <n v="0.20987654320987653"/>
    <s v="Healthy"/>
    <s v="Safe"/>
    <n v="0.28888888888888886"/>
    <s v="Safe"/>
    <n v="1300"/>
    <n v="0.28888888888888886"/>
  </r>
  <r>
    <s v="ORD-12594"/>
    <x v="299"/>
    <s v="P020"/>
    <x v="5"/>
    <s v="Electronics"/>
    <s v="Lighting"/>
    <s v="Luma"/>
    <s v="B01"/>
    <x v="2"/>
    <s v="Abuja"/>
    <x v="2"/>
    <s v="Member"/>
    <s v="Cash"/>
    <n v="1"/>
    <n v="1500"/>
    <n v="2500"/>
    <n v="0.05"/>
    <x v="4"/>
    <n v="4"/>
    <n v="2500"/>
    <n v="125"/>
    <n v="2375"/>
    <n v="1500"/>
    <n v="875"/>
    <n v="0.36842105263157893"/>
    <s v="Healthy"/>
    <s v="Safe"/>
    <n v="0.4"/>
    <s v="Safe"/>
    <n v="1000"/>
    <n v="0.4"/>
  </r>
  <r>
    <s v="ORD-12595"/>
    <x v="189"/>
    <s v="P009"/>
    <x v="13"/>
    <s v="Household"/>
    <s v="Cleaning"/>
    <s v="BrightWash"/>
    <s v="B01"/>
    <x v="2"/>
    <s v="Abuja"/>
    <x v="2"/>
    <s v="Corporate"/>
    <s v="POS"/>
    <n v="2"/>
    <n v="2400"/>
    <n v="3400"/>
    <n v="0.1"/>
    <x v="7"/>
    <n v="13"/>
    <n v="6800"/>
    <n v="680"/>
    <n v="6120"/>
    <n v="4800"/>
    <n v="1320"/>
    <n v="0.21568627450980393"/>
    <s v="Healthy"/>
    <s v="Safe"/>
    <n v="0.29411764705882354"/>
    <s v="Safe"/>
    <n v="1000"/>
    <n v="0.29411764705882354"/>
  </r>
  <r>
    <s v="ORD-12596"/>
    <x v="80"/>
    <s v="P014"/>
    <x v="15"/>
    <s v="Personal Care"/>
    <s v="Oral Care"/>
    <s v="FreshMint"/>
    <s v="B07"/>
    <x v="3"/>
    <s v="Enugu"/>
    <x v="3"/>
    <s v="Member"/>
    <s v="Card"/>
    <n v="4"/>
    <n v="1200"/>
    <n v="1900"/>
    <n v="0.2"/>
    <x v="6"/>
    <n v="12"/>
    <n v="7600"/>
    <n v="1520"/>
    <n v="6080"/>
    <n v="4800"/>
    <n v="1280"/>
    <n v="0.21052631578947367"/>
    <s v="Healthy"/>
    <s v="Safe"/>
    <n v="0.36842105263157893"/>
    <s v="Safe"/>
    <n v="700"/>
    <n v="0.36842105263157893"/>
  </r>
  <r>
    <s v="ORD-12597"/>
    <x v="54"/>
    <s v="P007"/>
    <x v="3"/>
    <s v="Beverages"/>
    <s v="Malt"/>
    <s v="Naija Malt"/>
    <s v="B06"/>
    <x v="1"/>
    <s v="Rivers"/>
    <x v="1"/>
    <s v="Member"/>
    <s v="POS"/>
    <n v="1"/>
    <n v="550"/>
    <n v="850"/>
    <n v="0"/>
    <x v="0"/>
    <n v="7"/>
    <n v="850"/>
    <n v="0"/>
    <n v="850"/>
    <n v="550"/>
    <n v="300"/>
    <n v="0.35294117647058826"/>
    <s v="Healthy"/>
    <s v="Safe"/>
    <n v="0.35294117647058826"/>
    <s v="Safe"/>
    <n v="300"/>
    <n v="0.35294117647058826"/>
  </r>
  <r>
    <s v="ORD-12598"/>
    <x v="262"/>
    <s v="P002"/>
    <x v="10"/>
    <s v="Food"/>
    <s v="Grains"/>
    <s v="Mama's Pride"/>
    <s v="B01"/>
    <x v="2"/>
    <s v="Abuja"/>
    <x v="2"/>
    <s v="Member"/>
    <s v="POS"/>
    <n v="5"/>
    <n v="6200"/>
    <n v="7900"/>
    <n v="0"/>
    <x v="1"/>
    <n v="11"/>
    <n v="39500"/>
    <n v="0"/>
    <n v="39500"/>
    <n v="31000"/>
    <n v="8500"/>
    <n v="0.21518987341772153"/>
    <s v="Healthy"/>
    <s v="Safe"/>
    <n v="0.21518987341772153"/>
    <s v="Safe"/>
    <n v="1700"/>
    <n v="0.21518987341772153"/>
  </r>
  <r>
    <s v="ORD-12599"/>
    <x v="136"/>
    <s v="P022"/>
    <x v="17"/>
    <s v="Office Supplies"/>
    <s v="Writing"/>
    <s v="WriteWell"/>
    <s v="B01"/>
    <x v="2"/>
    <s v="Abuja"/>
    <x v="2"/>
    <s v="Member"/>
    <s v="Card"/>
    <n v="5"/>
    <n v="1300"/>
    <n v="2100"/>
    <n v="0.15"/>
    <x v="15"/>
    <n v="7"/>
    <n v="10500"/>
    <n v="1575"/>
    <n v="8925"/>
    <n v="6500"/>
    <n v="2425"/>
    <n v="0.27170868347338933"/>
    <s v="Understocked"/>
    <s v="Safe"/>
    <n v="0.38095238095238093"/>
    <s v="Safe"/>
    <n v="800"/>
    <n v="0.38095238095238093"/>
  </r>
  <r>
    <s v="ORD-12600"/>
    <x v="86"/>
    <s v="P011"/>
    <x v="9"/>
    <s v="Household"/>
    <s v="Cleaning"/>
    <s v="CleanPro"/>
    <s v="B01"/>
    <x v="2"/>
    <s v="Abuja"/>
    <x v="2"/>
    <s v="Corporate"/>
    <s v="POS"/>
    <n v="5"/>
    <n v="2800"/>
    <n v="3900"/>
    <n v="0"/>
    <x v="10"/>
    <n v="8"/>
    <n v="19500"/>
    <n v="0"/>
    <n v="19500"/>
    <n v="14000"/>
    <n v="5500"/>
    <n v="0.28205128205128205"/>
    <s v="Healthy"/>
    <s v="Safe"/>
    <n v="0.28205128205128205"/>
    <s v="Safe"/>
    <n v="1100"/>
    <n v="0.28205128205128205"/>
  </r>
  <r>
    <s v="ORD-12601"/>
    <x v="267"/>
    <s v="P002"/>
    <x v="10"/>
    <s v="Food"/>
    <s v="Grains"/>
    <s v="Mama's Pride"/>
    <s v="B02"/>
    <x v="4"/>
    <s v="Abuja"/>
    <x v="2"/>
    <s v="Member"/>
    <s v="POS"/>
    <n v="1"/>
    <n v="6200"/>
    <n v="7900"/>
    <n v="0.05"/>
    <x v="8"/>
    <n v="7"/>
    <n v="7900"/>
    <n v="395"/>
    <n v="7505"/>
    <n v="6200"/>
    <n v="1305"/>
    <n v="0.17388407728181213"/>
    <s v="Healthy"/>
    <s v="Safe"/>
    <n v="0.21518987341772153"/>
    <s v="Safe"/>
    <n v="1700"/>
    <n v="0.21518987341772153"/>
  </r>
  <r>
    <s v="ORD-12602"/>
    <x v="68"/>
    <s v="P003"/>
    <x v="12"/>
    <s v="Food"/>
    <s v="Cooking Oil"/>
    <s v="SunGold"/>
    <s v="B04"/>
    <x v="5"/>
    <s v="Lagos"/>
    <x v="4"/>
    <s v="Walk-in"/>
    <s v="POS"/>
    <n v="2"/>
    <n v="7800"/>
    <n v="9800"/>
    <n v="0.05"/>
    <x v="9"/>
    <n v="14"/>
    <n v="19600"/>
    <n v="980"/>
    <n v="18620"/>
    <n v="15600"/>
    <n v="3020"/>
    <n v="0.16219119226638024"/>
    <s v="Understocked"/>
    <s v="Safe"/>
    <n v="0.20408163265306123"/>
    <s v="Safe"/>
    <n v="2000"/>
    <n v="0.20408163265306123"/>
  </r>
  <r>
    <s v="ORD-12603"/>
    <x v="131"/>
    <s v="P013"/>
    <x v="11"/>
    <s v="Personal Care"/>
    <s v="Skin Care"/>
    <s v="GlowPlus"/>
    <s v="B06"/>
    <x v="1"/>
    <s v="Rivers"/>
    <x v="1"/>
    <s v="Walk-in"/>
    <s v="Cash"/>
    <n v="-1"/>
    <n v="3500"/>
    <n v="5200"/>
    <n v="0.1"/>
    <x v="10"/>
    <n v="14"/>
    <n v="-5200"/>
    <n v="-520"/>
    <n v="-4680"/>
    <n v="-3500"/>
    <n v="-1180"/>
    <n v="0.25213675213675213"/>
    <s v="Healthy"/>
    <s v="Discount loss"/>
    <n v="0.32692307692307693"/>
    <s v="Safe"/>
    <n v="1700"/>
    <n v="0.32692307692307693"/>
  </r>
  <r>
    <s v="ORD-12604"/>
    <x v="225"/>
    <s v="P006"/>
    <x v="0"/>
    <s v="Beverages"/>
    <s v="Water"/>
    <s v="AquaPure"/>
    <s v="B01"/>
    <x v="2"/>
    <s v="Abuja"/>
    <x v="2"/>
    <s v="Member"/>
    <s v="POS"/>
    <n v="2"/>
    <n v="230"/>
    <n v="400"/>
    <n v="0.15"/>
    <x v="0"/>
    <n v="1"/>
    <n v="800"/>
    <n v="120"/>
    <n v="680"/>
    <n v="460"/>
    <n v="220"/>
    <n v="0.3235294117647059"/>
    <s v="Understocked"/>
    <s v="Safe"/>
    <n v="0.42499999999999999"/>
    <s v="Safe"/>
    <n v="170"/>
    <n v="0.42499999999999999"/>
  </r>
  <r>
    <s v="ORD-12605"/>
    <x v="121"/>
    <s v="P005"/>
    <x v="2"/>
    <s v="Food"/>
    <s v="Snacks"/>
    <s v="CrispyBite"/>
    <s v="B04"/>
    <x v="5"/>
    <s v="Lagos"/>
    <x v="4"/>
    <s v="Member"/>
    <s v="Cash"/>
    <n v="3"/>
    <n v="850"/>
    <n v="1300"/>
    <n v="0.1"/>
    <x v="8"/>
    <n v="11"/>
    <n v="3900"/>
    <n v="390"/>
    <n v="3510"/>
    <n v="2550"/>
    <n v="960"/>
    <n v="0.27350427350427353"/>
    <s v="Understocked"/>
    <s v="Safe"/>
    <n v="0.34615384615384615"/>
    <s v="Safe"/>
    <n v="450"/>
    <n v="0.34615384615384615"/>
  </r>
  <r>
    <s v="ORD-12606"/>
    <x v="65"/>
    <s v="P002"/>
    <x v="10"/>
    <s v="Food"/>
    <s v="Grains"/>
    <s v="Mama's Pride"/>
    <s v="B02"/>
    <x v="4"/>
    <s v="Abuja"/>
    <x v="2"/>
    <s v="Walk-in"/>
    <s v="Cash"/>
    <n v="2"/>
    <n v="6200"/>
    <n v="7900"/>
    <n v="0.05"/>
    <x v="9"/>
    <n v="14"/>
    <n v="15800"/>
    <n v="790"/>
    <n v="15010"/>
    <n v="12400"/>
    <n v="2610"/>
    <n v="0.17388407728181213"/>
    <s v="Healthy"/>
    <s v="Safe"/>
    <n v="0.21518987341772153"/>
    <s v="Safe"/>
    <n v="1700"/>
    <n v="0.21518987341772153"/>
  </r>
  <r>
    <s v="ORD-12607"/>
    <x v="235"/>
    <s v="P013"/>
    <x v="11"/>
    <s v="Personal Care"/>
    <s v="Skin Care"/>
    <s v="GlowPlus"/>
    <s v="B01"/>
    <x v="2"/>
    <s v="Abuja"/>
    <x v="2"/>
    <s v="Walk-in"/>
    <s v="Card"/>
    <n v="3"/>
    <n v="3500"/>
    <n v="5200"/>
    <n v="0"/>
    <x v="10"/>
    <n v="1"/>
    <n v="15600"/>
    <n v="0"/>
    <n v="15600"/>
    <n v="10500"/>
    <n v="5100"/>
    <n v="0.32692307692307693"/>
    <s v="Healthy"/>
    <s v="Safe"/>
    <n v="0.32692307692307693"/>
    <s v="Safe"/>
    <n v="1700"/>
    <n v="0.32692307692307693"/>
  </r>
  <r>
    <s v="ORD-12608"/>
    <x v="362"/>
    <s v="P013"/>
    <x v="11"/>
    <s v="Personal Care"/>
    <s v="Skin Care"/>
    <s v="GlowPlus"/>
    <s v="B01"/>
    <x v="2"/>
    <s v="Abuja"/>
    <x v="2"/>
    <s v="Walk-in"/>
    <s v="Transfer"/>
    <n v="2"/>
    <n v="3500"/>
    <n v="5200"/>
    <n v="0.2"/>
    <x v="11"/>
    <n v="14"/>
    <n v="10400"/>
    <n v="2080"/>
    <n v="8320"/>
    <n v="7000"/>
    <n v="1320"/>
    <n v="0.15865384615384615"/>
    <s v="Healthy"/>
    <s v="Safe"/>
    <n v="0.32692307692307693"/>
    <s v="Safe"/>
    <n v="1700"/>
    <n v="0.32692307692307693"/>
  </r>
  <r>
    <s v="ORD-12609"/>
    <x v="322"/>
    <s v="P005"/>
    <x v="2"/>
    <s v="Food"/>
    <s v="Snacks"/>
    <s v="CrispyBite"/>
    <s v="B01"/>
    <x v="2"/>
    <s v="Abuja"/>
    <x v="2"/>
    <s v="Member"/>
    <s v="POS"/>
    <n v="8"/>
    <n v="850"/>
    <n v="1300"/>
    <n v="0"/>
    <x v="1"/>
    <n v="2"/>
    <n v="10400"/>
    <n v="0"/>
    <n v="10400"/>
    <n v="6800"/>
    <n v="3600"/>
    <n v="0.34615384615384615"/>
    <s v="Understocked"/>
    <s v="Safe"/>
    <n v="0.34615384615384615"/>
    <s v="Safe"/>
    <n v="450"/>
    <n v="0.34615384615384615"/>
  </r>
  <r>
    <s v="ORD-12610"/>
    <x v="48"/>
    <s v="P009"/>
    <x v="13"/>
    <s v="Household"/>
    <s v="Cleaning"/>
    <s v="BrightWash"/>
    <s v="B04"/>
    <x v="5"/>
    <s v="Lagos"/>
    <x v="4"/>
    <s v="Walk-in"/>
    <s v="Cash"/>
    <n v="4"/>
    <n v="2400"/>
    <n v="3400"/>
    <n v="0.05"/>
    <x v="10"/>
    <n v="9"/>
    <n v="13600"/>
    <n v="680"/>
    <n v="12920"/>
    <n v="9600"/>
    <n v="3320"/>
    <n v="0.25696594427244585"/>
    <s v="Healthy"/>
    <s v="Safe"/>
    <n v="0.29411764705882354"/>
    <s v="Safe"/>
    <n v="1000"/>
    <n v="0.29411764705882354"/>
  </r>
  <r>
    <s v="ORD-12611"/>
    <x v="66"/>
    <s v="P023"/>
    <x v="6"/>
    <s v="Office Supplies"/>
    <s v="Stationery"/>
    <s v="StudyPro"/>
    <s v="B04"/>
    <x v="5"/>
    <s v="Lagos"/>
    <x v="4"/>
    <s v="Walk-in"/>
    <s v="POS"/>
    <n v="2"/>
    <n v="2800"/>
    <n v="4200"/>
    <n v="0"/>
    <x v="14"/>
    <n v="8"/>
    <n v="8400"/>
    <n v="0"/>
    <n v="8400"/>
    <n v="5600"/>
    <n v="2800"/>
    <n v="0.33333333333333331"/>
    <s v="Understocked"/>
    <s v="Safe"/>
    <n v="0.33333333333333331"/>
    <s v="Safe"/>
    <n v="1400"/>
    <n v="0.33333333333333331"/>
  </r>
  <r>
    <s v="ORD-12612"/>
    <x v="177"/>
    <s v="P009"/>
    <x v="13"/>
    <s v="Household"/>
    <s v="Cleaning"/>
    <s v="BrightWash"/>
    <s v="B05"/>
    <x v="0"/>
    <s v="Kano"/>
    <x v="0"/>
    <s v="Member"/>
    <s v="POS"/>
    <n v="1"/>
    <n v="2400"/>
    <n v="3400"/>
    <n v="0"/>
    <x v="7"/>
    <n v="6"/>
    <n v="3400"/>
    <n v="0"/>
    <n v="3400"/>
    <n v="2400"/>
    <n v="1000"/>
    <n v="0.29411764705882354"/>
    <s v="Healthy"/>
    <s v="Safe"/>
    <n v="0.29411764705882354"/>
    <s v="Safe"/>
    <n v="1000"/>
    <n v="0.29411764705882354"/>
  </r>
  <r>
    <s v="ORD-12613"/>
    <x v="185"/>
    <s v="P005"/>
    <x v="2"/>
    <s v="Food"/>
    <s v="Snacks"/>
    <s v="CrispyBite"/>
    <s v="B02"/>
    <x v="4"/>
    <s v="Abuja"/>
    <x v="2"/>
    <s v="Member"/>
    <s v="Transfer"/>
    <n v="2"/>
    <n v="850"/>
    <n v="1300"/>
    <n v="0.05"/>
    <x v="8"/>
    <n v="12"/>
    <n v="2600"/>
    <n v="130"/>
    <n v="2470"/>
    <n v="1700"/>
    <n v="770"/>
    <n v="0.31174089068825911"/>
    <s v="Understocked"/>
    <s v="Safe"/>
    <n v="0.34615384615384615"/>
    <s v="Safe"/>
    <n v="450"/>
    <n v="0.34615384615384615"/>
  </r>
  <r>
    <s v="ORD-12614"/>
    <x v="167"/>
    <s v="P005"/>
    <x v="2"/>
    <s v="Food"/>
    <s v="Snacks"/>
    <s v="CrispyBite"/>
    <s v="B08"/>
    <x v="7"/>
    <s v="Kwara"/>
    <x v="2"/>
    <s v="Member"/>
    <s v="POS"/>
    <n v="10"/>
    <n v="850"/>
    <n v="1300"/>
    <n v="0.1"/>
    <x v="9"/>
    <n v="5"/>
    <n v="13000"/>
    <n v="1300"/>
    <n v="11700"/>
    <n v="8500"/>
    <n v="3200"/>
    <n v="0.27350427350427353"/>
    <s v="Understocked"/>
    <s v="Safe"/>
    <n v="0.34615384615384615"/>
    <s v="Safe"/>
    <n v="450"/>
    <n v="0.34615384615384615"/>
  </r>
  <r>
    <s v="ORD-12615"/>
    <x v="311"/>
    <s v="P014"/>
    <x v="15"/>
    <s v="Personal Care"/>
    <s v="Oral Care"/>
    <s v="FreshMint"/>
    <s v="B01"/>
    <x v="2"/>
    <s v="Abuja"/>
    <x v="2"/>
    <s v="Walk-in"/>
    <s v="Cash"/>
    <n v="6"/>
    <n v="1200"/>
    <n v="1900"/>
    <n v="0.1"/>
    <x v="10"/>
    <n v="6"/>
    <n v="11400"/>
    <n v="1140"/>
    <n v="10260"/>
    <n v="7200"/>
    <n v="3060"/>
    <n v="0.2982456140350877"/>
    <s v="Healthy"/>
    <s v="Safe"/>
    <n v="0.36842105263157893"/>
    <s v="Safe"/>
    <n v="700"/>
    <n v="0.36842105263157893"/>
  </r>
  <r>
    <s v="ORD-12616"/>
    <x v="179"/>
    <s v="P022"/>
    <x v="17"/>
    <s v="Office Supplies"/>
    <s v="Writing"/>
    <s v="WriteWell"/>
    <s v="B03"/>
    <x v="6"/>
    <s v="Lagos"/>
    <x v="4"/>
    <s v="Walk-in"/>
    <s v="POS"/>
    <n v="3"/>
    <n v="1300"/>
    <n v="2100"/>
    <n v="0.15"/>
    <x v="15"/>
    <n v="1"/>
    <n v="6300"/>
    <n v="945"/>
    <n v="5355"/>
    <n v="3900"/>
    <n v="1455"/>
    <n v="0.27170868347338933"/>
    <s v="Understocked"/>
    <s v="Safe"/>
    <n v="0.38095238095238093"/>
    <s v="Safe"/>
    <n v="800"/>
    <n v="0.38095238095238093"/>
  </r>
  <r>
    <s v="ORD-12617"/>
    <x v="13"/>
    <s v="P006"/>
    <x v="0"/>
    <s v="Beverages"/>
    <s v="Water"/>
    <s v="AquaPure"/>
    <s v="B02"/>
    <x v="4"/>
    <s v="Abuja"/>
    <x v="2"/>
    <s v="Member"/>
    <s v="Transfer"/>
    <n v="5"/>
    <n v="230"/>
    <n v="400"/>
    <n v="0"/>
    <x v="0"/>
    <n v="13"/>
    <n v="2000"/>
    <n v="0"/>
    <n v="2000"/>
    <n v="1150"/>
    <n v="850"/>
    <n v="0.42499999999999999"/>
    <s v="Understocked"/>
    <s v="Safe"/>
    <n v="0.42499999999999999"/>
    <s v="Safe"/>
    <n v="170"/>
    <n v="0.42499999999999999"/>
  </r>
  <r>
    <s v="ORD-12618"/>
    <x v="354"/>
    <s v="P006"/>
    <x v="0"/>
    <s v="Beverages"/>
    <s v="Water"/>
    <s v="AquaPure"/>
    <s v="B05"/>
    <x v="0"/>
    <s v="Kano"/>
    <x v="0"/>
    <s v="Walk-in"/>
    <s v="Cash"/>
    <n v="5"/>
    <n v="230"/>
    <n v="400"/>
    <n v="0.1"/>
    <x v="0"/>
    <n v="6"/>
    <n v="2000"/>
    <n v="200"/>
    <n v="1800"/>
    <n v="1150"/>
    <n v="650"/>
    <n v="0.3611111111111111"/>
    <s v="Understocked"/>
    <s v="Safe"/>
    <n v="0.42499999999999999"/>
    <s v="Safe"/>
    <n v="170"/>
    <n v="0.42499999999999999"/>
  </r>
  <r>
    <s v="ORD-12619"/>
    <x v="96"/>
    <s v="P003"/>
    <x v="12"/>
    <s v="Food"/>
    <s v="Cooking Oil"/>
    <s v="SunGold"/>
    <s v="B02"/>
    <x v="4"/>
    <s v="Abuja"/>
    <x v="2"/>
    <s v="Walk-in"/>
    <s v="POS"/>
    <n v="5"/>
    <n v="7800"/>
    <n v="9800"/>
    <n v="0.05"/>
    <x v="1"/>
    <n v="10"/>
    <n v="49000"/>
    <n v="2450"/>
    <n v="46550"/>
    <n v="39000"/>
    <n v="7550"/>
    <n v="0.16219119226638024"/>
    <s v="Understocked"/>
    <s v="Safe"/>
    <n v="0.20408163265306123"/>
    <s v="Safe"/>
    <n v="2000"/>
    <n v="0.20408163265306123"/>
  </r>
  <r>
    <s v="ORD-12620"/>
    <x v="94"/>
    <s v="P020"/>
    <x v="5"/>
    <s v="Electronics"/>
    <s v="Lighting"/>
    <s v="Luma"/>
    <s v="B07"/>
    <x v="3"/>
    <s v="Enugu"/>
    <x v="3"/>
    <s v="Walk-in"/>
    <s v="POS"/>
    <n v="3"/>
    <n v="1500"/>
    <n v="2500"/>
    <n v="0.1"/>
    <x v="4"/>
    <n v="8"/>
    <n v="7500"/>
    <n v="750"/>
    <n v="6750"/>
    <n v="4500"/>
    <n v="2250"/>
    <n v="0.33333333333333331"/>
    <s v="Healthy"/>
    <s v="Safe"/>
    <n v="0.4"/>
    <s v="Safe"/>
    <n v="1000"/>
    <n v="0.4"/>
  </r>
  <r>
    <s v="ORD-12621"/>
    <x v="169"/>
    <s v="P008"/>
    <x v="4"/>
    <s v="Beverages"/>
    <s v="Soft Drinks"/>
    <s v="Sparkle"/>
    <s v="B06"/>
    <x v="1"/>
    <s v="Rivers"/>
    <x v="1"/>
    <s v="Member"/>
    <s v="Card"/>
    <n v="4"/>
    <n v="330"/>
    <n v="550"/>
    <n v="0"/>
    <x v="2"/>
    <n v="3"/>
    <n v="2200"/>
    <n v="0"/>
    <n v="2200"/>
    <n v="1320"/>
    <n v="880"/>
    <n v="0.4"/>
    <s v="Healthy"/>
    <s v="Safe"/>
    <n v="0.4"/>
    <s v="Safe"/>
    <n v="220"/>
    <n v="0.4"/>
  </r>
  <r>
    <s v="ORD-12622"/>
    <x v="85"/>
    <s v="P014"/>
    <x v="15"/>
    <s v="Personal Care"/>
    <s v="Oral Care"/>
    <s v="FreshMint"/>
    <s v="B07"/>
    <x v="3"/>
    <s v="Enugu"/>
    <x v="3"/>
    <s v="Walk-in"/>
    <s v="Transfer"/>
    <n v="1"/>
    <n v="1200"/>
    <n v="1900"/>
    <n v="0.15"/>
    <x v="6"/>
    <n v="3"/>
    <n v="1900"/>
    <n v="285"/>
    <n v="1615"/>
    <n v="1200"/>
    <n v="415"/>
    <n v="0.25696594427244585"/>
    <s v="Healthy"/>
    <s v="Safe"/>
    <n v="0.36842105263157893"/>
    <s v="Safe"/>
    <n v="700"/>
    <n v="0.36842105263157893"/>
  </r>
  <r>
    <s v="ORD-12623"/>
    <x v="211"/>
    <s v="P015"/>
    <x v="8"/>
    <s v="Personal Care"/>
    <s v="Bath"/>
    <s v="SilkyTouch"/>
    <s v="B03"/>
    <x v="6"/>
    <s v="Lagos"/>
    <x v="4"/>
    <s v="Walk-in"/>
    <s v="POS"/>
    <n v="1"/>
    <n v="600"/>
    <n v="950"/>
    <n v="0.1"/>
    <x v="6"/>
    <n v="6"/>
    <n v="950"/>
    <n v="95"/>
    <n v="855"/>
    <n v="600"/>
    <n v="255"/>
    <n v="0.2982456140350877"/>
    <s v="Healthy"/>
    <s v="Safe"/>
    <n v="0.36842105263157893"/>
    <s v="Safe"/>
    <n v="350"/>
    <n v="0.36842105263157893"/>
  </r>
  <r>
    <s v="ORD-12624"/>
    <x v="58"/>
    <s v="P020"/>
    <x v="5"/>
    <s v="Electronics"/>
    <s v="Lighting"/>
    <s v="Luma"/>
    <s v="B05"/>
    <x v="0"/>
    <s v="Kano"/>
    <x v="0"/>
    <s v="Member"/>
    <s v="POS"/>
    <n v="2"/>
    <n v="1500"/>
    <n v="2500"/>
    <n v="0.05"/>
    <x v="12"/>
    <n v="7"/>
    <n v="5000"/>
    <n v="250"/>
    <n v="4750"/>
    <n v="3000"/>
    <n v="1750"/>
    <n v="0.36842105263157893"/>
    <s v="Healthy"/>
    <s v="Safe"/>
    <n v="0.4"/>
    <s v="Safe"/>
    <n v="1000"/>
    <n v="0.4"/>
  </r>
  <r>
    <s v="ORD-12625"/>
    <x v="33"/>
    <s v="P011"/>
    <x v="9"/>
    <s v="Household"/>
    <s v="Cleaning"/>
    <s v="CleanPro"/>
    <s v="B05"/>
    <x v="0"/>
    <s v="Kano"/>
    <x v="0"/>
    <s v="Member"/>
    <s v="Transfer"/>
    <n v="1"/>
    <n v="2800"/>
    <n v="3900"/>
    <n v="0.05"/>
    <x v="10"/>
    <n v="7"/>
    <n v="3900"/>
    <n v="195"/>
    <n v="3705"/>
    <n v="2800"/>
    <n v="905"/>
    <n v="0.24426450742240216"/>
    <s v="Healthy"/>
    <s v="Safe"/>
    <n v="0.28205128205128205"/>
    <s v="Safe"/>
    <n v="1100"/>
    <n v="0.28205128205128205"/>
  </r>
  <r>
    <s v="ORD-12626"/>
    <x v="14"/>
    <s v="P006"/>
    <x v="0"/>
    <s v="Beverages"/>
    <s v="Water"/>
    <s v="AquaPure"/>
    <s v="B05"/>
    <x v="0"/>
    <s v="Kano"/>
    <x v="0"/>
    <s v="Member"/>
    <s v="Cash"/>
    <n v="-2"/>
    <n v="230"/>
    <n v="400"/>
    <n v="0.05"/>
    <x v="2"/>
    <n v="1"/>
    <n v="-800"/>
    <n v="-40"/>
    <n v="-760"/>
    <n v="-460"/>
    <n v="-300"/>
    <n v="0.39473684210526316"/>
    <s v="Understocked"/>
    <s v="Discount loss"/>
    <n v="0.42499999999999999"/>
    <s v="Safe"/>
    <n v="170"/>
    <n v="0.42499999999999999"/>
  </r>
  <r>
    <s v="ORD-12627"/>
    <x v="130"/>
    <s v="P004"/>
    <x v="1"/>
    <s v="Beverages"/>
    <s v="Dairy"/>
    <s v="FreshDay"/>
    <s v="B08"/>
    <x v="7"/>
    <s v="Kwara"/>
    <x v="2"/>
    <s v="Corporate"/>
    <s v="Transfer"/>
    <n v="5"/>
    <n v="1650"/>
    <n v="2200"/>
    <n v="0.2"/>
    <x v="0"/>
    <n v="6"/>
    <n v="11000"/>
    <n v="2200"/>
    <n v="8800"/>
    <n v="8250"/>
    <n v="550"/>
    <n v="6.25E-2"/>
    <s v="Understocked"/>
    <s v="Safe"/>
    <n v="0.25"/>
    <s v="Safe"/>
    <n v="550"/>
    <n v="0.25"/>
  </r>
  <r>
    <s v="ORD-12628"/>
    <x v="294"/>
    <s v="P013"/>
    <x v="11"/>
    <s v="Personal Care"/>
    <s v="Skin Care"/>
    <s v="GlowPlus"/>
    <s v="B08"/>
    <x v="7"/>
    <s v="Kwara"/>
    <x v="2"/>
    <s v="Walk-in"/>
    <s v="POS"/>
    <n v="1"/>
    <n v="3500"/>
    <n v="5200"/>
    <n v="0.15"/>
    <x v="6"/>
    <n v="10"/>
    <n v="5200"/>
    <n v="780"/>
    <n v="4420"/>
    <n v="3500"/>
    <n v="920"/>
    <n v="0.20814479638009051"/>
    <s v="Healthy"/>
    <s v="Safe"/>
    <n v="0.32692307692307693"/>
    <s v="Safe"/>
    <n v="1700"/>
    <n v="0.32692307692307693"/>
  </r>
  <r>
    <s v="ORD-12629"/>
    <x v="294"/>
    <s v="P001"/>
    <x v="14"/>
    <s v="Food"/>
    <s v="Grains"/>
    <s v="Golden Harvest"/>
    <s v="B06"/>
    <x v="1"/>
    <s v="Rivers"/>
    <x v="1"/>
    <s v="Walk-in"/>
    <s v="Cash"/>
    <n v="3"/>
    <n v="14500"/>
    <n v="17500"/>
    <n v="0"/>
    <x v="8"/>
    <n v="13"/>
    <n v="52500"/>
    <n v="0"/>
    <n v="52500"/>
    <n v="43500"/>
    <n v="9000"/>
    <n v="0.17142857142857143"/>
    <s v="Understocked"/>
    <s v="Safe"/>
    <n v="0.17142857142857143"/>
    <s v="Safe"/>
    <n v="3000"/>
    <n v="0.17142857142857143"/>
  </r>
  <r>
    <s v="ORD-12630"/>
    <x v="98"/>
    <s v="P002"/>
    <x v="10"/>
    <s v="Food"/>
    <s v="Grains"/>
    <s v="Mama's Pride"/>
    <s v="B08"/>
    <x v="7"/>
    <s v="Kwara"/>
    <x v="2"/>
    <s v="Walk-in"/>
    <s v="Transfer"/>
    <n v="-2"/>
    <n v="6200"/>
    <n v="7900"/>
    <n v="0.1"/>
    <x v="9"/>
    <n v="7"/>
    <n v="-15800"/>
    <n v="-1580"/>
    <n v="-14220"/>
    <n v="-12400"/>
    <n v="-1820"/>
    <n v="0.12798874824191281"/>
    <s v="Healthy"/>
    <s v="Discount loss"/>
    <n v="0.21518987341772153"/>
    <s v="Safe"/>
    <n v="1700"/>
    <n v="0.21518987341772153"/>
  </r>
  <r>
    <s v="ORD-12631"/>
    <x v="260"/>
    <s v="P003"/>
    <x v="12"/>
    <s v="Food"/>
    <s v="Cooking Oil"/>
    <s v="SunGold"/>
    <s v="B03"/>
    <x v="6"/>
    <s v="Lagos"/>
    <x v="4"/>
    <s v="Walk-in"/>
    <s v="Transfer"/>
    <n v="3"/>
    <n v="7800"/>
    <n v="9800"/>
    <n v="0"/>
    <x v="8"/>
    <n v="10"/>
    <n v="29400"/>
    <n v="0"/>
    <n v="29400"/>
    <n v="23400"/>
    <n v="6000"/>
    <n v="0.20408163265306123"/>
    <s v="Understocked"/>
    <s v="Safe"/>
    <n v="0.20408163265306123"/>
    <s v="Safe"/>
    <n v="2000"/>
    <n v="0.20408163265306123"/>
  </r>
  <r>
    <s v="ORD-12632"/>
    <x v="241"/>
    <s v="P022"/>
    <x v="17"/>
    <s v="Office Supplies"/>
    <s v="Writing"/>
    <s v="WriteWell"/>
    <s v="B02"/>
    <x v="4"/>
    <s v="Abuja"/>
    <x v="2"/>
    <s v="Member"/>
    <s v="Transfer"/>
    <n v="2"/>
    <n v="1300"/>
    <n v="2100"/>
    <n v="0.05"/>
    <x v="15"/>
    <n v="10"/>
    <n v="4200"/>
    <n v="210"/>
    <n v="3990"/>
    <n v="2600"/>
    <n v="1390"/>
    <n v="0.34837092731829572"/>
    <s v="Understocked"/>
    <s v="Safe"/>
    <n v="0.38095238095238093"/>
    <s v="Safe"/>
    <n v="800"/>
    <n v="0.38095238095238093"/>
  </r>
  <r>
    <s v="ORD-12633"/>
    <x v="288"/>
    <s v="P010"/>
    <x v="22"/>
    <s v="Household"/>
    <s v="Paper Products"/>
    <s v="SoftCare"/>
    <s v="B04"/>
    <x v="5"/>
    <s v="Lagos"/>
    <x v="4"/>
    <s v="Walk-in"/>
    <s v="POS"/>
    <n v="1"/>
    <n v="3200"/>
    <n v="4500"/>
    <n v="0"/>
    <x v="1"/>
    <n v="7"/>
    <n v="4500"/>
    <n v="0"/>
    <n v="4500"/>
    <n v="3200"/>
    <n v="1300"/>
    <n v="0.28888888888888886"/>
    <s v="Healthy"/>
    <s v="Safe"/>
    <n v="0.28888888888888886"/>
    <s v="Safe"/>
    <n v="1300"/>
    <n v="0.28888888888888886"/>
  </r>
  <r>
    <s v="ORD-12634"/>
    <x v="285"/>
    <s v="P020"/>
    <x v="5"/>
    <s v="Electronics"/>
    <s v="Lighting"/>
    <s v="Luma"/>
    <s v="B05"/>
    <x v="0"/>
    <s v="Kano"/>
    <x v="0"/>
    <s v="Member"/>
    <s v="Cash"/>
    <n v="2"/>
    <n v="1500"/>
    <n v="2500"/>
    <n v="0"/>
    <x v="13"/>
    <n v="12"/>
    <n v="5000"/>
    <n v="0"/>
    <n v="5000"/>
    <n v="3000"/>
    <n v="2000"/>
    <n v="0.4"/>
    <s v="Healthy"/>
    <s v="Safe"/>
    <n v="0.4"/>
    <s v="Safe"/>
    <n v="1000"/>
    <n v="0.4"/>
  </r>
  <r>
    <s v="ORD-12635"/>
    <x v="102"/>
    <s v="P007"/>
    <x v="3"/>
    <s v="Beverages"/>
    <s v="Malt"/>
    <s v="Naija Malt"/>
    <s v="B03"/>
    <x v="6"/>
    <s v="Lagos"/>
    <x v="4"/>
    <s v="Walk-in"/>
    <s v="Transfer"/>
    <n v="5"/>
    <n v="550"/>
    <n v="850"/>
    <n v="0"/>
    <x v="0"/>
    <n v="3"/>
    <n v="4250"/>
    <n v="0"/>
    <n v="4250"/>
    <n v="2750"/>
    <n v="1500"/>
    <n v="0.35294117647058826"/>
    <s v="Healthy"/>
    <s v="Safe"/>
    <n v="0.35294117647058826"/>
    <s v="Safe"/>
    <n v="300"/>
    <n v="0.35294117647058826"/>
  </r>
  <r>
    <s v="ORD-12636"/>
    <x v="3"/>
    <s v="P014"/>
    <x v="15"/>
    <s v="Personal Care"/>
    <s v="Oral Care"/>
    <s v="FreshMint"/>
    <s v="B03"/>
    <x v="6"/>
    <s v="Lagos"/>
    <x v="4"/>
    <s v="Member"/>
    <s v="POS"/>
    <n v="1"/>
    <n v="1200"/>
    <n v="1900"/>
    <n v="0"/>
    <x v="6"/>
    <n v="1"/>
    <n v="1900"/>
    <n v="0"/>
    <n v="1900"/>
    <n v="1200"/>
    <n v="700"/>
    <n v="0.36842105263157893"/>
    <s v="Healthy"/>
    <s v="Safe"/>
    <n v="0.36842105263157893"/>
    <s v="Safe"/>
    <n v="700"/>
    <n v="0.36842105263157893"/>
  </r>
  <r>
    <s v="ORD-12637"/>
    <x v="36"/>
    <s v="P001"/>
    <x v="14"/>
    <s v="Food"/>
    <s v="Grains"/>
    <s v="Golden Harvest"/>
    <s v="B03"/>
    <x v="6"/>
    <s v="Lagos"/>
    <x v="4"/>
    <s v="Walk-in"/>
    <s v="POS"/>
    <n v="4"/>
    <n v="14500"/>
    <n v="17500"/>
    <n v="0.15"/>
    <x v="1"/>
    <n v="13"/>
    <n v="70000"/>
    <n v="10500"/>
    <n v="59500"/>
    <n v="58000"/>
    <n v="1500"/>
    <n v="2.5210084033613446E-2"/>
    <s v="Understocked"/>
    <s v="Safe"/>
    <n v="0.17142857142857143"/>
    <s v="Safe"/>
    <n v="3000"/>
    <n v="0.17142857142857143"/>
  </r>
  <r>
    <s v="ORD-12638"/>
    <x v="293"/>
    <s v="P019"/>
    <x v="18"/>
    <s v="Electronics"/>
    <s v="Audio"/>
    <s v="SoundBeat"/>
    <s v="B04"/>
    <x v="5"/>
    <s v="Lagos"/>
    <x v="4"/>
    <s v="Walk-in"/>
    <s v="Cash"/>
    <n v="1"/>
    <n v="12500"/>
    <n v="18500"/>
    <n v="0.2"/>
    <x v="12"/>
    <n v="12"/>
    <n v="18500"/>
    <n v="3700"/>
    <n v="14800"/>
    <n v="12500"/>
    <n v="2300"/>
    <n v="0.1554054054054054"/>
    <s v="Understocked"/>
    <s v="Safe"/>
    <n v="0.32432432432432434"/>
    <s v="Safe"/>
    <n v="6000"/>
    <n v="0.32432432432432434"/>
  </r>
  <r>
    <s v="ORD-12639"/>
    <x v="40"/>
    <s v="P006"/>
    <x v="0"/>
    <s v="Beverages"/>
    <s v="Water"/>
    <s v="AquaPure"/>
    <s v="B03"/>
    <x v="6"/>
    <s v="Lagos"/>
    <x v="4"/>
    <s v="Member"/>
    <s v="POS"/>
    <n v="-1"/>
    <n v="230"/>
    <n v="400"/>
    <n v="0"/>
    <x v="3"/>
    <n v="13"/>
    <n v="-400"/>
    <n v="0"/>
    <n v="-400"/>
    <n v="-230"/>
    <n v="-170"/>
    <n v="0.42499999999999999"/>
    <s v="Understocked"/>
    <s v="Safe"/>
    <n v="0.42499999999999999"/>
    <s v="Safe"/>
    <n v="170"/>
    <n v="0.42499999999999999"/>
  </r>
  <r>
    <s v="ORD-12640"/>
    <x v="19"/>
    <s v="P015"/>
    <x v="8"/>
    <s v="Personal Care"/>
    <s v="Bath"/>
    <s v="SilkyTouch"/>
    <s v="B04"/>
    <x v="5"/>
    <s v="Lagos"/>
    <x v="4"/>
    <s v="Walk-in"/>
    <s v="POS"/>
    <n v="3"/>
    <n v="600"/>
    <n v="950"/>
    <n v="0.1"/>
    <x v="10"/>
    <n v="2"/>
    <n v="2850"/>
    <n v="285"/>
    <n v="2565"/>
    <n v="1800"/>
    <n v="765"/>
    <n v="0.2982456140350877"/>
    <s v="Healthy"/>
    <s v="Safe"/>
    <n v="0.36842105263157893"/>
    <s v="Safe"/>
    <n v="350"/>
    <n v="0.36842105263157893"/>
  </r>
  <r>
    <s v="ORD-12641"/>
    <x v="108"/>
    <s v="P020"/>
    <x v="5"/>
    <s v="Electronics"/>
    <s v="Lighting"/>
    <s v="Luma"/>
    <s v="B04"/>
    <x v="5"/>
    <s v="Lagos"/>
    <x v="4"/>
    <s v="Corporate"/>
    <s v="Card"/>
    <n v="1"/>
    <n v="1500"/>
    <n v="2500"/>
    <n v="0.05"/>
    <x v="12"/>
    <n v="5"/>
    <n v="2500"/>
    <n v="125"/>
    <n v="2375"/>
    <n v="1500"/>
    <n v="875"/>
    <n v="0.36842105263157893"/>
    <s v="Healthy"/>
    <s v="Safe"/>
    <n v="0.4"/>
    <s v="Safe"/>
    <n v="1000"/>
    <n v="0.4"/>
  </r>
  <r>
    <s v="ORD-12642"/>
    <x v="24"/>
    <s v="P020"/>
    <x v="5"/>
    <s v="Electronics"/>
    <s v="Lighting"/>
    <s v="Luma"/>
    <s v="B05"/>
    <x v="0"/>
    <s v="Kano"/>
    <x v="0"/>
    <s v="Member"/>
    <s v="Card"/>
    <n v="1"/>
    <n v="1500"/>
    <n v="2500"/>
    <n v="0.1"/>
    <x v="13"/>
    <n v="12"/>
    <n v="2500"/>
    <n v="250"/>
    <n v="2250"/>
    <n v="1500"/>
    <n v="750"/>
    <n v="0.33333333333333331"/>
    <s v="Healthy"/>
    <s v="Safe"/>
    <n v="0.4"/>
    <s v="Safe"/>
    <n v="1000"/>
    <n v="0.4"/>
  </r>
  <r>
    <s v="ORD-12643"/>
    <x v="80"/>
    <s v="P007"/>
    <x v="3"/>
    <s v="Beverages"/>
    <s v="Malt"/>
    <s v="Naija Malt"/>
    <s v="B01"/>
    <x v="2"/>
    <s v="Abuja"/>
    <x v="2"/>
    <s v="Walk-in"/>
    <s v="POS"/>
    <n v="5"/>
    <n v="550"/>
    <n v="850"/>
    <n v="0.05"/>
    <x v="0"/>
    <n v="13"/>
    <n v="4250"/>
    <n v="212.5"/>
    <n v="4037.5"/>
    <n v="2750"/>
    <n v="1287.5"/>
    <n v="0.31888544891640869"/>
    <s v="Healthy"/>
    <s v="Safe"/>
    <n v="0.35294117647058826"/>
    <s v="Safe"/>
    <n v="300"/>
    <n v="0.35294117647058826"/>
  </r>
  <r>
    <s v="ORD-12644"/>
    <x v="171"/>
    <s v="P023"/>
    <x v="6"/>
    <s v="Office Supplies"/>
    <s v="Stationery"/>
    <s v="StudyPro"/>
    <s v="B05"/>
    <x v="0"/>
    <s v="Kano"/>
    <x v="0"/>
    <s v="Member"/>
    <s v="POS"/>
    <n v="2"/>
    <n v="2800"/>
    <n v="4200"/>
    <n v="0"/>
    <x v="5"/>
    <n v="5"/>
    <n v="8400"/>
    <n v="0"/>
    <n v="8400"/>
    <n v="5600"/>
    <n v="2800"/>
    <n v="0.33333333333333331"/>
    <s v="Understocked"/>
    <s v="Safe"/>
    <n v="0.33333333333333331"/>
    <s v="Safe"/>
    <n v="1400"/>
    <n v="0.33333333333333331"/>
  </r>
  <r>
    <s v="ORD-12645"/>
    <x v="209"/>
    <s v="P023"/>
    <x v="6"/>
    <s v="Office Supplies"/>
    <s v="Stationery"/>
    <s v="StudyPro"/>
    <s v="B06"/>
    <x v="1"/>
    <s v="Rivers"/>
    <x v="1"/>
    <s v="Member"/>
    <s v="Card"/>
    <n v="5"/>
    <n v="2800"/>
    <n v="4200"/>
    <n v="0.15"/>
    <x v="15"/>
    <n v="1"/>
    <n v="21000"/>
    <n v="3150"/>
    <n v="17850"/>
    <n v="14000"/>
    <n v="3850"/>
    <n v="0.21568627450980393"/>
    <s v="Understocked"/>
    <s v="Safe"/>
    <n v="0.33333333333333331"/>
    <s v="Safe"/>
    <n v="1400"/>
    <n v="0.33333333333333331"/>
  </r>
  <r>
    <s v="ORD-12646"/>
    <x v="5"/>
    <s v="P010"/>
    <x v="22"/>
    <s v="Household"/>
    <s v="Paper Products"/>
    <s v="SoftCare"/>
    <s v="B02"/>
    <x v="4"/>
    <s v="Abuja"/>
    <x v="2"/>
    <s v="Member"/>
    <s v="Transfer"/>
    <n v="5"/>
    <n v="3200"/>
    <n v="4500"/>
    <n v="0"/>
    <x v="7"/>
    <n v="10"/>
    <n v="22500"/>
    <n v="0"/>
    <n v="22500"/>
    <n v="16000"/>
    <n v="6500"/>
    <n v="0.28888888888888886"/>
    <s v="Healthy"/>
    <s v="Safe"/>
    <n v="0.28888888888888886"/>
    <s v="Safe"/>
    <n v="1300"/>
    <n v="0.28888888888888886"/>
  </r>
  <r>
    <s v="ORD-12647"/>
    <x v="136"/>
    <s v="P006"/>
    <x v="0"/>
    <s v="Beverages"/>
    <s v="Water"/>
    <s v="AquaPure"/>
    <s v="B02"/>
    <x v="4"/>
    <s v="Abuja"/>
    <x v="2"/>
    <s v="Member"/>
    <s v="Cash"/>
    <n v="3"/>
    <n v="230"/>
    <n v="400"/>
    <n v="0.2"/>
    <x v="2"/>
    <n v="10"/>
    <n v="1200"/>
    <n v="240"/>
    <n v="960"/>
    <n v="690"/>
    <n v="270"/>
    <n v="0.28125"/>
    <s v="Understocked"/>
    <s v="Safe"/>
    <n v="0.42499999999999999"/>
    <s v="Safe"/>
    <n v="170"/>
    <n v="0.42499999999999999"/>
  </r>
  <r>
    <s v="ORD-12648"/>
    <x v="14"/>
    <s v="P015"/>
    <x v="8"/>
    <s v="Personal Care"/>
    <s v="Bath"/>
    <s v="SilkyTouch"/>
    <s v="B03"/>
    <x v="6"/>
    <s v="Lagos"/>
    <x v="4"/>
    <s v="Walk-in"/>
    <s v="Transfer"/>
    <n v="1"/>
    <n v="600"/>
    <n v="950"/>
    <n v="0.1"/>
    <x v="11"/>
    <n v="12"/>
    <n v="950"/>
    <n v="95"/>
    <n v="855"/>
    <n v="600"/>
    <n v="255"/>
    <n v="0.2982456140350877"/>
    <s v="Healthy"/>
    <s v="Safe"/>
    <n v="0.36842105263157893"/>
    <s v="Safe"/>
    <n v="350"/>
    <n v="0.36842105263157893"/>
  </r>
  <r>
    <s v="ORD-12649"/>
    <x v="20"/>
    <s v="P008"/>
    <x v="4"/>
    <s v="Beverages"/>
    <s v="Soft Drinks"/>
    <s v="Sparkle"/>
    <s v="B03"/>
    <x v="6"/>
    <s v="Lagos"/>
    <x v="4"/>
    <s v="Walk-in"/>
    <s v="POS"/>
    <n v="6"/>
    <n v="330"/>
    <n v="550"/>
    <n v="0.1"/>
    <x v="2"/>
    <n v="4"/>
    <n v="3300"/>
    <n v="330"/>
    <n v="2970"/>
    <n v="1980"/>
    <n v="990"/>
    <n v="0.33333333333333331"/>
    <s v="Healthy"/>
    <s v="Safe"/>
    <n v="0.4"/>
    <s v="Safe"/>
    <n v="220"/>
    <n v="0.4"/>
  </r>
  <r>
    <s v="ORD-12650"/>
    <x v="114"/>
    <s v="P021"/>
    <x v="20"/>
    <s v="Office Supplies"/>
    <s v="Paper"/>
    <s v="OfficeMate"/>
    <s v="B05"/>
    <x v="0"/>
    <s v="Kano"/>
    <x v="0"/>
    <s v="Walk-in"/>
    <s v="POS"/>
    <n v="1"/>
    <n v="5200"/>
    <n v="7000"/>
    <n v="0.2"/>
    <x v="5"/>
    <n v="3"/>
    <n v="7000"/>
    <n v="1400"/>
    <n v="5600"/>
    <n v="5200"/>
    <n v="400"/>
    <n v="7.1428571428571425E-2"/>
    <s v="Overstocked"/>
    <s v="Safe"/>
    <n v="0.25714285714285712"/>
    <s v="Safe"/>
    <n v="1800"/>
    <n v="0.25714285714285712"/>
  </r>
  <r>
    <s v="ORD-12651"/>
    <x v="156"/>
    <s v="P004"/>
    <x v="1"/>
    <s v="Beverages"/>
    <s v="Dairy"/>
    <s v="FreshDay"/>
    <s v="B02"/>
    <x v="4"/>
    <s v="Abuja"/>
    <x v="2"/>
    <s v="Walk-in"/>
    <s v="POS"/>
    <n v="2"/>
    <n v="1650"/>
    <n v="2200"/>
    <n v="0.05"/>
    <x v="3"/>
    <n v="10"/>
    <n v="4400"/>
    <n v="220"/>
    <n v="4180"/>
    <n v="3300"/>
    <n v="880"/>
    <n v="0.21052631578947367"/>
    <s v="Understocked"/>
    <s v="Safe"/>
    <n v="0.25"/>
    <s v="Safe"/>
    <n v="550"/>
    <n v="0.25"/>
  </r>
  <r>
    <s v="ORD-12652"/>
    <x v="226"/>
    <s v="P008"/>
    <x v="4"/>
    <s v="Beverages"/>
    <s v="Soft Drinks"/>
    <s v="Sparkle"/>
    <s v="B03"/>
    <x v="6"/>
    <s v="Lagos"/>
    <x v="4"/>
    <s v="Walk-in"/>
    <s v="Cash"/>
    <n v="8"/>
    <n v="330"/>
    <n v="550"/>
    <n v="0.2"/>
    <x v="0"/>
    <n v="10"/>
    <n v="4400"/>
    <n v="880"/>
    <n v="3520"/>
    <n v="2640"/>
    <n v="880"/>
    <n v="0.25"/>
    <s v="Healthy"/>
    <s v="Safe"/>
    <n v="0.4"/>
    <s v="Safe"/>
    <n v="220"/>
    <n v="0.4"/>
  </r>
  <r>
    <s v="ORD-12653"/>
    <x v="298"/>
    <s v="P023"/>
    <x v="6"/>
    <s v="Office Supplies"/>
    <s v="Stationery"/>
    <s v="StudyPro"/>
    <s v="B01"/>
    <x v="2"/>
    <s v="Abuja"/>
    <x v="2"/>
    <s v="Member"/>
    <s v="POS"/>
    <n v="2"/>
    <n v="2800"/>
    <n v="4200"/>
    <n v="0.1"/>
    <x v="15"/>
    <n v="3"/>
    <n v="8400"/>
    <n v="840"/>
    <n v="7560"/>
    <n v="5600"/>
    <n v="1960"/>
    <n v="0.25925925925925924"/>
    <s v="Understocked"/>
    <s v="Safe"/>
    <n v="0.33333333333333331"/>
    <s v="Safe"/>
    <n v="1400"/>
    <n v="0.33333333333333331"/>
  </r>
  <r>
    <s v="ORD-12654"/>
    <x v="259"/>
    <s v="P008"/>
    <x v="4"/>
    <s v="Beverages"/>
    <s v="Soft Drinks"/>
    <s v="Sparkle"/>
    <s v="B04"/>
    <x v="5"/>
    <s v="Lagos"/>
    <x v="4"/>
    <s v="Member"/>
    <s v="Transfer"/>
    <n v="2"/>
    <n v="330"/>
    <n v="550"/>
    <n v="0.2"/>
    <x v="3"/>
    <n v="9"/>
    <n v="1100"/>
    <n v="220"/>
    <n v="880"/>
    <n v="660"/>
    <n v="220"/>
    <n v="0.25"/>
    <s v="Healthy"/>
    <s v="Safe"/>
    <n v="0.4"/>
    <s v="Safe"/>
    <n v="220"/>
    <n v="0.4"/>
  </r>
  <r>
    <s v="ORD-12655"/>
    <x v="236"/>
    <s v="P007"/>
    <x v="3"/>
    <s v="Beverages"/>
    <s v="Malt"/>
    <s v="Naija Malt"/>
    <s v="B06"/>
    <x v="1"/>
    <s v="Rivers"/>
    <x v="1"/>
    <s v="Walk-in"/>
    <s v="POS"/>
    <n v="1"/>
    <n v="550"/>
    <n v="850"/>
    <n v="0"/>
    <x v="2"/>
    <n v="2"/>
    <n v="850"/>
    <n v="0"/>
    <n v="850"/>
    <n v="550"/>
    <n v="300"/>
    <n v="0.35294117647058826"/>
    <s v="Healthy"/>
    <s v="Safe"/>
    <n v="0.35294117647058826"/>
    <s v="Safe"/>
    <n v="300"/>
    <n v="0.35294117647058826"/>
  </r>
  <r>
    <s v="ORD-12656"/>
    <x v="141"/>
    <s v="P021"/>
    <x v="20"/>
    <s v="Office Supplies"/>
    <s v="Paper"/>
    <s v="OfficeMate"/>
    <s v="B06"/>
    <x v="1"/>
    <s v="Rivers"/>
    <x v="1"/>
    <s v="Walk-in"/>
    <s v="Cash"/>
    <n v="2"/>
    <n v="5200"/>
    <n v="7000"/>
    <n v="0.15"/>
    <x v="15"/>
    <n v="10"/>
    <n v="14000"/>
    <n v="2100"/>
    <n v="11900"/>
    <n v="10400"/>
    <n v="1500"/>
    <n v="0.12605042016806722"/>
    <s v="Overstocked"/>
    <s v="Safe"/>
    <n v="0.25714285714285712"/>
    <s v="Safe"/>
    <n v="1800"/>
    <n v="0.25714285714285712"/>
  </r>
  <r>
    <s v="ORD-12657"/>
    <x v="128"/>
    <s v="P020"/>
    <x v="5"/>
    <s v="Electronics"/>
    <s v="Lighting"/>
    <s v="Luma"/>
    <s v="B03"/>
    <x v="6"/>
    <s v="Lagos"/>
    <x v="4"/>
    <s v="Walk-in"/>
    <s v="Cash"/>
    <n v="1"/>
    <n v="1500"/>
    <n v="2500"/>
    <n v="0.05"/>
    <x v="13"/>
    <n v="9"/>
    <n v="2500"/>
    <n v="125"/>
    <n v="2375"/>
    <n v="1500"/>
    <n v="875"/>
    <n v="0.36842105263157893"/>
    <s v="Healthy"/>
    <s v="Safe"/>
    <n v="0.4"/>
    <s v="Safe"/>
    <n v="1000"/>
    <n v="0.4"/>
  </r>
  <r>
    <s v="ORD-12658"/>
    <x v="2"/>
    <s v="P020"/>
    <x v="5"/>
    <s v="Electronics"/>
    <s v="Lighting"/>
    <s v="Luma"/>
    <s v="B03"/>
    <x v="6"/>
    <s v="Lagos"/>
    <x v="4"/>
    <s v="Walk-in"/>
    <s v="Card"/>
    <n v="1"/>
    <n v="1500"/>
    <n v="2500"/>
    <n v="0.1"/>
    <x v="12"/>
    <n v="11"/>
    <n v="2500"/>
    <n v="250"/>
    <n v="2250"/>
    <n v="1500"/>
    <n v="750"/>
    <n v="0.33333333333333331"/>
    <s v="Healthy"/>
    <s v="Safe"/>
    <n v="0.4"/>
    <s v="Safe"/>
    <n v="1000"/>
    <n v="0.4"/>
  </r>
  <r>
    <s v="ORD-12659"/>
    <x v="244"/>
    <s v="P010"/>
    <x v="22"/>
    <s v="Household"/>
    <s v="Paper Products"/>
    <s v="SoftCare"/>
    <s v="B07"/>
    <x v="3"/>
    <s v="Enugu"/>
    <x v="3"/>
    <s v="Walk-in"/>
    <s v="Card"/>
    <n v="2"/>
    <n v="3200"/>
    <n v="4500"/>
    <n v="0.05"/>
    <x v="7"/>
    <n v="13"/>
    <n v="9000"/>
    <n v="450"/>
    <n v="8550"/>
    <n v="6400"/>
    <n v="2150"/>
    <n v="0.25146198830409355"/>
    <s v="Healthy"/>
    <s v="Safe"/>
    <n v="0.28888888888888886"/>
    <s v="Safe"/>
    <n v="1300"/>
    <n v="0.28888888888888886"/>
  </r>
  <r>
    <s v="ORD-12660"/>
    <x v="237"/>
    <s v="P001"/>
    <x v="14"/>
    <s v="Food"/>
    <s v="Grains"/>
    <s v="Golden Harvest"/>
    <s v="B01"/>
    <x v="2"/>
    <s v="Abuja"/>
    <x v="2"/>
    <s v="Walk-in"/>
    <s v="POS"/>
    <n v="6"/>
    <n v="14500"/>
    <n v="17500"/>
    <n v="0.05"/>
    <x v="8"/>
    <n v="14"/>
    <n v="105000"/>
    <n v="5250"/>
    <n v="99750"/>
    <n v="87000"/>
    <n v="12750"/>
    <n v="0.12781954887218044"/>
    <s v="Understocked"/>
    <s v="Safe"/>
    <n v="0.17142857142857143"/>
    <s v="Safe"/>
    <n v="3000"/>
    <n v="0.17142857142857143"/>
  </r>
  <r>
    <s v="ORD-12661"/>
    <x v="210"/>
    <s v="P006"/>
    <x v="0"/>
    <s v="Beverages"/>
    <s v="Water"/>
    <s v="AquaPure"/>
    <s v="B04"/>
    <x v="5"/>
    <s v="Lagos"/>
    <x v="4"/>
    <s v="Member"/>
    <s v="Transfer"/>
    <n v="8"/>
    <n v="230"/>
    <n v="400"/>
    <n v="0.05"/>
    <x v="3"/>
    <n v="3"/>
    <n v="3200"/>
    <n v="160"/>
    <n v="3040"/>
    <n v="1840"/>
    <n v="1200"/>
    <n v="0.39473684210526316"/>
    <s v="Understocked"/>
    <s v="Safe"/>
    <n v="0.42499999999999999"/>
    <s v="Safe"/>
    <n v="170"/>
    <n v="0.42499999999999999"/>
  </r>
  <r>
    <s v="ORD-12662"/>
    <x v="251"/>
    <s v="P007"/>
    <x v="3"/>
    <s v="Beverages"/>
    <s v="Malt"/>
    <s v="Naija Malt"/>
    <s v="B02"/>
    <x v="4"/>
    <s v="Abuja"/>
    <x v="2"/>
    <s v="Walk-in"/>
    <s v="POS"/>
    <n v="1"/>
    <n v="550"/>
    <n v="850"/>
    <n v="0.1"/>
    <x v="3"/>
    <n v="13"/>
    <n v="850"/>
    <n v="85"/>
    <n v="765"/>
    <n v="550"/>
    <n v="215"/>
    <n v="0.28104575163398693"/>
    <s v="Healthy"/>
    <s v="Safe"/>
    <n v="0.35294117647058826"/>
    <s v="Safe"/>
    <n v="300"/>
    <n v="0.35294117647058826"/>
  </r>
  <r>
    <s v="ORD-12663"/>
    <x v="198"/>
    <s v="P004"/>
    <x v="1"/>
    <s v="Beverages"/>
    <s v="Dairy"/>
    <s v="FreshDay"/>
    <s v="B08"/>
    <x v="7"/>
    <s v="Kwara"/>
    <x v="2"/>
    <s v="Member"/>
    <s v="POS"/>
    <n v="5"/>
    <n v="1650"/>
    <n v="2200"/>
    <n v="0.15"/>
    <x v="2"/>
    <n v="3"/>
    <n v="11000"/>
    <n v="1650"/>
    <n v="9350"/>
    <n v="8250"/>
    <n v="1100"/>
    <n v="0.11764705882352941"/>
    <s v="Understocked"/>
    <s v="Safe"/>
    <n v="0.25"/>
    <s v="Safe"/>
    <n v="550"/>
    <n v="0.25"/>
  </r>
  <r>
    <s v="ORD-12664"/>
    <x v="101"/>
    <s v="P008"/>
    <x v="4"/>
    <s v="Beverages"/>
    <s v="Soft Drinks"/>
    <s v="Sparkle"/>
    <s v="B02"/>
    <x v="4"/>
    <s v="Abuja"/>
    <x v="2"/>
    <s v="Walk-in"/>
    <s v="Cash"/>
    <n v="8"/>
    <n v="330"/>
    <n v="550"/>
    <n v="0.1"/>
    <x v="2"/>
    <n v="8"/>
    <n v="4400"/>
    <n v="440"/>
    <n v="3960"/>
    <n v="2640"/>
    <n v="1320"/>
    <n v="0.33333333333333331"/>
    <s v="Healthy"/>
    <s v="Safe"/>
    <n v="0.4"/>
    <s v="Safe"/>
    <n v="220"/>
    <n v="0.4"/>
  </r>
  <r>
    <s v="ORD-12665"/>
    <x v="303"/>
    <s v="P002"/>
    <x v="10"/>
    <s v="Food"/>
    <s v="Grains"/>
    <s v="Mama's Pride"/>
    <s v="B05"/>
    <x v="0"/>
    <s v="Kano"/>
    <x v="0"/>
    <s v="Member"/>
    <s v="POS"/>
    <n v="2"/>
    <n v="6200"/>
    <n v="7900"/>
    <n v="0.05"/>
    <x v="8"/>
    <n v="11"/>
    <n v="15800"/>
    <n v="790"/>
    <n v="15010"/>
    <n v="12400"/>
    <n v="2610"/>
    <n v="0.17388407728181213"/>
    <s v="Healthy"/>
    <s v="Safe"/>
    <n v="0.21518987341772153"/>
    <s v="Safe"/>
    <n v="1700"/>
    <n v="0.21518987341772153"/>
  </r>
  <r>
    <s v="ORD-12666"/>
    <x v="70"/>
    <s v="P005"/>
    <x v="2"/>
    <s v="Food"/>
    <s v="Snacks"/>
    <s v="CrispyBite"/>
    <s v="B06"/>
    <x v="1"/>
    <s v="Rivers"/>
    <x v="1"/>
    <s v="Walk-in"/>
    <s v="POS"/>
    <n v="3"/>
    <n v="850"/>
    <n v="1300"/>
    <n v="0.05"/>
    <x v="8"/>
    <n v="6"/>
    <n v="3900"/>
    <n v="195"/>
    <n v="3705"/>
    <n v="2550"/>
    <n v="1155"/>
    <n v="0.31174089068825911"/>
    <s v="Understocked"/>
    <s v="Safe"/>
    <n v="0.34615384615384615"/>
    <s v="Safe"/>
    <n v="450"/>
    <n v="0.34615384615384615"/>
  </r>
  <r>
    <s v="ORD-12667"/>
    <x v="225"/>
    <s v="P015"/>
    <x v="8"/>
    <s v="Personal Care"/>
    <s v="Bath"/>
    <s v="SilkyTouch"/>
    <s v="B03"/>
    <x v="6"/>
    <s v="Lagos"/>
    <x v="4"/>
    <s v="Corporate"/>
    <s v="POS"/>
    <n v="4"/>
    <n v="600"/>
    <n v="950"/>
    <n v="0.15"/>
    <x v="11"/>
    <n v="6"/>
    <n v="3800"/>
    <n v="570"/>
    <n v="3230"/>
    <n v="2400"/>
    <n v="830"/>
    <n v="0.25696594427244585"/>
    <s v="Healthy"/>
    <s v="Safe"/>
    <n v="0.36842105263157893"/>
    <s v="Safe"/>
    <n v="350"/>
    <n v="0.36842105263157893"/>
  </r>
  <r>
    <s v="ORD-12668"/>
    <x v="13"/>
    <s v="P005"/>
    <x v="2"/>
    <s v="Food"/>
    <s v="Snacks"/>
    <s v="CrispyBite"/>
    <s v="B06"/>
    <x v="1"/>
    <s v="Rivers"/>
    <x v="1"/>
    <s v="Walk-in"/>
    <s v="POS"/>
    <n v="2"/>
    <n v="850"/>
    <n v="1300"/>
    <n v="0"/>
    <x v="9"/>
    <n v="11"/>
    <n v="2600"/>
    <n v="0"/>
    <n v="2600"/>
    <n v="1700"/>
    <n v="900"/>
    <n v="0.34615384615384615"/>
    <s v="Understocked"/>
    <s v="Safe"/>
    <n v="0.34615384615384615"/>
    <s v="Safe"/>
    <n v="450"/>
    <n v="0.34615384615384615"/>
  </r>
  <r>
    <s v="ORD-12669"/>
    <x v="128"/>
    <s v="P014"/>
    <x v="15"/>
    <s v="Personal Care"/>
    <s v="Oral Care"/>
    <s v="FreshMint"/>
    <s v="B08"/>
    <x v="7"/>
    <s v="Kwara"/>
    <x v="2"/>
    <s v="Member"/>
    <s v="Card"/>
    <n v="3"/>
    <n v="1200"/>
    <n v="1900"/>
    <n v="0.15"/>
    <x v="11"/>
    <n v="14"/>
    <n v="5700"/>
    <n v="855"/>
    <n v="4845"/>
    <n v="3600"/>
    <n v="1245"/>
    <n v="0.25696594427244585"/>
    <s v="Healthy"/>
    <s v="Safe"/>
    <n v="0.36842105263157893"/>
    <s v="Safe"/>
    <n v="700"/>
    <n v="0.36842105263157893"/>
  </r>
  <r>
    <s v="ORD-12670"/>
    <x v="106"/>
    <s v="P005"/>
    <x v="2"/>
    <s v="Food"/>
    <s v="Snacks"/>
    <s v="CrispyBite"/>
    <s v="B01"/>
    <x v="2"/>
    <s v="Abuja"/>
    <x v="2"/>
    <s v="Walk-in"/>
    <s v="Transfer"/>
    <n v="4"/>
    <n v="850"/>
    <n v="1300"/>
    <n v="0.05"/>
    <x v="1"/>
    <n v="10"/>
    <n v="5200"/>
    <n v="260"/>
    <n v="4940"/>
    <n v="3400"/>
    <n v="1540"/>
    <n v="0.31174089068825911"/>
    <s v="Understocked"/>
    <s v="Safe"/>
    <n v="0.34615384615384615"/>
    <s v="Safe"/>
    <n v="450"/>
    <n v="0.34615384615384615"/>
  </r>
  <r>
    <s v="ORD-12671"/>
    <x v="31"/>
    <s v="P017"/>
    <x v="23"/>
    <s v="Electronics"/>
    <s v="Accessories"/>
    <s v="PowerMax"/>
    <s v="B05"/>
    <x v="0"/>
    <s v="Kano"/>
    <x v="0"/>
    <s v="Walk-in"/>
    <s v="POS"/>
    <n v="5"/>
    <n v="7500"/>
    <n v="10500"/>
    <n v="0.2"/>
    <x v="13"/>
    <n v="5"/>
    <n v="52500"/>
    <n v="10500"/>
    <n v="42000"/>
    <n v="37500"/>
    <n v="4500"/>
    <n v="0.10714285714285714"/>
    <s v="Healthy"/>
    <s v="Safe"/>
    <n v="0.2857142857142857"/>
    <s v="Safe"/>
    <n v="3000"/>
    <n v="0.2857142857142857"/>
  </r>
  <r>
    <s v="ORD-12672"/>
    <x v="337"/>
    <s v="P024"/>
    <x v="19"/>
    <s v="Office Supplies"/>
    <s v="Accessories"/>
    <s v="ErgoDesk"/>
    <s v="B05"/>
    <x v="0"/>
    <s v="Kano"/>
    <x v="0"/>
    <s v="Walk-in"/>
    <s v="POS"/>
    <n v="6"/>
    <n v="1700"/>
    <n v="2800"/>
    <n v="0"/>
    <x v="14"/>
    <n v="6"/>
    <n v="16800"/>
    <n v="0"/>
    <n v="16800"/>
    <n v="10200"/>
    <n v="6600"/>
    <n v="0.39285714285714285"/>
    <s v="Overstocked"/>
    <s v="Safe"/>
    <n v="0.39285714285714285"/>
    <s v="Safe"/>
    <n v="1100"/>
    <n v="0.39285714285714285"/>
  </r>
  <r>
    <s v="ORD-12673"/>
    <x v="123"/>
    <s v="P024"/>
    <x v="19"/>
    <s v="Office Supplies"/>
    <s v="Accessories"/>
    <s v="ErgoDesk"/>
    <s v="B01"/>
    <x v="2"/>
    <s v="Abuja"/>
    <x v="2"/>
    <s v="Walk-in"/>
    <s v="POS"/>
    <n v="1"/>
    <n v="1700"/>
    <n v="2800"/>
    <n v="0.1"/>
    <x v="15"/>
    <n v="1"/>
    <n v="2800"/>
    <n v="280"/>
    <n v="2520"/>
    <n v="1700"/>
    <n v="820"/>
    <n v="0.32539682539682541"/>
    <s v="Overstocked"/>
    <s v="Safe"/>
    <n v="0.39285714285714285"/>
    <s v="Safe"/>
    <n v="1100"/>
    <n v="0.39285714285714285"/>
  </r>
  <r>
    <s v="ORD-12674"/>
    <x v="89"/>
    <s v="P004"/>
    <x v="1"/>
    <s v="Beverages"/>
    <s v="Dairy"/>
    <s v="FreshDay"/>
    <s v="B08"/>
    <x v="7"/>
    <s v="Kwara"/>
    <x v="2"/>
    <s v="Walk-in"/>
    <s v="Transfer"/>
    <n v="3"/>
    <n v="1650"/>
    <n v="2200"/>
    <n v="0"/>
    <x v="3"/>
    <n v="12"/>
    <n v="6600"/>
    <n v="0"/>
    <n v="6600"/>
    <n v="4950"/>
    <n v="1650"/>
    <n v="0.25"/>
    <s v="Understocked"/>
    <s v="Safe"/>
    <n v="0.25"/>
    <s v="Safe"/>
    <n v="550"/>
    <n v="0.25"/>
  </r>
  <r>
    <s v="ORD-12675"/>
    <x v="211"/>
    <s v="P019"/>
    <x v="18"/>
    <s v="Electronics"/>
    <s v="Audio"/>
    <s v="SoundBeat"/>
    <s v="B04"/>
    <x v="5"/>
    <s v="Lagos"/>
    <x v="4"/>
    <s v="Walk-in"/>
    <s v="POS"/>
    <n v="2"/>
    <n v="12500"/>
    <n v="18500"/>
    <n v="0.15"/>
    <x v="12"/>
    <n v="1"/>
    <n v="37000"/>
    <n v="5550"/>
    <n v="31450"/>
    <n v="25000"/>
    <n v="6450"/>
    <n v="0.20508744038155802"/>
    <s v="Understocked"/>
    <s v="Safe"/>
    <n v="0.32432432432432434"/>
    <s v="Safe"/>
    <n v="6000"/>
    <n v="0.32432432432432434"/>
  </r>
  <r>
    <s v="ORD-12676"/>
    <x v="278"/>
    <s v="P002"/>
    <x v="10"/>
    <s v="Food"/>
    <s v="Grains"/>
    <s v="Mama's Pride"/>
    <s v="B01"/>
    <x v="2"/>
    <s v="Abuja"/>
    <x v="2"/>
    <s v="Walk-in"/>
    <s v="POS"/>
    <n v="3"/>
    <n v="6200"/>
    <n v="7900"/>
    <n v="0.05"/>
    <x v="1"/>
    <n v="12"/>
    <n v="23700"/>
    <n v="1185"/>
    <n v="22515"/>
    <n v="18600"/>
    <n v="3915"/>
    <n v="0.17388407728181213"/>
    <s v="Healthy"/>
    <s v="Safe"/>
    <n v="0.21518987341772153"/>
    <s v="Safe"/>
    <n v="1700"/>
    <n v="0.21518987341772153"/>
  </r>
  <r>
    <s v="ORD-12677"/>
    <x v="144"/>
    <s v="P024"/>
    <x v="19"/>
    <s v="Office Supplies"/>
    <s v="Accessories"/>
    <s v="ErgoDesk"/>
    <s v="B01"/>
    <x v="2"/>
    <s v="Abuja"/>
    <x v="2"/>
    <s v="Walk-in"/>
    <s v="Transfer"/>
    <n v="1"/>
    <n v="1700"/>
    <n v="2800"/>
    <n v="0.15"/>
    <x v="15"/>
    <n v="3"/>
    <n v="2800"/>
    <n v="420"/>
    <n v="2380"/>
    <n v="1700"/>
    <n v="680"/>
    <n v="0.2857142857142857"/>
    <s v="Overstocked"/>
    <s v="Safe"/>
    <n v="0.39285714285714285"/>
    <s v="Safe"/>
    <n v="1100"/>
    <n v="0.39285714285714285"/>
  </r>
  <r>
    <s v="ORD-12678"/>
    <x v="91"/>
    <s v="P006"/>
    <x v="0"/>
    <s v="Beverages"/>
    <s v="Water"/>
    <s v="AquaPure"/>
    <s v="B05"/>
    <x v="0"/>
    <s v="Kano"/>
    <x v="0"/>
    <s v="Walk-in"/>
    <s v="Transfer"/>
    <n v="4"/>
    <n v="230"/>
    <n v="400"/>
    <n v="0"/>
    <x v="2"/>
    <n v="4"/>
    <n v="1600"/>
    <n v="0"/>
    <n v="1600"/>
    <n v="920"/>
    <n v="680"/>
    <n v="0.42499999999999999"/>
    <s v="Understocked"/>
    <s v="Safe"/>
    <n v="0.42499999999999999"/>
    <s v="Safe"/>
    <n v="170"/>
    <n v="0.42499999999999999"/>
  </r>
  <r>
    <s v="ORD-12679"/>
    <x v="165"/>
    <s v="P003"/>
    <x v="12"/>
    <s v="Food"/>
    <s v="Cooking Oil"/>
    <s v="SunGold"/>
    <s v="B02"/>
    <x v="4"/>
    <s v="Abuja"/>
    <x v="2"/>
    <s v="Corporate"/>
    <s v="Cash"/>
    <n v="2"/>
    <n v="7800"/>
    <n v="9800"/>
    <n v="0"/>
    <x v="8"/>
    <n v="3"/>
    <n v="19600"/>
    <n v="0"/>
    <n v="19600"/>
    <n v="15600"/>
    <n v="4000"/>
    <n v="0.20408163265306123"/>
    <s v="Understocked"/>
    <s v="Safe"/>
    <n v="0.20408163265306123"/>
    <s v="Safe"/>
    <n v="2000"/>
    <n v="0.20408163265306123"/>
  </r>
  <r>
    <s v="ORD-12680"/>
    <x v="26"/>
    <s v="P004"/>
    <x v="1"/>
    <s v="Beverages"/>
    <s v="Dairy"/>
    <s v="FreshDay"/>
    <s v="B03"/>
    <x v="6"/>
    <s v="Lagos"/>
    <x v="4"/>
    <s v="Member"/>
    <s v="Transfer"/>
    <n v="4"/>
    <n v="1650"/>
    <n v="2200"/>
    <n v="0.15"/>
    <x v="0"/>
    <n v="1"/>
    <n v="8800"/>
    <n v="1320"/>
    <n v="7480"/>
    <n v="6600"/>
    <n v="880"/>
    <n v="0.11764705882352941"/>
    <s v="Understocked"/>
    <s v="Safe"/>
    <n v="0.25"/>
    <s v="Safe"/>
    <n v="550"/>
    <n v="0.25"/>
  </r>
  <r>
    <s v="ORD-12681"/>
    <x v="70"/>
    <s v="P005"/>
    <x v="2"/>
    <s v="Food"/>
    <s v="Snacks"/>
    <s v="CrispyBite"/>
    <s v="B02"/>
    <x v="4"/>
    <s v="Abuja"/>
    <x v="2"/>
    <s v="Walk-in"/>
    <s v="POS"/>
    <n v="4"/>
    <n v="850"/>
    <n v="1300"/>
    <n v="0.05"/>
    <x v="8"/>
    <n v="11"/>
    <n v="5200"/>
    <n v="260"/>
    <n v="4940"/>
    <n v="3400"/>
    <n v="1540"/>
    <n v="0.31174089068825911"/>
    <s v="Understocked"/>
    <s v="Safe"/>
    <n v="0.34615384615384615"/>
    <s v="Safe"/>
    <n v="450"/>
    <n v="0.34615384615384615"/>
  </r>
  <r>
    <s v="ORD-12682"/>
    <x v="21"/>
    <s v="P018"/>
    <x v="16"/>
    <s v="Electronics"/>
    <s v="Mobile Accessories"/>
    <s v="VoltSafe"/>
    <s v="B07"/>
    <x v="3"/>
    <s v="Enugu"/>
    <x v="3"/>
    <s v="Walk-in"/>
    <s v="Cash"/>
    <n v="3"/>
    <n v="18000"/>
    <n v="24500"/>
    <n v="0.1"/>
    <x v="12"/>
    <n v="5"/>
    <n v="73500"/>
    <n v="7350"/>
    <n v="66150"/>
    <n v="54000"/>
    <n v="12150"/>
    <n v="0.18367346938775511"/>
    <s v="Understocked"/>
    <s v="Safe"/>
    <n v="0.26530612244897961"/>
    <s v="Safe"/>
    <n v="6500"/>
    <n v="0.26530612244897961"/>
  </r>
  <r>
    <s v="ORD-12683"/>
    <x v="193"/>
    <s v="P006"/>
    <x v="0"/>
    <s v="Beverages"/>
    <s v="Water"/>
    <s v="AquaPure"/>
    <s v="B05"/>
    <x v="0"/>
    <s v="Kano"/>
    <x v="0"/>
    <s v="Corporate"/>
    <s v="Transfer"/>
    <n v="4"/>
    <n v="230"/>
    <n v="400"/>
    <n v="0.1"/>
    <x v="2"/>
    <n v="3"/>
    <n v="1600"/>
    <n v="160"/>
    <n v="1440"/>
    <n v="920"/>
    <n v="520"/>
    <n v="0.3611111111111111"/>
    <s v="Understocked"/>
    <s v="Safe"/>
    <n v="0.42499999999999999"/>
    <s v="Safe"/>
    <n v="170"/>
    <n v="0.42499999999999999"/>
  </r>
  <r>
    <s v="ORD-12684"/>
    <x v="141"/>
    <s v="P007"/>
    <x v="3"/>
    <s v="Beverages"/>
    <s v="Malt"/>
    <s v="Naija Malt"/>
    <s v="B02"/>
    <x v="4"/>
    <s v="Abuja"/>
    <x v="2"/>
    <s v="Corporate"/>
    <s v="Cash"/>
    <n v="2"/>
    <n v="550"/>
    <n v="850"/>
    <n v="0.05"/>
    <x v="3"/>
    <n v="11"/>
    <n v="1700"/>
    <n v="85"/>
    <n v="1615"/>
    <n v="1100"/>
    <n v="515"/>
    <n v="0.31888544891640869"/>
    <s v="Healthy"/>
    <s v="Safe"/>
    <n v="0.35294117647058826"/>
    <s v="Safe"/>
    <n v="300"/>
    <n v="0.35294117647058826"/>
  </r>
  <r>
    <s v="ORD-12685"/>
    <x v="218"/>
    <s v="P007"/>
    <x v="3"/>
    <s v="Beverages"/>
    <s v="Malt"/>
    <s v="Naija Malt"/>
    <s v="B03"/>
    <x v="6"/>
    <s v="Lagos"/>
    <x v="4"/>
    <s v="Walk-in"/>
    <s v="Transfer"/>
    <n v="4"/>
    <n v="550"/>
    <n v="850"/>
    <n v="0.15"/>
    <x v="3"/>
    <n v="3"/>
    <n v="3400"/>
    <n v="510"/>
    <n v="2890"/>
    <n v="2200"/>
    <n v="690"/>
    <n v="0.23875432525951557"/>
    <s v="Healthy"/>
    <s v="Safe"/>
    <n v="0.35294117647058826"/>
    <s v="Safe"/>
    <n v="300"/>
    <n v="0.35294117647058826"/>
  </r>
  <r>
    <s v="ORD-12686"/>
    <x v="278"/>
    <s v="P009"/>
    <x v="13"/>
    <s v="Household"/>
    <s v="Cleaning"/>
    <s v="BrightWash"/>
    <s v="B04"/>
    <x v="5"/>
    <s v="Lagos"/>
    <x v="4"/>
    <s v="Walk-in"/>
    <s v="Cash"/>
    <n v="3"/>
    <n v="2400"/>
    <n v="3400"/>
    <n v="0.15"/>
    <x v="1"/>
    <n v="10"/>
    <n v="10200"/>
    <n v="1530"/>
    <n v="8670"/>
    <n v="7200"/>
    <n v="1470"/>
    <n v="0.16955017301038061"/>
    <s v="Healthy"/>
    <s v="Safe"/>
    <n v="0.29411764705882354"/>
    <s v="Safe"/>
    <n v="1000"/>
    <n v="0.29411764705882354"/>
  </r>
  <r>
    <s v="ORD-12687"/>
    <x v="66"/>
    <s v="P010"/>
    <x v="22"/>
    <s v="Household"/>
    <s v="Paper Products"/>
    <s v="SoftCare"/>
    <s v="B01"/>
    <x v="2"/>
    <s v="Abuja"/>
    <x v="2"/>
    <s v="Member"/>
    <s v="Card"/>
    <n v="5"/>
    <n v="3200"/>
    <n v="4500"/>
    <n v="0"/>
    <x v="1"/>
    <n v="10"/>
    <n v="22500"/>
    <n v="0"/>
    <n v="22500"/>
    <n v="16000"/>
    <n v="6500"/>
    <n v="0.28888888888888886"/>
    <s v="Healthy"/>
    <s v="Safe"/>
    <n v="0.28888888888888886"/>
    <s v="Safe"/>
    <n v="1300"/>
    <n v="0.28888888888888886"/>
  </r>
  <r>
    <s v="ORD-12688"/>
    <x v="23"/>
    <s v="P008"/>
    <x v="4"/>
    <s v="Beverages"/>
    <s v="Soft Drinks"/>
    <s v="Sparkle"/>
    <s v="B04"/>
    <x v="5"/>
    <s v="Lagos"/>
    <x v="4"/>
    <s v="Member"/>
    <s v="POS"/>
    <n v="1"/>
    <n v="330"/>
    <n v="550"/>
    <n v="0.05"/>
    <x v="0"/>
    <n v="9"/>
    <n v="550"/>
    <n v="27.5"/>
    <n v="522.5"/>
    <n v="330"/>
    <n v="192.5"/>
    <n v="0.36842105263157893"/>
    <s v="Healthy"/>
    <s v="Safe"/>
    <n v="0.4"/>
    <s v="Safe"/>
    <n v="220"/>
    <n v="0.4"/>
  </r>
  <r>
    <s v="ORD-12689"/>
    <x v="94"/>
    <s v="P022"/>
    <x v="17"/>
    <s v="Office Supplies"/>
    <s v="Writing"/>
    <s v="WriteWell"/>
    <s v="B06"/>
    <x v="1"/>
    <s v="Rivers"/>
    <x v="1"/>
    <s v="Member"/>
    <s v="POS"/>
    <n v="2"/>
    <n v="1300"/>
    <n v="2100"/>
    <n v="0"/>
    <x v="15"/>
    <n v="5"/>
    <n v="4200"/>
    <n v="0"/>
    <n v="4200"/>
    <n v="2600"/>
    <n v="1600"/>
    <n v="0.38095238095238093"/>
    <s v="Understocked"/>
    <s v="Safe"/>
    <n v="0.38095238095238093"/>
    <s v="Safe"/>
    <n v="800"/>
    <n v="0.38095238095238093"/>
  </r>
  <r>
    <s v="ORD-12690"/>
    <x v="42"/>
    <s v="P022"/>
    <x v="17"/>
    <s v="Office Supplies"/>
    <s v="Writing"/>
    <s v="WriteWell"/>
    <s v="B04"/>
    <x v="5"/>
    <s v="Lagos"/>
    <x v="4"/>
    <s v="Member"/>
    <s v="Cash"/>
    <n v="1"/>
    <n v="1300"/>
    <n v="2100"/>
    <n v="0.05"/>
    <x v="14"/>
    <n v="11"/>
    <n v="2100"/>
    <n v="105"/>
    <n v="1995"/>
    <n v="1300"/>
    <n v="695"/>
    <n v="0.34837092731829572"/>
    <s v="Understocked"/>
    <s v="Safe"/>
    <n v="0.38095238095238093"/>
    <s v="Safe"/>
    <n v="800"/>
    <n v="0.38095238095238093"/>
  </r>
  <r>
    <s v="ORD-12691"/>
    <x v="73"/>
    <s v="P007"/>
    <x v="3"/>
    <s v="Beverages"/>
    <s v="Malt"/>
    <s v="Naija Malt"/>
    <s v="B07"/>
    <x v="3"/>
    <s v="Enugu"/>
    <x v="3"/>
    <s v="Member"/>
    <s v="Cash"/>
    <n v="2"/>
    <n v="550"/>
    <n v="850"/>
    <n v="0.05"/>
    <x v="3"/>
    <n v="13"/>
    <n v="1700"/>
    <n v="85"/>
    <n v="1615"/>
    <n v="1100"/>
    <n v="515"/>
    <n v="0.31888544891640869"/>
    <s v="Healthy"/>
    <s v="Safe"/>
    <n v="0.35294117647058826"/>
    <s v="Safe"/>
    <n v="300"/>
    <n v="0.35294117647058826"/>
  </r>
  <r>
    <s v="ORD-12692"/>
    <x v="247"/>
    <s v="P005"/>
    <x v="2"/>
    <s v="Food"/>
    <s v="Snacks"/>
    <s v="CrispyBite"/>
    <s v="B01"/>
    <x v="2"/>
    <s v="Abuja"/>
    <x v="2"/>
    <s v="Walk-in"/>
    <s v="Cash"/>
    <n v="2"/>
    <n v="850"/>
    <n v="1300"/>
    <n v="0.05"/>
    <x v="1"/>
    <n v="2"/>
    <n v="2600"/>
    <n v="130"/>
    <n v="2470"/>
    <n v="1700"/>
    <n v="770"/>
    <n v="0.31174089068825911"/>
    <s v="Understocked"/>
    <s v="Safe"/>
    <n v="0.34615384615384615"/>
    <s v="Safe"/>
    <n v="450"/>
    <n v="0.34615384615384615"/>
  </r>
  <r>
    <s v="ORD-12693"/>
    <x v="225"/>
    <s v="P006"/>
    <x v="0"/>
    <s v="Beverages"/>
    <s v="Water"/>
    <s v="AquaPure"/>
    <s v="B01"/>
    <x v="2"/>
    <s v="Abuja"/>
    <x v="2"/>
    <s v="Member"/>
    <s v="POS"/>
    <n v="2"/>
    <n v="230"/>
    <n v="400"/>
    <n v="0"/>
    <x v="0"/>
    <n v="4"/>
    <n v="800"/>
    <n v="0"/>
    <n v="800"/>
    <n v="460"/>
    <n v="340"/>
    <n v="0.42499999999999999"/>
    <s v="Understocked"/>
    <s v="Safe"/>
    <n v="0.42499999999999999"/>
    <s v="Safe"/>
    <n v="170"/>
    <n v="0.42499999999999999"/>
  </r>
  <r>
    <s v="ORD-12694"/>
    <x v="29"/>
    <s v="P008"/>
    <x v="4"/>
    <s v="Beverages"/>
    <s v="Soft Drinks"/>
    <s v="Sparkle"/>
    <s v="B05"/>
    <x v="0"/>
    <s v="Kano"/>
    <x v="0"/>
    <s v="Member"/>
    <s v="POS"/>
    <n v="2"/>
    <n v="330"/>
    <n v="550"/>
    <n v="0.15"/>
    <x v="3"/>
    <n v="11"/>
    <n v="1100"/>
    <n v="165"/>
    <n v="935"/>
    <n v="660"/>
    <n v="275"/>
    <n v="0.29411764705882354"/>
    <s v="Healthy"/>
    <s v="Safe"/>
    <n v="0.4"/>
    <s v="Safe"/>
    <n v="220"/>
    <n v="0.4"/>
  </r>
  <r>
    <s v="ORD-12695"/>
    <x v="58"/>
    <s v="P008"/>
    <x v="4"/>
    <s v="Beverages"/>
    <s v="Soft Drinks"/>
    <s v="Sparkle"/>
    <s v="B05"/>
    <x v="0"/>
    <s v="Kano"/>
    <x v="0"/>
    <s v="Walk-in"/>
    <s v="POS"/>
    <n v="1"/>
    <n v="330"/>
    <n v="550"/>
    <n v="0"/>
    <x v="0"/>
    <n v="8"/>
    <n v="550"/>
    <n v="0"/>
    <n v="550"/>
    <n v="330"/>
    <n v="220"/>
    <n v="0.4"/>
    <s v="Healthy"/>
    <s v="Safe"/>
    <n v="0.4"/>
    <s v="Safe"/>
    <n v="220"/>
    <n v="0.4"/>
  </r>
  <r>
    <s v="ORD-12696"/>
    <x v="45"/>
    <s v="P021"/>
    <x v="20"/>
    <s v="Office Supplies"/>
    <s v="Paper"/>
    <s v="OfficeMate"/>
    <s v="B08"/>
    <x v="7"/>
    <s v="Kwara"/>
    <x v="2"/>
    <s v="Walk-in"/>
    <s v="Cash"/>
    <n v="5"/>
    <n v="5200"/>
    <n v="7000"/>
    <n v="0.25"/>
    <x v="15"/>
    <n v="14"/>
    <n v="35000"/>
    <n v="8750"/>
    <n v="26250"/>
    <n v="26000"/>
    <n v="250"/>
    <n v="9.5238095238095247E-3"/>
    <s v="Overstocked"/>
    <s v="Safe"/>
    <n v="0.25714285714285712"/>
    <s v="Safe"/>
    <n v="1800"/>
    <n v="0.25714285714285712"/>
  </r>
  <r>
    <s v="ORD-12697"/>
    <x v="113"/>
    <s v="P012"/>
    <x v="21"/>
    <s v="Household"/>
    <s v="Home Care"/>
    <s v="HomeFresh"/>
    <s v="B06"/>
    <x v="1"/>
    <s v="Rivers"/>
    <x v="1"/>
    <s v="Member"/>
    <s v="Cash"/>
    <n v="4"/>
    <n v="1700"/>
    <n v="2600"/>
    <n v="0.05"/>
    <x v="7"/>
    <n v="10"/>
    <n v="10400"/>
    <n v="520"/>
    <n v="9880"/>
    <n v="6800"/>
    <n v="3080"/>
    <n v="0.31174089068825911"/>
    <s v="Overstocked"/>
    <s v="Safe"/>
    <n v="0.34615384615384615"/>
    <s v="Safe"/>
    <n v="900"/>
    <n v="0.34615384615384615"/>
  </r>
  <r>
    <s v="ORD-12698"/>
    <x v="213"/>
    <s v="P010"/>
    <x v="22"/>
    <s v="Household"/>
    <s v="Paper Products"/>
    <s v="SoftCare"/>
    <s v="B01"/>
    <x v="2"/>
    <s v="Abuja"/>
    <x v="2"/>
    <s v="Walk-in"/>
    <s v="POS"/>
    <n v="2"/>
    <n v="3200"/>
    <n v="4500"/>
    <n v="0"/>
    <x v="7"/>
    <n v="13"/>
    <n v="9000"/>
    <n v="0"/>
    <n v="9000"/>
    <n v="6400"/>
    <n v="2600"/>
    <n v="0.28888888888888886"/>
    <s v="Healthy"/>
    <s v="Safe"/>
    <n v="0.28888888888888886"/>
    <s v="Safe"/>
    <n v="1300"/>
    <n v="0.28888888888888886"/>
  </r>
  <r>
    <s v="ORD-12699"/>
    <x v="119"/>
    <s v="P010"/>
    <x v="22"/>
    <s v="Household"/>
    <s v="Paper Products"/>
    <s v="SoftCare"/>
    <s v="B05"/>
    <x v="0"/>
    <s v="Kano"/>
    <x v="0"/>
    <s v="Walk-in"/>
    <s v="POS"/>
    <n v="3"/>
    <n v="3200"/>
    <n v="4500"/>
    <n v="0.05"/>
    <x v="1"/>
    <n v="10"/>
    <n v="13500"/>
    <n v="675"/>
    <n v="12825"/>
    <n v="9600"/>
    <n v="3225"/>
    <n v="0.25146198830409355"/>
    <s v="Healthy"/>
    <s v="Safe"/>
    <n v="0.28888888888888886"/>
    <s v="Safe"/>
    <n v="1300"/>
    <n v="0.28888888888888886"/>
  </r>
  <r>
    <s v="ORD-12700"/>
    <x v="319"/>
    <s v="P007"/>
    <x v="3"/>
    <s v="Beverages"/>
    <s v="Malt"/>
    <s v="Naija Malt"/>
    <s v="B02"/>
    <x v="4"/>
    <s v="Abuja"/>
    <x v="2"/>
    <s v="Walk-in"/>
    <s v="POS"/>
    <n v="2"/>
    <n v="550"/>
    <n v="850"/>
    <n v="0.05"/>
    <x v="3"/>
    <n v="3"/>
    <n v="1700"/>
    <n v="85"/>
    <n v="1615"/>
    <n v="1100"/>
    <n v="515"/>
    <n v="0.31888544891640869"/>
    <s v="Healthy"/>
    <s v="Safe"/>
    <n v="0.35294117647058826"/>
    <s v="Safe"/>
    <n v="300"/>
    <n v="0.35294117647058826"/>
  </r>
  <r>
    <s v="ORD-12701"/>
    <x v="175"/>
    <s v="P015"/>
    <x v="8"/>
    <s v="Personal Care"/>
    <s v="Bath"/>
    <s v="SilkyTouch"/>
    <s v="B04"/>
    <x v="5"/>
    <s v="Lagos"/>
    <x v="4"/>
    <s v="Walk-in"/>
    <s v="Card"/>
    <n v="3"/>
    <n v="600"/>
    <n v="950"/>
    <n v="0.1"/>
    <x v="11"/>
    <n v="11"/>
    <n v="2850"/>
    <n v="285"/>
    <n v="2565"/>
    <n v="1800"/>
    <n v="765"/>
    <n v="0.2982456140350877"/>
    <s v="Healthy"/>
    <s v="Safe"/>
    <n v="0.36842105263157893"/>
    <s v="Safe"/>
    <n v="350"/>
    <n v="0.36842105263157893"/>
  </r>
  <r>
    <s v="ORD-12702"/>
    <x v="2"/>
    <s v="P004"/>
    <x v="1"/>
    <s v="Beverages"/>
    <s v="Dairy"/>
    <s v="FreshDay"/>
    <s v="B03"/>
    <x v="6"/>
    <s v="Lagos"/>
    <x v="4"/>
    <s v="Walk-in"/>
    <s v="POS"/>
    <n v="-2"/>
    <n v="1650"/>
    <n v="2200"/>
    <n v="0.1"/>
    <x v="3"/>
    <n v="5"/>
    <n v="-4400"/>
    <n v="-440"/>
    <n v="-3960"/>
    <n v="-3300"/>
    <n v="-660"/>
    <n v="0.16666666666666666"/>
    <s v="Understocked"/>
    <s v="Discount loss"/>
    <n v="0.25"/>
    <s v="Safe"/>
    <n v="550"/>
    <n v="0.25"/>
  </r>
  <r>
    <s v="ORD-12703"/>
    <x v="160"/>
    <s v="P006"/>
    <x v="0"/>
    <s v="Beverages"/>
    <s v="Water"/>
    <s v="AquaPure"/>
    <s v="B05"/>
    <x v="0"/>
    <s v="Kano"/>
    <x v="0"/>
    <s v="Member"/>
    <s v="POS"/>
    <n v="2"/>
    <n v="230"/>
    <n v="400"/>
    <n v="0.05"/>
    <x v="0"/>
    <n v="3"/>
    <n v="800"/>
    <n v="40"/>
    <n v="760"/>
    <n v="460"/>
    <n v="300"/>
    <n v="0.39473684210526316"/>
    <s v="Understocked"/>
    <s v="Safe"/>
    <n v="0.42499999999999999"/>
    <s v="Safe"/>
    <n v="170"/>
    <n v="0.42499999999999999"/>
  </r>
  <r>
    <s v="ORD-12704"/>
    <x v="66"/>
    <s v="P010"/>
    <x v="22"/>
    <s v="Household"/>
    <s v="Paper Products"/>
    <s v="SoftCare"/>
    <s v="B01"/>
    <x v="2"/>
    <s v="Abuja"/>
    <x v="2"/>
    <s v="Walk-in"/>
    <s v="Cash"/>
    <n v="1"/>
    <n v="3200"/>
    <n v="4500"/>
    <n v="0"/>
    <x v="7"/>
    <n v="2"/>
    <n v="4500"/>
    <n v="0"/>
    <n v="4500"/>
    <n v="3200"/>
    <n v="1300"/>
    <n v="0.28888888888888886"/>
    <s v="Healthy"/>
    <s v="Safe"/>
    <n v="0.28888888888888886"/>
    <s v="Safe"/>
    <n v="1300"/>
    <n v="0.28888888888888886"/>
  </r>
  <r>
    <s v="ORD-12705"/>
    <x v="106"/>
    <s v="P003"/>
    <x v="12"/>
    <s v="Food"/>
    <s v="Cooking Oil"/>
    <s v="SunGold"/>
    <s v="B02"/>
    <x v="4"/>
    <s v="Abuja"/>
    <x v="2"/>
    <s v="Walk-in"/>
    <s v="Cash"/>
    <n v="2"/>
    <n v="7800"/>
    <n v="9800"/>
    <n v="0"/>
    <x v="9"/>
    <n v="4"/>
    <n v="19600"/>
    <n v="0"/>
    <n v="19600"/>
    <n v="15600"/>
    <n v="4000"/>
    <n v="0.20408163265306123"/>
    <s v="Understocked"/>
    <s v="Safe"/>
    <n v="0.20408163265306123"/>
    <s v="Safe"/>
    <n v="2000"/>
    <n v="0.20408163265306123"/>
  </r>
  <r>
    <s v="ORD-12706"/>
    <x v="38"/>
    <s v="P004"/>
    <x v="1"/>
    <s v="Beverages"/>
    <s v="Dairy"/>
    <s v="FreshDay"/>
    <s v="B06"/>
    <x v="1"/>
    <s v="Rivers"/>
    <x v="1"/>
    <s v="Member"/>
    <s v="POS"/>
    <n v="1"/>
    <n v="1650"/>
    <n v="2200"/>
    <n v="0.15"/>
    <x v="3"/>
    <n v="13"/>
    <n v="2200"/>
    <n v="330"/>
    <n v="1870"/>
    <n v="1650"/>
    <n v="220"/>
    <n v="0.11764705882352941"/>
    <s v="Understocked"/>
    <s v="Safe"/>
    <n v="0.25"/>
    <s v="Safe"/>
    <n v="550"/>
    <n v="0.25"/>
  </r>
  <r>
    <s v="ORD-12707"/>
    <x v="235"/>
    <s v="P003"/>
    <x v="12"/>
    <s v="Food"/>
    <s v="Cooking Oil"/>
    <s v="SunGold"/>
    <s v="B06"/>
    <x v="1"/>
    <s v="Rivers"/>
    <x v="1"/>
    <s v="Walk-in"/>
    <s v="POS"/>
    <n v="2"/>
    <n v="7800"/>
    <n v="9800"/>
    <n v="0.05"/>
    <x v="1"/>
    <n v="11"/>
    <n v="19600"/>
    <n v="980"/>
    <n v="18620"/>
    <n v="15600"/>
    <n v="3020"/>
    <n v="0.16219119226638024"/>
    <s v="Understocked"/>
    <s v="Safe"/>
    <n v="0.20408163265306123"/>
    <s v="Safe"/>
    <n v="2000"/>
    <n v="0.20408163265306123"/>
  </r>
  <r>
    <s v="ORD-12708"/>
    <x v="243"/>
    <s v="P022"/>
    <x v="17"/>
    <s v="Office Supplies"/>
    <s v="Writing"/>
    <s v="WriteWell"/>
    <s v="B04"/>
    <x v="5"/>
    <s v="Lagos"/>
    <x v="4"/>
    <s v="Walk-in"/>
    <s v="POS"/>
    <n v="2"/>
    <n v="1300"/>
    <n v="2100"/>
    <n v="0.05"/>
    <x v="5"/>
    <n v="12"/>
    <n v="4200"/>
    <n v="210"/>
    <n v="3990"/>
    <n v="2600"/>
    <n v="1390"/>
    <n v="0.34837092731829572"/>
    <s v="Understocked"/>
    <s v="Safe"/>
    <n v="0.38095238095238093"/>
    <s v="Safe"/>
    <n v="800"/>
    <n v="0.38095238095238093"/>
  </r>
  <r>
    <s v="ORD-12709"/>
    <x v="43"/>
    <s v="P008"/>
    <x v="4"/>
    <s v="Beverages"/>
    <s v="Soft Drinks"/>
    <s v="Sparkle"/>
    <s v="B02"/>
    <x v="4"/>
    <s v="Abuja"/>
    <x v="2"/>
    <s v="Walk-in"/>
    <s v="POS"/>
    <n v="1"/>
    <n v="330"/>
    <n v="550"/>
    <n v="0.05"/>
    <x v="3"/>
    <n v="13"/>
    <n v="550"/>
    <n v="27.5"/>
    <n v="522.5"/>
    <n v="330"/>
    <n v="192.5"/>
    <n v="0.36842105263157893"/>
    <s v="Healthy"/>
    <s v="Safe"/>
    <n v="0.4"/>
    <s v="Safe"/>
    <n v="220"/>
    <n v="0.4"/>
  </r>
  <r>
    <s v="ORD-12710"/>
    <x v="255"/>
    <s v="P022"/>
    <x v="17"/>
    <s v="Office Supplies"/>
    <s v="Writing"/>
    <s v="WriteWell"/>
    <s v="B04"/>
    <x v="5"/>
    <s v="Lagos"/>
    <x v="4"/>
    <s v="Walk-in"/>
    <s v="POS"/>
    <n v="2"/>
    <n v="1300"/>
    <n v="2100"/>
    <n v="0"/>
    <x v="5"/>
    <n v="11"/>
    <n v="4200"/>
    <n v="0"/>
    <n v="4200"/>
    <n v="2600"/>
    <n v="1600"/>
    <n v="0.38095238095238093"/>
    <s v="Understocked"/>
    <s v="Safe"/>
    <n v="0.38095238095238093"/>
    <s v="Safe"/>
    <n v="800"/>
    <n v="0.38095238095238093"/>
  </r>
  <r>
    <s v="ORD-12711"/>
    <x v="48"/>
    <s v="P006"/>
    <x v="0"/>
    <s v="Beverages"/>
    <s v="Water"/>
    <s v="AquaPure"/>
    <s v="B02"/>
    <x v="4"/>
    <s v="Abuja"/>
    <x v="2"/>
    <s v="Walk-in"/>
    <s v="Cash"/>
    <n v="2"/>
    <n v="230"/>
    <n v="400"/>
    <n v="0.05"/>
    <x v="0"/>
    <n v="13"/>
    <n v="800"/>
    <n v="40"/>
    <n v="760"/>
    <n v="460"/>
    <n v="300"/>
    <n v="0.39473684210526316"/>
    <s v="Understocked"/>
    <s v="Safe"/>
    <n v="0.42499999999999999"/>
    <s v="Safe"/>
    <n v="170"/>
    <n v="0.42499999999999999"/>
  </r>
  <r>
    <s v="ORD-12712"/>
    <x v="26"/>
    <s v="P018"/>
    <x v="16"/>
    <s v="Electronics"/>
    <s v="Mobile Accessories"/>
    <s v="VoltSafe"/>
    <s v="B03"/>
    <x v="6"/>
    <s v="Lagos"/>
    <x v="4"/>
    <s v="Member"/>
    <s v="Cash"/>
    <n v="2"/>
    <n v="18000"/>
    <n v="24500"/>
    <n v="0.05"/>
    <x v="13"/>
    <n v="6"/>
    <n v="49000"/>
    <n v="2450"/>
    <n v="46550"/>
    <n v="36000"/>
    <n v="10550"/>
    <n v="0.22663802363050484"/>
    <s v="Understocked"/>
    <s v="Safe"/>
    <n v="0.26530612244897961"/>
    <s v="Safe"/>
    <n v="6500"/>
    <n v="0.26530612244897961"/>
  </r>
  <r>
    <s v="ORD-12713"/>
    <x v="98"/>
    <s v="P011"/>
    <x v="9"/>
    <s v="Household"/>
    <s v="Cleaning"/>
    <s v="CleanPro"/>
    <s v="B04"/>
    <x v="5"/>
    <s v="Lagos"/>
    <x v="4"/>
    <s v="Walk-in"/>
    <s v="POS"/>
    <n v="3"/>
    <n v="2800"/>
    <n v="3900"/>
    <n v="0"/>
    <x v="7"/>
    <n v="12"/>
    <n v="11700"/>
    <n v="0"/>
    <n v="11700"/>
    <n v="8400"/>
    <n v="3300"/>
    <n v="0.28205128205128205"/>
    <s v="Healthy"/>
    <s v="Safe"/>
    <n v="0.28205128205128205"/>
    <s v="Safe"/>
    <n v="1100"/>
    <n v="0.28205128205128205"/>
  </r>
  <r>
    <s v="ORD-12714"/>
    <x v="110"/>
    <s v="P009"/>
    <x v="13"/>
    <s v="Household"/>
    <s v="Cleaning"/>
    <s v="BrightWash"/>
    <s v="B06"/>
    <x v="1"/>
    <s v="Rivers"/>
    <x v="1"/>
    <s v="Walk-in"/>
    <s v="Cash"/>
    <n v="5"/>
    <n v="2400"/>
    <n v="3400"/>
    <n v="0"/>
    <x v="1"/>
    <n v="7"/>
    <n v="17000"/>
    <n v="0"/>
    <n v="17000"/>
    <n v="12000"/>
    <n v="5000"/>
    <n v="0.29411764705882354"/>
    <s v="Healthy"/>
    <s v="Safe"/>
    <n v="0.29411764705882354"/>
    <s v="Safe"/>
    <n v="1000"/>
    <n v="0.29411764705882354"/>
  </r>
  <r>
    <s v="ORD-12715"/>
    <x v="239"/>
    <s v="P022"/>
    <x v="17"/>
    <s v="Office Supplies"/>
    <s v="Writing"/>
    <s v="WriteWell"/>
    <s v="B03"/>
    <x v="6"/>
    <s v="Lagos"/>
    <x v="4"/>
    <s v="Walk-in"/>
    <s v="Card"/>
    <n v="1"/>
    <n v="1300"/>
    <n v="2100"/>
    <n v="0"/>
    <x v="15"/>
    <n v="4"/>
    <n v="2100"/>
    <n v="0"/>
    <n v="2100"/>
    <n v="1300"/>
    <n v="800"/>
    <n v="0.38095238095238093"/>
    <s v="Understocked"/>
    <s v="Safe"/>
    <n v="0.38095238095238093"/>
    <s v="Safe"/>
    <n v="800"/>
    <n v="0.38095238095238093"/>
  </r>
  <r>
    <s v="ORD-12716"/>
    <x v="146"/>
    <s v="P008"/>
    <x v="4"/>
    <s v="Beverages"/>
    <s v="Soft Drinks"/>
    <s v="Sparkle"/>
    <s v="B03"/>
    <x v="6"/>
    <s v="Lagos"/>
    <x v="4"/>
    <s v="Walk-in"/>
    <s v="POS"/>
    <n v="10"/>
    <n v="330"/>
    <n v="550"/>
    <n v="0"/>
    <x v="0"/>
    <n v="13"/>
    <n v="5500"/>
    <n v="0"/>
    <n v="5500"/>
    <n v="3300"/>
    <n v="2200"/>
    <n v="0.4"/>
    <s v="Healthy"/>
    <s v="Safe"/>
    <n v="0.4"/>
    <s v="Safe"/>
    <n v="220"/>
    <n v="0.4"/>
  </r>
  <r>
    <s v="ORD-12717"/>
    <x v="295"/>
    <s v="P007"/>
    <x v="3"/>
    <s v="Beverages"/>
    <s v="Malt"/>
    <s v="Naija Malt"/>
    <s v="B01"/>
    <x v="2"/>
    <s v="Abuja"/>
    <x v="2"/>
    <s v="Walk-in"/>
    <s v="Transfer"/>
    <n v="2"/>
    <n v="550"/>
    <n v="850"/>
    <n v="0.05"/>
    <x v="3"/>
    <n v="12"/>
    <n v="1700"/>
    <n v="85"/>
    <n v="1615"/>
    <n v="1100"/>
    <n v="515"/>
    <n v="0.31888544891640869"/>
    <s v="Healthy"/>
    <s v="Safe"/>
    <n v="0.35294117647058826"/>
    <s v="Safe"/>
    <n v="300"/>
    <n v="0.35294117647058826"/>
  </r>
  <r>
    <s v="ORD-12718"/>
    <x v="230"/>
    <s v="P022"/>
    <x v="17"/>
    <s v="Office Supplies"/>
    <s v="Writing"/>
    <s v="WriteWell"/>
    <s v="B01"/>
    <x v="2"/>
    <s v="Abuja"/>
    <x v="2"/>
    <s v="Walk-in"/>
    <s v="Card"/>
    <n v="5"/>
    <n v="1300"/>
    <n v="2100"/>
    <n v="0.05"/>
    <x v="5"/>
    <n v="11"/>
    <n v="10500"/>
    <n v="525"/>
    <n v="9975"/>
    <n v="6500"/>
    <n v="3475"/>
    <n v="0.34837092731829572"/>
    <s v="Understocked"/>
    <s v="Safe"/>
    <n v="0.38095238095238093"/>
    <s v="Safe"/>
    <n v="800"/>
    <n v="0.38095238095238093"/>
  </r>
  <r>
    <s v="ORD-12719"/>
    <x v="191"/>
    <s v="P006"/>
    <x v="0"/>
    <s v="Beverages"/>
    <s v="Water"/>
    <s v="AquaPure"/>
    <s v="B02"/>
    <x v="4"/>
    <s v="Abuja"/>
    <x v="2"/>
    <s v="Member"/>
    <s v="Card"/>
    <n v="3"/>
    <n v="230"/>
    <n v="400"/>
    <n v="0.2"/>
    <x v="2"/>
    <n v="5"/>
    <n v="1200"/>
    <n v="240"/>
    <n v="960"/>
    <n v="690"/>
    <n v="270"/>
    <n v="0.28125"/>
    <s v="Understocked"/>
    <s v="Safe"/>
    <n v="0.42499999999999999"/>
    <s v="Safe"/>
    <n v="170"/>
    <n v="0.42499999999999999"/>
  </r>
  <r>
    <s v="ORD-12720"/>
    <x v="246"/>
    <s v="P007"/>
    <x v="3"/>
    <s v="Beverages"/>
    <s v="Malt"/>
    <s v="Naija Malt"/>
    <s v="B03"/>
    <x v="6"/>
    <s v="Lagos"/>
    <x v="4"/>
    <s v="Walk-in"/>
    <s v="Transfer"/>
    <n v="10"/>
    <n v="550"/>
    <n v="850"/>
    <n v="0.05"/>
    <x v="3"/>
    <n v="4"/>
    <n v="8500"/>
    <n v="425"/>
    <n v="8075"/>
    <n v="5500"/>
    <n v="2575"/>
    <n v="0.31888544891640869"/>
    <s v="Healthy"/>
    <s v="Safe"/>
    <n v="0.35294117647058826"/>
    <s v="Safe"/>
    <n v="300"/>
    <n v="0.35294117647058826"/>
  </r>
  <r>
    <s v="ORD-12721"/>
    <x v="161"/>
    <s v="P017"/>
    <x v="23"/>
    <s v="Electronics"/>
    <s v="Accessories"/>
    <s v="PowerMax"/>
    <s v="B02"/>
    <x v="4"/>
    <s v="Abuja"/>
    <x v="2"/>
    <s v="Walk-in"/>
    <s v="POS"/>
    <n v="1"/>
    <n v="7500"/>
    <n v="10500"/>
    <n v="0.15"/>
    <x v="12"/>
    <n v="4"/>
    <n v="10500"/>
    <n v="1575"/>
    <n v="8925"/>
    <n v="7500"/>
    <n v="1425"/>
    <n v="0.15966386554621848"/>
    <s v="Healthy"/>
    <s v="Safe"/>
    <n v="0.2857142857142857"/>
    <s v="Safe"/>
    <n v="3000"/>
    <n v="0.2857142857142857"/>
  </r>
  <r>
    <s v="ORD-12722"/>
    <x v="32"/>
    <s v="P015"/>
    <x v="8"/>
    <s v="Personal Care"/>
    <s v="Bath"/>
    <s v="SilkyTouch"/>
    <s v="B01"/>
    <x v="2"/>
    <s v="Abuja"/>
    <x v="2"/>
    <s v="Member"/>
    <s v="Cash"/>
    <n v="2"/>
    <n v="600"/>
    <n v="950"/>
    <n v="0.2"/>
    <x v="10"/>
    <n v="10"/>
    <n v="1900"/>
    <n v="380"/>
    <n v="1520"/>
    <n v="1200"/>
    <n v="320"/>
    <n v="0.21052631578947367"/>
    <s v="Healthy"/>
    <s v="Safe"/>
    <n v="0.36842105263157893"/>
    <s v="Safe"/>
    <n v="350"/>
    <n v="0.36842105263157893"/>
  </r>
  <r>
    <s v="ORD-12723"/>
    <x v="316"/>
    <s v="P004"/>
    <x v="1"/>
    <s v="Beverages"/>
    <s v="Dairy"/>
    <s v="FreshDay"/>
    <s v="B08"/>
    <x v="7"/>
    <s v="Kwara"/>
    <x v="2"/>
    <s v="Walk-in"/>
    <s v="Cash"/>
    <n v="2"/>
    <n v="1650"/>
    <n v="2200"/>
    <n v="0.1"/>
    <x v="2"/>
    <n v="1"/>
    <n v="4400"/>
    <n v="440"/>
    <n v="3960"/>
    <n v="3300"/>
    <n v="660"/>
    <n v="0.16666666666666666"/>
    <s v="Understocked"/>
    <s v="Safe"/>
    <n v="0.25"/>
    <s v="Safe"/>
    <n v="550"/>
    <n v="0.25"/>
  </r>
  <r>
    <s v="ORD-12724"/>
    <x v="215"/>
    <s v="P003"/>
    <x v="12"/>
    <s v="Food"/>
    <s v="Cooking Oil"/>
    <s v="SunGold"/>
    <s v="B01"/>
    <x v="2"/>
    <s v="Abuja"/>
    <x v="2"/>
    <s v="Walk-in"/>
    <s v="Card"/>
    <n v="3"/>
    <n v="7800"/>
    <n v="9800"/>
    <n v="0"/>
    <x v="9"/>
    <n v="9"/>
    <n v="29400"/>
    <n v="0"/>
    <n v="29400"/>
    <n v="23400"/>
    <n v="6000"/>
    <n v="0.20408163265306123"/>
    <s v="Understocked"/>
    <s v="Safe"/>
    <n v="0.20408163265306123"/>
    <s v="Safe"/>
    <n v="2000"/>
    <n v="0.20408163265306123"/>
  </r>
  <r>
    <s v="ORD-12725"/>
    <x v="53"/>
    <s v="P009"/>
    <x v="13"/>
    <s v="Household"/>
    <s v="Cleaning"/>
    <s v="BrightWash"/>
    <s v="B04"/>
    <x v="5"/>
    <s v="Lagos"/>
    <x v="4"/>
    <s v="Walk-in"/>
    <s v="Cash"/>
    <n v="3"/>
    <n v="2400"/>
    <n v="3400"/>
    <n v="0.2"/>
    <x v="10"/>
    <n v="6"/>
    <n v="10200"/>
    <n v="2040"/>
    <n v="8160"/>
    <n v="7200"/>
    <n v="960"/>
    <n v="0.11764705882352941"/>
    <s v="Healthy"/>
    <s v="Safe"/>
    <n v="0.29411764705882354"/>
    <s v="Safe"/>
    <n v="1000"/>
    <n v="0.29411764705882354"/>
  </r>
  <r>
    <s v="ORD-12726"/>
    <x v="114"/>
    <s v="P012"/>
    <x v="21"/>
    <s v="Household"/>
    <s v="Home Care"/>
    <s v="HomeFresh"/>
    <s v="B06"/>
    <x v="1"/>
    <s v="Rivers"/>
    <x v="1"/>
    <s v="Member"/>
    <s v="Transfer"/>
    <n v="4"/>
    <n v="1700"/>
    <n v="2600"/>
    <n v="0.1"/>
    <x v="10"/>
    <n v="10"/>
    <n v="10400"/>
    <n v="1040"/>
    <n v="9360"/>
    <n v="6800"/>
    <n v="2560"/>
    <n v="0.27350427350427353"/>
    <s v="Overstocked"/>
    <s v="Safe"/>
    <n v="0.34615384615384615"/>
    <s v="Safe"/>
    <n v="900"/>
    <n v="0.34615384615384615"/>
  </r>
  <r>
    <s v="ORD-12727"/>
    <x v="362"/>
    <s v="P011"/>
    <x v="9"/>
    <s v="Household"/>
    <s v="Cleaning"/>
    <s v="CleanPro"/>
    <s v="B03"/>
    <x v="6"/>
    <s v="Lagos"/>
    <x v="4"/>
    <s v="Walk-in"/>
    <s v="Cash"/>
    <n v="8"/>
    <n v="2800"/>
    <n v="3900"/>
    <n v="0"/>
    <x v="1"/>
    <n v="14"/>
    <n v="31200"/>
    <n v="0"/>
    <n v="31200"/>
    <n v="22400"/>
    <n v="8800"/>
    <n v="0.28205128205128205"/>
    <s v="Healthy"/>
    <s v="Safe"/>
    <n v="0.28205128205128205"/>
    <s v="Safe"/>
    <n v="1100"/>
    <n v="0.28205128205128205"/>
  </r>
  <r>
    <s v="ORD-12728"/>
    <x v="269"/>
    <s v="P024"/>
    <x v="19"/>
    <s v="Office Supplies"/>
    <s v="Accessories"/>
    <s v="ErgoDesk"/>
    <s v="B03"/>
    <x v="6"/>
    <s v="Lagos"/>
    <x v="4"/>
    <s v="Walk-in"/>
    <s v="Cash"/>
    <n v="4"/>
    <n v="1700"/>
    <n v="2800"/>
    <n v="0.15"/>
    <x v="15"/>
    <n v="7"/>
    <n v="11200"/>
    <n v="1680"/>
    <n v="9520"/>
    <n v="6800"/>
    <n v="2720"/>
    <n v="0.2857142857142857"/>
    <s v="Overstocked"/>
    <s v="Safe"/>
    <n v="0.39285714285714285"/>
    <s v="Safe"/>
    <n v="1100"/>
    <n v="0.39285714285714285"/>
  </r>
  <r>
    <s v="ORD-12729"/>
    <x v="104"/>
    <s v="P013"/>
    <x v="11"/>
    <s v="Personal Care"/>
    <s v="Skin Care"/>
    <s v="GlowPlus"/>
    <s v="B05"/>
    <x v="0"/>
    <s v="Kano"/>
    <x v="0"/>
    <s v="Walk-in"/>
    <s v="Card"/>
    <n v="8"/>
    <n v="3500"/>
    <n v="5200"/>
    <n v="0.1"/>
    <x v="11"/>
    <n v="4"/>
    <n v="41600"/>
    <n v="4160"/>
    <n v="37440"/>
    <n v="28000"/>
    <n v="9440"/>
    <n v="0.25213675213675213"/>
    <s v="Healthy"/>
    <s v="Safe"/>
    <n v="0.32692307692307693"/>
    <s v="Safe"/>
    <n v="1700"/>
    <n v="0.32692307692307693"/>
  </r>
  <r>
    <s v="ORD-12730"/>
    <x v="180"/>
    <s v="P011"/>
    <x v="9"/>
    <s v="Household"/>
    <s v="Cleaning"/>
    <s v="CleanPro"/>
    <s v="B08"/>
    <x v="7"/>
    <s v="Kwara"/>
    <x v="2"/>
    <s v="Member"/>
    <s v="POS"/>
    <n v="2"/>
    <n v="2800"/>
    <n v="3900"/>
    <n v="0.05"/>
    <x v="10"/>
    <n v="2"/>
    <n v="7800"/>
    <n v="390"/>
    <n v="7410"/>
    <n v="5600"/>
    <n v="1810"/>
    <n v="0.24426450742240216"/>
    <s v="Healthy"/>
    <s v="Safe"/>
    <n v="0.28205128205128205"/>
    <s v="Safe"/>
    <n v="1100"/>
    <n v="0.28205128205128205"/>
  </r>
  <r>
    <s v="ORD-12731"/>
    <x v="305"/>
    <s v="P012"/>
    <x v="21"/>
    <s v="Household"/>
    <s v="Home Care"/>
    <s v="HomeFresh"/>
    <s v="B02"/>
    <x v="4"/>
    <s v="Abuja"/>
    <x v="2"/>
    <s v="Walk-in"/>
    <s v="POS"/>
    <n v="6"/>
    <n v="1700"/>
    <n v="2600"/>
    <n v="0.05"/>
    <x v="7"/>
    <n v="9"/>
    <n v="15600"/>
    <n v="780"/>
    <n v="14820"/>
    <n v="10200"/>
    <n v="4620"/>
    <n v="0.31174089068825911"/>
    <s v="Overstocked"/>
    <s v="Safe"/>
    <n v="0.34615384615384615"/>
    <s v="Safe"/>
    <n v="900"/>
    <n v="0.34615384615384615"/>
  </r>
  <r>
    <s v="ORD-12732"/>
    <x v="341"/>
    <s v="P011"/>
    <x v="9"/>
    <s v="Household"/>
    <s v="Cleaning"/>
    <s v="CleanPro"/>
    <s v="B04"/>
    <x v="5"/>
    <s v="Lagos"/>
    <x v="4"/>
    <s v="Corporate"/>
    <s v="Cash"/>
    <n v="3"/>
    <n v="2800"/>
    <n v="3900"/>
    <n v="0.05"/>
    <x v="7"/>
    <n v="2"/>
    <n v="11700"/>
    <n v="585"/>
    <n v="11115"/>
    <n v="8400"/>
    <n v="2715"/>
    <n v="0.24426450742240216"/>
    <s v="Healthy"/>
    <s v="Safe"/>
    <n v="0.28205128205128205"/>
    <s v="Safe"/>
    <n v="1100"/>
    <n v="0.28205128205128205"/>
  </r>
  <r>
    <s v="ORD-12733"/>
    <x v="316"/>
    <s v="P019"/>
    <x v="18"/>
    <s v="Electronics"/>
    <s v="Audio"/>
    <s v="SoundBeat"/>
    <s v="B04"/>
    <x v="5"/>
    <s v="Lagos"/>
    <x v="4"/>
    <s v="Walk-in"/>
    <s v="POS"/>
    <n v="2"/>
    <n v="12500"/>
    <n v="18500"/>
    <n v="0.05"/>
    <x v="4"/>
    <n v="2"/>
    <n v="37000"/>
    <n v="1850"/>
    <n v="35150"/>
    <n v="25000"/>
    <n v="10150"/>
    <n v="0.28876244665718348"/>
    <s v="Understocked"/>
    <s v="Safe"/>
    <n v="0.32432432432432434"/>
    <s v="Safe"/>
    <n v="6000"/>
    <n v="0.32432432432432434"/>
  </r>
  <r>
    <s v="ORD-12734"/>
    <x v="303"/>
    <s v="P004"/>
    <x v="1"/>
    <s v="Beverages"/>
    <s v="Dairy"/>
    <s v="FreshDay"/>
    <s v="B07"/>
    <x v="3"/>
    <s v="Enugu"/>
    <x v="3"/>
    <s v="Walk-in"/>
    <s v="POS"/>
    <n v="5"/>
    <n v="1650"/>
    <n v="2200"/>
    <n v="0"/>
    <x v="2"/>
    <n v="5"/>
    <n v="11000"/>
    <n v="0"/>
    <n v="11000"/>
    <n v="8250"/>
    <n v="2750"/>
    <n v="0.25"/>
    <s v="Understocked"/>
    <s v="Safe"/>
    <n v="0.25"/>
    <s v="Safe"/>
    <n v="550"/>
    <n v="0.25"/>
  </r>
  <r>
    <s v="ORD-12735"/>
    <x v="88"/>
    <s v="P006"/>
    <x v="0"/>
    <s v="Beverages"/>
    <s v="Water"/>
    <s v="AquaPure"/>
    <s v="B05"/>
    <x v="0"/>
    <s v="Kano"/>
    <x v="0"/>
    <s v="Walk-in"/>
    <s v="Transfer"/>
    <n v="1"/>
    <n v="230"/>
    <n v="400"/>
    <n v="0.05"/>
    <x v="2"/>
    <n v="6"/>
    <n v="400"/>
    <n v="20"/>
    <n v="380"/>
    <n v="230"/>
    <n v="150"/>
    <n v="0.39473684210526316"/>
    <s v="Understocked"/>
    <s v="Safe"/>
    <n v="0.42499999999999999"/>
    <s v="Safe"/>
    <n v="170"/>
    <n v="0.42499999999999999"/>
  </r>
  <r>
    <s v="ORD-12736"/>
    <x v="182"/>
    <s v="P009"/>
    <x v="13"/>
    <s v="Household"/>
    <s v="Cleaning"/>
    <s v="BrightWash"/>
    <s v="B03"/>
    <x v="6"/>
    <s v="Lagos"/>
    <x v="4"/>
    <s v="Member"/>
    <s v="POS"/>
    <n v="2"/>
    <n v="2400"/>
    <n v="3400"/>
    <n v="0.2"/>
    <x v="1"/>
    <n v="9"/>
    <n v="6800"/>
    <n v="1360"/>
    <n v="5440"/>
    <n v="4800"/>
    <n v="640"/>
    <n v="0.11764705882352941"/>
    <s v="Healthy"/>
    <s v="Safe"/>
    <n v="0.29411764705882354"/>
    <s v="Safe"/>
    <n v="1000"/>
    <n v="0.29411764705882354"/>
  </r>
  <r>
    <s v="ORD-12737"/>
    <x v="220"/>
    <s v="P004"/>
    <x v="1"/>
    <s v="Beverages"/>
    <s v="Dairy"/>
    <s v="FreshDay"/>
    <s v="B07"/>
    <x v="3"/>
    <s v="Enugu"/>
    <x v="3"/>
    <s v="Member"/>
    <s v="Cash"/>
    <n v="10"/>
    <n v="1650"/>
    <n v="2200"/>
    <n v="0"/>
    <x v="2"/>
    <n v="13"/>
    <n v="22000"/>
    <n v="0"/>
    <n v="22000"/>
    <n v="16500"/>
    <n v="5500"/>
    <n v="0.25"/>
    <s v="Understocked"/>
    <s v="Safe"/>
    <n v="0.25"/>
    <s v="Safe"/>
    <n v="550"/>
    <n v="0.25"/>
  </r>
  <r>
    <s v="ORD-12738"/>
    <x v="325"/>
    <s v="P003"/>
    <x v="12"/>
    <s v="Food"/>
    <s v="Cooking Oil"/>
    <s v="SunGold"/>
    <s v="B06"/>
    <x v="1"/>
    <s v="Rivers"/>
    <x v="1"/>
    <s v="Member"/>
    <s v="Transfer"/>
    <n v="1"/>
    <n v="7800"/>
    <n v="9800"/>
    <n v="0.1"/>
    <x v="9"/>
    <n v="11"/>
    <n v="9800"/>
    <n v="980"/>
    <n v="8820"/>
    <n v="7800"/>
    <n v="1020"/>
    <n v="0.11564625850340136"/>
    <s v="Understocked"/>
    <s v="Safe"/>
    <n v="0.20408163265306123"/>
    <s v="Safe"/>
    <n v="2000"/>
    <n v="0.20408163265306123"/>
  </r>
  <r>
    <s v="ORD-12739"/>
    <x v="354"/>
    <s v="P019"/>
    <x v="18"/>
    <s v="Electronics"/>
    <s v="Audio"/>
    <s v="SoundBeat"/>
    <s v="B07"/>
    <x v="3"/>
    <s v="Enugu"/>
    <x v="3"/>
    <s v="Walk-in"/>
    <s v="POS"/>
    <n v="6"/>
    <n v="12500"/>
    <n v="18500"/>
    <n v="0.15"/>
    <x v="4"/>
    <n v="12"/>
    <n v="111000"/>
    <n v="16650"/>
    <n v="94350"/>
    <n v="75000"/>
    <n v="19350"/>
    <n v="0.20508744038155802"/>
    <s v="Understocked"/>
    <s v="Safe"/>
    <n v="0.32432432432432434"/>
    <s v="Safe"/>
    <n v="6000"/>
    <n v="0.32432432432432434"/>
  </r>
  <r>
    <s v="ORD-12740"/>
    <x v="229"/>
    <s v="P003"/>
    <x v="12"/>
    <s v="Food"/>
    <s v="Cooking Oil"/>
    <s v="SunGold"/>
    <s v="B04"/>
    <x v="5"/>
    <s v="Lagos"/>
    <x v="4"/>
    <s v="Walk-in"/>
    <s v="Cash"/>
    <n v="2"/>
    <n v="7800"/>
    <n v="9800"/>
    <n v="0.1"/>
    <x v="9"/>
    <n v="12"/>
    <n v="19600"/>
    <n v="1960"/>
    <n v="17640"/>
    <n v="15600"/>
    <n v="2040"/>
    <n v="0.11564625850340136"/>
    <s v="Understocked"/>
    <s v="Safe"/>
    <n v="0.20408163265306123"/>
    <s v="Safe"/>
    <n v="2000"/>
    <n v="0.20408163265306123"/>
  </r>
  <r>
    <s v="ORD-12741"/>
    <x v="246"/>
    <s v="P006"/>
    <x v="0"/>
    <s v="Beverages"/>
    <s v="Water"/>
    <s v="AquaPure"/>
    <s v="B01"/>
    <x v="2"/>
    <s v="Abuja"/>
    <x v="2"/>
    <s v="Member"/>
    <s v="Cash"/>
    <n v="2"/>
    <n v="230"/>
    <n v="400"/>
    <n v="0.15"/>
    <x v="2"/>
    <n v="10"/>
    <n v="800"/>
    <n v="120"/>
    <n v="680"/>
    <n v="460"/>
    <n v="220"/>
    <n v="0.3235294117647059"/>
    <s v="Understocked"/>
    <s v="Safe"/>
    <n v="0.42499999999999999"/>
    <s v="Safe"/>
    <n v="170"/>
    <n v="0.42499999999999999"/>
  </r>
  <r>
    <s v="ORD-12742"/>
    <x v="162"/>
    <s v="P015"/>
    <x v="8"/>
    <s v="Personal Care"/>
    <s v="Bath"/>
    <s v="SilkyTouch"/>
    <s v="B06"/>
    <x v="1"/>
    <s v="Rivers"/>
    <x v="1"/>
    <s v="Walk-in"/>
    <s v="POS"/>
    <n v="3"/>
    <n v="600"/>
    <n v="950"/>
    <n v="0.1"/>
    <x v="11"/>
    <n v="13"/>
    <n v="2850"/>
    <n v="285"/>
    <n v="2565"/>
    <n v="1800"/>
    <n v="765"/>
    <n v="0.2982456140350877"/>
    <s v="Healthy"/>
    <s v="Safe"/>
    <n v="0.36842105263157893"/>
    <s v="Safe"/>
    <n v="350"/>
    <n v="0.36842105263157893"/>
  </r>
  <r>
    <s v="ORD-12743"/>
    <x v="299"/>
    <s v="P003"/>
    <x v="12"/>
    <s v="Food"/>
    <s v="Cooking Oil"/>
    <s v="SunGold"/>
    <s v="B03"/>
    <x v="6"/>
    <s v="Lagos"/>
    <x v="4"/>
    <s v="Member"/>
    <s v="POS"/>
    <n v="4"/>
    <n v="7800"/>
    <n v="9800"/>
    <n v="0.1"/>
    <x v="9"/>
    <n v="12"/>
    <n v="39200"/>
    <n v="3920"/>
    <n v="35280"/>
    <n v="31200"/>
    <n v="4080"/>
    <n v="0.11564625850340136"/>
    <s v="Understocked"/>
    <s v="Safe"/>
    <n v="0.20408163265306123"/>
    <s v="Safe"/>
    <n v="2000"/>
    <n v="0.20408163265306123"/>
  </r>
  <r>
    <s v="ORD-12744"/>
    <x v="58"/>
    <s v="P013"/>
    <x v="11"/>
    <s v="Personal Care"/>
    <s v="Skin Care"/>
    <s v="GlowPlus"/>
    <s v="B07"/>
    <x v="3"/>
    <s v="Enugu"/>
    <x v="3"/>
    <s v="Corporate"/>
    <s v="Transfer"/>
    <n v="2"/>
    <n v="3500"/>
    <n v="5200"/>
    <n v="0.2"/>
    <x v="10"/>
    <n v="2"/>
    <n v="10400"/>
    <n v="2080"/>
    <n v="8320"/>
    <n v="7000"/>
    <n v="1320"/>
    <n v="0.15865384615384615"/>
    <s v="Healthy"/>
    <s v="Safe"/>
    <n v="0.32692307692307693"/>
    <s v="Safe"/>
    <n v="1700"/>
    <n v="0.32692307692307693"/>
  </r>
  <r>
    <s v="ORD-12745"/>
    <x v="160"/>
    <s v="P005"/>
    <x v="2"/>
    <s v="Food"/>
    <s v="Snacks"/>
    <s v="CrispyBite"/>
    <s v="B05"/>
    <x v="0"/>
    <s v="Kano"/>
    <x v="0"/>
    <s v="Walk-in"/>
    <s v="POS"/>
    <n v="1"/>
    <n v="850"/>
    <n v="1300"/>
    <n v="0.05"/>
    <x v="9"/>
    <n v="8"/>
    <n v="1300"/>
    <n v="65"/>
    <n v="1235"/>
    <n v="850"/>
    <n v="385"/>
    <n v="0.31174089068825911"/>
    <s v="Understocked"/>
    <s v="Safe"/>
    <n v="0.34615384615384615"/>
    <s v="Safe"/>
    <n v="450"/>
    <n v="0.34615384615384615"/>
  </r>
  <r>
    <s v="ORD-12746"/>
    <x v="297"/>
    <s v="P006"/>
    <x v="0"/>
    <s v="Beverages"/>
    <s v="Water"/>
    <s v="AquaPure"/>
    <s v="B01"/>
    <x v="2"/>
    <s v="Abuja"/>
    <x v="2"/>
    <s v="Member"/>
    <s v="POS"/>
    <n v="6"/>
    <n v="230"/>
    <n v="400"/>
    <n v="0.05"/>
    <x v="0"/>
    <n v="14"/>
    <n v="2400"/>
    <n v="120"/>
    <n v="2280"/>
    <n v="1380"/>
    <n v="900"/>
    <n v="0.39473684210526316"/>
    <s v="Understocked"/>
    <s v="Safe"/>
    <n v="0.42499999999999999"/>
    <s v="Safe"/>
    <n v="170"/>
    <n v="0.42499999999999999"/>
  </r>
  <r>
    <s v="ORD-12747"/>
    <x v="176"/>
    <s v="P014"/>
    <x v="15"/>
    <s v="Personal Care"/>
    <s v="Oral Care"/>
    <s v="FreshMint"/>
    <s v="B04"/>
    <x v="5"/>
    <s v="Lagos"/>
    <x v="4"/>
    <s v="Member"/>
    <s v="Cash"/>
    <n v="5"/>
    <n v="1200"/>
    <n v="1900"/>
    <n v="0.1"/>
    <x v="10"/>
    <n v="4"/>
    <n v="9500"/>
    <n v="950"/>
    <n v="8550"/>
    <n v="6000"/>
    <n v="2550"/>
    <n v="0.2982456140350877"/>
    <s v="Healthy"/>
    <s v="Safe"/>
    <n v="0.36842105263157893"/>
    <s v="Safe"/>
    <n v="700"/>
    <n v="0.36842105263157893"/>
  </r>
  <r>
    <s v="ORD-12748"/>
    <x v="40"/>
    <s v="P008"/>
    <x v="4"/>
    <s v="Beverages"/>
    <s v="Soft Drinks"/>
    <s v="Sparkle"/>
    <s v="B03"/>
    <x v="6"/>
    <s v="Lagos"/>
    <x v="4"/>
    <s v="Walk-in"/>
    <s v="POS"/>
    <n v="1"/>
    <n v="330"/>
    <n v="550"/>
    <n v="0.15"/>
    <x v="2"/>
    <n v="5"/>
    <n v="550"/>
    <n v="82.5"/>
    <n v="467.5"/>
    <n v="330"/>
    <n v="137.5"/>
    <n v="0.29411764705882354"/>
    <s v="Healthy"/>
    <s v="Safe"/>
    <n v="0.4"/>
    <s v="Safe"/>
    <n v="220"/>
    <n v="0.4"/>
  </r>
  <r>
    <s v="ORD-12749"/>
    <x v="142"/>
    <s v="P020"/>
    <x v="5"/>
    <s v="Electronics"/>
    <s v="Lighting"/>
    <s v="Luma"/>
    <s v="B03"/>
    <x v="6"/>
    <s v="Lagos"/>
    <x v="4"/>
    <s v="Walk-in"/>
    <s v="Card"/>
    <n v="4"/>
    <n v="1500"/>
    <n v="2500"/>
    <n v="0.1"/>
    <x v="13"/>
    <n v="1"/>
    <n v="10000"/>
    <n v="1000"/>
    <n v="9000"/>
    <n v="6000"/>
    <n v="3000"/>
    <n v="0.33333333333333331"/>
    <s v="Healthy"/>
    <s v="Safe"/>
    <n v="0.4"/>
    <s v="Safe"/>
    <n v="1000"/>
    <n v="0.4"/>
  </r>
  <r>
    <s v="ORD-12750"/>
    <x v="9"/>
    <s v="P008"/>
    <x v="4"/>
    <s v="Beverages"/>
    <s v="Soft Drinks"/>
    <s v="Sparkle"/>
    <s v="B03"/>
    <x v="6"/>
    <s v="Lagos"/>
    <x v="4"/>
    <s v="Member"/>
    <s v="Transfer"/>
    <n v="6"/>
    <n v="330"/>
    <n v="550"/>
    <n v="0"/>
    <x v="0"/>
    <n v="2"/>
    <n v="3300"/>
    <n v="0"/>
    <n v="3300"/>
    <n v="1980"/>
    <n v="1320"/>
    <n v="0.4"/>
    <s v="Healthy"/>
    <s v="Safe"/>
    <n v="0.4"/>
    <s v="Safe"/>
    <n v="220"/>
    <n v="0.4"/>
  </r>
  <r>
    <s v="ORD-12751"/>
    <x v="358"/>
    <s v="P024"/>
    <x v="19"/>
    <s v="Office Supplies"/>
    <s v="Accessories"/>
    <s v="ErgoDesk"/>
    <s v="B01"/>
    <x v="2"/>
    <s v="Abuja"/>
    <x v="2"/>
    <s v="Walk-in"/>
    <s v="Transfer"/>
    <n v="5"/>
    <n v="1700"/>
    <n v="2800"/>
    <n v="0.1"/>
    <x v="5"/>
    <n v="9"/>
    <n v="14000"/>
    <n v="1400"/>
    <n v="12600"/>
    <n v="8500"/>
    <n v="4100"/>
    <n v="0.32539682539682541"/>
    <s v="Overstocked"/>
    <s v="Safe"/>
    <n v="0.39285714285714285"/>
    <s v="Safe"/>
    <n v="1100"/>
    <n v="0.39285714285714285"/>
  </r>
  <r>
    <s v="ORD-12752"/>
    <x v="61"/>
    <s v="P021"/>
    <x v="20"/>
    <s v="Office Supplies"/>
    <s v="Paper"/>
    <s v="OfficeMate"/>
    <s v="B04"/>
    <x v="5"/>
    <s v="Lagos"/>
    <x v="4"/>
    <s v="Walk-in"/>
    <s v="POS"/>
    <n v="2"/>
    <n v="5200"/>
    <n v="7000"/>
    <n v="0.25"/>
    <x v="15"/>
    <n v="11"/>
    <n v="14000"/>
    <n v="3500"/>
    <n v="10500"/>
    <n v="10400"/>
    <n v="100"/>
    <n v="9.5238095238095247E-3"/>
    <s v="Overstocked"/>
    <s v="Safe"/>
    <n v="0.25714285714285712"/>
    <s v="Safe"/>
    <n v="1800"/>
    <n v="0.25714285714285712"/>
  </r>
  <r>
    <s v="ORD-12753"/>
    <x v="2"/>
    <s v="P009"/>
    <x v="13"/>
    <s v="Household"/>
    <s v="Cleaning"/>
    <s v="BrightWash"/>
    <s v="B07"/>
    <x v="3"/>
    <s v="Enugu"/>
    <x v="3"/>
    <s v="Member"/>
    <s v="POS"/>
    <n v="2"/>
    <n v="2400"/>
    <n v="3400"/>
    <n v="0"/>
    <x v="7"/>
    <n v="11"/>
    <n v="6800"/>
    <n v="0"/>
    <n v="6800"/>
    <n v="4800"/>
    <n v="2000"/>
    <n v="0.29411764705882354"/>
    <s v="Healthy"/>
    <s v="Safe"/>
    <n v="0.29411764705882354"/>
    <s v="Safe"/>
    <n v="1000"/>
    <n v="0.29411764705882354"/>
  </r>
  <r>
    <s v="ORD-12754"/>
    <x v="190"/>
    <s v="P006"/>
    <x v="0"/>
    <s v="Beverages"/>
    <s v="Water"/>
    <s v="AquaPure"/>
    <s v="B03"/>
    <x v="6"/>
    <s v="Lagos"/>
    <x v="4"/>
    <s v="Walk-in"/>
    <s v="POS"/>
    <n v="4"/>
    <n v="230"/>
    <n v="400"/>
    <n v="0.1"/>
    <x v="3"/>
    <n v="4"/>
    <n v="1600"/>
    <n v="160"/>
    <n v="1440"/>
    <n v="920"/>
    <n v="520"/>
    <n v="0.3611111111111111"/>
    <s v="Understocked"/>
    <s v="Safe"/>
    <n v="0.42499999999999999"/>
    <s v="Safe"/>
    <n v="170"/>
    <n v="0.42499999999999999"/>
  </r>
  <r>
    <s v="ORD-12755"/>
    <x v="177"/>
    <s v="P007"/>
    <x v="3"/>
    <s v="Beverages"/>
    <s v="Malt"/>
    <s v="Naija Malt"/>
    <s v="B04"/>
    <x v="5"/>
    <s v="Lagos"/>
    <x v="4"/>
    <s v="Walk-in"/>
    <s v="Cash"/>
    <n v="8"/>
    <n v="550"/>
    <n v="850"/>
    <n v="0.05"/>
    <x v="2"/>
    <n v="4"/>
    <n v="6800"/>
    <n v="340"/>
    <n v="6460"/>
    <n v="4400"/>
    <n v="2060"/>
    <n v="0.31888544891640869"/>
    <s v="Healthy"/>
    <s v="Safe"/>
    <n v="0.35294117647058826"/>
    <s v="Safe"/>
    <n v="300"/>
    <n v="0.35294117647058826"/>
  </r>
  <r>
    <s v="ORD-12756"/>
    <x v="190"/>
    <s v="P002"/>
    <x v="10"/>
    <s v="Food"/>
    <s v="Grains"/>
    <s v="Mama's Pride"/>
    <s v="B03"/>
    <x v="6"/>
    <s v="Lagos"/>
    <x v="4"/>
    <s v="Walk-in"/>
    <s v="POS"/>
    <n v="-2"/>
    <n v="6200"/>
    <n v="7900"/>
    <n v="0.1"/>
    <x v="1"/>
    <n v="11"/>
    <n v="-15800"/>
    <n v="-1580"/>
    <n v="-14220"/>
    <n v="-12400"/>
    <n v="-1820"/>
    <n v="0.12798874824191281"/>
    <s v="Healthy"/>
    <s v="Discount loss"/>
    <n v="0.21518987341772153"/>
    <s v="Safe"/>
    <n v="1700"/>
    <n v="0.21518987341772153"/>
  </r>
  <r>
    <s v="ORD-12757"/>
    <x v="44"/>
    <s v="P017"/>
    <x v="23"/>
    <s v="Electronics"/>
    <s v="Accessories"/>
    <s v="PowerMax"/>
    <s v="B03"/>
    <x v="6"/>
    <s v="Lagos"/>
    <x v="4"/>
    <s v="Walk-in"/>
    <s v="Cash"/>
    <n v="2"/>
    <n v="7500"/>
    <n v="10500"/>
    <n v="0.2"/>
    <x v="13"/>
    <n v="11"/>
    <n v="21000"/>
    <n v="4200"/>
    <n v="16800"/>
    <n v="15000"/>
    <n v="1800"/>
    <n v="0.10714285714285714"/>
    <s v="Healthy"/>
    <s v="Safe"/>
    <n v="0.2857142857142857"/>
    <s v="Safe"/>
    <n v="3000"/>
    <n v="0.2857142857142857"/>
  </r>
  <r>
    <s v="ORD-12758"/>
    <x v="251"/>
    <s v="P006"/>
    <x v="0"/>
    <s v="Beverages"/>
    <s v="Water"/>
    <s v="AquaPure"/>
    <s v="B02"/>
    <x v="4"/>
    <s v="Abuja"/>
    <x v="2"/>
    <s v="Walk-in"/>
    <s v="Card"/>
    <n v="5"/>
    <n v="230"/>
    <n v="400"/>
    <n v="0.1"/>
    <x v="3"/>
    <n v="5"/>
    <n v="2000"/>
    <n v="200"/>
    <n v="1800"/>
    <n v="1150"/>
    <n v="650"/>
    <n v="0.3611111111111111"/>
    <s v="Understocked"/>
    <s v="Safe"/>
    <n v="0.42499999999999999"/>
    <s v="Safe"/>
    <n v="170"/>
    <n v="0.42499999999999999"/>
  </r>
  <r>
    <s v="ORD-12759"/>
    <x v="167"/>
    <s v="P003"/>
    <x v="12"/>
    <s v="Food"/>
    <s v="Cooking Oil"/>
    <s v="SunGold"/>
    <s v="B08"/>
    <x v="7"/>
    <s v="Kwara"/>
    <x v="2"/>
    <s v="Member"/>
    <s v="POS"/>
    <n v="3"/>
    <n v="7800"/>
    <n v="9800"/>
    <n v="0.05"/>
    <x v="1"/>
    <n v="7"/>
    <n v="29400"/>
    <n v="1470"/>
    <n v="27930"/>
    <n v="23400"/>
    <n v="4530"/>
    <n v="0.16219119226638024"/>
    <s v="Understocked"/>
    <s v="Safe"/>
    <n v="0.20408163265306123"/>
    <s v="Safe"/>
    <n v="2000"/>
    <n v="0.20408163265306123"/>
  </r>
  <r>
    <s v="ORD-12760"/>
    <x v="129"/>
    <s v="P018"/>
    <x v="16"/>
    <s v="Electronics"/>
    <s v="Mobile Accessories"/>
    <s v="VoltSafe"/>
    <s v="B02"/>
    <x v="4"/>
    <s v="Abuja"/>
    <x v="2"/>
    <s v="Walk-in"/>
    <s v="POS"/>
    <n v="2"/>
    <n v="18000"/>
    <n v="24500"/>
    <n v="0.1"/>
    <x v="4"/>
    <n v="9"/>
    <n v="49000"/>
    <n v="4900"/>
    <n v="44100"/>
    <n v="36000"/>
    <n v="8100"/>
    <n v="0.18367346938775511"/>
    <s v="Understocked"/>
    <s v="Safe"/>
    <n v="0.26530612244897961"/>
    <s v="Safe"/>
    <n v="6500"/>
    <n v="0.26530612244897961"/>
  </r>
  <r>
    <s v="ORD-12761"/>
    <x v="12"/>
    <s v="P008"/>
    <x v="4"/>
    <s v="Beverages"/>
    <s v="Soft Drinks"/>
    <s v="Sparkle"/>
    <s v="B02"/>
    <x v="4"/>
    <s v="Abuja"/>
    <x v="2"/>
    <s v="Member"/>
    <s v="Cash"/>
    <n v="5"/>
    <n v="330"/>
    <n v="550"/>
    <n v="0"/>
    <x v="0"/>
    <n v="11"/>
    <n v="2750"/>
    <n v="0"/>
    <n v="2750"/>
    <n v="1650"/>
    <n v="1100"/>
    <n v="0.4"/>
    <s v="Healthy"/>
    <s v="Safe"/>
    <n v="0.4"/>
    <s v="Safe"/>
    <n v="220"/>
    <n v="0.4"/>
  </r>
  <r>
    <s v="ORD-12762"/>
    <x v="235"/>
    <s v="P018"/>
    <x v="16"/>
    <s v="Electronics"/>
    <s v="Mobile Accessories"/>
    <s v="VoltSafe"/>
    <s v="B08"/>
    <x v="7"/>
    <s v="Kwara"/>
    <x v="2"/>
    <s v="Corporate"/>
    <s v="POS"/>
    <n v="3"/>
    <n v="18000"/>
    <n v="24500"/>
    <n v="0.15"/>
    <x v="4"/>
    <n v="4"/>
    <n v="73500"/>
    <n v="11025"/>
    <n v="62475"/>
    <n v="54000"/>
    <n v="8475"/>
    <n v="0.13565426170468187"/>
    <s v="Understocked"/>
    <s v="Safe"/>
    <n v="0.26530612244897961"/>
    <s v="Safe"/>
    <n v="6500"/>
    <n v="0.26530612244897961"/>
  </r>
  <r>
    <s v="ORD-12763"/>
    <x v="178"/>
    <s v="P020"/>
    <x v="5"/>
    <s v="Electronics"/>
    <s v="Lighting"/>
    <s v="Luma"/>
    <s v="B03"/>
    <x v="6"/>
    <s v="Lagos"/>
    <x v="4"/>
    <s v="Walk-in"/>
    <s v="POS"/>
    <n v="2"/>
    <n v="1500"/>
    <n v="2500"/>
    <n v="0.05"/>
    <x v="13"/>
    <n v="6"/>
    <n v="5000"/>
    <n v="250"/>
    <n v="4750"/>
    <n v="3000"/>
    <n v="1750"/>
    <n v="0.36842105263157893"/>
    <s v="Healthy"/>
    <s v="Safe"/>
    <n v="0.4"/>
    <s v="Safe"/>
    <n v="1000"/>
    <n v="0.4"/>
  </r>
  <r>
    <s v="ORD-12764"/>
    <x v="294"/>
    <s v="P003"/>
    <x v="12"/>
    <s v="Food"/>
    <s v="Cooking Oil"/>
    <s v="SunGold"/>
    <s v="B04"/>
    <x v="5"/>
    <s v="Lagos"/>
    <x v="4"/>
    <s v="Member"/>
    <s v="POS"/>
    <n v="1"/>
    <n v="7800"/>
    <n v="9800"/>
    <n v="0"/>
    <x v="8"/>
    <n v="3"/>
    <n v="9800"/>
    <n v="0"/>
    <n v="9800"/>
    <n v="7800"/>
    <n v="2000"/>
    <n v="0.20408163265306123"/>
    <s v="Understocked"/>
    <s v="Safe"/>
    <n v="0.20408163265306123"/>
    <s v="Safe"/>
    <n v="2000"/>
    <n v="0.20408163265306123"/>
  </r>
  <r>
    <s v="ORD-12765"/>
    <x v="231"/>
    <s v="P005"/>
    <x v="2"/>
    <s v="Food"/>
    <s v="Snacks"/>
    <s v="CrispyBite"/>
    <s v="B03"/>
    <x v="6"/>
    <s v="Lagos"/>
    <x v="4"/>
    <s v="Member"/>
    <s v="POS"/>
    <n v="2"/>
    <n v="850"/>
    <n v="1300"/>
    <n v="0.1"/>
    <x v="1"/>
    <n v="7"/>
    <n v="2600"/>
    <n v="260"/>
    <n v="2340"/>
    <n v="1700"/>
    <n v="640"/>
    <n v="0.27350427350427353"/>
    <s v="Understocked"/>
    <s v="Safe"/>
    <n v="0.34615384615384615"/>
    <s v="Safe"/>
    <n v="450"/>
    <n v="0.34615384615384615"/>
  </r>
  <r>
    <s v="ORD-12766"/>
    <x v="304"/>
    <s v="P009"/>
    <x v="13"/>
    <s v="Household"/>
    <s v="Cleaning"/>
    <s v="BrightWash"/>
    <s v="B04"/>
    <x v="5"/>
    <s v="Lagos"/>
    <x v="4"/>
    <s v="Walk-in"/>
    <s v="POS"/>
    <n v="2"/>
    <n v="2400"/>
    <n v="3400"/>
    <n v="0.05"/>
    <x v="1"/>
    <n v="1"/>
    <n v="6800"/>
    <n v="340"/>
    <n v="6460"/>
    <n v="4800"/>
    <n v="1660"/>
    <n v="0.25696594427244585"/>
    <s v="Healthy"/>
    <s v="Safe"/>
    <n v="0.29411764705882354"/>
    <s v="Safe"/>
    <n v="1000"/>
    <n v="0.29411764705882354"/>
  </r>
  <r>
    <s v="ORD-12767"/>
    <x v="281"/>
    <s v="P011"/>
    <x v="9"/>
    <s v="Household"/>
    <s v="Cleaning"/>
    <s v="CleanPro"/>
    <s v="B01"/>
    <x v="2"/>
    <s v="Abuja"/>
    <x v="2"/>
    <s v="Walk-in"/>
    <s v="Cash"/>
    <n v="2"/>
    <n v="2800"/>
    <n v="3900"/>
    <n v="0.05"/>
    <x v="7"/>
    <n v="13"/>
    <n v="7800"/>
    <n v="390"/>
    <n v="7410"/>
    <n v="5600"/>
    <n v="1810"/>
    <n v="0.24426450742240216"/>
    <s v="Healthy"/>
    <s v="Safe"/>
    <n v="0.28205128205128205"/>
    <s v="Safe"/>
    <n v="1100"/>
    <n v="0.28205128205128205"/>
  </r>
  <r>
    <s v="ORD-12768"/>
    <x v="332"/>
    <s v="P003"/>
    <x v="12"/>
    <s v="Food"/>
    <s v="Cooking Oil"/>
    <s v="SunGold"/>
    <s v="B03"/>
    <x v="6"/>
    <s v="Lagos"/>
    <x v="4"/>
    <s v="Member"/>
    <s v="Cash"/>
    <n v="5"/>
    <n v="7800"/>
    <n v="9800"/>
    <n v="0.05"/>
    <x v="8"/>
    <n v="2"/>
    <n v="49000"/>
    <n v="2450"/>
    <n v="46550"/>
    <n v="39000"/>
    <n v="7550"/>
    <n v="0.16219119226638024"/>
    <s v="Understocked"/>
    <s v="Safe"/>
    <n v="0.20408163265306123"/>
    <s v="Safe"/>
    <n v="2000"/>
    <n v="0.20408163265306123"/>
  </r>
  <r>
    <s v="ORD-12769"/>
    <x v="205"/>
    <s v="P008"/>
    <x v="4"/>
    <s v="Beverages"/>
    <s v="Soft Drinks"/>
    <s v="Sparkle"/>
    <s v="B01"/>
    <x v="2"/>
    <s v="Abuja"/>
    <x v="2"/>
    <s v="Walk-in"/>
    <s v="POS"/>
    <n v="1"/>
    <n v="330"/>
    <n v="550"/>
    <n v="0.05"/>
    <x v="0"/>
    <n v="11"/>
    <n v="550"/>
    <n v="27.5"/>
    <n v="522.5"/>
    <n v="330"/>
    <n v="192.5"/>
    <n v="0.36842105263157893"/>
    <s v="Healthy"/>
    <s v="Safe"/>
    <n v="0.4"/>
    <s v="Safe"/>
    <n v="220"/>
    <n v="0.4"/>
  </r>
  <r>
    <s v="ORD-12770"/>
    <x v="288"/>
    <s v="P015"/>
    <x v="8"/>
    <s v="Personal Care"/>
    <s v="Bath"/>
    <s v="SilkyTouch"/>
    <s v="B08"/>
    <x v="7"/>
    <s v="Kwara"/>
    <x v="2"/>
    <s v="Corporate"/>
    <s v="POS"/>
    <n v="2"/>
    <n v="600"/>
    <n v="950"/>
    <n v="0.15"/>
    <x v="11"/>
    <n v="1"/>
    <n v="1900"/>
    <n v="285"/>
    <n v="1615"/>
    <n v="1200"/>
    <n v="415"/>
    <n v="0.25696594427244585"/>
    <s v="Healthy"/>
    <s v="Safe"/>
    <n v="0.36842105263157893"/>
    <s v="Safe"/>
    <n v="350"/>
    <n v="0.36842105263157893"/>
  </r>
  <r>
    <s v="ORD-12771"/>
    <x v="333"/>
    <s v="P006"/>
    <x v="0"/>
    <s v="Beverages"/>
    <s v="Water"/>
    <s v="AquaPure"/>
    <s v="B07"/>
    <x v="3"/>
    <s v="Enugu"/>
    <x v="3"/>
    <s v="Walk-in"/>
    <s v="POS"/>
    <n v="3"/>
    <n v="230"/>
    <n v="400"/>
    <n v="0.15"/>
    <x v="3"/>
    <n v="8"/>
    <n v="1200"/>
    <n v="180"/>
    <n v="1020"/>
    <n v="690"/>
    <n v="330"/>
    <n v="0.3235294117647059"/>
    <s v="Understocked"/>
    <s v="Safe"/>
    <n v="0.42499999999999999"/>
    <s v="Safe"/>
    <n v="170"/>
    <n v="0.42499999999999999"/>
  </r>
  <r>
    <s v="ORD-12772"/>
    <x v="88"/>
    <s v="P003"/>
    <x v="12"/>
    <s v="Food"/>
    <s v="Cooking Oil"/>
    <s v="SunGold"/>
    <s v="B06"/>
    <x v="1"/>
    <s v="Rivers"/>
    <x v="1"/>
    <s v="Member"/>
    <s v="Transfer"/>
    <n v="6"/>
    <n v="7800"/>
    <n v="9800"/>
    <n v="0.15"/>
    <x v="8"/>
    <n v="14"/>
    <n v="58800"/>
    <n v="8820"/>
    <n v="49980"/>
    <n v="46800"/>
    <n v="3180"/>
    <n v="6.3625450180072027E-2"/>
    <s v="Understocked"/>
    <s v="Safe"/>
    <n v="0.20408163265306123"/>
    <s v="Safe"/>
    <n v="2000"/>
    <n v="0.20408163265306123"/>
  </r>
  <r>
    <s v="ORD-12773"/>
    <x v="168"/>
    <s v="P004"/>
    <x v="1"/>
    <s v="Beverages"/>
    <s v="Dairy"/>
    <s v="FreshDay"/>
    <s v="B03"/>
    <x v="6"/>
    <s v="Lagos"/>
    <x v="4"/>
    <s v="Walk-in"/>
    <s v="Cash"/>
    <n v="2"/>
    <n v="1650"/>
    <n v="2200"/>
    <n v="0.05"/>
    <x v="3"/>
    <n v="14"/>
    <n v="4400"/>
    <n v="220"/>
    <n v="4180"/>
    <n v="3300"/>
    <n v="880"/>
    <n v="0.21052631578947367"/>
    <s v="Understocked"/>
    <s v="Safe"/>
    <n v="0.25"/>
    <s v="Safe"/>
    <n v="550"/>
    <n v="0.25"/>
  </r>
  <r>
    <s v="ORD-12774"/>
    <x v="140"/>
    <s v="P009"/>
    <x v="13"/>
    <s v="Household"/>
    <s v="Cleaning"/>
    <s v="BrightWash"/>
    <s v="B07"/>
    <x v="3"/>
    <s v="Enugu"/>
    <x v="3"/>
    <s v="Walk-in"/>
    <s v="Transfer"/>
    <n v="10"/>
    <n v="2400"/>
    <n v="3400"/>
    <n v="0.05"/>
    <x v="10"/>
    <n v="9"/>
    <n v="34000"/>
    <n v="1700"/>
    <n v="32300"/>
    <n v="24000"/>
    <n v="8300"/>
    <n v="0.25696594427244585"/>
    <s v="Healthy"/>
    <s v="Safe"/>
    <n v="0.29411764705882354"/>
    <s v="Safe"/>
    <n v="1000"/>
    <n v="0.29411764705882354"/>
  </r>
  <r>
    <s v="ORD-12775"/>
    <x v="292"/>
    <s v="P013"/>
    <x v="11"/>
    <s v="Personal Care"/>
    <s v="Skin Care"/>
    <s v="GlowPlus"/>
    <s v="B06"/>
    <x v="1"/>
    <s v="Rivers"/>
    <x v="1"/>
    <s v="Walk-in"/>
    <s v="POS"/>
    <n v="2"/>
    <n v="3500"/>
    <n v="5200"/>
    <n v="0.1"/>
    <x v="6"/>
    <n v="14"/>
    <n v="10400"/>
    <n v="1040"/>
    <n v="9360"/>
    <n v="7000"/>
    <n v="2360"/>
    <n v="0.25213675213675213"/>
    <s v="Healthy"/>
    <s v="Safe"/>
    <n v="0.32692307692307693"/>
    <s v="Safe"/>
    <n v="1700"/>
    <n v="0.32692307692307693"/>
  </r>
  <r>
    <s v="ORD-12776"/>
    <x v="289"/>
    <s v="P014"/>
    <x v="15"/>
    <s v="Personal Care"/>
    <s v="Oral Care"/>
    <s v="FreshMint"/>
    <s v="B02"/>
    <x v="4"/>
    <s v="Abuja"/>
    <x v="2"/>
    <s v="Member"/>
    <s v="Cash"/>
    <n v="3"/>
    <n v="1200"/>
    <n v="1900"/>
    <n v="0"/>
    <x v="6"/>
    <n v="14"/>
    <n v="5700"/>
    <n v="0"/>
    <n v="5700"/>
    <n v="3600"/>
    <n v="2100"/>
    <n v="0.36842105263157893"/>
    <s v="Healthy"/>
    <s v="Safe"/>
    <n v="0.36842105263157893"/>
    <s v="Safe"/>
    <n v="700"/>
    <n v="0.36842105263157893"/>
  </r>
  <r>
    <s v="ORD-12777"/>
    <x v="232"/>
    <s v="P010"/>
    <x v="22"/>
    <s v="Household"/>
    <s v="Paper Products"/>
    <s v="SoftCare"/>
    <s v="B03"/>
    <x v="6"/>
    <s v="Lagos"/>
    <x v="4"/>
    <s v="Member"/>
    <s v="Card"/>
    <n v="2"/>
    <n v="3200"/>
    <n v="4500"/>
    <n v="0.2"/>
    <x v="10"/>
    <n v="11"/>
    <n v="9000"/>
    <n v="1800"/>
    <n v="7200"/>
    <n v="6400"/>
    <n v="800"/>
    <n v="0.1111111111111111"/>
    <s v="Healthy"/>
    <s v="Safe"/>
    <n v="0.28888888888888886"/>
    <s v="Safe"/>
    <n v="1300"/>
    <n v="0.28888888888888886"/>
  </r>
  <r>
    <s v="ORD-12778"/>
    <x v="126"/>
    <s v="P003"/>
    <x v="12"/>
    <s v="Food"/>
    <s v="Cooking Oil"/>
    <s v="SunGold"/>
    <s v="B07"/>
    <x v="3"/>
    <s v="Enugu"/>
    <x v="3"/>
    <s v="Walk-in"/>
    <s v="POS"/>
    <n v="4"/>
    <n v="7800"/>
    <n v="9800"/>
    <n v="0.05"/>
    <x v="9"/>
    <n v="4"/>
    <n v="39200"/>
    <n v="1960"/>
    <n v="37240"/>
    <n v="31200"/>
    <n v="6040"/>
    <n v="0.16219119226638024"/>
    <s v="Understocked"/>
    <s v="Safe"/>
    <n v="0.20408163265306123"/>
    <s v="Safe"/>
    <n v="2000"/>
    <n v="0.20408163265306123"/>
  </r>
  <r>
    <s v="ORD-12779"/>
    <x v="84"/>
    <s v="P003"/>
    <x v="12"/>
    <s v="Food"/>
    <s v="Cooking Oil"/>
    <s v="SunGold"/>
    <s v="B08"/>
    <x v="7"/>
    <s v="Kwara"/>
    <x v="2"/>
    <s v="Walk-in"/>
    <s v="Card"/>
    <n v="4"/>
    <n v="7800"/>
    <n v="9800"/>
    <n v="0"/>
    <x v="1"/>
    <n v="10"/>
    <n v="39200"/>
    <n v="0"/>
    <n v="39200"/>
    <n v="31200"/>
    <n v="8000"/>
    <n v="0.20408163265306123"/>
    <s v="Understocked"/>
    <s v="Safe"/>
    <n v="0.20408163265306123"/>
    <s v="Safe"/>
    <n v="2000"/>
    <n v="0.20408163265306123"/>
  </r>
  <r>
    <s v="ORD-12780"/>
    <x v="20"/>
    <s v="P017"/>
    <x v="23"/>
    <s v="Electronics"/>
    <s v="Accessories"/>
    <s v="PowerMax"/>
    <s v="B03"/>
    <x v="6"/>
    <s v="Lagos"/>
    <x v="4"/>
    <s v="Walk-in"/>
    <s v="Cash"/>
    <n v="4"/>
    <n v="7500"/>
    <n v="10500"/>
    <n v="0.1"/>
    <x v="4"/>
    <n v="4"/>
    <n v="42000"/>
    <n v="4200"/>
    <n v="37800"/>
    <n v="30000"/>
    <n v="7800"/>
    <n v="0.20634920634920634"/>
    <s v="Healthy"/>
    <s v="Safe"/>
    <n v="0.2857142857142857"/>
    <s v="Safe"/>
    <n v="3000"/>
    <n v="0.2857142857142857"/>
  </r>
  <r>
    <s v="ORD-12781"/>
    <x v="147"/>
    <s v="P014"/>
    <x v="15"/>
    <s v="Personal Care"/>
    <s v="Oral Care"/>
    <s v="FreshMint"/>
    <s v="B01"/>
    <x v="2"/>
    <s v="Abuja"/>
    <x v="2"/>
    <s v="Walk-in"/>
    <s v="POS"/>
    <n v="4"/>
    <n v="1200"/>
    <n v="1900"/>
    <n v="0.1"/>
    <x v="6"/>
    <n v="8"/>
    <n v="7600"/>
    <n v="760"/>
    <n v="6840"/>
    <n v="4800"/>
    <n v="2040"/>
    <n v="0.2982456140350877"/>
    <s v="Healthy"/>
    <s v="Safe"/>
    <n v="0.36842105263157893"/>
    <s v="Safe"/>
    <n v="700"/>
    <n v="0.36842105263157893"/>
  </r>
  <r>
    <s v="ORD-12782"/>
    <x v="363"/>
    <s v="P008"/>
    <x v="4"/>
    <s v="Beverages"/>
    <s v="Soft Drinks"/>
    <s v="Sparkle"/>
    <s v="B07"/>
    <x v="3"/>
    <s v="Enugu"/>
    <x v="3"/>
    <s v="Walk-in"/>
    <s v="Card"/>
    <n v="1"/>
    <n v="330"/>
    <n v="550"/>
    <n v="0.05"/>
    <x v="2"/>
    <n v="8"/>
    <n v="550"/>
    <n v="27.5"/>
    <n v="522.5"/>
    <n v="330"/>
    <n v="192.5"/>
    <n v="0.36842105263157893"/>
    <s v="Healthy"/>
    <s v="Safe"/>
    <n v="0.4"/>
    <s v="Safe"/>
    <n v="220"/>
    <n v="0.4"/>
  </r>
  <r>
    <s v="ORD-12783"/>
    <x v="37"/>
    <s v="P001"/>
    <x v="14"/>
    <s v="Food"/>
    <s v="Grains"/>
    <s v="Golden Harvest"/>
    <s v="B05"/>
    <x v="0"/>
    <s v="Kano"/>
    <x v="0"/>
    <s v="Member"/>
    <s v="POS"/>
    <n v="6"/>
    <n v="14500"/>
    <n v="17500"/>
    <n v="0.15"/>
    <x v="8"/>
    <n v="13"/>
    <n v="105000"/>
    <n v="15750"/>
    <n v="89250"/>
    <n v="87000"/>
    <n v="2250"/>
    <n v="2.5210084033613446E-2"/>
    <s v="Understocked"/>
    <s v="Safe"/>
    <n v="0.17142857142857143"/>
    <s v="Safe"/>
    <n v="3000"/>
    <n v="0.17142857142857143"/>
  </r>
  <r>
    <s v="ORD-12784"/>
    <x v="8"/>
    <s v="P012"/>
    <x v="21"/>
    <s v="Household"/>
    <s v="Home Care"/>
    <s v="HomeFresh"/>
    <s v="B05"/>
    <x v="0"/>
    <s v="Kano"/>
    <x v="0"/>
    <s v="Member"/>
    <s v="POS"/>
    <n v="4"/>
    <n v="1700"/>
    <n v="2600"/>
    <n v="0.2"/>
    <x v="7"/>
    <n v="10"/>
    <n v="10400"/>
    <n v="2080"/>
    <n v="8320"/>
    <n v="6800"/>
    <n v="1520"/>
    <n v="0.18269230769230768"/>
    <s v="Overstocked"/>
    <s v="Safe"/>
    <n v="0.34615384615384615"/>
    <s v="Safe"/>
    <n v="900"/>
    <n v="0.34615384615384615"/>
  </r>
  <r>
    <s v="ORD-12785"/>
    <x v="139"/>
    <s v="P008"/>
    <x v="4"/>
    <s v="Beverages"/>
    <s v="Soft Drinks"/>
    <s v="Sparkle"/>
    <s v="B04"/>
    <x v="5"/>
    <s v="Lagos"/>
    <x v="4"/>
    <s v="Walk-in"/>
    <s v="POS"/>
    <n v="2"/>
    <n v="330"/>
    <n v="550"/>
    <n v="0.15"/>
    <x v="3"/>
    <n v="8"/>
    <n v="1100"/>
    <n v="165"/>
    <n v="935"/>
    <n v="660"/>
    <n v="275"/>
    <n v="0.29411764705882354"/>
    <s v="Healthy"/>
    <s v="Safe"/>
    <n v="0.4"/>
    <s v="Safe"/>
    <n v="220"/>
    <n v="0.4"/>
  </r>
  <r>
    <s v="ORD-12786"/>
    <x v="300"/>
    <s v="P010"/>
    <x v="22"/>
    <s v="Household"/>
    <s v="Paper Products"/>
    <s v="SoftCare"/>
    <s v="B03"/>
    <x v="6"/>
    <s v="Lagos"/>
    <x v="4"/>
    <s v="Corporate"/>
    <s v="Transfer"/>
    <n v="2"/>
    <n v="3200"/>
    <n v="4500"/>
    <n v="0"/>
    <x v="10"/>
    <n v="6"/>
    <n v="9000"/>
    <n v="0"/>
    <n v="9000"/>
    <n v="6400"/>
    <n v="2600"/>
    <n v="0.28888888888888886"/>
    <s v="Healthy"/>
    <s v="Safe"/>
    <n v="0.28888888888888886"/>
    <s v="Safe"/>
    <n v="1300"/>
    <n v="0.28888888888888886"/>
  </r>
  <r>
    <s v="ORD-12787"/>
    <x v="91"/>
    <s v="P008"/>
    <x v="4"/>
    <s v="Beverages"/>
    <s v="Soft Drinks"/>
    <s v="Sparkle"/>
    <s v="B02"/>
    <x v="4"/>
    <s v="Abuja"/>
    <x v="2"/>
    <s v="Walk-in"/>
    <s v="Card"/>
    <n v="1"/>
    <n v="330"/>
    <n v="550"/>
    <n v="0.05"/>
    <x v="3"/>
    <n v="1"/>
    <n v="550"/>
    <n v="27.5"/>
    <n v="522.5"/>
    <n v="330"/>
    <n v="192.5"/>
    <n v="0.36842105263157893"/>
    <s v="Healthy"/>
    <s v="Safe"/>
    <n v="0.4"/>
    <s v="Safe"/>
    <n v="220"/>
    <n v="0.4"/>
  </r>
  <r>
    <s v="ORD-12788"/>
    <x v="19"/>
    <s v="P018"/>
    <x v="16"/>
    <s v="Electronics"/>
    <s v="Mobile Accessories"/>
    <s v="VoltSafe"/>
    <s v="B05"/>
    <x v="0"/>
    <s v="Kano"/>
    <x v="0"/>
    <s v="Member"/>
    <s v="POS"/>
    <n v="1"/>
    <n v="18000"/>
    <n v="24500"/>
    <n v="0.15"/>
    <x v="13"/>
    <n v="7"/>
    <n v="24500"/>
    <n v="3675"/>
    <n v="20825"/>
    <n v="18000"/>
    <n v="2825"/>
    <n v="0.13565426170468187"/>
    <s v="Understocked"/>
    <s v="Safe"/>
    <n v="0.26530612244897961"/>
    <s v="Safe"/>
    <n v="6500"/>
    <n v="0.26530612244897961"/>
  </r>
  <r>
    <s v="ORD-12789"/>
    <x v="74"/>
    <s v="P004"/>
    <x v="1"/>
    <s v="Beverages"/>
    <s v="Dairy"/>
    <s v="FreshDay"/>
    <s v="B06"/>
    <x v="1"/>
    <s v="Rivers"/>
    <x v="1"/>
    <s v="Walk-in"/>
    <s v="POS"/>
    <n v="4"/>
    <n v="1650"/>
    <n v="2200"/>
    <n v="0.05"/>
    <x v="2"/>
    <n v="11"/>
    <n v="8800"/>
    <n v="440"/>
    <n v="8360"/>
    <n v="6600"/>
    <n v="1760"/>
    <n v="0.21052631578947367"/>
    <s v="Understocked"/>
    <s v="Safe"/>
    <n v="0.25"/>
    <s v="Safe"/>
    <n v="550"/>
    <n v="0.25"/>
  </r>
  <r>
    <s v="ORD-12790"/>
    <x v="130"/>
    <s v="P005"/>
    <x v="2"/>
    <s v="Food"/>
    <s v="Snacks"/>
    <s v="CrispyBite"/>
    <s v="B08"/>
    <x v="7"/>
    <s v="Kwara"/>
    <x v="2"/>
    <s v="Walk-in"/>
    <s v="Transfer"/>
    <n v="6"/>
    <n v="850"/>
    <n v="1300"/>
    <n v="0.15"/>
    <x v="9"/>
    <n v="11"/>
    <n v="7800"/>
    <n v="1170"/>
    <n v="6630"/>
    <n v="5100"/>
    <n v="1530"/>
    <n v="0.23076923076923078"/>
    <s v="Understocked"/>
    <s v="Safe"/>
    <n v="0.34615384615384615"/>
    <s v="Safe"/>
    <n v="450"/>
    <n v="0.34615384615384615"/>
  </r>
  <r>
    <s v="ORD-12791"/>
    <x v="224"/>
    <s v="P016"/>
    <x v="7"/>
    <s v="Personal Care"/>
    <s v="Fragrance"/>
    <s v="RoyalScent"/>
    <s v="B07"/>
    <x v="3"/>
    <s v="Enugu"/>
    <x v="3"/>
    <s v="Member"/>
    <s v="POS"/>
    <n v="1"/>
    <n v="8500"/>
    <n v="12500"/>
    <n v="0.15"/>
    <x v="6"/>
    <n v="2"/>
    <n v="12500"/>
    <n v="1875"/>
    <n v="10625"/>
    <n v="8500"/>
    <n v="2125"/>
    <n v="0.2"/>
    <s v="Overstocked"/>
    <s v="Safe"/>
    <n v="0.32"/>
    <s v="Safe"/>
    <n v="4000"/>
    <n v="0.32"/>
  </r>
  <r>
    <s v="ORD-12792"/>
    <x v="203"/>
    <s v="P018"/>
    <x v="16"/>
    <s v="Electronics"/>
    <s v="Mobile Accessories"/>
    <s v="VoltSafe"/>
    <s v="B04"/>
    <x v="5"/>
    <s v="Lagos"/>
    <x v="4"/>
    <s v="Walk-in"/>
    <s v="Cash"/>
    <n v="4"/>
    <n v="18000"/>
    <n v="24500"/>
    <n v="0.05"/>
    <x v="12"/>
    <n v="13"/>
    <n v="98000"/>
    <n v="4900"/>
    <n v="93100"/>
    <n v="72000"/>
    <n v="21100"/>
    <n v="0.22663802363050484"/>
    <s v="Understocked"/>
    <s v="Safe"/>
    <n v="0.26530612244897961"/>
    <s v="Safe"/>
    <n v="6500"/>
    <n v="0.26530612244897961"/>
  </r>
  <r>
    <s v="ORD-12793"/>
    <x v="248"/>
    <s v="P011"/>
    <x v="9"/>
    <s v="Household"/>
    <s v="Cleaning"/>
    <s v="CleanPro"/>
    <s v="B03"/>
    <x v="6"/>
    <s v="Lagos"/>
    <x v="4"/>
    <s v="Walk-in"/>
    <s v="POS"/>
    <n v="2"/>
    <n v="2800"/>
    <n v="3900"/>
    <n v="0"/>
    <x v="10"/>
    <n v="9"/>
    <n v="7800"/>
    <n v="0"/>
    <n v="7800"/>
    <n v="5600"/>
    <n v="2200"/>
    <n v="0.28205128205128205"/>
    <s v="Healthy"/>
    <s v="Safe"/>
    <n v="0.28205128205128205"/>
    <s v="Safe"/>
    <n v="1100"/>
    <n v="0.28205128205128205"/>
  </r>
  <r>
    <s v="ORD-12794"/>
    <x v="332"/>
    <s v="P018"/>
    <x v="16"/>
    <s v="Electronics"/>
    <s v="Mobile Accessories"/>
    <s v="VoltSafe"/>
    <s v="B03"/>
    <x v="6"/>
    <s v="Lagos"/>
    <x v="4"/>
    <s v="Walk-in"/>
    <s v="Transfer"/>
    <n v="2"/>
    <n v="18000"/>
    <n v="24500"/>
    <n v="0.05"/>
    <x v="4"/>
    <n v="9"/>
    <n v="49000"/>
    <n v="2450"/>
    <n v="46550"/>
    <n v="36000"/>
    <n v="10550"/>
    <n v="0.22663802363050484"/>
    <s v="Understocked"/>
    <s v="Safe"/>
    <n v="0.26530612244897961"/>
    <s v="Safe"/>
    <n v="6500"/>
    <n v="0.26530612244897961"/>
  </r>
  <r>
    <s v="ORD-12795"/>
    <x v="72"/>
    <s v="P007"/>
    <x v="3"/>
    <s v="Beverages"/>
    <s v="Malt"/>
    <s v="Naija Malt"/>
    <s v="B04"/>
    <x v="5"/>
    <s v="Lagos"/>
    <x v="4"/>
    <s v="Member"/>
    <s v="Transfer"/>
    <n v="1"/>
    <n v="550"/>
    <n v="850"/>
    <n v="0.1"/>
    <x v="0"/>
    <n v="11"/>
    <n v="850"/>
    <n v="85"/>
    <n v="765"/>
    <n v="550"/>
    <n v="215"/>
    <n v="0.28104575163398693"/>
    <s v="Healthy"/>
    <s v="Safe"/>
    <n v="0.35294117647058826"/>
    <s v="Safe"/>
    <n v="300"/>
    <n v="0.35294117647058826"/>
  </r>
  <r>
    <s v="ORD-12796"/>
    <x v="190"/>
    <s v="P010"/>
    <x v="22"/>
    <s v="Household"/>
    <s v="Paper Products"/>
    <s v="SoftCare"/>
    <s v="B02"/>
    <x v="4"/>
    <s v="Abuja"/>
    <x v="2"/>
    <s v="Member"/>
    <s v="Transfer"/>
    <n v="3"/>
    <n v="3200"/>
    <n v="4500"/>
    <n v="0.1"/>
    <x v="10"/>
    <n v="10"/>
    <n v="13500"/>
    <n v="1350"/>
    <n v="12150"/>
    <n v="9600"/>
    <n v="2550"/>
    <n v="0.20987654320987653"/>
    <s v="Healthy"/>
    <s v="Safe"/>
    <n v="0.28888888888888886"/>
    <s v="Safe"/>
    <n v="1300"/>
    <n v="0.28888888888888886"/>
  </r>
  <r>
    <s v="ORD-12797"/>
    <x v="282"/>
    <s v="P009"/>
    <x v="13"/>
    <s v="Household"/>
    <s v="Cleaning"/>
    <s v="BrightWash"/>
    <s v="B05"/>
    <x v="0"/>
    <s v="Kano"/>
    <x v="0"/>
    <s v="Walk-in"/>
    <s v="Card"/>
    <n v="2"/>
    <n v="2400"/>
    <n v="3400"/>
    <n v="0"/>
    <x v="1"/>
    <n v="3"/>
    <n v="6800"/>
    <n v="0"/>
    <n v="6800"/>
    <n v="4800"/>
    <n v="2000"/>
    <n v="0.29411764705882354"/>
    <s v="Healthy"/>
    <s v="Safe"/>
    <n v="0.29411764705882354"/>
    <s v="Safe"/>
    <n v="1000"/>
    <n v="0.29411764705882354"/>
  </r>
  <r>
    <s v="ORD-12798"/>
    <x v="191"/>
    <s v="P008"/>
    <x v="4"/>
    <s v="Beverages"/>
    <s v="Soft Drinks"/>
    <s v="Sparkle"/>
    <s v="B07"/>
    <x v="3"/>
    <s v="Enugu"/>
    <x v="3"/>
    <s v="Member"/>
    <s v="POS"/>
    <n v="5"/>
    <n v="330"/>
    <n v="550"/>
    <n v="0.05"/>
    <x v="0"/>
    <n v="9"/>
    <n v="2750"/>
    <n v="137.5"/>
    <n v="2612.5"/>
    <n v="1650"/>
    <n v="962.5"/>
    <n v="0.36842105263157893"/>
    <s v="Healthy"/>
    <s v="Safe"/>
    <n v="0.4"/>
    <s v="Safe"/>
    <n v="220"/>
    <n v="0.4"/>
  </r>
  <r>
    <s v="ORD-12799"/>
    <x v="164"/>
    <s v="P002"/>
    <x v="10"/>
    <s v="Food"/>
    <s v="Grains"/>
    <s v="Mama's Pride"/>
    <s v="B01"/>
    <x v="2"/>
    <s v="Abuja"/>
    <x v="2"/>
    <s v="Walk-in"/>
    <s v="Transfer"/>
    <n v="1"/>
    <n v="6200"/>
    <n v="7900"/>
    <n v="0.15"/>
    <x v="8"/>
    <n v="8"/>
    <n v="7900"/>
    <n v="1185"/>
    <n v="6715"/>
    <n v="6200"/>
    <n v="515"/>
    <n v="7.6693968726731204E-2"/>
    <s v="Healthy"/>
    <s v="Safe"/>
    <n v="0.21518987341772153"/>
    <s v="Safe"/>
    <n v="1700"/>
    <n v="0.21518987341772153"/>
  </r>
  <r>
    <s v="ORD-12800"/>
    <x v="174"/>
    <s v="P005"/>
    <x v="2"/>
    <s v="Food"/>
    <s v="Snacks"/>
    <s v="CrispyBite"/>
    <s v="B04"/>
    <x v="5"/>
    <s v="Lagos"/>
    <x v="4"/>
    <s v="Member"/>
    <s v="Transfer"/>
    <n v="1"/>
    <n v="850"/>
    <n v="1300"/>
    <n v="0.05"/>
    <x v="8"/>
    <n v="8"/>
    <n v="1300"/>
    <n v="65"/>
    <n v="1235"/>
    <n v="850"/>
    <n v="385"/>
    <n v="0.31174089068825911"/>
    <s v="Understocked"/>
    <s v="Safe"/>
    <n v="0.34615384615384615"/>
    <s v="Safe"/>
    <n v="450"/>
    <n v="0.34615384615384615"/>
  </r>
  <r>
    <s v="ORD-11239"/>
    <x v="284"/>
    <s v="P018"/>
    <x v="16"/>
    <s v="Electronics"/>
    <s v="Mobile Accessories"/>
    <s v="VoltSafe"/>
    <s v="B04"/>
    <x v="5"/>
    <s v="Lagos"/>
    <x v="4"/>
    <s v="Walk-in"/>
    <s v="POS"/>
    <n v="10"/>
    <n v="18000"/>
    <n v="24500"/>
    <n v="0.1"/>
    <x v="12"/>
    <n v="13"/>
    <n v="245000"/>
    <n v="24500"/>
    <n v="220500"/>
    <n v="180000"/>
    <n v="40500"/>
    <n v="0.18367346938775511"/>
    <s v="Understocked"/>
    <s v="Safe"/>
    <n v="0.26530612244897961"/>
    <s v="Safe"/>
    <n v="6500"/>
    <n v="0.265306122448979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65251D-51EE-4347-AB3A-14FB114DF3A3}" name="PivotTable6"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1">
  <location ref="CX5:DJ22" firstHeaderRow="1" firstDataRow="2" firstDataCol="1"/>
  <pivotFields count="34">
    <pivotField compact="0" outline="0" showAll="0"/>
    <pivotField compact="0" numFmtId="172"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axis="axisRow" compact="0" outline="0" showAll="0">
      <items count="17">
        <item x="8"/>
        <item x="11"/>
        <item x="3"/>
        <item x="6"/>
        <item x="7"/>
        <item x="13"/>
        <item x="10"/>
        <item x="0"/>
        <item x="5"/>
        <item x="9"/>
        <item x="15"/>
        <item x="14"/>
        <item x="1"/>
        <item x="2"/>
        <item x="4"/>
        <item x="12"/>
        <item t="default"/>
      </items>
    </pivotField>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6" outline="0" showAll="0"/>
    <pivotField compact="0" outline="0" showAll="0"/>
    <pivotField compact="0" outline="0" showAll="0"/>
    <pivotField compact="0" numFmtId="166" outline="0" showAll="0"/>
    <pivotField compact="0" numFmtId="167" outline="0" showAll="0"/>
    <pivotField compact="0" numFmtId="164" outline="0" showAll="0"/>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axis="axisCol"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17"/>
  </rowFields>
  <rowItems count="16">
    <i>
      <x/>
    </i>
    <i>
      <x v="1"/>
    </i>
    <i>
      <x v="2"/>
    </i>
    <i>
      <x v="3"/>
    </i>
    <i>
      <x v="4"/>
    </i>
    <i>
      <x v="5"/>
    </i>
    <i>
      <x v="6"/>
    </i>
    <i>
      <x v="7"/>
    </i>
    <i>
      <x v="8"/>
    </i>
    <i>
      <x v="9"/>
    </i>
    <i>
      <x v="10"/>
    </i>
    <i>
      <x v="11"/>
    </i>
    <i>
      <x v="12"/>
    </i>
    <i>
      <x v="13"/>
    </i>
    <i>
      <x v="14"/>
    </i>
    <i>
      <x v="15"/>
    </i>
  </rowItems>
  <colFields count="1">
    <field x="32"/>
  </colFields>
  <colItems count="12">
    <i>
      <x v="1"/>
    </i>
    <i>
      <x v="2"/>
    </i>
    <i>
      <x v="3"/>
    </i>
    <i>
      <x v="4"/>
    </i>
    <i>
      <x v="5"/>
    </i>
    <i>
      <x v="6"/>
    </i>
    <i>
      <x v="7"/>
    </i>
    <i>
      <x v="8"/>
    </i>
    <i>
      <x v="9"/>
    </i>
    <i>
      <x v="10"/>
    </i>
    <i>
      <x v="11"/>
    </i>
    <i>
      <x v="12"/>
    </i>
  </colItems>
  <formats count="1">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DDA9F2-1B4A-42A7-B269-626B0E9CFD39}"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7">
  <location ref="AU4:AW9" firstHeaderRow="0" firstDataRow="1" firstDataCol="1"/>
  <pivotFields count="34">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axis="axisRow" compact="0" outline="0"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dataField="1" compact="0" numFmtId="164" outline="0" showAll="0"/>
    <pivotField compact="0" numFmtId="164" outline="0" showAll="0"/>
    <pivotField dataField="1" compact="0" numFmtId="164" outline="0" showAll="0"/>
    <pivotField compact="0" numFmtId="166" outline="0" showAll="0"/>
    <pivotField compact="0" outline="0" showAll="0"/>
    <pivotField compact="0" outline="0" showAll="0"/>
    <pivotField compact="0" numFmtId="166" outline="0" showAll="0"/>
    <pivotField compact="0" numFmtId="167" outline="0" showAll="0"/>
    <pivotField compact="0" numFmtId="164" outline="0" showAll="0"/>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10"/>
  </rowFields>
  <rowItems count="5">
    <i>
      <x v="4"/>
    </i>
    <i>
      <x/>
    </i>
    <i>
      <x v="2"/>
    </i>
    <i>
      <x v="3"/>
    </i>
    <i>
      <x v="1"/>
    </i>
  </rowItems>
  <colFields count="1">
    <field x="-2"/>
  </colFields>
  <colItems count="2">
    <i>
      <x/>
    </i>
    <i i="1">
      <x v="1"/>
    </i>
  </colItems>
  <dataFields count="2">
    <dataField name=" Net Revenue" fld="21" baseField="0" baseItem="0" numFmtId="164"/>
    <dataField name=" Profit" fld="23" baseField="0" baseItem="0" numFmtId="168"/>
  </dataFields>
  <formats count="2">
    <format dxfId="88">
      <pivotArea outline="0" fieldPosition="0">
        <references count="1">
          <reference field="4294967294" count="1" selected="0">
            <x v="1"/>
          </reference>
        </references>
      </pivotArea>
    </format>
    <format dxfId="87">
      <pivotArea outline="0" collapsedLevelsAreSubtotals="1" fieldPosition="0"/>
    </format>
  </formats>
  <chartFormats count="21">
    <chartFormat chart="0" format="1" series="1">
      <pivotArea type="data" outline="0" fieldPosition="0">
        <references count="1">
          <reference field="4294967294" count="1" selected="0">
            <x v="1"/>
          </reference>
        </references>
      </pivotArea>
    </chartFormat>
    <chartFormat chart="19" format="7" series="1">
      <pivotArea type="data" outline="0" fieldPosition="0">
        <references count="1">
          <reference field="4294967294" count="1" selected="0">
            <x v="1"/>
          </reference>
        </references>
      </pivotArea>
    </chartFormat>
    <chartFormat chart="25" format="13"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1"/>
          </reference>
        </references>
      </pivotArea>
    </chartFormat>
    <chartFormat chart="31" format="1"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1"/>
          </reference>
        </references>
      </pivotArea>
    </chartFormat>
    <chartFormat chart="36"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1"/>
          </reference>
        </references>
      </pivotArea>
    </chartFormat>
    <chartFormat chart="40" format="1" series="1">
      <pivotArea type="data" outline="0" fieldPosition="0">
        <references count="1">
          <reference field="4294967294" count="1" selected="0">
            <x v="0"/>
          </reference>
        </references>
      </pivotArea>
    </chartFormat>
    <chartFormat chart="40" format="2">
      <pivotArea type="data" outline="0" fieldPosition="0">
        <references count="2">
          <reference field="4294967294" count="1" selected="0">
            <x v="1"/>
          </reference>
          <reference field="10" count="1" selected="0">
            <x v="4"/>
          </reference>
        </references>
      </pivotArea>
    </chartFormat>
    <chartFormat chart="40" format="3">
      <pivotArea type="data" outline="0" fieldPosition="0">
        <references count="2">
          <reference field="4294967294" count="1" selected="0">
            <x v="1"/>
          </reference>
          <reference field="10" count="1" selected="0">
            <x v="0"/>
          </reference>
        </references>
      </pivotArea>
    </chartFormat>
    <chartFormat chart="40" format="4">
      <pivotArea type="data" outline="0" fieldPosition="0">
        <references count="2">
          <reference field="4294967294" count="1" selected="0">
            <x v="1"/>
          </reference>
          <reference field="10" count="1" selected="0">
            <x v="2"/>
          </reference>
        </references>
      </pivotArea>
    </chartFormat>
    <chartFormat chart="40" format="5">
      <pivotArea type="data" outline="0" fieldPosition="0">
        <references count="2">
          <reference field="4294967294" count="1" selected="0">
            <x v="1"/>
          </reference>
          <reference field="10" count="1" selected="0">
            <x v="3"/>
          </reference>
        </references>
      </pivotArea>
    </chartFormat>
    <chartFormat chart="40" format="6">
      <pivotArea type="data" outline="0" fieldPosition="0">
        <references count="2">
          <reference field="4294967294" count="1" selected="0">
            <x v="1"/>
          </reference>
          <reference field="10" count="1" selected="0">
            <x v="1"/>
          </reference>
        </references>
      </pivotArea>
    </chartFormat>
    <chartFormat chart="46" format="21" series="1">
      <pivotArea type="data" outline="0" fieldPosition="0">
        <references count="1">
          <reference field="4294967294" count="1" selected="0">
            <x v="0"/>
          </reference>
        </references>
      </pivotArea>
    </chartFormat>
    <chartFormat chart="46" format="22" series="1">
      <pivotArea type="data" outline="0" fieldPosition="0">
        <references count="1">
          <reference field="4294967294" count="1" selected="0">
            <x v="1"/>
          </reference>
        </references>
      </pivotArea>
    </chartFormat>
    <chartFormat chart="46" format="23">
      <pivotArea type="data" outline="0" fieldPosition="0">
        <references count="2">
          <reference field="4294967294" count="1" selected="0">
            <x v="1"/>
          </reference>
          <reference field="10" count="1" selected="0">
            <x v="4"/>
          </reference>
        </references>
      </pivotArea>
    </chartFormat>
    <chartFormat chart="46" format="24">
      <pivotArea type="data" outline="0" fieldPosition="0">
        <references count="2">
          <reference field="4294967294" count="1" selected="0">
            <x v="1"/>
          </reference>
          <reference field="10" count="1" selected="0">
            <x v="0"/>
          </reference>
        </references>
      </pivotArea>
    </chartFormat>
    <chartFormat chart="46" format="25">
      <pivotArea type="data" outline="0" fieldPosition="0">
        <references count="2">
          <reference field="4294967294" count="1" selected="0">
            <x v="1"/>
          </reference>
          <reference field="10" count="1" selected="0">
            <x v="2"/>
          </reference>
        </references>
      </pivotArea>
    </chartFormat>
    <chartFormat chart="46" format="26">
      <pivotArea type="data" outline="0" fieldPosition="0">
        <references count="2">
          <reference field="4294967294" count="1" selected="0">
            <x v="1"/>
          </reference>
          <reference field="10" count="1" selected="0">
            <x v="3"/>
          </reference>
        </references>
      </pivotArea>
    </chartFormat>
    <chartFormat chart="46" format="27">
      <pivotArea type="data" outline="0" fieldPosition="0">
        <references count="2">
          <reference field="4294967294"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7EDD10-20FB-496F-944E-1E4FBB25EA2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C4:BD8" firstHeaderRow="1" firstDataRow="1" firstDataCol="1"/>
  <pivotFields count="12">
    <pivotField showAll="0"/>
    <pivotField showAll="0"/>
    <pivotField showAll="0"/>
    <pivotField showAll="0"/>
    <pivotField showAll="0"/>
    <pivotField numFmtId="164" showAll="0"/>
    <pivotField numFmtId="164" showAll="0"/>
    <pivotField numFmtId="1" showAll="0"/>
    <pivotField numFmtId="1" showAll="0"/>
    <pivotField numFmtId="1" showAll="0"/>
    <pivotField numFmtId="1" showAll="0"/>
    <pivotField axis="axisRow" dataField="1" showAll="0">
      <items count="4">
        <item x="1"/>
        <item x="2"/>
        <item x="0"/>
        <item t="default"/>
      </items>
    </pivotField>
  </pivotFields>
  <rowFields count="1">
    <field x="11"/>
  </rowFields>
  <rowItems count="4">
    <i>
      <x/>
    </i>
    <i>
      <x v="1"/>
    </i>
    <i>
      <x v="2"/>
    </i>
    <i t="grand">
      <x/>
    </i>
  </rowItems>
  <colItems count="1">
    <i/>
  </colItems>
  <dataFields count="1">
    <dataField name="Count of Stock 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B527A6-E7C6-4D86-9E51-2C68D6544183}" name="KPI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34">
    <pivotField showAll="0"/>
    <pivotField numFmtId="165"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9" showAll="0"/>
    <pivotField showAll="0"/>
    <pivotField showAll="0"/>
    <pivotField numFmtId="164" showAll="0"/>
    <pivotField numFmtId="164" showAll="0"/>
    <pivotField dataField="1" numFmtId="164" showAll="0"/>
    <pivotField dataField="1" numFmtId="164" showAll="0"/>
    <pivotField dataField="1" numFmtId="164" showAll="0"/>
    <pivotField dataField="1" numFmtId="166" showAll="0"/>
    <pivotField showAll="0"/>
    <pivotField showAll="0"/>
    <pivotField numFmtId="166" showAll="0"/>
    <pivotField numFmtId="167" showAll="0"/>
    <pivotField numFmtId="164"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5">
    <i>
      <x/>
    </i>
    <i i="1">
      <x v="1"/>
    </i>
    <i i="2">
      <x v="2"/>
    </i>
    <i i="3">
      <x v="3"/>
    </i>
    <i i="4">
      <x v="4"/>
    </i>
  </colItems>
  <dataFields count="5">
    <dataField name="Sum of Net Revenue" fld="21" baseField="0" baseItem="0" numFmtId="164"/>
    <dataField name="Sum of Profit" fld="23" baseField="0" baseItem="0" numFmtId="164"/>
    <dataField name="Average of Profit Margin" fld="24" subtotal="average" baseField="0" baseItem="2" numFmtId="166"/>
    <dataField name="Count of Product Name" fld="3" subtotal="count" baseField="0" baseItem="0"/>
    <dataField name="Sum of Total Cost" fld="2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637214-82FF-4FA6-BD52-2B77A39FF20B}" name="MOM change table"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K4:M16" firstHeaderRow="0" firstDataRow="1" firstDataCol="1"/>
  <pivotFields count="34">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dataField="1" compact="0" numFmtId="164" outline="0" showAll="0"/>
    <pivotField compact="0" numFmtId="164" outline="0" showAll="0"/>
    <pivotField dataField="1" compact="0" numFmtId="164" outline="0" showAll="0"/>
    <pivotField compact="0" numFmtId="166" outline="0" showAll="0"/>
    <pivotField compact="0" outline="0" showAll="0"/>
    <pivotField compact="0" outline="0" showAll="0"/>
    <pivotField compact="0" numFmtId="166" outline="0" showAll="0"/>
    <pivotField compact="0" numFmtId="167" outline="0" showAll="0"/>
    <pivotField compact="0" numFmtId="164" outline="0" showAll="0"/>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32"/>
  </rowFields>
  <rowItems count="12">
    <i>
      <x v="1"/>
    </i>
    <i>
      <x v="2"/>
    </i>
    <i>
      <x v="3"/>
    </i>
    <i>
      <x v="4"/>
    </i>
    <i>
      <x v="5"/>
    </i>
    <i>
      <x v="6"/>
    </i>
    <i>
      <x v="7"/>
    </i>
    <i>
      <x v="8"/>
    </i>
    <i>
      <x v="9"/>
    </i>
    <i>
      <x v="10"/>
    </i>
    <i>
      <x v="11"/>
    </i>
    <i>
      <x v="12"/>
    </i>
  </rowItems>
  <colFields count="1">
    <field x="-2"/>
  </colFields>
  <colItems count="2">
    <i>
      <x/>
    </i>
    <i i="1">
      <x v="1"/>
    </i>
  </colItems>
  <dataFields count="2">
    <dataField name="Sum of Net Revenue" fld="21" baseField="0" baseItem="0" numFmtId="164"/>
    <dataField name="Sum of Profit" fld="23" baseField="0" baseItem="0" numFmtId="164"/>
  </dataFields>
  <formats count="1">
    <format dxfId="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2EEA83-06F1-41D5-BBC3-406DEF70B4E1}" name="AVG"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I4:I16" firstHeaderRow="1" firstDataRow="1" firstDataCol="1"/>
  <pivotFields count="34">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6" outline="0" showAll="0"/>
    <pivotField compact="0" outline="0" showAll="0"/>
    <pivotField compact="0" outline="0" showAll="0"/>
    <pivotField compact="0" numFmtId="166" outline="0" showAll="0"/>
    <pivotField compact="0" numFmtId="167" outline="0" showAll="0"/>
    <pivotField compact="0" numFmtId="164" outline="0" showAll="0"/>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32"/>
  </rowFields>
  <rowItems count="12">
    <i>
      <x v="1"/>
    </i>
    <i>
      <x v="2"/>
    </i>
    <i>
      <x v="3"/>
    </i>
    <i>
      <x v="4"/>
    </i>
    <i>
      <x v="5"/>
    </i>
    <i>
      <x v="6"/>
    </i>
    <i>
      <x v="7"/>
    </i>
    <i>
      <x v="8"/>
    </i>
    <i>
      <x v="9"/>
    </i>
    <i>
      <x v="10"/>
    </i>
    <i>
      <x v="11"/>
    </i>
    <i>
      <x v="1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7F1AE5-9E3F-4305-A36C-3668EA1CCB0A}" name="PCM"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4:Q16" firstHeaderRow="1" firstDataRow="1" firstDataCol="1"/>
  <pivotFields count="34">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166" outline="0" showAll="0"/>
    <pivotField compact="0" outline="0" showAll="0"/>
    <pivotField compact="0" outline="0" showAll="0"/>
    <pivotField compact="0" numFmtId="166" outline="0" showAll="0"/>
    <pivotField compact="0" numFmtId="167" outline="0" showAll="0"/>
    <pivotField compact="0" numFmtId="164" outline="0" showAll="0"/>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32"/>
  </rowFields>
  <rowItems count="12">
    <i>
      <x v="1"/>
    </i>
    <i>
      <x v="2"/>
    </i>
    <i>
      <x v="3"/>
    </i>
    <i>
      <x v="4"/>
    </i>
    <i>
      <x v="5"/>
    </i>
    <i>
      <x v="6"/>
    </i>
    <i>
      <x v="7"/>
    </i>
    <i>
      <x v="8"/>
    </i>
    <i>
      <x v="9"/>
    </i>
    <i>
      <x v="10"/>
    </i>
    <i>
      <x v="11"/>
    </i>
    <i>
      <x v="1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255283-19DB-48B0-B9C7-6AE374CA5C9A}"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9">
  <location ref="AN4:AP12" firstHeaderRow="0" firstDataRow="1" firstDataCol="1"/>
  <pivotFields count="34">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9">
        <item x="3"/>
        <item x="4"/>
        <item x="6"/>
        <item x="7"/>
        <item x="0"/>
        <item x="5"/>
        <item x="1"/>
        <item x="2"/>
        <item t="default"/>
      </items>
      <autoSortScope>
        <pivotArea dataOnly="0" outline="0" fieldPosition="0">
          <references count="1">
            <reference field="4294967294" count="1" selected="0">
              <x v="1"/>
            </reference>
          </references>
        </pivotArea>
      </autoSortScope>
    </pivotField>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dataField="1" compact="0" numFmtId="164" outline="0" showAll="0"/>
    <pivotField compact="0" numFmtId="164" outline="0" showAll="0"/>
    <pivotField dataField="1" compact="0" numFmtId="164" outline="0" showAll="0"/>
    <pivotField compact="0" numFmtId="166" outline="0" showAll="0"/>
    <pivotField compact="0" outline="0" showAll="0"/>
    <pivotField compact="0" outline="0" showAll="0"/>
    <pivotField compact="0" numFmtId="166" outline="0" showAll="0"/>
    <pivotField compact="0" numFmtId="167" outline="0" showAll="0"/>
    <pivotField compact="0" numFmtId="164" outline="0" showAll="0"/>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8"/>
  </rowFields>
  <rowItems count="8">
    <i>
      <x v="2"/>
    </i>
    <i>
      <x v="5"/>
    </i>
    <i>
      <x v="7"/>
    </i>
    <i>
      <x/>
    </i>
    <i>
      <x v="6"/>
    </i>
    <i>
      <x v="1"/>
    </i>
    <i>
      <x v="4"/>
    </i>
    <i>
      <x v="3"/>
    </i>
  </rowItems>
  <colFields count="1">
    <field x="-2"/>
  </colFields>
  <colItems count="2">
    <i>
      <x/>
    </i>
    <i i="1">
      <x v="1"/>
    </i>
  </colItems>
  <dataFields count="2">
    <dataField name=" Profit" fld="23" baseField="0" baseItem="0" numFmtId="168"/>
    <dataField name=" Net Revenue" fld="21" baseField="0" baseItem="0" numFmtId="164"/>
  </dataFields>
  <formats count="2">
    <format dxfId="91">
      <pivotArea outline="0" fieldPosition="0">
        <references count="1">
          <reference field="4294967294" count="1" selected="0">
            <x v="0"/>
          </reference>
        </references>
      </pivotArea>
    </format>
    <format dxfId="90">
      <pivotArea outline="0" collapsedLevelsAreSubtotals="1" fieldPosition="0"/>
    </format>
  </formats>
  <chartFormats count="7">
    <chartFormat chart="0" format="1"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9" format="6" series="1">
      <pivotArea type="data" outline="0" fieldPosition="0">
        <references count="1">
          <reference field="4294967294" count="1" selected="0">
            <x v="0"/>
          </reference>
        </references>
      </pivotArea>
    </chartFormat>
    <chartFormat chart="3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6E2DF7-BDDC-40DD-A18C-82AA596EDD23}"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1">
  <location ref="CA4:CB9" firstHeaderRow="1" firstDataRow="1" firstDataCol="1"/>
  <pivotFields count="34">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axis="axisRow" compact="0" outline="0" showAll="0" measureFilter="1">
      <items count="25">
        <item x="0"/>
        <item x="13"/>
        <item x="9"/>
        <item x="2"/>
        <item x="19"/>
        <item x="1"/>
        <item x="15"/>
        <item x="11"/>
        <item x="14"/>
        <item x="21"/>
        <item x="5"/>
        <item x="10"/>
        <item x="3"/>
        <item x="20"/>
        <item x="23"/>
        <item x="7"/>
        <item x="8"/>
        <item x="22"/>
        <item x="18"/>
        <item x="4"/>
        <item x="6"/>
        <item x="12"/>
        <item x="16"/>
        <item x="1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dataField="1" compact="0" numFmtId="164" outline="0" showAll="0"/>
    <pivotField compact="0" numFmtId="164" outline="0" showAll="0"/>
    <pivotField compact="0" numFmtId="164" outline="0" showAll="0"/>
    <pivotField compact="0" numFmtId="166" outline="0" showAll="0"/>
    <pivotField compact="0" outline="0" showAll="0"/>
    <pivotField compact="0" outline="0" showAll="0"/>
    <pivotField compact="0" numFmtId="166" outline="0" showAll="0"/>
    <pivotField compact="0" numFmtId="167" outline="0" showAll="0"/>
    <pivotField compact="0" numFmtId="164" outline="0" showAll="0"/>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3"/>
  </rowFields>
  <rowItems count="5">
    <i>
      <x v="8"/>
    </i>
    <i>
      <x v="11"/>
    </i>
    <i>
      <x v="18"/>
    </i>
    <i>
      <x v="21"/>
    </i>
    <i>
      <x v="22"/>
    </i>
  </rowItems>
  <colItems count="1">
    <i/>
  </colItems>
  <dataFields count="1">
    <dataField name=" Net Revenue" fld="21" baseField="0" baseItem="0" numFmtId="169"/>
  </dataFields>
  <formats count="3">
    <format dxfId="94">
      <pivotArea outline="0" collapsedLevelsAreSubtotals="1" fieldPosition="0"/>
    </format>
    <format dxfId="93">
      <pivotArea outline="0" fieldPosition="0">
        <references count="1">
          <reference field="4294967294" count="1" selected="0">
            <x v="0"/>
          </reference>
        </references>
      </pivotArea>
    </format>
    <format dxfId="92">
      <pivotArea outline="0"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D109A5-B3DC-4A02-AF2F-65415C140F4C}"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1">
  <location ref="AG4:AJ16" firstHeaderRow="0" firstDataRow="1" firstDataCol="1"/>
  <pivotFields count="34">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dataField="1" compact="0" numFmtId="164" outline="0" showAll="0"/>
    <pivotField compact="0" numFmtId="164" outline="0" showAll="0"/>
    <pivotField dataField="1" compact="0" numFmtId="164" outline="0" showAll="0"/>
    <pivotField compact="0" numFmtId="166" outline="0" showAll="0"/>
    <pivotField compact="0" outline="0" showAll="0"/>
    <pivotField compact="0" outline="0" showAll="0"/>
    <pivotField compact="0" numFmtId="166" outline="0" showAll="0"/>
    <pivotField compact="0" numFmtId="167" outline="0" showAll="0"/>
    <pivotField compact="0" numFmtId="164" outline="0" showAll="0"/>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axis="axisRow" compact="0" outline="0" showAll="0">
      <items count="15">
        <item sd="0" x="0"/>
        <item sd="0" x="1"/>
        <item sd="0" x="2"/>
        <item sd="0" x="3"/>
        <item sd="0" x="4"/>
        <item sd="0" x="5"/>
        <item sd="0" x="6"/>
        <item sd="0" x="7"/>
        <item sd="0" x="8"/>
        <item sd="0" x="9"/>
        <item sd="0" x="10"/>
        <item sd="0" x="11"/>
        <item sd="0" x="12"/>
        <item sd="0" x="13"/>
        <item t="default"/>
      </items>
    </pivotField>
    <pivotField dataField="1" compact="0" outline="0" dragToRow="0" dragToCol="0" dragToPage="0" showAll="0" defaultSubtotal="0"/>
  </pivotFields>
  <rowFields count="1">
    <field x="32"/>
  </rowFields>
  <rowItems count="12">
    <i>
      <x v="1"/>
    </i>
    <i>
      <x v="2"/>
    </i>
    <i>
      <x v="3"/>
    </i>
    <i>
      <x v="4"/>
    </i>
    <i>
      <x v="5"/>
    </i>
    <i>
      <x v="6"/>
    </i>
    <i>
      <x v="7"/>
    </i>
    <i>
      <x v="8"/>
    </i>
    <i>
      <x v="9"/>
    </i>
    <i>
      <x v="10"/>
    </i>
    <i>
      <x v="11"/>
    </i>
    <i>
      <x v="12"/>
    </i>
  </rowItems>
  <colFields count="1">
    <field x="-2"/>
  </colFields>
  <colItems count="3">
    <i>
      <x/>
    </i>
    <i i="1">
      <x v="1"/>
    </i>
    <i i="2">
      <x v="2"/>
    </i>
  </colItems>
  <dataFields count="3">
    <dataField name=" Net Revenue" fld="21" baseField="0" baseItem="0" numFmtId="169"/>
    <dataField name=" Profit" fld="23" baseField="0" baseItem="0" numFmtId="169"/>
    <dataField name=" margin2" fld="33" baseField="0" baseItem="0" numFmtId="166"/>
  </dataFields>
  <formats count="4">
    <format dxfId="98">
      <pivotArea outline="0" collapsedLevelsAreSubtotals="1" fieldPosition="0"/>
    </format>
    <format dxfId="97">
      <pivotArea outline="0" fieldPosition="0">
        <references count="1">
          <reference field="4294967294" count="1" selected="0">
            <x v="2"/>
          </reference>
        </references>
      </pivotArea>
    </format>
    <format dxfId="96">
      <pivotArea outline="0" fieldPosition="0">
        <references count="1">
          <reference field="4294967294" count="2" selected="0">
            <x v="0"/>
            <x v="1"/>
          </reference>
        </references>
      </pivotArea>
    </format>
    <format dxfId="95">
      <pivotArea outline="0" fieldPosition="0">
        <references count="1">
          <reference field="4294967294" count="2" selected="0">
            <x v="0"/>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 chart="2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AE739F-C893-48B9-8F87-74FFF9DC5339}" name="Product opportunity matrix."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1">
  <location ref="BI4:BL28" firstHeaderRow="0" firstDataRow="1" firstDataCol="1"/>
  <pivotFields count="34">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axis="axisRow" compact="0" outline="0" showAll="0">
      <items count="25">
        <item x="0"/>
        <item x="13"/>
        <item x="9"/>
        <item x="2"/>
        <item x="19"/>
        <item x="1"/>
        <item x="15"/>
        <item x="11"/>
        <item x="14"/>
        <item x="21"/>
        <item x="5"/>
        <item x="10"/>
        <item x="3"/>
        <item x="20"/>
        <item x="23"/>
        <item x="7"/>
        <item x="8"/>
        <item x="22"/>
        <item x="18"/>
        <item x="4"/>
        <item x="6"/>
        <item x="12"/>
        <item x="16"/>
        <item x="1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dataField="1" compact="0" numFmtId="164" outline="0" showAll="0"/>
    <pivotField compact="0" numFmtId="164" outline="0" showAll="0"/>
    <pivotField dataField="1" compact="0" numFmtId="164" outline="0" showAll="0"/>
    <pivotField compact="0" numFmtId="166" outline="0" showAll="0"/>
    <pivotField compact="0" outline="0" showAll="0"/>
    <pivotField compact="0" outline="0" showAll="0"/>
    <pivotField compact="0" numFmtId="166" outline="0" showAll="0"/>
    <pivotField compact="0" numFmtId="167" outline="0" showAll="0"/>
    <pivotField compact="0" numFmtId="164" outline="0" showAll="0"/>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
  </colFields>
  <colItems count="3">
    <i>
      <x/>
    </i>
    <i i="1">
      <x v="1"/>
    </i>
    <i i="2">
      <x v="2"/>
    </i>
  </colItems>
  <dataFields count="3">
    <dataField name=" Net Revenue" fld="21" baseField="0" baseItem="0" numFmtId="169"/>
    <dataField name=" Profit" fld="23" baseField="0" baseItem="0" numFmtId="169"/>
    <dataField name="Sum of Quantity" fld="13" baseField="0" baseItem="0"/>
  </dataFields>
  <formats count="3">
    <format dxfId="101">
      <pivotArea outline="0" collapsedLevelsAreSubtotals="1" fieldPosition="0"/>
    </format>
    <format dxfId="100">
      <pivotArea outline="0" fieldPosition="0">
        <references count="1">
          <reference field="4294967294" count="2" selected="0">
            <x v="0"/>
            <x v="1"/>
          </reference>
        </references>
      </pivotArea>
    </format>
    <format dxfId="99">
      <pivotArea outline="0" fieldPosition="0">
        <references count="1">
          <reference field="4294967294" count="2" selected="0">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D7B7AE8-5036-45D6-ADD6-44FD5F43A529}" sourceName="Months (Order Date)">
  <pivotTables>
    <pivotTable tabId="11" name="PCM"/>
    <pivotTable tabId="11" name="AVG"/>
    <pivotTable tabId="11" name="KPIS"/>
    <pivotTable tabId="11" name="Product opportunity matrix."/>
    <pivotTable tabId="11" name="PivotTable5"/>
    <pivotTable tabId="11" name="PivotTable6"/>
  </pivotTables>
  <data>
    <tabular pivotCacheId="41550620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DE4E2A64-A11E-4599-B7DD-CB18D1F81064}" cache="Slicer_Months__Order_Date" caption="Month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99C93B78-00EF-4EA6-94D8-D9F854034DD8}" cache="Slicer_Months__Order_Date" caption="Months (Order Date)" columnCount="4"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MasterTable" displayName="ProductMasterTable" ref="A1:L25">
  <tableColumns count="12">
    <tableColumn id="1" xr3:uid="{00000000-0010-0000-0000-000001000000}" name="Product ID"/>
    <tableColumn id="2" xr3:uid="{00000000-0010-0000-0000-000002000000}" name="Product Name"/>
    <tableColumn id="3" xr3:uid="{00000000-0010-0000-0000-000003000000}" name="Category"/>
    <tableColumn id="4" xr3:uid="{00000000-0010-0000-0000-000004000000}" name="Subcategory"/>
    <tableColumn id="5" xr3:uid="{00000000-0010-0000-0000-000005000000}" name="Brand"/>
    <tableColumn id="6" xr3:uid="{00000000-0010-0000-0000-000006000000}" name="Unit Cost"/>
    <tableColumn id="7" xr3:uid="{00000000-0010-0000-0000-000007000000}" name="Unit Price"/>
    <tableColumn id="8" xr3:uid="{00000000-0010-0000-0000-000008000000}" name="Reorder Level"/>
    <tableColumn id="9" xr3:uid="{00000000-0010-0000-0000-000009000000}" name="Opening Stock"/>
    <tableColumn id="10" xr3:uid="{00000000-0010-0000-0000-00000A000000}" name="Stock Received"/>
    <tableColumn id="11" xr3:uid="{00000000-0010-0000-0000-00000B000000}" name="Closing Stock"/>
    <tableColumn id="12" xr3:uid="{662EF645-6ED2-43DA-8BB0-F6F3DCD413C7}" name="Stock status" dataDxfId="110">
      <calculatedColumnFormula>IF(ProductMasterTable[[#This Row],[Closing Stock]]&lt;ProductMasterTable[[#This Row],[Reorder Level]],"underStocked",IF(ProductMasterTable[[#This Row],[Closing Stock]]&gt;3*ProductMasterTable[[#This Row],[Reorder Level]],"overStocked","Health"))</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ranchMasterTable" displayName="BranchMasterTable" ref="A1:E9">
  <tableColumns count="5">
    <tableColumn id="1" xr3:uid="{00000000-0010-0000-0100-000001000000}" name="Branch ID"/>
    <tableColumn id="2" xr3:uid="{00000000-0010-0000-0100-000002000000}" name="Branch Name"/>
    <tableColumn id="3" xr3:uid="{00000000-0010-0000-0100-000003000000}" name="State"/>
    <tableColumn id="4" xr3:uid="{00000000-0010-0000-0100-000004000000}" name="Region"/>
    <tableColumn id="5" xr3:uid="{00000000-0010-0000-0100-000005000000}" name="Location 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alesCleanTable" displayName="SalesCleanTable" ref="A1:AE2802">
  <tableColumns count="31">
    <tableColumn id="1" xr3:uid="{00000000-0010-0000-0300-000001000000}" name="Order ID"/>
    <tableColumn id="2" xr3:uid="{00000000-0010-0000-0300-000002000000}" name="Order Date"/>
    <tableColumn id="3" xr3:uid="{00000000-0010-0000-0300-000003000000}" name="Product ID"/>
    <tableColumn id="4" xr3:uid="{00000000-0010-0000-0300-000004000000}" name="Product Name"/>
    <tableColumn id="5" xr3:uid="{00000000-0010-0000-0300-000005000000}" name="Category"/>
    <tableColumn id="6" xr3:uid="{00000000-0010-0000-0300-000006000000}" name="Subcategory"/>
    <tableColumn id="7" xr3:uid="{00000000-0010-0000-0300-000007000000}" name="Brand"/>
    <tableColumn id="8" xr3:uid="{00000000-0010-0000-0300-000008000000}" name="Branch ID"/>
    <tableColumn id="9" xr3:uid="{00000000-0010-0000-0300-000009000000}" name="Branch Name"/>
    <tableColumn id="10" xr3:uid="{00000000-0010-0000-0300-00000A000000}" name="State"/>
    <tableColumn id="11" xr3:uid="{00000000-0010-0000-0300-00000B000000}" name="Region"/>
    <tableColumn id="12" xr3:uid="{00000000-0010-0000-0300-00000C000000}" name="Customer Type"/>
    <tableColumn id="13" xr3:uid="{00000000-0010-0000-0300-00000D000000}" name="Payment Method"/>
    <tableColumn id="14" xr3:uid="{00000000-0010-0000-0300-00000E000000}" name="Quantity"/>
    <tableColumn id="15" xr3:uid="{00000000-0010-0000-0300-00000F000000}" name="Unit Cost"/>
    <tableColumn id="16" xr3:uid="{00000000-0010-0000-0300-000010000000}" name="Unit Price"/>
    <tableColumn id="17" xr3:uid="{00000000-0010-0000-0300-000011000000}" name="Discount %"/>
    <tableColumn id="18" xr3:uid="{00000000-0010-0000-0300-000012000000}" name="Supplier"/>
    <tableColumn id="19" xr3:uid="{00000000-0010-0000-0300-000013000000}" name="Delivery Days"/>
    <tableColumn id="20" xr3:uid="{00000000-0010-0000-0300-000014000000}" name="Gross Sales" dataDxfId="109"/>
    <tableColumn id="21" xr3:uid="{00000000-0010-0000-0300-000015000000}" name="Discount Amount" dataDxfId="108"/>
    <tableColumn id="22" xr3:uid="{00000000-0010-0000-0300-000016000000}" name="Net Revenue" dataDxfId="107"/>
    <tableColumn id="23" xr3:uid="{00000000-0010-0000-0300-000017000000}" name="Total Cost" dataDxfId="106"/>
    <tableColumn id="24" xr3:uid="{00000000-0010-0000-0300-000018000000}" name="Profit" dataDxfId="105"/>
    <tableColumn id="25" xr3:uid="{00000000-0010-0000-0300-000019000000}" name="Profit Margin"/>
    <tableColumn id="26" xr3:uid="{00000000-0010-0000-0300-00001A000000}" name="Inventory Status"/>
    <tableColumn id="28" xr3:uid="{10C0A8C2-6E19-4FA5-88B9-A4EE100C121F}" name="Discount  Impact" dataDxfId="104">
      <calculatedColumnFormula>IF(AND(SalesCleanTable[[#This Row],[Discount %]]&gt;0, SalesCleanTable[[#This Row],[Profit]]&lt;0), "Discount loss", "Safe")</calculatedColumnFormula>
    </tableColumn>
    <tableColumn id="29" xr3:uid="{CC8EAFA1-A00D-48CE-BFA4-870A769E33BB}" name="Max Allowed Discount" dataDxfId="103" dataCellStyle="Percent">
      <calculatedColumnFormula>(SalesCleanTable[[#This Row],[Unit Price]] - SalesCleanTable[[#This Row],[Unit Cost]]) / SalesCleanTable[[#This Row],[Unit Price]]</calculatedColumnFormula>
    </tableColumn>
    <tableColumn id="30" xr3:uid="{8847D06C-BC3E-430D-8545-0C0C702C7693}" name="Column1" dataDxfId="102">
      <calculatedColumnFormula>IF(SalesCleanTable[[#This Row],[Discount %]] &gt; SalesCleanTable[[#This Row],[Max Allowed Discount]], "Discount loss", "Safe")</calculatedColumnFormula>
    </tableColumn>
    <tableColumn id="27" xr3:uid="{0868DC48-7EFB-454F-820D-EABAEF7E0A70}" name="Unit Margin" dataDxfId="78">
      <calculatedColumnFormula>SalesCleanTable[[#This Row],[Unit Price]] - SalesCleanTable[[#This Row],[Unit Cost]]</calculatedColumnFormula>
    </tableColumn>
    <tableColumn id="31" xr3:uid="{75496A14-5111-417A-BF68-9B0AFD58677A}" name="Unit Margin %" dataDxfId="77" dataCellStyle="Percent">
      <calculatedColumnFormula>(SalesCleanTable[[#This Row],[Unit Price]] - SalesCleanTable[[#This Row],[Unit Cost]]) / SalesCleanTable[[#This Row],[Unit 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7754FAB-47B9-4439-99D6-4F7E362A9429}">
  <we:reference id="wa200009404" version="1.0.0.8" store="en-US" storeType="OMEX"/>
  <we:alternateReferences>
    <we:reference id="WA200009404" version="1.0.0.8" store="" storeType="OMEX"/>
  </we:alternateReferences>
  <we:properties>
    <we:property name="claude.fileId" value="&quot;e016f310-d431-41ea-ade8-cc7f0013dfc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hyperlink" Target="https://datawithdecision.selar.com/a70371o75j"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workbookViewId="0">
      <selection activeCell="F14" sqref="F14"/>
    </sheetView>
  </sheetViews>
  <sheetFormatPr defaultRowHeight="13.8"/>
  <cols>
    <col min="1" max="1" width="22" customWidth="1"/>
    <col min="2" max="8" width="15" customWidth="1"/>
  </cols>
  <sheetData>
    <row r="1" spans="1:8" ht="22.65" customHeight="1">
      <c r="A1" s="37" t="s">
        <v>0</v>
      </c>
      <c r="B1" s="37"/>
      <c r="C1" s="37"/>
      <c r="D1" s="37"/>
      <c r="E1" s="37"/>
      <c r="F1" s="37"/>
      <c r="G1" s="37"/>
      <c r="H1" s="37"/>
    </row>
    <row r="3" spans="1:8" ht="28.05" customHeight="1">
      <c r="A3" s="2" t="s">
        <v>1</v>
      </c>
      <c r="B3" s="36" t="s">
        <v>2</v>
      </c>
      <c r="C3" s="36"/>
      <c r="D3" s="36"/>
      <c r="E3" s="36"/>
      <c r="F3" s="36"/>
      <c r="G3" s="36"/>
      <c r="H3" s="36"/>
    </row>
    <row r="4" spans="1:8" ht="28.05" customHeight="1">
      <c r="A4" s="2" t="s">
        <v>3</v>
      </c>
      <c r="B4" s="36" t="s">
        <v>4</v>
      </c>
      <c r="C4" s="36"/>
      <c r="D4" s="36"/>
      <c r="E4" s="36"/>
      <c r="F4" s="36"/>
      <c r="G4" s="36"/>
      <c r="H4" s="36"/>
    </row>
    <row r="5" spans="1:8" ht="28.05" customHeight="1">
      <c r="A5" s="2" t="s">
        <v>5</v>
      </c>
      <c r="B5" s="36" t="s">
        <v>6</v>
      </c>
      <c r="C5" s="36"/>
      <c r="D5" s="36"/>
      <c r="E5" s="36"/>
      <c r="F5" s="36"/>
      <c r="G5" s="36"/>
      <c r="H5" s="36"/>
    </row>
    <row r="6" spans="1:8" ht="28.05" customHeight="1">
      <c r="A6" s="2" t="s">
        <v>7</v>
      </c>
      <c r="B6" s="36" t="s">
        <v>3095</v>
      </c>
      <c r="C6" s="36"/>
      <c r="D6" s="36"/>
      <c r="E6" s="36"/>
      <c r="F6" s="36"/>
      <c r="G6" s="36"/>
      <c r="H6" s="36"/>
    </row>
    <row r="7" spans="1:8" ht="28.05" customHeight="1">
      <c r="A7" s="2" t="s">
        <v>8</v>
      </c>
      <c r="B7" s="36" t="s">
        <v>9</v>
      </c>
      <c r="C7" s="36"/>
      <c r="D7" s="36"/>
      <c r="E7" s="36"/>
      <c r="F7" s="36"/>
      <c r="G7" s="36"/>
      <c r="H7" s="36"/>
    </row>
    <row r="8" spans="1:8" ht="28.05" customHeight="1">
      <c r="A8" s="2" t="s">
        <v>10</v>
      </c>
      <c r="B8" s="36" t="s">
        <v>11</v>
      </c>
      <c r="C8" s="36"/>
      <c r="D8" s="36"/>
      <c r="E8" s="36"/>
      <c r="F8" s="36"/>
      <c r="G8" s="36"/>
      <c r="H8" s="36"/>
    </row>
    <row r="9" spans="1:8" ht="28.05" customHeight="1">
      <c r="A9" s="2" t="s">
        <v>12</v>
      </c>
      <c r="B9" s="36" t="s">
        <v>3092</v>
      </c>
      <c r="C9" s="36"/>
      <c r="D9" s="36"/>
      <c r="E9" s="36"/>
      <c r="F9" s="36"/>
      <c r="G9" s="36"/>
      <c r="H9" s="36"/>
    </row>
  </sheetData>
  <mergeCells count="8">
    <mergeCell ref="B7:H7"/>
    <mergeCell ref="B8:H8"/>
    <mergeCell ref="B9:H9"/>
    <mergeCell ref="A1:H1"/>
    <mergeCell ref="B3:H3"/>
    <mergeCell ref="B4:H4"/>
    <mergeCell ref="B5:H5"/>
    <mergeCell ref="B6: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8842-07C6-4CB8-B035-A903549ECCC5}">
  <dimension ref="B9:C9"/>
  <sheetViews>
    <sheetView topLeftCell="B7" zoomScale="140" zoomScaleNormal="140" workbookViewId="0">
      <selection activeCell="C12" sqref="C12"/>
    </sheetView>
  </sheetViews>
  <sheetFormatPr defaultRowHeight="13.8"/>
  <cols>
    <col min="3" max="3" width="55.296875" customWidth="1"/>
  </cols>
  <sheetData>
    <row r="9" spans="2:3" ht="109.5" customHeight="1">
      <c r="B9" s="3"/>
      <c r="C9" s="10" t="s">
        <v>3096</v>
      </c>
    </row>
  </sheetData>
  <hyperlinks>
    <hyperlink ref="C9" r:id="rId1" xr:uid="{9875C907-D181-48DA-B30E-65CA9E82B7C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
  <sheetViews>
    <sheetView zoomScale="71" workbookViewId="0">
      <selection activeCell="G12" sqref="G12"/>
    </sheetView>
  </sheetViews>
  <sheetFormatPr defaultRowHeight="13.8"/>
  <cols>
    <col min="1" max="1" width="11.19921875" customWidth="1"/>
    <col min="2" max="2" width="29" customWidth="1"/>
    <col min="3" max="3" width="11.5" customWidth="1"/>
    <col min="4" max="4" width="14.8984375" customWidth="1"/>
    <col min="5" max="5" width="12" customWidth="1"/>
    <col min="6" max="6" width="10" customWidth="1"/>
    <col min="7" max="7" width="10.5" customWidth="1"/>
    <col min="8" max="8" width="13.5" customWidth="1"/>
    <col min="9" max="9" width="14" customWidth="1"/>
    <col min="10" max="10" width="14.3984375" customWidth="1"/>
    <col min="11" max="11" width="13" customWidth="1"/>
    <col min="12" max="12" width="17.59765625" customWidth="1"/>
  </cols>
  <sheetData>
    <row r="1" spans="1:12" ht="27.6">
      <c r="A1" s="1" t="s">
        <v>13</v>
      </c>
      <c r="B1" s="1" t="s">
        <v>14</v>
      </c>
      <c r="C1" s="1" t="s">
        <v>15</v>
      </c>
      <c r="D1" s="1" t="s">
        <v>16</v>
      </c>
      <c r="E1" s="1" t="s">
        <v>17</v>
      </c>
      <c r="F1" s="1" t="s">
        <v>18</v>
      </c>
      <c r="G1" s="1" t="s">
        <v>19</v>
      </c>
      <c r="H1" s="1" t="s">
        <v>20</v>
      </c>
      <c r="I1" s="1" t="s">
        <v>21</v>
      </c>
      <c r="J1" s="1" t="s">
        <v>22</v>
      </c>
      <c r="K1" s="1" t="s">
        <v>23</v>
      </c>
      <c r="L1" t="s">
        <v>3154</v>
      </c>
    </row>
    <row r="2" spans="1:12">
      <c r="A2" t="s">
        <v>24</v>
      </c>
      <c r="B2" t="s">
        <v>25</v>
      </c>
      <c r="C2" t="s">
        <v>26</v>
      </c>
      <c r="D2" t="s">
        <v>27</v>
      </c>
      <c r="E2" t="s">
        <v>28</v>
      </c>
      <c r="F2" s="4">
        <v>14500</v>
      </c>
      <c r="G2" s="4">
        <v>17500</v>
      </c>
      <c r="H2" s="5">
        <v>60</v>
      </c>
      <c r="I2" s="5">
        <v>193</v>
      </c>
      <c r="J2" s="5">
        <v>88</v>
      </c>
      <c r="K2" s="5">
        <v>36</v>
      </c>
      <c r="L2" t="str">
        <f>IF(ProductMasterTable[[#This Row],[Closing Stock]]&lt;ProductMasterTable[[#This Row],[Reorder Level]],"underStocked",IF(ProductMasterTable[[#This Row],[Closing Stock]]&gt;3*ProductMasterTable[[#This Row],[Reorder Level]],"overStocked","Health"))</f>
        <v>underStocked</v>
      </c>
    </row>
    <row r="3" spans="1:12">
      <c r="A3" t="s">
        <v>29</v>
      </c>
      <c r="B3" t="s">
        <v>30</v>
      </c>
      <c r="C3" t="s">
        <v>26</v>
      </c>
      <c r="D3" t="s">
        <v>27</v>
      </c>
      <c r="E3" t="s">
        <v>31</v>
      </c>
      <c r="F3" s="4">
        <v>6200</v>
      </c>
      <c r="G3" s="4">
        <v>7900</v>
      </c>
      <c r="H3" s="5">
        <v>45</v>
      </c>
      <c r="I3" s="5">
        <v>92</v>
      </c>
      <c r="J3" s="5">
        <v>107</v>
      </c>
      <c r="K3" s="5">
        <v>50</v>
      </c>
      <c r="L3" t="str">
        <f>IF(ProductMasterTable[[#This Row],[Closing Stock]]&lt;ProductMasterTable[[#This Row],[Reorder Level]],"underStocked",IF(ProductMasterTable[[#This Row],[Closing Stock]]&gt;3*ProductMasterTable[[#This Row],[Reorder Level]],"overStocked","Health"))</f>
        <v>Health</v>
      </c>
    </row>
    <row r="4" spans="1:12">
      <c r="A4" t="s">
        <v>32</v>
      </c>
      <c r="B4" t="s">
        <v>33</v>
      </c>
      <c r="C4" t="s">
        <v>26</v>
      </c>
      <c r="D4" t="s">
        <v>34</v>
      </c>
      <c r="E4" t="s">
        <v>35</v>
      </c>
      <c r="F4" s="4">
        <v>7800</v>
      </c>
      <c r="G4" s="4">
        <v>9800</v>
      </c>
      <c r="H4" s="5">
        <v>50</v>
      </c>
      <c r="I4" s="5">
        <v>60</v>
      </c>
      <c r="J4" s="5">
        <v>238</v>
      </c>
      <c r="K4" s="5">
        <v>8</v>
      </c>
      <c r="L4" t="str">
        <f>IF(ProductMasterTable[[#This Row],[Closing Stock]]&lt;ProductMasterTable[[#This Row],[Reorder Level]],"underStocked",IF(ProductMasterTable[[#This Row],[Closing Stock]]&gt;3*ProductMasterTable[[#This Row],[Reorder Level]],"overStocked","Health"))</f>
        <v>underStocked</v>
      </c>
    </row>
    <row r="5" spans="1:12">
      <c r="A5" t="s">
        <v>36</v>
      </c>
      <c r="B5" t="s">
        <v>37</v>
      </c>
      <c r="C5" t="s">
        <v>38</v>
      </c>
      <c r="D5" t="s">
        <v>39</v>
      </c>
      <c r="E5" t="s">
        <v>40</v>
      </c>
      <c r="F5" s="4">
        <v>1650</v>
      </c>
      <c r="G5" s="4">
        <v>2200</v>
      </c>
      <c r="H5" s="5">
        <v>70</v>
      </c>
      <c r="I5" s="5">
        <v>208</v>
      </c>
      <c r="J5" s="5">
        <v>349</v>
      </c>
      <c r="K5" s="5">
        <v>57</v>
      </c>
      <c r="L5" t="str">
        <f>IF(ProductMasterTable[[#This Row],[Closing Stock]]&lt;ProductMasterTable[[#This Row],[Reorder Level]],"underStocked",IF(ProductMasterTable[[#This Row],[Closing Stock]]&gt;3*ProductMasterTable[[#This Row],[Reorder Level]],"overStocked","Health"))</f>
        <v>underStocked</v>
      </c>
    </row>
    <row r="6" spans="1:12">
      <c r="A6" t="s">
        <v>41</v>
      </c>
      <c r="B6" t="s">
        <v>42</v>
      </c>
      <c r="C6" t="s">
        <v>26</v>
      </c>
      <c r="D6" t="s">
        <v>43</v>
      </c>
      <c r="E6" t="s">
        <v>44</v>
      </c>
      <c r="F6" s="4">
        <v>850</v>
      </c>
      <c r="G6" s="4">
        <v>1300</v>
      </c>
      <c r="H6" s="5">
        <v>90</v>
      </c>
      <c r="I6" s="5">
        <v>347</v>
      </c>
      <c r="J6" s="5">
        <v>306</v>
      </c>
      <c r="K6" s="5">
        <v>53</v>
      </c>
      <c r="L6" t="str">
        <f>IF(ProductMasterTable[[#This Row],[Closing Stock]]&lt;ProductMasterTable[[#This Row],[Reorder Level]],"underStocked",IF(ProductMasterTable[[#This Row],[Closing Stock]]&gt;3*ProductMasterTable[[#This Row],[Reorder Level]],"overStocked","Health"))</f>
        <v>underStocked</v>
      </c>
    </row>
    <row r="7" spans="1:12">
      <c r="A7" t="s">
        <v>45</v>
      </c>
      <c r="B7" t="s">
        <v>46</v>
      </c>
      <c r="C7" t="s">
        <v>38</v>
      </c>
      <c r="D7" t="s">
        <v>47</v>
      </c>
      <c r="E7" t="s">
        <v>48</v>
      </c>
      <c r="F7" s="4">
        <v>230</v>
      </c>
      <c r="G7" s="4">
        <v>400</v>
      </c>
      <c r="H7" s="5">
        <v>150</v>
      </c>
      <c r="I7" s="5">
        <v>105</v>
      </c>
      <c r="J7" s="5">
        <v>245</v>
      </c>
      <c r="K7" s="5">
        <v>57</v>
      </c>
      <c r="L7" t="str">
        <f>IF(ProductMasterTable[[#This Row],[Closing Stock]]&lt;ProductMasterTable[[#This Row],[Reorder Level]],"underStocked",IF(ProductMasterTable[[#This Row],[Closing Stock]]&gt;3*ProductMasterTable[[#This Row],[Reorder Level]],"overStocked","Health"))</f>
        <v>underStocked</v>
      </c>
    </row>
    <row r="8" spans="1:12">
      <c r="A8" t="s">
        <v>49</v>
      </c>
      <c r="B8" t="s">
        <v>50</v>
      </c>
      <c r="C8" t="s">
        <v>38</v>
      </c>
      <c r="D8" t="s">
        <v>51</v>
      </c>
      <c r="E8" t="s">
        <v>52</v>
      </c>
      <c r="F8" s="4">
        <v>550</v>
      </c>
      <c r="G8" s="4">
        <v>850</v>
      </c>
      <c r="H8" s="5">
        <v>100</v>
      </c>
      <c r="I8" s="5">
        <v>169</v>
      </c>
      <c r="J8" s="5">
        <v>358</v>
      </c>
      <c r="K8" s="5">
        <v>204</v>
      </c>
      <c r="L8" t="str">
        <f>IF(ProductMasterTable[[#This Row],[Closing Stock]]&lt;ProductMasterTable[[#This Row],[Reorder Level]],"underStocked",IF(ProductMasterTable[[#This Row],[Closing Stock]]&gt;3*ProductMasterTable[[#This Row],[Reorder Level]],"overStocked","Health"))</f>
        <v>Health</v>
      </c>
    </row>
    <row r="9" spans="1:12">
      <c r="A9" t="s">
        <v>53</v>
      </c>
      <c r="B9" t="s">
        <v>54</v>
      </c>
      <c r="C9" t="s">
        <v>38</v>
      </c>
      <c r="D9" t="s">
        <v>55</v>
      </c>
      <c r="E9" t="s">
        <v>56</v>
      </c>
      <c r="F9" s="4">
        <v>330</v>
      </c>
      <c r="G9" s="4">
        <v>550</v>
      </c>
      <c r="H9" s="5">
        <v>120</v>
      </c>
      <c r="I9" s="5">
        <v>73</v>
      </c>
      <c r="J9" s="5">
        <v>407</v>
      </c>
      <c r="K9" s="5">
        <v>161</v>
      </c>
      <c r="L9" t="str">
        <f>IF(ProductMasterTable[[#This Row],[Closing Stock]]&lt;ProductMasterTable[[#This Row],[Reorder Level]],"underStocked",IF(ProductMasterTable[[#This Row],[Closing Stock]]&gt;3*ProductMasterTable[[#This Row],[Reorder Level]],"overStocked","Health"))</f>
        <v>Health</v>
      </c>
    </row>
    <row r="10" spans="1:12">
      <c r="A10" t="s">
        <v>57</v>
      </c>
      <c r="B10" t="s">
        <v>58</v>
      </c>
      <c r="C10" t="s">
        <v>59</v>
      </c>
      <c r="D10" t="s">
        <v>60</v>
      </c>
      <c r="E10" t="s">
        <v>61</v>
      </c>
      <c r="F10" s="4">
        <v>2400</v>
      </c>
      <c r="G10" s="4">
        <v>3400</v>
      </c>
      <c r="H10" s="5">
        <v>55</v>
      </c>
      <c r="I10" s="5">
        <v>210</v>
      </c>
      <c r="J10" s="5">
        <v>221</v>
      </c>
      <c r="K10" s="5">
        <v>134</v>
      </c>
      <c r="L10" t="str">
        <f>IF(ProductMasterTable[[#This Row],[Closing Stock]]&lt;ProductMasterTable[[#This Row],[Reorder Level]],"underStocked",IF(ProductMasterTable[[#This Row],[Closing Stock]]&gt;3*ProductMasterTable[[#This Row],[Reorder Level]],"overStocked","Health"))</f>
        <v>Health</v>
      </c>
    </row>
    <row r="11" spans="1:12">
      <c r="A11" t="s">
        <v>62</v>
      </c>
      <c r="B11" t="s">
        <v>63</v>
      </c>
      <c r="C11" t="s">
        <v>59</v>
      </c>
      <c r="D11" t="s">
        <v>64</v>
      </c>
      <c r="E11" t="s">
        <v>65</v>
      </c>
      <c r="F11" s="4">
        <v>3200</v>
      </c>
      <c r="G11" s="4">
        <v>4500</v>
      </c>
      <c r="H11" s="5">
        <v>45</v>
      </c>
      <c r="I11" s="5">
        <v>78</v>
      </c>
      <c r="J11" s="5">
        <v>159</v>
      </c>
      <c r="K11" s="5">
        <v>97</v>
      </c>
      <c r="L11" t="str">
        <f>IF(ProductMasterTable[[#This Row],[Closing Stock]]&lt;ProductMasterTable[[#This Row],[Reorder Level]],"underStocked",IF(ProductMasterTable[[#This Row],[Closing Stock]]&gt;3*ProductMasterTable[[#This Row],[Reorder Level]],"overStocked","Health"))</f>
        <v>Health</v>
      </c>
    </row>
    <row r="12" spans="1:12">
      <c r="A12" t="s">
        <v>66</v>
      </c>
      <c r="B12" t="s">
        <v>67</v>
      </c>
      <c r="C12" t="s">
        <v>59</v>
      </c>
      <c r="D12" t="s">
        <v>60</v>
      </c>
      <c r="E12" t="s">
        <v>68</v>
      </c>
      <c r="F12" s="4">
        <v>2800</v>
      </c>
      <c r="G12" s="4">
        <v>3900</v>
      </c>
      <c r="H12" s="5">
        <v>40</v>
      </c>
      <c r="I12" s="5">
        <v>91</v>
      </c>
      <c r="J12" s="5">
        <v>41</v>
      </c>
      <c r="K12" s="5">
        <v>117</v>
      </c>
      <c r="L12" t="str">
        <f>IF(ProductMasterTable[[#This Row],[Closing Stock]]&lt;ProductMasterTable[[#This Row],[Reorder Level]],"underStocked",IF(ProductMasterTable[[#This Row],[Closing Stock]]&gt;3*ProductMasterTable[[#This Row],[Reorder Level]],"overStocked","Health"))</f>
        <v>Health</v>
      </c>
    </row>
    <row r="13" spans="1:12">
      <c r="A13" t="s">
        <v>69</v>
      </c>
      <c r="B13" t="s">
        <v>70</v>
      </c>
      <c r="C13" t="s">
        <v>59</v>
      </c>
      <c r="D13" t="s">
        <v>71</v>
      </c>
      <c r="E13" t="s">
        <v>72</v>
      </c>
      <c r="F13" s="4">
        <v>1700</v>
      </c>
      <c r="G13" s="4">
        <v>2600</v>
      </c>
      <c r="H13" s="5">
        <v>35</v>
      </c>
      <c r="I13" s="5">
        <v>120</v>
      </c>
      <c r="J13" s="5">
        <v>75</v>
      </c>
      <c r="K13" s="5">
        <v>194</v>
      </c>
      <c r="L13" t="str">
        <f>IF(ProductMasterTable[[#This Row],[Closing Stock]]&lt;ProductMasterTable[[#This Row],[Reorder Level]],"underStocked",IF(ProductMasterTable[[#This Row],[Closing Stock]]&gt;3*ProductMasterTable[[#This Row],[Reorder Level]],"overStocked","Health"))</f>
        <v>overStocked</v>
      </c>
    </row>
    <row r="14" spans="1:12">
      <c r="A14" t="s">
        <v>73</v>
      </c>
      <c r="B14" t="s">
        <v>74</v>
      </c>
      <c r="C14" t="s">
        <v>75</v>
      </c>
      <c r="D14" t="s">
        <v>76</v>
      </c>
      <c r="E14" t="s">
        <v>77</v>
      </c>
      <c r="F14" s="4">
        <v>3500</v>
      </c>
      <c r="G14" s="4">
        <v>5200</v>
      </c>
      <c r="H14" s="5">
        <v>40</v>
      </c>
      <c r="I14" s="5">
        <v>128</v>
      </c>
      <c r="J14" s="5">
        <v>127</v>
      </c>
      <c r="K14" s="5">
        <v>55</v>
      </c>
      <c r="L14" t="str">
        <f>IF(ProductMasterTable[[#This Row],[Closing Stock]]&lt;ProductMasterTable[[#This Row],[Reorder Level]],"underStocked",IF(ProductMasterTable[[#This Row],[Closing Stock]]&gt;3*ProductMasterTable[[#This Row],[Reorder Level]],"overStocked","Health"))</f>
        <v>Health</v>
      </c>
    </row>
    <row r="15" spans="1:12">
      <c r="A15" t="s">
        <v>78</v>
      </c>
      <c r="B15" t="s">
        <v>79</v>
      </c>
      <c r="C15" t="s">
        <v>75</v>
      </c>
      <c r="D15" t="s">
        <v>80</v>
      </c>
      <c r="E15" t="s">
        <v>81</v>
      </c>
      <c r="F15" s="4">
        <v>1200</v>
      </c>
      <c r="G15" s="4">
        <v>1900</v>
      </c>
      <c r="H15" s="5">
        <v>65</v>
      </c>
      <c r="I15" s="5">
        <v>71</v>
      </c>
      <c r="J15" s="5">
        <v>175</v>
      </c>
      <c r="K15" s="5">
        <v>118</v>
      </c>
      <c r="L15" t="str">
        <f>IF(ProductMasterTable[[#This Row],[Closing Stock]]&lt;ProductMasterTable[[#This Row],[Reorder Level]],"underStocked",IF(ProductMasterTable[[#This Row],[Closing Stock]]&gt;3*ProductMasterTable[[#This Row],[Reorder Level]],"overStocked","Health"))</f>
        <v>Health</v>
      </c>
    </row>
    <row r="16" spans="1:12">
      <c r="A16" t="s">
        <v>82</v>
      </c>
      <c r="B16" t="s">
        <v>83</v>
      </c>
      <c r="C16" t="s">
        <v>75</v>
      </c>
      <c r="D16" t="s">
        <v>84</v>
      </c>
      <c r="E16" t="s">
        <v>85</v>
      </c>
      <c r="F16" s="4">
        <v>600</v>
      </c>
      <c r="G16" s="4">
        <v>950</v>
      </c>
      <c r="H16" s="5">
        <v>100</v>
      </c>
      <c r="I16" s="5">
        <v>102</v>
      </c>
      <c r="J16" s="5">
        <v>147</v>
      </c>
      <c r="K16" s="5">
        <v>147</v>
      </c>
      <c r="L16" t="str">
        <f>IF(ProductMasterTable[[#This Row],[Closing Stock]]&lt;ProductMasterTable[[#This Row],[Reorder Level]],"underStocked",IF(ProductMasterTable[[#This Row],[Closing Stock]]&gt;3*ProductMasterTable[[#This Row],[Reorder Level]],"overStocked","Health"))</f>
        <v>Health</v>
      </c>
    </row>
    <row r="17" spans="1:12">
      <c r="A17" t="s">
        <v>86</v>
      </c>
      <c r="B17" t="s">
        <v>87</v>
      </c>
      <c r="C17" t="s">
        <v>75</v>
      </c>
      <c r="D17" t="s">
        <v>88</v>
      </c>
      <c r="E17" t="s">
        <v>89</v>
      </c>
      <c r="F17" s="4">
        <v>8500</v>
      </c>
      <c r="G17" s="4">
        <v>12500</v>
      </c>
      <c r="H17" s="5">
        <v>25</v>
      </c>
      <c r="I17" s="5">
        <v>24</v>
      </c>
      <c r="J17" s="5">
        <v>70</v>
      </c>
      <c r="K17" s="5">
        <v>119</v>
      </c>
      <c r="L17" t="str">
        <f>IF(ProductMasterTable[[#This Row],[Closing Stock]]&lt;ProductMasterTable[[#This Row],[Reorder Level]],"underStocked",IF(ProductMasterTable[[#This Row],[Closing Stock]]&gt;3*ProductMasterTable[[#This Row],[Reorder Level]],"overStocked","Health"))</f>
        <v>overStocked</v>
      </c>
    </row>
    <row r="18" spans="1:12">
      <c r="A18" t="s">
        <v>90</v>
      </c>
      <c r="B18" t="s">
        <v>91</v>
      </c>
      <c r="C18" t="s">
        <v>92</v>
      </c>
      <c r="D18" t="s">
        <v>93</v>
      </c>
      <c r="E18" t="s">
        <v>94</v>
      </c>
      <c r="F18" s="4">
        <v>7500</v>
      </c>
      <c r="G18" s="4">
        <v>10500</v>
      </c>
      <c r="H18" s="5">
        <v>20</v>
      </c>
      <c r="I18" s="5">
        <v>43</v>
      </c>
      <c r="J18" s="5">
        <v>25</v>
      </c>
      <c r="K18" s="5">
        <v>56</v>
      </c>
      <c r="L18" t="str">
        <f>IF(ProductMasterTable[[#This Row],[Closing Stock]]&lt;ProductMasterTable[[#This Row],[Reorder Level]],"underStocked",IF(ProductMasterTable[[#This Row],[Closing Stock]]&gt;3*ProductMasterTable[[#This Row],[Reorder Level]],"overStocked","Health"))</f>
        <v>Health</v>
      </c>
    </row>
    <row r="19" spans="1:12">
      <c r="A19" t="s">
        <v>95</v>
      </c>
      <c r="B19" t="s">
        <v>96</v>
      </c>
      <c r="C19" t="s">
        <v>92</v>
      </c>
      <c r="D19" t="s">
        <v>97</v>
      </c>
      <c r="E19" t="s">
        <v>98</v>
      </c>
      <c r="F19" s="4">
        <v>18000</v>
      </c>
      <c r="G19" s="4">
        <v>24500</v>
      </c>
      <c r="H19" s="5">
        <v>18</v>
      </c>
      <c r="I19" s="5">
        <v>67</v>
      </c>
      <c r="J19" s="5">
        <v>86</v>
      </c>
      <c r="K19" s="5">
        <v>3</v>
      </c>
      <c r="L19" t="str">
        <f>IF(ProductMasterTable[[#This Row],[Closing Stock]]&lt;ProductMasterTable[[#This Row],[Reorder Level]],"underStocked",IF(ProductMasterTable[[#This Row],[Closing Stock]]&gt;3*ProductMasterTable[[#This Row],[Reorder Level]],"overStocked","Health"))</f>
        <v>underStocked</v>
      </c>
    </row>
    <row r="20" spans="1:12">
      <c r="A20" t="s">
        <v>99</v>
      </c>
      <c r="B20" t="s">
        <v>100</v>
      </c>
      <c r="C20" t="s">
        <v>92</v>
      </c>
      <c r="D20" t="s">
        <v>101</v>
      </c>
      <c r="E20" t="s">
        <v>102</v>
      </c>
      <c r="F20" s="4">
        <v>12500</v>
      </c>
      <c r="G20" s="4">
        <v>18500</v>
      </c>
      <c r="H20" s="5">
        <v>22</v>
      </c>
      <c r="I20" s="5">
        <v>59</v>
      </c>
      <c r="J20" s="5">
        <v>32</v>
      </c>
      <c r="K20" s="5">
        <v>19</v>
      </c>
      <c r="L20" t="str">
        <f>IF(ProductMasterTable[[#This Row],[Closing Stock]]&lt;ProductMasterTable[[#This Row],[Reorder Level]],"underStocked",IF(ProductMasterTable[[#This Row],[Closing Stock]]&gt;3*ProductMasterTable[[#This Row],[Reorder Level]],"overStocked","Health"))</f>
        <v>underStocked</v>
      </c>
    </row>
    <row r="21" spans="1:12">
      <c r="A21" t="s">
        <v>103</v>
      </c>
      <c r="B21" t="s">
        <v>104</v>
      </c>
      <c r="C21" t="s">
        <v>92</v>
      </c>
      <c r="D21" t="s">
        <v>105</v>
      </c>
      <c r="E21" t="s">
        <v>106</v>
      </c>
      <c r="F21" s="4">
        <v>1500</v>
      </c>
      <c r="G21" s="4">
        <v>2500</v>
      </c>
      <c r="H21" s="5">
        <v>50</v>
      </c>
      <c r="I21" s="5">
        <v>100</v>
      </c>
      <c r="J21" s="5">
        <v>210</v>
      </c>
      <c r="K21" s="5">
        <v>104</v>
      </c>
      <c r="L21" t="str">
        <f>IF(ProductMasterTable[[#This Row],[Closing Stock]]&lt;ProductMasterTable[[#This Row],[Reorder Level]],"underStocked",IF(ProductMasterTable[[#This Row],[Closing Stock]]&gt;3*ProductMasterTable[[#This Row],[Reorder Level]],"overStocked","Health"))</f>
        <v>Health</v>
      </c>
    </row>
    <row r="22" spans="1:12">
      <c r="A22" t="s">
        <v>107</v>
      </c>
      <c r="B22" t="s">
        <v>108</v>
      </c>
      <c r="C22" t="s">
        <v>109</v>
      </c>
      <c r="D22" t="s">
        <v>110</v>
      </c>
      <c r="E22" t="s">
        <v>111</v>
      </c>
      <c r="F22" s="4">
        <v>5200</v>
      </c>
      <c r="G22" s="4">
        <v>7000</v>
      </c>
      <c r="H22" s="5">
        <v>30</v>
      </c>
      <c r="I22" s="5">
        <v>61</v>
      </c>
      <c r="J22" s="5">
        <v>103</v>
      </c>
      <c r="K22" s="5">
        <v>114</v>
      </c>
      <c r="L22" t="str">
        <f>IF(ProductMasterTable[[#This Row],[Closing Stock]]&lt;ProductMasterTable[[#This Row],[Reorder Level]],"underStocked",IF(ProductMasterTable[[#This Row],[Closing Stock]]&gt;3*ProductMasterTable[[#This Row],[Reorder Level]],"overStocked","Health"))</f>
        <v>overStocked</v>
      </c>
    </row>
    <row r="23" spans="1:12">
      <c r="A23" t="s">
        <v>112</v>
      </c>
      <c r="B23" t="s">
        <v>113</v>
      </c>
      <c r="C23" t="s">
        <v>109</v>
      </c>
      <c r="D23" t="s">
        <v>114</v>
      </c>
      <c r="E23" t="s">
        <v>115</v>
      </c>
      <c r="F23" s="4">
        <v>1300</v>
      </c>
      <c r="G23" s="4">
        <v>2100</v>
      </c>
      <c r="H23" s="5">
        <v>55</v>
      </c>
      <c r="I23" s="5">
        <v>207</v>
      </c>
      <c r="J23" s="5">
        <v>72</v>
      </c>
      <c r="K23" s="5">
        <v>38</v>
      </c>
      <c r="L23" t="str">
        <f>IF(ProductMasterTable[[#This Row],[Closing Stock]]&lt;ProductMasterTable[[#This Row],[Reorder Level]],"underStocked",IF(ProductMasterTable[[#This Row],[Closing Stock]]&gt;3*ProductMasterTable[[#This Row],[Reorder Level]],"overStocked","Health"))</f>
        <v>underStocked</v>
      </c>
    </row>
    <row r="24" spans="1:12">
      <c r="A24" t="s">
        <v>116</v>
      </c>
      <c r="B24" t="s">
        <v>117</v>
      </c>
      <c r="C24" t="s">
        <v>109</v>
      </c>
      <c r="D24" t="s">
        <v>118</v>
      </c>
      <c r="E24" t="s">
        <v>119</v>
      </c>
      <c r="F24" s="4">
        <v>2800</v>
      </c>
      <c r="G24" s="4">
        <v>4200</v>
      </c>
      <c r="H24" s="5">
        <v>45</v>
      </c>
      <c r="I24" s="5">
        <v>80</v>
      </c>
      <c r="J24" s="5">
        <v>119</v>
      </c>
      <c r="K24" s="5">
        <v>32</v>
      </c>
      <c r="L24" t="str">
        <f>IF(ProductMasterTable[[#This Row],[Closing Stock]]&lt;ProductMasterTable[[#This Row],[Reorder Level]],"underStocked",IF(ProductMasterTable[[#This Row],[Closing Stock]]&gt;3*ProductMasterTable[[#This Row],[Reorder Level]],"overStocked","Health"))</f>
        <v>underStocked</v>
      </c>
    </row>
    <row r="25" spans="1:12">
      <c r="A25" t="s">
        <v>120</v>
      </c>
      <c r="B25" t="s">
        <v>121</v>
      </c>
      <c r="C25" t="s">
        <v>109</v>
      </c>
      <c r="D25" t="s">
        <v>93</v>
      </c>
      <c r="E25" t="s">
        <v>122</v>
      </c>
      <c r="F25" s="4">
        <v>1700</v>
      </c>
      <c r="G25" s="4">
        <v>2800</v>
      </c>
      <c r="H25" s="5">
        <v>30</v>
      </c>
      <c r="I25" s="5">
        <v>44</v>
      </c>
      <c r="J25" s="5">
        <v>140</v>
      </c>
      <c r="K25" s="5">
        <v>102</v>
      </c>
      <c r="L25" t="str">
        <f>IF(ProductMasterTable[[#This Row],[Closing Stock]]&lt;ProductMasterTable[[#This Row],[Reorder Level]],"underStocked",IF(ProductMasterTable[[#This Row],[Closing Stock]]&gt;3*ProductMasterTable[[#This Row],[Reorder Level]],"overStocked","Health"))</f>
        <v>overStocked</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heetViews>
  <sheetFormatPr defaultRowHeight="13.8"/>
  <cols>
    <col min="1" max="1" width="10.3984375" customWidth="1"/>
    <col min="2" max="2" width="14.19921875" customWidth="1"/>
    <col min="3" max="3" width="7" customWidth="1"/>
    <col min="4" max="4" width="10.69921875" customWidth="1"/>
    <col min="5" max="5" width="13.5" customWidth="1"/>
  </cols>
  <sheetData>
    <row r="1" spans="1:5">
      <c r="A1" s="1" t="s">
        <v>123</v>
      </c>
      <c r="B1" s="1" t="s">
        <v>124</v>
      </c>
      <c r="C1" s="1" t="s">
        <v>125</v>
      </c>
      <c r="D1" s="1" t="s">
        <v>126</v>
      </c>
      <c r="E1" s="1" t="s">
        <v>127</v>
      </c>
    </row>
    <row r="2" spans="1:5">
      <c r="A2" t="s">
        <v>128</v>
      </c>
      <c r="B2" t="s">
        <v>129</v>
      </c>
      <c r="C2" t="s">
        <v>130</v>
      </c>
      <c r="D2" t="s">
        <v>131</v>
      </c>
      <c r="E2" t="s">
        <v>132</v>
      </c>
    </row>
    <row r="3" spans="1:5">
      <c r="A3" t="s">
        <v>133</v>
      </c>
      <c r="B3" t="s">
        <v>134</v>
      </c>
      <c r="C3" t="s">
        <v>130</v>
      </c>
      <c r="D3" t="s">
        <v>131</v>
      </c>
      <c r="E3" t="s">
        <v>132</v>
      </c>
    </row>
    <row r="4" spans="1:5">
      <c r="A4" t="s">
        <v>135</v>
      </c>
      <c r="B4" t="s">
        <v>136</v>
      </c>
      <c r="C4" t="s">
        <v>137</v>
      </c>
      <c r="D4" t="s">
        <v>138</v>
      </c>
      <c r="E4" t="s">
        <v>132</v>
      </c>
    </row>
    <row r="5" spans="1:5">
      <c r="A5" t="s">
        <v>139</v>
      </c>
      <c r="B5" t="s">
        <v>140</v>
      </c>
      <c r="C5" t="s">
        <v>137</v>
      </c>
      <c r="D5" t="s">
        <v>138</v>
      </c>
      <c r="E5" t="s">
        <v>132</v>
      </c>
    </row>
    <row r="6" spans="1:5">
      <c r="A6" t="s">
        <v>141</v>
      </c>
      <c r="B6" t="s">
        <v>142</v>
      </c>
      <c r="C6" t="s">
        <v>143</v>
      </c>
      <c r="D6" t="s">
        <v>144</v>
      </c>
      <c r="E6" t="s">
        <v>132</v>
      </c>
    </row>
    <row r="7" spans="1:5">
      <c r="A7" t="s">
        <v>145</v>
      </c>
      <c r="B7" t="s">
        <v>146</v>
      </c>
      <c r="C7" t="s">
        <v>147</v>
      </c>
      <c r="D7" t="s">
        <v>148</v>
      </c>
      <c r="E7" t="s">
        <v>132</v>
      </c>
    </row>
    <row r="8" spans="1:5">
      <c r="A8" t="s">
        <v>149</v>
      </c>
      <c r="B8" t="s">
        <v>150</v>
      </c>
      <c r="C8" t="s">
        <v>151</v>
      </c>
      <c r="D8" t="s">
        <v>152</v>
      </c>
      <c r="E8" t="s">
        <v>132</v>
      </c>
    </row>
    <row r="9" spans="1:5">
      <c r="A9" t="s">
        <v>153</v>
      </c>
      <c r="B9" t="s">
        <v>154</v>
      </c>
      <c r="C9" t="s">
        <v>155</v>
      </c>
      <c r="D9" t="s">
        <v>131</v>
      </c>
      <c r="E9" t="s">
        <v>156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802"/>
  <sheetViews>
    <sheetView zoomScale="74" workbookViewId="0">
      <selection activeCell="AH2" sqref="AH2"/>
    </sheetView>
  </sheetViews>
  <sheetFormatPr defaultRowHeight="13.8"/>
  <cols>
    <col min="1" max="1" width="9.5" customWidth="1"/>
    <col min="2" max="2" width="11.5" customWidth="1"/>
    <col min="3" max="3" width="11.19921875" customWidth="1"/>
    <col min="4" max="4" width="28" customWidth="1"/>
    <col min="5" max="5" width="11.5" customWidth="1"/>
    <col min="6" max="6" width="14.8984375" customWidth="1"/>
    <col min="7" max="7" width="12" customWidth="1"/>
    <col min="8" max="8" width="10.3984375" customWidth="1"/>
    <col min="9" max="9" width="14.19921875" customWidth="1"/>
    <col min="10" max="10" width="7" customWidth="1"/>
    <col min="11" max="11" width="10.69921875" customWidth="1"/>
    <col min="12" max="12" width="14.3984375" customWidth="1"/>
    <col min="13" max="13" width="16.19921875" customWidth="1"/>
    <col min="14" max="14" width="9.69921875" customWidth="1"/>
    <col min="15" max="15" width="10" customWidth="1"/>
    <col min="16" max="16" width="10.5" customWidth="1"/>
    <col min="17" max="17" width="11.5" customWidth="1"/>
    <col min="18" max="18" width="24" customWidth="1"/>
    <col min="19" max="19" width="13.3984375" customWidth="1"/>
    <col min="20" max="20" width="11.69921875" customWidth="1"/>
    <col min="21" max="21" width="16.19921875" customWidth="1"/>
    <col min="22" max="22" width="12.69921875" customWidth="1"/>
    <col min="23" max="23" width="10.5" customWidth="1"/>
    <col min="24" max="24" width="7.19921875" customWidth="1"/>
    <col min="25" max="25" width="13.19921875" customWidth="1"/>
    <col min="26" max="26" width="18" customWidth="1"/>
    <col min="27" max="27" width="16.69921875" bestFit="1" customWidth="1"/>
    <col min="28" max="28" width="22" style="25" bestFit="1" customWidth="1"/>
    <col min="30" max="30" width="13.69921875" customWidth="1"/>
    <col min="31" max="31" width="14.8984375" customWidth="1"/>
  </cols>
  <sheetData>
    <row r="1" spans="1:31" ht="27.6">
      <c r="A1" s="1" t="s">
        <v>157</v>
      </c>
      <c r="B1" s="1" t="s">
        <v>158</v>
      </c>
      <c r="C1" s="1" t="s">
        <v>13</v>
      </c>
      <c r="D1" s="1" t="s">
        <v>14</v>
      </c>
      <c r="E1" s="1" t="s">
        <v>15</v>
      </c>
      <c r="F1" s="1" t="s">
        <v>16</v>
      </c>
      <c r="G1" s="1" t="s">
        <v>17</v>
      </c>
      <c r="H1" s="1" t="s">
        <v>123</v>
      </c>
      <c r="I1" s="1" t="s">
        <v>124</v>
      </c>
      <c r="J1" s="1" t="s">
        <v>125</v>
      </c>
      <c r="K1" s="1" t="s">
        <v>126</v>
      </c>
      <c r="L1" s="1" t="s">
        <v>159</v>
      </c>
      <c r="M1" s="1" t="s">
        <v>160</v>
      </c>
      <c r="N1" s="1" t="s">
        <v>161</v>
      </c>
      <c r="O1" s="1" t="s">
        <v>18</v>
      </c>
      <c r="P1" s="1" t="s">
        <v>19</v>
      </c>
      <c r="Q1" s="1" t="s">
        <v>162</v>
      </c>
      <c r="R1" s="1" t="s">
        <v>163</v>
      </c>
      <c r="S1" s="1" t="s">
        <v>164</v>
      </c>
      <c r="T1" s="1" t="s">
        <v>2988</v>
      </c>
      <c r="U1" s="1" t="s">
        <v>2989</v>
      </c>
      <c r="V1" s="1" t="s">
        <v>2990</v>
      </c>
      <c r="W1" s="1" t="s">
        <v>2991</v>
      </c>
      <c r="X1" s="1" t="s">
        <v>2992</v>
      </c>
      <c r="Y1" s="1" t="s">
        <v>2993</v>
      </c>
      <c r="Z1" s="1" t="s">
        <v>2994</v>
      </c>
      <c r="AA1" t="s">
        <v>3177</v>
      </c>
      <c r="AB1" s="25" t="s">
        <v>3178</v>
      </c>
      <c r="AC1" t="s">
        <v>3100</v>
      </c>
      <c r="AD1" t="s">
        <v>3187</v>
      </c>
      <c r="AE1" t="s">
        <v>3188</v>
      </c>
    </row>
    <row r="2" spans="1:31">
      <c r="A2" t="s">
        <v>165</v>
      </c>
      <c r="B2" s="6">
        <v>45852</v>
      </c>
      <c r="C2" t="s">
        <v>45</v>
      </c>
      <c r="D2" t="s">
        <v>46</v>
      </c>
      <c r="E2" t="s">
        <v>38</v>
      </c>
      <c r="F2" t="s">
        <v>47</v>
      </c>
      <c r="G2" t="s">
        <v>48</v>
      </c>
      <c r="H2" t="s">
        <v>141</v>
      </c>
      <c r="I2" t="s">
        <v>142</v>
      </c>
      <c r="J2" t="s">
        <v>143</v>
      </c>
      <c r="K2" t="s">
        <v>144</v>
      </c>
      <c r="L2" t="s">
        <v>166</v>
      </c>
      <c r="M2" t="s">
        <v>167</v>
      </c>
      <c r="N2">
        <v>2</v>
      </c>
      <c r="O2" s="4">
        <v>230</v>
      </c>
      <c r="P2" s="4">
        <v>400</v>
      </c>
      <c r="Q2" s="7">
        <v>0.05</v>
      </c>
      <c r="R2" t="s">
        <v>168</v>
      </c>
      <c r="S2">
        <v>11</v>
      </c>
      <c r="T2">
        <v>800</v>
      </c>
      <c r="U2">
        <v>40</v>
      </c>
      <c r="V2">
        <v>760</v>
      </c>
      <c r="W2">
        <v>460</v>
      </c>
      <c r="X2">
        <v>300</v>
      </c>
      <c r="Y2" s="8">
        <v>0.39473684210526316</v>
      </c>
      <c r="Z2" t="s">
        <v>2995</v>
      </c>
      <c r="AA2" t="str">
        <f>IF(AND(SalesCleanTable[[#This Row],[Discount %]]&gt;0, SalesCleanTable[[#This Row],[Profit]]&lt;0), "Discount loss", "Safe")</f>
        <v>Safe</v>
      </c>
      <c r="AB2" s="25">
        <f>(SalesCleanTable[[#This Row],[Unit Price]] - SalesCleanTable[[#This Row],[Unit Cost]]) / SalesCleanTable[[#This Row],[Unit Price]]</f>
        <v>0.42499999999999999</v>
      </c>
      <c r="AC2" s="35" t="str">
        <f>IF(SalesCleanTable[[#This Row],[Discount %]] &gt; SalesCleanTable[[#This Row],[Max Allowed Discount]], "Discount loss", "Safe")</f>
        <v>Safe</v>
      </c>
      <c r="AD2" s="4">
        <f>SalesCleanTable[[#This Row],[Unit Price]] - SalesCleanTable[[#This Row],[Unit Cost]]</f>
        <v>170</v>
      </c>
      <c r="AE2" s="41">
        <f>(SalesCleanTable[[#This Row],[Unit Price]] - SalesCleanTable[[#This Row],[Unit Cost]]) / SalesCleanTable[[#This Row],[Unit Price]]</f>
        <v>0.42499999999999999</v>
      </c>
    </row>
    <row r="3" spans="1:31">
      <c r="A3" t="s">
        <v>169</v>
      </c>
      <c r="B3" s="6">
        <v>45983</v>
      </c>
      <c r="C3" t="s">
        <v>36</v>
      </c>
      <c r="D3" t="s">
        <v>37</v>
      </c>
      <c r="E3" t="s">
        <v>38</v>
      </c>
      <c r="F3" t="s">
        <v>39</v>
      </c>
      <c r="G3" t="s">
        <v>40</v>
      </c>
      <c r="H3" t="s">
        <v>145</v>
      </c>
      <c r="I3" t="s">
        <v>146</v>
      </c>
      <c r="J3" t="s">
        <v>147</v>
      </c>
      <c r="K3" t="s">
        <v>148</v>
      </c>
      <c r="L3" t="s">
        <v>170</v>
      </c>
      <c r="M3" t="s">
        <v>171</v>
      </c>
      <c r="N3">
        <v>1</v>
      </c>
      <c r="O3" s="4">
        <v>1650</v>
      </c>
      <c r="P3" s="4">
        <v>2200</v>
      </c>
      <c r="Q3" s="7">
        <v>0.05</v>
      </c>
      <c r="R3" t="s">
        <v>168</v>
      </c>
      <c r="S3">
        <v>4</v>
      </c>
      <c r="T3">
        <v>2200</v>
      </c>
      <c r="U3">
        <v>110</v>
      </c>
      <c r="V3">
        <v>2090</v>
      </c>
      <c r="W3">
        <v>1650</v>
      </c>
      <c r="X3">
        <v>440</v>
      </c>
      <c r="Y3" s="8">
        <v>0.21052631578947367</v>
      </c>
      <c r="Z3" t="s">
        <v>2995</v>
      </c>
      <c r="AA3" t="str">
        <f>IF(AND(SalesCleanTable[[#This Row],[Discount %]]&gt;0, SalesCleanTable[[#This Row],[Profit]]&lt;0), "Discount loss", "Safe")</f>
        <v>Safe</v>
      </c>
      <c r="AB3" s="25">
        <f>(SalesCleanTable[[#This Row],[Unit Price]] - SalesCleanTable[[#This Row],[Unit Cost]]) / SalesCleanTable[[#This Row],[Unit Price]]</f>
        <v>0.25</v>
      </c>
      <c r="AC3" t="str">
        <f>IF(SalesCleanTable[[#This Row],[Discount %]] &gt; SalesCleanTable[[#This Row],[Max Allowed Discount]], "Discount loss", "Safe")</f>
        <v>Safe</v>
      </c>
      <c r="AD3" s="4">
        <f>SalesCleanTable[[#This Row],[Unit Price]] - SalesCleanTable[[#This Row],[Unit Cost]]</f>
        <v>550</v>
      </c>
      <c r="AE3" s="41">
        <f>(SalesCleanTable[[#This Row],[Unit Price]] - SalesCleanTable[[#This Row],[Unit Cost]]) / SalesCleanTable[[#This Row],[Unit Price]]</f>
        <v>0.25</v>
      </c>
    </row>
    <row r="4" spans="1:31">
      <c r="A4" t="s">
        <v>172</v>
      </c>
      <c r="B4" s="6">
        <v>45686</v>
      </c>
      <c r="C4" t="s">
        <v>41</v>
      </c>
      <c r="D4" t="s">
        <v>42</v>
      </c>
      <c r="E4" t="s">
        <v>26</v>
      </c>
      <c r="F4" t="s">
        <v>43</v>
      </c>
      <c r="G4" t="s">
        <v>44</v>
      </c>
      <c r="H4" t="s">
        <v>128</v>
      </c>
      <c r="I4" t="s">
        <v>129</v>
      </c>
      <c r="J4" t="s">
        <v>130</v>
      </c>
      <c r="K4" t="s">
        <v>131</v>
      </c>
      <c r="L4" t="s">
        <v>166</v>
      </c>
      <c r="M4" t="s">
        <v>171</v>
      </c>
      <c r="N4">
        <v>2</v>
      </c>
      <c r="O4" s="4">
        <v>850</v>
      </c>
      <c r="P4" s="4">
        <v>1300</v>
      </c>
      <c r="Q4" s="7">
        <v>0</v>
      </c>
      <c r="R4" t="s">
        <v>173</v>
      </c>
      <c r="S4">
        <v>6</v>
      </c>
      <c r="T4">
        <v>2600</v>
      </c>
      <c r="U4">
        <v>0</v>
      </c>
      <c r="V4">
        <v>2600</v>
      </c>
      <c r="W4">
        <v>1700</v>
      </c>
      <c r="X4">
        <v>900</v>
      </c>
      <c r="Y4" s="8">
        <v>0.34615384615384615</v>
      </c>
      <c r="Z4" t="s">
        <v>2995</v>
      </c>
      <c r="AA4" t="str">
        <f>IF(AND(SalesCleanTable[[#This Row],[Discount %]]&gt;0, SalesCleanTable[[#This Row],[Profit]]&lt;0), "Discount loss", "Safe")</f>
        <v>Safe</v>
      </c>
      <c r="AB4" s="25">
        <f>(SalesCleanTable[[#This Row],[Unit Price]] - SalesCleanTable[[#This Row],[Unit Cost]]) / SalesCleanTable[[#This Row],[Unit Price]]</f>
        <v>0.34615384615384615</v>
      </c>
      <c r="AC4" t="str">
        <f>IF(SalesCleanTable[[#This Row],[Discount %]] &gt; SalesCleanTable[[#This Row],[Max Allowed Discount]], "Discount loss", "Safe")</f>
        <v>Safe</v>
      </c>
      <c r="AD4" s="4">
        <f>SalesCleanTable[[#This Row],[Unit Price]] - SalesCleanTable[[#This Row],[Unit Cost]]</f>
        <v>450</v>
      </c>
      <c r="AE4" s="41">
        <f>(SalesCleanTable[[#This Row],[Unit Price]] - SalesCleanTable[[#This Row],[Unit Cost]]) / SalesCleanTable[[#This Row],[Unit Price]]</f>
        <v>0.34615384615384615</v>
      </c>
    </row>
    <row r="5" spans="1:31">
      <c r="A5" t="s">
        <v>174</v>
      </c>
      <c r="B5" s="6">
        <v>45913</v>
      </c>
      <c r="C5" t="s">
        <v>49</v>
      </c>
      <c r="D5" t="s">
        <v>50</v>
      </c>
      <c r="E5" t="s">
        <v>38</v>
      </c>
      <c r="F5" t="s">
        <v>51</v>
      </c>
      <c r="G5" t="s">
        <v>52</v>
      </c>
      <c r="H5" t="s">
        <v>149</v>
      </c>
      <c r="I5" t="s">
        <v>150</v>
      </c>
      <c r="J5" t="s">
        <v>151</v>
      </c>
      <c r="K5" t="s">
        <v>152</v>
      </c>
      <c r="L5" t="s">
        <v>166</v>
      </c>
      <c r="M5" t="s">
        <v>171</v>
      </c>
      <c r="N5">
        <v>2</v>
      </c>
      <c r="O5" s="4">
        <v>550</v>
      </c>
      <c r="P5" s="4">
        <v>850</v>
      </c>
      <c r="Q5" s="7">
        <v>0</v>
      </c>
      <c r="R5" t="s">
        <v>175</v>
      </c>
      <c r="S5">
        <v>12</v>
      </c>
      <c r="T5">
        <v>1700</v>
      </c>
      <c r="U5">
        <v>0</v>
      </c>
      <c r="V5">
        <v>1700</v>
      </c>
      <c r="W5">
        <v>1100</v>
      </c>
      <c r="X5">
        <v>600</v>
      </c>
      <c r="Y5" s="8">
        <v>0.35294117647058826</v>
      </c>
      <c r="Z5" t="s">
        <v>2996</v>
      </c>
      <c r="AA5" t="str">
        <f>IF(AND(SalesCleanTable[[#This Row],[Discount %]]&gt;0, SalesCleanTable[[#This Row],[Profit]]&lt;0), "Discount loss", "Safe")</f>
        <v>Safe</v>
      </c>
      <c r="AB5" s="25">
        <f>(SalesCleanTable[[#This Row],[Unit Price]] - SalesCleanTable[[#This Row],[Unit Cost]]) / SalesCleanTable[[#This Row],[Unit Price]]</f>
        <v>0.35294117647058826</v>
      </c>
      <c r="AC5" t="str">
        <f>IF(SalesCleanTable[[#This Row],[Discount %]] &gt; SalesCleanTable[[#This Row],[Max Allowed Discount]], "Discount loss", "Safe")</f>
        <v>Safe</v>
      </c>
      <c r="AD5" s="4">
        <f>SalesCleanTable[[#This Row],[Unit Price]] - SalesCleanTable[[#This Row],[Unit Cost]]</f>
        <v>300</v>
      </c>
      <c r="AE5" s="41">
        <f>(SalesCleanTable[[#This Row],[Unit Price]] - SalesCleanTable[[#This Row],[Unit Cost]]) / SalesCleanTable[[#This Row],[Unit Price]]</f>
        <v>0.35294117647058826</v>
      </c>
    </row>
    <row r="6" spans="1:31">
      <c r="A6" t="s">
        <v>176</v>
      </c>
      <c r="B6" s="6">
        <v>45956</v>
      </c>
      <c r="C6" t="s">
        <v>49</v>
      </c>
      <c r="D6" t="s">
        <v>50</v>
      </c>
      <c r="E6" t="s">
        <v>38</v>
      </c>
      <c r="F6" t="s">
        <v>51</v>
      </c>
      <c r="G6" t="s">
        <v>52</v>
      </c>
      <c r="H6" t="s">
        <v>133</v>
      </c>
      <c r="I6" t="s">
        <v>134</v>
      </c>
      <c r="J6" t="s">
        <v>130</v>
      </c>
      <c r="K6" t="s">
        <v>131</v>
      </c>
      <c r="L6" t="s">
        <v>166</v>
      </c>
      <c r="M6" t="s">
        <v>177</v>
      </c>
      <c r="N6">
        <v>10</v>
      </c>
      <c r="O6" s="4">
        <v>550</v>
      </c>
      <c r="P6" s="4">
        <v>850</v>
      </c>
      <c r="Q6" s="7">
        <v>0.05</v>
      </c>
      <c r="R6" t="s">
        <v>178</v>
      </c>
      <c r="S6">
        <v>3</v>
      </c>
      <c r="T6">
        <v>8500</v>
      </c>
      <c r="U6">
        <v>425</v>
      </c>
      <c r="V6">
        <v>8075</v>
      </c>
      <c r="W6">
        <v>5500</v>
      </c>
      <c r="X6">
        <v>2575</v>
      </c>
      <c r="Y6" s="8">
        <v>0.31888544891640869</v>
      </c>
      <c r="Z6" t="s">
        <v>2996</v>
      </c>
      <c r="AA6" t="str">
        <f>IF(AND(SalesCleanTable[[#This Row],[Discount %]]&gt;0, SalesCleanTable[[#This Row],[Profit]]&lt;0), "Discount loss", "Safe")</f>
        <v>Safe</v>
      </c>
      <c r="AB6" s="25">
        <f>(SalesCleanTable[[#This Row],[Unit Price]] - SalesCleanTable[[#This Row],[Unit Cost]]) / SalesCleanTable[[#This Row],[Unit Price]]</f>
        <v>0.35294117647058826</v>
      </c>
      <c r="AC6" t="str">
        <f>IF(SalesCleanTable[[#This Row],[Discount %]] &gt; SalesCleanTable[[#This Row],[Max Allowed Discount]], "Discount loss", "Safe")</f>
        <v>Safe</v>
      </c>
      <c r="AD6" s="4">
        <f>SalesCleanTable[[#This Row],[Unit Price]] - SalesCleanTable[[#This Row],[Unit Cost]]</f>
        <v>300</v>
      </c>
      <c r="AE6" s="41">
        <f>(SalesCleanTable[[#This Row],[Unit Price]] - SalesCleanTable[[#This Row],[Unit Cost]]) / SalesCleanTable[[#This Row],[Unit Price]]</f>
        <v>0.35294117647058826</v>
      </c>
    </row>
    <row r="7" spans="1:31">
      <c r="A7" t="s">
        <v>179</v>
      </c>
      <c r="B7" s="6">
        <v>46006</v>
      </c>
      <c r="C7" t="s">
        <v>53</v>
      </c>
      <c r="D7" t="s">
        <v>54</v>
      </c>
      <c r="E7" t="s">
        <v>38</v>
      </c>
      <c r="F7" t="s">
        <v>55</v>
      </c>
      <c r="G7" t="s">
        <v>56</v>
      </c>
      <c r="H7" t="s">
        <v>128</v>
      </c>
      <c r="I7" t="s">
        <v>129</v>
      </c>
      <c r="J7" t="s">
        <v>130</v>
      </c>
      <c r="K7" t="s">
        <v>131</v>
      </c>
      <c r="L7" t="s">
        <v>166</v>
      </c>
      <c r="M7" t="s">
        <v>171</v>
      </c>
      <c r="N7">
        <v>2</v>
      </c>
      <c r="O7" s="4">
        <v>330</v>
      </c>
      <c r="P7" s="4">
        <v>550</v>
      </c>
      <c r="Q7" s="7">
        <v>0.2</v>
      </c>
      <c r="R7" t="s">
        <v>178</v>
      </c>
      <c r="S7">
        <v>11</v>
      </c>
      <c r="T7">
        <v>1100</v>
      </c>
      <c r="U7">
        <v>220</v>
      </c>
      <c r="V7">
        <v>880</v>
      </c>
      <c r="W7">
        <v>660</v>
      </c>
      <c r="X7">
        <v>220</v>
      </c>
      <c r="Y7" s="8">
        <v>0.25</v>
      </c>
      <c r="Z7" t="s">
        <v>2996</v>
      </c>
      <c r="AA7" t="str">
        <f>IF(AND(SalesCleanTable[[#This Row],[Discount %]]&gt;0, SalesCleanTable[[#This Row],[Profit]]&lt;0), "Discount loss", "Safe")</f>
        <v>Safe</v>
      </c>
      <c r="AB7" s="25">
        <f>(SalesCleanTable[[#This Row],[Unit Price]] - SalesCleanTable[[#This Row],[Unit Cost]]) / SalesCleanTable[[#This Row],[Unit Price]]</f>
        <v>0.4</v>
      </c>
      <c r="AC7" t="str">
        <f>IF(SalesCleanTable[[#This Row],[Discount %]] &gt; SalesCleanTable[[#This Row],[Max Allowed Discount]], "Discount loss", "Safe")</f>
        <v>Safe</v>
      </c>
      <c r="AD7" s="4">
        <f>SalesCleanTable[[#This Row],[Unit Price]] - SalesCleanTable[[#This Row],[Unit Cost]]</f>
        <v>220</v>
      </c>
      <c r="AE7" s="41">
        <f>(SalesCleanTable[[#This Row],[Unit Price]] - SalesCleanTable[[#This Row],[Unit Cost]]) / SalesCleanTable[[#This Row],[Unit Price]]</f>
        <v>0.4</v>
      </c>
    </row>
    <row r="8" spans="1:31">
      <c r="A8" t="s">
        <v>180</v>
      </c>
      <c r="B8" s="6">
        <v>46007</v>
      </c>
      <c r="C8" t="s">
        <v>103</v>
      </c>
      <c r="D8" t="s">
        <v>104</v>
      </c>
      <c r="E8" t="s">
        <v>92</v>
      </c>
      <c r="F8" t="s">
        <v>105</v>
      </c>
      <c r="G8" t="s">
        <v>106</v>
      </c>
      <c r="H8" t="s">
        <v>145</v>
      </c>
      <c r="I8" t="s">
        <v>146</v>
      </c>
      <c r="J8" t="s">
        <v>147</v>
      </c>
      <c r="K8" t="s">
        <v>148</v>
      </c>
      <c r="L8" t="s">
        <v>166</v>
      </c>
      <c r="M8" t="s">
        <v>177</v>
      </c>
      <c r="N8">
        <v>4</v>
      </c>
      <c r="O8" s="4">
        <v>1500</v>
      </c>
      <c r="P8" s="4">
        <v>2500</v>
      </c>
      <c r="Q8" s="7">
        <v>0.05</v>
      </c>
      <c r="R8" t="s">
        <v>181</v>
      </c>
      <c r="S8">
        <v>12</v>
      </c>
      <c r="T8">
        <v>10000</v>
      </c>
      <c r="U8">
        <v>500</v>
      </c>
      <c r="V8">
        <v>9500</v>
      </c>
      <c r="W8">
        <v>6000</v>
      </c>
      <c r="X8">
        <v>3500</v>
      </c>
      <c r="Y8" s="8">
        <v>0.36842105263157893</v>
      </c>
      <c r="Z8" t="s">
        <v>2996</v>
      </c>
      <c r="AA8" t="str">
        <f>IF(AND(SalesCleanTable[[#This Row],[Discount %]]&gt;0, SalesCleanTable[[#This Row],[Profit]]&lt;0), "Discount loss", "Safe")</f>
        <v>Safe</v>
      </c>
      <c r="AB8" s="25">
        <f>(SalesCleanTable[[#This Row],[Unit Price]] - SalesCleanTable[[#This Row],[Unit Cost]]) / SalesCleanTable[[#This Row],[Unit Price]]</f>
        <v>0.4</v>
      </c>
      <c r="AC8" t="str">
        <f>IF(SalesCleanTable[[#This Row],[Discount %]] &gt; SalesCleanTable[[#This Row],[Max Allowed Discount]], "Discount loss", "Safe")</f>
        <v>Safe</v>
      </c>
      <c r="AD8" s="4">
        <f>SalesCleanTable[[#This Row],[Unit Price]] - SalesCleanTable[[#This Row],[Unit Cost]]</f>
        <v>1000</v>
      </c>
      <c r="AE8" s="41">
        <f>(SalesCleanTable[[#This Row],[Unit Price]] - SalesCleanTable[[#This Row],[Unit Cost]]) / SalesCleanTable[[#This Row],[Unit Price]]</f>
        <v>0.4</v>
      </c>
    </row>
    <row r="9" spans="1:31">
      <c r="A9" t="s">
        <v>182</v>
      </c>
      <c r="B9" s="6">
        <v>45792</v>
      </c>
      <c r="C9" t="s">
        <v>116</v>
      </c>
      <c r="D9" t="s">
        <v>117</v>
      </c>
      <c r="E9" t="s">
        <v>109</v>
      </c>
      <c r="F9" t="s">
        <v>118</v>
      </c>
      <c r="G9" t="s">
        <v>119</v>
      </c>
      <c r="H9" t="s">
        <v>145</v>
      </c>
      <c r="I9" t="s">
        <v>146</v>
      </c>
      <c r="J9" t="s">
        <v>147</v>
      </c>
      <c r="K9" t="s">
        <v>148</v>
      </c>
      <c r="L9" t="s">
        <v>183</v>
      </c>
      <c r="M9" t="s">
        <v>171</v>
      </c>
      <c r="N9">
        <v>3</v>
      </c>
      <c r="O9" s="4">
        <v>2800</v>
      </c>
      <c r="P9" s="4">
        <v>4200</v>
      </c>
      <c r="Q9" s="7">
        <v>0</v>
      </c>
      <c r="R9" t="s">
        <v>184</v>
      </c>
      <c r="S9">
        <v>10</v>
      </c>
      <c r="T9">
        <v>12600</v>
      </c>
      <c r="U9">
        <v>0</v>
      </c>
      <c r="V9">
        <v>12600</v>
      </c>
      <c r="W9">
        <v>8400</v>
      </c>
      <c r="X9">
        <v>4200</v>
      </c>
      <c r="Y9" s="8">
        <v>0.33333333333333331</v>
      </c>
      <c r="Z9" t="s">
        <v>2995</v>
      </c>
      <c r="AA9" t="str">
        <f>IF(AND(SalesCleanTable[[#This Row],[Discount %]]&gt;0, SalesCleanTable[[#This Row],[Profit]]&lt;0), "Discount loss", "Safe")</f>
        <v>Safe</v>
      </c>
      <c r="AB9" s="25">
        <f>(SalesCleanTable[[#This Row],[Unit Price]] - SalesCleanTable[[#This Row],[Unit Cost]]) / SalesCleanTable[[#This Row],[Unit Price]]</f>
        <v>0.33333333333333331</v>
      </c>
      <c r="AC9" t="str">
        <f>IF(SalesCleanTable[[#This Row],[Discount %]] &gt; SalesCleanTable[[#This Row],[Max Allowed Discount]], "Discount loss", "Safe")</f>
        <v>Safe</v>
      </c>
      <c r="AD9" s="4">
        <f>SalesCleanTable[[#This Row],[Unit Price]] - SalesCleanTable[[#This Row],[Unit Cost]]</f>
        <v>1400</v>
      </c>
      <c r="AE9" s="41">
        <f>(SalesCleanTable[[#This Row],[Unit Price]] - SalesCleanTable[[#This Row],[Unit Cost]]) / SalesCleanTable[[#This Row],[Unit Price]]</f>
        <v>0.33333333333333331</v>
      </c>
    </row>
    <row r="10" spans="1:31">
      <c r="A10" t="s">
        <v>185</v>
      </c>
      <c r="B10" s="6">
        <v>45849</v>
      </c>
      <c r="C10" t="s">
        <v>86</v>
      </c>
      <c r="D10" t="s">
        <v>87</v>
      </c>
      <c r="E10" t="s">
        <v>75</v>
      </c>
      <c r="F10" t="s">
        <v>88</v>
      </c>
      <c r="G10" t="s">
        <v>89</v>
      </c>
      <c r="H10" t="s">
        <v>139</v>
      </c>
      <c r="I10" t="s">
        <v>140</v>
      </c>
      <c r="J10" t="s">
        <v>137</v>
      </c>
      <c r="K10" t="s">
        <v>138</v>
      </c>
      <c r="L10" t="s">
        <v>166</v>
      </c>
      <c r="M10" t="s">
        <v>186</v>
      </c>
      <c r="N10">
        <v>5</v>
      </c>
      <c r="O10" s="4">
        <v>8500</v>
      </c>
      <c r="P10" s="4">
        <v>12500</v>
      </c>
      <c r="Q10" s="7">
        <v>0.15</v>
      </c>
      <c r="R10" t="s">
        <v>187</v>
      </c>
      <c r="S10">
        <v>2</v>
      </c>
      <c r="T10">
        <v>62500</v>
      </c>
      <c r="U10">
        <v>9375</v>
      </c>
      <c r="V10">
        <v>53125</v>
      </c>
      <c r="W10">
        <v>42500</v>
      </c>
      <c r="X10">
        <v>10625</v>
      </c>
      <c r="Y10" s="8">
        <v>0.2</v>
      </c>
      <c r="Z10" t="s">
        <v>2997</v>
      </c>
      <c r="AA10" t="str">
        <f>IF(AND(SalesCleanTable[[#This Row],[Discount %]]&gt;0, SalesCleanTable[[#This Row],[Profit]]&lt;0), "Discount loss", "Safe")</f>
        <v>Safe</v>
      </c>
      <c r="AB10" s="25">
        <f>(SalesCleanTable[[#This Row],[Unit Price]] - SalesCleanTable[[#This Row],[Unit Cost]]) / SalesCleanTable[[#This Row],[Unit Price]]</f>
        <v>0.32</v>
      </c>
      <c r="AC10" t="str">
        <f>IF(SalesCleanTable[[#This Row],[Discount %]] &gt; SalesCleanTable[[#This Row],[Max Allowed Discount]], "Discount loss", "Safe")</f>
        <v>Safe</v>
      </c>
      <c r="AD10" s="4">
        <f>SalesCleanTable[[#This Row],[Unit Price]] - SalesCleanTable[[#This Row],[Unit Cost]]</f>
        <v>4000</v>
      </c>
      <c r="AE10" s="41">
        <f>(SalesCleanTable[[#This Row],[Unit Price]] - SalesCleanTable[[#This Row],[Unit Cost]]) / SalesCleanTable[[#This Row],[Unit Price]]</f>
        <v>0.32</v>
      </c>
    </row>
    <row r="11" spans="1:31">
      <c r="A11" t="s">
        <v>188</v>
      </c>
      <c r="B11" s="6">
        <v>45815</v>
      </c>
      <c r="C11" t="s">
        <v>41</v>
      </c>
      <c r="D11" t="s">
        <v>42</v>
      </c>
      <c r="E11" t="s">
        <v>26</v>
      </c>
      <c r="F11" t="s">
        <v>43</v>
      </c>
      <c r="G11" t="s">
        <v>44</v>
      </c>
      <c r="H11" t="s">
        <v>133</v>
      </c>
      <c r="I11" t="s">
        <v>134</v>
      </c>
      <c r="J11" t="s">
        <v>130</v>
      </c>
      <c r="K11" t="s">
        <v>131</v>
      </c>
      <c r="L11" t="s">
        <v>183</v>
      </c>
      <c r="M11" t="s">
        <v>171</v>
      </c>
      <c r="N11">
        <v>3</v>
      </c>
      <c r="O11" s="4">
        <v>850</v>
      </c>
      <c r="P11" s="4">
        <v>1300</v>
      </c>
      <c r="Q11" s="7">
        <v>0</v>
      </c>
      <c r="R11" t="s">
        <v>173</v>
      </c>
      <c r="S11">
        <v>13</v>
      </c>
      <c r="T11">
        <v>3900</v>
      </c>
      <c r="U11">
        <v>0</v>
      </c>
      <c r="V11">
        <v>3900</v>
      </c>
      <c r="W11">
        <v>2550</v>
      </c>
      <c r="X11">
        <v>1350</v>
      </c>
      <c r="Y11" s="8">
        <v>0.34615384615384615</v>
      </c>
      <c r="Z11" t="s">
        <v>2995</v>
      </c>
      <c r="AA11" t="str">
        <f>IF(AND(SalesCleanTable[[#This Row],[Discount %]]&gt;0, SalesCleanTable[[#This Row],[Profit]]&lt;0), "Discount loss", "Safe")</f>
        <v>Safe</v>
      </c>
      <c r="AB11" s="25">
        <f>(SalesCleanTable[[#This Row],[Unit Price]] - SalesCleanTable[[#This Row],[Unit Cost]]) / SalesCleanTable[[#This Row],[Unit Price]]</f>
        <v>0.34615384615384615</v>
      </c>
      <c r="AC11" t="str">
        <f>IF(SalesCleanTable[[#This Row],[Discount %]] &gt; SalesCleanTable[[#This Row],[Max Allowed Discount]], "Discount loss", "Safe")</f>
        <v>Safe</v>
      </c>
      <c r="AD11" s="4">
        <f>SalesCleanTable[[#This Row],[Unit Price]] - SalesCleanTable[[#This Row],[Unit Cost]]</f>
        <v>450</v>
      </c>
      <c r="AE11" s="41">
        <f>(SalesCleanTable[[#This Row],[Unit Price]] - SalesCleanTable[[#This Row],[Unit Cost]]) / SalesCleanTable[[#This Row],[Unit Price]]</f>
        <v>0.34615384615384615</v>
      </c>
    </row>
    <row r="12" spans="1:31">
      <c r="A12" t="s">
        <v>189</v>
      </c>
      <c r="B12" s="6">
        <v>45995</v>
      </c>
      <c r="C12" t="s">
        <v>53</v>
      </c>
      <c r="D12" t="s">
        <v>54</v>
      </c>
      <c r="E12" t="s">
        <v>38</v>
      </c>
      <c r="F12" t="s">
        <v>55</v>
      </c>
      <c r="G12" t="s">
        <v>56</v>
      </c>
      <c r="H12" t="s">
        <v>139</v>
      </c>
      <c r="I12" t="s">
        <v>140</v>
      </c>
      <c r="J12" t="s">
        <v>137</v>
      </c>
      <c r="K12" t="s">
        <v>138</v>
      </c>
      <c r="L12" t="s">
        <v>166</v>
      </c>
      <c r="M12" t="s">
        <v>167</v>
      </c>
      <c r="N12">
        <v>2</v>
      </c>
      <c r="O12" s="4">
        <v>330</v>
      </c>
      <c r="P12" s="4">
        <v>550</v>
      </c>
      <c r="Q12" s="7">
        <v>0.15</v>
      </c>
      <c r="R12" t="s">
        <v>168</v>
      </c>
      <c r="S12">
        <v>13</v>
      </c>
      <c r="T12">
        <v>1100</v>
      </c>
      <c r="U12">
        <v>165</v>
      </c>
      <c r="V12">
        <v>935</v>
      </c>
      <c r="W12">
        <v>660</v>
      </c>
      <c r="X12">
        <v>275</v>
      </c>
      <c r="Y12" s="8">
        <v>0.29411764705882354</v>
      </c>
      <c r="Z12" t="s">
        <v>2996</v>
      </c>
      <c r="AA12" t="str">
        <f>IF(AND(SalesCleanTable[[#This Row],[Discount %]]&gt;0, SalesCleanTable[[#This Row],[Profit]]&lt;0), "Discount loss", "Safe")</f>
        <v>Safe</v>
      </c>
      <c r="AB12" s="25">
        <f>(SalesCleanTable[[#This Row],[Unit Price]] - SalesCleanTable[[#This Row],[Unit Cost]]) / SalesCleanTable[[#This Row],[Unit Price]]</f>
        <v>0.4</v>
      </c>
      <c r="AC12" t="str">
        <f>IF(SalesCleanTable[[#This Row],[Discount %]] &gt; SalesCleanTable[[#This Row],[Max Allowed Discount]], "Discount loss", "Safe")</f>
        <v>Safe</v>
      </c>
      <c r="AD12" s="4">
        <f>SalesCleanTable[[#This Row],[Unit Price]] - SalesCleanTable[[#This Row],[Unit Cost]]</f>
        <v>220</v>
      </c>
      <c r="AE12" s="41">
        <f>(SalesCleanTable[[#This Row],[Unit Price]] - SalesCleanTable[[#This Row],[Unit Cost]]) / SalesCleanTable[[#This Row],[Unit Price]]</f>
        <v>0.4</v>
      </c>
    </row>
    <row r="13" spans="1:31">
      <c r="A13" t="s">
        <v>190</v>
      </c>
      <c r="B13" s="6">
        <v>45760</v>
      </c>
      <c r="C13" t="s">
        <v>82</v>
      </c>
      <c r="D13" t="s">
        <v>83</v>
      </c>
      <c r="E13" t="s">
        <v>75</v>
      </c>
      <c r="F13" t="s">
        <v>84</v>
      </c>
      <c r="G13" t="s">
        <v>85</v>
      </c>
      <c r="H13" t="s">
        <v>135</v>
      </c>
      <c r="I13" t="s">
        <v>136</v>
      </c>
      <c r="J13" t="s">
        <v>137</v>
      </c>
      <c r="K13" t="s">
        <v>138</v>
      </c>
      <c r="L13" t="s">
        <v>183</v>
      </c>
      <c r="M13" t="s">
        <v>186</v>
      </c>
      <c r="N13">
        <v>4</v>
      </c>
      <c r="O13" s="4">
        <v>600</v>
      </c>
      <c r="P13" s="4">
        <v>950</v>
      </c>
      <c r="Q13" s="7">
        <v>0.05</v>
      </c>
      <c r="R13" t="s">
        <v>187</v>
      </c>
      <c r="S13">
        <v>4</v>
      </c>
      <c r="T13">
        <v>3800</v>
      </c>
      <c r="U13">
        <v>190</v>
      </c>
      <c r="V13">
        <v>3610</v>
      </c>
      <c r="W13">
        <v>2400</v>
      </c>
      <c r="X13">
        <v>1210</v>
      </c>
      <c r="Y13" s="8">
        <v>0.33518005540166207</v>
      </c>
      <c r="Z13" t="s">
        <v>2996</v>
      </c>
      <c r="AA13" t="str">
        <f>IF(AND(SalesCleanTable[[#This Row],[Discount %]]&gt;0, SalesCleanTable[[#This Row],[Profit]]&lt;0), "Discount loss", "Safe")</f>
        <v>Safe</v>
      </c>
      <c r="AB13" s="25">
        <f>(SalesCleanTable[[#This Row],[Unit Price]] - SalesCleanTable[[#This Row],[Unit Cost]]) / SalesCleanTable[[#This Row],[Unit Price]]</f>
        <v>0.36842105263157893</v>
      </c>
      <c r="AC13" t="str">
        <f>IF(SalesCleanTable[[#This Row],[Discount %]] &gt; SalesCleanTable[[#This Row],[Max Allowed Discount]], "Discount loss", "Safe")</f>
        <v>Safe</v>
      </c>
      <c r="AD13" s="4">
        <f>SalesCleanTable[[#This Row],[Unit Price]] - SalesCleanTable[[#This Row],[Unit Cost]]</f>
        <v>350</v>
      </c>
      <c r="AE13" s="41">
        <f>(SalesCleanTable[[#This Row],[Unit Price]] - SalesCleanTable[[#This Row],[Unit Cost]]) / SalesCleanTable[[#This Row],[Unit Price]]</f>
        <v>0.36842105263157893</v>
      </c>
    </row>
    <row r="14" spans="1:31">
      <c r="A14" t="s">
        <v>191</v>
      </c>
      <c r="B14" s="6">
        <v>45668</v>
      </c>
      <c r="C14" t="s">
        <v>66</v>
      </c>
      <c r="D14" t="s">
        <v>67</v>
      </c>
      <c r="E14" t="s">
        <v>59</v>
      </c>
      <c r="F14" t="s">
        <v>60</v>
      </c>
      <c r="G14" t="s">
        <v>68</v>
      </c>
      <c r="H14" t="s">
        <v>133</v>
      </c>
      <c r="I14" t="s">
        <v>134</v>
      </c>
      <c r="J14" t="s">
        <v>130</v>
      </c>
      <c r="K14" t="s">
        <v>131</v>
      </c>
      <c r="L14" t="s">
        <v>183</v>
      </c>
      <c r="M14" t="s">
        <v>167</v>
      </c>
      <c r="N14">
        <v>2</v>
      </c>
      <c r="O14" s="4">
        <v>2800</v>
      </c>
      <c r="P14" s="4">
        <v>3900</v>
      </c>
      <c r="Q14" s="7">
        <v>0</v>
      </c>
      <c r="R14" t="s">
        <v>192</v>
      </c>
      <c r="S14">
        <v>14</v>
      </c>
      <c r="T14">
        <v>7800</v>
      </c>
      <c r="U14">
        <v>0</v>
      </c>
      <c r="V14">
        <v>7800</v>
      </c>
      <c r="W14">
        <v>5600</v>
      </c>
      <c r="X14">
        <v>2200</v>
      </c>
      <c r="Y14" s="8">
        <v>0.28205128205128205</v>
      </c>
      <c r="Z14" t="s">
        <v>2996</v>
      </c>
      <c r="AA14" t="str">
        <f>IF(AND(SalesCleanTable[[#This Row],[Discount %]]&gt;0, SalesCleanTable[[#This Row],[Profit]]&lt;0), "Discount loss", "Safe")</f>
        <v>Safe</v>
      </c>
      <c r="AB14" s="25">
        <f>(SalesCleanTable[[#This Row],[Unit Price]] - SalesCleanTable[[#This Row],[Unit Cost]]) / SalesCleanTable[[#This Row],[Unit Price]]</f>
        <v>0.28205128205128205</v>
      </c>
      <c r="AC14" t="str">
        <f>IF(SalesCleanTable[[#This Row],[Discount %]] &gt; SalesCleanTable[[#This Row],[Max Allowed Discount]], "Discount loss", "Safe")</f>
        <v>Safe</v>
      </c>
      <c r="AD14" s="4">
        <f>SalesCleanTable[[#This Row],[Unit Price]] - SalesCleanTable[[#This Row],[Unit Cost]]</f>
        <v>1100</v>
      </c>
      <c r="AE14" s="41">
        <f>(SalesCleanTable[[#This Row],[Unit Price]] - SalesCleanTable[[#This Row],[Unit Cost]]) / SalesCleanTable[[#This Row],[Unit Price]]</f>
        <v>0.28205128205128205</v>
      </c>
    </row>
    <row r="15" spans="1:31">
      <c r="A15" t="s">
        <v>193</v>
      </c>
      <c r="B15" s="6">
        <v>45921</v>
      </c>
      <c r="C15" t="s">
        <v>41</v>
      </c>
      <c r="D15" t="s">
        <v>42</v>
      </c>
      <c r="E15" t="s">
        <v>26</v>
      </c>
      <c r="F15" t="s">
        <v>43</v>
      </c>
      <c r="G15" t="s">
        <v>44</v>
      </c>
      <c r="H15" t="s">
        <v>141</v>
      </c>
      <c r="I15" t="s">
        <v>142</v>
      </c>
      <c r="J15" t="s">
        <v>143</v>
      </c>
      <c r="K15" t="s">
        <v>144</v>
      </c>
      <c r="L15" t="s">
        <v>170</v>
      </c>
      <c r="M15" t="s">
        <v>171</v>
      </c>
      <c r="N15">
        <v>1</v>
      </c>
      <c r="O15" s="4">
        <v>850</v>
      </c>
      <c r="P15" s="4">
        <v>1300</v>
      </c>
      <c r="Q15" s="7">
        <v>0</v>
      </c>
      <c r="R15" t="s">
        <v>194</v>
      </c>
      <c r="S15">
        <v>4</v>
      </c>
      <c r="T15">
        <v>1300</v>
      </c>
      <c r="U15">
        <v>0</v>
      </c>
      <c r="V15">
        <v>1300</v>
      </c>
      <c r="W15">
        <v>850</v>
      </c>
      <c r="X15">
        <v>450</v>
      </c>
      <c r="Y15" s="8">
        <v>0.34615384615384615</v>
      </c>
      <c r="Z15" t="s">
        <v>2995</v>
      </c>
      <c r="AA15" t="str">
        <f>IF(AND(SalesCleanTable[[#This Row],[Discount %]]&gt;0, SalesCleanTable[[#This Row],[Profit]]&lt;0), "Discount loss", "Safe")</f>
        <v>Safe</v>
      </c>
      <c r="AB15" s="25">
        <f>(SalesCleanTable[[#This Row],[Unit Price]] - SalesCleanTable[[#This Row],[Unit Cost]]) / SalesCleanTable[[#This Row],[Unit Price]]</f>
        <v>0.34615384615384615</v>
      </c>
      <c r="AC15" t="str">
        <f>IF(SalesCleanTable[[#This Row],[Discount %]] &gt; SalesCleanTable[[#This Row],[Max Allowed Discount]], "Discount loss", "Safe")</f>
        <v>Safe</v>
      </c>
      <c r="AD15" s="4">
        <f>SalesCleanTable[[#This Row],[Unit Price]] - SalesCleanTable[[#This Row],[Unit Cost]]</f>
        <v>450</v>
      </c>
      <c r="AE15" s="41">
        <f>(SalesCleanTable[[#This Row],[Unit Price]] - SalesCleanTable[[#This Row],[Unit Cost]]) / SalesCleanTable[[#This Row],[Unit Price]]</f>
        <v>0.34615384615384615</v>
      </c>
    </row>
    <row r="16" spans="1:31">
      <c r="A16" t="s">
        <v>195</v>
      </c>
      <c r="B16" s="6">
        <v>45866</v>
      </c>
      <c r="C16" t="s">
        <v>36</v>
      </c>
      <c r="D16" t="s">
        <v>37</v>
      </c>
      <c r="E16" t="s">
        <v>38</v>
      </c>
      <c r="F16" t="s">
        <v>39</v>
      </c>
      <c r="G16" t="s">
        <v>40</v>
      </c>
      <c r="H16" t="s">
        <v>128</v>
      </c>
      <c r="I16" t="s">
        <v>129</v>
      </c>
      <c r="J16" t="s">
        <v>130</v>
      </c>
      <c r="K16" t="s">
        <v>131</v>
      </c>
      <c r="L16" t="s">
        <v>166</v>
      </c>
      <c r="M16" t="s">
        <v>171</v>
      </c>
      <c r="N16">
        <v>2</v>
      </c>
      <c r="O16" s="4">
        <v>1650</v>
      </c>
      <c r="P16" s="4">
        <v>2200</v>
      </c>
      <c r="Q16" s="7">
        <v>0.05</v>
      </c>
      <c r="R16" t="s">
        <v>168</v>
      </c>
      <c r="S16">
        <v>11</v>
      </c>
      <c r="T16">
        <v>4400</v>
      </c>
      <c r="U16">
        <v>220</v>
      </c>
      <c r="V16">
        <v>4180</v>
      </c>
      <c r="W16">
        <v>3300</v>
      </c>
      <c r="X16">
        <v>880</v>
      </c>
      <c r="Y16" s="8">
        <v>0.21052631578947367</v>
      </c>
      <c r="Z16" t="s">
        <v>2995</v>
      </c>
      <c r="AA16" t="str">
        <f>IF(AND(SalesCleanTable[[#This Row],[Discount %]]&gt;0, SalesCleanTable[[#This Row],[Profit]]&lt;0), "Discount loss", "Safe")</f>
        <v>Safe</v>
      </c>
      <c r="AB16" s="25">
        <f>(SalesCleanTable[[#This Row],[Unit Price]] - SalesCleanTable[[#This Row],[Unit Cost]]) / SalesCleanTable[[#This Row],[Unit Price]]</f>
        <v>0.25</v>
      </c>
      <c r="AC16" t="str">
        <f>IF(SalesCleanTable[[#This Row],[Discount %]] &gt; SalesCleanTable[[#This Row],[Max Allowed Discount]], "Discount loss", "Safe")</f>
        <v>Safe</v>
      </c>
      <c r="AD16" s="4">
        <f>SalesCleanTable[[#This Row],[Unit Price]] - SalesCleanTable[[#This Row],[Unit Cost]]</f>
        <v>550</v>
      </c>
      <c r="AE16" s="41">
        <f>(SalesCleanTable[[#This Row],[Unit Price]] - SalesCleanTable[[#This Row],[Unit Cost]]) / SalesCleanTable[[#This Row],[Unit Price]]</f>
        <v>0.25</v>
      </c>
    </row>
    <row r="17" spans="1:31">
      <c r="A17" t="s">
        <v>196</v>
      </c>
      <c r="B17" s="6">
        <v>45708</v>
      </c>
      <c r="C17" t="s">
        <v>29</v>
      </c>
      <c r="D17" t="s">
        <v>30</v>
      </c>
      <c r="E17" t="s">
        <v>26</v>
      </c>
      <c r="F17" t="s">
        <v>27</v>
      </c>
      <c r="G17" t="s">
        <v>31</v>
      </c>
      <c r="H17" t="s">
        <v>145</v>
      </c>
      <c r="I17" t="s">
        <v>146</v>
      </c>
      <c r="J17" t="s">
        <v>147</v>
      </c>
      <c r="K17" t="s">
        <v>148</v>
      </c>
      <c r="L17" t="s">
        <v>166</v>
      </c>
      <c r="M17" t="s">
        <v>171</v>
      </c>
      <c r="N17">
        <v>5</v>
      </c>
      <c r="O17" s="4">
        <v>6200</v>
      </c>
      <c r="P17" s="4">
        <v>7900</v>
      </c>
      <c r="Q17" s="7">
        <v>0</v>
      </c>
      <c r="R17" t="s">
        <v>197</v>
      </c>
      <c r="S17">
        <v>7</v>
      </c>
      <c r="T17">
        <v>39500</v>
      </c>
      <c r="U17">
        <v>0</v>
      </c>
      <c r="V17">
        <v>39500</v>
      </c>
      <c r="W17">
        <v>31000</v>
      </c>
      <c r="X17">
        <v>8500</v>
      </c>
      <c r="Y17" s="8">
        <v>0.21518987341772153</v>
      </c>
      <c r="Z17" t="s">
        <v>2996</v>
      </c>
      <c r="AA17" t="str">
        <f>IF(AND(SalesCleanTable[[#This Row],[Discount %]]&gt;0, SalesCleanTable[[#This Row],[Profit]]&lt;0), "Discount loss", "Safe")</f>
        <v>Safe</v>
      </c>
      <c r="AB17" s="25">
        <f>(SalesCleanTable[[#This Row],[Unit Price]] - SalesCleanTable[[#This Row],[Unit Cost]]) / SalesCleanTable[[#This Row],[Unit Price]]</f>
        <v>0.21518987341772153</v>
      </c>
      <c r="AC17" t="str">
        <f>IF(SalesCleanTable[[#This Row],[Discount %]] &gt; SalesCleanTable[[#This Row],[Max Allowed Discount]], "Discount loss", "Safe")</f>
        <v>Safe</v>
      </c>
      <c r="AD17" s="4">
        <f>SalesCleanTable[[#This Row],[Unit Price]] - SalesCleanTable[[#This Row],[Unit Cost]]</f>
        <v>1700</v>
      </c>
      <c r="AE17" s="41">
        <f>(SalesCleanTable[[#This Row],[Unit Price]] - SalesCleanTable[[#This Row],[Unit Cost]]) / SalesCleanTable[[#This Row],[Unit Price]]</f>
        <v>0.21518987341772153</v>
      </c>
    </row>
    <row r="18" spans="1:31">
      <c r="A18" t="s">
        <v>198</v>
      </c>
      <c r="B18" s="6">
        <v>45894</v>
      </c>
      <c r="C18" t="s">
        <v>41</v>
      </c>
      <c r="D18" t="s">
        <v>42</v>
      </c>
      <c r="E18" t="s">
        <v>26</v>
      </c>
      <c r="F18" t="s">
        <v>43</v>
      </c>
      <c r="G18" t="s">
        <v>44</v>
      </c>
      <c r="H18" t="s">
        <v>153</v>
      </c>
      <c r="I18" t="s">
        <v>154</v>
      </c>
      <c r="J18" t="s">
        <v>155</v>
      </c>
      <c r="K18" t="s">
        <v>131</v>
      </c>
      <c r="L18" t="s">
        <v>166</v>
      </c>
      <c r="M18" t="s">
        <v>177</v>
      </c>
      <c r="N18">
        <v>-1</v>
      </c>
      <c r="O18" s="4">
        <v>850</v>
      </c>
      <c r="P18" s="4">
        <v>1300</v>
      </c>
      <c r="Q18" s="7">
        <v>0.15</v>
      </c>
      <c r="R18" t="s">
        <v>173</v>
      </c>
      <c r="S18">
        <v>14</v>
      </c>
      <c r="T18">
        <v>-1300</v>
      </c>
      <c r="U18">
        <v>-195</v>
      </c>
      <c r="V18">
        <v>-1105</v>
      </c>
      <c r="W18">
        <v>-850</v>
      </c>
      <c r="X18">
        <v>-255</v>
      </c>
      <c r="Y18" s="8">
        <v>0.23076923076923078</v>
      </c>
      <c r="Z18" t="s">
        <v>2995</v>
      </c>
      <c r="AA18" t="str">
        <f>IF(AND(SalesCleanTable[[#This Row],[Discount %]]&gt;0, SalesCleanTable[[#This Row],[Profit]]&lt;0), "Discount loss", "Safe")</f>
        <v>Discount loss</v>
      </c>
      <c r="AB18" s="25">
        <f>(SalesCleanTable[[#This Row],[Unit Price]] - SalesCleanTable[[#This Row],[Unit Cost]]) / SalesCleanTable[[#This Row],[Unit Price]]</f>
        <v>0.34615384615384615</v>
      </c>
      <c r="AC18" t="str">
        <f>IF(SalesCleanTable[[#This Row],[Discount %]] &gt; SalesCleanTable[[#This Row],[Max Allowed Discount]], "Discount loss", "Safe")</f>
        <v>Safe</v>
      </c>
      <c r="AD18" s="4">
        <f>SalesCleanTable[[#This Row],[Unit Price]] - SalesCleanTable[[#This Row],[Unit Cost]]</f>
        <v>450</v>
      </c>
      <c r="AE18" s="41">
        <f>(SalesCleanTable[[#This Row],[Unit Price]] - SalesCleanTable[[#This Row],[Unit Cost]]) / SalesCleanTable[[#This Row],[Unit Price]]</f>
        <v>0.34615384615384615</v>
      </c>
    </row>
    <row r="19" spans="1:31">
      <c r="A19" t="s">
        <v>199</v>
      </c>
      <c r="B19" s="6">
        <v>45779</v>
      </c>
      <c r="C19" t="s">
        <v>36</v>
      </c>
      <c r="D19" t="s">
        <v>37</v>
      </c>
      <c r="E19" t="s">
        <v>38</v>
      </c>
      <c r="F19" t="s">
        <v>39</v>
      </c>
      <c r="G19" t="s">
        <v>40</v>
      </c>
      <c r="H19" t="s">
        <v>139</v>
      </c>
      <c r="I19" t="s">
        <v>140</v>
      </c>
      <c r="J19" t="s">
        <v>137</v>
      </c>
      <c r="K19" t="s">
        <v>138</v>
      </c>
      <c r="L19" t="s">
        <v>166</v>
      </c>
      <c r="M19" t="s">
        <v>186</v>
      </c>
      <c r="N19">
        <v>1</v>
      </c>
      <c r="O19" s="4">
        <v>1650</v>
      </c>
      <c r="P19" s="4">
        <v>2200</v>
      </c>
      <c r="Q19" s="7">
        <v>0.05</v>
      </c>
      <c r="R19" t="s">
        <v>175</v>
      </c>
      <c r="S19">
        <v>5</v>
      </c>
      <c r="T19">
        <v>2200</v>
      </c>
      <c r="U19">
        <v>110</v>
      </c>
      <c r="V19">
        <v>2090</v>
      </c>
      <c r="W19">
        <v>1650</v>
      </c>
      <c r="X19">
        <v>440</v>
      </c>
      <c r="Y19" s="8">
        <v>0.21052631578947367</v>
      </c>
      <c r="Z19" t="s">
        <v>2995</v>
      </c>
      <c r="AA19" t="str">
        <f>IF(AND(SalesCleanTable[[#This Row],[Discount %]]&gt;0, SalesCleanTable[[#This Row],[Profit]]&lt;0), "Discount loss", "Safe")</f>
        <v>Safe</v>
      </c>
      <c r="AB19" s="25">
        <f>(SalesCleanTable[[#This Row],[Unit Price]] - SalesCleanTable[[#This Row],[Unit Cost]]) / SalesCleanTable[[#This Row],[Unit Price]]</f>
        <v>0.25</v>
      </c>
      <c r="AC19" t="str">
        <f>IF(SalesCleanTable[[#This Row],[Discount %]] &gt; SalesCleanTable[[#This Row],[Max Allowed Discount]], "Discount loss", "Safe")</f>
        <v>Safe</v>
      </c>
      <c r="AD19" s="4">
        <f>SalesCleanTable[[#This Row],[Unit Price]] - SalesCleanTable[[#This Row],[Unit Cost]]</f>
        <v>550</v>
      </c>
      <c r="AE19" s="41">
        <f>(SalesCleanTable[[#This Row],[Unit Price]] - SalesCleanTable[[#This Row],[Unit Cost]]) / SalesCleanTable[[#This Row],[Unit Price]]</f>
        <v>0.25</v>
      </c>
    </row>
    <row r="20" spans="1:31">
      <c r="A20" t="s">
        <v>200</v>
      </c>
      <c r="B20" s="6">
        <v>45890</v>
      </c>
      <c r="C20" t="s">
        <v>45</v>
      </c>
      <c r="D20" t="s">
        <v>46</v>
      </c>
      <c r="E20" t="s">
        <v>38</v>
      </c>
      <c r="F20" t="s">
        <v>47</v>
      </c>
      <c r="G20" t="s">
        <v>48</v>
      </c>
      <c r="H20" t="s">
        <v>145</v>
      </c>
      <c r="I20" t="s">
        <v>146</v>
      </c>
      <c r="J20" t="s">
        <v>147</v>
      </c>
      <c r="K20" t="s">
        <v>148</v>
      </c>
      <c r="L20" t="s">
        <v>183</v>
      </c>
      <c r="M20" t="s">
        <v>186</v>
      </c>
      <c r="N20">
        <v>4</v>
      </c>
      <c r="O20" s="4">
        <v>230</v>
      </c>
      <c r="P20" s="4">
        <v>400</v>
      </c>
      <c r="Q20" s="7">
        <v>0.15</v>
      </c>
      <c r="R20" t="s">
        <v>178</v>
      </c>
      <c r="S20">
        <v>5</v>
      </c>
      <c r="T20">
        <v>1600</v>
      </c>
      <c r="U20">
        <v>240</v>
      </c>
      <c r="V20">
        <v>1360</v>
      </c>
      <c r="W20">
        <v>920</v>
      </c>
      <c r="X20">
        <v>440</v>
      </c>
      <c r="Y20" s="8">
        <v>0.3235294117647059</v>
      </c>
      <c r="Z20" t="s">
        <v>2995</v>
      </c>
      <c r="AA20" t="str">
        <f>IF(AND(SalesCleanTable[[#This Row],[Discount %]]&gt;0, SalesCleanTable[[#This Row],[Profit]]&lt;0), "Discount loss", "Safe")</f>
        <v>Safe</v>
      </c>
      <c r="AB20" s="25">
        <f>(SalesCleanTable[[#This Row],[Unit Price]] - SalesCleanTable[[#This Row],[Unit Cost]]) / SalesCleanTable[[#This Row],[Unit Price]]</f>
        <v>0.42499999999999999</v>
      </c>
      <c r="AC20" t="str">
        <f>IF(SalesCleanTable[[#This Row],[Discount %]] &gt; SalesCleanTable[[#This Row],[Max Allowed Discount]], "Discount loss", "Safe")</f>
        <v>Safe</v>
      </c>
      <c r="AD20" s="4">
        <f>SalesCleanTable[[#This Row],[Unit Price]] - SalesCleanTable[[#This Row],[Unit Cost]]</f>
        <v>170</v>
      </c>
      <c r="AE20" s="41">
        <f>(SalesCleanTable[[#This Row],[Unit Price]] - SalesCleanTable[[#This Row],[Unit Cost]]) / SalesCleanTable[[#This Row],[Unit Price]]</f>
        <v>0.42499999999999999</v>
      </c>
    </row>
    <row r="21" spans="1:31">
      <c r="A21" t="s">
        <v>201</v>
      </c>
      <c r="B21" s="6">
        <v>45687</v>
      </c>
      <c r="C21" t="s">
        <v>66</v>
      </c>
      <c r="D21" t="s">
        <v>67</v>
      </c>
      <c r="E21" t="s">
        <v>59</v>
      </c>
      <c r="F21" t="s">
        <v>60</v>
      </c>
      <c r="G21" t="s">
        <v>68</v>
      </c>
      <c r="H21" t="s">
        <v>139</v>
      </c>
      <c r="I21" t="s">
        <v>140</v>
      </c>
      <c r="J21" t="s">
        <v>137</v>
      </c>
      <c r="K21" t="s">
        <v>138</v>
      </c>
      <c r="L21" t="s">
        <v>183</v>
      </c>
      <c r="M21" t="s">
        <v>186</v>
      </c>
      <c r="N21">
        <v>4</v>
      </c>
      <c r="O21" s="4">
        <v>2800</v>
      </c>
      <c r="P21" s="4">
        <v>3900</v>
      </c>
      <c r="Q21" s="7">
        <v>0</v>
      </c>
      <c r="R21" t="s">
        <v>173</v>
      </c>
      <c r="S21">
        <v>3</v>
      </c>
      <c r="T21">
        <v>15600</v>
      </c>
      <c r="U21">
        <v>0</v>
      </c>
      <c r="V21">
        <v>15600</v>
      </c>
      <c r="W21">
        <v>11200</v>
      </c>
      <c r="X21">
        <v>4400</v>
      </c>
      <c r="Y21" s="8">
        <v>0.28205128205128205</v>
      </c>
      <c r="Z21" t="s">
        <v>2996</v>
      </c>
      <c r="AA21" t="str">
        <f>IF(AND(SalesCleanTable[[#This Row],[Discount %]]&gt;0, SalesCleanTable[[#This Row],[Profit]]&lt;0), "Discount loss", "Safe")</f>
        <v>Safe</v>
      </c>
      <c r="AB21" s="25">
        <f>(SalesCleanTable[[#This Row],[Unit Price]] - SalesCleanTable[[#This Row],[Unit Cost]]) / SalesCleanTable[[#This Row],[Unit Price]]</f>
        <v>0.28205128205128205</v>
      </c>
      <c r="AC21" t="str">
        <f>IF(SalesCleanTable[[#This Row],[Discount %]] &gt; SalesCleanTable[[#This Row],[Max Allowed Discount]], "Discount loss", "Safe")</f>
        <v>Safe</v>
      </c>
      <c r="AD21" s="4">
        <f>SalesCleanTable[[#This Row],[Unit Price]] - SalesCleanTable[[#This Row],[Unit Cost]]</f>
        <v>1100</v>
      </c>
      <c r="AE21" s="41">
        <f>(SalesCleanTable[[#This Row],[Unit Price]] - SalesCleanTable[[#This Row],[Unit Cost]]) / SalesCleanTable[[#This Row],[Unit Price]]</f>
        <v>0.28205128205128205</v>
      </c>
    </row>
    <row r="22" spans="1:31">
      <c r="A22" t="s">
        <v>202</v>
      </c>
      <c r="B22" s="6">
        <v>45918</v>
      </c>
      <c r="C22" t="s">
        <v>29</v>
      </c>
      <c r="D22" t="s">
        <v>30</v>
      </c>
      <c r="E22" t="s">
        <v>26</v>
      </c>
      <c r="F22" t="s">
        <v>27</v>
      </c>
      <c r="G22" t="s">
        <v>31</v>
      </c>
      <c r="H22" t="s">
        <v>133</v>
      </c>
      <c r="I22" t="s">
        <v>134</v>
      </c>
      <c r="J22" t="s">
        <v>130</v>
      </c>
      <c r="K22" t="s">
        <v>131</v>
      </c>
      <c r="L22" t="s">
        <v>166</v>
      </c>
      <c r="M22" t="s">
        <v>177</v>
      </c>
      <c r="N22">
        <v>3</v>
      </c>
      <c r="O22" s="4">
        <v>6200</v>
      </c>
      <c r="P22" s="4">
        <v>7900</v>
      </c>
      <c r="Q22" s="7">
        <v>0.1</v>
      </c>
      <c r="R22" t="s">
        <v>173</v>
      </c>
      <c r="S22">
        <v>4</v>
      </c>
      <c r="T22">
        <v>23700</v>
      </c>
      <c r="U22">
        <v>2370</v>
      </c>
      <c r="V22">
        <v>21330</v>
      </c>
      <c r="W22">
        <v>18600</v>
      </c>
      <c r="X22">
        <v>2730</v>
      </c>
      <c r="Y22" s="8">
        <v>0.12798874824191281</v>
      </c>
      <c r="Z22" t="s">
        <v>2996</v>
      </c>
      <c r="AA22" t="str">
        <f>IF(AND(SalesCleanTable[[#This Row],[Discount %]]&gt;0, SalesCleanTable[[#This Row],[Profit]]&lt;0), "Discount loss", "Safe")</f>
        <v>Safe</v>
      </c>
      <c r="AB22" s="25">
        <f>(SalesCleanTable[[#This Row],[Unit Price]] - SalesCleanTable[[#This Row],[Unit Cost]]) / SalesCleanTable[[#This Row],[Unit Price]]</f>
        <v>0.21518987341772153</v>
      </c>
      <c r="AC22" t="str">
        <f>IF(SalesCleanTable[[#This Row],[Discount %]] &gt; SalesCleanTable[[#This Row],[Max Allowed Discount]], "Discount loss", "Safe")</f>
        <v>Safe</v>
      </c>
      <c r="AD22" s="4">
        <f>SalesCleanTable[[#This Row],[Unit Price]] - SalesCleanTable[[#This Row],[Unit Cost]]</f>
        <v>1700</v>
      </c>
      <c r="AE22" s="41">
        <f>(SalesCleanTable[[#This Row],[Unit Price]] - SalesCleanTable[[#This Row],[Unit Cost]]) / SalesCleanTable[[#This Row],[Unit Price]]</f>
        <v>0.21518987341772153</v>
      </c>
    </row>
    <row r="23" spans="1:31">
      <c r="A23" t="s">
        <v>203</v>
      </c>
      <c r="B23" s="6">
        <v>45678</v>
      </c>
      <c r="C23" t="s">
        <v>73</v>
      </c>
      <c r="D23" t="s">
        <v>74</v>
      </c>
      <c r="E23" t="s">
        <v>75</v>
      </c>
      <c r="F23" t="s">
        <v>76</v>
      </c>
      <c r="G23" t="s">
        <v>77</v>
      </c>
      <c r="H23" t="s">
        <v>135</v>
      </c>
      <c r="I23" t="s">
        <v>136</v>
      </c>
      <c r="J23" t="s">
        <v>137</v>
      </c>
      <c r="K23" t="s">
        <v>138</v>
      </c>
      <c r="L23" t="s">
        <v>170</v>
      </c>
      <c r="M23" t="s">
        <v>167</v>
      </c>
      <c r="N23">
        <v>3</v>
      </c>
      <c r="O23" s="4">
        <v>3500</v>
      </c>
      <c r="P23" s="4">
        <v>5200</v>
      </c>
      <c r="Q23" s="7">
        <v>0.05</v>
      </c>
      <c r="R23" t="s">
        <v>204</v>
      </c>
      <c r="S23">
        <v>6</v>
      </c>
      <c r="T23">
        <v>15600</v>
      </c>
      <c r="U23">
        <v>780</v>
      </c>
      <c r="V23">
        <v>14820</v>
      </c>
      <c r="W23">
        <v>10500</v>
      </c>
      <c r="X23">
        <v>4320</v>
      </c>
      <c r="Y23" s="8">
        <v>0.291497975708502</v>
      </c>
      <c r="Z23" t="s">
        <v>2996</v>
      </c>
      <c r="AA23" t="str">
        <f>IF(AND(SalesCleanTable[[#This Row],[Discount %]]&gt;0, SalesCleanTable[[#This Row],[Profit]]&lt;0), "Discount loss", "Safe")</f>
        <v>Safe</v>
      </c>
      <c r="AB23" s="25">
        <f>(SalesCleanTable[[#This Row],[Unit Price]] - SalesCleanTable[[#This Row],[Unit Cost]]) / SalesCleanTable[[#This Row],[Unit Price]]</f>
        <v>0.32692307692307693</v>
      </c>
      <c r="AC23" t="str">
        <f>IF(SalesCleanTable[[#This Row],[Discount %]] &gt; SalesCleanTable[[#This Row],[Max Allowed Discount]], "Discount loss", "Safe")</f>
        <v>Safe</v>
      </c>
      <c r="AD23" s="4">
        <f>SalesCleanTable[[#This Row],[Unit Price]] - SalesCleanTable[[#This Row],[Unit Cost]]</f>
        <v>1700</v>
      </c>
      <c r="AE23" s="41">
        <f>(SalesCleanTable[[#This Row],[Unit Price]] - SalesCleanTable[[#This Row],[Unit Cost]]) / SalesCleanTable[[#This Row],[Unit Price]]</f>
        <v>0.32692307692307693</v>
      </c>
    </row>
    <row r="24" spans="1:31">
      <c r="A24" t="s">
        <v>205</v>
      </c>
      <c r="B24" s="6">
        <v>45860</v>
      </c>
      <c r="C24" t="s">
        <v>32</v>
      </c>
      <c r="D24" t="s">
        <v>33</v>
      </c>
      <c r="E24" t="s">
        <v>26</v>
      </c>
      <c r="F24" t="s">
        <v>34</v>
      </c>
      <c r="G24" t="s">
        <v>35</v>
      </c>
      <c r="H24" t="s">
        <v>141</v>
      </c>
      <c r="I24" t="s">
        <v>142</v>
      </c>
      <c r="J24" t="s">
        <v>143</v>
      </c>
      <c r="K24" t="s">
        <v>144</v>
      </c>
      <c r="L24" t="s">
        <v>170</v>
      </c>
      <c r="M24" t="s">
        <v>177</v>
      </c>
      <c r="N24">
        <v>2</v>
      </c>
      <c r="O24" s="4">
        <v>7800</v>
      </c>
      <c r="P24" s="4">
        <v>9800</v>
      </c>
      <c r="Q24" s="7">
        <v>0.2</v>
      </c>
      <c r="R24" t="s">
        <v>173</v>
      </c>
      <c r="S24">
        <v>10</v>
      </c>
      <c r="T24">
        <v>19600</v>
      </c>
      <c r="U24">
        <v>3920</v>
      </c>
      <c r="V24">
        <v>15680</v>
      </c>
      <c r="W24">
        <v>15600</v>
      </c>
      <c r="X24">
        <v>80</v>
      </c>
      <c r="Y24" s="8">
        <v>5.1020408163265302E-3</v>
      </c>
      <c r="Z24" t="s">
        <v>2995</v>
      </c>
      <c r="AA24" t="str">
        <f>IF(AND(SalesCleanTable[[#This Row],[Discount %]]&gt;0, SalesCleanTable[[#This Row],[Profit]]&lt;0), "Discount loss", "Safe")</f>
        <v>Safe</v>
      </c>
      <c r="AB24" s="25">
        <f>(SalesCleanTable[[#This Row],[Unit Price]] - SalesCleanTable[[#This Row],[Unit Cost]]) / SalesCleanTable[[#This Row],[Unit Price]]</f>
        <v>0.20408163265306123</v>
      </c>
      <c r="AC24" t="str">
        <f>IF(SalesCleanTable[[#This Row],[Discount %]] &gt; SalesCleanTable[[#This Row],[Max Allowed Discount]], "Discount loss", "Safe")</f>
        <v>Safe</v>
      </c>
      <c r="AD24" s="4">
        <f>SalesCleanTable[[#This Row],[Unit Price]] - SalesCleanTable[[#This Row],[Unit Cost]]</f>
        <v>2000</v>
      </c>
      <c r="AE24" s="41">
        <f>(SalesCleanTable[[#This Row],[Unit Price]] - SalesCleanTable[[#This Row],[Unit Cost]]) / SalesCleanTable[[#This Row],[Unit Price]]</f>
        <v>0.20408163265306123</v>
      </c>
    </row>
    <row r="25" spans="1:31">
      <c r="A25" t="s">
        <v>206</v>
      </c>
      <c r="B25" s="6">
        <v>45695</v>
      </c>
      <c r="C25" t="s">
        <v>57</v>
      </c>
      <c r="D25" t="s">
        <v>58</v>
      </c>
      <c r="E25" t="s">
        <v>59</v>
      </c>
      <c r="F25" t="s">
        <v>60</v>
      </c>
      <c r="G25" t="s">
        <v>61</v>
      </c>
      <c r="H25" t="s">
        <v>139</v>
      </c>
      <c r="I25" t="s">
        <v>140</v>
      </c>
      <c r="J25" t="s">
        <v>137</v>
      </c>
      <c r="K25" t="s">
        <v>138</v>
      </c>
      <c r="L25" t="s">
        <v>166</v>
      </c>
      <c r="M25" t="s">
        <v>167</v>
      </c>
      <c r="N25">
        <v>1</v>
      </c>
      <c r="O25" s="4">
        <v>2400</v>
      </c>
      <c r="P25" s="4">
        <v>3400</v>
      </c>
      <c r="Q25" s="7">
        <v>0.05</v>
      </c>
      <c r="R25" t="s">
        <v>204</v>
      </c>
      <c r="S25">
        <v>3</v>
      </c>
      <c r="T25">
        <v>3400</v>
      </c>
      <c r="U25">
        <v>170</v>
      </c>
      <c r="V25">
        <v>3230</v>
      </c>
      <c r="W25">
        <v>2400</v>
      </c>
      <c r="X25">
        <v>830</v>
      </c>
      <c r="Y25" s="8">
        <v>0.25696594427244585</v>
      </c>
      <c r="Z25" t="s">
        <v>2996</v>
      </c>
      <c r="AA25" t="str">
        <f>IF(AND(SalesCleanTable[[#This Row],[Discount %]]&gt;0, SalesCleanTable[[#This Row],[Profit]]&lt;0), "Discount loss", "Safe")</f>
        <v>Safe</v>
      </c>
      <c r="AB25" s="25">
        <f>(SalesCleanTable[[#This Row],[Unit Price]] - SalesCleanTable[[#This Row],[Unit Cost]]) / SalesCleanTable[[#This Row],[Unit Price]]</f>
        <v>0.29411764705882354</v>
      </c>
      <c r="AC25" t="str">
        <f>IF(SalesCleanTable[[#This Row],[Discount %]] &gt; SalesCleanTable[[#This Row],[Max Allowed Discount]], "Discount loss", "Safe")</f>
        <v>Safe</v>
      </c>
      <c r="AD25" s="4">
        <f>SalesCleanTable[[#This Row],[Unit Price]] - SalesCleanTable[[#This Row],[Unit Cost]]</f>
        <v>1000</v>
      </c>
      <c r="AE25" s="41">
        <f>(SalesCleanTable[[#This Row],[Unit Price]] - SalesCleanTable[[#This Row],[Unit Cost]]) / SalesCleanTable[[#This Row],[Unit Price]]</f>
        <v>0.29411764705882354</v>
      </c>
    </row>
    <row r="26" spans="1:31">
      <c r="A26" t="s">
        <v>207</v>
      </c>
      <c r="B26" s="6">
        <v>45936</v>
      </c>
      <c r="C26" t="s">
        <v>82</v>
      </c>
      <c r="D26" t="s">
        <v>83</v>
      </c>
      <c r="E26" t="s">
        <v>75</v>
      </c>
      <c r="F26" t="s">
        <v>84</v>
      </c>
      <c r="G26" t="s">
        <v>85</v>
      </c>
      <c r="H26" t="s">
        <v>141</v>
      </c>
      <c r="I26" t="s">
        <v>142</v>
      </c>
      <c r="J26" t="s">
        <v>143</v>
      </c>
      <c r="K26" t="s">
        <v>144</v>
      </c>
      <c r="L26" t="s">
        <v>166</v>
      </c>
      <c r="M26" t="s">
        <v>171</v>
      </c>
      <c r="N26">
        <v>10</v>
      </c>
      <c r="O26" s="4">
        <v>600</v>
      </c>
      <c r="P26" s="4">
        <v>950</v>
      </c>
      <c r="Q26" s="7">
        <v>0.1</v>
      </c>
      <c r="R26" t="s">
        <v>208</v>
      </c>
      <c r="S26">
        <v>11</v>
      </c>
      <c r="T26">
        <v>9500</v>
      </c>
      <c r="U26">
        <v>950</v>
      </c>
      <c r="V26">
        <v>8550</v>
      </c>
      <c r="W26">
        <v>6000</v>
      </c>
      <c r="X26">
        <v>2550</v>
      </c>
      <c r="Y26" s="8">
        <v>0.2982456140350877</v>
      </c>
      <c r="Z26" t="s">
        <v>2996</v>
      </c>
      <c r="AA26" t="str">
        <f>IF(AND(SalesCleanTable[[#This Row],[Discount %]]&gt;0, SalesCleanTable[[#This Row],[Profit]]&lt;0), "Discount loss", "Safe")</f>
        <v>Safe</v>
      </c>
      <c r="AB26" s="25">
        <f>(SalesCleanTable[[#This Row],[Unit Price]] - SalesCleanTable[[#This Row],[Unit Cost]]) / SalesCleanTable[[#This Row],[Unit Price]]</f>
        <v>0.36842105263157893</v>
      </c>
      <c r="AC26" t="str">
        <f>IF(SalesCleanTable[[#This Row],[Discount %]] &gt; SalesCleanTable[[#This Row],[Max Allowed Discount]], "Discount loss", "Safe")</f>
        <v>Safe</v>
      </c>
      <c r="AD26" s="4">
        <f>SalesCleanTable[[#This Row],[Unit Price]] - SalesCleanTable[[#This Row],[Unit Cost]]</f>
        <v>350</v>
      </c>
      <c r="AE26" s="41">
        <f>(SalesCleanTable[[#This Row],[Unit Price]] - SalesCleanTable[[#This Row],[Unit Cost]]) / SalesCleanTable[[#This Row],[Unit Price]]</f>
        <v>0.36842105263157893</v>
      </c>
    </row>
    <row r="27" spans="1:31">
      <c r="A27" t="s">
        <v>209</v>
      </c>
      <c r="B27" s="6">
        <v>45726</v>
      </c>
      <c r="C27" t="s">
        <v>45</v>
      </c>
      <c r="D27" t="s">
        <v>46</v>
      </c>
      <c r="E27" t="s">
        <v>38</v>
      </c>
      <c r="F27" t="s">
        <v>47</v>
      </c>
      <c r="G27" t="s">
        <v>48</v>
      </c>
      <c r="H27" t="s">
        <v>149</v>
      </c>
      <c r="I27" t="s">
        <v>150</v>
      </c>
      <c r="J27" t="s">
        <v>151</v>
      </c>
      <c r="K27" t="s">
        <v>152</v>
      </c>
      <c r="L27" t="s">
        <v>166</v>
      </c>
      <c r="M27" t="s">
        <v>167</v>
      </c>
      <c r="N27">
        <v>4</v>
      </c>
      <c r="O27" s="4">
        <v>230</v>
      </c>
      <c r="P27" s="4">
        <v>400</v>
      </c>
      <c r="Q27" s="7">
        <v>0</v>
      </c>
      <c r="R27" t="s">
        <v>175</v>
      </c>
      <c r="S27">
        <v>4</v>
      </c>
      <c r="T27">
        <v>1600</v>
      </c>
      <c r="U27">
        <v>0</v>
      </c>
      <c r="V27">
        <v>1600</v>
      </c>
      <c r="W27">
        <v>920</v>
      </c>
      <c r="X27">
        <v>680</v>
      </c>
      <c r="Y27" s="8">
        <v>0.42499999999999999</v>
      </c>
      <c r="Z27" t="s">
        <v>2995</v>
      </c>
      <c r="AA27" t="str">
        <f>IF(AND(SalesCleanTable[[#This Row],[Discount %]]&gt;0, SalesCleanTable[[#This Row],[Profit]]&lt;0), "Discount loss", "Safe")</f>
        <v>Safe</v>
      </c>
      <c r="AB27" s="25">
        <f>(SalesCleanTable[[#This Row],[Unit Price]] - SalesCleanTable[[#This Row],[Unit Cost]]) / SalesCleanTable[[#This Row],[Unit Price]]</f>
        <v>0.42499999999999999</v>
      </c>
      <c r="AC27" t="str">
        <f>IF(SalesCleanTable[[#This Row],[Discount %]] &gt; SalesCleanTable[[#This Row],[Max Allowed Discount]], "Discount loss", "Safe")</f>
        <v>Safe</v>
      </c>
      <c r="AD27" s="4">
        <f>SalesCleanTable[[#This Row],[Unit Price]] - SalesCleanTable[[#This Row],[Unit Cost]]</f>
        <v>170</v>
      </c>
      <c r="AE27" s="41">
        <f>(SalesCleanTable[[#This Row],[Unit Price]] - SalesCleanTable[[#This Row],[Unit Cost]]) / SalesCleanTable[[#This Row],[Unit Price]]</f>
        <v>0.42499999999999999</v>
      </c>
    </row>
    <row r="28" spans="1:31">
      <c r="A28" t="s">
        <v>210</v>
      </c>
      <c r="B28" s="6">
        <v>45793</v>
      </c>
      <c r="C28" t="s">
        <v>57</v>
      </c>
      <c r="D28" t="s">
        <v>58</v>
      </c>
      <c r="E28" t="s">
        <v>59</v>
      </c>
      <c r="F28" t="s">
        <v>60</v>
      </c>
      <c r="G28" t="s">
        <v>61</v>
      </c>
      <c r="H28" t="s">
        <v>135</v>
      </c>
      <c r="I28" t="s">
        <v>136</v>
      </c>
      <c r="J28" t="s">
        <v>137</v>
      </c>
      <c r="K28" t="s">
        <v>138</v>
      </c>
      <c r="L28" t="s">
        <v>183</v>
      </c>
      <c r="M28" t="s">
        <v>171</v>
      </c>
      <c r="N28">
        <v>6</v>
      </c>
      <c r="O28" s="4">
        <v>2400</v>
      </c>
      <c r="P28" s="4">
        <v>3400</v>
      </c>
      <c r="Q28" s="7">
        <v>0</v>
      </c>
      <c r="R28" t="s">
        <v>192</v>
      </c>
      <c r="S28">
        <v>1</v>
      </c>
      <c r="T28">
        <v>20400</v>
      </c>
      <c r="U28">
        <v>0</v>
      </c>
      <c r="V28">
        <v>20400</v>
      </c>
      <c r="W28">
        <v>14400</v>
      </c>
      <c r="X28">
        <v>6000</v>
      </c>
      <c r="Y28" s="8">
        <v>0.29411764705882354</v>
      </c>
      <c r="Z28" t="s">
        <v>2996</v>
      </c>
      <c r="AA28" t="str">
        <f>IF(AND(SalesCleanTable[[#This Row],[Discount %]]&gt;0, SalesCleanTable[[#This Row],[Profit]]&lt;0), "Discount loss", "Safe")</f>
        <v>Safe</v>
      </c>
      <c r="AB28" s="25">
        <f>(SalesCleanTable[[#This Row],[Unit Price]] - SalesCleanTable[[#This Row],[Unit Cost]]) / SalesCleanTable[[#This Row],[Unit Price]]</f>
        <v>0.29411764705882354</v>
      </c>
      <c r="AC28" t="str">
        <f>IF(SalesCleanTable[[#This Row],[Discount %]] &gt; SalesCleanTable[[#This Row],[Max Allowed Discount]], "Discount loss", "Safe")</f>
        <v>Safe</v>
      </c>
      <c r="AD28" s="4">
        <f>SalesCleanTable[[#This Row],[Unit Price]] - SalesCleanTable[[#This Row],[Unit Cost]]</f>
        <v>1000</v>
      </c>
      <c r="AE28" s="41">
        <f>(SalesCleanTable[[#This Row],[Unit Price]] - SalesCleanTable[[#This Row],[Unit Cost]]) / SalesCleanTable[[#This Row],[Unit Price]]</f>
        <v>0.29411764705882354</v>
      </c>
    </row>
    <row r="29" spans="1:31">
      <c r="A29" t="s">
        <v>211</v>
      </c>
      <c r="B29" s="6">
        <v>45724</v>
      </c>
      <c r="C29" t="s">
        <v>73</v>
      </c>
      <c r="D29" t="s">
        <v>74</v>
      </c>
      <c r="E29" t="s">
        <v>75</v>
      </c>
      <c r="F29" t="s">
        <v>76</v>
      </c>
      <c r="G29" t="s">
        <v>77</v>
      </c>
      <c r="H29" t="s">
        <v>135</v>
      </c>
      <c r="I29" t="s">
        <v>136</v>
      </c>
      <c r="J29" t="s">
        <v>137</v>
      </c>
      <c r="K29" t="s">
        <v>138</v>
      </c>
      <c r="L29" t="s">
        <v>166</v>
      </c>
      <c r="M29" t="s">
        <v>177</v>
      </c>
      <c r="N29">
        <v>4</v>
      </c>
      <c r="O29" s="4">
        <v>3500</v>
      </c>
      <c r="P29" s="4">
        <v>5200</v>
      </c>
      <c r="Q29" s="7">
        <v>0.1</v>
      </c>
      <c r="R29" t="s">
        <v>187</v>
      </c>
      <c r="S29">
        <v>12</v>
      </c>
      <c r="T29">
        <v>20800</v>
      </c>
      <c r="U29">
        <v>2080</v>
      </c>
      <c r="V29">
        <v>18720</v>
      </c>
      <c r="W29">
        <v>14000</v>
      </c>
      <c r="X29">
        <v>4720</v>
      </c>
      <c r="Y29" s="8">
        <v>0.25213675213675213</v>
      </c>
      <c r="Z29" t="s">
        <v>2996</v>
      </c>
      <c r="AA29" t="str">
        <f>IF(AND(SalesCleanTable[[#This Row],[Discount %]]&gt;0, SalesCleanTable[[#This Row],[Profit]]&lt;0), "Discount loss", "Safe")</f>
        <v>Safe</v>
      </c>
      <c r="AB29" s="25">
        <f>(SalesCleanTable[[#This Row],[Unit Price]] - SalesCleanTable[[#This Row],[Unit Cost]]) / SalesCleanTable[[#This Row],[Unit Price]]</f>
        <v>0.32692307692307693</v>
      </c>
      <c r="AC29" t="str">
        <f>IF(SalesCleanTable[[#This Row],[Discount %]] &gt; SalesCleanTable[[#This Row],[Max Allowed Discount]], "Discount loss", "Safe")</f>
        <v>Safe</v>
      </c>
      <c r="AD29" s="4">
        <f>SalesCleanTable[[#This Row],[Unit Price]] - SalesCleanTable[[#This Row],[Unit Cost]]</f>
        <v>1700</v>
      </c>
      <c r="AE29" s="41">
        <f>(SalesCleanTable[[#This Row],[Unit Price]] - SalesCleanTable[[#This Row],[Unit Cost]]) / SalesCleanTable[[#This Row],[Unit Price]]</f>
        <v>0.32692307692307693</v>
      </c>
    </row>
    <row r="30" spans="1:31">
      <c r="A30" t="s">
        <v>212</v>
      </c>
      <c r="B30" s="6">
        <v>45937</v>
      </c>
      <c r="C30" t="s">
        <v>24</v>
      </c>
      <c r="D30" t="s">
        <v>25</v>
      </c>
      <c r="E30" t="s">
        <v>26</v>
      </c>
      <c r="F30" t="s">
        <v>27</v>
      </c>
      <c r="G30" t="s">
        <v>28</v>
      </c>
      <c r="H30" t="s">
        <v>135</v>
      </c>
      <c r="I30" t="s">
        <v>136</v>
      </c>
      <c r="J30" t="s">
        <v>137</v>
      </c>
      <c r="K30" t="s">
        <v>138</v>
      </c>
      <c r="L30" t="s">
        <v>166</v>
      </c>
      <c r="M30" t="s">
        <v>186</v>
      </c>
      <c r="N30">
        <v>3</v>
      </c>
      <c r="O30" s="4">
        <v>14500</v>
      </c>
      <c r="P30" s="4">
        <v>17500</v>
      </c>
      <c r="Q30" s="7">
        <v>0.05</v>
      </c>
      <c r="R30" t="s">
        <v>197</v>
      </c>
      <c r="S30">
        <v>6</v>
      </c>
      <c r="T30">
        <v>52500</v>
      </c>
      <c r="U30">
        <v>2625</v>
      </c>
      <c r="V30">
        <v>49875</v>
      </c>
      <c r="W30">
        <v>43500</v>
      </c>
      <c r="X30">
        <v>6375</v>
      </c>
      <c r="Y30" s="8">
        <v>0.12781954887218044</v>
      </c>
      <c r="Z30" t="s">
        <v>2995</v>
      </c>
      <c r="AA30" t="str">
        <f>IF(AND(SalesCleanTable[[#This Row],[Discount %]]&gt;0, SalesCleanTable[[#This Row],[Profit]]&lt;0), "Discount loss", "Safe")</f>
        <v>Safe</v>
      </c>
      <c r="AB30" s="25">
        <f>(SalesCleanTable[[#This Row],[Unit Price]] - SalesCleanTable[[#This Row],[Unit Cost]]) / SalesCleanTable[[#This Row],[Unit Price]]</f>
        <v>0.17142857142857143</v>
      </c>
      <c r="AC30" t="str">
        <f>IF(SalesCleanTable[[#This Row],[Discount %]] &gt; SalesCleanTable[[#This Row],[Max Allowed Discount]], "Discount loss", "Safe")</f>
        <v>Safe</v>
      </c>
      <c r="AD30" s="4">
        <f>SalesCleanTable[[#This Row],[Unit Price]] - SalesCleanTable[[#This Row],[Unit Cost]]</f>
        <v>3000</v>
      </c>
      <c r="AE30" s="41">
        <f>(SalesCleanTable[[#This Row],[Unit Price]] - SalesCleanTable[[#This Row],[Unit Cost]]) / SalesCleanTable[[#This Row],[Unit Price]]</f>
        <v>0.17142857142857143</v>
      </c>
    </row>
    <row r="31" spans="1:31">
      <c r="A31" t="s">
        <v>213</v>
      </c>
      <c r="B31" s="6">
        <v>45785</v>
      </c>
      <c r="C31" t="s">
        <v>78</v>
      </c>
      <c r="D31" t="s">
        <v>79</v>
      </c>
      <c r="E31" t="s">
        <v>75</v>
      </c>
      <c r="F31" t="s">
        <v>80</v>
      </c>
      <c r="G31" t="s">
        <v>81</v>
      </c>
      <c r="H31" t="s">
        <v>135</v>
      </c>
      <c r="I31" t="s">
        <v>136</v>
      </c>
      <c r="J31" t="s">
        <v>137</v>
      </c>
      <c r="K31" t="s">
        <v>138</v>
      </c>
      <c r="L31" t="s">
        <v>170</v>
      </c>
      <c r="M31" t="s">
        <v>171</v>
      </c>
      <c r="N31">
        <v>3</v>
      </c>
      <c r="O31" s="4">
        <v>1200</v>
      </c>
      <c r="P31" s="4">
        <v>1900</v>
      </c>
      <c r="Q31" s="7">
        <v>0.15</v>
      </c>
      <c r="R31" t="s">
        <v>187</v>
      </c>
      <c r="S31">
        <v>14</v>
      </c>
      <c r="T31">
        <v>5700</v>
      </c>
      <c r="U31">
        <v>855</v>
      </c>
      <c r="V31">
        <v>4845</v>
      </c>
      <c r="W31">
        <v>3600</v>
      </c>
      <c r="X31">
        <v>1245</v>
      </c>
      <c r="Y31" s="8">
        <v>0.25696594427244585</v>
      </c>
      <c r="Z31" t="s">
        <v>2996</v>
      </c>
      <c r="AA31" t="str">
        <f>IF(AND(SalesCleanTable[[#This Row],[Discount %]]&gt;0, SalesCleanTable[[#This Row],[Profit]]&lt;0), "Discount loss", "Safe")</f>
        <v>Safe</v>
      </c>
      <c r="AB31" s="25">
        <f>(SalesCleanTable[[#This Row],[Unit Price]] - SalesCleanTable[[#This Row],[Unit Cost]]) / SalesCleanTable[[#This Row],[Unit Price]]</f>
        <v>0.36842105263157893</v>
      </c>
      <c r="AC31" t="str">
        <f>IF(SalesCleanTable[[#This Row],[Discount %]] &gt; SalesCleanTable[[#This Row],[Max Allowed Discount]], "Discount loss", "Safe")</f>
        <v>Safe</v>
      </c>
      <c r="AD31" s="4">
        <f>SalesCleanTable[[#This Row],[Unit Price]] - SalesCleanTable[[#This Row],[Unit Cost]]</f>
        <v>700</v>
      </c>
      <c r="AE31" s="41">
        <f>(SalesCleanTable[[#This Row],[Unit Price]] - SalesCleanTable[[#This Row],[Unit Cost]]) / SalesCleanTable[[#This Row],[Unit Price]]</f>
        <v>0.36842105263157893</v>
      </c>
    </row>
    <row r="32" spans="1:31">
      <c r="A32" t="s">
        <v>214</v>
      </c>
      <c r="B32" s="6">
        <v>45748</v>
      </c>
      <c r="C32" t="s">
        <v>103</v>
      </c>
      <c r="D32" t="s">
        <v>104</v>
      </c>
      <c r="E32" t="s">
        <v>92</v>
      </c>
      <c r="F32" t="s">
        <v>105</v>
      </c>
      <c r="G32" t="s">
        <v>106</v>
      </c>
      <c r="H32" t="s">
        <v>128</v>
      </c>
      <c r="I32" t="s">
        <v>129</v>
      </c>
      <c r="J32" t="s">
        <v>130</v>
      </c>
      <c r="K32" t="s">
        <v>131</v>
      </c>
      <c r="L32" t="s">
        <v>170</v>
      </c>
      <c r="M32" t="s">
        <v>171</v>
      </c>
      <c r="N32">
        <v>4</v>
      </c>
      <c r="O32" s="4">
        <v>1500</v>
      </c>
      <c r="P32" s="4">
        <v>2500</v>
      </c>
      <c r="Q32" s="7">
        <v>0.05</v>
      </c>
      <c r="R32" t="s">
        <v>215</v>
      </c>
      <c r="S32">
        <v>13</v>
      </c>
      <c r="T32">
        <v>10000</v>
      </c>
      <c r="U32">
        <v>500</v>
      </c>
      <c r="V32">
        <v>9500</v>
      </c>
      <c r="W32">
        <v>6000</v>
      </c>
      <c r="X32">
        <v>3500</v>
      </c>
      <c r="Y32" s="8">
        <v>0.36842105263157893</v>
      </c>
      <c r="Z32" t="s">
        <v>2996</v>
      </c>
      <c r="AA32" t="str">
        <f>IF(AND(SalesCleanTable[[#This Row],[Discount %]]&gt;0, SalesCleanTable[[#This Row],[Profit]]&lt;0), "Discount loss", "Safe")</f>
        <v>Safe</v>
      </c>
      <c r="AB32" s="25">
        <f>(SalesCleanTable[[#This Row],[Unit Price]] - SalesCleanTable[[#This Row],[Unit Cost]]) / SalesCleanTable[[#This Row],[Unit Price]]</f>
        <v>0.4</v>
      </c>
      <c r="AC32" t="str">
        <f>IF(SalesCleanTable[[#This Row],[Discount %]] &gt; SalesCleanTable[[#This Row],[Max Allowed Discount]], "Discount loss", "Safe")</f>
        <v>Safe</v>
      </c>
      <c r="AD32" s="4">
        <f>SalesCleanTable[[#This Row],[Unit Price]] - SalesCleanTable[[#This Row],[Unit Cost]]</f>
        <v>1000</v>
      </c>
      <c r="AE32" s="41">
        <f>(SalesCleanTable[[#This Row],[Unit Price]] - SalesCleanTable[[#This Row],[Unit Cost]]) / SalesCleanTable[[#This Row],[Unit Price]]</f>
        <v>0.4</v>
      </c>
    </row>
    <row r="33" spans="1:31">
      <c r="A33" t="s">
        <v>216</v>
      </c>
      <c r="B33" s="6">
        <v>45739</v>
      </c>
      <c r="C33" t="s">
        <v>95</v>
      </c>
      <c r="D33" t="s">
        <v>96</v>
      </c>
      <c r="E33" t="s">
        <v>92</v>
      </c>
      <c r="F33" t="s">
        <v>97</v>
      </c>
      <c r="G33" t="s">
        <v>98</v>
      </c>
      <c r="H33" t="s">
        <v>128</v>
      </c>
      <c r="I33" t="s">
        <v>129</v>
      </c>
      <c r="J33" t="s">
        <v>130</v>
      </c>
      <c r="K33" t="s">
        <v>131</v>
      </c>
      <c r="L33" t="s">
        <v>166</v>
      </c>
      <c r="M33" t="s">
        <v>171</v>
      </c>
      <c r="N33">
        <v>6</v>
      </c>
      <c r="O33" s="4">
        <v>18000</v>
      </c>
      <c r="P33" s="4">
        <v>24500</v>
      </c>
      <c r="Q33" s="7">
        <v>0.15</v>
      </c>
      <c r="R33" t="s">
        <v>217</v>
      </c>
      <c r="S33">
        <v>6</v>
      </c>
      <c r="T33">
        <v>147000</v>
      </c>
      <c r="U33">
        <v>22050</v>
      </c>
      <c r="V33">
        <v>124950</v>
      </c>
      <c r="W33">
        <v>108000</v>
      </c>
      <c r="X33">
        <v>16950</v>
      </c>
      <c r="Y33" s="8">
        <v>0.13565426170468187</v>
      </c>
      <c r="Z33" t="s">
        <v>2995</v>
      </c>
      <c r="AA33" t="str">
        <f>IF(AND(SalesCleanTable[[#This Row],[Discount %]]&gt;0, SalesCleanTable[[#This Row],[Profit]]&lt;0), "Discount loss", "Safe")</f>
        <v>Safe</v>
      </c>
      <c r="AB33" s="25">
        <f>(SalesCleanTable[[#This Row],[Unit Price]] - SalesCleanTable[[#This Row],[Unit Cost]]) / SalesCleanTable[[#This Row],[Unit Price]]</f>
        <v>0.26530612244897961</v>
      </c>
      <c r="AC33" t="str">
        <f>IF(SalesCleanTable[[#This Row],[Discount %]] &gt; SalesCleanTable[[#This Row],[Max Allowed Discount]], "Discount loss", "Safe")</f>
        <v>Safe</v>
      </c>
      <c r="AD33" s="4">
        <f>SalesCleanTable[[#This Row],[Unit Price]] - SalesCleanTable[[#This Row],[Unit Cost]]</f>
        <v>6500</v>
      </c>
      <c r="AE33" s="41">
        <f>(SalesCleanTable[[#This Row],[Unit Price]] - SalesCleanTable[[#This Row],[Unit Cost]]) / SalesCleanTable[[#This Row],[Unit Price]]</f>
        <v>0.26530612244897961</v>
      </c>
    </row>
    <row r="34" spans="1:31">
      <c r="A34" t="s">
        <v>218</v>
      </c>
      <c r="B34" s="6">
        <v>45774</v>
      </c>
      <c r="C34" t="s">
        <v>41</v>
      </c>
      <c r="D34" t="s">
        <v>42</v>
      </c>
      <c r="E34" t="s">
        <v>26</v>
      </c>
      <c r="F34" t="s">
        <v>43</v>
      </c>
      <c r="G34" t="s">
        <v>44</v>
      </c>
      <c r="H34" t="s">
        <v>141</v>
      </c>
      <c r="I34" t="s">
        <v>142</v>
      </c>
      <c r="J34" t="s">
        <v>143</v>
      </c>
      <c r="K34" t="s">
        <v>144</v>
      </c>
      <c r="L34" t="s">
        <v>166</v>
      </c>
      <c r="M34" t="s">
        <v>171</v>
      </c>
      <c r="N34">
        <v>2</v>
      </c>
      <c r="O34" s="4">
        <v>850</v>
      </c>
      <c r="P34" s="4">
        <v>1300</v>
      </c>
      <c r="Q34" s="7">
        <v>0</v>
      </c>
      <c r="R34" t="s">
        <v>194</v>
      </c>
      <c r="S34">
        <v>11</v>
      </c>
      <c r="T34">
        <v>2600</v>
      </c>
      <c r="U34">
        <v>0</v>
      </c>
      <c r="V34">
        <v>2600</v>
      </c>
      <c r="W34">
        <v>1700</v>
      </c>
      <c r="X34">
        <v>900</v>
      </c>
      <c r="Y34" s="8">
        <v>0.34615384615384615</v>
      </c>
      <c r="Z34" t="s">
        <v>2995</v>
      </c>
      <c r="AA34" t="str">
        <f>IF(AND(SalesCleanTable[[#This Row],[Discount %]]&gt;0, SalesCleanTable[[#This Row],[Profit]]&lt;0), "Discount loss", "Safe")</f>
        <v>Safe</v>
      </c>
      <c r="AB34" s="25">
        <f>(SalesCleanTable[[#This Row],[Unit Price]] - SalesCleanTable[[#This Row],[Unit Cost]]) / SalesCleanTable[[#This Row],[Unit Price]]</f>
        <v>0.34615384615384615</v>
      </c>
      <c r="AC34" t="str">
        <f>IF(SalesCleanTable[[#This Row],[Discount %]] &gt; SalesCleanTable[[#This Row],[Max Allowed Discount]], "Discount loss", "Safe")</f>
        <v>Safe</v>
      </c>
      <c r="AD34" s="4">
        <f>SalesCleanTable[[#This Row],[Unit Price]] - SalesCleanTable[[#This Row],[Unit Cost]]</f>
        <v>450</v>
      </c>
      <c r="AE34" s="41">
        <f>(SalesCleanTable[[#This Row],[Unit Price]] - SalesCleanTable[[#This Row],[Unit Cost]]) / SalesCleanTable[[#This Row],[Unit Price]]</f>
        <v>0.34615384615384615</v>
      </c>
    </row>
    <row r="35" spans="1:31">
      <c r="A35" t="s">
        <v>219</v>
      </c>
      <c r="B35" s="6">
        <v>46005</v>
      </c>
      <c r="C35" t="s">
        <v>116</v>
      </c>
      <c r="D35" t="s">
        <v>117</v>
      </c>
      <c r="E35" t="s">
        <v>109</v>
      </c>
      <c r="F35" t="s">
        <v>118</v>
      </c>
      <c r="G35" t="s">
        <v>119</v>
      </c>
      <c r="H35" t="s">
        <v>139</v>
      </c>
      <c r="I35" t="s">
        <v>140</v>
      </c>
      <c r="J35" t="s">
        <v>137</v>
      </c>
      <c r="K35" t="s">
        <v>138</v>
      </c>
      <c r="L35" t="s">
        <v>170</v>
      </c>
      <c r="M35" t="s">
        <v>177</v>
      </c>
      <c r="N35">
        <v>8</v>
      </c>
      <c r="O35" s="4">
        <v>2800</v>
      </c>
      <c r="P35" s="4">
        <v>4200</v>
      </c>
      <c r="Q35" s="7">
        <v>0</v>
      </c>
      <c r="R35" t="s">
        <v>220</v>
      </c>
      <c r="S35">
        <v>1</v>
      </c>
      <c r="T35">
        <v>33600</v>
      </c>
      <c r="U35">
        <v>0</v>
      </c>
      <c r="V35">
        <v>33600</v>
      </c>
      <c r="W35">
        <v>22400</v>
      </c>
      <c r="X35">
        <v>11200</v>
      </c>
      <c r="Y35" s="8">
        <v>0.33333333333333331</v>
      </c>
      <c r="Z35" t="s">
        <v>2995</v>
      </c>
      <c r="AA35" t="str">
        <f>IF(AND(SalesCleanTable[[#This Row],[Discount %]]&gt;0, SalesCleanTable[[#This Row],[Profit]]&lt;0), "Discount loss", "Safe")</f>
        <v>Safe</v>
      </c>
      <c r="AB35" s="25">
        <f>(SalesCleanTable[[#This Row],[Unit Price]] - SalesCleanTable[[#This Row],[Unit Cost]]) / SalesCleanTable[[#This Row],[Unit Price]]</f>
        <v>0.33333333333333331</v>
      </c>
      <c r="AC35" t="str">
        <f>IF(SalesCleanTable[[#This Row],[Discount %]] &gt; SalesCleanTable[[#This Row],[Max Allowed Discount]], "Discount loss", "Safe")</f>
        <v>Safe</v>
      </c>
      <c r="AD35" s="4">
        <f>SalesCleanTable[[#This Row],[Unit Price]] - SalesCleanTable[[#This Row],[Unit Cost]]</f>
        <v>1400</v>
      </c>
      <c r="AE35" s="41">
        <f>(SalesCleanTable[[#This Row],[Unit Price]] - SalesCleanTable[[#This Row],[Unit Cost]]) / SalesCleanTable[[#This Row],[Unit Price]]</f>
        <v>0.33333333333333331</v>
      </c>
    </row>
    <row r="36" spans="1:31">
      <c r="A36" t="s">
        <v>221</v>
      </c>
      <c r="B36" s="6">
        <v>45880</v>
      </c>
      <c r="C36" t="s">
        <v>45</v>
      </c>
      <c r="D36" t="s">
        <v>46</v>
      </c>
      <c r="E36" t="s">
        <v>38</v>
      </c>
      <c r="F36" t="s">
        <v>47</v>
      </c>
      <c r="G36" t="s">
        <v>48</v>
      </c>
      <c r="H36" t="s">
        <v>145</v>
      </c>
      <c r="I36" t="s">
        <v>146</v>
      </c>
      <c r="J36" t="s">
        <v>147</v>
      </c>
      <c r="K36" t="s">
        <v>148</v>
      </c>
      <c r="L36" t="s">
        <v>166</v>
      </c>
      <c r="M36" t="s">
        <v>171</v>
      </c>
      <c r="N36">
        <v>2</v>
      </c>
      <c r="O36" s="4">
        <v>230</v>
      </c>
      <c r="P36" s="4">
        <v>400</v>
      </c>
      <c r="Q36" s="7">
        <v>0.2</v>
      </c>
      <c r="R36" t="s">
        <v>178</v>
      </c>
      <c r="S36">
        <v>5</v>
      </c>
      <c r="T36">
        <v>800</v>
      </c>
      <c r="U36">
        <v>160</v>
      </c>
      <c r="V36">
        <v>640</v>
      </c>
      <c r="W36">
        <v>460</v>
      </c>
      <c r="X36">
        <v>180</v>
      </c>
      <c r="Y36" s="8">
        <v>0.28125</v>
      </c>
      <c r="Z36" t="s">
        <v>2995</v>
      </c>
      <c r="AA36" t="str">
        <f>IF(AND(SalesCleanTable[[#This Row],[Discount %]]&gt;0, SalesCleanTable[[#This Row],[Profit]]&lt;0), "Discount loss", "Safe")</f>
        <v>Safe</v>
      </c>
      <c r="AB36" s="25">
        <f>(SalesCleanTable[[#This Row],[Unit Price]] - SalesCleanTable[[#This Row],[Unit Cost]]) / SalesCleanTable[[#This Row],[Unit Price]]</f>
        <v>0.42499999999999999</v>
      </c>
      <c r="AC36" t="str">
        <f>IF(SalesCleanTable[[#This Row],[Discount %]] &gt; SalesCleanTable[[#This Row],[Max Allowed Discount]], "Discount loss", "Safe")</f>
        <v>Safe</v>
      </c>
      <c r="AD36" s="4">
        <f>SalesCleanTable[[#This Row],[Unit Price]] - SalesCleanTable[[#This Row],[Unit Cost]]</f>
        <v>170</v>
      </c>
      <c r="AE36" s="41">
        <f>(SalesCleanTable[[#This Row],[Unit Price]] - SalesCleanTable[[#This Row],[Unit Cost]]) / SalesCleanTable[[#This Row],[Unit Price]]</f>
        <v>0.42499999999999999</v>
      </c>
    </row>
    <row r="37" spans="1:31">
      <c r="A37" t="s">
        <v>222</v>
      </c>
      <c r="B37" s="6">
        <v>45881</v>
      </c>
      <c r="C37" t="s">
        <v>24</v>
      </c>
      <c r="D37" t="s">
        <v>25</v>
      </c>
      <c r="E37" t="s">
        <v>26</v>
      </c>
      <c r="F37" t="s">
        <v>27</v>
      </c>
      <c r="G37" t="s">
        <v>28</v>
      </c>
      <c r="H37" t="s">
        <v>153</v>
      </c>
      <c r="I37" t="s">
        <v>154</v>
      </c>
      <c r="J37" t="s">
        <v>155</v>
      </c>
      <c r="K37" t="s">
        <v>131</v>
      </c>
      <c r="L37" t="s">
        <v>183</v>
      </c>
      <c r="M37" t="s">
        <v>171</v>
      </c>
      <c r="N37">
        <v>3</v>
      </c>
      <c r="O37" s="4">
        <v>14500</v>
      </c>
      <c r="P37" s="4">
        <v>17500</v>
      </c>
      <c r="Q37" s="7">
        <v>0.1</v>
      </c>
      <c r="R37" t="s">
        <v>194</v>
      </c>
      <c r="S37">
        <v>7</v>
      </c>
      <c r="T37">
        <v>52500</v>
      </c>
      <c r="U37">
        <v>5250</v>
      </c>
      <c r="V37">
        <v>47250</v>
      </c>
      <c r="W37">
        <v>43500</v>
      </c>
      <c r="X37">
        <v>3750</v>
      </c>
      <c r="Y37" s="8">
        <v>7.9365079365079361E-2</v>
      </c>
      <c r="Z37" t="s">
        <v>2995</v>
      </c>
      <c r="AA37" t="str">
        <f>IF(AND(SalesCleanTable[[#This Row],[Discount %]]&gt;0, SalesCleanTable[[#This Row],[Profit]]&lt;0), "Discount loss", "Safe")</f>
        <v>Safe</v>
      </c>
      <c r="AB37" s="25">
        <f>(SalesCleanTable[[#This Row],[Unit Price]] - SalesCleanTable[[#This Row],[Unit Cost]]) / SalesCleanTable[[#This Row],[Unit Price]]</f>
        <v>0.17142857142857143</v>
      </c>
      <c r="AC37" t="str">
        <f>IF(SalesCleanTable[[#This Row],[Discount %]] &gt; SalesCleanTable[[#This Row],[Max Allowed Discount]], "Discount loss", "Safe")</f>
        <v>Safe</v>
      </c>
      <c r="AD37" s="4">
        <f>SalesCleanTable[[#This Row],[Unit Price]] - SalesCleanTable[[#This Row],[Unit Cost]]</f>
        <v>3000</v>
      </c>
      <c r="AE37" s="41">
        <f>(SalesCleanTable[[#This Row],[Unit Price]] - SalesCleanTable[[#This Row],[Unit Cost]]) / SalesCleanTable[[#This Row],[Unit Price]]</f>
        <v>0.17142857142857143</v>
      </c>
    </row>
    <row r="38" spans="1:31">
      <c r="A38" t="s">
        <v>223</v>
      </c>
      <c r="B38" s="6">
        <v>45998</v>
      </c>
      <c r="C38" t="s">
        <v>112</v>
      </c>
      <c r="D38" t="s">
        <v>113</v>
      </c>
      <c r="E38" t="s">
        <v>109</v>
      </c>
      <c r="F38" t="s">
        <v>114</v>
      </c>
      <c r="G38" t="s">
        <v>115</v>
      </c>
      <c r="H38" t="s">
        <v>141</v>
      </c>
      <c r="I38" t="s">
        <v>142</v>
      </c>
      <c r="J38" t="s">
        <v>143</v>
      </c>
      <c r="K38" t="s">
        <v>144</v>
      </c>
      <c r="L38" t="s">
        <v>183</v>
      </c>
      <c r="M38" t="s">
        <v>186</v>
      </c>
      <c r="N38">
        <v>4</v>
      </c>
      <c r="O38" s="4">
        <v>1300</v>
      </c>
      <c r="P38" s="4">
        <v>2100</v>
      </c>
      <c r="Q38" s="7">
        <v>0</v>
      </c>
      <c r="R38" t="s">
        <v>184</v>
      </c>
      <c r="S38">
        <v>7</v>
      </c>
      <c r="T38">
        <v>8400</v>
      </c>
      <c r="U38">
        <v>0</v>
      </c>
      <c r="V38">
        <v>8400</v>
      </c>
      <c r="W38">
        <v>5200</v>
      </c>
      <c r="X38">
        <v>3200</v>
      </c>
      <c r="Y38" s="8">
        <v>0.38095238095238093</v>
      </c>
      <c r="Z38" t="s">
        <v>2995</v>
      </c>
      <c r="AA38" t="str">
        <f>IF(AND(SalesCleanTable[[#This Row],[Discount %]]&gt;0, SalesCleanTable[[#This Row],[Profit]]&lt;0), "Discount loss", "Safe")</f>
        <v>Safe</v>
      </c>
      <c r="AB38" s="25">
        <f>(SalesCleanTable[[#This Row],[Unit Price]] - SalesCleanTable[[#This Row],[Unit Cost]]) / SalesCleanTable[[#This Row],[Unit Price]]</f>
        <v>0.38095238095238093</v>
      </c>
      <c r="AC38" t="str">
        <f>IF(SalesCleanTable[[#This Row],[Discount %]] &gt; SalesCleanTable[[#This Row],[Max Allowed Discount]], "Discount loss", "Safe")</f>
        <v>Safe</v>
      </c>
      <c r="AD38" s="4">
        <f>SalesCleanTable[[#This Row],[Unit Price]] - SalesCleanTable[[#This Row],[Unit Cost]]</f>
        <v>800</v>
      </c>
      <c r="AE38" s="41">
        <f>(SalesCleanTable[[#This Row],[Unit Price]] - SalesCleanTable[[#This Row],[Unit Cost]]) / SalesCleanTable[[#This Row],[Unit Price]]</f>
        <v>0.38095238095238093</v>
      </c>
    </row>
    <row r="39" spans="1:31">
      <c r="A39" t="s">
        <v>224</v>
      </c>
      <c r="B39" s="6">
        <v>46014</v>
      </c>
      <c r="C39" t="s">
        <v>45</v>
      </c>
      <c r="D39" t="s">
        <v>46</v>
      </c>
      <c r="E39" t="s">
        <v>38</v>
      </c>
      <c r="F39" t="s">
        <v>47</v>
      </c>
      <c r="G39" t="s">
        <v>48</v>
      </c>
      <c r="H39" t="s">
        <v>128</v>
      </c>
      <c r="I39" t="s">
        <v>129</v>
      </c>
      <c r="J39" t="s">
        <v>130</v>
      </c>
      <c r="K39" t="s">
        <v>131</v>
      </c>
      <c r="L39" t="s">
        <v>183</v>
      </c>
      <c r="M39" t="s">
        <v>171</v>
      </c>
      <c r="N39">
        <v>2</v>
      </c>
      <c r="O39" s="4">
        <v>230</v>
      </c>
      <c r="P39" s="4">
        <v>400</v>
      </c>
      <c r="Q39" s="7">
        <v>0.2</v>
      </c>
      <c r="R39" t="s">
        <v>168</v>
      </c>
      <c r="S39">
        <v>10</v>
      </c>
      <c r="T39">
        <v>800</v>
      </c>
      <c r="U39">
        <v>160</v>
      </c>
      <c r="V39">
        <v>640</v>
      </c>
      <c r="W39">
        <v>460</v>
      </c>
      <c r="X39">
        <v>180</v>
      </c>
      <c r="Y39" s="8">
        <v>0.28125</v>
      </c>
      <c r="Z39" t="s">
        <v>2995</v>
      </c>
      <c r="AA39" t="str">
        <f>IF(AND(SalesCleanTable[[#This Row],[Discount %]]&gt;0, SalesCleanTable[[#This Row],[Profit]]&lt;0), "Discount loss", "Safe")</f>
        <v>Safe</v>
      </c>
      <c r="AB39" s="25">
        <f>(SalesCleanTable[[#This Row],[Unit Price]] - SalesCleanTable[[#This Row],[Unit Cost]]) / SalesCleanTable[[#This Row],[Unit Price]]</f>
        <v>0.42499999999999999</v>
      </c>
      <c r="AC39" t="str">
        <f>IF(SalesCleanTable[[#This Row],[Discount %]] &gt; SalesCleanTable[[#This Row],[Max Allowed Discount]], "Discount loss", "Safe")</f>
        <v>Safe</v>
      </c>
      <c r="AD39" s="4">
        <f>SalesCleanTable[[#This Row],[Unit Price]] - SalesCleanTable[[#This Row],[Unit Cost]]</f>
        <v>170</v>
      </c>
      <c r="AE39" s="41">
        <f>(SalesCleanTable[[#This Row],[Unit Price]] - SalesCleanTable[[#This Row],[Unit Cost]]) / SalesCleanTable[[#This Row],[Unit Price]]</f>
        <v>0.42499999999999999</v>
      </c>
    </row>
    <row r="40" spans="1:31">
      <c r="A40" t="s">
        <v>225</v>
      </c>
      <c r="B40" s="6">
        <v>45938</v>
      </c>
      <c r="C40" t="s">
        <v>99</v>
      </c>
      <c r="D40" t="s">
        <v>100</v>
      </c>
      <c r="E40" t="s">
        <v>92</v>
      </c>
      <c r="F40" t="s">
        <v>101</v>
      </c>
      <c r="G40" t="s">
        <v>102</v>
      </c>
      <c r="H40" t="s">
        <v>135</v>
      </c>
      <c r="I40" t="s">
        <v>136</v>
      </c>
      <c r="J40" t="s">
        <v>137</v>
      </c>
      <c r="K40" t="s">
        <v>138</v>
      </c>
      <c r="L40" t="s">
        <v>183</v>
      </c>
      <c r="M40" t="s">
        <v>186</v>
      </c>
      <c r="N40">
        <v>1</v>
      </c>
      <c r="O40" s="4">
        <v>12500</v>
      </c>
      <c r="P40" s="4">
        <v>18500</v>
      </c>
      <c r="Q40" s="7">
        <v>0.15</v>
      </c>
      <c r="R40" t="s">
        <v>217</v>
      </c>
      <c r="S40">
        <v>8</v>
      </c>
      <c r="T40">
        <v>18500</v>
      </c>
      <c r="U40">
        <v>2775</v>
      </c>
      <c r="V40">
        <v>15725</v>
      </c>
      <c r="W40">
        <v>12500</v>
      </c>
      <c r="X40">
        <v>3225</v>
      </c>
      <c r="Y40" s="8">
        <v>0.20508744038155802</v>
      </c>
      <c r="Z40" t="s">
        <v>2995</v>
      </c>
      <c r="AA40" t="str">
        <f>IF(AND(SalesCleanTable[[#This Row],[Discount %]]&gt;0, SalesCleanTable[[#This Row],[Profit]]&lt;0), "Discount loss", "Safe")</f>
        <v>Safe</v>
      </c>
      <c r="AB40" s="25">
        <f>(SalesCleanTable[[#This Row],[Unit Price]] - SalesCleanTable[[#This Row],[Unit Cost]]) / SalesCleanTable[[#This Row],[Unit Price]]</f>
        <v>0.32432432432432434</v>
      </c>
      <c r="AC40" t="str">
        <f>IF(SalesCleanTable[[#This Row],[Discount %]] &gt; SalesCleanTable[[#This Row],[Max Allowed Discount]], "Discount loss", "Safe")</f>
        <v>Safe</v>
      </c>
      <c r="AD40" s="4">
        <f>SalesCleanTable[[#This Row],[Unit Price]] - SalesCleanTable[[#This Row],[Unit Cost]]</f>
        <v>6000</v>
      </c>
      <c r="AE40" s="41">
        <f>(SalesCleanTable[[#This Row],[Unit Price]] - SalesCleanTable[[#This Row],[Unit Cost]]) / SalesCleanTable[[#This Row],[Unit Price]]</f>
        <v>0.32432432432432434</v>
      </c>
    </row>
    <row r="41" spans="1:31">
      <c r="A41" t="s">
        <v>226</v>
      </c>
      <c r="B41" s="6">
        <v>45919</v>
      </c>
      <c r="C41" t="s">
        <v>53</v>
      </c>
      <c r="D41" t="s">
        <v>54</v>
      </c>
      <c r="E41" t="s">
        <v>38</v>
      </c>
      <c r="F41" t="s">
        <v>55</v>
      </c>
      <c r="G41" t="s">
        <v>56</v>
      </c>
      <c r="H41" t="s">
        <v>149</v>
      </c>
      <c r="I41" t="s">
        <v>150</v>
      </c>
      <c r="J41" t="s">
        <v>151</v>
      </c>
      <c r="K41" t="s">
        <v>152</v>
      </c>
      <c r="L41" t="s">
        <v>166</v>
      </c>
      <c r="M41" t="s">
        <v>186</v>
      </c>
      <c r="N41">
        <v>5</v>
      </c>
      <c r="O41" s="4">
        <v>330</v>
      </c>
      <c r="P41" s="4">
        <v>550</v>
      </c>
      <c r="Q41" s="7">
        <v>0</v>
      </c>
      <c r="R41" t="s">
        <v>168</v>
      </c>
      <c r="S41">
        <v>10</v>
      </c>
      <c r="T41">
        <v>2750</v>
      </c>
      <c r="U41">
        <v>0</v>
      </c>
      <c r="V41">
        <v>2750</v>
      </c>
      <c r="W41">
        <v>1650</v>
      </c>
      <c r="X41">
        <v>1100</v>
      </c>
      <c r="Y41" s="8">
        <v>0.4</v>
      </c>
      <c r="Z41" t="s">
        <v>2996</v>
      </c>
      <c r="AA41" t="str">
        <f>IF(AND(SalesCleanTable[[#This Row],[Discount %]]&gt;0, SalesCleanTable[[#This Row],[Profit]]&lt;0), "Discount loss", "Safe")</f>
        <v>Safe</v>
      </c>
      <c r="AB41" s="25">
        <f>(SalesCleanTable[[#This Row],[Unit Price]] - SalesCleanTable[[#This Row],[Unit Cost]]) / SalesCleanTable[[#This Row],[Unit Price]]</f>
        <v>0.4</v>
      </c>
      <c r="AC41" t="str">
        <f>IF(SalesCleanTable[[#This Row],[Discount %]] &gt; SalesCleanTable[[#This Row],[Max Allowed Discount]], "Discount loss", "Safe")</f>
        <v>Safe</v>
      </c>
      <c r="AD41" s="4">
        <f>SalesCleanTable[[#This Row],[Unit Price]] - SalesCleanTable[[#This Row],[Unit Cost]]</f>
        <v>220</v>
      </c>
      <c r="AE41" s="41">
        <f>(SalesCleanTable[[#This Row],[Unit Price]] - SalesCleanTable[[#This Row],[Unit Cost]]) / SalesCleanTable[[#This Row],[Unit Price]]</f>
        <v>0.4</v>
      </c>
    </row>
    <row r="42" spans="1:31">
      <c r="A42" t="s">
        <v>227</v>
      </c>
      <c r="B42" s="6">
        <v>45778</v>
      </c>
      <c r="C42" t="s">
        <v>78</v>
      </c>
      <c r="D42" t="s">
        <v>79</v>
      </c>
      <c r="E42" t="s">
        <v>75</v>
      </c>
      <c r="F42" t="s">
        <v>80</v>
      </c>
      <c r="G42" t="s">
        <v>81</v>
      </c>
      <c r="H42" t="s">
        <v>133</v>
      </c>
      <c r="I42" t="s">
        <v>134</v>
      </c>
      <c r="J42" t="s">
        <v>130</v>
      </c>
      <c r="K42" t="s">
        <v>131</v>
      </c>
      <c r="L42" t="s">
        <v>166</v>
      </c>
      <c r="M42" t="s">
        <v>186</v>
      </c>
      <c r="N42">
        <v>1</v>
      </c>
      <c r="O42" s="4">
        <v>1200</v>
      </c>
      <c r="P42" s="4">
        <v>1900</v>
      </c>
      <c r="Q42" s="7">
        <v>0</v>
      </c>
      <c r="R42" t="s">
        <v>187</v>
      </c>
      <c r="S42">
        <v>8</v>
      </c>
      <c r="T42">
        <v>1900</v>
      </c>
      <c r="U42">
        <v>0</v>
      </c>
      <c r="V42">
        <v>1900</v>
      </c>
      <c r="W42">
        <v>1200</v>
      </c>
      <c r="X42">
        <v>700</v>
      </c>
      <c r="Y42" s="8">
        <v>0.36842105263157893</v>
      </c>
      <c r="Z42" t="s">
        <v>2996</v>
      </c>
      <c r="AA42" t="str">
        <f>IF(AND(SalesCleanTable[[#This Row],[Discount %]]&gt;0, SalesCleanTable[[#This Row],[Profit]]&lt;0), "Discount loss", "Safe")</f>
        <v>Safe</v>
      </c>
      <c r="AB42" s="25">
        <f>(SalesCleanTable[[#This Row],[Unit Price]] - SalesCleanTable[[#This Row],[Unit Cost]]) / SalesCleanTable[[#This Row],[Unit Price]]</f>
        <v>0.36842105263157893</v>
      </c>
      <c r="AC42" t="str">
        <f>IF(SalesCleanTable[[#This Row],[Discount %]] &gt; SalesCleanTable[[#This Row],[Max Allowed Discount]], "Discount loss", "Safe")</f>
        <v>Safe</v>
      </c>
      <c r="AD42" s="4">
        <f>SalesCleanTable[[#This Row],[Unit Price]] - SalesCleanTable[[#This Row],[Unit Cost]]</f>
        <v>700</v>
      </c>
      <c r="AE42" s="41">
        <f>(SalesCleanTable[[#This Row],[Unit Price]] - SalesCleanTable[[#This Row],[Unit Cost]]) / SalesCleanTable[[#This Row],[Unit Price]]</f>
        <v>0.36842105263157893</v>
      </c>
    </row>
    <row r="43" spans="1:31">
      <c r="A43" t="s">
        <v>228</v>
      </c>
      <c r="B43" s="6">
        <v>45980</v>
      </c>
      <c r="C43" t="s">
        <v>66</v>
      </c>
      <c r="D43" t="s">
        <v>67</v>
      </c>
      <c r="E43" t="s">
        <v>59</v>
      </c>
      <c r="F43" t="s">
        <v>60</v>
      </c>
      <c r="G43" t="s">
        <v>68</v>
      </c>
      <c r="H43" t="s">
        <v>145</v>
      </c>
      <c r="I43" t="s">
        <v>146</v>
      </c>
      <c r="J43" t="s">
        <v>147</v>
      </c>
      <c r="K43" t="s">
        <v>148</v>
      </c>
      <c r="L43" t="s">
        <v>166</v>
      </c>
      <c r="M43" t="s">
        <v>171</v>
      </c>
      <c r="N43">
        <v>2</v>
      </c>
      <c r="O43" s="4">
        <v>2800</v>
      </c>
      <c r="P43" s="4">
        <v>3900</v>
      </c>
      <c r="Q43" s="7">
        <v>0.05</v>
      </c>
      <c r="R43" t="s">
        <v>192</v>
      </c>
      <c r="S43">
        <v>13</v>
      </c>
      <c r="T43">
        <v>7800</v>
      </c>
      <c r="U43">
        <v>390</v>
      </c>
      <c r="V43">
        <v>7410</v>
      </c>
      <c r="W43">
        <v>5600</v>
      </c>
      <c r="X43">
        <v>1810</v>
      </c>
      <c r="Y43" s="8">
        <v>0.24426450742240216</v>
      </c>
      <c r="Z43" t="s">
        <v>2996</v>
      </c>
      <c r="AA43" t="str">
        <f>IF(AND(SalesCleanTable[[#This Row],[Discount %]]&gt;0, SalesCleanTable[[#This Row],[Profit]]&lt;0), "Discount loss", "Safe")</f>
        <v>Safe</v>
      </c>
      <c r="AB43" s="25">
        <f>(SalesCleanTable[[#This Row],[Unit Price]] - SalesCleanTable[[#This Row],[Unit Cost]]) / SalesCleanTable[[#This Row],[Unit Price]]</f>
        <v>0.28205128205128205</v>
      </c>
      <c r="AC43" t="str">
        <f>IF(SalesCleanTable[[#This Row],[Discount %]] &gt; SalesCleanTable[[#This Row],[Max Allowed Discount]], "Discount loss", "Safe")</f>
        <v>Safe</v>
      </c>
      <c r="AD43" s="4">
        <f>SalesCleanTable[[#This Row],[Unit Price]] - SalesCleanTable[[#This Row],[Unit Cost]]</f>
        <v>1100</v>
      </c>
      <c r="AE43" s="41">
        <f>(SalesCleanTable[[#This Row],[Unit Price]] - SalesCleanTable[[#This Row],[Unit Cost]]) / SalesCleanTable[[#This Row],[Unit Price]]</f>
        <v>0.28205128205128205</v>
      </c>
    </row>
    <row r="44" spans="1:31">
      <c r="A44" t="s">
        <v>229</v>
      </c>
      <c r="B44" s="6">
        <v>45748</v>
      </c>
      <c r="C44" t="s">
        <v>95</v>
      </c>
      <c r="D44" t="s">
        <v>96</v>
      </c>
      <c r="E44" t="s">
        <v>92</v>
      </c>
      <c r="F44" t="s">
        <v>97</v>
      </c>
      <c r="G44" t="s">
        <v>98</v>
      </c>
      <c r="H44" t="s">
        <v>145</v>
      </c>
      <c r="I44" t="s">
        <v>146</v>
      </c>
      <c r="J44" t="s">
        <v>147</v>
      </c>
      <c r="K44" t="s">
        <v>148</v>
      </c>
      <c r="L44" t="s">
        <v>183</v>
      </c>
      <c r="M44" t="s">
        <v>177</v>
      </c>
      <c r="N44">
        <v>2</v>
      </c>
      <c r="O44" s="4">
        <v>18000</v>
      </c>
      <c r="P44" s="4">
        <v>24500</v>
      </c>
      <c r="Q44" s="7">
        <v>0.1</v>
      </c>
      <c r="R44" t="s">
        <v>181</v>
      </c>
      <c r="S44">
        <v>13</v>
      </c>
      <c r="T44">
        <v>49000</v>
      </c>
      <c r="U44">
        <v>4900</v>
      </c>
      <c r="V44">
        <v>44100</v>
      </c>
      <c r="W44">
        <v>36000</v>
      </c>
      <c r="X44">
        <v>8100</v>
      </c>
      <c r="Y44" s="8">
        <v>0.18367346938775511</v>
      </c>
      <c r="Z44" t="s">
        <v>2995</v>
      </c>
      <c r="AA44" t="str">
        <f>IF(AND(SalesCleanTable[[#This Row],[Discount %]]&gt;0, SalesCleanTable[[#This Row],[Profit]]&lt;0), "Discount loss", "Safe")</f>
        <v>Safe</v>
      </c>
      <c r="AB44" s="25">
        <f>(SalesCleanTable[[#This Row],[Unit Price]] - SalesCleanTable[[#This Row],[Unit Cost]]) / SalesCleanTable[[#This Row],[Unit Price]]</f>
        <v>0.26530612244897961</v>
      </c>
      <c r="AC44" t="str">
        <f>IF(SalesCleanTable[[#This Row],[Discount %]] &gt; SalesCleanTable[[#This Row],[Max Allowed Discount]], "Discount loss", "Safe")</f>
        <v>Safe</v>
      </c>
      <c r="AD44" s="4">
        <f>SalesCleanTable[[#This Row],[Unit Price]] - SalesCleanTable[[#This Row],[Unit Cost]]</f>
        <v>6500</v>
      </c>
      <c r="AE44" s="41">
        <f>(SalesCleanTable[[#This Row],[Unit Price]] - SalesCleanTable[[#This Row],[Unit Cost]]) / SalesCleanTable[[#This Row],[Unit Price]]</f>
        <v>0.26530612244897961</v>
      </c>
    </row>
    <row r="45" spans="1:31">
      <c r="A45" t="s">
        <v>230</v>
      </c>
      <c r="B45" s="6">
        <v>45929</v>
      </c>
      <c r="C45" t="s">
        <v>120</v>
      </c>
      <c r="D45" t="s">
        <v>121</v>
      </c>
      <c r="E45" t="s">
        <v>109</v>
      </c>
      <c r="F45" t="s">
        <v>93</v>
      </c>
      <c r="G45" t="s">
        <v>122</v>
      </c>
      <c r="H45" t="s">
        <v>139</v>
      </c>
      <c r="I45" t="s">
        <v>140</v>
      </c>
      <c r="J45" t="s">
        <v>137</v>
      </c>
      <c r="K45" t="s">
        <v>138</v>
      </c>
      <c r="L45" t="s">
        <v>183</v>
      </c>
      <c r="M45" t="s">
        <v>171</v>
      </c>
      <c r="N45">
        <v>8</v>
      </c>
      <c r="O45" s="4">
        <v>1700</v>
      </c>
      <c r="P45" s="4">
        <v>2800</v>
      </c>
      <c r="Q45" s="7">
        <v>0.25</v>
      </c>
      <c r="R45" t="s">
        <v>184</v>
      </c>
      <c r="S45">
        <v>7</v>
      </c>
      <c r="T45">
        <v>22400</v>
      </c>
      <c r="U45">
        <v>5600</v>
      </c>
      <c r="V45">
        <v>16800</v>
      </c>
      <c r="W45">
        <v>13600</v>
      </c>
      <c r="X45">
        <v>3200</v>
      </c>
      <c r="Y45" s="8">
        <v>0.19047619047619047</v>
      </c>
      <c r="Z45" t="s">
        <v>2997</v>
      </c>
      <c r="AA45" t="str">
        <f>IF(AND(SalesCleanTable[[#This Row],[Discount %]]&gt;0, SalesCleanTable[[#This Row],[Profit]]&lt;0), "Discount loss", "Safe")</f>
        <v>Safe</v>
      </c>
      <c r="AB45" s="25">
        <f>(SalesCleanTable[[#This Row],[Unit Price]] - SalesCleanTable[[#This Row],[Unit Cost]]) / SalesCleanTable[[#This Row],[Unit Price]]</f>
        <v>0.39285714285714285</v>
      </c>
      <c r="AC45" t="str">
        <f>IF(SalesCleanTable[[#This Row],[Discount %]] &gt; SalesCleanTable[[#This Row],[Max Allowed Discount]], "Discount loss", "Safe")</f>
        <v>Safe</v>
      </c>
      <c r="AD45" s="4">
        <f>SalesCleanTable[[#This Row],[Unit Price]] - SalesCleanTable[[#This Row],[Unit Cost]]</f>
        <v>1100</v>
      </c>
      <c r="AE45" s="41">
        <f>(SalesCleanTable[[#This Row],[Unit Price]] - SalesCleanTable[[#This Row],[Unit Cost]]) / SalesCleanTable[[#This Row],[Unit Price]]</f>
        <v>0.39285714285714285</v>
      </c>
    </row>
    <row r="46" spans="1:31">
      <c r="A46" t="s">
        <v>231</v>
      </c>
      <c r="B46" s="6">
        <v>45938</v>
      </c>
      <c r="C46" t="s">
        <v>53</v>
      </c>
      <c r="D46" t="s">
        <v>54</v>
      </c>
      <c r="E46" t="s">
        <v>38</v>
      </c>
      <c r="F46" t="s">
        <v>55</v>
      </c>
      <c r="G46" t="s">
        <v>56</v>
      </c>
      <c r="H46" t="s">
        <v>133</v>
      </c>
      <c r="I46" t="s">
        <v>134</v>
      </c>
      <c r="J46" t="s">
        <v>130</v>
      </c>
      <c r="K46" t="s">
        <v>131</v>
      </c>
      <c r="L46" t="s">
        <v>183</v>
      </c>
      <c r="M46" t="s">
        <v>171</v>
      </c>
      <c r="N46">
        <v>6</v>
      </c>
      <c r="O46" s="4">
        <v>330</v>
      </c>
      <c r="P46" s="4">
        <v>550</v>
      </c>
      <c r="Q46" s="7">
        <v>0.05</v>
      </c>
      <c r="R46" t="s">
        <v>175</v>
      </c>
      <c r="S46">
        <v>13</v>
      </c>
      <c r="T46">
        <v>3300</v>
      </c>
      <c r="U46">
        <v>165</v>
      </c>
      <c r="V46">
        <v>3135</v>
      </c>
      <c r="W46">
        <v>1980</v>
      </c>
      <c r="X46">
        <v>1155</v>
      </c>
      <c r="Y46" s="8">
        <v>0.36842105263157893</v>
      </c>
      <c r="Z46" t="s">
        <v>2996</v>
      </c>
      <c r="AA46" t="str">
        <f>IF(AND(SalesCleanTable[[#This Row],[Discount %]]&gt;0, SalesCleanTable[[#This Row],[Profit]]&lt;0), "Discount loss", "Safe")</f>
        <v>Safe</v>
      </c>
      <c r="AB46" s="25">
        <f>(SalesCleanTable[[#This Row],[Unit Price]] - SalesCleanTable[[#This Row],[Unit Cost]]) / SalesCleanTable[[#This Row],[Unit Price]]</f>
        <v>0.4</v>
      </c>
      <c r="AC46" t="str">
        <f>IF(SalesCleanTable[[#This Row],[Discount %]] &gt; SalesCleanTable[[#This Row],[Max Allowed Discount]], "Discount loss", "Safe")</f>
        <v>Safe</v>
      </c>
      <c r="AD46" s="4">
        <f>SalesCleanTable[[#This Row],[Unit Price]] - SalesCleanTable[[#This Row],[Unit Cost]]</f>
        <v>220</v>
      </c>
      <c r="AE46" s="41">
        <f>(SalesCleanTable[[#This Row],[Unit Price]] - SalesCleanTable[[#This Row],[Unit Cost]]) / SalesCleanTable[[#This Row],[Unit Price]]</f>
        <v>0.4</v>
      </c>
    </row>
    <row r="47" spans="1:31">
      <c r="A47" t="s">
        <v>232</v>
      </c>
      <c r="B47" s="6">
        <v>45906</v>
      </c>
      <c r="C47" t="s">
        <v>73</v>
      </c>
      <c r="D47" t="s">
        <v>74</v>
      </c>
      <c r="E47" t="s">
        <v>75</v>
      </c>
      <c r="F47" t="s">
        <v>76</v>
      </c>
      <c r="G47" t="s">
        <v>77</v>
      </c>
      <c r="H47" t="s">
        <v>135</v>
      </c>
      <c r="I47" t="s">
        <v>136</v>
      </c>
      <c r="J47" t="s">
        <v>137</v>
      </c>
      <c r="K47" t="s">
        <v>138</v>
      </c>
      <c r="L47" t="s">
        <v>166</v>
      </c>
      <c r="M47" t="s">
        <v>167</v>
      </c>
      <c r="N47">
        <v>1</v>
      </c>
      <c r="O47" s="4">
        <v>3500</v>
      </c>
      <c r="P47" s="4">
        <v>5200</v>
      </c>
      <c r="Q47" s="7">
        <v>0</v>
      </c>
      <c r="R47" t="s">
        <v>204</v>
      </c>
      <c r="S47">
        <v>2</v>
      </c>
      <c r="T47">
        <v>5200</v>
      </c>
      <c r="U47">
        <v>0</v>
      </c>
      <c r="V47">
        <v>5200</v>
      </c>
      <c r="W47">
        <v>3500</v>
      </c>
      <c r="X47">
        <v>1700</v>
      </c>
      <c r="Y47" s="8">
        <v>0.32692307692307693</v>
      </c>
      <c r="Z47" t="s">
        <v>2996</v>
      </c>
      <c r="AA47" t="str">
        <f>IF(AND(SalesCleanTable[[#This Row],[Discount %]]&gt;0, SalesCleanTable[[#This Row],[Profit]]&lt;0), "Discount loss", "Safe")</f>
        <v>Safe</v>
      </c>
      <c r="AB47" s="25">
        <f>(SalesCleanTable[[#This Row],[Unit Price]] - SalesCleanTable[[#This Row],[Unit Cost]]) / SalesCleanTable[[#This Row],[Unit Price]]</f>
        <v>0.32692307692307693</v>
      </c>
      <c r="AC47" t="str">
        <f>IF(SalesCleanTable[[#This Row],[Discount %]] &gt; SalesCleanTable[[#This Row],[Max Allowed Discount]], "Discount loss", "Safe")</f>
        <v>Safe</v>
      </c>
      <c r="AD47" s="4">
        <f>SalesCleanTable[[#This Row],[Unit Price]] - SalesCleanTable[[#This Row],[Unit Cost]]</f>
        <v>1700</v>
      </c>
      <c r="AE47" s="41">
        <f>(SalesCleanTable[[#This Row],[Unit Price]] - SalesCleanTable[[#This Row],[Unit Cost]]) / SalesCleanTable[[#This Row],[Unit Price]]</f>
        <v>0.32692307692307693</v>
      </c>
    </row>
    <row r="48" spans="1:31">
      <c r="A48" t="s">
        <v>233</v>
      </c>
      <c r="B48" s="6">
        <v>45776</v>
      </c>
      <c r="C48" t="s">
        <v>49</v>
      </c>
      <c r="D48" t="s">
        <v>50</v>
      </c>
      <c r="E48" t="s">
        <v>38</v>
      </c>
      <c r="F48" t="s">
        <v>51</v>
      </c>
      <c r="G48" t="s">
        <v>52</v>
      </c>
      <c r="H48" t="s">
        <v>133</v>
      </c>
      <c r="I48" t="s">
        <v>134</v>
      </c>
      <c r="J48" t="s">
        <v>130</v>
      </c>
      <c r="K48" t="s">
        <v>131</v>
      </c>
      <c r="L48" t="s">
        <v>166</v>
      </c>
      <c r="M48" t="s">
        <v>186</v>
      </c>
      <c r="N48">
        <v>1</v>
      </c>
      <c r="O48" s="4">
        <v>550</v>
      </c>
      <c r="P48" s="4">
        <v>850</v>
      </c>
      <c r="Q48" s="7">
        <v>0.05</v>
      </c>
      <c r="R48" t="s">
        <v>178</v>
      </c>
      <c r="S48">
        <v>4</v>
      </c>
      <c r="T48">
        <v>850</v>
      </c>
      <c r="U48">
        <v>42.5</v>
      </c>
      <c r="V48">
        <v>807.5</v>
      </c>
      <c r="W48">
        <v>550</v>
      </c>
      <c r="X48">
        <v>257.5</v>
      </c>
      <c r="Y48" s="8">
        <v>0.31888544891640869</v>
      </c>
      <c r="Z48" t="s">
        <v>2996</v>
      </c>
      <c r="AA48" t="str">
        <f>IF(AND(SalesCleanTable[[#This Row],[Discount %]]&gt;0, SalesCleanTable[[#This Row],[Profit]]&lt;0), "Discount loss", "Safe")</f>
        <v>Safe</v>
      </c>
      <c r="AB48" s="25">
        <f>(SalesCleanTable[[#This Row],[Unit Price]] - SalesCleanTable[[#This Row],[Unit Cost]]) / SalesCleanTable[[#This Row],[Unit Price]]</f>
        <v>0.35294117647058826</v>
      </c>
      <c r="AC48" t="str">
        <f>IF(SalesCleanTable[[#This Row],[Discount %]] &gt; SalesCleanTable[[#This Row],[Max Allowed Discount]], "Discount loss", "Safe")</f>
        <v>Safe</v>
      </c>
      <c r="AD48" s="4">
        <f>SalesCleanTable[[#This Row],[Unit Price]] - SalesCleanTable[[#This Row],[Unit Cost]]</f>
        <v>300</v>
      </c>
      <c r="AE48" s="41">
        <f>(SalesCleanTable[[#This Row],[Unit Price]] - SalesCleanTable[[#This Row],[Unit Cost]]) / SalesCleanTable[[#This Row],[Unit Price]]</f>
        <v>0.35294117647058826</v>
      </c>
    </row>
    <row r="49" spans="1:31">
      <c r="A49" t="s">
        <v>234</v>
      </c>
      <c r="B49" s="6">
        <v>45857</v>
      </c>
      <c r="C49" t="s">
        <v>107</v>
      </c>
      <c r="D49" t="s">
        <v>108</v>
      </c>
      <c r="E49" t="s">
        <v>109</v>
      </c>
      <c r="F49" t="s">
        <v>110</v>
      </c>
      <c r="G49" t="s">
        <v>111</v>
      </c>
      <c r="H49" t="s">
        <v>139</v>
      </c>
      <c r="I49" t="s">
        <v>140</v>
      </c>
      <c r="J49" t="s">
        <v>137</v>
      </c>
      <c r="K49" t="s">
        <v>138</v>
      </c>
      <c r="L49" t="s">
        <v>183</v>
      </c>
      <c r="M49" t="s">
        <v>186</v>
      </c>
      <c r="N49">
        <v>4</v>
      </c>
      <c r="O49" s="4">
        <v>5200</v>
      </c>
      <c r="P49" s="4">
        <v>7000</v>
      </c>
      <c r="Q49" s="7">
        <v>0.25</v>
      </c>
      <c r="R49" t="s">
        <v>235</v>
      </c>
      <c r="S49">
        <v>6</v>
      </c>
      <c r="T49">
        <v>28000</v>
      </c>
      <c r="U49">
        <v>7000</v>
      </c>
      <c r="V49">
        <v>21000</v>
      </c>
      <c r="W49">
        <v>20800</v>
      </c>
      <c r="X49">
        <v>200</v>
      </c>
      <c r="Y49" s="8">
        <v>9.5238095238095247E-3</v>
      </c>
      <c r="Z49" t="s">
        <v>2997</v>
      </c>
      <c r="AA49" t="str">
        <f>IF(AND(SalesCleanTable[[#This Row],[Discount %]]&gt;0, SalesCleanTable[[#This Row],[Profit]]&lt;0), "Discount loss", "Safe")</f>
        <v>Safe</v>
      </c>
      <c r="AB49" s="25">
        <f>(SalesCleanTable[[#This Row],[Unit Price]] - SalesCleanTable[[#This Row],[Unit Cost]]) / SalesCleanTable[[#This Row],[Unit Price]]</f>
        <v>0.25714285714285712</v>
      </c>
      <c r="AC49" t="str">
        <f>IF(SalesCleanTable[[#This Row],[Discount %]] &gt; SalesCleanTable[[#This Row],[Max Allowed Discount]], "Discount loss", "Safe")</f>
        <v>Safe</v>
      </c>
      <c r="AD49" s="4">
        <f>SalesCleanTable[[#This Row],[Unit Price]] - SalesCleanTable[[#This Row],[Unit Cost]]</f>
        <v>1800</v>
      </c>
      <c r="AE49" s="41">
        <f>(SalesCleanTable[[#This Row],[Unit Price]] - SalesCleanTable[[#This Row],[Unit Cost]]) / SalesCleanTable[[#This Row],[Unit Price]]</f>
        <v>0.25714285714285712</v>
      </c>
    </row>
    <row r="50" spans="1:31">
      <c r="A50" t="s">
        <v>236</v>
      </c>
      <c r="B50" s="6">
        <v>45857</v>
      </c>
      <c r="C50" t="s">
        <v>103</v>
      </c>
      <c r="D50" t="s">
        <v>104</v>
      </c>
      <c r="E50" t="s">
        <v>92</v>
      </c>
      <c r="F50" t="s">
        <v>105</v>
      </c>
      <c r="G50" t="s">
        <v>106</v>
      </c>
      <c r="H50" t="s">
        <v>153</v>
      </c>
      <c r="I50" t="s">
        <v>154</v>
      </c>
      <c r="J50" t="s">
        <v>155</v>
      </c>
      <c r="K50" t="s">
        <v>131</v>
      </c>
      <c r="L50" t="s">
        <v>166</v>
      </c>
      <c r="M50" t="s">
        <v>171</v>
      </c>
      <c r="N50">
        <v>2</v>
      </c>
      <c r="O50" s="4">
        <v>1500</v>
      </c>
      <c r="P50" s="4">
        <v>2500</v>
      </c>
      <c r="Q50" s="7">
        <v>0.1</v>
      </c>
      <c r="R50" t="s">
        <v>181</v>
      </c>
      <c r="S50">
        <v>8</v>
      </c>
      <c r="T50">
        <v>5000</v>
      </c>
      <c r="U50">
        <v>500</v>
      </c>
      <c r="V50">
        <v>4500</v>
      </c>
      <c r="W50">
        <v>3000</v>
      </c>
      <c r="X50">
        <v>1500</v>
      </c>
      <c r="Y50" s="8">
        <v>0.33333333333333331</v>
      </c>
      <c r="Z50" t="s">
        <v>2996</v>
      </c>
      <c r="AA50" t="str">
        <f>IF(AND(SalesCleanTable[[#This Row],[Discount %]]&gt;0, SalesCleanTable[[#This Row],[Profit]]&lt;0), "Discount loss", "Safe")</f>
        <v>Safe</v>
      </c>
      <c r="AB50" s="25">
        <f>(SalesCleanTable[[#This Row],[Unit Price]] - SalesCleanTable[[#This Row],[Unit Cost]]) / SalesCleanTable[[#This Row],[Unit Price]]</f>
        <v>0.4</v>
      </c>
      <c r="AC50" t="str">
        <f>IF(SalesCleanTable[[#This Row],[Discount %]] &gt; SalesCleanTable[[#This Row],[Max Allowed Discount]], "Discount loss", "Safe")</f>
        <v>Safe</v>
      </c>
      <c r="AD50" s="4">
        <f>SalesCleanTable[[#This Row],[Unit Price]] - SalesCleanTable[[#This Row],[Unit Cost]]</f>
        <v>1000</v>
      </c>
      <c r="AE50" s="41">
        <f>(SalesCleanTable[[#This Row],[Unit Price]] - SalesCleanTable[[#This Row],[Unit Cost]]) / SalesCleanTable[[#This Row],[Unit Price]]</f>
        <v>0.4</v>
      </c>
    </row>
    <row r="51" spans="1:31">
      <c r="A51" t="s">
        <v>237</v>
      </c>
      <c r="B51" s="6">
        <v>45881</v>
      </c>
      <c r="C51" t="s">
        <v>53</v>
      </c>
      <c r="D51" t="s">
        <v>54</v>
      </c>
      <c r="E51" t="s">
        <v>38</v>
      </c>
      <c r="F51" t="s">
        <v>55</v>
      </c>
      <c r="G51" t="s">
        <v>56</v>
      </c>
      <c r="H51" t="s">
        <v>135</v>
      </c>
      <c r="I51" t="s">
        <v>136</v>
      </c>
      <c r="J51" t="s">
        <v>137</v>
      </c>
      <c r="K51" t="s">
        <v>138</v>
      </c>
      <c r="L51" t="s">
        <v>183</v>
      </c>
      <c r="M51" t="s">
        <v>171</v>
      </c>
      <c r="N51">
        <v>4</v>
      </c>
      <c r="O51" s="4">
        <v>330</v>
      </c>
      <c r="P51" s="4">
        <v>550</v>
      </c>
      <c r="Q51" s="7">
        <v>0.15</v>
      </c>
      <c r="R51" t="s">
        <v>178</v>
      </c>
      <c r="S51">
        <v>10</v>
      </c>
      <c r="T51">
        <v>2200</v>
      </c>
      <c r="U51">
        <v>330</v>
      </c>
      <c r="V51">
        <v>1870</v>
      </c>
      <c r="W51">
        <v>1320</v>
      </c>
      <c r="X51">
        <v>550</v>
      </c>
      <c r="Y51" s="8">
        <v>0.29411764705882354</v>
      </c>
      <c r="Z51" t="s">
        <v>2996</v>
      </c>
      <c r="AA51" t="str">
        <f>IF(AND(SalesCleanTable[[#This Row],[Discount %]]&gt;0, SalesCleanTable[[#This Row],[Profit]]&lt;0), "Discount loss", "Safe")</f>
        <v>Safe</v>
      </c>
      <c r="AB51" s="25">
        <f>(SalesCleanTable[[#This Row],[Unit Price]] - SalesCleanTable[[#This Row],[Unit Cost]]) / SalesCleanTable[[#This Row],[Unit Price]]</f>
        <v>0.4</v>
      </c>
      <c r="AC51" t="str">
        <f>IF(SalesCleanTable[[#This Row],[Discount %]] &gt; SalesCleanTable[[#This Row],[Max Allowed Discount]], "Discount loss", "Safe")</f>
        <v>Safe</v>
      </c>
      <c r="AD51" s="4">
        <f>SalesCleanTable[[#This Row],[Unit Price]] - SalesCleanTable[[#This Row],[Unit Cost]]</f>
        <v>220</v>
      </c>
      <c r="AE51" s="41">
        <f>(SalesCleanTable[[#This Row],[Unit Price]] - SalesCleanTable[[#This Row],[Unit Cost]]) / SalesCleanTable[[#This Row],[Unit Price]]</f>
        <v>0.4</v>
      </c>
    </row>
    <row r="52" spans="1:31">
      <c r="A52" t="s">
        <v>238</v>
      </c>
      <c r="B52" s="6">
        <v>45859</v>
      </c>
      <c r="C52" t="s">
        <v>66</v>
      </c>
      <c r="D52" t="s">
        <v>67</v>
      </c>
      <c r="E52" t="s">
        <v>59</v>
      </c>
      <c r="F52" t="s">
        <v>60</v>
      </c>
      <c r="G52" t="s">
        <v>68</v>
      </c>
      <c r="H52" t="s">
        <v>141</v>
      </c>
      <c r="I52" t="s">
        <v>142</v>
      </c>
      <c r="J52" t="s">
        <v>143</v>
      </c>
      <c r="K52" t="s">
        <v>144</v>
      </c>
      <c r="L52" t="s">
        <v>183</v>
      </c>
      <c r="M52" t="s">
        <v>177</v>
      </c>
      <c r="N52">
        <v>1</v>
      </c>
      <c r="O52" s="4">
        <v>2800</v>
      </c>
      <c r="P52" s="4">
        <v>3900</v>
      </c>
      <c r="Q52" s="7">
        <v>0.05</v>
      </c>
      <c r="R52" t="s">
        <v>204</v>
      </c>
      <c r="S52">
        <v>7</v>
      </c>
      <c r="T52">
        <v>3900</v>
      </c>
      <c r="U52">
        <v>195</v>
      </c>
      <c r="V52">
        <v>3705</v>
      </c>
      <c r="W52">
        <v>2800</v>
      </c>
      <c r="X52">
        <v>905</v>
      </c>
      <c r="Y52" s="8">
        <v>0.24426450742240216</v>
      </c>
      <c r="Z52" t="s">
        <v>2996</v>
      </c>
      <c r="AA52" t="str">
        <f>IF(AND(SalesCleanTable[[#This Row],[Discount %]]&gt;0, SalesCleanTable[[#This Row],[Profit]]&lt;0), "Discount loss", "Safe")</f>
        <v>Safe</v>
      </c>
      <c r="AB52" s="25">
        <f>(SalesCleanTable[[#This Row],[Unit Price]] - SalesCleanTable[[#This Row],[Unit Cost]]) / SalesCleanTable[[#This Row],[Unit Price]]</f>
        <v>0.28205128205128205</v>
      </c>
      <c r="AC52" t="str">
        <f>IF(SalesCleanTable[[#This Row],[Discount %]] &gt; SalesCleanTable[[#This Row],[Max Allowed Discount]], "Discount loss", "Safe")</f>
        <v>Safe</v>
      </c>
      <c r="AD52" s="4">
        <f>SalesCleanTable[[#This Row],[Unit Price]] - SalesCleanTable[[#This Row],[Unit Cost]]</f>
        <v>1100</v>
      </c>
      <c r="AE52" s="41">
        <f>(SalesCleanTable[[#This Row],[Unit Price]] - SalesCleanTable[[#This Row],[Unit Cost]]) / SalesCleanTable[[#This Row],[Unit Price]]</f>
        <v>0.28205128205128205</v>
      </c>
    </row>
    <row r="53" spans="1:31">
      <c r="A53" t="s">
        <v>239</v>
      </c>
      <c r="B53" s="6">
        <v>45890</v>
      </c>
      <c r="C53" t="s">
        <v>45</v>
      </c>
      <c r="D53" t="s">
        <v>46</v>
      </c>
      <c r="E53" t="s">
        <v>38</v>
      </c>
      <c r="F53" t="s">
        <v>47</v>
      </c>
      <c r="G53" t="s">
        <v>48</v>
      </c>
      <c r="H53" t="s">
        <v>145</v>
      </c>
      <c r="I53" t="s">
        <v>146</v>
      </c>
      <c r="J53" t="s">
        <v>147</v>
      </c>
      <c r="K53" t="s">
        <v>148</v>
      </c>
      <c r="L53" t="s">
        <v>183</v>
      </c>
      <c r="M53" t="s">
        <v>167</v>
      </c>
      <c r="N53">
        <v>2</v>
      </c>
      <c r="O53" s="4">
        <v>230</v>
      </c>
      <c r="P53" s="4">
        <v>400</v>
      </c>
      <c r="Q53" s="7">
        <v>0.1</v>
      </c>
      <c r="R53" t="s">
        <v>178</v>
      </c>
      <c r="S53">
        <v>8</v>
      </c>
      <c r="T53">
        <v>800</v>
      </c>
      <c r="U53">
        <v>80</v>
      </c>
      <c r="V53">
        <v>720</v>
      </c>
      <c r="W53">
        <v>460</v>
      </c>
      <c r="X53">
        <v>260</v>
      </c>
      <c r="Y53" s="8">
        <v>0.3611111111111111</v>
      </c>
      <c r="Z53" t="s">
        <v>2995</v>
      </c>
      <c r="AA53" t="str">
        <f>IF(AND(SalesCleanTable[[#This Row],[Discount %]]&gt;0, SalesCleanTable[[#This Row],[Profit]]&lt;0), "Discount loss", "Safe")</f>
        <v>Safe</v>
      </c>
      <c r="AB53" s="25">
        <f>(SalesCleanTable[[#This Row],[Unit Price]] - SalesCleanTable[[#This Row],[Unit Cost]]) / SalesCleanTable[[#This Row],[Unit Price]]</f>
        <v>0.42499999999999999</v>
      </c>
      <c r="AC53" t="str">
        <f>IF(SalesCleanTable[[#This Row],[Discount %]] &gt; SalesCleanTable[[#This Row],[Max Allowed Discount]], "Discount loss", "Safe")</f>
        <v>Safe</v>
      </c>
      <c r="AD53" s="4">
        <f>SalesCleanTable[[#This Row],[Unit Price]] - SalesCleanTable[[#This Row],[Unit Cost]]</f>
        <v>170</v>
      </c>
      <c r="AE53" s="41">
        <f>(SalesCleanTable[[#This Row],[Unit Price]] - SalesCleanTable[[#This Row],[Unit Cost]]) / SalesCleanTable[[#This Row],[Unit Price]]</f>
        <v>0.42499999999999999</v>
      </c>
    </row>
    <row r="54" spans="1:31">
      <c r="A54" t="s">
        <v>240</v>
      </c>
      <c r="B54" s="6">
        <v>45934</v>
      </c>
      <c r="C54" t="s">
        <v>24</v>
      </c>
      <c r="D54" t="s">
        <v>25</v>
      </c>
      <c r="E54" t="s">
        <v>26</v>
      </c>
      <c r="F54" t="s">
        <v>27</v>
      </c>
      <c r="G54" t="s">
        <v>28</v>
      </c>
      <c r="H54" t="s">
        <v>153</v>
      </c>
      <c r="I54" t="s">
        <v>154</v>
      </c>
      <c r="J54" t="s">
        <v>155</v>
      </c>
      <c r="K54" t="s">
        <v>131</v>
      </c>
      <c r="L54" t="s">
        <v>170</v>
      </c>
      <c r="M54" t="s">
        <v>177</v>
      </c>
      <c r="N54">
        <v>2</v>
      </c>
      <c r="O54" s="4">
        <v>14500</v>
      </c>
      <c r="P54" s="4">
        <v>17500</v>
      </c>
      <c r="Q54" s="7">
        <v>0</v>
      </c>
      <c r="R54" t="s">
        <v>197</v>
      </c>
      <c r="S54">
        <v>4</v>
      </c>
      <c r="T54">
        <v>35000</v>
      </c>
      <c r="U54">
        <v>0</v>
      </c>
      <c r="V54">
        <v>35000</v>
      </c>
      <c r="W54">
        <v>29000</v>
      </c>
      <c r="X54">
        <v>6000</v>
      </c>
      <c r="Y54" s="8">
        <v>0.17142857142857143</v>
      </c>
      <c r="Z54" t="s">
        <v>2995</v>
      </c>
      <c r="AA54" t="str">
        <f>IF(AND(SalesCleanTable[[#This Row],[Discount %]]&gt;0, SalesCleanTable[[#This Row],[Profit]]&lt;0), "Discount loss", "Safe")</f>
        <v>Safe</v>
      </c>
      <c r="AB54" s="25">
        <f>(SalesCleanTable[[#This Row],[Unit Price]] - SalesCleanTable[[#This Row],[Unit Cost]]) / SalesCleanTable[[#This Row],[Unit Price]]</f>
        <v>0.17142857142857143</v>
      </c>
      <c r="AC54" t="str">
        <f>IF(SalesCleanTable[[#This Row],[Discount %]] &gt; SalesCleanTable[[#This Row],[Max Allowed Discount]], "Discount loss", "Safe")</f>
        <v>Safe</v>
      </c>
      <c r="AD54" s="4">
        <f>SalesCleanTable[[#This Row],[Unit Price]] - SalesCleanTable[[#This Row],[Unit Cost]]</f>
        <v>3000</v>
      </c>
      <c r="AE54" s="41">
        <f>(SalesCleanTable[[#This Row],[Unit Price]] - SalesCleanTable[[#This Row],[Unit Cost]]) / SalesCleanTable[[#This Row],[Unit Price]]</f>
        <v>0.17142857142857143</v>
      </c>
    </row>
    <row r="55" spans="1:31">
      <c r="A55" t="s">
        <v>241</v>
      </c>
      <c r="B55" s="6">
        <v>45668</v>
      </c>
      <c r="C55" t="s">
        <v>73</v>
      </c>
      <c r="D55" t="s">
        <v>74</v>
      </c>
      <c r="E55" t="s">
        <v>75</v>
      </c>
      <c r="F55" t="s">
        <v>76</v>
      </c>
      <c r="G55" t="s">
        <v>77</v>
      </c>
      <c r="H55" t="s">
        <v>133</v>
      </c>
      <c r="I55" t="s">
        <v>134</v>
      </c>
      <c r="J55" t="s">
        <v>130</v>
      </c>
      <c r="K55" t="s">
        <v>131</v>
      </c>
      <c r="L55" t="s">
        <v>170</v>
      </c>
      <c r="M55" t="s">
        <v>186</v>
      </c>
      <c r="N55">
        <v>3</v>
      </c>
      <c r="O55" s="4">
        <v>3500</v>
      </c>
      <c r="P55" s="4">
        <v>5200</v>
      </c>
      <c r="Q55" s="7">
        <v>0</v>
      </c>
      <c r="R55" t="s">
        <v>208</v>
      </c>
      <c r="S55">
        <v>13</v>
      </c>
      <c r="T55">
        <v>15600</v>
      </c>
      <c r="U55">
        <v>0</v>
      </c>
      <c r="V55">
        <v>15600</v>
      </c>
      <c r="W55">
        <v>10500</v>
      </c>
      <c r="X55">
        <v>5100</v>
      </c>
      <c r="Y55" s="8">
        <v>0.32692307692307693</v>
      </c>
      <c r="Z55" t="s">
        <v>2996</v>
      </c>
      <c r="AA55" t="str">
        <f>IF(AND(SalesCleanTable[[#This Row],[Discount %]]&gt;0, SalesCleanTable[[#This Row],[Profit]]&lt;0), "Discount loss", "Safe")</f>
        <v>Safe</v>
      </c>
      <c r="AB55" s="25">
        <f>(SalesCleanTable[[#This Row],[Unit Price]] - SalesCleanTable[[#This Row],[Unit Cost]]) / SalesCleanTable[[#This Row],[Unit Price]]</f>
        <v>0.32692307692307693</v>
      </c>
      <c r="AC55" t="str">
        <f>IF(SalesCleanTable[[#This Row],[Discount %]] &gt; SalesCleanTable[[#This Row],[Max Allowed Discount]], "Discount loss", "Safe")</f>
        <v>Safe</v>
      </c>
      <c r="AD55" s="4">
        <f>SalesCleanTable[[#This Row],[Unit Price]] - SalesCleanTable[[#This Row],[Unit Cost]]</f>
        <v>1700</v>
      </c>
      <c r="AE55" s="41">
        <f>(SalesCleanTable[[#This Row],[Unit Price]] - SalesCleanTable[[#This Row],[Unit Cost]]) / SalesCleanTable[[#This Row],[Unit Price]]</f>
        <v>0.32692307692307693</v>
      </c>
    </row>
    <row r="56" spans="1:31">
      <c r="A56" t="s">
        <v>242</v>
      </c>
      <c r="B56" s="6">
        <v>45968</v>
      </c>
      <c r="C56" t="s">
        <v>69</v>
      </c>
      <c r="D56" t="s">
        <v>70</v>
      </c>
      <c r="E56" t="s">
        <v>59</v>
      </c>
      <c r="F56" t="s">
        <v>71</v>
      </c>
      <c r="G56" t="s">
        <v>72</v>
      </c>
      <c r="H56" t="s">
        <v>145</v>
      </c>
      <c r="I56" t="s">
        <v>146</v>
      </c>
      <c r="J56" t="s">
        <v>147</v>
      </c>
      <c r="K56" t="s">
        <v>148</v>
      </c>
      <c r="L56" t="s">
        <v>170</v>
      </c>
      <c r="M56" t="s">
        <v>177</v>
      </c>
      <c r="N56">
        <v>1</v>
      </c>
      <c r="O56" s="4">
        <v>1700</v>
      </c>
      <c r="P56" s="4">
        <v>2600</v>
      </c>
      <c r="Q56" s="7">
        <v>0.15</v>
      </c>
      <c r="R56" t="s">
        <v>192</v>
      </c>
      <c r="S56">
        <v>5</v>
      </c>
      <c r="T56">
        <v>2600</v>
      </c>
      <c r="U56">
        <v>390</v>
      </c>
      <c r="V56">
        <v>2210</v>
      </c>
      <c r="W56">
        <v>1700</v>
      </c>
      <c r="X56">
        <v>510</v>
      </c>
      <c r="Y56" s="8">
        <v>0.23076923076923078</v>
      </c>
      <c r="Z56" t="s">
        <v>2997</v>
      </c>
      <c r="AA56" t="str">
        <f>IF(AND(SalesCleanTable[[#This Row],[Discount %]]&gt;0, SalesCleanTable[[#This Row],[Profit]]&lt;0), "Discount loss", "Safe")</f>
        <v>Safe</v>
      </c>
      <c r="AB56" s="25">
        <f>(SalesCleanTable[[#This Row],[Unit Price]] - SalesCleanTable[[#This Row],[Unit Cost]]) / SalesCleanTable[[#This Row],[Unit Price]]</f>
        <v>0.34615384615384615</v>
      </c>
      <c r="AC56" t="str">
        <f>IF(SalesCleanTable[[#This Row],[Discount %]] &gt; SalesCleanTable[[#This Row],[Max Allowed Discount]], "Discount loss", "Safe")</f>
        <v>Safe</v>
      </c>
      <c r="AD56" s="4">
        <f>SalesCleanTable[[#This Row],[Unit Price]] - SalesCleanTable[[#This Row],[Unit Cost]]</f>
        <v>900</v>
      </c>
      <c r="AE56" s="41">
        <f>(SalesCleanTable[[#This Row],[Unit Price]] - SalesCleanTable[[#This Row],[Unit Cost]]) / SalesCleanTable[[#This Row],[Unit Price]]</f>
        <v>0.34615384615384615</v>
      </c>
    </row>
    <row r="57" spans="1:31">
      <c r="A57" t="s">
        <v>243</v>
      </c>
      <c r="B57" s="6">
        <v>45850</v>
      </c>
      <c r="C57" t="s">
        <v>49</v>
      </c>
      <c r="D57" t="s">
        <v>50</v>
      </c>
      <c r="E57" t="s">
        <v>38</v>
      </c>
      <c r="F57" t="s">
        <v>51</v>
      </c>
      <c r="G57" t="s">
        <v>52</v>
      </c>
      <c r="H57" t="s">
        <v>145</v>
      </c>
      <c r="I57" t="s">
        <v>146</v>
      </c>
      <c r="J57" t="s">
        <v>147</v>
      </c>
      <c r="K57" t="s">
        <v>148</v>
      </c>
      <c r="L57" t="s">
        <v>183</v>
      </c>
      <c r="M57" t="s">
        <v>177</v>
      </c>
      <c r="N57">
        <v>1</v>
      </c>
      <c r="O57" s="4">
        <v>550</v>
      </c>
      <c r="P57" s="4">
        <v>850</v>
      </c>
      <c r="Q57" s="7">
        <v>0.1</v>
      </c>
      <c r="R57" t="s">
        <v>175</v>
      </c>
      <c r="S57">
        <v>14</v>
      </c>
      <c r="T57">
        <v>850</v>
      </c>
      <c r="U57">
        <v>85</v>
      </c>
      <c r="V57">
        <v>765</v>
      </c>
      <c r="W57">
        <v>550</v>
      </c>
      <c r="X57">
        <v>215</v>
      </c>
      <c r="Y57" s="8">
        <v>0.28104575163398693</v>
      </c>
      <c r="Z57" t="s">
        <v>2996</v>
      </c>
      <c r="AA57" t="str">
        <f>IF(AND(SalesCleanTable[[#This Row],[Discount %]]&gt;0, SalesCleanTable[[#This Row],[Profit]]&lt;0), "Discount loss", "Safe")</f>
        <v>Safe</v>
      </c>
      <c r="AB57" s="25">
        <f>(SalesCleanTable[[#This Row],[Unit Price]] - SalesCleanTable[[#This Row],[Unit Cost]]) / SalesCleanTable[[#This Row],[Unit Price]]</f>
        <v>0.35294117647058826</v>
      </c>
      <c r="AC57" t="str">
        <f>IF(SalesCleanTable[[#This Row],[Discount %]] &gt; SalesCleanTable[[#This Row],[Max Allowed Discount]], "Discount loss", "Safe")</f>
        <v>Safe</v>
      </c>
      <c r="AD57" s="4">
        <f>SalesCleanTable[[#This Row],[Unit Price]] - SalesCleanTable[[#This Row],[Unit Cost]]</f>
        <v>300</v>
      </c>
      <c r="AE57" s="41">
        <f>(SalesCleanTable[[#This Row],[Unit Price]] - SalesCleanTable[[#This Row],[Unit Cost]]) / SalesCleanTable[[#This Row],[Unit Price]]</f>
        <v>0.35294117647058826</v>
      </c>
    </row>
    <row r="58" spans="1:31">
      <c r="A58" t="s">
        <v>244</v>
      </c>
      <c r="B58" s="6">
        <v>45719</v>
      </c>
      <c r="C58" t="s">
        <v>95</v>
      </c>
      <c r="D58" t="s">
        <v>96</v>
      </c>
      <c r="E58" t="s">
        <v>92</v>
      </c>
      <c r="F58" t="s">
        <v>97</v>
      </c>
      <c r="G58" t="s">
        <v>98</v>
      </c>
      <c r="H58" t="s">
        <v>139</v>
      </c>
      <c r="I58" t="s">
        <v>140</v>
      </c>
      <c r="J58" t="s">
        <v>137</v>
      </c>
      <c r="K58" t="s">
        <v>138</v>
      </c>
      <c r="L58" t="s">
        <v>183</v>
      </c>
      <c r="M58" t="s">
        <v>177</v>
      </c>
      <c r="N58">
        <v>-1</v>
      </c>
      <c r="O58" s="4">
        <v>18000</v>
      </c>
      <c r="P58" s="4">
        <v>24500</v>
      </c>
      <c r="Q58" s="7">
        <v>0.05</v>
      </c>
      <c r="R58" t="s">
        <v>215</v>
      </c>
      <c r="S58">
        <v>6</v>
      </c>
      <c r="T58">
        <v>-24500</v>
      </c>
      <c r="U58">
        <v>-1225</v>
      </c>
      <c r="V58">
        <v>-23275</v>
      </c>
      <c r="W58">
        <v>-18000</v>
      </c>
      <c r="X58">
        <v>-5275</v>
      </c>
      <c r="Y58" s="8">
        <v>0.22663802363050484</v>
      </c>
      <c r="Z58" t="s">
        <v>2995</v>
      </c>
      <c r="AA58" t="str">
        <f>IF(AND(SalesCleanTable[[#This Row],[Discount %]]&gt;0, SalesCleanTable[[#This Row],[Profit]]&lt;0), "Discount loss", "Safe")</f>
        <v>Discount loss</v>
      </c>
      <c r="AB58" s="25">
        <f>(SalesCleanTable[[#This Row],[Unit Price]] - SalesCleanTable[[#This Row],[Unit Cost]]) / SalesCleanTable[[#This Row],[Unit Price]]</f>
        <v>0.26530612244897961</v>
      </c>
      <c r="AC58" t="str">
        <f>IF(SalesCleanTable[[#This Row],[Discount %]] &gt; SalesCleanTable[[#This Row],[Max Allowed Discount]], "Discount loss", "Safe")</f>
        <v>Safe</v>
      </c>
      <c r="AD58" s="4">
        <f>SalesCleanTable[[#This Row],[Unit Price]] - SalesCleanTable[[#This Row],[Unit Cost]]</f>
        <v>6500</v>
      </c>
      <c r="AE58" s="41">
        <f>(SalesCleanTable[[#This Row],[Unit Price]] - SalesCleanTable[[#This Row],[Unit Cost]]) / SalesCleanTable[[#This Row],[Unit Price]]</f>
        <v>0.26530612244897961</v>
      </c>
    </row>
    <row r="59" spans="1:31">
      <c r="A59" t="s">
        <v>245</v>
      </c>
      <c r="B59" s="6">
        <v>45908</v>
      </c>
      <c r="C59" t="s">
        <v>32</v>
      </c>
      <c r="D59" t="s">
        <v>33</v>
      </c>
      <c r="E59" t="s">
        <v>26</v>
      </c>
      <c r="F59" t="s">
        <v>34</v>
      </c>
      <c r="G59" t="s">
        <v>35</v>
      </c>
      <c r="H59" t="s">
        <v>153</v>
      </c>
      <c r="I59" t="s">
        <v>154</v>
      </c>
      <c r="J59" t="s">
        <v>155</v>
      </c>
      <c r="K59" t="s">
        <v>131</v>
      </c>
      <c r="L59" t="s">
        <v>183</v>
      </c>
      <c r="M59" t="s">
        <v>186</v>
      </c>
      <c r="N59">
        <v>3</v>
      </c>
      <c r="O59" s="4">
        <v>7800</v>
      </c>
      <c r="P59" s="4">
        <v>9800</v>
      </c>
      <c r="Q59" s="7">
        <v>0.15</v>
      </c>
      <c r="R59" t="s">
        <v>173</v>
      </c>
      <c r="S59">
        <v>9</v>
      </c>
      <c r="T59">
        <v>29400</v>
      </c>
      <c r="U59">
        <v>4410</v>
      </c>
      <c r="V59">
        <v>24990</v>
      </c>
      <c r="W59">
        <v>23400</v>
      </c>
      <c r="X59">
        <v>1590</v>
      </c>
      <c r="Y59" s="8">
        <v>6.3625450180072027E-2</v>
      </c>
      <c r="Z59" t="s">
        <v>2995</v>
      </c>
      <c r="AA59" t="str">
        <f>IF(AND(SalesCleanTable[[#This Row],[Discount %]]&gt;0, SalesCleanTable[[#This Row],[Profit]]&lt;0), "Discount loss", "Safe")</f>
        <v>Safe</v>
      </c>
      <c r="AB59" s="25">
        <f>(SalesCleanTable[[#This Row],[Unit Price]] - SalesCleanTable[[#This Row],[Unit Cost]]) / SalesCleanTable[[#This Row],[Unit Price]]</f>
        <v>0.20408163265306123</v>
      </c>
      <c r="AC59" t="str">
        <f>IF(SalesCleanTable[[#This Row],[Discount %]] &gt; SalesCleanTable[[#This Row],[Max Allowed Discount]], "Discount loss", "Safe")</f>
        <v>Safe</v>
      </c>
      <c r="AD59" s="4">
        <f>SalesCleanTable[[#This Row],[Unit Price]] - SalesCleanTable[[#This Row],[Unit Cost]]</f>
        <v>2000</v>
      </c>
      <c r="AE59" s="41">
        <f>(SalesCleanTable[[#This Row],[Unit Price]] - SalesCleanTable[[#This Row],[Unit Cost]]) / SalesCleanTable[[#This Row],[Unit Price]]</f>
        <v>0.20408163265306123</v>
      </c>
    </row>
    <row r="60" spans="1:31">
      <c r="A60" t="s">
        <v>246</v>
      </c>
      <c r="B60" s="6">
        <v>45796</v>
      </c>
      <c r="C60" t="s">
        <v>73</v>
      </c>
      <c r="D60" t="s">
        <v>74</v>
      </c>
      <c r="E60" t="s">
        <v>75</v>
      </c>
      <c r="F60" t="s">
        <v>76</v>
      </c>
      <c r="G60" t="s">
        <v>77</v>
      </c>
      <c r="H60" t="s">
        <v>149</v>
      </c>
      <c r="I60" t="s">
        <v>150</v>
      </c>
      <c r="J60" t="s">
        <v>151</v>
      </c>
      <c r="K60" t="s">
        <v>152</v>
      </c>
      <c r="L60" t="s">
        <v>183</v>
      </c>
      <c r="M60" t="s">
        <v>171</v>
      </c>
      <c r="N60">
        <v>5</v>
      </c>
      <c r="O60" s="4">
        <v>3500</v>
      </c>
      <c r="P60" s="4">
        <v>5200</v>
      </c>
      <c r="Q60" s="7">
        <v>0.05</v>
      </c>
      <c r="R60" t="s">
        <v>208</v>
      </c>
      <c r="S60">
        <v>14</v>
      </c>
      <c r="T60">
        <v>26000</v>
      </c>
      <c r="U60">
        <v>1300</v>
      </c>
      <c r="V60">
        <v>24700</v>
      </c>
      <c r="W60">
        <v>17500</v>
      </c>
      <c r="X60">
        <v>7200</v>
      </c>
      <c r="Y60" s="8">
        <v>0.291497975708502</v>
      </c>
      <c r="Z60" t="s">
        <v>2996</v>
      </c>
      <c r="AA60" t="str">
        <f>IF(AND(SalesCleanTable[[#This Row],[Discount %]]&gt;0, SalesCleanTable[[#This Row],[Profit]]&lt;0), "Discount loss", "Safe")</f>
        <v>Safe</v>
      </c>
      <c r="AB60" s="25">
        <f>(SalesCleanTable[[#This Row],[Unit Price]] - SalesCleanTable[[#This Row],[Unit Cost]]) / SalesCleanTable[[#This Row],[Unit Price]]</f>
        <v>0.32692307692307693</v>
      </c>
      <c r="AC60" t="str">
        <f>IF(SalesCleanTable[[#This Row],[Discount %]] &gt; SalesCleanTable[[#This Row],[Max Allowed Discount]], "Discount loss", "Safe")</f>
        <v>Safe</v>
      </c>
      <c r="AD60" s="4">
        <f>SalesCleanTable[[#This Row],[Unit Price]] - SalesCleanTable[[#This Row],[Unit Cost]]</f>
        <v>1700</v>
      </c>
      <c r="AE60" s="41">
        <f>(SalesCleanTable[[#This Row],[Unit Price]] - SalesCleanTable[[#This Row],[Unit Cost]]) / SalesCleanTable[[#This Row],[Unit Price]]</f>
        <v>0.32692307692307693</v>
      </c>
    </row>
    <row r="61" spans="1:31">
      <c r="A61" t="s">
        <v>247</v>
      </c>
      <c r="B61" s="6">
        <v>45702</v>
      </c>
      <c r="C61" t="s">
        <v>45</v>
      </c>
      <c r="D61" t="s">
        <v>46</v>
      </c>
      <c r="E61" t="s">
        <v>38</v>
      </c>
      <c r="F61" t="s">
        <v>47</v>
      </c>
      <c r="G61" t="s">
        <v>48</v>
      </c>
      <c r="H61" t="s">
        <v>139</v>
      </c>
      <c r="I61" t="s">
        <v>140</v>
      </c>
      <c r="J61" t="s">
        <v>137</v>
      </c>
      <c r="K61" t="s">
        <v>138</v>
      </c>
      <c r="L61" t="s">
        <v>183</v>
      </c>
      <c r="M61" t="s">
        <v>186</v>
      </c>
      <c r="N61">
        <v>4</v>
      </c>
      <c r="O61" s="4">
        <v>230</v>
      </c>
      <c r="P61" s="4">
        <v>400</v>
      </c>
      <c r="Q61" s="7">
        <v>0.1</v>
      </c>
      <c r="R61" t="s">
        <v>175</v>
      </c>
      <c r="S61">
        <v>14</v>
      </c>
      <c r="T61">
        <v>1600</v>
      </c>
      <c r="U61">
        <v>160</v>
      </c>
      <c r="V61">
        <v>1440</v>
      </c>
      <c r="W61">
        <v>920</v>
      </c>
      <c r="X61">
        <v>520</v>
      </c>
      <c r="Y61" s="8">
        <v>0.3611111111111111</v>
      </c>
      <c r="Z61" t="s">
        <v>2995</v>
      </c>
      <c r="AA61" t="str">
        <f>IF(AND(SalesCleanTable[[#This Row],[Discount %]]&gt;0, SalesCleanTable[[#This Row],[Profit]]&lt;0), "Discount loss", "Safe")</f>
        <v>Safe</v>
      </c>
      <c r="AB61" s="25">
        <f>(SalesCleanTable[[#This Row],[Unit Price]] - SalesCleanTable[[#This Row],[Unit Cost]]) / SalesCleanTable[[#This Row],[Unit Price]]</f>
        <v>0.42499999999999999</v>
      </c>
      <c r="AC61" t="str">
        <f>IF(SalesCleanTable[[#This Row],[Discount %]] &gt; SalesCleanTable[[#This Row],[Max Allowed Discount]], "Discount loss", "Safe")</f>
        <v>Safe</v>
      </c>
      <c r="AD61" s="4">
        <f>SalesCleanTable[[#This Row],[Unit Price]] - SalesCleanTable[[#This Row],[Unit Cost]]</f>
        <v>170</v>
      </c>
      <c r="AE61" s="41">
        <f>(SalesCleanTable[[#This Row],[Unit Price]] - SalesCleanTable[[#This Row],[Unit Cost]]) / SalesCleanTable[[#This Row],[Unit Price]]</f>
        <v>0.42499999999999999</v>
      </c>
    </row>
    <row r="62" spans="1:31">
      <c r="A62" t="s">
        <v>248</v>
      </c>
      <c r="B62" s="6">
        <v>45907</v>
      </c>
      <c r="C62" t="s">
        <v>41</v>
      </c>
      <c r="D62" t="s">
        <v>42</v>
      </c>
      <c r="E62" t="s">
        <v>26</v>
      </c>
      <c r="F62" t="s">
        <v>43</v>
      </c>
      <c r="G62" t="s">
        <v>44</v>
      </c>
      <c r="H62" t="s">
        <v>145</v>
      </c>
      <c r="I62" t="s">
        <v>146</v>
      </c>
      <c r="J62" t="s">
        <v>147</v>
      </c>
      <c r="K62" t="s">
        <v>148</v>
      </c>
      <c r="L62" t="s">
        <v>183</v>
      </c>
      <c r="M62" t="s">
        <v>167</v>
      </c>
      <c r="N62">
        <v>2</v>
      </c>
      <c r="O62" s="4">
        <v>850</v>
      </c>
      <c r="P62" s="4">
        <v>1300</v>
      </c>
      <c r="Q62" s="7">
        <v>0.15</v>
      </c>
      <c r="R62" t="s">
        <v>197</v>
      </c>
      <c r="S62">
        <v>9</v>
      </c>
      <c r="T62">
        <v>2600</v>
      </c>
      <c r="U62">
        <v>390</v>
      </c>
      <c r="V62">
        <v>2210</v>
      </c>
      <c r="W62">
        <v>1700</v>
      </c>
      <c r="X62">
        <v>510</v>
      </c>
      <c r="Y62" s="8">
        <v>0.23076923076923078</v>
      </c>
      <c r="Z62" t="s">
        <v>2995</v>
      </c>
      <c r="AA62" t="str">
        <f>IF(AND(SalesCleanTable[[#This Row],[Discount %]]&gt;0, SalesCleanTable[[#This Row],[Profit]]&lt;0), "Discount loss", "Safe")</f>
        <v>Safe</v>
      </c>
      <c r="AB62" s="25">
        <f>(SalesCleanTable[[#This Row],[Unit Price]] - SalesCleanTable[[#This Row],[Unit Cost]]) / SalesCleanTable[[#This Row],[Unit Price]]</f>
        <v>0.34615384615384615</v>
      </c>
      <c r="AC62" t="str">
        <f>IF(SalesCleanTable[[#This Row],[Discount %]] &gt; SalesCleanTable[[#This Row],[Max Allowed Discount]], "Discount loss", "Safe")</f>
        <v>Safe</v>
      </c>
      <c r="AD62" s="4">
        <f>SalesCleanTable[[#This Row],[Unit Price]] - SalesCleanTable[[#This Row],[Unit Cost]]</f>
        <v>450</v>
      </c>
      <c r="AE62" s="41">
        <f>(SalesCleanTable[[#This Row],[Unit Price]] - SalesCleanTable[[#This Row],[Unit Cost]]) / SalesCleanTable[[#This Row],[Unit Price]]</f>
        <v>0.34615384615384615</v>
      </c>
    </row>
    <row r="63" spans="1:31">
      <c r="A63" t="s">
        <v>249</v>
      </c>
      <c r="B63" s="6">
        <v>45701</v>
      </c>
      <c r="C63" t="s">
        <v>41</v>
      </c>
      <c r="D63" t="s">
        <v>42</v>
      </c>
      <c r="E63" t="s">
        <v>26</v>
      </c>
      <c r="F63" t="s">
        <v>43</v>
      </c>
      <c r="G63" t="s">
        <v>44</v>
      </c>
      <c r="H63" t="s">
        <v>135</v>
      </c>
      <c r="I63" t="s">
        <v>136</v>
      </c>
      <c r="J63" t="s">
        <v>137</v>
      </c>
      <c r="K63" t="s">
        <v>138</v>
      </c>
      <c r="L63" t="s">
        <v>166</v>
      </c>
      <c r="M63" t="s">
        <v>171</v>
      </c>
      <c r="N63">
        <v>-1</v>
      </c>
      <c r="O63" s="4">
        <v>850</v>
      </c>
      <c r="P63" s="4">
        <v>1300</v>
      </c>
      <c r="Q63" s="7">
        <v>0</v>
      </c>
      <c r="R63" t="s">
        <v>194</v>
      </c>
      <c r="S63">
        <v>13</v>
      </c>
      <c r="T63">
        <v>-1300</v>
      </c>
      <c r="U63">
        <v>0</v>
      </c>
      <c r="V63">
        <v>-1300</v>
      </c>
      <c r="W63">
        <v>-850</v>
      </c>
      <c r="X63">
        <v>-450</v>
      </c>
      <c r="Y63" s="8">
        <v>0.34615384615384615</v>
      </c>
      <c r="Z63" t="s">
        <v>2995</v>
      </c>
      <c r="AA63" t="str">
        <f>IF(AND(SalesCleanTable[[#This Row],[Discount %]]&gt;0, SalesCleanTable[[#This Row],[Profit]]&lt;0), "Discount loss", "Safe")</f>
        <v>Safe</v>
      </c>
      <c r="AB63" s="25">
        <f>(SalesCleanTable[[#This Row],[Unit Price]] - SalesCleanTable[[#This Row],[Unit Cost]]) / SalesCleanTable[[#This Row],[Unit Price]]</f>
        <v>0.34615384615384615</v>
      </c>
      <c r="AC63" t="str">
        <f>IF(SalesCleanTable[[#This Row],[Discount %]] &gt; SalesCleanTable[[#This Row],[Max Allowed Discount]], "Discount loss", "Safe")</f>
        <v>Safe</v>
      </c>
      <c r="AD63" s="4">
        <f>SalesCleanTable[[#This Row],[Unit Price]] - SalesCleanTable[[#This Row],[Unit Cost]]</f>
        <v>450</v>
      </c>
      <c r="AE63" s="41">
        <f>(SalesCleanTable[[#This Row],[Unit Price]] - SalesCleanTable[[#This Row],[Unit Cost]]) / SalesCleanTable[[#This Row],[Unit Price]]</f>
        <v>0.34615384615384615</v>
      </c>
    </row>
    <row r="64" spans="1:31">
      <c r="A64" t="s">
        <v>250</v>
      </c>
      <c r="B64" s="6">
        <v>45771</v>
      </c>
      <c r="C64" t="s">
        <v>49</v>
      </c>
      <c r="D64" t="s">
        <v>50</v>
      </c>
      <c r="E64" t="s">
        <v>38</v>
      </c>
      <c r="F64" t="s">
        <v>51</v>
      </c>
      <c r="G64" t="s">
        <v>52</v>
      </c>
      <c r="H64" t="s">
        <v>133</v>
      </c>
      <c r="I64" t="s">
        <v>134</v>
      </c>
      <c r="J64" t="s">
        <v>130</v>
      </c>
      <c r="K64" t="s">
        <v>131</v>
      </c>
      <c r="L64" t="s">
        <v>166</v>
      </c>
      <c r="M64" t="s">
        <v>186</v>
      </c>
      <c r="N64">
        <v>4</v>
      </c>
      <c r="O64" s="4">
        <v>550</v>
      </c>
      <c r="P64" s="4">
        <v>850</v>
      </c>
      <c r="Q64" s="7">
        <v>0.05</v>
      </c>
      <c r="R64" t="s">
        <v>168</v>
      </c>
      <c r="S64">
        <v>9</v>
      </c>
      <c r="T64">
        <v>3400</v>
      </c>
      <c r="U64">
        <v>170</v>
      </c>
      <c r="V64">
        <v>3230</v>
      </c>
      <c r="W64">
        <v>2200</v>
      </c>
      <c r="X64">
        <v>1030</v>
      </c>
      <c r="Y64" s="8">
        <v>0.31888544891640869</v>
      </c>
      <c r="Z64" t="s">
        <v>2996</v>
      </c>
      <c r="AA64" t="str">
        <f>IF(AND(SalesCleanTable[[#This Row],[Discount %]]&gt;0, SalesCleanTable[[#This Row],[Profit]]&lt;0), "Discount loss", "Safe")</f>
        <v>Safe</v>
      </c>
      <c r="AB64" s="25">
        <f>(SalesCleanTable[[#This Row],[Unit Price]] - SalesCleanTable[[#This Row],[Unit Cost]]) / SalesCleanTable[[#This Row],[Unit Price]]</f>
        <v>0.35294117647058826</v>
      </c>
      <c r="AC64" t="str">
        <f>IF(SalesCleanTable[[#This Row],[Discount %]] &gt; SalesCleanTable[[#This Row],[Max Allowed Discount]], "Discount loss", "Safe")</f>
        <v>Safe</v>
      </c>
      <c r="AD64" s="4">
        <f>SalesCleanTable[[#This Row],[Unit Price]] - SalesCleanTable[[#This Row],[Unit Cost]]</f>
        <v>300</v>
      </c>
      <c r="AE64" s="41">
        <f>(SalesCleanTable[[#This Row],[Unit Price]] - SalesCleanTable[[#This Row],[Unit Cost]]) / SalesCleanTable[[#This Row],[Unit Price]]</f>
        <v>0.35294117647058826</v>
      </c>
    </row>
    <row r="65" spans="1:31">
      <c r="A65" t="s">
        <v>251</v>
      </c>
      <c r="B65" s="6">
        <v>46017</v>
      </c>
      <c r="C65" t="s">
        <v>53</v>
      </c>
      <c r="D65" t="s">
        <v>54</v>
      </c>
      <c r="E65" t="s">
        <v>38</v>
      </c>
      <c r="F65" t="s">
        <v>55</v>
      </c>
      <c r="G65" t="s">
        <v>56</v>
      </c>
      <c r="H65" t="s">
        <v>135</v>
      </c>
      <c r="I65" t="s">
        <v>136</v>
      </c>
      <c r="J65" t="s">
        <v>137</v>
      </c>
      <c r="K65" t="s">
        <v>138</v>
      </c>
      <c r="L65" t="s">
        <v>166</v>
      </c>
      <c r="M65" t="s">
        <v>171</v>
      </c>
      <c r="N65">
        <v>2</v>
      </c>
      <c r="O65" s="4">
        <v>330</v>
      </c>
      <c r="P65" s="4">
        <v>550</v>
      </c>
      <c r="Q65" s="7">
        <v>0.1</v>
      </c>
      <c r="R65" t="s">
        <v>168</v>
      </c>
      <c r="S65">
        <v>3</v>
      </c>
      <c r="T65">
        <v>1100</v>
      </c>
      <c r="U65">
        <v>110</v>
      </c>
      <c r="V65">
        <v>990</v>
      </c>
      <c r="W65">
        <v>660</v>
      </c>
      <c r="X65">
        <v>330</v>
      </c>
      <c r="Y65" s="8">
        <v>0.33333333333333331</v>
      </c>
      <c r="Z65" t="s">
        <v>2996</v>
      </c>
      <c r="AA65" t="str">
        <f>IF(AND(SalesCleanTable[[#This Row],[Discount %]]&gt;0, SalesCleanTable[[#This Row],[Profit]]&lt;0), "Discount loss", "Safe")</f>
        <v>Safe</v>
      </c>
      <c r="AB65" s="25">
        <f>(SalesCleanTable[[#This Row],[Unit Price]] - SalesCleanTable[[#This Row],[Unit Cost]]) / SalesCleanTable[[#This Row],[Unit Price]]</f>
        <v>0.4</v>
      </c>
      <c r="AC65" t="str">
        <f>IF(SalesCleanTable[[#This Row],[Discount %]] &gt; SalesCleanTable[[#This Row],[Max Allowed Discount]], "Discount loss", "Safe")</f>
        <v>Safe</v>
      </c>
      <c r="AD65" s="4">
        <f>SalesCleanTable[[#This Row],[Unit Price]] - SalesCleanTable[[#This Row],[Unit Cost]]</f>
        <v>220</v>
      </c>
      <c r="AE65" s="41">
        <f>(SalesCleanTable[[#This Row],[Unit Price]] - SalesCleanTable[[#This Row],[Unit Cost]]) / SalesCleanTable[[#This Row],[Unit Price]]</f>
        <v>0.4</v>
      </c>
    </row>
    <row r="66" spans="1:31">
      <c r="A66" t="s">
        <v>252</v>
      </c>
      <c r="B66" s="6">
        <v>45905</v>
      </c>
      <c r="C66" t="s">
        <v>45</v>
      </c>
      <c r="D66" t="s">
        <v>46</v>
      </c>
      <c r="E66" t="s">
        <v>38</v>
      </c>
      <c r="F66" t="s">
        <v>47</v>
      </c>
      <c r="G66" t="s">
        <v>48</v>
      </c>
      <c r="H66" t="s">
        <v>139</v>
      </c>
      <c r="I66" t="s">
        <v>140</v>
      </c>
      <c r="J66" t="s">
        <v>137</v>
      </c>
      <c r="K66" t="s">
        <v>138</v>
      </c>
      <c r="L66" t="s">
        <v>170</v>
      </c>
      <c r="M66" t="s">
        <v>171</v>
      </c>
      <c r="N66">
        <v>4</v>
      </c>
      <c r="O66" s="4">
        <v>230</v>
      </c>
      <c r="P66" s="4">
        <v>400</v>
      </c>
      <c r="Q66" s="7">
        <v>0.1</v>
      </c>
      <c r="R66" t="s">
        <v>175</v>
      </c>
      <c r="S66">
        <v>4</v>
      </c>
      <c r="T66">
        <v>1600</v>
      </c>
      <c r="U66">
        <v>160</v>
      </c>
      <c r="V66">
        <v>1440</v>
      </c>
      <c r="W66">
        <v>920</v>
      </c>
      <c r="X66">
        <v>520</v>
      </c>
      <c r="Y66" s="8">
        <v>0.3611111111111111</v>
      </c>
      <c r="Z66" t="s">
        <v>2995</v>
      </c>
      <c r="AA66" t="str">
        <f>IF(AND(SalesCleanTable[[#This Row],[Discount %]]&gt;0, SalesCleanTable[[#This Row],[Profit]]&lt;0), "Discount loss", "Safe")</f>
        <v>Safe</v>
      </c>
      <c r="AB66" s="25">
        <f>(SalesCleanTable[[#This Row],[Unit Price]] - SalesCleanTable[[#This Row],[Unit Cost]]) / SalesCleanTable[[#This Row],[Unit Price]]</f>
        <v>0.42499999999999999</v>
      </c>
      <c r="AC66" t="str">
        <f>IF(SalesCleanTable[[#This Row],[Discount %]] &gt; SalesCleanTable[[#This Row],[Max Allowed Discount]], "Discount loss", "Safe")</f>
        <v>Safe</v>
      </c>
      <c r="AD66" s="4">
        <f>SalesCleanTable[[#This Row],[Unit Price]] - SalesCleanTable[[#This Row],[Unit Cost]]</f>
        <v>170</v>
      </c>
      <c r="AE66" s="41">
        <f>(SalesCleanTable[[#This Row],[Unit Price]] - SalesCleanTable[[#This Row],[Unit Cost]]) / SalesCleanTable[[#This Row],[Unit Price]]</f>
        <v>0.42499999999999999</v>
      </c>
    </row>
    <row r="67" spans="1:31">
      <c r="A67" t="s">
        <v>253</v>
      </c>
      <c r="B67" s="6">
        <v>45812</v>
      </c>
      <c r="C67" t="s">
        <v>24</v>
      </c>
      <c r="D67" t="s">
        <v>25</v>
      </c>
      <c r="E67" t="s">
        <v>26</v>
      </c>
      <c r="F67" t="s">
        <v>27</v>
      </c>
      <c r="G67" t="s">
        <v>28</v>
      </c>
      <c r="H67" t="s">
        <v>139</v>
      </c>
      <c r="I67" t="s">
        <v>140</v>
      </c>
      <c r="J67" t="s">
        <v>137</v>
      </c>
      <c r="K67" t="s">
        <v>138</v>
      </c>
      <c r="L67" t="s">
        <v>166</v>
      </c>
      <c r="M67" t="s">
        <v>171</v>
      </c>
      <c r="N67">
        <v>2</v>
      </c>
      <c r="O67" s="4">
        <v>14500</v>
      </c>
      <c r="P67" s="4">
        <v>17500</v>
      </c>
      <c r="Q67" s="7">
        <v>0.2</v>
      </c>
      <c r="R67" t="s">
        <v>197</v>
      </c>
      <c r="S67">
        <v>11</v>
      </c>
      <c r="T67">
        <v>35000</v>
      </c>
      <c r="U67">
        <v>7000</v>
      </c>
      <c r="V67">
        <v>28000</v>
      </c>
      <c r="W67">
        <v>29000</v>
      </c>
      <c r="X67">
        <v>-1000</v>
      </c>
      <c r="Y67" s="8">
        <v>-3.5714285714285712E-2</v>
      </c>
      <c r="Z67" t="s">
        <v>2995</v>
      </c>
      <c r="AA67" t="str">
        <f>IF(AND(SalesCleanTable[[#This Row],[Discount %]]&gt;0, SalesCleanTable[[#This Row],[Profit]]&lt;0), "Discount loss", "Safe")</f>
        <v>Discount loss</v>
      </c>
      <c r="AB67" s="25">
        <f>(SalesCleanTable[[#This Row],[Unit Price]] - SalesCleanTable[[#This Row],[Unit Cost]]) / SalesCleanTable[[#This Row],[Unit Price]]</f>
        <v>0.17142857142857143</v>
      </c>
      <c r="AC67" t="str">
        <f>IF(SalesCleanTable[[#This Row],[Discount %]] &gt; SalesCleanTable[[#This Row],[Max Allowed Discount]], "Discount loss", "Safe")</f>
        <v>Discount loss</v>
      </c>
      <c r="AD67" s="4">
        <f>SalesCleanTable[[#This Row],[Unit Price]] - SalesCleanTable[[#This Row],[Unit Cost]]</f>
        <v>3000</v>
      </c>
      <c r="AE67" s="41">
        <f>(SalesCleanTable[[#This Row],[Unit Price]] - SalesCleanTable[[#This Row],[Unit Cost]]) / SalesCleanTable[[#This Row],[Unit Price]]</f>
        <v>0.17142857142857143</v>
      </c>
    </row>
    <row r="68" spans="1:31">
      <c r="A68" t="s">
        <v>254</v>
      </c>
      <c r="B68" s="6">
        <v>45909</v>
      </c>
      <c r="C68" t="s">
        <v>32</v>
      </c>
      <c r="D68" t="s">
        <v>33</v>
      </c>
      <c r="E68" t="s">
        <v>26</v>
      </c>
      <c r="F68" t="s">
        <v>34</v>
      </c>
      <c r="G68" t="s">
        <v>35</v>
      </c>
      <c r="H68" t="s">
        <v>128</v>
      </c>
      <c r="I68" t="s">
        <v>129</v>
      </c>
      <c r="J68" t="s">
        <v>130</v>
      </c>
      <c r="K68" t="s">
        <v>131</v>
      </c>
      <c r="L68" t="s">
        <v>166</v>
      </c>
      <c r="M68" t="s">
        <v>171</v>
      </c>
      <c r="N68">
        <v>2</v>
      </c>
      <c r="O68" s="4">
        <v>7800</v>
      </c>
      <c r="P68" s="4">
        <v>9800</v>
      </c>
      <c r="Q68" s="7">
        <v>0.05</v>
      </c>
      <c r="R68" t="s">
        <v>194</v>
      </c>
      <c r="S68">
        <v>14</v>
      </c>
      <c r="T68">
        <v>19600</v>
      </c>
      <c r="U68">
        <v>980</v>
      </c>
      <c r="V68">
        <v>18620</v>
      </c>
      <c r="W68">
        <v>15600</v>
      </c>
      <c r="X68">
        <v>3020</v>
      </c>
      <c r="Y68" s="8">
        <v>0.16219119226638024</v>
      </c>
      <c r="Z68" t="s">
        <v>2995</v>
      </c>
      <c r="AA68" t="str">
        <f>IF(AND(SalesCleanTable[[#This Row],[Discount %]]&gt;0, SalesCleanTable[[#This Row],[Profit]]&lt;0), "Discount loss", "Safe")</f>
        <v>Safe</v>
      </c>
      <c r="AB68" s="25">
        <f>(SalesCleanTable[[#This Row],[Unit Price]] - SalesCleanTable[[#This Row],[Unit Cost]]) / SalesCleanTable[[#This Row],[Unit Price]]</f>
        <v>0.20408163265306123</v>
      </c>
      <c r="AC68" t="str">
        <f>IF(SalesCleanTable[[#This Row],[Discount %]] &gt; SalesCleanTable[[#This Row],[Max Allowed Discount]], "Discount loss", "Safe")</f>
        <v>Safe</v>
      </c>
      <c r="AD68" s="4">
        <f>SalesCleanTable[[#This Row],[Unit Price]] - SalesCleanTable[[#This Row],[Unit Cost]]</f>
        <v>2000</v>
      </c>
      <c r="AE68" s="41">
        <f>(SalesCleanTable[[#This Row],[Unit Price]] - SalesCleanTable[[#This Row],[Unit Cost]]) / SalesCleanTable[[#This Row],[Unit Price]]</f>
        <v>0.20408163265306123</v>
      </c>
    </row>
    <row r="69" spans="1:31">
      <c r="A69" t="s">
        <v>255</v>
      </c>
      <c r="B69" s="6">
        <v>45691</v>
      </c>
      <c r="C69" t="s">
        <v>49</v>
      </c>
      <c r="D69" t="s">
        <v>50</v>
      </c>
      <c r="E69" t="s">
        <v>38</v>
      </c>
      <c r="F69" t="s">
        <v>51</v>
      </c>
      <c r="G69" t="s">
        <v>52</v>
      </c>
      <c r="H69" t="s">
        <v>128</v>
      </c>
      <c r="I69" t="s">
        <v>129</v>
      </c>
      <c r="J69" t="s">
        <v>130</v>
      </c>
      <c r="K69" t="s">
        <v>131</v>
      </c>
      <c r="L69" t="s">
        <v>166</v>
      </c>
      <c r="M69" t="s">
        <v>171</v>
      </c>
      <c r="N69">
        <v>3</v>
      </c>
      <c r="O69" s="4">
        <v>550</v>
      </c>
      <c r="P69" s="4">
        <v>850</v>
      </c>
      <c r="Q69" s="7">
        <v>0</v>
      </c>
      <c r="R69" t="s">
        <v>175</v>
      </c>
      <c r="S69">
        <v>2</v>
      </c>
      <c r="T69">
        <v>2550</v>
      </c>
      <c r="U69">
        <v>0</v>
      </c>
      <c r="V69">
        <v>2550</v>
      </c>
      <c r="W69">
        <v>1650</v>
      </c>
      <c r="X69">
        <v>900</v>
      </c>
      <c r="Y69" s="8">
        <v>0.35294117647058826</v>
      </c>
      <c r="Z69" t="s">
        <v>2996</v>
      </c>
      <c r="AA69" t="str">
        <f>IF(AND(SalesCleanTable[[#This Row],[Discount %]]&gt;0, SalesCleanTable[[#This Row],[Profit]]&lt;0), "Discount loss", "Safe")</f>
        <v>Safe</v>
      </c>
      <c r="AB69" s="25">
        <f>(SalesCleanTable[[#This Row],[Unit Price]] - SalesCleanTable[[#This Row],[Unit Cost]]) / SalesCleanTable[[#This Row],[Unit Price]]</f>
        <v>0.35294117647058826</v>
      </c>
      <c r="AC69" t="str">
        <f>IF(SalesCleanTable[[#This Row],[Discount %]] &gt; SalesCleanTable[[#This Row],[Max Allowed Discount]], "Discount loss", "Safe")</f>
        <v>Safe</v>
      </c>
      <c r="AD69" s="4">
        <f>SalesCleanTable[[#This Row],[Unit Price]] - SalesCleanTable[[#This Row],[Unit Cost]]</f>
        <v>300</v>
      </c>
      <c r="AE69" s="41">
        <f>(SalesCleanTable[[#This Row],[Unit Price]] - SalesCleanTable[[#This Row],[Unit Cost]]) / SalesCleanTable[[#This Row],[Unit Price]]</f>
        <v>0.35294117647058826</v>
      </c>
    </row>
    <row r="70" spans="1:31">
      <c r="A70" t="s">
        <v>256</v>
      </c>
      <c r="B70" s="6">
        <v>45718</v>
      </c>
      <c r="C70" t="s">
        <v>62</v>
      </c>
      <c r="D70" t="s">
        <v>63</v>
      </c>
      <c r="E70" t="s">
        <v>59</v>
      </c>
      <c r="F70" t="s">
        <v>64</v>
      </c>
      <c r="G70" t="s">
        <v>65</v>
      </c>
      <c r="H70" t="s">
        <v>135</v>
      </c>
      <c r="I70" t="s">
        <v>136</v>
      </c>
      <c r="J70" t="s">
        <v>137</v>
      </c>
      <c r="K70" t="s">
        <v>138</v>
      </c>
      <c r="L70" t="s">
        <v>183</v>
      </c>
      <c r="M70" t="s">
        <v>186</v>
      </c>
      <c r="N70">
        <v>3</v>
      </c>
      <c r="O70" s="4">
        <v>3200</v>
      </c>
      <c r="P70" s="4">
        <v>4500</v>
      </c>
      <c r="Q70" s="7">
        <v>0.1</v>
      </c>
      <c r="R70" t="s">
        <v>204</v>
      </c>
      <c r="S70">
        <v>5</v>
      </c>
      <c r="T70">
        <v>13500</v>
      </c>
      <c r="U70">
        <v>1350</v>
      </c>
      <c r="V70">
        <v>12150</v>
      </c>
      <c r="W70">
        <v>9600</v>
      </c>
      <c r="X70">
        <v>2550</v>
      </c>
      <c r="Y70" s="8">
        <v>0.20987654320987653</v>
      </c>
      <c r="Z70" t="s">
        <v>2996</v>
      </c>
      <c r="AA70" t="str">
        <f>IF(AND(SalesCleanTable[[#This Row],[Discount %]]&gt;0, SalesCleanTable[[#This Row],[Profit]]&lt;0), "Discount loss", "Safe")</f>
        <v>Safe</v>
      </c>
      <c r="AB70" s="25">
        <f>(SalesCleanTable[[#This Row],[Unit Price]] - SalesCleanTable[[#This Row],[Unit Cost]]) / SalesCleanTable[[#This Row],[Unit Price]]</f>
        <v>0.28888888888888886</v>
      </c>
      <c r="AC70" t="str">
        <f>IF(SalesCleanTable[[#This Row],[Discount %]] &gt; SalesCleanTable[[#This Row],[Max Allowed Discount]], "Discount loss", "Safe")</f>
        <v>Safe</v>
      </c>
      <c r="AD70" s="4">
        <f>SalesCleanTable[[#This Row],[Unit Price]] - SalesCleanTable[[#This Row],[Unit Cost]]</f>
        <v>1300</v>
      </c>
      <c r="AE70" s="41">
        <f>(SalesCleanTable[[#This Row],[Unit Price]] - SalesCleanTable[[#This Row],[Unit Cost]]) / SalesCleanTable[[#This Row],[Unit Price]]</f>
        <v>0.28888888888888886</v>
      </c>
    </row>
    <row r="71" spans="1:31">
      <c r="A71" t="s">
        <v>257</v>
      </c>
      <c r="B71" s="6">
        <v>45877</v>
      </c>
      <c r="C71" t="s">
        <v>45</v>
      </c>
      <c r="D71" t="s">
        <v>46</v>
      </c>
      <c r="E71" t="s">
        <v>38</v>
      </c>
      <c r="F71" t="s">
        <v>47</v>
      </c>
      <c r="G71" t="s">
        <v>48</v>
      </c>
      <c r="H71" t="s">
        <v>141</v>
      </c>
      <c r="I71" t="s">
        <v>142</v>
      </c>
      <c r="J71" t="s">
        <v>143</v>
      </c>
      <c r="K71" t="s">
        <v>144</v>
      </c>
      <c r="L71" t="s">
        <v>170</v>
      </c>
      <c r="M71" t="s">
        <v>167</v>
      </c>
      <c r="N71">
        <v>3</v>
      </c>
      <c r="O71" s="4">
        <v>230</v>
      </c>
      <c r="P71" s="4">
        <v>400</v>
      </c>
      <c r="Q71" s="7">
        <v>0.1</v>
      </c>
      <c r="R71" t="s">
        <v>178</v>
      </c>
      <c r="S71">
        <v>5</v>
      </c>
      <c r="T71">
        <v>1200</v>
      </c>
      <c r="U71">
        <v>120</v>
      </c>
      <c r="V71">
        <v>1080</v>
      </c>
      <c r="W71">
        <v>690</v>
      </c>
      <c r="X71">
        <v>390</v>
      </c>
      <c r="Y71" s="8">
        <v>0.3611111111111111</v>
      </c>
      <c r="Z71" t="s">
        <v>2995</v>
      </c>
      <c r="AA71" t="str">
        <f>IF(AND(SalesCleanTable[[#This Row],[Discount %]]&gt;0, SalesCleanTable[[#This Row],[Profit]]&lt;0), "Discount loss", "Safe")</f>
        <v>Safe</v>
      </c>
      <c r="AB71" s="25">
        <f>(SalesCleanTable[[#This Row],[Unit Price]] - SalesCleanTable[[#This Row],[Unit Cost]]) / SalesCleanTable[[#This Row],[Unit Price]]</f>
        <v>0.42499999999999999</v>
      </c>
      <c r="AC71" t="str">
        <f>IF(SalesCleanTable[[#This Row],[Discount %]] &gt; SalesCleanTable[[#This Row],[Max Allowed Discount]], "Discount loss", "Safe")</f>
        <v>Safe</v>
      </c>
      <c r="AD71" s="4">
        <f>SalesCleanTable[[#This Row],[Unit Price]] - SalesCleanTable[[#This Row],[Unit Cost]]</f>
        <v>170</v>
      </c>
      <c r="AE71" s="41">
        <f>(SalesCleanTable[[#This Row],[Unit Price]] - SalesCleanTable[[#This Row],[Unit Cost]]) / SalesCleanTable[[#This Row],[Unit Price]]</f>
        <v>0.42499999999999999</v>
      </c>
    </row>
    <row r="72" spans="1:31">
      <c r="A72" t="s">
        <v>258</v>
      </c>
      <c r="B72" s="6">
        <v>45738</v>
      </c>
      <c r="C72" t="s">
        <v>41</v>
      </c>
      <c r="D72" t="s">
        <v>42</v>
      </c>
      <c r="E72" t="s">
        <v>26</v>
      </c>
      <c r="F72" t="s">
        <v>43</v>
      </c>
      <c r="G72" t="s">
        <v>44</v>
      </c>
      <c r="H72" t="s">
        <v>139</v>
      </c>
      <c r="I72" t="s">
        <v>140</v>
      </c>
      <c r="J72" t="s">
        <v>137</v>
      </c>
      <c r="K72" t="s">
        <v>138</v>
      </c>
      <c r="L72" t="s">
        <v>183</v>
      </c>
      <c r="M72" t="s">
        <v>186</v>
      </c>
      <c r="N72">
        <v>1</v>
      </c>
      <c r="O72" s="4">
        <v>850</v>
      </c>
      <c r="P72" s="4">
        <v>1300</v>
      </c>
      <c r="Q72" s="7">
        <v>0.05</v>
      </c>
      <c r="R72" t="s">
        <v>197</v>
      </c>
      <c r="S72">
        <v>4</v>
      </c>
      <c r="T72">
        <v>1300</v>
      </c>
      <c r="U72">
        <v>65</v>
      </c>
      <c r="V72">
        <v>1235</v>
      </c>
      <c r="W72">
        <v>850</v>
      </c>
      <c r="X72">
        <v>385</v>
      </c>
      <c r="Y72" s="8">
        <v>0.31174089068825911</v>
      </c>
      <c r="Z72" t="s">
        <v>2995</v>
      </c>
      <c r="AA72" t="str">
        <f>IF(AND(SalesCleanTable[[#This Row],[Discount %]]&gt;0, SalesCleanTable[[#This Row],[Profit]]&lt;0), "Discount loss", "Safe")</f>
        <v>Safe</v>
      </c>
      <c r="AB72" s="25">
        <f>(SalesCleanTable[[#This Row],[Unit Price]] - SalesCleanTable[[#This Row],[Unit Cost]]) / SalesCleanTable[[#This Row],[Unit Price]]</f>
        <v>0.34615384615384615</v>
      </c>
      <c r="AC72" t="str">
        <f>IF(SalesCleanTable[[#This Row],[Discount %]] &gt; SalesCleanTable[[#This Row],[Max Allowed Discount]], "Discount loss", "Safe")</f>
        <v>Safe</v>
      </c>
      <c r="AD72" s="4">
        <f>SalesCleanTable[[#This Row],[Unit Price]] - SalesCleanTable[[#This Row],[Unit Cost]]</f>
        <v>450</v>
      </c>
      <c r="AE72" s="41">
        <f>(SalesCleanTable[[#This Row],[Unit Price]] - SalesCleanTable[[#This Row],[Unit Cost]]) / SalesCleanTable[[#This Row],[Unit Price]]</f>
        <v>0.34615384615384615</v>
      </c>
    </row>
    <row r="73" spans="1:31">
      <c r="A73" t="s">
        <v>259</v>
      </c>
      <c r="B73" s="6">
        <v>45802</v>
      </c>
      <c r="C73" t="s">
        <v>82</v>
      </c>
      <c r="D73" t="s">
        <v>83</v>
      </c>
      <c r="E73" t="s">
        <v>75</v>
      </c>
      <c r="F73" t="s">
        <v>84</v>
      </c>
      <c r="G73" t="s">
        <v>85</v>
      </c>
      <c r="H73" t="s">
        <v>139</v>
      </c>
      <c r="I73" t="s">
        <v>140</v>
      </c>
      <c r="J73" t="s">
        <v>137</v>
      </c>
      <c r="K73" t="s">
        <v>138</v>
      </c>
      <c r="L73" t="s">
        <v>183</v>
      </c>
      <c r="M73" t="s">
        <v>171</v>
      </c>
      <c r="N73">
        <v>4</v>
      </c>
      <c r="O73" s="4">
        <v>600</v>
      </c>
      <c r="P73" s="4">
        <v>950</v>
      </c>
      <c r="Q73" s="7">
        <v>0.2</v>
      </c>
      <c r="R73" t="s">
        <v>204</v>
      </c>
      <c r="S73">
        <v>13</v>
      </c>
      <c r="T73">
        <v>3800</v>
      </c>
      <c r="U73">
        <v>760</v>
      </c>
      <c r="V73">
        <v>3040</v>
      </c>
      <c r="W73">
        <v>2400</v>
      </c>
      <c r="X73">
        <v>640</v>
      </c>
      <c r="Y73" s="8">
        <v>0.21052631578947367</v>
      </c>
      <c r="Z73" t="s">
        <v>2996</v>
      </c>
      <c r="AA73" t="str">
        <f>IF(AND(SalesCleanTable[[#This Row],[Discount %]]&gt;0, SalesCleanTable[[#This Row],[Profit]]&lt;0), "Discount loss", "Safe")</f>
        <v>Safe</v>
      </c>
      <c r="AB73" s="25">
        <f>(SalesCleanTable[[#This Row],[Unit Price]] - SalesCleanTable[[#This Row],[Unit Cost]]) / SalesCleanTable[[#This Row],[Unit Price]]</f>
        <v>0.36842105263157893</v>
      </c>
      <c r="AC73" t="str">
        <f>IF(SalesCleanTable[[#This Row],[Discount %]] &gt; SalesCleanTable[[#This Row],[Max Allowed Discount]], "Discount loss", "Safe")</f>
        <v>Safe</v>
      </c>
      <c r="AD73" s="4">
        <f>SalesCleanTable[[#This Row],[Unit Price]] - SalesCleanTable[[#This Row],[Unit Cost]]</f>
        <v>350</v>
      </c>
      <c r="AE73" s="41">
        <f>(SalesCleanTable[[#This Row],[Unit Price]] - SalesCleanTable[[#This Row],[Unit Cost]]) / SalesCleanTable[[#This Row],[Unit Price]]</f>
        <v>0.36842105263157893</v>
      </c>
    </row>
    <row r="74" spans="1:31">
      <c r="A74" t="s">
        <v>260</v>
      </c>
      <c r="B74" s="6">
        <v>45875</v>
      </c>
      <c r="C74" t="s">
        <v>32</v>
      </c>
      <c r="D74" t="s">
        <v>33</v>
      </c>
      <c r="E74" t="s">
        <v>26</v>
      </c>
      <c r="F74" t="s">
        <v>34</v>
      </c>
      <c r="G74" t="s">
        <v>35</v>
      </c>
      <c r="H74" t="s">
        <v>133</v>
      </c>
      <c r="I74" t="s">
        <v>134</v>
      </c>
      <c r="J74" t="s">
        <v>130</v>
      </c>
      <c r="K74" t="s">
        <v>131</v>
      </c>
      <c r="L74" t="s">
        <v>166</v>
      </c>
      <c r="M74" t="s">
        <v>177</v>
      </c>
      <c r="N74">
        <v>1</v>
      </c>
      <c r="O74" s="4">
        <v>7800</v>
      </c>
      <c r="P74" s="4">
        <v>9800</v>
      </c>
      <c r="Q74" s="7">
        <v>0</v>
      </c>
      <c r="R74" t="s">
        <v>194</v>
      </c>
      <c r="S74">
        <v>10</v>
      </c>
      <c r="T74">
        <v>9800</v>
      </c>
      <c r="U74">
        <v>0</v>
      </c>
      <c r="V74">
        <v>9800</v>
      </c>
      <c r="W74">
        <v>7800</v>
      </c>
      <c r="X74">
        <v>2000</v>
      </c>
      <c r="Y74" s="8">
        <v>0.20408163265306123</v>
      </c>
      <c r="Z74" t="s">
        <v>2995</v>
      </c>
      <c r="AA74" t="str">
        <f>IF(AND(SalesCleanTable[[#This Row],[Discount %]]&gt;0, SalesCleanTable[[#This Row],[Profit]]&lt;0), "Discount loss", "Safe")</f>
        <v>Safe</v>
      </c>
      <c r="AB74" s="25">
        <f>(SalesCleanTable[[#This Row],[Unit Price]] - SalesCleanTable[[#This Row],[Unit Cost]]) / SalesCleanTable[[#This Row],[Unit Price]]</f>
        <v>0.20408163265306123</v>
      </c>
      <c r="AC74" t="str">
        <f>IF(SalesCleanTable[[#This Row],[Discount %]] &gt; SalesCleanTable[[#This Row],[Max Allowed Discount]], "Discount loss", "Safe")</f>
        <v>Safe</v>
      </c>
      <c r="AD74" s="4">
        <f>SalesCleanTable[[#This Row],[Unit Price]] - SalesCleanTable[[#This Row],[Unit Cost]]</f>
        <v>2000</v>
      </c>
      <c r="AE74" s="41">
        <f>(SalesCleanTable[[#This Row],[Unit Price]] - SalesCleanTable[[#This Row],[Unit Cost]]) / SalesCleanTable[[#This Row],[Unit Price]]</f>
        <v>0.20408163265306123</v>
      </c>
    </row>
    <row r="75" spans="1:31">
      <c r="A75" t="s">
        <v>261</v>
      </c>
      <c r="B75" s="6">
        <v>45949</v>
      </c>
      <c r="C75" t="s">
        <v>112</v>
      </c>
      <c r="D75" t="s">
        <v>113</v>
      </c>
      <c r="E75" t="s">
        <v>109</v>
      </c>
      <c r="F75" t="s">
        <v>114</v>
      </c>
      <c r="G75" t="s">
        <v>115</v>
      </c>
      <c r="H75" t="s">
        <v>135</v>
      </c>
      <c r="I75" t="s">
        <v>136</v>
      </c>
      <c r="J75" t="s">
        <v>137</v>
      </c>
      <c r="K75" t="s">
        <v>138</v>
      </c>
      <c r="L75" t="s">
        <v>166</v>
      </c>
      <c r="M75" t="s">
        <v>167</v>
      </c>
      <c r="N75">
        <v>2</v>
      </c>
      <c r="O75" s="4">
        <v>1300</v>
      </c>
      <c r="P75" s="4">
        <v>2100</v>
      </c>
      <c r="Q75" s="7">
        <v>0.05</v>
      </c>
      <c r="R75" t="s">
        <v>184</v>
      </c>
      <c r="S75">
        <v>8</v>
      </c>
      <c r="T75">
        <v>4200</v>
      </c>
      <c r="U75">
        <v>210</v>
      </c>
      <c r="V75">
        <v>3990</v>
      </c>
      <c r="W75">
        <v>2600</v>
      </c>
      <c r="X75">
        <v>1390</v>
      </c>
      <c r="Y75" s="8">
        <v>0.34837092731829572</v>
      </c>
      <c r="Z75" t="s">
        <v>2995</v>
      </c>
      <c r="AA75" t="str">
        <f>IF(AND(SalesCleanTable[[#This Row],[Discount %]]&gt;0, SalesCleanTable[[#This Row],[Profit]]&lt;0), "Discount loss", "Safe")</f>
        <v>Safe</v>
      </c>
      <c r="AB75" s="25">
        <f>(SalesCleanTable[[#This Row],[Unit Price]] - SalesCleanTable[[#This Row],[Unit Cost]]) / SalesCleanTable[[#This Row],[Unit Price]]</f>
        <v>0.38095238095238093</v>
      </c>
      <c r="AC75" t="str">
        <f>IF(SalesCleanTable[[#This Row],[Discount %]] &gt; SalesCleanTable[[#This Row],[Max Allowed Discount]], "Discount loss", "Safe")</f>
        <v>Safe</v>
      </c>
      <c r="AD75" s="4">
        <f>SalesCleanTable[[#This Row],[Unit Price]] - SalesCleanTable[[#This Row],[Unit Cost]]</f>
        <v>800</v>
      </c>
      <c r="AE75" s="41">
        <f>(SalesCleanTable[[#This Row],[Unit Price]] - SalesCleanTable[[#This Row],[Unit Cost]]) / SalesCleanTable[[#This Row],[Unit Price]]</f>
        <v>0.38095238095238093</v>
      </c>
    </row>
    <row r="76" spans="1:31">
      <c r="A76" t="s">
        <v>262</v>
      </c>
      <c r="B76" s="6">
        <v>45964</v>
      </c>
      <c r="C76" t="s">
        <v>24</v>
      </c>
      <c r="D76" t="s">
        <v>25</v>
      </c>
      <c r="E76" t="s">
        <v>26</v>
      </c>
      <c r="F76" t="s">
        <v>27</v>
      </c>
      <c r="G76" t="s">
        <v>28</v>
      </c>
      <c r="H76" t="s">
        <v>135</v>
      </c>
      <c r="I76" t="s">
        <v>136</v>
      </c>
      <c r="J76" t="s">
        <v>137</v>
      </c>
      <c r="K76" t="s">
        <v>138</v>
      </c>
      <c r="L76" t="s">
        <v>166</v>
      </c>
      <c r="M76" t="s">
        <v>171</v>
      </c>
      <c r="N76">
        <v>2</v>
      </c>
      <c r="O76" s="4">
        <v>14500</v>
      </c>
      <c r="P76" s="4">
        <v>17500</v>
      </c>
      <c r="Q76" s="7">
        <v>0</v>
      </c>
      <c r="R76" t="s">
        <v>173</v>
      </c>
      <c r="S76">
        <v>10</v>
      </c>
      <c r="T76">
        <v>35000</v>
      </c>
      <c r="U76">
        <v>0</v>
      </c>
      <c r="V76">
        <v>35000</v>
      </c>
      <c r="W76">
        <v>29000</v>
      </c>
      <c r="X76">
        <v>6000</v>
      </c>
      <c r="Y76" s="8">
        <v>0.17142857142857143</v>
      </c>
      <c r="Z76" t="s">
        <v>2995</v>
      </c>
      <c r="AA76" t="str">
        <f>IF(AND(SalesCleanTable[[#This Row],[Discount %]]&gt;0, SalesCleanTable[[#This Row],[Profit]]&lt;0), "Discount loss", "Safe")</f>
        <v>Safe</v>
      </c>
      <c r="AB76" s="25">
        <f>(SalesCleanTable[[#This Row],[Unit Price]] - SalesCleanTable[[#This Row],[Unit Cost]]) / SalesCleanTable[[#This Row],[Unit Price]]</f>
        <v>0.17142857142857143</v>
      </c>
      <c r="AC76" t="str">
        <f>IF(SalesCleanTable[[#This Row],[Discount %]] &gt; SalesCleanTable[[#This Row],[Max Allowed Discount]], "Discount loss", "Safe")</f>
        <v>Safe</v>
      </c>
      <c r="AD76" s="4">
        <f>SalesCleanTable[[#This Row],[Unit Price]] - SalesCleanTable[[#This Row],[Unit Cost]]</f>
        <v>3000</v>
      </c>
      <c r="AE76" s="41">
        <f>(SalesCleanTable[[#This Row],[Unit Price]] - SalesCleanTable[[#This Row],[Unit Cost]]) / SalesCleanTable[[#This Row],[Unit Price]]</f>
        <v>0.17142857142857143</v>
      </c>
    </row>
    <row r="77" spans="1:31">
      <c r="A77" t="s">
        <v>263</v>
      </c>
      <c r="B77" s="6">
        <v>46002</v>
      </c>
      <c r="C77" t="s">
        <v>99</v>
      </c>
      <c r="D77" t="s">
        <v>100</v>
      </c>
      <c r="E77" t="s">
        <v>92</v>
      </c>
      <c r="F77" t="s">
        <v>101</v>
      </c>
      <c r="G77" t="s">
        <v>102</v>
      </c>
      <c r="H77" t="s">
        <v>139</v>
      </c>
      <c r="I77" t="s">
        <v>140</v>
      </c>
      <c r="J77" t="s">
        <v>137</v>
      </c>
      <c r="K77" t="s">
        <v>138</v>
      </c>
      <c r="L77" t="s">
        <v>166</v>
      </c>
      <c r="M77" t="s">
        <v>186</v>
      </c>
      <c r="N77">
        <v>4</v>
      </c>
      <c r="O77" s="4">
        <v>12500</v>
      </c>
      <c r="P77" s="4">
        <v>18500</v>
      </c>
      <c r="Q77" s="7">
        <v>0</v>
      </c>
      <c r="R77" t="s">
        <v>217</v>
      </c>
      <c r="S77">
        <v>3</v>
      </c>
      <c r="T77">
        <v>74000</v>
      </c>
      <c r="U77">
        <v>0</v>
      </c>
      <c r="V77">
        <v>74000</v>
      </c>
      <c r="W77">
        <v>50000</v>
      </c>
      <c r="X77">
        <v>24000</v>
      </c>
      <c r="Y77" s="8">
        <v>0.32432432432432434</v>
      </c>
      <c r="Z77" t="s">
        <v>2995</v>
      </c>
      <c r="AA77" t="str">
        <f>IF(AND(SalesCleanTable[[#This Row],[Discount %]]&gt;0, SalesCleanTable[[#This Row],[Profit]]&lt;0), "Discount loss", "Safe")</f>
        <v>Safe</v>
      </c>
      <c r="AB77" s="25">
        <f>(SalesCleanTable[[#This Row],[Unit Price]] - SalesCleanTable[[#This Row],[Unit Cost]]) / SalesCleanTable[[#This Row],[Unit Price]]</f>
        <v>0.32432432432432434</v>
      </c>
      <c r="AC77" t="str">
        <f>IF(SalesCleanTable[[#This Row],[Discount %]] &gt; SalesCleanTable[[#This Row],[Max Allowed Discount]], "Discount loss", "Safe")</f>
        <v>Safe</v>
      </c>
      <c r="AD77" s="4">
        <f>SalesCleanTable[[#This Row],[Unit Price]] - SalesCleanTable[[#This Row],[Unit Cost]]</f>
        <v>6000</v>
      </c>
      <c r="AE77" s="41">
        <f>(SalesCleanTable[[#This Row],[Unit Price]] - SalesCleanTable[[#This Row],[Unit Cost]]) / SalesCleanTable[[#This Row],[Unit Price]]</f>
        <v>0.32432432432432434</v>
      </c>
    </row>
    <row r="78" spans="1:31">
      <c r="A78" t="s">
        <v>264</v>
      </c>
      <c r="B78" s="6">
        <v>45881</v>
      </c>
      <c r="C78" t="s">
        <v>73</v>
      </c>
      <c r="D78" t="s">
        <v>74</v>
      </c>
      <c r="E78" t="s">
        <v>75</v>
      </c>
      <c r="F78" t="s">
        <v>76</v>
      </c>
      <c r="G78" t="s">
        <v>77</v>
      </c>
      <c r="H78" t="s">
        <v>139</v>
      </c>
      <c r="I78" t="s">
        <v>140</v>
      </c>
      <c r="J78" t="s">
        <v>137</v>
      </c>
      <c r="K78" t="s">
        <v>138</v>
      </c>
      <c r="L78" t="s">
        <v>166</v>
      </c>
      <c r="M78" t="s">
        <v>171</v>
      </c>
      <c r="N78">
        <v>1</v>
      </c>
      <c r="O78" s="4">
        <v>3500</v>
      </c>
      <c r="P78" s="4">
        <v>5200</v>
      </c>
      <c r="Q78" s="7">
        <v>0.05</v>
      </c>
      <c r="R78" t="s">
        <v>187</v>
      </c>
      <c r="S78">
        <v>6</v>
      </c>
      <c r="T78">
        <v>5200</v>
      </c>
      <c r="U78">
        <v>260</v>
      </c>
      <c r="V78">
        <v>4940</v>
      </c>
      <c r="W78">
        <v>3500</v>
      </c>
      <c r="X78">
        <v>1440</v>
      </c>
      <c r="Y78" s="8">
        <v>0.291497975708502</v>
      </c>
      <c r="Z78" t="s">
        <v>2996</v>
      </c>
      <c r="AA78" t="str">
        <f>IF(AND(SalesCleanTable[[#This Row],[Discount %]]&gt;0, SalesCleanTable[[#This Row],[Profit]]&lt;0), "Discount loss", "Safe")</f>
        <v>Safe</v>
      </c>
      <c r="AB78" s="25">
        <f>(SalesCleanTable[[#This Row],[Unit Price]] - SalesCleanTable[[#This Row],[Unit Cost]]) / SalesCleanTable[[#This Row],[Unit Price]]</f>
        <v>0.32692307692307693</v>
      </c>
      <c r="AC78" t="str">
        <f>IF(SalesCleanTable[[#This Row],[Discount %]] &gt; SalesCleanTable[[#This Row],[Max Allowed Discount]], "Discount loss", "Safe")</f>
        <v>Safe</v>
      </c>
      <c r="AD78" s="4">
        <f>SalesCleanTable[[#This Row],[Unit Price]] - SalesCleanTable[[#This Row],[Unit Cost]]</f>
        <v>1700</v>
      </c>
      <c r="AE78" s="41">
        <f>(SalesCleanTable[[#This Row],[Unit Price]] - SalesCleanTable[[#This Row],[Unit Cost]]) / SalesCleanTable[[#This Row],[Unit Price]]</f>
        <v>0.32692307692307693</v>
      </c>
    </row>
    <row r="79" spans="1:31">
      <c r="A79" t="s">
        <v>265</v>
      </c>
      <c r="B79" s="6">
        <v>45911</v>
      </c>
      <c r="C79" t="s">
        <v>45</v>
      </c>
      <c r="D79" t="s">
        <v>46</v>
      </c>
      <c r="E79" t="s">
        <v>38</v>
      </c>
      <c r="F79" t="s">
        <v>47</v>
      </c>
      <c r="G79" t="s">
        <v>48</v>
      </c>
      <c r="H79" t="s">
        <v>153</v>
      </c>
      <c r="I79" t="s">
        <v>154</v>
      </c>
      <c r="J79" t="s">
        <v>155</v>
      </c>
      <c r="K79" t="s">
        <v>131</v>
      </c>
      <c r="L79" t="s">
        <v>166</v>
      </c>
      <c r="M79" t="s">
        <v>167</v>
      </c>
      <c r="N79">
        <v>5</v>
      </c>
      <c r="O79" s="4">
        <v>230</v>
      </c>
      <c r="P79" s="4">
        <v>400</v>
      </c>
      <c r="Q79" s="7">
        <v>0.1</v>
      </c>
      <c r="R79" t="s">
        <v>175</v>
      </c>
      <c r="S79">
        <v>2</v>
      </c>
      <c r="T79">
        <v>2000</v>
      </c>
      <c r="U79">
        <v>200</v>
      </c>
      <c r="V79">
        <v>1800</v>
      </c>
      <c r="W79">
        <v>1150</v>
      </c>
      <c r="X79">
        <v>650</v>
      </c>
      <c r="Y79" s="8">
        <v>0.3611111111111111</v>
      </c>
      <c r="Z79" t="s">
        <v>2995</v>
      </c>
      <c r="AA79" t="str">
        <f>IF(AND(SalesCleanTable[[#This Row],[Discount %]]&gt;0, SalesCleanTable[[#This Row],[Profit]]&lt;0), "Discount loss", "Safe")</f>
        <v>Safe</v>
      </c>
      <c r="AB79" s="25">
        <f>(SalesCleanTable[[#This Row],[Unit Price]] - SalesCleanTable[[#This Row],[Unit Cost]]) / SalesCleanTable[[#This Row],[Unit Price]]</f>
        <v>0.42499999999999999</v>
      </c>
      <c r="AC79" t="str">
        <f>IF(SalesCleanTable[[#This Row],[Discount %]] &gt; SalesCleanTable[[#This Row],[Max Allowed Discount]], "Discount loss", "Safe")</f>
        <v>Safe</v>
      </c>
      <c r="AD79" s="4">
        <f>SalesCleanTable[[#This Row],[Unit Price]] - SalesCleanTable[[#This Row],[Unit Cost]]</f>
        <v>170</v>
      </c>
      <c r="AE79" s="41">
        <f>(SalesCleanTable[[#This Row],[Unit Price]] - SalesCleanTable[[#This Row],[Unit Cost]]) / SalesCleanTable[[#This Row],[Unit Price]]</f>
        <v>0.42499999999999999</v>
      </c>
    </row>
    <row r="80" spans="1:31">
      <c r="A80" t="s">
        <v>266</v>
      </c>
      <c r="B80" s="6">
        <v>45864</v>
      </c>
      <c r="C80" t="s">
        <v>103</v>
      </c>
      <c r="D80" t="s">
        <v>104</v>
      </c>
      <c r="E80" t="s">
        <v>92</v>
      </c>
      <c r="F80" t="s">
        <v>105</v>
      </c>
      <c r="G80" t="s">
        <v>106</v>
      </c>
      <c r="H80" t="s">
        <v>149</v>
      </c>
      <c r="I80" t="s">
        <v>150</v>
      </c>
      <c r="J80" t="s">
        <v>151</v>
      </c>
      <c r="K80" t="s">
        <v>152</v>
      </c>
      <c r="L80" t="s">
        <v>166</v>
      </c>
      <c r="M80" t="s">
        <v>177</v>
      </c>
      <c r="N80">
        <v>1</v>
      </c>
      <c r="O80" s="4">
        <v>1500</v>
      </c>
      <c r="P80" s="4">
        <v>2500</v>
      </c>
      <c r="Q80" s="7">
        <v>0.15</v>
      </c>
      <c r="R80" t="s">
        <v>215</v>
      </c>
      <c r="S80">
        <v>6</v>
      </c>
      <c r="T80">
        <v>2500</v>
      </c>
      <c r="U80">
        <v>375</v>
      </c>
      <c r="V80">
        <v>2125</v>
      </c>
      <c r="W80">
        <v>1500</v>
      </c>
      <c r="X80">
        <v>625</v>
      </c>
      <c r="Y80" s="8">
        <v>0.29411764705882354</v>
      </c>
      <c r="Z80" t="s">
        <v>2996</v>
      </c>
      <c r="AA80" t="str">
        <f>IF(AND(SalesCleanTable[[#This Row],[Discount %]]&gt;0, SalesCleanTable[[#This Row],[Profit]]&lt;0), "Discount loss", "Safe")</f>
        <v>Safe</v>
      </c>
      <c r="AB80" s="25">
        <f>(SalesCleanTable[[#This Row],[Unit Price]] - SalesCleanTable[[#This Row],[Unit Cost]]) / SalesCleanTable[[#This Row],[Unit Price]]</f>
        <v>0.4</v>
      </c>
      <c r="AC80" t="str">
        <f>IF(SalesCleanTable[[#This Row],[Discount %]] &gt; SalesCleanTable[[#This Row],[Max Allowed Discount]], "Discount loss", "Safe")</f>
        <v>Safe</v>
      </c>
      <c r="AD80" s="4">
        <f>SalesCleanTable[[#This Row],[Unit Price]] - SalesCleanTable[[#This Row],[Unit Cost]]</f>
        <v>1000</v>
      </c>
      <c r="AE80" s="41">
        <f>(SalesCleanTable[[#This Row],[Unit Price]] - SalesCleanTable[[#This Row],[Unit Cost]]) / SalesCleanTable[[#This Row],[Unit Price]]</f>
        <v>0.4</v>
      </c>
    </row>
    <row r="81" spans="1:31">
      <c r="A81" t="s">
        <v>267</v>
      </c>
      <c r="B81" s="6">
        <v>45913</v>
      </c>
      <c r="C81" t="s">
        <v>73</v>
      </c>
      <c r="D81" t="s">
        <v>74</v>
      </c>
      <c r="E81" t="s">
        <v>75</v>
      </c>
      <c r="F81" t="s">
        <v>76</v>
      </c>
      <c r="G81" t="s">
        <v>77</v>
      </c>
      <c r="H81" t="s">
        <v>145</v>
      </c>
      <c r="I81" t="s">
        <v>146</v>
      </c>
      <c r="J81" t="s">
        <v>147</v>
      </c>
      <c r="K81" t="s">
        <v>148</v>
      </c>
      <c r="L81" t="s">
        <v>170</v>
      </c>
      <c r="M81" t="s">
        <v>186</v>
      </c>
      <c r="N81">
        <v>1</v>
      </c>
      <c r="O81" s="4">
        <v>3500</v>
      </c>
      <c r="P81" s="4">
        <v>5200</v>
      </c>
      <c r="Q81" s="7">
        <v>0.05</v>
      </c>
      <c r="R81" t="s">
        <v>204</v>
      </c>
      <c r="S81">
        <v>8</v>
      </c>
      <c r="T81">
        <v>5200</v>
      </c>
      <c r="U81">
        <v>260</v>
      </c>
      <c r="V81">
        <v>4940</v>
      </c>
      <c r="W81">
        <v>3500</v>
      </c>
      <c r="X81">
        <v>1440</v>
      </c>
      <c r="Y81" s="8">
        <v>0.291497975708502</v>
      </c>
      <c r="Z81" t="s">
        <v>2996</v>
      </c>
      <c r="AA81" t="str">
        <f>IF(AND(SalesCleanTable[[#This Row],[Discount %]]&gt;0, SalesCleanTable[[#This Row],[Profit]]&lt;0), "Discount loss", "Safe")</f>
        <v>Safe</v>
      </c>
      <c r="AB81" s="25">
        <f>(SalesCleanTable[[#This Row],[Unit Price]] - SalesCleanTable[[#This Row],[Unit Cost]]) / SalesCleanTable[[#This Row],[Unit Price]]</f>
        <v>0.32692307692307693</v>
      </c>
      <c r="AC81" t="str">
        <f>IF(SalesCleanTable[[#This Row],[Discount %]] &gt; SalesCleanTable[[#This Row],[Max Allowed Discount]], "Discount loss", "Safe")</f>
        <v>Safe</v>
      </c>
      <c r="AD81" s="4">
        <f>SalesCleanTable[[#This Row],[Unit Price]] - SalesCleanTable[[#This Row],[Unit Cost]]</f>
        <v>1700</v>
      </c>
      <c r="AE81" s="41">
        <f>(SalesCleanTable[[#This Row],[Unit Price]] - SalesCleanTable[[#This Row],[Unit Cost]]) / SalesCleanTable[[#This Row],[Unit Price]]</f>
        <v>0.32692307692307693</v>
      </c>
    </row>
    <row r="82" spans="1:31">
      <c r="A82" t="s">
        <v>268</v>
      </c>
      <c r="B82" s="6">
        <v>45980</v>
      </c>
      <c r="C82" t="s">
        <v>69</v>
      </c>
      <c r="D82" t="s">
        <v>70</v>
      </c>
      <c r="E82" t="s">
        <v>59</v>
      </c>
      <c r="F82" t="s">
        <v>71</v>
      </c>
      <c r="G82" t="s">
        <v>72</v>
      </c>
      <c r="H82" t="s">
        <v>133</v>
      </c>
      <c r="I82" t="s">
        <v>134</v>
      </c>
      <c r="J82" t="s">
        <v>130</v>
      </c>
      <c r="K82" t="s">
        <v>131</v>
      </c>
      <c r="L82" t="s">
        <v>166</v>
      </c>
      <c r="M82" t="s">
        <v>177</v>
      </c>
      <c r="N82">
        <v>1</v>
      </c>
      <c r="O82" s="4">
        <v>1700</v>
      </c>
      <c r="P82" s="4">
        <v>2600</v>
      </c>
      <c r="Q82" s="7">
        <v>0.1</v>
      </c>
      <c r="R82" t="s">
        <v>192</v>
      </c>
      <c r="S82">
        <v>8</v>
      </c>
      <c r="T82">
        <v>2600</v>
      </c>
      <c r="U82">
        <v>260</v>
      </c>
      <c r="V82">
        <v>2340</v>
      </c>
      <c r="W82">
        <v>1700</v>
      </c>
      <c r="X82">
        <v>640</v>
      </c>
      <c r="Y82" s="8">
        <v>0.27350427350427353</v>
      </c>
      <c r="Z82" t="s">
        <v>2997</v>
      </c>
      <c r="AA82" t="str">
        <f>IF(AND(SalesCleanTable[[#This Row],[Discount %]]&gt;0, SalesCleanTable[[#This Row],[Profit]]&lt;0), "Discount loss", "Safe")</f>
        <v>Safe</v>
      </c>
      <c r="AB82" s="25">
        <f>(SalesCleanTable[[#This Row],[Unit Price]] - SalesCleanTable[[#This Row],[Unit Cost]]) / SalesCleanTable[[#This Row],[Unit Price]]</f>
        <v>0.34615384615384615</v>
      </c>
      <c r="AC82" t="str">
        <f>IF(SalesCleanTable[[#This Row],[Discount %]] &gt; SalesCleanTable[[#This Row],[Max Allowed Discount]], "Discount loss", "Safe")</f>
        <v>Safe</v>
      </c>
      <c r="AD82" s="4">
        <f>SalesCleanTable[[#This Row],[Unit Price]] - SalesCleanTable[[#This Row],[Unit Cost]]</f>
        <v>900</v>
      </c>
      <c r="AE82" s="41">
        <f>(SalesCleanTable[[#This Row],[Unit Price]] - SalesCleanTable[[#This Row],[Unit Cost]]) / SalesCleanTable[[#This Row],[Unit Price]]</f>
        <v>0.34615384615384615</v>
      </c>
    </row>
    <row r="83" spans="1:31">
      <c r="A83" t="s">
        <v>269</v>
      </c>
      <c r="B83" s="6">
        <v>45989</v>
      </c>
      <c r="C83" t="s">
        <v>99</v>
      </c>
      <c r="D83" t="s">
        <v>100</v>
      </c>
      <c r="E83" t="s">
        <v>92</v>
      </c>
      <c r="F83" t="s">
        <v>101</v>
      </c>
      <c r="G83" t="s">
        <v>102</v>
      </c>
      <c r="H83" t="s">
        <v>139</v>
      </c>
      <c r="I83" t="s">
        <v>140</v>
      </c>
      <c r="J83" t="s">
        <v>137</v>
      </c>
      <c r="K83" t="s">
        <v>138</v>
      </c>
      <c r="L83" t="s">
        <v>166</v>
      </c>
      <c r="M83" t="s">
        <v>171</v>
      </c>
      <c r="N83">
        <v>4</v>
      </c>
      <c r="O83" s="4">
        <v>12500</v>
      </c>
      <c r="P83" s="4">
        <v>18500</v>
      </c>
      <c r="Q83" s="7">
        <v>0.05</v>
      </c>
      <c r="R83" t="s">
        <v>217</v>
      </c>
      <c r="S83">
        <v>4</v>
      </c>
      <c r="T83">
        <v>74000</v>
      </c>
      <c r="U83">
        <v>3700</v>
      </c>
      <c r="V83">
        <v>70300</v>
      </c>
      <c r="W83">
        <v>50000</v>
      </c>
      <c r="X83">
        <v>20300</v>
      </c>
      <c r="Y83" s="8">
        <v>0.28876244665718348</v>
      </c>
      <c r="Z83" t="s">
        <v>2995</v>
      </c>
      <c r="AA83" t="str">
        <f>IF(AND(SalesCleanTable[[#This Row],[Discount %]]&gt;0, SalesCleanTable[[#This Row],[Profit]]&lt;0), "Discount loss", "Safe")</f>
        <v>Safe</v>
      </c>
      <c r="AB83" s="25">
        <f>(SalesCleanTable[[#This Row],[Unit Price]] - SalesCleanTable[[#This Row],[Unit Cost]]) / SalesCleanTable[[#This Row],[Unit Price]]</f>
        <v>0.32432432432432434</v>
      </c>
      <c r="AC83" t="str">
        <f>IF(SalesCleanTable[[#This Row],[Discount %]] &gt; SalesCleanTable[[#This Row],[Max Allowed Discount]], "Discount loss", "Safe")</f>
        <v>Safe</v>
      </c>
      <c r="AD83" s="4">
        <f>SalesCleanTable[[#This Row],[Unit Price]] - SalesCleanTable[[#This Row],[Unit Cost]]</f>
        <v>6000</v>
      </c>
      <c r="AE83" s="41">
        <f>(SalesCleanTable[[#This Row],[Unit Price]] - SalesCleanTable[[#This Row],[Unit Cost]]) / SalesCleanTable[[#This Row],[Unit Price]]</f>
        <v>0.32432432432432434</v>
      </c>
    </row>
    <row r="84" spans="1:31">
      <c r="A84" t="s">
        <v>270</v>
      </c>
      <c r="B84" s="6">
        <v>45732</v>
      </c>
      <c r="C84" t="s">
        <v>49</v>
      </c>
      <c r="D84" t="s">
        <v>50</v>
      </c>
      <c r="E84" t="s">
        <v>38</v>
      </c>
      <c r="F84" t="s">
        <v>51</v>
      </c>
      <c r="G84" t="s">
        <v>52</v>
      </c>
      <c r="H84" t="s">
        <v>149</v>
      </c>
      <c r="I84" t="s">
        <v>150</v>
      </c>
      <c r="J84" t="s">
        <v>151</v>
      </c>
      <c r="K84" t="s">
        <v>152</v>
      </c>
      <c r="L84" t="s">
        <v>183</v>
      </c>
      <c r="M84" t="s">
        <v>167</v>
      </c>
      <c r="N84">
        <v>3</v>
      </c>
      <c r="O84" s="4">
        <v>550</v>
      </c>
      <c r="P84" s="4">
        <v>850</v>
      </c>
      <c r="Q84" s="7">
        <v>0.15</v>
      </c>
      <c r="R84" t="s">
        <v>175</v>
      </c>
      <c r="S84">
        <v>6</v>
      </c>
      <c r="T84">
        <v>2550</v>
      </c>
      <c r="U84">
        <v>382.5</v>
      </c>
      <c r="V84">
        <v>2167.5</v>
      </c>
      <c r="W84">
        <v>1650</v>
      </c>
      <c r="X84">
        <v>517.5</v>
      </c>
      <c r="Y84" s="8">
        <v>0.23875432525951557</v>
      </c>
      <c r="Z84" t="s">
        <v>2996</v>
      </c>
      <c r="AA84" t="str">
        <f>IF(AND(SalesCleanTable[[#This Row],[Discount %]]&gt;0, SalesCleanTable[[#This Row],[Profit]]&lt;0), "Discount loss", "Safe")</f>
        <v>Safe</v>
      </c>
      <c r="AB84" s="25">
        <f>(SalesCleanTable[[#This Row],[Unit Price]] - SalesCleanTable[[#This Row],[Unit Cost]]) / SalesCleanTable[[#This Row],[Unit Price]]</f>
        <v>0.35294117647058826</v>
      </c>
      <c r="AC84" t="str">
        <f>IF(SalesCleanTable[[#This Row],[Discount %]] &gt; SalesCleanTable[[#This Row],[Max Allowed Discount]], "Discount loss", "Safe")</f>
        <v>Safe</v>
      </c>
      <c r="AD84" s="4">
        <f>SalesCleanTable[[#This Row],[Unit Price]] - SalesCleanTable[[#This Row],[Unit Cost]]</f>
        <v>300</v>
      </c>
      <c r="AE84" s="41">
        <f>(SalesCleanTable[[#This Row],[Unit Price]] - SalesCleanTable[[#This Row],[Unit Cost]]) / SalesCleanTable[[#This Row],[Unit Price]]</f>
        <v>0.35294117647058826</v>
      </c>
    </row>
    <row r="85" spans="1:31">
      <c r="A85" t="s">
        <v>271</v>
      </c>
      <c r="B85" s="6">
        <v>45917</v>
      </c>
      <c r="C85" t="s">
        <v>45</v>
      </c>
      <c r="D85" t="s">
        <v>46</v>
      </c>
      <c r="E85" t="s">
        <v>38</v>
      </c>
      <c r="F85" t="s">
        <v>47</v>
      </c>
      <c r="G85" t="s">
        <v>48</v>
      </c>
      <c r="H85" t="s">
        <v>128</v>
      </c>
      <c r="I85" t="s">
        <v>129</v>
      </c>
      <c r="J85" t="s">
        <v>130</v>
      </c>
      <c r="K85" t="s">
        <v>131</v>
      </c>
      <c r="L85" t="s">
        <v>166</v>
      </c>
      <c r="M85" t="s">
        <v>171</v>
      </c>
      <c r="N85">
        <v>4</v>
      </c>
      <c r="O85" s="4">
        <v>230</v>
      </c>
      <c r="P85" s="4">
        <v>400</v>
      </c>
      <c r="Q85" s="7">
        <v>0.15</v>
      </c>
      <c r="R85" t="s">
        <v>178</v>
      </c>
      <c r="S85">
        <v>8</v>
      </c>
      <c r="T85">
        <v>1600</v>
      </c>
      <c r="U85">
        <v>240</v>
      </c>
      <c r="V85">
        <v>1360</v>
      </c>
      <c r="W85">
        <v>920</v>
      </c>
      <c r="X85">
        <v>440</v>
      </c>
      <c r="Y85" s="8">
        <v>0.3235294117647059</v>
      </c>
      <c r="Z85" t="s">
        <v>2995</v>
      </c>
      <c r="AA85" t="str">
        <f>IF(AND(SalesCleanTable[[#This Row],[Discount %]]&gt;0, SalesCleanTable[[#This Row],[Profit]]&lt;0), "Discount loss", "Safe")</f>
        <v>Safe</v>
      </c>
      <c r="AB85" s="25">
        <f>(SalesCleanTable[[#This Row],[Unit Price]] - SalesCleanTable[[#This Row],[Unit Cost]]) / SalesCleanTable[[#This Row],[Unit Price]]</f>
        <v>0.42499999999999999</v>
      </c>
      <c r="AC85" t="str">
        <f>IF(SalesCleanTable[[#This Row],[Discount %]] &gt; SalesCleanTable[[#This Row],[Max Allowed Discount]], "Discount loss", "Safe")</f>
        <v>Safe</v>
      </c>
      <c r="AD85" s="4">
        <f>SalesCleanTable[[#This Row],[Unit Price]] - SalesCleanTable[[#This Row],[Unit Cost]]</f>
        <v>170</v>
      </c>
      <c r="AE85" s="41">
        <f>(SalesCleanTable[[#This Row],[Unit Price]] - SalesCleanTable[[#This Row],[Unit Cost]]) / SalesCleanTable[[#This Row],[Unit Price]]</f>
        <v>0.42499999999999999</v>
      </c>
    </row>
    <row r="86" spans="1:31">
      <c r="A86" t="s">
        <v>272</v>
      </c>
      <c r="B86" s="6">
        <v>45834</v>
      </c>
      <c r="C86" t="s">
        <v>45</v>
      </c>
      <c r="D86" t="s">
        <v>46</v>
      </c>
      <c r="E86" t="s">
        <v>38</v>
      </c>
      <c r="F86" t="s">
        <v>47</v>
      </c>
      <c r="G86" t="s">
        <v>48</v>
      </c>
      <c r="H86" t="s">
        <v>145</v>
      </c>
      <c r="I86" t="s">
        <v>146</v>
      </c>
      <c r="J86" t="s">
        <v>147</v>
      </c>
      <c r="K86" t="s">
        <v>148</v>
      </c>
      <c r="L86" t="s">
        <v>183</v>
      </c>
      <c r="M86" t="s">
        <v>171</v>
      </c>
      <c r="N86">
        <v>2</v>
      </c>
      <c r="O86" s="4">
        <v>230</v>
      </c>
      <c r="P86" s="4">
        <v>400</v>
      </c>
      <c r="Q86" s="7">
        <v>0.2</v>
      </c>
      <c r="R86" t="s">
        <v>178</v>
      </c>
      <c r="S86">
        <v>10</v>
      </c>
      <c r="T86">
        <v>800</v>
      </c>
      <c r="U86">
        <v>160</v>
      </c>
      <c r="V86">
        <v>640</v>
      </c>
      <c r="W86">
        <v>460</v>
      </c>
      <c r="X86">
        <v>180</v>
      </c>
      <c r="Y86" s="8">
        <v>0.28125</v>
      </c>
      <c r="Z86" t="s">
        <v>2995</v>
      </c>
      <c r="AA86" t="str">
        <f>IF(AND(SalesCleanTable[[#This Row],[Discount %]]&gt;0, SalesCleanTable[[#This Row],[Profit]]&lt;0), "Discount loss", "Safe")</f>
        <v>Safe</v>
      </c>
      <c r="AB86" s="25">
        <f>(SalesCleanTable[[#This Row],[Unit Price]] - SalesCleanTable[[#This Row],[Unit Cost]]) / SalesCleanTable[[#This Row],[Unit Price]]</f>
        <v>0.42499999999999999</v>
      </c>
      <c r="AC86" t="str">
        <f>IF(SalesCleanTable[[#This Row],[Discount %]] &gt; SalesCleanTable[[#This Row],[Max Allowed Discount]], "Discount loss", "Safe")</f>
        <v>Safe</v>
      </c>
      <c r="AD86" s="4">
        <f>SalesCleanTable[[#This Row],[Unit Price]] - SalesCleanTable[[#This Row],[Unit Cost]]</f>
        <v>170</v>
      </c>
      <c r="AE86" s="41">
        <f>(SalesCleanTable[[#This Row],[Unit Price]] - SalesCleanTable[[#This Row],[Unit Cost]]) / SalesCleanTable[[#This Row],[Unit Price]]</f>
        <v>0.42499999999999999</v>
      </c>
    </row>
    <row r="87" spans="1:31">
      <c r="A87" t="s">
        <v>273</v>
      </c>
      <c r="B87" s="6">
        <v>45868</v>
      </c>
      <c r="C87" t="s">
        <v>24</v>
      </c>
      <c r="D87" t="s">
        <v>25</v>
      </c>
      <c r="E87" t="s">
        <v>26</v>
      </c>
      <c r="F87" t="s">
        <v>27</v>
      </c>
      <c r="G87" t="s">
        <v>28</v>
      </c>
      <c r="H87" t="s">
        <v>145</v>
      </c>
      <c r="I87" t="s">
        <v>146</v>
      </c>
      <c r="J87" t="s">
        <v>147</v>
      </c>
      <c r="K87" t="s">
        <v>148</v>
      </c>
      <c r="L87" t="s">
        <v>166</v>
      </c>
      <c r="M87" t="s">
        <v>171</v>
      </c>
      <c r="N87">
        <v>4</v>
      </c>
      <c r="O87" s="4">
        <v>14500</v>
      </c>
      <c r="P87" s="4">
        <v>17500</v>
      </c>
      <c r="Q87" s="7">
        <v>0.15</v>
      </c>
      <c r="R87" t="s">
        <v>173</v>
      </c>
      <c r="S87">
        <v>3</v>
      </c>
      <c r="T87">
        <v>70000</v>
      </c>
      <c r="U87">
        <v>10500</v>
      </c>
      <c r="V87">
        <v>59500</v>
      </c>
      <c r="W87">
        <v>58000</v>
      </c>
      <c r="X87">
        <v>1500</v>
      </c>
      <c r="Y87" s="8">
        <v>2.5210084033613446E-2</v>
      </c>
      <c r="Z87" t="s">
        <v>2995</v>
      </c>
      <c r="AA87" t="str">
        <f>IF(AND(SalesCleanTable[[#This Row],[Discount %]]&gt;0, SalesCleanTable[[#This Row],[Profit]]&lt;0), "Discount loss", "Safe")</f>
        <v>Safe</v>
      </c>
      <c r="AB87" s="25">
        <f>(SalesCleanTable[[#This Row],[Unit Price]] - SalesCleanTable[[#This Row],[Unit Cost]]) / SalesCleanTable[[#This Row],[Unit Price]]</f>
        <v>0.17142857142857143</v>
      </c>
      <c r="AC87" t="str">
        <f>IF(SalesCleanTable[[#This Row],[Discount %]] &gt; SalesCleanTable[[#This Row],[Max Allowed Discount]], "Discount loss", "Safe")</f>
        <v>Safe</v>
      </c>
      <c r="AD87" s="4">
        <f>SalesCleanTable[[#This Row],[Unit Price]] - SalesCleanTable[[#This Row],[Unit Cost]]</f>
        <v>3000</v>
      </c>
      <c r="AE87" s="41">
        <f>(SalesCleanTable[[#This Row],[Unit Price]] - SalesCleanTable[[#This Row],[Unit Cost]]) / SalesCleanTable[[#This Row],[Unit Price]]</f>
        <v>0.17142857142857143</v>
      </c>
    </row>
    <row r="88" spans="1:31">
      <c r="A88" t="s">
        <v>274</v>
      </c>
      <c r="B88" s="6">
        <v>45676</v>
      </c>
      <c r="C88" t="s">
        <v>32</v>
      </c>
      <c r="D88" t="s">
        <v>33</v>
      </c>
      <c r="E88" t="s">
        <v>26</v>
      </c>
      <c r="F88" t="s">
        <v>34</v>
      </c>
      <c r="G88" t="s">
        <v>35</v>
      </c>
      <c r="H88" t="s">
        <v>153</v>
      </c>
      <c r="I88" t="s">
        <v>154</v>
      </c>
      <c r="J88" t="s">
        <v>155</v>
      </c>
      <c r="K88" t="s">
        <v>131</v>
      </c>
      <c r="L88" t="s">
        <v>183</v>
      </c>
      <c r="M88" t="s">
        <v>177</v>
      </c>
      <c r="N88">
        <v>2</v>
      </c>
      <c r="O88" s="4">
        <v>7800</v>
      </c>
      <c r="P88" s="4">
        <v>9800</v>
      </c>
      <c r="Q88" s="7">
        <v>0</v>
      </c>
      <c r="R88" t="s">
        <v>194</v>
      </c>
      <c r="S88">
        <v>1</v>
      </c>
      <c r="T88">
        <v>19600</v>
      </c>
      <c r="U88">
        <v>0</v>
      </c>
      <c r="V88">
        <v>19600</v>
      </c>
      <c r="W88">
        <v>15600</v>
      </c>
      <c r="X88">
        <v>4000</v>
      </c>
      <c r="Y88" s="8">
        <v>0.20408163265306123</v>
      </c>
      <c r="Z88" t="s">
        <v>2995</v>
      </c>
      <c r="AA88" t="str">
        <f>IF(AND(SalesCleanTable[[#This Row],[Discount %]]&gt;0, SalesCleanTable[[#This Row],[Profit]]&lt;0), "Discount loss", "Safe")</f>
        <v>Safe</v>
      </c>
      <c r="AB88" s="25">
        <f>(SalesCleanTable[[#This Row],[Unit Price]] - SalesCleanTable[[#This Row],[Unit Cost]]) / SalesCleanTable[[#This Row],[Unit Price]]</f>
        <v>0.20408163265306123</v>
      </c>
      <c r="AC88" t="str">
        <f>IF(SalesCleanTable[[#This Row],[Discount %]] &gt; SalesCleanTable[[#This Row],[Max Allowed Discount]], "Discount loss", "Safe")</f>
        <v>Safe</v>
      </c>
      <c r="AD88" s="4">
        <f>SalesCleanTable[[#This Row],[Unit Price]] - SalesCleanTable[[#This Row],[Unit Cost]]</f>
        <v>2000</v>
      </c>
      <c r="AE88" s="41">
        <f>(SalesCleanTable[[#This Row],[Unit Price]] - SalesCleanTable[[#This Row],[Unit Cost]]) / SalesCleanTable[[#This Row],[Unit Price]]</f>
        <v>0.20408163265306123</v>
      </c>
    </row>
    <row r="89" spans="1:31">
      <c r="A89" t="s">
        <v>275</v>
      </c>
      <c r="B89" s="6">
        <v>45867</v>
      </c>
      <c r="C89" t="s">
        <v>103</v>
      </c>
      <c r="D89" t="s">
        <v>104</v>
      </c>
      <c r="E89" t="s">
        <v>92</v>
      </c>
      <c r="F89" t="s">
        <v>105</v>
      </c>
      <c r="G89" t="s">
        <v>106</v>
      </c>
      <c r="H89" t="s">
        <v>153</v>
      </c>
      <c r="I89" t="s">
        <v>154</v>
      </c>
      <c r="J89" t="s">
        <v>155</v>
      </c>
      <c r="K89" t="s">
        <v>131</v>
      </c>
      <c r="L89" t="s">
        <v>166</v>
      </c>
      <c r="M89" t="s">
        <v>171</v>
      </c>
      <c r="N89">
        <v>1</v>
      </c>
      <c r="O89" s="4">
        <v>1500</v>
      </c>
      <c r="P89" s="4">
        <v>2500</v>
      </c>
      <c r="Q89" s="7">
        <v>0.15</v>
      </c>
      <c r="R89" t="s">
        <v>217</v>
      </c>
      <c r="S89">
        <v>11</v>
      </c>
      <c r="T89">
        <v>2500</v>
      </c>
      <c r="U89">
        <v>375</v>
      </c>
      <c r="V89">
        <v>2125</v>
      </c>
      <c r="W89">
        <v>1500</v>
      </c>
      <c r="X89">
        <v>625</v>
      </c>
      <c r="Y89" s="8">
        <v>0.29411764705882354</v>
      </c>
      <c r="Z89" t="s">
        <v>2996</v>
      </c>
      <c r="AA89" t="str">
        <f>IF(AND(SalesCleanTable[[#This Row],[Discount %]]&gt;0, SalesCleanTable[[#This Row],[Profit]]&lt;0), "Discount loss", "Safe")</f>
        <v>Safe</v>
      </c>
      <c r="AB89" s="25">
        <f>(SalesCleanTable[[#This Row],[Unit Price]] - SalesCleanTable[[#This Row],[Unit Cost]]) / SalesCleanTable[[#This Row],[Unit Price]]</f>
        <v>0.4</v>
      </c>
      <c r="AC89" t="str">
        <f>IF(SalesCleanTable[[#This Row],[Discount %]] &gt; SalesCleanTable[[#This Row],[Max Allowed Discount]], "Discount loss", "Safe")</f>
        <v>Safe</v>
      </c>
      <c r="AD89" s="4">
        <f>SalesCleanTable[[#This Row],[Unit Price]] - SalesCleanTable[[#This Row],[Unit Cost]]</f>
        <v>1000</v>
      </c>
      <c r="AE89" s="41">
        <f>(SalesCleanTable[[#This Row],[Unit Price]] - SalesCleanTable[[#This Row],[Unit Cost]]) / SalesCleanTable[[#This Row],[Unit Price]]</f>
        <v>0.4</v>
      </c>
    </row>
    <row r="90" spans="1:31">
      <c r="A90" t="s">
        <v>276</v>
      </c>
      <c r="B90" s="6">
        <v>45826</v>
      </c>
      <c r="C90" t="s">
        <v>103</v>
      </c>
      <c r="D90" t="s">
        <v>104</v>
      </c>
      <c r="E90" t="s">
        <v>92</v>
      </c>
      <c r="F90" t="s">
        <v>105</v>
      </c>
      <c r="G90" t="s">
        <v>106</v>
      </c>
      <c r="H90" t="s">
        <v>149</v>
      </c>
      <c r="I90" t="s">
        <v>150</v>
      </c>
      <c r="J90" t="s">
        <v>151</v>
      </c>
      <c r="K90" t="s">
        <v>152</v>
      </c>
      <c r="L90" t="s">
        <v>183</v>
      </c>
      <c r="M90" t="s">
        <v>171</v>
      </c>
      <c r="N90">
        <v>2</v>
      </c>
      <c r="O90" s="4">
        <v>1500</v>
      </c>
      <c r="P90" s="4">
        <v>2500</v>
      </c>
      <c r="Q90" s="7">
        <v>0.05</v>
      </c>
      <c r="R90" t="s">
        <v>215</v>
      </c>
      <c r="S90">
        <v>1</v>
      </c>
      <c r="T90">
        <v>5000</v>
      </c>
      <c r="U90">
        <v>250</v>
      </c>
      <c r="V90">
        <v>4750</v>
      </c>
      <c r="W90">
        <v>3000</v>
      </c>
      <c r="X90">
        <v>1750</v>
      </c>
      <c r="Y90" s="8">
        <v>0.36842105263157893</v>
      </c>
      <c r="Z90" t="s">
        <v>2996</v>
      </c>
      <c r="AA90" t="str">
        <f>IF(AND(SalesCleanTable[[#This Row],[Discount %]]&gt;0, SalesCleanTable[[#This Row],[Profit]]&lt;0), "Discount loss", "Safe")</f>
        <v>Safe</v>
      </c>
      <c r="AB90" s="25">
        <f>(SalesCleanTable[[#This Row],[Unit Price]] - SalesCleanTable[[#This Row],[Unit Cost]]) / SalesCleanTable[[#This Row],[Unit Price]]</f>
        <v>0.4</v>
      </c>
      <c r="AC90" t="str">
        <f>IF(SalesCleanTable[[#This Row],[Discount %]] &gt; SalesCleanTable[[#This Row],[Max Allowed Discount]], "Discount loss", "Safe")</f>
        <v>Safe</v>
      </c>
      <c r="AD90" s="4">
        <f>SalesCleanTable[[#This Row],[Unit Price]] - SalesCleanTable[[#This Row],[Unit Cost]]</f>
        <v>1000</v>
      </c>
      <c r="AE90" s="41">
        <f>(SalesCleanTable[[#This Row],[Unit Price]] - SalesCleanTable[[#This Row],[Unit Cost]]) / SalesCleanTable[[#This Row],[Unit Price]]</f>
        <v>0.4</v>
      </c>
    </row>
    <row r="91" spans="1:31">
      <c r="A91" t="s">
        <v>277</v>
      </c>
      <c r="B91" s="6">
        <v>45778</v>
      </c>
      <c r="C91" t="s">
        <v>73</v>
      </c>
      <c r="D91" t="s">
        <v>74</v>
      </c>
      <c r="E91" t="s">
        <v>75</v>
      </c>
      <c r="F91" t="s">
        <v>76</v>
      </c>
      <c r="G91" t="s">
        <v>77</v>
      </c>
      <c r="H91" t="s">
        <v>149</v>
      </c>
      <c r="I91" t="s">
        <v>150</v>
      </c>
      <c r="J91" t="s">
        <v>151</v>
      </c>
      <c r="K91" t="s">
        <v>152</v>
      </c>
      <c r="L91" t="s">
        <v>166</v>
      </c>
      <c r="M91" t="s">
        <v>177</v>
      </c>
      <c r="N91">
        <v>10</v>
      </c>
      <c r="O91" s="4">
        <v>3500</v>
      </c>
      <c r="P91" s="4">
        <v>5200</v>
      </c>
      <c r="Q91" s="7">
        <v>0.1</v>
      </c>
      <c r="R91" t="s">
        <v>204</v>
      </c>
      <c r="S91">
        <v>12</v>
      </c>
      <c r="T91">
        <v>52000</v>
      </c>
      <c r="U91">
        <v>5200</v>
      </c>
      <c r="V91">
        <v>46800</v>
      </c>
      <c r="W91">
        <v>35000</v>
      </c>
      <c r="X91">
        <v>11800</v>
      </c>
      <c r="Y91" s="8">
        <v>0.25213675213675213</v>
      </c>
      <c r="Z91" t="s">
        <v>2996</v>
      </c>
      <c r="AA91" t="str">
        <f>IF(AND(SalesCleanTable[[#This Row],[Discount %]]&gt;0, SalesCleanTable[[#This Row],[Profit]]&lt;0), "Discount loss", "Safe")</f>
        <v>Safe</v>
      </c>
      <c r="AB91" s="25">
        <f>(SalesCleanTable[[#This Row],[Unit Price]] - SalesCleanTable[[#This Row],[Unit Cost]]) / SalesCleanTable[[#This Row],[Unit Price]]</f>
        <v>0.32692307692307693</v>
      </c>
      <c r="AC91" t="str">
        <f>IF(SalesCleanTable[[#This Row],[Discount %]] &gt; SalesCleanTable[[#This Row],[Max Allowed Discount]], "Discount loss", "Safe")</f>
        <v>Safe</v>
      </c>
      <c r="AD91" s="4">
        <f>SalesCleanTable[[#This Row],[Unit Price]] - SalesCleanTable[[#This Row],[Unit Cost]]</f>
        <v>1700</v>
      </c>
      <c r="AE91" s="41">
        <f>(SalesCleanTable[[#This Row],[Unit Price]] - SalesCleanTable[[#This Row],[Unit Cost]]) / SalesCleanTable[[#This Row],[Unit Price]]</f>
        <v>0.32692307692307693</v>
      </c>
    </row>
    <row r="92" spans="1:31">
      <c r="A92" t="s">
        <v>278</v>
      </c>
      <c r="B92" s="6">
        <v>45885</v>
      </c>
      <c r="C92" t="s">
        <v>36</v>
      </c>
      <c r="D92" t="s">
        <v>37</v>
      </c>
      <c r="E92" t="s">
        <v>38</v>
      </c>
      <c r="F92" t="s">
        <v>39</v>
      </c>
      <c r="G92" t="s">
        <v>40</v>
      </c>
      <c r="H92" t="s">
        <v>135</v>
      </c>
      <c r="I92" t="s">
        <v>136</v>
      </c>
      <c r="J92" t="s">
        <v>137</v>
      </c>
      <c r="K92" t="s">
        <v>138</v>
      </c>
      <c r="L92" t="s">
        <v>166</v>
      </c>
      <c r="M92" t="s">
        <v>186</v>
      </c>
      <c r="N92">
        <v>1</v>
      </c>
      <c r="O92" s="4">
        <v>1650</v>
      </c>
      <c r="P92" s="4">
        <v>2200</v>
      </c>
      <c r="Q92" s="7">
        <v>0.05</v>
      </c>
      <c r="R92" t="s">
        <v>175</v>
      </c>
      <c r="S92">
        <v>3</v>
      </c>
      <c r="T92">
        <v>2200</v>
      </c>
      <c r="U92">
        <v>110</v>
      </c>
      <c r="V92">
        <v>2090</v>
      </c>
      <c r="W92">
        <v>1650</v>
      </c>
      <c r="X92">
        <v>440</v>
      </c>
      <c r="Y92" s="8">
        <v>0.21052631578947367</v>
      </c>
      <c r="Z92" t="s">
        <v>2995</v>
      </c>
      <c r="AA92" t="str">
        <f>IF(AND(SalesCleanTable[[#This Row],[Discount %]]&gt;0, SalesCleanTable[[#This Row],[Profit]]&lt;0), "Discount loss", "Safe")</f>
        <v>Safe</v>
      </c>
      <c r="AB92" s="25">
        <f>(SalesCleanTable[[#This Row],[Unit Price]] - SalesCleanTable[[#This Row],[Unit Cost]]) / SalesCleanTable[[#This Row],[Unit Price]]</f>
        <v>0.25</v>
      </c>
      <c r="AC92" t="str">
        <f>IF(SalesCleanTable[[#This Row],[Discount %]] &gt; SalesCleanTable[[#This Row],[Max Allowed Discount]], "Discount loss", "Safe")</f>
        <v>Safe</v>
      </c>
      <c r="AD92" s="4">
        <f>SalesCleanTable[[#This Row],[Unit Price]] - SalesCleanTable[[#This Row],[Unit Cost]]</f>
        <v>550</v>
      </c>
      <c r="AE92" s="41">
        <f>(SalesCleanTable[[#This Row],[Unit Price]] - SalesCleanTable[[#This Row],[Unit Cost]]) / SalesCleanTable[[#This Row],[Unit Price]]</f>
        <v>0.25</v>
      </c>
    </row>
    <row r="93" spans="1:31">
      <c r="A93" t="s">
        <v>279</v>
      </c>
      <c r="B93" s="6">
        <v>45868</v>
      </c>
      <c r="C93" t="s">
        <v>62</v>
      </c>
      <c r="D93" t="s">
        <v>63</v>
      </c>
      <c r="E93" t="s">
        <v>59</v>
      </c>
      <c r="F93" t="s">
        <v>64</v>
      </c>
      <c r="G93" t="s">
        <v>65</v>
      </c>
      <c r="H93" t="s">
        <v>145</v>
      </c>
      <c r="I93" t="s">
        <v>146</v>
      </c>
      <c r="J93" t="s">
        <v>147</v>
      </c>
      <c r="K93" t="s">
        <v>148</v>
      </c>
      <c r="L93" t="s">
        <v>183</v>
      </c>
      <c r="M93" t="s">
        <v>171</v>
      </c>
      <c r="N93">
        <v>1</v>
      </c>
      <c r="O93" s="4">
        <v>3200</v>
      </c>
      <c r="P93" s="4">
        <v>4500</v>
      </c>
      <c r="Q93" s="7">
        <v>0</v>
      </c>
      <c r="R93" t="s">
        <v>192</v>
      </c>
      <c r="S93">
        <v>8</v>
      </c>
      <c r="T93">
        <v>4500</v>
      </c>
      <c r="U93">
        <v>0</v>
      </c>
      <c r="V93">
        <v>4500</v>
      </c>
      <c r="W93">
        <v>3200</v>
      </c>
      <c r="X93">
        <v>1300</v>
      </c>
      <c r="Y93" s="8">
        <v>0.28888888888888886</v>
      </c>
      <c r="Z93" t="s">
        <v>2996</v>
      </c>
      <c r="AA93" t="str">
        <f>IF(AND(SalesCleanTable[[#This Row],[Discount %]]&gt;0, SalesCleanTable[[#This Row],[Profit]]&lt;0), "Discount loss", "Safe")</f>
        <v>Safe</v>
      </c>
      <c r="AB93" s="25">
        <f>(SalesCleanTable[[#This Row],[Unit Price]] - SalesCleanTable[[#This Row],[Unit Cost]]) / SalesCleanTable[[#This Row],[Unit Price]]</f>
        <v>0.28888888888888886</v>
      </c>
      <c r="AC93" t="str">
        <f>IF(SalesCleanTable[[#This Row],[Discount %]] &gt; SalesCleanTable[[#This Row],[Max Allowed Discount]], "Discount loss", "Safe")</f>
        <v>Safe</v>
      </c>
      <c r="AD93" s="4">
        <f>SalesCleanTable[[#This Row],[Unit Price]] - SalesCleanTable[[#This Row],[Unit Cost]]</f>
        <v>1300</v>
      </c>
      <c r="AE93" s="41">
        <f>(SalesCleanTable[[#This Row],[Unit Price]] - SalesCleanTable[[#This Row],[Unit Cost]]) / SalesCleanTable[[#This Row],[Unit Price]]</f>
        <v>0.28888888888888886</v>
      </c>
    </row>
    <row r="94" spans="1:31">
      <c r="A94" t="s">
        <v>280</v>
      </c>
      <c r="B94" s="6">
        <v>45731</v>
      </c>
      <c r="C94" t="s">
        <v>41</v>
      </c>
      <c r="D94" t="s">
        <v>42</v>
      </c>
      <c r="E94" t="s">
        <v>26</v>
      </c>
      <c r="F94" t="s">
        <v>43</v>
      </c>
      <c r="G94" t="s">
        <v>44</v>
      </c>
      <c r="H94" t="s">
        <v>141</v>
      </c>
      <c r="I94" t="s">
        <v>142</v>
      </c>
      <c r="J94" t="s">
        <v>143</v>
      </c>
      <c r="K94" t="s">
        <v>144</v>
      </c>
      <c r="L94" t="s">
        <v>183</v>
      </c>
      <c r="M94" t="s">
        <v>186</v>
      </c>
      <c r="N94">
        <v>2</v>
      </c>
      <c r="O94" s="4">
        <v>850</v>
      </c>
      <c r="P94" s="4">
        <v>1300</v>
      </c>
      <c r="Q94" s="7">
        <v>0.1</v>
      </c>
      <c r="R94" t="s">
        <v>194</v>
      </c>
      <c r="S94">
        <v>11</v>
      </c>
      <c r="T94">
        <v>2600</v>
      </c>
      <c r="U94">
        <v>260</v>
      </c>
      <c r="V94">
        <v>2340</v>
      </c>
      <c r="W94">
        <v>1700</v>
      </c>
      <c r="X94">
        <v>640</v>
      </c>
      <c r="Y94" s="8">
        <v>0.27350427350427353</v>
      </c>
      <c r="Z94" t="s">
        <v>2995</v>
      </c>
      <c r="AA94" t="str">
        <f>IF(AND(SalesCleanTable[[#This Row],[Discount %]]&gt;0, SalesCleanTable[[#This Row],[Profit]]&lt;0), "Discount loss", "Safe")</f>
        <v>Safe</v>
      </c>
      <c r="AB94" s="25">
        <f>(SalesCleanTable[[#This Row],[Unit Price]] - SalesCleanTable[[#This Row],[Unit Cost]]) / SalesCleanTable[[#This Row],[Unit Price]]</f>
        <v>0.34615384615384615</v>
      </c>
      <c r="AC94" t="str">
        <f>IF(SalesCleanTable[[#This Row],[Discount %]] &gt; SalesCleanTable[[#This Row],[Max Allowed Discount]], "Discount loss", "Safe")</f>
        <v>Safe</v>
      </c>
      <c r="AD94" s="4">
        <f>SalesCleanTable[[#This Row],[Unit Price]] - SalesCleanTable[[#This Row],[Unit Cost]]</f>
        <v>450</v>
      </c>
      <c r="AE94" s="41">
        <f>(SalesCleanTable[[#This Row],[Unit Price]] - SalesCleanTable[[#This Row],[Unit Cost]]) / SalesCleanTable[[#This Row],[Unit Price]]</f>
        <v>0.34615384615384615</v>
      </c>
    </row>
    <row r="95" spans="1:31">
      <c r="A95" t="s">
        <v>281</v>
      </c>
      <c r="B95" s="6">
        <v>45695</v>
      </c>
      <c r="C95" t="s">
        <v>53</v>
      </c>
      <c r="D95" t="s">
        <v>54</v>
      </c>
      <c r="E95" t="s">
        <v>38</v>
      </c>
      <c r="F95" t="s">
        <v>55</v>
      </c>
      <c r="G95" t="s">
        <v>56</v>
      </c>
      <c r="H95" t="s">
        <v>135</v>
      </c>
      <c r="I95" t="s">
        <v>136</v>
      </c>
      <c r="J95" t="s">
        <v>137</v>
      </c>
      <c r="K95" t="s">
        <v>138</v>
      </c>
      <c r="L95" t="s">
        <v>166</v>
      </c>
      <c r="M95" t="s">
        <v>167</v>
      </c>
      <c r="N95">
        <v>3</v>
      </c>
      <c r="O95" s="4">
        <v>330</v>
      </c>
      <c r="P95" s="4">
        <v>550</v>
      </c>
      <c r="Q95" s="7">
        <v>0.1</v>
      </c>
      <c r="R95" t="s">
        <v>175</v>
      </c>
      <c r="S95">
        <v>4</v>
      </c>
      <c r="T95">
        <v>1650</v>
      </c>
      <c r="U95">
        <v>165</v>
      </c>
      <c r="V95">
        <v>1485</v>
      </c>
      <c r="W95">
        <v>990</v>
      </c>
      <c r="X95">
        <v>495</v>
      </c>
      <c r="Y95" s="8">
        <v>0.33333333333333331</v>
      </c>
      <c r="Z95" t="s">
        <v>2996</v>
      </c>
      <c r="AA95" t="str">
        <f>IF(AND(SalesCleanTable[[#This Row],[Discount %]]&gt;0, SalesCleanTable[[#This Row],[Profit]]&lt;0), "Discount loss", "Safe")</f>
        <v>Safe</v>
      </c>
      <c r="AB95" s="25">
        <f>(SalesCleanTable[[#This Row],[Unit Price]] - SalesCleanTable[[#This Row],[Unit Cost]]) / SalesCleanTable[[#This Row],[Unit Price]]</f>
        <v>0.4</v>
      </c>
      <c r="AC95" t="str">
        <f>IF(SalesCleanTable[[#This Row],[Discount %]] &gt; SalesCleanTable[[#This Row],[Max Allowed Discount]], "Discount loss", "Safe")</f>
        <v>Safe</v>
      </c>
      <c r="AD95" s="4">
        <f>SalesCleanTable[[#This Row],[Unit Price]] - SalesCleanTable[[#This Row],[Unit Cost]]</f>
        <v>220</v>
      </c>
      <c r="AE95" s="41">
        <f>(SalesCleanTable[[#This Row],[Unit Price]] - SalesCleanTable[[#This Row],[Unit Cost]]) / SalesCleanTable[[#This Row],[Unit Price]]</f>
        <v>0.4</v>
      </c>
    </row>
    <row r="96" spans="1:31">
      <c r="A96" t="s">
        <v>282</v>
      </c>
      <c r="B96" s="6">
        <v>45905</v>
      </c>
      <c r="C96" t="s">
        <v>32</v>
      </c>
      <c r="D96" t="s">
        <v>33</v>
      </c>
      <c r="E96" t="s">
        <v>26</v>
      </c>
      <c r="F96" t="s">
        <v>34</v>
      </c>
      <c r="G96" t="s">
        <v>35</v>
      </c>
      <c r="H96" t="s">
        <v>135</v>
      </c>
      <c r="I96" t="s">
        <v>136</v>
      </c>
      <c r="J96" t="s">
        <v>137</v>
      </c>
      <c r="K96" t="s">
        <v>138</v>
      </c>
      <c r="L96" t="s">
        <v>183</v>
      </c>
      <c r="M96" t="s">
        <v>177</v>
      </c>
      <c r="N96">
        <v>2</v>
      </c>
      <c r="O96" s="4">
        <v>7800</v>
      </c>
      <c r="P96" s="4">
        <v>9800</v>
      </c>
      <c r="Q96" s="7">
        <v>0</v>
      </c>
      <c r="R96" t="s">
        <v>173</v>
      </c>
      <c r="S96">
        <v>7</v>
      </c>
      <c r="T96">
        <v>19600</v>
      </c>
      <c r="U96">
        <v>0</v>
      </c>
      <c r="V96">
        <v>19600</v>
      </c>
      <c r="W96">
        <v>15600</v>
      </c>
      <c r="X96">
        <v>4000</v>
      </c>
      <c r="Y96" s="8">
        <v>0.20408163265306123</v>
      </c>
      <c r="Z96" t="s">
        <v>2995</v>
      </c>
      <c r="AA96" t="str">
        <f>IF(AND(SalesCleanTable[[#This Row],[Discount %]]&gt;0, SalesCleanTable[[#This Row],[Profit]]&lt;0), "Discount loss", "Safe")</f>
        <v>Safe</v>
      </c>
      <c r="AB96" s="25">
        <f>(SalesCleanTable[[#This Row],[Unit Price]] - SalesCleanTable[[#This Row],[Unit Cost]]) / SalesCleanTable[[#This Row],[Unit Price]]</f>
        <v>0.20408163265306123</v>
      </c>
      <c r="AC96" t="str">
        <f>IF(SalesCleanTable[[#This Row],[Discount %]] &gt; SalesCleanTable[[#This Row],[Max Allowed Discount]], "Discount loss", "Safe")</f>
        <v>Safe</v>
      </c>
      <c r="AD96" s="4">
        <f>SalesCleanTable[[#This Row],[Unit Price]] - SalesCleanTable[[#This Row],[Unit Cost]]</f>
        <v>2000</v>
      </c>
      <c r="AE96" s="41">
        <f>(SalesCleanTable[[#This Row],[Unit Price]] - SalesCleanTable[[#This Row],[Unit Cost]]) / SalesCleanTable[[#This Row],[Unit Price]]</f>
        <v>0.20408163265306123</v>
      </c>
    </row>
    <row r="97" spans="1:31">
      <c r="A97" t="s">
        <v>283</v>
      </c>
      <c r="B97" s="6">
        <v>45947</v>
      </c>
      <c r="C97" t="s">
        <v>103</v>
      </c>
      <c r="D97" t="s">
        <v>104</v>
      </c>
      <c r="E97" t="s">
        <v>92</v>
      </c>
      <c r="F97" t="s">
        <v>105</v>
      </c>
      <c r="G97" t="s">
        <v>106</v>
      </c>
      <c r="H97" t="s">
        <v>145</v>
      </c>
      <c r="I97" t="s">
        <v>146</v>
      </c>
      <c r="J97" t="s">
        <v>147</v>
      </c>
      <c r="K97" t="s">
        <v>148</v>
      </c>
      <c r="L97" t="s">
        <v>183</v>
      </c>
      <c r="M97" t="s">
        <v>171</v>
      </c>
      <c r="N97">
        <v>10</v>
      </c>
      <c r="O97" s="4">
        <v>1500</v>
      </c>
      <c r="P97" s="4">
        <v>2500</v>
      </c>
      <c r="Q97" s="7">
        <v>0.15</v>
      </c>
      <c r="R97" t="s">
        <v>217</v>
      </c>
      <c r="S97">
        <v>13</v>
      </c>
      <c r="T97">
        <v>25000</v>
      </c>
      <c r="U97">
        <v>3750</v>
      </c>
      <c r="V97">
        <v>21250</v>
      </c>
      <c r="W97">
        <v>15000</v>
      </c>
      <c r="X97">
        <v>6250</v>
      </c>
      <c r="Y97" s="8">
        <v>0.29411764705882354</v>
      </c>
      <c r="Z97" t="s">
        <v>2996</v>
      </c>
      <c r="AA97" t="str">
        <f>IF(AND(SalesCleanTable[[#This Row],[Discount %]]&gt;0, SalesCleanTable[[#This Row],[Profit]]&lt;0), "Discount loss", "Safe")</f>
        <v>Safe</v>
      </c>
      <c r="AB97" s="25">
        <f>(SalesCleanTable[[#This Row],[Unit Price]] - SalesCleanTable[[#This Row],[Unit Cost]]) / SalesCleanTable[[#This Row],[Unit Price]]</f>
        <v>0.4</v>
      </c>
      <c r="AC97" t="str">
        <f>IF(SalesCleanTable[[#This Row],[Discount %]] &gt; SalesCleanTable[[#This Row],[Max Allowed Discount]], "Discount loss", "Safe")</f>
        <v>Safe</v>
      </c>
      <c r="AD97" s="4">
        <f>SalesCleanTable[[#This Row],[Unit Price]] - SalesCleanTable[[#This Row],[Unit Cost]]</f>
        <v>1000</v>
      </c>
      <c r="AE97" s="41">
        <f>(SalesCleanTable[[#This Row],[Unit Price]] - SalesCleanTable[[#This Row],[Unit Cost]]) / SalesCleanTable[[#This Row],[Unit Price]]</f>
        <v>0.4</v>
      </c>
    </row>
    <row r="98" spans="1:31">
      <c r="A98" t="s">
        <v>284</v>
      </c>
      <c r="B98" s="6">
        <v>45968</v>
      </c>
      <c r="C98" t="s">
        <v>95</v>
      </c>
      <c r="D98" t="s">
        <v>96</v>
      </c>
      <c r="E98" t="s">
        <v>92</v>
      </c>
      <c r="F98" t="s">
        <v>97</v>
      </c>
      <c r="G98" t="s">
        <v>98</v>
      </c>
      <c r="H98" t="s">
        <v>133</v>
      </c>
      <c r="I98" t="s">
        <v>134</v>
      </c>
      <c r="J98" t="s">
        <v>130</v>
      </c>
      <c r="K98" t="s">
        <v>131</v>
      </c>
      <c r="L98" t="s">
        <v>183</v>
      </c>
      <c r="M98" t="s">
        <v>171</v>
      </c>
      <c r="N98">
        <v>1</v>
      </c>
      <c r="O98" s="4">
        <v>18000</v>
      </c>
      <c r="P98" s="4">
        <v>24500</v>
      </c>
      <c r="Q98" s="7">
        <v>0</v>
      </c>
      <c r="R98" t="s">
        <v>215</v>
      </c>
      <c r="S98">
        <v>14</v>
      </c>
      <c r="T98">
        <v>24500</v>
      </c>
      <c r="U98">
        <v>0</v>
      </c>
      <c r="V98">
        <v>24500</v>
      </c>
      <c r="W98">
        <v>18000</v>
      </c>
      <c r="X98">
        <v>6500</v>
      </c>
      <c r="Y98" s="8">
        <v>0.26530612244897961</v>
      </c>
      <c r="Z98" t="s">
        <v>2995</v>
      </c>
      <c r="AA98" t="str">
        <f>IF(AND(SalesCleanTable[[#This Row],[Discount %]]&gt;0, SalesCleanTable[[#This Row],[Profit]]&lt;0), "Discount loss", "Safe")</f>
        <v>Safe</v>
      </c>
      <c r="AB98" s="25">
        <f>(SalesCleanTable[[#This Row],[Unit Price]] - SalesCleanTable[[#This Row],[Unit Cost]]) / SalesCleanTable[[#This Row],[Unit Price]]</f>
        <v>0.26530612244897961</v>
      </c>
      <c r="AC98" t="str">
        <f>IF(SalesCleanTable[[#This Row],[Discount %]] &gt; SalesCleanTable[[#This Row],[Max Allowed Discount]], "Discount loss", "Safe")</f>
        <v>Safe</v>
      </c>
      <c r="AD98" s="4">
        <f>SalesCleanTable[[#This Row],[Unit Price]] - SalesCleanTable[[#This Row],[Unit Cost]]</f>
        <v>6500</v>
      </c>
      <c r="AE98" s="41">
        <f>(SalesCleanTable[[#This Row],[Unit Price]] - SalesCleanTable[[#This Row],[Unit Cost]]) / SalesCleanTable[[#This Row],[Unit Price]]</f>
        <v>0.26530612244897961</v>
      </c>
    </row>
    <row r="99" spans="1:31">
      <c r="A99" t="s">
        <v>285</v>
      </c>
      <c r="B99" s="6">
        <v>45707</v>
      </c>
      <c r="C99" t="s">
        <v>107</v>
      </c>
      <c r="D99" t="s">
        <v>108</v>
      </c>
      <c r="E99" t="s">
        <v>109</v>
      </c>
      <c r="F99" t="s">
        <v>110</v>
      </c>
      <c r="G99" t="s">
        <v>111</v>
      </c>
      <c r="H99" t="s">
        <v>141</v>
      </c>
      <c r="I99" t="s">
        <v>142</v>
      </c>
      <c r="J99" t="s">
        <v>143</v>
      </c>
      <c r="K99" t="s">
        <v>144</v>
      </c>
      <c r="L99" t="s">
        <v>166</v>
      </c>
      <c r="M99" t="s">
        <v>171</v>
      </c>
      <c r="N99">
        <v>2</v>
      </c>
      <c r="O99" s="4">
        <v>5200</v>
      </c>
      <c r="P99" s="4">
        <v>7000</v>
      </c>
      <c r="Q99" s="7">
        <v>0.15</v>
      </c>
      <c r="R99" t="s">
        <v>235</v>
      </c>
      <c r="S99">
        <v>5</v>
      </c>
      <c r="T99">
        <v>14000</v>
      </c>
      <c r="U99">
        <v>2100</v>
      </c>
      <c r="V99">
        <v>11900</v>
      </c>
      <c r="W99">
        <v>10400</v>
      </c>
      <c r="X99">
        <v>1500</v>
      </c>
      <c r="Y99" s="8">
        <v>0.12605042016806722</v>
      </c>
      <c r="Z99" t="s">
        <v>2997</v>
      </c>
      <c r="AA99" t="str">
        <f>IF(AND(SalesCleanTable[[#This Row],[Discount %]]&gt;0, SalesCleanTable[[#This Row],[Profit]]&lt;0), "Discount loss", "Safe")</f>
        <v>Safe</v>
      </c>
      <c r="AB99" s="25">
        <f>(SalesCleanTable[[#This Row],[Unit Price]] - SalesCleanTable[[#This Row],[Unit Cost]]) / SalesCleanTable[[#This Row],[Unit Price]]</f>
        <v>0.25714285714285712</v>
      </c>
      <c r="AC99" t="str">
        <f>IF(SalesCleanTable[[#This Row],[Discount %]] &gt; SalesCleanTable[[#This Row],[Max Allowed Discount]], "Discount loss", "Safe")</f>
        <v>Safe</v>
      </c>
      <c r="AD99" s="4">
        <f>SalesCleanTable[[#This Row],[Unit Price]] - SalesCleanTable[[#This Row],[Unit Cost]]</f>
        <v>1800</v>
      </c>
      <c r="AE99" s="41">
        <f>(SalesCleanTable[[#This Row],[Unit Price]] - SalesCleanTable[[#This Row],[Unit Cost]]) / SalesCleanTable[[#This Row],[Unit Price]]</f>
        <v>0.25714285714285712</v>
      </c>
    </row>
    <row r="100" spans="1:31">
      <c r="A100" t="s">
        <v>286</v>
      </c>
      <c r="B100" s="6">
        <v>45870</v>
      </c>
      <c r="C100" t="s">
        <v>36</v>
      </c>
      <c r="D100" t="s">
        <v>37</v>
      </c>
      <c r="E100" t="s">
        <v>38</v>
      </c>
      <c r="F100" t="s">
        <v>39</v>
      </c>
      <c r="G100" t="s">
        <v>40</v>
      </c>
      <c r="H100" t="s">
        <v>128</v>
      </c>
      <c r="I100" t="s">
        <v>129</v>
      </c>
      <c r="J100" t="s">
        <v>130</v>
      </c>
      <c r="K100" t="s">
        <v>131</v>
      </c>
      <c r="L100" t="s">
        <v>166</v>
      </c>
      <c r="M100" t="s">
        <v>171</v>
      </c>
      <c r="N100">
        <v>3</v>
      </c>
      <c r="O100" s="4">
        <v>1650</v>
      </c>
      <c r="P100" s="4">
        <v>2200</v>
      </c>
      <c r="Q100" s="7">
        <v>0.2</v>
      </c>
      <c r="R100" t="s">
        <v>178</v>
      </c>
      <c r="S100">
        <v>5</v>
      </c>
      <c r="T100">
        <v>6600</v>
      </c>
      <c r="U100">
        <v>1320</v>
      </c>
      <c r="V100">
        <v>5280</v>
      </c>
      <c r="W100">
        <v>4950</v>
      </c>
      <c r="X100">
        <v>330</v>
      </c>
      <c r="Y100" s="8">
        <v>6.25E-2</v>
      </c>
      <c r="Z100" t="s">
        <v>2995</v>
      </c>
      <c r="AA100" t="str">
        <f>IF(AND(SalesCleanTable[[#This Row],[Discount %]]&gt;0, SalesCleanTable[[#This Row],[Profit]]&lt;0), "Discount loss", "Safe")</f>
        <v>Safe</v>
      </c>
      <c r="AB100" s="25">
        <f>(SalesCleanTable[[#This Row],[Unit Price]] - SalesCleanTable[[#This Row],[Unit Cost]]) / SalesCleanTable[[#This Row],[Unit Price]]</f>
        <v>0.25</v>
      </c>
      <c r="AC100" t="str">
        <f>IF(SalesCleanTable[[#This Row],[Discount %]] &gt; SalesCleanTable[[#This Row],[Max Allowed Discount]], "Discount loss", "Safe")</f>
        <v>Safe</v>
      </c>
      <c r="AD100" s="4">
        <f>SalesCleanTable[[#This Row],[Unit Price]] - SalesCleanTable[[#This Row],[Unit Cost]]</f>
        <v>550</v>
      </c>
      <c r="AE100" s="41">
        <f>(SalesCleanTable[[#This Row],[Unit Price]] - SalesCleanTable[[#This Row],[Unit Cost]]) / SalesCleanTable[[#This Row],[Unit Price]]</f>
        <v>0.25</v>
      </c>
    </row>
    <row r="101" spans="1:31">
      <c r="A101" t="s">
        <v>287</v>
      </c>
      <c r="B101" s="6">
        <v>45904</v>
      </c>
      <c r="C101" t="s">
        <v>116</v>
      </c>
      <c r="D101" t="s">
        <v>117</v>
      </c>
      <c r="E101" t="s">
        <v>109</v>
      </c>
      <c r="F101" t="s">
        <v>118</v>
      </c>
      <c r="G101" t="s">
        <v>119</v>
      </c>
      <c r="H101" t="s">
        <v>135</v>
      </c>
      <c r="I101" t="s">
        <v>136</v>
      </c>
      <c r="J101" t="s">
        <v>137</v>
      </c>
      <c r="K101" t="s">
        <v>138</v>
      </c>
      <c r="L101" t="s">
        <v>166</v>
      </c>
      <c r="M101" t="s">
        <v>177</v>
      </c>
      <c r="N101">
        <v>6</v>
      </c>
      <c r="O101" s="4">
        <v>2800</v>
      </c>
      <c r="P101" s="4">
        <v>4200</v>
      </c>
      <c r="Q101" s="7">
        <v>0.15</v>
      </c>
      <c r="R101" t="s">
        <v>235</v>
      </c>
      <c r="S101">
        <v>14</v>
      </c>
      <c r="T101">
        <v>25200</v>
      </c>
      <c r="U101">
        <v>3780</v>
      </c>
      <c r="V101">
        <v>21420</v>
      </c>
      <c r="W101">
        <v>16800</v>
      </c>
      <c r="X101">
        <v>4620</v>
      </c>
      <c r="Y101" s="8">
        <v>0.21568627450980393</v>
      </c>
      <c r="Z101" t="s">
        <v>2995</v>
      </c>
      <c r="AA101" t="str">
        <f>IF(AND(SalesCleanTable[[#This Row],[Discount %]]&gt;0, SalesCleanTable[[#This Row],[Profit]]&lt;0), "Discount loss", "Safe")</f>
        <v>Safe</v>
      </c>
      <c r="AB101" s="25">
        <f>(SalesCleanTable[[#This Row],[Unit Price]] - SalesCleanTable[[#This Row],[Unit Cost]]) / SalesCleanTable[[#This Row],[Unit Price]]</f>
        <v>0.33333333333333331</v>
      </c>
      <c r="AC101" t="str">
        <f>IF(SalesCleanTable[[#This Row],[Discount %]] &gt; SalesCleanTable[[#This Row],[Max Allowed Discount]], "Discount loss", "Safe")</f>
        <v>Safe</v>
      </c>
      <c r="AD101" s="4">
        <f>SalesCleanTable[[#This Row],[Unit Price]] - SalesCleanTable[[#This Row],[Unit Cost]]</f>
        <v>1400</v>
      </c>
      <c r="AE101" s="41">
        <f>(SalesCleanTable[[#This Row],[Unit Price]] - SalesCleanTable[[#This Row],[Unit Cost]]) / SalesCleanTable[[#This Row],[Unit Price]]</f>
        <v>0.33333333333333331</v>
      </c>
    </row>
    <row r="102" spans="1:31">
      <c r="A102" t="s">
        <v>288</v>
      </c>
      <c r="B102" s="6">
        <v>46003</v>
      </c>
      <c r="C102" t="s">
        <v>116</v>
      </c>
      <c r="D102" t="s">
        <v>117</v>
      </c>
      <c r="E102" t="s">
        <v>109</v>
      </c>
      <c r="F102" t="s">
        <v>118</v>
      </c>
      <c r="G102" t="s">
        <v>119</v>
      </c>
      <c r="H102" t="s">
        <v>153</v>
      </c>
      <c r="I102" t="s">
        <v>154</v>
      </c>
      <c r="J102" t="s">
        <v>155</v>
      </c>
      <c r="K102" t="s">
        <v>131</v>
      </c>
      <c r="L102" t="s">
        <v>183</v>
      </c>
      <c r="M102" t="s">
        <v>177</v>
      </c>
      <c r="N102">
        <v>5</v>
      </c>
      <c r="O102" s="4">
        <v>2800</v>
      </c>
      <c r="P102" s="4">
        <v>4200</v>
      </c>
      <c r="Q102" s="7">
        <v>0.05</v>
      </c>
      <c r="R102" t="s">
        <v>184</v>
      </c>
      <c r="S102">
        <v>2</v>
      </c>
      <c r="T102">
        <v>21000</v>
      </c>
      <c r="U102">
        <v>1050</v>
      </c>
      <c r="V102">
        <v>19950</v>
      </c>
      <c r="W102">
        <v>14000</v>
      </c>
      <c r="X102">
        <v>5950</v>
      </c>
      <c r="Y102" s="8">
        <v>0.2982456140350877</v>
      </c>
      <c r="Z102" t="s">
        <v>2995</v>
      </c>
      <c r="AA102" t="str">
        <f>IF(AND(SalesCleanTable[[#This Row],[Discount %]]&gt;0, SalesCleanTable[[#This Row],[Profit]]&lt;0), "Discount loss", "Safe")</f>
        <v>Safe</v>
      </c>
      <c r="AB102" s="25">
        <f>(SalesCleanTable[[#This Row],[Unit Price]] - SalesCleanTable[[#This Row],[Unit Cost]]) / SalesCleanTable[[#This Row],[Unit Price]]</f>
        <v>0.33333333333333331</v>
      </c>
      <c r="AC102" t="str">
        <f>IF(SalesCleanTable[[#This Row],[Discount %]] &gt; SalesCleanTable[[#This Row],[Max Allowed Discount]], "Discount loss", "Safe")</f>
        <v>Safe</v>
      </c>
      <c r="AD102" s="4">
        <f>SalesCleanTable[[#This Row],[Unit Price]] - SalesCleanTable[[#This Row],[Unit Cost]]</f>
        <v>1400</v>
      </c>
      <c r="AE102" s="41">
        <f>(SalesCleanTable[[#This Row],[Unit Price]] - SalesCleanTable[[#This Row],[Unit Cost]]) / SalesCleanTable[[#This Row],[Unit Price]]</f>
        <v>0.33333333333333331</v>
      </c>
    </row>
    <row r="103" spans="1:31">
      <c r="A103" t="s">
        <v>289</v>
      </c>
      <c r="B103" s="6">
        <v>46002</v>
      </c>
      <c r="C103" t="s">
        <v>82</v>
      </c>
      <c r="D103" t="s">
        <v>83</v>
      </c>
      <c r="E103" t="s">
        <v>75</v>
      </c>
      <c r="F103" t="s">
        <v>84</v>
      </c>
      <c r="G103" t="s">
        <v>85</v>
      </c>
      <c r="H103" t="s">
        <v>135</v>
      </c>
      <c r="I103" t="s">
        <v>136</v>
      </c>
      <c r="J103" t="s">
        <v>137</v>
      </c>
      <c r="K103" t="s">
        <v>138</v>
      </c>
      <c r="L103" t="s">
        <v>166</v>
      </c>
      <c r="M103" t="s">
        <v>171</v>
      </c>
      <c r="N103">
        <v>2</v>
      </c>
      <c r="O103" s="4">
        <v>600</v>
      </c>
      <c r="P103" s="4">
        <v>950</v>
      </c>
      <c r="Q103" s="7">
        <v>0.1</v>
      </c>
      <c r="R103" t="s">
        <v>208</v>
      </c>
      <c r="S103">
        <v>1</v>
      </c>
      <c r="T103">
        <v>1900</v>
      </c>
      <c r="U103">
        <v>190</v>
      </c>
      <c r="V103">
        <v>1710</v>
      </c>
      <c r="W103">
        <v>1200</v>
      </c>
      <c r="X103">
        <v>510</v>
      </c>
      <c r="Y103" s="8">
        <v>0.2982456140350877</v>
      </c>
      <c r="Z103" t="s">
        <v>2996</v>
      </c>
      <c r="AA103" t="str">
        <f>IF(AND(SalesCleanTable[[#This Row],[Discount %]]&gt;0, SalesCleanTable[[#This Row],[Profit]]&lt;0), "Discount loss", "Safe")</f>
        <v>Safe</v>
      </c>
      <c r="AB103" s="25">
        <f>(SalesCleanTable[[#This Row],[Unit Price]] - SalesCleanTable[[#This Row],[Unit Cost]]) / SalesCleanTable[[#This Row],[Unit Price]]</f>
        <v>0.36842105263157893</v>
      </c>
      <c r="AC103" t="str">
        <f>IF(SalesCleanTable[[#This Row],[Discount %]] &gt; SalesCleanTable[[#This Row],[Max Allowed Discount]], "Discount loss", "Safe")</f>
        <v>Safe</v>
      </c>
      <c r="AD103" s="4">
        <f>SalesCleanTable[[#This Row],[Unit Price]] - SalesCleanTable[[#This Row],[Unit Cost]]</f>
        <v>350</v>
      </c>
      <c r="AE103" s="41">
        <f>(SalesCleanTable[[#This Row],[Unit Price]] - SalesCleanTable[[#This Row],[Unit Cost]]) / SalesCleanTable[[#This Row],[Unit Price]]</f>
        <v>0.36842105263157893</v>
      </c>
    </row>
    <row r="104" spans="1:31">
      <c r="A104" t="s">
        <v>290</v>
      </c>
      <c r="B104" s="6">
        <v>45945</v>
      </c>
      <c r="C104" t="s">
        <v>45</v>
      </c>
      <c r="D104" t="s">
        <v>46</v>
      </c>
      <c r="E104" t="s">
        <v>38</v>
      </c>
      <c r="F104" t="s">
        <v>47</v>
      </c>
      <c r="G104" t="s">
        <v>48</v>
      </c>
      <c r="H104" t="s">
        <v>141</v>
      </c>
      <c r="I104" t="s">
        <v>142</v>
      </c>
      <c r="J104" t="s">
        <v>143</v>
      </c>
      <c r="K104" t="s">
        <v>144</v>
      </c>
      <c r="L104" t="s">
        <v>166</v>
      </c>
      <c r="M104" t="s">
        <v>171</v>
      </c>
      <c r="N104">
        <v>3</v>
      </c>
      <c r="O104" s="4">
        <v>230</v>
      </c>
      <c r="P104" s="4">
        <v>400</v>
      </c>
      <c r="Q104" s="7">
        <v>0.1</v>
      </c>
      <c r="R104" t="s">
        <v>168</v>
      </c>
      <c r="S104">
        <v>7</v>
      </c>
      <c r="T104">
        <v>1200</v>
      </c>
      <c r="U104">
        <v>120</v>
      </c>
      <c r="V104">
        <v>1080</v>
      </c>
      <c r="W104">
        <v>690</v>
      </c>
      <c r="X104">
        <v>390</v>
      </c>
      <c r="Y104" s="8">
        <v>0.3611111111111111</v>
      </c>
      <c r="Z104" t="s">
        <v>2995</v>
      </c>
      <c r="AA104" t="str">
        <f>IF(AND(SalesCleanTable[[#This Row],[Discount %]]&gt;0, SalesCleanTable[[#This Row],[Profit]]&lt;0), "Discount loss", "Safe")</f>
        <v>Safe</v>
      </c>
      <c r="AB104" s="25">
        <f>(SalesCleanTable[[#This Row],[Unit Price]] - SalesCleanTable[[#This Row],[Unit Cost]]) / SalesCleanTable[[#This Row],[Unit Price]]</f>
        <v>0.42499999999999999</v>
      </c>
      <c r="AC104" t="str">
        <f>IF(SalesCleanTable[[#This Row],[Discount %]] &gt; SalesCleanTable[[#This Row],[Max Allowed Discount]], "Discount loss", "Safe")</f>
        <v>Safe</v>
      </c>
      <c r="AD104" s="4">
        <f>SalesCleanTable[[#This Row],[Unit Price]] - SalesCleanTable[[#This Row],[Unit Cost]]</f>
        <v>170</v>
      </c>
      <c r="AE104" s="41">
        <f>(SalesCleanTable[[#This Row],[Unit Price]] - SalesCleanTable[[#This Row],[Unit Cost]]) / SalesCleanTable[[#This Row],[Unit Price]]</f>
        <v>0.42499999999999999</v>
      </c>
    </row>
    <row r="105" spans="1:31">
      <c r="A105" t="s">
        <v>291</v>
      </c>
      <c r="B105" s="6">
        <v>45681</v>
      </c>
      <c r="C105" t="s">
        <v>112</v>
      </c>
      <c r="D105" t="s">
        <v>113</v>
      </c>
      <c r="E105" t="s">
        <v>109</v>
      </c>
      <c r="F105" t="s">
        <v>114</v>
      </c>
      <c r="G105" t="s">
        <v>115</v>
      </c>
      <c r="H105" t="s">
        <v>135</v>
      </c>
      <c r="I105" t="s">
        <v>136</v>
      </c>
      <c r="J105" t="s">
        <v>137</v>
      </c>
      <c r="K105" t="s">
        <v>138</v>
      </c>
      <c r="L105" t="s">
        <v>183</v>
      </c>
      <c r="M105" t="s">
        <v>177</v>
      </c>
      <c r="N105">
        <v>3</v>
      </c>
      <c r="O105" s="4">
        <v>1300</v>
      </c>
      <c r="P105" s="4">
        <v>2100</v>
      </c>
      <c r="Q105" s="7">
        <v>0</v>
      </c>
      <c r="R105" t="s">
        <v>220</v>
      </c>
      <c r="S105">
        <v>6</v>
      </c>
      <c r="T105">
        <v>6300</v>
      </c>
      <c r="U105">
        <v>0</v>
      </c>
      <c r="V105">
        <v>6300</v>
      </c>
      <c r="W105">
        <v>3900</v>
      </c>
      <c r="X105">
        <v>2400</v>
      </c>
      <c r="Y105" s="8">
        <v>0.38095238095238093</v>
      </c>
      <c r="Z105" t="s">
        <v>2995</v>
      </c>
      <c r="AA105" t="str">
        <f>IF(AND(SalesCleanTable[[#This Row],[Discount %]]&gt;0, SalesCleanTable[[#This Row],[Profit]]&lt;0), "Discount loss", "Safe")</f>
        <v>Safe</v>
      </c>
      <c r="AB105" s="25">
        <f>(SalesCleanTable[[#This Row],[Unit Price]] - SalesCleanTable[[#This Row],[Unit Cost]]) / SalesCleanTable[[#This Row],[Unit Price]]</f>
        <v>0.38095238095238093</v>
      </c>
      <c r="AC105" t="str">
        <f>IF(SalesCleanTable[[#This Row],[Discount %]] &gt; SalesCleanTable[[#This Row],[Max Allowed Discount]], "Discount loss", "Safe")</f>
        <v>Safe</v>
      </c>
      <c r="AD105" s="4">
        <f>SalesCleanTable[[#This Row],[Unit Price]] - SalesCleanTable[[#This Row],[Unit Cost]]</f>
        <v>800</v>
      </c>
      <c r="AE105" s="41">
        <f>(SalesCleanTable[[#This Row],[Unit Price]] - SalesCleanTable[[#This Row],[Unit Cost]]) / SalesCleanTable[[#This Row],[Unit Price]]</f>
        <v>0.38095238095238093</v>
      </c>
    </row>
    <row r="106" spans="1:31">
      <c r="A106" t="s">
        <v>292</v>
      </c>
      <c r="B106" s="6">
        <v>46014</v>
      </c>
      <c r="C106" t="s">
        <v>112</v>
      </c>
      <c r="D106" t="s">
        <v>113</v>
      </c>
      <c r="E106" t="s">
        <v>109</v>
      </c>
      <c r="F106" t="s">
        <v>114</v>
      </c>
      <c r="G106" t="s">
        <v>115</v>
      </c>
      <c r="H106" t="s">
        <v>135</v>
      </c>
      <c r="I106" t="s">
        <v>136</v>
      </c>
      <c r="J106" t="s">
        <v>137</v>
      </c>
      <c r="K106" t="s">
        <v>138</v>
      </c>
      <c r="L106" t="s">
        <v>166</v>
      </c>
      <c r="M106" t="s">
        <v>177</v>
      </c>
      <c r="N106">
        <v>4</v>
      </c>
      <c r="O106" s="4">
        <v>1300</v>
      </c>
      <c r="P106" s="4">
        <v>2100</v>
      </c>
      <c r="Q106" s="7">
        <v>0</v>
      </c>
      <c r="R106" t="s">
        <v>220</v>
      </c>
      <c r="S106">
        <v>10</v>
      </c>
      <c r="T106">
        <v>8400</v>
      </c>
      <c r="U106">
        <v>0</v>
      </c>
      <c r="V106">
        <v>8400</v>
      </c>
      <c r="W106">
        <v>5200</v>
      </c>
      <c r="X106">
        <v>3200</v>
      </c>
      <c r="Y106" s="8">
        <v>0.38095238095238093</v>
      </c>
      <c r="Z106" t="s">
        <v>2995</v>
      </c>
      <c r="AA106" t="str">
        <f>IF(AND(SalesCleanTable[[#This Row],[Discount %]]&gt;0, SalesCleanTable[[#This Row],[Profit]]&lt;0), "Discount loss", "Safe")</f>
        <v>Safe</v>
      </c>
      <c r="AB106" s="25">
        <f>(SalesCleanTable[[#This Row],[Unit Price]] - SalesCleanTable[[#This Row],[Unit Cost]]) / SalesCleanTable[[#This Row],[Unit Price]]</f>
        <v>0.38095238095238093</v>
      </c>
      <c r="AC106" t="str">
        <f>IF(SalesCleanTable[[#This Row],[Discount %]] &gt; SalesCleanTable[[#This Row],[Max Allowed Discount]], "Discount loss", "Safe")</f>
        <v>Safe</v>
      </c>
      <c r="AD106" s="4">
        <f>SalesCleanTable[[#This Row],[Unit Price]] - SalesCleanTable[[#This Row],[Unit Cost]]</f>
        <v>800</v>
      </c>
      <c r="AE106" s="41">
        <f>(SalesCleanTable[[#This Row],[Unit Price]] - SalesCleanTable[[#This Row],[Unit Cost]]) / SalesCleanTable[[#This Row],[Unit Price]]</f>
        <v>0.38095238095238093</v>
      </c>
    </row>
    <row r="107" spans="1:31">
      <c r="A107" t="s">
        <v>293</v>
      </c>
      <c r="B107" s="6">
        <v>45801</v>
      </c>
      <c r="C107" t="s">
        <v>24</v>
      </c>
      <c r="D107" t="s">
        <v>25</v>
      </c>
      <c r="E107" t="s">
        <v>26</v>
      </c>
      <c r="F107" t="s">
        <v>27</v>
      </c>
      <c r="G107" t="s">
        <v>28</v>
      </c>
      <c r="H107" t="s">
        <v>135</v>
      </c>
      <c r="I107" t="s">
        <v>136</v>
      </c>
      <c r="J107" t="s">
        <v>137</v>
      </c>
      <c r="K107" t="s">
        <v>138</v>
      </c>
      <c r="L107" t="s">
        <v>183</v>
      </c>
      <c r="M107" t="s">
        <v>177</v>
      </c>
      <c r="N107">
        <v>2</v>
      </c>
      <c r="O107" s="4">
        <v>14500</v>
      </c>
      <c r="P107" s="4">
        <v>17500</v>
      </c>
      <c r="Q107" s="7">
        <v>0.2</v>
      </c>
      <c r="R107" t="s">
        <v>173</v>
      </c>
      <c r="S107">
        <v>6</v>
      </c>
      <c r="T107">
        <v>35000</v>
      </c>
      <c r="U107">
        <v>7000</v>
      </c>
      <c r="V107">
        <v>28000</v>
      </c>
      <c r="W107">
        <v>29000</v>
      </c>
      <c r="X107">
        <v>-1000</v>
      </c>
      <c r="Y107" s="8">
        <v>-3.5714285714285712E-2</v>
      </c>
      <c r="Z107" t="s">
        <v>2995</v>
      </c>
      <c r="AA107" t="str">
        <f>IF(AND(SalesCleanTable[[#This Row],[Discount %]]&gt;0, SalesCleanTable[[#This Row],[Profit]]&lt;0), "Discount loss", "Safe")</f>
        <v>Discount loss</v>
      </c>
      <c r="AB107" s="25">
        <f>(SalesCleanTable[[#This Row],[Unit Price]] - SalesCleanTable[[#This Row],[Unit Cost]]) / SalesCleanTable[[#This Row],[Unit Price]]</f>
        <v>0.17142857142857143</v>
      </c>
      <c r="AC107" t="str">
        <f>IF(SalesCleanTable[[#This Row],[Discount %]] &gt; SalesCleanTable[[#This Row],[Max Allowed Discount]], "Discount loss", "Safe")</f>
        <v>Discount loss</v>
      </c>
      <c r="AD107" s="4">
        <f>SalesCleanTable[[#This Row],[Unit Price]] - SalesCleanTable[[#This Row],[Unit Cost]]</f>
        <v>3000</v>
      </c>
      <c r="AE107" s="41">
        <f>(SalesCleanTable[[#This Row],[Unit Price]] - SalesCleanTable[[#This Row],[Unit Cost]]) / SalesCleanTable[[#This Row],[Unit Price]]</f>
        <v>0.17142857142857143</v>
      </c>
    </row>
    <row r="108" spans="1:31">
      <c r="A108" t="s">
        <v>294</v>
      </c>
      <c r="B108" s="6">
        <v>45988</v>
      </c>
      <c r="C108" t="s">
        <v>49</v>
      </c>
      <c r="D108" t="s">
        <v>50</v>
      </c>
      <c r="E108" t="s">
        <v>38</v>
      </c>
      <c r="F108" t="s">
        <v>51</v>
      </c>
      <c r="G108" t="s">
        <v>52</v>
      </c>
      <c r="H108" t="s">
        <v>135</v>
      </c>
      <c r="I108" t="s">
        <v>136</v>
      </c>
      <c r="J108" t="s">
        <v>137</v>
      </c>
      <c r="K108" t="s">
        <v>138</v>
      </c>
      <c r="L108" t="s">
        <v>183</v>
      </c>
      <c r="M108" t="s">
        <v>186</v>
      </c>
      <c r="N108">
        <v>1</v>
      </c>
      <c r="O108" s="4">
        <v>550</v>
      </c>
      <c r="P108" s="4">
        <v>850</v>
      </c>
      <c r="Q108" s="7">
        <v>0</v>
      </c>
      <c r="R108" t="s">
        <v>168</v>
      </c>
      <c r="S108">
        <v>4</v>
      </c>
      <c r="T108">
        <v>850</v>
      </c>
      <c r="U108">
        <v>0</v>
      </c>
      <c r="V108">
        <v>850</v>
      </c>
      <c r="W108">
        <v>550</v>
      </c>
      <c r="X108">
        <v>300</v>
      </c>
      <c r="Y108" s="8">
        <v>0.35294117647058826</v>
      </c>
      <c r="Z108" t="s">
        <v>2996</v>
      </c>
      <c r="AA108" t="str">
        <f>IF(AND(SalesCleanTable[[#This Row],[Discount %]]&gt;0, SalesCleanTable[[#This Row],[Profit]]&lt;0), "Discount loss", "Safe")</f>
        <v>Safe</v>
      </c>
      <c r="AB108" s="25">
        <f>(SalesCleanTable[[#This Row],[Unit Price]] - SalesCleanTable[[#This Row],[Unit Cost]]) / SalesCleanTable[[#This Row],[Unit Price]]</f>
        <v>0.35294117647058826</v>
      </c>
      <c r="AC108" t="str">
        <f>IF(SalesCleanTable[[#This Row],[Discount %]] &gt; SalesCleanTable[[#This Row],[Max Allowed Discount]], "Discount loss", "Safe")</f>
        <v>Safe</v>
      </c>
      <c r="AD108" s="4">
        <f>SalesCleanTable[[#This Row],[Unit Price]] - SalesCleanTable[[#This Row],[Unit Cost]]</f>
        <v>300</v>
      </c>
      <c r="AE108" s="41">
        <f>(SalesCleanTable[[#This Row],[Unit Price]] - SalesCleanTable[[#This Row],[Unit Cost]]) / SalesCleanTable[[#This Row],[Unit Price]]</f>
        <v>0.35294117647058826</v>
      </c>
    </row>
    <row r="109" spans="1:31">
      <c r="A109" t="s">
        <v>295</v>
      </c>
      <c r="B109" s="6">
        <v>45963</v>
      </c>
      <c r="C109" t="s">
        <v>116</v>
      </c>
      <c r="D109" t="s">
        <v>117</v>
      </c>
      <c r="E109" t="s">
        <v>109</v>
      </c>
      <c r="F109" t="s">
        <v>118</v>
      </c>
      <c r="G109" t="s">
        <v>119</v>
      </c>
      <c r="H109" t="s">
        <v>128</v>
      </c>
      <c r="I109" t="s">
        <v>129</v>
      </c>
      <c r="J109" t="s">
        <v>130</v>
      </c>
      <c r="K109" t="s">
        <v>131</v>
      </c>
      <c r="L109" t="s">
        <v>183</v>
      </c>
      <c r="M109" t="s">
        <v>167</v>
      </c>
      <c r="N109">
        <v>2</v>
      </c>
      <c r="O109" s="4">
        <v>2800</v>
      </c>
      <c r="P109" s="4">
        <v>4200</v>
      </c>
      <c r="Q109" s="7">
        <v>0.2</v>
      </c>
      <c r="R109" t="s">
        <v>184</v>
      </c>
      <c r="S109">
        <v>4</v>
      </c>
      <c r="T109">
        <v>8400</v>
      </c>
      <c r="U109">
        <v>1680</v>
      </c>
      <c r="V109">
        <v>6720</v>
      </c>
      <c r="W109">
        <v>5600</v>
      </c>
      <c r="X109">
        <v>1120</v>
      </c>
      <c r="Y109" s="8">
        <v>0.16666666666666666</v>
      </c>
      <c r="Z109" t="s">
        <v>2995</v>
      </c>
      <c r="AA109" t="str">
        <f>IF(AND(SalesCleanTable[[#This Row],[Discount %]]&gt;0, SalesCleanTable[[#This Row],[Profit]]&lt;0), "Discount loss", "Safe")</f>
        <v>Safe</v>
      </c>
      <c r="AB109" s="25">
        <f>(SalesCleanTable[[#This Row],[Unit Price]] - SalesCleanTable[[#This Row],[Unit Cost]]) / SalesCleanTable[[#This Row],[Unit Price]]</f>
        <v>0.33333333333333331</v>
      </c>
      <c r="AC109" t="str">
        <f>IF(SalesCleanTable[[#This Row],[Discount %]] &gt; SalesCleanTable[[#This Row],[Max Allowed Discount]], "Discount loss", "Safe")</f>
        <v>Safe</v>
      </c>
      <c r="AD109" s="4">
        <f>SalesCleanTable[[#This Row],[Unit Price]] - SalesCleanTable[[#This Row],[Unit Cost]]</f>
        <v>1400</v>
      </c>
      <c r="AE109" s="41">
        <f>(SalesCleanTable[[#This Row],[Unit Price]] - SalesCleanTable[[#This Row],[Unit Cost]]) / SalesCleanTable[[#This Row],[Unit Price]]</f>
        <v>0.33333333333333331</v>
      </c>
    </row>
    <row r="110" spans="1:31">
      <c r="A110" t="s">
        <v>296</v>
      </c>
      <c r="B110" s="6">
        <v>45777</v>
      </c>
      <c r="C110" t="s">
        <v>45</v>
      </c>
      <c r="D110" t="s">
        <v>46</v>
      </c>
      <c r="E110" t="s">
        <v>38</v>
      </c>
      <c r="F110" t="s">
        <v>47</v>
      </c>
      <c r="G110" t="s">
        <v>48</v>
      </c>
      <c r="H110" t="s">
        <v>133</v>
      </c>
      <c r="I110" t="s">
        <v>134</v>
      </c>
      <c r="J110" t="s">
        <v>130</v>
      </c>
      <c r="K110" t="s">
        <v>131</v>
      </c>
      <c r="L110" t="s">
        <v>183</v>
      </c>
      <c r="M110" t="s">
        <v>177</v>
      </c>
      <c r="N110">
        <v>6</v>
      </c>
      <c r="O110" s="4">
        <v>230</v>
      </c>
      <c r="P110" s="4">
        <v>400</v>
      </c>
      <c r="Q110" s="7">
        <v>0</v>
      </c>
      <c r="R110" t="s">
        <v>178</v>
      </c>
      <c r="S110">
        <v>9</v>
      </c>
      <c r="T110">
        <v>2400</v>
      </c>
      <c r="U110">
        <v>0</v>
      </c>
      <c r="V110">
        <v>2400</v>
      </c>
      <c r="W110">
        <v>1380</v>
      </c>
      <c r="X110">
        <v>1020</v>
      </c>
      <c r="Y110" s="8">
        <v>0.42499999999999999</v>
      </c>
      <c r="Z110" t="s">
        <v>2995</v>
      </c>
      <c r="AA110" t="str">
        <f>IF(AND(SalesCleanTable[[#This Row],[Discount %]]&gt;0, SalesCleanTable[[#This Row],[Profit]]&lt;0), "Discount loss", "Safe")</f>
        <v>Safe</v>
      </c>
      <c r="AB110" s="25">
        <f>(SalesCleanTable[[#This Row],[Unit Price]] - SalesCleanTable[[#This Row],[Unit Cost]]) / SalesCleanTable[[#This Row],[Unit Price]]</f>
        <v>0.42499999999999999</v>
      </c>
      <c r="AC110" t="str">
        <f>IF(SalesCleanTable[[#This Row],[Discount %]] &gt; SalesCleanTable[[#This Row],[Max Allowed Discount]], "Discount loss", "Safe")</f>
        <v>Safe</v>
      </c>
      <c r="AD110" s="4">
        <f>SalesCleanTable[[#This Row],[Unit Price]] - SalesCleanTable[[#This Row],[Unit Cost]]</f>
        <v>170</v>
      </c>
      <c r="AE110" s="41">
        <f>(SalesCleanTable[[#This Row],[Unit Price]] - SalesCleanTable[[#This Row],[Unit Cost]]) / SalesCleanTable[[#This Row],[Unit Price]]</f>
        <v>0.42499999999999999</v>
      </c>
    </row>
    <row r="111" spans="1:31">
      <c r="A111" t="s">
        <v>297</v>
      </c>
      <c r="B111" s="6">
        <v>45747</v>
      </c>
      <c r="C111" t="s">
        <v>32</v>
      </c>
      <c r="D111" t="s">
        <v>33</v>
      </c>
      <c r="E111" t="s">
        <v>26</v>
      </c>
      <c r="F111" t="s">
        <v>34</v>
      </c>
      <c r="G111" t="s">
        <v>35</v>
      </c>
      <c r="H111" t="s">
        <v>149</v>
      </c>
      <c r="I111" t="s">
        <v>150</v>
      </c>
      <c r="J111" t="s">
        <v>151</v>
      </c>
      <c r="K111" t="s">
        <v>152</v>
      </c>
      <c r="L111" t="s">
        <v>183</v>
      </c>
      <c r="M111" t="s">
        <v>171</v>
      </c>
      <c r="N111">
        <v>1</v>
      </c>
      <c r="O111" s="4">
        <v>7800</v>
      </c>
      <c r="P111" s="4">
        <v>9800</v>
      </c>
      <c r="Q111" s="7">
        <v>0.05</v>
      </c>
      <c r="R111" t="s">
        <v>197</v>
      </c>
      <c r="S111">
        <v>3</v>
      </c>
      <c r="T111">
        <v>9800</v>
      </c>
      <c r="U111">
        <v>490</v>
      </c>
      <c r="V111">
        <v>9310</v>
      </c>
      <c r="W111">
        <v>7800</v>
      </c>
      <c r="X111">
        <v>1510</v>
      </c>
      <c r="Y111" s="8">
        <v>0.16219119226638024</v>
      </c>
      <c r="Z111" t="s">
        <v>2995</v>
      </c>
      <c r="AA111" t="str">
        <f>IF(AND(SalesCleanTable[[#This Row],[Discount %]]&gt;0, SalesCleanTable[[#This Row],[Profit]]&lt;0), "Discount loss", "Safe")</f>
        <v>Safe</v>
      </c>
      <c r="AB111" s="25">
        <f>(SalesCleanTable[[#This Row],[Unit Price]] - SalesCleanTable[[#This Row],[Unit Cost]]) / SalesCleanTable[[#This Row],[Unit Price]]</f>
        <v>0.20408163265306123</v>
      </c>
      <c r="AC111" t="str">
        <f>IF(SalesCleanTable[[#This Row],[Discount %]] &gt; SalesCleanTable[[#This Row],[Max Allowed Discount]], "Discount loss", "Safe")</f>
        <v>Safe</v>
      </c>
      <c r="AD111" s="4">
        <f>SalesCleanTable[[#This Row],[Unit Price]] - SalesCleanTable[[#This Row],[Unit Cost]]</f>
        <v>2000</v>
      </c>
      <c r="AE111" s="41">
        <f>(SalesCleanTable[[#This Row],[Unit Price]] - SalesCleanTable[[#This Row],[Unit Cost]]) / SalesCleanTable[[#This Row],[Unit Price]]</f>
        <v>0.20408163265306123</v>
      </c>
    </row>
    <row r="112" spans="1:31">
      <c r="A112" t="s">
        <v>298</v>
      </c>
      <c r="B112" s="6">
        <v>45722</v>
      </c>
      <c r="C112" t="s">
        <v>82</v>
      </c>
      <c r="D112" t="s">
        <v>83</v>
      </c>
      <c r="E112" t="s">
        <v>75</v>
      </c>
      <c r="F112" t="s">
        <v>84</v>
      </c>
      <c r="G112" t="s">
        <v>85</v>
      </c>
      <c r="H112" t="s">
        <v>139</v>
      </c>
      <c r="I112" t="s">
        <v>140</v>
      </c>
      <c r="J112" t="s">
        <v>137</v>
      </c>
      <c r="K112" t="s">
        <v>138</v>
      </c>
      <c r="L112" t="s">
        <v>183</v>
      </c>
      <c r="M112" t="s">
        <v>186</v>
      </c>
      <c r="N112">
        <v>4</v>
      </c>
      <c r="O112" s="4">
        <v>600</v>
      </c>
      <c r="P112" s="4">
        <v>950</v>
      </c>
      <c r="Q112" s="7">
        <v>0.05</v>
      </c>
      <c r="R112" t="s">
        <v>187</v>
      </c>
      <c r="S112">
        <v>8</v>
      </c>
      <c r="T112">
        <v>3800</v>
      </c>
      <c r="U112">
        <v>190</v>
      </c>
      <c r="V112">
        <v>3610</v>
      </c>
      <c r="W112">
        <v>2400</v>
      </c>
      <c r="X112">
        <v>1210</v>
      </c>
      <c r="Y112" s="8">
        <v>0.33518005540166207</v>
      </c>
      <c r="Z112" t="s">
        <v>2996</v>
      </c>
      <c r="AA112" t="str">
        <f>IF(AND(SalesCleanTable[[#This Row],[Discount %]]&gt;0, SalesCleanTable[[#This Row],[Profit]]&lt;0), "Discount loss", "Safe")</f>
        <v>Safe</v>
      </c>
      <c r="AB112" s="25">
        <f>(SalesCleanTable[[#This Row],[Unit Price]] - SalesCleanTable[[#This Row],[Unit Cost]]) / SalesCleanTable[[#This Row],[Unit Price]]</f>
        <v>0.36842105263157893</v>
      </c>
      <c r="AC112" t="str">
        <f>IF(SalesCleanTable[[#This Row],[Discount %]] &gt; SalesCleanTable[[#This Row],[Max Allowed Discount]], "Discount loss", "Safe")</f>
        <v>Safe</v>
      </c>
      <c r="AD112" s="4">
        <f>SalesCleanTable[[#This Row],[Unit Price]] - SalesCleanTable[[#This Row],[Unit Cost]]</f>
        <v>350</v>
      </c>
      <c r="AE112" s="41">
        <f>(SalesCleanTable[[#This Row],[Unit Price]] - SalesCleanTable[[#This Row],[Unit Cost]]) / SalesCleanTable[[#This Row],[Unit Price]]</f>
        <v>0.36842105263157893</v>
      </c>
    </row>
    <row r="113" spans="1:31">
      <c r="A113" t="s">
        <v>299</v>
      </c>
      <c r="B113" s="6">
        <v>45972</v>
      </c>
      <c r="C113" t="s">
        <v>24</v>
      </c>
      <c r="D113" t="s">
        <v>25</v>
      </c>
      <c r="E113" t="s">
        <v>26</v>
      </c>
      <c r="F113" t="s">
        <v>27</v>
      </c>
      <c r="G113" t="s">
        <v>28</v>
      </c>
      <c r="H113" t="s">
        <v>145</v>
      </c>
      <c r="I113" t="s">
        <v>146</v>
      </c>
      <c r="J113" t="s">
        <v>147</v>
      </c>
      <c r="K113" t="s">
        <v>148</v>
      </c>
      <c r="L113" t="s">
        <v>166</v>
      </c>
      <c r="M113" t="s">
        <v>171</v>
      </c>
      <c r="N113">
        <v>6</v>
      </c>
      <c r="O113" s="4">
        <v>14500</v>
      </c>
      <c r="P113" s="4">
        <v>17500</v>
      </c>
      <c r="Q113" s="7">
        <v>0.05</v>
      </c>
      <c r="R113" t="s">
        <v>197</v>
      </c>
      <c r="S113">
        <v>8</v>
      </c>
      <c r="T113">
        <v>105000</v>
      </c>
      <c r="U113">
        <v>5250</v>
      </c>
      <c r="V113">
        <v>99750</v>
      </c>
      <c r="W113">
        <v>87000</v>
      </c>
      <c r="X113">
        <v>12750</v>
      </c>
      <c r="Y113" s="8">
        <v>0.12781954887218044</v>
      </c>
      <c r="Z113" t="s">
        <v>2995</v>
      </c>
      <c r="AA113" t="str">
        <f>IF(AND(SalesCleanTable[[#This Row],[Discount %]]&gt;0, SalesCleanTable[[#This Row],[Profit]]&lt;0), "Discount loss", "Safe")</f>
        <v>Safe</v>
      </c>
      <c r="AB113" s="25">
        <f>(SalesCleanTable[[#This Row],[Unit Price]] - SalesCleanTable[[#This Row],[Unit Cost]]) / SalesCleanTable[[#This Row],[Unit Price]]</f>
        <v>0.17142857142857143</v>
      </c>
      <c r="AC113" t="str">
        <f>IF(SalesCleanTable[[#This Row],[Discount %]] &gt; SalesCleanTable[[#This Row],[Max Allowed Discount]], "Discount loss", "Safe")</f>
        <v>Safe</v>
      </c>
      <c r="AD113" s="4">
        <f>SalesCleanTable[[#This Row],[Unit Price]] - SalesCleanTable[[#This Row],[Unit Cost]]</f>
        <v>3000</v>
      </c>
      <c r="AE113" s="41">
        <f>(SalesCleanTable[[#This Row],[Unit Price]] - SalesCleanTable[[#This Row],[Unit Cost]]) / SalesCleanTable[[#This Row],[Unit Price]]</f>
        <v>0.17142857142857143</v>
      </c>
    </row>
    <row r="114" spans="1:31">
      <c r="A114" t="s">
        <v>300</v>
      </c>
      <c r="B114" s="6">
        <v>45876</v>
      </c>
      <c r="C114" t="s">
        <v>78</v>
      </c>
      <c r="D114" t="s">
        <v>79</v>
      </c>
      <c r="E114" t="s">
        <v>75</v>
      </c>
      <c r="F114" t="s">
        <v>80</v>
      </c>
      <c r="G114" t="s">
        <v>81</v>
      </c>
      <c r="H114" t="s">
        <v>139</v>
      </c>
      <c r="I114" t="s">
        <v>140</v>
      </c>
      <c r="J114" t="s">
        <v>137</v>
      </c>
      <c r="K114" t="s">
        <v>138</v>
      </c>
      <c r="L114" t="s">
        <v>166</v>
      </c>
      <c r="M114" t="s">
        <v>171</v>
      </c>
      <c r="N114">
        <v>6</v>
      </c>
      <c r="O114" s="4">
        <v>1200</v>
      </c>
      <c r="P114" s="4">
        <v>1900</v>
      </c>
      <c r="Q114" s="7">
        <v>0</v>
      </c>
      <c r="R114" t="s">
        <v>187</v>
      </c>
      <c r="S114">
        <v>3</v>
      </c>
      <c r="T114">
        <v>11400</v>
      </c>
      <c r="U114">
        <v>0</v>
      </c>
      <c r="V114">
        <v>11400</v>
      </c>
      <c r="W114">
        <v>7200</v>
      </c>
      <c r="X114">
        <v>4200</v>
      </c>
      <c r="Y114" s="8">
        <v>0.36842105263157893</v>
      </c>
      <c r="Z114" t="s">
        <v>2996</v>
      </c>
      <c r="AA114" t="str">
        <f>IF(AND(SalesCleanTable[[#This Row],[Discount %]]&gt;0, SalesCleanTable[[#This Row],[Profit]]&lt;0), "Discount loss", "Safe")</f>
        <v>Safe</v>
      </c>
      <c r="AB114" s="25">
        <f>(SalesCleanTable[[#This Row],[Unit Price]] - SalesCleanTable[[#This Row],[Unit Cost]]) / SalesCleanTable[[#This Row],[Unit Price]]</f>
        <v>0.36842105263157893</v>
      </c>
      <c r="AC114" t="str">
        <f>IF(SalesCleanTable[[#This Row],[Discount %]] &gt; SalesCleanTable[[#This Row],[Max Allowed Discount]], "Discount loss", "Safe")</f>
        <v>Safe</v>
      </c>
      <c r="AD114" s="4">
        <f>SalesCleanTable[[#This Row],[Unit Price]] - SalesCleanTable[[#This Row],[Unit Cost]]</f>
        <v>700</v>
      </c>
      <c r="AE114" s="41">
        <f>(SalesCleanTable[[#This Row],[Unit Price]] - SalesCleanTable[[#This Row],[Unit Cost]]) / SalesCleanTable[[#This Row],[Unit Price]]</f>
        <v>0.36842105263157893</v>
      </c>
    </row>
    <row r="115" spans="1:31">
      <c r="A115" t="s">
        <v>301</v>
      </c>
      <c r="B115" s="6">
        <v>45982</v>
      </c>
      <c r="C115" t="s">
        <v>66</v>
      </c>
      <c r="D115" t="s">
        <v>67</v>
      </c>
      <c r="E115" t="s">
        <v>59</v>
      </c>
      <c r="F115" t="s">
        <v>60</v>
      </c>
      <c r="G115" t="s">
        <v>68</v>
      </c>
      <c r="H115" t="s">
        <v>145</v>
      </c>
      <c r="I115" t="s">
        <v>146</v>
      </c>
      <c r="J115" t="s">
        <v>147</v>
      </c>
      <c r="K115" t="s">
        <v>148</v>
      </c>
      <c r="L115" t="s">
        <v>166</v>
      </c>
      <c r="M115" t="s">
        <v>186</v>
      </c>
      <c r="N115">
        <v>2</v>
      </c>
      <c r="O115" s="4">
        <v>2800</v>
      </c>
      <c r="P115" s="4">
        <v>3900</v>
      </c>
      <c r="Q115" s="7">
        <v>0.1</v>
      </c>
      <c r="R115" t="s">
        <v>204</v>
      </c>
      <c r="S115">
        <v>2</v>
      </c>
      <c r="T115">
        <v>7800</v>
      </c>
      <c r="U115">
        <v>780</v>
      </c>
      <c r="V115">
        <v>7020</v>
      </c>
      <c r="W115">
        <v>5600</v>
      </c>
      <c r="X115">
        <v>1420</v>
      </c>
      <c r="Y115" s="8">
        <v>0.20227920227920229</v>
      </c>
      <c r="Z115" t="s">
        <v>2996</v>
      </c>
      <c r="AA115" t="str">
        <f>IF(AND(SalesCleanTable[[#This Row],[Discount %]]&gt;0, SalesCleanTable[[#This Row],[Profit]]&lt;0), "Discount loss", "Safe")</f>
        <v>Safe</v>
      </c>
      <c r="AB115" s="25">
        <f>(SalesCleanTable[[#This Row],[Unit Price]] - SalesCleanTable[[#This Row],[Unit Cost]]) / SalesCleanTable[[#This Row],[Unit Price]]</f>
        <v>0.28205128205128205</v>
      </c>
      <c r="AC115" t="str">
        <f>IF(SalesCleanTable[[#This Row],[Discount %]] &gt; SalesCleanTable[[#This Row],[Max Allowed Discount]], "Discount loss", "Safe")</f>
        <v>Safe</v>
      </c>
      <c r="AD115" s="4">
        <f>SalesCleanTable[[#This Row],[Unit Price]] - SalesCleanTable[[#This Row],[Unit Cost]]</f>
        <v>1100</v>
      </c>
      <c r="AE115" s="41">
        <f>(SalesCleanTable[[#This Row],[Unit Price]] - SalesCleanTable[[#This Row],[Unit Cost]]) / SalesCleanTable[[#This Row],[Unit Price]]</f>
        <v>0.28205128205128205</v>
      </c>
    </row>
    <row r="116" spans="1:31">
      <c r="A116" t="s">
        <v>302</v>
      </c>
      <c r="B116" s="6">
        <v>45716</v>
      </c>
      <c r="C116" t="s">
        <v>103</v>
      </c>
      <c r="D116" t="s">
        <v>104</v>
      </c>
      <c r="E116" t="s">
        <v>92</v>
      </c>
      <c r="F116" t="s">
        <v>105</v>
      </c>
      <c r="G116" t="s">
        <v>106</v>
      </c>
      <c r="H116" t="s">
        <v>141</v>
      </c>
      <c r="I116" t="s">
        <v>142</v>
      </c>
      <c r="J116" t="s">
        <v>143</v>
      </c>
      <c r="K116" t="s">
        <v>144</v>
      </c>
      <c r="L116" t="s">
        <v>166</v>
      </c>
      <c r="M116" t="s">
        <v>186</v>
      </c>
      <c r="N116">
        <v>4</v>
      </c>
      <c r="O116" s="4">
        <v>1500</v>
      </c>
      <c r="P116" s="4">
        <v>2500</v>
      </c>
      <c r="Q116" s="7">
        <v>0.1</v>
      </c>
      <c r="R116" t="s">
        <v>181</v>
      </c>
      <c r="S116">
        <v>7</v>
      </c>
      <c r="T116">
        <v>10000</v>
      </c>
      <c r="U116">
        <v>1000</v>
      </c>
      <c r="V116">
        <v>9000</v>
      </c>
      <c r="W116">
        <v>6000</v>
      </c>
      <c r="X116">
        <v>3000</v>
      </c>
      <c r="Y116" s="8">
        <v>0.33333333333333331</v>
      </c>
      <c r="Z116" t="s">
        <v>2996</v>
      </c>
      <c r="AA116" t="str">
        <f>IF(AND(SalesCleanTable[[#This Row],[Discount %]]&gt;0, SalesCleanTable[[#This Row],[Profit]]&lt;0), "Discount loss", "Safe")</f>
        <v>Safe</v>
      </c>
      <c r="AB116" s="25">
        <f>(SalesCleanTable[[#This Row],[Unit Price]] - SalesCleanTable[[#This Row],[Unit Cost]]) / SalesCleanTable[[#This Row],[Unit Price]]</f>
        <v>0.4</v>
      </c>
      <c r="AC116" t="str">
        <f>IF(SalesCleanTable[[#This Row],[Discount %]] &gt; SalesCleanTable[[#This Row],[Max Allowed Discount]], "Discount loss", "Safe")</f>
        <v>Safe</v>
      </c>
      <c r="AD116" s="4">
        <f>SalesCleanTable[[#This Row],[Unit Price]] - SalesCleanTable[[#This Row],[Unit Cost]]</f>
        <v>1000</v>
      </c>
      <c r="AE116" s="41">
        <f>(SalesCleanTable[[#This Row],[Unit Price]] - SalesCleanTable[[#This Row],[Unit Cost]]) / SalesCleanTable[[#This Row],[Unit Price]]</f>
        <v>0.4</v>
      </c>
    </row>
    <row r="117" spans="1:31">
      <c r="A117" t="s">
        <v>303</v>
      </c>
      <c r="B117" s="6">
        <v>45890</v>
      </c>
      <c r="C117" t="s">
        <v>49</v>
      </c>
      <c r="D117" t="s">
        <v>50</v>
      </c>
      <c r="E117" t="s">
        <v>38</v>
      </c>
      <c r="F117" t="s">
        <v>51</v>
      </c>
      <c r="G117" t="s">
        <v>52</v>
      </c>
      <c r="H117" t="s">
        <v>145</v>
      </c>
      <c r="I117" t="s">
        <v>146</v>
      </c>
      <c r="J117" t="s">
        <v>147</v>
      </c>
      <c r="K117" t="s">
        <v>148</v>
      </c>
      <c r="L117" t="s">
        <v>166</v>
      </c>
      <c r="M117" t="s">
        <v>171</v>
      </c>
      <c r="N117">
        <v>2</v>
      </c>
      <c r="O117" s="4">
        <v>550</v>
      </c>
      <c r="P117" s="4">
        <v>850</v>
      </c>
      <c r="Q117" s="7">
        <v>0.05</v>
      </c>
      <c r="R117" t="s">
        <v>168</v>
      </c>
      <c r="S117">
        <v>8</v>
      </c>
      <c r="T117">
        <v>1700</v>
      </c>
      <c r="U117">
        <v>85</v>
      </c>
      <c r="V117">
        <v>1615</v>
      </c>
      <c r="W117">
        <v>1100</v>
      </c>
      <c r="X117">
        <v>515</v>
      </c>
      <c r="Y117" s="8">
        <v>0.31888544891640869</v>
      </c>
      <c r="Z117" t="s">
        <v>2996</v>
      </c>
      <c r="AA117" t="str">
        <f>IF(AND(SalesCleanTable[[#This Row],[Discount %]]&gt;0, SalesCleanTable[[#This Row],[Profit]]&lt;0), "Discount loss", "Safe")</f>
        <v>Safe</v>
      </c>
      <c r="AB117" s="25">
        <f>(SalesCleanTable[[#This Row],[Unit Price]] - SalesCleanTable[[#This Row],[Unit Cost]]) / SalesCleanTable[[#This Row],[Unit Price]]</f>
        <v>0.35294117647058826</v>
      </c>
      <c r="AC117" t="str">
        <f>IF(SalesCleanTable[[#This Row],[Discount %]] &gt; SalesCleanTable[[#This Row],[Max Allowed Discount]], "Discount loss", "Safe")</f>
        <v>Safe</v>
      </c>
      <c r="AD117" s="4">
        <f>SalesCleanTable[[#This Row],[Unit Price]] - SalesCleanTable[[#This Row],[Unit Cost]]</f>
        <v>300</v>
      </c>
      <c r="AE117" s="41">
        <f>(SalesCleanTable[[#This Row],[Unit Price]] - SalesCleanTable[[#This Row],[Unit Cost]]) / SalesCleanTable[[#This Row],[Unit Price]]</f>
        <v>0.35294117647058826</v>
      </c>
    </row>
    <row r="118" spans="1:31">
      <c r="A118" t="s">
        <v>304</v>
      </c>
      <c r="B118" s="6">
        <v>45701</v>
      </c>
      <c r="C118" t="s">
        <v>29</v>
      </c>
      <c r="D118" t="s">
        <v>30</v>
      </c>
      <c r="E118" t="s">
        <v>26</v>
      </c>
      <c r="F118" t="s">
        <v>27</v>
      </c>
      <c r="G118" t="s">
        <v>31</v>
      </c>
      <c r="H118" t="s">
        <v>128</v>
      </c>
      <c r="I118" t="s">
        <v>129</v>
      </c>
      <c r="J118" t="s">
        <v>130</v>
      </c>
      <c r="K118" t="s">
        <v>131</v>
      </c>
      <c r="L118" t="s">
        <v>166</v>
      </c>
      <c r="M118" t="s">
        <v>171</v>
      </c>
      <c r="N118">
        <v>4</v>
      </c>
      <c r="O118" s="4">
        <v>6200</v>
      </c>
      <c r="P118" s="4">
        <v>7900</v>
      </c>
      <c r="Q118" s="7">
        <v>0.15</v>
      </c>
      <c r="R118" t="s">
        <v>173</v>
      </c>
      <c r="S118">
        <v>9</v>
      </c>
      <c r="T118">
        <v>31600</v>
      </c>
      <c r="U118">
        <v>4740</v>
      </c>
      <c r="V118">
        <v>26860</v>
      </c>
      <c r="W118">
        <v>24800</v>
      </c>
      <c r="X118">
        <v>2060</v>
      </c>
      <c r="Y118" s="8">
        <v>7.6693968726731204E-2</v>
      </c>
      <c r="Z118" t="s">
        <v>2996</v>
      </c>
      <c r="AA118" t="str">
        <f>IF(AND(SalesCleanTable[[#This Row],[Discount %]]&gt;0, SalesCleanTable[[#This Row],[Profit]]&lt;0), "Discount loss", "Safe")</f>
        <v>Safe</v>
      </c>
      <c r="AB118" s="25">
        <f>(SalesCleanTable[[#This Row],[Unit Price]] - SalesCleanTable[[#This Row],[Unit Cost]]) / SalesCleanTable[[#This Row],[Unit Price]]</f>
        <v>0.21518987341772153</v>
      </c>
      <c r="AC118" t="str">
        <f>IF(SalesCleanTable[[#This Row],[Discount %]] &gt; SalesCleanTable[[#This Row],[Max Allowed Discount]], "Discount loss", "Safe")</f>
        <v>Safe</v>
      </c>
      <c r="AD118" s="4">
        <f>SalesCleanTable[[#This Row],[Unit Price]] - SalesCleanTable[[#This Row],[Unit Cost]]</f>
        <v>1700</v>
      </c>
      <c r="AE118" s="41">
        <f>(SalesCleanTable[[#This Row],[Unit Price]] - SalesCleanTable[[#This Row],[Unit Cost]]) / SalesCleanTable[[#This Row],[Unit Price]]</f>
        <v>0.21518987341772153</v>
      </c>
    </row>
    <row r="119" spans="1:31">
      <c r="A119" t="s">
        <v>305</v>
      </c>
      <c r="B119" s="6">
        <v>45720</v>
      </c>
      <c r="C119" t="s">
        <v>49</v>
      </c>
      <c r="D119" t="s">
        <v>50</v>
      </c>
      <c r="E119" t="s">
        <v>38</v>
      </c>
      <c r="F119" t="s">
        <v>51</v>
      </c>
      <c r="G119" t="s">
        <v>52</v>
      </c>
      <c r="H119" t="s">
        <v>149</v>
      </c>
      <c r="I119" t="s">
        <v>150</v>
      </c>
      <c r="J119" t="s">
        <v>151</v>
      </c>
      <c r="K119" t="s">
        <v>152</v>
      </c>
      <c r="L119" t="s">
        <v>183</v>
      </c>
      <c r="M119" t="s">
        <v>177</v>
      </c>
      <c r="N119">
        <v>8</v>
      </c>
      <c r="O119" s="4">
        <v>550</v>
      </c>
      <c r="P119" s="4">
        <v>850</v>
      </c>
      <c r="Q119" s="7">
        <v>0.05</v>
      </c>
      <c r="R119" t="s">
        <v>175</v>
      </c>
      <c r="S119">
        <v>10</v>
      </c>
      <c r="T119">
        <v>6800</v>
      </c>
      <c r="U119">
        <v>340</v>
      </c>
      <c r="V119">
        <v>6460</v>
      </c>
      <c r="W119">
        <v>4400</v>
      </c>
      <c r="X119">
        <v>2060</v>
      </c>
      <c r="Y119" s="8">
        <v>0.31888544891640869</v>
      </c>
      <c r="Z119" t="s">
        <v>2996</v>
      </c>
      <c r="AA119" t="str">
        <f>IF(AND(SalesCleanTable[[#This Row],[Discount %]]&gt;0, SalesCleanTable[[#This Row],[Profit]]&lt;0), "Discount loss", "Safe")</f>
        <v>Safe</v>
      </c>
      <c r="AB119" s="25">
        <f>(SalesCleanTable[[#This Row],[Unit Price]] - SalesCleanTable[[#This Row],[Unit Cost]]) / SalesCleanTable[[#This Row],[Unit Price]]</f>
        <v>0.35294117647058826</v>
      </c>
      <c r="AC119" t="str">
        <f>IF(SalesCleanTable[[#This Row],[Discount %]] &gt; SalesCleanTable[[#This Row],[Max Allowed Discount]], "Discount loss", "Safe")</f>
        <v>Safe</v>
      </c>
      <c r="AD119" s="4">
        <f>SalesCleanTable[[#This Row],[Unit Price]] - SalesCleanTable[[#This Row],[Unit Cost]]</f>
        <v>300</v>
      </c>
      <c r="AE119" s="41">
        <f>(SalesCleanTable[[#This Row],[Unit Price]] - SalesCleanTable[[#This Row],[Unit Cost]]) / SalesCleanTable[[#This Row],[Unit Price]]</f>
        <v>0.35294117647058826</v>
      </c>
    </row>
    <row r="120" spans="1:31">
      <c r="A120" t="s">
        <v>306</v>
      </c>
      <c r="B120" s="6">
        <v>45711</v>
      </c>
      <c r="C120" t="s">
        <v>66</v>
      </c>
      <c r="D120" t="s">
        <v>67</v>
      </c>
      <c r="E120" t="s">
        <v>59</v>
      </c>
      <c r="F120" t="s">
        <v>60</v>
      </c>
      <c r="G120" t="s">
        <v>68</v>
      </c>
      <c r="H120" t="s">
        <v>133</v>
      </c>
      <c r="I120" t="s">
        <v>134</v>
      </c>
      <c r="J120" t="s">
        <v>130</v>
      </c>
      <c r="K120" t="s">
        <v>131</v>
      </c>
      <c r="L120" t="s">
        <v>166</v>
      </c>
      <c r="M120" t="s">
        <v>171</v>
      </c>
      <c r="N120">
        <v>4</v>
      </c>
      <c r="O120" s="4">
        <v>2800</v>
      </c>
      <c r="P120" s="4">
        <v>3900</v>
      </c>
      <c r="Q120" s="7">
        <v>0</v>
      </c>
      <c r="R120" t="s">
        <v>204</v>
      </c>
      <c r="S120">
        <v>2</v>
      </c>
      <c r="T120">
        <v>15600</v>
      </c>
      <c r="U120">
        <v>0</v>
      </c>
      <c r="V120">
        <v>15600</v>
      </c>
      <c r="W120">
        <v>11200</v>
      </c>
      <c r="X120">
        <v>4400</v>
      </c>
      <c r="Y120" s="8">
        <v>0.28205128205128205</v>
      </c>
      <c r="Z120" t="s">
        <v>2996</v>
      </c>
      <c r="AA120" t="str">
        <f>IF(AND(SalesCleanTable[[#This Row],[Discount %]]&gt;0, SalesCleanTable[[#This Row],[Profit]]&lt;0), "Discount loss", "Safe")</f>
        <v>Safe</v>
      </c>
      <c r="AB120" s="25">
        <f>(SalesCleanTable[[#This Row],[Unit Price]] - SalesCleanTable[[#This Row],[Unit Cost]]) / SalesCleanTable[[#This Row],[Unit Price]]</f>
        <v>0.28205128205128205</v>
      </c>
      <c r="AC120" t="str">
        <f>IF(SalesCleanTable[[#This Row],[Discount %]] &gt; SalesCleanTable[[#This Row],[Max Allowed Discount]], "Discount loss", "Safe")</f>
        <v>Safe</v>
      </c>
      <c r="AD120" s="4">
        <f>SalesCleanTable[[#This Row],[Unit Price]] - SalesCleanTable[[#This Row],[Unit Cost]]</f>
        <v>1100</v>
      </c>
      <c r="AE120" s="41">
        <f>(SalesCleanTable[[#This Row],[Unit Price]] - SalesCleanTable[[#This Row],[Unit Cost]]) / SalesCleanTable[[#This Row],[Unit Price]]</f>
        <v>0.28205128205128205</v>
      </c>
    </row>
    <row r="121" spans="1:31">
      <c r="A121" t="s">
        <v>307</v>
      </c>
      <c r="B121" s="6">
        <v>45951</v>
      </c>
      <c r="C121" t="s">
        <v>41</v>
      </c>
      <c r="D121" t="s">
        <v>42</v>
      </c>
      <c r="E121" t="s">
        <v>26</v>
      </c>
      <c r="F121" t="s">
        <v>43</v>
      </c>
      <c r="G121" t="s">
        <v>44</v>
      </c>
      <c r="H121" t="s">
        <v>135</v>
      </c>
      <c r="I121" t="s">
        <v>136</v>
      </c>
      <c r="J121" t="s">
        <v>137</v>
      </c>
      <c r="K121" t="s">
        <v>138</v>
      </c>
      <c r="L121" t="s">
        <v>183</v>
      </c>
      <c r="M121" t="s">
        <v>171</v>
      </c>
      <c r="N121">
        <v>3</v>
      </c>
      <c r="O121" s="4">
        <v>850</v>
      </c>
      <c r="P121" s="4">
        <v>1300</v>
      </c>
      <c r="Q121" s="7">
        <v>0.1</v>
      </c>
      <c r="R121" t="s">
        <v>173</v>
      </c>
      <c r="S121">
        <v>1</v>
      </c>
      <c r="T121">
        <v>3900</v>
      </c>
      <c r="U121">
        <v>390</v>
      </c>
      <c r="V121">
        <v>3510</v>
      </c>
      <c r="W121">
        <v>2550</v>
      </c>
      <c r="X121">
        <v>960</v>
      </c>
      <c r="Y121" s="8">
        <v>0.27350427350427353</v>
      </c>
      <c r="Z121" t="s">
        <v>2995</v>
      </c>
      <c r="AA121" t="str">
        <f>IF(AND(SalesCleanTable[[#This Row],[Discount %]]&gt;0, SalesCleanTable[[#This Row],[Profit]]&lt;0), "Discount loss", "Safe")</f>
        <v>Safe</v>
      </c>
      <c r="AB121" s="25">
        <f>(SalesCleanTable[[#This Row],[Unit Price]] - SalesCleanTable[[#This Row],[Unit Cost]]) / SalesCleanTable[[#This Row],[Unit Price]]</f>
        <v>0.34615384615384615</v>
      </c>
      <c r="AC121" t="str">
        <f>IF(SalesCleanTable[[#This Row],[Discount %]] &gt; SalesCleanTable[[#This Row],[Max Allowed Discount]], "Discount loss", "Safe")</f>
        <v>Safe</v>
      </c>
      <c r="AD121" s="4">
        <f>SalesCleanTable[[#This Row],[Unit Price]] - SalesCleanTable[[#This Row],[Unit Cost]]</f>
        <v>450</v>
      </c>
      <c r="AE121" s="41">
        <f>(SalesCleanTable[[#This Row],[Unit Price]] - SalesCleanTable[[#This Row],[Unit Cost]]) / SalesCleanTable[[#This Row],[Unit Price]]</f>
        <v>0.34615384615384615</v>
      </c>
    </row>
    <row r="122" spans="1:31">
      <c r="A122" t="s">
        <v>308</v>
      </c>
      <c r="B122" s="6">
        <v>45994</v>
      </c>
      <c r="C122" t="s">
        <v>99</v>
      </c>
      <c r="D122" t="s">
        <v>100</v>
      </c>
      <c r="E122" t="s">
        <v>92</v>
      </c>
      <c r="F122" t="s">
        <v>101</v>
      </c>
      <c r="G122" t="s">
        <v>102</v>
      </c>
      <c r="H122" t="s">
        <v>135</v>
      </c>
      <c r="I122" t="s">
        <v>136</v>
      </c>
      <c r="J122" t="s">
        <v>137</v>
      </c>
      <c r="K122" t="s">
        <v>138</v>
      </c>
      <c r="L122" t="s">
        <v>166</v>
      </c>
      <c r="M122" t="s">
        <v>186</v>
      </c>
      <c r="N122">
        <v>1</v>
      </c>
      <c r="O122" s="4">
        <v>12500</v>
      </c>
      <c r="P122" s="4">
        <v>18500</v>
      </c>
      <c r="Q122" s="7">
        <v>0.1</v>
      </c>
      <c r="R122" t="s">
        <v>181</v>
      </c>
      <c r="S122">
        <v>3</v>
      </c>
      <c r="T122">
        <v>18500</v>
      </c>
      <c r="U122">
        <v>1850</v>
      </c>
      <c r="V122">
        <v>16650</v>
      </c>
      <c r="W122">
        <v>12500</v>
      </c>
      <c r="X122">
        <v>4150</v>
      </c>
      <c r="Y122" s="8">
        <v>0.24924924924924924</v>
      </c>
      <c r="Z122" t="s">
        <v>2995</v>
      </c>
      <c r="AA122" t="str">
        <f>IF(AND(SalesCleanTable[[#This Row],[Discount %]]&gt;0, SalesCleanTable[[#This Row],[Profit]]&lt;0), "Discount loss", "Safe")</f>
        <v>Safe</v>
      </c>
      <c r="AB122" s="25">
        <f>(SalesCleanTable[[#This Row],[Unit Price]] - SalesCleanTable[[#This Row],[Unit Cost]]) / SalesCleanTable[[#This Row],[Unit Price]]</f>
        <v>0.32432432432432434</v>
      </c>
      <c r="AC122" t="str">
        <f>IF(SalesCleanTable[[#This Row],[Discount %]] &gt; SalesCleanTable[[#This Row],[Max Allowed Discount]], "Discount loss", "Safe")</f>
        <v>Safe</v>
      </c>
      <c r="AD122" s="4">
        <f>SalesCleanTable[[#This Row],[Unit Price]] - SalesCleanTable[[#This Row],[Unit Cost]]</f>
        <v>6000</v>
      </c>
      <c r="AE122" s="41">
        <f>(SalesCleanTable[[#This Row],[Unit Price]] - SalesCleanTable[[#This Row],[Unit Cost]]) / SalesCleanTable[[#This Row],[Unit Price]]</f>
        <v>0.32432432432432434</v>
      </c>
    </row>
    <row r="123" spans="1:31">
      <c r="A123" t="s">
        <v>309</v>
      </c>
      <c r="B123" s="6">
        <v>45947</v>
      </c>
      <c r="C123" t="s">
        <v>78</v>
      </c>
      <c r="D123" t="s">
        <v>79</v>
      </c>
      <c r="E123" t="s">
        <v>75</v>
      </c>
      <c r="F123" t="s">
        <v>80</v>
      </c>
      <c r="G123" t="s">
        <v>81</v>
      </c>
      <c r="H123" t="s">
        <v>128</v>
      </c>
      <c r="I123" t="s">
        <v>129</v>
      </c>
      <c r="J123" t="s">
        <v>130</v>
      </c>
      <c r="K123" t="s">
        <v>131</v>
      </c>
      <c r="L123" t="s">
        <v>166</v>
      </c>
      <c r="M123" t="s">
        <v>171</v>
      </c>
      <c r="N123">
        <v>4</v>
      </c>
      <c r="O123" s="4">
        <v>1200</v>
      </c>
      <c r="P123" s="4">
        <v>1900</v>
      </c>
      <c r="Q123" s="7">
        <v>0.2</v>
      </c>
      <c r="R123" t="s">
        <v>208</v>
      </c>
      <c r="S123">
        <v>7</v>
      </c>
      <c r="T123">
        <v>7600</v>
      </c>
      <c r="U123">
        <v>1520</v>
      </c>
      <c r="V123">
        <v>6080</v>
      </c>
      <c r="W123">
        <v>4800</v>
      </c>
      <c r="X123">
        <v>1280</v>
      </c>
      <c r="Y123" s="8">
        <v>0.21052631578947367</v>
      </c>
      <c r="Z123" t="s">
        <v>2996</v>
      </c>
      <c r="AA123" t="str">
        <f>IF(AND(SalesCleanTable[[#This Row],[Discount %]]&gt;0, SalesCleanTable[[#This Row],[Profit]]&lt;0), "Discount loss", "Safe")</f>
        <v>Safe</v>
      </c>
      <c r="AB123" s="25">
        <f>(SalesCleanTable[[#This Row],[Unit Price]] - SalesCleanTable[[#This Row],[Unit Cost]]) / SalesCleanTable[[#This Row],[Unit Price]]</f>
        <v>0.36842105263157893</v>
      </c>
      <c r="AC123" t="str">
        <f>IF(SalesCleanTable[[#This Row],[Discount %]] &gt; SalesCleanTable[[#This Row],[Max Allowed Discount]], "Discount loss", "Safe")</f>
        <v>Safe</v>
      </c>
      <c r="AD123" s="4">
        <f>SalesCleanTable[[#This Row],[Unit Price]] - SalesCleanTable[[#This Row],[Unit Cost]]</f>
        <v>700</v>
      </c>
      <c r="AE123" s="41">
        <f>(SalesCleanTable[[#This Row],[Unit Price]] - SalesCleanTable[[#This Row],[Unit Cost]]) / SalesCleanTable[[#This Row],[Unit Price]]</f>
        <v>0.36842105263157893</v>
      </c>
    </row>
    <row r="124" spans="1:31">
      <c r="A124" t="s">
        <v>310</v>
      </c>
      <c r="B124" s="6">
        <v>45738</v>
      </c>
      <c r="C124" t="s">
        <v>49</v>
      </c>
      <c r="D124" t="s">
        <v>50</v>
      </c>
      <c r="E124" t="s">
        <v>38</v>
      </c>
      <c r="F124" t="s">
        <v>51</v>
      </c>
      <c r="G124" t="s">
        <v>52</v>
      </c>
      <c r="H124" t="s">
        <v>145</v>
      </c>
      <c r="I124" t="s">
        <v>146</v>
      </c>
      <c r="J124" t="s">
        <v>147</v>
      </c>
      <c r="K124" t="s">
        <v>148</v>
      </c>
      <c r="L124" t="s">
        <v>166</v>
      </c>
      <c r="M124" t="s">
        <v>177</v>
      </c>
      <c r="N124">
        <v>5</v>
      </c>
      <c r="O124" s="4">
        <v>550</v>
      </c>
      <c r="P124" s="4">
        <v>850</v>
      </c>
      <c r="Q124" s="7">
        <v>0.1</v>
      </c>
      <c r="R124" t="s">
        <v>178</v>
      </c>
      <c r="S124">
        <v>13</v>
      </c>
      <c r="T124">
        <v>4250</v>
      </c>
      <c r="U124">
        <v>425</v>
      </c>
      <c r="V124">
        <v>3825</v>
      </c>
      <c r="W124">
        <v>2750</v>
      </c>
      <c r="X124">
        <v>1075</v>
      </c>
      <c r="Y124" s="8">
        <v>0.28104575163398693</v>
      </c>
      <c r="Z124" t="s">
        <v>2996</v>
      </c>
      <c r="AA124" t="str">
        <f>IF(AND(SalesCleanTable[[#This Row],[Discount %]]&gt;0, SalesCleanTable[[#This Row],[Profit]]&lt;0), "Discount loss", "Safe")</f>
        <v>Safe</v>
      </c>
      <c r="AB124" s="25">
        <f>(SalesCleanTable[[#This Row],[Unit Price]] - SalesCleanTable[[#This Row],[Unit Cost]]) / SalesCleanTable[[#This Row],[Unit Price]]</f>
        <v>0.35294117647058826</v>
      </c>
      <c r="AC124" t="str">
        <f>IF(SalesCleanTable[[#This Row],[Discount %]] &gt; SalesCleanTable[[#This Row],[Max Allowed Discount]], "Discount loss", "Safe")</f>
        <v>Safe</v>
      </c>
      <c r="AD124" s="4">
        <f>SalesCleanTable[[#This Row],[Unit Price]] - SalesCleanTable[[#This Row],[Unit Cost]]</f>
        <v>300</v>
      </c>
      <c r="AE124" s="41">
        <f>(SalesCleanTable[[#This Row],[Unit Price]] - SalesCleanTable[[#This Row],[Unit Cost]]) / SalesCleanTable[[#This Row],[Unit Price]]</f>
        <v>0.35294117647058826</v>
      </c>
    </row>
    <row r="125" spans="1:31">
      <c r="A125" t="s">
        <v>311</v>
      </c>
      <c r="B125" s="6">
        <v>46003</v>
      </c>
      <c r="C125" t="s">
        <v>29</v>
      </c>
      <c r="D125" t="s">
        <v>30</v>
      </c>
      <c r="E125" t="s">
        <v>26</v>
      </c>
      <c r="F125" t="s">
        <v>27</v>
      </c>
      <c r="G125" t="s">
        <v>31</v>
      </c>
      <c r="H125" t="s">
        <v>135</v>
      </c>
      <c r="I125" t="s">
        <v>136</v>
      </c>
      <c r="J125" t="s">
        <v>137</v>
      </c>
      <c r="K125" t="s">
        <v>138</v>
      </c>
      <c r="L125" t="s">
        <v>166</v>
      </c>
      <c r="M125" t="s">
        <v>167</v>
      </c>
      <c r="N125">
        <v>2</v>
      </c>
      <c r="O125" s="4">
        <v>6200</v>
      </c>
      <c r="P125" s="4">
        <v>7900</v>
      </c>
      <c r="Q125" s="7">
        <v>0.1</v>
      </c>
      <c r="R125" t="s">
        <v>173</v>
      </c>
      <c r="S125">
        <v>2</v>
      </c>
      <c r="T125">
        <v>15800</v>
      </c>
      <c r="U125">
        <v>1580</v>
      </c>
      <c r="V125">
        <v>14220</v>
      </c>
      <c r="W125">
        <v>12400</v>
      </c>
      <c r="X125">
        <v>1820</v>
      </c>
      <c r="Y125" s="8">
        <v>0.12798874824191281</v>
      </c>
      <c r="Z125" t="s">
        <v>2996</v>
      </c>
      <c r="AA125" t="str">
        <f>IF(AND(SalesCleanTable[[#This Row],[Discount %]]&gt;0, SalesCleanTable[[#This Row],[Profit]]&lt;0), "Discount loss", "Safe")</f>
        <v>Safe</v>
      </c>
      <c r="AB125" s="25">
        <f>(SalesCleanTable[[#This Row],[Unit Price]] - SalesCleanTable[[#This Row],[Unit Cost]]) / SalesCleanTable[[#This Row],[Unit Price]]</f>
        <v>0.21518987341772153</v>
      </c>
      <c r="AC125" t="str">
        <f>IF(SalesCleanTable[[#This Row],[Discount %]] &gt; SalesCleanTable[[#This Row],[Max Allowed Discount]], "Discount loss", "Safe")</f>
        <v>Safe</v>
      </c>
      <c r="AD125" s="4">
        <f>SalesCleanTable[[#This Row],[Unit Price]] - SalesCleanTable[[#This Row],[Unit Cost]]</f>
        <v>1700</v>
      </c>
      <c r="AE125" s="41">
        <f>(SalesCleanTable[[#This Row],[Unit Price]] - SalesCleanTable[[#This Row],[Unit Cost]]) / SalesCleanTable[[#This Row],[Unit Price]]</f>
        <v>0.21518987341772153</v>
      </c>
    </row>
    <row r="126" spans="1:31">
      <c r="A126" t="s">
        <v>312</v>
      </c>
      <c r="B126" s="6">
        <v>45714</v>
      </c>
      <c r="C126" t="s">
        <v>45</v>
      </c>
      <c r="D126" t="s">
        <v>46</v>
      </c>
      <c r="E126" t="s">
        <v>38</v>
      </c>
      <c r="F126" t="s">
        <v>47</v>
      </c>
      <c r="G126" t="s">
        <v>48</v>
      </c>
      <c r="H126" t="s">
        <v>141</v>
      </c>
      <c r="I126" t="s">
        <v>142</v>
      </c>
      <c r="J126" t="s">
        <v>143</v>
      </c>
      <c r="K126" t="s">
        <v>144</v>
      </c>
      <c r="L126" t="s">
        <v>166</v>
      </c>
      <c r="M126" t="s">
        <v>186</v>
      </c>
      <c r="N126">
        <v>-1</v>
      </c>
      <c r="O126" s="4">
        <v>230</v>
      </c>
      <c r="P126" s="4">
        <v>400</v>
      </c>
      <c r="Q126" s="7">
        <v>0.1</v>
      </c>
      <c r="R126" t="s">
        <v>168</v>
      </c>
      <c r="S126">
        <v>1</v>
      </c>
      <c r="T126">
        <v>-400</v>
      </c>
      <c r="U126">
        <v>-40</v>
      </c>
      <c r="V126">
        <v>-360</v>
      </c>
      <c r="W126">
        <v>-230</v>
      </c>
      <c r="X126">
        <v>-130</v>
      </c>
      <c r="Y126" s="8">
        <v>0.3611111111111111</v>
      </c>
      <c r="Z126" t="s">
        <v>2995</v>
      </c>
      <c r="AA126" t="str">
        <f>IF(AND(SalesCleanTable[[#This Row],[Discount %]]&gt;0, SalesCleanTable[[#This Row],[Profit]]&lt;0), "Discount loss", "Safe")</f>
        <v>Discount loss</v>
      </c>
      <c r="AB126" s="25">
        <f>(SalesCleanTable[[#This Row],[Unit Price]] - SalesCleanTable[[#This Row],[Unit Cost]]) / SalesCleanTable[[#This Row],[Unit Price]]</f>
        <v>0.42499999999999999</v>
      </c>
      <c r="AC126" t="str">
        <f>IF(SalesCleanTable[[#This Row],[Discount %]] &gt; SalesCleanTable[[#This Row],[Max Allowed Discount]], "Discount loss", "Safe")</f>
        <v>Safe</v>
      </c>
      <c r="AD126" s="4">
        <f>SalesCleanTable[[#This Row],[Unit Price]] - SalesCleanTable[[#This Row],[Unit Cost]]</f>
        <v>170</v>
      </c>
      <c r="AE126" s="41">
        <f>(SalesCleanTable[[#This Row],[Unit Price]] - SalesCleanTable[[#This Row],[Unit Cost]]) / SalesCleanTable[[#This Row],[Unit Price]]</f>
        <v>0.42499999999999999</v>
      </c>
    </row>
    <row r="127" spans="1:31">
      <c r="A127" t="s">
        <v>313</v>
      </c>
      <c r="B127" s="6">
        <v>45766</v>
      </c>
      <c r="C127" t="s">
        <v>90</v>
      </c>
      <c r="D127" t="s">
        <v>91</v>
      </c>
      <c r="E127" t="s">
        <v>92</v>
      </c>
      <c r="F127" t="s">
        <v>93</v>
      </c>
      <c r="G127" t="s">
        <v>94</v>
      </c>
      <c r="H127" t="s">
        <v>145</v>
      </c>
      <c r="I127" t="s">
        <v>146</v>
      </c>
      <c r="J127" t="s">
        <v>147</v>
      </c>
      <c r="K127" t="s">
        <v>148</v>
      </c>
      <c r="L127" t="s">
        <v>166</v>
      </c>
      <c r="M127" t="s">
        <v>186</v>
      </c>
      <c r="N127">
        <v>2</v>
      </c>
      <c r="O127" s="4">
        <v>7500</v>
      </c>
      <c r="P127" s="4">
        <v>10500</v>
      </c>
      <c r="Q127" s="7">
        <v>0.05</v>
      </c>
      <c r="R127" t="s">
        <v>181</v>
      </c>
      <c r="S127">
        <v>7</v>
      </c>
      <c r="T127">
        <v>21000</v>
      </c>
      <c r="U127">
        <v>1050</v>
      </c>
      <c r="V127">
        <v>19950</v>
      </c>
      <c r="W127">
        <v>15000</v>
      </c>
      <c r="X127">
        <v>4950</v>
      </c>
      <c r="Y127" s="8">
        <v>0.24812030075187969</v>
      </c>
      <c r="Z127" t="s">
        <v>2996</v>
      </c>
      <c r="AA127" t="str">
        <f>IF(AND(SalesCleanTable[[#This Row],[Discount %]]&gt;0, SalesCleanTable[[#This Row],[Profit]]&lt;0), "Discount loss", "Safe")</f>
        <v>Safe</v>
      </c>
      <c r="AB127" s="25">
        <f>(SalesCleanTable[[#This Row],[Unit Price]] - SalesCleanTable[[#This Row],[Unit Cost]]) / SalesCleanTable[[#This Row],[Unit Price]]</f>
        <v>0.2857142857142857</v>
      </c>
      <c r="AC127" t="str">
        <f>IF(SalesCleanTable[[#This Row],[Discount %]] &gt; SalesCleanTable[[#This Row],[Max Allowed Discount]], "Discount loss", "Safe")</f>
        <v>Safe</v>
      </c>
      <c r="AD127" s="4">
        <f>SalesCleanTable[[#This Row],[Unit Price]] - SalesCleanTable[[#This Row],[Unit Cost]]</f>
        <v>3000</v>
      </c>
      <c r="AE127" s="41">
        <f>(SalesCleanTable[[#This Row],[Unit Price]] - SalesCleanTable[[#This Row],[Unit Cost]]) / SalesCleanTable[[#This Row],[Unit Price]]</f>
        <v>0.2857142857142857</v>
      </c>
    </row>
    <row r="128" spans="1:31">
      <c r="A128" t="s">
        <v>314</v>
      </c>
      <c r="B128" s="6">
        <v>45775</v>
      </c>
      <c r="C128" t="s">
        <v>57</v>
      </c>
      <c r="D128" t="s">
        <v>58</v>
      </c>
      <c r="E128" t="s">
        <v>59</v>
      </c>
      <c r="F128" t="s">
        <v>60</v>
      </c>
      <c r="G128" t="s">
        <v>61</v>
      </c>
      <c r="H128" t="s">
        <v>149</v>
      </c>
      <c r="I128" t="s">
        <v>150</v>
      </c>
      <c r="J128" t="s">
        <v>151</v>
      </c>
      <c r="K128" t="s">
        <v>152</v>
      </c>
      <c r="L128" t="s">
        <v>183</v>
      </c>
      <c r="M128" t="s">
        <v>177</v>
      </c>
      <c r="N128">
        <v>5</v>
      </c>
      <c r="O128" s="4">
        <v>2400</v>
      </c>
      <c r="P128" s="4">
        <v>3400</v>
      </c>
      <c r="Q128" s="7">
        <v>0</v>
      </c>
      <c r="R128" t="s">
        <v>192</v>
      </c>
      <c r="S128">
        <v>8</v>
      </c>
      <c r="T128">
        <v>17000</v>
      </c>
      <c r="U128">
        <v>0</v>
      </c>
      <c r="V128">
        <v>17000</v>
      </c>
      <c r="W128">
        <v>12000</v>
      </c>
      <c r="X128">
        <v>5000</v>
      </c>
      <c r="Y128" s="8">
        <v>0.29411764705882354</v>
      </c>
      <c r="Z128" t="s">
        <v>2996</v>
      </c>
      <c r="AA128" t="str">
        <f>IF(AND(SalesCleanTable[[#This Row],[Discount %]]&gt;0, SalesCleanTable[[#This Row],[Profit]]&lt;0), "Discount loss", "Safe")</f>
        <v>Safe</v>
      </c>
      <c r="AB128" s="25">
        <f>(SalesCleanTable[[#This Row],[Unit Price]] - SalesCleanTable[[#This Row],[Unit Cost]]) / SalesCleanTable[[#This Row],[Unit Price]]</f>
        <v>0.29411764705882354</v>
      </c>
      <c r="AC128" t="str">
        <f>IF(SalesCleanTable[[#This Row],[Discount %]] &gt; SalesCleanTable[[#This Row],[Max Allowed Discount]], "Discount loss", "Safe")</f>
        <v>Safe</v>
      </c>
      <c r="AD128" s="4">
        <f>SalesCleanTable[[#This Row],[Unit Price]] - SalesCleanTable[[#This Row],[Unit Cost]]</f>
        <v>1000</v>
      </c>
      <c r="AE128" s="41">
        <f>(SalesCleanTable[[#This Row],[Unit Price]] - SalesCleanTable[[#This Row],[Unit Cost]]) / SalesCleanTable[[#This Row],[Unit Price]]</f>
        <v>0.29411764705882354</v>
      </c>
    </row>
    <row r="129" spans="1:31">
      <c r="A129" t="s">
        <v>315</v>
      </c>
      <c r="B129" s="6">
        <v>45818</v>
      </c>
      <c r="C129" t="s">
        <v>66</v>
      </c>
      <c r="D129" t="s">
        <v>67</v>
      </c>
      <c r="E129" t="s">
        <v>59</v>
      </c>
      <c r="F129" t="s">
        <v>60</v>
      </c>
      <c r="G129" t="s">
        <v>68</v>
      </c>
      <c r="H129" t="s">
        <v>139</v>
      </c>
      <c r="I129" t="s">
        <v>140</v>
      </c>
      <c r="J129" t="s">
        <v>137</v>
      </c>
      <c r="K129" t="s">
        <v>138</v>
      </c>
      <c r="L129" t="s">
        <v>166</v>
      </c>
      <c r="M129" t="s">
        <v>177</v>
      </c>
      <c r="N129">
        <v>4</v>
      </c>
      <c r="O129" s="4">
        <v>2800</v>
      </c>
      <c r="P129" s="4">
        <v>3900</v>
      </c>
      <c r="Q129" s="7">
        <v>0.05</v>
      </c>
      <c r="R129" t="s">
        <v>204</v>
      </c>
      <c r="S129">
        <v>3</v>
      </c>
      <c r="T129">
        <v>15600</v>
      </c>
      <c r="U129">
        <v>780</v>
      </c>
      <c r="V129">
        <v>14820</v>
      </c>
      <c r="W129">
        <v>11200</v>
      </c>
      <c r="X129">
        <v>3620</v>
      </c>
      <c r="Y129" s="8">
        <v>0.24426450742240216</v>
      </c>
      <c r="Z129" t="s">
        <v>2996</v>
      </c>
      <c r="AA129" t="str">
        <f>IF(AND(SalesCleanTable[[#This Row],[Discount %]]&gt;0, SalesCleanTable[[#This Row],[Profit]]&lt;0), "Discount loss", "Safe")</f>
        <v>Safe</v>
      </c>
      <c r="AB129" s="25">
        <f>(SalesCleanTable[[#This Row],[Unit Price]] - SalesCleanTable[[#This Row],[Unit Cost]]) / SalesCleanTable[[#This Row],[Unit Price]]</f>
        <v>0.28205128205128205</v>
      </c>
      <c r="AC129" t="str">
        <f>IF(SalesCleanTable[[#This Row],[Discount %]] &gt; SalesCleanTable[[#This Row],[Max Allowed Discount]], "Discount loss", "Safe")</f>
        <v>Safe</v>
      </c>
      <c r="AD129" s="4">
        <f>SalesCleanTable[[#This Row],[Unit Price]] - SalesCleanTable[[#This Row],[Unit Cost]]</f>
        <v>1100</v>
      </c>
      <c r="AE129" s="41">
        <f>(SalesCleanTable[[#This Row],[Unit Price]] - SalesCleanTable[[#This Row],[Unit Cost]]) / SalesCleanTable[[#This Row],[Unit Price]]</f>
        <v>0.28205128205128205</v>
      </c>
    </row>
    <row r="130" spans="1:31">
      <c r="A130" t="s">
        <v>316</v>
      </c>
      <c r="B130" s="6">
        <v>45974</v>
      </c>
      <c r="C130" t="s">
        <v>53</v>
      </c>
      <c r="D130" t="s">
        <v>54</v>
      </c>
      <c r="E130" t="s">
        <v>38</v>
      </c>
      <c r="F130" t="s">
        <v>55</v>
      </c>
      <c r="G130" t="s">
        <v>56</v>
      </c>
      <c r="H130" t="s">
        <v>141</v>
      </c>
      <c r="I130" t="s">
        <v>142</v>
      </c>
      <c r="J130" t="s">
        <v>143</v>
      </c>
      <c r="K130" t="s">
        <v>144</v>
      </c>
      <c r="L130" t="s">
        <v>166</v>
      </c>
      <c r="M130" t="s">
        <v>186</v>
      </c>
      <c r="N130">
        <v>2</v>
      </c>
      <c r="O130" s="4">
        <v>330</v>
      </c>
      <c r="P130" s="4">
        <v>550</v>
      </c>
      <c r="Q130" s="7">
        <v>0.05</v>
      </c>
      <c r="R130" t="s">
        <v>175</v>
      </c>
      <c r="S130">
        <v>9</v>
      </c>
      <c r="T130">
        <v>1100</v>
      </c>
      <c r="U130">
        <v>55</v>
      </c>
      <c r="V130">
        <v>1045</v>
      </c>
      <c r="W130">
        <v>660</v>
      </c>
      <c r="X130">
        <v>385</v>
      </c>
      <c r="Y130" s="8">
        <v>0.36842105263157893</v>
      </c>
      <c r="Z130" t="s">
        <v>2996</v>
      </c>
      <c r="AA130" t="str">
        <f>IF(AND(SalesCleanTable[[#This Row],[Discount %]]&gt;0, SalesCleanTable[[#This Row],[Profit]]&lt;0), "Discount loss", "Safe")</f>
        <v>Safe</v>
      </c>
      <c r="AB130" s="25">
        <f>(SalesCleanTable[[#This Row],[Unit Price]] - SalesCleanTable[[#This Row],[Unit Cost]]) / SalesCleanTable[[#This Row],[Unit Price]]</f>
        <v>0.4</v>
      </c>
      <c r="AC130" t="str">
        <f>IF(SalesCleanTable[[#This Row],[Discount %]] &gt; SalesCleanTable[[#This Row],[Max Allowed Discount]], "Discount loss", "Safe")</f>
        <v>Safe</v>
      </c>
      <c r="AD130" s="4">
        <f>SalesCleanTable[[#This Row],[Unit Price]] - SalesCleanTable[[#This Row],[Unit Cost]]</f>
        <v>220</v>
      </c>
      <c r="AE130" s="41">
        <f>(SalesCleanTable[[#This Row],[Unit Price]] - SalesCleanTable[[#This Row],[Unit Cost]]) / SalesCleanTable[[#This Row],[Unit Price]]</f>
        <v>0.4</v>
      </c>
    </row>
    <row r="131" spans="1:31">
      <c r="A131" t="s">
        <v>317</v>
      </c>
      <c r="B131" s="6">
        <v>45816</v>
      </c>
      <c r="C131" t="s">
        <v>82</v>
      </c>
      <c r="D131" t="s">
        <v>83</v>
      </c>
      <c r="E131" t="s">
        <v>75</v>
      </c>
      <c r="F131" t="s">
        <v>84</v>
      </c>
      <c r="G131" t="s">
        <v>85</v>
      </c>
      <c r="H131" t="s">
        <v>133</v>
      </c>
      <c r="I131" t="s">
        <v>134</v>
      </c>
      <c r="J131" t="s">
        <v>130</v>
      </c>
      <c r="K131" t="s">
        <v>131</v>
      </c>
      <c r="L131" t="s">
        <v>183</v>
      </c>
      <c r="M131" t="s">
        <v>171</v>
      </c>
      <c r="N131">
        <v>5</v>
      </c>
      <c r="O131" s="4">
        <v>600</v>
      </c>
      <c r="P131" s="4">
        <v>950</v>
      </c>
      <c r="Q131" s="7">
        <v>0</v>
      </c>
      <c r="R131" t="s">
        <v>187</v>
      </c>
      <c r="S131">
        <v>13</v>
      </c>
      <c r="T131">
        <v>4750</v>
      </c>
      <c r="U131">
        <v>0</v>
      </c>
      <c r="V131">
        <v>4750</v>
      </c>
      <c r="W131">
        <v>3000</v>
      </c>
      <c r="X131">
        <v>1750</v>
      </c>
      <c r="Y131" s="8">
        <v>0.36842105263157893</v>
      </c>
      <c r="Z131" t="s">
        <v>2996</v>
      </c>
      <c r="AA131" t="str">
        <f>IF(AND(SalesCleanTable[[#This Row],[Discount %]]&gt;0, SalesCleanTable[[#This Row],[Profit]]&lt;0), "Discount loss", "Safe")</f>
        <v>Safe</v>
      </c>
      <c r="AB131" s="25">
        <f>(SalesCleanTable[[#This Row],[Unit Price]] - SalesCleanTable[[#This Row],[Unit Cost]]) / SalesCleanTable[[#This Row],[Unit Price]]</f>
        <v>0.36842105263157893</v>
      </c>
      <c r="AC131" t="str">
        <f>IF(SalesCleanTable[[#This Row],[Discount %]] &gt; SalesCleanTable[[#This Row],[Max Allowed Discount]], "Discount loss", "Safe")</f>
        <v>Safe</v>
      </c>
      <c r="AD131" s="4">
        <f>SalesCleanTable[[#This Row],[Unit Price]] - SalesCleanTable[[#This Row],[Unit Cost]]</f>
        <v>350</v>
      </c>
      <c r="AE131" s="41">
        <f>(SalesCleanTable[[#This Row],[Unit Price]] - SalesCleanTable[[#This Row],[Unit Cost]]) / SalesCleanTable[[#This Row],[Unit Price]]</f>
        <v>0.36842105263157893</v>
      </c>
    </row>
    <row r="132" spans="1:31">
      <c r="A132" t="s">
        <v>318</v>
      </c>
      <c r="B132" s="6">
        <v>45988</v>
      </c>
      <c r="C132" t="s">
        <v>95</v>
      </c>
      <c r="D132" t="s">
        <v>96</v>
      </c>
      <c r="E132" t="s">
        <v>92</v>
      </c>
      <c r="F132" t="s">
        <v>97</v>
      </c>
      <c r="G132" t="s">
        <v>98</v>
      </c>
      <c r="H132" t="s">
        <v>133</v>
      </c>
      <c r="I132" t="s">
        <v>134</v>
      </c>
      <c r="J132" t="s">
        <v>130</v>
      </c>
      <c r="K132" t="s">
        <v>131</v>
      </c>
      <c r="L132" t="s">
        <v>183</v>
      </c>
      <c r="M132" t="s">
        <v>171</v>
      </c>
      <c r="N132">
        <v>1</v>
      </c>
      <c r="O132" s="4">
        <v>18000</v>
      </c>
      <c r="P132" s="4">
        <v>24500</v>
      </c>
      <c r="Q132" s="7">
        <v>0</v>
      </c>
      <c r="R132" t="s">
        <v>215</v>
      </c>
      <c r="S132">
        <v>2</v>
      </c>
      <c r="T132">
        <v>24500</v>
      </c>
      <c r="U132">
        <v>0</v>
      </c>
      <c r="V132">
        <v>24500</v>
      </c>
      <c r="W132">
        <v>18000</v>
      </c>
      <c r="X132">
        <v>6500</v>
      </c>
      <c r="Y132" s="8">
        <v>0.26530612244897961</v>
      </c>
      <c r="Z132" t="s">
        <v>2995</v>
      </c>
      <c r="AA132" t="str">
        <f>IF(AND(SalesCleanTable[[#This Row],[Discount %]]&gt;0, SalesCleanTable[[#This Row],[Profit]]&lt;0), "Discount loss", "Safe")</f>
        <v>Safe</v>
      </c>
      <c r="AB132" s="25">
        <f>(SalesCleanTable[[#This Row],[Unit Price]] - SalesCleanTable[[#This Row],[Unit Cost]]) / SalesCleanTable[[#This Row],[Unit Price]]</f>
        <v>0.26530612244897961</v>
      </c>
      <c r="AC132" t="str">
        <f>IF(SalesCleanTable[[#This Row],[Discount %]] &gt; SalesCleanTable[[#This Row],[Max Allowed Discount]], "Discount loss", "Safe")</f>
        <v>Safe</v>
      </c>
      <c r="AD132" s="4">
        <f>SalesCleanTable[[#This Row],[Unit Price]] - SalesCleanTable[[#This Row],[Unit Cost]]</f>
        <v>6500</v>
      </c>
      <c r="AE132" s="41">
        <f>(SalesCleanTable[[#This Row],[Unit Price]] - SalesCleanTable[[#This Row],[Unit Cost]]) / SalesCleanTable[[#This Row],[Unit Price]]</f>
        <v>0.26530612244897961</v>
      </c>
    </row>
    <row r="133" spans="1:31">
      <c r="A133" t="s">
        <v>319</v>
      </c>
      <c r="B133" s="6">
        <v>45979</v>
      </c>
      <c r="C133" t="s">
        <v>53</v>
      </c>
      <c r="D133" t="s">
        <v>54</v>
      </c>
      <c r="E133" t="s">
        <v>38</v>
      </c>
      <c r="F133" t="s">
        <v>55</v>
      </c>
      <c r="G133" t="s">
        <v>56</v>
      </c>
      <c r="H133" t="s">
        <v>145</v>
      </c>
      <c r="I133" t="s">
        <v>146</v>
      </c>
      <c r="J133" t="s">
        <v>147</v>
      </c>
      <c r="K133" t="s">
        <v>148</v>
      </c>
      <c r="L133" t="s">
        <v>170</v>
      </c>
      <c r="M133" t="s">
        <v>171</v>
      </c>
      <c r="N133">
        <v>4</v>
      </c>
      <c r="O133" s="4">
        <v>330</v>
      </c>
      <c r="P133" s="4">
        <v>550</v>
      </c>
      <c r="Q133" s="7">
        <v>0.05</v>
      </c>
      <c r="R133" t="s">
        <v>168</v>
      </c>
      <c r="S133">
        <v>10</v>
      </c>
      <c r="T133">
        <v>2200</v>
      </c>
      <c r="U133">
        <v>110</v>
      </c>
      <c r="V133">
        <v>2090</v>
      </c>
      <c r="W133">
        <v>1320</v>
      </c>
      <c r="X133">
        <v>770</v>
      </c>
      <c r="Y133" s="8">
        <v>0.36842105263157893</v>
      </c>
      <c r="Z133" t="s">
        <v>2996</v>
      </c>
      <c r="AA133" t="str">
        <f>IF(AND(SalesCleanTable[[#This Row],[Discount %]]&gt;0, SalesCleanTable[[#This Row],[Profit]]&lt;0), "Discount loss", "Safe")</f>
        <v>Safe</v>
      </c>
      <c r="AB133" s="25">
        <f>(SalesCleanTable[[#This Row],[Unit Price]] - SalesCleanTable[[#This Row],[Unit Cost]]) / SalesCleanTable[[#This Row],[Unit Price]]</f>
        <v>0.4</v>
      </c>
      <c r="AC133" t="str">
        <f>IF(SalesCleanTable[[#This Row],[Discount %]] &gt; SalesCleanTable[[#This Row],[Max Allowed Discount]], "Discount loss", "Safe")</f>
        <v>Safe</v>
      </c>
      <c r="AD133" s="4">
        <f>SalesCleanTable[[#This Row],[Unit Price]] - SalesCleanTable[[#This Row],[Unit Cost]]</f>
        <v>220</v>
      </c>
      <c r="AE133" s="41">
        <f>(SalesCleanTable[[#This Row],[Unit Price]] - SalesCleanTable[[#This Row],[Unit Cost]]) / SalesCleanTable[[#This Row],[Unit Price]]</f>
        <v>0.4</v>
      </c>
    </row>
    <row r="134" spans="1:31">
      <c r="A134" t="s">
        <v>320</v>
      </c>
      <c r="B134" s="6">
        <v>45979</v>
      </c>
      <c r="C134" t="s">
        <v>45</v>
      </c>
      <c r="D134" t="s">
        <v>46</v>
      </c>
      <c r="E134" t="s">
        <v>38</v>
      </c>
      <c r="F134" t="s">
        <v>47</v>
      </c>
      <c r="G134" t="s">
        <v>48</v>
      </c>
      <c r="H134" t="s">
        <v>135</v>
      </c>
      <c r="I134" t="s">
        <v>136</v>
      </c>
      <c r="J134" t="s">
        <v>137</v>
      </c>
      <c r="K134" t="s">
        <v>138</v>
      </c>
      <c r="L134" t="s">
        <v>183</v>
      </c>
      <c r="M134" t="s">
        <v>171</v>
      </c>
      <c r="N134">
        <v>2</v>
      </c>
      <c r="O134" s="4">
        <v>230</v>
      </c>
      <c r="P134" s="4">
        <v>400</v>
      </c>
      <c r="Q134" s="7">
        <v>0.1</v>
      </c>
      <c r="R134" t="s">
        <v>175</v>
      </c>
      <c r="S134">
        <v>9</v>
      </c>
      <c r="T134">
        <v>800</v>
      </c>
      <c r="U134">
        <v>80</v>
      </c>
      <c r="V134">
        <v>720</v>
      </c>
      <c r="W134">
        <v>460</v>
      </c>
      <c r="X134">
        <v>260</v>
      </c>
      <c r="Y134" s="8">
        <v>0.3611111111111111</v>
      </c>
      <c r="Z134" t="s">
        <v>2995</v>
      </c>
      <c r="AA134" t="str">
        <f>IF(AND(SalesCleanTable[[#This Row],[Discount %]]&gt;0, SalesCleanTable[[#This Row],[Profit]]&lt;0), "Discount loss", "Safe")</f>
        <v>Safe</v>
      </c>
      <c r="AB134" s="25">
        <f>(SalesCleanTable[[#This Row],[Unit Price]] - SalesCleanTable[[#This Row],[Unit Cost]]) / SalesCleanTable[[#This Row],[Unit Price]]</f>
        <v>0.42499999999999999</v>
      </c>
      <c r="AC134" t="str">
        <f>IF(SalesCleanTable[[#This Row],[Discount %]] &gt; SalesCleanTable[[#This Row],[Max Allowed Discount]], "Discount loss", "Safe")</f>
        <v>Safe</v>
      </c>
      <c r="AD134" s="4">
        <f>SalesCleanTable[[#This Row],[Unit Price]] - SalesCleanTable[[#This Row],[Unit Cost]]</f>
        <v>170</v>
      </c>
      <c r="AE134" s="41">
        <f>(SalesCleanTable[[#This Row],[Unit Price]] - SalesCleanTable[[#This Row],[Unit Cost]]) / SalesCleanTable[[#This Row],[Unit Price]]</f>
        <v>0.42499999999999999</v>
      </c>
    </row>
    <row r="135" spans="1:31">
      <c r="A135" t="s">
        <v>321</v>
      </c>
      <c r="B135" s="6">
        <v>45894</v>
      </c>
      <c r="C135" t="s">
        <v>53</v>
      </c>
      <c r="D135" t="s">
        <v>54</v>
      </c>
      <c r="E135" t="s">
        <v>38</v>
      </c>
      <c r="F135" t="s">
        <v>55</v>
      </c>
      <c r="G135" t="s">
        <v>56</v>
      </c>
      <c r="H135" t="s">
        <v>128</v>
      </c>
      <c r="I135" t="s">
        <v>129</v>
      </c>
      <c r="J135" t="s">
        <v>130</v>
      </c>
      <c r="K135" t="s">
        <v>131</v>
      </c>
      <c r="L135" t="s">
        <v>183</v>
      </c>
      <c r="M135" t="s">
        <v>171</v>
      </c>
      <c r="N135">
        <v>5</v>
      </c>
      <c r="O135" s="4">
        <v>330</v>
      </c>
      <c r="P135" s="4">
        <v>550</v>
      </c>
      <c r="Q135" s="7">
        <v>0</v>
      </c>
      <c r="R135" t="s">
        <v>168</v>
      </c>
      <c r="S135">
        <v>10</v>
      </c>
      <c r="T135">
        <v>2750</v>
      </c>
      <c r="U135">
        <v>0</v>
      </c>
      <c r="V135">
        <v>2750</v>
      </c>
      <c r="W135">
        <v>1650</v>
      </c>
      <c r="X135">
        <v>1100</v>
      </c>
      <c r="Y135" s="8">
        <v>0.4</v>
      </c>
      <c r="Z135" t="s">
        <v>2996</v>
      </c>
      <c r="AA135" t="str">
        <f>IF(AND(SalesCleanTable[[#This Row],[Discount %]]&gt;0, SalesCleanTable[[#This Row],[Profit]]&lt;0), "Discount loss", "Safe")</f>
        <v>Safe</v>
      </c>
      <c r="AB135" s="25">
        <f>(SalesCleanTable[[#This Row],[Unit Price]] - SalesCleanTable[[#This Row],[Unit Cost]]) / SalesCleanTable[[#This Row],[Unit Price]]</f>
        <v>0.4</v>
      </c>
      <c r="AC135" t="str">
        <f>IF(SalesCleanTable[[#This Row],[Discount %]] &gt; SalesCleanTable[[#This Row],[Max Allowed Discount]], "Discount loss", "Safe")</f>
        <v>Safe</v>
      </c>
      <c r="AD135" s="4">
        <f>SalesCleanTable[[#This Row],[Unit Price]] - SalesCleanTable[[#This Row],[Unit Cost]]</f>
        <v>220</v>
      </c>
      <c r="AE135" s="41">
        <f>(SalesCleanTable[[#This Row],[Unit Price]] - SalesCleanTable[[#This Row],[Unit Cost]]) / SalesCleanTable[[#This Row],[Unit Price]]</f>
        <v>0.4</v>
      </c>
    </row>
    <row r="136" spans="1:31">
      <c r="A136" t="s">
        <v>322</v>
      </c>
      <c r="B136" s="6">
        <v>45894</v>
      </c>
      <c r="C136" t="s">
        <v>66</v>
      </c>
      <c r="D136" t="s">
        <v>67</v>
      </c>
      <c r="E136" t="s">
        <v>59</v>
      </c>
      <c r="F136" t="s">
        <v>60</v>
      </c>
      <c r="G136" t="s">
        <v>68</v>
      </c>
      <c r="H136" t="s">
        <v>153</v>
      </c>
      <c r="I136" t="s">
        <v>154</v>
      </c>
      <c r="J136" t="s">
        <v>155</v>
      </c>
      <c r="K136" t="s">
        <v>131</v>
      </c>
      <c r="L136" t="s">
        <v>183</v>
      </c>
      <c r="M136" t="s">
        <v>171</v>
      </c>
      <c r="N136">
        <v>4</v>
      </c>
      <c r="O136" s="4">
        <v>2800</v>
      </c>
      <c r="P136" s="4">
        <v>3900</v>
      </c>
      <c r="Q136" s="7">
        <v>0</v>
      </c>
      <c r="R136" t="s">
        <v>192</v>
      </c>
      <c r="S136">
        <v>6</v>
      </c>
      <c r="T136">
        <v>15600</v>
      </c>
      <c r="U136">
        <v>0</v>
      </c>
      <c r="V136">
        <v>15600</v>
      </c>
      <c r="W136">
        <v>11200</v>
      </c>
      <c r="X136">
        <v>4400</v>
      </c>
      <c r="Y136" s="8">
        <v>0.28205128205128205</v>
      </c>
      <c r="Z136" t="s">
        <v>2996</v>
      </c>
      <c r="AA136" t="str">
        <f>IF(AND(SalesCleanTable[[#This Row],[Discount %]]&gt;0, SalesCleanTable[[#This Row],[Profit]]&lt;0), "Discount loss", "Safe")</f>
        <v>Safe</v>
      </c>
      <c r="AB136" s="25">
        <f>(SalesCleanTable[[#This Row],[Unit Price]] - SalesCleanTable[[#This Row],[Unit Cost]]) / SalesCleanTable[[#This Row],[Unit Price]]</f>
        <v>0.28205128205128205</v>
      </c>
      <c r="AC136" t="str">
        <f>IF(SalesCleanTable[[#This Row],[Discount %]] &gt; SalesCleanTable[[#This Row],[Max Allowed Discount]], "Discount loss", "Safe")</f>
        <v>Safe</v>
      </c>
      <c r="AD136" s="4">
        <f>SalesCleanTable[[#This Row],[Unit Price]] - SalesCleanTable[[#This Row],[Unit Cost]]</f>
        <v>1100</v>
      </c>
      <c r="AE136" s="41">
        <f>(SalesCleanTable[[#This Row],[Unit Price]] - SalesCleanTable[[#This Row],[Unit Cost]]) / SalesCleanTable[[#This Row],[Unit Price]]</f>
        <v>0.28205128205128205</v>
      </c>
    </row>
    <row r="137" spans="1:31">
      <c r="A137" t="s">
        <v>323</v>
      </c>
      <c r="B137" s="6">
        <v>45914</v>
      </c>
      <c r="C137" t="s">
        <v>36</v>
      </c>
      <c r="D137" t="s">
        <v>37</v>
      </c>
      <c r="E137" t="s">
        <v>38</v>
      </c>
      <c r="F137" t="s">
        <v>39</v>
      </c>
      <c r="G137" t="s">
        <v>40</v>
      </c>
      <c r="H137" t="s">
        <v>128</v>
      </c>
      <c r="I137" t="s">
        <v>129</v>
      </c>
      <c r="J137" t="s">
        <v>130</v>
      </c>
      <c r="K137" t="s">
        <v>131</v>
      </c>
      <c r="L137" t="s">
        <v>166</v>
      </c>
      <c r="M137" t="s">
        <v>171</v>
      </c>
      <c r="N137">
        <v>1</v>
      </c>
      <c r="O137" s="4">
        <v>1650</v>
      </c>
      <c r="P137" s="4">
        <v>2200</v>
      </c>
      <c r="Q137" s="7">
        <v>0.15</v>
      </c>
      <c r="R137" t="s">
        <v>168</v>
      </c>
      <c r="S137">
        <v>11</v>
      </c>
      <c r="T137">
        <v>2200</v>
      </c>
      <c r="U137">
        <v>330</v>
      </c>
      <c r="V137">
        <v>1870</v>
      </c>
      <c r="W137">
        <v>1650</v>
      </c>
      <c r="X137">
        <v>220</v>
      </c>
      <c r="Y137" s="8">
        <v>0.11764705882352941</v>
      </c>
      <c r="Z137" t="s">
        <v>2995</v>
      </c>
      <c r="AA137" t="str">
        <f>IF(AND(SalesCleanTable[[#This Row],[Discount %]]&gt;0, SalesCleanTable[[#This Row],[Profit]]&lt;0), "Discount loss", "Safe")</f>
        <v>Safe</v>
      </c>
      <c r="AB137" s="25">
        <f>(SalesCleanTable[[#This Row],[Unit Price]] - SalesCleanTable[[#This Row],[Unit Cost]]) / SalesCleanTable[[#This Row],[Unit Price]]</f>
        <v>0.25</v>
      </c>
      <c r="AC137" t="str">
        <f>IF(SalesCleanTable[[#This Row],[Discount %]] &gt; SalesCleanTable[[#This Row],[Max Allowed Discount]], "Discount loss", "Safe")</f>
        <v>Safe</v>
      </c>
      <c r="AD137" s="4">
        <f>SalesCleanTable[[#This Row],[Unit Price]] - SalesCleanTable[[#This Row],[Unit Cost]]</f>
        <v>550</v>
      </c>
      <c r="AE137" s="41">
        <f>(SalesCleanTable[[#This Row],[Unit Price]] - SalesCleanTable[[#This Row],[Unit Cost]]) / SalesCleanTable[[#This Row],[Unit Price]]</f>
        <v>0.25</v>
      </c>
    </row>
    <row r="138" spans="1:31">
      <c r="A138" t="s">
        <v>324</v>
      </c>
      <c r="B138" s="6">
        <v>45784</v>
      </c>
      <c r="C138" t="s">
        <v>82</v>
      </c>
      <c r="D138" t="s">
        <v>83</v>
      </c>
      <c r="E138" t="s">
        <v>75</v>
      </c>
      <c r="F138" t="s">
        <v>84</v>
      </c>
      <c r="G138" t="s">
        <v>85</v>
      </c>
      <c r="H138" t="s">
        <v>153</v>
      </c>
      <c r="I138" t="s">
        <v>154</v>
      </c>
      <c r="J138" t="s">
        <v>155</v>
      </c>
      <c r="K138" t="s">
        <v>131</v>
      </c>
      <c r="L138" t="s">
        <v>166</v>
      </c>
      <c r="M138" t="s">
        <v>171</v>
      </c>
      <c r="N138">
        <v>3</v>
      </c>
      <c r="O138" s="4">
        <v>600</v>
      </c>
      <c r="P138" s="4">
        <v>950</v>
      </c>
      <c r="Q138" s="7">
        <v>0.1</v>
      </c>
      <c r="R138" t="s">
        <v>208</v>
      </c>
      <c r="S138">
        <v>7</v>
      </c>
      <c r="T138">
        <v>2850</v>
      </c>
      <c r="U138">
        <v>285</v>
      </c>
      <c r="V138">
        <v>2565</v>
      </c>
      <c r="W138">
        <v>1800</v>
      </c>
      <c r="X138">
        <v>765</v>
      </c>
      <c r="Y138" s="8">
        <v>0.2982456140350877</v>
      </c>
      <c r="Z138" t="s">
        <v>2996</v>
      </c>
      <c r="AA138" t="str">
        <f>IF(AND(SalesCleanTable[[#This Row],[Discount %]]&gt;0, SalesCleanTable[[#This Row],[Profit]]&lt;0), "Discount loss", "Safe")</f>
        <v>Safe</v>
      </c>
      <c r="AB138" s="25">
        <f>(SalesCleanTable[[#This Row],[Unit Price]] - SalesCleanTable[[#This Row],[Unit Cost]]) / SalesCleanTable[[#This Row],[Unit Price]]</f>
        <v>0.36842105263157893</v>
      </c>
      <c r="AC138" t="str">
        <f>IF(SalesCleanTable[[#This Row],[Discount %]] &gt; SalesCleanTable[[#This Row],[Max Allowed Discount]], "Discount loss", "Safe")</f>
        <v>Safe</v>
      </c>
      <c r="AD138" s="4">
        <f>SalesCleanTable[[#This Row],[Unit Price]] - SalesCleanTable[[#This Row],[Unit Cost]]</f>
        <v>350</v>
      </c>
      <c r="AE138" s="41">
        <f>(SalesCleanTable[[#This Row],[Unit Price]] - SalesCleanTable[[#This Row],[Unit Cost]]) / SalesCleanTable[[#This Row],[Unit Price]]</f>
        <v>0.36842105263157893</v>
      </c>
    </row>
    <row r="139" spans="1:31">
      <c r="A139" t="s">
        <v>325</v>
      </c>
      <c r="B139" s="6">
        <v>46005</v>
      </c>
      <c r="C139" t="s">
        <v>66</v>
      </c>
      <c r="D139" t="s">
        <v>67</v>
      </c>
      <c r="E139" t="s">
        <v>59</v>
      </c>
      <c r="F139" t="s">
        <v>60</v>
      </c>
      <c r="G139" t="s">
        <v>68</v>
      </c>
      <c r="H139" t="s">
        <v>145</v>
      </c>
      <c r="I139" t="s">
        <v>146</v>
      </c>
      <c r="J139" t="s">
        <v>147</v>
      </c>
      <c r="K139" t="s">
        <v>148</v>
      </c>
      <c r="L139" t="s">
        <v>166</v>
      </c>
      <c r="M139" t="s">
        <v>171</v>
      </c>
      <c r="N139">
        <v>3</v>
      </c>
      <c r="O139" s="4">
        <v>2800</v>
      </c>
      <c r="P139" s="4">
        <v>3900</v>
      </c>
      <c r="Q139" s="7">
        <v>0</v>
      </c>
      <c r="R139" t="s">
        <v>204</v>
      </c>
      <c r="S139">
        <v>5</v>
      </c>
      <c r="T139">
        <v>11700</v>
      </c>
      <c r="U139">
        <v>0</v>
      </c>
      <c r="V139">
        <v>11700</v>
      </c>
      <c r="W139">
        <v>8400</v>
      </c>
      <c r="X139">
        <v>3300</v>
      </c>
      <c r="Y139" s="8">
        <v>0.28205128205128205</v>
      </c>
      <c r="Z139" t="s">
        <v>2996</v>
      </c>
      <c r="AA139" t="str">
        <f>IF(AND(SalesCleanTable[[#This Row],[Discount %]]&gt;0, SalesCleanTable[[#This Row],[Profit]]&lt;0), "Discount loss", "Safe")</f>
        <v>Safe</v>
      </c>
      <c r="AB139" s="25">
        <f>(SalesCleanTable[[#This Row],[Unit Price]] - SalesCleanTable[[#This Row],[Unit Cost]]) / SalesCleanTable[[#This Row],[Unit Price]]</f>
        <v>0.28205128205128205</v>
      </c>
      <c r="AC139" t="str">
        <f>IF(SalesCleanTable[[#This Row],[Discount %]] &gt; SalesCleanTable[[#This Row],[Max Allowed Discount]], "Discount loss", "Safe")</f>
        <v>Safe</v>
      </c>
      <c r="AD139" s="4">
        <f>SalesCleanTable[[#This Row],[Unit Price]] - SalesCleanTable[[#This Row],[Unit Cost]]</f>
        <v>1100</v>
      </c>
      <c r="AE139" s="41">
        <f>(SalesCleanTable[[#This Row],[Unit Price]] - SalesCleanTable[[#This Row],[Unit Cost]]) / SalesCleanTable[[#This Row],[Unit Price]]</f>
        <v>0.28205128205128205</v>
      </c>
    </row>
    <row r="140" spans="1:31">
      <c r="A140" t="s">
        <v>326</v>
      </c>
      <c r="B140" s="6">
        <v>45994</v>
      </c>
      <c r="C140" t="s">
        <v>116</v>
      </c>
      <c r="D140" t="s">
        <v>117</v>
      </c>
      <c r="E140" t="s">
        <v>109</v>
      </c>
      <c r="F140" t="s">
        <v>118</v>
      </c>
      <c r="G140" t="s">
        <v>119</v>
      </c>
      <c r="H140" t="s">
        <v>141</v>
      </c>
      <c r="I140" t="s">
        <v>142</v>
      </c>
      <c r="J140" t="s">
        <v>143</v>
      </c>
      <c r="K140" t="s">
        <v>144</v>
      </c>
      <c r="L140" t="s">
        <v>183</v>
      </c>
      <c r="M140" t="s">
        <v>171</v>
      </c>
      <c r="N140">
        <v>1</v>
      </c>
      <c r="O140" s="4">
        <v>2800</v>
      </c>
      <c r="P140" s="4">
        <v>4200</v>
      </c>
      <c r="Q140" s="7">
        <v>0</v>
      </c>
      <c r="R140" t="s">
        <v>220</v>
      </c>
      <c r="S140">
        <v>11</v>
      </c>
      <c r="T140">
        <v>4200</v>
      </c>
      <c r="U140">
        <v>0</v>
      </c>
      <c r="V140">
        <v>4200</v>
      </c>
      <c r="W140">
        <v>2800</v>
      </c>
      <c r="X140">
        <v>1400</v>
      </c>
      <c r="Y140" s="8">
        <v>0.33333333333333331</v>
      </c>
      <c r="Z140" t="s">
        <v>2995</v>
      </c>
      <c r="AA140" t="str">
        <f>IF(AND(SalesCleanTable[[#This Row],[Discount %]]&gt;0, SalesCleanTable[[#This Row],[Profit]]&lt;0), "Discount loss", "Safe")</f>
        <v>Safe</v>
      </c>
      <c r="AB140" s="25">
        <f>(SalesCleanTable[[#This Row],[Unit Price]] - SalesCleanTable[[#This Row],[Unit Cost]]) / SalesCleanTable[[#This Row],[Unit Price]]</f>
        <v>0.33333333333333331</v>
      </c>
      <c r="AC140" t="str">
        <f>IF(SalesCleanTable[[#This Row],[Discount %]] &gt; SalesCleanTable[[#This Row],[Max Allowed Discount]], "Discount loss", "Safe")</f>
        <v>Safe</v>
      </c>
      <c r="AD140" s="4">
        <f>SalesCleanTable[[#This Row],[Unit Price]] - SalesCleanTable[[#This Row],[Unit Cost]]</f>
        <v>1400</v>
      </c>
      <c r="AE140" s="41">
        <f>(SalesCleanTable[[#This Row],[Unit Price]] - SalesCleanTable[[#This Row],[Unit Cost]]) / SalesCleanTable[[#This Row],[Unit Price]]</f>
        <v>0.33333333333333331</v>
      </c>
    </row>
    <row r="141" spans="1:31">
      <c r="A141" t="s">
        <v>327</v>
      </c>
      <c r="B141" s="6">
        <v>45858</v>
      </c>
      <c r="C141" t="s">
        <v>32</v>
      </c>
      <c r="D141" t="s">
        <v>33</v>
      </c>
      <c r="E141" t="s">
        <v>26</v>
      </c>
      <c r="F141" t="s">
        <v>34</v>
      </c>
      <c r="G141" t="s">
        <v>35</v>
      </c>
      <c r="H141" t="s">
        <v>145</v>
      </c>
      <c r="I141" t="s">
        <v>146</v>
      </c>
      <c r="J141" t="s">
        <v>147</v>
      </c>
      <c r="K141" t="s">
        <v>148</v>
      </c>
      <c r="L141" t="s">
        <v>183</v>
      </c>
      <c r="M141" t="s">
        <v>186</v>
      </c>
      <c r="N141">
        <v>1</v>
      </c>
      <c r="O141" s="4">
        <v>7800</v>
      </c>
      <c r="P141" s="4">
        <v>9800</v>
      </c>
      <c r="Q141" s="7">
        <v>0.1</v>
      </c>
      <c r="R141" t="s">
        <v>197</v>
      </c>
      <c r="S141">
        <v>11</v>
      </c>
      <c r="T141">
        <v>9800</v>
      </c>
      <c r="U141">
        <v>980</v>
      </c>
      <c r="V141">
        <v>8820</v>
      </c>
      <c r="W141">
        <v>7800</v>
      </c>
      <c r="X141">
        <v>1020</v>
      </c>
      <c r="Y141" s="8">
        <v>0.11564625850340136</v>
      </c>
      <c r="Z141" t="s">
        <v>2995</v>
      </c>
      <c r="AA141" t="str">
        <f>IF(AND(SalesCleanTable[[#This Row],[Discount %]]&gt;0, SalesCleanTable[[#This Row],[Profit]]&lt;0), "Discount loss", "Safe")</f>
        <v>Safe</v>
      </c>
      <c r="AB141" s="25">
        <f>(SalesCleanTable[[#This Row],[Unit Price]] - SalesCleanTable[[#This Row],[Unit Cost]]) / SalesCleanTable[[#This Row],[Unit Price]]</f>
        <v>0.20408163265306123</v>
      </c>
      <c r="AC141" t="str">
        <f>IF(SalesCleanTable[[#This Row],[Discount %]] &gt; SalesCleanTable[[#This Row],[Max Allowed Discount]], "Discount loss", "Safe")</f>
        <v>Safe</v>
      </c>
      <c r="AD141" s="4">
        <f>SalesCleanTable[[#This Row],[Unit Price]] - SalesCleanTable[[#This Row],[Unit Cost]]</f>
        <v>2000</v>
      </c>
      <c r="AE141" s="41">
        <f>(SalesCleanTable[[#This Row],[Unit Price]] - SalesCleanTable[[#This Row],[Unit Cost]]) / SalesCleanTable[[#This Row],[Unit Price]]</f>
        <v>0.20408163265306123</v>
      </c>
    </row>
    <row r="142" spans="1:31">
      <c r="A142" t="s">
        <v>328</v>
      </c>
      <c r="B142" s="6">
        <v>46008</v>
      </c>
      <c r="C142" t="s">
        <v>112</v>
      </c>
      <c r="D142" t="s">
        <v>113</v>
      </c>
      <c r="E142" t="s">
        <v>109</v>
      </c>
      <c r="F142" t="s">
        <v>114</v>
      </c>
      <c r="G142" t="s">
        <v>115</v>
      </c>
      <c r="H142" t="s">
        <v>128</v>
      </c>
      <c r="I142" t="s">
        <v>129</v>
      </c>
      <c r="J142" t="s">
        <v>130</v>
      </c>
      <c r="K142" t="s">
        <v>131</v>
      </c>
      <c r="L142" t="s">
        <v>166</v>
      </c>
      <c r="M142" t="s">
        <v>167</v>
      </c>
      <c r="N142">
        <v>4</v>
      </c>
      <c r="O142" s="4">
        <v>1300</v>
      </c>
      <c r="P142" s="4">
        <v>2100</v>
      </c>
      <c r="Q142" s="7">
        <v>0.05</v>
      </c>
      <c r="R142" t="s">
        <v>235</v>
      </c>
      <c r="S142">
        <v>6</v>
      </c>
      <c r="T142">
        <v>8400</v>
      </c>
      <c r="U142">
        <v>420</v>
      </c>
      <c r="V142">
        <v>7980</v>
      </c>
      <c r="W142">
        <v>5200</v>
      </c>
      <c r="X142">
        <v>2780</v>
      </c>
      <c r="Y142" s="8">
        <v>0.34837092731829572</v>
      </c>
      <c r="Z142" t="s">
        <v>2995</v>
      </c>
      <c r="AA142" t="str">
        <f>IF(AND(SalesCleanTable[[#This Row],[Discount %]]&gt;0, SalesCleanTable[[#This Row],[Profit]]&lt;0), "Discount loss", "Safe")</f>
        <v>Safe</v>
      </c>
      <c r="AB142" s="25">
        <f>(SalesCleanTable[[#This Row],[Unit Price]] - SalesCleanTable[[#This Row],[Unit Cost]]) / SalesCleanTable[[#This Row],[Unit Price]]</f>
        <v>0.38095238095238093</v>
      </c>
      <c r="AC142" t="str">
        <f>IF(SalesCleanTable[[#This Row],[Discount %]] &gt; SalesCleanTable[[#This Row],[Max Allowed Discount]], "Discount loss", "Safe")</f>
        <v>Safe</v>
      </c>
      <c r="AD142" s="4">
        <f>SalesCleanTable[[#This Row],[Unit Price]] - SalesCleanTable[[#This Row],[Unit Cost]]</f>
        <v>800</v>
      </c>
      <c r="AE142" s="41">
        <f>(SalesCleanTable[[#This Row],[Unit Price]] - SalesCleanTable[[#This Row],[Unit Cost]]) / SalesCleanTable[[#This Row],[Unit Price]]</f>
        <v>0.38095238095238093</v>
      </c>
    </row>
    <row r="143" spans="1:31">
      <c r="A143" t="s">
        <v>329</v>
      </c>
      <c r="B143" s="6">
        <v>45906</v>
      </c>
      <c r="C143" t="s">
        <v>36</v>
      </c>
      <c r="D143" t="s">
        <v>37</v>
      </c>
      <c r="E143" t="s">
        <v>38</v>
      </c>
      <c r="F143" t="s">
        <v>39</v>
      </c>
      <c r="G143" t="s">
        <v>40</v>
      </c>
      <c r="H143" t="s">
        <v>153</v>
      </c>
      <c r="I143" t="s">
        <v>154</v>
      </c>
      <c r="J143" t="s">
        <v>155</v>
      </c>
      <c r="K143" t="s">
        <v>131</v>
      </c>
      <c r="L143" t="s">
        <v>183</v>
      </c>
      <c r="M143" t="s">
        <v>186</v>
      </c>
      <c r="N143">
        <v>1</v>
      </c>
      <c r="O143" s="4">
        <v>1650</v>
      </c>
      <c r="P143" s="4">
        <v>2200</v>
      </c>
      <c r="Q143" s="7">
        <v>0</v>
      </c>
      <c r="R143" t="s">
        <v>168</v>
      </c>
      <c r="S143">
        <v>14</v>
      </c>
      <c r="T143">
        <v>2200</v>
      </c>
      <c r="U143">
        <v>0</v>
      </c>
      <c r="V143">
        <v>2200</v>
      </c>
      <c r="W143">
        <v>1650</v>
      </c>
      <c r="X143">
        <v>550</v>
      </c>
      <c r="Y143" s="8">
        <v>0.25</v>
      </c>
      <c r="Z143" t="s">
        <v>2995</v>
      </c>
      <c r="AA143" t="str">
        <f>IF(AND(SalesCleanTable[[#This Row],[Discount %]]&gt;0, SalesCleanTable[[#This Row],[Profit]]&lt;0), "Discount loss", "Safe")</f>
        <v>Safe</v>
      </c>
      <c r="AB143" s="25">
        <f>(SalesCleanTable[[#This Row],[Unit Price]] - SalesCleanTable[[#This Row],[Unit Cost]]) / SalesCleanTable[[#This Row],[Unit Price]]</f>
        <v>0.25</v>
      </c>
      <c r="AC143" t="str">
        <f>IF(SalesCleanTable[[#This Row],[Discount %]] &gt; SalesCleanTable[[#This Row],[Max Allowed Discount]], "Discount loss", "Safe")</f>
        <v>Safe</v>
      </c>
      <c r="AD143" s="4">
        <f>SalesCleanTable[[#This Row],[Unit Price]] - SalesCleanTable[[#This Row],[Unit Cost]]</f>
        <v>550</v>
      </c>
      <c r="AE143" s="41">
        <f>(SalesCleanTable[[#This Row],[Unit Price]] - SalesCleanTable[[#This Row],[Unit Cost]]) / SalesCleanTable[[#This Row],[Unit Price]]</f>
        <v>0.25</v>
      </c>
    </row>
    <row r="144" spans="1:31">
      <c r="A144" t="s">
        <v>330</v>
      </c>
      <c r="B144" s="6">
        <v>45927</v>
      </c>
      <c r="C144" t="s">
        <v>24</v>
      </c>
      <c r="D144" t="s">
        <v>25</v>
      </c>
      <c r="E144" t="s">
        <v>26</v>
      </c>
      <c r="F144" t="s">
        <v>27</v>
      </c>
      <c r="G144" t="s">
        <v>28</v>
      </c>
      <c r="H144" t="s">
        <v>135</v>
      </c>
      <c r="I144" t="s">
        <v>136</v>
      </c>
      <c r="J144" t="s">
        <v>137</v>
      </c>
      <c r="K144" t="s">
        <v>138</v>
      </c>
      <c r="L144" t="s">
        <v>166</v>
      </c>
      <c r="M144" t="s">
        <v>177</v>
      </c>
      <c r="N144">
        <v>4</v>
      </c>
      <c r="O144" s="4">
        <v>14500</v>
      </c>
      <c r="P144" s="4">
        <v>17500</v>
      </c>
      <c r="Q144" s="7">
        <v>0</v>
      </c>
      <c r="R144" t="s">
        <v>173</v>
      </c>
      <c r="S144">
        <v>13</v>
      </c>
      <c r="T144">
        <v>70000</v>
      </c>
      <c r="U144">
        <v>0</v>
      </c>
      <c r="V144">
        <v>70000</v>
      </c>
      <c r="W144">
        <v>58000</v>
      </c>
      <c r="X144">
        <v>12000</v>
      </c>
      <c r="Y144" s="8">
        <v>0.17142857142857143</v>
      </c>
      <c r="Z144" t="s">
        <v>2995</v>
      </c>
      <c r="AA144" t="str">
        <f>IF(AND(SalesCleanTable[[#This Row],[Discount %]]&gt;0, SalesCleanTable[[#This Row],[Profit]]&lt;0), "Discount loss", "Safe")</f>
        <v>Safe</v>
      </c>
      <c r="AB144" s="25">
        <f>(SalesCleanTable[[#This Row],[Unit Price]] - SalesCleanTable[[#This Row],[Unit Cost]]) / SalesCleanTable[[#This Row],[Unit Price]]</f>
        <v>0.17142857142857143</v>
      </c>
      <c r="AC144" t="str">
        <f>IF(SalesCleanTable[[#This Row],[Discount %]] &gt; SalesCleanTable[[#This Row],[Max Allowed Discount]], "Discount loss", "Safe")</f>
        <v>Safe</v>
      </c>
      <c r="AD144" s="4">
        <f>SalesCleanTable[[#This Row],[Unit Price]] - SalesCleanTable[[#This Row],[Unit Cost]]</f>
        <v>3000</v>
      </c>
      <c r="AE144" s="41">
        <f>(SalesCleanTable[[#This Row],[Unit Price]] - SalesCleanTable[[#This Row],[Unit Cost]]) / SalesCleanTable[[#This Row],[Unit Price]]</f>
        <v>0.17142857142857143</v>
      </c>
    </row>
    <row r="145" spans="1:31">
      <c r="A145" t="s">
        <v>331</v>
      </c>
      <c r="B145" s="6">
        <v>45742</v>
      </c>
      <c r="C145" t="s">
        <v>82</v>
      </c>
      <c r="D145" t="s">
        <v>83</v>
      </c>
      <c r="E145" t="s">
        <v>75</v>
      </c>
      <c r="F145" t="s">
        <v>84</v>
      </c>
      <c r="G145" t="s">
        <v>85</v>
      </c>
      <c r="H145" t="s">
        <v>128</v>
      </c>
      <c r="I145" t="s">
        <v>129</v>
      </c>
      <c r="J145" t="s">
        <v>130</v>
      </c>
      <c r="K145" t="s">
        <v>131</v>
      </c>
      <c r="L145" t="s">
        <v>170</v>
      </c>
      <c r="M145" t="s">
        <v>171</v>
      </c>
      <c r="N145">
        <v>2</v>
      </c>
      <c r="O145" s="4">
        <v>600</v>
      </c>
      <c r="P145" s="4">
        <v>950</v>
      </c>
      <c r="Q145" s="7">
        <v>0.1</v>
      </c>
      <c r="R145" t="s">
        <v>204</v>
      </c>
      <c r="S145">
        <v>13</v>
      </c>
      <c r="T145">
        <v>1900</v>
      </c>
      <c r="U145">
        <v>190</v>
      </c>
      <c r="V145">
        <v>1710</v>
      </c>
      <c r="W145">
        <v>1200</v>
      </c>
      <c r="X145">
        <v>510</v>
      </c>
      <c r="Y145" s="8">
        <v>0.2982456140350877</v>
      </c>
      <c r="Z145" t="s">
        <v>2996</v>
      </c>
      <c r="AA145" t="str">
        <f>IF(AND(SalesCleanTable[[#This Row],[Discount %]]&gt;0, SalesCleanTable[[#This Row],[Profit]]&lt;0), "Discount loss", "Safe")</f>
        <v>Safe</v>
      </c>
      <c r="AB145" s="25">
        <f>(SalesCleanTable[[#This Row],[Unit Price]] - SalesCleanTable[[#This Row],[Unit Cost]]) / SalesCleanTable[[#This Row],[Unit Price]]</f>
        <v>0.36842105263157893</v>
      </c>
      <c r="AC145" t="str">
        <f>IF(SalesCleanTable[[#This Row],[Discount %]] &gt; SalesCleanTable[[#This Row],[Max Allowed Discount]], "Discount loss", "Safe")</f>
        <v>Safe</v>
      </c>
      <c r="AD145" s="4">
        <f>SalesCleanTable[[#This Row],[Unit Price]] - SalesCleanTable[[#This Row],[Unit Cost]]</f>
        <v>350</v>
      </c>
      <c r="AE145" s="41">
        <f>(SalesCleanTable[[#This Row],[Unit Price]] - SalesCleanTable[[#This Row],[Unit Cost]]) / SalesCleanTable[[#This Row],[Unit Price]]</f>
        <v>0.36842105263157893</v>
      </c>
    </row>
    <row r="146" spans="1:31">
      <c r="A146" t="s">
        <v>332</v>
      </c>
      <c r="B146" s="6">
        <v>45931</v>
      </c>
      <c r="C146" t="s">
        <v>41</v>
      </c>
      <c r="D146" t="s">
        <v>42</v>
      </c>
      <c r="E146" t="s">
        <v>26</v>
      </c>
      <c r="F146" t="s">
        <v>43</v>
      </c>
      <c r="G146" t="s">
        <v>44</v>
      </c>
      <c r="H146" t="s">
        <v>153</v>
      </c>
      <c r="I146" t="s">
        <v>154</v>
      </c>
      <c r="J146" t="s">
        <v>155</v>
      </c>
      <c r="K146" t="s">
        <v>131</v>
      </c>
      <c r="L146" t="s">
        <v>166</v>
      </c>
      <c r="M146" t="s">
        <v>171</v>
      </c>
      <c r="N146">
        <v>5</v>
      </c>
      <c r="O146" s="4">
        <v>850</v>
      </c>
      <c r="P146" s="4">
        <v>1300</v>
      </c>
      <c r="Q146" s="7">
        <v>0.15</v>
      </c>
      <c r="R146" t="s">
        <v>173</v>
      </c>
      <c r="S146">
        <v>8</v>
      </c>
      <c r="T146">
        <v>6500</v>
      </c>
      <c r="U146">
        <v>975</v>
      </c>
      <c r="V146">
        <v>5525</v>
      </c>
      <c r="W146">
        <v>4250</v>
      </c>
      <c r="X146">
        <v>1275</v>
      </c>
      <c r="Y146" s="8">
        <v>0.23076923076923078</v>
      </c>
      <c r="Z146" t="s">
        <v>2995</v>
      </c>
      <c r="AA146" t="str">
        <f>IF(AND(SalesCleanTable[[#This Row],[Discount %]]&gt;0, SalesCleanTable[[#This Row],[Profit]]&lt;0), "Discount loss", "Safe")</f>
        <v>Safe</v>
      </c>
      <c r="AB146" s="25">
        <f>(SalesCleanTable[[#This Row],[Unit Price]] - SalesCleanTable[[#This Row],[Unit Cost]]) / SalesCleanTable[[#This Row],[Unit Price]]</f>
        <v>0.34615384615384615</v>
      </c>
      <c r="AC146" t="str">
        <f>IF(SalesCleanTable[[#This Row],[Discount %]] &gt; SalesCleanTable[[#This Row],[Max Allowed Discount]], "Discount loss", "Safe")</f>
        <v>Safe</v>
      </c>
      <c r="AD146" s="4">
        <f>SalesCleanTable[[#This Row],[Unit Price]] - SalesCleanTable[[#This Row],[Unit Cost]]</f>
        <v>450</v>
      </c>
      <c r="AE146" s="41">
        <f>(SalesCleanTable[[#This Row],[Unit Price]] - SalesCleanTable[[#This Row],[Unit Cost]]) / SalesCleanTable[[#This Row],[Unit Price]]</f>
        <v>0.34615384615384615</v>
      </c>
    </row>
    <row r="147" spans="1:31">
      <c r="A147" t="s">
        <v>333</v>
      </c>
      <c r="B147" s="6">
        <v>45802</v>
      </c>
      <c r="C147" t="s">
        <v>90</v>
      </c>
      <c r="D147" t="s">
        <v>91</v>
      </c>
      <c r="E147" t="s">
        <v>92</v>
      </c>
      <c r="F147" t="s">
        <v>93</v>
      </c>
      <c r="G147" t="s">
        <v>94</v>
      </c>
      <c r="H147" t="s">
        <v>139</v>
      </c>
      <c r="I147" t="s">
        <v>140</v>
      </c>
      <c r="J147" t="s">
        <v>137</v>
      </c>
      <c r="K147" t="s">
        <v>138</v>
      </c>
      <c r="L147" t="s">
        <v>166</v>
      </c>
      <c r="M147" t="s">
        <v>171</v>
      </c>
      <c r="N147">
        <v>2</v>
      </c>
      <c r="O147" s="4">
        <v>7500</v>
      </c>
      <c r="P147" s="4">
        <v>10500</v>
      </c>
      <c r="Q147" s="7">
        <v>0.05</v>
      </c>
      <c r="R147" t="s">
        <v>217</v>
      </c>
      <c r="S147">
        <v>1</v>
      </c>
      <c r="T147">
        <v>21000</v>
      </c>
      <c r="U147">
        <v>1050</v>
      </c>
      <c r="V147">
        <v>19950</v>
      </c>
      <c r="W147">
        <v>15000</v>
      </c>
      <c r="X147">
        <v>4950</v>
      </c>
      <c r="Y147" s="8">
        <v>0.24812030075187969</v>
      </c>
      <c r="Z147" t="s">
        <v>2996</v>
      </c>
      <c r="AA147" t="str">
        <f>IF(AND(SalesCleanTable[[#This Row],[Discount %]]&gt;0, SalesCleanTable[[#This Row],[Profit]]&lt;0), "Discount loss", "Safe")</f>
        <v>Safe</v>
      </c>
      <c r="AB147" s="25">
        <f>(SalesCleanTable[[#This Row],[Unit Price]] - SalesCleanTable[[#This Row],[Unit Cost]]) / SalesCleanTable[[#This Row],[Unit Price]]</f>
        <v>0.2857142857142857</v>
      </c>
      <c r="AC147" t="str">
        <f>IF(SalesCleanTable[[#This Row],[Discount %]] &gt; SalesCleanTable[[#This Row],[Max Allowed Discount]], "Discount loss", "Safe")</f>
        <v>Safe</v>
      </c>
      <c r="AD147" s="4">
        <f>SalesCleanTable[[#This Row],[Unit Price]] - SalesCleanTable[[#This Row],[Unit Cost]]</f>
        <v>3000</v>
      </c>
      <c r="AE147" s="41">
        <f>(SalesCleanTable[[#This Row],[Unit Price]] - SalesCleanTable[[#This Row],[Unit Cost]]) / SalesCleanTable[[#This Row],[Unit Price]]</f>
        <v>0.2857142857142857</v>
      </c>
    </row>
    <row r="148" spans="1:31">
      <c r="A148" t="s">
        <v>334</v>
      </c>
      <c r="B148" s="6">
        <v>45848</v>
      </c>
      <c r="C148" t="s">
        <v>62</v>
      </c>
      <c r="D148" t="s">
        <v>63</v>
      </c>
      <c r="E148" t="s">
        <v>59</v>
      </c>
      <c r="F148" t="s">
        <v>64</v>
      </c>
      <c r="G148" t="s">
        <v>65</v>
      </c>
      <c r="H148" t="s">
        <v>128</v>
      </c>
      <c r="I148" t="s">
        <v>129</v>
      </c>
      <c r="J148" t="s">
        <v>130</v>
      </c>
      <c r="K148" t="s">
        <v>131</v>
      </c>
      <c r="L148" t="s">
        <v>166</v>
      </c>
      <c r="M148" t="s">
        <v>171</v>
      </c>
      <c r="N148">
        <v>5</v>
      </c>
      <c r="O148" s="4">
        <v>3200</v>
      </c>
      <c r="P148" s="4">
        <v>4500</v>
      </c>
      <c r="Q148" s="7">
        <v>0.15</v>
      </c>
      <c r="R148" t="s">
        <v>204</v>
      </c>
      <c r="S148">
        <v>8</v>
      </c>
      <c r="T148">
        <v>22500</v>
      </c>
      <c r="U148">
        <v>3375</v>
      </c>
      <c r="V148">
        <v>19125</v>
      </c>
      <c r="W148">
        <v>16000</v>
      </c>
      <c r="X148">
        <v>3125</v>
      </c>
      <c r="Y148" s="8">
        <v>0.16339869281045752</v>
      </c>
      <c r="Z148" t="s">
        <v>2996</v>
      </c>
      <c r="AA148" t="str">
        <f>IF(AND(SalesCleanTable[[#This Row],[Discount %]]&gt;0, SalesCleanTable[[#This Row],[Profit]]&lt;0), "Discount loss", "Safe")</f>
        <v>Safe</v>
      </c>
      <c r="AB148" s="25">
        <f>(SalesCleanTable[[#This Row],[Unit Price]] - SalesCleanTable[[#This Row],[Unit Cost]]) / SalesCleanTable[[#This Row],[Unit Price]]</f>
        <v>0.28888888888888886</v>
      </c>
      <c r="AC148" t="str">
        <f>IF(SalesCleanTable[[#This Row],[Discount %]] &gt; SalesCleanTable[[#This Row],[Max Allowed Discount]], "Discount loss", "Safe")</f>
        <v>Safe</v>
      </c>
      <c r="AD148" s="4">
        <f>SalesCleanTable[[#This Row],[Unit Price]] - SalesCleanTable[[#This Row],[Unit Cost]]</f>
        <v>1300</v>
      </c>
      <c r="AE148" s="41">
        <f>(SalesCleanTable[[#This Row],[Unit Price]] - SalesCleanTable[[#This Row],[Unit Cost]]) / SalesCleanTable[[#This Row],[Unit Price]]</f>
        <v>0.28888888888888886</v>
      </c>
    </row>
    <row r="149" spans="1:31">
      <c r="A149" t="s">
        <v>335</v>
      </c>
      <c r="B149" s="6">
        <v>45733</v>
      </c>
      <c r="C149" t="s">
        <v>99</v>
      </c>
      <c r="D149" t="s">
        <v>100</v>
      </c>
      <c r="E149" t="s">
        <v>92</v>
      </c>
      <c r="F149" t="s">
        <v>101</v>
      </c>
      <c r="G149" t="s">
        <v>102</v>
      </c>
      <c r="H149" t="s">
        <v>128</v>
      </c>
      <c r="I149" t="s">
        <v>129</v>
      </c>
      <c r="J149" t="s">
        <v>130</v>
      </c>
      <c r="K149" t="s">
        <v>131</v>
      </c>
      <c r="L149" t="s">
        <v>183</v>
      </c>
      <c r="M149" t="s">
        <v>171</v>
      </c>
      <c r="N149">
        <v>6</v>
      </c>
      <c r="O149" s="4">
        <v>12500</v>
      </c>
      <c r="P149" s="4">
        <v>18500</v>
      </c>
      <c r="Q149" s="7">
        <v>0.15</v>
      </c>
      <c r="R149" t="s">
        <v>217</v>
      </c>
      <c r="S149">
        <v>1</v>
      </c>
      <c r="T149">
        <v>111000</v>
      </c>
      <c r="U149">
        <v>16650</v>
      </c>
      <c r="V149">
        <v>94350</v>
      </c>
      <c r="W149">
        <v>75000</v>
      </c>
      <c r="X149">
        <v>19350</v>
      </c>
      <c r="Y149" s="8">
        <v>0.20508744038155802</v>
      </c>
      <c r="Z149" t="s">
        <v>2995</v>
      </c>
      <c r="AA149" t="str">
        <f>IF(AND(SalesCleanTable[[#This Row],[Discount %]]&gt;0, SalesCleanTable[[#This Row],[Profit]]&lt;0), "Discount loss", "Safe")</f>
        <v>Safe</v>
      </c>
      <c r="AB149" s="25">
        <f>(SalesCleanTable[[#This Row],[Unit Price]] - SalesCleanTable[[#This Row],[Unit Cost]]) / SalesCleanTable[[#This Row],[Unit Price]]</f>
        <v>0.32432432432432434</v>
      </c>
      <c r="AC149" t="str">
        <f>IF(SalesCleanTable[[#This Row],[Discount %]] &gt; SalesCleanTable[[#This Row],[Max Allowed Discount]], "Discount loss", "Safe")</f>
        <v>Safe</v>
      </c>
      <c r="AD149" s="4">
        <f>SalesCleanTable[[#This Row],[Unit Price]] - SalesCleanTable[[#This Row],[Unit Cost]]</f>
        <v>6000</v>
      </c>
      <c r="AE149" s="41">
        <f>(SalesCleanTable[[#This Row],[Unit Price]] - SalesCleanTable[[#This Row],[Unit Cost]]) / SalesCleanTable[[#This Row],[Unit Price]]</f>
        <v>0.32432432432432434</v>
      </c>
    </row>
    <row r="150" spans="1:31">
      <c r="A150" t="s">
        <v>336</v>
      </c>
      <c r="B150" s="6">
        <v>45849</v>
      </c>
      <c r="C150" t="s">
        <v>41</v>
      </c>
      <c r="D150" t="s">
        <v>42</v>
      </c>
      <c r="E150" t="s">
        <v>26</v>
      </c>
      <c r="F150" t="s">
        <v>43</v>
      </c>
      <c r="G150" t="s">
        <v>44</v>
      </c>
      <c r="H150" t="s">
        <v>153</v>
      </c>
      <c r="I150" t="s">
        <v>154</v>
      </c>
      <c r="J150" t="s">
        <v>155</v>
      </c>
      <c r="K150" t="s">
        <v>131</v>
      </c>
      <c r="L150" t="s">
        <v>170</v>
      </c>
      <c r="M150" t="s">
        <v>171</v>
      </c>
      <c r="N150">
        <v>2</v>
      </c>
      <c r="O150" s="4">
        <v>850</v>
      </c>
      <c r="P150" s="4">
        <v>1300</v>
      </c>
      <c r="Q150" s="7">
        <v>0</v>
      </c>
      <c r="R150" t="s">
        <v>173</v>
      </c>
      <c r="S150">
        <v>6</v>
      </c>
      <c r="T150">
        <v>2600</v>
      </c>
      <c r="U150">
        <v>0</v>
      </c>
      <c r="V150">
        <v>2600</v>
      </c>
      <c r="W150">
        <v>1700</v>
      </c>
      <c r="X150">
        <v>900</v>
      </c>
      <c r="Y150" s="8">
        <v>0.34615384615384615</v>
      </c>
      <c r="Z150" t="s">
        <v>2995</v>
      </c>
      <c r="AA150" t="str">
        <f>IF(AND(SalesCleanTable[[#This Row],[Discount %]]&gt;0, SalesCleanTable[[#This Row],[Profit]]&lt;0), "Discount loss", "Safe")</f>
        <v>Safe</v>
      </c>
      <c r="AB150" s="25">
        <f>(SalesCleanTable[[#This Row],[Unit Price]] - SalesCleanTable[[#This Row],[Unit Cost]]) / SalesCleanTable[[#This Row],[Unit Price]]</f>
        <v>0.34615384615384615</v>
      </c>
      <c r="AC150" t="str">
        <f>IF(SalesCleanTable[[#This Row],[Discount %]] &gt; SalesCleanTable[[#This Row],[Max Allowed Discount]], "Discount loss", "Safe")</f>
        <v>Safe</v>
      </c>
      <c r="AD150" s="4">
        <f>SalesCleanTable[[#This Row],[Unit Price]] - SalesCleanTable[[#This Row],[Unit Cost]]</f>
        <v>450</v>
      </c>
      <c r="AE150" s="41">
        <f>(SalesCleanTable[[#This Row],[Unit Price]] - SalesCleanTable[[#This Row],[Unit Cost]]) / SalesCleanTable[[#This Row],[Unit Price]]</f>
        <v>0.34615384615384615</v>
      </c>
    </row>
    <row r="151" spans="1:31">
      <c r="A151" t="s">
        <v>337</v>
      </c>
      <c r="B151" s="6">
        <v>45728</v>
      </c>
      <c r="C151" t="s">
        <v>24</v>
      </c>
      <c r="D151" t="s">
        <v>25</v>
      </c>
      <c r="E151" t="s">
        <v>26</v>
      </c>
      <c r="F151" t="s">
        <v>27</v>
      </c>
      <c r="G151" t="s">
        <v>28</v>
      </c>
      <c r="H151" t="s">
        <v>149</v>
      </c>
      <c r="I151" t="s">
        <v>150</v>
      </c>
      <c r="J151" t="s">
        <v>151</v>
      </c>
      <c r="K151" t="s">
        <v>152</v>
      </c>
      <c r="L151" t="s">
        <v>183</v>
      </c>
      <c r="M151" t="s">
        <v>186</v>
      </c>
      <c r="N151">
        <v>3</v>
      </c>
      <c r="O151" s="4">
        <v>14500</v>
      </c>
      <c r="P151" s="4">
        <v>17500</v>
      </c>
      <c r="Q151" s="7">
        <v>0.15</v>
      </c>
      <c r="R151" t="s">
        <v>173</v>
      </c>
      <c r="S151">
        <v>1</v>
      </c>
      <c r="T151">
        <v>52500</v>
      </c>
      <c r="U151">
        <v>7875</v>
      </c>
      <c r="V151">
        <v>44625</v>
      </c>
      <c r="W151">
        <v>43500</v>
      </c>
      <c r="X151">
        <v>1125</v>
      </c>
      <c r="Y151" s="8">
        <v>2.5210084033613446E-2</v>
      </c>
      <c r="Z151" t="s">
        <v>2995</v>
      </c>
      <c r="AA151" t="str">
        <f>IF(AND(SalesCleanTable[[#This Row],[Discount %]]&gt;0, SalesCleanTable[[#This Row],[Profit]]&lt;0), "Discount loss", "Safe")</f>
        <v>Safe</v>
      </c>
      <c r="AB151" s="25">
        <f>(SalesCleanTable[[#This Row],[Unit Price]] - SalesCleanTable[[#This Row],[Unit Cost]]) / SalesCleanTable[[#This Row],[Unit Price]]</f>
        <v>0.17142857142857143</v>
      </c>
      <c r="AC151" t="str">
        <f>IF(SalesCleanTable[[#This Row],[Discount %]] &gt; SalesCleanTable[[#This Row],[Max Allowed Discount]], "Discount loss", "Safe")</f>
        <v>Safe</v>
      </c>
      <c r="AD151" s="4">
        <f>SalesCleanTable[[#This Row],[Unit Price]] - SalesCleanTable[[#This Row],[Unit Cost]]</f>
        <v>3000</v>
      </c>
      <c r="AE151" s="41">
        <f>(SalesCleanTable[[#This Row],[Unit Price]] - SalesCleanTable[[#This Row],[Unit Cost]]) / SalesCleanTable[[#This Row],[Unit Price]]</f>
        <v>0.17142857142857143</v>
      </c>
    </row>
    <row r="152" spans="1:31">
      <c r="A152" t="s">
        <v>338</v>
      </c>
      <c r="B152" s="6">
        <v>45667</v>
      </c>
      <c r="C152" t="s">
        <v>41</v>
      </c>
      <c r="D152" t="s">
        <v>42</v>
      </c>
      <c r="E152" t="s">
        <v>26</v>
      </c>
      <c r="F152" t="s">
        <v>43</v>
      </c>
      <c r="G152" t="s">
        <v>44</v>
      </c>
      <c r="H152" t="s">
        <v>149</v>
      </c>
      <c r="I152" t="s">
        <v>150</v>
      </c>
      <c r="J152" t="s">
        <v>151</v>
      </c>
      <c r="K152" t="s">
        <v>152</v>
      </c>
      <c r="L152" t="s">
        <v>166</v>
      </c>
      <c r="M152" t="s">
        <v>177</v>
      </c>
      <c r="N152">
        <v>3</v>
      </c>
      <c r="O152" s="4">
        <v>850</v>
      </c>
      <c r="P152" s="4">
        <v>1300</v>
      </c>
      <c r="Q152" s="7">
        <v>0.1</v>
      </c>
      <c r="R152" t="s">
        <v>194</v>
      </c>
      <c r="S152">
        <v>4</v>
      </c>
      <c r="T152">
        <v>3900</v>
      </c>
      <c r="U152">
        <v>390</v>
      </c>
      <c r="V152">
        <v>3510</v>
      </c>
      <c r="W152">
        <v>2550</v>
      </c>
      <c r="X152">
        <v>960</v>
      </c>
      <c r="Y152" s="8">
        <v>0.27350427350427353</v>
      </c>
      <c r="Z152" t="s">
        <v>2995</v>
      </c>
      <c r="AA152" t="str">
        <f>IF(AND(SalesCleanTable[[#This Row],[Discount %]]&gt;0, SalesCleanTable[[#This Row],[Profit]]&lt;0), "Discount loss", "Safe")</f>
        <v>Safe</v>
      </c>
      <c r="AB152" s="25">
        <f>(SalesCleanTable[[#This Row],[Unit Price]] - SalesCleanTable[[#This Row],[Unit Cost]]) / SalesCleanTable[[#This Row],[Unit Price]]</f>
        <v>0.34615384615384615</v>
      </c>
      <c r="AC152" t="str">
        <f>IF(SalesCleanTable[[#This Row],[Discount %]] &gt; SalesCleanTable[[#This Row],[Max Allowed Discount]], "Discount loss", "Safe")</f>
        <v>Safe</v>
      </c>
      <c r="AD152" s="4">
        <f>SalesCleanTable[[#This Row],[Unit Price]] - SalesCleanTable[[#This Row],[Unit Cost]]</f>
        <v>450</v>
      </c>
      <c r="AE152" s="41">
        <f>(SalesCleanTable[[#This Row],[Unit Price]] - SalesCleanTable[[#This Row],[Unit Cost]]) / SalesCleanTable[[#This Row],[Unit Price]]</f>
        <v>0.34615384615384615</v>
      </c>
    </row>
    <row r="153" spans="1:31">
      <c r="A153" t="s">
        <v>339</v>
      </c>
      <c r="B153" s="6">
        <v>45682</v>
      </c>
      <c r="C153" t="s">
        <v>41</v>
      </c>
      <c r="D153" t="s">
        <v>42</v>
      </c>
      <c r="E153" t="s">
        <v>26</v>
      </c>
      <c r="F153" t="s">
        <v>43</v>
      </c>
      <c r="G153" t="s">
        <v>44</v>
      </c>
      <c r="H153" t="s">
        <v>141</v>
      </c>
      <c r="I153" t="s">
        <v>142</v>
      </c>
      <c r="J153" t="s">
        <v>143</v>
      </c>
      <c r="K153" t="s">
        <v>144</v>
      </c>
      <c r="L153" t="s">
        <v>183</v>
      </c>
      <c r="M153" t="s">
        <v>186</v>
      </c>
      <c r="N153">
        <v>3</v>
      </c>
      <c r="O153" s="4">
        <v>850</v>
      </c>
      <c r="P153" s="4">
        <v>1300</v>
      </c>
      <c r="Q153" s="7">
        <v>0</v>
      </c>
      <c r="R153" t="s">
        <v>173</v>
      </c>
      <c r="S153">
        <v>1</v>
      </c>
      <c r="T153">
        <v>3900</v>
      </c>
      <c r="U153">
        <v>0</v>
      </c>
      <c r="V153">
        <v>3900</v>
      </c>
      <c r="W153">
        <v>2550</v>
      </c>
      <c r="X153">
        <v>1350</v>
      </c>
      <c r="Y153" s="8">
        <v>0.34615384615384615</v>
      </c>
      <c r="Z153" t="s">
        <v>2995</v>
      </c>
      <c r="AA153" t="str">
        <f>IF(AND(SalesCleanTable[[#This Row],[Discount %]]&gt;0, SalesCleanTable[[#This Row],[Profit]]&lt;0), "Discount loss", "Safe")</f>
        <v>Safe</v>
      </c>
      <c r="AB153" s="25">
        <f>(SalesCleanTable[[#This Row],[Unit Price]] - SalesCleanTable[[#This Row],[Unit Cost]]) / SalesCleanTable[[#This Row],[Unit Price]]</f>
        <v>0.34615384615384615</v>
      </c>
      <c r="AC153" t="str">
        <f>IF(SalesCleanTable[[#This Row],[Discount %]] &gt; SalesCleanTable[[#This Row],[Max Allowed Discount]], "Discount loss", "Safe")</f>
        <v>Safe</v>
      </c>
      <c r="AD153" s="4">
        <f>SalesCleanTable[[#This Row],[Unit Price]] - SalesCleanTable[[#This Row],[Unit Cost]]</f>
        <v>450</v>
      </c>
      <c r="AE153" s="41">
        <f>(SalesCleanTable[[#This Row],[Unit Price]] - SalesCleanTable[[#This Row],[Unit Cost]]) / SalesCleanTable[[#This Row],[Unit Price]]</f>
        <v>0.34615384615384615</v>
      </c>
    </row>
    <row r="154" spans="1:31">
      <c r="A154" t="s">
        <v>340</v>
      </c>
      <c r="B154" s="6">
        <v>45952</v>
      </c>
      <c r="C154" t="s">
        <v>41</v>
      </c>
      <c r="D154" t="s">
        <v>42</v>
      </c>
      <c r="E154" t="s">
        <v>26</v>
      </c>
      <c r="F154" t="s">
        <v>43</v>
      </c>
      <c r="G154" t="s">
        <v>44</v>
      </c>
      <c r="H154" t="s">
        <v>133</v>
      </c>
      <c r="I154" t="s">
        <v>134</v>
      </c>
      <c r="J154" t="s">
        <v>130</v>
      </c>
      <c r="K154" t="s">
        <v>131</v>
      </c>
      <c r="L154" t="s">
        <v>166</v>
      </c>
      <c r="M154" t="s">
        <v>186</v>
      </c>
      <c r="N154">
        <v>2</v>
      </c>
      <c r="O154" s="4">
        <v>850</v>
      </c>
      <c r="P154" s="4">
        <v>1300</v>
      </c>
      <c r="Q154" s="7">
        <v>0.1</v>
      </c>
      <c r="R154" t="s">
        <v>173</v>
      </c>
      <c r="S154">
        <v>11</v>
      </c>
      <c r="T154">
        <v>2600</v>
      </c>
      <c r="U154">
        <v>260</v>
      </c>
      <c r="V154">
        <v>2340</v>
      </c>
      <c r="W154">
        <v>1700</v>
      </c>
      <c r="X154">
        <v>640</v>
      </c>
      <c r="Y154" s="8">
        <v>0.27350427350427353</v>
      </c>
      <c r="Z154" t="s">
        <v>2995</v>
      </c>
      <c r="AA154" t="str">
        <f>IF(AND(SalesCleanTable[[#This Row],[Discount %]]&gt;0, SalesCleanTable[[#This Row],[Profit]]&lt;0), "Discount loss", "Safe")</f>
        <v>Safe</v>
      </c>
      <c r="AB154" s="25">
        <f>(SalesCleanTable[[#This Row],[Unit Price]] - SalesCleanTable[[#This Row],[Unit Cost]]) / SalesCleanTable[[#This Row],[Unit Price]]</f>
        <v>0.34615384615384615</v>
      </c>
      <c r="AC154" t="str">
        <f>IF(SalesCleanTable[[#This Row],[Discount %]] &gt; SalesCleanTable[[#This Row],[Max Allowed Discount]], "Discount loss", "Safe")</f>
        <v>Safe</v>
      </c>
      <c r="AD154" s="4">
        <f>SalesCleanTable[[#This Row],[Unit Price]] - SalesCleanTable[[#This Row],[Unit Cost]]</f>
        <v>450</v>
      </c>
      <c r="AE154" s="41">
        <f>(SalesCleanTable[[#This Row],[Unit Price]] - SalesCleanTable[[#This Row],[Unit Cost]]) / SalesCleanTable[[#This Row],[Unit Price]]</f>
        <v>0.34615384615384615</v>
      </c>
    </row>
    <row r="155" spans="1:31">
      <c r="A155" t="s">
        <v>341</v>
      </c>
      <c r="B155" s="6">
        <v>45842</v>
      </c>
      <c r="C155" t="s">
        <v>29</v>
      </c>
      <c r="D155" t="s">
        <v>30</v>
      </c>
      <c r="E155" t="s">
        <v>26</v>
      </c>
      <c r="F155" t="s">
        <v>27</v>
      </c>
      <c r="G155" t="s">
        <v>31</v>
      </c>
      <c r="H155" t="s">
        <v>139</v>
      </c>
      <c r="I155" t="s">
        <v>140</v>
      </c>
      <c r="J155" t="s">
        <v>137</v>
      </c>
      <c r="K155" t="s">
        <v>138</v>
      </c>
      <c r="L155" t="s">
        <v>166</v>
      </c>
      <c r="M155" t="s">
        <v>186</v>
      </c>
      <c r="N155">
        <v>3</v>
      </c>
      <c r="O155" s="4">
        <v>6200</v>
      </c>
      <c r="P155" s="4">
        <v>7900</v>
      </c>
      <c r="Q155" s="7">
        <v>0.2</v>
      </c>
      <c r="R155" t="s">
        <v>194</v>
      </c>
      <c r="S155">
        <v>1</v>
      </c>
      <c r="T155">
        <v>23700</v>
      </c>
      <c r="U155">
        <v>4740</v>
      </c>
      <c r="V155">
        <v>18960</v>
      </c>
      <c r="W155">
        <v>18600</v>
      </c>
      <c r="X155">
        <v>360</v>
      </c>
      <c r="Y155" s="8">
        <v>1.8987341772151899E-2</v>
      </c>
      <c r="Z155" t="s">
        <v>2996</v>
      </c>
      <c r="AA155" t="str">
        <f>IF(AND(SalesCleanTable[[#This Row],[Discount %]]&gt;0, SalesCleanTable[[#This Row],[Profit]]&lt;0), "Discount loss", "Safe")</f>
        <v>Safe</v>
      </c>
      <c r="AB155" s="25">
        <f>(SalesCleanTable[[#This Row],[Unit Price]] - SalesCleanTable[[#This Row],[Unit Cost]]) / SalesCleanTable[[#This Row],[Unit Price]]</f>
        <v>0.21518987341772153</v>
      </c>
      <c r="AC155" t="str">
        <f>IF(SalesCleanTable[[#This Row],[Discount %]] &gt; SalesCleanTable[[#This Row],[Max Allowed Discount]], "Discount loss", "Safe")</f>
        <v>Safe</v>
      </c>
      <c r="AD155" s="4">
        <f>SalesCleanTable[[#This Row],[Unit Price]] - SalesCleanTable[[#This Row],[Unit Cost]]</f>
        <v>1700</v>
      </c>
      <c r="AE155" s="41">
        <f>(SalesCleanTable[[#This Row],[Unit Price]] - SalesCleanTable[[#This Row],[Unit Cost]]) / SalesCleanTable[[#This Row],[Unit Price]]</f>
        <v>0.21518987341772153</v>
      </c>
    </row>
    <row r="156" spans="1:31">
      <c r="A156" t="s">
        <v>342</v>
      </c>
      <c r="B156" s="6">
        <v>45849</v>
      </c>
      <c r="C156" t="s">
        <v>41</v>
      </c>
      <c r="D156" t="s">
        <v>42</v>
      </c>
      <c r="E156" t="s">
        <v>26</v>
      </c>
      <c r="F156" t="s">
        <v>43</v>
      </c>
      <c r="G156" t="s">
        <v>44</v>
      </c>
      <c r="H156" t="s">
        <v>128</v>
      </c>
      <c r="I156" t="s">
        <v>129</v>
      </c>
      <c r="J156" t="s">
        <v>130</v>
      </c>
      <c r="K156" t="s">
        <v>131</v>
      </c>
      <c r="L156" t="s">
        <v>183</v>
      </c>
      <c r="M156" t="s">
        <v>171</v>
      </c>
      <c r="N156">
        <v>5</v>
      </c>
      <c r="O156" s="4">
        <v>850</v>
      </c>
      <c r="P156" s="4">
        <v>1300</v>
      </c>
      <c r="Q156" s="7">
        <v>0.05</v>
      </c>
      <c r="R156" t="s">
        <v>173</v>
      </c>
      <c r="S156">
        <v>12</v>
      </c>
      <c r="T156">
        <v>6500</v>
      </c>
      <c r="U156">
        <v>325</v>
      </c>
      <c r="V156">
        <v>6175</v>
      </c>
      <c r="W156">
        <v>4250</v>
      </c>
      <c r="X156">
        <v>1925</v>
      </c>
      <c r="Y156" s="8">
        <v>0.31174089068825911</v>
      </c>
      <c r="Z156" t="s">
        <v>2995</v>
      </c>
      <c r="AA156" t="str">
        <f>IF(AND(SalesCleanTable[[#This Row],[Discount %]]&gt;0, SalesCleanTable[[#This Row],[Profit]]&lt;0), "Discount loss", "Safe")</f>
        <v>Safe</v>
      </c>
      <c r="AB156" s="25">
        <f>(SalesCleanTable[[#This Row],[Unit Price]] - SalesCleanTable[[#This Row],[Unit Cost]]) / SalesCleanTable[[#This Row],[Unit Price]]</f>
        <v>0.34615384615384615</v>
      </c>
      <c r="AC156" t="str">
        <f>IF(SalesCleanTable[[#This Row],[Discount %]] &gt; SalesCleanTable[[#This Row],[Max Allowed Discount]], "Discount loss", "Safe")</f>
        <v>Safe</v>
      </c>
      <c r="AD156" s="4">
        <f>SalesCleanTable[[#This Row],[Unit Price]] - SalesCleanTable[[#This Row],[Unit Cost]]</f>
        <v>450</v>
      </c>
      <c r="AE156" s="41">
        <f>(SalesCleanTable[[#This Row],[Unit Price]] - SalesCleanTable[[#This Row],[Unit Cost]]) / SalesCleanTable[[#This Row],[Unit Price]]</f>
        <v>0.34615384615384615</v>
      </c>
    </row>
    <row r="157" spans="1:31">
      <c r="A157" t="s">
        <v>343</v>
      </c>
      <c r="B157" s="6">
        <v>45726</v>
      </c>
      <c r="C157" t="s">
        <v>24</v>
      </c>
      <c r="D157" t="s">
        <v>25</v>
      </c>
      <c r="E157" t="s">
        <v>26</v>
      </c>
      <c r="F157" t="s">
        <v>27</v>
      </c>
      <c r="G157" t="s">
        <v>28</v>
      </c>
      <c r="H157" t="s">
        <v>139</v>
      </c>
      <c r="I157" t="s">
        <v>140</v>
      </c>
      <c r="J157" t="s">
        <v>137</v>
      </c>
      <c r="K157" t="s">
        <v>138</v>
      </c>
      <c r="L157" t="s">
        <v>183</v>
      </c>
      <c r="M157" t="s">
        <v>186</v>
      </c>
      <c r="N157">
        <v>5</v>
      </c>
      <c r="O157" s="4">
        <v>14500</v>
      </c>
      <c r="P157" s="4">
        <v>17500</v>
      </c>
      <c r="Q157" s="7">
        <v>0</v>
      </c>
      <c r="R157" t="s">
        <v>173</v>
      </c>
      <c r="S157">
        <v>8</v>
      </c>
      <c r="T157">
        <v>87500</v>
      </c>
      <c r="U157">
        <v>0</v>
      </c>
      <c r="V157">
        <v>87500</v>
      </c>
      <c r="W157">
        <v>72500</v>
      </c>
      <c r="X157">
        <v>15000</v>
      </c>
      <c r="Y157" s="8">
        <v>0.17142857142857143</v>
      </c>
      <c r="Z157" t="s">
        <v>2995</v>
      </c>
      <c r="AA157" t="str">
        <f>IF(AND(SalesCleanTable[[#This Row],[Discount %]]&gt;0, SalesCleanTable[[#This Row],[Profit]]&lt;0), "Discount loss", "Safe")</f>
        <v>Safe</v>
      </c>
      <c r="AB157" s="25">
        <f>(SalesCleanTable[[#This Row],[Unit Price]] - SalesCleanTable[[#This Row],[Unit Cost]]) / SalesCleanTable[[#This Row],[Unit Price]]</f>
        <v>0.17142857142857143</v>
      </c>
      <c r="AC157" t="str">
        <f>IF(SalesCleanTable[[#This Row],[Discount %]] &gt; SalesCleanTable[[#This Row],[Max Allowed Discount]], "Discount loss", "Safe")</f>
        <v>Safe</v>
      </c>
      <c r="AD157" s="4">
        <f>SalesCleanTable[[#This Row],[Unit Price]] - SalesCleanTable[[#This Row],[Unit Cost]]</f>
        <v>3000</v>
      </c>
      <c r="AE157" s="41">
        <f>(SalesCleanTable[[#This Row],[Unit Price]] - SalesCleanTable[[#This Row],[Unit Cost]]) / SalesCleanTable[[#This Row],[Unit Price]]</f>
        <v>0.17142857142857143</v>
      </c>
    </row>
    <row r="158" spans="1:31">
      <c r="A158" t="s">
        <v>344</v>
      </c>
      <c r="B158" s="6">
        <v>45727</v>
      </c>
      <c r="C158" t="s">
        <v>29</v>
      </c>
      <c r="D158" t="s">
        <v>30</v>
      </c>
      <c r="E158" t="s">
        <v>26</v>
      </c>
      <c r="F158" t="s">
        <v>27</v>
      </c>
      <c r="G158" t="s">
        <v>31</v>
      </c>
      <c r="H158" t="s">
        <v>145</v>
      </c>
      <c r="I158" t="s">
        <v>146</v>
      </c>
      <c r="J158" t="s">
        <v>147</v>
      </c>
      <c r="K158" t="s">
        <v>148</v>
      </c>
      <c r="L158" t="s">
        <v>166</v>
      </c>
      <c r="M158" t="s">
        <v>177</v>
      </c>
      <c r="N158">
        <v>2</v>
      </c>
      <c r="O158" s="4">
        <v>6200</v>
      </c>
      <c r="P158" s="4">
        <v>7900</v>
      </c>
      <c r="Q158" s="7">
        <v>0</v>
      </c>
      <c r="R158" t="s">
        <v>197</v>
      </c>
      <c r="S158">
        <v>6</v>
      </c>
      <c r="T158">
        <v>15800</v>
      </c>
      <c r="U158">
        <v>0</v>
      </c>
      <c r="V158">
        <v>15800</v>
      </c>
      <c r="W158">
        <v>12400</v>
      </c>
      <c r="X158">
        <v>3400</v>
      </c>
      <c r="Y158" s="8">
        <v>0.21518987341772153</v>
      </c>
      <c r="Z158" t="s">
        <v>2996</v>
      </c>
      <c r="AA158" t="str">
        <f>IF(AND(SalesCleanTable[[#This Row],[Discount %]]&gt;0, SalesCleanTable[[#This Row],[Profit]]&lt;0), "Discount loss", "Safe")</f>
        <v>Safe</v>
      </c>
      <c r="AB158" s="25">
        <f>(SalesCleanTable[[#This Row],[Unit Price]] - SalesCleanTable[[#This Row],[Unit Cost]]) / SalesCleanTable[[#This Row],[Unit Price]]</f>
        <v>0.21518987341772153</v>
      </c>
      <c r="AC158" t="str">
        <f>IF(SalesCleanTable[[#This Row],[Discount %]] &gt; SalesCleanTable[[#This Row],[Max Allowed Discount]], "Discount loss", "Safe")</f>
        <v>Safe</v>
      </c>
      <c r="AD158" s="4">
        <f>SalesCleanTable[[#This Row],[Unit Price]] - SalesCleanTable[[#This Row],[Unit Cost]]</f>
        <v>1700</v>
      </c>
      <c r="AE158" s="41">
        <f>(SalesCleanTable[[#This Row],[Unit Price]] - SalesCleanTable[[#This Row],[Unit Cost]]) / SalesCleanTable[[#This Row],[Unit Price]]</f>
        <v>0.21518987341772153</v>
      </c>
    </row>
    <row r="159" spans="1:31">
      <c r="A159" t="s">
        <v>345</v>
      </c>
      <c r="B159" s="6">
        <v>45921</v>
      </c>
      <c r="C159" t="s">
        <v>49</v>
      </c>
      <c r="D159" t="s">
        <v>50</v>
      </c>
      <c r="E159" t="s">
        <v>38</v>
      </c>
      <c r="F159" t="s">
        <v>51</v>
      </c>
      <c r="G159" t="s">
        <v>52</v>
      </c>
      <c r="H159" t="s">
        <v>149</v>
      </c>
      <c r="I159" t="s">
        <v>150</v>
      </c>
      <c r="J159" t="s">
        <v>151</v>
      </c>
      <c r="K159" t="s">
        <v>152</v>
      </c>
      <c r="L159" t="s">
        <v>183</v>
      </c>
      <c r="M159" t="s">
        <v>167</v>
      </c>
      <c r="N159">
        <v>3</v>
      </c>
      <c r="O159" s="4">
        <v>550</v>
      </c>
      <c r="P159" s="4">
        <v>850</v>
      </c>
      <c r="Q159" s="7">
        <v>0</v>
      </c>
      <c r="R159" t="s">
        <v>178</v>
      </c>
      <c r="S159">
        <v>14</v>
      </c>
      <c r="T159">
        <v>2550</v>
      </c>
      <c r="U159">
        <v>0</v>
      </c>
      <c r="V159">
        <v>2550</v>
      </c>
      <c r="W159">
        <v>1650</v>
      </c>
      <c r="X159">
        <v>900</v>
      </c>
      <c r="Y159" s="8">
        <v>0.35294117647058826</v>
      </c>
      <c r="Z159" t="s">
        <v>2996</v>
      </c>
      <c r="AA159" t="str">
        <f>IF(AND(SalesCleanTable[[#This Row],[Discount %]]&gt;0, SalesCleanTable[[#This Row],[Profit]]&lt;0), "Discount loss", "Safe")</f>
        <v>Safe</v>
      </c>
      <c r="AB159" s="25">
        <f>(SalesCleanTable[[#This Row],[Unit Price]] - SalesCleanTable[[#This Row],[Unit Cost]]) / SalesCleanTable[[#This Row],[Unit Price]]</f>
        <v>0.35294117647058826</v>
      </c>
      <c r="AC159" t="str">
        <f>IF(SalesCleanTable[[#This Row],[Discount %]] &gt; SalesCleanTable[[#This Row],[Max Allowed Discount]], "Discount loss", "Safe")</f>
        <v>Safe</v>
      </c>
      <c r="AD159" s="4">
        <f>SalesCleanTable[[#This Row],[Unit Price]] - SalesCleanTable[[#This Row],[Unit Cost]]</f>
        <v>300</v>
      </c>
      <c r="AE159" s="41">
        <f>(SalesCleanTable[[#This Row],[Unit Price]] - SalesCleanTable[[#This Row],[Unit Cost]]) / SalesCleanTable[[#This Row],[Unit Price]]</f>
        <v>0.35294117647058826</v>
      </c>
    </row>
    <row r="160" spans="1:31">
      <c r="A160" t="s">
        <v>346</v>
      </c>
      <c r="B160" s="6">
        <v>45797</v>
      </c>
      <c r="C160" t="s">
        <v>32</v>
      </c>
      <c r="D160" t="s">
        <v>33</v>
      </c>
      <c r="E160" t="s">
        <v>26</v>
      </c>
      <c r="F160" t="s">
        <v>34</v>
      </c>
      <c r="G160" t="s">
        <v>35</v>
      </c>
      <c r="H160" t="s">
        <v>135</v>
      </c>
      <c r="I160" t="s">
        <v>136</v>
      </c>
      <c r="J160" t="s">
        <v>137</v>
      </c>
      <c r="K160" t="s">
        <v>138</v>
      </c>
      <c r="L160" t="s">
        <v>183</v>
      </c>
      <c r="M160" t="s">
        <v>186</v>
      </c>
      <c r="N160">
        <v>6</v>
      </c>
      <c r="O160" s="4">
        <v>7800</v>
      </c>
      <c r="P160" s="4">
        <v>9800</v>
      </c>
      <c r="Q160" s="7">
        <v>0.1</v>
      </c>
      <c r="R160" t="s">
        <v>197</v>
      </c>
      <c r="S160">
        <v>8</v>
      </c>
      <c r="T160">
        <v>58800</v>
      </c>
      <c r="U160">
        <v>5880</v>
      </c>
      <c r="V160">
        <v>52920</v>
      </c>
      <c r="W160">
        <v>46800</v>
      </c>
      <c r="X160">
        <v>6120</v>
      </c>
      <c r="Y160" s="8">
        <v>0.11564625850340136</v>
      </c>
      <c r="Z160" t="s">
        <v>2995</v>
      </c>
      <c r="AA160" t="str">
        <f>IF(AND(SalesCleanTable[[#This Row],[Discount %]]&gt;0, SalesCleanTable[[#This Row],[Profit]]&lt;0), "Discount loss", "Safe")</f>
        <v>Safe</v>
      </c>
      <c r="AB160" s="25">
        <f>(SalesCleanTable[[#This Row],[Unit Price]] - SalesCleanTable[[#This Row],[Unit Cost]]) / SalesCleanTable[[#This Row],[Unit Price]]</f>
        <v>0.20408163265306123</v>
      </c>
      <c r="AC160" t="str">
        <f>IF(SalesCleanTable[[#This Row],[Discount %]] &gt; SalesCleanTable[[#This Row],[Max Allowed Discount]], "Discount loss", "Safe")</f>
        <v>Safe</v>
      </c>
      <c r="AD160" s="4">
        <f>SalesCleanTable[[#This Row],[Unit Price]] - SalesCleanTable[[#This Row],[Unit Cost]]</f>
        <v>2000</v>
      </c>
      <c r="AE160" s="41">
        <f>(SalesCleanTable[[#This Row],[Unit Price]] - SalesCleanTable[[#This Row],[Unit Cost]]) / SalesCleanTable[[#This Row],[Unit Price]]</f>
        <v>0.20408163265306123</v>
      </c>
    </row>
    <row r="161" spans="1:31">
      <c r="A161" t="s">
        <v>347</v>
      </c>
      <c r="B161" s="6">
        <v>45846</v>
      </c>
      <c r="C161" t="s">
        <v>112</v>
      </c>
      <c r="D161" t="s">
        <v>113</v>
      </c>
      <c r="E161" t="s">
        <v>109</v>
      </c>
      <c r="F161" t="s">
        <v>114</v>
      </c>
      <c r="G161" t="s">
        <v>115</v>
      </c>
      <c r="H161" t="s">
        <v>139</v>
      </c>
      <c r="I161" t="s">
        <v>140</v>
      </c>
      <c r="J161" t="s">
        <v>137</v>
      </c>
      <c r="K161" t="s">
        <v>138</v>
      </c>
      <c r="L161" t="s">
        <v>166</v>
      </c>
      <c r="M161" t="s">
        <v>171</v>
      </c>
      <c r="N161">
        <v>5</v>
      </c>
      <c r="O161" s="4">
        <v>1300</v>
      </c>
      <c r="P161" s="4">
        <v>2100</v>
      </c>
      <c r="Q161" s="7">
        <v>0.1</v>
      </c>
      <c r="R161" t="s">
        <v>235</v>
      </c>
      <c r="S161">
        <v>9</v>
      </c>
      <c r="T161">
        <v>10500</v>
      </c>
      <c r="U161">
        <v>1050</v>
      </c>
      <c r="V161">
        <v>9450</v>
      </c>
      <c r="W161">
        <v>6500</v>
      </c>
      <c r="X161">
        <v>2950</v>
      </c>
      <c r="Y161" s="8">
        <v>0.31216931216931215</v>
      </c>
      <c r="Z161" t="s">
        <v>2995</v>
      </c>
      <c r="AA161" t="str">
        <f>IF(AND(SalesCleanTable[[#This Row],[Discount %]]&gt;0, SalesCleanTable[[#This Row],[Profit]]&lt;0), "Discount loss", "Safe")</f>
        <v>Safe</v>
      </c>
      <c r="AB161" s="25">
        <f>(SalesCleanTable[[#This Row],[Unit Price]] - SalesCleanTable[[#This Row],[Unit Cost]]) / SalesCleanTable[[#This Row],[Unit Price]]</f>
        <v>0.38095238095238093</v>
      </c>
      <c r="AC161" t="str">
        <f>IF(SalesCleanTable[[#This Row],[Discount %]] &gt; SalesCleanTable[[#This Row],[Max Allowed Discount]], "Discount loss", "Safe")</f>
        <v>Safe</v>
      </c>
      <c r="AD161" s="4">
        <f>SalesCleanTable[[#This Row],[Unit Price]] - SalesCleanTable[[#This Row],[Unit Cost]]</f>
        <v>800</v>
      </c>
      <c r="AE161" s="41">
        <f>(SalesCleanTable[[#This Row],[Unit Price]] - SalesCleanTable[[#This Row],[Unit Cost]]) / SalesCleanTable[[#This Row],[Unit Price]]</f>
        <v>0.38095238095238093</v>
      </c>
    </row>
    <row r="162" spans="1:31">
      <c r="A162" t="s">
        <v>348</v>
      </c>
      <c r="B162" s="6">
        <v>45710</v>
      </c>
      <c r="C162" t="s">
        <v>29</v>
      </c>
      <c r="D162" t="s">
        <v>30</v>
      </c>
      <c r="E162" t="s">
        <v>26</v>
      </c>
      <c r="F162" t="s">
        <v>27</v>
      </c>
      <c r="G162" t="s">
        <v>31</v>
      </c>
      <c r="H162" t="s">
        <v>141</v>
      </c>
      <c r="I162" t="s">
        <v>142</v>
      </c>
      <c r="J162" t="s">
        <v>143</v>
      </c>
      <c r="K162" t="s">
        <v>144</v>
      </c>
      <c r="L162" t="s">
        <v>166</v>
      </c>
      <c r="M162" t="s">
        <v>171</v>
      </c>
      <c r="N162">
        <v>2</v>
      </c>
      <c r="O162" s="4">
        <v>6200</v>
      </c>
      <c r="P162" s="4">
        <v>7900</v>
      </c>
      <c r="Q162" s="7">
        <v>0.1</v>
      </c>
      <c r="R162" t="s">
        <v>194</v>
      </c>
      <c r="S162">
        <v>8</v>
      </c>
      <c r="T162">
        <v>15800</v>
      </c>
      <c r="U162">
        <v>1580</v>
      </c>
      <c r="V162">
        <v>14220</v>
      </c>
      <c r="W162">
        <v>12400</v>
      </c>
      <c r="X162">
        <v>1820</v>
      </c>
      <c r="Y162" s="8">
        <v>0.12798874824191281</v>
      </c>
      <c r="Z162" t="s">
        <v>2996</v>
      </c>
      <c r="AA162" t="str">
        <f>IF(AND(SalesCleanTable[[#This Row],[Discount %]]&gt;0, SalesCleanTable[[#This Row],[Profit]]&lt;0), "Discount loss", "Safe")</f>
        <v>Safe</v>
      </c>
      <c r="AB162" s="25">
        <f>(SalesCleanTable[[#This Row],[Unit Price]] - SalesCleanTable[[#This Row],[Unit Cost]]) / SalesCleanTable[[#This Row],[Unit Price]]</f>
        <v>0.21518987341772153</v>
      </c>
      <c r="AC162" t="str">
        <f>IF(SalesCleanTable[[#This Row],[Discount %]] &gt; SalesCleanTable[[#This Row],[Max Allowed Discount]], "Discount loss", "Safe")</f>
        <v>Safe</v>
      </c>
      <c r="AD162" s="4">
        <f>SalesCleanTable[[#This Row],[Unit Price]] - SalesCleanTable[[#This Row],[Unit Cost]]</f>
        <v>1700</v>
      </c>
      <c r="AE162" s="41">
        <f>(SalesCleanTable[[#This Row],[Unit Price]] - SalesCleanTable[[#This Row],[Unit Cost]]) / SalesCleanTable[[#This Row],[Unit Price]]</f>
        <v>0.21518987341772153</v>
      </c>
    </row>
    <row r="163" spans="1:31">
      <c r="A163" t="s">
        <v>349</v>
      </c>
      <c r="B163" s="6">
        <v>45838</v>
      </c>
      <c r="C163" t="s">
        <v>69</v>
      </c>
      <c r="D163" t="s">
        <v>70</v>
      </c>
      <c r="E163" t="s">
        <v>59</v>
      </c>
      <c r="F163" t="s">
        <v>71</v>
      </c>
      <c r="G163" t="s">
        <v>72</v>
      </c>
      <c r="H163" t="s">
        <v>135</v>
      </c>
      <c r="I163" t="s">
        <v>136</v>
      </c>
      <c r="J163" t="s">
        <v>137</v>
      </c>
      <c r="K163" t="s">
        <v>138</v>
      </c>
      <c r="L163" t="s">
        <v>166</v>
      </c>
      <c r="M163" t="s">
        <v>171</v>
      </c>
      <c r="N163">
        <v>3</v>
      </c>
      <c r="O163" s="4">
        <v>1700</v>
      </c>
      <c r="P163" s="4">
        <v>2600</v>
      </c>
      <c r="Q163" s="7">
        <v>0.15</v>
      </c>
      <c r="R163" t="s">
        <v>204</v>
      </c>
      <c r="S163">
        <v>6</v>
      </c>
      <c r="T163">
        <v>7800</v>
      </c>
      <c r="U163">
        <v>1170</v>
      </c>
      <c r="V163">
        <v>6630</v>
      </c>
      <c r="W163">
        <v>5100</v>
      </c>
      <c r="X163">
        <v>1530</v>
      </c>
      <c r="Y163" s="8">
        <v>0.23076923076923078</v>
      </c>
      <c r="Z163" t="s">
        <v>2997</v>
      </c>
      <c r="AA163" t="str">
        <f>IF(AND(SalesCleanTable[[#This Row],[Discount %]]&gt;0, SalesCleanTable[[#This Row],[Profit]]&lt;0), "Discount loss", "Safe")</f>
        <v>Safe</v>
      </c>
      <c r="AB163" s="25">
        <f>(SalesCleanTable[[#This Row],[Unit Price]] - SalesCleanTable[[#This Row],[Unit Cost]]) / SalesCleanTable[[#This Row],[Unit Price]]</f>
        <v>0.34615384615384615</v>
      </c>
      <c r="AC163" t="str">
        <f>IF(SalesCleanTable[[#This Row],[Discount %]] &gt; SalesCleanTable[[#This Row],[Max Allowed Discount]], "Discount loss", "Safe")</f>
        <v>Safe</v>
      </c>
      <c r="AD163" s="4">
        <f>SalesCleanTable[[#This Row],[Unit Price]] - SalesCleanTable[[#This Row],[Unit Cost]]</f>
        <v>900</v>
      </c>
      <c r="AE163" s="41">
        <f>(SalesCleanTable[[#This Row],[Unit Price]] - SalesCleanTable[[#This Row],[Unit Cost]]) / SalesCleanTable[[#This Row],[Unit Price]]</f>
        <v>0.34615384615384615</v>
      </c>
    </row>
    <row r="164" spans="1:31">
      <c r="A164" t="s">
        <v>350</v>
      </c>
      <c r="B164" s="6">
        <v>46005</v>
      </c>
      <c r="C164" t="s">
        <v>36</v>
      </c>
      <c r="D164" t="s">
        <v>37</v>
      </c>
      <c r="E164" t="s">
        <v>38</v>
      </c>
      <c r="F164" t="s">
        <v>39</v>
      </c>
      <c r="G164" t="s">
        <v>40</v>
      </c>
      <c r="H164" t="s">
        <v>128</v>
      </c>
      <c r="I164" t="s">
        <v>129</v>
      </c>
      <c r="J164" t="s">
        <v>130</v>
      </c>
      <c r="K164" t="s">
        <v>131</v>
      </c>
      <c r="L164" t="s">
        <v>166</v>
      </c>
      <c r="M164" t="s">
        <v>177</v>
      </c>
      <c r="N164">
        <v>5</v>
      </c>
      <c r="O164" s="4">
        <v>1650</v>
      </c>
      <c r="P164" s="4">
        <v>2200</v>
      </c>
      <c r="Q164" s="7">
        <v>0.1</v>
      </c>
      <c r="R164" t="s">
        <v>178</v>
      </c>
      <c r="S164">
        <v>13</v>
      </c>
      <c r="T164">
        <v>11000</v>
      </c>
      <c r="U164">
        <v>1100</v>
      </c>
      <c r="V164">
        <v>9900</v>
      </c>
      <c r="W164">
        <v>8250</v>
      </c>
      <c r="X164">
        <v>1650</v>
      </c>
      <c r="Y164" s="8">
        <v>0.16666666666666666</v>
      </c>
      <c r="Z164" t="s">
        <v>2995</v>
      </c>
      <c r="AA164" t="str">
        <f>IF(AND(SalesCleanTable[[#This Row],[Discount %]]&gt;0, SalesCleanTable[[#This Row],[Profit]]&lt;0), "Discount loss", "Safe")</f>
        <v>Safe</v>
      </c>
      <c r="AB164" s="25">
        <f>(SalesCleanTable[[#This Row],[Unit Price]] - SalesCleanTable[[#This Row],[Unit Cost]]) / SalesCleanTable[[#This Row],[Unit Price]]</f>
        <v>0.25</v>
      </c>
      <c r="AC164" t="str">
        <f>IF(SalesCleanTable[[#This Row],[Discount %]] &gt; SalesCleanTable[[#This Row],[Max Allowed Discount]], "Discount loss", "Safe")</f>
        <v>Safe</v>
      </c>
      <c r="AD164" s="4">
        <f>SalesCleanTable[[#This Row],[Unit Price]] - SalesCleanTable[[#This Row],[Unit Cost]]</f>
        <v>550</v>
      </c>
      <c r="AE164" s="41">
        <f>(SalesCleanTable[[#This Row],[Unit Price]] - SalesCleanTable[[#This Row],[Unit Cost]]) / SalesCleanTable[[#This Row],[Unit Price]]</f>
        <v>0.25</v>
      </c>
    </row>
    <row r="165" spans="1:31">
      <c r="A165" t="s">
        <v>351</v>
      </c>
      <c r="B165" s="6">
        <v>45843</v>
      </c>
      <c r="C165" t="s">
        <v>49</v>
      </c>
      <c r="D165" t="s">
        <v>50</v>
      </c>
      <c r="E165" t="s">
        <v>38</v>
      </c>
      <c r="F165" t="s">
        <v>51</v>
      </c>
      <c r="G165" t="s">
        <v>52</v>
      </c>
      <c r="H165" t="s">
        <v>139</v>
      </c>
      <c r="I165" t="s">
        <v>140</v>
      </c>
      <c r="J165" t="s">
        <v>137</v>
      </c>
      <c r="K165" t="s">
        <v>138</v>
      </c>
      <c r="L165" t="s">
        <v>170</v>
      </c>
      <c r="M165" t="s">
        <v>186</v>
      </c>
      <c r="N165">
        <v>3</v>
      </c>
      <c r="O165" s="4">
        <v>550</v>
      </c>
      <c r="P165" s="4">
        <v>850</v>
      </c>
      <c r="Q165" s="7">
        <v>0.1</v>
      </c>
      <c r="R165" t="s">
        <v>178</v>
      </c>
      <c r="S165">
        <v>10</v>
      </c>
      <c r="T165">
        <v>2550</v>
      </c>
      <c r="U165">
        <v>255</v>
      </c>
      <c r="V165">
        <v>2295</v>
      </c>
      <c r="W165">
        <v>1650</v>
      </c>
      <c r="X165">
        <v>645</v>
      </c>
      <c r="Y165" s="8">
        <v>0.28104575163398693</v>
      </c>
      <c r="Z165" t="s">
        <v>2996</v>
      </c>
      <c r="AA165" t="str">
        <f>IF(AND(SalesCleanTable[[#This Row],[Discount %]]&gt;0, SalesCleanTable[[#This Row],[Profit]]&lt;0), "Discount loss", "Safe")</f>
        <v>Safe</v>
      </c>
      <c r="AB165" s="25">
        <f>(SalesCleanTable[[#This Row],[Unit Price]] - SalesCleanTable[[#This Row],[Unit Cost]]) / SalesCleanTable[[#This Row],[Unit Price]]</f>
        <v>0.35294117647058826</v>
      </c>
      <c r="AC165" t="str">
        <f>IF(SalesCleanTable[[#This Row],[Discount %]] &gt; SalesCleanTable[[#This Row],[Max Allowed Discount]], "Discount loss", "Safe")</f>
        <v>Safe</v>
      </c>
      <c r="AD165" s="4">
        <f>SalesCleanTable[[#This Row],[Unit Price]] - SalesCleanTable[[#This Row],[Unit Cost]]</f>
        <v>300</v>
      </c>
      <c r="AE165" s="41">
        <f>(SalesCleanTable[[#This Row],[Unit Price]] - SalesCleanTable[[#This Row],[Unit Cost]]) / SalesCleanTable[[#This Row],[Unit Price]]</f>
        <v>0.35294117647058826</v>
      </c>
    </row>
    <row r="166" spans="1:31">
      <c r="A166" t="s">
        <v>352</v>
      </c>
      <c r="B166" s="6">
        <v>45845</v>
      </c>
      <c r="C166" t="s">
        <v>49</v>
      </c>
      <c r="D166" t="s">
        <v>50</v>
      </c>
      <c r="E166" t="s">
        <v>38</v>
      </c>
      <c r="F166" t="s">
        <v>51</v>
      </c>
      <c r="G166" t="s">
        <v>52</v>
      </c>
      <c r="H166" t="s">
        <v>141</v>
      </c>
      <c r="I166" t="s">
        <v>142</v>
      </c>
      <c r="J166" t="s">
        <v>143</v>
      </c>
      <c r="K166" t="s">
        <v>144</v>
      </c>
      <c r="L166" t="s">
        <v>183</v>
      </c>
      <c r="M166" t="s">
        <v>186</v>
      </c>
      <c r="N166">
        <v>2</v>
      </c>
      <c r="O166" s="4">
        <v>550</v>
      </c>
      <c r="P166" s="4">
        <v>850</v>
      </c>
      <c r="Q166" s="7">
        <v>0</v>
      </c>
      <c r="R166" t="s">
        <v>175</v>
      </c>
      <c r="S166">
        <v>9</v>
      </c>
      <c r="T166">
        <v>1700</v>
      </c>
      <c r="U166">
        <v>0</v>
      </c>
      <c r="V166">
        <v>1700</v>
      </c>
      <c r="W166">
        <v>1100</v>
      </c>
      <c r="X166">
        <v>600</v>
      </c>
      <c r="Y166" s="8">
        <v>0.35294117647058826</v>
      </c>
      <c r="Z166" t="s">
        <v>2996</v>
      </c>
      <c r="AA166" t="str">
        <f>IF(AND(SalesCleanTable[[#This Row],[Discount %]]&gt;0, SalesCleanTable[[#This Row],[Profit]]&lt;0), "Discount loss", "Safe")</f>
        <v>Safe</v>
      </c>
      <c r="AB166" s="25">
        <f>(SalesCleanTable[[#This Row],[Unit Price]] - SalesCleanTable[[#This Row],[Unit Cost]]) / SalesCleanTable[[#This Row],[Unit Price]]</f>
        <v>0.35294117647058826</v>
      </c>
      <c r="AC166" t="str">
        <f>IF(SalesCleanTable[[#This Row],[Discount %]] &gt; SalesCleanTable[[#This Row],[Max Allowed Discount]], "Discount loss", "Safe")</f>
        <v>Safe</v>
      </c>
      <c r="AD166" s="4">
        <f>SalesCleanTable[[#This Row],[Unit Price]] - SalesCleanTable[[#This Row],[Unit Cost]]</f>
        <v>300</v>
      </c>
      <c r="AE166" s="41">
        <f>(SalesCleanTable[[#This Row],[Unit Price]] - SalesCleanTable[[#This Row],[Unit Cost]]) / SalesCleanTable[[#This Row],[Unit Price]]</f>
        <v>0.35294117647058826</v>
      </c>
    </row>
    <row r="167" spans="1:31">
      <c r="A167" t="s">
        <v>353</v>
      </c>
      <c r="B167" s="6">
        <v>45791</v>
      </c>
      <c r="C167" t="s">
        <v>82</v>
      </c>
      <c r="D167" t="s">
        <v>83</v>
      </c>
      <c r="E167" t="s">
        <v>75</v>
      </c>
      <c r="F167" t="s">
        <v>84</v>
      </c>
      <c r="G167" t="s">
        <v>85</v>
      </c>
      <c r="H167" t="s">
        <v>133</v>
      </c>
      <c r="I167" t="s">
        <v>134</v>
      </c>
      <c r="J167" t="s">
        <v>130</v>
      </c>
      <c r="K167" t="s">
        <v>131</v>
      </c>
      <c r="L167" t="s">
        <v>170</v>
      </c>
      <c r="M167" t="s">
        <v>167</v>
      </c>
      <c r="N167">
        <v>3</v>
      </c>
      <c r="O167" s="4">
        <v>600</v>
      </c>
      <c r="P167" s="4">
        <v>950</v>
      </c>
      <c r="Q167" s="7">
        <v>0.1</v>
      </c>
      <c r="R167" t="s">
        <v>187</v>
      </c>
      <c r="S167">
        <v>14</v>
      </c>
      <c r="T167">
        <v>2850</v>
      </c>
      <c r="U167">
        <v>285</v>
      </c>
      <c r="V167">
        <v>2565</v>
      </c>
      <c r="W167">
        <v>1800</v>
      </c>
      <c r="X167">
        <v>765</v>
      </c>
      <c r="Y167" s="8">
        <v>0.2982456140350877</v>
      </c>
      <c r="Z167" t="s">
        <v>2996</v>
      </c>
      <c r="AA167" t="str">
        <f>IF(AND(SalesCleanTable[[#This Row],[Discount %]]&gt;0, SalesCleanTable[[#This Row],[Profit]]&lt;0), "Discount loss", "Safe")</f>
        <v>Safe</v>
      </c>
      <c r="AB167" s="25">
        <f>(SalesCleanTable[[#This Row],[Unit Price]] - SalesCleanTable[[#This Row],[Unit Cost]]) / SalesCleanTable[[#This Row],[Unit Price]]</f>
        <v>0.36842105263157893</v>
      </c>
      <c r="AC167" t="str">
        <f>IF(SalesCleanTable[[#This Row],[Discount %]] &gt; SalesCleanTable[[#This Row],[Max Allowed Discount]], "Discount loss", "Safe")</f>
        <v>Safe</v>
      </c>
      <c r="AD167" s="4">
        <f>SalesCleanTable[[#This Row],[Unit Price]] - SalesCleanTable[[#This Row],[Unit Cost]]</f>
        <v>350</v>
      </c>
      <c r="AE167" s="41">
        <f>(SalesCleanTable[[#This Row],[Unit Price]] - SalesCleanTable[[#This Row],[Unit Cost]]) / SalesCleanTable[[#This Row],[Unit Price]]</f>
        <v>0.36842105263157893</v>
      </c>
    </row>
    <row r="168" spans="1:31">
      <c r="A168" t="s">
        <v>354</v>
      </c>
      <c r="B168" s="6">
        <v>45746</v>
      </c>
      <c r="C168" t="s">
        <v>107</v>
      </c>
      <c r="D168" t="s">
        <v>108</v>
      </c>
      <c r="E168" t="s">
        <v>109</v>
      </c>
      <c r="F168" t="s">
        <v>110</v>
      </c>
      <c r="G168" t="s">
        <v>111</v>
      </c>
      <c r="H168" t="s">
        <v>135</v>
      </c>
      <c r="I168" t="s">
        <v>136</v>
      </c>
      <c r="J168" t="s">
        <v>137</v>
      </c>
      <c r="K168" t="s">
        <v>138</v>
      </c>
      <c r="L168" t="s">
        <v>183</v>
      </c>
      <c r="M168" t="s">
        <v>167</v>
      </c>
      <c r="N168">
        <v>1</v>
      </c>
      <c r="O168" s="4">
        <v>5200</v>
      </c>
      <c r="P168" s="4">
        <v>7000</v>
      </c>
      <c r="Q168" s="7">
        <v>0.2</v>
      </c>
      <c r="R168" t="s">
        <v>220</v>
      </c>
      <c r="S168">
        <v>12</v>
      </c>
      <c r="T168">
        <v>7000</v>
      </c>
      <c r="U168">
        <v>1400</v>
      </c>
      <c r="V168">
        <v>5600</v>
      </c>
      <c r="W168">
        <v>5200</v>
      </c>
      <c r="X168">
        <v>400</v>
      </c>
      <c r="Y168" s="8">
        <v>7.1428571428571425E-2</v>
      </c>
      <c r="Z168" t="s">
        <v>2997</v>
      </c>
      <c r="AA168" t="str">
        <f>IF(AND(SalesCleanTable[[#This Row],[Discount %]]&gt;0, SalesCleanTable[[#This Row],[Profit]]&lt;0), "Discount loss", "Safe")</f>
        <v>Safe</v>
      </c>
      <c r="AB168" s="25">
        <f>(SalesCleanTable[[#This Row],[Unit Price]] - SalesCleanTable[[#This Row],[Unit Cost]]) / SalesCleanTable[[#This Row],[Unit Price]]</f>
        <v>0.25714285714285712</v>
      </c>
      <c r="AC168" t="str">
        <f>IF(SalesCleanTable[[#This Row],[Discount %]] &gt; SalesCleanTable[[#This Row],[Max Allowed Discount]], "Discount loss", "Safe")</f>
        <v>Safe</v>
      </c>
      <c r="AD168" s="4">
        <f>SalesCleanTable[[#This Row],[Unit Price]] - SalesCleanTable[[#This Row],[Unit Cost]]</f>
        <v>1800</v>
      </c>
      <c r="AE168" s="41">
        <f>(SalesCleanTable[[#This Row],[Unit Price]] - SalesCleanTable[[#This Row],[Unit Cost]]) / SalesCleanTable[[#This Row],[Unit Price]]</f>
        <v>0.25714285714285712</v>
      </c>
    </row>
    <row r="169" spans="1:31">
      <c r="A169" t="s">
        <v>355</v>
      </c>
      <c r="B169" s="6">
        <v>45935</v>
      </c>
      <c r="C169" t="s">
        <v>45</v>
      </c>
      <c r="D169" t="s">
        <v>46</v>
      </c>
      <c r="E169" t="s">
        <v>38</v>
      </c>
      <c r="F169" t="s">
        <v>47</v>
      </c>
      <c r="G169" t="s">
        <v>48</v>
      </c>
      <c r="H169" t="s">
        <v>135</v>
      </c>
      <c r="I169" t="s">
        <v>136</v>
      </c>
      <c r="J169" t="s">
        <v>137</v>
      </c>
      <c r="K169" t="s">
        <v>138</v>
      </c>
      <c r="L169" t="s">
        <v>183</v>
      </c>
      <c r="M169" t="s">
        <v>177</v>
      </c>
      <c r="N169">
        <v>1</v>
      </c>
      <c r="O169" s="4">
        <v>230</v>
      </c>
      <c r="P169" s="4">
        <v>400</v>
      </c>
      <c r="Q169" s="7">
        <v>0.1</v>
      </c>
      <c r="R169" t="s">
        <v>175</v>
      </c>
      <c r="S169">
        <v>9</v>
      </c>
      <c r="T169">
        <v>400</v>
      </c>
      <c r="U169">
        <v>40</v>
      </c>
      <c r="V169">
        <v>360</v>
      </c>
      <c r="W169">
        <v>230</v>
      </c>
      <c r="X169">
        <v>130</v>
      </c>
      <c r="Y169" s="8">
        <v>0.3611111111111111</v>
      </c>
      <c r="Z169" t="s">
        <v>2995</v>
      </c>
      <c r="AA169" t="str">
        <f>IF(AND(SalesCleanTable[[#This Row],[Discount %]]&gt;0, SalesCleanTable[[#This Row],[Profit]]&lt;0), "Discount loss", "Safe")</f>
        <v>Safe</v>
      </c>
      <c r="AB169" s="25">
        <f>(SalesCleanTable[[#This Row],[Unit Price]] - SalesCleanTable[[#This Row],[Unit Cost]]) / SalesCleanTable[[#This Row],[Unit Price]]</f>
        <v>0.42499999999999999</v>
      </c>
      <c r="AC169" t="str">
        <f>IF(SalesCleanTable[[#This Row],[Discount %]] &gt; SalesCleanTable[[#This Row],[Max Allowed Discount]], "Discount loss", "Safe")</f>
        <v>Safe</v>
      </c>
      <c r="AD169" s="4">
        <f>SalesCleanTable[[#This Row],[Unit Price]] - SalesCleanTable[[#This Row],[Unit Cost]]</f>
        <v>170</v>
      </c>
      <c r="AE169" s="41">
        <f>(SalesCleanTable[[#This Row],[Unit Price]] - SalesCleanTable[[#This Row],[Unit Cost]]) / SalesCleanTable[[#This Row],[Unit Price]]</f>
        <v>0.42499999999999999</v>
      </c>
    </row>
    <row r="170" spans="1:31">
      <c r="A170" t="s">
        <v>356</v>
      </c>
      <c r="B170" s="6">
        <v>45760</v>
      </c>
      <c r="C170" t="s">
        <v>95</v>
      </c>
      <c r="D170" t="s">
        <v>96</v>
      </c>
      <c r="E170" t="s">
        <v>92</v>
      </c>
      <c r="F170" t="s">
        <v>97</v>
      </c>
      <c r="G170" t="s">
        <v>98</v>
      </c>
      <c r="H170" t="s">
        <v>133</v>
      </c>
      <c r="I170" t="s">
        <v>134</v>
      </c>
      <c r="J170" t="s">
        <v>130</v>
      </c>
      <c r="K170" t="s">
        <v>131</v>
      </c>
      <c r="L170" t="s">
        <v>166</v>
      </c>
      <c r="M170" t="s">
        <v>186</v>
      </c>
      <c r="N170">
        <v>3</v>
      </c>
      <c r="O170" s="4">
        <v>18000</v>
      </c>
      <c r="P170" s="4">
        <v>24500</v>
      </c>
      <c r="Q170" s="7">
        <v>0.05</v>
      </c>
      <c r="R170" t="s">
        <v>215</v>
      </c>
      <c r="S170">
        <v>3</v>
      </c>
      <c r="T170">
        <v>73500</v>
      </c>
      <c r="U170">
        <v>3675</v>
      </c>
      <c r="V170">
        <v>69825</v>
      </c>
      <c r="W170">
        <v>54000</v>
      </c>
      <c r="X170">
        <v>15825</v>
      </c>
      <c r="Y170" s="8">
        <v>0.22663802363050484</v>
      </c>
      <c r="Z170" t="s">
        <v>2995</v>
      </c>
      <c r="AA170" t="str">
        <f>IF(AND(SalesCleanTable[[#This Row],[Discount %]]&gt;0, SalesCleanTable[[#This Row],[Profit]]&lt;0), "Discount loss", "Safe")</f>
        <v>Safe</v>
      </c>
      <c r="AB170" s="25">
        <f>(SalesCleanTable[[#This Row],[Unit Price]] - SalesCleanTable[[#This Row],[Unit Cost]]) / SalesCleanTable[[#This Row],[Unit Price]]</f>
        <v>0.26530612244897961</v>
      </c>
      <c r="AC170" t="str">
        <f>IF(SalesCleanTable[[#This Row],[Discount %]] &gt; SalesCleanTable[[#This Row],[Max Allowed Discount]], "Discount loss", "Safe")</f>
        <v>Safe</v>
      </c>
      <c r="AD170" s="4">
        <f>SalesCleanTable[[#This Row],[Unit Price]] - SalesCleanTable[[#This Row],[Unit Cost]]</f>
        <v>6500</v>
      </c>
      <c r="AE170" s="41">
        <f>(SalesCleanTable[[#This Row],[Unit Price]] - SalesCleanTable[[#This Row],[Unit Cost]]) / SalesCleanTable[[#This Row],[Unit Price]]</f>
        <v>0.26530612244897961</v>
      </c>
    </row>
    <row r="171" spans="1:31">
      <c r="A171" t="s">
        <v>357</v>
      </c>
      <c r="B171" s="6">
        <v>45702</v>
      </c>
      <c r="C171" t="s">
        <v>29</v>
      </c>
      <c r="D171" t="s">
        <v>30</v>
      </c>
      <c r="E171" t="s">
        <v>26</v>
      </c>
      <c r="F171" t="s">
        <v>27</v>
      </c>
      <c r="G171" t="s">
        <v>31</v>
      </c>
      <c r="H171" t="s">
        <v>135</v>
      </c>
      <c r="I171" t="s">
        <v>136</v>
      </c>
      <c r="J171" t="s">
        <v>137</v>
      </c>
      <c r="K171" t="s">
        <v>138</v>
      </c>
      <c r="L171" t="s">
        <v>166</v>
      </c>
      <c r="M171" t="s">
        <v>186</v>
      </c>
      <c r="N171">
        <v>4</v>
      </c>
      <c r="O171" s="4">
        <v>6200</v>
      </c>
      <c r="P171" s="4">
        <v>7900</v>
      </c>
      <c r="Q171" s="7">
        <v>0.05</v>
      </c>
      <c r="R171" t="s">
        <v>173</v>
      </c>
      <c r="S171">
        <v>2</v>
      </c>
      <c r="T171">
        <v>31600</v>
      </c>
      <c r="U171">
        <v>1580</v>
      </c>
      <c r="V171">
        <v>30020</v>
      </c>
      <c r="W171">
        <v>24800</v>
      </c>
      <c r="X171">
        <v>5220</v>
      </c>
      <c r="Y171" s="8">
        <v>0.17388407728181213</v>
      </c>
      <c r="Z171" t="s">
        <v>2996</v>
      </c>
      <c r="AA171" t="str">
        <f>IF(AND(SalesCleanTable[[#This Row],[Discount %]]&gt;0, SalesCleanTable[[#This Row],[Profit]]&lt;0), "Discount loss", "Safe")</f>
        <v>Safe</v>
      </c>
      <c r="AB171" s="25">
        <f>(SalesCleanTable[[#This Row],[Unit Price]] - SalesCleanTable[[#This Row],[Unit Cost]]) / SalesCleanTable[[#This Row],[Unit Price]]</f>
        <v>0.21518987341772153</v>
      </c>
      <c r="AC171" t="str">
        <f>IF(SalesCleanTable[[#This Row],[Discount %]] &gt; SalesCleanTable[[#This Row],[Max Allowed Discount]], "Discount loss", "Safe")</f>
        <v>Safe</v>
      </c>
      <c r="AD171" s="4">
        <f>SalesCleanTable[[#This Row],[Unit Price]] - SalesCleanTable[[#This Row],[Unit Cost]]</f>
        <v>1700</v>
      </c>
      <c r="AE171" s="41">
        <f>(SalesCleanTable[[#This Row],[Unit Price]] - SalesCleanTable[[#This Row],[Unit Cost]]) / SalesCleanTable[[#This Row],[Unit Price]]</f>
        <v>0.21518987341772153</v>
      </c>
    </row>
    <row r="172" spans="1:31">
      <c r="A172" t="s">
        <v>358</v>
      </c>
      <c r="B172" s="6">
        <v>45820</v>
      </c>
      <c r="C172" t="s">
        <v>78</v>
      </c>
      <c r="D172" t="s">
        <v>79</v>
      </c>
      <c r="E172" t="s">
        <v>75</v>
      </c>
      <c r="F172" t="s">
        <v>80</v>
      </c>
      <c r="G172" t="s">
        <v>81</v>
      </c>
      <c r="H172" t="s">
        <v>139</v>
      </c>
      <c r="I172" t="s">
        <v>140</v>
      </c>
      <c r="J172" t="s">
        <v>137</v>
      </c>
      <c r="K172" t="s">
        <v>138</v>
      </c>
      <c r="L172" t="s">
        <v>183</v>
      </c>
      <c r="M172" t="s">
        <v>171</v>
      </c>
      <c r="N172">
        <v>4</v>
      </c>
      <c r="O172" s="4">
        <v>1200</v>
      </c>
      <c r="P172" s="4">
        <v>1900</v>
      </c>
      <c r="Q172" s="7">
        <v>0.05</v>
      </c>
      <c r="R172" t="s">
        <v>204</v>
      </c>
      <c r="S172">
        <v>10</v>
      </c>
      <c r="T172">
        <v>7600</v>
      </c>
      <c r="U172">
        <v>380</v>
      </c>
      <c r="V172">
        <v>7220</v>
      </c>
      <c r="W172">
        <v>4800</v>
      </c>
      <c r="X172">
        <v>2420</v>
      </c>
      <c r="Y172" s="8">
        <v>0.33518005540166207</v>
      </c>
      <c r="Z172" t="s">
        <v>2996</v>
      </c>
      <c r="AA172" t="str">
        <f>IF(AND(SalesCleanTable[[#This Row],[Discount %]]&gt;0, SalesCleanTable[[#This Row],[Profit]]&lt;0), "Discount loss", "Safe")</f>
        <v>Safe</v>
      </c>
      <c r="AB172" s="25">
        <f>(SalesCleanTable[[#This Row],[Unit Price]] - SalesCleanTable[[#This Row],[Unit Cost]]) / SalesCleanTable[[#This Row],[Unit Price]]</f>
        <v>0.36842105263157893</v>
      </c>
      <c r="AC172" t="str">
        <f>IF(SalesCleanTable[[#This Row],[Discount %]] &gt; SalesCleanTable[[#This Row],[Max Allowed Discount]], "Discount loss", "Safe")</f>
        <v>Safe</v>
      </c>
      <c r="AD172" s="4">
        <f>SalesCleanTable[[#This Row],[Unit Price]] - SalesCleanTable[[#This Row],[Unit Cost]]</f>
        <v>700</v>
      </c>
      <c r="AE172" s="41">
        <f>(SalesCleanTable[[#This Row],[Unit Price]] - SalesCleanTable[[#This Row],[Unit Cost]]) / SalesCleanTable[[#This Row],[Unit Price]]</f>
        <v>0.36842105263157893</v>
      </c>
    </row>
    <row r="173" spans="1:31">
      <c r="A173" t="s">
        <v>359</v>
      </c>
      <c r="B173" s="6">
        <v>45724</v>
      </c>
      <c r="C173" t="s">
        <v>53</v>
      </c>
      <c r="D173" t="s">
        <v>54</v>
      </c>
      <c r="E173" t="s">
        <v>38</v>
      </c>
      <c r="F173" t="s">
        <v>55</v>
      </c>
      <c r="G173" t="s">
        <v>56</v>
      </c>
      <c r="H173" t="s">
        <v>149</v>
      </c>
      <c r="I173" t="s">
        <v>150</v>
      </c>
      <c r="J173" t="s">
        <v>151</v>
      </c>
      <c r="K173" t="s">
        <v>152</v>
      </c>
      <c r="L173" t="s">
        <v>166</v>
      </c>
      <c r="M173" t="s">
        <v>177</v>
      </c>
      <c r="N173">
        <v>1</v>
      </c>
      <c r="O173" s="4">
        <v>330</v>
      </c>
      <c r="P173" s="4">
        <v>550</v>
      </c>
      <c r="Q173" s="7">
        <v>0</v>
      </c>
      <c r="R173" t="s">
        <v>175</v>
      </c>
      <c r="S173">
        <v>12</v>
      </c>
      <c r="T173">
        <v>550</v>
      </c>
      <c r="U173">
        <v>0</v>
      </c>
      <c r="V173">
        <v>550</v>
      </c>
      <c r="W173">
        <v>330</v>
      </c>
      <c r="X173">
        <v>220</v>
      </c>
      <c r="Y173" s="8">
        <v>0.4</v>
      </c>
      <c r="Z173" t="s">
        <v>2996</v>
      </c>
      <c r="AA173" t="str">
        <f>IF(AND(SalesCleanTable[[#This Row],[Discount %]]&gt;0, SalesCleanTable[[#This Row],[Profit]]&lt;0), "Discount loss", "Safe")</f>
        <v>Safe</v>
      </c>
      <c r="AB173" s="25">
        <f>(SalesCleanTable[[#This Row],[Unit Price]] - SalesCleanTable[[#This Row],[Unit Cost]]) / SalesCleanTable[[#This Row],[Unit Price]]</f>
        <v>0.4</v>
      </c>
      <c r="AC173" t="str">
        <f>IF(SalesCleanTable[[#This Row],[Discount %]] &gt; SalesCleanTable[[#This Row],[Max Allowed Discount]], "Discount loss", "Safe")</f>
        <v>Safe</v>
      </c>
      <c r="AD173" s="4">
        <f>SalesCleanTable[[#This Row],[Unit Price]] - SalesCleanTable[[#This Row],[Unit Cost]]</f>
        <v>220</v>
      </c>
      <c r="AE173" s="41">
        <f>(SalesCleanTable[[#This Row],[Unit Price]] - SalesCleanTable[[#This Row],[Unit Cost]]) / SalesCleanTable[[#This Row],[Unit Price]]</f>
        <v>0.4</v>
      </c>
    </row>
    <row r="174" spans="1:31">
      <c r="A174" t="s">
        <v>360</v>
      </c>
      <c r="B174" s="6">
        <v>45923</v>
      </c>
      <c r="C174" t="s">
        <v>107</v>
      </c>
      <c r="D174" t="s">
        <v>108</v>
      </c>
      <c r="E174" t="s">
        <v>109</v>
      </c>
      <c r="F174" t="s">
        <v>110</v>
      </c>
      <c r="G174" t="s">
        <v>111</v>
      </c>
      <c r="H174" t="s">
        <v>149</v>
      </c>
      <c r="I174" t="s">
        <v>150</v>
      </c>
      <c r="J174" t="s">
        <v>151</v>
      </c>
      <c r="K174" t="s">
        <v>152</v>
      </c>
      <c r="L174" t="s">
        <v>166</v>
      </c>
      <c r="M174" t="s">
        <v>177</v>
      </c>
      <c r="N174">
        <v>2</v>
      </c>
      <c r="O174" s="4">
        <v>5200</v>
      </c>
      <c r="P174" s="4">
        <v>7000</v>
      </c>
      <c r="Q174" s="7">
        <v>0.2</v>
      </c>
      <c r="R174" t="s">
        <v>220</v>
      </c>
      <c r="S174">
        <v>10</v>
      </c>
      <c r="T174">
        <v>14000</v>
      </c>
      <c r="U174">
        <v>2800</v>
      </c>
      <c r="V174">
        <v>11200</v>
      </c>
      <c r="W174">
        <v>10400</v>
      </c>
      <c r="X174">
        <v>800</v>
      </c>
      <c r="Y174" s="8">
        <v>7.1428571428571425E-2</v>
      </c>
      <c r="Z174" t="s">
        <v>2997</v>
      </c>
      <c r="AA174" t="str">
        <f>IF(AND(SalesCleanTable[[#This Row],[Discount %]]&gt;0, SalesCleanTable[[#This Row],[Profit]]&lt;0), "Discount loss", "Safe")</f>
        <v>Safe</v>
      </c>
      <c r="AB174" s="25">
        <f>(SalesCleanTable[[#This Row],[Unit Price]] - SalesCleanTable[[#This Row],[Unit Cost]]) / SalesCleanTable[[#This Row],[Unit Price]]</f>
        <v>0.25714285714285712</v>
      </c>
      <c r="AC174" t="str">
        <f>IF(SalesCleanTable[[#This Row],[Discount %]] &gt; SalesCleanTable[[#This Row],[Max Allowed Discount]], "Discount loss", "Safe")</f>
        <v>Safe</v>
      </c>
      <c r="AD174" s="4">
        <f>SalesCleanTable[[#This Row],[Unit Price]] - SalesCleanTable[[#This Row],[Unit Cost]]</f>
        <v>1800</v>
      </c>
      <c r="AE174" s="41">
        <f>(SalesCleanTable[[#This Row],[Unit Price]] - SalesCleanTable[[#This Row],[Unit Cost]]) / SalesCleanTable[[#This Row],[Unit Price]]</f>
        <v>0.25714285714285712</v>
      </c>
    </row>
    <row r="175" spans="1:31">
      <c r="A175" t="s">
        <v>361</v>
      </c>
      <c r="B175" s="6">
        <v>45915</v>
      </c>
      <c r="C175" t="s">
        <v>73</v>
      </c>
      <c r="D175" t="s">
        <v>74</v>
      </c>
      <c r="E175" t="s">
        <v>75</v>
      </c>
      <c r="F175" t="s">
        <v>76</v>
      </c>
      <c r="G175" t="s">
        <v>77</v>
      </c>
      <c r="H175" t="s">
        <v>139</v>
      </c>
      <c r="I175" t="s">
        <v>140</v>
      </c>
      <c r="J175" t="s">
        <v>137</v>
      </c>
      <c r="K175" t="s">
        <v>138</v>
      </c>
      <c r="L175" t="s">
        <v>183</v>
      </c>
      <c r="M175" t="s">
        <v>171</v>
      </c>
      <c r="N175">
        <v>3</v>
      </c>
      <c r="O175" s="4">
        <v>3500</v>
      </c>
      <c r="P175" s="4">
        <v>5200</v>
      </c>
      <c r="Q175" s="7">
        <v>0</v>
      </c>
      <c r="R175" t="s">
        <v>208</v>
      </c>
      <c r="S175">
        <v>14</v>
      </c>
      <c r="T175">
        <v>15600</v>
      </c>
      <c r="U175">
        <v>0</v>
      </c>
      <c r="V175">
        <v>15600</v>
      </c>
      <c r="W175">
        <v>10500</v>
      </c>
      <c r="X175">
        <v>5100</v>
      </c>
      <c r="Y175" s="8">
        <v>0.32692307692307693</v>
      </c>
      <c r="Z175" t="s">
        <v>2996</v>
      </c>
      <c r="AA175" t="str">
        <f>IF(AND(SalesCleanTable[[#This Row],[Discount %]]&gt;0, SalesCleanTable[[#This Row],[Profit]]&lt;0), "Discount loss", "Safe")</f>
        <v>Safe</v>
      </c>
      <c r="AB175" s="25">
        <f>(SalesCleanTable[[#This Row],[Unit Price]] - SalesCleanTable[[#This Row],[Unit Cost]]) / SalesCleanTable[[#This Row],[Unit Price]]</f>
        <v>0.32692307692307693</v>
      </c>
      <c r="AC175" t="str">
        <f>IF(SalesCleanTable[[#This Row],[Discount %]] &gt; SalesCleanTable[[#This Row],[Max Allowed Discount]], "Discount loss", "Safe")</f>
        <v>Safe</v>
      </c>
      <c r="AD175" s="4">
        <f>SalesCleanTable[[#This Row],[Unit Price]] - SalesCleanTable[[#This Row],[Unit Cost]]</f>
        <v>1700</v>
      </c>
      <c r="AE175" s="41">
        <f>(SalesCleanTable[[#This Row],[Unit Price]] - SalesCleanTable[[#This Row],[Unit Cost]]) / SalesCleanTable[[#This Row],[Unit Price]]</f>
        <v>0.32692307692307693</v>
      </c>
    </row>
    <row r="176" spans="1:31">
      <c r="A176" t="s">
        <v>362</v>
      </c>
      <c r="B176" s="6">
        <v>45679</v>
      </c>
      <c r="C176" t="s">
        <v>99</v>
      </c>
      <c r="D176" t="s">
        <v>100</v>
      </c>
      <c r="E176" t="s">
        <v>92</v>
      </c>
      <c r="F176" t="s">
        <v>101</v>
      </c>
      <c r="G176" t="s">
        <v>102</v>
      </c>
      <c r="H176" t="s">
        <v>128</v>
      </c>
      <c r="I176" t="s">
        <v>129</v>
      </c>
      <c r="J176" t="s">
        <v>130</v>
      </c>
      <c r="K176" t="s">
        <v>131</v>
      </c>
      <c r="L176" t="s">
        <v>166</v>
      </c>
      <c r="M176" t="s">
        <v>171</v>
      </c>
      <c r="N176">
        <v>1</v>
      </c>
      <c r="O176" s="4">
        <v>12500</v>
      </c>
      <c r="P176" s="4">
        <v>18500</v>
      </c>
      <c r="Q176" s="7">
        <v>0.1</v>
      </c>
      <c r="R176" t="s">
        <v>215</v>
      </c>
      <c r="S176">
        <v>7</v>
      </c>
      <c r="T176">
        <v>18500</v>
      </c>
      <c r="U176">
        <v>1850</v>
      </c>
      <c r="V176">
        <v>16650</v>
      </c>
      <c r="W176">
        <v>12500</v>
      </c>
      <c r="X176">
        <v>4150</v>
      </c>
      <c r="Y176" s="8">
        <v>0.24924924924924924</v>
      </c>
      <c r="Z176" t="s">
        <v>2995</v>
      </c>
      <c r="AA176" t="str">
        <f>IF(AND(SalesCleanTable[[#This Row],[Discount %]]&gt;0, SalesCleanTable[[#This Row],[Profit]]&lt;0), "Discount loss", "Safe")</f>
        <v>Safe</v>
      </c>
      <c r="AB176" s="25">
        <f>(SalesCleanTable[[#This Row],[Unit Price]] - SalesCleanTable[[#This Row],[Unit Cost]]) / SalesCleanTable[[#This Row],[Unit Price]]</f>
        <v>0.32432432432432434</v>
      </c>
      <c r="AC176" t="str">
        <f>IF(SalesCleanTable[[#This Row],[Discount %]] &gt; SalesCleanTable[[#This Row],[Max Allowed Discount]], "Discount loss", "Safe")</f>
        <v>Safe</v>
      </c>
      <c r="AD176" s="4">
        <f>SalesCleanTable[[#This Row],[Unit Price]] - SalesCleanTable[[#This Row],[Unit Cost]]</f>
        <v>6000</v>
      </c>
      <c r="AE176" s="41">
        <f>(SalesCleanTable[[#This Row],[Unit Price]] - SalesCleanTable[[#This Row],[Unit Cost]]) / SalesCleanTable[[#This Row],[Unit Price]]</f>
        <v>0.32432432432432434</v>
      </c>
    </row>
    <row r="177" spans="1:31">
      <c r="A177" t="s">
        <v>363</v>
      </c>
      <c r="B177" s="6">
        <v>45673</v>
      </c>
      <c r="C177" t="s">
        <v>53</v>
      </c>
      <c r="D177" t="s">
        <v>54</v>
      </c>
      <c r="E177" t="s">
        <v>38</v>
      </c>
      <c r="F177" t="s">
        <v>55</v>
      </c>
      <c r="G177" t="s">
        <v>56</v>
      </c>
      <c r="H177" t="s">
        <v>141</v>
      </c>
      <c r="I177" t="s">
        <v>142</v>
      </c>
      <c r="J177" t="s">
        <v>143</v>
      </c>
      <c r="K177" t="s">
        <v>144</v>
      </c>
      <c r="L177" t="s">
        <v>166</v>
      </c>
      <c r="M177" t="s">
        <v>171</v>
      </c>
      <c r="N177">
        <v>2</v>
      </c>
      <c r="O177" s="4">
        <v>330</v>
      </c>
      <c r="P177" s="4">
        <v>550</v>
      </c>
      <c r="Q177" s="7">
        <v>0.2</v>
      </c>
      <c r="R177" t="s">
        <v>168</v>
      </c>
      <c r="S177">
        <v>7</v>
      </c>
      <c r="T177">
        <v>1100</v>
      </c>
      <c r="U177">
        <v>220</v>
      </c>
      <c r="V177">
        <v>880</v>
      </c>
      <c r="W177">
        <v>660</v>
      </c>
      <c r="X177">
        <v>220</v>
      </c>
      <c r="Y177" s="8">
        <v>0.25</v>
      </c>
      <c r="Z177" t="s">
        <v>2996</v>
      </c>
      <c r="AA177" t="str">
        <f>IF(AND(SalesCleanTable[[#This Row],[Discount %]]&gt;0, SalesCleanTable[[#This Row],[Profit]]&lt;0), "Discount loss", "Safe")</f>
        <v>Safe</v>
      </c>
      <c r="AB177" s="25">
        <f>(SalesCleanTable[[#This Row],[Unit Price]] - SalesCleanTable[[#This Row],[Unit Cost]]) / SalesCleanTable[[#This Row],[Unit Price]]</f>
        <v>0.4</v>
      </c>
      <c r="AC177" t="str">
        <f>IF(SalesCleanTable[[#This Row],[Discount %]] &gt; SalesCleanTable[[#This Row],[Max Allowed Discount]], "Discount loss", "Safe")</f>
        <v>Safe</v>
      </c>
      <c r="AD177" s="4">
        <f>SalesCleanTable[[#This Row],[Unit Price]] - SalesCleanTable[[#This Row],[Unit Cost]]</f>
        <v>220</v>
      </c>
      <c r="AE177" s="41">
        <f>(SalesCleanTable[[#This Row],[Unit Price]] - SalesCleanTable[[#This Row],[Unit Cost]]) / SalesCleanTable[[#This Row],[Unit Price]]</f>
        <v>0.4</v>
      </c>
    </row>
    <row r="178" spans="1:31">
      <c r="A178" t="s">
        <v>364</v>
      </c>
      <c r="B178" s="6">
        <v>45695</v>
      </c>
      <c r="C178" t="s">
        <v>78</v>
      </c>
      <c r="D178" t="s">
        <v>79</v>
      </c>
      <c r="E178" t="s">
        <v>75</v>
      </c>
      <c r="F178" t="s">
        <v>80</v>
      </c>
      <c r="G178" t="s">
        <v>81</v>
      </c>
      <c r="H178" t="s">
        <v>133</v>
      </c>
      <c r="I178" t="s">
        <v>134</v>
      </c>
      <c r="J178" t="s">
        <v>130</v>
      </c>
      <c r="K178" t="s">
        <v>131</v>
      </c>
      <c r="L178" t="s">
        <v>166</v>
      </c>
      <c r="M178" t="s">
        <v>177</v>
      </c>
      <c r="N178">
        <v>2</v>
      </c>
      <c r="O178" s="4">
        <v>1200</v>
      </c>
      <c r="P178" s="4">
        <v>1900</v>
      </c>
      <c r="Q178" s="7">
        <v>0.05</v>
      </c>
      <c r="R178" t="s">
        <v>204</v>
      </c>
      <c r="S178">
        <v>6</v>
      </c>
      <c r="T178">
        <v>3800</v>
      </c>
      <c r="U178">
        <v>190</v>
      </c>
      <c r="V178">
        <v>3610</v>
      </c>
      <c r="W178">
        <v>2400</v>
      </c>
      <c r="X178">
        <v>1210</v>
      </c>
      <c r="Y178" s="8">
        <v>0.33518005540166207</v>
      </c>
      <c r="Z178" t="s">
        <v>2996</v>
      </c>
      <c r="AA178" t="str">
        <f>IF(AND(SalesCleanTable[[#This Row],[Discount %]]&gt;0, SalesCleanTable[[#This Row],[Profit]]&lt;0), "Discount loss", "Safe")</f>
        <v>Safe</v>
      </c>
      <c r="AB178" s="25">
        <f>(SalesCleanTable[[#This Row],[Unit Price]] - SalesCleanTable[[#This Row],[Unit Cost]]) / SalesCleanTable[[#This Row],[Unit Price]]</f>
        <v>0.36842105263157893</v>
      </c>
      <c r="AC178" t="str">
        <f>IF(SalesCleanTable[[#This Row],[Discount %]] &gt; SalesCleanTable[[#This Row],[Max Allowed Discount]], "Discount loss", "Safe")</f>
        <v>Safe</v>
      </c>
      <c r="AD178" s="4">
        <f>SalesCleanTable[[#This Row],[Unit Price]] - SalesCleanTable[[#This Row],[Unit Cost]]</f>
        <v>700</v>
      </c>
      <c r="AE178" s="41">
        <f>(SalesCleanTable[[#This Row],[Unit Price]] - SalesCleanTable[[#This Row],[Unit Cost]]) / SalesCleanTable[[#This Row],[Unit Price]]</f>
        <v>0.36842105263157893</v>
      </c>
    </row>
    <row r="179" spans="1:31">
      <c r="A179" t="s">
        <v>365</v>
      </c>
      <c r="B179" s="6">
        <v>45834</v>
      </c>
      <c r="C179" t="s">
        <v>116</v>
      </c>
      <c r="D179" t="s">
        <v>117</v>
      </c>
      <c r="E179" t="s">
        <v>109</v>
      </c>
      <c r="F179" t="s">
        <v>118</v>
      </c>
      <c r="G179" t="s">
        <v>119</v>
      </c>
      <c r="H179" t="s">
        <v>128</v>
      </c>
      <c r="I179" t="s">
        <v>129</v>
      </c>
      <c r="J179" t="s">
        <v>130</v>
      </c>
      <c r="K179" t="s">
        <v>131</v>
      </c>
      <c r="L179" t="s">
        <v>166</v>
      </c>
      <c r="M179" t="s">
        <v>186</v>
      </c>
      <c r="N179">
        <v>2</v>
      </c>
      <c r="O179" s="4">
        <v>2800</v>
      </c>
      <c r="P179" s="4">
        <v>4200</v>
      </c>
      <c r="Q179" s="7">
        <v>0.1</v>
      </c>
      <c r="R179" t="s">
        <v>220</v>
      </c>
      <c r="S179">
        <v>8</v>
      </c>
      <c r="T179">
        <v>8400</v>
      </c>
      <c r="U179">
        <v>840</v>
      </c>
      <c r="V179">
        <v>7560</v>
      </c>
      <c r="W179">
        <v>5600</v>
      </c>
      <c r="X179">
        <v>1960</v>
      </c>
      <c r="Y179" s="8">
        <v>0.25925925925925924</v>
      </c>
      <c r="Z179" t="s">
        <v>2995</v>
      </c>
      <c r="AA179" t="str">
        <f>IF(AND(SalesCleanTable[[#This Row],[Discount %]]&gt;0, SalesCleanTable[[#This Row],[Profit]]&lt;0), "Discount loss", "Safe")</f>
        <v>Safe</v>
      </c>
      <c r="AB179" s="25">
        <f>(SalesCleanTable[[#This Row],[Unit Price]] - SalesCleanTable[[#This Row],[Unit Cost]]) / SalesCleanTable[[#This Row],[Unit Price]]</f>
        <v>0.33333333333333331</v>
      </c>
      <c r="AC179" t="str">
        <f>IF(SalesCleanTable[[#This Row],[Discount %]] &gt; SalesCleanTable[[#This Row],[Max Allowed Discount]], "Discount loss", "Safe")</f>
        <v>Safe</v>
      </c>
      <c r="AD179" s="4">
        <f>SalesCleanTable[[#This Row],[Unit Price]] - SalesCleanTable[[#This Row],[Unit Cost]]</f>
        <v>1400</v>
      </c>
      <c r="AE179" s="41">
        <f>(SalesCleanTable[[#This Row],[Unit Price]] - SalesCleanTable[[#This Row],[Unit Cost]]) / SalesCleanTable[[#This Row],[Unit Price]]</f>
        <v>0.33333333333333331</v>
      </c>
    </row>
    <row r="180" spans="1:31">
      <c r="A180" t="s">
        <v>366</v>
      </c>
      <c r="B180" s="6">
        <v>45707</v>
      </c>
      <c r="C180" t="s">
        <v>24</v>
      </c>
      <c r="D180" t="s">
        <v>25</v>
      </c>
      <c r="E180" t="s">
        <v>26</v>
      </c>
      <c r="F180" t="s">
        <v>27</v>
      </c>
      <c r="G180" t="s">
        <v>28</v>
      </c>
      <c r="H180" t="s">
        <v>153</v>
      </c>
      <c r="I180" t="s">
        <v>154</v>
      </c>
      <c r="J180" t="s">
        <v>155</v>
      </c>
      <c r="K180" t="s">
        <v>131</v>
      </c>
      <c r="L180" t="s">
        <v>170</v>
      </c>
      <c r="M180" t="s">
        <v>171</v>
      </c>
      <c r="N180">
        <v>6</v>
      </c>
      <c r="O180" s="4">
        <v>14500</v>
      </c>
      <c r="P180" s="4">
        <v>17500</v>
      </c>
      <c r="Q180" s="7">
        <v>0.05</v>
      </c>
      <c r="R180" t="s">
        <v>194</v>
      </c>
      <c r="S180">
        <v>10</v>
      </c>
      <c r="T180">
        <v>105000</v>
      </c>
      <c r="U180">
        <v>5250</v>
      </c>
      <c r="V180">
        <v>99750</v>
      </c>
      <c r="W180">
        <v>87000</v>
      </c>
      <c r="X180">
        <v>12750</v>
      </c>
      <c r="Y180" s="8">
        <v>0.12781954887218044</v>
      </c>
      <c r="Z180" t="s">
        <v>2995</v>
      </c>
      <c r="AA180" t="str">
        <f>IF(AND(SalesCleanTable[[#This Row],[Discount %]]&gt;0, SalesCleanTable[[#This Row],[Profit]]&lt;0), "Discount loss", "Safe")</f>
        <v>Safe</v>
      </c>
      <c r="AB180" s="25">
        <f>(SalesCleanTable[[#This Row],[Unit Price]] - SalesCleanTable[[#This Row],[Unit Cost]]) / SalesCleanTable[[#This Row],[Unit Price]]</f>
        <v>0.17142857142857143</v>
      </c>
      <c r="AC180" t="str">
        <f>IF(SalesCleanTable[[#This Row],[Discount %]] &gt; SalesCleanTable[[#This Row],[Max Allowed Discount]], "Discount loss", "Safe")</f>
        <v>Safe</v>
      </c>
      <c r="AD180" s="4">
        <f>SalesCleanTable[[#This Row],[Unit Price]] - SalesCleanTable[[#This Row],[Unit Cost]]</f>
        <v>3000</v>
      </c>
      <c r="AE180" s="41">
        <f>(SalesCleanTable[[#This Row],[Unit Price]] - SalesCleanTable[[#This Row],[Unit Cost]]) / SalesCleanTable[[#This Row],[Unit Price]]</f>
        <v>0.17142857142857143</v>
      </c>
    </row>
    <row r="181" spans="1:31">
      <c r="A181" t="s">
        <v>367</v>
      </c>
      <c r="B181" s="6">
        <v>45755</v>
      </c>
      <c r="C181" t="s">
        <v>86</v>
      </c>
      <c r="D181" t="s">
        <v>87</v>
      </c>
      <c r="E181" t="s">
        <v>75</v>
      </c>
      <c r="F181" t="s">
        <v>88</v>
      </c>
      <c r="G181" t="s">
        <v>89</v>
      </c>
      <c r="H181" t="s">
        <v>139</v>
      </c>
      <c r="I181" t="s">
        <v>140</v>
      </c>
      <c r="J181" t="s">
        <v>137</v>
      </c>
      <c r="K181" t="s">
        <v>138</v>
      </c>
      <c r="L181" t="s">
        <v>166</v>
      </c>
      <c r="M181" t="s">
        <v>177</v>
      </c>
      <c r="N181">
        <v>3</v>
      </c>
      <c r="O181" s="4">
        <v>8500</v>
      </c>
      <c r="P181" s="4">
        <v>12500</v>
      </c>
      <c r="Q181" s="7">
        <v>0.15</v>
      </c>
      <c r="R181" t="s">
        <v>208</v>
      </c>
      <c r="S181">
        <v>9</v>
      </c>
      <c r="T181">
        <v>37500</v>
      </c>
      <c r="U181">
        <v>5625</v>
      </c>
      <c r="V181">
        <v>31875</v>
      </c>
      <c r="W181">
        <v>25500</v>
      </c>
      <c r="X181">
        <v>6375</v>
      </c>
      <c r="Y181" s="8">
        <v>0.2</v>
      </c>
      <c r="Z181" t="s">
        <v>2997</v>
      </c>
      <c r="AA181" t="str">
        <f>IF(AND(SalesCleanTable[[#This Row],[Discount %]]&gt;0, SalesCleanTable[[#This Row],[Profit]]&lt;0), "Discount loss", "Safe")</f>
        <v>Safe</v>
      </c>
      <c r="AB181" s="25">
        <f>(SalesCleanTable[[#This Row],[Unit Price]] - SalesCleanTable[[#This Row],[Unit Cost]]) / SalesCleanTable[[#This Row],[Unit Price]]</f>
        <v>0.32</v>
      </c>
      <c r="AC181" t="str">
        <f>IF(SalesCleanTable[[#This Row],[Discount %]] &gt; SalesCleanTable[[#This Row],[Max Allowed Discount]], "Discount loss", "Safe")</f>
        <v>Safe</v>
      </c>
      <c r="AD181" s="4">
        <f>SalesCleanTable[[#This Row],[Unit Price]] - SalesCleanTable[[#This Row],[Unit Cost]]</f>
        <v>4000</v>
      </c>
      <c r="AE181" s="41">
        <f>(SalesCleanTable[[#This Row],[Unit Price]] - SalesCleanTable[[#This Row],[Unit Cost]]) / SalesCleanTable[[#This Row],[Unit Price]]</f>
        <v>0.32</v>
      </c>
    </row>
    <row r="182" spans="1:31">
      <c r="A182" t="s">
        <v>368</v>
      </c>
      <c r="B182" s="6">
        <v>45781</v>
      </c>
      <c r="C182" t="s">
        <v>41</v>
      </c>
      <c r="D182" t="s">
        <v>42</v>
      </c>
      <c r="E182" t="s">
        <v>26</v>
      </c>
      <c r="F182" t="s">
        <v>43</v>
      </c>
      <c r="G182" t="s">
        <v>44</v>
      </c>
      <c r="H182" t="s">
        <v>135</v>
      </c>
      <c r="I182" t="s">
        <v>136</v>
      </c>
      <c r="J182" t="s">
        <v>137</v>
      </c>
      <c r="K182" t="s">
        <v>138</v>
      </c>
      <c r="L182" t="s">
        <v>183</v>
      </c>
      <c r="M182" t="s">
        <v>171</v>
      </c>
      <c r="N182">
        <v>1</v>
      </c>
      <c r="O182" s="4">
        <v>850</v>
      </c>
      <c r="P182" s="4">
        <v>1300</v>
      </c>
      <c r="Q182" s="7">
        <v>0.05</v>
      </c>
      <c r="R182" t="s">
        <v>194</v>
      </c>
      <c r="S182">
        <v>5</v>
      </c>
      <c r="T182">
        <v>1300</v>
      </c>
      <c r="U182">
        <v>65</v>
      </c>
      <c r="V182">
        <v>1235</v>
      </c>
      <c r="W182">
        <v>850</v>
      </c>
      <c r="X182">
        <v>385</v>
      </c>
      <c r="Y182" s="8">
        <v>0.31174089068825911</v>
      </c>
      <c r="Z182" t="s">
        <v>2995</v>
      </c>
      <c r="AA182" t="str">
        <f>IF(AND(SalesCleanTable[[#This Row],[Discount %]]&gt;0, SalesCleanTable[[#This Row],[Profit]]&lt;0), "Discount loss", "Safe")</f>
        <v>Safe</v>
      </c>
      <c r="AB182" s="25">
        <f>(SalesCleanTable[[#This Row],[Unit Price]] - SalesCleanTable[[#This Row],[Unit Cost]]) / SalesCleanTable[[#This Row],[Unit Price]]</f>
        <v>0.34615384615384615</v>
      </c>
      <c r="AC182" t="str">
        <f>IF(SalesCleanTable[[#This Row],[Discount %]] &gt; SalesCleanTable[[#This Row],[Max Allowed Discount]], "Discount loss", "Safe")</f>
        <v>Safe</v>
      </c>
      <c r="AD182" s="4">
        <f>SalesCleanTable[[#This Row],[Unit Price]] - SalesCleanTable[[#This Row],[Unit Cost]]</f>
        <v>450</v>
      </c>
      <c r="AE182" s="41">
        <f>(SalesCleanTable[[#This Row],[Unit Price]] - SalesCleanTable[[#This Row],[Unit Cost]]) / SalesCleanTable[[#This Row],[Unit Price]]</f>
        <v>0.34615384615384615</v>
      </c>
    </row>
    <row r="183" spans="1:31">
      <c r="A183" t="s">
        <v>369</v>
      </c>
      <c r="B183" s="6">
        <v>45713</v>
      </c>
      <c r="C183" t="s">
        <v>53</v>
      </c>
      <c r="D183" t="s">
        <v>54</v>
      </c>
      <c r="E183" t="s">
        <v>38</v>
      </c>
      <c r="F183" t="s">
        <v>55</v>
      </c>
      <c r="G183" t="s">
        <v>56</v>
      </c>
      <c r="H183" t="s">
        <v>149</v>
      </c>
      <c r="I183" t="s">
        <v>150</v>
      </c>
      <c r="J183" t="s">
        <v>151</v>
      </c>
      <c r="K183" t="s">
        <v>152</v>
      </c>
      <c r="L183" t="s">
        <v>166</v>
      </c>
      <c r="M183" t="s">
        <v>186</v>
      </c>
      <c r="N183">
        <v>4</v>
      </c>
      <c r="O183" s="4">
        <v>330</v>
      </c>
      <c r="P183" s="4">
        <v>550</v>
      </c>
      <c r="Q183" s="7">
        <v>0.1</v>
      </c>
      <c r="R183" t="s">
        <v>168</v>
      </c>
      <c r="S183">
        <v>9</v>
      </c>
      <c r="T183">
        <v>2200</v>
      </c>
      <c r="U183">
        <v>220</v>
      </c>
      <c r="V183">
        <v>1980</v>
      </c>
      <c r="W183">
        <v>1320</v>
      </c>
      <c r="X183">
        <v>660</v>
      </c>
      <c r="Y183" s="8">
        <v>0.33333333333333331</v>
      </c>
      <c r="Z183" t="s">
        <v>2996</v>
      </c>
      <c r="AA183" t="str">
        <f>IF(AND(SalesCleanTable[[#This Row],[Discount %]]&gt;0, SalesCleanTable[[#This Row],[Profit]]&lt;0), "Discount loss", "Safe")</f>
        <v>Safe</v>
      </c>
      <c r="AB183" s="25">
        <f>(SalesCleanTable[[#This Row],[Unit Price]] - SalesCleanTable[[#This Row],[Unit Cost]]) / SalesCleanTable[[#This Row],[Unit Price]]</f>
        <v>0.4</v>
      </c>
      <c r="AC183" t="str">
        <f>IF(SalesCleanTable[[#This Row],[Discount %]] &gt; SalesCleanTable[[#This Row],[Max Allowed Discount]], "Discount loss", "Safe")</f>
        <v>Safe</v>
      </c>
      <c r="AD183" s="4">
        <f>SalesCleanTable[[#This Row],[Unit Price]] - SalesCleanTable[[#This Row],[Unit Cost]]</f>
        <v>220</v>
      </c>
      <c r="AE183" s="41">
        <f>(SalesCleanTable[[#This Row],[Unit Price]] - SalesCleanTable[[#This Row],[Unit Cost]]) / SalesCleanTable[[#This Row],[Unit Price]]</f>
        <v>0.4</v>
      </c>
    </row>
    <row r="184" spans="1:31">
      <c r="A184" t="s">
        <v>370</v>
      </c>
      <c r="B184" s="6">
        <v>45941</v>
      </c>
      <c r="C184" t="s">
        <v>45</v>
      </c>
      <c r="D184" t="s">
        <v>46</v>
      </c>
      <c r="E184" t="s">
        <v>38</v>
      </c>
      <c r="F184" t="s">
        <v>47</v>
      </c>
      <c r="G184" t="s">
        <v>48</v>
      </c>
      <c r="H184" t="s">
        <v>135</v>
      </c>
      <c r="I184" t="s">
        <v>136</v>
      </c>
      <c r="J184" t="s">
        <v>137</v>
      </c>
      <c r="K184" t="s">
        <v>138</v>
      </c>
      <c r="L184" t="s">
        <v>183</v>
      </c>
      <c r="M184" t="s">
        <v>171</v>
      </c>
      <c r="N184">
        <v>2</v>
      </c>
      <c r="O184" s="4">
        <v>230</v>
      </c>
      <c r="P184" s="4">
        <v>400</v>
      </c>
      <c r="Q184" s="7">
        <v>0.05</v>
      </c>
      <c r="R184" t="s">
        <v>168</v>
      </c>
      <c r="S184">
        <v>2</v>
      </c>
      <c r="T184">
        <v>800</v>
      </c>
      <c r="U184">
        <v>40</v>
      </c>
      <c r="V184">
        <v>760</v>
      </c>
      <c r="W184">
        <v>460</v>
      </c>
      <c r="X184">
        <v>300</v>
      </c>
      <c r="Y184" s="8">
        <v>0.39473684210526316</v>
      </c>
      <c r="Z184" t="s">
        <v>2995</v>
      </c>
      <c r="AA184" t="str">
        <f>IF(AND(SalesCleanTable[[#This Row],[Discount %]]&gt;0, SalesCleanTable[[#This Row],[Profit]]&lt;0), "Discount loss", "Safe")</f>
        <v>Safe</v>
      </c>
      <c r="AB184" s="25">
        <f>(SalesCleanTable[[#This Row],[Unit Price]] - SalesCleanTable[[#This Row],[Unit Cost]]) / SalesCleanTable[[#This Row],[Unit Price]]</f>
        <v>0.42499999999999999</v>
      </c>
      <c r="AC184" t="str">
        <f>IF(SalesCleanTable[[#This Row],[Discount %]] &gt; SalesCleanTable[[#This Row],[Max Allowed Discount]], "Discount loss", "Safe")</f>
        <v>Safe</v>
      </c>
      <c r="AD184" s="4">
        <f>SalesCleanTable[[#This Row],[Unit Price]] - SalesCleanTable[[#This Row],[Unit Cost]]</f>
        <v>170</v>
      </c>
      <c r="AE184" s="41">
        <f>(SalesCleanTable[[#This Row],[Unit Price]] - SalesCleanTable[[#This Row],[Unit Cost]]) / SalesCleanTable[[#This Row],[Unit Price]]</f>
        <v>0.42499999999999999</v>
      </c>
    </row>
    <row r="185" spans="1:31">
      <c r="A185" t="s">
        <v>371</v>
      </c>
      <c r="B185" s="6">
        <v>45707</v>
      </c>
      <c r="C185" t="s">
        <v>49</v>
      </c>
      <c r="D185" t="s">
        <v>50</v>
      </c>
      <c r="E185" t="s">
        <v>38</v>
      </c>
      <c r="F185" t="s">
        <v>51</v>
      </c>
      <c r="G185" t="s">
        <v>52</v>
      </c>
      <c r="H185" t="s">
        <v>145</v>
      </c>
      <c r="I185" t="s">
        <v>146</v>
      </c>
      <c r="J185" t="s">
        <v>147</v>
      </c>
      <c r="K185" t="s">
        <v>148</v>
      </c>
      <c r="L185" t="s">
        <v>183</v>
      </c>
      <c r="M185" t="s">
        <v>177</v>
      </c>
      <c r="N185">
        <v>2</v>
      </c>
      <c r="O185" s="4">
        <v>550</v>
      </c>
      <c r="P185" s="4">
        <v>850</v>
      </c>
      <c r="Q185" s="7">
        <v>0.2</v>
      </c>
      <c r="R185" t="s">
        <v>168</v>
      </c>
      <c r="S185">
        <v>7</v>
      </c>
      <c r="T185">
        <v>1700</v>
      </c>
      <c r="U185">
        <v>340</v>
      </c>
      <c r="V185">
        <v>1360</v>
      </c>
      <c r="W185">
        <v>1100</v>
      </c>
      <c r="X185">
        <v>260</v>
      </c>
      <c r="Y185" s="8">
        <v>0.19117647058823528</v>
      </c>
      <c r="Z185" t="s">
        <v>2996</v>
      </c>
      <c r="AA185" t="str">
        <f>IF(AND(SalesCleanTable[[#This Row],[Discount %]]&gt;0, SalesCleanTable[[#This Row],[Profit]]&lt;0), "Discount loss", "Safe")</f>
        <v>Safe</v>
      </c>
      <c r="AB185" s="25">
        <f>(SalesCleanTable[[#This Row],[Unit Price]] - SalesCleanTable[[#This Row],[Unit Cost]]) / SalesCleanTable[[#This Row],[Unit Price]]</f>
        <v>0.35294117647058826</v>
      </c>
      <c r="AC185" t="str">
        <f>IF(SalesCleanTable[[#This Row],[Discount %]] &gt; SalesCleanTable[[#This Row],[Max Allowed Discount]], "Discount loss", "Safe")</f>
        <v>Safe</v>
      </c>
      <c r="AD185" s="4">
        <f>SalesCleanTable[[#This Row],[Unit Price]] - SalesCleanTable[[#This Row],[Unit Cost]]</f>
        <v>300</v>
      </c>
      <c r="AE185" s="41">
        <f>(SalesCleanTable[[#This Row],[Unit Price]] - SalesCleanTable[[#This Row],[Unit Cost]]) / SalesCleanTable[[#This Row],[Unit Price]]</f>
        <v>0.35294117647058826</v>
      </c>
    </row>
    <row r="186" spans="1:31">
      <c r="A186" t="s">
        <v>372</v>
      </c>
      <c r="B186" s="6">
        <v>45681</v>
      </c>
      <c r="C186" t="s">
        <v>24</v>
      </c>
      <c r="D186" t="s">
        <v>25</v>
      </c>
      <c r="E186" t="s">
        <v>26</v>
      </c>
      <c r="F186" t="s">
        <v>27</v>
      </c>
      <c r="G186" t="s">
        <v>28</v>
      </c>
      <c r="H186" t="s">
        <v>145</v>
      </c>
      <c r="I186" t="s">
        <v>146</v>
      </c>
      <c r="J186" t="s">
        <v>147</v>
      </c>
      <c r="K186" t="s">
        <v>148</v>
      </c>
      <c r="L186" t="s">
        <v>166</v>
      </c>
      <c r="M186" t="s">
        <v>171</v>
      </c>
      <c r="N186">
        <v>5</v>
      </c>
      <c r="O186" s="4">
        <v>14500</v>
      </c>
      <c r="P186" s="4">
        <v>17500</v>
      </c>
      <c r="Q186" s="7">
        <v>0.05</v>
      </c>
      <c r="R186" t="s">
        <v>197</v>
      </c>
      <c r="S186">
        <v>6</v>
      </c>
      <c r="T186">
        <v>87500</v>
      </c>
      <c r="U186">
        <v>4375</v>
      </c>
      <c r="V186">
        <v>83125</v>
      </c>
      <c r="W186">
        <v>72500</v>
      </c>
      <c r="X186">
        <v>10625</v>
      </c>
      <c r="Y186" s="8">
        <v>0.12781954887218044</v>
      </c>
      <c r="Z186" t="s">
        <v>2995</v>
      </c>
      <c r="AA186" t="str">
        <f>IF(AND(SalesCleanTable[[#This Row],[Discount %]]&gt;0, SalesCleanTable[[#This Row],[Profit]]&lt;0), "Discount loss", "Safe")</f>
        <v>Safe</v>
      </c>
      <c r="AB186" s="25">
        <f>(SalesCleanTable[[#This Row],[Unit Price]] - SalesCleanTable[[#This Row],[Unit Cost]]) / SalesCleanTable[[#This Row],[Unit Price]]</f>
        <v>0.17142857142857143</v>
      </c>
      <c r="AC186" t="str">
        <f>IF(SalesCleanTable[[#This Row],[Discount %]] &gt; SalesCleanTable[[#This Row],[Max Allowed Discount]], "Discount loss", "Safe")</f>
        <v>Safe</v>
      </c>
      <c r="AD186" s="4">
        <f>SalesCleanTable[[#This Row],[Unit Price]] - SalesCleanTable[[#This Row],[Unit Cost]]</f>
        <v>3000</v>
      </c>
      <c r="AE186" s="41">
        <f>(SalesCleanTable[[#This Row],[Unit Price]] - SalesCleanTable[[#This Row],[Unit Cost]]) / SalesCleanTable[[#This Row],[Unit Price]]</f>
        <v>0.17142857142857143</v>
      </c>
    </row>
    <row r="187" spans="1:31">
      <c r="A187" t="s">
        <v>373</v>
      </c>
      <c r="B187" s="6">
        <v>45821</v>
      </c>
      <c r="C187" t="s">
        <v>36</v>
      </c>
      <c r="D187" t="s">
        <v>37</v>
      </c>
      <c r="E187" t="s">
        <v>38</v>
      </c>
      <c r="F187" t="s">
        <v>39</v>
      </c>
      <c r="G187" t="s">
        <v>40</v>
      </c>
      <c r="H187" t="s">
        <v>153</v>
      </c>
      <c r="I187" t="s">
        <v>154</v>
      </c>
      <c r="J187" t="s">
        <v>155</v>
      </c>
      <c r="K187" t="s">
        <v>131</v>
      </c>
      <c r="L187" t="s">
        <v>166</v>
      </c>
      <c r="M187" t="s">
        <v>171</v>
      </c>
      <c r="N187">
        <v>4</v>
      </c>
      <c r="O187" s="4">
        <v>1650</v>
      </c>
      <c r="P187" s="4">
        <v>2200</v>
      </c>
      <c r="Q187" s="7">
        <v>0</v>
      </c>
      <c r="R187" t="s">
        <v>168</v>
      </c>
      <c r="S187">
        <v>8</v>
      </c>
      <c r="T187">
        <v>8800</v>
      </c>
      <c r="U187">
        <v>0</v>
      </c>
      <c r="V187">
        <v>8800</v>
      </c>
      <c r="W187">
        <v>6600</v>
      </c>
      <c r="X187">
        <v>2200</v>
      </c>
      <c r="Y187" s="8">
        <v>0.25</v>
      </c>
      <c r="Z187" t="s">
        <v>2995</v>
      </c>
      <c r="AA187" t="str">
        <f>IF(AND(SalesCleanTable[[#This Row],[Discount %]]&gt;0, SalesCleanTable[[#This Row],[Profit]]&lt;0), "Discount loss", "Safe")</f>
        <v>Safe</v>
      </c>
      <c r="AB187" s="25">
        <f>(SalesCleanTable[[#This Row],[Unit Price]] - SalesCleanTable[[#This Row],[Unit Cost]]) / SalesCleanTable[[#This Row],[Unit Price]]</f>
        <v>0.25</v>
      </c>
      <c r="AC187" t="str">
        <f>IF(SalesCleanTable[[#This Row],[Discount %]] &gt; SalesCleanTable[[#This Row],[Max Allowed Discount]], "Discount loss", "Safe")</f>
        <v>Safe</v>
      </c>
      <c r="AD187" s="4">
        <f>SalesCleanTable[[#This Row],[Unit Price]] - SalesCleanTable[[#This Row],[Unit Cost]]</f>
        <v>550</v>
      </c>
      <c r="AE187" s="41">
        <f>(SalesCleanTable[[#This Row],[Unit Price]] - SalesCleanTable[[#This Row],[Unit Cost]]) / SalesCleanTable[[#This Row],[Unit Price]]</f>
        <v>0.25</v>
      </c>
    </row>
    <row r="188" spans="1:31">
      <c r="A188" t="s">
        <v>374</v>
      </c>
      <c r="B188" s="6">
        <v>45811</v>
      </c>
      <c r="C188" t="s">
        <v>53</v>
      </c>
      <c r="D188" t="s">
        <v>54</v>
      </c>
      <c r="E188" t="s">
        <v>38</v>
      </c>
      <c r="F188" t="s">
        <v>55</v>
      </c>
      <c r="G188" t="s">
        <v>56</v>
      </c>
      <c r="H188" t="s">
        <v>128</v>
      </c>
      <c r="I188" t="s">
        <v>129</v>
      </c>
      <c r="J188" t="s">
        <v>130</v>
      </c>
      <c r="K188" t="s">
        <v>131</v>
      </c>
      <c r="L188" t="s">
        <v>166</v>
      </c>
      <c r="M188" t="s">
        <v>167</v>
      </c>
      <c r="N188">
        <v>2</v>
      </c>
      <c r="O188" s="4">
        <v>330</v>
      </c>
      <c r="P188" s="4">
        <v>550</v>
      </c>
      <c r="Q188" s="7">
        <v>0</v>
      </c>
      <c r="R188" t="s">
        <v>168</v>
      </c>
      <c r="S188">
        <v>14</v>
      </c>
      <c r="T188">
        <v>1100</v>
      </c>
      <c r="U188">
        <v>0</v>
      </c>
      <c r="V188">
        <v>1100</v>
      </c>
      <c r="W188">
        <v>660</v>
      </c>
      <c r="X188">
        <v>440</v>
      </c>
      <c r="Y188" s="8">
        <v>0.4</v>
      </c>
      <c r="Z188" t="s">
        <v>2996</v>
      </c>
      <c r="AA188" t="str">
        <f>IF(AND(SalesCleanTable[[#This Row],[Discount %]]&gt;0, SalesCleanTable[[#This Row],[Profit]]&lt;0), "Discount loss", "Safe")</f>
        <v>Safe</v>
      </c>
      <c r="AB188" s="25">
        <f>(SalesCleanTable[[#This Row],[Unit Price]] - SalesCleanTable[[#This Row],[Unit Cost]]) / SalesCleanTable[[#This Row],[Unit Price]]</f>
        <v>0.4</v>
      </c>
      <c r="AC188" t="str">
        <f>IF(SalesCleanTable[[#This Row],[Discount %]] &gt; SalesCleanTable[[#This Row],[Max Allowed Discount]], "Discount loss", "Safe")</f>
        <v>Safe</v>
      </c>
      <c r="AD188" s="4">
        <f>SalesCleanTable[[#This Row],[Unit Price]] - SalesCleanTable[[#This Row],[Unit Cost]]</f>
        <v>220</v>
      </c>
      <c r="AE188" s="41">
        <f>(SalesCleanTable[[#This Row],[Unit Price]] - SalesCleanTable[[#This Row],[Unit Cost]]) / SalesCleanTable[[#This Row],[Unit Price]]</f>
        <v>0.4</v>
      </c>
    </row>
    <row r="189" spans="1:31">
      <c r="A189" t="s">
        <v>375</v>
      </c>
      <c r="B189" s="6">
        <v>45671</v>
      </c>
      <c r="C189" t="s">
        <v>66</v>
      </c>
      <c r="D189" t="s">
        <v>67</v>
      </c>
      <c r="E189" t="s">
        <v>59</v>
      </c>
      <c r="F189" t="s">
        <v>60</v>
      </c>
      <c r="G189" t="s">
        <v>68</v>
      </c>
      <c r="H189" t="s">
        <v>135</v>
      </c>
      <c r="I189" t="s">
        <v>136</v>
      </c>
      <c r="J189" t="s">
        <v>137</v>
      </c>
      <c r="K189" t="s">
        <v>138</v>
      </c>
      <c r="L189" t="s">
        <v>166</v>
      </c>
      <c r="M189" t="s">
        <v>167</v>
      </c>
      <c r="N189">
        <v>4</v>
      </c>
      <c r="O189" s="4">
        <v>2800</v>
      </c>
      <c r="P189" s="4">
        <v>3900</v>
      </c>
      <c r="Q189" s="7">
        <v>0.2</v>
      </c>
      <c r="R189" t="s">
        <v>192</v>
      </c>
      <c r="S189">
        <v>10</v>
      </c>
      <c r="T189">
        <v>15600</v>
      </c>
      <c r="U189">
        <v>3120</v>
      </c>
      <c r="V189">
        <v>12480</v>
      </c>
      <c r="W189">
        <v>11200</v>
      </c>
      <c r="X189">
        <v>1280</v>
      </c>
      <c r="Y189" s="8">
        <v>0.10256410256410256</v>
      </c>
      <c r="Z189" t="s">
        <v>2996</v>
      </c>
      <c r="AA189" t="str">
        <f>IF(AND(SalesCleanTable[[#This Row],[Discount %]]&gt;0, SalesCleanTable[[#This Row],[Profit]]&lt;0), "Discount loss", "Safe")</f>
        <v>Safe</v>
      </c>
      <c r="AB189" s="25">
        <f>(SalesCleanTable[[#This Row],[Unit Price]] - SalesCleanTable[[#This Row],[Unit Cost]]) / SalesCleanTable[[#This Row],[Unit Price]]</f>
        <v>0.28205128205128205</v>
      </c>
      <c r="AC189" t="str">
        <f>IF(SalesCleanTable[[#This Row],[Discount %]] &gt; SalesCleanTable[[#This Row],[Max Allowed Discount]], "Discount loss", "Safe")</f>
        <v>Safe</v>
      </c>
      <c r="AD189" s="4">
        <f>SalesCleanTable[[#This Row],[Unit Price]] - SalesCleanTable[[#This Row],[Unit Cost]]</f>
        <v>1100</v>
      </c>
      <c r="AE189" s="41">
        <f>(SalesCleanTable[[#This Row],[Unit Price]] - SalesCleanTable[[#This Row],[Unit Cost]]) / SalesCleanTable[[#This Row],[Unit Price]]</f>
        <v>0.28205128205128205</v>
      </c>
    </row>
    <row r="190" spans="1:31">
      <c r="A190" t="s">
        <v>376</v>
      </c>
      <c r="B190" s="6">
        <v>45926</v>
      </c>
      <c r="C190" t="s">
        <v>73</v>
      </c>
      <c r="D190" t="s">
        <v>74</v>
      </c>
      <c r="E190" t="s">
        <v>75</v>
      </c>
      <c r="F190" t="s">
        <v>76</v>
      </c>
      <c r="G190" t="s">
        <v>77</v>
      </c>
      <c r="H190" t="s">
        <v>141</v>
      </c>
      <c r="I190" t="s">
        <v>142</v>
      </c>
      <c r="J190" t="s">
        <v>143</v>
      </c>
      <c r="K190" t="s">
        <v>144</v>
      </c>
      <c r="L190" t="s">
        <v>183</v>
      </c>
      <c r="M190" t="s">
        <v>177</v>
      </c>
      <c r="N190">
        <v>5</v>
      </c>
      <c r="O190" s="4">
        <v>3500</v>
      </c>
      <c r="P190" s="4">
        <v>5200</v>
      </c>
      <c r="Q190" s="7">
        <v>0</v>
      </c>
      <c r="R190" t="s">
        <v>204</v>
      </c>
      <c r="S190">
        <v>2</v>
      </c>
      <c r="T190">
        <v>26000</v>
      </c>
      <c r="U190">
        <v>0</v>
      </c>
      <c r="V190">
        <v>26000</v>
      </c>
      <c r="W190">
        <v>17500</v>
      </c>
      <c r="X190">
        <v>8500</v>
      </c>
      <c r="Y190" s="8">
        <v>0.32692307692307693</v>
      </c>
      <c r="Z190" t="s">
        <v>2996</v>
      </c>
      <c r="AA190" t="str">
        <f>IF(AND(SalesCleanTable[[#This Row],[Discount %]]&gt;0, SalesCleanTable[[#This Row],[Profit]]&lt;0), "Discount loss", "Safe")</f>
        <v>Safe</v>
      </c>
      <c r="AB190" s="25">
        <f>(SalesCleanTable[[#This Row],[Unit Price]] - SalesCleanTable[[#This Row],[Unit Cost]]) / SalesCleanTable[[#This Row],[Unit Price]]</f>
        <v>0.32692307692307693</v>
      </c>
      <c r="AC190" t="str">
        <f>IF(SalesCleanTable[[#This Row],[Discount %]] &gt; SalesCleanTable[[#This Row],[Max Allowed Discount]], "Discount loss", "Safe")</f>
        <v>Safe</v>
      </c>
      <c r="AD190" s="4">
        <f>SalesCleanTable[[#This Row],[Unit Price]] - SalesCleanTable[[#This Row],[Unit Cost]]</f>
        <v>1700</v>
      </c>
      <c r="AE190" s="41">
        <f>(SalesCleanTable[[#This Row],[Unit Price]] - SalesCleanTable[[#This Row],[Unit Cost]]) / SalesCleanTable[[#This Row],[Unit Price]]</f>
        <v>0.32692307692307693</v>
      </c>
    </row>
    <row r="191" spans="1:31">
      <c r="A191" t="s">
        <v>377</v>
      </c>
      <c r="B191" s="6">
        <v>45883</v>
      </c>
      <c r="C191" t="s">
        <v>45</v>
      </c>
      <c r="D191" t="s">
        <v>46</v>
      </c>
      <c r="E191" t="s">
        <v>38</v>
      </c>
      <c r="F191" t="s">
        <v>47</v>
      </c>
      <c r="G191" t="s">
        <v>48</v>
      </c>
      <c r="H191" t="s">
        <v>133</v>
      </c>
      <c r="I191" t="s">
        <v>134</v>
      </c>
      <c r="J191" t="s">
        <v>130</v>
      </c>
      <c r="K191" t="s">
        <v>131</v>
      </c>
      <c r="L191" t="s">
        <v>183</v>
      </c>
      <c r="M191" t="s">
        <v>171</v>
      </c>
      <c r="N191">
        <v>4</v>
      </c>
      <c r="O191" s="4">
        <v>230</v>
      </c>
      <c r="P191" s="4">
        <v>400</v>
      </c>
      <c r="Q191" s="7">
        <v>0.05</v>
      </c>
      <c r="R191" t="s">
        <v>168</v>
      </c>
      <c r="S191">
        <v>12</v>
      </c>
      <c r="T191">
        <v>1600</v>
      </c>
      <c r="U191">
        <v>80</v>
      </c>
      <c r="V191">
        <v>1520</v>
      </c>
      <c r="W191">
        <v>920</v>
      </c>
      <c r="X191">
        <v>600</v>
      </c>
      <c r="Y191" s="8">
        <v>0.39473684210526316</v>
      </c>
      <c r="Z191" t="s">
        <v>2995</v>
      </c>
      <c r="AA191" t="str">
        <f>IF(AND(SalesCleanTable[[#This Row],[Discount %]]&gt;0, SalesCleanTable[[#This Row],[Profit]]&lt;0), "Discount loss", "Safe")</f>
        <v>Safe</v>
      </c>
      <c r="AB191" s="25">
        <f>(SalesCleanTable[[#This Row],[Unit Price]] - SalesCleanTable[[#This Row],[Unit Cost]]) / SalesCleanTable[[#This Row],[Unit Price]]</f>
        <v>0.42499999999999999</v>
      </c>
      <c r="AC191" t="str">
        <f>IF(SalesCleanTable[[#This Row],[Discount %]] &gt; SalesCleanTable[[#This Row],[Max Allowed Discount]], "Discount loss", "Safe")</f>
        <v>Safe</v>
      </c>
      <c r="AD191" s="4">
        <f>SalesCleanTable[[#This Row],[Unit Price]] - SalesCleanTable[[#This Row],[Unit Cost]]</f>
        <v>170</v>
      </c>
      <c r="AE191" s="41">
        <f>(SalesCleanTable[[#This Row],[Unit Price]] - SalesCleanTable[[#This Row],[Unit Cost]]) / SalesCleanTable[[#This Row],[Unit Price]]</f>
        <v>0.42499999999999999</v>
      </c>
    </row>
    <row r="192" spans="1:31">
      <c r="A192" t="s">
        <v>378</v>
      </c>
      <c r="B192" s="6">
        <v>45728</v>
      </c>
      <c r="C192" t="s">
        <v>57</v>
      </c>
      <c r="D192" t="s">
        <v>58</v>
      </c>
      <c r="E192" t="s">
        <v>59</v>
      </c>
      <c r="F192" t="s">
        <v>60</v>
      </c>
      <c r="G192" t="s">
        <v>61</v>
      </c>
      <c r="H192" t="s">
        <v>139</v>
      </c>
      <c r="I192" t="s">
        <v>140</v>
      </c>
      <c r="J192" t="s">
        <v>137</v>
      </c>
      <c r="K192" t="s">
        <v>138</v>
      </c>
      <c r="L192" t="s">
        <v>166</v>
      </c>
      <c r="M192" t="s">
        <v>171</v>
      </c>
      <c r="N192">
        <v>10</v>
      </c>
      <c r="O192" s="4">
        <v>2400</v>
      </c>
      <c r="P192" s="4">
        <v>3400</v>
      </c>
      <c r="Q192" s="7">
        <v>0.05</v>
      </c>
      <c r="R192" t="s">
        <v>204</v>
      </c>
      <c r="S192">
        <v>9</v>
      </c>
      <c r="T192">
        <v>34000</v>
      </c>
      <c r="U192">
        <v>1700</v>
      </c>
      <c r="V192">
        <v>32300</v>
      </c>
      <c r="W192">
        <v>24000</v>
      </c>
      <c r="X192">
        <v>8300</v>
      </c>
      <c r="Y192" s="8">
        <v>0.25696594427244585</v>
      </c>
      <c r="Z192" t="s">
        <v>2996</v>
      </c>
      <c r="AA192" t="str">
        <f>IF(AND(SalesCleanTable[[#This Row],[Discount %]]&gt;0, SalesCleanTable[[#This Row],[Profit]]&lt;0), "Discount loss", "Safe")</f>
        <v>Safe</v>
      </c>
      <c r="AB192" s="25">
        <f>(SalesCleanTable[[#This Row],[Unit Price]] - SalesCleanTable[[#This Row],[Unit Cost]]) / SalesCleanTable[[#This Row],[Unit Price]]</f>
        <v>0.29411764705882354</v>
      </c>
      <c r="AC192" t="str">
        <f>IF(SalesCleanTable[[#This Row],[Discount %]] &gt; SalesCleanTable[[#This Row],[Max Allowed Discount]], "Discount loss", "Safe")</f>
        <v>Safe</v>
      </c>
      <c r="AD192" s="4">
        <f>SalesCleanTable[[#This Row],[Unit Price]] - SalesCleanTable[[#This Row],[Unit Cost]]</f>
        <v>1000</v>
      </c>
      <c r="AE192" s="41">
        <f>(SalesCleanTable[[#This Row],[Unit Price]] - SalesCleanTable[[#This Row],[Unit Cost]]) / SalesCleanTable[[#This Row],[Unit Price]]</f>
        <v>0.29411764705882354</v>
      </c>
    </row>
    <row r="193" spans="1:31">
      <c r="A193" t="s">
        <v>379</v>
      </c>
      <c r="B193" s="6">
        <v>45839</v>
      </c>
      <c r="C193" t="s">
        <v>78</v>
      </c>
      <c r="D193" t="s">
        <v>79</v>
      </c>
      <c r="E193" t="s">
        <v>75</v>
      </c>
      <c r="F193" t="s">
        <v>80</v>
      </c>
      <c r="G193" t="s">
        <v>81</v>
      </c>
      <c r="H193" t="s">
        <v>149</v>
      </c>
      <c r="I193" t="s">
        <v>150</v>
      </c>
      <c r="J193" t="s">
        <v>151</v>
      </c>
      <c r="K193" t="s">
        <v>152</v>
      </c>
      <c r="L193" t="s">
        <v>166</v>
      </c>
      <c r="M193" t="s">
        <v>186</v>
      </c>
      <c r="N193">
        <v>4</v>
      </c>
      <c r="O193" s="4">
        <v>1200</v>
      </c>
      <c r="P193" s="4">
        <v>1900</v>
      </c>
      <c r="Q193" s="7">
        <v>0.15</v>
      </c>
      <c r="R193" t="s">
        <v>187</v>
      </c>
      <c r="S193">
        <v>5</v>
      </c>
      <c r="T193">
        <v>7600</v>
      </c>
      <c r="U193">
        <v>1140</v>
      </c>
      <c r="V193">
        <v>6460</v>
      </c>
      <c r="W193">
        <v>4800</v>
      </c>
      <c r="X193">
        <v>1660</v>
      </c>
      <c r="Y193" s="8">
        <v>0.25696594427244585</v>
      </c>
      <c r="Z193" t="s">
        <v>2996</v>
      </c>
      <c r="AA193" t="str">
        <f>IF(AND(SalesCleanTable[[#This Row],[Discount %]]&gt;0, SalesCleanTable[[#This Row],[Profit]]&lt;0), "Discount loss", "Safe")</f>
        <v>Safe</v>
      </c>
      <c r="AB193" s="25">
        <f>(SalesCleanTable[[#This Row],[Unit Price]] - SalesCleanTable[[#This Row],[Unit Cost]]) / SalesCleanTable[[#This Row],[Unit Price]]</f>
        <v>0.36842105263157893</v>
      </c>
      <c r="AC193" t="str">
        <f>IF(SalesCleanTable[[#This Row],[Discount %]] &gt; SalesCleanTable[[#This Row],[Max Allowed Discount]], "Discount loss", "Safe")</f>
        <v>Safe</v>
      </c>
      <c r="AD193" s="4">
        <f>SalesCleanTable[[#This Row],[Unit Price]] - SalesCleanTable[[#This Row],[Unit Cost]]</f>
        <v>700</v>
      </c>
      <c r="AE193" s="41">
        <f>(SalesCleanTable[[#This Row],[Unit Price]] - SalesCleanTable[[#This Row],[Unit Cost]]) / SalesCleanTable[[#This Row],[Unit Price]]</f>
        <v>0.36842105263157893</v>
      </c>
    </row>
    <row r="194" spans="1:31">
      <c r="A194" t="s">
        <v>380</v>
      </c>
      <c r="B194" s="6">
        <v>45773</v>
      </c>
      <c r="C194" t="s">
        <v>112</v>
      </c>
      <c r="D194" t="s">
        <v>113</v>
      </c>
      <c r="E194" t="s">
        <v>109</v>
      </c>
      <c r="F194" t="s">
        <v>114</v>
      </c>
      <c r="G194" t="s">
        <v>115</v>
      </c>
      <c r="H194" t="s">
        <v>153</v>
      </c>
      <c r="I194" t="s">
        <v>154</v>
      </c>
      <c r="J194" t="s">
        <v>155</v>
      </c>
      <c r="K194" t="s">
        <v>131</v>
      </c>
      <c r="L194" t="s">
        <v>183</v>
      </c>
      <c r="M194" t="s">
        <v>186</v>
      </c>
      <c r="N194">
        <v>5</v>
      </c>
      <c r="O194" s="4">
        <v>1300</v>
      </c>
      <c r="P194" s="4">
        <v>2100</v>
      </c>
      <c r="Q194" s="7">
        <v>0.1</v>
      </c>
      <c r="R194" t="s">
        <v>220</v>
      </c>
      <c r="S194">
        <v>6</v>
      </c>
      <c r="T194">
        <v>10500</v>
      </c>
      <c r="U194">
        <v>1050</v>
      </c>
      <c r="V194">
        <v>9450</v>
      </c>
      <c r="W194">
        <v>6500</v>
      </c>
      <c r="X194">
        <v>2950</v>
      </c>
      <c r="Y194" s="8">
        <v>0.31216931216931215</v>
      </c>
      <c r="Z194" t="s">
        <v>2995</v>
      </c>
      <c r="AA194" t="str">
        <f>IF(AND(SalesCleanTable[[#This Row],[Discount %]]&gt;0, SalesCleanTable[[#This Row],[Profit]]&lt;0), "Discount loss", "Safe")</f>
        <v>Safe</v>
      </c>
      <c r="AB194" s="25">
        <f>(SalesCleanTable[[#This Row],[Unit Price]] - SalesCleanTable[[#This Row],[Unit Cost]]) / SalesCleanTable[[#This Row],[Unit Price]]</f>
        <v>0.38095238095238093</v>
      </c>
      <c r="AC194" t="str">
        <f>IF(SalesCleanTable[[#This Row],[Discount %]] &gt; SalesCleanTable[[#This Row],[Max Allowed Discount]], "Discount loss", "Safe")</f>
        <v>Safe</v>
      </c>
      <c r="AD194" s="4">
        <f>SalesCleanTable[[#This Row],[Unit Price]] - SalesCleanTable[[#This Row],[Unit Cost]]</f>
        <v>800</v>
      </c>
      <c r="AE194" s="41">
        <f>(SalesCleanTable[[#This Row],[Unit Price]] - SalesCleanTable[[#This Row],[Unit Cost]]) / SalesCleanTable[[#This Row],[Unit Price]]</f>
        <v>0.38095238095238093</v>
      </c>
    </row>
    <row r="195" spans="1:31">
      <c r="A195" t="s">
        <v>381</v>
      </c>
      <c r="B195" s="6">
        <v>45798</v>
      </c>
      <c r="C195" t="s">
        <v>45</v>
      </c>
      <c r="D195" t="s">
        <v>46</v>
      </c>
      <c r="E195" t="s">
        <v>38</v>
      </c>
      <c r="F195" t="s">
        <v>47</v>
      </c>
      <c r="G195" t="s">
        <v>48</v>
      </c>
      <c r="H195" t="s">
        <v>139</v>
      </c>
      <c r="I195" t="s">
        <v>140</v>
      </c>
      <c r="J195" t="s">
        <v>137</v>
      </c>
      <c r="K195" t="s">
        <v>138</v>
      </c>
      <c r="L195" t="s">
        <v>166</v>
      </c>
      <c r="M195" t="s">
        <v>186</v>
      </c>
      <c r="N195">
        <v>3</v>
      </c>
      <c r="O195" s="4">
        <v>230</v>
      </c>
      <c r="P195" s="4">
        <v>400</v>
      </c>
      <c r="Q195" s="7">
        <v>0.15</v>
      </c>
      <c r="R195" t="s">
        <v>178</v>
      </c>
      <c r="S195">
        <v>5</v>
      </c>
      <c r="T195">
        <v>1200</v>
      </c>
      <c r="U195">
        <v>180</v>
      </c>
      <c r="V195">
        <v>1020</v>
      </c>
      <c r="W195">
        <v>690</v>
      </c>
      <c r="X195">
        <v>330</v>
      </c>
      <c r="Y195" s="8">
        <v>0.3235294117647059</v>
      </c>
      <c r="Z195" t="s">
        <v>2995</v>
      </c>
      <c r="AA195" t="str">
        <f>IF(AND(SalesCleanTable[[#This Row],[Discount %]]&gt;0, SalesCleanTable[[#This Row],[Profit]]&lt;0), "Discount loss", "Safe")</f>
        <v>Safe</v>
      </c>
      <c r="AB195" s="25">
        <f>(SalesCleanTable[[#This Row],[Unit Price]] - SalesCleanTable[[#This Row],[Unit Cost]]) / SalesCleanTable[[#This Row],[Unit Price]]</f>
        <v>0.42499999999999999</v>
      </c>
      <c r="AC195" t="str">
        <f>IF(SalesCleanTable[[#This Row],[Discount %]] &gt; SalesCleanTable[[#This Row],[Max Allowed Discount]], "Discount loss", "Safe")</f>
        <v>Safe</v>
      </c>
      <c r="AD195" s="4">
        <f>SalesCleanTable[[#This Row],[Unit Price]] - SalesCleanTable[[#This Row],[Unit Cost]]</f>
        <v>170</v>
      </c>
      <c r="AE195" s="41">
        <f>(SalesCleanTable[[#This Row],[Unit Price]] - SalesCleanTable[[#This Row],[Unit Cost]]) / SalesCleanTable[[#This Row],[Unit Price]]</f>
        <v>0.42499999999999999</v>
      </c>
    </row>
    <row r="196" spans="1:31">
      <c r="A196" t="s">
        <v>382</v>
      </c>
      <c r="B196" s="6">
        <v>45698</v>
      </c>
      <c r="C196" t="s">
        <v>45</v>
      </c>
      <c r="D196" t="s">
        <v>46</v>
      </c>
      <c r="E196" t="s">
        <v>38</v>
      </c>
      <c r="F196" t="s">
        <v>47</v>
      </c>
      <c r="G196" t="s">
        <v>48</v>
      </c>
      <c r="H196" t="s">
        <v>135</v>
      </c>
      <c r="I196" t="s">
        <v>136</v>
      </c>
      <c r="J196" t="s">
        <v>137</v>
      </c>
      <c r="K196" t="s">
        <v>138</v>
      </c>
      <c r="L196" t="s">
        <v>166</v>
      </c>
      <c r="M196" t="s">
        <v>171</v>
      </c>
      <c r="N196">
        <v>2</v>
      </c>
      <c r="O196" s="4">
        <v>230</v>
      </c>
      <c r="P196" s="4">
        <v>400</v>
      </c>
      <c r="Q196" s="7">
        <v>0.05</v>
      </c>
      <c r="R196" t="s">
        <v>168</v>
      </c>
      <c r="S196">
        <v>12</v>
      </c>
      <c r="T196">
        <v>800</v>
      </c>
      <c r="U196">
        <v>40</v>
      </c>
      <c r="V196">
        <v>760</v>
      </c>
      <c r="W196">
        <v>460</v>
      </c>
      <c r="X196">
        <v>300</v>
      </c>
      <c r="Y196" s="8">
        <v>0.39473684210526316</v>
      </c>
      <c r="Z196" t="s">
        <v>2995</v>
      </c>
      <c r="AA196" t="str">
        <f>IF(AND(SalesCleanTable[[#This Row],[Discount %]]&gt;0, SalesCleanTable[[#This Row],[Profit]]&lt;0), "Discount loss", "Safe")</f>
        <v>Safe</v>
      </c>
      <c r="AB196" s="25">
        <f>(SalesCleanTable[[#This Row],[Unit Price]] - SalesCleanTable[[#This Row],[Unit Cost]]) / SalesCleanTable[[#This Row],[Unit Price]]</f>
        <v>0.42499999999999999</v>
      </c>
      <c r="AC196" t="str">
        <f>IF(SalesCleanTable[[#This Row],[Discount %]] &gt; SalesCleanTable[[#This Row],[Max Allowed Discount]], "Discount loss", "Safe")</f>
        <v>Safe</v>
      </c>
      <c r="AD196" s="4">
        <f>SalesCleanTable[[#This Row],[Unit Price]] - SalesCleanTable[[#This Row],[Unit Cost]]</f>
        <v>170</v>
      </c>
      <c r="AE196" s="41">
        <f>(SalesCleanTable[[#This Row],[Unit Price]] - SalesCleanTable[[#This Row],[Unit Cost]]) / SalesCleanTable[[#This Row],[Unit Price]]</f>
        <v>0.42499999999999999</v>
      </c>
    </row>
    <row r="197" spans="1:31">
      <c r="A197" t="s">
        <v>383</v>
      </c>
      <c r="B197" s="6">
        <v>45713</v>
      </c>
      <c r="C197" t="s">
        <v>73</v>
      </c>
      <c r="D197" t="s">
        <v>74</v>
      </c>
      <c r="E197" t="s">
        <v>75</v>
      </c>
      <c r="F197" t="s">
        <v>76</v>
      </c>
      <c r="G197" t="s">
        <v>77</v>
      </c>
      <c r="H197" t="s">
        <v>139</v>
      </c>
      <c r="I197" t="s">
        <v>140</v>
      </c>
      <c r="J197" t="s">
        <v>137</v>
      </c>
      <c r="K197" t="s">
        <v>138</v>
      </c>
      <c r="L197" t="s">
        <v>166</v>
      </c>
      <c r="M197" t="s">
        <v>171</v>
      </c>
      <c r="N197">
        <v>2</v>
      </c>
      <c r="O197" s="4">
        <v>3500</v>
      </c>
      <c r="P197" s="4">
        <v>5200</v>
      </c>
      <c r="Q197" s="7">
        <v>0.1</v>
      </c>
      <c r="R197" t="s">
        <v>187</v>
      </c>
      <c r="S197">
        <v>2</v>
      </c>
      <c r="T197">
        <v>10400</v>
      </c>
      <c r="U197">
        <v>1040</v>
      </c>
      <c r="V197">
        <v>9360</v>
      </c>
      <c r="W197">
        <v>7000</v>
      </c>
      <c r="X197">
        <v>2360</v>
      </c>
      <c r="Y197" s="8">
        <v>0.25213675213675213</v>
      </c>
      <c r="Z197" t="s">
        <v>2996</v>
      </c>
      <c r="AA197" t="str">
        <f>IF(AND(SalesCleanTable[[#This Row],[Discount %]]&gt;0, SalesCleanTable[[#This Row],[Profit]]&lt;0), "Discount loss", "Safe")</f>
        <v>Safe</v>
      </c>
      <c r="AB197" s="25">
        <f>(SalesCleanTable[[#This Row],[Unit Price]] - SalesCleanTable[[#This Row],[Unit Cost]]) / SalesCleanTable[[#This Row],[Unit Price]]</f>
        <v>0.32692307692307693</v>
      </c>
      <c r="AC197" t="str">
        <f>IF(SalesCleanTable[[#This Row],[Discount %]] &gt; SalesCleanTable[[#This Row],[Max Allowed Discount]], "Discount loss", "Safe")</f>
        <v>Safe</v>
      </c>
      <c r="AD197" s="4">
        <f>SalesCleanTable[[#This Row],[Unit Price]] - SalesCleanTable[[#This Row],[Unit Cost]]</f>
        <v>1700</v>
      </c>
      <c r="AE197" s="41">
        <f>(SalesCleanTable[[#This Row],[Unit Price]] - SalesCleanTable[[#This Row],[Unit Cost]]) / SalesCleanTable[[#This Row],[Unit Price]]</f>
        <v>0.32692307692307693</v>
      </c>
    </row>
    <row r="198" spans="1:31">
      <c r="A198" t="s">
        <v>384</v>
      </c>
      <c r="B198" s="6">
        <v>45899</v>
      </c>
      <c r="C198" t="s">
        <v>32</v>
      </c>
      <c r="D198" t="s">
        <v>33</v>
      </c>
      <c r="E198" t="s">
        <v>26</v>
      </c>
      <c r="F198" t="s">
        <v>34</v>
      </c>
      <c r="G198" t="s">
        <v>35</v>
      </c>
      <c r="H198" t="s">
        <v>145</v>
      </c>
      <c r="I198" t="s">
        <v>146</v>
      </c>
      <c r="J198" t="s">
        <v>147</v>
      </c>
      <c r="K198" t="s">
        <v>148</v>
      </c>
      <c r="L198" t="s">
        <v>170</v>
      </c>
      <c r="M198" t="s">
        <v>186</v>
      </c>
      <c r="N198">
        <v>1</v>
      </c>
      <c r="O198" s="4">
        <v>7800</v>
      </c>
      <c r="P198" s="4">
        <v>9800</v>
      </c>
      <c r="Q198" s="7">
        <v>0.1</v>
      </c>
      <c r="R198" t="s">
        <v>194</v>
      </c>
      <c r="S198">
        <v>8</v>
      </c>
      <c r="T198">
        <v>9800</v>
      </c>
      <c r="U198">
        <v>980</v>
      </c>
      <c r="V198">
        <v>8820</v>
      </c>
      <c r="W198">
        <v>7800</v>
      </c>
      <c r="X198">
        <v>1020</v>
      </c>
      <c r="Y198" s="8">
        <v>0.11564625850340136</v>
      </c>
      <c r="Z198" t="s">
        <v>2995</v>
      </c>
      <c r="AA198" t="str">
        <f>IF(AND(SalesCleanTable[[#This Row],[Discount %]]&gt;0, SalesCleanTable[[#This Row],[Profit]]&lt;0), "Discount loss", "Safe")</f>
        <v>Safe</v>
      </c>
      <c r="AB198" s="25">
        <f>(SalesCleanTable[[#This Row],[Unit Price]] - SalesCleanTable[[#This Row],[Unit Cost]]) / SalesCleanTable[[#This Row],[Unit Price]]</f>
        <v>0.20408163265306123</v>
      </c>
      <c r="AC198" t="str">
        <f>IF(SalesCleanTable[[#This Row],[Discount %]] &gt; SalesCleanTable[[#This Row],[Max Allowed Discount]], "Discount loss", "Safe")</f>
        <v>Safe</v>
      </c>
      <c r="AD198" s="4">
        <f>SalesCleanTable[[#This Row],[Unit Price]] - SalesCleanTable[[#This Row],[Unit Cost]]</f>
        <v>2000</v>
      </c>
      <c r="AE198" s="41">
        <f>(SalesCleanTable[[#This Row],[Unit Price]] - SalesCleanTable[[#This Row],[Unit Cost]]) / SalesCleanTable[[#This Row],[Unit Price]]</f>
        <v>0.20408163265306123</v>
      </c>
    </row>
    <row r="199" spans="1:31">
      <c r="A199" t="s">
        <v>385</v>
      </c>
      <c r="B199" s="6">
        <v>45805</v>
      </c>
      <c r="C199" t="s">
        <v>45</v>
      </c>
      <c r="D199" t="s">
        <v>46</v>
      </c>
      <c r="E199" t="s">
        <v>38</v>
      </c>
      <c r="F199" t="s">
        <v>47</v>
      </c>
      <c r="G199" t="s">
        <v>48</v>
      </c>
      <c r="H199" t="s">
        <v>141</v>
      </c>
      <c r="I199" t="s">
        <v>142</v>
      </c>
      <c r="J199" t="s">
        <v>143</v>
      </c>
      <c r="K199" t="s">
        <v>144</v>
      </c>
      <c r="L199" t="s">
        <v>166</v>
      </c>
      <c r="M199" t="s">
        <v>171</v>
      </c>
      <c r="N199">
        <v>6</v>
      </c>
      <c r="O199" s="4">
        <v>230</v>
      </c>
      <c r="P199" s="4">
        <v>400</v>
      </c>
      <c r="Q199" s="7">
        <v>0</v>
      </c>
      <c r="R199" t="s">
        <v>168</v>
      </c>
      <c r="S199">
        <v>14</v>
      </c>
      <c r="T199">
        <v>2400</v>
      </c>
      <c r="U199">
        <v>0</v>
      </c>
      <c r="V199">
        <v>2400</v>
      </c>
      <c r="W199">
        <v>1380</v>
      </c>
      <c r="X199">
        <v>1020</v>
      </c>
      <c r="Y199" s="8">
        <v>0.42499999999999999</v>
      </c>
      <c r="Z199" t="s">
        <v>2995</v>
      </c>
      <c r="AA199" t="str">
        <f>IF(AND(SalesCleanTable[[#This Row],[Discount %]]&gt;0, SalesCleanTable[[#This Row],[Profit]]&lt;0), "Discount loss", "Safe")</f>
        <v>Safe</v>
      </c>
      <c r="AB199" s="25">
        <f>(SalesCleanTable[[#This Row],[Unit Price]] - SalesCleanTable[[#This Row],[Unit Cost]]) / SalesCleanTable[[#This Row],[Unit Price]]</f>
        <v>0.42499999999999999</v>
      </c>
      <c r="AC199" t="str">
        <f>IF(SalesCleanTable[[#This Row],[Discount %]] &gt; SalesCleanTable[[#This Row],[Max Allowed Discount]], "Discount loss", "Safe")</f>
        <v>Safe</v>
      </c>
      <c r="AD199" s="4">
        <f>SalesCleanTable[[#This Row],[Unit Price]] - SalesCleanTable[[#This Row],[Unit Cost]]</f>
        <v>170</v>
      </c>
      <c r="AE199" s="41">
        <f>(SalesCleanTable[[#This Row],[Unit Price]] - SalesCleanTable[[#This Row],[Unit Cost]]) / SalesCleanTable[[#This Row],[Unit Price]]</f>
        <v>0.42499999999999999</v>
      </c>
    </row>
    <row r="200" spans="1:31">
      <c r="A200" t="s">
        <v>386</v>
      </c>
      <c r="B200" s="6">
        <v>45747</v>
      </c>
      <c r="C200" t="s">
        <v>49</v>
      </c>
      <c r="D200" t="s">
        <v>50</v>
      </c>
      <c r="E200" t="s">
        <v>38</v>
      </c>
      <c r="F200" t="s">
        <v>51</v>
      </c>
      <c r="G200" t="s">
        <v>52</v>
      </c>
      <c r="H200" t="s">
        <v>149</v>
      </c>
      <c r="I200" t="s">
        <v>150</v>
      </c>
      <c r="J200" t="s">
        <v>151</v>
      </c>
      <c r="K200" t="s">
        <v>152</v>
      </c>
      <c r="L200" t="s">
        <v>183</v>
      </c>
      <c r="M200" t="s">
        <v>171</v>
      </c>
      <c r="N200">
        <v>8</v>
      </c>
      <c r="O200" s="4">
        <v>550</v>
      </c>
      <c r="P200" s="4">
        <v>850</v>
      </c>
      <c r="Q200" s="7">
        <v>0</v>
      </c>
      <c r="R200" t="s">
        <v>178</v>
      </c>
      <c r="S200">
        <v>12</v>
      </c>
      <c r="T200">
        <v>6800</v>
      </c>
      <c r="U200">
        <v>0</v>
      </c>
      <c r="V200">
        <v>6800</v>
      </c>
      <c r="W200">
        <v>4400</v>
      </c>
      <c r="X200">
        <v>2400</v>
      </c>
      <c r="Y200" s="8">
        <v>0.35294117647058826</v>
      </c>
      <c r="Z200" t="s">
        <v>2996</v>
      </c>
      <c r="AA200" t="str">
        <f>IF(AND(SalesCleanTable[[#This Row],[Discount %]]&gt;0, SalesCleanTable[[#This Row],[Profit]]&lt;0), "Discount loss", "Safe")</f>
        <v>Safe</v>
      </c>
      <c r="AB200" s="25">
        <f>(SalesCleanTable[[#This Row],[Unit Price]] - SalesCleanTable[[#This Row],[Unit Cost]]) / SalesCleanTable[[#This Row],[Unit Price]]</f>
        <v>0.35294117647058826</v>
      </c>
      <c r="AC200" t="str">
        <f>IF(SalesCleanTable[[#This Row],[Discount %]] &gt; SalesCleanTable[[#This Row],[Max Allowed Discount]], "Discount loss", "Safe")</f>
        <v>Safe</v>
      </c>
      <c r="AD200" s="4">
        <f>SalesCleanTable[[#This Row],[Unit Price]] - SalesCleanTable[[#This Row],[Unit Cost]]</f>
        <v>300</v>
      </c>
      <c r="AE200" s="41">
        <f>(SalesCleanTable[[#This Row],[Unit Price]] - SalesCleanTable[[#This Row],[Unit Cost]]) / SalesCleanTable[[#This Row],[Unit Price]]</f>
        <v>0.35294117647058826</v>
      </c>
    </row>
    <row r="201" spans="1:31">
      <c r="A201" t="s">
        <v>387</v>
      </c>
      <c r="B201" s="6">
        <v>45806</v>
      </c>
      <c r="C201" t="s">
        <v>103</v>
      </c>
      <c r="D201" t="s">
        <v>104</v>
      </c>
      <c r="E201" t="s">
        <v>92</v>
      </c>
      <c r="F201" t="s">
        <v>105</v>
      </c>
      <c r="G201" t="s">
        <v>106</v>
      </c>
      <c r="H201" t="s">
        <v>128</v>
      </c>
      <c r="I201" t="s">
        <v>129</v>
      </c>
      <c r="J201" t="s">
        <v>130</v>
      </c>
      <c r="K201" t="s">
        <v>131</v>
      </c>
      <c r="L201" t="s">
        <v>170</v>
      </c>
      <c r="M201" t="s">
        <v>167</v>
      </c>
      <c r="N201">
        <v>3</v>
      </c>
      <c r="O201" s="4">
        <v>1500</v>
      </c>
      <c r="P201" s="4">
        <v>2500</v>
      </c>
      <c r="Q201" s="7">
        <v>0</v>
      </c>
      <c r="R201" t="s">
        <v>215</v>
      </c>
      <c r="S201">
        <v>9</v>
      </c>
      <c r="T201">
        <v>7500</v>
      </c>
      <c r="U201">
        <v>0</v>
      </c>
      <c r="V201">
        <v>7500</v>
      </c>
      <c r="W201">
        <v>4500</v>
      </c>
      <c r="X201">
        <v>3000</v>
      </c>
      <c r="Y201" s="8">
        <v>0.4</v>
      </c>
      <c r="Z201" t="s">
        <v>2996</v>
      </c>
      <c r="AA201" t="str">
        <f>IF(AND(SalesCleanTable[[#This Row],[Discount %]]&gt;0, SalesCleanTable[[#This Row],[Profit]]&lt;0), "Discount loss", "Safe")</f>
        <v>Safe</v>
      </c>
      <c r="AB201" s="25">
        <f>(SalesCleanTable[[#This Row],[Unit Price]] - SalesCleanTable[[#This Row],[Unit Cost]]) / SalesCleanTable[[#This Row],[Unit Price]]</f>
        <v>0.4</v>
      </c>
      <c r="AC201" t="str">
        <f>IF(SalesCleanTable[[#This Row],[Discount %]] &gt; SalesCleanTable[[#This Row],[Max Allowed Discount]], "Discount loss", "Safe")</f>
        <v>Safe</v>
      </c>
      <c r="AD201" s="4">
        <f>SalesCleanTable[[#This Row],[Unit Price]] - SalesCleanTable[[#This Row],[Unit Cost]]</f>
        <v>1000</v>
      </c>
      <c r="AE201" s="41">
        <f>(SalesCleanTable[[#This Row],[Unit Price]] - SalesCleanTable[[#This Row],[Unit Cost]]) / SalesCleanTable[[#This Row],[Unit Price]]</f>
        <v>0.4</v>
      </c>
    </row>
    <row r="202" spans="1:31">
      <c r="A202" t="s">
        <v>388</v>
      </c>
      <c r="B202" s="6">
        <v>45726</v>
      </c>
      <c r="C202" t="s">
        <v>103</v>
      </c>
      <c r="D202" t="s">
        <v>104</v>
      </c>
      <c r="E202" t="s">
        <v>92</v>
      </c>
      <c r="F202" t="s">
        <v>105</v>
      </c>
      <c r="G202" t="s">
        <v>106</v>
      </c>
      <c r="H202" t="s">
        <v>139</v>
      </c>
      <c r="I202" t="s">
        <v>140</v>
      </c>
      <c r="J202" t="s">
        <v>137</v>
      </c>
      <c r="K202" t="s">
        <v>138</v>
      </c>
      <c r="L202" t="s">
        <v>166</v>
      </c>
      <c r="M202" t="s">
        <v>186</v>
      </c>
      <c r="N202">
        <v>1</v>
      </c>
      <c r="O202" s="4">
        <v>1500</v>
      </c>
      <c r="P202" s="4">
        <v>2500</v>
      </c>
      <c r="Q202" s="7">
        <v>0</v>
      </c>
      <c r="R202" t="s">
        <v>217</v>
      </c>
      <c r="S202">
        <v>12</v>
      </c>
      <c r="T202">
        <v>2500</v>
      </c>
      <c r="U202">
        <v>0</v>
      </c>
      <c r="V202">
        <v>2500</v>
      </c>
      <c r="W202">
        <v>1500</v>
      </c>
      <c r="X202">
        <v>1000</v>
      </c>
      <c r="Y202" s="8">
        <v>0.4</v>
      </c>
      <c r="Z202" t="s">
        <v>2996</v>
      </c>
      <c r="AA202" t="str">
        <f>IF(AND(SalesCleanTable[[#This Row],[Discount %]]&gt;0, SalesCleanTable[[#This Row],[Profit]]&lt;0), "Discount loss", "Safe")</f>
        <v>Safe</v>
      </c>
      <c r="AB202" s="25">
        <f>(SalesCleanTable[[#This Row],[Unit Price]] - SalesCleanTable[[#This Row],[Unit Cost]]) / SalesCleanTable[[#This Row],[Unit Price]]</f>
        <v>0.4</v>
      </c>
      <c r="AC202" t="str">
        <f>IF(SalesCleanTable[[#This Row],[Discount %]] &gt; SalesCleanTable[[#This Row],[Max Allowed Discount]], "Discount loss", "Safe")</f>
        <v>Safe</v>
      </c>
      <c r="AD202" s="4">
        <f>SalesCleanTable[[#This Row],[Unit Price]] - SalesCleanTable[[#This Row],[Unit Cost]]</f>
        <v>1000</v>
      </c>
      <c r="AE202" s="41">
        <f>(SalesCleanTable[[#This Row],[Unit Price]] - SalesCleanTable[[#This Row],[Unit Cost]]) / SalesCleanTable[[#This Row],[Unit Price]]</f>
        <v>0.4</v>
      </c>
    </row>
    <row r="203" spans="1:31">
      <c r="A203" t="s">
        <v>389</v>
      </c>
      <c r="B203" s="6">
        <v>45830</v>
      </c>
      <c r="C203" t="s">
        <v>95</v>
      </c>
      <c r="D203" t="s">
        <v>96</v>
      </c>
      <c r="E203" t="s">
        <v>92</v>
      </c>
      <c r="F203" t="s">
        <v>97</v>
      </c>
      <c r="G203" t="s">
        <v>98</v>
      </c>
      <c r="H203" t="s">
        <v>139</v>
      </c>
      <c r="I203" t="s">
        <v>140</v>
      </c>
      <c r="J203" t="s">
        <v>137</v>
      </c>
      <c r="K203" t="s">
        <v>138</v>
      </c>
      <c r="L203" t="s">
        <v>183</v>
      </c>
      <c r="M203" t="s">
        <v>171</v>
      </c>
      <c r="N203">
        <v>4</v>
      </c>
      <c r="O203" s="4">
        <v>18000</v>
      </c>
      <c r="P203" s="4">
        <v>24500</v>
      </c>
      <c r="Q203" s="7">
        <v>0</v>
      </c>
      <c r="R203" t="s">
        <v>217</v>
      </c>
      <c r="S203">
        <v>9</v>
      </c>
      <c r="T203">
        <v>98000</v>
      </c>
      <c r="U203">
        <v>0</v>
      </c>
      <c r="V203">
        <v>98000</v>
      </c>
      <c r="W203">
        <v>72000</v>
      </c>
      <c r="X203">
        <v>26000</v>
      </c>
      <c r="Y203" s="8">
        <v>0.26530612244897961</v>
      </c>
      <c r="Z203" t="s">
        <v>2995</v>
      </c>
      <c r="AA203" t="str">
        <f>IF(AND(SalesCleanTable[[#This Row],[Discount %]]&gt;0, SalesCleanTable[[#This Row],[Profit]]&lt;0), "Discount loss", "Safe")</f>
        <v>Safe</v>
      </c>
      <c r="AB203" s="25">
        <f>(SalesCleanTable[[#This Row],[Unit Price]] - SalesCleanTable[[#This Row],[Unit Cost]]) / SalesCleanTable[[#This Row],[Unit Price]]</f>
        <v>0.26530612244897961</v>
      </c>
      <c r="AC203" t="str">
        <f>IF(SalesCleanTable[[#This Row],[Discount %]] &gt; SalesCleanTable[[#This Row],[Max Allowed Discount]], "Discount loss", "Safe")</f>
        <v>Safe</v>
      </c>
      <c r="AD203" s="4">
        <f>SalesCleanTable[[#This Row],[Unit Price]] - SalesCleanTable[[#This Row],[Unit Cost]]</f>
        <v>6500</v>
      </c>
      <c r="AE203" s="41">
        <f>(SalesCleanTable[[#This Row],[Unit Price]] - SalesCleanTable[[#This Row],[Unit Cost]]) / SalesCleanTable[[#This Row],[Unit Price]]</f>
        <v>0.26530612244897961</v>
      </c>
    </row>
    <row r="204" spans="1:31">
      <c r="A204" t="s">
        <v>390</v>
      </c>
      <c r="B204" s="6">
        <v>45863</v>
      </c>
      <c r="C204" t="s">
        <v>78</v>
      </c>
      <c r="D204" t="s">
        <v>79</v>
      </c>
      <c r="E204" t="s">
        <v>75</v>
      </c>
      <c r="F204" t="s">
        <v>80</v>
      </c>
      <c r="G204" t="s">
        <v>81</v>
      </c>
      <c r="H204" t="s">
        <v>133</v>
      </c>
      <c r="I204" t="s">
        <v>134</v>
      </c>
      <c r="J204" t="s">
        <v>130</v>
      </c>
      <c r="K204" t="s">
        <v>131</v>
      </c>
      <c r="L204" t="s">
        <v>166</v>
      </c>
      <c r="M204" t="s">
        <v>167</v>
      </c>
      <c r="N204">
        <v>1</v>
      </c>
      <c r="O204" s="4">
        <v>1200</v>
      </c>
      <c r="P204" s="4">
        <v>1900</v>
      </c>
      <c r="Q204" s="7">
        <v>0.05</v>
      </c>
      <c r="R204" t="s">
        <v>187</v>
      </c>
      <c r="S204">
        <v>8</v>
      </c>
      <c r="T204">
        <v>1900</v>
      </c>
      <c r="U204">
        <v>95</v>
      </c>
      <c r="V204">
        <v>1805</v>
      </c>
      <c r="W204">
        <v>1200</v>
      </c>
      <c r="X204">
        <v>605</v>
      </c>
      <c r="Y204" s="8">
        <v>0.33518005540166207</v>
      </c>
      <c r="Z204" t="s">
        <v>2996</v>
      </c>
      <c r="AA204" t="str">
        <f>IF(AND(SalesCleanTable[[#This Row],[Discount %]]&gt;0, SalesCleanTable[[#This Row],[Profit]]&lt;0), "Discount loss", "Safe")</f>
        <v>Safe</v>
      </c>
      <c r="AB204" s="25">
        <f>(SalesCleanTable[[#This Row],[Unit Price]] - SalesCleanTable[[#This Row],[Unit Cost]]) / SalesCleanTable[[#This Row],[Unit Price]]</f>
        <v>0.36842105263157893</v>
      </c>
      <c r="AC204" t="str">
        <f>IF(SalesCleanTable[[#This Row],[Discount %]] &gt; SalesCleanTable[[#This Row],[Max Allowed Discount]], "Discount loss", "Safe")</f>
        <v>Safe</v>
      </c>
      <c r="AD204" s="4">
        <f>SalesCleanTable[[#This Row],[Unit Price]] - SalesCleanTable[[#This Row],[Unit Cost]]</f>
        <v>700</v>
      </c>
      <c r="AE204" s="41">
        <f>(SalesCleanTable[[#This Row],[Unit Price]] - SalesCleanTable[[#This Row],[Unit Cost]]) / SalesCleanTable[[#This Row],[Unit Price]]</f>
        <v>0.36842105263157893</v>
      </c>
    </row>
    <row r="205" spans="1:31">
      <c r="A205" t="s">
        <v>391</v>
      </c>
      <c r="B205" s="6">
        <v>45826</v>
      </c>
      <c r="C205" t="s">
        <v>45</v>
      </c>
      <c r="D205" t="s">
        <v>46</v>
      </c>
      <c r="E205" t="s">
        <v>38</v>
      </c>
      <c r="F205" t="s">
        <v>47</v>
      </c>
      <c r="G205" t="s">
        <v>48</v>
      </c>
      <c r="H205" t="s">
        <v>145</v>
      </c>
      <c r="I205" t="s">
        <v>146</v>
      </c>
      <c r="J205" t="s">
        <v>147</v>
      </c>
      <c r="K205" t="s">
        <v>148</v>
      </c>
      <c r="L205" t="s">
        <v>183</v>
      </c>
      <c r="M205" t="s">
        <v>177</v>
      </c>
      <c r="N205">
        <v>1</v>
      </c>
      <c r="O205" s="4">
        <v>230</v>
      </c>
      <c r="P205" s="4">
        <v>400</v>
      </c>
      <c r="Q205" s="7">
        <v>0.1</v>
      </c>
      <c r="R205" t="s">
        <v>178</v>
      </c>
      <c r="S205">
        <v>8</v>
      </c>
      <c r="T205">
        <v>400</v>
      </c>
      <c r="U205">
        <v>40</v>
      </c>
      <c r="V205">
        <v>360</v>
      </c>
      <c r="W205">
        <v>230</v>
      </c>
      <c r="X205">
        <v>130</v>
      </c>
      <c r="Y205" s="8">
        <v>0.3611111111111111</v>
      </c>
      <c r="Z205" t="s">
        <v>2995</v>
      </c>
      <c r="AA205" t="str">
        <f>IF(AND(SalesCleanTable[[#This Row],[Discount %]]&gt;0, SalesCleanTable[[#This Row],[Profit]]&lt;0), "Discount loss", "Safe")</f>
        <v>Safe</v>
      </c>
      <c r="AB205" s="25">
        <f>(SalesCleanTable[[#This Row],[Unit Price]] - SalesCleanTable[[#This Row],[Unit Cost]]) / SalesCleanTable[[#This Row],[Unit Price]]</f>
        <v>0.42499999999999999</v>
      </c>
      <c r="AC205" t="str">
        <f>IF(SalesCleanTable[[#This Row],[Discount %]] &gt; SalesCleanTable[[#This Row],[Max Allowed Discount]], "Discount loss", "Safe")</f>
        <v>Safe</v>
      </c>
      <c r="AD205" s="4">
        <f>SalesCleanTable[[#This Row],[Unit Price]] - SalesCleanTable[[#This Row],[Unit Cost]]</f>
        <v>170</v>
      </c>
      <c r="AE205" s="41">
        <f>(SalesCleanTable[[#This Row],[Unit Price]] - SalesCleanTable[[#This Row],[Unit Cost]]) / SalesCleanTable[[#This Row],[Unit Price]]</f>
        <v>0.42499999999999999</v>
      </c>
    </row>
    <row r="206" spans="1:31">
      <c r="A206" t="s">
        <v>392</v>
      </c>
      <c r="B206" s="6">
        <v>45865</v>
      </c>
      <c r="C206" t="s">
        <v>78</v>
      </c>
      <c r="D206" t="s">
        <v>79</v>
      </c>
      <c r="E206" t="s">
        <v>75</v>
      </c>
      <c r="F206" t="s">
        <v>80</v>
      </c>
      <c r="G206" t="s">
        <v>81</v>
      </c>
      <c r="H206" t="s">
        <v>153</v>
      </c>
      <c r="I206" t="s">
        <v>154</v>
      </c>
      <c r="J206" t="s">
        <v>155</v>
      </c>
      <c r="K206" t="s">
        <v>131</v>
      </c>
      <c r="L206" t="s">
        <v>183</v>
      </c>
      <c r="M206" t="s">
        <v>171</v>
      </c>
      <c r="N206">
        <v>6</v>
      </c>
      <c r="O206" s="4">
        <v>1200</v>
      </c>
      <c r="P206" s="4">
        <v>1900</v>
      </c>
      <c r="Q206" s="7">
        <v>0.1</v>
      </c>
      <c r="R206" t="s">
        <v>208</v>
      </c>
      <c r="S206">
        <v>6</v>
      </c>
      <c r="T206">
        <v>11400</v>
      </c>
      <c r="U206">
        <v>1140</v>
      </c>
      <c r="V206">
        <v>10260</v>
      </c>
      <c r="W206">
        <v>7200</v>
      </c>
      <c r="X206">
        <v>3060</v>
      </c>
      <c r="Y206" s="8">
        <v>0.2982456140350877</v>
      </c>
      <c r="Z206" t="s">
        <v>2996</v>
      </c>
      <c r="AA206" t="str">
        <f>IF(AND(SalesCleanTable[[#This Row],[Discount %]]&gt;0, SalesCleanTable[[#This Row],[Profit]]&lt;0), "Discount loss", "Safe")</f>
        <v>Safe</v>
      </c>
      <c r="AB206" s="25">
        <f>(SalesCleanTable[[#This Row],[Unit Price]] - SalesCleanTable[[#This Row],[Unit Cost]]) / SalesCleanTable[[#This Row],[Unit Price]]</f>
        <v>0.36842105263157893</v>
      </c>
      <c r="AC206" t="str">
        <f>IF(SalesCleanTable[[#This Row],[Discount %]] &gt; SalesCleanTable[[#This Row],[Max Allowed Discount]], "Discount loss", "Safe")</f>
        <v>Safe</v>
      </c>
      <c r="AD206" s="4">
        <f>SalesCleanTable[[#This Row],[Unit Price]] - SalesCleanTable[[#This Row],[Unit Cost]]</f>
        <v>700</v>
      </c>
      <c r="AE206" s="41">
        <f>(SalesCleanTable[[#This Row],[Unit Price]] - SalesCleanTable[[#This Row],[Unit Cost]]) / SalesCleanTable[[#This Row],[Unit Price]]</f>
        <v>0.36842105263157893</v>
      </c>
    </row>
    <row r="207" spans="1:31">
      <c r="A207" t="s">
        <v>393</v>
      </c>
      <c r="B207" s="6">
        <v>45770</v>
      </c>
      <c r="C207" t="s">
        <v>116</v>
      </c>
      <c r="D207" t="s">
        <v>117</v>
      </c>
      <c r="E207" t="s">
        <v>109</v>
      </c>
      <c r="F207" t="s">
        <v>118</v>
      </c>
      <c r="G207" t="s">
        <v>119</v>
      </c>
      <c r="H207" t="s">
        <v>139</v>
      </c>
      <c r="I207" t="s">
        <v>140</v>
      </c>
      <c r="J207" t="s">
        <v>137</v>
      </c>
      <c r="K207" t="s">
        <v>138</v>
      </c>
      <c r="L207" t="s">
        <v>166</v>
      </c>
      <c r="M207" t="s">
        <v>171</v>
      </c>
      <c r="N207">
        <v>2</v>
      </c>
      <c r="O207" s="4">
        <v>2800</v>
      </c>
      <c r="P207" s="4">
        <v>4200</v>
      </c>
      <c r="Q207" s="7">
        <v>0.2</v>
      </c>
      <c r="R207" t="s">
        <v>220</v>
      </c>
      <c r="S207">
        <v>13</v>
      </c>
      <c r="T207">
        <v>8400</v>
      </c>
      <c r="U207">
        <v>1680</v>
      </c>
      <c r="V207">
        <v>6720</v>
      </c>
      <c r="W207">
        <v>5600</v>
      </c>
      <c r="X207">
        <v>1120</v>
      </c>
      <c r="Y207" s="8">
        <v>0.16666666666666666</v>
      </c>
      <c r="Z207" t="s">
        <v>2995</v>
      </c>
      <c r="AA207" t="str">
        <f>IF(AND(SalesCleanTable[[#This Row],[Discount %]]&gt;0, SalesCleanTable[[#This Row],[Profit]]&lt;0), "Discount loss", "Safe")</f>
        <v>Safe</v>
      </c>
      <c r="AB207" s="25">
        <f>(SalesCleanTable[[#This Row],[Unit Price]] - SalesCleanTable[[#This Row],[Unit Cost]]) / SalesCleanTable[[#This Row],[Unit Price]]</f>
        <v>0.33333333333333331</v>
      </c>
      <c r="AC207" t="str">
        <f>IF(SalesCleanTable[[#This Row],[Discount %]] &gt; SalesCleanTable[[#This Row],[Max Allowed Discount]], "Discount loss", "Safe")</f>
        <v>Safe</v>
      </c>
      <c r="AD207" s="4">
        <f>SalesCleanTable[[#This Row],[Unit Price]] - SalesCleanTable[[#This Row],[Unit Cost]]</f>
        <v>1400</v>
      </c>
      <c r="AE207" s="41">
        <f>(SalesCleanTable[[#This Row],[Unit Price]] - SalesCleanTable[[#This Row],[Unit Cost]]) / SalesCleanTable[[#This Row],[Unit Price]]</f>
        <v>0.33333333333333331</v>
      </c>
    </row>
    <row r="208" spans="1:31">
      <c r="A208" t="s">
        <v>394</v>
      </c>
      <c r="B208" s="6">
        <v>45998</v>
      </c>
      <c r="C208" t="s">
        <v>99</v>
      </c>
      <c r="D208" t="s">
        <v>100</v>
      </c>
      <c r="E208" t="s">
        <v>92</v>
      </c>
      <c r="F208" t="s">
        <v>101</v>
      </c>
      <c r="G208" t="s">
        <v>102</v>
      </c>
      <c r="H208" t="s">
        <v>145</v>
      </c>
      <c r="I208" t="s">
        <v>146</v>
      </c>
      <c r="J208" t="s">
        <v>147</v>
      </c>
      <c r="K208" t="s">
        <v>148</v>
      </c>
      <c r="L208" t="s">
        <v>183</v>
      </c>
      <c r="M208" t="s">
        <v>171</v>
      </c>
      <c r="N208">
        <v>4</v>
      </c>
      <c r="O208" s="4">
        <v>12500</v>
      </c>
      <c r="P208" s="4">
        <v>18500</v>
      </c>
      <c r="Q208" s="7">
        <v>0.1</v>
      </c>
      <c r="R208" t="s">
        <v>215</v>
      </c>
      <c r="S208">
        <v>12</v>
      </c>
      <c r="T208">
        <v>74000</v>
      </c>
      <c r="U208">
        <v>7400</v>
      </c>
      <c r="V208">
        <v>66600</v>
      </c>
      <c r="W208">
        <v>50000</v>
      </c>
      <c r="X208">
        <v>16600</v>
      </c>
      <c r="Y208" s="8">
        <v>0.24924924924924924</v>
      </c>
      <c r="Z208" t="s">
        <v>2995</v>
      </c>
      <c r="AA208" t="str">
        <f>IF(AND(SalesCleanTable[[#This Row],[Discount %]]&gt;0, SalesCleanTable[[#This Row],[Profit]]&lt;0), "Discount loss", "Safe")</f>
        <v>Safe</v>
      </c>
      <c r="AB208" s="25">
        <f>(SalesCleanTable[[#This Row],[Unit Price]] - SalesCleanTable[[#This Row],[Unit Cost]]) / SalesCleanTable[[#This Row],[Unit Price]]</f>
        <v>0.32432432432432434</v>
      </c>
      <c r="AC208" t="str">
        <f>IF(SalesCleanTable[[#This Row],[Discount %]] &gt; SalesCleanTable[[#This Row],[Max Allowed Discount]], "Discount loss", "Safe")</f>
        <v>Safe</v>
      </c>
      <c r="AD208" s="4">
        <f>SalesCleanTable[[#This Row],[Unit Price]] - SalesCleanTable[[#This Row],[Unit Cost]]</f>
        <v>6000</v>
      </c>
      <c r="AE208" s="41">
        <f>(SalesCleanTable[[#This Row],[Unit Price]] - SalesCleanTable[[#This Row],[Unit Cost]]) / SalesCleanTable[[#This Row],[Unit Price]]</f>
        <v>0.32432432432432434</v>
      </c>
    </row>
    <row r="209" spans="1:31">
      <c r="A209" t="s">
        <v>395</v>
      </c>
      <c r="B209" s="6">
        <v>45946</v>
      </c>
      <c r="C209" t="s">
        <v>32</v>
      </c>
      <c r="D209" t="s">
        <v>33</v>
      </c>
      <c r="E209" t="s">
        <v>26</v>
      </c>
      <c r="F209" t="s">
        <v>34</v>
      </c>
      <c r="G209" t="s">
        <v>35</v>
      </c>
      <c r="H209" t="s">
        <v>149</v>
      </c>
      <c r="I209" t="s">
        <v>150</v>
      </c>
      <c r="J209" t="s">
        <v>151</v>
      </c>
      <c r="K209" t="s">
        <v>152</v>
      </c>
      <c r="L209" t="s">
        <v>166</v>
      </c>
      <c r="M209" t="s">
        <v>177</v>
      </c>
      <c r="N209">
        <v>6</v>
      </c>
      <c r="O209" s="4">
        <v>7800</v>
      </c>
      <c r="P209" s="4">
        <v>9800</v>
      </c>
      <c r="Q209" s="7">
        <v>0</v>
      </c>
      <c r="R209" t="s">
        <v>173</v>
      </c>
      <c r="S209">
        <v>8</v>
      </c>
      <c r="T209">
        <v>58800</v>
      </c>
      <c r="U209">
        <v>0</v>
      </c>
      <c r="V209">
        <v>58800</v>
      </c>
      <c r="W209">
        <v>46800</v>
      </c>
      <c r="X209">
        <v>12000</v>
      </c>
      <c r="Y209" s="8">
        <v>0.20408163265306123</v>
      </c>
      <c r="Z209" t="s">
        <v>2995</v>
      </c>
      <c r="AA209" t="str">
        <f>IF(AND(SalesCleanTable[[#This Row],[Discount %]]&gt;0, SalesCleanTable[[#This Row],[Profit]]&lt;0), "Discount loss", "Safe")</f>
        <v>Safe</v>
      </c>
      <c r="AB209" s="25">
        <f>(SalesCleanTable[[#This Row],[Unit Price]] - SalesCleanTable[[#This Row],[Unit Cost]]) / SalesCleanTable[[#This Row],[Unit Price]]</f>
        <v>0.20408163265306123</v>
      </c>
      <c r="AC209" t="str">
        <f>IF(SalesCleanTable[[#This Row],[Discount %]] &gt; SalesCleanTable[[#This Row],[Max Allowed Discount]], "Discount loss", "Safe")</f>
        <v>Safe</v>
      </c>
      <c r="AD209" s="4">
        <f>SalesCleanTable[[#This Row],[Unit Price]] - SalesCleanTable[[#This Row],[Unit Cost]]</f>
        <v>2000</v>
      </c>
      <c r="AE209" s="41">
        <f>(SalesCleanTable[[#This Row],[Unit Price]] - SalesCleanTable[[#This Row],[Unit Cost]]) / SalesCleanTable[[#This Row],[Unit Price]]</f>
        <v>0.20408163265306123</v>
      </c>
    </row>
    <row r="210" spans="1:31">
      <c r="A210" t="s">
        <v>396</v>
      </c>
      <c r="B210" s="6">
        <v>45763</v>
      </c>
      <c r="C210" t="s">
        <v>82</v>
      </c>
      <c r="D210" t="s">
        <v>83</v>
      </c>
      <c r="E210" t="s">
        <v>75</v>
      </c>
      <c r="F210" t="s">
        <v>84</v>
      </c>
      <c r="G210" t="s">
        <v>85</v>
      </c>
      <c r="H210" t="s">
        <v>139</v>
      </c>
      <c r="I210" t="s">
        <v>140</v>
      </c>
      <c r="J210" t="s">
        <v>137</v>
      </c>
      <c r="K210" t="s">
        <v>138</v>
      </c>
      <c r="L210" t="s">
        <v>166</v>
      </c>
      <c r="M210" t="s">
        <v>177</v>
      </c>
      <c r="N210">
        <v>6</v>
      </c>
      <c r="O210" s="4">
        <v>600</v>
      </c>
      <c r="P210" s="4">
        <v>950</v>
      </c>
      <c r="Q210" s="7">
        <v>0.05</v>
      </c>
      <c r="R210" t="s">
        <v>208</v>
      </c>
      <c r="S210">
        <v>8</v>
      </c>
      <c r="T210">
        <v>5700</v>
      </c>
      <c r="U210">
        <v>285</v>
      </c>
      <c r="V210">
        <v>5415</v>
      </c>
      <c r="W210">
        <v>3600</v>
      </c>
      <c r="X210">
        <v>1815</v>
      </c>
      <c r="Y210" s="8">
        <v>0.33518005540166207</v>
      </c>
      <c r="Z210" t="s">
        <v>2996</v>
      </c>
      <c r="AA210" t="str">
        <f>IF(AND(SalesCleanTable[[#This Row],[Discount %]]&gt;0, SalesCleanTable[[#This Row],[Profit]]&lt;0), "Discount loss", "Safe")</f>
        <v>Safe</v>
      </c>
      <c r="AB210" s="25">
        <f>(SalesCleanTable[[#This Row],[Unit Price]] - SalesCleanTable[[#This Row],[Unit Cost]]) / SalesCleanTable[[#This Row],[Unit Price]]</f>
        <v>0.36842105263157893</v>
      </c>
      <c r="AC210" t="str">
        <f>IF(SalesCleanTable[[#This Row],[Discount %]] &gt; SalesCleanTable[[#This Row],[Max Allowed Discount]], "Discount loss", "Safe")</f>
        <v>Safe</v>
      </c>
      <c r="AD210" s="4">
        <f>SalesCleanTable[[#This Row],[Unit Price]] - SalesCleanTable[[#This Row],[Unit Cost]]</f>
        <v>350</v>
      </c>
      <c r="AE210" s="41">
        <f>(SalesCleanTable[[#This Row],[Unit Price]] - SalesCleanTable[[#This Row],[Unit Cost]]) / SalesCleanTable[[#This Row],[Unit Price]]</f>
        <v>0.36842105263157893</v>
      </c>
    </row>
    <row r="211" spans="1:31">
      <c r="A211" t="s">
        <v>397</v>
      </c>
      <c r="B211" s="6">
        <v>45944</v>
      </c>
      <c r="C211" t="s">
        <v>53</v>
      </c>
      <c r="D211" t="s">
        <v>54</v>
      </c>
      <c r="E211" t="s">
        <v>38</v>
      </c>
      <c r="F211" t="s">
        <v>55</v>
      </c>
      <c r="G211" t="s">
        <v>56</v>
      </c>
      <c r="H211" t="s">
        <v>145</v>
      </c>
      <c r="I211" t="s">
        <v>146</v>
      </c>
      <c r="J211" t="s">
        <v>147</v>
      </c>
      <c r="K211" t="s">
        <v>148</v>
      </c>
      <c r="L211" t="s">
        <v>183</v>
      </c>
      <c r="M211" t="s">
        <v>171</v>
      </c>
      <c r="N211">
        <v>4</v>
      </c>
      <c r="O211" s="4">
        <v>330</v>
      </c>
      <c r="P211" s="4">
        <v>550</v>
      </c>
      <c r="Q211" s="7">
        <v>0.05</v>
      </c>
      <c r="R211" t="s">
        <v>168</v>
      </c>
      <c r="S211">
        <v>2</v>
      </c>
      <c r="T211">
        <v>2200</v>
      </c>
      <c r="U211">
        <v>110</v>
      </c>
      <c r="V211">
        <v>2090</v>
      </c>
      <c r="W211">
        <v>1320</v>
      </c>
      <c r="X211">
        <v>770</v>
      </c>
      <c r="Y211" s="8">
        <v>0.36842105263157893</v>
      </c>
      <c r="Z211" t="s">
        <v>2996</v>
      </c>
      <c r="AA211" t="str">
        <f>IF(AND(SalesCleanTable[[#This Row],[Discount %]]&gt;0, SalesCleanTable[[#This Row],[Profit]]&lt;0), "Discount loss", "Safe")</f>
        <v>Safe</v>
      </c>
      <c r="AB211" s="25">
        <f>(SalesCleanTable[[#This Row],[Unit Price]] - SalesCleanTable[[#This Row],[Unit Cost]]) / SalesCleanTable[[#This Row],[Unit Price]]</f>
        <v>0.4</v>
      </c>
      <c r="AC211" t="str">
        <f>IF(SalesCleanTable[[#This Row],[Discount %]] &gt; SalesCleanTable[[#This Row],[Max Allowed Discount]], "Discount loss", "Safe")</f>
        <v>Safe</v>
      </c>
      <c r="AD211" s="4">
        <f>SalesCleanTable[[#This Row],[Unit Price]] - SalesCleanTable[[#This Row],[Unit Cost]]</f>
        <v>220</v>
      </c>
      <c r="AE211" s="41">
        <f>(SalesCleanTable[[#This Row],[Unit Price]] - SalesCleanTable[[#This Row],[Unit Cost]]) / SalesCleanTable[[#This Row],[Unit Price]]</f>
        <v>0.4</v>
      </c>
    </row>
    <row r="212" spans="1:31">
      <c r="A212" t="s">
        <v>398</v>
      </c>
      <c r="B212" s="6">
        <v>45834</v>
      </c>
      <c r="C212" t="s">
        <v>82</v>
      </c>
      <c r="D212" t="s">
        <v>83</v>
      </c>
      <c r="E212" t="s">
        <v>75</v>
      </c>
      <c r="F212" t="s">
        <v>84</v>
      </c>
      <c r="G212" t="s">
        <v>85</v>
      </c>
      <c r="H212" t="s">
        <v>139</v>
      </c>
      <c r="I212" t="s">
        <v>140</v>
      </c>
      <c r="J212" t="s">
        <v>137</v>
      </c>
      <c r="K212" t="s">
        <v>138</v>
      </c>
      <c r="L212" t="s">
        <v>170</v>
      </c>
      <c r="M212" t="s">
        <v>186</v>
      </c>
      <c r="N212">
        <v>1</v>
      </c>
      <c r="O212" s="4">
        <v>600</v>
      </c>
      <c r="P212" s="4">
        <v>950</v>
      </c>
      <c r="Q212" s="7">
        <v>0.15</v>
      </c>
      <c r="R212" t="s">
        <v>208</v>
      </c>
      <c r="S212">
        <v>7</v>
      </c>
      <c r="T212">
        <v>950</v>
      </c>
      <c r="U212">
        <v>142.5</v>
      </c>
      <c r="V212">
        <v>807.5</v>
      </c>
      <c r="W212">
        <v>600</v>
      </c>
      <c r="X212">
        <v>207.5</v>
      </c>
      <c r="Y212" s="8">
        <v>0.25696594427244585</v>
      </c>
      <c r="Z212" t="s">
        <v>2996</v>
      </c>
      <c r="AA212" t="str">
        <f>IF(AND(SalesCleanTable[[#This Row],[Discount %]]&gt;0, SalesCleanTable[[#This Row],[Profit]]&lt;0), "Discount loss", "Safe")</f>
        <v>Safe</v>
      </c>
      <c r="AB212" s="25">
        <f>(SalesCleanTable[[#This Row],[Unit Price]] - SalesCleanTable[[#This Row],[Unit Cost]]) / SalesCleanTable[[#This Row],[Unit Price]]</f>
        <v>0.36842105263157893</v>
      </c>
      <c r="AC212" t="str">
        <f>IF(SalesCleanTable[[#This Row],[Discount %]] &gt; SalesCleanTable[[#This Row],[Max Allowed Discount]], "Discount loss", "Safe")</f>
        <v>Safe</v>
      </c>
      <c r="AD212" s="4">
        <f>SalesCleanTable[[#This Row],[Unit Price]] - SalesCleanTable[[#This Row],[Unit Cost]]</f>
        <v>350</v>
      </c>
      <c r="AE212" s="41">
        <f>(SalesCleanTable[[#This Row],[Unit Price]] - SalesCleanTable[[#This Row],[Unit Cost]]) / SalesCleanTable[[#This Row],[Unit Price]]</f>
        <v>0.36842105263157893</v>
      </c>
    </row>
    <row r="213" spans="1:31">
      <c r="A213" t="s">
        <v>399</v>
      </c>
      <c r="B213" s="6">
        <v>45727</v>
      </c>
      <c r="C213" t="s">
        <v>90</v>
      </c>
      <c r="D213" t="s">
        <v>91</v>
      </c>
      <c r="E213" t="s">
        <v>92</v>
      </c>
      <c r="F213" t="s">
        <v>93</v>
      </c>
      <c r="G213" t="s">
        <v>94</v>
      </c>
      <c r="H213" t="s">
        <v>153</v>
      </c>
      <c r="I213" t="s">
        <v>154</v>
      </c>
      <c r="J213" t="s">
        <v>155</v>
      </c>
      <c r="K213" t="s">
        <v>131</v>
      </c>
      <c r="L213" t="s">
        <v>170</v>
      </c>
      <c r="M213" t="s">
        <v>186</v>
      </c>
      <c r="N213">
        <v>3</v>
      </c>
      <c r="O213" s="4">
        <v>7500</v>
      </c>
      <c r="P213" s="4">
        <v>10500</v>
      </c>
      <c r="Q213" s="7">
        <v>0.15</v>
      </c>
      <c r="R213" t="s">
        <v>217</v>
      </c>
      <c r="S213">
        <v>7</v>
      </c>
      <c r="T213">
        <v>31500</v>
      </c>
      <c r="U213">
        <v>4725</v>
      </c>
      <c r="V213">
        <v>26775</v>
      </c>
      <c r="W213">
        <v>22500</v>
      </c>
      <c r="X213">
        <v>4275</v>
      </c>
      <c r="Y213" s="8">
        <v>0.15966386554621848</v>
      </c>
      <c r="Z213" t="s">
        <v>2996</v>
      </c>
      <c r="AA213" t="str">
        <f>IF(AND(SalesCleanTable[[#This Row],[Discount %]]&gt;0, SalesCleanTable[[#This Row],[Profit]]&lt;0), "Discount loss", "Safe")</f>
        <v>Safe</v>
      </c>
      <c r="AB213" s="25">
        <f>(SalesCleanTable[[#This Row],[Unit Price]] - SalesCleanTable[[#This Row],[Unit Cost]]) / SalesCleanTable[[#This Row],[Unit Price]]</f>
        <v>0.2857142857142857</v>
      </c>
      <c r="AC213" t="str">
        <f>IF(SalesCleanTable[[#This Row],[Discount %]] &gt; SalesCleanTable[[#This Row],[Max Allowed Discount]], "Discount loss", "Safe")</f>
        <v>Safe</v>
      </c>
      <c r="AD213" s="4">
        <f>SalesCleanTable[[#This Row],[Unit Price]] - SalesCleanTable[[#This Row],[Unit Cost]]</f>
        <v>3000</v>
      </c>
      <c r="AE213" s="41">
        <f>(SalesCleanTable[[#This Row],[Unit Price]] - SalesCleanTable[[#This Row],[Unit Cost]]) / SalesCleanTable[[#This Row],[Unit Price]]</f>
        <v>0.2857142857142857</v>
      </c>
    </row>
    <row r="214" spans="1:31">
      <c r="A214" t="s">
        <v>400</v>
      </c>
      <c r="B214" s="6">
        <v>45996</v>
      </c>
      <c r="C214" t="s">
        <v>103</v>
      </c>
      <c r="D214" t="s">
        <v>104</v>
      </c>
      <c r="E214" t="s">
        <v>92</v>
      </c>
      <c r="F214" t="s">
        <v>105</v>
      </c>
      <c r="G214" t="s">
        <v>106</v>
      </c>
      <c r="H214" t="s">
        <v>128</v>
      </c>
      <c r="I214" t="s">
        <v>129</v>
      </c>
      <c r="J214" t="s">
        <v>130</v>
      </c>
      <c r="K214" t="s">
        <v>131</v>
      </c>
      <c r="L214" t="s">
        <v>170</v>
      </c>
      <c r="M214" t="s">
        <v>186</v>
      </c>
      <c r="N214">
        <v>6</v>
      </c>
      <c r="O214" s="4">
        <v>1500</v>
      </c>
      <c r="P214" s="4">
        <v>2500</v>
      </c>
      <c r="Q214" s="7">
        <v>0</v>
      </c>
      <c r="R214" t="s">
        <v>181</v>
      </c>
      <c r="S214">
        <v>12</v>
      </c>
      <c r="T214">
        <v>15000</v>
      </c>
      <c r="U214">
        <v>0</v>
      </c>
      <c r="V214">
        <v>15000</v>
      </c>
      <c r="W214">
        <v>9000</v>
      </c>
      <c r="X214">
        <v>6000</v>
      </c>
      <c r="Y214" s="8">
        <v>0.4</v>
      </c>
      <c r="Z214" t="s">
        <v>2996</v>
      </c>
      <c r="AA214" t="str">
        <f>IF(AND(SalesCleanTable[[#This Row],[Discount %]]&gt;0, SalesCleanTable[[#This Row],[Profit]]&lt;0), "Discount loss", "Safe")</f>
        <v>Safe</v>
      </c>
      <c r="AB214" s="25">
        <f>(SalesCleanTable[[#This Row],[Unit Price]] - SalesCleanTable[[#This Row],[Unit Cost]]) / SalesCleanTable[[#This Row],[Unit Price]]</f>
        <v>0.4</v>
      </c>
      <c r="AC214" t="str">
        <f>IF(SalesCleanTable[[#This Row],[Discount %]] &gt; SalesCleanTable[[#This Row],[Max Allowed Discount]], "Discount loss", "Safe")</f>
        <v>Safe</v>
      </c>
      <c r="AD214" s="4">
        <f>SalesCleanTable[[#This Row],[Unit Price]] - SalesCleanTable[[#This Row],[Unit Cost]]</f>
        <v>1000</v>
      </c>
      <c r="AE214" s="41">
        <f>(SalesCleanTable[[#This Row],[Unit Price]] - SalesCleanTable[[#This Row],[Unit Cost]]) / SalesCleanTable[[#This Row],[Unit Price]]</f>
        <v>0.4</v>
      </c>
    </row>
    <row r="215" spans="1:31">
      <c r="A215" t="s">
        <v>401</v>
      </c>
      <c r="B215" s="6">
        <v>45659</v>
      </c>
      <c r="C215" t="s">
        <v>82</v>
      </c>
      <c r="D215" t="s">
        <v>83</v>
      </c>
      <c r="E215" t="s">
        <v>75</v>
      </c>
      <c r="F215" t="s">
        <v>84</v>
      </c>
      <c r="G215" t="s">
        <v>85</v>
      </c>
      <c r="H215" t="s">
        <v>153</v>
      </c>
      <c r="I215" t="s">
        <v>154</v>
      </c>
      <c r="J215" t="s">
        <v>155</v>
      </c>
      <c r="K215" t="s">
        <v>131</v>
      </c>
      <c r="L215" t="s">
        <v>166</v>
      </c>
      <c r="M215" t="s">
        <v>186</v>
      </c>
      <c r="N215">
        <v>2</v>
      </c>
      <c r="O215" s="4">
        <v>600</v>
      </c>
      <c r="P215" s="4">
        <v>950</v>
      </c>
      <c r="Q215" s="7">
        <v>0.1</v>
      </c>
      <c r="R215" t="s">
        <v>187</v>
      </c>
      <c r="S215">
        <v>4</v>
      </c>
      <c r="T215">
        <v>1900</v>
      </c>
      <c r="U215">
        <v>190</v>
      </c>
      <c r="V215">
        <v>1710</v>
      </c>
      <c r="W215">
        <v>1200</v>
      </c>
      <c r="X215">
        <v>510</v>
      </c>
      <c r="Y215" s="8">
        <v>0.2982456140350877</v>
      </c>
      <c r="Z215" t="s">
        <v>2996</v>
      </c>
      <c r="AA215" t="str">
        <f>IF(AND(SalesCleanTable[[#This Row],[Discount %]]&gt;0, SalesCleanTable[[#This Row],[Profit]]&lt;0), "Discount loss", "Safe")</f>
        <v>Safe</v>
      </c>
      <c r="AB215" s="25">
        <f>(SalesCleanTable[[#This Row],[Unit Price]] - SalesCleanTable[[#This Row],[Unit Cost]]) / SalesCleanTable[[#This Row],[Unit Price]]</f>
        <v>0.36842105263157893</v>
      </c>
      <c r="AC215" t="str">
        <f>IF(SalesCleanTable[[#This Row],[Discount %]] &gt; SalesCleanTable[[#This Row],[Max Allowed Discount]], "Discount loss", "Safe")</f>
        <v>Safe</v>
      </c>
      <c r="AD215" s="4">
        <f>SalesCleanTable[[#This Row],[Unit Price]] - SalesCleanTable[[#This Row],[Unit Cost]]</f>
        <v>350</v>
      </c>
      <c r="AE215" s="41">
        <f>(SalesCleanTable[[#This Row],[Unit Price]] - SalesCleanTable[[#This Row],[Unit Cost]]) / SalesCleanTable[[#This Row],[Unit Price]]</f>
        <v>0.36842105263157893</v>
      </c>
    </row>
    <row r="216" spans="1:31">
      <c r="A216" t="s">
        <v>402</v>
      </c>
      <c r="B216" s="6">
        <v>45737</v>
      </c>
      <c r="C216" t="s">
        <v>45</v>
      </c>
      <c r="D216" t="s">
        <v>46</v>
      </c>
      <c r="E216" t="s">
        <v>38</v>
      </c>
      <c r="F216" t="s">
        <v>47</v>
      </c>
      <c r="G216" t="s">
        <v>48</v>
      </c>
      <c r="H216" t="s">
        <v>153</v>
      </c>
      <c r="I216" t="s">
        <v>154</v>
      </c>
      <c r="J216" t="s">
        <v>155</v>
      </c>
      <c r="K216" t="s">
        <v>131</v>
      </c>
      <c r="L216" t="s">
        <v>183</v>
      </c>
      <c r="M216" t="s">
        <v>186</v>
      </c>
      <c r="N216">
        <v>4</v>
      </c>
      <c r="O216" s="4">
        <v>230</v>
      </c>
      <c r="P216" s="4">
        <v>400</v>
      </c>
      <c r="Q216" s="7">
        <v>0</v>
      </c>
      <c r="R216" t="s">
        <v>178</v>
      </c>
      <c r="S216">
        <v>4</v>
      </c>
      <c r="T216">
        <v>1600</v>
      </c>
      <c r="U216">
        <v>0</v>
      </c>
      <c r="V216">
        <v>1600</v>
      </c>
      <c r="W216">
        <v>920</v>
      </c>
      <c r="X216">
        <v>680</v>
      </c>
      <c r="Y216" s="8">
        <v>0.42499999999999999</v>
      </c>
      <c r="Z216" t="s">
        <v>2995</v>
      </c>
      <c r="AA216" t="str">
        <f>IF(AND(SalesCleanTable[[#This Row],[Discount %]]&gt;0, SalesCleanTable[[#This Row],[Profit]]&lt;0), "Discount loss", "Safe")</f>
        <v>Safe</v>
      </c>
      <c r="AB216" s="25">
        <f>(SalesCleanTable[[#This Row],[Unit Price]] - SalesCleanTable[[#This Row],[Unit Cost]]) / SalesCleanTable[[#This Row],[Unit Price]]</f>
        <v>0.42499999999999999</v>
      </c>
      <c r="AC216" t="str">
        <f>IF(SalesCleanTable[[#This Row],[Discount %]] &gt; SalesCleanTable[[#This Row],[Max Allowed Discount]], "Discount loss", "Safe")</f>
        <v>Safe</v>
      </c>
      <c r="AD216" s="4">
        <f>SalesCleanTable[[#This Row],[Unit Price]] - SalesCleanTable[[#This Row],[Unit Cost]]</f>
        <v>170</v>
      </c>
      <c r="AE216" s="41">
        <f>(SalesCleanTable[[#This Row],[Unit Price]] - SalesCleanTable[[#This Row],[Unit Cost]]) / SalesCleanTable[[#This Row],[Unit Price]]</f>
        <v>0.42499999999999999</v>
      </c>
    </row>
    <row r="217" spans="1:31">
      <c r="A217" t="s">
        <v>403</v>
      </c>
      <c r="B217" s="6">
        <v>45709</v>
      </c>
      <c r="C217" t="s">
        <v>66</v>
      </c>
      <c r="D217" t="s">
        <v>67</v>
      </c>
      <c r="E217" t="s">
        <v>59</v>
      </c>
      <c r="F217" t="s">
        <v>60</v>
      </c>
      <c r="G217" t="s">
        <v>68</v>
      </c>
      <c r="H217" t="s">
        <v>139</v>
      </c>
      <c r="I217" t="s">
        <v>140</v>
      </c>
      <c r="J217" t="s">
        <v>137</v>
      </c>
      <c r="K217" t="s">
        <v>138</v>
      </c>
      <c r="L217" t="s">
        <v>166</v>
      </c>
      <c r="M217" t="s">
        <v>177</v>
      </c>
      <c r="N217">
        <v>4</v>
      </c>
      <c r="O217" s="4">
        <v>2800</v>
      </c>
      <c r="P217" s="4">
        <v>3900</v>
      </c>
      <c r="Q217" s="7">
        <v>0.15</v>
      </c>
      <c r="R217" t="s">
        <v>204</v>
      </c>
      <c r="S217">
        <v>4</v>
      </c>
      <c r="T217">
        <v>15600</v>
      </c>
      <c r="U217">
        <v>2340</v>
      </c>
      <c r="V217">
        <v>13260</v>
      </c>
      <c r="W217">
        <v>11200</v>
      </c>
      <c r="X217">
        <v>2060</v>
      </c>
      <c r="Y217" s="8">
        <v>0.15535444947209653</v>
      </c>
      <c r="Z217" t="s">
        <v>2996</v>
      </c>
      <c r="AA217" t="str">
        <f>IF(AND(SalesCleanTable[[#This Row],[Discount %]]&gt;0, SalesCleanTable[[#This Row],[Profit]]&lt;0), "Discount loss", "Safe")</f>
        <v>Safe</v>
      </c>
      <c r="AB217" s="25">
        <f>(SalesCleanTable[[#This Row],[Unit Price]] - SalesCleanTable[[#This Row],[Unit Cost]]) / SalesCleanTable[[#This Row],[Unit Price]]</f>
        <v>0.28205128205128205</v>
      </c>
      <c r="AC217" t="str">
        <f>IF(SalesCleanTable[[#This Row],[Discount %]] &gt; SalesCleanTable[[#This Row],[Max Allowed Discount]], "Discount loss", "Safe")</f>
        <v>Safe</v>
      </c>
      <c r="AD217" s="4">
        <f>SalesCleanTable[[#This Row],[Unit Price]] - SalesCleanTable[[#This Row],[Unit Cost]]</f>
        <v>1100</v>
      </c>
      <c r="AE217" s="41">
        <f>(SalesCleanTable[[#This Row],[Unit Price]] - SalesCleanTable[[#This Row],[Unit Cost]]) / SalesCleanTable[[#This Row],[Unit Price]]</f>
        <v>0.28205128205128205</v>
      </c>
    </row>
    <row r="218" spans="1:31">
      <c r="A218" t="s">
        <v>404</v>
      </c>
      <c r="B218" s="6">
        <v>45686</v>
      </c>
      <c r="C218" t="s">
        <v>32</v>
      </c>
      <c r="D218" t="s">
        <v>33</v>
      </c>
      <c r="E218" t="s">
        <v>26</v>
      </c>
      <c r="F218" t="s">
        <v>34</v>
      </c>
      <c r="G218" t="s">
        <v>35</v>
      </c>
      <c r="H218" t="s">
        <v>153</v>
      </c>
      <c r="I218" t="s">
        <v>154</v>
      </c>
      <c r="J218" t="s">
        <v>155</v>
      </c>
      <c r="K218" t="s">
        <v>131</v>
      </c>
      <c r="L218" t="s">
        <v>166</v>
      </c>
      <c r="M218" t="s">
        <v>171</v>
      </c>
      <c r="N218">
        <v>2</v>
      </c>
      <c r="O218" s="4">
        <v>7800</v>
      </c>
      <c r="P218" s="4">
        <v>9800</v>
      </c>
      <c r="Q218" s="7">
        <v>0.15</v>
      </c>
      <c r="R218" t="s">
        <v>173</v>
      </c>
      <c r="S218">
        <v>14</v>
      </c>
      <c r="T218">
        <v>19600</v>
      </c>
      <c r="U218">
        <v>2940</v>
      </c>
      <c r="V218">
        <v>16660</v>
      </c>
      <c r="W218">
        <v>15600</v>
      </c>
      <c r="X218">
        <v>1060</v>
      </c>
      <c r="Y218" s="8">
        <v>6.3625450180072027E-2</v>
      </c>
      <c r="Z218" t="s">
        <v>2995</v>
      </c>
      <c r="AA218" t="str">
        <f>IF(AND(SalesCleanTable[[#This Row],[Discount %]]&gt;0, SalesCleanTable[[#This Row],[Profit]]&lt;0), "Discount loss", "Safe")</f>
        <v>Safe</v>
      </c>
      <c r="AB218" s="25">
        <f>(SalesCleanTable[[#This Row],[Unit Price]] - SalesCleanTable[[#This Row],[Unit Cost]]) / SalesCleanTable[[#This Row],[Unit Price]]</f>
        <v>0.20408163265306123</v>
      </c>
      <c r="AC218" t="str">
        <f>IF(SalesCleanTable[[#This Row],[Discount %]] &gt; SalesCleanTable[[#This Row],[Max Allowed Discount]], "Discount loss", "Safe")</f>
        <v>Safe</v>
      </c>
      <c r="AD218" s="4">
        <f>SalesCleanTable[[#This Row],[Unit Price]] - SalesCleanTable[[#This Row],[Unit Cost]]</f>
        <v>2000</v>
      </c>
      <c r="AE218" s="41">
        <f>(SalesCleanTable[[#This Row],[Unit Price]] - SalesCleanTable[[#This Row],[Unit Cost]]) / SalesCleanTable[[#This Row],[Unit Price]]</f>
        <v>0.20408163265306123</v>
      </c>
    </row>
    <row r="219" spans="1:31">
      <c r="A219" t="s">
        <v>405</v>
      </c>
      <c r="B219" s="6">
        <v>45812</v>
      </c>
      <c r="C219" t="s">
        <v>103</v>
      </c>
      <c r="D219" t="s">
        <v>104</v>
      </c>
      <c r="E219" t="s">
        <v>92</v>
      </c>
      <c r="F219" t="s">
        <v>105</v>
      </c>
      <c r="G219" t="s">
        <v>106</v>
      </c>
      <c r="H219" t="s">
        <v>153</v>
      </c>
      <c r="I219" t="s">
        <v>154</v>
      </c>
      <c r="J219" t="s">
        <v>155</v>
      </c>
      <c r="K219" t="s">
        <v>131</v>
      </c>
      <c r="L219" t="s">
        <v>166</v>
      </c>
      <c r="M219" t="s">
        <v>171</v>
      </c>
      <c r="N219">
        <v>3</v>
      </c>
      <c r="O219" s="4">
        <v>1500</v>
      </c>
      <c r="P219" s="4">
        <v>2500</v>
      </c>
      <c r="Q219" s="7">
        <v>0.05</v>
      </c>
      <c r="R219" t="s">
        <v>215</v>
      </c>
      <c r="S219">
        <v>12</v>
      </c>
      <c r="T219">
        <v>7500</v>
      </c>
      <c r="U219">
        <v>375</v>
      </c>
      <c r="V219">
        <v>7125</v>
      </c>
      <c r="W219">
        <v>4500</v>
      </c>
      <c r="X219">
        <v>2625</v>
      </c>
      <c r="Y219" s="8">
        <v>0.36842105263157893</v>
      </c>
      <c r="Z219" t="s">
        <v>2996</v>
      </c>
      <c r="AA219" t="str">
        <f>IF(AND(SalesCleanTable[[#This Row],[Discount %]]&gt;0, SalesCleanTable[[#This Row],[Profit]]&lt;0), "Discount loss", "Safe")</f>
        <v>Safe</v>
      </c>
      <c r="AB219" s="25">
        <f>(SalesCleanTable[[#This Row],[Unit Price]] - SalesCleanTable[[#This Row],[Unit Cost]]) / SalesCleanTable[[#This Row],[Unit Price]]</f>
        <v>0.4</v>
      </c>
      <c r="AC219" t="str">
        <f>IF(SalesCleanTable[[#This Row],[Discount %]] &gt; SalesCleanTable[[#This Row],[Max Allowed Discount]], "Discount loss", "Safe")</f>
        <v>Safe</v>
      </c>
      <c r="AD219" s="4">
        <f>SalesCleanTable[[#This Row],[Unit Price]] - SalesCleanTable[[#This Row],[Unit Cost]]</f>
        <v>1000</v>
      </c>
      <c r="AE219" s="41">
        <f>(SalesCleanTable[[#This Row],[Unit Price]] - SalesCleanTable[[#This Row],[Unit Cost]]) / SalesCleanTable[[#This Row],[Unit Price]]</f>
        <v>0.4</v>
      </c>
    </row>
    <row r="220" spans="1:31">
      <c r="A220" t="s">
        <v>406</v>
      </c>
      <c r="B220" s="6">
        <v>45978</v>
      </c>
      <c r="C220" t="s">
        <v>78</v>
      </c>
      <c r="D220" t="s">
        <v>79</v>
      </c>
      <c r="E220" t="s">
        <v>75</v>
      </c>
      <c r="F220" t="s">
        <v>80</v>
      </c>
      <c r="G220" t="s">
        <v>81</v>
      </c>
      <c r="H220" t="s">
        <v>139</v>
      </c>
      <c r="I220" t="s">
        <v>140</v>
      </c>
      <c r="J220" t="s">
        <v>137</v>
      </c>
      <c r="K220" t="s">
        <v>138</v>
      </c>
      <c r="L220" t="s">
        <v>183</v>
      </c>
      <c r="M220" t="s">
        <v>186</v>
      </c>
      <c r="N220">
        <v>1</v>
      </c>
      <c r="O220" s="4">
        <v>1200</v>
      </c>
      <c r="P220" s="4">
        <v>1900</v>
      </c>
      <c r="Q220" s="7">
        <v>0.05</v>
      </c>
      <c r="R220" t="s">
        <v>204</v>
      </c>
      <c r="S220">
        <v>6</v>
      </c>
      <c r="T220">
        <v>1900</v>
      </c>
      <c r="U220">
        <v>95</v>
      </c>
      <c r="V220">
        <v>1805</v>
      </c>
      <c r="W220">
        <v>1200</v>
      </c>
      <c r="X220">
        <v>605</v>
      </c>
      <c r="Y220" s="8">
        <v>0.33518005540166207</v>
      </c>
      <c r="Z220" t="s">
        <v>2996</v>
      </c>
      <c r="AA220" t="str">
        <f>IF(AND(SalesCleanTable[[#This Row],[Discount %]]&gt;0, SalesCleanTable[[#This Row],[Profit]]&lt;0), "Discount loss", "Safe")</f>
        <v>Safe</v>
      </c>
      <c r="AB220" s="25">
        <f>(SalesCleanTable[[#This Row],[Unit Price]] - SalesCleanTable[[#This Row],[Unit Cost]]) / SalesCleanTable[[#This Row],[Unit Price]]</f>
        <v>0.36842105263157893</v>
      </c>
      <c r="AC220" t="str">
        <f>IF(SalesCleanTable[[#This Row],[Discount %]] &gt; SalesCleanTable[[#This Row],[Max Allowed Discount]], "Discount loss", "Safe")</f>
        <v>Safe</v>
      </c>
      <c r="AD220" s="4">
        <f>SalesCleanTable[[#This Row],[Unit Price]] - SalesCleanTable[[#This Row],[Unit Cost]]</f>
        <v>700</v>
      </c>
      <c r="AE220" s="41">
        <f>(SalesCleanTable[[#This Row],[Unit Price]] - SalesCleanTable[[#This Row],[Unit Cost]]) / SalesCleanTable[[#This Row],[Unit Price]]</f>
        <v>0.36842105263157893</v>
      </c>
    </row>
    <row r="221" spans="1:31">
      <c r="A221" t="s">
        <v>407</v>
      </c>
      <c r="B221" s="6">
        <v>45867</v>
      </c>
      <c r="C221" t="s">
        <v>36</v>
      </c>
      <c r="D221" t="s">
        <v>37</v>
      </c>
      <c r="E221" t="s">
        <v>38</v>
      </c>
      <c r="F221" t="s">
        <v>39</v>
      </c>
      <c r="G221" t="s">
        <v>40</v>
      </c>
      <c r="H221" t="s">
        <v>135</v>
      </c>
      <c r="I221" t="s">
        <v>136</v>
      </c>
      <c r="J221" t="s">
        <v>137</v>
      </c>
      <c r="K221" t="s">
        <v>138</v>
      </c>
      <c r="L221" t="s">
        <v>183</v>
      </c>
      <c r="M221" t="s">
        <v>167</v>
      </c>
      <c r="N221">
        <v>4</v>
      </c>
      <c r="O221" s="4">
        <v>1650</v>
      </c>
      <c r="P221" s="4">
        <v>2200</v>
      </c>
      <c r="Q221" s="7">
        <v>0.05</v>
      </c>
      <c r="R221" t="s">
        <v>168</v>
      </c>
      <c r="S221">
        <v>3</v>
      </c>
      <c r="T221">
        <v>8800</v>
      </c>
      <c r="U221">
        <v>440</v>
      </c>
      <c r="V221">
        <v>8360</v>
      </c>
      <c r="W221">
        <v>6600</v>
      </c>
      <c r="X221">
        <v>1760</v>
      </c>
      <c r="Y221" s="8">
        <v>0.21052631578947367</v>
      </c>
      <c r="Z221" t="s">
        <v>2995</v>
      </c>
      <c r="AA221" t="str">
        <f>IF(AND(SalesCleanTable[[#This Row],[Discount %]]&gt;0, SalesCleanTable[[#This Row],[Profit]]&lt;0), "Discount loss", "Safe")</f>
        <v>Safe</v>
      </c>
      <c r="AB221" s="25">
        <f>(SalesCleanTable[[#This Row],[Unit Price]] - SalesCleanTable[[#This Row],[Unit Cost]]) / SalesCleanTable[[#This Row],[Unit Price]]</f>
        <v>0.25</v>
      </c>
      <c r="AC221" t="str">
        <f>IF(SalesCleanTable[[#This Row],[Discount %]] &gt; SalesCleanTable[[#This Row],[Max Allowed Discount]], "Discount loss", "Safe")</f>
        <v>Safe</v>
      </c>
      <c r="AD221" s="4">
        <f>SalesCleanTable[[#This Row],[Unit Price]] - SalesCleanTable[[#This Row],[Unit Cost]]</f>
        <v>550</v>
      </c>
      <c r="AE221" s="41">
        <f>(SalesCleanTable[[#This Row],[Unit Price]] - SalesCleanTable[[#This Row],[Unit Cost]]) / SalesCleanTable[[#This Row],[Unit Price]]</f>
        <v>0.25</v>
      </c>
    </row>
    <row r="222" spans="1:31">
      <c r="A222" t="s">
        <v>408</v>
      </c>
      <c r="B222" s="6">
        <v>45687</v>
      </c>
      <c r="C222" t="s">
        <v>62</v>
      </c>
      <c r="D222" t="s">
        <v>63</v>
      </c>
      <c r="E222" t="s">
        <v>59</v>
      </c>
      <c r="F222" t="s">
        <v>64</v>
      </c>
      <c r="G222" t="s">
        <v>65</v>
      </c>
      <c r="H222" t="s">
        <v>153</v>
      </c>
      <c r="I222" t="s">
        <v>154</v>
      </c>
      <c r="J222" t="s">
        <v>155</v>
      </c>
      <c r="K222" t="s">
        <v>131</v>
      </c>
      <c r="L222" t="s">
        <v>166</v>
      </c>
      <c r="M222" t="s">
        <v>167</v>
      </c>
      <c r="N222">
        <v>3</v>
      </c>
      <c r="O222" s="4">
        <v>3200</v>
      </c>
      <c r="P222" s="4">
        <v>4500</v>
      </c>
      <c r="Q222" s="7">
        <v>0</v>
      </c>
      <c r="R222" t="s">
        <v>173</v>
      </c>
      <c r="S222">
        <v>2</v>
      </c>
      <c r="T222">
        <v>13500</v>
      </c>
      <c r="U222">
        <v>0</v>
      </c>
      <c r="V222">
        <v>13500</v>
      </c>
      <c r="W222">
        <v>9600</v>
      </c>
      <c r="X222">
        <v>3900</v>
      </c>
      <c r="Y222" s="8">
        <v>0.28888888888888886</v>
      </c>
      <c r="Z222" t="s">
        <v>2996</v>
      </c>
      <c r="AA222" t="str">
        <f>IF(AND(SalesCleanTable[[#This Row],[Discount %]]&gt;0, SalesCleanTable[[#This Row],[Profit]]&lt;0), "Discount loss", "Safe")</f>
        <v>Safe</v>
      </c>
      <c r="AB222" s="25">
        <f>(SalesCleanTable[[#This Row],[Unit Price]] - SalesCleanTable[[#This Row],[Unit Cost]]) / SalesCleanTable[[#This Row],[Unit Price]]</f>
        <v>0.28888888888888886</v>
      </c>
      <c r="AC222" t="str">
        <f>IF(SalesCleanTable[[#This Row],[Discount %]] &gt; SalesCleanTable[[#This Row],[Max Allowed Discount]], "Discount loss", "Safe")</f>
        <v>Safe</v>
      </c>
      <c r="AD222" s="4">
        <f>SalesCleanTable[[#This Row],[Unit Price]] - SalesCleanTable[[#This Row],[Unit Cost]]</f>
        <v>1300</v>
      </c>
      <c r="AE222" s="41">
        <f>(SalesCleanTable[[#This Row],[Unit Price]] - SalesCleanTable[[#This Row],[Unit Cost]]) / SalesCleanTable[[#This Row],[Unit Price]]</f>
        <v>0.28888888888888886</v>
      </c>
    </row>
    <row r="223" spans="1:31">
      <c r="A223" t="s">
        <v>409</v>
      </c>
      <c r="B223" s="6">
        <v>45847</v>
      </c>
      <c r="C223" t="s">
        <v>29</v>
      </c>
      <c r="D223" t="s">
        <v>30</v>
      </c>
      <c r="E223" t="s">
        <v>26</v>
      </c>
      <c r="F223" t="s">
        <v>27</v>
      </c>
      <c r="G223" t="s">
        <v>31</v>
      </c>
      <c r="H223" t="s">
        <v>145</v>
      </c>
      <c r="I223" t="s">
        <v>146</v>
      </c>
      <c r="J223" t="s">
        <v>147</v>
      </c>
      <c r="K223" t="s">
        <v>148</v>
      </c>
      <c r="L223" t="s">
        <v>183</v>
      </c>
      <c r="M223" t="s">
        <v>171</v>
      </c>
      <c r="N223">
        <v>1</v>
      </c>
      <c r="O223" s="4">
        <v>6200</v>
      </c>
      <c r="P223" s="4">
        <v>7900</v>
      </c>
      <c r="Q223" s="7">
        <v>0</v>
      </c>
      <c r="R223" t="s">
        <v>197</v>
      </c>
      <c r="S223">
        <v>4</v>
      </c>
      <c r="T223">
        <v>7900</v>
      </c>
      <c r="U223">
        <v>0</v>
      </c>
      <c r="V223">
        <v>7900</v>
      </c>
      <c r="W223">
        <v>6200</v>
      </c>
      <c r="X223">
        <v>1700</v>
      </c>
      <c r="Y223" s="8">
        <v>0.21518987341772153</v>
      </c>
      <c r="Z223" t="s">
        <v>2996</v>
      </c>
      <c r="AA223" t="str">
        <f>IF(AND(SalesCleanTable[[#This Row],[Discount %]]&gt;0, SalesCleanTable[[#This Row],[Profit]]&lt;0), "Discount loss", "Safe")</f>
        <v>Safe</v>
      </c>
      <c r="AB223" s="25">
        <f>(SalesCleanTable[[#This Row],[Unit Price]] - SalesCleanTable[[#This Row],[Unit Cost]]) / SalesCleanTable[[#This Row],[Unit Price]]</f>
        <v>0.21518987341772153</v>
      </c>
      <c r="AC223" t="str">
        <f>IF(SalesCleanTable[[#This Row],[Discount %]] &gt; SalesCleanTable[[#This Row],[Max Allowed Discount]], "Discount loss", "Safe")</f>
        <v>Safe</v>
      </c>
      <c r="AD223" s="4">
        <f>SalesCleanTable[[#This Row],[Unit Price]] - SalesCleanTable[[#This Row],[Unit Cost]]</f>
        <v>1700</v>
      </c>
      <c r="AE223" s="41">
        <f>(SalesCleanTable[[#This Row],[Unit Price]] - SalesCleanTable[[#This Row],[Unit Cost]]) / SalesCleanTable[[#This Row],[Unit Price]]</f>
        <v>0.21518987341772153</v>
      </c>
    </row>
    <row r="224" spans="1:31">
      <c r="A224" t="s">
        <v>410</v>
      </c>
      <c r="B224" s="6">
        <v>45958</v>
      </c>
      <c r="C224" t="s">
        <v>82</v>
      </c>
      <c r="D224" t="s">
        <v>83</v>
      </c>
      <c r="E224" t="s">
        <v>75</v>
      </c>
      <c r="F224" t="s">
        <v>84</v>
      </c>
      <c r="G224" t="s">
        <v>85</v>
      </c>
      <c r="H224" t="s">
        <v>139</v>
      </c>
      <c r="I224" t="s">
        <v>140</v>
      </c>
      <c r="J224" t="s">
        <v>137</v>
      </c>
      <c r="K224" t="s">
        <v>138</v>
      </c>
      <c r="L224" t="s">
        <v>166</v>
      </c>
      <c r="M224" t="s">
        <v>171</v>
      </c>
      <c r="N224">
        <v>3</v>
      </c>
      <c r="O224" s="4">
        <v>600</v>
      </c>
      <c r="P224" s="4">
        <v>950</v>
      </c>
      <c r="Q224" s="7">
        <v>0.15</v>
      </c>
      <c r="R224" t="s">
        <v>187</v>
      </c>
      <c r="S224">
        <v>4</v>
      </c>
      <c r="T224">
        <v>2850</v>
      </c>
      <c r="U224">
        <v>427.5</v>
      </c>
      <c r="V224">
        <v>2422.5</v>
      </c>
      <c r="W224">
        <v>1800</v>
      </c>
      <c r="X224">
        <v>622.5</v>
      </c>
      <c r="Y224" s="8">
        <v>0.25696594427244585</v>
      </c>
      <c r="Z224" t="s">
        <v>2996</v>
      </c>
      <c r="AA224" t="str">
        <f>IF(AND(SalesCleanTable[[#This Row],[Discount %]]&gt;0, SalesCleanTable[[#This Row],[Profit]]&lt;0), "Discount loss", "Safe")</f>
        <v>Safe</v>
      </c>
      <c r="AB224" s="25">
        <f>(SalesCleanTable[[#This Row],[Unit Price]] - SalesCleanTable[[#This Row],[Unit Cost]]) / SalesCleanTable[[#This Row],[Unit Price]]</f>
        <v>0.36842105263157893</v>
      </c>
      <c r="AC224" t="str">
        <f>IF(SalesCleanTable[[#This Row],[Discount %]] &gt; SalesCleanTable[[#This Row],[Max Allowed Discount]], "Discount loss", "Safe")</f>
        <v>Safe</v>
      </c>
      <c r="AD224" s="4">
        <f>SalesCleanTable[[#This Row],[Unit Price]] - SalesCleanTable[[#This Row],[Unit Cost]]</f>
        <v>350</v>
      </c>
      <c r="AE224" s="41">
        <f>(SalesCleanTable[[#This Row],[Unit Price]] - SalesCleanTable[[#This Row],[Unit Cost]]) / SalesCleanTable[[#This Row],[Unit Price]]</f>
        <v>0.36842105263157893</v>
      </c>
    </row>
    <row r="225" spans="1:31">
      <c r="A225" t="s">
        <v>411</v>
      </c>
      <c r="B225" s="6">
        <v>45718</v>
      </c>
      <c r="C225" t="s">
        <v>82</v>
      </c>
      <c r="D225" t="s">
        <v>83</v>
      </c>
      <c r="E225" t="s">
        <v>75</v>
      </c>
      <c r="F225" t="s">
        <v>84</v>
      </c>
      <c r="G225" t="s">
        <v>85</v>
      </c>
      <c r="H225" t="s">
        <v>145</v>
      </c>
      <c r="I225" t="s">
        <v>146</v>
      </c>
      <c r="J225" t="s">
        <v>147</v>
      </c>
      <c r="K225" t="s">
        <v>148</v>
      </c>
      <c r="L225" t="s">
        <v>183</v>
      </c>
      <c r="M225" t="s">
        <v>186</v>
      </c>
      <c r="N225">
        <v>6</v>
      </c>
      <c r="O225" s="4">
        <v>600</v>
      </c>
      <c r="P225" s="4">
        <v>950</v>
      </c>
      <c r="Q225" s="7">
        <v>0.1</v>
      </c>
      <c r="R225" t="s">
        <v>187</v>
      </c>
      <c r="S225">
        <v>9</v>
      </c>
      <c r="T225">
        <v>5700</v>
      </c>
      <c r="U225">
        <v>570</v>
      </c>
      <c r="V225">
        <v>5130</v>
      </c>
      <c r="W225">
        <v>3600</v>
      </c>
      <c r="X225">
        <v>1530</v>
      </c>
      <c r="Y225" s="8">
        <v>0.2982456140350877</v>
      </c>
      <c r="Z225" t="s">
        <v>2996</v>
      </c>
      <c r="AA225" t="str">
        <f>IF(AND(SalesCleanTable[[#This Row],[Discount %]]&gt;0, SalesCleanTable[[#This Row],[Profit]]&lt;0), "Discount loss", "Safe")</f>
        <v>Safe</v>
      </c>
      <c r="AB225" s="25">
        <f>(SalesCleanTable[[#This Row],[Unit Price]] - SalesCleanTable[[#This Row],[Unit Cost]]) / SalesCleanTable[[#This Row],[Unit Price]]</f>
        <v>0.36842105263157893</v>
      </c>
      <c r="AC225" t="str">
        <f>IF(SalesCleanTable[[#This Row],[Discount %]] &gt; SalesCleanTable[[#This Row],[Max Allowed Discount]], "Discount loss", "Safe")</f>
        <v>Safe</v>
      </c>
      <c r="AD225" s="4">
        <f>SalesCleanTable[[#This Row],[Unit Price]] - SalesCleanTable[[#This Row],[Unit Cost]]</f>
        <v>350</v>
      </c>
      <c r="AE225" s="41">
        <f>(SalesCleanTable[[#This Row],[Unit Price]] - SalesCleanTable[[#This Row],[Unit Cost]]) / SalesCleanTable[[#This Row],[Unit Price]]</f>
        <v>0.36842105263157893</v>
      </c>
    </row>
    <row r="226" spans="1:31">
      <c r="A226" t="s">
        <v>412</v>
      </c>
      <c r="B226" s="6">
        <v>45802</v>
      </c>
      <c r="C226" t="s">
        <v>49</v>
      </c>
      <c r="D226" t="s">
        <v>50</v>
      </c>
      <c r="E226" t="s">
        <v>38</v>
      </c>
      <c r="F226" t="s">
        <v>51</v>
      </c>
      <c r="G226" t="s">
        <v>52</v>
      </c>
      <c r="H226" t="s">
        <v>139</v>
      </c>
      <c r="I226" t="s">
        <v>140</v>
      </c>
      <c r="J226" t="s">
        <v>137</v>
      </c>
      <c r="K226" t="s">
        <v>138</v>
      </c>
      <c r="L226" t="s">
        <v>166</v>
      </c>
      <c r="M226" t="s">
        <v>186</v>
      </c>
      <c r="N226">
        <v>2</v>
      </c>
      <c r="O226" s="4">
        <v>550</v>
      </c>
      <c r="P226" s="4">
        <v>850</v>
      </c>
      <c r="Q226" s="7">
        <v>0</v>
      </c>
      <c r="R226" t="s">
        <v>178</v>
      </c>
      <c r="S226">
        <v>13</v>
      </c>
      <c r="T226">
        <v>1700</v>
      </c>
      <c r="U226">
        <v>0</v>
      </c>
      <c r="V226">
        <v>1700</v>
      </c>
      <c r="W226">
        <v>1100</v>
      </c>
      <c r="X226">
        <v>600</v>
      </c>
      <c r="Y226" s="8">
        <v>0.35294117647058826</v>
      </c>
      <c r="Z226" t="s">
        <v>2996</v>
      </c>
      <c r="AA226" t="str">
        <f>IF(AND(SalesCleanTable[[#This Row],[Discount %]]&gt;0, SalesCleanTable[[#This Row],[Profit]]&lt;0), "Discount loss", "Safe")</f>
        <v>Safe</v>
      </c>
      <c r="AB226" s="25">
        <f>(SalesCleanTable[[#This Row],[Unit Price]] - SalesCleanTable[[#This Row],[Unit Cost]]) / SalesCleanTable[[#This Row],[Unit Price]]</f>
        <v>0.35294117647058826</v>
      </c>
      <c r="AC226" t="str">
        <f>IF(SalesCleanTable[[#This Row],[Discount %]] &gt; SalesCleanTable[[#This Row],[Max Allowed Discount]], "Discount loss", "Safe")</f>
        <v>Safe</v>
      </c>
      <c r="AD226" s="4">
        <f>SalesCleanTable[[#This Row],[Unit Price]] - SalesCleanTable[[#This Row],[Unit Cost]]</f>
        <v>300</v>
      </c>
      <c r="AE226" s="41">
        <f>(SalesCleanTable[[#This Row],[Unit Price]] - SalesCleanTable[[#This Row],[Unit Cost]]) / SalesCleanTable[[#This Row],[Unit Price]]</f>
        <v>0.35294117647058826</v>
      </c>
    </row>
    <row r="227" spans="1:31">
      <c r="A227" t="s">
        <v>413</v>
      </c>
      <c r="B227" s="6">
        <v>45898</v>
      </c>
      <c r="C227" t="s">
        <v>86</v>
      </c>
      <c r="D227" t="s">
        <v>87</v>
      </c>
      <c r="E227" t="s">
        <v>75</v>
      </c>
      <c r="F227" t="s">
        <v>88</v>
      </c>
      <c r="G227" t="s">
        <v>89</v>
      </c>
      <c r="H227" t="s">
        <v>135</v>
      </c>
      <c r="I227" t="s">
        <v>136</v>
      </c>
      <c r="J227" t="s">
        <v>137</v>
      </c>
      <c r="K227" t="s">
        <v>138</v>
      </c>
      <c r="L227" t="s">
        <v>166</v>
      </c>
      <c r="M227" t="s">
        <v>171</v>
      </c>
      <c r="N227">
        <v>-2</v>
      </c>
      <c r="O227" s="4">
        <v>8500</v>
      </c>
      <c r="P227" s="4">
        <v>12500</v>
      </c>
      <c r="Q227" s="7">
        <v>0.1</v>
      </c>
      <c r="R227" t="s">
        <v>204</v>
      </c>
      <c r="S227">
        <v>3</v>
      </c>
      <c r="T227">
        <v>-25000</v>
      </c>
      <c r="U227">
        <v>-2500</v>
      </c>
      <c r="V227">
        <v>-22500</v>
      </c>
      <c r="W227">
        <v>-17000</v>
      </c>
      <c r="X227">
        <v>-5500</v>
      </c>
      <c r="Y227" s="8">
        <v>0.24444444444444444</v>
      </c>
      <c r="Z227" t="s">
        <v>2997</v>
      </c>
      <c r="AA227" t="str">
        <f>IF(AND(SalesCleanTable[[#This Row],[Discount %]]&gt;0, SalesCleanTable[[#This Row],[Profit]]&lt;0), "Discount loss", "Safe")</f>
        <v>Discount loss</v>
      </c>
      <c r="AB227" s="25">
        <f>(SalesCleanTable[[#This Row],[Unit Price]] - SalesCleanTable[[#This Row],[Unit Cost]]) / SalesCleanTable[[#This Row],[Unit Price]]</f>
        <v>0.32</v>
      </c>
      <c r="AC227" t="str">
        <f>IF(SalesCleanTable[[#This Row],[Discount %]] &gt; SalesCleanTable[[#This Row],[Max Allowed Discount]], "Discount loss", "Safe")</f>
        <v>Safe</v>
      </c>
      <c r="AD227" s="4">
        <f>SalesCleanTable[[#This Row],[Unit Price]] - SalesCleanTable[[#This Row],[Unit Cost]]</f>
        <v>4000</v>
      </c>
      <c r="AE227" s="41">
        <f>(SalesCleanTable[[#This Row],[Unit Price]] - SalesCleanTable[[#This Row],[Unit Cost]]) / SalesCleanTable[[#This Row],[Unit Price]]</f>
        <v>0.32</v>
      </c>
    </row>
    <row r="228" spans="1:31">
      <c r="A228" t="s">
        <v>414</v>
      </c>
      <c r="B228" s="6">
        <v>45957</v>
      </c>
      <c r="C228" t="s">
        <v>66</v>
      </c>
      <c r="D228" t="s">
        <v>67</v>
      </c>
      <c r="E228" t="s">
        <v>59</v>
      </c>
      <c r="F228" t="s">
        <v>60</v>
      </c>
      <c r="G228" t="s">
        <v>68</v>
      </c>
      <c r="H228" t="s">
        <v>135</v>
      </c>
      <c r="I228" t="s">
        <v>136</v>
      </c>
      <c r="J228" t="s">
        <v>137</v>
      </c>
      <c r="K228" t="s">
        <v>138</v>
      </c>
      <c r="L228" t="s">
        <v>166</v>
      </c>
      <c r="M228" t="s">
        <v>171</v>
      </c>
      <c r="N228">
        <v>1</v>
      </c>
      <c r="O228" s="4">
        <v>2800</v>
      </c>
      <c r="P228" s="4">
        <v>3900</v>
      </c>
      <c r="Q228" s="7">
        <v>0.05</v>
      </c>
      <c r="R228" t="s">
        <v>204</v>
      </c>
      <c r="S228">
        <v>9</v>
      </c>
      <c r="T228">
        <v>3900</v>
      </c>
      <c r="U228">
        <v>195</v>
      </c>
      <c r="V228">
        <v>3705</v>
      </c>
      <c r="W228">
        <v>2800</v>
      </c>
      <c r="X228">
        <v>905</v>
      </c>
      <c r="Y228" s="8">
        <v>0.24426450742240216</v>
      </c>
      <c r="Z228" t="s">
        <v>2996</v>
      </c>
      <c r="AA228" t="str">
        <f>IF(AND(SalesCleanTable[[#This Row],[Discount %]]&gt;0, SalesCleanTable[[#This Row],[Profit]]&lt;0), "Discount loss", "Safe")</f>
        <v>Safe</v>
      </c>
      <c r="AB228" s="25">
        <f>(SalesCleanTable[[#This Row],[Unit Price]] - SalesCleanTable[[#This Row],[Unit Cost]]) / SalesCleanTable[[#This Row],[Unit Price]]</f>
        <v>0.28205128205128205</v>
      </c>
      <c r="AC228" t="str">
        <f>IF(SalesCleanTable[[#This Row],[Discount %]] &gt; SalesCleanTable[[#This Row],[Max Allowed Discount]], "Discount loss", "Safe")</f>
        <v>Safe</v>
      </c>
      <c r="AD228" s="4">
        <f>SalesCleanTable[[#This Row],[Unit Price]] - SalesCleanTable[[#This Row],[Unit Cost]]</f>
        <v>1100</v>
      </c>
      <c r="AE228" s="41">
        <f>(SalesCleanTable[[#This Row],[Unit Price]] - SalesCleanTable[[#This Row],[Unit Cost]]) / SalesCleanTable[[#This Row],[Unit Price]]</f>
        <v>0.28205128205128205</v>
      </c>
    </row>
    <row r="229" spans="1:31">
      <c r="A229" t="s">
        <v>415</v>
      </c>
      <c r="B229" s="6">
        <v>46008</v>
      </c>
      <c r="C229" t="s">
        <v>45</v>
      </c>
      <c r="D229" t="s">
        <v>46</v>
      </c>
      <c r="E229" t="s">
        <v>38</v>
      </c>
      <c r="F229" t="s">
        <v>47</v>
      </c>
      <c r="G229" t="s">
        <v>48</v>
      </c>
      <c r="H229" t="s">
        <v>145</v>
      </c>
      <c r="I229" t="s">
        <v>146</v>
      </c>
      <c r="J229" t="s">
        <v>147</v>
      </c>
      <c r="K229" t="s">
        <v>148</v>
      </c>
      <c r="L229" t="s">
        <v>183</v>
      </c>
      <c r="M229" t="s">
        <v>186</v>
      </c>
      <c r="N229">
        <v>3</v>
      </c>
      <c r="O229" s="4">
        <v>230</v>
      </c>
      <c r="P229" s="4">
        <v>400</v>
      </c>
      <c r="Q229" s="7">
        <v>0.1</v>
      </c>
      <c r="R229" t="s">
        <v>168</v>
      </c>
      <c r="S229">
        <v>13</v>
      </c>
      <c r="T229">
        <v>1200</v>
      </c>
      <c r="U229">
        <v>120</v>
      </c>
      <c r="V229">
        <v>1080</v>
      </c>
      <c r="W229">
        <v>690</v>
      </c>
      <c r="X229">
        <v>390</v>
      </c>
      <c r="Y229" s="8">
        <v>0.3611111111111111</v>
      </c>
      <c r="Z229" t="s">
        <v>2995</v>
      </c>
      <c r="AA229" t="str">
        <f>IF(AND(SalesCleanTable[[#This Row],[Discount %]]&gt;0, SalesCleanTable[[#This Row],[Profit]]&lt;0), "Discount loss", "Safe")</f>
        <v>Safe</v>
      </c>
      <c r="AB229" s="25">
        <f>(SalesCleanTable[[#This Row],[Unit Price]] - SalesCleanTable[[#This Row],[Unit Cost]]) / SalesCleanTable[[#This Row],[Unit Price]]</f>
        <v>0.42499999999999999</v>
      </c>
      <c r="AC229" t="str">
        <f>IF(SalesCleanTable[[#This Row],[Discount %]] &gt; SalesCleanTable[[#This Row],[Max Allowed Discount]], "Discount loss", "Safe")</f>
        <v>Safe</v>
      </c>
      <c r="AD229" s="4">
        <f>SalesCleanTable[[#This Row],[Unit Price]] - SalesCleanTable[[#This Row],[Unit Cost]]</f>
        <v>170</v>
      </c>
      <c r="AE229" s="41">
        <f>(SalesCleanTable[[#This Row],[Unit Price]] - SalesCleanTable[[#This Row],[Unit Cost]]) / SalesCleanTable[[#This Row],[Unit Price]]</f>
        <v>0.42499999999999999</v>
      </c>
    </row>
    <row r="230" spans="1:31">
      <c r="A230" t="s">
        <v>416</v>
      </c>
      <c r="B230" s="6">
        <v>45729</v>
      </c>
      <c r="C230" t="s">
        <v>82</v>
      </c>
      <c r="D230" t="s">
        <v>83</v>
      </c>
      <c r="E230" t="s">
        <v>75</v>
      </c>
      <c r="F230" t="s">
        <v>84</v>
      </c>
      <c r="G230" t="s">
        <v>85</v>
      </c>
      <c r="H230" t="s">
        <v>139</v>
      </c>
      <c r="I230" t="s">
        <v>140</v>
      </c>
      <c r="J230" t="s">
        <v>137</v>
      </c>
      <c r="K230" t="s">
        <v>138</v>
      </c>
      <c r="L230" t="s">
        <v>183</v>
      </c>
      <c r="M230" t="s">
        <v>177</v>
      </c>
      <c r="N230">
        <v>6</v>
      </c>
      <c r="O230" s="4">
        <v>600</v>
      </c>
      <c r="P230" s="4">
        <v>950</v>
      </c>
      <c r="Q230" s="7">
        <v>0.05</v>
      </c>
      <c r="R230" t="s">
        <v>187</v>
      </c>
      <c r="S230">
        <v>14</v>
      </c>
      <c r="T230">
        <v>5700</v>
      </c>
      <c r="U230">
        <v>285</v>
      </c>
      <c r="V230">
        <v>5415</v>
      </c>
      <c r="W230">
        <v>3600</v>
      </c>
      <c r="X230">
        <v>1815</v>
      </c>
      <c r="Y230" s="8">
        <v>0.33518005540166207</v>
      </c>
      <c r="Z230" t="s">
        <v>2996</v>
      </c>
      <c r="AA230" t="str">
        <f>IF(AND(SalesCleanTable[[#This Row],[Discount %]]&gt;0, SalesCleanTable[[#This Row],[Profit]]&lt;0), "Discount loss", "Safe")</f>
        <v>Safe</v>
      </c>
      <c r="AB230" s="25">
        <f>(SalesCleanTable[[#This Row],[Unit Price]] - SalesCleanTable[[#This Row],[Unit Cost]]) / SalesCleanTable[[#This Row],[Unit Price]]</f>
        <v>0.36842105263157893</v>
      </c>
      <c r="AC230" t="str">
        <f>IF(SalesCleanTable[[#This Row],[Discount %]] &gt; SalesCleanTable[[#This Row],[Max Allowed Discount]], "Discount loss", "Safe")</f>
        <v>Safe</v>
      </c>
      <c r="AD230" s="4">
        <f>SalesCleanTable[[#This Row],[Unit Price]] - SalesCleanTable[[#This Row],[Unit Cost]]</f>
        <v>350</v>
      </c>
      <c r="AE230" s="41">
        <f>(SalesCleanTable[[#This Row],[Unit Price]] - SalesCleanTable[[#This Row],[Unit Cost]]) / SalesCleanTable[[#This Row],[Unit Price]]</f>
        <v>0.36842105263157893</v>
      </c>
    </row>
    <row r="231" spans="1:31">
      <c r="A231" t="s">
        <v>417</v>
      </c>
      <c r="B231" s="6">
        <v>46000</v>
      </c>
      <c r="C231" t="s">
        <v>24</v>
      </c>
      <c r="D231" t="s">
        <v>25</v>
      </c>
      <c r="E231" t="s">
        <v>26</v>
      </c>
      <c r="F231" t="s">
        <v>27</v>
      </c>
      <c r="G231" t="s">
        <v>28</v>
      </c>
      <c r="H231" t="s">
        <v>128</v>
      </c>
      <c r="I231" t="s">
        <v>129</v>
      </c>
      <c r="J231" t="s">
        <v>130</v>
      </c>
      <c r="K231" t="s">
        <v>131</v>
      </c>
      <c r="L231" t="s">
        <v>166</v>
      </c>
      <c r="M231" t="s">
        <v>177</v>
      </c>
      <c r="N231">
        <v>1</v>
      </c>
      <c r="O231" s="4">
        <v>14500</v>
      </c>
      <c r="P231" s="4">
        <v>17500</v>
      </c>
      <c r="Q231" s="7">
        <v>0.1</v>
      </c>
      <c r="R231" t="s">
        <v>197</v>
      </c>
      <c r="S231">
        <v>9</v>
      </c>
      <c r="T231">
        <v>17500</v>
      </c>
      <c r="U231">
        <v>1750</v>
      </c>
      <c r="V231">
        <v>15750</v>
      </c>
      <c r="W231">
        <v>14500</v>
      </c>
      <c r="X231">
        <v>1250</v>
      </c>
      <c r="Y231" s="8">
        <v>7.9365079365079361E-2</v>
      </c>
      <c r="Z231" t="s">
        <v>2995</v>
      </c>
      <c r="AA231" t="str">
        <f>IF(AND(SalesCleanTable[[#This Row],[Discount %]]&gt;0, SalesCleanTable[[#This Row],[Profit]]&lt;0), "Discount loss", "Safe")</f>
        <v>Safe</v>
      </c>
      <c r="AB231" s="25">
        <f>(SalesCleanTable[[#This Row],[Unit Price]] - SalesCleanTable[[#This Row],[Unit Cost]]) / SalesCleanTable[[#This Row],[Unit Price]]</f>
        <v>0.17142857142857143</v>
      </c>
      <c r="AC231" t="str">
        <f>IF(SalesCleanTable[[#This Row],[Discount %]] &gt; SalesCleanTable[[#This Row],[Max Allowed Discount]], "Discount loss", "Safe")</f>
        <v>Safe</v>
      </c>
      <c r="AD231" s="4">
        <f>SalesCleanTable[[#This Row],[Unit Price]] - SalesCleanTable[[#This Row],[Unit Cost]]</f>
        <v>3000</v>
      </c>
      <c r="AE231" s="41">
        <f>(SalesCleanTable[[#This Row],[Unit Price]] - SalesCleanTable[[#This Row],[Unit Cost]]) / SalesCleanTable[[#This Row],[Unit Price]]</f>
        <v>0.17142857142857143</v>
      </c>
    </row>
    <row r="232" spans="1:31">
      <c r="A232" t="s">
        <v>418</v>
      </c>
      <c r="B232" s="6">
        <v>45688</v>
      </c>
      <c r="C232" t="s">
        <v>73</v>
      </c>
      <c r="D232" t="s">
        <v>74</v>
      </c>
      <c r="E232" t="s">
        <v>75</v>
      </c>
      <c r="F232" t="s">
        <v>76</v>
      </c>
      <c r="G232" t="s">
        <v>77</v>
      </c>
      <c r="H232" t="s">
        <v>141</v>
      </c>
      <c r="I232" t="s">
        <v>142</v>
      </c>
      <c r="J232" t="s">
        <v>143</v>
      </c>
      <c r="K232" t="s">
        <v>144</v>
      </c>
      <c r="L232" t="s">
        <v>166</v>
      </c>
      <c r="M232" t="s">
        <v>177</v>
      </c>
      <c r="N232">
        <v>-2</v>
      </c>
      <c r="O232" s="4">
        <v>3500</v>
      </c>
      <c r="P232" s="4">
        <v>5200</v>
      </c>
      <c r="Q232" s="7">
        <v>0.05</v>
      </c>
      <c r="R232" t="s">
        <v>204</v>
      </c>
      <c r="S232">
        <v>7</v>
      </c>
      <c r="T232">
        <v>-10400</v>
      </c>
      <c r="U232">
        <v>-520</v>
      </c>
      <c r="V232">
        <v>-9880</v>
      </c>
      <c r="W232">
        <v>-7000</v>
      </c>
      <c r="X232">
        <v>-2880</v>
      </c>
      <c r="Y232" s="8">
        <v>0.291497975708502</v>
      </c>
      <c r="Z232" t="s">
        <v>2996</v>
      </c>
      <c r="AA232" t="str">
        <f>IF(AND(SalesCleanTable[[#This Row],[Discount %]]&gt;0, SalesCleanTable[[#This Row],[Profit]]&lt;0), "Discount loss", "Safe")</f>
        <v>Discount loss</v>
      </c>
      <c r="AB232" s="25">
        <f>(SalesCleanTable[[#This Row],[Unit Price]] - SalesCleanTable[[#This Row],[Unit Cost]]) / SalesCleanTable[[#This Row],[Unit Price]]</f>
        <v>0.32692307692307693</v>
      </c>
      <c r="AC232" t="str">
        <f>IF(SalesCleanTable[[#This Row],[Discount %]] &gt; SalesCleanTable[[#This Row],[Max Allowed Discount]], "Discount loss", "Safe")</f>
        <v>Safe</v>
      </c>
      <c r="AD232" s="4">
        <f>SalesCleanTable[[#This Row],[Unit Price]] - SalesCleanTable[[#This Row],[Unit Cost]]</f>
        <v>1700</v>
      </c>
      <c r="AE232" s="41">
        <f>(SalesCleanTable[[#This Row],[Unit Price]] - SalesCleanTable[[#This Row],[Unit Cost]]) / SalesCleanTable[[#This Row],[Unit Price]]</f>
        <v>0.32692307692307693</v>
      </c>
    </row>
    <row r="233" spans="1:31">
      <c r="A233" t="s">
        <v>419</v>
      </c>
      <c r="B233" s="6">
        <v>45798</v>
      </c>
      <c r="C233" t="s">
        <v>57</v>
      </c>
      <c r="D233" t="s">
        <v>58</v>
      </c>
      <c r="E233" t="s">
        <v>59</v>
      </c>
      <c r="F233" t="s">
        <v>60</v>
      </c>
      <c r="G233" t="s">
        <v>61</v>
      </c>
      <c r="H233" t="s">
        <v>135</v>
      </c>
      <c r="I233" t="s">
        <v>136</v>
      </c>
      <c r="J233" t="s">
        <v>137</v>
      </c>
      <c r="K233" t="s">
        <v>138</v>
      </c>
      <c r="L233" t="s">
        <v>166</v>
      </c>
      <c r="M233" t="s">
        <v>171</v>
      </c>
      <c r="N233">
        <v>3</v>
      </c>
      <c r="O233" s="4">
        <v>2400</v>
      </c>
      <c r="P233" s="4">
        <v>3400</v>
      </c>
      <c r="Q233" s="7">
        <v>0.1</v>
      </c>
      <c r="R233" t="s">
        <v>192</v>
      </c>
      <c r="S233">
        <v>2</v>
      </c>
      <c r="T233">
        <v>10200</v>
      </c>
      <c r="U233">
        <v>1020</v>
      </c>
      <c r="V233">
        <v>9180</v>
      </c>
      <c r="W233">
        <v>7200</v>
      </c>
      <c r="X233">
        <v>1980</v>
      </c>
      <c r="Y233" s="8">
        <v>0.21568627450980393</v>
      </c>
      <c r="Z233" t="s">
        <v>2996</v>
      </c>
      <c r="AA233" t="str">
        <f>IF(AND(SalesCleanTable[[#This Row],[Discount %]]&gt;0, SalesCleanTable[[#This Row],[Profit]]&lt;0), "Discount loss", "Safe")</f>
        <v>Safe</v>
      </c>
      <c r="AB233" s="25">
        <f>(SalesCleanTable[[#This Row],[Unit Price]] - SalesCleanTable[[#This Row],[Unit Cost]]) / SalesCleanTable[[#This Row],[Unit Price]]</f>
        <v>0.29411764705882354</v>
      </c>
      <c r="AC233" t="str">
        <f>IF(SalesCleanTable[[#This Row],[Discount %]] &gt; SalesCleanTable[[#This Row],[Max Allowed Discount]], "Discount loss", "Safe")</f>
        <v>Safe</v>
      </c>
      <c r="AD233" s="4">
        <f>SalesCleanTable[[#This Row],[Unit Price]] - SalesCleanTable[[#This Row],[Unit Cost]]</f>
        <v>1000</v>
      </c>
      <c r="AE233" s="41">
        <f>(SalesCleanTable[[#This Row],[Unit Price]] - SalesCleanTable[[#This Row],[Unit Cost]]) / SalesCleanTable[[#This Row],[Unit Price]]</f>
        <v>0.29411764705882354</v>
      </c>
    </row>
    <row r="234" spans="1:31">
      <c r="A234" t="s">
        <v>420</v>
      </c>
      <c r="B234" s="6">
        <v>45926</v>
      </c>
      <c r="C234" t="s">
        <v>36</v>
      </c>
      <c r="D234" t="s">
        <v>37</v>
      </c>
      <c r="E234" t="s">
        <v>38</v>
      </c>
      <c r="F234" t="s">
        <v>39</v>
      </c>
      <c r="G234" t="s">
        <v>40</v>
      </c>
      <c r="H234" t="s">
        <v>133</v>
      </c>
      <c r="I234" t="s">
        <v>134</v>
      </c>
      <c r="J234" t="s">
        <v>130</v>
      </c>
      <c r="K234" t="s">
        <v>131</v>
      </c>
      <c r="L234" t="s">
        <v>166</v>
      </c>
      <c r="M234" t="s">
        <v>186</v>
      </c>
      <c r="N234">
        <v>3</v>
      </c>
      <c r="O234" s="4">
        <v>1650</v>
      </c>
      <c r="P234" s="4">
        <v>2200</v>
      </c>
      <c r="Q234" s="7">
        <v>0.15</v>
      </c>
      <c r="R234" t="s">
        <v>175</v>
      </c>
      <c r="S234">
        <v>7</v>
      </c>
      <c r="T234">
        <v>6600</v>
      </c>
      <c r="U234">
        <v>990</v>
      </c>
      <c r="V234">
        <v>5610</v>
      </c>
      <c r="W234">
        <v>4950</v>
      </c>
      <c r="X234">
        <v>660</v>
      </c>
      <c r="Y234" s="8">
        <v>0.11764705882352941</v>
      </c>
      <c r="Z234" t="s">
        <v>2995</v>
      </c>
      <c r="AA234" t="str">
        <f>IF(AND(SalesCleanTable[[#This Row],[Discount %]]&gt;0, SalesCleanTable[[#This Row],[Profit]]&lt;0), "Discount loss", "Safe")</f>
        <v>Safe</v>
      </c>
      <c r="AB234" s="25">
        <f>(SalesCleanTable[[#This Row],[Unit Price]] - SalesCleanTable[[#This Row],[Unit Cost]]) / SalesCleanTable[[#This Row],[Unit Price]]</f>
        <v>0.25</v>
      </c>
      <c r="AC234" t="str">
        <f>IF(SalesCleanTable[[#This Row],[Discount %]] &gt; SalesCleanTable[[#This Row],[Max Allowed Discount]], "Discount loss", "Safe")</f>
        <v>Safe</v>
      </c>
      <c r="AD234" s="4">
        <f>SalesCleanTable[[#This Row],[Unit Price]] - SalesCleanTable[[#This Row],[Unit Cost]]</f>
        <v>550</v>
      </c>
      <c r="AE234" s="41">
        <f>(SalesCleanTable[[#This Row],[Unit Price]] - SalesCleanTable[[#This Row],[Unit Cost]]) / SalesCleanTable[[#This Row],[Unit Price]]</f>
        <v>0.25</v>
      </c>
    </row>
    <row r="235" spans="1:31">
      <c r="A235" t="s">
        <v>421</v>
      </c>
      <c r="B235" s="6">
        <v>45782</v>
      </c>
      <c r="C235" t="s">
        <v>120</v>
      </c>
      <c r="D235" t="s">
        <v>121</v>
      </c>
      <c r="E235" t="s">
        <v>109</v>
      </c>
      <c r="F235" t="s">
        <v>93</v>
      </c>
      <c r="G235" t="s">
        <v>122</v>
      </c>
      <c r="H235" t="s">
        <v>133</v>
      </c>
      <c r="I235" t="s">
        <v>134</v>
      </c>
      <c r="J235" t="s">
        <v>130</v>
      </c>
      <c r="K235" t="s">
        <v>131</v>
      </c>
      <c r="L235" t="s">
        <v>183</v>
      </c>
      <c r="M235" t="s">
        <v>171</v>
      </c>
      <c r="N235">
        <v>4</v>
      </c>
      <c r="O235" s="4">
        <v>1700</v>
      </c>
      <c r="P235" s="4">
        <v>2800</v>
      </c>
      <c r="Q235" s="7">
        <v>0.25</v>
      </c>
      <c r="R235" t="s">
        <v>235</v>
      </c>
      <c r="S235">
        <v>2</v>
      </c>
      <c r="T235">
        <v>11200</v>
      </c>
      <c r="U235">
        <v>2800</v>
      </c>
      <c r="V235">
        <v>8400</v>
      </c>
      <c r="W235">
        <v>6800</v>
      </c>
      <c r="X235">
        <v>1600</v>
      </c>
      <c r="Y235" s="8">
        <v>0.19047619047619047</v>
      </c>
      <c r="Z235" t="s">
        <v>2997</v>
      </c>
      <c r="AA235" t="str">
        <f>IF(AND(SalesCleanTable[[#This Row],[Discount %]]&gt;0, SalesCleanTable[[#This Row],[Profit]]&lt;0), "Discount loss", "Safe")</f>
        <v>Safe</v>
      </c>
      <c r="AB235" s="25">
        <f>(SalesCleanTable[[#This Row],[Unit Price]] - SalesCleanTable[[#This Row],[Unit Cost]]) / SalesCleanTable[[#This Row],[Unit Price]]</f>
        <v>0.39285714285714285</v>
      </c>
      <c r="AC235" t="str">
        <f>IF(SalesCleanTable[[#This Row],[Discount %]] &gt; SalesCleanTable[[#This Row],[Max Allowed Discount]], "Discount loss", "Safe")</f>
        <v>Safe</v>
      </c>
      <c r="AD235" s="4">
        <f>SalesCleanTable[[#This Row],[Unit Price]] - SalesCleanTable[[#This Row],[Unit Cost]]</f>
        <v>1100</v>
      </c>
      <c r="AE235" s="41">
        <f>(SalesCleanTable[[#This Row],[Unit Price]] - SalesCleanTable[[#This Row],[Unit Cost]]) / SalesCleanTable[[#This Row],[Unit Price]]</f>
        <v>0.39285714285714285</v>
      </c>
    </row>
    <row r="236" spans="1:31">
      <c r="A236" t="s">
        <v>422</v>
      </c>
      <c r="B236" s="6">
        <v>45851</v>
      </c>
      <c r="C236" t="s">
        <v>62</v>
      </c>
      <c r="D236" t="s">
        <v>63</v>
      </c>
      <c r="E236" t="s">
        <v>59</v>
      </c>
      <c r="F236" t="s">
        <v>64</v>
      </c>
      <c r="G236" t="s">
        <v>65</v>
      </c>
      <c r="H236" t="s">
        <v>128</v>
      </c>
      <c r="I236" t="s">
        <v>129</v>
      </c>
      <c r="J236" t="s">
        <v>130</v>
      </c>
      <c r="K236" t="s">
        <v>131</v>
      </c>
      <c r="L236" t="s">
        <v>166</v>
      </c>
      <c r="M236" t="s">
        <v>186</v>
      </c>
      <c r="N236">
        <v>1</v>
      </c>
      <c r="O236" s="4">
        <v>3200</v>
      </c>
      <c r="P236" s="4">
        <v>4500</v>
      </c>
      <c r="Q236" s="7">
        <v>0</v>
      </c>
      <c r="R236" t="s">
        <v>204</v>
      </c>
      <c r="S236">
        <v>10</v>
      </c>
      <c r="T236">
        <v>4500</v>
      </c>
      <c r="U236">
        <v>0</v>
      </c>
      <c r="V236">
        <v>4500</v>
      </c>
      <c r="W236">
        <v>3200</v>
      </c>
      <c r="X236">
        <v>1300</v>
      </c>
      <c r="Y236" s="8">
        <v>0.28888888888888886</v>
      </c>
      <c r="Z236" t="s">
        <v>2996</v>
      </c>
      <c r="AA236" t="str">
        <f>IF(AND(SalesCleanTable[[#This Row],[Discount %]]&gt;0, SalesCleanTable[[#This Row],[Profit]]&lt;0), "Discount loss", "Safe")</f>
        <v>Safe</v>
      </c>
      <c r="AB236" s="25">
        <f>(SalesCleanTable[[#This Row],[Unit Price]] - SalesCleanTable[[#This Row],[Unit Cost]]) / SalesCleanTable[[#This Row],[Unit Price]]</f>
        <v>0.28888888888888886</v>
      </c>
      <c r="AC236" t="str">
        <f>IF(SalesCleanTable[[#This Row],[Discount %]] &gt; SalesCleanTable[[#This Row],[Max Allowed Discount]], "Discount loss", "Safe")</f>
        <v>Safe</v>
      </c>
      <c r="AD236" s="4">
        <f>SalesCleanTable[[#This Row],[Unit Price]] - SalesCleanTable[[#This Row],[Unit Cost]]</f>
        <v>1300</v>
      </c>
      <c r="AE236" s="41">
        <f>(SalesCleanTable[[#This Row],[Unit Price]] - SalesCleanTable[[#This Row],[Unit Cost]]) / SalesCleanTable[[#This Row],[Unit Price]]</f>
        <v>0.28888888888888886</v>
      </c>
    </row>
    <row r="237" spans="1:31">
      <c r="A237" t="s">
        <v>423</v>
      </c>
      <c r="B237" s="6">
        <v>45706</v>
      </c>
      <c r="C237" t="s">
        <v>107</v>
      </c>
      <c r="D237" t="s">
        <v>108</v>
      </c>
      <c r="E237" t="s">
        <v>109</v>
      </c>
      <c r="F237" t="s">
        <v>110</v>
      </c>
      <c r="G237" t="s">
        <v>111</v>
      </c>
      <c r="H237" t="s">
        <v>149</v>
      </c>
      <c r="I237" t="s">
        <v>150</v>
      </c>
      <c r="J237" t="s">
        <v>151</v>
      </c>
      <c r="K237" t="s">
        <v>152</v>
      </c>
      <c r="L237" t="s">
        <v>183</v>
      </c>
      <c r="M237" t="s">
        <v>171</v>
      </c>
      <c r="N237">
        <v>2</v>
      </c>
      <c r="O237" s="4">
        <v>5200</v>
      </c>
      <c r="P237" s="4">
        <v>7000</v>
      </c>
      <c r="Q237" s="7">
        <v>0.25</v>
      </c>
      <c r="R237" t="s">
        <v>220</v>
      </c>
      <c r="S237">
        <v>1</v>
      </c>
      <c r="T237">
        <v>14000</v>
      </c>
      <c r="U237">
        <v>3500</v>
      </c>
      <c r="V237">
        <v>10500</v>
      </c>
      <c r="W237">
        <v>10400</v>
      </c>
      <c r="X237">
        <v>100</v>
      </c>
      <c r="Y237" s="8">
        <v>9.5238095238095247E-3</v>
      </c>
      <c r="Z237" t="s">
        <v>2997</v>
      </c>
      <c r="AA237" t="str">
        <f>IF(AND(SalesCleanTable[[#This Row],[Discount %]]&gt;0, SalesCleanTable[[#This Row],[Profit]]&lt;0), "Discount loss", "Safe")</f>
        <v>Safe</v>
      </c>
      <c r="AB237" s="25">
        <f>(SalesCleanTable[[#This Row],[Unit Price]] - SalesCleanTable[[#This Row],[Unit Cost]]) / SalesCleanTable[[#This Row],[Unit Price]]</f>
        <v>0.25714285714285712</v>
      </c>
      <c r="AC237" t="str">
        <f>IF(SalesCleanTable[[#This Row],[Discount %]] &gt; SalesCleanTable[[#This Row],[Max Allowed Discount]], "Discount loss", "Safe")</f>
        <v>Safe</v>
      </c>
      <c r="AD237" s="4">
        <f>SalesCleanTable[[#This Row],[Unit Price]] - SalesCleanTable[[#This Row],[Unit Cost]]</f>
        <v>1800</v>
      </c>
      <c r="AE237" s="41">
        <f>(SalesCleanTable[[#This Row],[Unit Price]] - SalesCleanTable[[#This Row],[Unit Cost]]) / SalesCleanTable[[#This Row],[Unit Price]]</f>
        <v>0.25714285714285712</v>
      </c>
    </row>
    <row r="238" spans="1:31">
      <c r="A238" t="s">
        <v>424</v>
      </c>
      <c r="B238" s="6">
        <v>46008</v>
      </c>
      <c r="C238" t="s">
        <v>112</v>
      </c>
      <c r="D238" t="s">
        <v>113</v>
      </c>
      <c r="E238" t="s">
        <v>109</v>
      </c>
      <c r="F238" t="s">
        <v>114</v>
      </c>
      <c r="G238" t="s">
        <v>115</v>
      </c>
      <c r="H238" t="s">
        <v>149</v>
      </c>
      <c r="I238" t="s">
        <v>150</v>
      </c>
      <c r="J238" t="s">
        <v>151</v>
      </c>
      <c r="K238" t="s">
        <v>152</v>
      </c>
      <c r="L238" t="s">
        <v>170</v>
      </c>
      <c r="M238" t="s">
        <v>167</v>
      </c>
      <c r="N238">
        <v>3</v>
      </c>
      <c r="O238" s="4">
        <v>1300</v>
      </c>
      <c r="P238" s="4">
        <v>2100</v>
      </c>
      <c r="Q238" s="7">
        <v>0</v>
      </c>
      <c r="R238" t="s">
        <v>235</v>
      </c>
      <c r="S238">
        <v>10</v>
      </c>
      <c r="T238">
        <v>6300</v>
      </c>
      <c r="U238">
        <v>0</v>
      </c>
      <c r="V238">
        <v>6300</v>
      </c>
      <c r="W238">
        <v>3900</v>
      </c>
      <c r="X238">
        <v>2400</v>
      </c>
      <c r="Y238" s="8">
        <v>0.38095238095238093</v>
      </c>
      <c r="Z238" t="s">
        <v>2995</v>
      </c>
      <c r="AA238" t="str">
        <f>IF(AND(SalesCleanTable[[#This Row],[Discount %]]&gt;0, SalesCleanTable[[#This Row],[Profit]]&lt;0), "Discount loss", "Safe")</f>
        <v>Safe</v>
      </c>
      <c r="AB238" s="25">
        <f>(SalesCleanTable[[#This Row],[Unit Price]] - SalesCleanTable[[#This Row],[Unit Cost]]) / SalesCleanTable[[#This Row],[Unit Price]]</f>
        <v>0.38095238095238093</v>
      </c>
      <c r="AC238" t="str">
        <f>IF(SalesCleanTable[[#This Row],[Discount %]] &gt; SalesCleanTable[[#This Row],[Max Allowed Discount]], "Discount loss", "Safe")</f>
        <v>Safe</v>
      </c>
      <c r="AD238" s="4">
        <f>SalesCleanTable[[#This Row],[Unit Price]] - SalesCleanTable[[#This Row],[Unit Cost]]</f>
        <v>800</v>
      </c>
      <c r="AE238" s="41">
        <f>(SalesCleanTable[[#This Row],[Unit Price]] - SalesCleanTable[[#This Row],[Unit Cost]]) / SalesCleanTable[[#This Row],[Unit Price]]</f>
        <v>0.38095238095238093</v>
      </c>
    </row>
    <row r="239" spans="1:31">
      <c r="A239" t="s">
        <v>425</v>
      </c>
      <c r="B239" s="6">
        <v>46022</v>
      </c>
      <c r="C239" t="s">
        <v>99</v>
      </c>
      <c r="D239" t="s">
        <v>100</v>
      </c>
      <c r="E239" t="s">
        <v>92</v>
      </c>
      <c r="F239" t="s">
        <v>101</v>
      </c>
      <c r="G239" t="s">
        <v>102</v>
      </c>
      <c r="H239" t="s">
        <v>153</v>
      </c>
      <c r="I239" t="s">
        <v>154</v>
      </c>
      <c r="J239" t="s">
        <v>155</v>
      </c>
      <c r="K239" t="s">
        <v>131</v>
      </c>
      <c r="L239" t="s">
        <v>166</v>
      </c>
      <c r="M239" t="s">
        <v>171</v>
      </c>
      <c r="N239">
        <v>2</v>
      </c>
      <c r="O239" s="4">
        <v>12500</v>
      </c>
      <c r="P239" s="4">
        <v>18500</v>
      </c>
      <c r="Q239" s="7">
        <v>0.1</v>
      </c>
      <c r="R239" t="s">
        <v>215</v>
      </c>
      <c r="S239">
        <v>9</v>
      </c>
      <c r="T239">
        <v>37000</v>
      </c>
      <c r="U239">
        <v>3700</v>
      </c>
      <c r="V239">
        <v>33300</v>
      </c>
      <c r="W239">
        <v>25000</v>
      </c>
      <c r="X239">
        <v>8300</v>
      </c>
      <c r="Y239" s="8">
        <v>0.24924924924924924</v>
      </c>
      <c r="Z239" t="s">
        <v>2995</v>
      </c>
      <c r="AA239" t="str">
        <f>IF(AND(SalesCleanTable[[#This Row],[Discount %]]&gt;0, SalesCleanTable[[#This Row],[Profit]]&lt;0), "Discount loss", "Safe")</f>
        <v>Safe</v>
      </c>
      <c r="AB239" s="25">
        <f>(SalesCleanTable[[#This Row],[Unit Price]] - SalesCleanTable[[#This Row],[Unit Cost]]) / SalesCleanTable[[#This Row],[Unit Price]]</f>
        <v>0.32432432432432434</v>
      </c>
      <c r="AC239" t="str">
        <f>IF(SalesCleanTable[[#This Row],[Discount %]] &gt; SalesCleanTable[[#This Row],[Max Allowed Discount]], "Discount loss", "Safe")</f>
        <v>Safe</v>
      </c>
      <c r="AD239" s="4">
        <f>SalesCleanTable[[#This Row],[Unit Price]] - SalesCleanTable[[#This Row],[Unit Cost]]</f>
        <v>6000</v>
      </c>
      <c r="AE239" s="41">
        <f>(SalesCleanTable[[#This Row],[Unit Price]] - SalesCleanTable[[#This Row],[Unit Cost]]) / SalesCleanTable[[#This Row],[Unit Price]]</f>
        <v>0.32432432432432434</v>
      </c>
    </row>
    <row r="240" spans="1:31">
      <c r="A240" t="s">
        <v>426</v>
      </c>
      <c r="B240" s="6">
        <v>45729</v>
      </c>
      <c r="C240" t="s">
        <v>95</v>
      </c>
      <c r="D240" t="s">
        <v>96</v>
      </c>
      <c r="E240" t="s">
        <v>92</v>
      </c>
      <c r="F240" t="s">
        <v>97</v>
      </c>
      <c r="G240" t="s">
        <v>98</v>
      </c>
      <c r="H240" t="s">
        <v>141</v>
      </c>
      <c r="I240" t="s">
        <v>142</v>
      </c>
      <c r="J240" t="s">
        <v>143</v>
      </c>
      <c r="K240" t="s">
        <v>144</v>
      </c>
      <c r="L240" t="s">
        <v>166</v>
      </c>
      <c r="M240" t="s">
        <v>177</v>
      </c>
      <c r="N240">
        <v>1</v>
      </c>
      <c r="O240" s="4">
        <v>18000</v>
      </c>
      <c r="P240" s="4">
        <v>24500</v>
      </c>
      <c r="Q240" s="7">
        <v>0.1</v>
      </c>
      <c r="R240" t="s">
        <v>181</v>
      </c>
      <c r="S240">
        <v>14</v>
      </c>
      <c r="T240">
        <v>24500</v>
      </c>
      <c r="U240">
        <v>2450</v>
      </c>
      <c r="V240">
        <v>22050</v>
      </c>
      <c r="W240">
        <v>18000</v>
      </c>
      <c r="X240">
        <v>4050</v>
      </c>
      <c r="Y240" s="8">
        <v>0.18367346938775511</v>
      </c>
      <c r="Z240" t="s">
        <v>2995</v>
      </c>
      <c r="AA240" t="str">
        <f>IF(AND(SalesCleanTable[[#This Row],[Discount %]]&gt;0, SalesCleanTable[[#This Row],[Profit]]&lt;0), "Discount loss", "Safe")</f>
        <v>Safe</v>
      </c>
      <c r="AB240" s="25">
        <f>(SalesCleanTable[[#This Row],[Unit Price]] - SalesCleanTable[[#This Row],[Unit Cost]]) / SalesCleanTable[[#This Row],[Unit Price]]</f>
        <v>0.26530612244897961</v>
      </c>
      <c r="AC240" t="str">
        <f>IF(SalesCleanTable[[#This Row],[Discount %]] &gt; SalesCleanTable[[#This Row],[Max Allowed Discount]], "Discount loss", "Safe")</f>
        <v>Safe</v>
      </c>
      <c r="AD240" s="4">
        <f>SalesCleanTable[[#This Row],[Unit Price]] - SalesCleanTable[[#This Row],[Unit Cost]]</f>
        <v>6500</v>
      </c>
      <c r="AE240" s="41">
        <f>(SalesCleanTable[[#This Row],[Unit Price]] - SalesCleanTable[[#This Row],[Unit Cost]]) / SalesCleanTable[[#This Row],[Unit Price]]</f>
        <v>0.26530612244897961</v>
      </c>
    </row>
    <row r="241" spans="1:31">
      <c r="A241" t="s">
        <v>427</v>
      </c>
      <c r="B241" s="6">
        <v>45967</v>
      </c>
      <c r="C241" t="s">
        <v>90</v>
      </c>
      <c r="D241" t="s">
        <v>91</v>
      </c>
      <c r="E241" t="s">
        <v>92</v>
      </c>
      <c r="F241" t="s">
        <v>93</v>
      </c>
      <c r="G241" t="s">
        <v>94</v>
      </c>
      <c r="H241" t="s">
        <v>153</v>
      </c>
      <c r="I241" t="s">
        <v>154</v>
      </c>
      <c r="J241" t="s">
        <v>155</v>
      </c>
      <c r="K241" t="s">
        <v>131</v>
      </c>
      <c r="L241" t="s">
        <v>166</v>
      </c>
      <c r="M241" t="s">
        <v>167</v>
      </c>
      <c r="N241">
        <v>2</v>
      </c>
      <c r="O241" s="4">
        <v>7500</v>
      </c>
      <c r="P241" s="4">
        <v>10500</v>
      </c>
      <c r="Q241" s="7">
        <v>0.2</v>
      </c>
      <c r="R241" t="s">
        <v>217</v>
      </c>
      <c r="S241">
        <v>8</v>
      </c>
      <c r="T241">
        <v>21000</v>
      </c>
      <c r="U241">
        <v>4200</v>
      </c>
      <c r="V241">
        <v>16800</v>
      </c>
      <c r="W241">
        <v>15000</v>
      </c>
      <c r="X241">
        <v>1800</v>
      </c>
      <c r="Y241" s="8">
        <v>0.10714285714285714</v>
      </c>
      <c r="Z241" t="s">
        <v>2996</v>
      </c>
      <c r="AA241" t="str">
        <f>IF(AND(SalesCleanTable[[#This Row],[Discount %]]&gt;0, SalesCleanTable[[#This Row],[Profit]]&lt;0), "Discount loss", "Safe")</f>
        <v>Safe</v>
      </c>
      <c r="AB241" s="25">
        <f>(SalesCleanTable[[#This Row],[Unit Price]] - SalesCleanTable[[#This Row],[Unit Cost]]) / SalesCleanTable[[#This Row],[Unit Price]]</f>
        <v>0.2857142857142857</v>
      </c>
      <c r="AC241" t="str">
        <f>IF(SalesCleanTable[[#This Row],[Discount %]] &gt; SalesCleanTable[[#This Row],[Max Allowed Discount]], "Discount loss", "Safe")</f>
        <v>Safe</v>
      </c>
      <c r="AD241" s="4">
        <f>SalesCleanTable[[#This Row],[Unit Price]] - SalesCleanTable[[#This Row],[Unit Cost]]</f>
        <v>3000</v>
      </c>
      <c r="AE241" s="41">
        <f>(SalesCleanTable[[#This Row],[Unit Price]] - SalesCleanTable[[#This Row],[Unit Cost]]) / SalesCleanTable[[#This Row],[Unit Price]]</f>
        <v>0.2857142857142857</v>
      </c>
    </row>
    <row r="242" spans="1:31">
      <c r="A242" t="s">
        <v>428</v>
      </c>
      <c r="B242" s="6">
        <v>45941</v>
      </c>
      <c r="C242" t="s">
        <v>112</v>
      </c>
      <c r="D242" t="s">
        <v>113</v>
      </c>
      <c r="E242" t="s">
        <v>109</v>
      </c>
      <c r="F242" t="s">
        <v>114</v>
      </c>
      <c r="G242" t="s">
        <v>115</v>
      </c>
      <c r="H242" t="s">
        <v>135</v>
      </c>
      <c r="I242" t="s">
        <v>136</v>
      </c>
      <c r="J242" t="s">
        <v>137</v>
      </c>
      <c r="K242" t="s">
        <v>138</v>
      </c>
      <c r="L242" t="s">
        <v>166</v>
      </c>
      <c r="M242" t="s">
        <v>171</v>
      </c>
      <c r="N242">
        <v>4</v>
      </c>
      <c r="O242" s="4">
        <v>1300</v>
      </c>
      <c r="P242" s="4">
        <v>2100</v>
      </c>
      <c r="Q242" s="7">
        <v>0.1</v>
      </c>
      <c r="R242" t="s">
        <v>235</v>
      </c>
      <c r="S242">
        <v>12</v>
      </c>
      <c r="T242">
        <v>8400</v>
      </c>
      <c r="U242">
        <v>840</v>
      </c>
      <c r="V242">
        <v>7560</v>
      </c>
      <c r="W242">
        <v>5200</v>
      </c>
      <c r="X242">
        <v>2360</v>
      </c>
      <c r="Y242" s="8">
        <v>0.31216931216931215</v>
      </c>
      <c r="Z242" t="s">
        <v>2995</v>
      </c>
      <c r="AA242" t="str">
        <f>IF(AND(SalesCleanTable[[#This Row],[Discount %]]&gt;0, SalesCleanTable[[#This Row],[Profit]]&lt;0), "Discount loss", "Safe")</f>
        <v>Safe</v>
      </c>
      <c r="AB242" s="25">
        <f>(SalesCleanTable[[#This Row],[Unit Price]] - SalesCleanTable[[#This Row],[Unit Cost]]) / SalesCleanTable[[#This Row],[Unit Price]]</f>
        <v>0.38095238095238093</v>
      </c>
      <c r="AC242" t="str">
        <f>IF(SalesCleanTable[[#This Row],[Discount %]] &gt; SalesCleanTable[[#This Row],[Max Allowed Discount]], "Discount loss", "Safe")</f>
        <v>Safe</v>
      </c>
      <c r="AD242" s="4">
        <f>SalesCleanTable[[#This Row],[Unit Price]] - SalesCleanTable[[#This Row],[Unit Cost]]</f>
        <v>800</v>
      </c>
      <c r="AE242" s="41">
        <f>(SalesCleanTable[[#This Row],[Unit Price]] - SalesCleanTable[[#This Row],[Unit Cost]]) / SalesCleanTable[[#This Row],[Unit Price]]</f>
        <v>0.38095238095238093</v>
      </c>
    </row>
    <row r="243" spans="1:31">
      <c r="A243" t="s">
        <v>429</v>
      </c>
      <c r="B243" s="6">
        <v>45795</v>
      </c>
      <c r="C243" t="s">
        <v>36</v>
      </c>
      <c r="D243" t="s">
        <v>37</v>
      </c>
      <c r="E243" t="s">
        <v>38</v>
      </c>
      <c r="F243" t="s">
        <v>39</v>
      </c>
      <c r="G243" t="s">
        <v>40</v>
      </c>
      <c r="H243" t="s">
        <v>145</v>
      </c>
      <c r="I243" t="s">
        <v>146</v>
      </c>
      <c r="J243" t="s">
        <v>147</v>
      </c>
      <c r="K243" t="s">
        <v>148</v>
      </c>
      <c r="L243" t="s">
        <v>166</v>
      </c>
      <c r="M243" t="s">
        <v>177</v>
      </c>
      <c r="N243">
        <v>3</v>
      </c>
      <c r="O243" s="4">
        <v>1650</v>
      </c>
      <c r="P243" s="4">
        <v>2200</v>
      </c>
      <c r="Q243" s="7">
        <v>0.1</v>
      </c>
      <c r="R243" t="s">
        <v>178</v>
      </c>
      <c r="S243">
        <v>5</v>
      </c>
      <c r="T243">
        <v>6600</v>
      </c>
      <c r="U243">
        <v>660</v>
      </c>
      <c r="V243">
        <v>5940</v>
      </c>
      <c r="W243">
        <v>4950</v>
      </c>
      <c r="X243">
        <v>990</v>
      </c>
      <c r="Y243" s="8">
        <v>0.16666666666666666</v>
      </c>
      <c r="Z243" t="s">
        <v>2995</v>
      </c>
      <c r="AA243" t="str">
        <f>IF(AND(SalesCleanTable[[#This Row],[Discount %]]&gt;0, SalesCleanTable[[#This Row],[Profit]]&lt;0), "Discount loss", "Safe")</f>
        <v>Safe</v>
      </c>
      <c r="AB243" s="25">
        <f>(SalesCleanTable[[#This Row],[Unit Price]] - SalesCleanTable[[#This Row],[Unit Cost]]) / SalesCleanTable[[#This Row],[Unit Price]]</f>
        <v>0.25</v>
      </c>
      <c r="AC243" t="str">
        <f>IF(SalesCleanTable[[#This Row],[Discount %]] &gt; SalesCleanTable[[#This Row],[Max Allowed Discount]], "Discount loss", "Safe")</f>
        <v>Safe</v>
      </c>
      <c r="AD243" s="4">
        <f>SalesCleanTable[[#This Row],[Unit Price]] - SalesCleanTable[[#This Row],[Unit Cost]]</f>
        <v>550</v>
      </c>
      <c r="AE243" s="41">
        <f>(SalesCleanTable[[#This Row],[Unit Price]] - SalesCleanTable[[#This Row],[Unit Cost]]) / SalesCleanTable[[#This Row],[Unit Price]]</f>
        <v>0.25</v>
      </c>
    </row>
    <row r="244" spans="1:31">
      <c r="A244" t="s">
        <v>430</v>
      </c>
      <c r="B244" s="6">
        <v>45796</v>
      </c>
      <c r="C244" t="s">
        <v>32</v>
      </c>
      <c r="D244" t="s">
        <v>33</v>
      </c>
      <c r="E244" t="s">
        <v>26</v>
      </c>
      <c r="F244" t="s">
        <v>34</v>
      </c>
      <c r="G244" t="s">
        <v>35</v>
      </c>
      <c r="H244" t="s">
        <v>128</v>
      </c>
      <c r="I244" t="s">
        <v>129</v>
      </c>
      <c r="J244" t="s">
        <v>130</v>
      </c>
      <c r="K244" t="s">
        <v>131</v>
      </c>
      <c r="L244" t="s">
        <v>166</v>
      </c>
      <c r="M244" t="s">
        <v>177</v>
      </c>
      <c r="N244">
        <v>2</v>
      </c>
      <c r="O244" s="4">
        <v>7800</v>
      </c>
      <c r="P244" s="4">
        <v>9800</v>
      </c>
      <c r="Q244" s="7">
        <v>0.1</v>
      </c>
      <c r="R244" t="s">
        <v>197</v>
      </c>
      <c r="S244">
        <v>6</v>
      </c>
      <c r="T244">
        <v>19600</v>
      </c>
      <c r="U244">
        <v>1960</v>
      </c>
      <c r="V244">
        <v>17640</v>
      </c>
      <c r="W244">
        <v>15600</v>
      </c>
      <c r="X244">
        <v>2040</v>
      </c>
      <c r="Y244" s="8">
        <v>0.11564625850340136</v>
      </c>
      <c r="Z244" t="s">
        <v>2995</v>
      </c>
      <c r="AA244" t="str">
        <f>IF(AND(SalesCleanTable[[#This Row],[Discount %]]&gt;0, SalesCleanTable[[#This Row],[Profit]]&lt;0), "Discount loss", "Safe")</f>
        <v>Safe</v>
      </c>
      <c r="AB244" s="25">
        <f>(SalesCleanTable[[#This Row],[Unit Price]] - SalesCleanTable[[#This Row],[Unit Cost]]) / SalesCleanTable[[#This Row],[Unit Price]]</f>
        <v>0.20408163265306123</v>
      </c>
      <c r="AC244" t="str">
        <f>IF(SalesCleanTable[[#This Row],[Discount %]] &gt; SalesCleanTable[[#This Row],[Max Allowed Discount]], "Discount loss", "Safe")</f>
        <v>Safe</v>
      </c>
      <c r="AD244" s="4">
        <f>SalesCleanTable[[#This Row],[Unit Price]] - SalesCleanTable[[#This Row],[Unit Cost]]</f>
        <v>2000</v>
      </c>
      <c r="AE244" s="41">
        <f>(SalesCleanTable[[#This Row],[Unit Price]] - SalesCleanTable[[#This Row],[Unit Cost]]) / SalesCleanTable[[#This Row],[Unit Price]]</f>
        <v>0.20408163265306123</v>
      </c>
    </row>
    <row r="245" spans="1:31">
      <c r="A245" t="s">
        <v>431</v>
      </c>
      <c r="B245" s="6">
        <v>45963</v>
      </c>
      <c r="C245" t="s">
        <v>66</v>
      </c>
      <c r="D245" t="s">
        <v>67</v>
      </c>
      <c r="E245" t="s">
        <v>59</v>
      </c>
      <c r="F245" t="s">
        <v>60</v>
      </c>
      <c r="G245" t="s">
        <v>68</v>
      </c>
      <c r="H245" t="s">
        <v>135</v>
      </c>
      <c r="I245" t="s">
        <v>136</v>
      </c>
      <c r="J245" t="s">
        <v>137</v>
      </c>
      <c r="K245" t="s">
        <v>138</v>
      </c>
      <c r="L245" t="s">
        <v>166</v>
      </c>
      <c r="M245" t="s">
        <v>177</v>
      </c>
      <c r="N245">
        <v>2</v>
      </c>
      <c r="O245" s="4">
        <v>2800</v>
      </c>
      <c r="P245" s="4">
        <v>3900</v>
      </c>
      <c r="Q245" s="7">
        <v>0</v>
      </c>
      <c r="R245" t="s">
        <v>173</v>
      </c>
      <c r="S245">
        <v>4</v>
      </c>
      <c r="T245">
        <v>7800</v>
      </c>
      <c r="U245">
        <v>0</v>
      </c>
      <c r="V245">
        <v>7800</v>
      </c>
      <c r="W245">
        <v>5600</v>
      </c>
      <c r="X245">
        <v>2200</v>
      </c>
      <c r="Y245" s="8">
        <v>0.28205128205128205</v>
      </c>
      <c r="Z245" t="s">
        <v>2996</v>
      </c>
      <c r="AA245" t="str">
        <f>IF(AND(SalesCleanTable[[#This Row],[Discount %]]&gt;0, SalesCleanTable[[#This Row],[Profit]]&lt;0), "Discount loss", "Safe")</f>
        <v>Safe</v>
      </c>
      <c r="AB245" s="25">
        <f>(SalesCleanTable[[#This Row],[Unit Price]] - SalesCleanTable[[#This Row],[Unit Cost]]) / SalesCleanTable[[#This Row],[Unit Price]]</f>
        <v>0.28205128205128205</v>
      </c>
      <c r="AC245" t="str">
        <f>IF(SalesCleanTable[[#This Row],[Discount %]] &gt; SalesCleanTable[[#This Row],[Max Allowed Discount]], "Discount loss", "Safe")</f>
        <v>Safe</v>
      </c>
      <c r="AD245" s="4">
        <f>SalesCleanTable[[#This Row],[Unit Price]] - SalesCleanTable[[#This Row],[Unit Cost]]</f>
        <v>1100</v>
      </c>
      <c r="AE245" s="41">
        <f>(SalesCleanTable[[#This Row],[Unit Price]] - SalesCleanTable[[#This Row],[Unit Cost]]) / SalesCleanTable[[#This Row],[Unit Price]]</f>
        <v>0.28205128205128205</v>
      </c>
    </row>
    <row r="246" spans="1:31">
      <c r="A246" t="s">
        <v>432</v>
      </c>
      <c r="B246" s="6">
        <v>45744</v>
      </c>
      <c r="C246" t="s">
        <v>78</v>
      </c>
      <c r="D246" t="s">
        <v>79</v>
      </c>
      <c r="E246" t="s">
        <v>75</v>
      </c>
      <c r="F246" t="s">
        <v>80</v>
      </c>
      <c r="G246" t="s">
        <v>81</v>
      </c>
      <c r="H246" t="s">
        <v>133</v>
      </c>
      <c r="I246" t="s">
        <v>134</v>
      </c>
      <c r="J246" t="s">
        <v>130</v>
      </c>
      <c r="K246" t="s">
        <v>131</v>
      </c>
      <c r="L246" t="s">
        <v>166</v>
      </c>
      <c r="M246" t="s">
        <v>177</v>
      </c>
      <c r="N246">
        <v>2</v>
      </c>
      <c r="O246" s="4">
        <v>1200</v>
      </c>
      <c r="P246" s="4">
        <v>1900</v>
      </c>
      <c r="Q246" s="7">
        <v>0</v>
      </c>
      <c r="R246" t="s">
        <v>208</v>
      </c>
      <c r="S246">
        <v>7</v>
      </c>
      <c r="T246">
        <v>3800</v>
      </c>
      <c r="U246">
        <v>0</v>
      </c>
      <c r="V246">
        <v>3800</v>
      </c>
      <c r="W246">
        <v>2400</v>
      </c>
      <c r="X246">
        <v>1400</v>
      </c>
      <c r="Y246" s="8">
        <v>0.36842105263157893</v>
      </c>
      <c r="Z246" t="s">
        <v>2996</v>
      </c>
      <c r="AA246" t="str">
        <f>IF(AND(SalesCleanTable[[#This Row],[Discount %]]&gt;0, SalesCleanTable[[#This Row],[Profit]]&lt;0), "Discount loss", "Safe")</f>
        <v>Safe</v>
      </c>
      <c r="AB246" s="25">
        <f>(SalesCleanTable[[#This Row],[Unit Price]] - SalesCleanTable[[#This Row],[Unit Cost]]) / SalesCleanTable[[#This Row],[Unit Price]]</f>
        <v>0.36842105263157893</v>
      </c>
      <c r="AC246" t="str">
        <f>IF(SalesCleanTable[[#This Row],[Discount %]] &gt; SalesCleanTable[[#This Row],[Max Allowed Discount]], "Discount loss", "Safe")</f>
        <v>Safe</v>
      </c>
      <c r="AD246" s="4">
        <f>SalesCleanTable[[#This Row],[Unit Price]] - SalesCleanTable[[#This Row],[Unit Cost]]</f>
        <v>700</v>
      </c>
      <c r="AE246" s="41">
        <f>(SalesCleanTable[[#This Row],[Unit Price]] - SalesCleanTable[[#This Row],[Unit Cost]]) / SalesCleanTable[[#This Row],[Unit Price]]</f>
        <v>0.36842105263157893</v>
      </c>
    </row>
    <row r="247" spans="1:31">
      <c r="A247" t="s">
        <v>433</v>
      </c>
      <c r="B247" s="6">
        <v>45697</v>
      </c>
      <c r="C247" t="s">
        <v>49</v>
      </c>
      <c r="D247" t="s">
        <v>50</v>
      </c>
      <c r="E247" t="s">
        <v>38</v>
      </c>
      <c r="F247" t="s">
        <v>51</v>
      </c>
      <c r="G247" t="s">
        <v>52</v>
      </c>
      <c r="H247" t="s">
        <v>153</v>
      </c>
      <c r="I247" t="s">
        <v>154</v>
      </c>
      <c r="J247" t="s">
        <v>155</v>
      </c>
      <c r="K247" t="s">
        <v>131</v>
      </c>
      <c r="L247" t="s">
        <v>183</v>
      </c>
      <c r="M247" t="s">
        <v>186</v>
      </c>
      <c r="N247">
        <v>-1</v>
      </c>
      <c r="O247" s="4">
        <v>550</v>
      </c>
      <c r="P247" s="4">
        <v>850</v>
      </c>
      <c r="Q247" s="7">
        <v>0.05</v>
      </c>
      <c r="R247" t="s">
        <v>178</v>
      </c>
      <c r="S247">
        <v>5</v>
      </c>
      <c r="T247">
        <v>-850</v>
      </c>
      <c r="U247">
        <v>-42.5</v>
      </c>
      <c r="V247">
        <v>-807.5</v>
      </c>
      <c r="W247">
        <v>-550</v>
      </c>
      <c r="X247">
        <v>-257.5</v>
      </c>
      <c r="Y247" s="8">
        <v>0.31888544891640869</v>
      </c>
      <c r="Z247" t="s">
        <v>2996</v>
      </c>
      <c r="AA247" t="str">
        <f>IF(AND(SalesCleanTable[[#This Row],[Discount %]]&gt;0, SalesCleanTable[[#This Row],[Profit]]&lt;0), "Discount loss", "Safe")</f>
        <v>Discount loss</v>
      </c>
      <c r="AB247" s="25">
        <f>(SalesCleanTable[[#This Row],[Unit Price]] - SalesCleanTable[[#This Row],[Unit Cost]]) / SalesCleanTable[[#This Row],[Unit Price]]</f>
        <v>0.35294117647058826</v>
      </c>
      <c r="AC247" t="str">
        <f>IF(SalesCleanTable[[#This Row],[Discount %]] &gt; SalesCleanTable[[#This Row],[Max Allowed Discount]], "Discount loss", "Safe")</f>
        <v>Safe</v>
      </c>
      <c r="AD247" s="4">
        <f>SalesCleanTable[[#This Row],[Unit Price]] - SalesCleanTable[[#This Row],[Unit Cost]]</f>
        <v>300</v>
      </c>
      <c r="AE247" s="41">
        <f>(SalesCleanTable[[#This Row],[Unit Price]] - SalesCleanTable[[#This Row],[Unit Cost]]) / SalesCleanTable[[#This Row],[Unit Price]]</f>
        <v>0.35294117647058826</v>
      </c>
    </row>
    <row r="248" spans="1:31">
      <c r="A248" t="s">
        <v>434</v>
      </c>
      <c r="B248" s="6">
        <v>45828</v>
      </c>
      <c r="C248" t="s">
        <v>99</v>
      </c>
      <c r="D248" t="s">
        <v>100</v>
      </c>
      <c r="E248" t="s">
        <v>92</v>
      </c>
      <c r="F248" t="s">
        <v>101</v>
      </c>
      <c r="G248" t="s">
        <v>102</v>
      </c>
      <c r="H248" t="s">
        <v>135</v>
      </c>
      <c r="I248" t="s">
        <v>136</v>
      </c>
      <c r="J248" t="s">
        <v>137</v>
      </c>
      <c r="K248" t="s">
        <v>138</v>
      </c>
      <c r="L248" t="s">
        <v>166</v>
      </c>
      <c r="M248" t="s">
        <v>171</v>
      </c>
      <c r="N248">
        <v>6</v>
      </c>
      <c r="O248" s="4">
        <v>12500</v>
      </c>
      <c r="P248" s="4">
        <v>18500</v>
      </c>
      <c r="Q248" s="7">
        <v>0.05</v>
      </c>
      <c r="R248" t="s">
        <v>215</v>
      </c>
      <c r="S248">
        <v>10</v>
      </c>
      <c r="T248">
        <v>111000</v>
      </c>
      <c r="U248">
        <v>5550</v>
      </c>
      <c r="V248">
        <v>105450</v>
      </c>
      <c r="W248">
        <v>75000</v>
      </c>
      <c r="X248">
        <v>30450</v>
      </c>
      <c r="Y248" s="8">
        <v>0.28876244665718348</v>
      </c>
      <c r="Z248" t="s">
        <v>2995</v>
      </c>
      <c r="AA248" t="str">
        <f>IF(AND(SalesCleanTable[[#This Row],[Discount %]]&gt;0, SalesCleanTable[[#This Row],[Profit]]&lt;0), "Discount loss", "Safe")</f>
        <v>Safe</v>
      </c>
      <c r="AB248" s="25">
        <f>(SalesCleanTable[[#This Row],[Unit Price]] - SalesCleanTable[[#This Row],[Unit Cost]]) / SalesCleanTable[[#This Row],[Unit Price]]</f>
        <v>0.32432432432432434</v>
      </c>
      <c r="AC248" t="str">
        <f>IF(SalesCleanTable[[#This Row],[Discount %]] &gt; SalesCleanTable[[#This Row],[Max Allowed Discount]], "Discount loss", "Safe")</f>
        <v>Safe</v>
      </c>
      <c r="AD248" s="4">
        <f>SalesCleanTable[[#This Row],[Unit Price]] - SalesCleanTable[[#This Row],[Unit Cost]]</f>
        <v>6000</v>
      </c>
      <c r="AE248" s="41">
        <f>(SalesCleanTable[[#This Row],[Unit Price]] - SalesCleanTable[[#This Row],[Unit Cost]]) / SalesCleanTable[[#This Row],[Unit Price]]</f>
        <v>0.32432432432432434</v>
      </c>
    </row>
    <row r="249" spans="1:31">
      <c r="A249" t="s">
        <v>435</v>
      </c>
      <c r="B249" s="6">
        <v>45822</v>
      </c>
      <c r="C249" t="s">
        <v>69</v>
      </c>
      <c r="D249" t="s">
        <v>70</v>
      </c>
      <c r="E249" t="s">
        <v>59</v>
      </c>
      <c r="F249" t="s">
        <v>71</v>
      </c>
      <c r="G249" t="s">
        <v>72</v>
      </c>
      <c r="H249" t="s">
        <v>145</v>
      </c>
      <c r="I249" t="s">
        <v>146</v>
      </c>
      <c r="J249" t="s">
        <v>147</v>
      </c>
      <c r="K249" t="s">
        <v>148</v>
      </c>
      <c r="L249" t="s">
        <v>166</v>
      </c>
      <c r="M249" t="s">
        <v>167</v>
      </c>
      <c r="N249">
        <v>3</v>
      </c>
      <c r="O249" s="4">
        <v>1700</v>
      </c>
      <c r="P249" s="4">
        <v>2600</v>
      </c>
      <c r="Q249" s="7">
        <v>0</v>
      </c>
      <c r="R249" t="s">
        <v>173</v>
      </c>
      <c r="S249">
        <v>12</v>
      </c>
      <c r="T249">
        <v>7800</v>
      </c>
      <c r="U249">
        <v>0</v>
      </c>
      <c r="V249">
        <v>7800</v>
      </c>
      <c r="W249">
        <v>5100</v>
      </c>
      <c r="X249">
        <v>2700</v>
      </c>
      <c r="Y249" s="8">
        <v>0.34615384615384615</v>
      </c>
      <c r="Z249" t="s">
        <v>2997</v>
      </c>
      <c r="AA249" t="str">
        <f>IF(AND(SalesCleanTable[[#This Row],[Discount %]]&gt;0, SalesCleanTable[[#This Row],[Profit]]&lt;0), "Discount loss", "Safe")</f>
        <v>Safe</v>
      </c>
      <c r="AB249" s="25">
        <f>(SalesCleanTable[[#This Row],[Unit Price]] - SalesCleanTable[[#This Row],[Unit Cost]]) / SalesCleanTable[[#This Row],[Unit Price]]</f>
        <v>0.34615384615384615</v>
      </c>
      <c r="AC249" t="str">
        <f>IF(SalesCleanTable[[#This Row],[Discount %]] &gt; SalesCleanTable[[#This Row],[Max Allowed Discount]], "Discount loss", "Safe")</f>
        <v>Safe</v>
      </c>
      <c r="AD249" s="4">
        <f>SalesCleanTable[[#This Row],[Unit Price]] - SalesCleanTable[[#This Row],[Unit Cost]]</f>
        <v>900</v>
      </c>
      <c r="AE249" s="41">
        <f>(SalesCleanTable[[#This Row],[Unit Price]] - SalesCleanTable[[#This Row],[Unit Cost]]) / SalesCleanTable[[#This Row],[Unit Price]]</f>
        <v>0.34615384615384615</v>
      </c>
    </row>
    <row r="250" spans="1:31">
      <c r="A250" t="s">
        <v>436</v>
      </c>
      <c r="B250" s="6">
        <v>45952</v>
      </c>
      <c r="C250" t="s">
        <v>90</v>
      </c>
      <c r="D250" t="s">
        <v>91</v>
      </c>
      <c r="E250" t="s">
        <v>92</v>
      </c>
      <c r="F250" t="s">
        <v>93</v>
      </c>
      <c r="G250" t="s">
        <v>94</v>
      </c>
      <c r="H250" t="s">
        <v>135</v>
      </c>
      <c r="I250" t="s">
        <v>136</v>
      </c>
      <c r="J250" t="s">
        <v>137</v>
      </c>
      <c r="K250" t="s">
        <v>138</v>
      </c>
      <c r="L250" t="s">
        <v>166</v>
      </c>
      <c r="M250" t="s">
        <v>171</v>
      </c>
      <c r="N250">
        <v>2</v>
      </c>
      <c r="O250" s="4">
        <v>7500</v>
      </c>
      <c r="P250" s="4">
        <v>10500</v>
      </c>
      <c r="Q250" s="7">
        <v>0.2</v>
      </c>
      <c r="R250" t="s">
        <v>181</v>
      </c>
      <c r="S250">
        <v>10</v>
      </c>
      <c r="T250">
        <v>21000</v>
      </c>
      <c r="U250">
        <v>4200</v>
      </c>
      <c r="V250">
        <v>16800</v>
      </c>
      <c r="W250">
        <v>15000</v>
      </c>
      <c r="X250">
        <v>1800</v>
      </c>
      <c r="Y250" s="8">
        <v>0.10714285714285714</v>
      </c>
      <c r="Z250" t="s">
        <v>2996</v>
      </c>
      <c r="AA250" t="str">
        <f>IF(AND(SalesCleanTable[[#This Row],[Discount %]]&gt;0, SalesCleanTable[[#This Row],[Profit]]&lt;0), "Discount loss", "Safe")</f>
        <v>Safe</v>
      </c>
      <c r="AB250" s="25">
        <f>(SalesCleanTable[[#This Row],[Unit Price]] - SalesCleanTable[[#This Row],[Unit Cost]]) / SalesCleanTable[[#This Row],[Unit Price]]</f>
        <v>0.2857142857142857</v>
      </c>
      <c r="AC250" t="str">
        <f>IF(SalesCleanTable[[#This Row],[Discount %]] &gt; SalesCleanTable[[#This Row],[Max Allowed Discount]], "Discount loss", "Safe")</f>
        <v>Safe</v>
      </c>
      <c r="AD250" s="4">
        <f>SalesCleanTable[[#This Row],[Unit Price]] - SalesCleanTable[[#This Row],[Unit Cost]]</f>
        <v>3000</v>
      </c>
      <c r="AE250" s="41">
        <f>(SalesCleanTable[[#This Row],[Unit Price]] - SalesCleanTable[[#This Row],[Unit Cost]]) / SalesCleanTable[[#This Row],[Unit Price]]</f>
        <v>0.2857142857142857</v>
      </c>
    </row>
    <row r="251" spans="1:31">
      <c r="A251" t="s">
        <v>437</v>
      </c>
      <c r="B251" s="6">
        <v>45750</v>
      </c>
      <c r="C251" t="s">
        <v>78</v>
      </c>
      <c r="D251" t="s">
        <v>79</v>
      </c>
      <c r="E251" t="s">
        <v>75</v>
      </c>
      <c r="F251" t="s">
        <v>80</v>
      </c>
      <c r="G251" t="s">
        <v>81</v>
      </c>
      <c r="H251" t="s">
        <v>139</v>
      </c>
      <c r="I251" t="s">
        <v>140</v>
      </c>
      <c r="J251" t="s">
        <v>137</v>
      </c>
      <c r="K251" t="s">
        <v>138</v>
      </c>
      <c r="L251" t="s">
        <v>183</v>
      </c>
      <c r="M251" t="s">
        <v>186</v>
      </c>
      <c r="N251">
        <v>8</v>
      </c>
      <c r="O251" s="4">
        <v>1200</v>
      </c>
      <c r="P251" s="4">
        <v>1900</v>
      </c>
      <c r="Q251" s="7">
        <v>0.05</v>
      </c>
      <c r="R251" t="s">
        <v>208</v>
      </c>
      <c r="S251">
        <v>14</v>
      </c>
      <c r="T251">
        <v>15200</v>
      </c>
      <c r="U251">
        <v>760</v>
      </c>
      <c r="V251">
        <v>14440</v>
      </c>
      <c r="W251">
        <v>9600</v>
      </c>
      <c r="X251">
        <v>4840</v>
      </c>
      <c r="Y251" s="8">
        <v>0.33518005540166207</v>
      </c>
      <c r="Z251" t="s">
        <v>2996</v>
      </c>
      <c r="AA251" t="str">
        <f>IF(AND(SalesCleanTable[[#This Row],[Discount %]]&gt;0, SalesCleanTable[[#This Row],[Profit]]&lt;0), "Discount loss", "Safe")</f>
        <v>Safe</v>
      </c>
      <c r="AB251" s="25">
        <f>(SalesCleanTable[[#This Row],[Unit Price]] - SalesCleanTable[[#This Row],[Unit Cost]]) / SalesCleanTable[[#This Row],[Unit Price]]</f>
        <v>0.36842105263157893</v>
      </c>
      <c r="AC251" t="str">
        <f>IF(SalesCleanTable[[#This Row],[Discount %]] &gt; SalesCleanTable[[#This Row],[Max Allowed Discount]], "Discount loss", "Safe")</f>
        <v>Safe</v>
      </c>
      <c r="AD251" s="4">
        <f>SalesCleanTable[[#This Row],[Unit Price]] - SalesCleanTable[[#This Row],[Unit Cost]]</f>
        <v>700</v>
      </c>
      <c r="AE251" s="41">
        <f>(SalesCleanTable[[#This Row],[Unit Price]] - SalesCleanTable[[#This Row],[Unit Cost]]) / SalesCleanTable[[#This Row],[Unit Price]]</f>
        <v>0.36842105263157893</v>
      </c>
    </row>
    <row r="252" spans="1:31">
      <c r="A252" t="s">
        <v>438</v>
      </c>
      <c r="B252" s="6">
        <v>45867</v>
      </c>
      <c r="C252" t="s">
        <v>78</v>
      </c>
      <c r="D252" t="s">
        <v>79</v>
      </c>
      <c r="E252" t="s">
        <v>75</v>
      </c>
      <c r="F252" t="s">
        <v>80</v>
      </c>
      <c r="G252" t="s">
        <v>81</v>
      </c>
      <c r="H252" t="s">
        <v>133</v>
      </c>
      <c r="I252" t="s">
        <v>134</v>
      </c>
      <c r="J252" t="s">
        <v>130</v>
      </c>
      <c r="K252" t="s">
        <v>131</v>
      </c>
      <c r="L252" t="s">
        <v>166</v>
      </c>
      <c r="M252" t="s">
        <v>186</v>
      </c>
      <c r="N252">
        <v>2</v>
      </c>
      <c r="O252" s="4">
        <v>1200</v>
      </c>
      <c r="P252" s="4">
        <v>1900</v>
      </c>
      <c r="Q252" s="7">
        <v>0</v>
      </c>
      <c r="R252" t="s">
        <v>208</v>
      </c>
      <c r="S252">
        <v>2</v>
      </c>
      <c r="T252">
        <v>3800</v>
      </c>
      <c r="U252">
        <v>0</v>
      </c>
      <c r="V252">
        <v>3800</v>
      </c>
      <c r="W252">
        <v>2400</v>
      </c>
      <c r="X252">
        <v>1400</v>
      </c>
      <c r="Y252" s="8">
        <v>0.36842105263157893</v>
      </c>
      <c r="Z252" t="s">
        <v>2996</v>
      </c>
      <c r="AA252" t="str">
        <f>IF(AND(SalesCleanTable[[#This Row],[Discount %]]&gt;0, SalesCleanTable[[#This Row],[Profit]]&lt;0), "Discount loss", "Safe")</f>
        <v>Safe</v>
      </c>
      <c r="AB252" s="25">
        <f>(SalesCleanTable[[#This Row],[Unit Price]] - SalesCleanTable[[#This Row],[Unit Cost]]) / SalesCleanTable[[#This Row],[Unit Price]]</f>
        <v>0.36842105263157893</v>
      </c>
      <c r="AC252" t="str">
        <f>IF(SalesCleanTable[[#This Row],[Discount %]] &gt; SalesCleanTable[[#This Row],[Max Allowed Discount]], "Discount loss", "Safe")</f>
        <v>Safe</v>
      </c>
      <c r="AD252" s="4">
        <f>SalesCleanTable[[#This Row],[Unit Price]] - SalesCleanTable[[#This Row],[Unit Cost]]</f>
        <v>700</v>
      </c>
      <c r="AE252" s="41">
        <f>(SalesCleanTable[[#This Row],[Unit Price]] - SalesCleanTable[[#This Row],[Unit Cost]]) / SalesCleanTable[[#This Row],[Unit Price]]</f>
        <v>0.36842105263157893</v>
      </c>
    </row>
    <row r="253" spans="1:31">
      <c r="A253" t="s">
        <v>439</v>
      </c>
      <c r="B253" s="6">
        <v>45964</v>
      </c>
      <c r="C253" t="s">
        <v>53</v>
      </c>
      <c r="D253" t="s">
        <v>54</v>
      </c>
      <c r="E253" t="s">
        <v>38</v>
      </c>
      <c r="F253" t="s">
        <v>55</v>
      </c>
      <c r="G253" t="s">
        <v>56</v>
      </c>
      <c r="H253" t="s">
        <v>135</v>
      </c>
      <c r="I253" t="s">
        <v>136</v>
      </c>
      <c r="J253" t="s">
        <v>137</v>
      </c>
      <c r="K253" t="s">
        <v>138</v>
      </c>
      <c r="L253" t="s">
        <v>183</v>
      </c>
      <c r="M253" t="s">
        <v>171</v>
      </c>
      <c r="N253">
        <v>3</v>
      </c>
      <c r="O253" s="4">
        <v>330</v>
      </c>
      <c r="P253" s="4">
        <v>550</v>
      </c>
      <c r="Q253" s="7">
        <v>0.2</v>
      </c>
      <c r="R253" t="s">
        <v>175</v>
      </c>
      <c r="S253">
        <v>12</v>
      </c>
      <c r="T253">
        <v>1650</v>
      </c>
      <c r="U253">
        <v>330</v>
      </c>
      <c r="V253">
        <v>1320</v>
      </c>
      <c r="W253">
        <v>990</v>
      </c>
      <c r="X253">
        <v>330</v>
      </c>
      <c r="Y253" s="8">
        <v>0.25</v>
      </c>
      <c r="Z253" t="s">
        <v>2996</v>
      </c>
      <c r="AA253" t="str">
        <f>IF(AND(SalesCleanTable[[#This Row],[Discount %]]&gt;0, SalesCleanTable[[#This Row],[Profit]]&lt;0), "Discount loss", "Safe")</f>
        <v>Safe</v>
      </c>
      <c r="AB253" s="25">
        <f>(SalesCleanTable[[#This Row],[Unit Price]] - SalesCleanTable[[#This Row],[Unit Cost]]) / SalesCleanTable[[#This Row],[Unit Price]]</f>
        <v>0.4</v>
      </c>
      <c r="AC253" t="str">
        <f>IF(SalesCleanTable[[#This Row],[Discount %]] &gt; SalesCleanTable[[#This Row],[Max Allowed Discount]], "Discount loss", "Safe")</f>
        <v>Safe</v>
      </c>
      <c r="AD253" s="4">
        <f>SalesCleanTable[[#This Row],[Unit Price]] - SalesCleanTable[[#This Row],[Unit Cost]]</f>
        <v>220</v>
      </c>
      <c r="AE253" s="41">
        <f>(SalesCleanTable[[#This Row],[Unit Price]] - SalesCleanTable[[#This Row],[Unit Cost]]) / SalesCleanTable[[#This Row],[Unit Price]]</f>
        <v>0.4</v>
      </c>
    </row>
    <row r="254" spans="1:31">
      <c r="A254" t="s">
        <v>440</v>
      </c>
      <c r="B254" s="6">
        <v>45932</v>
      </c>
      <c r="C254" t="s">
        <v>66</v>
      </c>
      <c r="D254" t="s">
        <v>67</v>
      </c>
      <c r="E254" t="s">
        <v>59</v>
      </c>
      <c r="F254" t="s">
        <v>60</v>
      </c>
      <c r="G254" t="s">
        <v>68</v>
      </c>
      <c r="H254" t="s">
        <v>149</v>
      </c>
      <c r="I254" t="s">
        <v>150</v>
      </c>
      <c r="J254" t="s">
        <v>151</v>
      </c>
      <c r="K254" t="s">
        <v>152</v>
      </c>
      <c r="L254" t="s">
        <v>183</v>
      </c>
      <c r="M254" t="s">
        <v>177</v>
      </c>
      <c r="N254">
        <v>1</v>
      </c>
      <c r="O254" s="4">
        <v>2800</v>
      </c>
      <c r="P254" s="4">
        <v>3900</v>
      </c>
      <c r="Q254" s="7">
        <v>0</v>
      </c>
      <c r="R254" t="s">
        <v>173</v>
      </c>
      <c r="S254">
        <v>1</v>
      </c>
      <c r="T254">
        <v>3900</v>
      </c>
      <c r="U254">
        <v>0</v>
      </c>
      <c r="V254">
        <v>3900</v>
      </c>
      <c r="W254">
        <v>2800</v>
      </c>
      <c r="X254">
        <v>1100</v>
      </c>
      <c r="Y254" s="8">
        <v>0.28205128205128205</v>
      </c>
      <c r="Z254" t="s">
        <v>2996</v>
      </c>
      <c r="AA254" t="str">
        <f>IF(AND(SalesCleanTable[[#This Row],[Discount %]]&gt;0, SalesCleanTable[[#This Row],[Profit]]&lt;0), "Discount loss", "Safe")</f>
        <v>Safe</v>
      </c>
      <c r="AB254" s="25">
        <f>(SalesCleanTable[[#This Row],[Unit Price]] - SalesCleanTable[[#This Row],[Unit Cost]]) / SalesCleanTable[[#This Row],[Unit Price]]</f>
        <v>0.28205128205128205</v>
      </c>
      <c r="AC254" t="str">
        <f>IF(SalesCleanTable[[#This Row],[Discount %]] &gt; SalesCleanTable[[#This Row],[Max Allowed Discount]], "Discount loss", "Safe")</f>
        <v>Safe</v>
      </c>
      <c r="AD254" s="4">
        <f>SalesCleanTable[[#This Row],[Unit Price]] - SalesCleanTable[[#This Row],[Unit Cost]]</f>
        <v>1100</v>
      </c>
      <c r="AE254" s="41">
        <f>(SalesCleanTable[[#This Row],[Unit Price]] - SalesCleanTable[[#This Row],[Unit Cost]]) / SalesCleanTable[[#This Row],[Unit Price]]</f>
        <v>0.28205128205128205</v>
      </c>
    </row>
    <row r="255" spans="1:31">
      <c r="A255" t="s">
        <v>441</v>
      </c>
      <c r="B255" s="6">
        <v>45988</v>
      </c>
      <c r="C255" t="s">
        <v>78</v>
      </c>
      <c r="D255" t="s">
        <v>79</v>
      </c>
      <c r="E255" t="s">
        <v>75</v>
      </c>
      <c r="F255" t="s">
        <v>80</v>
      </c>
      <c r="G255" t="s">
        <v>81</v>
      </c>
      <c r="H255" t="s">
        <v>135</v>
      </c>
      <c r="I255" t="s">
        <v>136</v>
      </c>
      <c r="J255" t="s">
        <v>137</v>
      </c>
      <c r="K255" t="s">
        <v>138</v>
      </c>
      <c r="L255" t="s">
        <v>166</v>
      </c>
      <c r="M255" t="s">
        <v>177</v>
      </c>
      <c r="N255">
        <v>4</v>
      </c>
      <c r="O255" s="4">
        <v>1200</v>
      </c>
      <c r="P255" s="4">
        <v>1900</v>
      </c>
      <c r="Q255" s="7">
        <v>0.2</v>
      </c>
      <c r="R255" t="s">
        <v>208</v>
      </c>
      <c r="S255">
        <v>4</v>
      </c>
      <c r="T255">
        <v>7600</v>
      </c>
      <c r="U255">
        <v>1520</v>
      </c>
      <c r="V255">
        <v>6080</v>
      </c>
      <c r="W255">
        <v>4800</v>
      </c>
      <c r="X255">
        <v>1280</v>
      </c>
      <c r="Y255" s="8">
        <v>0.21052631578947367</v>
      </c>
      <c r="Z255" t="s">
        <v>2996</v>
      </c>
      <c r="AA255" t="str">
        <f>IF(AND(SalesCleanTable[[#This Row],[Discount %]]&gt;0, SalesCleanTable[[#This Row],[Profit]]&lt;0), "Discount loss", "Safe")</f>
        <v>Safe</v>
      </c>
      <c r="AB255" s="25">
        <f>(SalesCleanTable[[#This Row],[Unit Price]] - SalesCleanTable[[#This Row],[Unit Cost]]) / SalesCleanTable[[#This Row],[Unit Price]]</f>
        <v>0.36842105263157893</v>
      </c>
      <c r="AC255" t="str">
        <f>IF(SalesCleanTable[[#This Row],[Discount %]] &gt; SalesCleanTable[[#This Row],[Max Allowed Discount]], "Discount loss", "Safe")</f>
        <v>Safe</v>
      </c>
      <c r="AD255" s="4">
        <f>SalesCleanTable[[#This Row],[Unit Price]] - SalesCleanTable[[#This Row],[Unit Cost]]</f>
        <v>700</v>
      </c>
      <c r="AE255" s="41">
        <f>(SalesCleanTable[[#This Row],[Unit Price]] - SalesCleanTable[[#This Row],[Unit Cost]]) / SalesCleanTable[[#This Row],[Unit Price]]</f>
        <v>0.36842105263157893</v>
      </c>
    </row>
    <row r="256" spans="1:31">
      <c r="A256" t="s">
        <v>442</v>
      </c>
      <c r="B256" s="6">
        <v>45923</v>
      </c>
      <c r="C256" t="s">
        <v>62</v>
      </c>
      <c r="D256" t="s">
        <v>63</v>
      </c>
      <c r="E256" t="s">
        <v>59</v>
      </c>
      <c r="F256" t="s">
        <v>64</v>
      </c>
      <c r="G256" t="s">
        <v>65</v>
      </c>
      <c r="H256" t="s">
        <v>141</v>
      </c>
      <c r="I256" t="s">
        <v>142</v>
      </c>
      <c r="J256" t="s">
        <v>143</v>
      </c>
      <c r="K256" t="s">
        <v>144</v>
      </c>
      <c r="L256" t="s">
        <v>166</v>
      </c>
      <c r="M256" t="s">
        <v>171</v>
      </c>
      <c r="N256">
        <v>2</v>
      </c>
      <c r="O256" s="4">
        <v>3200</v>
      </c>
      <c r="P256" s="4">
        <v>4500</v>
      </c>
      <c r="Q256" s="7">
        <v>0.05</v>
      </c>
      <c r="R256" t="s">
        <v>173</v>
      </c>
      <c r="S256">
        <v>9</v>
      </c>
      <c r="T256">
        <v>9000</v>
      </c>
      <c r="U256">
        <v>450</v>
      </c>
      <c r="V256">
        <v>8550</v>
      </c>
      <c r="W256">
        <v>6400</v>
      </c>
      <c r="X256">
        <v>2150</v>
      </c>
      <c r="Y256" s="8">
        <v>0.25146198830409355</v>
      </c>
      <c r="Z256" t="s">
        <v>2996</v>
      </c>
      <c r="AA256" t="str">
        <f>IF(AND(SalesCleanTable[[#This Row],[Discount %]]&gt;0, SalesCleanTable[[#This Row],[Profit]]&lt;0), "Discount loss", "Safe")</f>
        <v>Safe</v>
      </c>
      <c r="AB256" s="25">
        <f>(SalesCleanTable[[#This Row],[Unit Price]] - SalesCleanTable[[#This Row],[Unit Cost]]) / SalesCleanTable[[#This Row],[Unit Price]]</f>
        <v>0.28888888888888886</v>
      </c>
      <c r="AC256" t="str">
        <f>IF(SalesCleanTable[[#This Row],[Discount %]] &gt; SalesCleanTable[[#This Row],[Max Allowed Discount]], "Discount loss", "Safe")</f>
        <v>Safe</v>
      </c>
      <c r="AD256" s="4">
        <f>SalesCleanTable[[#This Row],[Unit Price]] - SalesCleanTable[[#This Row],[Unit Cost]]</f>
        <v>1300</v>
      </c>
      <c r="AE256" s="41">
        <f>(SalesCleanTable[[#This Row],[Unit Price]] - SalesCleanTable[[#This Row],[Unit Cost]]) / SalesCleanTable[[#This Row],[Unit Price]]</f>
        <v>0.28888888888888886</v>
      </c>
    </row>
    <row r="257" spans="1:31">
      <c r="A257" t="s">
        <v>443</v>
      </c>
      <c r="B257" s="6">
        <v>45670</v>
      </c>
      <c r="C257" t="s">
        <v>53</v>
      </c>
      <c r="D257" t="s">
        <v>54</v>
      </c>
      <c r="E257" t="s">
        <v>38</v>
      </c>
      <c r="F257" t="s">
        <v>55</v>
      </c>
      <c r="G257" t="s">
        <v>56</v>
      </c>
      <c r="H257" t="s">
        <v>135</v>
      </c>
      <c r="I257" t="s">
        <v>136</v>
      </c>
      <c r="J257" t="s">
        <v>137</v>
      </c>
      <c r="K257" t="s">
        <v>138</v>
      </c>
      <c r="L257" t="s">
        <v>183</v>
      </c>
      <c r="M257" t="s">
        <v>171</v>
      </c>
      <c r="N257">
        <v>8</v>
      </c>
      <c r="O257" s="4">
        <v>330</v>
      </c>
      <c r="P257" s="4">
        <v>550</v>
      </c>
      <c r="Q257" s="7">
        <v>0</v>
      </c>
      <c r="R257" t="s">
        <v>175</v>
      </c>
      <c r="S257">
        <v>5</v>
      </c>
      <c r="T257">
        <v>4400</v>
      </c>
      <c r="U257">
        <v>0</v>
      </c>
      <c r="V257">
        <v>4400</v>
      </c>
      <c r="W257">
        <v>2640</v>
      </c>
      <c r="X257">
        <v>1760</v>
      </c>
      <c r="Y257" s="8">
        <v>0.4</v>
      </c>
      <c r="Z257" t="s">
        <v>2996</v>
      </c>
      <c r="AA257" t="str">
        <f>IF(AND(SalesCleanTable[[#This Row],[Discount %]]&gt;0, SalesCleanTable[[#This Row],[Profit]]&lt;0), "Discount loss", "Safe")</f>
        <v>Safe</v>
      </c>
      <c r="AB257" s="25">
        <f>(SalesCleanTable[[#This Row],[Unit Price]] - SalesCleanTable[[#This Row],[Unit Cost]]) / SalesCleanTable[[#This Row],[Unit Price]]</f>
        <v>0.4</v>
      </c>
      <c r="AC257" t="str">
        <f>IF(SalesCleanTable[[#This Row],[Discount %]] &gt; SalesCleanTable[[#This Row],[Max Allowed Discount]], "Discount loss", "Safe")</f>
        <v>Safe</v>
      </c>
      <c r="AD257" s="4">
        <f>SalesCleanTable[[#This Row],[Unit Price]] - SalesCleanTable[[#This Row],[Unit Cost]]</f>
        <v>220</v>
      </c>
      <c r="AE257" s="41">
        <f>(SalesCleanTable[[#This Row],[Unit Price]] - SalesCleanTable[[#This Row],[Unit Cost]]) / SalesCleanTable[[#This Row],[Unit Price]]</f>
        <v>0.4</v>
      </c>
    </row>
    <row r="258" spans="1:31">
      <c r="A258" t="s">
        <v>444</v>
      </c>
      <c r="B258" s="6">
        <v>45763</v>
      </c>
      <c r="C258" t="s">
        <v>57</v>
      </c>
      <c r="D258" t="s">
        <v>58</v>
      </c>
      <c r="E258" t="s">
        <v>59</v>
      </c>
      <c r="F258" t="s">
        <v>60</v>
      </c>
      <c r="G258" t="s">
        <v>61</v>
      </c>
      <c r="H258" t="s">
        <v>135</v>
      </c>
      <c r="I258" t="s">
        <v>136</v>
      </c>
      <c r="J258" t="s">
        <v>137</v>
      </c>
      <c r="K258" t="s">
        <v>138</v>
      </c>
      <c r="L258" t="s">
        <v>166</v>
      </c>
      <c r="M258" t="s">
        <v>177</v>
      </c>
      <c r="N258">
        <v>1</v>
      </c>
      <c r="O258" s="4">
        <v>2400</v>
      </c>
      <c r="P258" s="4">
        <v>3400</v>
      </c>
      <c r="Q258" s="7">
        <v>0.1</v>
      </c>
      <c r="R258" t="s">
        <v>192</v>
      </c>
      <c r="S258">
        <v>13</v>
      </c>
      <c r="T258">
        <v>3400</v>
      </c>
      <c r="U258">
        <v>340</v>
      </c>
      <c r="V258">
        <v>3060</v>
      </c>
      <c r="W258">
        <v>2400</v>
      </c>
      <c r="X258">
        <v>660</v>
      </c>
      <c r="Y258" s="8">
        <v>0.21568627450980393</v>
      </c>
      <c r="Z258" t="s">
        <v>2996</v>
      </c>
      <c r="AA258" t="str">
        <f>IF(AND(SalesCleanTable[[#This Row],[Discount %]]&gt;0, SalesCleanTable[[#This Row],[Profit]]&lt;0), "Discount loss", "Safe")</f>
        <v>Safe</v>
      </c>
      <c r="AB258" s="25">
        <f>(SalesCleanTable[[#This Row],[Unit Price]] - SalesCleanTable[[#This Row],[Unit Cost]]) / SalesCleanTable[[#This Row],[Unit Price]]</f>
        <v>0.29411764705882354</v>
      </c>
      <c r="AC258" t="str">
        <f>IF(SalesCleanTable[[#This Row],[Discount %]] &gt; SalesCleanTable[[#This Row],[Max Allowed Discount]], "Discount loss", "Safe")</f>
        <v>Safe</v>
      </c>
      <c r="AD258" s="4">
        <f>SalesCleanTable[[#This Row],[Unit Price]] - SalesCleanTable[[#This Row],[Unit Cost]]</f>
        <v>1000</v>
      </c>
      <c r="AE258" s="41">
        <f>(SalesCleanTable[[#This Row],[Unit Price]] - SalesCleanTable[[#This Row],[Unit Cost]]) / SalesCleanTable[[#This Row],[Unit Price]]</f>
        <v>0.29411764705882354</v>
      </c>
    </row>
    <row r="259" spans="1:31">
      <c r="A259" t="s">
        <v>445</v>
      </c>
      <c r="B259" s="6">
        <v>45669</v>
      </c>
      <c r="C259" t="s">
        <v>103</v>
      </c>
      <c r="D259" t="s">
        <v>104</v>
      </c>
      <c r="E259" t="s">
        <v>92</v>
      </c>
      <c r="F259" t="s">
        <v>105</v>
      </c>
      <c r="G259" t="s">
        <v>106</v>
      </c>
      <c r="H259" t="s">
        <v>141</v>
      </c>
      <c r="I259" t="s">
        <v>142</v>
      </c>
      <c r="J259" t="s">
        <v>143</v>
      </c>
      <c r="K259" t="s">
        <v>144</v>
      </c>
      <c r="L259" t="s">
        <v>170</v>
      </c>
      <c r="M259" t="s">
        <v>167</v>
      </c>
      <c r="N259">
        <v>4</v>
      </c>
      <c r="O259" s="4">
        <v>1500</v>
      </c>
      <c r="P259" s="4">
        <v>2500</v>
      </c>
      <c r="Q259" s="7">
        <v>0</v>
      </c>
      <c r="R259" t="s">
        <v>181</v>
      </c>
      <c r="S259">
        <v>9</v>
      </c>
      <c r="T259">
        <v>10000</v>
      </c>
      <c r="U259">
        <v>0</v>
      </c>
      <c r="V259">
        <v>10000</v>
      </c>
      <c r="W259">
        <v>6000</v>
      </c>
      <c r="X259">
        <v>4000</v>
      </c>
      <c r="Y259" s="8">
        <v>0.4</v>
      </c>
      <c r="Z259" t="s">
        <v>2996</v>
      </c>
      <c r="AA259" t="str">
        <f>IF(AND(SalesCleanTable[[#This Row],[Discount %]]&gt;0, SalesCleanTable[[#This Row],[Profit]]&lt;0), "Discount loss", "Safe")</f>
        <v>Safe</v>
      </c>
      <c r="AB259" s="25">
        <f>(SalesCleanTable[[#This Row],[Unit Price]] - SalesCleanTable[[#This Row],[Unit Cost]]) / SalesCleanTable[[#This Row],[Unit Price]]</f>
        <v>0.4</v>
      </c>
      <c r="AC259" t="str">
        <f>IF(SalesCleanTable[[#This Row],[Discount %]] &gt; SalesCleanTable[[#This Row],[Max Allowed Discount]], "Discount loss", "Safe")</f>
        <v>Safe</v>
      </c>
      <c r="AD259" s="4">
        <f>SalesCleanTable[[#This Row],[Unit Price]] - SalesCleanTable[[#This Row],[Unit Cost]]</f>
        <v>1000</v>
      </c>
      <c r="AE259" s="41">
        <f>(SalesCleanTable[[#This Row],[Unit Price]] - SalesCleanTable[[#This Row],[Unit Cost]]) / SalesCleanTable[[#This Row],[Unit Price]]</f>
        <v>0.4</v>
      </c>
    </row>
    <row r="260" spans="1:31">
      <c r="A260" t="s">
        <v>446</v>
      </c>
      <c r="B260" s="6">
        <v>45944</v>
      </c>
      <c r="C260" t="s">
        <v>53</v>
      </c>
      <c r="D260" t="s">
        <v>54</v>
      </c>
      <c r="E260" t="s">
        <v>38</v>
      </c>
      <c r="F260" t="s">
        <v>55</v>
      </c>
      <c r="G260" t="s">
        <v>56</v>
      </c>
      <c r="H260" t="s">
        <v>139</v>
      </c>
      <c r="I260" t="s">
        <v>140</v>
      </c>
      <c r="J260" t="s">
        <v>137</v>
      </c>
      <c r="K260" t="s">
        <v>138</v>
      </c>
      <c r="L260" t="s">
        <v>166</v>
      </c>
      <c r="M260" t="s">
        <v>171</v>
      </c>
      <c r="N260">
        <v>5</v>
      </c>
      <c r="O260" s="4">
        <v>330</v>
      </c>
      <c r="P260" s="4">
        <v>550</v>
      </c>
      <c r="Q260" s="7">
        <v>0.1</v>
      </c>
      <c r="R260" t="s">
        <v>175</v>
      </c>
      <c r="S260">
        <v>1</v>
      </c>
      <c r="T260">
        <v>2750</v>
      </c>
      <c r="U260">
        <v>275</v>
      </c>
      <c r="V260">
        <v>2475</v>
      </c>
      <c r="W260">
        <v>1650</v>
      </c>
      <c r="X260">
        <v>825</v>
      </c>
      <c r="Y260" s="8">
        <v>0.33333333333333331</v>
      </c>
      <c r="Z260" t="s">
        <v>2996</v>
      </c>
      <c r="AA260" t="str">
        <f>IF(AND(SalesCleanTable[[#This Row],[Discount %]]&gt;0, SalesCleanTable[[#This Row],[Profit]]&lt;0), "Discount loss", "Safe")</f>
        <v>Safe</v>
      </c>
      <c r="AB260" s="25">
        <f>(SalesCleanTable[[#This Row],[Unit Price]] - SalesCleanTable[[#This Row],[Unit Cost]]) / SalesCleanTable[[#This Row],[Unit Price]]</f>
        <v>0.4</v>
      </c>
      <c r="AC260" t="str">
        <f>IF(SalesCleanTable[[#This Row],[Discount %]] &gt; SalesCleanTable[[#This Row],[Max Allowed Discount]], "Discount loss", "Safe")</f>
        <v>Safe</v>
      </c>
      <c r="AD260" s="4">
        <f>SalesCleanTable[[#This Row],[Unit Price]] - SalesCleanTable[[#This Row],[Unit Cost]]</f>
        <v>220</v>
      </c>
      <c r="AE260" s="41">
        <f>(SalesCleanTable[[#This Row],[Unit Price]] - SalesCleanTable[[#This Row],[Unit Cost]]) / SalesCleanTable[[#This Row],[Unit Price]]</f>
        <v>0.4</v>
      </c>
    </row>
    <row r="261" spans="1:31">
      <c r="A261" t="s">
        <v>447</v>
      </c>
      <c r="B261" s="6">
        <v>45759</v>
      </c>
      <c r="C261" t="s">
        <v>53</v>
      </c>
      <c r="D261" t="s">
        <v>54</v>
      </c>
      <c r="E261" t="s">
        <v>38</v>
      </c>
      <c r="F261" t="s">
        <v>55</v>
      </c>
      <c r="G261" t="s">
        <v>56</v>
      </c>
      <c r="H261" t="s">
        <v>135</v>
      </c>
      <c r="I261" t="s">
        <v>136</v>
      </c>
      <c r="J261" t="s">
        <v>137</v>
      </c>
      <c r="K261" t="s">
        <v>138</v>
      </c>
      <c r="L261" t="s">
        <v>166</v>
      </c>
      <c r="M261" t="s">
        <v>171</v>
      </c>
      <c r="N261">
        <v>1</v>
      </c>
      <c r="O261" s="4">
        <v>330</v>
      </c>
      <c r="P261" s="4">
        <v>550</v>
      </c>
      <c r="Q261" s="7">
        <v>0</v>
      </c>
      <c r="R261" t="s">
        <v>178</v>
      </c>
      <c r="S261">
        <v>10</v>
      </c>
      <c r="T261">
        <v>550</v>
      </c>
      <c r="U261">
        <v>0</v>
      </c>
      <c r="V261">
        <v>550</v>
      </c>
      <c r="W261">
        <v>330</v>
      </c>
      <c r="X261">
        <v>220</v>
      </c>
      <c r="Y261" s="8">
        <v>0.4</v>
      </c>
      <c r="Z261" t="s">
        <v>2996</v>
      </c>
      <c r="AA261" t="str">
        <f>IF(AND(SalesCleanTable[[#This Row],[Discount %]]&gt;0, SalesCleanTable[[#This Row],[Profit]]&lt;0), "Discount loss", "Safe")</f>
        <v>Safe</v>
      </c>
      <c r="AB261" s="25">
        <f>(SalesCleanTable[[#This Row],[Unit Price]] - SalesCleanTable[[#This Row],[Unit Cost]]) / SalesCleanTable[[#This Row],[Unit Price]]</f>
        <v>0.4</v>
      </c>
      <c r="AC261" t="str">
        <f>IF(SalesCleanTable[[#This Row],[Discount %]] &gt; SalesCleanTable[[#This Row],[Max Allowed Discount]], "Discount loss", "Safe")</f>
        <v>Safe</v>
      </c>
      <c r="AD261" s="4">
        <f>SalesCleanTable[[#This Row],[Unit Price]] - SalesCleanTable[[#This Row],[Unit Cost]]</f>
        <v>220</v>
      </c>
      <c r="AE261" s="41">
        <f>(SalesCleanTable[[#This Row],[Unit Price]] - SalesCleanTable[[#This Row],[Unit Cost]]) / SalesCleanTable[[#This Row],[Unit Price]]</f>
        <v>0.4</v>
      </c>
    </row>
    <row r="262" spans="1:31">
      <c r="A262" t="s">
        <v>448</v>
      </c>
      <c r="B262" s="6">
        <v>45932</v>
      </c>
      <c r="C262" t="s">
        <v>36</v>
      </c>
      <c r="D262" t="s">
        <v>37</v>
      </c>
      <c r="E262" t="s">
        <v>38</v>
      </c>
      <c r="F262" t="s">
        <v>39</v>
      </c>
      <c r="G262" t="s">
        <v>40</v>
      </c>
      <c r="H262" t="s">
        <v>135</v>
      </c>
      <c r="I262" t="s">
        <v>136</v>
      </c>
      <c r="J262" t="s">
        <v>137</v>
      </c>
      <c r="K262" t="s">
        <v>138</v>
      </c>
      <c r="L262" t="s">
        <v>183</v>
      </c>
      <c r="M262" t="s">
        <v>171</v>
      </c>
      <c r="N262">
        <v>2</v>
      </c>
      <c r="O262" s="4">
        <v>1650</v>
      </c>
      <c r="P262" s="4">
        <v>2200</v>
      </c>
      <c r="Q262" s="7">
        <v>0</v>
      </c>
      <c r="R262" t="s">
        <v>168</v>
      </c>
      <c r="S262">
        <v>6</v>
      </c>
      <c r="T262">
        <v>4400</v>
      </c>
      <c r="U262">
        <v>0</v>
      </c>
      <c r="V262">
        <v>4400</v>
      </c>
      <c r="W262">
        <v>3300</v>
      </c>
      <c r="X262">
        <v>1100</v>
      </c>
      <c r="Y262" s="8">
        <v>0.25</v>
      </c>
      <c r="Z262" t="s">
        <v>2995</v>
      </c>
      <c r="AA262" t="str">
        <f>IF(AND(SalesCleanTable[[#This Row],[Discount %]]&gt;0, SalesCleanTable[[#This Row],[Profit]]&lt;0), "Discount loss", "Safe")</f>
        <v>Safe</v>
      </c>
      <c r="AB262" s="25">
        <f>(SalesCleanTable[[#This Row],[Unit Price]] - SalesCleanTable[[#This Row],[Unit Cost]]) / SalesCleanTable[[#This Row],[Unit Price]]</f>
        <v>0.25</v>
      </c>
      <c r="AC262" t="str">
        <f>IF(SalesCleanTable[[#This Row],[Discount %]] &gt; SalesCleanTable[[#This Row],[Max Allowed Discount]], "Discount loss", "Safe")</f>
        <v>Safe</v>
      </c>
      <c r="AD262" s="4">
        <f>SalesCleanTable[[#This Row],[Unit Price]] - SalesCleanTable[[#This Row],[Unit Cost]]</f>
        <v>550</v>
      </c>
      <c r="AE262" s="41">
        <f>(SalesCleanTable[[#This Row],[Unit Price]] - SalesCleanTable[[#This Row],[Unit Cost]]) / SalesCleanTable[[#This Row],[Unit Price]]</f>
        <v>0.25</v>
      </c>
    </row>
    <row r="263" spans="1:31">
      <c r="A263" t="s">
        <v>449</v>
      </c>
      <c r="B263" s="6">
        <v>45970</v>
      </c>
      <c r="C263" t="s">
        <v>49</v>
      </c>
      <c r="D263" t="s">
        <v>50</v>
      </c>
      <c r="E263" t="s">
        <v>38</v>
      </c>
      <c r="F263" t="s">
        <v>51</v>
      </c>
      <c r="G263" t="s">
        <v>52</v>
      </c>
      <c r="H263" t="s">
        <v>128</v>
      </c>
      <c r="I263" t="s">
        <v>129</v>
      </c>
      <c r="J263" t="s">
        <v>130</v>
      </c>
      <c r="K263" t="s">
        <v>131</v>
      </c>
      <c r="L263" t="s">
        <v>166</v>
      </c>
      <c r="M263" t="s">
        <v>171</v>
      </c>
      <c r="N263">
        <v>2</v>
      </c>
      <c r="O263" s="4">
        <v>550</v>
      </c>
      <c r="P263" s="4">
        <v>850</v>
      </c>
      <c r="Q263" s="7">
        <v>0.05</v>
      </c>
      <c r="R263" t="s">
        <v>175</v>
      </c>
      <c r="S263">
        <v>10</v>
      </c>
      <c r="T263">
        <v>1700</v>
      </c>
      <c r="U263">
        <v>85</v>
      </c>
      <c r="V263">
        <v>1615</v>
      </c>
      <c r="W263">
        <v>1100</v>
      </c>
      <c r="X263">
        <v>515</v>
      </c>
      <c r="Y263" s="8">
        <v>0.31888544891640869</v>
      </c>
      <c r="Z263" t="s">
        <v>2996</v>
      </c>
      <c r="AA263" t="str">
        <f>IF(AND(SalesCleanTable[[#This Row],[Discount %]]&gt;0, SalesCleanTable[[#This Row],[Profit]]&lt;0), "Discount loss", "Safe")</f>
        <v>Safe</v>
      </c>
      <c r="AB263" s="25">
        <f>(SalesCleanTable[[#This Row],[Unit Price]] - SalesCleanTable[[#This Row],[Unit Cost]]) / SalesCleanTable[[#This Row],[Unit Price]]</f>
        <v>0.35294117647058826</v>
      </c>
      <c r="AC263" t="str">
        <f>IF(SalesCleanTable[[#This Row],[Discount %]] &gt; SalesCleanTable[[#This Row],[Max Allowed Discount]], "Discount loss", "Safe")</f>
        <v>Safe</v>
      </c>
      <c r="AD263" s="4">
        <f>SalesCleanTable[[#This Row],[Unit Price]] - SalesCleanTable[[#This Row],[Unit Cost]]</f>
        <v>300</v>
      </c>
      <c r="AE263" s="41">
        <f>(SalesCleanTable[[#This Row],[Unit Price]] - SalesCleanTable[[#This Row],[Unit Cost]]) / SalesCleanTable[[#This Row],[Unit Price]]</f>
        <v>0.35294117647058826</v>
      </c>
    </row>
    <row r="264" spans="1:31">
      <c r="A264" t="s">
        <v>450</v>
      </c>
      <c r="B264" s="6">
        <v>46002</v>
      </c>
      <c r="C264" t="s">
        <v>32</v>
      </c>
      <c r="D264" t="s">
        <v>33</v>
      </c>
      <c r="E264" t="s">
        <v>26</v>
      </c>
      <c r="F264" t="s">
        <v>34</v>
      </c>
      <c r="G264" t="s">
        <v>35</v>
      </c>
      <c r="H264" t="s">
        <v>128</v>
      </c>
      <c r="I264" t="s">
        <v>129</v>
      </c>
      <c r="J264" t="s">
        <v>130</v>
      </c>
      <c r="K264" t="s">
        <v>131</v>
      </c>
      <c r="L264" t="s">
        <v>183</v>
      </c>
      <c r="M264" t="s">
        <v>186</v>
      </c>
      <c r="N264">
        <v>2</v>
      </c>
      <c r="O264" s="4">
        <v>7800</v>
      </c>
      <c r="P264" s="4">
        <v>9800</v>
      </c>
      <c r="Q264" s="7">
        <v>0</v>
      </c>
      <c r="R264" t="s">
        <v>194</v>
      </c>
      <c r="S264">
        <v>10</v>
      </c>
      <c r="T264">
        <v>19600</v>
      </c>
      <c r="U264">
        <v>0</v>
      </c>
      <c r="V264">
        <v>19600</v>
      </c>
      <c r="W264">
        <v>15600</v>
      </c>
      <c r="X264">
        <v>4000</v>
      </c>
      <c r="Y264" s="8">
        <v>0.20408163265306123</v>
      </c>
      <c r="Z264" t="s">
        <v>2995</v>
      </c>
      <c r="AA264" t="str">
        <f>IF(AND(SalesCleanTable[[#This Row],[Discount %]]&gt;0, SalesCleanTable[[#This Row],[Profit]]&lt;0), "Discount loss", "Safe")</f>
        <v>Safe</v>
      </c>
      <c r="AB264" s="25">
        <f>(SalesCleanTable[[#This Row],[Unit Price]] - SalesCleanTable[[#This Row],[Unit Cost]]) / SalesCleanTable[[#This Row],[Unit Price]]</f>
        <v>0.20408163265306123</v>
      </c>
      <c r="AC264" t="str">
        <f>IF(SalesCleanTable[[#This Row],[Discount %]] &gt; SalesCleanTable[[#This Row],[Max Allowed Discount]], "Discount loss", "Safe")</f>
        <v>Safe</v>
      </c>
      <c r="AD264" s="4">
        <f>SalesCleanTable[[#This Row],[Unit Price]] - SalesCleanTable[[#This Row],[Unit Cost]]</f>
        <v>2000</v>
      </c>
      <c r="AE264" s="41">
        <f>(SalesCleanTable[[#This Row],[Unit Price]] - SalesCleanTable[[#This Row],[Unit Cost]]) / SalesCleanTable[[#This Row],[Unit Price]]</f>
        <v>0.20408163265306123</v>
      </c>
    </row>
    <row r="265" spans="1:31">
      <c r="A265" t="s">
        <v>451</v>
      </c>
      <c r="B265" s="6">
        <v>45854</v>
      </c>
      <c r="C265" t="s">
        <v>53</v>
      </c>
      <c r="D265" t="s">
        <v>54</v>
      </c>
      <c r="E265" t="s">
        <v>38</v>
      </c>
      <c r="F265" t="s">
        <v>55</v>
      </c>
      <c r="G265" t="s">
        <v>56</v>
      </c>
      <c r="H265" t="s">
        <v>139</v>
      </c>
      <c r="I265" t="s">
        <v>140</v>
      </c>
      <c r="J265" t="s">
        <v>137</v>
      </c>
      <c r="K265" t="s">
        <v>138</v>
      </c>
      <c r="L265" t="s">
        <v>170</v>
      </c>
      <c r="M265" t="s">
        <v>177</v>
      </c>
      <c r="N265">
        <v>3</v>
      </c>
      <c r="O265" s="4">
        <v>330</v>
      </c>
      <c r="P265" s="4">
        <v>550</v>
      </c>
      <c r="Q265" s="7">
        <v>0.15</v>
      </c>
      <c r="R265" t="s">
        <v>178</v>
      </c>
      <c r="S265">
        <v>8</v>
      </c>
      <c r="T265">
        <v>1650</v>
      </c>
      <c r="U265">
        <v>247.5</v>
      </c>
      <c r="V265">
        <v>1402.5</v>
      </c>
      <c r="W265">
        <v>990</v>
      </c>
      <c r="X265">
        <v>412.5</v>
      </c>
      <c r="Y265" s="8">
        <v>0.29411764705882354</v>
      </c>
      <c r="Z265" t="s">
        <v>2996</v>
      </c>
      <c r="AA265" t="str">
        <f>IF(AND(SalesCleanTable[[#This Row],[Discount %]]&gt;0, SalesCleanTable[[#This Row],[Profit]]&lt;0), "Discount loss", "Safe")</f>
        <v>Safe</v>
      </c>
      <c r="AB265" s="25">
        <f>(SalesCleanTable[[#This Row],[Unit Price]] - SalesCleanTable[[#This Row],[Unit Cost]]) / SalesCleanTable[[#This Row],[Unit Price]]</f>
        <v>0.4</v>
      </c>
      <c r="AC265" t="str">
        <f>IF(SalesCleanTable[[#This Row],[Discount %]] &gt; SalesCleanTable[[#This Row],[Max Allowed Discount]], "Discount loss", "Safe")</f>
        <v>Safe</v>
      </c>
      <c r="AD265" s="4">
        <f>SalesCleanTable[[#This Row],[Unit Price]] - SalesCleanTable[[#This Row],[Unit Cost]]</f>
        <v>220</v>
      </c>
      <c r="AE265" s="41">
        <f>(SalesCleanTable[[#This Row],[Unit Price]] - SalesCleanTable[[#This Row],[Unit Cost]]) / SalesCleanTable[[#This Row],[Unit Price]]</f>
        <v>0.4</v>
      </c>
    </row>
    <row r="266" spans="1:31">
      <c r="A266" t="s">
        <v>452</v>
      </c>
      <c r="B266" s="6">
        <v>45753</v>
      </c>
      <c r="C266" t="s">
        <v>45</v>
      </c>
      <c r="D266" t="s">
        <v>46</v>
      </c>
      <c r="E266" t="s">
        <v>38</v>
      </c>
      <c r="F266" t="s">
        <v>47</v>
      </c>
      <c r="G266" t="s">
        <v>48</v>
      </c>
      <c r="H266" t="s">
        <v>139</v>
      </c>
      <c r="I266" t="s">
        <v>140</v>
      </c>
      <c r="J266" t="s">
        <v>137</v>
      </c>
      <c r="K266" t="s">
        <v>138</v>
      </c>
      <c r="L266" t="s">
        <v>166</v>
      </c>
      <c r="M266" t="s">
        <v>177</v>
      </c>
      <c r="N266">
        <v>1</v>
      </c>
      <c r="O266" s="4">
        <v>230</v>
      </c>
      <c r="P266" s="4">
        <v>400</v>
      </c>
      <c r="Q266" s="7">
        <v>0.05</v>
      </c>
      <c r="R266" t="s">
        <v>175</v>
      </c>
      <c r="S266">
        <v>9</v>
      </c>
      <c r="T266">
        <v>400</v>
      </c>
      <c r="U266">
        <v>20</v>
      </c>
      <c r="V266">
        <v>380</v>
      </c>
      <c r="W266">
        <v>230</v>
      </c>
      <c r="X266">
        <v>150</v>
      </c>
      <c r="Y266" s="8">
        <v>0.39473684210526316</v>
      </c>
      <c r="Z266" t="s">
        <v>2995</v>
      </c>
      <c r="AA266" t="str">
        <f>IF(AND(SalesCleanTable[[#This Row],[Discount %]]&gt;0, SalesCleanTable[[#This Row],[Profit]]&lt;0), "Discount loss", "Safe")</f>
        <v>Safe</v>
      </c>
      <c r="AB266" s="25">
        <f>(SalesCleanTable[[#This Row],[Unit Price]] - SalesCleanTable[[#This Row],[Unit Cost]]) / SalesCleanTable[[#This Row],[Unit Price]]</f>
        <v>0.42499999999999999</v>
      </c>
      <c r="AC266" t="str">
        <f>IF(SalesCleanTable[[#This Row],[Discount %]] &gt; SalesCleanTable[[#This Row],[Max Allowed Discount]], "Discount loss", "Safe")</f>
        <v>Safe</v>
      </c>
      <c r="AD266" s="4">
        <f>SalesCleanTable[[#This Row],[Unit Price]] - SalesCleanTable[[#This Row],[Unit Cost]]</f>
        <v>170</v>
      </c>
      <c r="AE266" s="41">
        <f>(SalesCleanTable[[#This Row],[Unit Price]] - SalesCleanTable[[#This Row],[Unit Cost]]) / SalesCleanTable[[#This Row],[Unit Price]]</f>
        <v>0.42499999999999999</v>
      </c>
    </row>
    <row r="267" spans="1:31">
      <c r="A267" t="s">
        <v>453</v>
      </c>
      <c r="B267" s="6">
        <v>45911</v>
      </c>
      <c r="C267" t="s">
        <v>49</v>
      </c>
      <c r="D267" t="s">
        <v>50</v>
      </c>
      <c r="E267" t="s">
        <v>38</v>
      </c>
      <c r="F267" t="s">
        <v>51</v>
      </c>
      <c r="G267" t="s">
        <v>52</v>
      </c>
      <c r="H267" t="s">
        <v>139</v>
      </c>
      <c r="I267" t="s">
        <v>140</v>
      </c>
      <c r="J267" t="s">
        <v>137</v>
      </c>
      <c r="K267" t="s">
        <v>138</v>
      </c>
      <c r="L267" t="s">
        <v>166</v>
      </c>
      <c r="M267" t="s">
        <v>171</v>
      </c>
      <c r="N267">
        <v>4</v>
      </c>
      <c r="O267" s="4">
        <v>550</v>
      </c>
      <c r="P267" s="4">
        <v>850</v>
      </c>
      <c r="Q267" s="7">
        <v>0.05</v>
      </c>
      <c r="R267" t="s">
        <v>178</v>
      </c>
      <c r="S267">
        <v>5</v>
      </c>
      <c r="T267">
        <v>3400</v>
      </c>
      <c r="U267">
        <v>170</v>
      </c>
      <c r="V267">
        <v>3230</v>
      </c>
      <c r="W267">
        <v>2200</v>
      </c>
      <c r="X267">
        <v>1030</v>
      </c>
      <c r="Y267" s="8">
        <v>0.31888544891640869</v>
      </c>
      <c r="Z267" t="s">
        <v>2996</v>
      </c>
      <c r="AA267" t="str">
        <f>IF(AND(SalesCleanTable[[#This Row],[Discount %]]&gt;0, SalesCleanTable[[#This Row],[Profit]]&lt;0), "Discount loss", "Safe")</f>
        <v>Safe</v>
      </c>
      <c r="AB267" s="25">
        <f>(SalesCleanTable[[#This Row],[Unit Price]] - SalesCleanTable[[#This Row],[Unit Cost]]) / SalesCleanTable[[#This Row],[Unit Price]]</f>
        <v>0.35294117647058826</v>
      </c>
      <c r="AC267" t="str">
        <f>IF(SalesCleanTable[[#This Row],[Discount %]] &gt; SalesCleanTable[[#This Row],[Max Allowed Discount]], "Discount loss", "Safe")</f>
        <v>Safe</v>
      </c>
      <c r="AD267" s="4">
        <f>SalesCleanTable[[#This Row],[Unit Price]] - SalesCleanTable[[#This Row],[Unit Cost]]</f>
        <v>300</v>
      </c>
      <c r="AE267" s="41">
        <f>(SalesCleanTable[[#This Row],[Unit Price]] - SalesCleanTable[[#This Row],[Unit Cost]]) / SalesCleanTable[[#This Row],[Unit Price]]</f>
        <v>0.35294117647058826</v>
      </c>
    </row>
    <row r="268" spans="1:31">
      <c r="A268" t="s">
        <v>454</v>
      </c>
      <c r="B268" s="6">
        <v>45773</v>
      </c>
      <c r="C268" t="s">
        <v>57</v>
      </c>
      <c r="D268" t="s">
        <v>58</v>
      </c>
      <c r="E268" t="s">
        <v>59</v>
      </c>
      <c r="F268" t="s">
        <v>60</v>
      </c>
      <c r="G268" t="s">
        <v>61</v>
      </c>
      <c r="H268" t="s">
        <v>133</v>
      </c>
      <c r="I268" t="s">
        <v>134</v>
      </c>
      <c r="J268" t="s">
        <v>130</v>
      </c>
      <c r="K268" t="s">
        <v>131</v>
      </c>
      <c r="L268" t="s">
        <v>183</v>
      </c>
      <c r="M268" t="s">
        <v>171</v>
      </c>
      <c r="N268">
        <v>2</v>
      </c>
      <c r="O268" s="4">
        <v>2400</v>
      </c>
      <c r="P268" s="4">
        <v>3400</v>
      </c>
      <c r="Q268" s="7">
        <v>0.1</v>
      </c>
      <c r="R268" t="s">
        <v>192</v>
      </c>
      <c r="S268">
        <v>10</v>
      </c>
      <c r="T268">
        <v>6800</v>
      </c>
      <c r="U268">
        <v>680</v>
      </c>
      <c r="V268">
        <v>6120</v>
      </c>
      <c r="W268">
        <v>4800</v>
      </c>
      <c r="X268">
        <v>1320</v>
      </c>
      <c r="Y268" s="8">
        <v>0.21568627450980393</v>
      </c>
      <c r="Z268" t="s">
        <v>2996</v>
      </c>
      <c r="AA268" t="str">
        <f>IF(AND(SalesCleanTable[[#This Row],[Discount %]]&gt;0, SalesCleanTable[[#This Row],[Profit]]&lt;0), "Discount loss", "Safe")</f>
        <v>Safe</v>
      </c>
      <c r="AB268" s="25">
        <f>(SalesCleanTable[[#This Row],[Unit Price]] - SalesCleanTable[[#This Row],[Unit Cost]]) / SalesCleanTable[[#This Row],[Unit Price]]</f>
        <v>0.29411764705882354</v>
      </c>
      <c r="AC268" t="str">
        <f>IF(SalesCleanTable[[#This Row],[Discount %]] &gt; SalesCleanTable[[#This Row],[Max Allowed Discount]], "Discount loss", "Safe")</f>
        <v>Safe</v>
      </c>
      <c r="AD268" s="4">
        <f>SalesCleanTable[[#This Row],[Unit Price]] - SalesCleanTable[[#This Row],[Unit Cost]]</f>
        <v>1000</v>
      </c>
      <c r="AE268" s="41">
        <f>(SalesCleanTable[[#This Row],[Unit Price]] - SalesCleanTable[[#This Row],[Unit Cost]]) / SalesCleanTable[[#This Row],[Unit Price]]</f>
        <v>0.29411764705882354</v>
      </c>
    </row>
    <row r="269" spans="1:31">
      <c r="A269" t="s">
        <v>455</v>
      </c>
      <c r="B269" s="6">
        <v>45936</v>
      </c>
      <c r="C269" t="s">
        <v>99</v>
      </c>
      <c r="D269" t="s">
        <v>100</v>
      </c>
      <c r="E269" t="s">
        <v>92</v>
      </c>
      <c r="F269" t="s">
        <v>101</v>
      </c>
      <c r="G269" t="s">
        <v>102</v>
      </c>
      <c r="H269" t="s">
        <v>135</v>
      </c>
      <c r="I269" t="s">
        <v>136</v>
      </c>
      <c r="J269" t="s">
        <v>137</v>
      </c>
      <c r="K269" t="s">
        <v>138</v>
      </c>
      <c r="L269" t="s">
        <v>183</v>
      </c>
      <c r="M269" t="s">
        <v>171</v>
      </c>
      <c r="N269">
        <v>5</v>
      </c>
      <c r="O269" s="4">
        <v>12500</v>
      </c>
      <c r="P269" s="4">
        <v>18500</v>
      </c>
      <c r="Q269" s="7">
        <v>0</v>
      </c>
      <c r="R269" t="s">
        <v>217</v>
      </c>
      <c r="S269">
        <v>2</v>
      </c>
      <c r="T269">
        <v>92500</v>
      </c>
      <c r="U269">
        <v>0</v>
      </c>
      <c r="V269">
        <v>92500</v>
      </c>
      <c r="W269">
        <v>62500</v>
      </c>
      <c r="X269">
        <v>30000</v>
      </c>
      <c r="Y269" s="8">
        <v>0.32432432432432434</v>
      </c>
      <c r="Z269" t="s">
        <v>2995</v>
      </c>
      <c r="AA269" t="str">
        <f>IF(AND(SalesCleanTable[[#This Row],[Discount %]]&gt;0, SalesCleanTable[[#This Row],[Profit]]&lt;0), "Discount loss", "Safe")</f>
        <v>Safe</v>
      </c>
      <c r="AB269" s="25">
        <f>(SalesCleanTable[[#This Row],[Unit Price]] - SalesCleanTable[[#This Row],[Unit Cost]]) / SalesCleanTable[[#This Row],[Unit Price]]</f>
        <v>0.32432432432432434</v>
      </c>
      <c r="AC269" t="str">
        <f>IF(SalesCleanTable[[#This Row],[Discount %]] &gt; SalesCleanTable[[#This Row],[Max Allowed Discount]], "Discount loss", "Safe")</f>
        <v>Safe</v>
      </c>
      <c r="AD269" s="4">
        <f>SalesCleanTable[[#This Row],[Unit Price]] - SalesCleanTable[[#This Row],[Unit Cost]]</f>
        <v>6000</v>
      </c>
      <c r="AE269" s="41">
        <f>(SalesCleanTable[[#This Row],[Unit Price]] - SalesCleanTable[[#This Row],[Unit Cost]]) / SalesCleanTable[[#This Row],[Unit Price]]</f>
        <v>0.32432432432432434</v>
      </c>
    </row>
    <row r="270" spans="1:31">
      <c r="A270" t="s">
        <v>456</v>
      </c>
      <c r="B270" s="6">
        <v>45992</v>
      </c>
      <c r="C270" t="s">
        <v>82</v>
      </c>
      <c r="D270" t="s">
        <v>83</v>
      </c>
      <c r="E270" t="s">
        <v>75</v>
      </c>
      <c r="F270" t="s">
        <v>84</v>
      </c>
      <c r="G270" t="s">
        <v>85</v>
      </c>
      <c r="H270" t="s">
        <v>135</v>
      </c>
      <c r="I270" t="s">
        <v>136</v>
      </c>
      <c r="J270" t="s">
        <v>137</v>
      </c>
      <c r="K270" t="s">
        <v>138</v>
      </c>
      <c r="L270" t="s">
        <v>166</v>
      </c>
      <c r="M270" t="s">
        <v>171</v>
      </c>
      <c r="N270">
        <v>10</v>
      </c>
      <c r="O270" s="4">
        <v>600</v>
      </c>
      <c r="P270" s="4">
        <v>950</v>
      </c>
      <c r="Q270" s="7">
        <v>0.05</v>
      </c>
      <c r="R270" t="s">
        <v>208</v>
      </c>
      <c r="S270">
        <v>14</v>
      </c>
      <c r="T270">
        <v>9500</v>
      </c>
      <c r="U270">
        <v>475</v>
      </c>
      <c r="V270">
        <v>9025</v>
      </c>
      <c r="W270">
        <v>6000</v>
      </c>
      <c r="X270">
        <v>3025</v>
      </c>
      <c r="Y270" s="8">
        <v>0.33518005540166207</v>
      </c>
      <c r="Z270" t="s">
        <v>2996</v>
      </c>
      <c r="AA270" t="str">
        <f>IF(AND(SalesCleanTable[[#This Row],[Discount %]]&gt;0, SalesCleanTable[[#This Row],[Profit]]&lt;0), "Discount loss", "Safe")</f>
        <v>Safe</v>
      </c>
      <c r="AB270" s="25">
        <f>(SalesCleanTable[[#This Row],[Unit Price]] - SalesCleanTable[[#This Row],[Unit Cost]]) / SalesCleanTable[[#This Row],[Unit Price]]</f>
        <v>0.36842105263157893</v>
      </c>
      <c r="AC270" t="str">
        <f>IF(SalesCleanTable[[#This Row],[Discount %]] &gt; SalesCleanTable[[#This Row],[Max Allowed Discount]], "Discount loss", "Safe")</f>
        <v>Safe</v>
      </c>
      <c r="AD270" s="4">
        <f>SalesCleanTable[[#This Row],[Unit Price]] - SalesCleanTable[[#This Row],[Unit Cost]]</f>
        <v>350</v>
      </c>
      <c r="AE270" s="41">
        <f>(SalesCleanTable[[#This Row],[Unit Price]] - SalesCleanTable[[#This Row],[Unit Cost]]) / SalesCleanTable[[#This Row],[Unit Price]]</f>
        <v>0.36842105263157893</v>
      </c>
    </row>
    <row r="271" spans="1:31">
      <c r="A271" t="s">
        <v>457</v>
      </c>
      <c r="B271" s="6">
        <v>45779</v>
      </c>
      <c r="C271" t="s">
        <v>41</v>
      </c>
      <c r="D271" t="s">
        <v>42</v>
      </c>
      <c r="E271" t="s">
        <v>26</v>
      </c>
      <c r="F271" t="s">
        <v>43</v>
      </c>
      <c r="G271" t="s">
        <v>44</v>
      </c>
      <c r="H271" t="s">
        <v>145</v>
      </c>
      <c r="I271" t="s">
        <v>146</v>
      </c>
      <c r="J271" t="s">
        <v>147</v>
      </c>
      <c r="K271" t="s">
        <v>148</v>
      </c>
      <c r="L271" t="s">
        <v>183</v>
      </c>
      <c r="M271" t="s">
        <v>186</v>
      </c>
      <c r="N271">
        <v>4</v>
      </c>
      <c r="O271" s="4">
        <v>850</v>
      </c>
      <c r="P271" s="4">
        <v>1300</v>
      </c>
      <c r="Q271" s="7">
        <v>0.15</v>
      </c>
      <c r="R271" t="s">
        <v>173</v>
      </c>
      <c r="S271">
        <v>3</v>
      </c>
      <c r="T271">
        <v>5200</v>
      </c>
      <c r="U271">
        <v>780</v>
      </c>
      <c r="V271">
        <v>4420</v>
      </c>
      <c r="W271">
        <v>3400</v>
      </c>
      <c r="X271">
        <v>1020</v>
      </c>
      <c r="Y271" s="8">
        <v>0.23076923076923078</v>
      </c>
      <c r="Z271" t="s">
        <v>2995</v>
      </c>
      <c r="AA271" t="str">
        <f>IF(AND(SalesCleanTable[[#This Row],[Discount %]]&gt;0, SalesCleanTable[[#This Row],[Profit]]&lt;0), "Discount loss", "Safe")</f>
        <v>Safe</v>
      </c>
      <c r="AB271" s="25">
        <f>(SalesCleanTable[[#This Row],[Unit Price]] - SalesCleanTable[[#This Row],[Unit Cost]]) / SalesCleanTable[[#This Row],[Unit Price]]</f>
        <v>0.34615384615384615</v>
      </c>
      <c r="AC271" t="str">
        <f>IF(SalesCleanTable[[#This Row],[Discount %]] &gt; SalesCleanTable[[#This Row],[Max Allowed Discount]], "Discount loss", "Safe")</f>
        <v>Safe</v>
      </c>
      <c r="AD271" s="4">
        <f>SalesCleanTable[[#This Row],[Unit Price]] - SalesCleanTable[[#This Row],[Unit Cost]]</f>
        <v>450</v>
      </c>
      <c r="AE271" s="41">
        <f>(SalesCleanTable[[#This Row],[Unit Price]] - SalesCleanTable[[#This Row],[Unit Cost]]) / SalesCleanTable[[#This Row],[Unit Price]]</f>
        <v>0.34615384615384615</v>
      </c>
    </row>
    <row r="272" spans="1:31">
      <c r="A272" t="s">
        <v>458</v>
      </c>
      <c r="B272" s="6">
        <v>45763</v>
      </c>
      <c r="C272" t="s">
        <v>95</v>
      </c>
      <c r="D272" t="s">
        <v>96</v>
      </c>
      <c r="E272" t="s">
        <v>92</v>
      </c>
      <c r="F272" t="s">
        <v>97</v>
      </c>
      <c r="G272" t="s">
        <v>98</v>
      </c>
      <c r="H272" t="s">
        <v>139</v>
      </c>
      <c r="I272" t="s">
        <v>140</v>
      </c>
      <c r="J272" t="s">
        <v>137</v>
      </c>
      <c r="K272" t="s">
        <v>138</v>
      </c>
      <c r="L272" t="s">
        <v>166</v>
      </c>
      <c r="M272" t="s">
        <v>171</v>
      </c>
      <c r="N272">
        <v>3</v>
      </c>
      <c r="O272" s="4">
        <v>18000</v>
      </c>
      <c r="P272" s="4">
        <v>24500</v>
      </c>
      <c r="Q272" s="7">
        <v>0.1</v>
      </c>
      <c r="R272" t="s">
        <v>217</v>
      </c>
      <c r="S272">
        <v>5</v>
      </c>
      <c r="T272">
        <v>73500</v>
      </c>
      <c r="U272">
        <v>7350</v>
      </c>
      <c r="V272">
        <v>66150</v>
      </c>
      <c r="W272">
        <v>54000</v>
      </c>
      <c r="X272">
        <v>12150</v>
      </c>
      <c r="Y272" s="8">
        <v>0.18367346938775511</v>
      </c>
      <c r="Z272" t="s">
        <v>2995</v>
      </c>
      <c r="AA272" t="str">
        <f>IF(AND(SalesCleanTable[[#This Row],[Discount %]]&gt;0, SalesCleanTable[[#This Row],[Profit]]&lt;0), "Discount loss", "Safe")</f>
        <v>Safe</v>
      </c>
      <c r="AB272" s="25">
        <f>(SalesCleanTable[[#This Row],[Unit Price]] - SalesCleanTable[[#This Row],[Unit Cost]]) / SalesCleanTable[[#This Row],[Unit Price]]</f>
        <v>0.26530612244897961</v>
      </c>
      <c r="AC272" t="str">
        <f>IF(SalesCleanTable[[#This Row],[Discount %]] &gt; SalesCleanTable[[#This Row],[Max Allowed Discount]], "Discount loss", "Safe")</f>
        <v>Safe</v>
      </c>
      <c r="AD272" s="4">
        <f>SalesCleanTable[[#This Row],[Unit Price]] - SalesCleanTable[[#This Row],[Unit Cost]]</f>
        <v>6500</v>
      </c>
      <c r="AE272" s="41">
        <f>(SalesCleanTable[[#This Row],[Unit Price]] - SalesCleanTable[[#This Row],[Unit Cost]]) / SalesCleanTable[[#This Row],[Unit Price]]</f>
        <v>0.26530612244897961</v>
      </c>
    </row>
    <row r="273" spans="1:31">
      <c r="A273" t="s">
        <v>459</v>
      </c>
      <c r="B273" s="6">
        <v>45921</v>
      </c>
      <c r="C273" t="s">
        <v>116</v>
      </c>
      <c r="D273" t="s">
        <v>117</v>
      </c>
      <c r="E273" t="s">
        <v>109</v>
      </c>
      <c r="F273" t="s">
        <v>118</v>
      </c>
      <c r="G273" t="s">
        <v>119</v>
      </c>
      <c r="H273" t="s">
        <v>141</v>
      </c>
      <c r="I273" t="s">
        <v>142</v>
      </c>
      <c r="J273" t="s">
        <v>143</v>
      </c>
      <c r="K273" t="s">
        <v>144</v>
      </c>
      <c r="L273" t="s">
        <v>183</v>
      </c>
      <c r="M273" t="s">
        <v>171</v>
      </c>
      <c r="N273">
        <v>1</v>
      </c>
      <c r="O273" s="4">
        <v>2800</v>
      </c>
      <c r="P273" s="4">
        <v>4200</v>
      </c>
      <c r="Q273" s="7">
        <v>0.2</v>
      </c>
      <c r="R273" t="s">
        <v>220</v>
      </c>
      <c r="S273">
        <v>14</v>
      </c>
      <c r="T273">
        <v>4200</v>
      </c>
      <c r="U273">
        <v>840</v>
      </c>
      <c r="V273">
        <v>3360</v>
      </c>
      <c r="W273">
        <v>2800</v>
      </c>
      <c r="X273">
        <v>560</v>
      </c>
      <c r="Y273" s="8">
        <v>0.16666666666666666</v>
      </c>
      <c r="Z273" t="s">
        <v>2995</v>
      </c>
      <c r="AA273" t="str">
        <f>IF(AND(SalesCleanTable[[#This Row],[Discount %]]&gt;0, SalesCleanTable[[#This Row],[Profit]]&lt;0), "Discount loss", "Safe")</f>
        <v>Safe</v>
      </c>
      <c r="AB273" s="25">
        <f>(SalesCleanTable[[#This Row],[Unit Price]] - SalesCleanTable[[#This Row],[Unit Cost]]) / SalesCleanTable[[#This Row],[Unit Price]]</f>
        <v>0.33333333333333331</v>
      </c>
      <c r="AC273" t="str">
        <f>IF(SalesCleanTable[[#This Row],[Discount %]] &gt; SalesCleanTable[[#This Row],[Max Allowed Discount]], "Discount loss", "Safe")</f>
        <v>Safe</v>
      </c>
      <c r="AD273" s="4">
        <f>SalesCleanTable[[#This Row],[Unit Price]] - SalesCleanTable[[#This Row],[Unit Cost]]</f>
        <v>1400</v>
      </c>
      <c r="AE273" s="41">
        <f>(SalesCleanTable[[#This Row],[Unit Price]] - SalesCleanTable[[#This Row],[Unit Cost]]) / SalesCleanTable[[#This Row],[Unit Price]]</f>
        <v>0.33333333333333331</v>
      </c>
    </row>
    <row r="274" spans="1:31">
      <c r="A274" t="s">
        <v>460</v>
      </c>
      <c r="B274" s="6">
        <v>46017</v>
      </c>
      <c r="C274" t="s">
        <v>103</v>
      </c>
      <c r="D274" t="s">
        <v>104</v>
      </c>
      <c r="E274" t="s">
        <v>92</v>
      </c>
      <c r="F274" t="s">
        <v>105</v>
      </c>
      <c r="G274" t="s">
        <v>106</v>
      </c>
      <c r="H274" t="s">
        <v>135</v>
      </c>
      <c r="I274" t="s">
        <v>136</v>
      </c>
      <c r="J274" t="s">
        <v>137</v>
      </c>
      <c r="K274" t="s">
        <v>138</v>
      </c>
      <c r="L274" t="s">
        <v>183</v>
      </c>
      <c r="M274" t="s">
        <v>171</v>
      </c>
      <c r="N274">
        <v>4</v>
      </c>
      <c r="O274" s="4">
        <v>1500</v>
      </c>
      <c r="P274" s="4">
        <v>2500</v>
      </c>
      <c r="Q274" s="7">
        <v>0.15</v>
      </c>
      <c r="R274" t="s">
        <v>217</v>
      </c>
      <c r="S274">
        <v>3</v>
      </c>
      <c r="T274">
        <v>10000</v>
      </c>
      <c r="U274">
        <v>1500</v>
      </c>
      <c r="V274">
        <v>8500</v>
      </c>
      <c r="W274">
        <v>6000</v>
      </c>
      <c r="X274">
        <v>2500</v>
      </c>
      <c r="Y274" s="8">
        <v>0.29411764705882354</v>
      </c>
      <c r="Z274" t="s">
        <v>2996</v>
      </c>
      <c r="AA274" t="str">
        <f>IF(AND(SalesCleanTable[[#This Row],[Discount %]]&gt;0, SalesCleanTable[[#This Row],[Profit]]&lt;0), "Discount loss", "Safe")</f>
        <v>Safe</v>
      </c>
      <c r="AB274" s="25">
        <f>(SalesCleanTable[[#This Row],[Unit Price]] - SalesCleanTable[[#This Row],[Unit Cost]]) / SalesCleanTable[[#This Row],[Unit Price]]</f>
        <v>0.4</v>
      </c>
      <c r="AC274" t="str">
        <f>IF(SalesCleanTable[[#This Row],[Discount %]] &gt; SalesCleanTable[[#This Row],[Max Allowed Discount]], "Discount loss", "Safe")</f>
        <v>Safe</v>
      </c>
      <c r="AD274" s="4">
        <f>SalesCleanTable[[#This Row],[Unit Price]] - SalesCleanTable[[#This Row],[Unit Cost]]</f>
        <v>1000</v>
      </c>
      <c r="AE274" s="41">
        <f>(SalesCleanTable[[#This Row],[Unit Price]] - SalesCleanTable[[#This Row],[Unit Cost]]) / SalesCleanTable[[#This Row],[Unit Price]]</f>
        <v>0.4</v>
      </c>
    </row>
    <row r="275" spans="1:31">
      <c r="A275" t="s">
        <v>461</v>
      </c>
      <c r="B275" s="6">
        <v>45795</v>
      </c>
      <c r="C275" t="s">
        <v>73</v>
      </c>
      <c r="D275" t="s">
        <v>74</v>
      </c>
      <c r="E275" t="s">
        <v>75</v>
      </c>
      <c r="F275" t="s">
        <v>76</v>
      </c>
      <c r="G275" t="s">
        <v>77</v>
      </c>
      <c r="H275" t="s">
        <v>135</v>
      </c>
      <c r="I275" t="s">
        <v>136</v>
      </c>
      <c r="J275" t="s">
        <v>137</v>
      </c>
      <c r="K275" t="s">
        <v>138</v>
      </c>
      <c r="L275" t="s">
        <v>183</v>
      </c>
      <c r="M275" t="s">
        <v>186</v>
      </c>
      <c r="N275">
        <v>1</v>
      </c>
      <c r="O275" s="4">
        <v>3500</v>
      </c>
      <c r="P275" s="4">
        <v>5200</v>
      </c>
      <c r="Q275" s="7">
        <v>0.15</v>
      </c>
      <c r="R275" t="s">
        <v>204</v>
      </c>
      <c r="S275">
        <v>5</v>
      </c>
      <c r="T275">
        <v>5200</v>
      </c>
      <c r="U275">
        <v>780</v>
      </c>
      <c r="V275">
        <v>4420</v>
      </c>
      <c r="W275">
        <v>3500</v>
      </c>
      <c r="X275">
        <v>920</v>
      </c>
      <c r="Y275" s="8">
        <v>0.20814479638009051</v>
      </c>
      <c r="Z275" t="s">
        <v>2996</v>
      </c>
      <c r="AA275" t="str">
        <f>IF(AND(SalesCleanTable[[#This Row],[Discount %]]&gt;0, SalesCleanTable[[#This Row],[Profit]]&lt;0), "Discount loss", "Safe")</f>
        <v>Safe</v>
      </c>
      <c r="AB275" s="25">
        <f>(SalesCleanTable[[#This Row],[Unit Price]] - SalesCleanTable[[#This Row],[Unit Cost]]) / SalesCleanTable[[#This Row],[Unit Price]]</f>
        <v>0.32692307692307693</v>
      </c>
      <c r="AC275" t="str">
        <f>IF(SalesCleanTable[[#This Row],[Discount %]] &gt; SalesCleanTable[[#This Row],[Max Allowed Discount]], "Discount loss", "Safe")</f>
        <v>Safe</v>
      </c>
      <c r="AD275" s="4">
        <f>SalesCleanTable[[#This Row],[Unit Price]] - SalesCleanTable[[#This Row],[Unit Cost]]</f>
        <v>1700</v>
      </c>
      <c r="AE275" s="41">
        <f>(SalesCleanTable[[#This Row],[Unit Price]] - SalesCleanTable[[#This Row],[Unit Cost]]) / SalesCleanTable[[#This Row],[Unit Price]]</f>
        <v>0.32692307692307693</v>
      </c>
    </row>
    <row r="276" spans="1:31">
      <c r="A276" t="s">
        <v>462</v>
      </c>
      <c r="B276" s="6">
        <v>45846</v>
      </c>
      <c r="C276" t="s">
        <v>53</v>
      </c>
      <c r="D276" t="s">
        <v>54</v>
      </c>
      <c r="E276" t="s">
        <v>38</v>
      </c>
      <c r="F276" t="s">
        <v>55</v>
      </c>
      <c r="G276" t="s">
        <v>56</v>
      </c>
      <c r="H276" t="s">
        <v>139</v>
      </c>
      <c r="I276" t="s">
        <v>140</v>
      </c>
      <c r="J276" t="s">
        <v>137</v>
      </c>
      <c r="K276" t="s">
        <v>138</v>
      </c>
      <c r="L276" t="s">
        <v>183</v>
      </c>
      <c r="M276" t="s">
        <v>177</v>
      </c>
      <c r="N276">
        <v>3</v>
      </c>
      <c r="O276" s="4">
        <v>330</v>
      </c>
      <c r="P276" s="4">
        <v>550</v>
      </c>
      <c r="Q276" s="7">
        <v>0.15</v>
      </c>
      <c r="R276" t="s">
        <v>175</v>
      </c>
      <c r="S276">
        <v>11</v>
      </c>
      <c r="T276">
        <v>1650</v>
      </c>
      <c r="U276">
        <v>247.5</v>
      </c>
      <c r="V276">
        <v>1402.5</v>
      </c>
      <c r="W276">
        <v>990</v>
      </c>
      <c r="X276">
        <v>412.5</v>
      </c>
      <c r="Y276" s="8">
        <v>0.29411764705882354</v>
      </c>
      <c r="Z276" t="s">
        <v>2996</v>
      </c>
      <c r="AA276" t="str">
        <f>IF(AND(SalesCleanTable[[#This Row],[Discount %]]&gt;0, SalesCleanTable[[#This Row],[Profit]]&lt;0), "Discount loss", "Safe")</f>
        <v>Safe</v>
      </c>
      <c r="AB276" s="25">
        <f>(SalesCleanTable[[#This Row],[Unit Price]] - SalesCleanTable[[#This Row],[Unit Cost]]) / SalesCleanTable[[#This Row],[Unit Price]]</f>
        <v>0.4</v>
      </c>
      <c r="AC276" t="str">
        <f>IF(SalesCleanTable[[#This Row],[Discount %]] &gt; SalesCleanTable[[#This Row],[Max Allowed Discount]], "Discount loss", "Safe")</f>
        <v>Safe</v>
      </c>
      <c r="AD276" s="4">
        <f>SalesCleanTable[[#This Row],[Unit Price]] - SalesCleanTable[[#This Row],[Unit Cost]]</f>
        <v>220</v>
      </c>
      <c r="AE276" s="41">
        <f>(SalesCleanTable[[#This Row],[Unit Price]] - SalesCleanTable[[#This Row],[Unit Cost]]) / SalesCleanTable[[#This Row],[Unit Price]]</f>
        <v>0.4</v>
      </c>
    </row>
    <row r="277" spans="1:31">
      <c r="A277" t="s">
        <v>463</v>
      </c>
      <c r="B277" s="6">
        <v>45841</v>
      </c>
      <c r="C277" t="s">
        <v>103</v>
      </c>
      <c r="D277" t="s">
        <v>104</v>
      </c>
      <c r="E277" t="s">
        <v>92</v>
      </c>
      <c r="F277" t="s">
        <v>105</v>
      </c>
      <c r="G277" t="s">
        <v>106</v>
      </c>
      <c r="H277" t="s">
        <v>145</v>
      </c>
      <c r="I277" t="s">
        <v>146</v>
      </c>
      <c r="J277" t="s">
        <v>147</v>
      </c>
      <c r="K277" t="s">
        <v>148</v>
      </c>
      <c r="L277" t="s">
        <v>183</v>
      </c>
      <c r="M277" t="s">
        <v>186</v>
      </c>
      <c r="N277">
        <v>2</v>
      </c>
      <c r="O277" s="4">
        <v>1500</v>
      </c>
      <c r="P277" s="4">
        <v>2500</v>
      </c>
      <c r="Q277" s="7">
        <v>0.2</v>
      </c>
      <c r="R277" t="s">
        <v>217</v>
      </c>
      <c r="S277">
        <v>14</v>
      </c>
      <c r="T277">
        <v>5000</v>
      </c>
      <c r="U277">
        <v>1000</v>
      </c>
      <c r="V277">
        <v>4000</v>
      </c>
      <c r="W277">
        <v>3000</v>
      </c>
      <c r="X277">
        <v>1000</v>
      </c>
      <c r="Y277" s="8">
        <v>0.25</v>
      </c>
      <c r="Z277" t="s">
        <v>2996</v>
      </c>
      <c r="AA277" t="str">
        <f>IF(AND(SalesCleanTable[[#This Row],[Discount %]]&gt;0, SalesCleanTable[[#This Row],[Profit]]&lt;0), "Discount loss", "Safe")</f>
        <v>Safe</v>
      </c>
      <c r="AB277" s="25">
        <f>(SalesCleanTable[[#This Row],[Unit Price]] - SalesCleanTable[[#This Row],[Unit Cost]]) / SalesCleanTable[[#This Row],[Unit Price]]</f>
        <v>0.4</v>
      </c>
      <c r="AC277" t="str">
        <f>IF(SalesCleanTable[[#This Row],[Discount %]] &gt; SalesCleanTable[[#This Row],[Max Allowed Discount]], "Discount loss", "Safe")</f>
        <v>Safe</v>
      </c>
      <c r="AD277" s="4">
        <f>SalesCleanTable[[#This Row],[Unit Price]] - SalesCleanTable[[#This Row],[Unit Cost]]</f>
        <v>1000</v>
      </c>
      <c r="AE277" s="41">
        <f>(SalesCleanTable[[#This Row],[Unit Price]] - SalesCleanTable[[#This Row],[Unit Cost]]) / SalesCleanTable[[#This Row],[Unit Price]]</f>
        <v>0.4</v>
      </c>
    </row>
    <row r="278" spans="1:31">
      <c r="A278" t="s">
        <v>464</v>
      </c>
      <c r="B278" s="6">
        <v>45938</v>
      </c>
      <c r="C278" t="s">
        <v>66</v>
      </c>
      <c r="D278" t="s">
        <v>67</v>
      </c>
      <c r="E278" t="s">
        <v>59</v>
      </c>
      <c r="F278" t="s">
        <v>60</v>
      </c>
      <c r="G278" t="s">
        <v>68</v>
      </c>
      <c r="H278" t="s">
        <v>139</v>
      </c>
      <c r="I278" t="s">
        <v>140</v>
      </c>
      <c r="J278" t="s">
        <v>137</v>
      </c>
      <c r="K278" t="s">
        <v>138</v>
      </c>
      <c r="L278" t="s">
        <v>183</v>
      </c>
      <c r="M278" t="s">
        <v>177</v>
      </c>
      <c r="N278">
        <v>3</v>
      </c>
      <c r="O278" s="4">
        <v>2800</v>
      </c>
      <c r="P278" s="4">
        <v>3900</v>
      </c>
      <c r="Q278" s="7">
        <v>0.05</v>
      </c>
      <c r="R278" t="s">
        <v>192</v>
      </c>
      <c r="S278">
        <v>11</v>
      </c>
      <c r="T278">
        <v>11700</v>
      </c>
      <c r="U278">
        <v>585</v>
      </c>
      <c r="V278">
        <v>11115</v>
      </c>
      <c r="W278">
        <v>8400</v>
      </c>
      <c r="X278">
        <v>2715</v>
      </c>
      <c r="Y278" s="8">
        <v>0.24426450742240216</v>
      </c>
      <c r="Z278" t="s">
        <v>2996</v>
      </c>
      <c r="AA278" t="str">
        <f>IF(AND(SalesCleanTable[[#This Row],[Discount %]]&gt;0, SalesCleanTable[[#This Row],[Profit]]&lt;0), "Discount loss", "Safe")</f>
        <v>Safe</v>
      </c>
      <c r="AB278" s="25">
        <f>(SalesCleanTable[[#This Row],[Unit Price]] - SalesCleanTable[[#This Row],[Unit Cost]]) / SalesCleanTable[[#This Row],[Unit Price]]</f>
        <v>0.28205128205128205</v>
      </c>
      <c r="AC278" t="str">
        <f>IF(SalesCleanTable[[#This Row],[Discount %]] &gt; SalesCleanTable[[#This Row],[Max Allowed Discount]], "Discount loss", "Safe")</f>
        <v>Safe</v>
      </c>
      <c r="AD278" s="4">
        <f>SalesCleanTable[[#This Row],[Unit Price]] - SalesCleanTable[[#This Row],[Unit Cost]]</f>
        <v>1100</v>
      </c>
      <c r="AE278" s="41">
        <f>(SalesCleanTable[[#This Row],[Unit Price]] - SalesCleanTable[[#This Row],[Unit Cost]]) / SalesCleanTable[[#This Row],[Unit Price]]</f>
        <v>0.28205128205128205</v>
      </c>
    </row>
    <row r="279" spans="1:31">
      <c r="A279" t="s">
        <v>465</v>
      </c>
      <c r="B279" s="6">
        <v>45893</v>
      </c>
      <c r="C279" t="s">
        <v>24</v>
      </c>
      <c r="D279" t="s">
        <v>25</v>
      </c>
      <c r="E279" t="s">
        <v>26</v>
      </c>
      <c r="F279" t="s">
        <v>27</v>
      </c>
      <c r="G279" t="s">
        <v>28</v>
      </c>
      <c r="H279" t="s">
        <v>153</v>
      </c>
      <c r="I279" t="s">
        <v>154</v>
      </c>
      <c r="J279" t="s">
        <v>155</v>
      </c>
      <c r="K279" t="s">
        <v>131</v>
      </c>
      <c r="L279" t="s">
        <v>170</v>
      </c>
      <c r="M279" t="s">
        <v>186</v>
      </c>
      <c r="N279">
        <v>1</v>
      </c>
      <c r="O279" s="4">
        <v>14500</v>
      </c>
      <c r="P279" s="4">
        <v>17500</v>
      </c>
      <c r="Q279" s="7">
        <v>0.05</v>
      </c>
      <c r="R279" t="s">
        <v>173</v>
      </c>
      <c r="S279">
        <v>3</v>
      </c>
      <c r="T279">
        <v>17500</v>
      </c>
      <c r="U279">
        <v>875</v>
      </c>
      <c r="V279">
        <v>16625</v>
      </c>
      <c r="W279">
        <v>14500</v>
      </c>
      <c r="X279">
        <v>2125</v>
      </c>
      <c r="Y279" s="8">
        <v>0.12781954887218044</v>
      </c>
      <c r="Z279" t="s">
        <v>2995</v>
      </c>
      <c r="AA279" t="str">
        <f>IF(AND(SalesCleanTable[[#This Row],[Discount %]]&gt;0, SalesCleanTable[[#This Row],[Profit]]&lt;0), "Discount loss", "Safe")</f>
        <v>Safe</v>
      </c>
      <c r="AB279" s="25">
        <f>(SalesCleanTable[[#This Row],[Unit Price]] - SalesCleanTable[[#This Row],[Unit Cost]]) / SalesCleanTable[[#This Row],[Unit Price]]</f>
        <v>0.17142857142857143</v>
      </c>
      <c r="AC279" t="str">
        <f>IF(SalesCleanTable[[#This Row],[Discount %]] &gt; SalesCleanTable[[#This Row],[Max Allowed Discount]], "Discount loss", "Safe")</f>
        <v>Safe</v>
      </c>
      <c r="AD279" s="4">
        <f>SalesCleanTable[[#This Row],[Unit Price]] - SalesCleanTable[[#This Row],[Unit Cost]]</f>
        <v>3000</v>
      </c>
      <c r="AE279" s="41">
        <f>(SalesCleanTable[[#This Row],[Unit Price]] - SalesCleanTable[[#This Row],[Unit Cost]]) / SalesCleanTable[[#This Row],[Unit Price]]</f>
        <v>0.17142857142857143</v>
      </c>
    </row>
    <row r="280" spans="1:31">
      <c r="A280" t="s">
        <v>466</v>
      </c>
      <c r="B280" s="6">
        <v>45812</v>
      </c>
      <c r="C280" t="s">
        <v>36</v>
      </c>
      <c r="D280" t="s">
        <v>37</v>
      </c>
      <c r="E280" t="s">
        <v>38</v>
      </c>
      <c r="F280" t="s">
        <v>39</v>
      </c>
      <c r="G280" t="s">
        <v>40</v>
      </c>
      <c r="H280" t="s">
        <v>153</v>
      </c>
      <c r="I280" t="s">
        <v>154</v>
      </c>
      <c r="J280" t="s">
        <v>155</v>
      </c>
      <c r="K280" t="s">
        <v>131</v>
      </c>
      <c r="L280" t="s">
        <v>166</v>
      </c>
      <c r="M280" t="s">
        <v>186</v>
      </c>
      <c r="N280">
        <v>2</v>
      </c>
      <c r="O280" s="4">
        <v>1650</v>
      </c>
      <c r="P280" s="4">
        <v>2200</v>
      </c>
      <c r="Q280" s="7">
        <v>0.1</v>
      </c>
      <c r="R280" t="s">
        <v>168</v>
      </c>
      <c r="S280">
        <v>3</v>
      </c>
      <c r="T280">
        <v>4400</v>
      </c>
      <c r="U280">
        <v>440</v>
      </c>
      <c r="V280">
        <v>3960</v>
      </c>
      <c r="W280">
        <v>3300</v>
      </c>
      <c r="X280">
        <v>660</v>
      </c>
      <c r="Y280" s="8">
        <v>0.16666666666666666</v>
      </c>
      <c r="Z280" t="s">
        <v>2995</v>
      </c>
      <c r="AA280" t="str">
        <f>IF(AND(SalesCleanTable[[#This Row],[Discount %]]&gt;0, SalesCleanTable[[#This Row],[Profit]]&lt;0), "Discount loss", "Safe")</f>
        <v>Safe</v>
      </c>
      <c r="AB280" s="25">
        <f>(SalesCleanTable[[#This Row],[Unit Price]] - SalesCleanTable[[#This Row],[Unit Cost]]) / SalesCleanTable[[#This Row],[Unit Price]]</f>
        <v>0.25</v>
      </c>
      <c r="AC280" t="str">
        <f>IF(SalesCleanTable[[#This Row],[Discount %]] &gt; SalesCleanTable[[#This Row],[Max Allowed Discount]], "Discount loss", "Safe")</f>
        <v>Safe</v>
      </c>
      <c r="AD280" s="4">
        <f>SalesCleanTable[[#This Row],[Unit Price]] - SalesCleanTable[[#This Row],[Unit Cost]]</f>
        <v>550</v>
      </c>
      <c r="AE280" s="41">
        <f>(SalesCleanTable[[#This Row],[Unit Price]] - SalesCleanTable[[#This Row],[Unit Cost]]) / SalesCleanTable[[#This Row],[Unit Price]]</f>
        <v>0.25</v>
      </c>
    </row>
    <row r="281" spans="1:31">
      <c r="A281" t="s">
        <v>467</v>
      </c>
      <c r="B281" s="6">
        <v>45978</v>
      </c>
      <c r="C281" t="s">
        <v>45</v>
      </c>
      <c r="D281" t="s">
        <v>46</v>
      </c>
      <c r="E281" t="s">
        <v>38</v>
      </c>
      <c r="F281" t="s">
        <v>47</v>
      </c>
      <c r="G281" t="s">
        <v>48</v>
      </c>
      <c r="H281" t="s">
        <v>145</v>
      </c>
      <c r="I281" t="s">
        <v>146</v>
      </c>
      <c r="J281" t="s">
        <v>147</v>
      </c>
      <c r="K281" t="s">
        <v>148</v>
      </c>
      <c r="L281" t="s">
        <v>183</v>
      </c>
      <c r="M281" t="s">
        <v>177</v>
      </c>
      <c r="N281">
        <v>2</v>
      </c>
      <c r="O281" s="4">
        <v>230</v>
      </c>
      <c r="P281" s="4">
        <v>400</v>
      </c>
      <c r="Q281" s="7">
        <v>0.1</v>
      </c>
      <c r="R281" t="s">
        <v>175</v>
      </c>
      <c r="S281">
        <v>2</v>
      </c>
      <c r="T281">
        <v>800</v>
      </c>
      <c r="U281">
        <v>80</v>
      </c>
      <c r="V281">
        <v>720</v>
      </c>
      <c r="W281">
        <v>460</v>
      </c>
      <c r="X281">
        <v>260</v>
      </c>
      <c r="Y281" s="8">
        <v>0.3611111111111111</v>
      </c>
      <c r="Z281" t="s">
        <v>2995</v>
      </c>
      <c r="AA281" t="str">
        <f>IF(AND(SalesCleanTable[[#This Row],[Discount %]]&gt;0, SalesCleanTable[[#This Row],[Profit]]&lt;0), "Discount loss", "Safe")</f>
        <v>Safe</v>
      </c>
      <c r="AB281" s="25">
        <f>(SalesCleanTable[[#This Row],[Unit Price]] - SalesCleanTable[[#This Row],[Unit Cost]]) / SalesCleanTable[[#This Row],[Unit Price]]</f>
        <v>0.42499999999999999</v>
      </c>
      <c r="AC281" t="str">
        <f>IF(SalesCleanTable[[#This Row],[Discount %]] &gt; SalesCleanTable[[#This Row],[Max Allowed Discount]], "Discount loss", "Safe")</f>
        <v>Safe</v>
      </c>
      <c r="AD281" s="4">
        <f>SalesCleanTable[[#This Row],[Unit Price]] - SalesCleanTable[[#This Row],[Unit Cost]]</f>
        <v>170</v>
      </c>
      <c r="AE281" s="41">
        <f>(SalesCleanTable[[#This Row],[Unit Price]] - SalesCleanTable[[#This Row],[Unit Cost]]) / SalesCleanTable[[#This Row],[Unit Price]]</f>
        <v>0.42499999999999999</v>
      </c>
    </row>
    <row r="282" spans="1:31">
      <c r="A282" t="s">
        <v>468</v>
      </c>
      <c r="B282" s="6">
        <v>45773</v>
      </c>
      <c r="C282" t="s">
        <v>57</v>
      </c>
      <c r="D282" t="s">
        <v>58</v>
      </c>
      <c r="E282" t="s">
        <v>59</v>
      </c>
      <c r="F282" t="s">
        <v>60</v>
      </c>
      <c r="G282" t="s">
        <v>61</v>
      </c>
      <c r="H282" t="s">
        <v>135</v>
      </c>
      <c r="I282" t="s">
        <v>136</v>
      </c>
      <c r="J282" t="s">
        <v>137</v>
      </c>
      <c r="K282" t="s">
        <v>138</v>
      </c>
      <c r="L282" t="s">
        <v>166</v>
      </c>
      <c r="M282" t="s">
        <v>171</v>
      </c>
      <c r="N282">
        <v>1</v>
      </c>
      <c r="O282" s="4">
        <v>2400</v>
      </c>
      <c r="P282" s="4">
        <v>3400</v>
      </c>
      <c r="Q282" s="7">
        <v>0.05</v>
      </c>
      <c r="R282" t="s">
        <v>173</v>
      </c>
      <c r="S282">
        <v>3</v>
      </c>
      <c r="T282">
        <v>3400</v>
      </c>
      <c r="U282">
        <v>170</v>
      </c>
      <c r="V282">
        <v>3230</v>
      </c>
      <c r="W282">
        <v>2400</v>
      </c>
      <c r="X282">
        <v>830</v>
      </c>
      <c r="Y282" s="8">
        <v>0.25696594427244585</v>
      </c>
      <c r="Z282" t="s">
        <v>2996</v>
      </c>
      <c r="AA282" t="str">
        <f>IF(AND(SalesCleanTable[[#This Row],[Discount %]]&gt;0, SalesCleanTable[[#This Row],[Profit]]&lt;0), "Discount loss", "Safe")</f>
        <v>Safe</v>
      </c>
      <c r="AB282" s="25">
        <f>(SalesCleanTable[[#This Row],[Unit Price]] - SalesCleanTable[[#This Row],[Unit Cost]]) / SalesCleanTable[[#This Row],[Unit Price]]</f>
        <v>0.29411764705882354</v>
      </c>
      <c r="AC282" t="str">
        <f>IF(SalesCleanTable[[#This Row],[Discount %]] &gt; SalesCleanTable[[#This Row],[Max Allowed Discount]], "Discount loss", "Safe")</f>
        <v>Safe</v>
      </c>
      <c r="AD282" s="4">
        <f>SalesCleanTable[[#This Row],[Unit Price]] - SalesCleanTable[[#This Row],[Unit Cost]]</f>
        <v>1000</v>
      </c>
      <c r="AE282" s="41">
        <f>(SalesCleanTable[[#This Row],[Unit Price]] - SalesCleanTable[[#This Row],[Unit Cost]]) / SalesCleanTable[[#This Row],[Unit Price]]</f>
        <v>0.29411764705882354</v>
      </c>
    </row>
    <row r="283" spans="1:31">
      <c r="A283" t="s">
        <v>469</v>
      </c>
      <c r="B283" s="6">
        <v>45775</v>
      </c>
      <c r="C283" t="s">
        <v>49</v>
      </c>
      <c r="D283" t="s">
        <v>50</v>
      </c>
      <c r="E283" t="s">
        <v>38</v>
      </c>
      <c r="F283" t="s">
        <v>51</v>
      </c>
      <c r="G283" t="s">
        <v>52</v>
      </c>
      <c r="H283" t="s">
        <v>145</v>
      </c>
      <c r="I283" t="s">
        <v>146</v>
      </c>
      <c r="J283" t="s">
        <v>147</v>
      </c>
      <c r="K283" t="s">
        <v>148</v>
      </c>
      <c r="L283" t="s">
        <v>183</v>
      </c>
      <c r="M283" t="s">
        <v>177</v>
      </c>
      <c r="N283">
        <v>1</v>
      </c>
      <c r="O283" s="4">
        <v>550</v>
      </c>
      <c r="P283" s="4">
        <v>850</v>
      </c>
      <c r="Q283" s="7">
        <v>0.05</v>
      </c>
      <c r="R283" t="s">
        <v>178</v>
      </c>
      <c r="S283">
        <v>11</v>
      </c>
      <c r="T283">
        <v>850</v>
      </c>
      <c r="U283">
        <v>42.5</v>
      </c>
      <c r="V283">
        <v>807.5</v>
      </c>
      <c r="W283">
        <v>550</v>
      </c>
      <c r="X283">
        <v>257.5</v>
      </c>
      <c r="Y283" s="8">
        <v>0.31888544891640869</v>
      </c>
      <c r="Z283" t="s">
        <v>2996</v>
      </c>
      <c r="AA283" t="str">
        <f>IF(AND(SalesCleanTable[[#This Row],[Discount %]]&gt;0, SalesCleanTable[[#This Row],[Profit]]&lt;0), "Discount loss", "Safe")</f>
        <v>Safe</v>
      </c>
      <c r="AB283" s="25">
        <f>(SalesCleanTable[[#This Row],[Unit Price]] - SalesCleanTable[[#This Row],[Unit Cost]]) / SalesCleanTable[[#This Row],[Unit Price]]</f>
        <v>0.35294117647058826</v>
      </c>
      <c r="AC283" t="str">
        <f>IF(SalesCleanTable[[#This Row],[Discount %]] &gt; SalesCleanTable[[#This Row],[Max Allowed Discount]], "Discount loss", "Safe")</f>
        <v>Safe</v>
      </c>
      <c r="AD283" s="4">
        <f>SalesCleanTable[[#This Row],[Unit Price]] - SalesCleanTable[[#This Row],[Unit Cost]]</f>
        <v>300</v>
      </c>
      <c r="AE283" s="41">
        <f>(SalesCleanTable[[#This Row],[Unit Price]] - SalesCleanTable[[#This Row],[Unit Cost]]) / SalesCleanTable[[#This Row],[Unit Price]]</f>
        <v>0.35294117647058826</v>
      </c>
    </row>
    <row r="284" spans="1:31">
      <c r="A284" t="s">
        <v>470</v>
      </c>
      <c r="B284" s="6">
        <v>45731</v>
      </c>
      <c r="C284" t="s">
        <v>29</v>
      </c>
      <c r="D284" t="s">
        <v>30</v>
      </c>
      <c r="E284" t="s">
        <v>26</v>
      </c>
      <c r="F284" t="s">
        <v>27</v>
      </c>
      <c r="G284" t="s">
        <v>31</v>
      </c>
      <c r="H284" t="s">
        <v>139</v>
      </c>
      <c r="I284" t="s">
        <v>140</v>
      </c>
      <c r="J284" t="s">
        <v>137</v>
      </c>
      <c r="K284" t="s">
        <v>138</v>
      </c>
      <c r="L284" t="s">
        <v>166</v>
      </c>
      <c r="M284" t="s">
        <v>167</v>
      </c>
      <c r="N284">
        <v>3</v>
      </c>
      <c r="O284" s="4">
        <v>6200</v>
      </c>
      <c r="P284" s="4">
        <v>7900</v>
      </c>
      <c r="Q284" s="7">
        <v>0</v>
      </c>
      <c r="R284" t="s">
        <v>173</v>
      </c>
      <c r="S284">
        <v>3</v>
      </c>
      <c r="T284">
        <v>23700</v>
      </c>
      <c r="U284">
        <v>0</v>
      </c>
      <c r="V284">
        <v>23700</v>
      </c>
      <c r="W284">
        <v>18600</v>
      </c>
      <c r="X284">
        <v>5100</v>
      </c>
      <c r="Y284" s="8">
        <v>0.21518987341772153</v>
      </c>
      <c r="Z284" t="s">
        <v>2996</v>
      </c>
      <c r="AA284" t="str">
        <f>IF(AND(SalesCleanTable[[#This Row],[Discount %]]&gt;0, SalesCleanTable[[#This Row],[Profit]]&lt;0), "Discount loss", "Safe")</f>
        <v>Safe</v>
      </c>
      <c r="AB284" s="25">
        <f>(SalesCleanTable[[#This Row],[Unit Price]] - SalesCleanTable[[#This Row],[Unit Cost]]) / SalesCleanTable[[#This Row],[Unit Price]]</f>
        <v>0.21518987341772153</v>
      </c>
      <c r="AC284" t="str">
        <f>IF(SalesCleanTable[[#This Row],[Discount %]] &gt; SalesCleanTable[[#This Row],[Max Allowed Discount]], "Discount loss", "Safe")</f>
        <v>Safe</v>
      </c>
      <c r="AD284" s="4">
        <f>SalesCleanTable[[#This Row],[Unit Price]] - SalesCleanTable[[#This Row],[Unit Cost]]</f>
        <v>1700</v>
      </c>
      <c r="AE284" s="41">
        <f>(SalesCleanTable[[#This Row],[Unit Price]] - SalesCleanTable[[#This Row],[Unit Cost]]) / SalesCleanTable[[#This Row],[Unit Price]]</f>
        <v>0.21518987341772153</v>
      </c>
    </row>
    <row r="285" spans="1:31">
      <c r="A285" t="s">
        <v>471</v>
      </c>
      <c r="B285" s="6">
        <v>45973</v>
      </c>
      <c r="C285" t="s">
        <v>78</v>
      </c>
      <c r="D285" t="s">
        <v>79</v>
      </c>
      <c r="E285" t="s">
        <v>75</v>
      </c>
      <c r="F285" t="s">
        <v>80</v>
      </c>
      <c r="G285" t="s">
        <v>81</v>
      </c>
      <c r="H285" t="s">
        <v>149</v>
      </c>
      <c r="I285" t="s">
        <v>150</v>
      </c>
      <c r="J285" t="s">
        <v>151</v>
      </c>
      <c r="K285" t="s">
        <v>152</v>
      </c>
      <c r="L285" t="s">
        <v>183</v>
      </c>
      <c r="M285" t="s">
        <v>171</v>
      </c>
      <c r="N285">
        <v>1</v>
      </c>
      <c r="O285" s="4">
        <v>1200</v>
      </c>
      <c r="P285" s="4">
        <v>1900</v>
      </c>
      <c r="Q285" s="7">
        <v>0</v>
      </c>
      <c r="R285" t="s">
        <v>208</v>
      </c>
      <c r="S285">
        <v>6</v>
      </c>
      <c r="T285">
        <v>1900</v>
      </c>
      <c r="U285">
        <v>0</v>
      </c>
      <c r="V285">
        <v>1900</v>
      </c>
      <c r="W285">
        <v>1200</v>
      </c>
      <c r="X285">
        <v>700</v>
      </c>
      <c r="Y285" s="8">
        <v>0.36842105263157893</v>
      </c>
      <c r="Z285" t="s">
        <v>2996</v>
      </c>
      <c r="AA285" t="str">
        <f>IF(AND(SalesCleanTable[[#This Row],[Discount %]]&gt;0, SalesCleanTable[[#This Row],[Profit]]&lt;0), "Discount loss", "Safe")</f>
        <v>Safe</v>
      </c>
      <c r="AB285" s="25">
        <f>(SalesCleanTable[[#This Row],[Unit Price]] - SalesCleanTable[[#This Row],[Unit Cost]]) / SalesCleanTable[[#This Row],[Unit Price]]</f>
        <v>0.36842105263157893</v>
      </c>
      <c r="AC285" t="str">
        <f>IF(SalesCleanTable[[#This Row],[Discount %]] &gt; SalesCleanTable[[#This Row],[Max Allowed Discount]], "Discount loss", "Safe")</f>
        <v>Safe</v>
      </c>
      <c r="AD285" s="4">
        <f>SalesCleanTable[[#This Row],[Unit Price]] - SalesCleanTable[[#This Row],[Unit Cost]]</f>
        <v>700</v>
      </c>
      <c r="AE285" s="41">
        <f>(SalesCleanTable[[#This Row],[Unit Price]] - SalesCleanTable[[#This Row],[Unit Cost]]) / SalesCleanTable[[#This Row],[Unit Price]]</f>
        <v>0.36842105263157893</v>
      </c>
    </row>
    <row r="286" spans="1:31">
      <c r="A286" t="s">
        <v>472</v>
      </c>
      <c r="B286" s="6">
        <v>45819</v>
      </c>
      <c r="C286" t="s">
        <v>95</v>
      </c>
      <c r="D286" t="s">
        <v>96</v>
      </c>
      <c r="E286" t="s">
        <v>92</v>
      </c>
      <c r="F286" t="s">
        <v>97</v>
      </c>
      <c r="G286" t="s">
        <v>98</v>
      </c>
      <c r="H286" t="s">
        <v>135</v>
      </c>
      <c r="I286" t="s">
        <v>136</v>
      </c>
      <c r="J286" t="s">
        <v>137</v>
      </c>
      <c r="K286" t="s">
        <v>138</v>
      </c>
      <c r="L286" t="s">
        <v>183</v>
      </c>
      <c r="M286" t="s">
        <v>171</v>
      </c>
      <c r="N286">
        <v>3</v>
      </c>
      <c r="O286" s="4">
        <v>18000</v>
      </c>
      <c r="P286" s="4">
        <v>24500</v>
      </c>
      <c r="Q286" s="7">
        <v>0</v>
      </c>
      <c r="R286" t="s">
        <v>217</v>
      </c>
      <c r="S286">
        <v>13</v>
      </c>
      <c r="T286">
        <v>73500</v>
      </c>
      <c r="U286">
        <v>0</v>
      </c>
      <c r="V286">
        <v>73500</v>
      </c>
      <c r="W286">
        <v>54000</v>
      </c>
      <c r="X286">
        <v>19500</v>
      </c>
      <c r="Y286" s="8">
        <v>0.26530612244897961</v>
      </c>
      <c r="Z286" t="s">
        <v>2995</v>
      </c>
      <c r="AA286" t="str">
        <f>IF(AND(SalesCleanTable[[#This Row],[Discount %]]&gt;0, SalesCleanTable[[#This Row],[Profit]]&lt;0), "Discount loss", "Safe")</f>
        <v>Safe</v>
      </c>
      <c r="AB286" s="25">
        <f>(SalesCleanTable[[#This Row],[Unit Price]] - SalesCleanTable[[#This Row],[Unit Cost]]) / SalesCleanTable[[#This Row],[Unit Price]]</f>
        <v>0.26530612244897961</v>
      </c>
      <c r="AC286" t="str">
        <f>IF(SalesCleanTable[[#This Row],[Discount %]] &gt; SalesCleanTable[[#This Row],[Max Allowed Discount]], "Discount loss", "Safe")</f>
        <v>Safe</v>
      </c>
      <c r="AD286" s="4">
        <f>SalesCleanTable[[#This Row],[Unit Price]] - SalesCleanTable[[#This Row],[Unit Cost]]</f>
        <v>6500</v>
      </c>
      <c r="AE286" s="41">
        <f>(SalesCleanTable[[#This Row],[Unit Price]] - SalesCleanTable[[#This Row],[Unit Cost]]) / SalesCleanTable[[#This Row],[Unit Price]]</f>
        <v>0.26530612244897961</v>
      </c>
    </row>
    <row r="287" spans="1:31">
      <c r="A287" t="s">
        <v>473</v>
      </c>
      <c r="B287" s="6">
        <v>45671</v>
      </c>
      <c r="C287" t="s">
        <v>103</v>
      </c>
      <c r="D287" t="s">
        <v>104</v>
      </c>
      <c r="E287" t="s">
        <v>92</v>
      </c>
      <c r="F287" t="s">
        <v>105</v>
      </c>
      <c r="G287" t="s">
        <v>106</v>
      </c>
      <c r="H287" t="s">
        <v>141</v>
      </c>
      <c r="I287" t="s">
        <v>142</v>
      </c>
      <c r="J287" t="s">
        <v>143</v>
      </c>
      <c r="K287" t="s">
        <v>144</v>
      </c>
      <c r="L287" t="s">
        <v>166</v>
      </c>
      <c r="M287" t="s">
        <v>171</v>
      </c>
      <c r="N287">
        <v>2</v>
      </c>
      <c r="O287" s="4">
        <v>1500</v>
      </c>
      <c r="P287" s="4">
        <v>2500</v>
      </c>
      <c r="Q287" s="7">
        <v>0.05</v>
      </c>
      <c r="R287" t="s">
        <v>217</v>
      </c>
      <c r="S287">
        <v>11</v>
      </c>
      <c r="T287">
        <v>5000</v>
      </c>
      <c r="U287">
        <v>250</v>
      </c>
      <c r="V287">
        <v>4750</v>
      </c>
      <c r="W287">
        <v>3000</v>
      </c>
      <c r="X287">
        <v>1750</v>
      </c>
      <c r="Y287" s="8">
        <v>0.36842105263157893</v>
      </c>
      <c r="Z287" t="s">
        <v>2996</v>
      </c>
      <c r="AA287" t="str">
        <f>IF(AND(SalesCleanTable[[#This Row],[Discount %]]&gt;0, SalesCleanTable[[#This Row],[Profit]]&lt;0), "Discount loss", "Safe")</f>
        <v>Safe</v>
      </c>
      <c r="AB287" s="25">
        <f>(SalesCleanTable[[#This Row],[Unit Price]] - SalesCleanTable[[#This Row],[Unit Cost]]) / SalesCleanTable[[#This Row],[Unit Price]]</f>
        <v>0.4</v>
      </c>
      <c r="AC287" t="str">
        <f>IF(SalesCleanTable[[#This Row],[Discount %]] &gt; SalesCleanTable[[#This Row],[Max Allowed Discount]], "Discount loss", "Safe")</f>
        <v>Safe</v>
      </c>
      <c r="AD287" s="4">
        <f>SalesCleanTable[[#This Row],[Unit Price]] - SalesCleanTable[[#This Row],[Unit Cost]]</f>
        <v>1000</v>
      </c>
      <c r="AE287" s="41">
        <f>(SalesCleanTable[[#This Row],[Unit Price]] - SalesCleanTable[[#This Row],[Unit Cost]]) / SalesCleanTable[[#This Row],[Unit Price]]</f>
        <v>0.4</v>
      </c>
    </row>
    <row r="288" spans="1:31">
      <c r="A288" t="s">
        <v>474</v>
      </c>
      <c r="B288" s="6">
        <v>45780</v>
      </c>
      <c r="C288" t="s">
        <v>53</v>
      </c>
      <c r="D288" t="s">
        <v>54</v>
      </c>
      <c r="E288" t="s">
        <v>38</v>
      </c>
      <c r="F288" t="s">
        <v>55</v>
      </c>
      <c r="G288" t="s">
        <v>56</v>
      </c>
      <c r="H288" t="s">
        <v>128</v>
      </c>
      <c r="I288" t="s">
        <v>129</v>
      </c>
      <c r="J288" t="s">
        <v>130</v>
      </c>
      <c r="K288" t="s">
        <v>131</v>
      </c>
      <c r="L288" t="s">
        <v>166</v>
      </c>
      <c r="M288" t="s">
        <v>171</v>
      </c>
      <c r="N288">
        <v>3</v>
      </c>
      <c r="O288" s="4">
        <v>330</v>
      </c>
      <c r="P288" s="4">
        <v>550</v>
      </c>
      <c r="Q288" s="7">
        <v>0.1</v>
      </c>
      <c r="R288" t="s">
        <v>175</v>
      </c>
      <c r="S288">
        <v>6</v>
      </c>
      <c r="T288">
        <v>1650</v>
      </c>
      <c r="U288">
        <v>165</v>
      </c>
      <c r="V288">
        <v>1485</v>
      </c>
      <c r="W288">
        <v>990</v>
      </c>
      <c r="X288">
        <v>495</v>
      </c>
      <c r="Y288" s="8">
        <v>0.33333333333333331</v>
      </c>
      <c r="Z288" t="s">
        <v>2996</v>
      </c>
      <c r="AA288" t="str">
        <f>IF(AND(SalesCleanTable[[#This Row],[Discount %]]&gt;0, SalesCleanTable[[#This Row],[Profit]]&lt;0), "Discount loss", "Safe")</f>
        <v>Safe</v>
      </c>
      <c r="AB288" s="25">
        <f>(SalesCleanTable[[#This Row],[Unit Price]] - SalesCleanTable[[#This Row],[Unit Cost]]) / SalesCleanTable[[#This Row],[Unit Price]]</f>
        <v>0.4</v>
      </c>
      <c r="AC288" t="str">
        <f>IF(SalesCleanTable[[#This Row],[Discount %]] &gt; SalesCleanTable[[#This Row],[Max Allowed Discount]], "Discount loss", "Safe")</f>
        <v>Safe</v>
      </c>
      <c r="AD288" s="4">
        <f>SalesCleanTable[[#This Row],[Unit Price]] - SalesCleanTable[[#This Row],[Unit Cost]]</f>
        <v>220</v>
      </c>
      <c r="AE288" s="41">
        <f>(SalesCleanTable[[#This Row],[Unit Price]] - SalesCleanTable[[#This Row],[Unit Cost]]) / SalesCleanTable[[#This Row],[Unit Price]]</f>
        <v>0.4</v>
      </c>
    </row>
    <row r="289" spans="1:31">
      <c r="A289" t="s">
        <v>475</v>
      </c>
      <c r="B289" s="6">
        <v>45949</v>
      </c>
      <c r="C289" t="s">
        <v>53</v>
      </c>
      <c r="D289" t="s">
        <v>54</v>
      </c>
      <c r="E289" t="s">
        <v>38</v>
      </c>
      <c r="F289" t="s">
        <v>55</v>
      </c>
      <c r="G289" t="s">
        <v>56</v>
      </c>
      <c r="H289" t="s">
        <v>139</v>
      </c>
      <c r="I289" t="s">
        <v>140</v>
      </c>
      <c r="J289" t="s">
        <v>137</v>
      </c>
      <c r="K289" t="s">
        <v>138</v>
      </c>
      <c r="L289" t="s">
        <v>170</v>
      </c>
      <c r="M289" t="s">
        <v>177</v>
      </c>
      <c r="N289">
        <v>-1</v>
      </c>
      <c r="O289" s="4">
        <v>330</v>
      </c>
      <c r="P289" s="4">
        <v>550</v>
      </c>
      <c r="Q289" s="7">
        <v>0.05</v>
      </c>
      <c r="R289" t="s">
        <v>168</v>
      </c>
      <c r="S289">
        <v>2</v>
      </c>
      <c r="T289">
        <v>-550</v>
      </c>
      <c r="U289">
        <v>-27.5</v>
      </c>
      <c r="V289">
        <v>-522.5</v>
      </c>
      <c r="W289">
        <v>-330</v>
      </c>
      <c r="X289">
        <v>-192.5</v>
      </c>
      <c r="Y289" s="8">
        <v>0.36842105263157893</v>
      </c>
      <c r="Z289" t="s">
        <v>2996</v>
      </c>
      <c r="AA289" t="str">
        <f>IF(AND(SalesCleanTable[[#This Row],[Discount %]]&gt;0, SalesCleanTable[[#This Row],[Profit]]&lt;0), "Discount loss", "Safe")</f>
        <v>Discount loss</v>
      </c>
      <c r="AB289" s="25">
        <f>(SalesCleanTable[[#This Row],[Unit Price]] - SalesCleanTable[[#This Row],[Unit Cost]]) / SalesCleanTable[[#This Row],[Unit Price]]</f>
        <v>0.4</v>
      </c>
      <c r="AC289" t="str">
        <f>IF(SalesCleanTable[[#This Row],[Discount %]] &gt; SalesCleanTable[[#This Row],[Max Allowed Discount]], "Discount loss", "Safe")</f>
        <v>Safe</v>
      </c>
      <c r="AD289" s="4">
        <f>SalesCleanTable[[#This Row],[Unit Price]] - SalesCleanTable[[#This Row],[Unit Cost]]</f>
        <v>220</v>
      </c>
      <c r="AE289" s="41">
        <f>(SalesCleanTable[[#This Row],[Unit Price]] - SalesCleanTable[[#This Row],[Unit Cost]]) / SalesCleanTable[[#This Row],[Unit Price]]</f>
        <v>0.4</v>
      </c>
    </row>
    <row r="290" spans="1:31">
      <c r="A290" t="s">
        <v>476</v>
      </c>
      <c r="B290" s="6">
        <v>45678</v>
      </c>
      <c r="C290" t="s">
        <v>112</v>
      </c>
      <c r="D290" t="s">
        <v>113</v>
      </c>
      <c r="E290" t="s">
        <v>109</v>
      </c>
      <c r="F290" t="s">
        <v>114</v>
      </c>
      <c r="G290" t="s">
        <v>115</v>
      </c>
      <c r="H290" t="s">
        <v>153</v>
      </c>
      <c r="I290" t="s">
        <v>154</v>
      </c>
      <c r="J290" t="s">
        <v>155</v>
      </c>
      <c r="K290" t="s">
        <v>131</v>
      </c>
      <c r="L290" t="s">
        <v>183</v>
      </c>
      <c r="M290" t="s">
        <v>171</v>
      </c>
      <c r="N290">
        <v>2</v>
      </c>
      <c r="O290" s="4">
        <v>1300</v>
      </c>
      <c r="P290" s="4">
        <v>2100</v>
      </c>
      <c r="Q290" s="7">
        <v>0</v>
      </c>
      <c r="R290" t="s">
        <v>220</v>
      </c>
      <c r="S290">
        <v>12</v>
      </c>
      <c r="T290">
        <v>4200</v>
      </c>
      <c r="U290">
        <v>0</v>
      </c>
      <c r="V290">
        <v>4200</v>
      </c>
      <c r="W290">
        <v>2600</v>
      </c>
      <c r="X290">
        <v>1600</v>
      </c>
      <c r="Y290" s="8">
        <v>0.38095238095238093</v>
      </c>
      <c r="Z290" t="s">
        <v>2995</v>
      </c>
      <c r="AA290" t="str">
        <f>IF(AND(SalesCleanTable[[#This Row],[Discount %]]&gt;0, SalesCleanTable[[#This Row],[Profit]]&lt;0), "Discount loss", "Safe")</f>
        <v>Safe</v>
      </c>
      <c r="AB290" s="25">
        <f>(SalesCleanTable[[#This Row],[Unit Price]] - SalesCleanTable[[#This Row],[Unit Cost]]) / SalesCleanTable[[#This Row],[Unit Price]]</f>
        <v>0.38095238095238093</v>
      </c>
      <c r="AC290" t="str">
        <f>IF(SalesCleanTable[[#This Row],[Discount %]] &gt; SalesCleanTable[[#This Row],[Max Allowed Discount]], "Discount loss", "Safe")</f>
        <v>Safe</v>
      </c>
      <c r="AD290" s="4">
        <f>SalesCleanTable[[#This Row],[Unit Price]] - SalesCleanTable[[#This Row],[Unit Cost]]</f>
        <v>800</v>
      </c>
      <c r="AE290" s="41">
        <f>(SalesCleanTable[[#This Row],[Unit Price]] - SalesCleanTable[[#This Row],[Unit Cost]]) / SalesCleanTable[[#This Row],[Unit Price]]</f>
        <v>0.38095238095238093</v>
      </c>
    </row>
    <row r="291" spans="1:31">
      <c r="A291" t="s">
        <v>477</v>
      </c>
      <c r="B291" s="6">
        <v>45985</v>
      </c>
      <c r="C291" t="s">
        <v>57</v>
      </c>
      <c r="D291" t="s">
        <v>58</v>
      </c>
      <c r="E291" t="s">
        <v>59</v>
      </c>
      <c r="F291" t="s">
        <v>60</v>
      </c>
      <c r="G291" t="s">
        <v>61</v>
      </c>
      <c r="H291" t="s">
        <v>141</v>
      </c>
      <c r="I291" t="s">
        <v>142</v>
      </c>
      <c r="J291" t="s">
        <v>143</v>
      </c>
      <c r="K291" t="s">
        <v>144</v>
      </c>
      <c r="L291" t="s">
        <v>166</v>
      </c>
      <c r="M291" t="s">
        <v>167</v>
      </c>
      <c r="N291">
        <v>2</v>
      </c>
      <c r="O291" s="4">
        <v>2400</v>
      </c>
      <c r="P291" s="4">
        <v>3400</v>
      </c>
      <c r="Q291" s="7">
        <v>0.05</v>
      </c>
      <c r="R291" t="s">
        <v>192</v>
      </c>
      <c r="S291">
        <v>9</v>
      </c>
      <c r="T291">
        <v>6800</v>
      </c>
      <c r="U291">
        <v>340</v>
      </c>
      <c r="V291">
        <v>6460</v>
      </c>
      <c r="W291">
        <v>4800</v>
      </c>
      <c r="X291">
        <v>1660</v>
      </c>
      <c r="Y291" s="8">
        <v>0.25696594427244585</v>
      </c>
      <c r="Z291" t="s">
        <v>2996</v>
      </c>
      <c r="AA291" t="str">
        <f>IF(AND(SalesCleanTable[[#This Row],[Discount %]]&gt;0, SalesCleanTable[[#This Row],[Profit]]&lt;0), "Discount loss", "Safe")</f>
        <v>Safe</v>
      </c>
      <c r="AB291" s="25">
        <f>(SalesCleanTable[[#This Row],[Unit Price]] - SalesCleanTable[[#This Row],[Unit Cost]]) / SalesCleanTable[[#This Row],[Unit Price]]</f>
        <v>0.29411764705882354</v>
      </c>
      <c r="AC291" t="str">
        <f>IF(SalesCleanTable[[#This Row],[Discount %]] &gt; SalesCleanTable[[#This Row],[Max Allowed Discount]], "Discount loss", "Safe")</f>
        <v>Safe</v>
      </c>
      <c r="AD291" s="4">
        <f>SalesCleanTable[[#This Row],[Unit Price]] - SalesCleanTable[[#This Row],[Unit Cost]]</f>
        <v>1000</v>
      </c>
      <c r="AE291" s="41">
        <f>(SalesCleanTable[[#This Row],[Unit Price]] - SalesCleanTable[[#This Row],[Unit Cost]]) / SalesCleanTable[[#This Row],[Unit Price]]</f>
        <v>0.29411764705882354</v>
      </c>
    </row>
    <row r="292" spans="1:31">
      <c r="A292" t="s">
        <v>478</v>
      </c>
      <c r="B292" s="6">
        <v>45958</v>
      </c>
      <c r="C292" t="s">
        <v>73</v>
      </c>
      <c r="D292" t="s">
        <v>74</v>
      </c>
      <c r="E292" t="s">
        <v>75</v>
      </c>
      <c r="F292" t="s">
        <v>76</v>
      </c>
      <c r="G292" t="s">
        <v>77</v>
      </c>
      <c r="H292" t="s">
        <v>149</v>
      </c>
      <c r="I292" t="s">
        <v>150</v>
      </c>
      <c r="J292" t="s">
        <v>151</v>
      </c>
      <c r="K292" t="s">
        <v>152</v>
      </c>
      <c r="L292" t="s">
        <v>183</v>
      </c>
      <c r="M292" t="s">
        <v>171</v>
      </c>
      <c r="N292">
        <v>4</v>
      </c>
      <c r="O292" s="4">
        <v>3500</v>
      </c>
      <c r="P292" s="4">
        <v>5200</v>
      </c>
      <c r="Q292" s="7">
        <v>0</v>
      </c>
      <c r="R292" t="s">
        <v>187</v>
      </c>
      <c r="S292">
        <v>1</v>
      </c>
      <c r="T292">
        <v>20800</v>
      </c>
      <c r="U292">
        <v>0</v>
      </c>
      <c r="V292">
        <v>20800</v>
      </c>
      <c r="W292">
        <v>14000</v>
      </c>
      <c r="X292">
        <v>6800</v>
      </c>
      <c r="Y292" s="8">
        <v>0.32692307692307693</v>
      </c>
      <c r="Z292" t="s">
        <v>2996</v>
      </c>
      <c r="AA292" t="str">
        <f>IF(AND(SalesCleanTable[[#This Row],[Discount %]]&gt;0, SalesCleanTable[[#This Row],[Profit]]&lt;0), "Discount loss", "Safe")</f>
        <v>Safe</v>
      </c>
      <c r="AB292" s="25">
        <f>(SalesCleanTable[[#This Row],[Unit Price]] - SalesCleanTable[[#This Row],[Unit Cost]]) / SalesCleanTable[[#This Row],[Unit Price]]</f>
        <v>0.32692307692307693</v>
      </c>
      <c r="AC292" t="str">
        <f>IF(SalesCleanTable[[#This Row],[Discount %]] &gt; SalesCleanTable[[#This Row],[Max Allowed Discount]], "Discount loss", "Safe")</f>
        <v>Safe</v>
      </c>
      <c r="AD292" s="4">
        <f>SalesCleanTable[[#This Row],[Unit Price]] - SalesCleanTable[[#This Row],[Unit Cost]]</f>
        <v>1700</v>
      </c>
      <c r="AE292" s="41">
        <f>(SalesCleanTable[[#This Row],[Unit Price]] - SalesCleanTable[[#This Row],[Unit Cost]]) / SalesCleanTable[[#This Row],[Unit Price]]</f>
        <v>0.32692307692307693</v>
      </c>
    </row>
    <row r="293" spans="1:31">
      <c r="A293" t="s">
        <v>479</v>
      </c>
      <c r="B293" s="6">
        <v>45880</v>
      </c>
      <c r="C293" t="s">
        <v>32</v>
      </c>
      <c r="D293" t="s">
        <v>33</v>
      </c>
      <c r="E293" t="s">
        <v>26</v>
      </c>
      <c r="F293" t="s">
        <v>34</v>
      </c>
      <c r="G293" t="s">
        <v>35</v>
      </c>
      <c r="H293" t="s">
        <v>141</v>
      </c>
      <c r="I293" t="s">
        <v>142</v>
      </c>
      <c r="J293" t="s">
        <v>143</v>
      </c>
      <c r="K293" t="s">
        <v>144</v>
      </c>
      <c r="L293" t="s">
        <v>183</v>
      </c>
      <c r="M293" t="s">
        <v>177</v>
      </c>
      <c r="N293">
        <v>1</v>
      </c>
      <c r="O293" s="4">
        <v>7800</v>
      </c>
      <c r="P293" s="4">
        <v>9800</v>
      </c>
      <c r="Q293" s="7">
        <v>0.1</v>
      </c>
      <c r="R293" t="s">
        <v>197</v>
      </c>
      <c r="S293">
        <v>12</v>
      </c>
      <c r="T293">
        <v>9800</v>
      </c>
      <c r="U293">
        <v>980</v>
      </c>
      <c r="V293">
        <v>8820</v>
      </c>
      <c r="W293">
        <v>7800</v>
      </c>
      <c r="X293">
        <v>1020</v>
      </c>
      <c r="Y293" s="8">
        <v>0.11564625850340136</v>
      </c>
      <c r="Z293" t="s">
        <v>2995</v>
      </c>
      <c r="AA293" t="str">
        <f>IF(AND(SalesCleanTable[[#This Row],[Discount %]]&gt;0, SalesCleanTable[[#This Row],[Profit]]&lt;0), "Discount loss", "Safe")</f>
        <v>Safe</v>
      </c>
      <c r="AB293" s="25">
        <f>(SalesCleanTable[[#This Row],[Unit Price]] - SalesCleanTable[[#This Row],[Unit Cost]]) / SalesCleanTable[[#This Row],[Unit Price]]</f>
        <v>0.20408163265306123</v>
      </c>
      <c r="AC293" t="str">
        <f>IF(SalesCleanTable[[#This Row],[Discount %]] &gt; SalesCleanTable[[#This Row],[Max Allowed Discount]], "Discount loss", "Safe")</f>
        <v>Safe</v>
      </c>
      <c r="AD293" s="4">
        <f>SalesCleanTable[[#This Row],[Unit Price]] - SalesCleanTable[[#This Row],[Unit Cost]]</f>
        <v>2000</v>
      </c>
      <c r="AE293" s="41">
        <f>(SalesCleanTable[[#This Row],[Unit Price]] - SalesCleanTable[[#This Row],[Unit Cost]]) / SalesCleanTable[[#This Row],[Unit Price]]</f>
        <v>0.20408163265306123</v>
      </c>
    </row>
    <row r="294" spans="1:31">
      <c r="A294" t="s">
        <v>480</v>
      </c>
      <c r="B294" s="6">
        <v>45663</v>
      </c>
      <c r="C294" t="s">
        <v>36</v>
      </c>
      <c r="D294" t="s">
        <v>37</v>
      </c>
      <c r="E294" t="s">
        <v>38</v>
      </c>
      <c r="F294" t="s">
        <v>39</v>
      </c>
      <c r="G294" t="s">
        <v>40</v>
      </c>
      <c r="H294" t="s">
        <v>153</v>
      </c>
      <c r="I294" t="s">
        <v>154</v>
      </c>
      <c r="J294" t="s">
        <v>155</v>
      </c>
      <c r="K294" t="s">
        <v>131</v>
      </c>
      <c r="L294" t="s">
        <v>183</v>
      </c>
      <c r="M294" t="s">
        <v>177</v>
      </c>
      <c r="N294">
        <v>3</v>
      </c>
      <c r="O294" s="4">
        <v>1650</v>
      </c>
      <c r="P294" s="4">
        <v>2200</v>
      </c>
      <c r="Q294" s="7">
        <v>0.15</v>
      </c>
      <c r="R294" t="s">
        <v>178</v>
      </c>
      <c r="S294">
        <v>12</v>
      </c>
      <c r="T294">
        <v>6600</v>
      </c>
      <c r="U294">
        <v>990</v>
      </c>
      <c r="V294">
        <v>5610</v>
      </c>
      <c r="W294">
        <v>4950</v>
      </c>
      <c r="X294">
        <v>660</v>
      </c>
      <c r="Y294" s="8">
        <v>0.11764705882352941</v>
      </c>
      <c r="Z294" t="s">
        <v>2995</v>
      </c>
      <c r="AA294" t="str">
        <f>IF(AND(SalesCleanTable[[#This Row],[Discount %]]&gt;0, SalesCleanTable[[#This Row],[Profit]]&lt;0), "Discount loss", "Safe")</f>
        <v>Safe</v>
      </c>
      <c r="AB294" s="25">
        <f>(SalesCleanTable[[#This Row],[Unit Price]] - SalesCleanTable[[#This Row],[Unit Cost]]) / SalesCleanTable[[#This Row],[Unit Price]]</f>
        <v>0.25</v>
      </c>
      <c r="AC294" t="str">
        <f>IF(SalesCleanTable[[#This Row],[Discount %]] &gt; SalesCleanTable[[#This Row],[Max Allowed Discount]], "Discount loss", "Safe")</f>
        <v>Safe</v>
      </c>
      <c r="AD294" s="4">
        <f>SalesCleanTable[[#This Row],[Unit Price]] - SalesCleanTable[[#This Row],[Unit Cost]]</f>
        <v>550</v>
      </c>
      <c r="AE294" s="41">
        <f>(SalesCleanTable[[#This Row],[Unit Price]] - SalesCleanTable[[#This Row],[Unit Cost]]) / SalesCleanTable[[#This Row],[Unit Price]]</f>
        <v>0.25</v>
      </c>
    </row>
    <row r="295" spans="1:31">
      <c r="A295" t="s">
        <v>481</v>
      </c>
      <c r="B295" s="6">
        <v>45795</v>
      </c>
      <c r="C295" t="s">
        <v>82</v>
      </c>
      <c r="D295" t="s">
        <v>83</v>
      </c>
      <c r="E295" t="s">
        <v>75</v>
      </c>
      <c r="F295" t="s">
        <v>84</v>
      </c>
      <c r="G295" t="s">
        <v>85</v>
      </c>
      <c r="H295" t="s">
        <v>128</v>
      </c>
      <c r="I295" t="s">
        <v>129</v>
      </c>
      <c r="J295" t="s">
        <v>130</v>
      </c>
      <c r="K295" t="s">
        <v>131</v>
      </c>
      <c r="L295" t="s">
        <v>166</v>
      </c>
      <c r="M295" t="s">
        <v>171</v>
      </c>
      <c r="N295">
        <v>6</v>
      </c>
      <c r="O295" s="4">
        <v>600</v>
      </c>
      <c r="P295" s="4">
        <v>950</v>
      </c>
      <c r="Q295" s="7">
        <v>0.05</v>
      </c>
      <c r="R295" t="s">
        <v>208</v>
      </c>
      <c r="S295">
        <v>12</v>
      </c>
      <c r="T295">
        <v>5700</v>
      </c>
      <c r="U295">
        <v>285</v>
      </c>
      <c r="V295">
        <v>5415</v>
      </c>
      <c r="W295">
        <v>3600</v>
      </c>
      <c r="X295">
        <v>1815</v>
      </c>
      <c r="Y295" s="8">
        <v>0.33518005540166207</v>
      </c>
      <c r="Z295" t="s">
        <v>2996</v>
      </c>
      <c r="AA295" t="str">
        <f>IF(AND(SalesCleanTable[[#This Row],[Discount %]]&gt;0, SalesCleanTable[[#This Row],[Profit]]&lt;0), "Discount loss", "Safe")</f>
        <v>Safe</v>
      </c>
      <c r="AB295" s="25">
        <f>(SalesCleanTable[[#This Row],[Unit Price]] - SalesCleanTable[[#This Row],[Unit Cost]]) / SalesCleanTable[[#This Row],[Unit Price]]</f>
        <v>0.36842105263157893</v>
      </c>
      <c r="AC295" t="str">
        <f>IF(SalesCleanTable[[#This Row],[Discount %]] &gt; SalesCleanTable[[#This Row],[Max Allowed Discount]], "Discount loss", "Safe")</f>
        <v>Safe</v>
      </c>
      <c r="AD295" s="4">
        <f>SalesCleanTable[[#This Row],[Unit Price]] - SalesCleanTable[[#This Row],[Unit Cost]]</f>
        <v>350</v>
      </c>
      <c r="AE295" s="41">
        <f>(SalesCleanTable[[#This Row],[Unit Price]] - SalesCleanTable[[#This Row],[Unit Cost]]) / SalesCleanTable[[#This Row],[Unit Price]]</f>
        <v>0.36842105263157893</v>
      </c>
    </row>
    <row r="296" spans="1:31">
      <c r="A296" t="s">
        <v>482</v>
      </c>
      <c r="B296" s="6">
        <v>45979</v>
      </c>
      <c r="C296" t="s">
        <v>29</v>
      </c>
      <c r="D296" t="s">
        <v>30</v>
      </c>
      <c r="E296" t="s">
        <v>26</v>
      </c>
      <c r="F296" t="s">
        <v>27</v>
      </c>
      <c r="G296" t="s">
        <v>31</v>
      </c>
      <c r="H296" t="s">
        <v>139</v>
      </c>
      <c r="I296" t="s">
        <v>140</v>
      </c>
      <c r="J296" t="s">
        <v>137</v>
      </c>
      <c r="K296" t="s">
        <v>138</v>
      </c>
      <c r="L296" t="s">
        <v>166</v>
      </c>
      <c r="M296" t="s">
        <v>186</v>
      </c>
      <c r="N296">
        <v>2</v>
      </c>
      <c r="O296" s="4">
        <v>6200</v>
      </c>
      <c r="P296" s="4">
        <v>7900</v>
      </c>
      <c r="Q296" s="7">
        <v>0.05</v>
      </c>
      <c r="R296" t="s">
        <v>194</v>
      </c>
      <c r="S296">
        <v>13</v>
      </c>
      <c r="T296">
        <v>15800</v>
      </c>
      <c r="U296">
        <v>790</v>
      </c>
      <c r="V296">
        <v>15010</v>
      </c>
      <c r="W296">
        <v>12400</v>
      </c>
      <c r="X296">
        <v>2610</v>
      </c>
      <c r="Y296" s="8">
        <v>0.17388407728181213</v>
      </c>
      <c r="Z296" t="s">
        <v>2996</v>
      </c>
      <c r="AA296" t="str">
        <f>IF(AND(SalesCleanTable[[#This Row],[Discount %]]&gt;0, SalesCleanTable[[#This Row],[Profit]]&lt;0), "Discount loss", "Safe")</f>
        <v>Safe</v>
      </c>
      <c r="AB296" s="25">
        <f>(SalesCleanTable[[#This Row],[Unit Price]] - SalesCleanTable[[#This Row],[Unit Cost]]) / SalesCleanTable[[#This Row],[Unit Price]]</f>
        <v>0.21518987341772153</v>
      </c>
      <c r="AC296" t="str">
        <f>IF(SalesCleanTable[[#This Row],[Discount %]] &gt; SalesCleanTable[[#This Row],[Max Allowed Discount]], "Discount loss", "Safe")</f>
        <v>Safe</v>
      </c>
      <c r="AD296" s="4">
        <f>SalesCleanTable[[#This Row],[Unit Price]] - SalesCleanTable[[#This Row],[Unit Cost]]</f>
        <v>1700</v>
      </c>
      <c r="AE296" s="41">
        <f>(SalesCleanTable[[#This Row],[Unit Price]] - SalesCleanTable[[#This Row],[Unit Cost]]) / SalesCleanTable[[#This Row],[Unit Price]]</f>
        <v>0.21518987341772153</v>
      </c>
    </row>
    <row r="297" spans="1:31">
      <c r="A297" t="s">
        <v>483</v>
      </c>
      <c r="B297" s="6">
        <v>45951</v>
      </c>
      <c r="C297" t="s">
        <v>78</v>
      </c>
      <c r="D297" t="s">
        <v>79</v>
      </c>
      <c r="E297" t="s">
        <v>75</v>
      </c>
      <c r="F297" t="s">
        <v>80</v>
      </c>
      <c r="G297" t="s">
        <v>81</v>
      </c>
      <c r="H297" t="s">
        <v>128</v>
      </c>
      <c r="I297" t="s">
        <v>129</v>
      </c>
      <c r="J297" t="s">
        <v>130</v>
      </c>
      <c r="K297" t="s">
        <v>131</v>
      </c>
      <c r="L297" t="s">
        <v>183</v>
      </c>
      <c r="M297" t="s">
        <v>177</v>
      </c>
      <c r="N297">
        <v>4</v>
      </c>
      <c r="O297" s="4">
        <v>1200</v>
      </c>
      <c r="P297" s="4">
        <v>1900</v>
      </c>
      <c r="Q297" s="7">
        <v>0</v>
      </c>
      <c r="R297" t="s">
        <v>187</v>
      </c>
      <c r="S297">
        <v>8</v>
      </c>
      <c r="T297">
        <v>7600</v>
      </c>
      <c r="U297">
        <v>0</v>
      </c>
      <c r="V297">
        <v>7600</v>
      </c>
      <c r="W297">
        <v>4800</v>
      </c>
      <c r="X297">
        <v>2800</v>
      </c>
      <c r="Y297" s="8">
        <v>0.36842105263157893</v>
      </c>
      <c r="Z297" t="s">
        <v>2996</v>
      </c>
      <c r="AA297" t="str">
        <f>IF(AND(SalesCleanTable[[#This Row],[Discount %]]&gt;0, SalesCleanTable[[#This Row],[Profit]]&lt;0), "Discount loss", "Safe")</f>
        <v>Safe</v>
      </c>
      <c r="AB297" s="25">
        <f>(SalesCleanTable[[#This Row],[Unit Price]] - SalesCleanTable[[#This Row],[Unit Cost]]) / SalesCleanTable[[#This Row],[Unit Price]]</f>
        <v>0.36842105263157893</v>
      </c>
      <c r="AC297" t="str">
        <f>IF(SalesCleanTable[[#This Row],[Discount %]] &gt; SalesCleanTable[[#This Row],[Max Allowed Discount]], "Discount loss", "Safe")</f>
        <v>Safe</v>
      </c>
      <c r="AD297" s="4">
        <f>SalesCleanTable[[#This Row],[Unit Price]] - SalesCleanTable[[#This Row],[Unit Cost]]</f>
        <v>700</v>
      </c>
      <c r="AE297" s="41">
        <f>(SalesCleanTable[[#This Row],[Unit Price]] - SalesCleanTable[[#This Row],[Unit Cost]]) / SalesCleanTable[[#This Row],[Unit Price]]</f>
        <v>0.36842105263157893</v>
      </c>
    </row>
    <row r="298" spans="1:31">
      <c r="A298" t="s">
        <v>484</v>
      </c>
      <c r="B298" s="6">
        <v>45734</v>
      </c>
      <c r="C298" t="s">
        <v>36</v>
      </c>
      <c r="D298" t="s">
        <v>37</v>
      </c>
      <c r="E298" t="s">
        <v>38</v>
      </c>
      <c r="F298" t="s">
        <v>39</v>
      </c>
      <c r="G298" t="s">
        <v>40</v>
      </c>
      <c r="H298" t="s">
        <v>153</v>
      </c>
      <c r="I298" t="s">
        <v>154</v>
      </c>
      <c r="J298" t="s">
        <v>155</v>
      </c>
      <c r="K298" t="s">
        <v>131</v>
      </c>
      <c r="L298" t="s">
        <v>183</v>
      </c>
      <c r="M298" t="s">
        <v>171</v>
      </c>
      <c r="N298">
        <v>1</v>
      </c>
      <c r="O298" s="4">
        <v>1650</v>
      </c>
      <c r="P298" s="4">
        <v>2200</v>
      </c>
      <c r="Q298" s="7">
        <v>0.15</v>
      </c>
      <c r="R298" t="s">
        <v>178</v>
      </c>
      <c r="S298">
        <v>6</v>
      </c>
      <c r="T298">
        <v>2200</v>
      </c>
      <c r="U298">
        <v>330</v>
      </c>
      <c r="V298">
        <v>1870</v>
      </c>
      <c r="W298">
        <v>1650</v>
      </c>
      <c r="X298">
        <v>220</v>
      </c>
      <c r="Y298" s="8">
        <v>0.11764705882352941</v>
      </c>
      <c r="Z298" t="s">
        <v>2995</v>
      </c>
      <c r="AA298" t="str">
        <f>IF(AND(SalesCleanTable[[#This Row],[Discount %]]&gt;0, SalesCleanTable[[#This Row],[Profit]]&lt;0), "Discount loss", "Safe")</f>
        <v>Safe</v>
      </c>
      <c r="AB298" s="25">
        <f>(SalesCleanTable[[#This Row],[Unit Price]] - SalesCleanTable[[#This Row],[Unit Cost]]) / SalesCleanTable[[#This Row],[Unit Price]]</f>
        <v>0.25</v>
      </c>
      <c r="AC298" t="str">
        <f>IF(SalesCleanTable[[#This Row],[Discount %]] &gt; SalesCleanTable[[#This Row],[Max Allowed Discount]], "Discount loss", "Safe")</f>
        <v>Safe</v>
      </c>
      <c r="AD298" s="4">
        <f>SalesCleanTable[[#This Row],[Unit Price]] - SalesCleanTable[[#This Row],[Unit Cost]]</f>
        <v>550</v>
      </c>
      <c r="AE298" s="41">
        <f>(SalesCleanTable[[#This Row],[Unit Price]] - SalesCleanTable[[#This Row],[Unit Cost]]) / SalesCleanTable[[#This Row],[Unit Price]]</f>
        <v>0.25</v>
      </c>
    </row>
    <row r="299" spans="1:31">
      <c r="A299" t="s">
        <v>485</v>
      </c>
      <c r="B299" s="6">
        <v>45821</v>
      </c>
      <c r="C299" t="s">
        <v>45</v>
      </c>
      <c r="D299" t="s">
        <v>46</v>
      </c>
      <c r="E299" t="s">
        <v>38</v>
      </c>
      <c r="F299" t="s">
        <v>47</v>
      </c>
      <c r="G299" t="s">
        <v>48</v>
      </c>
      <c r="H299" t="s">
        <v>128</v>
      </c>
      <c r="I299" t="s">
        <v>129</v>
      </c>
      <c r="J299" t="s">
        <v>130</v>
      </c>
      <c r="K299" t="s">
        <v>131</v>
      </c>
      <c r="L299" t="s">
        <v>183</v>
      </c>
      <c r="M299" t="s">
        <v>177</v>
      </c>
      <c r="N299">
        <v>2</v>
      </c>
      <c r="O299" s="4">
        <v>230</v>
      </c>
      <c r="P299" s="4">
        <v>400</v>
      </c>
      <c r="Q299" s="7">
        <v>0.05</v>
      </c>
      <c r="R299" t="s">
        <v>168</v>
      </c>
      <c r="S299">
        <v>1</v>
      </c>
      <c r="T299">
        <v>800</v>
      </c>
      <c r="U299">
        <v>40</v>
      </c>
      <c r="V299">
        <v>760</v>
      </c>
      <c r="W299">
        <v>460</v>
      </c>
      <c r="X299">
        <v>300</v>
      </c>
      <c r="Y299" s="8">
        <v>0.39473684210526316</v>
      </c>
      <c r="Z299" t="s">
        <v>2995</v>
      </c>
      <c r="AA299" t="str">
        <f>IF(AND(SalesCleanTable[[#This Row],[Discount %]]&gt;0, SalesCleanTable[[#This Row],[Profit]]&lt;0), "Discount loss", "Safe")</f>
        <v>Safe</v>
      </c>
      <c r="AB299" s="25">
        <f>(SalesCleanTable[[#This Row],[Unit Price]] - SalesCleanTable[[#This Row],[Unit Cost]]) / SalesCleanTable[[#This Row],[Unit Price]]</f>
        <v>0.42499999999999999</v>
      </c>
      <c r="AC299" t="str">
        <f>IF(SalesCleanTable[[#This Row],[Discount %]] &gt; SalesCleanTable[[#This Row],[Max Allowed Discount]], "Discount loss", "Safe")</f>
        <v>Safe</v>
      </c>
      <c r="AD299" s="4">
        <f>SalesCleanTable[[#This Row],[Unit Price]] - SalesCleanTable[[#This Row],[Unit Cost]]</f>
        <v>170</v>
      </c>
      <c r="AE299" s="41">
        <f>(SalesCleanTable[[#This Row],[Unit Price]] - SalesCleanTable[[#This Row],[Unit Cost]]) / SalesCleanTable[[#This Row],[Unit Price]]</f>
        <v>0.42499999999999999</v>
      </c>
    </row>
    <row r="300" spans="1:31">
      <c r="A300" t="s">
        <v>486</v>
      </c>
      <c r="B300" s="6">
        <v>45693</v>
      </c>
      <c r="C300" t="s">
        <v>103</v>
      </c>
      <c r="D300" t="s">
        <v>104</v>
      </c>
      <c r="E300" t="s">
        <v>92</v>
      </c>
      <c r="F300" t="s">
        <v>105</v>
      </c>
      <c r="G300" t="s">
        <v>106</v>
      </c>
      <c r="H300" t="s">
        <v>149</v>
      </c>
      <c r="I300" t="s">
        <v>150</v>
      </c>
      <c r="J300" t="s">
        <v>151</v>
      </c>
      <c r="K300" t="s">
        <v>152</v>
      </c>
      <c r="L300" t="s">
        <v>166</v>
      </c>
      <c r="M300" t="s">
        <v>186</v>
      </c>
      <c r="N300">
        <v>5</v>
      </c>
      <c r="O300" s="4">
        <v>1500</v>
      </c>
      <c r="P300" s="4">
        <v>2500</v>
      </c>
      <c r="Q300" s="7">
        <v>0.05</v>
      </c>
      <c r="R300" t="s">
        <v>217</v>
      </c>
      <c r="S300">
        <v>4</v>
      </c>
      <c r="T300">
        <v>12500</v>
      </c>
      <c r="U300">
        <v>625</v>
      </c>
      <c r="V300">
        <v>11875</v>
      </c>
      <c r="W300">
        <v>7500</v>
      </c>
      <c r="X300">
        <v>4375</v>
      </c>
      <c r="Y300" s="8">
        <v>0.36842105263157893</v>
      </c>
      <c r="Z300" t="s">
        <v>2996</v>
      </c>
      <c r="AA300" t="str">
        <f>IF(AND(SalesCleanTable[[#This Row],[Discount %]]&gt;0, SalesCleanTable[[#This Row],[Profit]]&lt;0), "Discount loss", "Safe")</f>
        <v>Safe</v>
      </c>
      <c r="AB300" s="25">
        <f>(SalesCleanTable[[#This Row],[Unit Price]] - SalesCleanTable[[#This Row],[Unit Cost]]) / SalesCleanTable[[#This Row],[Unit Price]]</f>
        <v>0.4</v>
      </c>
      <c r="AC300" t="str">
        <f>IF(SalesCleanTable[[#This Row],[Discount %]] &gt; SalesCleanTable[[#This Row],[Max Allowed Discount]], "Discount loss", "Safe")</f>
        <v>Safe</v>
      </c>
      <c r="AD300" s="4">
        <f>SalesCleanTable[[#This Row],[Unit Price]] - SalesCleanTable[[#This Row],[Unit Cost]]</f>
        <v>1000</v>
      </c>
      <c r="AE300" s="41">
        <f>(SalesCleanTable[[#This Row],[Unit Price]] - SalesCleanTable[[#This Row],[Unit Cost]]) / SalesCleanTable[[#This Row],[Unit Price]]</f>
        <v>0.4</v>
      </c>
    </row>
    <row r="301" spans="1:31">
      <c r="A301" t="s">
        <v>487</v>
      </c>
      <c r="B301" s="6">
        <v>45813</v>
      </c>
      <c r="C301" t="s">
        <v>82</v>
      </c>
      <c r="D301" t="s">
        <v>83</v>
      </c>
      <c r="E301" t="s">
        <v>75</v>
      </c>
      <c r="F301" t="s">
        <v>84</v>
      </c>
      <c r="G301" t="s">
        <v>85</v>
      </c>
      <c r="H301" t="s">
        <v>133</v>
      </c>
      <c r="I301" t="s">
        <v>134</v>
      </c>
      <c r="J301" t="s">
        <v>130</v>
      </c>
      <c r="K301" t="s">
        <v>131</v>
      </c>
      <c r="L301" t="s">
        <v>170</v>
      </c>
      <c r="M301" t="s">
        <v>171</v>
      </c>
      <c r="N301">
        <v>2</v>
      </c>
      <c r="O301" s="4">
        <v>600</v>
      </c>
      <c r="P301" s="4">
        <v>950</v>
      </c>
      <c r="Q301" s="7">
        <v>0.2</v>
      </c>
      <c r="R301" t="s">
        <v>204</v>
      </c>
      <c r="S301">
        <v>9</v>
      </c>
      <c r="T301">
        <v>1900</v>
      </c>
      <c r="U301">
        <v>380</v>
      </c>
      <c r="V301">
        <v>1520</v>
      </c>
      <c r="W301">
        <v>1200</v>
      </c>
      <c r="X301">
        <v>320</v>
      </c>
      <c r="Y301" s="8">
        <v>0.21052631578947367</v>
      </c>
      <c r="Z301" t="s">
        <v>2996</v>
      </c>
      <c r="AA301" t="str">
        <f>IF(AND(SalesCleanTable[[#This Row],[Discount %]]&gt;0, SalesCleanTable[[#This Row],[Profit]]&lt;0), "Discount loss", "Safe")</f>
        <v>Safe</v>
      </c>
      <c r="AB301" s="25">
        <f>(SalesCleanTable[[#This Row],[Unit Price]] - SalesCleanTable[[#This Row],[Unit Cost]]) / SalesCleanTable[[#This Row],[Unit Price]]</f>
        <v>0.36842105263157893</v>
      </c>
      <c r="AC301" t="str">
        <f>IF(SalesCleanTable[[#This Row],[Discount %]] &gt; SalesCleanTable[[#This Row],[Max Allowed Discount]], "Discount loss", "Safe")</f>
        <v>Safe</v>
      </c>
      <c r="AD301" s="4">
        <f>SalesCleanTable[[#This Row],[Unit Price]] - SalesCleanTable[[#This Row],[Unit Cost]]</f>
        <v>350</v>
      </c>
      <c r="AE301" s="41">
        <f>(SalesCleanTable[[#This Row],[Unit Price]] - SalesCleanTable[[#This Row],[Unit Cost]]) / SalesCleanTable[[#This Row],[Unit Price]]</f>
        <v>0.36842105263157893</v>
      </c>
    </row>
    <row r="302" spans="1:31">
      <c r="A302" t="s">
        <v>488</v>
      </c>
      <c r="B302" s="6">
        <v>45783</v>
      </c>
      <c r="C302" t="s">
        <v>36</v>
      </c>
      <c r="D302" t="s">
        <v>37</v>
      </c>
      <c r="E302" t="s">
        <v>38</v>
      </c>
      <c r="F302" t="s">
        <v>39</v>
      </c>
      <c r="G302" t="s">
        <v>40</v>
      </c>
      <c r="H302" t="s">
        <v>153</v>
      </c>
      <c r="I302" t="s">
        <v>154</v>
      </c>
      <c r="J302" t="s">
        <v>155</v>
      </c>
      <c r="K302" t="s">
        <v>131</v>
      </c>
      <c r="L302" t="s">
        <v>183</v>
      </c>
      <c r="M302" t="s">
        <v>171</v>
      </c>
      <c r="N302">
        <v>-2</v>
      </c>
      <c r="O302" s="4">
        <v>1650</v>
      </c>
      <c r="P302" s="4">
        <v>2200</v>
      </c>
      <c r="Q302" s="7">
        <v>0.05</v>
      </c>
      <c r="R302" t="s">
        <v>178</v>
      </c>
      <c r="S302">
        <v>6</v>
      </c>
      <c r="T302">
        <v>-4400</v>
      </c>
      <c r="U302">
        <v>-220</v>
      </c>
      <c r="V302">
        <v>-4180</v>
      </c>
      <c r="W302">
        <v>-3300</v>
      </c>
      <c r="X302">
        <v>-880</v>
      </c>
      <c r="Y302" s="8">
        <v>0.21052631578947367</v>
      </c>
      <c r="Z302" t="s">
        <v>2995</v>
      </c>
      <c r="AA302" t="str">
        <f>IF(AND(SalesCleanTable[[#This Row],[Discount %]]&gt;0, SalesCleanTable[[#This Row],[Profit]]&lt;0), "Discount loss", "Safe")</f>
        <v>Discount loss</v>
      </c>
      <c r="AB302" s="25">
        <f>(SalesCleanTable[[#This Row],[Unit Price]] - SalesCleanTable[[#This Row],[Unit Cost]]) / SalesCleanTable[[#This Row],[Unit Price]]</f>
        <v>0.25</v>
      </c>
      <c r="AC302" t="str">
        <f>IF(SalesCleanTable[[#This Row],[Discount %]] &gt; SalesCleanTable[[#This Row],[Max Allowed Discount]], "Discount loss", "Safe")</f>
        <v>Safe</v>
      </c>
      <c r="AD302" s="4">
        <f>SalesCleanTable[[#This Row],[Unit Price]] - SalesCleanTable[[#This Row],[Unit Cost]]</f>
        <v>550</v>
      </c>
      <c r="AE302" s="41">
        <f>(SalesCleanTable[[#This Row],[Unit Price]] - SalesCleanTable[[#This Row],[Unit Cost]]) / SalesCleanTable[[#This Row],[Unit Price]]</f>
        <v>0.25</v>
      </c>
    </row>
    <row r="303" spans="1:31">
      <c r="A303" t="s">
        <v>489</v>
      </c>
      <c r="B303" s="6">
        <v>45850</v>
      </c>
      <c r="C303" t="s">
        <v>103</v>
      </c>
      <c r="D303" t="s">
        <v>104</v>
      </c>
      <c r="E303" t="s">
        <v>92</v>
      </c>
      <c r="F303" t="s">
        <v>105</v>
      </c>
      <c r="G303" t="s">
        <v>106</v>
      </c>
      <c r="H303" t="s">
        <v>145</v>
      </c>
      <c r="I303" t="s">
        <v>146</v>
      </c>
      <c r="J303" t="s">
        <v>147</v>
      </c>
      <c r="K303" t="s">
        <v>148</v>
      </c>
      <c r="L303" t="s">
        <v>166</v>
      </c>
      <c r="M303" t="s">
        <v>186</v>
      </c>
      <c r="N303">
        <v>1</v>
      </c>
      <c r="O303" s="4">
        <v>1500</v>
      </c>
      <c r="P303" s="4">
        <v>2500</v>
      </c>
      <c r="Q303" s="7">
        <v>0.05</v>
      </c>
      <c r="R303" t="s">
        <v>181</v>
      </c>
      <c r="S303">
        <v>3</v>
      </c>
      <c r="T303">
        <v>2500</v>
      </c>
      <c r="U303">
        <v>125</v>
      </c>
      <c r="V303">
        <v>2375</v>
      </c>
      <c r="W303">
        <v>1500</v>
      </c>
      <c r="X303">
        <v>875</v>
      </c>
      <c r="Y303" s="8">
        <v>0.36842105263157893</v>
      </c>
      <c r="Z303" t="s">
        <v>2996</v>
      </c>
      <c r="AA303" t="str">
        <f>IF(AND(SalesCleanTable[[#This Row],[Discount %]]&gt;0, SalesCleanTable[[#This Row],[Profit]]&lt;0), "Discount loss", "Safe")</f>
        <v>Safe</v>
      </c>
      <c r="AB303" s="25">
        <f>(SalesCleanTable[[#This Row],[Unit Price]] - SalesCleanTable[[#This Row],[Unit Cost]]) / SalesCleanTable[[#This Row],[Unit Price]]</f>
        <v>0.4</v>
      </c>
      <c r="AC303" t="str">
        <f>IF(SalesCleanTable[[#This Row],[Discount %]] &gt; SalesCleanTable[[#This Row],[Max Allowed Discount]], "Discount loss", "Safe")</f>
        <v>Safe</v>
      </c>
      <c r="AD303" s="4">
        <f>SalesCleanTable[[#This Row],[Unit Price]] - SalesCleanTable[[#This Row],[Unit Cost]]</f>
        <v>1000</v>
      </c>
      <c r="AE303" s="41">
        <f>(SalesCleanTable[[#This Row],[Unit Price]] - SalesCleanTable[[#This Row],[Unit Cost]]) / SalesCleanTable[[#This Row],[Unit Price]]</f>
        <v>0.4</v>
      </c>
    </row>
    <row r="304" spans="1:31">
      <c r="A304" t="s">
        <v>490</v>
      </c>
      <c r="B304" s="6">
        <v>45705</v>
      </c>
      <c r="C304" t="s">
        <v>24</v>
      </c>
      <c r="D304" t="s">
        <v>25</v>
      </c>
      <c r="E304" t="s">
        <v>26</v>
      </c>
      <c r="F304" t="s">
        <v>27</v>
      </c>
      <c r="G304" t="s">
        <v>28</v>
      </c>
      <c r="H304" t="s">
        <v>133</v>
      </c>
      <c r="I304" t="s">
        <v>134</v>
      </c>
      <c r="J304" t="s">
        <v>130</v>
      </c>
      <c r="K304" t="s">
        <v>131</v>
      </c>
      <c r="L304" t="s">
        <v>183</v>
      </c>
      <c r="M304" t="s">
        <v>186</v>
      </c>
      <c r="N304">
        <v>5</v>
      </c>
      <c r="O304" s="4">
        <v>14500</v>
      </c>
      <c r="P304" s="4">
        <v>17500</v>
      </c>
      <c r="Q304" s="7">
        <v>0.05</v>
      </c>
      <c r="R304" t="s">
        <v>173</v>
      </c>
      <c r="S304">
        <v>2</v>
      </c>
      <c r="T304">
        <v>87500</v>
      </c>
      <c r="U304">
        <v>4375</v>
      </c>
      <c r="V304">
        <v>83125</v>
      </c>
      <c r="W304">
        <v>72500</v>
      </c>
      <c r="X304">
        <v>10625</v>
      </c>
      <c r="Y304" s="8">
        <v>0.12781954887218044</v>
      </c>
      <c r="Z304" t="s">
        <v>2995</v>
      </c>
      <c r="AA304" t="str">
        <f>IF(AND(SalesCleanTable[[#This Row],[Discount %]]&gt;0, SalesCleanTable[[#This Row],[Profit]]&lt;0), "Discount loss", "Safe")</f>
        <v>Safe</v>
      </c>
      <c r="AB304" s="25">
        <f>(SalesCleanTable[[#This Row],[Unit Price]] - SalesCleanTable[[#This Row],[Unit Cost]]) / SalesCleanTable[[#This Row],[Unit Price]]</f>
        <v>0.17142857142857143</v>
      </c>
      <c r="AC304" t="str">
        <f>IF(SalesCleanTable[[#This Row],[Discount %]] &gt; SalesCleanTable[[#This Row],[Max Allowed Discount]], "Discount loss", "Safe")</f>
        <v>Safe</v>
      </c>
      <c r="AD304" s="4">
        <f>SalesCleanTable[[#This Row],[Unit Price]] - SalesCleanTable[[#This Row],[Unit Cost]]</f>
        <v>3000</v>
      </c>
      <c r="AE304" s="41">
        <f>(SalesCleanTable[[#This Row],[Unit Price]] - SalesCleanTable[[#This Row],[Unit Cost]]) / SalesCleanTable[[#This Row],[Unit Price]]</f>
        <v>0.17142857142857143</v>
      </c>
    </row>
    <row r="305" spans="1:31">
      <c r="A305" t="s">
        <v>491</v>
      </c>
      <c r="B305" s="6">
        <v>45916</v>
      </c>
      <c r="C305" t="s">
        <v>32</v>
      </c>
      <c r="D305" t="s">
        <v>33</v>
      </c>
      <c r="E305" t="s">
        <v>26</v>
      </c>
      <c r="F305" t="s">
        <v>34</v>
      </c>
      <c r="G305" t="s">
        <v>35</v>
      </c>
      <c r="H305" t="s">
        <v>149</v>
      </c>
      <c r="I305" t="s">
        <v>150</v>
      </c>
      <c r="J305" t="s">
        <v>151</v>
      </c>
      <c r="K305" t="s">
        <v>152</v>
      </c>
      <c r="L305" t="s">
        <v>166</v>
      </c>
      <c r="M305" t="s">
        <v>171</v>
      </c>
      <c r="N305">
        <v>1</v>
      </c>
      <c r="O305" s="4">
        <v>7800</v>
      </c>
      <c r="P305" s="4">
        <v>9800</v>
      </c>
      <c r="Q305" s="7">
        <v>0.1</v>
      </c>
      <c r="R305" t="s">
        <v>197</v>
      </c>
      <c r="S305">
        <v>5</v>
      </c>
      <c r="T305">
        <v>9800</v>
      </c>
      <c r="U305">
        <v>980</v>
      </c>
      <c r="V305">
        <v>8820</v>
      </c>
      <c r="W305">
        <v>7800</v>
      </c>
      <c r="X305">
        <v>1020</v>
      </c>
      <c r="Y305" s="8">
        <v>0.11564625850340136</v>
      </c>
      <c r="Z305" t="s">
        <v>2995</v>
      </c>
      <c r="AA305" t="str">
        <f>IF(AND(SalesCleanTable[[#This Row],[Discount %]]&gt;0, SalesCleanTable[[#This Row],[Profit]]&lt;0), "Discount loss", "Safe")</f>
        <v>Safe</v>
      </c>
      <c r="AB305" s="25">
        <f>(SalesCleanTable[[#This Row],[Unit Price]] - SalesCleanTable[[#This Row],[Unit Cost]]) / SalesCleanTable[[#This Row],[Unit Price]]</f>
        <v>0.20408163265306123</v>
      </c>
      <c r="AC305" t="str">
        <f>IF(SalesCleanTable[[#This Row],[Discount %]] &gt; SalesCleanTable[[#This Row],[Max Allowed Discount]], "Discount loss", "Safe")</f>
        <v>Safe</v>
      </c>
      <c r="AD305" s="4">
        <f>SalesCleanTable[[#This Row],[Unit Price]] - SalesCleanTable[[#This Row],[Unit Cost]]</f>
        <v>2000</v>
      </c>
      <c r="AE305" s="41">
        <f>(SalesCleanTable[[#This Row],[Unit Price]] - SalesCleanTable[[#This Row],[Unit Cost]]) / SalesCleanTable[[#This Row],[Unit Price]]</f>
        <v>0.20408163265306123</v>
      </c>
    </row>
    <row r="306" spans="1:31">
      <c r="A306" t="s">
        <v>492</v>
      </c>
      <c r="B306" s="6">
        <v>45819</v>
      </c>
      <c r="C306" t="s">
        <v>112</v>
      </c>
      <c r="D306" t="s">
        <v>113</v>
      </c>
      <c r="E306" t="s">
        <v>109</v>
      </c>
      <c r="F306" t="s">
        <v>114</v>
      </c>
      <c r="G306" t="s">
        <v>115</v>
      </c>
      <c r="H306" t="s">
        <v>135</v>
      </c>
      <c r="I306" t="s">
        <v>136</v>
      </c>
      <c r="J306" t="s">
        <v>137</v>
      </c>
      <c r="K306" t="s">
        <v>138</v>
      </c>
      <c r="L306" t="s">
        <v>166</v>
      </c>
      <c r="M306" t="s">
        <v>167</v>
      </c>
      <c r="N306">
        <v>5</v>
      </c>
      <c r="O306" s="4">
        <v>1300</v>
      </c>
      <c r="P306" s="4">
        <v>2100</v>
      </c>
      <c r="Q306" s="7">
        <v>0.05</v>
      </c>
      <c r="R306" t="s">
        <v>235</v>
      </c>
      <c r="S306">
        <v>3</v>
      </c>
      <c r="T306">
        <v>10500</v>
      </c>
      <c r="U306">
        <v>525</v>
      </c>
      <c r="V306">
        <v>9975</v>
      </c>
      <c r="W306">
        <v>6500</v>
      </c>
      <c r="X306">
        <v>3475</v>
      </c>
      <c r="Y306" s="8">
        <v>0.34837092731829572</v>
      </c>
      <c r="Z306" t="s">
        <v>2995</v>
      </c>
      <c r="AA306" t="str">
        <f>IF(AND(SalesCleanTable[[#This Row],[Discount %]]&gt;0, SalesCleanTable[[#This Row],[Profit]]&lt;0), "Discount loss", "Safe")</f>
        <v>Safe</v>
      </c>
      <c r="AB306" s="25">
        <f>(SalesCleanTable[[#This Row],[Unit Price]] - SalesCleanTable[[#This Row],[Unit Cost]]) / SalesCleanTable[[#This Row],[Unit Price]]</f>
        <v>0.38095238095238093</v>
      </c>
      <c r="AC306" t="str">
        <f>IF(SalesCleanTable[[#This Row],[Discount %]] &gt; SalesCleanTable[[#This Row],[Max Allowed Discount]], "Discount loss", "Safe")</f>
        <v>Safe</v>
      </c>
      <c r="AD306" s="4">
        <f>SalesCleanTable[[#This Row],[Unit Price]] - SalesCleanTable[[#This Row],[Unit Cost]]</f>
        <v>800</v>
      </c>
      <c r="AE306" s="41">
        <f>(SalesCleanTable[[#This Row],[Unit Price]] - SalesCleanTable[[#This Row],[Unit Cost]]) / SalesCleanTable[[#This Row],[Unit Price]]</f>
        <v>0.38095238095238093</v>
      </c>
    </row>
    <row r="307" spans="1:31">
      <c r="A307" t="s">
        <v>493</v>
      </c>
      <c r="B307" s="6">
        <v>45957</v>
      </c>
      <c r="C307" t="s">
        <v>32</v>
      </c>
      <c r="D307" t="s">
        <v>33</v>
      </c>
      <c r="E307" t="s">
        <v>26</v>
      </c>
      <c r="F307" t="s">
        <v>34</v>
      </c>
      <c r="G307" t="s">
        <v>35</v>
      </c>
      <c r="H307" t="s">
        <v>128</v>
      </c>
      <c r="I307" t="s">
        <v>129</v>
      </c>
      <c r="J307" t="s">
        <v>130</v>
      </c>
      <c r="K307" t="s">
        <v>131</v>
      </c>
      <c r="L307" t="s">
        <v>166</v>
      </c>
      <c r="M307" t="s">
        <v>186</v>
      </c>
      <c r="N307">
        <v>2</v>
      </c>
      <c r="O307" s="4">
        <v>7800</v>
      </c>
      <c r="P307" s="4">
        <v>9800</v>
      </c>
      <c r="Q307" s="7">
        <v>0.05</v>
      </c>
      <c r="R307" t="s">
        <v>197</v>
      </c>
      <c r="S307">
        <v>8</v>
      </c>
      <c r="T307">
        <v>19600</v>
      </c>
      <c r="U307">
        <v>980</v>
      </c>
      <c r="V307">
        <v>18620</v>
      </c>
      <c r="W307">
        <v>15600</v>
      </c>
      <c r="X307">
        <v>3020</v>
      </c>
      <c r="Y307" s="8">
        <v>0.16219119226638024</v>
      </c>
      <c r="Z307" t="s">
        <v>2995</v>
      </c>
      <c r="AA307" t="str">
        <f>IF(AND(SalesCleanTable[[#This Row],[Discount %]]&gt;0, SalesCleanTable[[#This Row],[Profit]]&lt;0), "Discount loss", "Safe")</f>
        <v>Safe</v>
      </c>
      <c r="AB307" s="25">
        <f>(SalesCleanTable[[#This Row],[Unit Price]] - SalesCleanTable[[#This Row],[Unit Cost]]) / SalesCleanTable[[#This Row],[Unit Price]]</f>
        <v>0.20408163265306123</v>
      </c>
      <c r="AC307" t="str">
        <f>IF(SalesCleanTable[[#This Row],[Discount %]] &gt; SalesCleanTable[[#This Row],[Max Allowed Discount]], "Discount loss", "Safe")</f>
        <v>Safe</v>
      </c>
      <c r="AD307" s="4">
        <f>SalesCleanTable[[#This Row],[Unit Price]] - SalesCleanTable[[#This Row],[Unit Cost]]</f>
        <v>2000</v>
      </c>
      <c r="AE307" s="41">
        <f>(SalesCleanTable[[#This Row],[Unit Price]] - SalesCleanTable[[#This Row],[Unit Cost]]) / SalesCleanTable[[#This Row],[Unit Price]]</f>
        <v>0.20408163265306123</v>
      </c>
    </row>
    <row r="308" spans="1:31">
      <c r="A308" t="s">
        <v>494</v>
      </c>
      <c r="B308" s="6">
        <v>45793</v>
      </c>
      <c r="C308" t="s">
        <v>103</v>
      </c>
      <c r="D308" t="s">
        <v>104</v>
      </c>
      <c r="E308" t="s">
        <v>92</v>
      </c>
      <c r="F308" t="s">
        <v>105</v>
      </c>
      <c r="G308" t="s">
        <v>106</v>
      </c>
      <c r="H308" t="s">
        <v>128</v>
      </c>
      <c r="I308" t="s">
        <v>129</v>
      </c>
      <c r="J308" t="s">
        <v>130</v>
      </c>
      <c r="K308" t="s">
        <v>131</v>
      </c>
      <c r="L308" t="s">
        <v>183</v>
      </c>
      <c r="M308" t="s">
        <v>171</v>
      </c>
      <c r="N308">
        <v>5</v>
      </c>
      <c r="O308" s="4">
        <v>1500</v>
      </c>
      <c r="P308" s="4">
        <v>2500</v>
      </c>
      <c r="Q308" s="7">
        <v>0.05</v>
      </c>
      <c r="R308" t="s">
        <v>181</v>
      </c>
      <c r="S308">
        <v>14</v>
      </c>
      <c r="T308">
        <v>12500</v>
      </c>
      <c r="U308">
        <v>625</v>
      </c>
      <c r="V308">
        <v>11875</v>
      </c>
      <c r="W308">
        <v>7500</v>
      </c>
      <c r="X308">
        <v>4375</v>
      </c>
      <c r="Y308" s="8">
        <v>0.36842105263157893</v>
      </c>
      <c r="Z308" t="s">
        <v>2996</v>
      </c>
      <c r="AA308" t="str">
        <f>IF(AND(SalesCleanTable[[#This Row],[Discount %]]&gt;0, SalesCleanTable[[#This Row],[Profit]]&lt;0), "Discount loss", "Safe")</f>
        <v>Safe</v>
      </c>
      <c r="AB308" s="25">
        <f>(SalesCleanTable[[#This Row],[Unit Price]] - SalesCleanTable[[#This Row],[Unit Cost]]) / SalesCleanTable[[#This Row],[Unit Price]]</f>
        <v>0.4</v>
      </c>
      <c r="AC308" t="str">
        <f>IF(SalesCleanTable[[#This Row],[Discount %]] &gt; SalesCleanTable[[#This Row],[Max Allowed Discount]], "Discount loss", "Safe")</f>
        <v>Safe</v>
      </c>
      <c r="AD308" s="4">
        <f>SalesCleanTable[[#This Row],[Unit Price]] - SalesCleanTable[[#This Row],[Unit Cost]]</f>
        <v>1000</v>
      </c>
      <c r="AE308" s="41">
        <f>(SalesCleanTable[[#This Row],[Unit Price]] - SalesCleanTable[[#This Row],[Unit Cost]]) / SalesCleanTable[[#This Row],[Unit Price]]</f>
        <v>0.4</v>
      </c>
    </row>
    <row r="309" spans="1:31">
      <c r="A309" t="s">
        <v>495</v>
      </c>
      <c r="B309" s="6">
        <v>45733</v>
      </c>
      <c r="C309" t="s">
        <v>29</v>
      </c>
      <c r="D309" t="s">
        <v>30</v>
      </c>
      <c r="E309" t="s">
        <v>26</v>
      </c>
      <c r="F309" t="s">
        <v>27</v>
      </c>
      <c r="G309" t="s">
        <v>31</v>
      </c>
      <c r="H309" t="s">
        <v>135</v>
      </c>
      <c r="I309" t="s">
        <v>136</v>
      </c>
      <c r="J309" t="s">
        <v>137</v>
      </c>
      <c r="K309" t="s">
        <v>138</v>
      </c>
      <c r="L309" t="s">
        <v>183</v>
      </c>
      <c r="M309" t="s">
        <v>167</v>
      </c>
      <c r="N309">
        <v>2</v>
      </c>
      <c r="O309" s="4">
        <v>6200</v>
      </c>
      <c r="P309" s="4">
        <v>7900</v>
      </c>
      <c r="Q309" s="7">
        <v>0.05</v>
      </c>
      <c r="R309" t="s">
        <v>197</v>
      </c>
      <c r="S309">
        <v>1</v>
      </c>
      <c r="T309">
        <v>15800</v>
      </c>
      <c r="U309">
        <v>790</v>
      </c>
      <c r="V309">
        <v>15010</v>
      </c>
      <c r="W309">
        <v>12400</v>
      </c>
      <c r="X309">
        <v>2610</v>
      </c>
      <c r="Y309" s="8">
        <v>0.17388407728181213</v>
      </c>
      <c r="Z309" t="s">
        <v>2996</v>
      </c>
      <c r="AA309" t="str">
        <f>IF(AND(SalesCleanTable[[#This Row],[Discount %]]&gt;0, SalesCleanTable[[#This Row],[Profit]]&lt;0), "Discount loss", "Safe")</f>
        <v>Safe</v>
      </c>
      <c r="AB309" s="25">
        <f>(SalesCleanTable[[#This Row],[Unit Price]] - SalesCleanTable[[#This Row],[Unit Cost]]) / SalesCleanTable[[#This Row],[Unit Price]]</f>
        <v>0.21518987341772153</v>
      </c>
      <c r="AC309" t="str">
        <f>IF(SalesCleanTable[[#This Row],[Discount %]] &gt; SalesCleanTable[[#This Row],[Max Allowed Discount]], "Discount loss", "Safe")</f>
        <v>Safe</v>
      </c>
      <c r="AD309" s="4">
        <f>SalesCleanTable[[#This Row],[Unit Price]] - SalesCleanTable[[#This Row],[Unit Cost]]</f>
        <v>1700</v>
      </c>
      <c r="AE309" s="41">
        <f>(SalesCleanTable[[#This Row],[Unit Price]] - SalesCleanTable[[#This Row],[Unit Cost]]) / SalesCleanTable[[#This Row],[Unit Price]]</f>
        <v>0.21518987341772153</v>
      </c>
    </row>
    <row r="310" spans="1:31">
      <c r="A310" t="s">
        <v>496</v>
      </c>
      <c r="B310" s="6">
        <v>45889</v>
      </c>
      <c r="C310" t="s">
        <v>62</v>
      </c>
      <c r="D310" t="s">
        <v>63</v>
      </c>
      <c r="E310" t="s">
        <v>59</v>
      </c>
      <c r="F310" t="s">
        <v>64</v>
      </c>
      <c r="G310" t="s">
        <v>65</v>
      </c>
      <c r="H310" t="s">
        <v>139</v>
      </c>
      <c r="I310" t="s">
        <v>140</v>
      </c>
      <c r="J310" t="s">
        <v>137</v>
      </c>
      <c r="K310" t="s">
        <v>138</v>
      </c>
      <c r="L310" t="s">
        <v>183</v>
      </c>
      <c r="M310" t="s">
        <v>177</v>
      </c>
      <c r="N310">
        <v>1</v>
      </c>
      <c r="O310" s="4">
        <v>3200</v>
      </c>
      <c r="P310" s="4">
        <v>4500</v>
      </c>
      <c r="Q310" s="7">
        <v>0</v>
      </c>
      <c r="R310" t="s">
        <v>192</v>
      </c>
      <c r="S310">
        <v>14</v>
      </c>
      <c r="T310">
        <v>4500</v>
      </c>
      <c r="U310">
        <v>0</v>
      </c>
      <c r="V310">
        <v>4500</v>
      </c>
      <c r="W310">
        <v>3200</v>
      </c>
      <c r="X310">
        <v>1300</v>
      </c>
      <c r="Y310" s="8">
        <v>0.28888888888888886</v>
      </c>
      <c r="Z310" t="s">
        <v>2996</v>
      </c>
      <c r="AA310" t="str">
        <f>IF(AND(SalesCleanTable[[#This Row],[Discount %]]&gt;0, SalesCleanTable[[#This Row],[Profit]]&lt;0), "Discount loss", "Safe")</f>
        <v>Safe</v>
      </c>
      <c r="AB310" s="25">
        <f>(SalesCleanTable[[#This Row],[Unit Price]] - SalesCleanTable[[#This Row],[Unit Cost]]) / SalesCleanTable[[#This Row],[Unit Price]]</f>
        <v>0.28888888888888886</v>
      </c>
      <c r="AC310" t="str">
        <f>IF(SalesCleanTable[[#This Row],[Discount %]] &gt; SalesCleanTable[[#This Row],[Max Allowed Discount]], "Discount loss", "Safe")</f>
        <v>Safe</v>
      </c>
      <c r="AD310" s="4">
        <f>SalesCleanTable[[#This Row],[Unit Price]] - SalesCleanTable[[#This Row],[Unit Cost]]</f>
        <v>1300</v>
      </c>
      <c r="AE310" s="41">
        <f>(SalesCleanTable[[#This Row],[Unit Price]] - SalesCleanTable[[#This Row],[Unit Cost]]) / SalesCleanTable[[#This Row],[Unit Price]]</f>
        <v>0.28888888888888886</v>
      </c>
    </row>
    <row r="311" spans="1:31">
      <c r="A311" t="s">
        <v>497</v>
      </c>
      <c r="B311" s="6">
        <v>45771</v>
      </c>
      <c r="C311" t="s">
        <v>32</v>
      </c>
      <c r="D311" t="s">
        <v>33</v>
      </c>
      <c r="E311" t="s">
        <v>26</v>
      </c>
      <c r="F311" t="s">
        <v>34</v>
      </c>
      <c r="G311" t="s">
        <v>35</v>
      </c>
      <c r="H311" t="s">
        <v>149</v>
      </c>
      <c r="I311" t="s">
        <v>150</v>
      </c>
      <c r="J311" t="s">
        <v>151</v>
      </c>
      <c r="K311" t="s">
        <v>152</v>
      </c>
      <c r="L311" t="s">
        <v>183</v>
      </c>
      <c r="M311" t="s">
        <v>171</v>
      </c>
      <c r="N311">
        <v>2</v>
      </c>
      <c r="O311" s="4">
        <v>7800</v>
      </c>
      <c r="P311" s="4">
        <v>9800</v>
      </c>
      <c r="Q311" s="7">
        <v>0.1</v>
      </c>
      <c r="R311" t="s">
        <v>194</v>
      </c>
      <c r="S311">
        <v>14</v>
      </c>
      <c r="T311">
        <v>19600</v>
      </c>
      <c r="U311">
        <v>1960</v>
      </c>
      <c r="V311">
        <v>17640</v>
      </c>
      <c r="W311">
        <v>15600</v>
      </c>
      <c r="X311">
        <v>2040</v>
      </c>
      <c r="Y311" s="8">
        <v>0.11564625850340136</v>
      </c>
      <c r="Z311" t="s">
        <v>2995</v>
      </c>
      <c r="AA311" t="str">
        <f>IF(AND(SalesCleanTable[[#This Row],[Discount %]]&gt;0, SalesCleanTable[[#This Row],[Profit]]&lt;0), "Discount loss", "Safe")</f>
        <v>Safe</v>
      </c>
      <c r="AB311" s="25">
        <f>(SalesCleanTable[[#This Row],[Unit Price]] - SalesCleanTable[[#This Row],[Unit Cost]]) / SalesCleanTable[[#This Row],[Unit Price]]</f>
        <v>0.20408163265306123</v>
      </c>
      <c r="AC311" t="str">
        <f>IF(SalesCleanTable[[#This Row],[Discount %]] &gt; SalesCleanTable[[#This Row],[Max Allowed Discount]], "Discount loss", "Safe")</f>
        <v>Safe</v>
      </c>
      <c r="AD311" s="4">
        <f>SalesCleanTable[[#This Row],[Unit Price]] - SalesCleanTable[[#This Row],[Unit Cost]]</f>
        <v>2000</v>
      </c>
      <c r="AE311" s="41">
        <f>(SalesCleanTable[[#This Row],[Unit Price]] - SalesCleanTable[[#This Row],[Unit Cost]]) / SalesCleanTable[[#This Row],[Unit Price]]</f>
        <v>0.20408163265306123</v>
      </c>
    </row>
    <row r="312" spans="1:31">
      <c r="A312" t="s">
        <v>498</v>
      </c>
      <c r="B312" s="6">
        <v>45691</v>
      </c>
      <c r="C312" t="s">
        <v>41</v>
      </c>
      <c r="D312" t="s">
        <v>42</v>
      </c>
      <c r="E312" t="s">
        <v>26</v>
      </c>
      <c r="F312" t="s">
        <v>43</v>
      </c>
      <c r="G312" t="s">
        <v>44</v>
      </c>
      <c r="H312" t="s">
        <v>141</v>
      </c>
      <c r="I312" t="s">
        <v>142</v>
      </c>
      <c r="J312" t="s">
        <v>143</v>
      </c>
      <c r="K312" t="s">
        <v>144</v>
      </c>
      <c r="L312" t="s">
        <v>183</v>
      </c>
      <c r="M312" t="s">
        <v>171</v>
      </c>
      <c r="N312">
        <v>5</v>
      </c>
      <c r="O312" s="4">
        <v>850</v>
      </c>
      <c r="P312" s="4">
        <v>1300</v>
      </c>
      <c r="Q312" s="7">
        <v>0</v>
      </c>
      <c r="R312" t="s">
        <v>197</v>
      </c>
      <c r="S312">
        <v>1</v>
      </c>
      <c r="T312">
        <v>6500</v>
      </c>
      <c r="U312">
        <v>0</v>
      </c>
      <c r="V312">
        <v>6500</v>
      </c>
      <c r="W312">
        <v>4250</v>
      </c>
      <c r="X312">
        <v>2250</v>
      </c>
      <c r="Y312" s="8">
        <v>0.34615384615384615</v>
      </c>
      <c r="Z312" t="s">
        <v>2995</v>
      </c>
      <c r="AA312" t="str">
        <f>IF(AND(SalesCleanTable[[#This Row],[Discount %]]&gt;0, SalesCleanTable[[#This Row],[Profit]]&lt;0), "Discount loss", "Safe")</f>
        <v>Safe</v>
      </c>
      <c r="AB312" s="25">
        <f>(SalesCleanTable[[#This Row],[Unit Price]] - SalesCleanTable[[#This Row],[Unit Cost]]) / SalesCleanTable[[#This Row],[Unit Price]]</f>
        <v>0.34615384615384615</v>
      </c>
      <c r="AC312" t="str">
        <f>IF(SalesCleanTable[[#This Row],[Discount %]] &gt; SalesCleanTable[[#This Row],[Max Allowed Discount]], "Discount loss", "Safe")</f>
        <v>Safe</v>
      </c>
      <c r="AD312" s="4">
        <f>SalesCleanTable[[#This Row],[Unit Price]] - SalesCleanTable[[#This Row],[Unit Cost]]</f>
        <v>450</v>
      </c>
      <c r="AE312" s="41">
        <f>(SalesCleanTable[[#This Row],[Unit Price]] - SalesCleanTable[[#This Row],[Unit Cost]]) / SalesCleanTable[[#This Row],[Unit Price]]</f>
        <v>0.34615384615384615</v>
      </c>
    </row>
    <row r="313" spans="1:31">
      <c r="A313" t="s">
        <v>499</v>
      </c>
      <c r="B313" s="6">
        <v>45683</v>
      </c>
      <c r="C313" t="s">
        <v>36</v>
      </c>
      <c r="D313" t="s">
        <v>37</v>
      </c>
      <c r="E313" t="s">
        <v>38</v>
      </c>
      <c r="F313" t="s">
        <v>39</v>
      </c>
      <c r="G313" t="s">
        <v>40</v>
      </c>
      <c r="H313" t="s">
        <v>139</v>
      </c>
      <c r="I313" t="s">
        <v>140</v>
      </c>
      <c r="J313" t="s">
        <v>137</v>
      </c>
      <c r="K313" t="s">
        <v>138</v>
      </c>
      <c r="L313" t="s">
        <v>166</v>
      </c>
      <c r="M313" t="s">
        <v>171</v>
      </c>
      <c r="N313">
        <v>5</v>
      </c>
      <c r="O313" s="4">
        <v>1650</v>
      </c>
      <c r="P313" s="4">
        <v>2200</v>
      </c>
      <c r="Q313" s="7">
        <v>0.05</v>
      </c>
      <c r="R313" t="s">
        <v>178</v>
      </c>
      <c r="S313">
        <v>6</v>
      </c>
      <c r="T313">
        <v>11000</v>
      </c>
      <c r="U313">
        <v>550</v>
      </c>
      <c r="V313">
        <v>10450</v>
      </c>
      <c r="W313">
        <v>8250</v>
      </c>
      <c r="X313">
        <v>2200</v>
      </c>
      <c r="Y313" s="8">
        <v>0.21052631578947367</v>
      </c>
      <c r="Z313" t="s">
        <v>2995</v>
      </c>
      <c r="AA313" t="str">
        <f>IF(AND(SalesCleanTable[[#This Row],[Discount %]]&gt;0, SalesCleanTable[[#This Row],[Profit]]&lt;0), "Discount loss", "Safe")</f>
        <v>Safe</v>
      </c>
      <c r="AB313" s="25">
        <f>(SalesCleanTable[[#This Row],[Unit Price]] - SalesCleanTable[[#This Row],[Unit Cost]]) / SalesCleanTable[[#This Row],[Unit Price]]</f>
        <v>0.25</v>
      </c>
      <c r="AC313" t="str">
        <f>IF(SalesCleanTable[[#This Row],[Discount %]] &gt; SalesCleanTable[[#This Row],[Max Allowed Discount]], "Discount loss", "Safe")</f>
        <v>Safe</v>
      </c>
      <c r="AD313" s="4">
        <f>SalesCleanTable[[#This Row],[Unit Price]] - SalesCleanTable[[#This Row],[Unit Cost]]</f>
        <v>550</v>
      </c>
      <c r="AE313" s="41">
        <f>(SalesCleanTable[[#This Row],[Unit Price]] - SalesCleanTable[[#This Row],[Unit Cost]]) / SalesCleanTable[[#This Row],[Unit Price]]</f>
        <v>0.25</v>
      </c>
    </row>
    <row r="314" spans="1:31">
      <c r="A314" t="s">
        <v>500</v>
      </c>
      <c r="B314" s="6">
        <v>45753</v>
      </c>
      <c r="C314" t="s">
        <v>45</v>
      </c>
      <c r="D314" t="s">
        <v>46</v>
      </c>
      <c r="E314" t="s">
        <v>38</v>
      </c>
      <c r="F314" t="s">
        <v>47</v>
      </c>
      <c r="G314" t="s">
        <v>48</v>
      </c>
      <c r="H314" t="s">
        <v>135</v>
      </c>
      <c r="I314" t="s">
        <v>136</v>
      </c>
      <c r="J314" t="s">
        <v>137</v>
      </c>
      <c r="K314" t="s">
        <v>138</v>
      </c>
      <c r="L314" t="s">
        <v>183</v>
      </c>
      <c r="M314" t="s">
        <v>171</v>
      </c>
      <c r="N314">
        <v>1</v>
      </c>
      <c r="O314" s="4">
        <v>230</v>
      </c>
      <c r="P314" s="4">
        <v>400</v>
      </c>
      <c r="Q314" s="7">
        <v>0.1</v>
      </c>
      <c r="R314" t="s">
        <v>168</v>
      </c>
      <c r="S314">
        <v>7</v>
      </c>
      <c r="T314">
        <v>400</v>
      </c>
      <c r="U314">
        <v>40</v>
      </c>
      <c r="V314">
        <v>360</v>
      </c>
      <c r="W314">
        <v>230</v>
      </c>
      <c r="X314">
        <v>130</v>
      </c>
      <c r="Y314" s="8">
        <v>0.3611111111111111</v>
      </c>
      <c r="Z314" t="s">
        <v>2995</v>
      </c>
      <c r="AA314" t="str">
        <f>IF(AND(SalesCleanTable[[#This Row],[Discount %]]&gt;0, SalesCleanTable[[#This Row],[Profit]]&lt;0), "Discount loss", "Safe")</f>
        <v>Safe</v>
      </c>
      <c r="AB314" s="25">
        <f>(SalesCleanTable[[#This Row],[Unit Price]] - SalesCleanTable[[#This Row],[Unit Cost]]) / SalesCleanTable[[#This Row],[Unit Price]]</f>
        <v>0.42499999999999999</v>
      </c>
      <c r="AC314" t="str">
        <f>IF(SalesCleanTable[[#This Row],[Discount %]] &gt; SalesCleanTable[[#This Row],[Max Allowed Discount]], "Discount loss", "Safe")</f>
        <v>Safe</v>
      </c>
      <c r="AD314" s="4">
        <f>SalesCleanTable[[#This Row],[Unit Price]] - SalesCleanTable[[#This Row],[Unit Cost]]</f>
        <v>170</v>
      </c>
      <c r="AE314" s="41">
        <f>(SalesCleanTable[[#This Row],[Unit Price]] - SalesCleanTable[[#This Row],[Unit Cost]]) / SalesCleanTable[[#This Row],[Unit Price]]</f>
        <v>0.42499999999999999</v>
      </c>
    </row>
    <row r="315" spans="1:31">
      <c r="A315" t="s">
        <v>501</v>
      </c>
      <c r="B315" s="6">
        <v>45903</v>
      </c>
      <c r="C315" t="s">
        <v>29</v>
      </c>
      <c r="D315" t="s">
        <v>30</v>
      </c>
      <c r="E315" t="s">
        <v>26</v>
      </c>
      <c r="F315" t="s">
        <v>27</v>
      </c>
      <c r="G315" t="s">
        <v>31</v>
      </c>
      <c r="H315" t="s">
        <v>135</v>
      </c>
      <c r="I315" t="s">
        <v>136</v>
      </c>
      <c r="J315" t="s">
        <v>137</v>
      </c>
      <c r="K315" t="s">
        <v>138</v>
      </c>
      <c r="L315" t="s">
        <v>183</v>
      </c>
      <c r="M315" t="s">
        <v>171</v>
      </c>
      <c r="N315">
        <v>1</v>
      </c>
      <c r="O315" s="4">
        <v>6200</v>
      </c>
      <c r="P315" s="4">
        <v>7900</v>
      </c>
      <c r="Q315" s="7">
        <v>0</v>
      </c>
      <c r="R315" t="s">
        <v>173</v>
      </c>
      <c r="S315">
        <v>13</v>
      </c>
      <c r="T315">
        <v>7900</v>
      </c>
      <c r="U315">
        <v>0</v>
      </c>
      <c r="V315">
        <v>7900</v>
      </c>
      <c r="W315">
        <v>6200</v>
      </c>
      <c r="X315">
        <v>1700</v>
      </c>
      <c r="Y315" s="8">
        <v>0.21518987341772153</v>
      </c>
      <c r="Z315" t="s">
        <v>2996</v>
      </c>
      <c r="AA315" t="str">
        <f>IF(AND(SalesCleanTable[[#This Row],[Discount %]]&gt;0, SalesCleanTable[[#This Row],[Profit]]&lt;0), "Discount loss", "Safe")</f>
        <v>Safe</v>
      </c>
      <c r="AB315" s="25">
        <f>(SalesCleanTable[[#This Row],[Unit Price]] - SalesCleanTable[[#This Row],[Unit Cost]]) / SalesCleanTable[[#This Row],[Unit Price]]</f>
        <v>0.21518987341772153</v>
      </c>
      <c r="AC315" t="str">
        <f>IF(SalesCleanTable[[#This Row],[Discount %]] &gt; SalesCleanTable[[#This Row],[Max Allowed Discount]], "Discount loss", "Safe")</f>
        <v>Safe</v>
      </c>
      <c r="AD315" s="4">
        <f>SalesCleanTable[[#This Row],[Unit Price]] - SalesCleanTable[[#This Row],[Unit Cost]]</f>
        <v>1700</v>
      </c>
      <c r="AE315" s="41">
        <f>(SalesCleanTable[[#This Row],[Unit Price]] - SalesCleanTable[[#This Row],[Unit Cost]]) / SalesCleanTable[[#This Row],[Unit Price]]</f>
        <v>0.21518987341772153</v>
      </c>
    </row>
    <row r="316" spans="1:31">
      <c r="A316" t="s">
        <v>502</v>
      </c>
      <c r="B316" s="6">
        <v>45667</v>
      </c>
      <c r="C316" t="s">
        <v>120</v>
      </c>
      <c r="D316" t="s">
        <v>121</v>
      </c>
      <c r="E316" t="s">
        <v>109</v>
      </c>
      <c r="F316" t="s">
        <v>93</v>
      </c>
      <c r="G316" t="s">
        <v>122</v>
      </c>
      <c r="H316" t="s">
        <v>145</v>
      </c>
      <c r="I316" t="s">
        <v>146</v>
      </c>
      <c r="J316" t="s">
        <v>147</v>
      </c>
      <c r="K316" t="s">
        <v>148</v>
      </c>
      <c r="L316" t="s">
        <v>166</v>
      </c>
      <c r="M316" t="s">
        <v>171</v>
      </c>
      <c r="N316">
        <v>2</v>
      </c>
      <c r="O316" s="4">
        <v>1700</v>
      </c>
      <c r="P316" s="4">
        <v>2800</v>
      </c>
      <c r="Q316" s="7">
        <v>0.15</v>
      </c>
      <c r="R316" t="s">
        <v>184</v>
      </c>
      <c r="S316">
        <v>6</v>
      </c>
      <c r="T316">
        <v>5600</v>
      </c>
      <c r="U316">
        <v>840</v>
      </c>
      <c r="V316">
        <v>4760</v>
      </c>
      <c r="W316">
        <v>3400</v>
      </c>
      <c r="X316">
        <v>1360</v>
      </c>
      <c r="Y316" s="8">
        <v>0.2857142857142857</v>
      </c>
      <c r="Z316" t="s">
        <v>2997</v>
      </c>
      <c r="AA316" t="str">
        <f>IF(AND(SalesCleanTable[[#This Row],[Discount %]]&gt;0, SalesCleanTable[[#This Row],[Profit]]&lt;0), "Discount loss", "Safe")</f>
        <v>Safe</v>
      </c>
      <c r="AB316" s="25">
        <f>(SalesCleanTable[[#This Row],[Unit Price]] - SalesCleanTable[[#This Row],[Unit Cost]]) / SalesCleanTable[[#This Row],[Unit Price]]</f>
        <v>0.39285714285714285</v>
      </c>
      <c r="AC316" t="str">
        <f>IF(SalesCleanTable[[#This Row],[Discount %]] &gt; SalesCleanTable[[#This Row],[Max Allowed Discount]], "Discount loss", "Safe")</f>
        <v>Safe</v>
      </c>
      <c r="AD316" s="4">
        <f>SalesCleanTable[[#This Row],[Unit Price]] - SalesCleanTable[[#This Row],[Unit Cost]]</f>
        <v>1100</v>
      </c>
      <c r="AE316" s="41">
        <f>(SalesCleanTable[[#This Row],[Unit Price]] - SalesCleanTable[[#This Row],[Unit Cost]]) / SalesCleanTable[[#This Row],[Unit Price]]</f>
        <v>0.39285714285714285</v>
      </c>
    </row>
    <row r="317" spans="1:31">
      <c r="A317" t="s">
        <v>503</v>
      </c>
      <c r="B317" s="6">
        <v>45750</v>
      </c>
      <c r="C317" t="s">
        <v>24</v>
      </c>
      <c r="D317" t="s">
        <v>25</v>
      </c>
      <c r="E317" t="s">
        <v>26</v>
      </c>
      <c r="F317" t="s">
        <v>27</v>
      </c>
      <c r="G317" t="s">
        <v>28</v>
      </c>
      <c r="H317" t="s">
        <v>139</v>
      </c>
      <c r="I317" t="s">
        <v>140</v>
      </c>
      <c r="J317" t="s">
        <v>137</v>
      </c>
      <c r="K317" t="s">
        <v>138</v>
      </c>
      <c r="L317" t="s">
        <v>166</v>
      </c>
      <c r="M317" t="s">
        <v>171</v>
      </c>
      <c r="N317">
        <v>1</v>
      </c>
      <c r="O317" s="4">
        <v>14500</v>
      </c>
      <c r="P317" s="4">
        <v>17500</v>
      </c>
      <c r="Q317" s="7">
        <v>0.15</v>
      </c>
      <c r="R317" t="s">
        <v>194</v>
      </c>
      <c r="S317">
        <v>9</v>
      </c>
      <c r="T317">
        <v>17500</v>
      </c>
      <c r="U317">
        <v>2625</v>
      </c>
      <c r="V317">
        <v>14875</v>
      </c>
      <c r="W317">
        <v>14500</v>
      </c>
      <c r="X317">
        <v>375</v>
      </c>
      <c r="Y317" s="8">
        <v>2.5210084033613446E-2</v>
      </c>
      <c r="Z317" t="s">
        <v>2995</v>
      </c>
      <c r="AA317" t="str">
        <f>IF(AND(SalesCleanTable[[#This Row],[Discount %]]&gt;0, SalesCleanTable[[#This Row],[Profit]]&lt;0), "Discount loss", "Safe")</f>
        <v>Safe</v>
      </c>
      <c r="AB317" s="25">
        <f>(SalesCleanTable[[#This Row],[Unit Price]] - SalesCleanTable[[#This Row],[Unit Cost]]) / SalesCleanTable[[#This Row],[Unit Price]]</f>
        <v>0.17142857142857143</v>
      </c>
      <c r="AC317" t="str">
        <f>IF(SalesCleanTable[[#This Row],[Discount %]] &gt; SalesCleanTable[[#This Row],[Max Allowed Discount]], "Discount loss", "Safe")</f>
        <v>Safe</v>
      </c>
      <c r="AD317" s="4">
        <f>SalesCleanTable[[#This Row],[Unit Price]] - SalesCleanTable[[#This Row],[Unit Cost]]</f>
        <v>3000</v>
      </c>
      <c r="AE317" s="41">
        <f>(SalesCleanTable[[#This Row],[Unit Price]] - SalesCleanTable[[#This Row],[Unit Cost]]) / SalesCleanTable[[#This Row],[Unit Price]]</f>
        <v>0.17142857142857143</v>
      </c>
    </row>
    <row r="318" spans="1:31">
      <c r="A318" t="s">
        <v>504</v>
      </c>
      <c r="B318" s="6">
        <v>45957</v>
      </c>
      <c r="C318" t="s">
        <v>120</v>
      </c>
      <c r="D318" t="s">
        <v>121</v>
      </c>
      <c r="E318" t="s">
        <v>109</v>
      </c>
      <c r="F318" t="s">
        <v>93</v>
      </c>
      <c r="G318" t="s">
        <v>122</v>
      </c>
      <c r="H318" t="s">
        <v>153</v>
      </c>
      <c r="I318" t="s">
        <v>154</v>
      </c>
      <c r="J318" t="s">
        <v>155</v>
      </c>
      <c r="K318" t="s">
        <v>131</v>
      </c>
      <c r="L318" t="s">
        <v>166</v>
      </c>
      <c r="M318" t="s">
        <v>171</v>
      </c>
      <c r="N318">
        <v>1</v>
      </c>
      <c r="O318" s="4">
        <v>1700</v>
      </c>
      <c r="P318" s="4">
        <v>2800</v>
      </c>
      <c r="Q318" s="7">
        <v>0.2</v>
      </c>
      <c r="R318" t="s">
        <v>184</v>
      </c>
      <c r="S318">
        <v>1</v>
      </c>
      <c r="T318">
        <v>2800</v>
      </c>
      <c r="U318">
        <v>560</v>
      </c>
      <c r="V318">
        <v>2240</v>
      </c>
      <c r="W318">
        <v>1700</v>
      </c>
      <c r="X318">
        <v>540</v>
      </c>
      <c r="Y318" s="8">
        <v>0.24107142857142858</v>
      </c>
      <c r="Z318" t="s">
        <v>2997</v>
      </c>
      <c r="AA318" t="str">
        <f>IF(AND(SalesCleanTable[[#This Row],[Discount %]]&gt;0, SalesCleanTable[[#This Row],[Profit]]&lt;0), "Discount loss", "Safe")</f>
        <v>Safe</v>
      </c>
      <c r="AB318" s="25">
        <f>(SalesCleanTable[[#This Row],[Unit Price]] - SalesCleanTable[[#This Row],[Unit Cost]]) / SalesCleanTable[[#This Row],[Unit Price]]</f>
        <v>0.39285714285714285</v>
      </c>
      <c r="AC318" t="str">
        <f>IF(SalesCleanTable[[#This Row],[Discount %]] &gt; SalesCleanTable[[#This Row],[Max Allowed Discount]], "Discount loss", "Safe")</f>
        <v>Safe</v>
      </c>
      <c r="AD318" s="4">
        <f>SalesCleanTable[[#This Row],[Unit Price]] - SalesCleanTable[[#This Row],[Unit Cost]]</f>
        <v>1100</v>
      </c>
      <c r="AE318" s="41">
        <f>(SalesCleanTable[[#This Row],[Unit Price]] - SalesCleanTable[[#This Row],[Unit Cost]]) / SalesCleanTable[[#This Row],[Unit Price]]</f>
        <v>0.39285714285714285</v>
      </c>
    </row>
    <row r="319" spans="1:31">
      <c r="A319" t="s">
        <v>505</v>
      </c>
      <c r="B319" s="6">
        <v>45770</v>
      </c>
      <c r="C319" t="s">
        <v>66</v>
      </c>
      <c r="D319" t="s">
        <v>67</v>
      </c>
      <c r="E319" t="s">
        <v>59</v>
      </c>
      <c r="F319" t="s">
        <v>60</v>
      </c>
      <c r="G319" t="s">
        <v>68</v>
      </c>
      <c r="H319" t="s">
        <v>153</v>
      </c>
      <c r="I319" t="s">
        <v>154</v>
      </c>
      <c r="J319" t="s">
        <v>155</v>
      </c>
      <c r="K319" t="s">
        <v>131</v>
      </c>
      <c r="L319" t="s">
        <v>170</v>
      </c>
      <c r="M319" t="s">
        <v>177</v>
      </c>
      <c r="N319">
        <v>2</v>
      </c>
      <c r="O319" s="4">
        <v>2800</v>
      </c>
      <c r="P319" s="4">
        <v>3900</v>
      </c>
      <c r="Q319" s="7">
        <v>0.2</v>
      </c>
      <c r="R319" t="s">
        <v>192</v>
      </c>
      <c r="S319">
        <v>10</v>
      </c>
      <c r="T319">
        <v>7800</v>
      </c>
      <c r="U319">
        <v>1560</v>
      </c>
      <c r="V319">
        <v>6240</v>
      </c>
      <c r="W319">
        <v>5600</v>
      </c>
      <c r="X319">
        <v>640</v>
      </c>
      <c r="Y319" s="8">
        <v>0.10256410256410256</v>
      </c>
      <c r="Z319" t="s">
        <v>2996</v>
      </c>
      <c r="AA319" t="str">
        <f>IF(AND(SalesCleanTable[[#This Row],[Discount %]]&gt;0, SalesCleanTable[[#This Row],[Profit]]&lt;0), "Discount loss", "Safe")</f>
        <v>Safe</v>
      </c>
      <c r="AB319" s="25">
        <f>(SalesCleanTable[[#This Row],[Unit Price]] - SalesCleanTable[[#This Row],[Unit Cost]]) / SalesCleanTable[[#This Row],[Unit Price]]</f>
        <v>0.28205128205128205</v>
      </c>
      <c r="AC319" t="str">
        <f>IF(SalesCleanTable[[#This Row],[Discount %]] &gt; SalesCleanTable[[#This Row],[Max Allowed Discount]], "Discount loss", "Safe")</f>
        <v>Safe</v>
      </c>
      <c r="AD319" s="4">
        <f>SalesCleanTable[[#This Row],[Unit Price]] - SalesCleanTable[[#This Row],[Unit Cost]]</f>
        <v>1100</v>
      </c>
      <c r="AE319" s="41">
        <f>(SalesCleanTable[[#This Row],[Unit Price]] - SalesCleanTable[[#This Row],[Unit Cost]]) / SalesCleanTable[[#This Row],[Unit Price]]</f>
        <v>0.28205128205128205</v>
      </c>
    </row>
    <row r="320" spans="1:31">
      <c r="A320" t="s">
        <v>506</v>
      </c>
      <c r="B320" s="6">
        <v>46015</v>
      </c>
      <c r="C320" t="s">
        <v>49</v>
      </c>
      <c r="D320" t="s">
        <v>50</v>
      </c>
      <c r="E320" t="s">
        <v>38</v>
      </c>
      <c r="F320" t="s">
        <v>51</v>
      </c>
      <c r="G320" t="s">
        <v>52</v>
      </c>
      <c r="H320" t="s">
        <v>139</v>
      </c>
      <c r="I320" t="s">
        <v>140</v>
      </c>
      <c r="J320" t="s">
        <v>137</v>
      </c>
      <c r="K320" t="s">
        <v>138</v>
      </c>
      <c r="L320" t="s">
        <v>166</v>
      </c>
      <c r="M320" t="s">
        <v>177</v>
      </c>
      <c r="N320">
        <v>4</v>
      </c>
      <c r="O320" s="4">
        <v>550</v>
      </c>
      <c r="P320" s="4">
        <v>850</v>
      </c>
      <c r="Q320" s="7">
        <v>0.05</v>
      </c>
      <c r="R320" t="s">
        <v>178</v>
      </c>
      <c r="S320">
        <v>14</v>
      </c>
      <c r="T320">
        <v>3400</v>
      </c>
      <c r="U320">
        <v>170</v>
      </c>
      <c r="V320">
        <v>3230</v>
      </c>
      <c r="W320">
        <v>2200</v>
      </c>
      <c r="X320">
        <v>1030</v>
      </c>
      <c r="Y320" s="8">
        <v>0.31888544891640869</v>
      </c>
      <c r="Z320" t="s">
        <v>2996</v>
      </c>
      <c r="AA320" t="str">
        <f>IF(AND(SalesCleanTable[[#This Row],[Discount %]]&gt;0, SalesCleanTable[[#This Row],[Profit]]&lt;0), "Discount loss", "Safe")</f>
        <v>Safe</v>
      </c>
      <c r="AB320" s="25">
        <f>(SalesCleanTable[[#This Row],[Unit Price]] - SalesCleanTable[[#This Row],[Unit Cost]]) / SalesCleanTable[[#This Row],[Unit Price]]</f>
        <v>0.35294117647058826</v>
      </c>
      <c r="AC320" t="str">
        <f>IF(SalesCleanTable[[#This Row],[Discount %]] &gt; SalesCleanTable[[#This Row],[Max Allowed Discount]], "Discount loss", "Safe")</f>
        <v>Safe</v>
      </c>
      <c r="AD320" s="4">
        <f>SalesCleanTable[[#This Row],[Unit Price]] - SalesCleanTable[[#This Row],[Unit Cost]]</f>
        <v>300</v>
      </c>
      <c r="AE320" s="41">
        <f>(SalesCleanTable[[#This Row],[Unit Price]] - SalesCleanTable[[#This Row],[Unit Cost]]) / SalesCleanTable[[#This Row],[Unit Price]]</f>
        <v>0.35294117647058826</v>
      </c>
    </row>
    <row r="321" spans="1:31">
      <c r="A321" t="s">
        <v>507</v>
      </c>
      <c r="B321" s="6">
        <v>45910</v>
      </c>
      <c r="C321" t="s">
        <v>62</v>
      </c>
      <c r="D321" t="s">
        <v>63</v>
      </c>
      <c r="E321" t="s">
        <v>59</v>
      </c>
      <c r="F321" t="s">
        <v>64</v>
      </c>
      <c r="G321" t="s">
        <v>65</v>
      </c>
      <c r="H321" t="s">
        <v>133</v>
      </c>
      <c r="I321" t="s">
        <v>134</v>
      </c>
      <c r="J321" t="s">
        <v>130</v>
      </c>
      <c r="K321" t="s">
        <v>131</v>
      </c>
      <c r="L321" t="s">
        <v>183</v>
      </c>
      <c r="M321" t="s">
        <v>177</v>
      </c>
      <c r="N321">
        <v>1</v>
      </c>
      <c r="O321" s="4">
        <v>3200</v>
      </c>
      <c r="P321" s="4">
        <v>4500</v>
      </c>
      <c r="Q321" s="7">
        <v>0</v>
      </c>
      <c r="R321" t="s">
        <v>204</v>
      </c>
      <c r="S321">
        <v>1</v>
      </c>
      <c r="T321">
        <v>4500</v>
      </c>
      <c r="U321">
        <v>0</v>
      </c>
      <c r="V321">
        <v>4500</v>
      </c>
      <c r="W321">
        <v>3200</v>
      </c>
      <c r="X321">
        <v>1300</v>
      </c>
      <c r="Y321" s="8">
        <v>0.28888888888888886</v>
      </c>
      <c r="Z321" t="s">
        <v>2996</v>
      </c>
      <c r="AA321" t="str">
        <f>IF(AND(SalesCleanTable[[#This Row],[Discount %]]&gt;0, SalesCleanTable[[#This Row],[Profit]]&lt;0), "Discount loss", "Safe")</f>
        <v>Safe</v>
      </c>
      <c r="AB321" s="25">
        <f>(SalesCleanTable[[#This Row],[Unit Price]] - SalesCleanTable[[#This Row],[Unit Cost]]) / SalesCleanTable[[#This Row],[Unit Price]]</f>
        <v>0.28888888888888886</v>
      </c>
      <c r="AC321" t="str">
        <f>IF(SalesCleanTable[[#This Row],[Discount %]] &gt; SalesCleanTable[[#This Row],[Max Allowed Discount]], "Discount loss", "Safe")</f>
        <v>Safe</v>
      </c>
      <c r="AD321" s="4">
        <f>SalesCleanTable[[#This Row],[Unit Price]] - SalesCleanTable[[#This Row],[Unit Cost]]</f>
        <v>1300</v>
      </c>
      <c r="AE321" s="41">
        <f>(SalesCleanTable[[#This Row],[Unit Price]] - SalesCleanTable[[#This Row],[Unit Cost]]) / SalesCleanTable[[#This Row],[Unit Price]]</f>
        <v>0.28888888888888886</v>
      </c>
    </row>
    <row r="322" spans="1:31">
      <c r="A322" t="s">
        <v>508</v>
      </c>
      <c r="B322" s="6">
        <v>45972</v>
      </c>
      <c r="C322" t="s">
        <v>41</v>
      </c>
      <c r="D322" t="s">
        <v>42</v>
      </c>
      <c r="E322" t="s">
        <v>26</v>
      </c>
      <c r="F322" t="s">
        <v>43</v>
      </c>
      <c r="G322" t="s">
        <v>44</v>
      </c>
      <c r="H322" t="s">
        <v>128</v>
      </c>
      <c r="I322" t="s">
        <v>129</v>
      </c>
      <c r="J322" t="s">
        <v>130</v>
      </c>
      <c r="K322" t="s">
        <v>131</v>
      </c>
      <c r="L322" t="s">
        <v>183</v>
      </c>
      <c r="M322" t="s">
        <v>186</v>
      </c>
      <c r="N322">
        <v>4</v>
      </c>
      <c r="O322" s="4">
        <v>850</v>
      </c>
      <c r="P322" s="4">
        <v>1300</v>
      </c>
      <c r="Q322" s="7">
        <v>0.15</v>
      </c>
      <c r="R322" t="s">
        <v>197</v>
      </c>
      <c r="S322">
        <v>3</v>
      </c>
      <c r="T322">
        <v>5200</v>
      </c>
      <c r="U322">
        <v>780</v>
      </c>
      <c r="V322">
        <v>4420</v>
      </c>
      <c r="W322">
        <v>3400</v>
      </c>
      <c r="X322">
        <v>1020</v>
      </c>
      <c r="Y322" s="8">
        <v>0.23076923076923078</v>
      </c>
      <c r="Z322" t="s">
        <v>2995</v>
      </c>
      <c r="AA322" t="str">
        <f>IF(AND(SalesCleanTable[[#This Row],[Discount %]]&gt;0, SalesCleanTable[[#This Row],[Profit]]&lt;0), "Discount loss", "Safe")</f>
        <v>Safe</v>
      </c>
      <c r="AB322" s="25">
        <f>(SalesCleanTable[[#This Row],[Unit Price]] - SalesCleanTable[[#This Row],[Unit Cost]]) / SalesCleanTable[[#This Row],[Unit Price]]</f>
        <v>0.34615384615384615</v>
      </c>
      <c r="AC322" t="str">
        <f>IF(SalesCleanTable[[#This Row],[Discount %]] &gt; SalesCleanTable[[#This Row],[Max Allowed Discount]], "Discount loss", "Safe")</f>
        <v>Safe</v>
      </c>
      <c r="AD322" s="4">
        <f>SalesCleanTable[[#This Row],[Unit Price]] - SalesCleanTable[[#This Row],[Unit Cost]]</f>
        <v>450</v>
      </c>
      <c r="AE322" s="41">
        <f>(SalesCleanTable[[#This Row],[Unit Price]] - SalesCleanTable[[#This Row],[Unit Cost]]) / SalesCleanTable[[#This Row],[Unit Price]]</f>
        <v>0.34615384615384615</v>
      </c>
    </row>
    <row r="323" spans="1:31">
      <c r="A323" t="s">
        <v>509</v>
      </c>
      <c r="B323" s="6">
        <v>45730</v>
      </c>
      <c r="C323" t="s">
        <v>90</v>
      </c>
      <c r="D323" t="s">
        <v>91</v>
      </c>
      <c r="E323" t="s">
        <v>92</v>
      </c>
      <c r="F323" t="s">
        <v>93</v>
      </c>
      <c r="G323" t="s">
        <v>94</v>
      </c>
      <c r="H323" t="s">
        <v>149</v>
      </c>
      <c r="I323" t="s">
        <v>150</v>
      </c>
      <c r="J323" t="s">
        <v>151</v>
      </c>
      <c r="K323" t="s">
        <v>152</v>
      </c>
      <c r="L323" t="s">
        <v>166</v>
      </c>
      <c r="M323" t="s">
        <v>171</v>
      </c>
      <c r="N323">
        <v>6</v>
      </c>
      <c r="O323" s="4">
        <v>7500</v>
      </c>
      <c r="P323" s="4">
        <v>10500</v>
      </c>
      <c r="Q323" s="7">
        <v>0.25</v>
      </c>
      <c r="R323" t="s">
        <v>181</v>
      </c>
      <c r="S323">
        <v>10</v>
      </c>
      <c r="T323">
        <v>63000</v>
      </c>
      <c r="U323">
        <v>15750</v>
      </c>
      <c r="V323">
        <v>47250</v>
      </c>
      <c r="W323">
        <v>45000</v>
      </c>
      <c r="X323">
        <v>2250</v>
      </c>
      <c r="Y323" s="8">
        <v>4.7619047619047616E-2</v>
      </c>
      <c r="Z323" t="s">
        <v>2996</v>
      </c>
      <c r="AA323" t="str">
        <f>IF(AND(SalesCleanTable[[#This Row],[Discount %]]&gt;0, SalesCleanTable[[#This Row],[Profit]]&lt;0), "Discount loss", "Safe")</f>
        <v>Safe</v>
      </c>
      <c r="AB323" s="25">
        <f>(SalesCleanTable[[#This Row],[Unit Price]] - SalesCleanTable[[#This Row],[Unit Cost]]) / SalesCleanTable[[#This Row],[Unit Price]]</f>
        <v>0.2857142857142857</v>
      </c>
      <c r="AC323" t="str">
        <f>IF(SalesCleanTable[[#This Row],[Discount %]] &gt; SalesCleanTable[[#This Row],[Max Allowed Discount]], "Discount loss", "Safe")</f>
        <v>Safe</v>
      </c>
      <c r="AD323" s="4">
        <f>SalesCleanTable[[#This Row],[Unit Price]] - SalesCleanTable[[#This Row],[Unit Cost]]</f>
        <v>3000</v>
      </c>
      <c r="AE323" s="41">
        <f>(SalesCleanTable[[#This Row],[Unit Price]] - SalesCleanTable[[#This Row],[Unit Cost]]) / SalesCleanTable[[#This Row],[Unit Price]]</f>
        <v>0.2857142857142857</v>
      </c>
    </row>
    <row r="324" spans="1:31">
      <c r="A324" t="s">
        <v>510</v>
      </c>
      <c r="B324" s="6">
        <v>45812</v>
      </c>
      <c r="C324" t="s">
        <v>45</v>
      </c>
      <c r="D324" t="s">
        <v>46</v>
      </c>
      <c r="E324" t="s">
        <v>38</v>
      </c>
      <c r="F324" t="s">
        <v>47</v>
      </c>
      <c r="G324" t="s">
        <v>48</v>
      </c>
      <c r="H324" t="s">
        <v>153</v>
      </c>
      <c r="I324" t="s">
        <v>154</v>
      </c>
      <c r="J324" t="s">
        <v>155</v>
      </c>
      <c r="K324" t="s">
        <v>131</v>
      </c>
      <c r="L324" t="s">
        <v>183</v>
      </c>
      <c r="M324" t="s">
        <v>186</v>
      </c>
      <c r="N324">
        <v>4</v>
      </c>
      <c r="O324" s="4">
        <v>230</v>
      </c>
      <c r="P324" s="4">
        <v>400</v>
      </c>
      <c r="Q324" s="7">
        <v>0.05</v>
      </c>
      <c r="R324" t="s">
        <v>175</v>
      </c>
      <c r="S324">
        <v>3</v>
      </c>
      <c r="T324">
        <v>1600</v>
      </c>
      <c r="U324">
        <v>80</v>
      </c>
      <c r="V324">
        <v>1520</v>
      </c>
      <c r="W324">
        <v>920</v>
      </c>
      <c r="X324">
        <v>600</v>
      </c>
      <c r="Y324" s="8">
        <v>0.39473684210526316</v>
      </c>
      <c r="Z324" t="s">
        <v>2995</v>
      </c>
      <c r="AA324" t="str">
        <f>IF(AND(SalesCleanTable[[#This Row],[Discount %]]&gt;0, SalesCleanTable[[#This Row],[Profit]]&lt;0), "Discount loss", "Safe")</f>
        <v>Safe</v>
      </c>
      <c r="AB324" s="25">
        <f>(SalesCleanTable[[#This Row],[Unit Price]] - SalesCleanTable[[#This Row],[Unit Cost]]) / SalesCleanTable[[#This Row],[Unit Price]]</f>
        <v>0.42499999999999999</v>
      </c>
      <c r="AC324" t="str">
        <f>IF(SalesCleanTable[[#This Row],[Discount %]] &gt; SalesCleanTable[[#This Row],[Max Allowed Discount]], "Discount loss", "Safe")</f>
        <v>Safe</v>
      </c>
      <c r="AD324" s="4">
        <f>SalesCleanTable[[#This Row],[Unit Price]] - SalesCleanTable[[#This Row],[Unit Cost]]</f>
        <v>170</v>
      </c>
      <c r="AE324" s="41">
        <f>(SalesCleanTable[[#This Row],[Unit Price]] - SalesCleanTable[[#This Row],[Unit Cost]]) / SalesCleanTable[[#This Row],[Unit Price]]</f>
        <v>0.42499999999999999</v>
      </c>
    </row>
    <row r="325" spans="1:31">
      <c r="A325" t="s">
        <v>511</v>
      </c>
      <c r="B325" s="6">
        <v>45945</v>
      </c>
      <c r="C325" t="s">
        <v>82</v>
      </c>
      <c r="D325" t="s">
        <v>83</v>
      </c>
      <c r="E325" t="s">
        <v>75</v>
      </c>
      <c r="F325" t="s">
        <v>84</v>
      </c>
      <c r="G325" t="s">
        <v>85</v>
      </c>
      <c r="H325" t="s">
        <v>153</v>
      </c>
      <c r="I325" t="s">
        <v>154</v>
      </c>
      <c r="J325" t="s">
        <v>155</v>
      </c>
      <c r="K325" t="s">
        <v>131</v>
      </c>
      <c r="L325" t="s">
        <v>183</v>
      </c>
      <c r="M325" t="s">
        <v>177</v>
      </c>
      <c r="N325">
        <v>5</v>
      </c>
      <c r="O325" s="4">
        <v>600</v>
      </c>
      <c r="P325" s="4">
        <v>950</v>
      </c>
      <c r="Q325" s="7">
        <v>0</v>
      </c>
      <c r="R325" t="s">
        <v>208</v>
      </c>
      <c r="S325">
        <v>12</v>
      </c>
      <c r="T325">
        <v>4750</v>
      </c>
      <c r="U325">
        <v>0</v>
      </c>
      <c r="V325">
        <v>4750</v>
      </c>
      <c r="W325">
        <v>3000</v>
      </c>
      <c r="X325">
        <v>1750</v>
      </c>
      <c r="Y325" s="8">
        <v>0.36842105263157893</v>
      </c>
      <c r="Z325" t="s">
        <v>2996</v>
      </c>
      <c r="AA325" t="str">
        <f>IF(AND(SalesCleanTable[[#This Row],[Discount %]]&gt;0, SalesCleanTable[[#This Row],[Profit]]&lt;0), "Discount loss", "Safe")</f>
        <v>Safe</v>
      </c>
      <c r="AB325" s="25">
        <f>(SalesCleanTable[[#This Row],[Unit Price]] - SalesCleanTable[[#This Row],[Unit Cost]]) / SalesCleanTable[[#This Row],[Unit Price]]</f>
        <v>0.36842105263157893</v>
      </c>
      <c r="AC325" t="str">
        <f>IF(SalesCleanTable[[#This Row],[Discount %]] &gt; SalesCleanTable[[#This Row],[Max Allowed Discount]], "Discount loss", "Safe")</f>
        <v>Safe</v>
      </c>
      <c r="AD325" s="4">
        <f>SalesCleanTable[[#This Row],[Unit Price]] - SalesCleanTable[[#This Row],[Unit Cost]]</f>
        <v>350</v>
      </c>
      <c r="AE325" s="41">
        <f>(SalesCleanTable[[#This Row],[Unit Price]] - SalesCleanTable[[#This Row],[Unit Cost]]) / SalesCleanTable[[#This Row],[Unit Price]]</f>
        <v>0.36842105263157893</v>
      </c>
    </row>
    <row r="326" spans="1:31">
      <c r="A326" t="s">
        <v>512</v>
      </c>
      <c r="B326" s="6">
        <v>45723</v>
      </c>
      <c r="C326" t="s">
        <v>36</v>
      </c>
      <c r="D326" t="s">
        <v>37</v>
      </c>
      <c r="E326" t="s">
        <v>38</v>
      </c>
      <c r="F326" t="s">
        <v>39</v>
      </c>
      <c r="G326" t="s">
        <v>40</v>
      </c>
      <c r="H326" t="s">
        <v>128</v>
      </c>
      <c r="I326" t="s">
        <v>129</v>
      </c>
      <c r="J326" t="s">
        <v>130</v>
      </c>
      <c r="K326" t="s">
        <v>131</v>
      </c>
      <c r="L326" t="s">
        <v>183</v>
      </c>
      <c r="M326" t="s">
        <v>171</v>
      </c>
      <c r="N326">
        <v>4</v>
      </c>
      <c r="O326" s="4">
        <v>1650</v>
      </c>
      <c r="P326" s="4">
        <v>2200</v>
      </c>
      <c r="Q326" s="7">
        <v>0.1</v>
      </c>
      <c r="R326" t="s">
        <v>168</v>
      </c>
      <c r="S326">
        <v>1</v>
      </c>
      <c r="T326">
        <v>8800</v>
      </c>
      <c r="U326">
        <v>880</v>
      </c>
      <c r="V326">
        <v>7920</v>
      </c>
      <c r="W326">
        <v>6600</v>
      </c>
      <c r="X326">
        <v>1320</v>
      </c>
      <c r="Y326" s="8">
        <v>0.16666666666666666</v>
      </c>
      <c r="Z326" t="s">
        <v>2995</v>
      </c>
      <c r="AA326" t="str">
        <f>IF(AND(SalesCleanTable[[#This Row],[Discount %]]&gt;0, SalesCleanTable[[#This Row],[Profit]]&lt;0), "Discount loss", "Safe")</f>
        <v>Safe</v>
      </c>
      <c r="AB326" s="25">
        <f>(SalesCleanTable[[#This Row],[Unit Price]] - SalesCleanTable[[#This Row],[Unit Cost]]) / SalesCleanTable[[#This Row],[Unit Price]]</f>
        <v>0.25</v>
      </c>
      <c r="AC326" t="str">
        <f>IF(SalesCleanTable[[#This Row],[Discount %]] &gt; SalesCleanTable[[#This Row],[Max Allowed Discount]], "Discount loss", "Safe")</f>
        <v>Safe</v>
      </c>
      <c r="AD326" s="4">
        <f>SalesCleanTable[[#This Row],[Unit Price]] - SalesCleanTable[[#This Row],[Unit Cost]]</f>
        <v>550</v>
      </c>
      <c r="AE326" s="41">
        <f>(SalesCleanTable[[#This Row],[Unit Price]] - SalesCleanTable[[#This Row],[Unit Cost]]) / SalesCleanTable[[#This Row],[Unit Price]]</f>
        <v>0.25</v>
      </c>
    </row>
    <row r="327" spans="1:31">
      <c r="A327" t="s">
        <v>513</v>
      </c>
      <c r="B327" s="6">
        <v>45820</v>
      </c>
      <c r="C327" t="s">
        <v>112</v>
      </c>
      <c r="D327" t="s">
        <v>113</v>
      </c>
      <c r="E327" t="s">
        <v>109</v>
      </c>
      <c r="F327" t="s">
        <v>114</v>
      </c>
      <c r="G327" t="s">
        <v>115</v>
      </c>
      <c r="H327" t="s">
        <v>153</v>
      </c>
      <c r="I327" t="s">
        <v>154</v>
      </c>
      <c r="J327" t="s">
        <v>155</v>
      </c>
      <c r="K327" t="s">
        <v>131</v>
      </c>
      <c r="L327" t="s">
        <v>170</v>
      </c>
      <c r="M327" t="s">
        <v>177</v>
      </c>
      <c r="N327">
        <v>2</v>
      </c>
      <c r="O327" s="4">
        <v>1300</v>
      </c>
      <c r="P327" s="4">
        <v>2100</v>
      </c>
      <c r="Q327" s="7">
        <v>0.1</v>
      </c>
      <c r="R327" t="s">
        <v>184</v>
      </c>
      <c r="S327">
        <v>2</v>
      </c>
      <c r="T327">
        <v>4200</v>
      </c>
      <c r="U327">
        <v>420</v>
      </c>
      <c r="V327">
        <v>3780</v>
      </c>
      <c r="W327">
        <v>2600</v>
      </c>
      <c r="X327">
        <v>1180</v>
      </c>
      <c r="Y327" s="8">
        <v>0.31216931216931215</v>
      </c>
      <c r="Z327" t="s">
        <v>2995</v>
      </c>
      <c r="AA327" t="str">
        <f>IF(AND(SalesCleanTable[[#This Row],[Discount %]]&gt;0, SalesCleanTable[[#This Row],[Profit]]&lt;0), "Discount loss", "Safe")</f>
        <v>Safe</v>
      </c>
      <c r="AB327" s="25">
        <f>(SalesCleanTable[[#This Row],[Unit Price]] - SalesCleanTable[[#This Row],[Unit Cost]]) / SalesCleanTable[[#This Row],[Unit Price]]</f>
        <v>0.38095238095238093</v>
      </c>
      <c r="AC327" t="str">
        <f>IF(SalesCleanTable[[#This Row],[Discount %]] &gt; SalesCleanTable[[#This Row],[Max Allowed Discount]], "Discount loss", "Safe")</f>
        <v>Safe</v>
      </c>
      <c r="AD327" s="4">
        <f>SalesCleanTable[[#This Row],[Unit Price]] - SalesCleanTable[[#This Row],[Unit Cost]]</f>
        <v>800</v>
      </c>
      <c r="AE327" s="41">
        <f>(SalesCleanTable[[#This Row],[Unit Price]] - SalesCleanTable[[#This Row],[Unit Cost]]) / SalesCleanTable[[#This Row],[Unit Price]]</f>
        <v>0.38095238095238093</v>
      </c>
    </row>
    <row r="328" spans="1:31">
      <c r="A328" t="s">
        <v>514</v>
      </c>
      <c r="B328" s="6">
        <v>45821</v>
      </c>
      <c r="C328" t="s">
        <v>36</v>
      </c>
      <c r="D328" t="s">
        <v>37</v>
      </c>
      <c r="E328" t="s">
        <v>38</v>
      </c>
      <c r="F328" t="s">
        <v>39</v>
      </c>
      <c r="G328" t="s">
        <v>40</v>
      </c>
      <c r="H328" t="s">
        <v>149</v>
      </c>
      <c r="I328" t="s">
        <v>150</v>
      </c>
      <c r="J328" t="s">
        <v>151</v>
      </c>
      <c r="K328" t="s">
        <v>152</v>
      </c>
      <c r="L328" t="s">
        <v>183</v>
      </c>
      <c r="M328" t="s">
        <v>171</v>
      </c>
      <c r="N328">
        <v>1</v>
      </c>
      <c r="O328" s="4">
        <v>1650</v>
      </c>
      <c r="P328" s="4">
        <v>2200</v>
      </c>
      <c r="Q328" s="7">
        <v>0.1</v>
      </c>
      <c r="R328" t="s">
        <v>175</v>
      </c>
      <c r="S328">
        <v>1</v>
      </c>
      <c r="T328">
        <v>2200</v>
      </c>
      <c r="U328">
        <v>220</v>
      </c>
      <c r="V328">
        <v>1980</v>
      </c>
      <c r="W328">
        <v>1650</v>
      </c>
      <c r="X328">
        <v>330</v>
      </c>
      <c r="Y328" s="8">
        <v>0.16666666666666666</v>
      </c>
      <c r="Z328" t="s">
        <v>2995</v>
      </c>
      <c r="AA328" t="str">
        <f>IF(AND(SalesCleanTable[[#This Row],[Discount %]]&gt;0, SalesCleanTable[[#This Row],[Profit]]&lt;0), "Discount loss", "Safe")</f>
        <v>Safe</v>
      </c>
      <c r="AB328" s="25">
        <f>(SalesCleanTable[[#This Row],[Unit Price]] - SalesCleanTable[[#This Row],[Unit Cost]]) / SalesCleanTable[[#This Row],[Unit Price]]</f>
        <v>0.25</v>
      </c>
      <c r="AC328" t="str">
        <f>IF(SalesCleanTable[[#This Row],[Discount %]] &gt; SalesCleanTable[[#This Row],[Max Allowed Discount]], "Discount loss", "Safe")</f>
        <v>Safe</v>
      </c>
      <c r="AD328" s="4">
        <f>SalesCleanTable[[#This Row],[Unit Price]] - SalesCleanTable[[#This Row],[Unit Cost]]</f>
        <v>550</v>
      </c>
      <c r="AE328" s="41">
        <f>(SalesCleanTable[[#This Row],[Unit Price]] - SalesCleanTable[[#This Row],[Unit Cost]]) / SalesCleanTable[[#This Row],[Unit Price]]</f>
        <v>0.25</v>
      </c>
    </row>
    <row r="329" spans="1:31">
      <c r="A329" t="s">
        <v>515</v>
      </c>
      <c r="B329" s="6">
        <v>45785</v>
      </c>
      <c r="C329" t="s">
        <v>82</v>
      </c>
      <c r="D329" t="s">
        <v>83</v>
      </c>
      <c r="E329" t="s">
        <v>75</v>
      </c>
      <c r="F329" t="s">
        <v>84</v>
      </c>
      <c r="G329" t="s">
        <v>85</v>
      </c>
      <c r="H329" t="s">
        <v>135</v>
      </c>
      <c r="I329" t="s">
        <v>136</v>
      </c>
      <c r="J329" t="s">
        <v>137</v>
      </c>
      <c r="K329" t="s">
        <v>138</v>
      </c>
      <c r="L329" t="s">
        <v>166</v>
      </c>
      <c r="M329" t="s">
        <v>186</v>
      </c>
      <c r="N329">
        <v>5</v>
      </c>
      <c r="O329" s="4">
        <v>600</v>
      </c>
      <c r="P329" s="4">
        <v>950</v>
      </c>
      <c r="Q329" s="7">
        <v>0.1</v>
      </c>
      <c r="R329" t="s">
        <v>208</v>
      </c>
      <c r="S329">
        <v>3</v>
      </c>
      <c r="T329">
        <v>4750</v>
      </c>
      <c r="U329">
        <v>475</v>
      </c>
      <c r="V329">
        <v>4275</v>
      </c>
      <c r="W329">
        <v>3000</v>
      </c>
      <c r="X329">
        <v>1275</v>
      </c>
      <c r="Y329" s="8">
        <v>0.2982456140350877</v>
      </c>
      <c r="Z329" t="s">
        <v>2996</v>
      </c>
      <c r="AA329" t="str">
        <f>IF(AND(SalesCleanTable[[#This Row],[Discount %]]&gt;0, SalesCleanTable[[#This Row],[Profit]]&lt;0), "Discount loss", "Safe")</f>
        <v>Safe</v>
      </c>
      <c r="AB329" s="25">
        <f>(SalesCleanTable[[#This Row],[Unit Price]] - SalesCleanTable[[#This Row],[Unit Cost]]) / SalesCleanTable[[#This Row],[Unit Price]]</f>
        <v>0.36842105263157893</v>
      </c>
      <c r="AC329" t="str">
        <f>IF(SalesCleanTable[[#This Row],[Discount %]] &gt; SalesCleanTable[[#This Row],[Max Allowed Discount]], "Discount loss", "Safe")</f>
        <v>Safe</v>
      </c>
      <c r="AD329" s="4">
        <f>SalesCleanTable[[#This Row],[Unit Price]] - SalesCleanTable[[#This Row],[Unit Cost]]</f>
        <v>350</v>
      </c>
      <c r="AE329" s="41">
        <f>(SalesCleanTable[[#This Row],[Unit Price]] - SalesCleanTable[[#This Row],[Unit Cost]]) / SalesCleanTable[[#This Row],[Unit Price]]</f>
        <v>0.36842105263157893</v>
      </c>
    </row>
    <row r="330" spans="1:31">
      <c r="A330" t="s">
        <v>516</v>
      </c>
      <c r="B330" s="6">
        <v>45910</v>
      </c>
      <c r="C330" t="s">
        <v>103</v>
      </c>
      <c r="D330" t="s">
        <v>104</v>
      </c>
      <c r="E330" t="s">
        <v>92</v>
      </c>
      <c r="F330" t="s">
        <v>105</v>
      </c>
      <c r="G330" t="s">
        <v>106</v>
      </c>
      <c r="H330" t="s">
        <v>135</v>
      </c>
      <c r="I330" t="s">
        <v>136</v>
      </c>
      <c r="J330" t="s">
        <v>137</v>
      </c>
      <c r="K330" t="s">
        <v>138</v>
      </c>
      <c r="L330" t="s">
        <v>183</v>
      </c>
      <c r="M330" t="s">
        <v>171</v>
      </c>
      <c r="N330">
        <v>2</v>
      </c>
      <c r="O330" s="4">
        <v>1500</v>
      </c>
      <c r="P330" s="4">
        <v>2500</v>
      </c>
      <c r="Q330" s="7">
        <v>0.15</v>
      </c>
      <c r="R330" t="s">
        <v>215</v>
      </c>
      <c r="S330">
        <v>4</v>
      </c>
      <c r="T330">
        <v>5000</v>
      </c>
      <c r="U330">
        <v>750</v>
      </c>
      <c r="V330">
        <v>4250</v>
      </c>
      <c r="W330">
        <v>3000</v>
      </c>
      <c r="X330">
        <v>1250</v>
      </c>
      <c r="Y330" s="8">
        <v>0.29411764705882354</v>
      </c>
      <c r="Z330" t="s">
        <v>2996</v>
      </c>
      <c r="AA330" t="str">
        <f>IF(AND(SalesCleanTable[[#This Row],[Discount %]]&gt;0, SalesCleanTable[[#This Row],[Profit]]&lt;0), "Discount loss", "Safe")</f>
        <v>Safe</v>
      </c>
      <c r="AB330" s="25">
        <f>(SalesCleanTable[[#This Row],[Unit Price]] - SalesCleanTable[[#This Row],[Unit Cost]]) / SalesCleanTable[[#This Row],[Unit Price]]</f>
        <v>0.4</v>
      </c>
      <c r="AC330" t="str">
        <f>IF(SalesCleanTable[[#This Row],[Discount %]] &gt; SalesCleanTable[[#This Row],[Max Allowed Discount]], "Discount loss", "Safe")</f>
        <v>Safe</v>
      </c>
      <c r="AD330" s="4">
        <f>SalesCleanTable[[#This Row],[Unit Price]] - SalesCleanTable[[#This Row],[Unit Cost]]</f>
        <v>1000</v>
      </c>
      <c r="AE330" s="41">
        <f>(SalesCleanTable[[#This Row],[Unit Price]] - SalesCleanTable[[#This Row],[Unit Cost]]) / SalesCleanTable[[#This Row],[Unit Price]]</f>
        <v>0.4</v>
      </c>
    </row>
    <row r="331" spans="1:31">
      <c r="A331" t="s">
        <v>517</v>
      </c>
      <c r="B331" s="6">
        <v>45695</v>
      </c>
      <c r="C331" t="s">
        <v>95</v>
      </c>
      <c r="D331" t="s">
        <v>96</v>
      </c>
      <c r="E331" t="s">
        <v>92</v>
      </c>
      <c r="F331" t="s">
        <v>97</v>
      </c>
      <c r="G331" t="s">
        <v>98</v>
      </c>
      <c r="H331" t="s">
        <v>128</v>
      </c>
      <c r="I331" t="s">
        <v>129</v>
      </c>
      <c r="J331" t="s">
        <v>130</v>
      </c>
      <c r="K331" t="s">
        <v>131</v>
      </c>
      <c r="L331" t="s">
        <v>166</v>
      </c>
      <c r="M331" t="s">
        <v>186</v>
      </c>
      <c r="N331">
        <v>1</v>
      </c>
      <c r="O331" s="4">
        <v>18000</v>
      </c>
      <c r="P331" s="4">
        <v>24500</v>
      </c>
      <c r="Q331" s="7">
        <v>0</v>
      </c>
      <c r="R331" t="s">
        <v>217</v>
      </c>
      <c r="S331">
        <v>3</v>
      </c>
      <c r="T331">
        <v>24500</v>
      </c>
      <c r="U331">
        <v>0</v>
      </c>
      <c r="V331">
        <v>24500</v>
      </c>
      <c r="W331">
        <v>18000</v>
      </c>
      <c r="X331">
        <v>6500</v>
      </c>
      <c r="Y331" s="8">
        <v>0.26530612244897961</v>
      </c>
      <c r="Z331" t="s">
        <v>2995</v>
      </c>
      <c r="AA331" t="str">
        <f>IF(AND(SalesCleanTable[[#This Row],[Discount %]]&gt;0, SalesCleanTable[[#This Row],[Profit]]&lt;0), "Discount loss", "Safe")</f>
        <v>Safe</v>
      </c>
      <c r="AB331" s="25">
        <f>(SalesCleanTable[[#This Row],[Unit Price]] - SalesCleanTable[[#This Row],[Unit Cost]]) / SalesCleanTable[[#This Row],[Unit Price]]</f>
        <v>0.26530612244897961</v>
      </c>
      <c r="AC331" t="str">
        <f>IF(SalesCleanTable[[#This Row],[Discount %]] &gt; SalesCleanTable[[#This Row],[Max Allowed Discount]], "Discount loss", "Safe")</f>
        <v>Safe</v>
      </c>
      <c r="AD331" s="4">
        <f>SalesCleanTable[[#This Row],[Unit Price]] - SalesCleanTable[[#This Row],[Unit Cost]]</f>
        <v>6500</v>
      </c>
      <c r="AE331" s="41">
        <f>(SalesCleanTable[[#This Row],[Unit Price]] - SalesCleanTable[[#This Row],[Unit Cost]]) / SalesCleanTable[[#This Row],[Unit Price]]</f>
        <v>0.26530612244897961</v>
      </c>
    </row>
    <row r="332" spans="1:31">
      <c r="A332" t="s">
        <v>518</v>
      </c>
      <c r="B332" s="6">
        <v>45938</v>
      </c>
      <c r="C332" t="s">
        <v>112</v>
      </c>
      <c r="D332" t="s">
        <v>113</v>
      </c>
      <c r="E332" t="s">
        <v>109</v>
      </c>
      <c r="F332" t="s">
        <v>114</v>
      </c>
      <c r="G332" t="s">
        <v>115</v>
      </c>
      <c r="H332" t="s">
        <v>153</v>
      </c>
      <c r="I332" t="s">
        <v>154</v>
      </c>
      <c r="J332" t="s">
        <v>155</v>
      </c>
      <c r="K332" t="s">
        <v>131</v>
      </c>
      <c r="L332" t="s">
        <v>183</v>
      </c>
      <c r="M332" t="s">
        <v>171</v>
      </c>
      <c r="N332">
        <v>2</v>
      </c>
      <c r="O332" s="4">
        <v>1300</v>
      </c>
      <c r="P332" s="4">
        <v>2100</v>
      </c>
      <c r="Q332" s="7">
        <v>0.2</v>
      </c>
      <c r="R332" t="s">
        <v>220</v>
      </c>
      <c r="S332">
        <v>11</v>
      </c>
      <c r="T332">
        <v>4200</v>
      </c>
      <c r="U332">
        <v>840</v>
      </c>
      <c r="V332">
        <v>3360</v>
      </c>
      <c r="W332">
        <v>2600</v>
      </c>
      <c r="X332">
        <v>760</v>
      </c>
      <c r="Y332" s="8">
        <v>0.22619047619047619</v>
      </c>
      <c r="Z332" t="s">
        <v>2995</v>
      </c>
      <c r="AA332" t="str">
        <f>IF(AND(SalesCleanTable[[#This Row],[Discount %]]&gt;0, SalesCleanTable[[#This Row],[Profit]]&lt;0), "Discount loss", "Safe")</f>
        <v>Safe</v>
      </c>
      <c r="AB332" s="25">
        <f>(SalesCleanTable[[#This Row],[Unit Price]] - SalesCleanTable[[#This Row],[Unit Cost]]) / SalesCleanTable[[#This Row],[Unit Price]]</f>
        <v>0.38095238095238093</v>
      </c>
      <c r="AC332" t="str">
        <f>IF(SalesCleanTable[[#This Row],[Discount %]] &gt; SalesCleanTable[[#This Row],[Max Allowed Discount]], "Discount loss", "Safe")</f>
        <v>Safe</v>
      </c>
      <c r="AD332" s="4">
        <f>SalesCleanTable[[#This Row],[Unit Price]] - SalesCleanTable[[#This Row],[Unit Cost]]</f>
        <v>800</v>
      </c>
      <c r="AE332" s="41">
        <f>(SalesCleanTable[[#This Row],[Unit Price]] - SalesCleanTable[[#This Row],[Unit Cost]]) / SalesCleanTable[[#This Row],[Unit Price]]</f>
        <v>0.38095238095238093</v>
      </c>
    </row>
    <row r="333" spans="1:31">
      <c r="A333" t="s">
        <v>519</v>
      </c>
      <c r="B333" s="6">
        <v>45880</v>
      </c>
      <c r="C333" t="s">
        <v>36</v>
      </c>
      <c r="D333" t="s">
        <v>37</v>
      </c>
      <c r="E333" t="s">
        <v>38</v>
      </c>
      <c r="F333" t="s">
        <v>39</v>
      </c>
      <c r="G333" t="s">
        <v>40</v>
      </c>
      <c r="H333" t="s">
        <v>128</v>
      </c>
      <c r="I333" t="s">
        <v>129</v>
      </c>
      <c r="J333" t="s">
        <v>130</v>
      </c>
      <c r="K333" t="s">
        <v>131</v>
      </c>
      <c r="L333" t="s">
        <v>183</v>
      </c>
      <c r="M333" t="s">
        <v>171</v>
      </c>
      <c r="N333">
        <v>1</v>
      </c>
      <c r="O333" s="4">
        <v>1650</v>
      </c>
      <c r="P333" s="4">
        <v>2200</v>
      </c>
      <c r="Q333" s="7">
        <v>0</v>
      </c>
      <c r="R333" t="s">
        <v>168</v>
      </c>
      <c r="S333">
        <v>9</v>
      </c>
      <c r="T333">
        <v>2200</v>
      </c>
      <c r="U333">
        <v>0</v>
      </c>
      <c r="V333">
        <v>2200</v>
      </c>
      <c r="W333">
        <v>1650</v>
      </c>
      <c r="X333">
        <v>550</v>
      </c>
      <c r="Y333" s="8">
        <v>0.25</v>
      </c>
      <c r="Z333" t="s">
        <v>2995</v>
      </c>
      <c r="AA333" t="str">
        <f>IF(AND(SalesCleanTable[[#This Row],[Discount %]]&gt;0, SalesCleanTable[[#This Row],[Profit]]&lt;0), "Discount loss", "Safe")</f>
        <v>Safe</v>
      </c>
      <c r="AB333" s="25">
        <f>(SalesCleanTable[[#This Row],[Unit Price]] - SalesCleanTable[[#This Row],[Unit Cost]]) / SalesCleanTable[[#This Row],[Unit Price]]</f>
        <v>0.25</v>
      </c>
      <c r="AC333" t="str">
        <f>IF(SalesCleanTable[[#This Row],[Discount %]] &gt; SalesCleanTable[[#This Row],[Max Allowed Discount]], "Discount loss", "Safe")</f>
        <v>Safe</v>
      </c>
      <c r="AD333" s="4">
        <f>SalesCleanTable[[#This Row],[Unit Price]] - SalesCleanTable[[#This Row],[Unit Cost]]</f>
        <v>550</v>
      </c>
      <c r="AE333" s="41">
        <f>(SalesCleanTable[[#This Row],[Unit Price]] - SalesCleanTable[[#This Row],[Unit Cost]]) / SalesCleanTable[[#This Row],[Unit Price]]</f>
        <v>0.25</v>
      </c>
    </row>
    <row r="334" spans="1:31">
      <c r="A334" t="s">
        <v>520</v>
      </c>
      <c r="B334" s="6">
        <v>45802</v>
      </c>
      <c r="C334" t="s">
        <v>45</v>
      </c>
      <c r="D334" t="s">
        <v>46</v>
      </c>
      <c r="E334" t="s">
        <v>38</v>
      </c>
      <c r="F334" t="s">
        <v>47</v>
      </c>
      <c r="G334" t="s">
        <v>48</v>
      </c>
      <c r="H334" t="s">
        <v>128</v>
      </c>
      <c r="I334" t="s">
        <v>129</v>
      </c>
      <c r="J334" t="s">
        <v>130</v>
      </c>
      <c r="K334" t="s">
        <v>131</v>
      </c>
      <c r="L334" t="s">
        <v>166</v>
      </c>
      <c r="M334" t="s">
        <v>177</v>
      </c>
      <c r="N334">
        <v>2</v>
      </c>
      <c r="O334" s="4">
        <v>230</v>
      </c>
      <c r="P334" s="4">
        <v>400</v>
      </c>
      <c r="Q334" s="7">
        <v>0.05</v>
      </c>
      <c r="R334" t="s">
        <v>178</v>
      </c>
      <c r="S334">
        <v>7</v>
      </c>
      <c r="T334">
        <v>800</v>
      </c>
      <c r="U334">
        <v>40</v>
      </c>
      <c r="V334">
        <v>760</v>
      </c>
      <c r="W334">
        <v>460</v>
      </c>
      <c r="X334">
        <v>300</v>
      </c>
      <c r="Y334" s="8">
        <v>0.39473684210526316</v>
      </c>
      <c r="Z334" t="s">
        <v>2995</v>
      </c>
      <c r="AA334" t="str">
        <f>IF(AND(SalesCleanTable[[#This Row],[Discount %]]&gt;0, SalesCleanTable[[#This Row],[Profit]]&lt;0), "Discount loss", "Safe")</f>
        <v>Safe</v>
      </c>
      <c r="AB334" s="25">
        <f>(SalesCleanTable[[#This Row],[Unit Price]] - SalesCleanTable[[#This Row],[Unit Cost]]) / SalesCleanTable[[#This Row],[Unit Price]]</f>
        <v>0.42499999999999999</v>
      </c>
      <c r="AC334" t="str">
        <f>IF(SalesCleanTable[[#This Row],[Discount %]] &gt; SalesCleanTable[[#This Row],[Max Allowed Discount]], "Discount loss", "Safe")</f>
        <v>Safe</v>
      </c>
      <c r="AD334" s="4">
        <f>SalesCleanTable[[#This Row],[Unit Price]] - SalesCleanTable[[#This Row],[Unit Cost]]</f>
        <v>170</v>
      </c>
      <c r="AE334" s="41">
        <f>(SalesCleanTable[[#This Row],[Unit Price]] - SalesCleanTable[[#This Row],[Unit Cost]]) / SalesCleanTable[[#This Row],[Unit Price]]</f>
        <v>0.42499999999999999</v>
      </c>
    </row>
    <row r="335" spans="1:31">
      <c r="A335" t="s">
        <v>521</v>
      </c>
      <c r="B335" s="6">
        <v>45996</v>
      </c>
      <c r="C335" t="s">
        <v>73</v>
      </c>
      <c r="D335" t="s">
        <v>74</v>
      </c>
      <c r="E335" t="s">
        <v>75</v>
      </c>
      <c r="F335" t="s">
        <v>76</v>
      </c>
      <c r="G335" t="s">
        <v>77</v>
      </c>
      <c r="H335" t="s">
        <v>139</v>
      </c>
      <c r="I335" t="s">
        <v>140</v>
      </c>
      <c r="J335" t="s">
        <v>137</v>
      </c>
      <c r="K335" t="s">
        <v>138</v>
      </c>
      <c r="L335" t="s">
        <v>183</v>
      </c>
      <c r="M335" t="s">
        <v>171</v>
      </c>
      <c r="N335">
        <v>1</v>
      </c>
      <c r="O335" s="4">
        <v>3500</v>
      </c>
      <c r="P335" s="4">
        <v>5200</v>
      </c>
      <c r="Q335" s="7">
        <v>0</v>
      </c>
      <c r="R335" t="s">
        <v>208</v>
      </c>
      <c r="S335">
        <v>14</v>
      </c>
      <c r="T335">
        <v>5200</v>
      </c>
      <c r="U335">
        <v>0</v>
      </c>
      <c r="V335">
        <v>5200</v>
      </c>
      <c r="W335">
        <v>3500</v>
      </c>
      <c r="X335">
        <v>1700</v>
      </c>
      <c r="Y335" s="8">
        <v>0.32692307692307693</v>
      </c>
      <c r="Z335" t="s">
        <v>2996</v>
      </c>
      <c r="AA335" t="str">
        <f>IF(AND(SalesCleanTable[[#This Row],[Discount %]]&gt;0, SalesCleanTable[[#This Row],[Profit]]&lt;0), "Discount loss", "Safe")</f>
        <v>Safe</v>
      </c>
      <c r="AB335" s="25">
        <f>(SalesCleanTable[[#This Row],[Unit Price]] - SalesCleanTable[[#This Row],[Unit Cost]]) / SalesCleanTable[[#This Row],[Unit Price]]</f>
        <v>0.32692307692307693</v>
      </c>
      <c r="AC335" t="str">
        <f>IF(SalesCleanTable[[#This Row],[Discount %]] &gt; SalesCleanTable[[#This Row],[Max Allowed Discount]], "Discount loss", "Safe")</f>
        <v>Safe</v>
      </c>
      <c r="AD335" s="4">
        <f>SalesCleanTable[[#This Row],[Unit Price]] - SalesCleanTable[[#This Row],[Unit Cost]]</f>
        <v>1700</v>
      </c>
      <c r="AE335" s="41">
        <f>(SalesCleanTable[[#This Row],[Unit Price]] - SalesCleanTable[[#This Row],[Unit Cost]]) / SalesCleanTable[[#This Row],[Unit Price]]</f>
        <v>0.32692307692307693</v>
      </c>
    </row>
    <row r="336" spans="1:31">
      <c r="A336" t="s">
        <v>522</v>
      </c>
      <c r="B336" s="6">
        <v>45861</v>
      </c>
      <c r="C336" t="s">
        <v>53</v>
      </c>
      <c r="D336" t="s">
        <v>54</v>
      </c>
      <c r="E336" t="s">
        <v>38</v>
      </c>
      <c r="F336" t="s">
        <v>55</v>
      </c>
      <c r="G336" t="s">
        <v>56</v>
      </c>
      <c r="H336" t="s">
        <v>149</v>
      </c>
      <c r="I336" t="s">
        <v>150</v>
      </c>
      <c r="J336" t="s">
        <v>151</v>
      </c>
      <c r="K336" t="s">
        <v>152</v>
      </c>
      <c r="L336" t="s">
        <v>166</v>
      </c>
      <c r="M336" t="s">
        <v>186</v>
      </c>
      <c r="N336">
        <v>2</v>
      </c>
      <c r="O336" s="4">
        <v>330</v>
      </c>
      <c r="P336" s="4">
        <v>550</v>
      </c>
      <c r="Q336" s="7">
        <v>0.1</v>
      </c>
      <c r="R336" t="s">
        <v>175</v>
      </c>
      <c r="S336">
        <v>6</v>
      </c>
      <c r="T336">
        <v>1100</v>
      </c>
      <c r="U336">
        <v>110</v>
      </c>
      <c r="V336">
        <v>990</v>
      </c>
      <c r="W336">
        <v>660</v>
      </c>
      <c r="X336">
        <v>330</v>
      </c>
      <c r="Y336" s="8">
        <v>0.33333333333333331</v>
      </c>
      <c r="Z336" t="s">
        <v>2996</v>
      </c>
      <c r="AA336" t="str">
        <f>IF(AND(SalesCleanTable[[#This Row],[Discount %]]&gt;0, SalesCleanTable[[#This Row],[Profit]]&lt;0), "Discount loss", "Safe")</f>
        <v>Safe</v>
      </c>
      <c r="AB336" s="25">
        <f>(SalesCleanTable[[#This Row],[Unit Price]] - SalesCleanTable[[#This Row],[Unit Cost]]) / SalesCleanTable[[#This Row],[Unit Price]]</f>
        <v>0.4</v>
      </c>
      <c r="AC336" t="str">
        <f>IF(SalesCleanTable[[#This Row],[Discount %]] &gt; SalesCleanTable[[#This Row],[Max Allowed Discount]], "Discount loss", "Safe")</f>
        <v>Safe</v>
      </c>
      <c r="AD336" s="4">
        <f>SalesCleanTable[[#This Row],[Unit Price]] - SalesCleanTable[[#This Row],[Unit Cost]]</f>
        <v>220</v>
      </c>
      <c r="AE336" s="41">
        <f>(SalesCleanTable[[#This Row],[Unit Price]] - SalesCleanTable[[#This Row],[Unit Cost]]) / SalesCleanTable[[#This Row],[Unit Price]]</f>
        <v>0.4</v>
      </c>
    </row>
    <row r="337" spans="1:31">
      <c r="A337" t="s">
        <v>523</v>
      </c>
      <c r="B337" s="6">
        <v>45680</v>
      </c>
      <c r="C337" t="s">
        <v>41</v>
      </c>
      <c r="D337" t="s">
        <v>42</v>
      </c>
      <c r="E337" t="s">
        <v>26</v>
      </c>
      <c r="F337" t="s">
        <v>43</v>
      </c>
      <c r="G337" t="s">
        <v>44</v>
      </c>
      <c r="H337" t="s">
        <v>139</v>
      </c>
      <c r="I337" t="s">
        <v>140</v>
      </c>
      <c r="J337" t="s">
        <v>137</v>
      </c>
      <c r="K337" t="s">
        <v>138</v>
      </c>
      <c r="L337" t="s">
        <v>166</v>
      </c>
      <c r="M337" t="s">
        <v>171</v>
      </c>
      <c r="N337">
        <v>2</v>
      </c>
      <c r="O337" s="4">
        <v>850</v>
      </c>
      <c r="P337" s="4">
        <v>1300</v>
      </c>
      <c r="Q337" s="7">
        <v>0</v>
      </c>
      <c r="R337" t="s">
        <v>173</v>
      </c>
      <c r="S337">
        <v>2</v>
      </c>
      <c r="T337">
        <v>2600</v>
      </c>
      <c r="U337">
        <v>0</v>
      </c>
      <c r="V337">
        <v>2600</v>
      </c>
      <c r="W337">
        <v>1700</v>
      </c>
      <c r="X337">
        <v>900</v>
      </c>
      <c r="Y337" s="8">
        <v>0.34615384615384615</v>
      </c>
      <c r="Z337" t="s">
        <v>2995</v>
      </c>
      <c r="AA337" t="str">
        <f>IF(AND(SalesCleanTable[[#This Row],[Discount %]]&gt;0, SalesCleanTable[[#This Row],[Profit]]&lt;0), "Discount loss", "Safe")</f>
        <v>Safe</v>
      </c>
      <c r="AB337" s="25">
        <f>(SalesCleanTable[[#This Row],[Unit Price]] - SalesCleanTable[[#This Row],[Unit Cost]]) / SalesCleanTable[[#This Row],[Unit Price]]</f>
        <v>0.34615384615384615</v>
      </c>
      <c r="AC337" t="str">
        <f>IF(SalesCleanTable[[#This Row],[Discount %]] &gt; SalesCleanTable[[#This Row],[Max Allowed Discount]], "Discount loss", "Safe")</f>
        <v>Safe</v>
      </c>
      <c r="AD337" s="4">
        <f>SalesCleanTable[[#This Row],[Unit Price]] - SalesCleanTable[[#This Row],[Unit Cost]]</f>
        <v>450</v>
      </c>
      <c r="AE337" s="41">
        <f>(SalesCleanTable[[#This Row],[Unit Price]] - SalesCleanTable[[#This Row],[Unit Cost]]) / SalesCleanTable[[#This Row],[Unit Price]]</f>
        <v>0.34615384615384615</v>
      </c>
    </row>
    <row r="338" spans="1:31">
      <c r="A338" t="s">
        <v>524</v>
      </c>
      <c r="B338" s="6">
        <v>45834</v>
      </c>
      <c r="C338" t="s">
        <v>95</v>
      </c>
      <c r="D338" t="s">
        <v>96</v>
      </c>
      <c r="E338" t="s">
        <v>92</v>
      </c>
      <c r="F338" t="s">
        <v>97</v>
      </c>
      <c r="G338" t="s">
        <v>98</v>
      </c>
      <c r="H338" t="s">
        <v>135</v>
      </c>
      <c r="I338" t="s">
        <v>136</v>
      </c>
      <c r="J338" t="s">
        <v>137</v>
      </c>
      <c r="K338" t="s">
        <v>138</v>
      </c>
      <c r="L338" t="s">
        <v>166</v>
      </c>
      <c r="M338" t="s">
        <v>186</v>
      </c>
      <c r="N338">
        <v>4</v>
      </c>
      <c r="O338" s="4">
        <v>18000</v>
      </c>
      <c r="P338" s="4">
        <v>24500</v>
      </c>
      <c r="Q338" s="7">
        <v>0</v>
      </c>
      <c r="R338" t="s">
        <v>215</v>
      </c>
      <c r="S338">
        <v>7</v>
      </c>
      <c r="T338">
        <v>98000</v>
      </c>
      <c r="U338">
        <v>0</v>
      </c>
      <c r="V338">
        <v>98000</v>
      </c>
      <c r="W338">
        <v>72000</v>
      </c>
      <c r="X338">
        <v>26000</v>
      </c>
      <c r="Y338" s="8">
        <v>0.26530612244897961</v>
      </c>
      <c r="Z338" t="s">
        <v>2995</v>
      </c>
      <c r="AA338" t="str">
        <f>IF(AND(SalesCleanTable[[#This Row],[Discount %]]&gt;0, SalesCleanTable[[#This Row],[Profit]]&lt;0), "Discount loss", "Safe")</f>
        <v>Safe</v>
      </c>
      <c r="AB338" s="25">
        <f>(SalesCleanTable[[#This Row],[Unit Price]] - SalesCleanTable[[#This Row],[Unit Cost]]) / SalesCleanTable[[#This Row],[Unit Price]]</f>
        <v>0.26530612244897961</v>
      </c>
      <c r="AC338" t="str">
        <f>IF(SalesCleanTable[[#This Row],[Discount %]] &gt; SalesCleanTable[[#This Row],[Max Allowed Discount]], "Discount loss", "Safe")</f>
        <v>Safe</v>
      </c>
      <c r="AD338" s="4">
        <f>SalesCleanTable[[#This Row],[Unit Price]] - SalesCleanTable[[#This Row],[Unit Cost]]</f>
        <v>6500</v>
      </c>
      <c r="AE338" s="41">
        <f>(SalesCleanTable[[#This Row],[Unit Price]] - SalesCleanTable[[#This Row],[Unit Cost]]) / SalesCleanTable[[#This Row],[Unit Price]]</f>
        <v>0.26530612244897961</v>
      </c>
    </row>
    <row r="339" spans="1:31">
      <c r="A339" t="s">
        <v>525</v>
      </c>
      <c r="B339" s="6">
        <v>46009</v>
      </c>
      <c r="C339" t="s">
        <v>103</v>
      </c>
      <c r="D339" t="s">
        <v>104</v>
      </c>
      <c r="E339" t="s">
        <v>92</v>
      </c>
      <c r="F339" t="s">
        <v>105</v>
      </c>
      <c r="G339" t="s">
        <v>106</v>
      </c>
      <c r="H339" t="s">
        <v>139</v>
      </c>
      <c r="I339" t="s">
        <v>140</v>
      </c>
      <c r="J339" t="s">
        <v>137</v>
      </c>
      <c r="K339" t="s">
        <v>138</v>
      </c>
      <c r="L339" t="s">
        <v>166</v>
      </c>
      <c r="M339" t="s">
        <v>171</v>
      </c>
      <c r="N339">
        <v>6</v>
      </c>
      <c r="O339" s="4">
        <v>1500</v>
      </c>
      <c r="P339" s="4">
        <v>2500</v>
      </c>
      <c r="Q339" s="7">
        <v>0.05</v>
      </c>
      <c r="R339" t="s">
        <v>215</v>
      </c>
      <c r="S339">
        <v>1</v>
      </c>
      <c r="T339">
        <v>15000</v>
      </c>
      <c r="U339">
        <v>750</v>
      </c>
      <c r="V339">
        <v>14250</v>
      </c>
      <c r="W339">
        <v>9000</v>
      </c>
      <c r="X339">
        <v>5250</v>
      </c>
      <c r="Y339" s="8">
        <v>0.36842105263157893</v>
      </c>
      <c r="Z339" t="s">
        <v>2996</v>
      </c>
      <c r="AA339" t="str">
        <f>IF(AND(SalesCleanTable[[#This Row],[Discount %]]&gt;0, SalesCleanTable[[#This Row],[Profit]]&lt;0), "Discount loss", "Safe")</f>
        <v>Safe</v>
      </c>
      <c r="AB339" s="25">
        <f>(SalesCleanTable[[#This Row],[Unit Price]] - SalesCleanTable[[#This Row],[Unit Cost]]) / SalesCleanTable[[#This Row],[Unit Price]]</f>
        <v>0.4</v>
      </c>
      <c r="AC339" t="str">
        <f>IF(SalesCleanTable[[#This Row],[Discount %]] &gt; SalesCleanTable[[#This Row],[Max Allowed Discount]], "Discount loss", "Safe")</f>
        <v>Safe</v>
      </c>
      <c r="AD339" s="4">
        <f>SalesCleanTable[[#This Row],[Unit Price]] - SalesCleanTable[[#This Row],[Unit Cost]]</f>
        <v>1000</v>
      </c>
      <c r="AE339" s="41">
        <f>(SalesCleanTable[[#This Row],[Unit Price]] - SalesCleanTable[[#This Row],[Unit Cost]]) / SalesCleanTable[[#This Row],[Unit Price]]</f>
        <v>0.4</v>
      </c>
    </row>
    <row r="340" spans="1:31">
      <c r="A340" t="s">
        <v>526</v>
      </c>
      <c r="B340" s="6">
        <v>45922</v>
      </c>
      <c r="C340" t="s">
        <v>95</v>
      </c>
      <c r="D340" t="s">
        <v>96</v>
      </c>
      <c r="E340" t="s">
        <v>92</v>
      </c>
      <c r="F340" t="s">
        <v>97</v>
      </c>
      <c r="G340" t="s">
        <v>98</v>
      </c>
      <c r="H340" t="s">
        <v>141</v>
      </c>
      <c r="I340" t="s">
        <v>142</v>
      </c>
      <c r="J340" t="s">
        <v>143</v>
      </c>
      <c r="K340" t="s">
        <v>144</v>
      </c>
      <c r="L340" t="s">
        <v>183</v>
      </c>
      <c r="M340" t="s">
        <v>177</v>
      </c>
      <c r="N340">
        <v>3</v>
      </c>
      <c r="O340" s="4">
        <v>18000</v>
      </c>
      <c r="P340" s="4">
        <v>24500</v>
      </c>
      <c r="Q340" s="7">
        <v>0</v>
      </c>
      <c r="R340" t="s">
        <v>181</v>
      </c>
      <c r="S340">
        <v>4</v>
      </c>
      <c r="T340">
        <v>73500</v>
      </c>
      <c r="U340">
        <v>0</v>
      </c>
      <c r="V340">
        <v>73500</v>
      </c>
      <c r="W340">
        <v>54000</v>
      </c>
      <c r="X340">
        <v>19500</v>
      </c>
      <c r="Y340" s="8">
        <v>0.26530612244897961</v>
      </c>
      <c r="Z340" t="s">
        <v>2995</v>
      </c>
      <c r="AA340" t="str">
        <f>IF(AND(SalesCleanTable[[#This Row],[Discount %]]&gt;0, SalesCleanTable[[#This Row],[Profit]]&lt;0), "Discount loss", "Safe")</f>
        <v>Safe</v>
      </c>
      <c r="AB340" s="25">
        <f>(SalesCleanTable[[#This Row],[Unit Price]] - SalesCleanTable[[#This Row],[Unit Cost]]) / SalesCleanTable[[#This Row],[Unit Price]]</f>
        <v>0.26530612244897961</v>
      </c>
      <c r="AC340" t="str">
        <f>IF(SalesCleanTable[[#This Row],[Discount %]] &gt; SalesCleanTable[[#This Row],[Max Allowed Discount]], "Discount loss", "Safe")</f>
        <v>Safe</v>
      </c>
      <c r="AD340" s="4">
        <f>SalesCleanTable[[#This Row],[Unit Price]] - SalesCleanTable[[#This Row],[Unit Cost]]</f>
        <v>6500</v>
      </c>
      <c r="AE340" s="41">
        <f>(SalesCleanTable[[#This Row],[Unit Price]] - SalesCleanTable[[#This Row],[Unit Cost]]) / SalesCleanTable[[#This Row],[Unit Price]]</f>
        <v>0.26530612244897961</v>
      </c>
    </row>
    <row r="341" spans="1:31">
      <c r="A341" t="s">
        <v>527</v>
      </c>
      <c r="B341" s="6">
        <v>45722</v>
      </c>
      <c r="C341" t="s">
        <v>24</v>
      </c>
      <c r="D341" t="s">
        <v>25</v>
      </c>
      <c r="E341" t="s">
        <v>26</v>
      </c>
      <c r="F341" t="s">
        <v>27</v>
      </c>
      <c r="G341" t="s">
        <v>28</v>
      </c>
      <c r="H341" t="s">
        <v>128</v>
      </c>
      <c r="I341" t="s">
        <v>129</v>
      </c>
      <c r="J341" t="s">
        <v>130</v>
      </c>
      <c r="K341" t="s">
        <v>131</v>
      </c>
      <c r="L341" t="s">
        <v>183</v>
      </c>
      <c r="M341" t="s">
        <v>177</v>
      </c>
      <c r="N341">
        <v>4</v>
      </c>
      <c r="O341" s="4">
        <v>14500</v>
      </c>
      <c r="P341" s="4">
        <v>17500</v>
      </c>
      <c r="Q341" s="7">
        <v>0</v>
      </c>
      <c r="R341" t="s">
        <v>173</v>
      </c>
      <c r="S341">
        <v>5</v>
      </c>
      <c r="T341">
        <v>70000</v>
      </c>
      <c r="U341">
        <v>0</v>
      </c>
      <c r="V341">
        <v>70000</v>
      </c>
      <c r="W341">
        <v>58000</v>
      </c>
      <c r="X341">
        <v>12000</v>
      </c>
      <c r="Y341" s="8">
        <v>0.17142857142857143</v>
      </c>
      <c r="Z341" t="s">
        <v>2995</v>
      </c>
      <c r="AA341" t="str">
        <f>IF(AND(SalesCleanTable[[#This Row],[Discount %]]&gt;0, SalesCleanTable[[#This Row],[Profit]]&lt;0), "Discount loss", "Safe")</f>
        <v>Safe</v>
      </c>
      <c r="AB341" s="25">
        <f>(SalesCleanTable[[#This Row],[Unit Price]] - SalesCleanTable[[#This Row],[Unit Cost]]) / SalesCleanTable[[#This Row],[Unit Price]]</f>
        <v>0.17142857142857143</v>
      </c>
      <c r="AC341" t="str">
        <f>IF(SalesCleanTable[[#This Row],[Discount %]] &gt; SalesCleanTable[[#This Row],[Max Allowed Discount]], "Discount loss", "Safe")</f>
        <v>Safe</v>
      </c>
      <c r="AD341" s="4">
        <f>SalesCleanTable[[#This Row],[Unit Price]] - SalesCleanTable[[#This Row],[Unit Cost]]</f>
        <v>3000</v>
      </c>
      <c r="AE341" s="41">
        <f>(SalesCleanTable[[#This Row],[Unit Price]] - SalesCleanTable[[#This Row],[Unit Cost]]) / SalesCleanTable[[#This Row],[Unit Price]]</f>
        <v>0.17142857142857143</v>
      </c>
    </row>
    <row r="342" spans="1:31">
      <c r="A342" t="s">
        <v>528</v>
      </c>
      <c r="B342" s="6">
        <v>45692</v>
      </c>
      <c r="C342" t="s">
        <v>29</v>
      </c>
      <c r="D342" t="s">
        <v>30</v>
      </c>
      <c r="E342" t="s">
        <v>26</v>
      </c>
      <c r="F342" t="s">
        <v>27</v>
      </c>
      <c r="G342" t="s">
        <v>31</v>
      </c>
      <c r="H342" t="s">
        <v>139</v>
      </c>
      <c r="I342" t="s">
        <v>140</v>
      </c>
      <c r="J342" t="s">
        <v>137</v>
      </c>
      <c r="K342" t="s">
        <v>138</v>
      </c>
      <c r="L342" t="s">
        <v>166</v>
      </c>
      <c r="M342" t="s">
        <v>171</v>
      </c>
      <c r="N342">
        <v>3</v>
      </c>
      <c r="O342" s="4">
        <v>6200</v>
      </c>
      <c r="P342" s="4">
        <v>7900</v>
      </c>
      <c r="Q342" s="7">
        <v>0.15</v>
      </c>
      <c r="R342" t="s">
        <v>197</v>
      </c>
      <c r="S342">
        <v>13</v>
      </c>
      <c r="T342">
        <v>23700</v>
      </c>
      <c r="U342">
        <v>3555</v>
      </c>
      <c r="V342">
        <v>20145</v>
      </c>
      <c r="W342">
        <v>18600</v>
      </c>
      <c r="X342">
        <v>1545</v>
      </c>
      <c r="Y342" s="8">
        <v>7.6693968726731204E-2</v>
      </c>
      <c r="Z342" t="s">
        <v>2996</v>
      </c>
      <c r="AA342" t="str">
        <f>IF(AND(SalesCleanTable[[#This Row],[Discount %]]&gt;0, SalesCleanTable[[#This Row],[Profit]]&lt;0), "Discount loss", "Safe")</f>
        <v>Safe</v>
      </c>
      <c r="AB342" s="25">
        <f>(SalesCleanTable[[#This Row],[Unit Price]] - SalesCleanTable[[#This Row],[Unit Cost]]) / SalesCleanTable[[#This Row],[Unit Price]]</f>
        <v>0.21518987341772153</v>
      </c>
      <c r="AC342" t="str">
        <f>IF(SalesCleanTable[[#This Row],[Discount %]] &gt; SalesCleanTable[[#This Row],[Max Allowed Discount]], "Discount loss", "Safe")</f>
        <v>Safe</v>
      </c>
      <c r="AD342" s="4">
        <f>SalesCleanTable[[#This Row],[Unit Price]] - SalesCleanTable[[#This Row],[Unit Cost]]</f>
        <v>1700</v>
      </c>
      <c r="AE342" s="41">
        <f>(SalesCleanTable[[#This Row],[Unit Price]] - SalesCleanTable[[#This Row],[Unit Cost]]) / SalesCleanTable[[#This Row],[Unit Price]]</f>
        <v>0.21518987341772153</v>
      </c>
    </row>
    <row r="343" spans="1:31">
      <c r="A343" t="s">
        <v>529</v>
      </c>
      <c r="B343" s="6">
        <v>45958</v>
      </c>
      <c r="C343" t="s">
        <v>57</v>
      </c>
      <c r="D343" t="s">
        <v>58</v>
      </c>
      <c r="E343" t="s">
        <v>59</v>
      </c>
      <c r="F343" t="s">
        <v>60</v>
      </c>
      <c r="G343" t="s">
        <v>61</v>
      </c>
      <c r="H343" t="s">
        <v>135</v>
      </c>
      <c r="I343" t="s">
        <v>136</v>
      </c>
      <c r="J343" t="s">
        <v>137</v>
      </c>
      <c r="K343" t="s">
        <v>138</v>
      </c>
      <c r="L343" t="s">
        <v>183</v>
      </c>
      <c r="M343" t="s">
        <v>171</v>
      </c>
      <c r="N343">
        <v>2</v>
      </c>
      <c r="O343" s="4">
        <v>2400</v>
      </c>
      <c r="P343" s="4">
        <v>3400</v>
      </c>
      <c r="Q343" s="7">
        <v>0</v>
      </c>
      <c r="R343" t="s">
        <v>192</v>
      </c>
      <c r="S343">
        <v>2</v>
      </c>
      <c r="T343">
        <v>6800</v>
      </c>
      <c r="U343">
        <v>0</v>
      </c>
      <c r="V343">
        <v>6800</v>
      </c>
      <c r="W343">
        <v>4800</v>
      </c>
      <c r="X343">
        <v>2000</v>
      </c>
      <c r="Y343" s="8">
        <v>0.29411764705882354</v>
      </c>
      <c r="Z343" t="s">
        <v>2996</v>
      </c>
      <c r="AA343" t="str">
        <f>IF(AND(SalesCleanTable[[#This Row],[Discount %]]&gt;0, SalesCleanTable[[#This Row],[Profit]]&lt;0), "Discount loss", "Safe")</f>
        <v>Safe</v>
      </c>
      <c r="AB343" s="25">
        <f>(SalesCleanTable[[#This Row],[Unit Price]] - SalesCleanTable[[#This Row],[Unit Cost]]) / SalesCleanTable[[#This Row],[Unit Price]]</f>
        <v>0.29411764705882354</v>
      </c>
      <c r="AC343" t="str">
        <f>IF(SalesCleanTable[[#This Row],[Discount %]] &gt; SalesCleanTable[[#This Row],[Max Allowed Discount]], "Discount loss", "Safe")</f>
        <v>Safe</v>
      </c>
      <c r="AD343" s="4">
        <f>SalesCleanTable[[#This Row],[Unit Price]] - SalesCleanTable[[#This Row],[Unit Cost]]</f>
        <v>1000</v>
      </c>
      <c r="AE343" s="41">
        <f>(SalesCleanTable[[#This Row],[Unit Price]] - SalesCleanTable[[#This Row],[Unit Cost]]) / SalesCleanTable[[#This Row],[Unit Price]]</f>
        <v>0.29411764705882354</v>
      </c>
    </row>
    <row r="344" spans="1:31">
      <c r="A344" t="s">
        <v>530</v>
      </c>
      <c r="B344" s="6">
        <v>45709</v>
      </c>
      <c r="C344" t="s">
        <v>95</v>
      </c>
      <c r="D344" t="s">
        <v>96</v>
      </c>
      <c r="E344" t="s">
        <v>92</v>
      </c>
      <c r="F344" t="s">
        <v>97</v>
      </c>
      <c r="G344" t="s">
        <v>98</v>
      </c>
      <c r="H344" t="s">
        <v>149</v>
      </c>
      <c r="I344" t="s">
        <v>150</v>
      </c>
      <c r="J344" t="s">
        <v>151</v>
      </c>
      <c r="K344" t="s">
        <v>152</v>
      </c>
      <c r="L344" t="s">
        <v>166</v>
      </c>
      <c r="M344" t="s">
        <v>171</v>
      </c>
      <c r="N344">
        <v>6</v>
      </c>
      <c r="O344" s="4">
        <v>18000</v>
      </c>
      <c r="P344" s="4">
        <v>24500</v>
      </c>
      <c r="Q344" s="7">
        <v>0.15</v>
      </c>
      <c r="R344" t="s">
        <v>215</v>
      </c>
      <c r="S344">
        <v>10</v>
      </c>
      <c r="T344">
        <v>147000</v>
      </c>
      <c r="U344">
        <v>22050</v>
      </c>
      <c r="V344">
        <v>124950</v>
      </c>
      <c r="W344">
        <v>108000</v>
      </c>
      <c r="X344">
        <v>16950</v>
      </c>
      <c r="Y344" s="8">
        <v>0.13565426170468187</v>
      </c>
      <c r="Z344" t="s">
        <v>2995</v>
      </c>
      <c r="AA344" t="str">
        <f>IF(AND(SalesCleanTable[[#This Row],[Discount %]]&gt;0, SalesCleanTable[[#This Row],[Profit]]&lt;0), "Discount loss", "Safe")</f>
        <v>Safe</v>
      </c>
      <c r="AB344" s="25">
        <f>(SalesCleanTable[[#This Row],[Unit Price]] - SalesCleanTable[[#This Row],[Unit Cost]]) / SalesCleanTable[[#This Row],[Unit Price]]</f>
        <v>0.26530612244897961</v>
      </c>
      <c r="AC344" t="str">
        <f>IF(SalesCleanTable[[#This Row],[Discount %]] &gt; SalesCleanTable[[#This Row],[Max Allowed Discount]], "Discount loss", "Safe")</f>
        <v>Safe</v>
      </c>
      <c r="AD344" s="4">
        <f>SalesCleanTable[[#This Row],[Unit Price]] - SalesCleanTable[[#This Row],[Unit Cost]]</f>
        <v>6500</v>
      </c>
      <c r="AE344" s="41">
        <f>(SalesCleanTable[[#This Row],[Unit Price]] - SalesCleanTable[[#This Row],[Unit Cost]]) / SalesCleanTable[[#This Row],[Unit Price]]</f>
        <v>0.26530612244897961</v>
      </c>
    </row>
    <row r="345" spans="1:31">
      <c r="A345" t="s">
        <v>531</v>
      </c>
      <c r="B345" s="6">
        <v>45746</v>
      </c>
      <c r="C345" t="s">
        <v>45</v>
      </c>
      <c r="D345" t="s">
        <v>46</v>
      </c>
      <c r="E345" t="s">
        <v>38</v>
      </c>
      <c r="F345" t="s">
        <v>47</v>
      </c>
      <c r="G345" t="s">
        <v>48</v>
      </c>
      <c r="H345" t="s">
        <v>133</v>
      </c>
      <c r="I345" t="s">
        <v>134</v>
      </c>
      <c r="J345" t="s">
        <v>130</v>
      </c>
      <c r="K345" t="s">
        <v>131</v>
      </c>
      <c r="L345" t="s">
        <v>166</v>
      </c>
      <c r="M345" t="s">
        <v>171</v>
      </c>
      <c r="N345">
        <v>3</v>
      </c>
      <c r="O345" s="4">
        <v>230</v>
      </c>
      <c r="P345" s="4">
        <v>400</v>
      </c>
      <c r="Q345" s="7">
        <v>0.1</v>
      </c>
      <c r="R345" t="s">
        <v>175</v>
      </c>
      <c r="S345">
        <v>12</v>
      </c>
      <c r="T345">
        <v>1200</v>
      </c>
      <c r="U345">
        <v>120</v>
      </c>
      <c r="V345">
        <v>1080</v>
      </c>
      <c r="W345">
        <v>690</v>
      </c>
      <c r="X345">
        <v>390</v>
      </c>
      <c r="Y345" s="8">
        <v>0.3611111111111111</v>
      </c>
      <c r="Z345" t="s">
        <v>2995</v>
      </c>
      <c r="AA345" t="str">
        <f>IF(AND(SalesCleanTable[[#This Row],[Discount %]]&gt;0, SalesCleanTable[[#This Row],[Profit]]&lt;0), "Discount loss", "Safe")</f>
        <v>Safe</v>
      </c>
      <c r="AB345" s="25">
        <f>(SalesCleanTable[[#This Row],[Unit Price]] - SalesCleanTable[[#This Row],[Unit Cost]]) / SalesCleanTable[[#This Row],[Unit Price]]</f>
        <v>0.42499999999999999</v>
      </c>
      <c r="AC345" t="str">
        <f>IF(SalesCleanTable[[#This Row],[Discount %]] &gt; SalesCleanTable[[#This Row],[Max Allowed Discount]], "Discount loss", "Safe")</f>
        <v>Safe</v>
      </c>
      <c r="AD345" s="4">
        <f>SalesCleanTable[[#This Row],[Unit Price]] - SalesCleanTable[[#This Row],[Unit Cost]]</f>
        <v>170</v>
      </c>
      <c r="AE345" s="41">
        <f>(SalesCleanTable[[#This Row],[Unit Price]] - SalesCleanTable[[#This Row],[Unit Cost]]) / SalesCleanTable[[#This Row],[Unit Price]]</f>
        <v>0.42499999999999999</v>
      </c>
    </row>
    <row r="346" spans="1:31">
      <c r="A346" t="s">
        <v>532</v>
      </c>
      <c r="B346" s="6">
        <v>45901</v>
      </c>
      <c r="C346" t="s">
        <v>112</v>
      </c>
      <c r="D346" t="s">
        <v>113</v>
      </c>
      <c r="E346" t="s">
        <v>109</v>
      </c>
      <c r="F346" t="s">
        <v>114</v>
      </c>
      <c r="G346" t="s">
        <v>115</v>
      </c>
      <c r="H346" t="s">
        <v>149</v>
      </c>
      <c r="I346" t="s">
        <v>150</v>
      </c>
      <c r="J346" t="s">
        <v>151</v>
      </c>
      <c r="K346" t="s">
        <v>152</v>
      </c>
      <c r="L346" t="s">
        <v>166</v>
      </c>
      <c r="M346" t="s">
        <v>167</v>
      </c>
      <c r="N346">
        <v>1</v>
      </c>
      <c r="O346" s="4">
        <v>1300</v>
      </c>
      <c r="P346" s="4">
        <v>2100</v>
      </c>
      <c r="Q346" s="7">
        <v>0.15</v>
      </c>
      <c r="R346" t="s">
        <v>220</v>
      </c>
      <c r="S346">
        <v>14</v>
      </c>
      <c r="T346">
        <v>2100</v>
      </c>
      <c r="U346">
        <v>315</v>
      </c>
      <c r="V346">
        <v>1785</v>
      </c>
      <c r="W346">
        <v>1300</v>
      </c>
      <c r="X346">
        <v>485</v>
      </c>
      <c r="Y346" s="8">
        <v>0.27170868347338933</v>
      </c>
      <c r="Z346" t="s">
        <v>2995</v>
      </c>
      <c r="AA346" t="str">
        <f>IF(AND(SalesCleanTable[[#This Row],[Discount %]]&gt;0, SalesCleanTable[[#This Row],[Profit]]&lt;0), "Discount loss", "Safe")</f>
        <v>Safe</v>
      </c>
      <c r="AB346" s="25">
        <f>(SalesCleanTable[[#This Row],[Unit Price]] - SalesCleanTable[[#This Row],[Unit Cost]]) / SalesCleanTable[[#This Row],[Unit Price]]</f>
        <v>0.38095238095238093</v>
      </c>
      <c r="AC346" t="str">
        <f>IF(SalesCleanTable[[#This Row],[Discount %]] &gt; SalesCleanTable[[#This Row],[Max Allowed Discount]], "Discount loss", "Safe")</f>
        <v>Safe</v>
      </c>
      <c r="AD346" s="4">
        <f>SalesCleanTable[[#This Row],[Unit Price]] - SalesCleanTable[[#This Row],[Unit Cost]]</f>
        <v>800</v>
      </c>
      <c r="AE346" s="41">
        <f>(SalesCleanTable[[#This Row],[Unit Price]] - SalesCleanTable[[#This Row],[Unit Cost]]) / SalesCleanTable[[#This Row],[Unit Price]]</f>
        <v>0.38095238095238093</v>
      </c>
    </row>
    <row r="347" spans="1:31">
      <c r="A347" t="s">
        <v>533</v>
      </c>
      <c r="B347" s="6">
        <v>45708</v>
      </c>
      <c r="C347" t="s">
        <v>116</v>
      </c>
      <c r="D347" t="s">
        <v>117</v>
      </c>
      <c r="E347" t="s">
        <v>109</v>
      </c>
      <c r="F347" t="s">
        <v>118</v>
      </c>
      <c r="G347" t="s">
        <v>119</v>
      </c>
      <c r="H347" t="s">
        <v>133</v>
      </c>
      <c r="I347" t="s">
        <v>134</v>
      </c>
      <c r="J347" t="s">
        <v>130</v>
      </c>
      <c r="K347" t="s">
        <v>131</v>
      </c>
      <c r="L347" t="s">
        <v>183</v>
      </c>
      <c r="M347" t="s">
        <v>186</v>
      </c>
      <c r="N347">
        <v>2</v>
      </c>
      <c r="O347" s="4">
        <v>2800</v>
      </c>
      <c r="P347" s="4">
        <v>4200</v>
      </c>
      <c r="Q347" s="7">
        <v>0.1</v>
      </c>
      <c r="R347" t="s">
        <v>184</v>
      </c>
      <c r="S347">
        <v>7</v>
      </c>
      <c r="T347">
        <v>8400</v>
      </c>
      <c r="U347">
        <v>840</v>
      </c>
      <c r="V347">
        <v>7560</v>
      </c>
      <c r="W347">
        <v>5600</v>
      </c>
      <c r="X347">
        <v>1960</v>
      </c>
      <c r="Y347" s="8">
        <v>0.25925925925925924</v>
      </c>
      <c r="Z347" t="s">
        <v>2995</v>
      </c>
      <c r="AA347" t="str">
        <f>IF(AND(SalesCleanTable[[#This Row],[Discount %]]&gt;0, SalesCleanTable[[#This Row],[Profit]]&lt;0), "Discount loss", "Safe")</f>
        <v>Safe</v>
      </c>
      <c r="AB347" s="25">
        <f>(SalesCleanTable[[#This Row],[Unit Price]] - SalesCleanTable[[#This Row],[Unit Cost]]) / SalesCleanTable[[#This Row],[Unit Price]]</f>
        <v>0.33333333333333331</v>
      </c>
      <c r="AC347" t="str">
        <f>IF(SalesCleanTable[[#This Row],[Discount %]] &gt; SalesCleanTable[[#This Row],[Max Allowed Discount]], "Discount loss", "Safe")</f>
        <v>Safe</v>
      </c>
      <c r="AD347" s="4">
        <f>SalesCleanTable[[#This Row],[Unit Price]] - SalesCleanTable[[#This Row],[Unit Cost]]</f>
        <v>1400</v>
      </c>
      <c r="AE347" s="41">
        <f>(SalesCleanTable[[#This Row],[Unit Price]] - SalesCleanTable[[#This Row],[Unit Cost]]) / SalesCleanTable[[#This Row],[Unit Price]]</f>
        <v>0.33333333333333331</v>
      </c>
    </row>
    <row r="348" spans="1:31">
      <c r="A348" t="s">
        <v>534</v>
      </c>
      <c r="B348" s="6">
        <v>45703</v>
      </c>
      <c r="C348" t="s">
        <v>36</v>
      </c>
      <c r="D348" t="s">
        <v>37</v>
      </c>
      <c r="E348" t="s">
        <v>38</v>
      </c>
      <c r="F348" t="s">
        <v>39</v>
      </c>
      <c r="G348" t="s">
        <v>40</v>
      </c>
      <c r="H348" t="s">
        <v>133</v>
      </c>
      <c r="I348" t="s">
        <v>134</v>
      </c>
      <c r="J348" t="s">
        <v>130</v>
      </c>
      <c r="K348" t="s">
        <v>131</v>
      </c>
      <c r="L348" t="s">
        <v>183</v>
      </c>
      <c r="M348" t="s">
        <v>171</v>
      </c>
      <c r="N348">
        <v>5</v>
      </c>
      <c r="O348" s="4">
        <v>1650</v>
      </c>
      <c r="P348" s="4">
        <v>2200</v>
      </c>
      <c r="Q348" s="7">
        <v>0.1</v>
      </c>
      <c r="R348" t="s">
        <v>178</v>
      </c>
      <c r="S348">
        <v>9</v>
      </c>
      <c r="T348">
        <v>11000</v>
      </c>
      <c r="U348">
        <v>1100</v>
      </c>
      <c r="V348">
        <v>9900</v>
      </c>
      <c r="W348">
        <v>8250</v>
      </c>
      <c r="X348">
        <v>1650</v>
      </c>
      <c r="Y348" s="8">
        <v>0.16666666666666666</v>
      </c>
      <c r="Z348" t="s">
        <v>2995</v>
      </c>
      <c r="AA348" t="str">
        <f>IF(AND(SalesCleanTable[[#This Row],[Discount %]]&gt;0, SalesCleanTable[[#This Row],[Profit]]&lt;0), "Discount loss", "Safe")</f>
        <v>Safe</v>
      </c>
      <c r="AB348" s="25">
        <f>(SalesCleanTable[[#This Row],[Unit Price]] - SalesCleanTable[[#This Row],[Unit Cost]]) / SalesCleanTable[[#This Row],[Unit Price]]</f>
        <v>0.25</v>
      </c>
      <c r="AC348" t="str">
        <f>IF(SalesCleanTable[[#This Row],[Discount %]] &gt; SalesCleanTable[[#This Row],[Max Allowed Discount]], "Discount loss", "Safe")</f>
        <v>Safe</v>
      </c>
      <c r="AD348" s="4">
        <f>SalesCleanTable[[#This Row],[Unit Price]] - SalesCleanTable[[#This Row],[Unit Cost]]</f>
        <v>550</v>
      </c>
      <c r="AE348" s="41">
        <f>(SalesCleanTable[[#This Row],[Unit Price]] - SalesCleanTable[[#This Row],[Unit Cost]]) / SalesCleanTable[[#This Row],[Unit Price]]</f>
        <v>0.25</v>
      </c>
    </row>
    <row r="349" spans="1:31">
      <c r="A349" t="s">
        <v>535</v>
      </c>
      <c r="B349" s="6">
        <v>45691</v>
      </c>
      <c r="C349" t="s">
        <v>45</v>
      </c>
      <c r="D349" t="s">
        <v>46</v>
      </c>
      <c r="E349" t="s">
        <v>38</v>
      </c>
      <c r="F349" t="s">
        <v>47</v>
      </c>
      <c r="G349" t="s">
        <v>48</v>
      </c>
      <c r="H349" t="s">
        <v>139</v>
      </c>
      <c r="I349" t="s">
        <v>140</v>
      </c>
      <c r="J349" t="s">
        <v>137</v>
      </c>
      <c r="K349" t="s">
        <v>138</v>
      </c>
      <c r="L349" t="s">
        <v>183</v>
      </c>
      <c r="M349" t="s">
        <v>177</v>
      </c>
      <c r="N349">
        <v>1</v>
      </c>
      <c r="O349" s="4">
        <v>230</v>
      </c>
      <c r="P349" s="4">
        <v>400</v>
      </c>
      <c r="Q349" s="7">
        <v>0.15</v>
      </c>
      <c r="R349" t="s">
        <v>178</v>
      </c>
      <c r="S349">
        <v>14</v>
      </c>
      <c r="T349">
        <v>400</v>
      </c>
      <c r="U349">
        <v>60</v>
      </c>
      <c r="V349">
        <v>340</v>
      </c>
      <c r="W349">
        <v>230</v>
      </c>
      <c r="X349">
        <v>110</v>
      </c>
      <c r="Y349" s="8">
        <v>0.3235294117647059</v>
      </c>
      <c r="Z349" t="s">
        <v>2995</v>
      </c>
      <c r="AA349" t="str">
        <f>IF(AND(SalesCleanTable[[#This Row],[Discount %]]&gt;0, SalesCleanTable[[#This Row],[Profit]]&lt;0), "Discount loss", "Safe")</f>
        <v>Safe</v>
      </c>
      <c r="AB349" s="25">
        <f>(SalesCleanTable[[#This Row],[Unit Price]] - SalesCleanTable[[#This Row],[Unit Cost]]) / SalesCleanTable[[#This Row],[Unit Price]]</f>
        <v>0.42499999999999999</v>
      </c>
      <c r="AC349" t="str">
        <f>IF(SalesCleanTable[[#This Row],[Discount %]] &gt; SalesCleanTable[[#This Row],[Max Allowed Discount]], "Discount loss", "Safe")</f>
        <v>Safe</v>
      </c>
      <c r="AD349" s="4">
        <f>SalesCleanTable[[#This Row],[Unit Price]] - SalesCleanTable[[#This Row],[Unit Cost]]</f>
        <v>170</v>
      </c>
      <c r="AE349" s="41">
        <f>(SalesCleanTable[[#This Row],[Unit Price]] - SalesCleanTable[[#This Row],[Unit Cost]]) / SalesCleanTable[[#This Row],[Unit Price]]</f>
        <v>0.42499999999999999</v>
      </c>
    </row>
    <row r="350" spans="1:31">
      <c r="A350" t="s">
        <v>536</v>
      </c>
      <c r="B350" s="6">
        <v>45687</v>
      </c>
      <c r="C350" t="s">
        <v>41</v>
      </c>
      <c r="D350" t="s">
        <v>42</v>
      </c>
      <c r="E350" t="s">
        <v>26</v>
      </c>
      <c r="F350" t="s">
        <v>43</v>
      </c>
      <c r="G350" t="s">
        <v>44</v>
      </c>
      <c r="H350" t="s">
        <v>139</v>
      </c>
      <c r="I350" t="s">
        <v>140</v>
      </c>
      <c r="J350" t="s">
        <v>137</v>
      </c>
      <c r="K350" t="s">
        <v>138</v>
      </c>
      <c r="L350" t="s">
        <v>166</v>
      </c>
      <c r="M350" t="s">
        <v>171</v>
      </c>
      <c r="N350">
        <v>6</v>
      </c>
      <c r="O350" s="4">
        <v>850</v>
      </c>
      <c r="P350" s="4">
        <v>1300</v>
      </c>
      <c r="Q350" s="7">
        <v>0.1</v>
      </c>
      <c r="R350" t="s">
        <v>173</v>
      </c>
      <c r="S350">
        <v>7</v>
      </c>
      <c r="T350">
        <v>7800</v>
      </c>
      <c r="U350">
        <v>780</v>
      </c>
      <c r="V350">
        <v>7020</v>
      </c>
      <c r="W350">
        <v>5100</v>
      </c>
      <c r="X350">
        <v>1920</v>
      </c>
      <c r="Y350" s="8">
        <v>0.27350427350427353</v>
      </c>
      <c r="Z350" t="s">
        <v>2995</v>
      </c>
      <c r="AA350" t="str">
        <f>IF(AND(SalesCleanTable[[#This Row],[Discount %]]&gt;0, SalesCleanTable[[#This Row],[Profit]]&lt;0), "Discount loss", "Safe")</f>
        <v>Safe</v>
      </c>
      <c r="AB350" s="25">
        <f>(SalesCleanTable[[#This Row],[Unit Price]] - SalesCleanTable[[#This Row],[Unit Cost]]) / SalesCleanTable[[#This Row],[Unit Price]]</f>
        <v>0.34615384615384615</v>
      </c>
      <c r="AC350" t="str">
        <f>IF(SalesCleanTable[[#This Row],[Discount %]] &gt; SalesCleanTable[[#This Row],[Max Allowed Discount]], "Discount loss", "Safe")</f>
        <v>Safe</v>
      </c>
      <c r="AD350" s="4">
        <f>SalesCleanTable[[#This Row],[Unit Price]] - SalesCleanTable[[#This Row],[Unit Cost]]</f>
        <v>450</v>
      </c>
      <c r="AE350" s="41">
        <f>(SalesCleanTable[[#This Row],[Unit Price]] - SalesCleanTable[[#This Row],[Unit Cost]]) / SalesCleanTable[[#This Row],[Unit Price]]</f>
        <v>0.34615384615384615</v>
      </c>
    </row>
    <row r="351" spans="1:31">
      <c r="A351" t="s">
        <v>537</v>
      </c>
      <c r="B351" s="6">
        <v>45721</v>
      </c>
      <c r="C351" t="s">
        <v>78</v>
      </c>
      <c r="D351" t="s">
        <v>79</v>
      </c>
      <c r="E351" t="s">
        <v>75</v>
      </c>
      <c r="F351" t="s">
        <v>80</v>
      </c>
      <c r="G351" t="s">
        <v>81</v>
      </c>
      <c r="H351" t="s">
        <v>133</v>
      </c>
      <c r="I351" t="s">
        <v>134</v>
      </c>
      <c r="J351" t="s">
        <v>130</v>
      </c>
      <c r="K351" t="s">
        <v>131</v>
      </c>
      <c r="L351" t="s">
        <v>170</v>
      </c>
      <c r="M351" t="s">
        <v>186</v>
      </c>
      <c r="N351">
        <v>3</v>
      </c>
      <c r="O351" s="4">
        <v>1200</v>
      </c>
      <c r="P351" s="4">
        <v>1900</v>
      </c>
      <c r="Q351" s="7">
        <v>0.05</v>
      </c>
      <c r="R351" t="s">
        <v>204</v>
      </c>
      <c r="S351">
        <v>6</v>
      </c>
      <c r="T351">
        <v>5700</v>
      </c>
      <c r="U351">
        <v>285</v>
      </c>
      <c r="V351">
        <v>5415</v>
      </c>
      <c r="W351">
        <v>3600</v>
      </c>
      <c r="X351">
        <v>1815</v>
      </c>
      <c r="Y351" s="8">
        <v>0.33518005540166207</v>
      </c>
      <c r="Z351" t="s">
        <v>2996</v>
      </c>
      <c r="AA351" t="str">
        <f>IF(AND(SalesCleanTable[[#This Row],[Discount %]]&gt;0, SalesCleanTable[[#This Row],[Profit]]&lt;0), "Discount loss", "Safe")</f>
        <v>Safe</v>
      </c>
      <c r="AB351" s="25">
        <f>(SalesCleanTable[[#This Row],[Unit Price]] - SalesCleanTable[[#This Row],[Unit Cost]]) / SalesCleanTable[[#This Row],[Unit Price]]</f>
        <v>0.36842105263157893</v>
      </c>
      <c r="AC351" t="str">
        <f>IF(SalesCleanTable[[#This Row],[Discount %]] &gt; SalesCleanTable[[#This Row],[Max Allowed Discount]], "Discount loss", "Safe")</f>
        <v>Safe</v>
      </c>
      <c r="AD351" s="4">
        <f>SalesCleanTable[[#This Row],[Unit Price]] - SalesCleanTable[[#This Row],[Unit Cost]]</f>
        <v>700</v>
      </c>
      <c r="AE351" s="41">
        <f>(SalesCleanTable[[#This Row],[Unit Price]] - SalesCleanTable[[#This Row],[Unit Cost]]) / SalesCleanTable[[#This Row],[Unit Price]]</f>
        <v>0.36842105263157893</v>
      </c>
    </row>
    <row r="352" spans="1:31">
      <c r="A352" t="s">
        <v>538</v>
      </c>
      <c r="B352" s="6">
        <v>45790</v>
      </c>
      <c r="C352" t="s">
        <v>82</v>
      </c>
      <c r="D352" t="s">
        <v>83</v>
      </c>
      <c r="E352" t="s">
        <v>75</v>
      </c>
      <c r="F352" t="s">
        <v>84</v>
      </c>
      <c r="G352" t="s">
        <v>85</v>
      </c>
      <c r="H352" t="s">
        <v>141</v>
      </c>
      <c r="I352" t="s">
        <v>142</v>
      </c>
      <c r="J352" t="s">
        <v>143</v>
      </c>
      <c r="K352" t="s">
        <v>144</v>
      </c>
      <c r="L352" t="s">
        <v>166</v>
      </c>
      <c r="M352" t="s">
        <v>171</v>
      </c>
      <c r="N352">
        <v>2</v>
      </c>
      <c r="O352" s="4">
        <v>600</v>
      </c>
      <c r="P352" s="4">
        <v>950</v>
      </c>
      <c r="Q352" s="7">
        <v>0.05</v>
      </c>
      <c r="R352" t="s">
        <v>187</v>
      </c>
      <c r="S352">
        <v>14</v>
      </c>
      <c r="T352">
        <v>1900</v>
      </c>
      <c r="U352">
        <v>95</v>
      </c>
      <c r="V352">
        <v>1805</v>
      </c>
      <c r="W352">
        <v>1200</v>
      </c>
      <c r="X352">
        <v>605</v>
      </c>
      <c r="Y352" s="8">
        <v>0.33518005540166207</v>
      </c>
      <c r="Z352" t="s">
        <v>2996</v>
      </c>
      <c r="AA352" t="str">
        <f>IF(AND(SalesCleanTable[[#This Row],[Discount %]]&gt;0, SalesCleanTable[[#This Row],[Profit]]&lt;0), "Discount loss", "Safe")</f>
        <v>Safe</v>
      </c>
      <c r="AB352" s="25">
        <f>(SalesCleanTable[[#This Row],[Unit Price]] - SalesCleanTable[[#This Row],[Unit Cost]]) / SalesCleanTable[[#This Row],[Unit Price]]</f>
        <v>0.36842105263157893</v>
      </c>
      <c r="AC352" t="str">
        <f>IF(SalesCleanTable[[#This Row],[Discount %]] &gt; SalesCleanTable[[#This Row],[Max Allowed Discount]], "Discount loss", "Safe")</f>
        <v>Safe</v>
      </c>
      <c r="AD352" s="4">
        <f>SalesCleanTable[[#This Row],[Unit Price]] - SalesCleanTable[[#This Row],[Unit Cost]]</f>
        <v>350</v>
      </c>
      <c r="AE352" s="41">
        <f>(SalesCleanTable[[#This Row],[Unit Price]] - SalesCleanTable[[#This Row],[Unit Cost]]) / SalesCleanTable[[#This Row],[Unit Price]]</f>
        <v>0.36842105263157893</v>
      </c>
    </row>
    <row r="353" spans="1:31">
      <c r="A353" t="s">
        <v>539</v>
      </c>
      <c r="B353" s="6">
        <v>45773</v>
      </c>
      <c r="C353" t="s">
        <v>78</v>
      </c>
      <c r="D353" t="s">
        <v>79</v>
      </c>
      <c r="E353" t="s">
        <v>75</v>
      </c>
      <c r="F353" t="s">
        <v>80</v>
      </c>
      <c r="G353" t="s">
        <v>81</v>
      </c>
      <c r="H353" t="s">
        <v>135</v>
      </c>
      <c r="I353" t="s">
        <v>136</v>
      </c>
      <c r="J353" t="s">
        <v>137</v>
      </c>
      <c r="K353" t="s">
        <v>138</v>
      </c>
      <c r="L353" t="s">
        <v>183</v>
      </c>
      <c r="M353" t="s">
        <v>171</v>
      </c>
      <c r="N353">
        <v>2</v>
      </c>
      <c r="O353" s="4">
        <v>1200</v>
      </c>
      <c r="P353" s="4">
        <v>1900</v>
      </c>
      <c r="Q353" s="7">
        <v>0</v>
      </c>
      <c r="R353" t="s">
        <v>187</v>
      </c>
      <c r="S353">
        <v>8</v>
      </c>
      <c r="T353">
        <v>3800</v>
      </c>
      <c r="U353">
        <v>0</v>
      </c>
      <c r="V353">
        <v>3800</v>
      </c>
      <c r="W353">
        <v>2400</v>
      </c>
      <c r="X353">
        <v>1400</v>
      </c>
      <c r="Y353" s="8">
        <v>0.36842105263157893</v>
      </c>
      <c r="Z353" t="s">
        <v>2996</v>
      </c>
      <c r="AA353" t="str">
        <f>IF(AND(SalesCleanTable[[#This Row],[Discount %]]&gt;0, SalesCleanTable[[#This Row],[Profit]]&lt;0), "Discount loss", "Safe")</f>
        <v>Safe</v>
      </c>
      <c r="AB353" s="25">
        <f>(SalesCleanTable[[#This Row],[Unit Price]] - SalesCleanTable[[#This Row],[Unit Cost]]) / SalesCleanTable[[#This Row],[Unit Price]]</f>
        <v>0.36842105263157893</v>
      </c>
      <c r="AC353" t="str">
        <f>IF(SalesCleanTable[[#This Row],[Discount %]] &gt; SalesCleanTable[[#This Row],[Max Allowed Discount]], "Discount loss", "Safe")</f>
        <v>Safe</v>
      </c>
      <c r="AD353" s="4">
        <f>SalesCleanTable[[#This Row],[Unit Price]] - SalesCleanTable[[#This Row],[Unit Cost]]</f>
        <v>700</v>
      </c>
      <c r="AE353" s="41">
        <f>(SalesCleanTable[[#This Row],[Unit Price]] - SalesCleanTable[[#This Row],[Unit Cost]]) / SalesCleanTable[[#This Row],[Unit Price]]</f>
        <v>0.36842105263157893</v>
      </c>
    </row>
    <row r="354" spans="1:31">
      <c r="A354" t="s">
        <v>540</v>
      </c>
      <c r="B354" s="6">
        <v>45989</v>
      </c>
      <c r="C354" t="s">
        <v>36</v>
      </c>
      <c r="D354" t="s">
        <v>37</v>
      </c>
      <c r="E354" t="s">
        <v>38</v>
      </c>
      <c r="F354" t="s">
        <v>39</v>
      </c>
      <c r="G354" t="s">
        <v>40</v>
      </c>
      <c r="H354" t="s">
        <v>145</v>
      </c>
      <c r="I354" t="s">
        <v>146</v>
      </c>
      <c r="J354" t="s">
        <v>147</v>
      </c>
      <c r="K354" t="s">
        <v>148</v>
      </c>
      <c r="L354" t="s">
        <v>170</v>
      </c>
      <c r="M354" t="s">
        <v>171</v>
      </c>
      <c r="N354">
        <v>2</v>
      </c>
      <c r="O354" s="4">
        <v>1650</v>
      </c>
      <c r="P354" s="4">
        <v>2200</v>
      </c>
      <c r="Q354" s="7">
        <v>0.1</v>
      </c>
      <c r="R354" t="s">
        <v>168</v>
      </c>
      <c r="S354">
        <v>11</v>
      </c>
      <c r="T354">
        <v>4400</v>
      </c>
      <c r="U354">
        <v>440</v>
      </c>
      <c r="V354">
        <v>3960</v>
      </c>
      <c r="W354">
        <v>3300</v>
      </c>
      <c r="X354">
        <v>660</v>
      </c>
      <c r="Y354" s="8">
        <v>0.16666666666666666</v>
      </c>
      <c r="Z354" t="s">
        <v>2995</v>
      </c>
      <c r="AA354" t="str">
        <f>IF(AND(SalesCleanTable[[#This Row],[Discount %]]&gt;0, SalesCleanTable[[#This Row],[Profit]]&lt;0), "Discount loss", "Safe")</f>
        <v>Safe</v>
      </c>
      <c r="AB354" s="25">
        <f>(SalesCleanTable[[#This Row],[Unit Price]] - SalesCleanTable[[#This Row],[Unit Cost]]) / SalesCleanTable[[#This Row],[Unit Price]]</f>
        <v>0.25</v>
      </c>
      <c r="AC354" t="str">
        <f>IF(SalesCleanTable[[#This Row],[Discount %]] &gt; SalesCleanTable[[#This Row],[Max Allowed Discount]], "Discount loss", "Safe")</f>
        <v>Safe</v>
      </c>
      <c r="AD354" s="4">
        <f>SalesCleanTable[[#This Row],[Unit Price]] - SalesCleanTable[[#This Row],[Unit Cost]]</f>
        <v>550</v>
      </c>
      <c r="AE354" s="41">
        <f>(SalesCleanTable[[#This Row],[Unit Price]] - SalesCleanTable[[#This Row],[Unit Cost]]) / SalesCleanTable[[#This Row],[Unit Price]]</f>
        <v>0.25</v>
      </c>
    </row>
    <row r="355" spans="1:31">
      <c r="A355" t="s">
        <v>541</v>
      </c>
      <c r="B355" s="6">
        <v>45850</v>
      </c>
      <c r="C355" t="s">
        <v>103</v>
      </c>
      <c r="D355" t="s">
        <v>104</v>
      </c>
      <c r="E355" t="s">
        <v>92</v>
      </c>
      <c r="F355" t="s">
        <v>105</v>
      </c>
      <c r="G355" t="s">
        <v>106</v>
      </c>
      <c r="H355" t="s">
        <v>139</v>
      </c>
      <c r="I355" t="s">
        <v>140</v>
      </c>
      <c r="J355" t="s">
        <v>137</v>
      </c>
      <c r="K355" t="s">
        <v>138</v>
      </c>
      <c r="L355" t="s">
        <v>166</v>
      </c>
      <c r="M355" t="s">
        <v>171</v>
      </c>
      <c r="N355">
        <v>-2</v>
      </c>
      <c r="O355" s="4">
        <v>1500</v>
      </c>
      <c r="P355" s="4">
        <v>2500</v>
      </c>
      <c r="Q355" s="7">
        <v>0.05</v>
      </c>
      <c r="R355" t="s">
        <v>215</v>
      </c>
      <c r="S355">
        <v>2</v>
      </c>
      <c r="T355">
        <v>-5000</v>
      </c>
      <c r="U355">
        <v>-250</v>
      </c>
      <c r="V355">
        <v>-4750</v>
      </c>
      <c r="W355">
        <v>-3000</v>
      </c>
      <c r="X355">
        <v>-1750</v>
      </c>
      <c r="Y355" s="8">
        <v>0.36842105263157893</v>
      </c>
      <c r="Z355" t="s">
        <v>2996</v>
      </c>
      <c r="AA355" t="str">
        <f>IF(AND(SalesCleanTable[[#This Row],[Discount %]]&gt;0, SalesCleanTable[[#This Row],[Profit]]&lt;0), "Discount loss", "Safe")</f>
        <v>Discount loss</v>
      </c>
      <c r="AB355" s="25">
        <f>(SalesCleanTable[[#This Row],[Unit Price]] - SalesCleanTable[[#This Row],[Unit Cost]]) / SalesCleanTable[[#This Row],[Unit Price]]</f>
        <v>0.4</v>
      </c>
      <c r="AC355" t="str">
        <f>IF(SalesCleanTable[[#This Row],[Discount %]] &gt; SalesCleanTable[[#This Row],[Max Allowed Discount]], "Discount loss", "Safe")</f>
        <v>Safe</v>
      </c>
      <c r="AD355" s="4">
        <f>SalesCleanTable[[#This Row],[Unit Price]] - SalesCleanTable[[#This Row],[Unit Cost]]</f>
        <v>1000</v>
      </c>
      <c r="AE355" s="41">
        <f>(SalesCleanTable[[#This Row],[Unit Price]] - SalesCleanTable[[#This Row],[Unit Cost]]) / SalesCleanTable[[#This Row],[Unit Price]]</f>
        <v>0.4</v>
      </c>
    </row>
    <row r="356" spans="1:31">
      <c r="A356" t="s">
        <v>542</v>
      </c>
      <c r="B356" s="6">
        <v>45849</v>
      </c>
      <c r="C356" t="s">
        <v>62</v>
      </c>
      <c r="D356" t="s">
        <v>63</v>
      </c>
      <c r="E356" t="s">
        <v>59</v>
      </c>
      <c r="F356" t="s">
        <v>64</v>
      </c>
      <c r="G356" t="s">
        <v>65</v>
      </c>
      <c r="H356" t="s">
        <v>139</v>
      </c>
      <c r="I356" t="s">
        <v>140</v>
      </c>
      <c r="J356" t="s">
        <v>137</v>
      </c>
      <c r="K356" t="s">
        <v>138</v>
      </c>
      <c r="L356" t="s">
        <v>166</v>
      </c>
      <c r="M356" t="s">
        <v>186</v>
      </c>
      <c r="N356">
        <v>2</v>
      </c>
      <c r="O356" s="4">
        <v>3200</v>
      </c>
      <c r="P356" s="4">
        <v>4500</v>
      </c>
      <c r="Q356" s="7">
        <v>0.1</v>
      </c>
      <c r="R356" t="s">
        <v>204</v>
      </c>
      <c r="S356">
        <v>11</v>
      </c>
      <c r="T356">
        <v>9000</v>
      </c>
      <c r="U356">
        <v>900</v>
      </c>
      <c r="V356">
        <v>8100</v>
      </c>
      <c r="W356">
        <v>6400</v>
      </c>
      <c r="X356">
        <v>1700</v>
      </c>
      <c r="Y356" s="8">
        <v>0.20987654320987653</v>
      </c>
      <c r="Z356" t="s">
        <v>2996</v>
      </c>
      <c r="AA356" t="str">
        <f>IF(AND(SalesCleanTable[[#This Row],[Discount %]]&gt;0, SalesCleanTable[[#This Row],[Profit]]&lt;0), "Discount loss", "Safe")</f>
        <v>Safe</v>
      </c>
      <c r="AB356" s="25">
        <f>(SalesCleanTable[[#This Row],[Unit Price]] - SalesCleanTable[[#This Row],[Unit Cost]]) / SalesCleanTable[[#This Row],[Unit Price]]</f>
        <v>0.28888888888888886</v>
      </c>
      <c r="AC356" t="str">
        <f>IF(SalesCleanTable[[#This Row],[Discount %]] &gt; SalesCleanTable[[#This Row],[Max Allowed Discount]], "Discount loss", "Safe")</f>
        <v>Safe</v>
      </c>
      <c r="AD356" s="4">
        <f>SalesCleanTable[[#This Row],[Unit Price]] - SalesCleanTable[[#This Row],[Unit Cost]]</f>
        <v>1300</v>
      </c>
      <c r="AE356" s="41">
        <f>(SalesCleanTable[[#This Row],[Unit Price]] - SalesCleanTable[[#This Row],[Unit Cost]]) / SalesCleanTable[[#This Row],[Unit Price]]</f>
        <v>0.28888888888888886</v>
      </c>
    </row>
    <row r="357" spans="1:31">
      <c r="A357" t="s">
        <v>543</v>
      </c>
      <c r="B357" s="6">
        <v>45799</v>
      </c>
      <c r="C357" t="s">
        <v>41</v>
      </c>
      <c r="D357" t="s">
        <v>42</v>
      </c>
      <c r="E357" t="s">
        <v>26</v>
      </c>
      <c r="F357" t="s">
        <v>43</v>
      </c>
      <c r="G357" t="s">
        <v>44</v>
      </c>
      <c r="H357" t="s">
        <v>145</v>
      </c>
      <c r="I357" t="s">
        <v>146</v>
      </c>
      <c r="J357" t="s">
        <v>147</v>
      </c>
      <c r="K357" t="s">
        <v>148</v>
      </c>
      <c r="L357" t="s">
        <v>166</v>
      </c>
      <c r="M357" t="s">
        <v>171</v>
      </c>
      <c r="N357">
        <v>6</v>
      </c>
      <c r="O357" s="4">
        <v>850</v>
      </c>
      <c r="P357" s="4">
        <v>1300</v>
      </c>
      <c r="Q357" s="7">
        <v>0</v>
      </c>
      <c r="R357" t="s">
        <v>197</v>
      </c>
      <c r="S357">
        <v>13</v>
      </c>
      <c r="T357">
        <v>7800</v>
      </c>
      <c r="U357">
        <v>0</v>
      </c>
      <c r="V357">
        <v>7800</v>
      </c>
      <c r="W357">
        <v>5100</v>
      </c>
      <c r="X357">
        <v>2700</v>
      </c>
      <c r="Y357" s="8">
        <v>0.34615384615384615</v>
      </c>
      <c r="Z357" t="s">
        <v>2995</v>
      </c>
      <c r="AA357" t="str">
        <f>IF(AND(SalesCleanTable[[#This Row],[Discount %]]&gt;0, SalesCleanTable[[#This Row],[Profit]]&lt;0), "Discount loss", "Safe")</f>
        <v>Safe</v>
      </c>
      <c r="AB357" s="25">
        <f>(SalesCleanTable[[#This Row],[Unit Price]] - SalesCleanTable[[#This Row],[Unit Cost]]) / SalesCleanTable[[#This Row],[Unit Price]]</f>
        <v>0.34615384615384615</v>
      </c>
      <c r="AC357" t="str">
        <f>IF(SalesCleanTable[[#This Row],[Discount %]] &gt; SalesCleanTable[[#This Row],[Max Allowed Discount]], "Discount loss", "Safe")</f>
        <v>Safe</v>
      </c>
      <c r="AD357" s="4">
        <f>SalesCleanTable[[#This Row],[Unit Price]] - SalesCleanTable[[#This Row],[Unit Cost]]</f>
        <v>450</v>
      </c>
      <c r="AE357" s="41">
        <f>(SalesCleanTable[[#This Row],[Unit Price]] - SalesCleanTable[[#This Row],[Unit Cost]]) / SalesCleanTable[[#This Row],[Unit Price]]</f>
        <v>0.34615384615384615</v>
      </c>
    </row>
    <row r="358" spans="1:31">
      <c r="A358" t="s">
        <v>544</v>
      </c>
      <c r="B358" s="6">
        <v>45965</v>
      </c>
      <c r="C358" t="s">
        <v>49</v>
      </c>
      <c r="D358" t="s">
        <v>50</v>
      </c>
      <c r="E358" t="s">
        <v>38</v>
      </c>
      <c r="F358" t="s">
        <v>51</v>
      </c>
      <c r="G358" t="s">
        <v>52</v>
      </c>
      <c r="H358" t="s">
        <v>135</v>
      </c>
      <c r="I358" t="s">
        <v>136</v>
      </c>
      <c r="J358" t="s">
        <v>137</v>
      </c>
      <c r="K358" t="s">
        <v>138</v>
      </c>
      <c r="L358" t="s">
        <v>166</v>
      </c>
      <c r="M358" t="s">
        <v>167</v>
      </c>
      <c r="N358">
        <v>1</v>
      </c>
      <c r="O358" s="4">
        <v>550</v>
      </c>
      <c r="P358" s="4">
        <v>850</v>
      </c>
      <c r="Q358" s="7">
        <v>0</v>
      </c>
      <c r="R358" t="s">
        <v>175</v>
      </c>
      <c r="S358">
        <v>7</v>
      </c>
      <c r="T358">
        <v>850</v>
      </c>
      <c r="U358">
        <v>0</v>
      </c>
      <c r="V358">
        <v>850</v>
      </c>
      <c r="W358">
        <v>550</v>
      </c>
      <c r="X358">
        <v>300</v>
      </c>
      <c r="Y358" s="8">
        <v>0.35294117647058826</v>
      </c>
      <c r="Z358" t="s">
        <v>2996</v>
      </c>
      <c r="AA358" t="str">
        <f>IF(AND(SalesCleanTable[[#This Row],[Discount %]]&gt;0, SalesCleanTable[[#This Row],[Profit]]&lt;0), "Discount loss", "Safe")</f>
        <v>Safe</v>
      </c>
      <c r="AB358" s="25">
        <f>(SalesCleanTable[[#This Row],[Unit Price]] - SalesCleanTable[[#This Row],[Unit Cost]]) / SalesCleanTable[[#This Row],[Unit Price]]</f>
        <v>0.35294117647058826</v>
      </c>
      <c r="AC358" t="str">
        <f>IF(SalesCleanTable[[#This Row],[Discount %]] &gt; SalesCleanTable[[#This Row],[Max Allowed Discount]], "Discount loss", "Safe")</f>
        <v>Safe</v>
      </c>
      <c r="AD358" s="4">
        <f>SalesCleanTable[[#This Row],[Unit Price]] - SalesCleanTable[[#This Row],[Unit Cost]]</f>
        <v>300</v>
      </c>
      <c r="AE358" s="41">
        <f>(SalesCleanTable[[#This Row],[Unit Price]] - SalesCleanTable[[#This Row],[Unit Cost]]) / SalesCleanTable[[#This Row],[Unit Price]]</f>
        <v>0.35294117647058826</v>
      </c>
    </row>
    <row r="359" spans="1:31">
      <c r="A359" t="s">
        <v>545</v>
      </c>
      <c r="B359" s="6">
        <v>45676</v>
      </c>
      <c r="C359" t="s">
        <v>66</v>
      </c>
      <c r="D359" t="s">
        <v>67</v>
      </c>
      <c r="E359" t="s">
        <v>59</v>
      </c>
      <c r="F359" t="s">
        <v>60</v>
      </c>
      <c r="G359" t="s">
        <v>68</v>
      </c>
      <c r="H359" t="s">
        <v>153</v>
      </c>
      <c r="I359" t="s">
        <v>154</v>
      </c>
      <c r="J359" t="s">
        <v>155</v>
      </c>
      <c r="K359" t="s">
        <v>131</v>
      </c>
      <c r="L359" t="s">
        <v>183</v>
      </c>
      <c r="M359" t="s">
        <v>171</v>
      </c>
      <c r="N359">
        <v>5</v>
      </c>
      <c r="O359" s="4">
        <v>2800</v>
      </c>
      <c r="P359" s="4">
        <v>3900</v>
      </c>
      <c r="Q359" s="7">
        <v>0.05</v>
      </c>
      <c r="R359" t="s">
        <v>173</v>
      </c>
      <c r="S359">
        <v>13</v>
      </c>
      <c r="T359">
        <v>19500</v>
      </c>
      <c r="U359">
        <v>975</v>
      </c>
      <c r="V359">
        <v>18525</v>
      </c>
      <c r="W359">
        <v>14000</v>
      </c>
      <c r="X359">
        <v>4525</v>
      </c>
      <c r="Y359" s="8">
        <v>0.24426450742240216</v>
      </c>
      <c r="Z359" t="s">
        <v>2996</v>
      </c>
      <c r="AA359" t="str">
        <f>IF(AND(SalesCleanTable[[#This Row],[Discount %]]&gt;0, SalesCleanTable[[#This Row],[Profit]]&lt;0), "Discount loss", "Safe")</f>
        <v>Safe</v>
      </c>
      <c r="AB359" s="25">
        <f>(SalesCleanTable[[#This Row],[Unit Price]] - SalesCleanTable[[#This Row],[Unit Cost]]) / SalesCleanTable[[#This Row],[Unit Price]]</f>
        <v>0.28205128205128205</v>
      </c>
      <c r="AC359" t="str">
        <f>IF(SalesCleanTable[[#This Row],[Discount %]] &gt; SalesCleanTable[[#This Row],[Max Allowed Discount]], "Discount loss", "Safe")</f>
        <v>Safe</v>
      </c>
      <c r="AD359" s="4">
        <f>SalesCleanTable[[#This Row],[Unit Price]] - SalesCleanTable[[#This Row],[Unit Cost]]</f>
        <v>1100</v>
      </c>
      <c r="AE359" s="41">
        <f>(SalesCleanTable[[#This Row],[Unit Price]] - SalesCleanTable[[#This Row],[Unit Cost]]) / SalesCleanTable[[#This Row],[Unit Price]]</f>
        <v>0.28205128205128205</v>
      </c>
    </row>
    <row r="360" spans="1:31">
      <c r="A360" t="s">
        <v>546</v>
      </c>
      <c r="B360" s="6">
        <v>46001</v>
      </c>
      <c r="C360" t="s">
        <v>49</v>
      </c>
      <c r="D360" t="s">
        <v>50</v>
      </c>
      <c r="E360" t="s">
        <v>38</v>
      </c>
      <c r="F360" t="s">
        <v>51</v>
      </c>
      <c r="G360" t="s">
        <v>52</v>
      </c>
      <c r="H360" t="s">
        <v>135</v>
      </c>
      <c r="I360" t="s">
        <v>136</v>
      </c>
      <c r="J360" t="s">
        <v>137</v>
      </c>
      <c r="K360" t="s">
        <v>138</v>
      </c>
      <c r="L360" t="s">
        <v>166</v>
      </c>
      <c r="M360" t="s">
        <v>167</v>
      </c>
      <c r="N360">
        <v>1</v>
      </c>
      <c r="O360" s="4">
        <v>550</v>
      </c>
      <c r="P360" s="4">
        <v>850</v>
      </c>
      <c r="Q360" s="7">
        <v>0.1</v>
      </c>
      <c r="R360" t="s">
        <v>175</v>
      </c>
      <c r="S360">
        <v>3</v>
      </c>
      <c r="T360">
        <v>850</v>
      </c>
      <c r="U360">
        <v>85</v>
      </c>
      <c r="V360">
        <v>765</v>
      </c>
      <c r="W360">
        <v>550</v>
      </c>
      <c r="X360">
        <v>215</v>
      </c>
      <c r="Y360" s="8">
        <v>0.28104575163398693</v>
      </c>
      <c r="Z360" t="s">
        <v>2996</v>
      </c>
      <c r="AA360" t="str">
        <f>IF(AND(SalesCleanTable[[#This Row],[Discount %]]&gt;0, SalesCleanTable[[#This Row],[Profit]]&lt;0), "Discount loss", "Safe")</f>
        <v>Safe</v>
      </c>
      <c r="AB360" s="25">
        <f>(SalesCleanTable[[#This Row],[Unit Price]] - SalesCleanTable[[#This Row],[Unit Cost]]) / SalesCleanTable[[#This Row],[Unit Price]]</f>
        <v>0.35294117647058826</v>
      </c>
      <c r="AC360" t="str">
        <f>IF(SalesCleanTable[[#This Row],[Discount %]] &gt; SalesCleanTable[[#This Row],[Max Allowed Discount]], "Discount loss", "Safe")</f>
        <v>Safe</v>
      </c>
      <c r="AD360" s="4">
        <f>SalesCleanTable[[#This Row],[Unit Price]] - SalesCleanTable[[#This Row],[Unit Cost]]</f>
        <v>300</v>
      </c>
      <c r="AE360" s="41">
        <f>(SalesCleanTable[[#This Row],[Unit Price]] - SalesCleanTable[[#This Row],[Unit Cost]]) / SalesCleanTable[[#This Row],[Unit Price]]</f>
        <v>0.35294117647058826</v>
      </c>
    </row>
    <row r="361" spans="1:31">
      <c r="A361" t="s">
        <v>547</v>
      </c>
      <c r="B361" s="6">
        <v>45944</v>
      </c>
      <c r="C361" t="s">
        <v>86</v>
      </c>
      <c r="D361" t="s">
        <v>87</v>
      </c>
      <c r="E361" t="s">
        <v>75</v>
      </c>
      <c r="F361" t="s">
        <v>88</v>
      </c>
      <c r="G361" t="s">
        <v>89</v>
      </c>
      <c r="H361" t="s">
        <v>133</v>
      </c>
      <c r="I361" t="s">
        <v>134</v>
      </c>
      <c r="J361" t="s">
        <v>130</v>
      </c>
      <c r="K361" t="s">
        <v>131</v>
      </c>
      <c r="L361" t="s">
        <v>166</v>
      </c>
      <c r="M361" t="s">
        <v>186</v>
      </c>
      <c r="N361">
        <v>4</v>
      </c>
      <c r="O361" s="4">
        <v>8500</v>
      </c>
      <c r="P361" s="4">
        <v>12500</v>
      </c>
      <c r="Q361" s="7">
        <v>0.1</v>
      </c>
      <c r="R361" t="s">
        <v>204</v>
      </c>
      <c r="S361">
        <v>14</v>
      </c>
      <c r="T361">
        <v>50000</v>
      </c>
      <c r="U361">
        <v>5000</v>
      </c>
      <c r="V361">
        <v>45000</v>
      </c>
      <c r="W361">
        <v>34000</v>
      </c>
      <c r="X361">
        <v>11000</v>
      </c>
      <c r="Y361" s="8">
        <v>0.24444444444444444</v>
      </c>
      <c r="Z361" t="s">
        <v>2997</v>
      </c>
      <c r="AA361" t="str">
        <f>IF(AND(SalesCleanTable[[#This Row],[Discount %]]&gt;0, SalesCleanTable[[#This Row],[Profit]]&lt;0), "Discount loss", "Safe")</f>
        <v>Safe</v>
      </c>
      <c r="AB361" s="25">
        <f>(SalesCleanTable[[#This Row],[Unit Price]] - SalesCleanTable[[#This Row],[Unit Cost]]) / SalesCleanTable[[#This Row],[Unit Price]]</f>
        <v>0.32</v>
      </c>
      <c r="AC361" t="str">
        <f>IF(SalesCleanTable[[#This Row],[Discount %]] &gt; SalesCleanTable[[#This Row],[Max Allowed Discount]], "Discount loss", "Safe")</f>
        <v>Safe</v>
      </c>
      <c r="AD361" s="4">
        <f>SalesCleanTable[[#This Row],[Unit Price]] - SalesCleanTable[[#This Row],[Unit Cost]]</f>
        <v>4000</v>
      </c>
      <c r="AE361" s="41">
        <f>(SalesCleanTable[[#This Row],[Unit Price]] - SalesCleanTable[[#This Row],[Unit Cost]]) / SalesCleanTable[[#This Row],[Unit Price]]</f>
        <v>0.32</v>
      </c>
    </row>
    <row r="362" spans="1:31">
      <c r="A362" t="s">
        <v>548</v>
      </c>
      <c r="B362" s="6">
        <v>45827</v>
      </c>
      <c r="C362" t="s">
        <v>49</v>
      </c>
      <c r="D362" t="s">
        <v>50</v>
      </c>
      <c r="E362" t="s">
        <v>38</v>
      </c>
      <c r="F362" t="s">
        <v>51</v>
      </c>
      <c r="G362" t="s">
        <v>52</v>
      </c>
      <c r="H362" t="s">
        <v>139</v>
      </c>
      <c r="I362" t="s">
        <v>140</v>
      </c>
      <c r="J362" t="s">
        <v>137</v>
      </c>
      <c r="K362" t="s">
        <v>138</v>
      </c>
      <c r="L362" t="s">
        <v>166</v>
      </c>
      <c r="M362" t="s">
        <v>171</v>
      </c>
      <c r="N362">
        <v>2</v>
      </c>
      <c r="O362" s="4">
        <v>550</v>
      </c>
      <c r="P362" s="4">
        <v>850</v>
      </c>
      <c r="Q362" s="7">
        <v>0</v>
      </c>
      <c r="R362" t="s">
        <v>168</v>
      </c>
      <c r="S362">
        <v>10</v>
      </c>
      <c r="T362">
        <v>1700</v>
      </c>
      <c r="U362">
        <v>0</v>
      </c>
      <c r="V362">
        <v>1700</v>
      </c>
      <c r="W362">
        <v>1100</v>
      </c>
      <c r="X362">
        <v>600</v>
      </c>
      <c r="Y362" s="8">
        <v>0.35294117647058826</v>
      </c>
      <c r="Z362" t="s">
        <v>2996</v>
      </c>
      <c r="AA362" t="str">
        <f>IF(AND(SalesCleanTable[[#This Row],[Discount %]]&gt;0, SalesCleanTable[[#This Row],[Profit]]&lt;0), "Discount loss", "Safe")</f>
        <v>Safe</v>
      </c>
      <c r="AB362" s="25">
        <f>(SalesCleanTable[[#This Row],[Unit Price]] - SalesCleanTable[[#This Row],[Unit Cost]]) / SalesCleanTable[[#This Row],[Unit Price]]</f>
        <v>0.35294117647058826</v>
      </c>
      <c r="AC362" t="str">
        <f>IF(SalesCleanTable[[#This Row],[Discount %]] &gt; SalesCleanTable[[#This Row],[Max Allowed Discount]], "Discount loss", "Safe")</f>
        <v>Safe</v>
      </c>
      <c r="AD362" s="4">
        <f>SalesCleanTable[[#This Row],[Unit Price]] - SalesCleanTable[[#This Row],[Unit Cost]]</f>
        <v>300</v>
      </c>
      <c r="AE362" s="41">
        <f>(SalesCleanTable[[#This Row],[Unit Price]] - SalesCleanTable[[#This Row],[Unit Cost]]) / SalesCleanTable[[#This Row],[Unit Price]]</f>
        <v>0.35294117647058826</v>
      </c>
    </row>
    <row r="363" spans="1:31">
      <c r="A363" t="s">
        <v>549</v>
      </c>
      <c r="B363" s="6">
        <v>45757</v>
      </c>
      <c r="C363" t="s">
        <v>57</v>
      </c>
      <c r="D363" t="s">
        <v>58</v>
      </c>
      <c r="E363" t="s">
        <v>59</v>
      </c>
      <c r="F363" t="s">
        <v>60</v>
      </c>
      <c r="G363" t="s">
        <v>61</v>
      </c>
      <c r="H363" t="s">
        <v>149</v>
      </c>
      <c r="I363" t="s">
        <v>150</v>
      </c>
      <c r="J363" t="s">
        <v>151</v>
      </c>
      <c r="K363" t="s">
        <v>152</v>
      </c>
      <c r="L363" t="s">
        <v>166</v>
      </c>
      <c r="M363" t="s">
        <v>171</v>
      </c>
      <c r="N363">
        <v>2</v>
      </c>
      <c r="O363" s="4">
        <v>2400</v>
      </c>
      <c r="P363" s="4">
        <v>3400</v>
      </c>
      <c r="Q363" s="7">
        <v>0</v>
      </c>
      <c r="R363" t="s">
        <v>192</v>
      </c>
      <c r="S363">
        <v>4</v>
      </c>
      <c r="T363">
        <v>6800</v>
      </c>
      <c r="U363">
        <v>0</v>
      </c>
      <c r="V363">
        <v>6800</v>
      </c>
      <c r="W363">
        <v>4800</v>
      </c>
      <c r="X363">
        <v>2000</v>
      </c>
      <c r="Y363" s="8">
        <v>0.29411764705882354</v>
      </c>
      <c r="Z363" t="s">
        <v>2996</v>
      </c>
      <c r="AA363" t="str">
        <f>IF(AND(SalesCleanTable[[#This Row],[Discount %]]&gt;0, SalesCleanTable[[#This Row],[Profit]]&lt;0), "Discount loss", "Safe")</f>
        <v>Safe</v>
      </c>
      <c r="AB363" s="25">
        <f>(SalesCleanTable[[#This Row],[Unit Price]] - SalesCleanTable[[#This Row],[Unit Cost]]) / SalesCleanTable[[#This Row],[Unit Price]]</f>
        <v>0.29411764705882354</v>
      </c>
      <c r="AC363" t="str">
        <f>IF(SalesCleanTable[[#This Row],[Discount %]] &gt; SalesCleanTable[[#This Row],[Max Allowed Discount]], "Discount loss", "Safe")</f>
        <v>Safe</v>
      </c>
      <c r="AD363" s="4">
        <f>SalesCleanTable[[#This Row],[Unit Price]] - SalesCleanTable[[#This Row],[Unit Cost]]</f>
        <v>1000</v>
      </c>
      <c r="AE363" s="41">
        <f>(SalesCleanTable[[#This Row],[Unit Price]] - SalesCleanTable[[#This Row],[Unit Cost]]) / SalesCleanTable[[#This Row],[Unit Price]]</f>
        <v>0.29411764705882354</v>
      </c>
    </row>
    <row r="364" spans="1:31">
      <c r="A364" t="s">
        <v>550</v>
      </c>
      <c r="B364" s="6">
        <v>45949</v>
      </c>
      <c r="C364" t="s">
        <v>107</v>
      </c>
      <c r="D364" t="s">
        <v>108</v>
      </c>
      <c r="E364" t="s">
        <v>109</v>
      </c>
      <c r="F364" t="s">
        <v>110</v>
      </c>
      <c r="G364" t="s">
        <v>111</v>
      </c>
      <c r="H364" t="s">
        <v>153</v>
      </c>
      <c r="I364" t="s">
        <v>154</v>
      </c>
      <c r="J364" t="s">
        <v>155</v>
      </c>
      <c r="K364" t="s">
        <v>131</v>
      </c>
      <c r="L364" t="s">
        <v>166</v>
      </c>
      <c r="M364" t="s">
        <v>177</v>
      </c>
      <c r="N364">
        <v>1</v>
      </c>
      <c r="O364" s="4">
        <v>5200</v>
      </c>
      <c r="P364" s="4">
        <v>7000</v>
      </c>
      <c r="Q364" s="7">
        <v>0.25</v>
      </c>
      <c r="R364" t="s">
        <v>220</v>
      </c>
      <c r="S364">
        <v>11</v>
      </c>
      <c r="T364">
        <v>7000</v>
      </c>
      <c r="U364">
        <v>1750</v>
      </c>
      <c r="V364">
        <v>5250</v>
      </c>
      <c r="W364">
        <v>5200</v>
      </c>
      <c r="X364">
        <v>50</v>
      </c>
      <c r="Y364" s="8">
        <v>9.5238095238095247E-3</v>
      </c>
      <c r="Z364" t="s">
        <v>2997</v>
      </c>
      <c r="AA364" t="str">
        <f>IF(AND(SalesCleanTable[[#This Row],[Discount %]]&gt;0, SalesCleanTable[[#This Row],[Profit]]&lt;0), "Discount loss", "Safe")</f>
        <v>Safe</v>
      </c>
      <c r="AB364" s="25">
        <f>(SalesCleanTable[[#This Row],[Unit Price]] - SalesCleanTable[[#This Row],[Unit Cost]]) / SalesCleanTable[[#This Row],[Unit Price]]</f>
        <v>0.25714285714285712</v>
      </c>
      <c r="AC364" t="str">
        <f>IF(SalesCleanTable[[#This Row],[Discount %]] &gt; SalesCleanTable[[#This Row],[Max Allowed Discount]], "Discount loss", "Safe")</f>
        <v>Safe</v>
      </c>
      <c r="AD364" s="4">
        <f>SalesCleanTable[[#This Row],[Unit Price]] - SalesCleanTable[[#This Row],[Unit Cost]]</f>
        <v>1800</v>
      </c>
      <c r="AE364" s="41">
        <f>(SalesCleanTable[[#This Row],[Unit Price]] - SalesCleanTable[[#This Row],[Unit Cost]]) / SalesCleanTable[[#This Row],[Unit Price]]</f>
        <v>0.25714285714285712</v>
      </c>
    </row>
    <row r="365" spans="1:31">
      <c r="A365" t="s">
        <v>551</v>
      </c>
      <c r="B365" s="6">
        <v>45818</v>
      </c>
      <c r="C365" t="s">
        <v>73</v>
      </c>
      <c r="D365" t="s">
        <v>74</v>
      </c>
      <c r="E365" t="s">
        <v>75</v>
      </c>
      <c r="F365" t="s">
        <v>76</v>
      </c>
      <c r="G365" t="s">
        <v>77</v>
      </c>
      <c r="H365" t="s">
        <v>128</v>
      </c>
      <c r="I365" t="s">
        <v>129</v>
      </c>
      <c r="J365" t="s">
        <v>130</v>
      </c>
      <c r="K365" t="s">
        <v>131</v>
      </c>
      <c r="L365" t="s">
        <v>166</v>
      </c>
      <c r="M365" t="s">
        <v>171</v>
      </c>
      <c r="N365">
        <v>2</v>
      </c>
      <c r="O365" s="4">
        <v>3500</v>
      </c>
      <c r="P365" s="4">
        <v>5200</v>
      </c>
      <c r="Q365" s="7">
        <v>0.1</v>
      </c>
      <c r="R365" t="s">
        <v>208</v>
      </c>
      <c r="S365">
        <v>13</v>
      </c>
      <c r="T365">
        <v>10400</v>
      </c>
      <c r="U365">
        <v>1040</v>
      </c>
      <c r="V365">
        <v>9360</v>
      </c>
      <c r="W365">
        <v>7000</v>
      </c>
      <c r="X365">
        <v>2360</v>
      </c>
      <c r="Y365" s="8">
        <v>0.25213675213675213</v>
      </c>
      <c r="Z365" t="s">
        <v>2996</v>
      </c>
      <c r="AA365" t="str">
        <f>IF(AND(SalesCleanTable[[#This Row],[Discount %]]&gt;0, SalesCleanTable[[#This Row],[Profit]]&lt;0), "Discount loss", "Safe")</f>
        <v>Safe</v>
      </c>
      <c r="AB365" s="25">
        <f>(SalesCleanTable[[#This Row],[Unit Price]] - SalesCleanTable[[#This Row],[Unit Cost]]) / SalesCleanTable[[#This Row],[Unit Price]]</f>
        <v>0.32692307692307693</v>
      </c>
      <c r="AC365" t="str">
        <f>IF(SalesCleanTable[[#This Row],[Discount %]] &gt; SalesCleanTable[[#This Row],[Max Allowed Discount]], "Discount loss", "Safe")</f>
        <v>Safe</v>
      </c>
      <c r="AD365" s="4">
        <f>SalesCleanTable[[#This Row],[Unit Price]] - SalesCleanTable[[#This Row],[Unit Cost]]</f>
        <v>1700</v>
      </c>
      <c r="AE365" s="41">
        <f>(SalesCleanTable[[#This Row],[Unit Price]] - SalesCleanTable[[#This Row],[Unit Cost]]) / SalesCleanTable[[#This Row],[Unit Price]]</f>
        <v>0.32692307692307693</v>
      </c>
    </row>
    <row r="366" spans="1:31">
      <c r="A366" t="s">
        <v>552</v>
      </c>
      <c r="B366" s="6">
        <v>45703</v>
      </c>
      <c r="C366" t="s">
        <v>32</v>
      </c>
      <c r="D366" t="s">
        <v>33</v>
      </c>
      <c r="E366" t="s">
        <v>26</v>
      </c>
      <c r="F366" t="s">
        <v>34</v>
      </c>
      <c r="G366" t="s">
        <v>35</v>
      </c>
      <c r="H366" t="s">
        <v>135</v>
      </c>
      <c r="I366" t="s">
        <v>136</v>
      </c>
      <c r="J366" t="s">
        <v>137</v>
      </c>
      <c r="K366" t="s">
        <v>138</v>
      </c>
      <c r="L366" t="s">
        <v>166</v>
      </c>
      <c r="M366" t="s">
        <v>177</v>
      </c>
      <c r="N366">
        <v>2</v>
      </c>
      <c r="O366" s="4">
        <v>7800</v>
      </c>
      <c r="P366" s="4">
        <v>9800</v>
      </c>
      <c r="Q366" s="7">
        <v>0.05</v>
      </c>
      <c r="R366" t="s">
        <v>173</v>
      </c>
      <c r="S366">
        <v>4</v>
      </c>
      <c r="T366">
        <v>19600</v>
      </c>
      <c r="U366">
        <v>980</v>
      </c>
      <c r="V366">
        <v>18620</v>
      </c>
      <c r="W366">
        <v>15600</v>
      </c>
      <c r="X366">
        <v>3020</v>
      </c>
      <c r="Y366" s="8">
        <v>0.16219119226638024</v>
      </c>
      <c r="Z366" t="s">
        <v>2995</v>
      </c>
      <c r="AA366" t="str">
        <f>IF(AND(SalesCleanTable[[#This Row],[Discount %]]&gt;0, SalesCleanTable[[#This Row],[Profit]]&lt;0), "Discount loss", "Safe")</f>
        <v>Safe</v>
      </c>
      <c r="AB366" s="25">
        <f>(SalesCleanTable[[#This Row],[Unit Price]] - SalesCleanTable[[#This Row],[Unit Cost]]) / SalesCleanTable[[#This Row],[Unit Price]]</f>
        <v>0.20408163265306123</v>
      </c>
      <c r="AC366" t="str">
        <f>IF(SalesCleanTable[[#This Row],[Discount %]] &gt; SalesCleanTable[[#This Row],[Max Allowed Discount]], "Discount loss", "Safe")</f>
        <v>Safe</v>
      </c>
      <c r="AD366" s="4">
        <f>SalesCleanTable[[#This Row],[Unit Price]] - SalesCleanTable[[#This Row],[Unit Cost]]</f>
        <v>2000</v>
      </c>
      <c r="AE366" s="41">
        <f>(SalesCleanTable[[#This Row],[Unit Price]] - SalesCleanTable[[#This Row],[Unit Cost]]) / SalesCleanTable[[#This Row],[Unit Price]]</f>
        <v>0.20408163265306123</v>
      </c>
    </row>
    <row r="367" spans="1:31">
      <c r="A367" t="s">
        <v>553</v>
      </c>
      <c r="B367" s="6">
        <v>45665</v>
      </c>
      <c r="C367" t="s">
        <v>107</v>
      </c>
      <c r="D367" t="s">
        <v>108</v>
      </c>
      <c r="E367" t="s">
        <v>109</v>
      </c>
      <c r="F367" t="s">
        <v>110</v>
      </c>
      <c r="G367" t="s">
        <v>111</v>
      </c>
      <c r="H367" t="s">
        <v>145</v>
      </c>
      <c r="I367" t="s">
        <v>146</v>
      </c>
      <c r="J367" t="s">
        <v>147</v>
      </c>
      <c r="K367" t="s">
        <v>148</v>
      </c>
      <c r="L367" t="s">
        <v>166</v>
      </c>
      <c r="M367" t="s">
        <v>171</v>
      </c>
      <c r="N367">
        <v>3</v>
      </c>
      <c r="O367" s="4">
        <v>5200</v>
      </c>
      <c r="P367" s="4">
        <v>7000</v>
      </c>
      <c r="Q367" s="7">
        <v>0</v>
      </c>
      <c r="R367" t="s">
        <v>235</v>
      </c>
      <c r="S367">
        <v>12</v>
      </c>
      <c r="T367">
        <v>21000</v>
      </c>
      <c r="U367">
        <v>0</v>
      </c>
      <c r="V367">
        <v>21000</v>
      </c>
      <c r="W367">
        <v>15600</v>
      </c>
      <c r="X367">
        <v>5400</v>
      </c>
      <c r="Y367" s="8">
        <v>0.25714285714285712</v>
      </c>
      <c r="Z367" t="s">
        <v>2997</v>
      </c>
      <c r="AA367" t="str">
        <f>IF(AND(SalesCleanTable[[#This Row],[Discount %]]&gt;0, SalesCleanTable[[#This Row],[Profit]]&lt;0), "Discount loss", "Safe")</f>
        <v>Safe</v>
      </c>
      <c r="AB367" s="25">
        <f>(SalesCleanTable[[#This Row],[Unit Price]] - SalesCleanTable[[#This Row],[Unit Cost]]) / SalesCleanTable[[#This Row],[Unit Price]]</f>
        <v>0.25714285714285712</v>
      </c>
      <c r="AC367" t="str">
        <f>IF(SalesCleanTable[[#This Row],[Discount %]] &gt; SalesCleanTable[[#This Row],[Max Allowed Discount]], "Discount loss", "Safe")</f>
        <v>Safe</v>
      </c>
      <c r="AD367" s="4">
        <f>SalesCleanTable[[#This Row],[Unit Price]] - SalesCleanTable[[#This Row],[Unit Cost]]</f>
        <v>1800</v>
      </c>
      <c r="AE367" s="41">
        <f>(SalesCleanTable[[#This Row],[Unit Price]] - SalesCleanTable[[#This Row],[Unit Cost]]) / SalesCleanTable[[#This Row],[Unit Price]]</f>
        <v>0.25714285714285712</v>
      </c>
    </row>
    <row r="368" spans="1:31">
      <c r="A368" t="s">
        <v>554</v>
      </c>
      <c r="B368" s="6">
        <v>45817</v>
      </c>
      <c r="C368" t="s">
        <v>32</v>
      </c>
      <c r="D368" t="s">
        <v>33</v>
      </c>
      <c r="E368" t="s">
        <v>26</v>
      </c>
      <c r="F368" t="s">
        <v>34</v>
      </c>
      <c r="G368" t="s">
        <v>35</v>
      </c>
      <c r="H368" t="s">
        <v>135</v>
      </c>
      <c r="I368" t="s">
        <v>136</v>
      </c>
      <c r="J368" t="s">
        <v>137</v>
      </c>
      <c r="K368" t="s">
        <v>138</v>
      </c>
      <c r="L368" t="s">
        <v>183</v>
      </c>
      <c r="M368" t="s">
        <v>167</v>
      </c>
      <c r="N368">
        <v>3</v>
      </c>
      <c r="O368" s="4">
        <v>7800</v>
      </c>
      <c r="P368" s="4">
        <v>9800</v>
      </c>
      <c r="Q368" s="7">
        <v>0</v>
      </c>
      <c r="R368" t="s">
        <v>194</v>
      </c>
      <c r="S368">
        <v>8</v>
      </c>
      <c r="T368">
        <v>29400</v>
      </c>
      <c r="U368">
        <v>0</v>
      </c>
      <c r="V368">
        <v>29400</v>
      </c>
      <c r="W368">
        <v>23400</v>
      </c>
      <c r="X368">
        <v>6000</v>
      </c>
      <c r="Y368" s="8">
        <v>0.20408163265306123</v>
      </c>
      <c r="Z368" t="s">
        <v>2995</v>
      </c>
      <c r="AA368" t="str">
        <f>IF(AND(SalesCleanTable[[#This Row],[Discount %]]&gt;0, SalesCleanTable[[#This Row],[Profit]]&lt;0), "Discount loss", "Safe")</f>
        <v>Safe</v>
      </c>
      <c r="AB368" s="25">
        <f>(SalesCleanTable[[#This Row],[Unit Price]] - SalesCleanTable[[#This Row],[Unit Cost]]) / SalesCleanTable[[#This Row],[Unit Price]]</f>
        <v>0.20408163265306123</v>
      </c>
      <c r="AC368" t="str">
        <f>IF(SalesCleanTable[[#This Row],[Discount %]] &gt; SalesCleanTable[[#This Row],[Max Allowed Discount]], "Discount loss", "Safe")</f>
        <v>Safe</v>
      </c>
      <c r="AD368" s="4">
        <f>SalesCleanTable[[#This Row],[Unit Price]] - SalesCleanTable[[#This Row],[Unit Cost]]</f>
        <v>2000</v>
      </c>
      <c r="AE368" s="41">
        <f>(SalesCleanTable[[#This Row],[Unit Price]] - SalesCleanTable[[#This Row],[Unit Cost]]) / SalesCleanTable[[#This Row],[Unit Price]]</f>
        <v>0.20408163265306123</v>
      </c>
    </row>
    <row r="369" spans="1:31">
      <c r="A369" t="s">
        <v>555</v>
      </c>
      <c r="B369" s="6">
        <v>45963</v>
      </c>
      <c r="C369" t="s">
        <v>57</v>
      </c>
      <c r="D369" t="s">
        <v>58</v>
      </c>
      <c r="E369" t="s">
        <v>59</v>
      </c>
      <c r="F369" t="s">
        <v>60</v>
      </c>
      <c r="G369" t="s">
        <v>61</v>
      </c>
      <c r="H369" t="s">
        <v>135</v>
      </c>
      <c r="I369" t="s">
        <v>136</v>
      </c>
      <c r="J369" t="s">
        <v>137</v>
      </c>
      <c r="K369" t="s">
        <v>138</v>
      </c>
      <c r="L369" t="s">
        <v>170</v>
      </c>
      <c r="M369" t="s">
        <v>186</v>
      </c>
      <c r="N369">
        <v>4</v>
      </c>
      <c r="O369" s="4">
        <v>2400</v>
      </c>
      <c r="P369" s="4">
        <v>3400</v>
      </c>
      <c r="Q369" s="7">
        <v>0</v>
      </c>
      <c r="R369" t="s">
        <v>192</v>
      </c>
      <c r="S369">
        <v>3</v>
      </c>
      <c r="T369">
        <v>13600</v>
      </c>
      <c r="U369">
        <v>0</v>
      </c>
      <c r="V369">
        <v>13600</v>
      </c>
      <c r="W369">
        <v>9600</v>
      </c>
      <c r="X369">
        <v>4000</v>
      </c>
      <c r="Y369" s="8">
        <v>0.29411764705882354</v>
      </c>
      <c r="Z369" t="s">
        <v>2996</v>
      </c>
      <c r="AA369" t="str">
        <f>IF(AND(SalesCleanTable[[#This Row],[Discount %]]&gt;0, SalesCleanTable[[#This Row],[Profit]]&lt;0), "Discount loss", "Safe")</f>
        <v>Safe</v>
      </c>
      <c r="AB369" s="25">
        <f>(SalesCleanTable[[#This Row],[Unit Price]] - SalesCleanTable[[#This Row],[Unit Cost]]) / SalesCleanTable[[#This Row],[Unit Price]]</f>
        <v>0.29411764705882354</v>
      </c>
      <c r="AC369" t="str">
        <f>IF(SalesCleanTable[[#This Row],[Discount %]] &gt; SalesCleanTable[[#This Row],[Max Allowed Discount]], "Discount loss", "Safe")</f>
        <v>Safe</v>
      </c>
      <c r="AD369" s="4">
        <f>SalesCleanTable[[#This Row],[Unit Price]] - SalesCleanTable[[#This Row],[Unit Cost]]</f>
        <v>1000</v>
      </c>
      <c r="AE369" s="41">
        <f>(SalesCleanTable[[#This Row],[Unit Price]] - SalesCleanTable[[#This Row],[Unit Cost]]) / SalesCleanTable[[#This Row],[Unit Price]]</f>
        <v>0.29411764705882354</v>
      </c>
    </row>
    <row r="370" spans="1:31">
      <c r="A370" t="s">
        <v>556</v>
      </c>
      <c r="B370" s="6">
        <v>45864</v>
      </c>
      <c r="C370" t="s">
        <v>24</v>
      </c>
      <c r="D370" t="s">
        <v>25</v>
      </c>
      <c r="E370" t="s">
        <v>26</v>
      </c>
      <c r="F370" t="s">
        <v>27</v>
      </c>
      <c r="G370" t="s">
        <v>28</v>
      </c>
      <c r="H370" t="s">
        <v>133</v>
      </c>
      <c r="I370" t="s">
        <v>134</v>
      </c>
      <c r="J370" t="s">
        <v>130</v>
      </c>
      <c r="K370" t="s">
        <v>131</v>
      </c>
      <c r="L370" t="s">
        <v>166</v>
      </c>
      <c r="M370" t="s">
        <v>186</v>
      </c>
      <c r="N370">
        <v>10</v>
      </c>
      <c r="O370" s="4">
        <v>14500</v>
      </c>
      <c r="P370" s="4">
        <v>17500</v>
      </c>
      <c r="Q370" s="7">
        <v>0</v>
      </c>
      <c r="R370" t="s">
        <v>197</v>
      </c>
      <c r="S370">
        <v>6</v>
      </c>
      <c r="T370">
        <v>175000</v>
      </c>
      <c r="U370">
        <v>0</v>
      </c>
      <c r="V370">
        <v>175000</v>
      </c>
      <c r="W370">
        <v>145000</v>
      </c>
      <c r="X370">
        <v>30000</v>
      </c>
      <c r="Y370" s="8">
        <v>0.17142857142857143</v>
      </c>
      <c r="Z370" t="s">
        <v>2995</v>
      </c>
      <c r="AA370" t="str">
        <f>IF(AND(SalesCleanTable[[#This Row],[Discount %]]&gt;0, SalesCleanTable[[#This Row],[Profit]]&lt;0), "Discount loss", "Safe")</f>
        <v>Safe</v>
      </c>
      <c r="AB370" s="25">
        <f>(SalesCleanTable[[#This Row],[Unit Price]] - SalesCleanTable[[#This Row],[Unit Cost]]) / SalesCleanTable[[#This Row],[Unit Price]]</f>
        <v>0.17142857142857143</v>
      </c>
      <c r="AC370" t="str">
        <f>IF(SalesCleanTable[[#This Row],[Discount %]] &gt; SalesCleanTable[[#This Row],[Max Allowed Discount]], "Discount loss", "Safe")</f>
        <v>Safe</v>
      </c>
      <c r="AD370" s="4">
        <f>SalesCleanTable[[#This Row],[Unit Price]] - SalesCleanTable[[#This Row],[Unit Cost]]</f>
        <v>3000</v>
      </c>
      <c r="AE370" s="41">
        <f>(SalesCleanTable[[#This Row],[Unit Price]] - SalesCleanTable[[#This Row],[Unit Cost]]) / SalesCleanTable[[#This Row],[Unit Price]]</f>
        <v>0.17142857142857143</v>
      </c>
    </row>
    <row r="371" spans="1:31">
      <c r="A371" t="s">
        <v>557</v>
      </c>
      <c r="B371" s="6">
        <v>45677</v>
      </c>
      <c r="C371" t="s">
        <v>49</v>
      </c>
      <c r="D371" t="s">
        <v>50</v>
      </c>
      <c r="E371" t="s">
        <v>38</v>
      </c>
      <c r="F371" t="s">
        <v>51</v>
      </c>
      <c r="G371" t="s">
        <v>52</v>
      </c>
      <c r="H371" t="s">
        <v>141</v>
      </c>
      <c r="I371" t="s">
        <v>142</v>
      </c>
      <c r="J371" t="s">
        <v>143</v>
      </c>
      <c r="K371" t="s">
        <v>144</v>
      </c>
      <c r="L371" t="s">
        <v>183</v>
      </c>
      <c r="M371" t="s">
        <v>177</v>
      </c>
      <c r="N371">
        <v>5</v>
      </c>
      <c r="O371" s="4">
        <v>550</v>
      </c>
      <c r="P371" s="4">
        <v>850</v>
      </c>
      <c r="Q371" s="7">
        <v>0.1</v>
      </c>
      <c r="R371" t="s">
        <v>178</v>
      </c>
      <c r="S371">
        <v>11</v>
      </c>
      <c r="T371">
        <v>4250</v>
      </c>
      <c r="U371">
        <v>425</v>
      </c>
      <c r="V371">
        <v>3825</v>
      </c>
      <c r="W371">
        <v>2750</v>
      </c>
      <c r="X371">
        <v>1075</v>
      </c>
      <c r="Y371" s="8">
        <v>0.28104575163398693</v>
      </c>
      <c r="Z371" t="s">
        <v>2996</v>
      </c>
      <c r="AA371" t="str">
        <f>IF(AND(SalesCleanTable[[#This Row],[Discount %]]&gt;0, SalesCleanTable[[#This Row],[Profit]]&lt;0), "Discount loss", "Safe")</f>
        <v>Safe</v>
      </c>
      <c r="AB371" s="25">
        <f>(SalesCleanTable[[#This Row],[Unit Price]] - SalesCleanTable[[#This Row],[Unit Cost]]) / SalesCleanTable[[#This Row],[Unit Price]]</f>
        <v>0.35294117647058826</v>
      </c>
      <c r="AC371" t="str">
        <f>IF(SalesCleanTable[[#This Row],[Discount %]] &gt; SalesCleanTable[[#This Row],[Max Allowed Discount]], "Discount loss", "Safe")</f>
        <v>Safe</v>
      </c>
      <c r="AD371" s="4">
        <f>SalesCleanTable[[#This Row],[Unit Price]] - SalesCleanTable[[#This Row],[Unit Cost]]</f>
        <v>300</v>
      </c>
      <c r="AE371" s="41">
        <f>(SalesCleanTable[[#This Row],[Unit Price]] - SalesCleanTable[[#This Row],[Unit Cost]]) / SalesCleanTable[[#This Row],[Unit Price]]</f>
        <v>0.35294117647058826</v>
      </c>
    </row>
    <row r="372" spans="1:31">
      <c r="A372" t="s">
        <v>558</v>
      </c>
      <c r="B372" s="6">
        <v>45682</v>
      </c>
      <c r="C372" t="s">
        <v>82</v>
      </c>
      <c r="D372" t="s">
        <v>83</v>
      </c>
      <c r="E372" t="s">
        <v>75</v>
      </c>
      <c r="F372" t="s">
        <v>84</v>
      </c>
      <c r="G372" t="s">
        <v>85</v>
      </c>
      <c r="H372" t="s">
        <v>135</v>
      </c>
      <c r="I372" t="s">
        <v>136</v>
      </c>
      <c r="J372" t="s">
        <v>137</v>
      </c>
      <c r="K372" t="s">
        <v>138</v>
      </c>
      <c r="L372" t="s">
        <v>166</v>
      </c>
      <c r="M372" t="s">
        <v>177</v>
      </c>
      <c r="N372">
        <v>2</v>
      </c>
      <c r="O372" s="4">
        <v>600</v>
      </c>
      <c r="P372" s="4">
        <v>950</v>
      </c>
      <c r="Q372" s="7">
        <v>0.05</v>
      </c>
      <c r="R372" t="s">
        <v>204</v>
      </c>
      <c r="S372">
        <v>11</v>
      </c>
      <c r="T372">
        <v>1900</v>
      </c>
      <c r="U372">
        <v>95</v>
      </c>
      <c r="V372">
        <v>1805</v>
      </c>
      <c r="W372">
        <v>1200</v>
      </c>
      <c r="X372">
        <v>605</v>
      </c>
      <c r="Y372" s="8">
        <v>0.33518005540166207</v>
      </c>
      <c r="Z372" t="s">
        <v>2996</v>
      </c>
      <c r="AA372" t="str">
        <f>IF(AND(SalesCleanTable[[#This Row],[Discount %]]&gt;0, SalesCleanTable[[#This Row],[Profit]]&lt;0), "Discount loss", "Safe")</f>
        <v>Safe</v>
      </c>
      <c r="AB372" s="25">
        <f>(SalesCleanTable[[#This Row],[Unit Price]] - SalesCleanTable[[#This Row],[Unit Cost]]) / SalesCleanTable[[#This Row],[Unit Price]]</f>
        <v>0.36842105263157893</v>
      </c>
      <c r="AC372" t="str">
        <f>IF(SalesCleanTable[[#This Row],[Discount %]] &gt; SalesCleanTable[[#This Row],[Max Allowed Discount]], "Discount loss", "Safe")</f>
        <v>Safe</v>
      </c>
      <c r="AD372" s="4">
        <f>SalesCleanTable[[#This Row],[Unit Price]] - SalesCleanTable[[#This Row],[Unit Cost]]</f>
        <v>350</v>
      </c>
      <c r="AE372" s="41">
        <f>(SalesCleanTable[[#This Row],[Unit Price]] - SalesCleanTable[[#This Row],[Unit Cost]]) / SalesCleanTable[[#This Row],[Unit Price]]</f>
        <v>0.36842105263157893</v>
      </c>
    </row>
    <row r="373" spans="1:31">
      <c r="A373" t="s">
        <v>559</v>
      </c>
      <c r="B373" s="6">
        <v>45812</v>
      </c>
      <c r="C373" t="s">
        <v>53</v>
      </c>
      <c r="D373" t="s">
        <v>54</v>
      </c>
      <c r="E373" t="s">
        <v>38</v>
      </c>
      <c r="F373" t="s">
        <v>55</v>
      </c>
      <c r="G373" t="s">
        <v>56</v>
      </c>
      <c r="H373" t="s">
        <v>128</v>
      </c>
      <c r="I373" t="s">
        <v>129</v>
      </c>
      <c r="J373" t="s">
        <v>130</v>
      </c>
      <c r="K373" t="s">
        <v>131</v>
      </c>
      <c r="L373" t="s">
        <v>183</v>
      </c>
      <c r="M373" t="s">
        <v>186</v>
      </c>
      <c r="N373">
        <v>3</v>
      </c>
      <c r="O373" s="4">
        <v>330</v>
      </c>
      <c r="P373" s="4">
        <v>550</v>
      </c>
      <c r="Q373" s="7">
        <v>0.1</v>
      </c>
      <c r="R373" t="s">
        <v>178</v>
      </c>
      <c r="S373">
        <v>9</v>
      </c>
      <c r="T373">
        <v>1650</v>
      </c>
      <c r="U373">
        <v>165</v>
      </c>
      <c r="V373">
        <v>1485</v>
      </c>
      <c r="W373">
        <v>990</v>
      </c>
      <c r="X373">
        <v>495</v>
      </c>
      <c r="Y373" s="8">
        <v>0.33333333333333331</v>
      </c>
      <c r="Z373" t="s">
        <v>2996</v>
      </c>
      <c r="AA373" t="str">
        <f>IF(AND(SalesCleanTable[[#This Row],[Discount %]]&gt;0, SalesCleanTable[[#This Row],[Profit]]&lt;0), "Discount loss", "Safe")</f>
        <v>Safe</v>
      </c>
      <c r="AB373" s="25">
        <f>(SalesCleanTable[[#This Row],[Unit Price]] - SalesCleanTable[[#This Row],[Unit Cost]]) / SalesCleanTable[[#This Row],[Unit Price]]</f>
        <v>0.4</v>
      </c>
      <c r="AC373" t="str">
        <f>IF(SalesCleanTable[[#This Row],[Discount %]] &gt; SalesCleanTable[[#This Row],[Max Allowed Discount]], "Discount loss", "Safe")</f>
        <v>Safe</v>
      </c>
      <c r="AD373" s="4">
        <f>SalesCleanTable[[#This Row],[Unit Price]] - SalesCleanTable[[#This Row],[Unit Cost]]</f>
        <v>220</v>
      </c>
      <c r="AE373" s="41">
        <f>(SalesCleanTable[[#This Row],[Unit Price]] - SalesCleanTable[[#This Row],[Unit Cost]]) / SalesCleanTable[[#This Row],[Unit Price]]</f>
        <v>0.4</v>
      </c>
    </row>
    <row r="374" spans="1:31">
      <c r="A374" t="s">
        <v>560</v>
      </c>
      <c r="B374" s="6">
        <v>45718</v>
      </c>
      <c r="C374" t="s">
        <v>45</v>
      </c>
      <c r="D374" t="s">
        <v>46</v>
      </c>
      <c r="E374" t="s">
        <v>38</v>
      </c>
      <c r="F374" t="s">
        <v>47</v>
      </c>
      <c r="G374" t="s">
        <v>48</v>
      </c>
      <c r="H374" t="s">
        <v>145</v>
      </c>
      <c r="I374" t="s">
        <v>146</v>
      </c>
      <c r="J374" t="s">
        <v>147</v>
      </c>
      <c r="K374" t="s">
        <v>148</v>
      </c>
      <c r="L374" t="s">
        <v>183</v>
      </c>
      <c r="M374" t="s">
        <v>171</v>
      </c>
      <c r="N374">
        <v>3</v>
      </c>
      <c r="O374" s="4">
        <v>230</v>
      </c>
      <c r="P374" s="4">
        <v>400</v>
      </c>
      <c r="Q374" s="7">
        <v>0.1</v>
      </c>
      <c r="R374" t="s">
        <v>178</v>
      </c>
      <c r="S374">
        <v>6</v>
      </c>
      <c r="T374">
        <v>1200</v>
      </c>
      <c r="U374">
        <v>120</v>
      </c>
      <c r="V374">
        <v>1080</v>
      </c>
      <c r="W374">
        <v>690</v>
      </c>
      <c r="X374">
        <v>390</v>
      </c>
      <c r="Y374" s="8">
        <v>0.3611111111111111</v>
      </c>
      <c r="Z374" t="s">
        <v>2995</v>
      </c>
      <c r="AA374" t="str">
        <f>IF(AND(SalesCleanTable[[#This Row],[Discount %]]&gt;0, SalesCleanTable[[#This Row],[Profit]]&lt;0), "Discount loss", "Safe")</f>
        <v>Safe</v>
      </c>
      <c r="AB374" s="25">
        <f>(SalesCleanTable[[#This Row],[Unit Price]] - SalesCleanTable[[#This Row],[Unit Cost]]) / SalesCleanTable[[#This Row],[Unit Price]]</f>
        <v>0.42499999999999999</v>
      </c>
      <c r="AC374" t="str">
        <f>IF(SalesCleanTable[[#This Row],[Discount %]] &gt; SalesCleanTable[[#This Row],[Max Allowed Discount]], "Discount loss", "Safe")</f>
        <v>Safe</v>
      </c>
      <c r="AD374" s="4">
        <f>SalesCleanTable[[#This Row],[Unit Price]] - SalesCleanTable[[#This Row],[Unit Cost]]</f>
        <v>170</v>
      </c>
      <c r="AE374" s="41">
        <f>(SalesCleanTable[[#This Row],[Unit Price]] - SalesCleanTable[[#This Row],[Unit Cost]]) / SalesCleanTable[[#This Row],[Unit Price]]</f>
        <v>0.42499999999999999</v>
      </c>
    </row>
    <row r="375" spans="1:31">
      <c r="A375" t="s">
        <v>561</v>
      </c>
      <c r="B375" s="6">
        <v>45809</v>
      </c>
      <c r="C375" t="s">
        <v>36</v>
      </c>
      <c r="D375" t="s">
        <v>37</v>
      </c>
      <c r="E375" t="s">
        <v>38</v>
      </c>
      <c r="F375" t="s">
        <v>39</v>
      </c>
      <c r="G375" t="s">
        <v>40</v>
      </c>
      <c r="H375" t="s">
        <v>139</v>
      </c>
      <c r="I375" t="s">
        <v>140</v>
      </c>
      <c r="J375" t="s">
        <v>137</v>
      </c>
      <c r="K375" t="s">
        <v>138</v>
      </c>
      <c r="L375" t="s">
        <v>166</v>
      </c>
      <c r="M375" t="s">
        <v>167</v>
      </c>
      <c r="N375">
        <v>6</v>
      </c>
      <c r="O375" s="4">
        <v>1650</v>
      </c>
      <c r="P375" s="4">
        <v>2200</v>
      </c>
      <c r="Q375" s="7">
        <v>0.1</v>
      </c>
      <c r="R375" t="s">
        <v>178</v>
      </c>
      <c r="S375">
        <v>11</v>
      </c>
      <c r="T375">
        <v>13200</v>
      </c>
      <c r="U375">
        <v>1320</v>
      </c>
      <c r="V375">
        <v>11880</v>
      </c>
      <c r="W375">
        <v>9900</v>
      </c>
      <c r="X375">
        <v>1980</v>
      </c>
      <c r="Y375" s="8">
        <v>0.16666666666666666</v>
      </c>
      <c r="Z375" t="s">
        <v>2995</v>
      </c>
      <c r="AA375" t="str">
        <f>IF(AND(SalesCleanTable[[#This Row],[Discount %]]&gt;0, SalesCleanTable[[#This Row],[Profit]]&lt;0), "Discount loss", "Safe")</f>
        <v>Safe</v>
      </c>
      <c r="AB375" s="25">
        <f>(SalesCleanTable[[#This Row],[Unit Price]] - SalesCleanTable[[#This Row],[Unit Cost]]) / SalesCleanTable[[#This Row],[Unit Price]]</f>
        <v>0.25</v>
      </c>
      <c r="AC375" t="str">
        <f>IF(SalesCleanTable[[#This Row],[Discount %]] &gt; SalesCleanTable[[#This Row],[Max Allowed Discount]], "Discount loss", "Safe")</f>
        <v>Safe</v>
      </c>
      <c r="AD375" s="4">
        <f>SalesCleanTable[[#This Row],[Unit Price]] - SalesCleanTable[[#This Row],[Unit Cost]]</f>
        <v>550</v>
      </c>
      <c r="AE375" s="41">
        <f>(SalesCleanTable[[#This Row],[Unit Price]] - SalesCleanTable[[#This Row],[Unit Cost]]) / SalesCleanTable[[#This Row],[Unit Price]]</f>
        <v>0.25</v>
      </c>
    </row>
    <row r="376" spans="1:31">
      <c r="A376" t="s">
        <v>562</v>
      </c>
      <c r="B376" s="6">
        <v>45714</v>
      </c>
      <c r="C376" t="s">
        <v>99</v>
      </c>
      <c r="D376" t="s">
        <v>100</v>
      </c>
      <c r="E376" t="s">
        <v>92</v>
      </c>
      <c r="F376" t="s">
        <v>101</v>
      </c>
      <c r="G376" t="s">
        <v>102</v>
      </c>
      <c r="H376" t="s">
        <v>141</v>
      </c>
      <c r="I376" t="s">
        <v>142</v>
      </c>
      <c r="J376" t="s">
        <v>143</v>
      </c>
      <c r="K376" t="s">
        <v>144</v>
      </c>
      <c r="L376" t="s">
        <v>166</v>
      </c>
      <c r="M376" t="s">
        <v>171</v>
      </c>
      <c r="N376">
        <v>1</v>
      </c>
      <c r="O376" s="4">
        <v>12500</v>
      </c>
      <c r="P376" s="4">
        <v>18500</v>
      </c>
      <c r="Q376" s="7">
        <v>0</v>
      </c>
      <c r="R376" t="s">
        <v>181</v>
      </c>
      <c r="S376">
        <v>5</v>
      </c>
      <c r="T376">
        <v>18500</v>
      </c>
      <c r="U376">
        <v>0</v>
      </c>
      <c r="V376">
        <v>18500</v>
      </c>
      <c r="W376">
        <v>12500</v>
      </c>
      <c r="X376">
        <v>6000</v>
      </c>
      <c r="Y376" s="8">
        <v>0.32432432432432434</v>
      </c>
      <c r="Z376" t="s">
        <v>2995</v>
      </c>
      <c r="AA376" t="str">
        <f>IF(AND(SalesCleanTable[[#This Row],[Discount %]]&gt;0, SalesCleanTable[[#This Row],[Profit]]&lt;0), "Discount loss", "Safe")</f>
        <v>Safe</v>
      </c>
      <c r="AB376" s="25">
        <f>(SalesCleanTable[[#This Row],[Unit Price]] - SalesCleanTable[[#This Row],[Unit Cost]]) / SalesCleanTable[[#This Row],[Unit Price]]</f>
        <v>0.32432432432432434</v>
      </c>
      <c r="AC376" t="str">
        <f>IF(SalesCleanTable[[#This Row],[Discount %]] &gt; SalesCleanTable[[#This Row],[Max Allowed Discount]], "Discount loss", "Safe")</f>
        <v>Safe</v>
      </c>
      <c r="AD376" s="4">
        <f>SalesCleanTable[[#This Row],[Unit Price]] - SalesCleanTable[[#This Row],[Unit Cost]]</f>
        <v>6000</v>
      </c>
      <c r="AE376" s="41">
        <f>(SalesCleanTable[[#This Row],[Unit Price]] - SalesCleanTable[[#This Row],[Unit Cost]]) / SalesCleanTable[[#This Row],[Unit Price]]</f>
        <v>0.32432432432432434</v>
      </c>
    </row>
    <row r="377" spans="1:31">
      <c r="A377" t="s">
        <v>563</v>
      </c>
      <c r="B377" s="6">
        <v>45891</v>
      </c>
      <c r="C377" t="s">
        <v>120</v>
      </c>
      <c r="D377" t="s">
        <v>121</v>
      </c>
      <c r="E377" t="s">
        <v>109</v>
      </c>
      <c r="F377" t="s">
        <v>93</v>
      </c>
      <c r="G377" t="s">
        <v>122</v>
      </c>
      <c r="H377" t="s">
        <v>135</v>
      </c>
      <c r="I377" t="s">
        <v>136</v>
      </c>
      <c r="J377" t="s">
        <v>137</v>
      </c>
      <c r="K377" t="s">
        <v>138</v>
      </c>
      <c r="L377" t="s">
        <v>166</v>
      </c>
      <c r="M377" t="s">
        <v>177</v>
      </c>
      <c r="N377">
        <v>2</v>
      </c>
      <c r="O377" s="4">
        <v>1700</v>
      </c>
      <c r="P377" s="4">
        <v>2800</v>
      </c>
      <c r="Q377" s="7">
        <v>0</v>
      </c>
      <c r="R377" t="s">
        <v>220</v>
      </c>
      <c r="S377">
        <v>6</v>
      </c>
      <c r="T377">
        <v>5600</v>
      </c>
      <c r="U377">
        <v>0</v>
      </c>
      <c r="V377">
        <v>5600</v>
      </c>
      <c r="W377">
        <v>3400</v>
      </c>
      <c r="X377">
        <v>2200</v>
      </c>
      <c r="Y377" s="8">
        <v>0.39285714285714285</v>
      </c>
      <c r="Z377" t="s">
        <v>2997</v>
      </c>
      <c r="AA377" t="str">
        <f>IF(AND(SalesCleanTable[[#This Row],[Discount %]]&gt;0, SalesCleanTable[[#This Row],[Profit]]&lt;0), "Discount loss", "Safe")</f>
        <v>Safe</v>
      </c>
      <c r="AB377" s="25">
        <f>(SalesCleanTable[[#This Row],[Unit Price]] - SalesCleanTable[[#This Row],[Unit Cost]]) / SalesCleanTable[[#This Row],[Unit Price]]</f>
        <v>0.39285714285714285</v>
      </c>
      <c r="AC377" t="str">
        <f>IF(SalesCleanTable[[#This Row],[Discount %]] &gt; SalesCleanTable[[#This Row],[Max Allowed Discount]], "Discount loss", "Safe")</f>
        <v>Safe</v>
      </c>
      <c r="AD377" s="4">
        <f>SalesCleanTable[[#This Row],[Unit Price]] - SalesCleanTable[[#This Row],[Unit Cost]]</f>
        <v>1100</v>
      </c>
      <c r="AE377" s="41">
        <f>(SalesCleanTable[[#This Row],[Unit Price]] - SalesCleanTable[[#This Row],[Unit Cost]]) / SalesCleanTable[[#This Row],[Unit Price]]</f>
        <v>0.39285714285714285</v>
      </c>
    </row>
    <row r="378" spans="1:31">
      <c r="A378" t="s">
        <v>564</v>
      </c>
      <c r="B378" s="6">
        <v>45818</v>
      </c>
      <c r="C378" t="s">
        <v>53</v>
      </c>
      <c r="D378" t="s">
        <v>54</v>
      </c>
      <c r="E378" t="s">
        <v>38</v>
      </c>
      <c r="F378" t="s">
        <v>55</v>
      </c>
      <c r="G378" t="s">
        <v>56</v>
      </c>
      <c r="H378" t="s">
        <v>128</v>
      </c>
      <c r="I378" t="s">
        <v>129</v>
      </c>
      <c r="J378" t="s">
        <v>130</v>
      </c>
      <c r="K378" t="s">
        <v>131</v>
      </c>
      <c r="L378" t="s">
        <v>166</v>
      </c>
      <c r="M378" t="s">
        <v>177</v>
      </c>
      <c r="N378">
        <v>5</v>
      </c>
      <c r="O378" s="4">
        <v>330</v>
      </c>
      <c r="P378" s="4">
        <v>550</v>
      </c>
      <c r="Q378" s="7">
        <v>0.15</v>
      </c>
      <c r="R378" t="s">
        <v>168</v>
      </c>
      <c r="S378">
        <v>3</v>
      </c>
      <c r="T378">
        <v>2750</v>
      </c>
      <c r="U378">
        <v>412.5</v>
      </c>
      <c r="V378">
        <v>2337.5</v>
      </c>
      <c r="W378">
        <v>1650</v>
      </c>
      <c r="X378">
        <v>687.5</v>
      </c>
      <c r="Y378" s="8">
        <v>0.29411764705882354</v>
      </c>
      <c r="Z378" t="s">
        <v>2996</v>
      </c>
      <c r="AA378" t="str">
        <f>IF(AND(SalesCleanTable[[#This Row],[Discount %]]&gt;0, SalesCleanTable[[#This Row],[Profit]]&lt;0), "Discount loss", "Safe")</f>
        <v>Safe</v>
      </c>
      <c r="AB378" s="25">
        <f>(SalesCleanTable[[#This Row],[Unit Price]] - SalesCleanTable[[#This Row],[Unit Cost]]) / SalesCleanTable[[#This Row],[Unit Price]]</f>
        <v>0.4</v>
      </c>
      <c r="AC378" t="str">
        <f>IF(SalesCleanTable[[#This Row],[Discount %]] &gt; SalesCleanTable[[#This Row],[Max Allowed Discount]], "Discount loss", "Safe")</f>
        <v>Safe</v>
      </c>
      <c r="AD378" s="4">
        <f>SalesCleanTable[[#This Row],[Unit Price]] - SalesCleanTable[[#This Row],[Unit Cost]]</f>
        <v>220</v>
      </c>
      <c r="AE378" s="41">
        <f>(SalesCleanTable[[#This Row],[Unit Price]] - SalesCleanTable[[#This Row],[Unit Cost]]) / SalesCleanTable[[#This Row],[Unit Price]]</f>
        <v>0.4</v>
      </c>
    </row>
    <row r="379" spans="1:31">
      <c r="A379" t="s">
        <v>565</v>
      </c>
      <c r="B379" s="6">
        <v>45882</v>
      </c>
      <c r="C379" t="s">
        <v>116</v>
      </c>
      <c r="D379" t="s">
        <v>117</v>
      </c>
      <c r="E379" t="s">
        <v>109</v>
      </c>
      <c r="F379" t="s">
        <v>118</v>
      </c>
      <c r="G379" t="s">
        <v>119</v>
      </c>
      <c r="H379" t="s">
        <v>135</v>
      </c>
      <c r="I379" t="s">
        <v>136</v>
      </c>
      <c r="J379" t="s">
        <v>137</v>
      </c>
      <c r="K379" t="s">
        <v>138</v>
      </c>
      <c r="L379" t="s">
        <v>166</v>
      </c>
      <c r="M379" t="s">
        <v>177</v>
      </c>
      <c r="N379">
        <v>4</v>
      </c>
      <c r="O379" s="4">
        <v>2800</v>
      </c>
      <c r="P379" s="4">
        <v>4200</v>
      </c>
      <c r="Q379" s="7">
        <v>0.05</v>
      </c>
      <c r="R379" t="s">
        <v>220</v>
      </c>
      <c r="S379">
        <v>8</v>
      </c>
      <c r="T379">
        <v>16800</v>
      </c>
      <c r="U379">
        <v>840</v>
      </c>
      <c r="V379">
        <v>15960</v>
      </c>
      <c r="W379">
        <v>11200</v>
      </c>
      <c r="X379">
        <v>4760</v>
      </c>
      <c r="Y379" s="8">
        <v>0.2982456140350877</v>
      </c>
      <c r="Z379" t="s">
        <v>2995</v>
      </c>
      <c r="AA379" t="str">
        <f>IF(AND(SalesCleanTable[[#This Row],[Discount %]]&gt;0, SalesCleanTable[[#This Row],[Profit]]&lt;0), "Discount loss", "Safe")</f>
        <v>Safe</v>
      </c>
      <c r="AB379" s="25">
        <f>(SalesCleanTable[[#This Row],[Unit Price]] - SalesCleanTable[[#This Row],[Unit Cost]]) / SalesCleanTable[[#This Row],[Unit Price]]</f>
        <v>0.33333333333333331</v>
      </c>
      <c r="AC379" t="str">
        <f>IF(SalesCleanTable[[#This Row],[Discount %]] &gt; SalesCleanTable[[#This Row],[Max Allowed Discount]], "Discount loss", "Safe")</f>
        <v>Safe</v>
      </c>
      <c r="AD379" s="4">
        <f>SalesCleanTable[[#This Row],[Unit Price]] - SalesCleanTable[[#This Row],[Unit Cost]]</f>
        <v>1400</v>
      </c>
      <c r="AE379" s="41">
        <f>(SalesCleanTable[[#This Row],[Unit Price]] - SalesCleanTable[[#This Row],[Unit Cost]]) / SalesCleanTable[[#This Row],[Unit Price]]</f>
        <v>0.33333333333333331</v>
      </c>
    </row>
    <row r="380" spans="1:31">
      <c r="A380" t="s">
        <v>566</v>
      </c>
      <c r="B380" s="6">
        <v>45855</v>
      </c>
      <c r="C380" t="s">
        <v>82</v>
      </c>
      <c r="D380" t="s">
        <v>83</v>
      </c>
      <c r="E380" t="s">
        <v>75</v>
      </c>
      <c r="F380" t="s">
        <v>84</v>
      </c>
      <c r="G380" t="s">
        <v>85</v>
      </c>
      <c r="H380" t="s">
        <v>139</v>
      </c>
      <c r="I380" t="s">
        <v>140</v>
      </c>
      <c r="J380" t="s">
        <v>137</v>
      </c>
      <c r="K380" t="s">
        <v>138</v>
      </c>
      <c r="L380" t="s">
        <v>166</v>
      </c>
      <c r="M380" t="s">
        <v>177</v>
      </c>
      <c r="N380">
        <v>2</v>
      </c>
      <c r="O380" s="4">
        <v>600</v>
      </c>
      <c r="P380" s="4">
        <v>950</v>
      </c>
      <c r="Q380" s="7">
        <v>0.15</v>
      </c>
      <c r="R380" t="s">
        <v>204</v>
      </c>
      <c r="S380">
        <v>1</v>
      </c>
      <c r="T380">
        <v>1900</v>
      </c>
      <c r="U380">
        <v>285</v>
      </c>
      <c r="V380">
        <v>1615</v>
      </c>
      <c r="W380">
        <v>1200</v>
      </c>
      <c r="X380">
        <v>415</v>
      </c>
      <c r="Y380" s="8">
        <v>0.25696594427244585</v>
      </c>
      <c r="Z380" t="s">
        <v>2996</v>
      </c>
      <c r="AA380" t="str">
        <f>IF(AND(SalesCleanTable[[#This Row],[Discount %]]&gt;0, SalesCleanTable[[#This Row],[Profit]]&lt;0), "Discount loss", "Safe")</f>
        <v>Safe</v>
      </c>
      <c r="AB380" s="25">
        <f>(SalesCleanTable[[#This Row],[Unit Price]] - SalesCleanTable[[#This Row],[Unit Cost]]) / SalesCleanTable[[#This Row],[Unit Price]]</f>
        <v>0.36842105263157893</v>
      </c>
      <c r="AC380" t="str">
        <f>IF(SalesCleanTable[[#This Row],[Discount %]] &gt; SalesCleanTable[[#This Row],[Max Allowed Discount]], "Discount loss", "Safe")</f>
        <v>Safe</v>
      </c>
      <c r="AD380" s="4">
        <f>SalesCleanTable[[#This Row],[Unit Price]] - SalesCleanTable[[#This Row],[Unit Cost]]</f>
        <v>350</v>
      </c>
      <c r="AE380" s="41">
        <f>(SalesCleanTable[[#This Row],[Unit Price]] - SalesCleanTable[[#This Row],[Unit Cost]]) / SalesCleanTable[[#This Row],[Unit Price]]</f>
        <v>0.36842105263157893</v>
      </c>
    </row>
    <row r="381" spans="1:31">
      <c r="A381" t="s">
        <v>567</v>
      </c>
      <c r="B381" s="6">
        <v>45739</v>
      </c>
      <c r="C381" t="s">
        <v>32</v>
      </c>
      <c r="D381" t="s">
        <v>33</v>
      </c>
      <c r="E381" t="s">
        <v>26</v>
      </c>
      <c r="F381" t="s">
        <v>34</v>
      </c>
      <c r="G381" t="s">
        <v>35</v>
      </c>
      <c r="H381" t="s">
        <v>149</v>
      </c>
      <c r="I381" t="s">
        <v>150</v>
      </c>
      <c r="J381" t="s">
        <v>151</v>
      </c>
      <c r="K381" t="s">
        <v>152</v>
      </c>
      <c r="L381" t="s">
        <v>166</v>
      </c>
      <c r="M381" t="s">
        <v>171</v>
      </c>
      <c r="N381">
        <v>3</v>
      </c>
      <c r="O381" s="4">
        <v>7800</v>
      </c>
      <c r="P381" s="4">
        <v>9800</v>
      </c>
      <c r="Q381" s="7">
        <v>0.1</v>
      </c>
      <c r="R381" t="s">
        <v>194</v>
      </c>
      <c r="S381">
        <v>10</v>
      </c>
      <c r="T381">
        <v>29400</v>
      </c>
      <c r="U381">
        <v>2940</v>
      </c>
      <c r="V381">
        <v>26460</v>
      </c>
      <c r="W381">
        <v>23400</v>
      </c>
      <c r="X381">
        <v>3060</v>
      </c>
      <c r="Y381" s="8">
        <v>0.11564625850340136</v>
      </c>
      <c r="Z381" t="s">
        <v>2995</v>
      </c>
      <c r="AA381" t="str">
        <f>IF(AND(SalesCleanTable[[#This Row],[Discount %]]&gt;0, SalesCleanTable[[#This Row],[Profit]]&lt;0), "Discount loss", "Safe")</f>
        <v>Safe</v>
      </c>
      <c r="AB381" s="25">
        <f>(SalesCleanTable[[#This Row],[Unit Price]] - SalesCleanTable[[#This Row],[Unit Cost]]) / SalesCleanTable[[#This Row],[Unit Price]]</f>
        <v>0.20408163265306123</v>
      </c>
      <c r="AC381" t="str">
        <f>IF(SalesCleanTable[[#This Row],[Discount %]] &gt; SalesCleanTable[[#This Row],[Max Allowed Discount]], "Discount loss", "Safe")</f>
        <v>Safe</v>
      </c>
      <c r="AD381" s="4">
        <f>SalesCleanTable[[#This Row],[Unit Price]] - SalesCleanTable[[#This Row],[Unit Cost]]</f>
        <v>2000</v>
      </c>
      <c r="AE381" s="41">
        <f>(SalesCleanTable[[#This Row],[Unit Price]] - SalesCleanTable[[#This Row],[Unit Cost]]) / SalesCleanTable[[#This Row],[Unit Price]]</f>
        <v>0.20408163265306123</v>
      </c>
    </row>
    <row r="382" spans="1:31">
      <c r="A382" t="s">
        <v>568</v>
      </c>
      <c r="B382" s="6">
        <v>46008</v>
      </c>
      <c r="C382" t="s">
        <v>103</v>
      </c>
      <c r="D382" t="s">
        <v>104</v>
      </c>
      <c r="E382" t="s">
        <v>92</v>
      </c>
      <c r="F382" t="s">
        <v>105</v>
      </c>
      <c r="G382" t="s">
        <v>106</v>
      </c>
      <c r="H382" t="s">
        <v>145</v>
      </c>
      <c r="I382" t="s">
        <v>146</v>
      </c>
      <c r="J382" t="s">
        <v>147</v>
      </c>
      <c r="K382" t="s">
        <v>148</v>
      </c>
      <c r="L382" t="s">
        <v>166</v>
      </c>
      <c r="M382" t="s">
        <v>171</v>
      </c>
      <c r="N382">
        <v>6</v>
      </c>
      <c r="O382" s="4">
        <v>1500</v>
      </c>
      <c r="P382" s="4">
        <v>2500</v>
      </c>
      <c r="Q382" s="7">
        <v>0.05</v>
      </c>
      <c r="R382" t="s">
        <v>217</v>
      </c>
      <c r="S382">
        <v>1</v>
      </c>
      <c r="T382">
        <v>15000</v>
      </c>
      <c r="U382">
        <v>750</v>
      </c>
      <c r="V382">
        <v>14250</v>
      </c>
      <c r="W382">
        <v>9000</v>
      </c>
      <c r="X382">
        <v>5250</v>
      </c>
      <c r="Y382" s="8">
        <v>0.36842105263157893</v>
      </c>
      <c r="Z382" t="s">
        <v>2996</v>
      </c>
      <c r="AA382" t="str">
        <f>IF(AND(SalesCleanTable[[#This Row],[Discount %]]&gt;0, SalesCleanTable[[#This Row],[Profit]]&lt;0), "Discount loss", "Safe")</f>
        <v>Safe</v>
      </c>
      <c r="AB382" s="25">
        <f>(SalesCleanTable[[#This Row],[Unit Price]] - SalesCleanTable[[#This Row],[Unit Cost]]) / SalesCleanTable[[#This Row],[Unit Price]]</f>
        <v>0.4</v>
      </c>
      <c r="AC382" t="str">
        <f>IF(SalesCleanTable[[#This Row],[Discount %]] &gt; SalesCleanTable[[#This Row],[Max Allowed Discount]], "Discount loss", "Safe")</f>
        <v>Safe</v>
      </c>
      <c r="AD382" s="4">
        <f>SalesCleanTable[[#This Row],[Unit Price]] - SalesCleanTable[[#This Row],[Unit Cost]]</f>
        <v>1000</v>
      </c>
      <c r="AE382" s="41">
        <f>(SalesCleanTable[[#This Row],[Unit Price]] - SalesCleanTable[[#This Row],[Unit Cost]]) / SalesCleanTable[[#This Row],[Unit Price]]</f>
        <v>0.4</v>
      </c>
    </row>
    <row r="383" spans="1:31">
      <c r="A383" t="s">
        <v>569</v>
      </c>
      <c r="B383" s="6">
        <v>45993</v>
      </c>
      <c r="C383" t="s">
        <v>45</v>
      </c>
      <c r="D383" t="s">
        <v>46</v>
      </c>
      <c r="E383" t="s">
        <v>38</v>
      </c>
      <c r="F383" t="s">
        <v>47</v>
      </c>
      <c r="G383" t="s">
        <v>48</v>
      </c>
      <c r="H383" t="s">
        <v>145</v>
      </c>
      <c r="I383" t="s">
        <v>146</v>
      </c>
      <c r="J383" t="s">
        <v>147</v>
      </c>
      <c r="K383" t="s">
        <v>148</v>
      </c>
      <c r="L383" t="s">
        <v>166</v>
      </c>
      <c r="M383" t="s">
        <v>171</v>
      </c>
      <c r="N383">
        <v>4</v>
      </c>
      <c r="O383" s="4">
        <v>230</v>
      </c>
      <c r="P383" s="4">
        <v>400</v>
      </c>
      <c r="Q383" s="7">
        <v>0.1</v>
      </c>
      <c r="R383" t="s">
        <v>168</v>
      </c>
      <c r="S383">
        <v>14</v>
      </c>
      <c r="T383">
        <v>1600</v>
      </c>
      <c r="U383">
        <v>160</v>
      </c>
      <c r="V383">
        <v>1440</v>
      </c>
      <c r="W383">
        <v>920</v>
      </c>
      <c r="X383">
        <v>520</v>
      </c>
      <c r="Y383" s="8">
        <v>0.3611111111111111</v>
      </c>
      <c r="Z383" t="s">
        <v>2995</v>
      </c>
      <c r="AA383" t="str">
        <f>IF(AND(SalesCleanTable[[#This Row],[Discount %]]&gt;0, SalesCleanTable[[#This Row],[Profit]]&lt;0), "Discount loss", "Safe")</f>
        <v>Safe</v>
      </c>
      <c r="AB383" s="25">
        <f>(SalesCleanTable[[#This Row],[Unit Price]] - SalesCleanTable[[#This Row],[Unit Cost]]) / SalesCleanTable[[#This Row],[Unit Price]]</f>
        <v>0.42499999999999999</v>
      </c>
      <c r="AC383" t="str">
        <f>IF(SalesCleanTable[[#This Row],[Discount %]] &gt; SalesCleanTable[[#This Row],[Max Allowed Discount]], "Discount loss", "Safe")</f>
        <v>Safe</v>
      </c>
      <c r="AD383" s="4">
        <f>SalesCleanTable[[#This Row],[Unit Price]] - SalesCleanTable[[#This Row],[Unit Cost]]</f>
        <v>170</v>
      </c>
      <c r="AE383" s="41">
        <f>(SalesCleanTable[[#This Row],[Unit Price]] - SalesCleanTable[[#This Row],[Unit Cost]]) / SalesCleanTable[[#This Row],[Unit Price]]</f>
        <v>0.42499999999999999</v>
      </c>
    </row>
    <row r="384" spans="1:31">
      <c r="A384" t="s">
        <v>570</v>
      </c>
      <c r="B384" s="6">
        <v>45925</v>
      </c>
      <c r="C384" t="s">
        <v>78</v>
      </c>
      <c r="D384" t="s">
        <v>79</v>
      </c>
      <c r="E384" t="s">
        <v>75</v>
      </c>
      <c r="F384" t="s">
        <v>80</v>
      </c>
      <c r="G384" t="s">
        <v>81</v>
      </c>
      <c r="H384" t="s">
        <v>141</v>
      </c>
      <c r="I384" t="s">
        <v>142</v>
      </c>
      <c r="J384" t="s">
        <v>143</v>
      </c>
      <c r="K384" t="s">
        <v>144</v>
      </c>
      <c r="L384" t="s">
        <v>166</v>
      </c>
      <c r="M384" t="s">
        <v>171</v>
      </c>
      <c r="N384">
        <v>2</v>
      </c>
      <c r="O384" s="4">
        <v>1200</v>
      </c>
      <c r="P384" s="4">
        <v>1900</v>
      </c>
      <c r="Q384" s="7">
        <v>0.1</v>
      </c>
      <c r="R384" t="s">
        <v>204</v>
      </c>
      <c r="S384">
        <v>7</v>
      </c>
      <c r="T384">
        <v>3800</v>
      </c>
      <c r="U384">
        <v>380</v>
      </c>
      <c r="V384">
        <v>3420</v>
      </c>
      <c r="W384">
        <v>2400</v>
      </c>
      <c r="X384">
        <v>1020</v>
      </c>
      <c r="Y384" s="8">
        <v>0.2982456140350877</v>
      </c>
      <c r="Z384" t="s">
        <v>2996</v>
      </c>
      <c r="AA384" t="str">
        <f>IF(AND(SalesCleanTable[[#This Row],[Discount %]]&gt;0, SalesCleanTable[[#This Row],[Profit]]&lt;0), "Discount loss", "Safe")</f>
        <v>Safe</v>
      </c>
      <c r="AB384" s="25">
        <f>(SalesCleanTable[[#This Row],[Unit Price]] - SalesCleanTable[[#This Row],[Unit Cost]]) / SalesCleanTable[[#This Row],[Unit Price]]</f>
        <v>0.36842105263157893</v>
      </c>
      <c r="AC384" t="str">
        <f>IF(SalesCleanTable[[#This Row],[Discount %]] &gt; SalesCleanTable[[#This Row],[Max Allowed Discount]], "Discount loss", "Safe")</f>
        <v>Safe</v>
      </c>
      <c r="AD384" s="4">
        <f>SalesCleanTable[[#This Row],[Unit Price]] - SalesCleanTable[[#This Row],[Unit Cost]]</f>
        <v>700</v>
      </c>
      <c r="AE384" s="41">
        <f>(SalesCleanTable[[#This Row],[Unit Price]] - SalesCleanTable[[#This Row],[Unit Cost]]) / SalesCleanTable[[#This Row],[Unit Price]]</f>
        <v>0.36842105263157893</v>
      </c>
    </row>
    <row r="385" spans="1:31">
      <c r="A385" t="s">
        <v>571</v>
      </c>
      <c r="B385" s="6">
        <v>45943</v>
      </c>
      <c r="C385" t="s">
        <v>107</v>
      </c>
      <c r="D385" t="s">
        <v>108</v>
      </c>
      <c r="E385" t="s">
        <v>109</v>
      </c>
      <c r="F385" t="s">
        <v>110</v>
      </c>
      <c r="G385" t="s">
        <v>111</v>
      </c>
      <c r="H385" t="s">
        <v>141</v>
      </c>
      <c r="I385" t="s">
        <v>142</v>
      </c>
      <c r="J385" t="s">
        <v>143</v>
      </c>
      <c r="K385" t="s">
        <v>144</v>
      </c>
      <c r="L385" t="s">
        <v>166</v>
      </c>
      <c r="M385" t="s">
        <v>186</v>
      </c>
      <c r="N385">
        <v>1</v>
      </c>
      <c r="O385" s="4">
        <v>5200</v>
      </c>
      <c r="P385" s="4">
        <v>7000</v>
      </c>
      <c r="Q385" s="7">
        <v>0.25</v>
      </c>
      <c r="R385" t="s">
        <v>220</v>
      </c>
      <c r="S385">
        <v>14</v>
      </c>
      <c r="T385">
        <v>7000</v>
      </c>
      <c r="U385">
        <v>1750</v>
      </c>
      <c r="V385">
        <v>5250</v>
      </c>
      <c r="W385">
        <v>5200</v>
      </c>
      <c r="X385">
        <v>50</v>
      </c>
      <c r="Y385" s="8">
        <v>9.5238095238095247E-3</v>
      </c>
      <c r="Z385" t="s">
        <v>2997</v>
      </c>
      <c r="AA385" t="str">
        <f>IF(AND(SalesCleanTable[[#This Row],[Discount %]]&gt;0, SalesCleanTable[[#This Row],[Profit]]&lt;0), "Discount loss", "Safe")</f>
        <v>Safe</v>
      </c>
      <c r="AB385" s="25">
        <f>(SalesCleanTable[[#This Row],[Unit Price]] - SalesCleanTable[[#This Row],[Unit Cost]]) / SalesCleanTable[[#This Row],[Unit Price]]</f>
        <v>0.25714285714285712</v>
      </c>
      <c r="AC385" t="str">
        <f>IF(SalesCleanTable[[#This Row],[Discount %]] &gt; SalesCleanTable[[#This Row],[Max Allowed Discount]], "Discount loss", "Safe")</f>
        <v>Safe</v>
      </c>
      <c r="AD385" s="4">
        <f>SalesCleanTable[[#This Row],[Unit Price]] - SalesCleanTable[[#This Row],[Unit Cost]]</f>
        <v>1800</v>
      </c>
      <c r="AE385" s="41">
        <f>(SalesCleanTable[[#This Row],[Unit Price]] - SalesCleanTable[[#This Row],[Unit Cost]]) / SalesCleanTable[[#This Row],[Unit Price]]</f>
        <v>0.25714285714285712</v>
      </c>
    </row>
    <row r="386" spans="1:31">
      <c r="A386" t="s">
        <v>572</v>
      </c>
      <c r="B386" s="6">
        <v>45909</v>
      </c>
      <c r="C386" t="s">
        <v>45</v>
      </c>
      <c r="D386" t="s">
        <v>46</v>
      </c>
      <c r="E386" t="s">
        <v>38</v>
      </c>
      <c r="F386" t="s">
        <v>47</v>
      </c>
      <c r="G386" t="s">
        <v>48</v>
      </c>
      <c r="H386" t="s">
        <v>135</v>
      </c>
      <c r="I386" t="s">
        <v>136</v>
      </c>
      <c r="J386" t="s">
        <v>137</v>
      </c>
      <c r="K386" t="s">
        <v>138</v>
      </c>
      <c r="L386" t="s">
        <v>166</v>
      </c>
      <c r="M386" t="s">
        <v>186</v>
      </c>
      <c r="N386">
        <v>2</v>
      </c>
      <c r="O386" s="4">
        <v>230</v>
      </c>
      <c r="P386" s="4">
        <v>400</v>
      </c>
      <c r="Q386" s="7">
        <v>0.05</v>
      </c>
      <c r="R386" t="s">
        <v>178</v>
      </c>
      <c r="S386">
        <v>2</v>
      </c>
      <c r="T386">
        <v>800</v>
      </c>
      <c r="U386">
        <v>40</v>
      </c>
      <c r="V386">
        <v>760</v>
      </c>
      <c r="W386">
        <v>460</v>
      </c>
      <c r="X386">
        <v>300</v>
      </c>
      <c r="Y386" s="8">
        <v>0.39473684210526316</v>
      </c>
      <c r="Z386" t="s">
        <v>2995</v>
      </c>
      <c r="AA386" t="str">
        <f>IF(AND(SalesCleanTable[[#This Row],[Discount %]]&gt;0, SalesCleanTable[[#This Row],[Profit]]&lt;0), "Discount loss", "Safe")</f>
        <v>Safe</v>
      </c>
      <c r="AB386" s="25">
        <f>(SalesCleanTable[[#This Row],[Unit Price]] - SalesCleanTable[[#This Row],[Unit Cost]]) / SalesCleanTable[[#This Row],[Unit Price]]</f>
        <v>0.42499999999999999</v>
      </c>
      <c r="AC386" t="str">
        <f>IF(SalesCleanTable[[#This Row],[Discount %]] &gt; SalesCleanTable[[#This Row],[Max Allowed Discount]], "Discount loss", "Safe")</f>
        <v>Safe</v>
      </c>
      <c r="AD386" s="4">
        <f>SalesCleanTable[[#This Row],[Unit Price]] - SalesCleanTable[[#This Row],[Unit Cost]]</f>
        <v>170</v>
      </c>
      <c r="AE386" s="41">
        <f>(SalesCleanTable[[#This Row],[Unit Price]] - SalesCleanTable[[#This Row],[Unit Cost]]) / SalesCleanTable[[#This Row],[Unit Price]]</f>
        <v>0.42499999999999999</v>
      </c>
    </row>
    <row r="387" spans="1:31">
      <c r="A387" t="s">
        <v>573</v>
      </c>
      <c r="B387" s="6">
        <v>45951</v>
      </c>
      <c r="C387" t="s">
        <v>53</v>
      </c>
      <c r="D387" t="s">
        <v>54</v>
      </c>
      <c r="E387" t="s">
        <v>38</v>
      </c>
      <c r="F387" t="s">
        <v>55</v>
      </c>
      <c r="G387" t="s">
        <v>56</v>
      </c>
      <c r="H387" t="s">
        <v>149</v>
      </c>
      <c r="I387" t="s">
        <v>150</v>
      </c>
      <c r="J387" t="s">
        <v>151</v>
      </c>
      <c r="K387" t="s">
        <v>152</v>
      </c>
      <c r="L387" t="s">
        <v>166</v>
      </c>
      <c r="M387" t="s">
        <v>171</v>
      </c>
      <c r="N387">
        <v>2</v>
      </c>
      <c r="O387" s="4">
        <v>330</v>
      </c>
      <c r="P387" s="4">
        <v>550</v>
      </c>
      <c r="Q387" s="7">
        <v>0</v>
      </c>
      <c r="R387" t="s">
        <v>178</v>
      </c>
      <c r="S387">
        <v>7</v>
      </c>
      <c r="T387">
        <v>1100</v>
      </c>
      <c r="U387">
        <v>0</v>
      </c>
      <c r="V387">
        <v>1100</v>
      </c>
      <c r="W387">
        <v>660</v>
      </c>
      <c r="X387">
        <v>440</v>
      </c>
      <c r="Y387" s="8">
        <v>0.4</v>
      </c>
      <c r="Z387" t="s">
        <v>2996</v>
      </c>
      <c r="AA387" t="str">
        <f>IF(AND(SalesCleanTable[[#This Row],[Discount %]]&gt;0, SalesCleanTable[[#This Row],[Profit]]&lt;0), "Discount loss", "Safe")</f>
        <v>Safe</v>
      </c>
      <c r="AB387" s="25">
        <f>(SalesCleanTable[[#This Row],[Unit Price]] - SalesCleanTable[[#This Row],[Unit Cost]]) / SalesCleanTable[[#This Row],[Unit Price]]</f>
        <v>0.4</v>
      </c>
      <c r="AC387" t="str">
        <f>IF(SalesCleanTable[[#This Row],[Discount %]] &gt; SalesCleanTable[[#This Row],[Max Allowed Discount]], "Discount loss", "Safe")</f>
        <v>Safe</v>
      </c>
      <c r="AD387" s="4">
        <f>SalesCleanTable[[#This Row],[Unit Price]] - SalesCleanTable[[#This Row],[Unit Cost]]</f>
        <v>220</v>
      </c>
      <c r="AE387" s="41">
        <f>(SalesCleanTable[[#This Row],[Unit Price]] - SalesCleanTable[[#This Row],[Unit Cost]]) / SalesCleanTable[[#This Row],[Unit Price]]</f>
        <v>0.4</v>
      </c>
    </row>
    <row r="388" spans="1:31">
      <c r="A388" t="s">
        <v>574</v>
      </c>
      <c r="B388" s="6">
        <v>45943</v>
      </c>
      <c r="C388" t="s">
        <v>62</v>
      </c>
      <c r="D388" t="s">
        <v>63</v>
      </c>
      <c r="E388" t="s">
        <v>59</v>
      </c>
      <c r="F388" t="s">
        <v>64</v>
      </c>
      <c r="G388" t="s">
        <v>65</v>
      </c>
      <c r="H388" t="s">
        <v>149</v>
      </c>
      <c r="I388" t="s">
        <v>150</v>
      </c>
      <c r="J388" t="s">
        <v>151</v>
      </c>
      <c r="K388" t="s">
        <v>152</v>
      </c>
      <c r="L388" t="s">
        <v>183</v>
      </c>
      <c r="M388" t="s">
        <v>171</v>
      </c>
      <c r="N388">
        <v>5</v>
      </c>
      <c r="O388" s="4">
        <v>3200</v>
      </c>
      <c r="P388" s="4">
        <v>4500</v>
      </c>
      <c r="Q388" s="7">
        <v>0.2</v>
      </c>
      <c r="R388" t="s">
        <v>173</v>
      </c>
      <c r="S388">
        <v>4</v>
      </c>
      <c r="T388">
        <v>22500</v>
      </c>
      <c r="U388">
        <v>4500</v>
      </c>
      <c r="V388">
        <v>18000</v>
      </c>
      <c r="W388">
        <v>16000</v>
      </c>
      <c r="X388">
        <v>2000</v>
      </c>
      <c r="Y388" s="8">
        <v>0.1111111111111111</v>
      </c>
      <c r="Z388" t="s">
        <v>2996</v>
      </c>
      <c r="AA388" t="str">
        <f>IF(AND(SalesCleanTable[[#This Row],[Discount %]]&gt;0, SalesCleanTable[[#This Row],[Profit]]&lt;0), "Discount loss", "Safe")</f>
        <v>Safe</v>
      </c>
      <c r="AB388" s="25">
        <f>(SalesCleanTable[[#This Row],[Unit Price]] - SalesCleanTable[[#This Row],[Unit Cost]]) / SalesCleanTable[[#This Row],[Unit Price]]</f>
        <v>0.28888888888888886</v>
      </c>
      <c r="AC388" t="str">
        <f>IF(SalesCleanTable[[#This Row],[Discount %]] &gt; SalesCleanTable[[#This Row],[Max Allowed Discount]], "Discount loss", "Safe")</f>
        <v>Safe</v>
      </c>
      <c r="AD388" s="4">
        <f>SalesCleanTable[[#This Row],[Unit Price]] - SalesCleanTable[[#This Row],[Unit Cost]]</f>
        <v>1300</v>
      </c>
      <c r="AE388" s="41">
        <f>(SalesCleanTable[[#This Row],[Unit Price]] - SalesCleanTable[[#This Row],[Unit Cost]]) / SalesCleanTable[[#This Row],[Unit Price]]</f>
        <v>0.28888888888888886</v>
      </c>
    </row>
    <row r="389" spans="1:31">
      <c r="A389" t="s">
        <v>575</v>
      </c>
      <c r="B389" s="6">
        <v>45891</v>
      </c>
      <c r="C389" t="s">
        <v>112</v>
      </c>
      <c r="D389" t="s">
        <v>113</v>
      </c>
      <c r="E389" t="s">
        <v>109</v>
      </c>
      <c r="F389" t="s">
        <v>114</v>
      </c>
      <c r="G389" t="s">
        <v>115</v>
      </c>
      <c r="H389" t="s">
        <v>135</v>
      </c>
      <c r="I389" t="s">
        <v>136</v>
      </c>
      <c r="J389" t="s">
        <v>137</v>
      </c>
      <c r="K389" t="s">
        <v>138</v>
      </c>
      <c r="L389" t="s">
        <v>166</v>
      </c>
      <c r="M389" t="s">
        <v>171</v>
      </c>
      <c r="N389">
        <v>1</v>
      </c>
      <c r="O389" s="4">
        <v>1300</v>
      </c>
      <c r="P389" s="4">
        <v>2100</v>
      </c>
      <c r="Q389" s="7">
        <v>0</v>
      </c>
      <c r="R389" t="s">
        <v>184</v>
      </c>
      <c r="S389">
        <v>10</v>
      </c>
      <c r="T389">
        <v>2100</v>
      </c>
      <c r="U389">
        <v>0</v>
      </c>
      <c r="V389">
        <v>2100</v>
      </c>
      <c r="W389">
        <v>1300</v>
      </c>
      <c r="X389">
        <v>800</v>
      </c>
      <c r="Y389" s="8">
        <v>0.38095238095238093</v>
      </c>
      <c r="Z389" t="s">
        <v>2995</v>
      </c>
      <c r="AA389" t="str">
        <f>IF(AND(SalesCleanTable[[#This Row],[Discount %]]&gt;0, SalesCleanTable[[#This Row],[Profit]]&lt;0), "Discount loss", "Safe")</f>
        <v>Safe</v>
      </c>
      <c r="AB389" s="25">
        <f>(SalesCleanTable[[#This Row],[Unit Price]] - SalesCleanTable[[#This Row],[Unit Cost]]) / SalesCleanTable[[#This Row],[Unit Price]]</f>
        <v>0.38095238095238093</v>
      </c>
      <c r="AC389" t="str">
        <f>IF(SalesCleanTable[[#This Row],[Discount %]] &gt; SalesCleanTable[[#This Row],[Max Allowed Discount]], "Discount loss", "Safe")</f>
        <v>Safe</v>
      </c>
      <c r="AD389" s="4">
        <f>SalesCleanTable[[#This Row],[Unit Price]] - SalesCleanTable[[#This Row],[Unit Cost]]</f>
        <v>800</v>
      </c>
      <c r="AE389" s="41">
        <f>(SalesCleanTable[[#This Row],[Unit Price]] - SalesCleanTable[[#This Row],[Unit Cost]]) / SalesCleanTable[[#This Row],[Unit Price]]</f>
        <v>0.38095238095238093</v>
      </c>
    </row>
    <row r="390" spans="1:31">
      <c r="A390" t="s">
        <v>576</v>
      </c>
      <c r="B390" s="6">
        <v>45994</v>
      </c>
      <c r="C390" t="s">
        <v>49</v>
      </c>
      <c r="D390" t="s">
        <v>50</v>
      </c>
      <c r="E390" t="s">
        <v>38</v>
      </c>
      <c r="F390" t="s">
        <v>51</v>
      </c>
      <c r="G390" t="s">
        <v>52</v>
      </c>
      <c r="H390" t="s">
        <v>139</v>
      </c>
      <c r="I390" t="s">
        <v>140</v>
      </c>
      <c r="J390" t="s">
        <v>137</v>
      </c>
      <c r="K390" t="s">
        <v>138</v>
      </c>
      <c r="L390" t="s">
        <v>166</v>
      </c>
      <c r="M390" t="s">
        <v>186</v>
      </c>
      <c r="N390">
        <v>1</v>
      </c>
      <c r="O390" s="4">
        <v>550</v>
      </c>
      <c r="P390" s="4">
        <v>850</v>
      </c>
      <c r="Q390" s="7">
        <v>0.1</v>
      </c>
      <c r="R390" t="s">
        <v>168</v>
      </c>
      <c r="S390">
        <v>13</v>
      </c>
      <c r="T390">
        <v>850</v>
      </c>
      <c r="U390">
        <v>85</v>
      </c>
      <c r="V390">
        <v>765</v>
      </c>
      <c r="W390">
        <v>550</v>
      </c>
      <c r="X390">
        <v>215</v>
      </c>
      <c r="Y390" s="8">
        <v>0.28104575163398693</v>
      </c>
      <c r="Z390" t="s">
        <v>2996</v>
      </c>
      <c r="AA390" t="str">
        <f>IF(AND(SalesCleanTable[[#This Row],[Discount %]]&gt;0, SalesCleanTable[[#This Row],[Profit]]&lt;0), "Discount loss", "Safe")</f>
        <v>Safe</v>
      </c>
      <c r="AB390" s="25">
        <f>(SalesCleanTable[[#This Row],[Unit Price]] - SalesCleanTable[[#This Row],[Unit Cost]]) / SalesCleanTable[[#This Row],[Unit Price]]</f>
        <v>0.35294117647058826</v>
      </c>
      <c r="AC390" t="str">
        <f>IF(SalesCleanTable[[#This Row],[Discount %]] &gt; SalesCleanTable[[#This Row],[Max Allowed Discount]], "Discount loss", "Safe")</f>
        <v>Safe</v>
      </c>
      <c r="AD390" s="4">
        <f>SalesCleanTable[[#This Row],[Unit Price]] - SalesCleanTable[[#This Row],[Unit Cost]]</f>
        <v>300</v>
      </c>
      <c r="AE390" s="41">
        <f>(SalesCleanTable[[#This Row],[Unit Price]] - SalesCleanTable[[#This Row],[Unit Cost]]) / SalesCleanTable[[#This Row],[Unit Price]]</f>
        <v>0.35294117647058826</v>
      </c>
    </row>
    <row r="391" spans="1:31">
      <c r="A391" t="s">
        <v>577</v>
      </c>
      <c r="B391" s="6">
        <v>45925</v>
      </c>
      <c r="C391" t="s">
        <v>49</v>
      </c>
      <c r="D391" t="s">
        <v>50</v>
      </c>
      <c r="E391" t="s">
        <v>38</v>
      </c>
      <c r="F391" t="s">
        <v>51</v>
      </c>
      <c r="G391" t="s">
        <v>52</v>
      </c>
      <c r="H391" t="s">
        <v>128</v>
      </c>
      <c r="I391" t="s">
        <v>129</v>
      </c>
      <c r="J391" t="s">
        <v>130</v>
      </c>
      <c r="K391" t="s">
        <v>131</v>
      </c>
      <c r="L391" t="s">
        <v>183</v>
      </c>
      <c r="M391" t="s">
        <v>171</v>
      </c>
      <c r="N391">
        <v>6</v>
      </c>
      <c r="O391" s="4">
        <v>550</v>
      </c>
      <c r="P391" s="4">
        <v>850</v>
      </c>
      <c r="Q391" s="7">
        <v>0.05</v>
      </c>
      <c r="R391" t="s">
        <v>175</v>
      </c>
      <c r="S391">
        <v>2</v>
      </c>
      <c r="T391">
        <v>5100</v>
      </c>
      <c r="U391">
        <v>255</v>
      </c>
      <c r="V391">
        <v>4845</v>
      </c>
      <c r="W391">
        <v>3300</v>
      </c>
      <c r="X391">
        <v>1545</v>
      </c>
      <c r="Y391" s="8">
        <v>0.31888544891640869</v>
      </c>
      <c r="Z391" t="s">
        <v>2996</v>
      </c>
      <c r="AA391" t="str">
        <f>IF(AND(SalesCleanTable[[#This Row],[Discount %]]&gt;0, SalesCleanTable[[#This Row],[Profit]]&lt;0), "Discount loss", "Safe")</f>
        <v>Safe</v>
      </c>
      <c r="AB391" s="25">
        <f>(SalesCleanTable[[#This Row],[Unit Price]] - SalesCleanTable[[#This Row],[Unit Cost]]) / SalesCleanTable[[#This Row],[Unit Price]]</f>
        <v>0.35294117647058826</v>
      </c>
      <c r="AC391" t="str">
        <f>IF(SalesCleanTable[[#This Row],[Discount %]] &gt; SalesCleanTable[[#This Row],[Max Allowed Discount]], "Discount loss", "Safe")</f>
        <v>Safe</v>
      </c>
      <c r="AD391" s="4">
        <f>SalesCleanTable[[#This Row],[Unit Price]] - SalesCleanTable[[#This Row],[Unit Cost]]</f>
        <v>300</v>
      </c>
      <c r="AE391" s="41">
        <f>(SalesCleanTable[[#This Row],[Unit Price]] - SalesCleanTable[[#This Row],[Unit Cost]]) / SalesCleanTable[[#This Row],[Unit Price]]</f>
        <v>0.35294117647058826</v>
      </c>
    </row>
    <row r="392" spans="1:31">
      <c r="A392" t="s">
        <v>578</v>
      </c>
      <c r="B392" s="6">
        <v>45758</v>
      </c>
      <c r="C392" t="s">
        <v>36</v>
      </c>
      <c r="D392" t="s">
        <v>37</v>
      </c>
      <c r="E392" t="s">
        <v>38</v>
      </c>
      <c r="F392" t="s">
        <v>39</v>
      </c>
      <c r="G392" t="s">
        <v>40</v>
      </c>
      <c r="H392" t="s">
        <v>153</v>
      </c>
      <c r="I392" t="s">
        <v>154</v>
      </c>
      <c r="J392" t="s">
        <v>155</v>
      </c>
      <c r="K392" t="s">
        <v>131</v>
      </c>
      <c r="L392" t="s">
        <v>183</v>
      </c>
      <c r="M392" t="s">
        <v>171</v>
      </c>
      <c r="N392">
        <v>2</v>
      </c>
      <c r="O392" s="4">
        <v>1650</v>
      </c>
      <c r="P392" s="4">
        <v>2200</v>
      </c>
      <c r="Q392" s="7">
        <v>0.05</v>
      </c>
      <c r="R392" t="s">
        <v>178</v>
      </c>
      <c r="S392">
        <v>13</v>
      </c>
      <c r="T392">
        <v>4400</v>
      </c>
      <c r="U392">
        <v>220</v>
      </c>
      <c r="V392">
        <v>4180</v>
      </c>
      <c r="W392">
        <v>3300</v>
      </c>
      <c r="X392">
        <v>880</v>
      </c>
      <c r="Y392" s="8">
        <v>0.21052631578947367</v>
      </c>
      <c r="Z392" t="s">
        <v>2995</v>
      </c>
      <c r="AA392" t="str">
        <f>IF(AND(SalesCleanTable[[#This Row],[Discount %]]&gt;0, SalesCleanTable[[#This Row],[Profit]]&lt;0), "Discount loss", "Safe")</f>
        <v>Safe</v>
      </c>
      <c r="AB392" s="25">
        <f>(SalesCleanTable[[#This Row],[Unit Price]] - SalesCleanTable[[#This Row],[Unit Cost]]) / SalesCleanTable[[#This Row],[Unit Price]]</f>
        <v>0.25</v>
      </c>
      <c r="AC392" t="str">
        <f>IF(SalesCleanTable[[#This Row],[Discount %]] &gt; SalesCleanTable[[#This Row],[Max Allowed Discount]], "Discount loss", "Safe")</f>
        <v>Safe</v>
      </c>
      <c r="AD392" s="4">
        <f>SalesCleanTable[[#This Row],[Unit Price]] - SalesCleanTable[[#This Row],[Unit Cost]]</f>
        <v>550</v>
      </c>
      <c r="AE392" s="41">
        <f>(SalesCleanTable[[#This Row],[Unit Price]] - SalesCleanTable[[#This Row],[Unit Cost]]) / SalesCleanTable[[#This Row],[Unit Price]]</f>
        <v>0.25</v>
      </c>
    </row>
    <row r="393" spans="1:31">
      <c r="A393" t="s">
        <v>579</v>
      </c>
      <c r="B393" s="6">
        <v>45982</v>
      </c>
      <c r="C393" t="s">
        <v>99</v>
      </c>
      <c r="D393" t="s">
        <v>100</v>
      </c>
      <c r="E393" t="s">
        <v>92</v>
      </c>
      <c r="F393" t="s">
        <v>101</v>
      </c>
      <c r="G393" t="s">
        <v>102</v>
      </c>
      <c r="H393" t="s">
        <v>139</v>
      </c>
      <c r="I393" t="s">
        <v>140</v>
      </c>
      <c r="J393" t="s">
        <v>137</v>
      </c>
      <c r="K393" t="s">
        <v>138</v>
      </c>
      <c r="L393" t="s">
        <v>183</v>
      </c>
      <c r="M393" t="s">
        <v>171</v>
      </c>
      <c r="N393">
        <v>-2</v>
      </c>
      <c r="O393" s="4">
        <v>12500</v>
      </c>
      <c r="P393" s="4">
        <v>18500</v>
      </c>
      <c r="Q393" s="7">
        <v>0.05</v>
      </c>
      <c r="R393" t="s">
        <v>181</v>
      </c>
      <c r="S393">
        <v>8</v>
      </c>
      <c r="T393">
        <v>-37000</v>
      </c>
      <c r="U393">
        <v>-1850</v>
      </c>
      <c r="V393">
        <v>-35150</v>
      </c>
      <c r="W393">
        <v>-25000</v>
      </c>
      <c r="X393">
        <v>-10150</v>
      </c>
      <c r="Y393" s="8">
        <v>0.28876244665718348</v>
      </c>
      <c r="Z393" t="s">
        <v>2995</v>
      </c>
      <c r="AA393" t="str">
        <f>IF(AND(SalesCleanTable[[#This Row],[Discount %]]&gt;0, SalesCleanTable[[#This Row],[Profit]]&lt;0), "Discount loss", "Safe")</f>
        <v>Discount loss</v>
      </c>
      <c r="AB393" s="25">
        <f>(SalesCleanTable[[#This Row],[Unit Price]] - SalesCleanTable[[#This Row],[Unit Cost]]) / SalesCleanTable[[#This Row],[Unit Price]]</f>
        <v>0.32432432432432434</v>
      </c>
      <c r="AC393" t="str">
        <f>IF(SalesCleanTable[[#This Row],[Discount %]] &gt; SalesCleanTable[[#This Row],[Max Allowed Discount]], "Discount loss", "Safe")</f>
        <v>Safe</v>
      </c>
      <c r="AD393" s="4">
        <f>SalesCleanTable[[#This Row],[Unit Price]] - SalesCleanTable[[#This Row],[Unit Cost]]</f>
        <v>6000</v>
      </c>
      <c r="AE393" s="41">
        <f>(SalesCleanTable[[#This Row],[Unit Price]] - SalesCleanTable[[#This Row],[Unit Cost]]) / SalesCleanTable[[#This Row],[Unit Price]]</f>
        <v>0.32432432432432434</v>
      </c>
    </row>
    <row r="394" spans="1:31">
      <c r="A394" t="s">
        <v>580</v>
      </c>
      <c r="B394" s="6">
        <v>45682</v>
      </c>
      <c r="C394" t="s">
        <v>62</v>
      </c>
      <c r="D394" t="s">
        <v>63</v>
      </c>
      <c r="E394" t="s">
        <v>59</v>
      </c>
      <c r="F394" t="s">
        <v>64</v>
      </c>
      <c r="G394" t="s">
        <v>65</v>
      </c>
      <c r="H394" t="s">
        <v>135</v>
      </c>
      <c r="I394" t="s">
        <v>136</v>
      </c>
      <c r="J394" t="s">
        <v>137</v>
      </c>
      <c r="K394" t="s">
        <v>138</v>
      </c>
      <c r="L394" t="s">
        <v>183</v>
      </c>
      <c r="M394" t="s">
        <v>171</v>
      </c>
      <c r="N394">
        <v>3</v>
      </c>
      <c r="O394" s="4">
        <v>3200</v>
      </c>
      <c r="P394" s="4">
        <v>4500</v>
      </c>
      <c r="Q394" s="7">
        <v>0.2</v>
      </c>
      <c r="R394" t="s">
        <v>173</v>
      </c>
      <c r="S394">
        <v>10</v>
      </c>
      <c r="T394">
        <v>13500</v>
      </c>
      <c r="U394">
        <v>2700</v>
      </c>
      <c r="V394">
        <v>10800</v>
      </c>
      <c r="W394">
        <v>9600</v>
      </c>
      <c r="X394">
        <v>1200</v>
      </c>
      <c r="Y394" s="8">
        <v>0.1111111111111111</v>
      </c>
      <c r="Z394" t="s">
        <v>2996</v>
      </c>
      <c r="AA394" t="str">
        <f>IF(AND(SalesCleanTable[[#This Row],[Discount %]]&gt;0, SalesCleanTable[[#This Row],[Profit]]&lt;0), "Discount loss", "Safe")</f>
        <v>Safe</v>
      </c>
      <c r="AB394" s="25">
        <f>(SalesCleanTable[[#This Row],[Unit Price]] - SalesCleanTable[[#This Row],[Unit Cost]]) / SalesCleanTable[[#This Row],[Unit Price]]</f>
        <v>0.28888888888888886</v>
      </c>
      <c r="AC394" t="str">
        <f>IF(SalesCleanTable[[#This Row],[Discount %]] &gt; SalesCleanTable[[#This Row],[Max Allowed Discount]], "Discount loss", "Safe")</f>
        <v>Safe</v>
      </c>
      <c r="AD394" s="4">
        <f>SalesCleanTable[[#This Row],[Unit Price]] - SalesCleanTable[[#This Row],[Unit Cost]]</f>
        <v>1300</v>
      </c>
      <c r="AE394" s="41">
        <f>(SalesCleanTable[[#This Row],[Unit Price]] - SalesCleanTable[[#This Row],[Unit Cost]]) / SalesCleanTable[[#This Row],[Unit Price]]</f>
        <v>0.28888888888888886</v>
      </c>
    </row>
    <row r="395" spans="1:31">
      <c r="A395" t="s">
        <v>581</v>
      </c>
      <c r="B395" s="6">
        <v>45723</v>
      </c>
      <c r="C395" t="s">
        <v>32</v>
      </c>
      <c r="D395" t="s">
        <v>33</v>
      </c>
      <c r="E395" t="s">
        <v>26</v>
      </c>
      <c r="F395" t="s">
        <v>34</v>
      </c>
      <c r="G395" t="s">
        <v>35</v>
      </c>
      <c r="H395" t="s">
        <v>141</v>
      </c>
      <c r="I395" t="s">
        <v>142</v>
      </c>
      <c r="J395" t="s">
        <v>143</v>
      </c>
      <c r="K395" t="s">
        <v>144</v>
      </c>
      <c r="L395" t="s">
        <v>183</v>
      </c>
      <c r="M395" t="s">
        <v>186</v>
      </c>
      <c r="N395">
        <v>3</v>
      </c>
      <c r="O395" s="4">
        <v>7800</v>
      </c>
      <c r="P395" s="4">
        <v>9800</v>
      </c>
      <c r="Q395" s="7">
        <v>0.05</v>
      </c>
      <c r="R395" t="s">
        <v>173</v>
      </c>
      <c r="S395">
        <v>12</v>
      </c>
      <c r="T395">
        <v>29400</v>
      </c>
      <c r="U395">
        <v>1470</v>
      </c>
      <c r="V395">
        <v>27930</v>
      </c>
      <c r="W395">
        <v>23400</v>
      </c>
      <c r="X395">
        <v>4530</v>
      </c>
      <c r="Y395" s="8">
        <v>0.16219119226638024</v>
      </c>
      <c r="Z395" t="s">
        <v>2995</v>
      </c>
      <c r="AA395" t="str">
        <f>IF(AND(SalesCleanTable[[#This Row],[Discount %]]&gt;0, SalesCleanTable[[#This Row],[Profit]]&lt;0), "Discount loss", "Safe")</f>
        <v>Safe</v>
      </c>
      <c r="AB395" s="25">
        <f>(SalesCleanTable[[#This Row],[Unit Price]] - SalesCleanTable[[#This Row],[Unit Cost]]) / SalesCleanTable[[#This Row],[Unit Price]]</f>
        <v>0.20408163265306123</v>
      </c>
      <c r="AC395" t="str">
        <f>IF(SalesCleanTable[[#This Row],[Discount %]] &gt; SalesCleanTable[[#This Row],[Max Allowed Discount]], "Discount loss", "Safe")</f>
        <v>Safe</v>
      </c>
      <c r="AD395" s="4">
        <f>SalesCleanTable[[#This Row],[Unit Price]] - SalesCleanTable[[#This Row],[Unit Cost]]</f>
        <v>2000</v>
      </c>
      <c r="AE395" s="41">
        <f>(SalesCleanTable[[#This Row],[Unit Price]] - SalesCleanTable[[#This Row],[Unit Cost]]) / SalesCleanTable[[#This Row],[Unit Price]]</f>
        <v>0.20408163265306123</v>
      </c>
    </row>
    <row r="396" spans="1:31">
      <c r="A396" t="s">
        <v>582</v>
      </c>
      <c r="B396" s="6">
        <v>45798</v>
      </c>
      <c r="C396" t="s">
        <v>49</v>
      </c>
      <c r="D396" t="s">
        <v>50</v>
      </c>
      <c r="E396" t="s">
        <v>38</v>
      </c>
      <c r="F396" t="s">
        <v>51</v>
      </c>
      <c r="G396" t="s">
        <v>52</v>
      </c>
      <c r="H396" t="s">
        <v>135</v>
      </c>
      <c r="I396" t="s">
        <v>136</v>
      </c>
      <c r="J396" t="s">
        <v>137</v>
      </c>
      <c r="K396" t="s">
        <v>138</v>
      </c>
      <c r="L396" t="s">
        <v>166</v>
      </c>
      <c r="M396" t="s">
        <v>171</v>
      </c>
      <c r="N396">
        <v>2</v>
      </c>
      <c r="O396" s="4">
        <v>550</v>
      </c>
      <c r="P396" s="4">
        <v>850</v>
      </c>
      <c r="Q396" s="7">
        <v>0.15</v>
      </c>
      <c r="R396" t="s">
        <v>168</v>
      </c>
      <c r="S396">
        <v>9</v>
      </c>
      <c r="T396">
        <v>1700</v>
      </c>
      <c r="U396">
        <v>255</v>
      </c>
      <c r="V396">
        <v>1445</v>
      </c>
      <c r="W396">
        <v>1100</v>
      </c>
      <c r="X396">
        <v>345</v>
      </c>
      <c r="Y396" s="8">
        <v>0.23875432525951557</v>
      </c>
      <c r="Z396" t="s">
        <v>2996</v>
      </c>
      <c r="AA396" t="str">
        <f>IF(AND(SalesCleanTable[[#This Row],[Discount %]]&gt;0, SalesCleanTable[[#This Row],[Profit]]&lt;0), "Discount loss", "Safe")</f>
        <v>Safe</v>
      </c>
      <c r="AB396" s="25">
        <f>(SalesCleanTable[[#This Row],[Unit Price]] - SalesCleanTable[[#This Row],[Unit Cost]]) / SalesCleanTable[[#This Row],[Unit Price]]</f>
        <v>0.35294117647058826</v>
      </c>
      <c r="AC396" t="str">
        <f>IF(SalesCleanTable[[#This Row],[Discount %]] &gt; SalesCleanTable[[#This Row],[Max Allowed Discount]], "Discount loss", "Safe")</f>
        <v>Safe</v>
      </c>
      <c r="AD396" s="4">
        <f>SalesCleanTable[[#This Row],[Unit Price]] - SalesCleanTable[[#This Row],[Unit Cost]]</f>
        <v>300</v>
      </c>
      <c r="AE396" s="41">
        <f>(SalesCleanTable[[#This Row],[Unit Price]] - SalesCleanTable[[#This Row],[Unit Cost]]) / SalesCleanTable[[#This Row],[Unit Price]]</f>
        <v>0.35294117647058826</v>
      </c>
    </row>
    <row r="397" spans="1:31">
      <c r="A397" t="s">
        <v>583</v>
      </c>
      <c r="B397" s="6">
        <v>46017</v>
      </c>
      <c r="C397" t="s">
        <v>62</v>
      </c>
      <c r="D397" t="s">
        <v>63</v>
      </c>
      <c r="E397" t="s">
        <v>59</v>
      </c>
      <c r="F397" t="s">
        <v>64</v>
      </c>
      <c r="G397" t="s">
        <v>65</v>
      </c>
      <c r="H397" t="s">
        <v>135</v>
      </c>
      <c r="I397" t="s">
        <v>136</v>
      </c>
      <c r="J397" t="s">
        <v>137</v>
      </c>
      <c r="K397" t="s">
        <v>138</v>
      </c>
      <c r="L397" t="s">
        <v>166</v>
      </c>
      <c r="M397" t="s">
        <v>167</v>
      </c>
      <c r="N397">
        <v>4</v>
      </c>
      <c r="O397" s="4">
        <v>3200</v>
      </c>
      <c r="P397" s="4">
        <v>4500</v>
      </c>
      <c r="Q397" s="7">
        <v>0.1</v>
      </c>
      <c r="R397" t="s">
        <v>173</v>
      </c>
      <c r="S397">
        <v>5</v>
      </c>
      <c r="T397">
        <v>18000</v>
      </c>
      <c r="U397">
        <v>1800</v>
      </c>
      <c r="V397">
        <v>16200</v>
      </c>
      <c r="W397">
        <v>12800</v>
      </c>
      <c r="X397">
        <v>3400</v>
      </c>
      <c r="Y397" s="8">
        <v>0.20987654320987653</v>
      </c>
      <c r="Z397" t="s">
        <v>2996</v>
      </c>
      <c r="AA397" t="str">
        <f>IF(AND(SalesCleanTable[[#This Row],[Discount %]]&gt;0, SalesCleanTable[[#This Row],[Profit]]&lt;0), "Discount loss", "Safe")</f>
        <v>Safe</v>
      </c>
      <c r="AB397" s="25">
        <f>(SalesCleanTable[[#This Row],[Unit Price]] - SalesCleanTable[[#This Row],[Unit Cost]]) / SalesCleanTable[[#This Row],[Unit Price]]</f>
        <v>0.28888888888888886</v>
      </c>
      <c r="AC397" t="str">
        <f>IF(SalesCleanTable[[#This Row],[Discount %]] &gt; SalesCleanTable[[#This Row],[Max Allowed Discount]], "Discount loss", "Safe")</f>
        <v>Safe</v>
      </c>
      <c r="AD397" s="4">
        <f>SalesCleanTable[[#This Row],[Unit Price]] - SalesCleanTable[[#This Row],[Unit Cost]]</f>
        <v>1300</v>
      </c>
      <c r="AE397" s="41">
        <f>(SalesCleanTable[[#This Row],[Unit Price]] - SalesCleanTable[[#This Row],[Unit Cost]]) / SalesCleanTable[[#This Row],[Unit Price]]</f>
        <v>0.28888888888888886</v>
      </c>
    </row>
    <row r="398" spans="1:31">
      <c r="A398" t="s">
        <v>584</v>
      </c>
      <c r="B398" s="6">
        <v>46002</v>
      </c>
      <c r="C398" t="s">
        <v>32</v>
      </c>
      <c r="D398" t="s">
        <v>33</v>
      </c>
      <c r="E398" t="s">
        <v>26</v>
      </c>
      <c r="F398" t="s">
        <v>34</v>
      </c>
      <c r="G398" t="s">
        <v>35</v>
      </c>
      <c r="H398" t="s">
        <v>145</v>
      </c>
      <c r="I398" t="s">
        <v>146</v>
      </c>
      <c r="J398" t="s">
        <v>147</v>
      </c>
      <c r="K398" t="s">
        <v>148</v>
      </c>
      <c r="L398" t="s">
        <v>166</v>
      </c>
      <c r="M398" t="s">
        <v>171</v>
      </c>
      <c r="N398">
        <v>10</v>
      </c>
      <c r="O398" s="4">
        <v>7800</v>
      </c>
      <c r="P398" s="4">
        <v>9800</v>
      </c>
      <c r="Q398" s="7">
        <v>0</v>
      </c>
      <c r="R398" t="s">
        <v>173</v>
      </c>
      <c r="S398">
        <v>2</v>
      </c>
      <c r="T398">
        <v>98000</v>
      </c>
      <c r="U398">
        <v>0</v>
      </c>
      <c r="V398">
        <v>98000</v>
      </c>
      <c r="W398">
        <v>78000</v>
      </c>
      <c r="X398">
        <v>20000</v>
      </c>
      <c r="Y398" s="8">
        <v>0.20408163265306123</v>
      </c>
      <c r="Z398" t="s">
        <v>2995</v>
      </c>
      <c r="AA398" t="str">
        <f>IF(AND(SalesCleanTable[[#This Row],[Discount %]]&gt;0, SalesCleanTable[[#This Row],[Profit]]&lt;0), "Discount loss", "Safe")</f>
        <v>Safe</v>
      </c>
      <c r="AB398" s="25">
        <f>(SalesCleanTable[[#This Row],[Unit Price]] - SalesCleanTable[[#This Row],[Unit Cost]]) / SalesCleanTable[[#This Row],[Unit Price]]</f>
        <v>0.20408163265306123</v>
      </c>
      <c r="AC398" t="str">
        <f>IF(SalesCleanTable[[#This Row],[Discount %]] &gt; SalesCleanTable[[#This Row],[Max Allowed Discount]], "Discount loss", "Safe")</f>
        <v>Safe</v>
      </c>
      <c r="AD398" s="4">
        <f>SalesCleanTable[[#This Row],[Unit Price]] - SalesCleanTable[[#This Row],[Unit Cost]]</f>
        <v>2000</v>
      </c>
      <c r="AE398" s="41">
        <f>(SalesCleanTable[[#This Row],[Unit Price]] - SalesCleanTable[[#This Row],[Unit Cost]]) / SalesCleanTable[[#This Row],[Unit Price]]</f>
        <v>0.20408163265306123</v>
      </c>
    </row>
    <row r="399" spans="1:31">
      <c r="A399" t="s">
        <v>585</v>
      </c>
      <c r="B399" s="6">
        <v>45945</v>
      </c>
      <c r="C399" t="s">
        <v>53</v>
      </c>
      <c r="D399" t="s">
        <v>54</v>
      </c>
      <c r="E399" t="s">
        <v>38</v>
      </c>
      <c r="F399" t="s">
        <v>55</v>
      </c>
      <c r="G399" t="s">
        <v>56</v>
      </c>
      <c r="H399" t="s">
        <v>139</v>
      </c>
      <c r="I399" t="s">
        <v>140</v>
      </c>
      <c r="J399" t="s">
        <v>137</v>
      </c>
      <c r="K399" t="s">
        <v>138</v>
      </c>
      <c r="L399" t="s">
        <v>183</v>
      </c>
      <c r="M399" t="s">
        <v>171</v>
      </c>
      <c r="N399">
        <v>4</v>
      </c>
      <c r="O399" s="4">
        <v>330</v>
      </c>
      <c r="P399" s="4">
        <v>550</v>
      </c>
      <c r="Q399" s="7">
        <v>0.05</v>
      </c>
      <c r="R399" t="s">
        <v>175</v>
      </c>
      <c r="S399">
        <v>14</v>
      </c>
      <c r="T399">
        <v>2200</v>
      </c>
      <c r="U399">
        <v>110</v>
      </c>
      <c r="V399">
        <v>2090</v>
      </c>
      <c r="W399">
        <v>1320</v>
      </c>
      <c r="X399">
        <v>770</v>
      </c>
      <c r="Y399" s="8">
        <v>0.36842105263157893</v>
      </c>
      <c r="Z399" t="s">
        <v>2996</v>
      </c>
      <c r="AA399" t="str">
        <f>IF(AND(SalesCleanTable[[#This Row],[Discount %]]&gt;0, SalesCleanTable[[#This Row],[Profit]]&lt;0), "Discount loss", "Safe")</f>
        <v>Safe</v>
      </c>
      <c r="AB399" s="25">
        <f>(SalesCleanTable[[#This Row],[Unit Price]] - SalesCleanTable[[#This Row],[Unit Cost]]) / SalesCleanTable[[#This Row],[Unit Price]]</f>
        <v>0.4</v>
      </c>
      <c r="AC399" t="str">
        <f>IF(SalesCleanTable[[#This Row],[Discount %]] &gt; SalesCleanTable[[#This Row],[Max Allowed Discount]], "Discount loss", "Safe")</f>
        <v>Safe</v>
      </c>
      <c r="AD399" s="4">
        <f>SalesCleanTable[[#This Row],[Unit Price]] - SalesCleanTable[[#This Row],[Unit Cost]]</f>
        <v>220</v>
      </c>
      <c r="AE399" s="41">
        <f>(SalesCleanTable[[#This Row],[Unit Price]] - SalesCleanTable[[#This Row],[Unit Cost]]) / SalesCleanTable[[#This Row],[Unit Price]]</f>
        <v>0.4</v>
      </c>
    </row>
    <row r="400" spans="1:31">
      <c r="A400" t="s">
        <v>586</v>
      </c>
      <c r="B400" s="6">
        <v>45664</v>
      </c>
      <c r="C400" t="s">
        <v>57</v>
      </c>
      <c r="D400" t="s">
        <v>58</v>
      </c>
      <c r="E400" t="s">
        <v>59</v>
      </c>
      <c r="F400" t="s">
        <v>60</v>
      </c>
      <c r="G400" t="s">
        <v>61</v>
      </c>
      <c r="H400" t="s">
        <v>128</v>
      </c>
      <c r="I400" t="s">
        <v>129</v>
      </c>
      <c r="J400" t="s">
        <v>130</v>
      </c>
      <c r="K400" t="s">
        <v>131</v>
      </c>
      <c r="L400" t="s">
        <v>166</v>
      </c>
      <c r="M400" t="s">
        <v>171</v>
      </c>
      <c r="N400">
        <v>1</v>
      </c>
      <c r="O400" s="4">
        <v>2400</v>
      </c>
      <c r="P400" s="4">
        <v>3400</v>
      </c>
      <c r="Q400" s="7">
        <v>0.1</v>
      </c>
      <c r="R400" t="s">
        <v>192</v>
      </c>
      <c r="S400">
        <v>5</v>
      </c>
      <c r="T400">
        <v>3400</v>
      </c>
      <c r="U400">
        <v>340</v>
      </c>
      <c r="V400">
        <v>3060</v>
      </c>
      <c r="W400">
        <v>2400</v>
      </c>
      <c r="X400">
        <v>660</v>
      </c>
      <c r="Y400" s="8">
        <v>0.21568627450980393</v>
      </c>
      <c r="Z400" t="s">
        <v>2996</v>
      </c>
      <c r="AA400" t="str">
        <f>IF(AND(SalesCleanTable[[#This Row],[Discount %]]&gt;0, SalesCleanTable[[#This Row],[Profit]]&lt;0), "Discount loss", "Safe")</f>
        <v>Safe</v>
      </c>
      <c r="AB400" s="25">
        <f>(SalesCleanTable[[#This Row],[Unit Price]] - SalesCleanTable[[#This Row],[Unit Cost]]) / SalesCleanTable[[#This Row],[Unit Price]]</f>
        <v>0.29411764705882354</v>
      </c>
      <c r="AC400" t="str">
        <f>IF(SalesCleanTable[[#This Row],[Discount %]] &gt; SalesCleanTable[[#This Row],[Max Allowed Discount]], "Discount loss", "Safe")</f>
        <v>Safe</v>
      </c>
      <c r="AD400" s="4">
        <f>SalesCleanTable[[#This Row],[Unit Price]] - SalesCleanTable[[#This Row],[Unit Cost]]</f>
        <v>1000</v>
      </c>
      <c r="AE400" s="41">
        <f>(SalesCleanTable[[#This Row],[Unit Price]] - SalesCleanTable[[#This Row],[Unit Cost]]) / SalesCleanTable[[#This Row],[Unit Price]]</f>
        <v>0.29411764705882354</v>
      </c>
    </row>
    <row r="401" spans="1:31">
      <c r="A401" t="s">
        <v>587</v>
      </c>
      <c r="B401" s="6">
        <v>45732</v>
      </c>
      <c r="C401" t="s">
        <v>99</v>
      </c>
      <c r="D401" t="s">
        <v>100</v>
      </c>
      <c r="E401" t="s">
        <v>92</v>
      </c>
      <c r="F401" t="s">
        <v>101</v>
      </c>
      <c r="G401" t="s">
        <v>102</v>
      </c>
      <c r="H401" t="s">
        <v>141</v>
      </c>
      <c r="I401" t="s">
        <v>142</v>
      </c>
      <c r="J401" t="s">
        <v>143</v>
      </c>
      <c r="K401" t="s">
        <v>144</v>
      </c>
      <c r="L401" t="s">
        <v>166</v>
      </c>
      <c r="M401" t="s">
        <v>171</v>
      </c>
      <c r="N401">
        <v>2</v>
      </c>
      <c r="O401" s="4">
        <v>12500</v>
      </c>
      <c r="P401" s="4">
        <v>18500</v>
      </c>
      <c r="Q401" s="7">
        <v>0.1</v>
      </c>
      <c r="R401" t="s">
        <v>181</v>
      </c>
      <c r="S401">
        <v>10</v>
      </c>
      <c r="T401">
        <v>37000</v>
      </c>
      <c r="U401">
        <v>3700</v>
      </c>
      <c r="V401">
        <v>33300</v>
      </c>
      <c r="W401">
        <v>25000</v>
      </c>
      <c r="X401">
        <v>8300</v>
      </c>
      <c r="Y401" s="8">
        <v>0.24924924924924924</v>
      </c>
      <c r="Z401" t="s">
        <v>2995</v>
      </c>
      <c r="AA401" t="str">
        <f>IF(AND(SalesCleanTable[[#This Row],[Discount %]]&gt;0, SalesCleanTable[[#This Row],[Profit]]&lt;0), "Discount loss", "Safe")</f>
        <v>Safe</v>
      </c>
      <c r="AB401" s="25">
        <f>(SalesCleanTable[[#This Row],[Unit Price]] - SalesCleanTable[[#This Row],[Unit Cost]]) / SalesCleanTable[[#This Row],[Unit Price]]</f>
        <v>0.32432432432432434</v>
      </c>
      <c r="AC401" t="str">
        <f>IF(SalesCleanTable[[#This Row],[Discount %]] &gt; SalesCleanTable[[#This Row],[Max Allowed Discount]], "Discount loss", "Safe")</f>
        <v>Safe</v>
      </c>
      <c r="AD401" s="4">
        <f>SalesCleanTable[[#This Row],[Unit Price]] - SalesCleanTable[[#This Row],[Unit Cost]]</f>
        <v>6000</v>
      </c>
      <c r="AE401" s="41">
        <f>(SalesCleanTable[[#This Row],[Unit Price]] - SalesCleanTable[[#This Row],[Unit Cost]]) / SalesCleanTable[[#This Row],[Unit Price]]</f>
        <v>0.32432432432432434</v>
      </c>
    </row>
    <row r="402" spans="1:31">
      <c r="A402" t="s">
        <v>588</v>
      </c>
      <c r="B402" s="6">
        <v>45945</v>
      </c>
      <c r="C402" t="s">
        <v>103</v>
      </c>
      <c r="D402" t="s">
        <v>104</v>
      </c>
      <c r="E402" t="s">
        <v>92</v>
      </c>
      <c r="F402" t="s">
        <v>105</v>
      </c>
      <c r="G402" t="s">
        <v>106</v>
      </c>
      <c r="H402" t="s">
        <v>145</v>
      </c>
      <c r="I402" t="s">
        <v>146</v>
      </c>
      <c r="J402" t="s">
        <v>147</v>
      </c>
      <c r="K402" t="s">
        <v>148</v>
      </c>
      <c r="L402" t="s">
        <v>183</v>
      </c>
      <c r="M402" t="s">
        <v>171</v>
      </c>
      <c r="N402">
        <v>3</v>
      </c>
      <c r="O402" s="4">
        <v>1500</v>
      </c>
      <c r="P402" s="4">
        <v>2500</v>
      </c>
      <c r="Q402" s="7">
        <v>0</v>
      </c>
      <c r="R402" t="s">
        <v>217</v>
      </c>
      <c r="S402">
        <v>12</v>
      </c>
      <c r="T402">
        <v>7500</v>
      </c>
      <c r="U402">
        <v>0</v>
      </c>
      <c r="V402">
        <v>7500</v>
      </c>
      <c r="W402">
        <v>4500</v>
      </c>
      <c r="X402">
        <v>3000</v>
      </c>
      <c r="Y402" s="8">
        <v>0.4</v>
      </c>
      <c r="Z402" t="s">
        <v>2996</v>
      </c>
      <c r="AA402" t="str">
        <f>IF(AND(SalesCleanTable[[#This Row],[Discount %]]&gt;0, SalesCleanTable[[#This Row],[Profit]]&lt;0), "Discount loss", "Safe")</f>
        <v>Safe</v>
      </c>
      <c r="AB402" s="25">
        <f>(SalesCleanTable[[#This Row],[Unit Price]] - SalesCleanTable[[#This Row],[Unit Cost]]) / SalesCleanTable[[#This Row],[Unit Price]]</f>
        <v>0.4</v>
      </c>
      <c r="AC402" t="str">
        <f>IF(SalesCleanTable[[#This Row],[Discount %]] &gt; SalesCleanTable[[#This Row],[Max Allowed Discount]], "Discount loss", "Safe")</f>
        <v>Safe</v>
      </c>
      <c r="AD402" s="4">
        <f>SalesCleanTable[[#This Row],[Unit Price]] - SalesCleanTable[[#This Row],[Unit Cost]]</f>
        <v>1000</v>
      </c>
      <c r="AE402" s="41">
        <f>(SalesCleanTable[[#This Row],[Unit Price]] - SalesCleanTable[[#This Row],[Unit Cost]]) / SalesCleanTable[[#This Row],[Unit Price]]</f>
        <v>0.4</v>
      </c>
    </row>
    <row r="403" spans="1:31">
      <c r="A403" t="s">
        <v>589</v>
      </c>
      <c r="B403" s="6">
        <v>45853</v>
      </c>
      <c r="C403" t="s">
        <v>49</v>
      </c>
      <c r="D403" t="s">
        <v>50</v>
      </c>
      <c r="E403" t="s">
        <v>38</v>
      </c>
      <c r="F403" t="s">
        <v>51</v>
      </c>
      <c r="G403" t="s">
        <v>52</v>
      </c>
      <c r="H403" t="s">
        <v>153</v>
      </c>
      <c r="I403" t="s">
        <v>154</v>
      </c>
      <c r="J403" t="s">
        <v>155</v>
      </c>
      <c r="K403" t="s">
        <v>131</v>
      </c>
      <c r="L403" t="s">
        <v>166</v>
      </c>
      <c r="M403" t="s">
        <v>177</v>
      </c>
      <c r="N403">
        <v>10</v>
      </c>
      <c r="O403" s="4">
        <v>550</v>
      </c>
      <c r="P403" s="4">
        <v>850</v>
      </c>
      <c r="Q403" s="7">
        <v>0.05</v>
      </c>
      <c r="R403" t="s">
        <v>175</v>
      </c>
      <c r="S403">
        <v>4</v>
      </c>
      <c r="T403">
        <v>8500</v>
      </c>
      <c r="U403">
        <v>425</v>
      </c>
      <c r="V403">
        <v>8075</v>
      </c>
      <c r="W403">
        <v>5500</v>
      </c>
      <c r="X403">
        <v>2575</v>
      </c>
      <c r="Y403" s="8">
        <v>0.31888544891640869</v>
      </c>
      <c r="Z403" t="s">
        <v>2996</v>
      </c>
      <c r="AA403" t="str">
        <f>IF(AND(SalesCleanTable[[#This Row],[Discount %]]&gt;0, SalesCleanTable[[#This Row],[Profit]]&lt;0), "Discount loss", "Safe")</f>
        <v>Safe</v>
      </c>
      <c r="AB403" s="25">
        <f>(SalesCleanTable[[#This Row],[Unit Price]] - SalesCleanTable[[#This Row],[Unit Cost]]) / SalesCleanTable[[#This Row],[Unit Price]]</f>
        <v>0.35294117647058826</v>
      </c>
      <c r="AC403" t="str">
        <f>IF(SalesCleanTable[[#This Row],[Discount %]] &gt; SalesCleanTable[[#This Row],[Max Allowed Discount]], "Discount loss", "Safe")</f>
        <v>Safe</v>
      </c>
      <c r="AD403" s="4">
        <f>SalesCleanTable[[#This Row],[Unit Price]] - SalesCleanTable[[#This Row],[Unit Cost]]</f>
        <v>300</v>
      </c>
      <c r="AE403" s="41">
        <f>(SalesCleanTable[[#This Row],[Unit Price]] - SalesCleanTable[[#This Row],[Unit Cost]]) / SalesCleanTable[[#This Row],[Unit Price]]</f>
        <v>0.35294117647058826</v>
      </c>
    </row>
    <row r="404" spans="1:31">
      <c r="A404" t="s">
        <v>590</v>
      </c>
      <c r="B404" s="6">
        <v>45884</v>
      </c>
      <c r="C404" t="s">
        <v>99</v>
      </c>
      <c r="D404" t="s">
        <v>100</v>
      </c>
      <c r="E404" t="s">
        <v>92</v>
      </c>
      <c r="F404" t="s">
        <v>101</v>
      </c>
      <c r="G404" t="s">
        <v>102</v>
      </c>
      <c r="H404" t="s">
        <v>149</v>
      </c>
      <c r="I404" t="s">
        <v>150</v>
      </c>
      <c r="J404" t="s">
        <v>151</v>
      </c>
      <c r="K404" t="s">
        <v>152</v>
      </c>
      <c r="L404" t="s">
        <v>183</v>
      </c>
      <c r="M404" t="s">
        <v>171</v>
      </c>
      <c r="N404">
        <v>4</v>
      </c>
      <c r="O404" s="4">
        <v>12500</v>
      </c>
      <c r="P404" s="4">
        <v>18500</v>
      </c>
      <c r="Q404" s="7">
        <v>0.1</v>
      </c>
      <c r="R404" t="s">
        <v>215</v>
      </c>
      <c r="S404">
        <v>4</v>
      </c>
      <c r="T404">
        <v>74000</v>
      </c>
      <c r="U404">
        <v>7400</v>
      </c>
      <c r="V404">
        <v>66600</v>
      </c>
      <c r="W404">
        <v>50000</v>
      </c>
      <c r="X404">
        <v>16600</v>
      </c>
      <c r="Y404" s="8">
        <v>0.24924924924924924</v>
      </c>
      <c r="Z404" t="s">
        <v>2995</v>
      </c>
      <c r="AA404" t="str">
        <f>IF(AND(SalesCleanTable[[#This Row],[Discount %]]&gt;0, SalesCleanTable[[#This Row],[Profit]]&lt;0), "Discount loss", "Safe")</f>
        <v>Safe</v>
      </c>
      <c r="AB404" s="25">
        <f>(SalesCleanTable[[#This Row],[Unit Price]] - SalesCleanTable[[#This Row],[Unit Cost]]) / SalesCleanTable[[#This Row],[Unit Price]]</f>
        <v>0.32432432432432434</v>
      </c>
      <c r="AC404" t="str">
        <f>IF(SalesCleanTable[[#This Row],[Discount %]] &gt; SalesCleanTable[[#This Row],[Max Allowed Discount]], "Discount loss", "Safe")</f>
        <v>Safe</v>
      </c>
      <c r="AD404" s="4">
        <f>SalesCleanTable[[#This Row],[Unit Price]] - SalesCleanTable[[#This Row],[Unit Cost]]</f>
        <v>6000</v>
      </c>
      <c r="AE404" s="41">
        <f>(SalesCleanTable[[#This Row],[Unit Price]] - SalesCleanTable[[#This Row],[Unit Cost]]) / SalesCleanTable[[#This Row],[Unit Price]]</f>
        <v>0.32432432432432434</v>
      </c>
    </row>
    <row r="405" spans="1:31">
      <c r="A405" t="s">
        <v>591</v>
      </c>
      <c r="B405" s="6">
        <v>45757</v>
      </c>
      <c r="C405" t="s">
        <v>45</v>
      </c>
      <c r="D405" t="s">
        <v>46</v>
      </c>
      <c r="E405" t="s">
        <v>38</v>
      </c>
      <c r="F405" t="s">
        <v>47</v>
      </c>
      <c r="G405" t="s">
        <v>48</v>
      </c>
      <c r="H405" t="s">
        <v>133</v>
      </c>
      <c r="I405" t="s">
        <v>134</v>
      </c>
      <c r="J405" t="s">
        <v>130</v>
      </c>
      <c r="K405" t="s">
        <v>131</v>
      </c>
      <c r="L405" t="s">
        <v>166</v>
      </c>
      <c r="M405" t="s">
        <v>186</v>
      </c>
      <c r="N405">
        <v>4</v>
      </c>
      <c r="O405" s="4">
        <v>230</v>
      </c>
      <c r="P405" s="4">
        <v>400</v>
      </c>
      <c r="Q405" s="7">
        <v>0</v>
      </c>
      <c r="R405" t="s">
        <v>175</v>
      </c>
      <c r="S405">
        <v>1</v>
      </c>
      <c r="T405">
        <v>1600</v>
      </c>
      <c r="U405">
        <v>0</v>
      </c>
      <c r="V405">
        <v>1600</v>
      </c>
      <c r="W405">
        <v>920</v>
      </c>
      <c r="X405">
        <v>680</v>
      </c>
      <c r="Y405" s="8">
        <v>0.42499999999999999</v>
      </c>
      <c r="Z405" t="s">
        <v>2995</v>
      </c>
      <c r="AA405" t="str">
        <f>IF(AND(SalesCleanTable[[#This Row],[Discount %]]&gt;0, SalesCleanTable[[#This Row],[Profit]]&lt;0), "Discount loss", "Safe")</f>
        <v>Safe</v>
      </c>
      <c r="AB405" s="25">
        <f>(SalesCleanTable[[#This Row],[Unit Price]] - SalesCleanTable[[#This Row],[Unit Cost]]) / SalesCleanTable[[#This Row],[Unit Price]]</f>
        <v>0.42499999999999999</v>
      </c>
      <c r="AC405" t="str">
        <f>IF(SalesCleanTable[[#This Row],[Discount %]] &gt; SalesCleanTable[[#This Row],[Max Allowed Discount]], "Discount loss", "Safe")</f>
        <v>Safe</v>
      </c>
      <c r="AD405" s="4">
        <f>SalesCleanTable[[#This Row],[Unit Price]] - SalesCleanTable[[#This Row],[Unit Cost]]</f>
        <v>170</v>
      </c>
      <c r="AE405" s="41">
        <f>(SalesCleanTable[[#This Row],[Unit Price]] - SalesCleanTable[[#This Row],[Unit Cost]]) / SalesCleanTable[[#This Row],[Unit Price]]</f>
        <v>0.42499999999999999</v>
      </c>
    </row>
    <row r="406" spans="1:31">
      <c r="A406" t="s">
        <v>592</v>
      </c>
      <c r="B406" s="6">
        <v>45942</v>
      </c>
      <c r="C406" t="s">
        <v>45</v>
      </c>
      <c r="D406" t="s">
        <v>46</v>
      </c>
      <c r="E406" t="s">
        <v>38</v>
      </c>
      <c r="F406" t="s">
        <v>47</v>
      </c>
      <c r="G406" t="s">
        <v>48</v>
      </c>
      <c r="H406" t="s">
        <v>133</v>
      </c>
      <c r="I406" t="s">
        <v>134</v>
      </c>
      <c r="J406" t="s">
        <v>130</v>
      </c>
      <c r="K406" t="s">
        <v>131</v>
      </c>
      <c r="L406" t="s">
        <v>166</v>
      </c>
      <c r="M406" t="s">
        <v>171</v>
      </c>
      <c r="N406">
        <v>5</v>
      </c>
      <c r="O406" s="4">
        <v>230</v>
      </c>
      <c r="P406" s="4">
        <v>400</v>
      </c>
      <c r="Q406" s="7">
        <v>0</v>
      </c>
      <c r="R406" t="s">
        <v>178</v>
      </c>
      <c r="S406">
        <v>3</v>
      </c>
      <c r="T406">
        <v>2000</v>
      </c>
      <c r="U406">
        <v>0</v>
      </c>
      <c r="V406">
        <v>2000</v>
      </c>
      <c r="W406">
        <v>1150</v>
      </c>
      <c r="X406">
        <v>850</v>
      </c>
      <c r="Y406" s="8">
        <v>0.42499999999999999</v>
      </c>
      <c r="Z406" t="s">
        <v>2995</v>
      </c>
      <c r="AA406" t="str">
        <f>IF(AND(SalesCleanTable[[#This Row],[Discount %]]&gt;0, SalesCleanTable[[#This Row],[Profit]]&lt;0), "Discount loss", "Safe")</f>
        <v>Safe</v>
      </c>
      <c r="AB406" s="25">
        <f>(SalesCleanTable[[#This Row],[Unit Price]] - SalesCleanTable[[#This Row],[Unit Cost]]) / SalesCleanTable[[#This Row],[Unit Price]]</f>
        <v>0.42499999999999999</v>
      </c>
      <c r="AC406" t="str">
        <f>IF(SalesCleanTable[[#This Row],[Discount %]] &gt; SalesCleanTable[[#This Row],[Max Allowed Discount]], "Discount loss", "Safe")</f>
        <v>Safe</v>
      </c>
      <c r="AD406" s="4">
        <f>SalesCleanTable[[#This Row],[Unit Price]] - SalesCleanTable[[#This Row],[Unit Cost]]</f>
        <v>170</v>
      </c>
      <c r="AE406" s="41">
        <f>(SalesCleanTable[[#This Row],[Unit Price]] - SalesCleanTable[[#This Row],[Unit Cost]]) / SalesCleanTable[[#This Row],[Unit Price]]</f>
        <v>0.42499999999999999</v>
      </c>
    </row>
    <row r="407" spans="1:31">
      <c r="A407" t="s">
        <v>593</v>
      </c>
      <c r="B407" s="6">
        <v>45963</v>
      </c>
      <c r="C407" t="s">
        <v>24</v>
      </c>
      <c r="D407" t="s">
        <v>25</v>
      </c>
      <c r="E407" t="s">
        <v>26</v>
      </c>
      <c r="F407" t="s">
        <v>27</v>
      </c>
      <c r="G407" t="s">
        <v>28</v>
      </c>
      <c r="H407" t="s">
        <v>153</v>
      </c>
      <c r="I407" t="s">
        <v>154</v>
      </c>
      <c r="J407" t="s">
        <v>155</v>
      </c>
      <c r="K407" t="s">
        <v>131</v>
      </c>
      <c r="L407" t="s">
        <v>166</v>
      </c>
      <c r="M407" t="s">
        <v>171</v>
      </c>
      <c r="N407">
        <v>3</v>
      </c>
      <c r="O407" s="4">
        <v>14500</v>
      </c>
      <c r="P407" s="4">
        <v>17500</v>
      </c>
      <c r="Q407" s="7">
        <v>0.1</v>
      </c>
      <c r="R407" t="s">
        <v>194</v>
      </c>
      <c r="S407">
        <v>2</v>
      </c>
      <c r="T407">
        <v>52500</v>
      </c>
      <c r="U407">
        <v>5250</v>
      </c>
      <c r="V407">
        <v>47250</v>
      </c>
      <c r="W407">
        <v>43500</v>
      </c>
      <c r="X407">
        <v>3750</v>
      </c>
      <c r="Y407" s="8">
        <v>7.9365079365079361E-2</v>
      </c>
      <c r="Z407" t="s">
        <v>2995</v>
      </c>
      <c r="AA407" t="str">
        <f>IF(AND(SalesCleanTable[[#This Row],[Discount %]]&gt;0, SalesCleanTable[[#This Row],[Profit]]&lt;0), "Discount loss", "Safe")</f>
        <v>Safe</v>
      </c>
      <c r="AB407" s="25">
        <f>(SalesCleanTable[[#This Row],[Unit Price]] - SalesCleanTable[[#This Row],[Unit Cost]]) / SalesCleanTable[[#This Row],[Unit Price]]</f>
        <v>0.17142857142857143</v>
      </c>
      <c r="AC407" t="str">
        <f>IF(SalesCleanTable[[#This Row],[Discount %]] &gt; SalesCleanTable[[#This Row],[Max Allowed Discount]], "Discount loss", "Safe")</f>
        <v>Safe</v>
      </c>
      <c r="AD407" s="4">
        <f>SalesCleanTable[[#This Row],[Unit Price]] - SalesCleanTable[[#This Row],[Unit Cost]]</f>
        <v>3000</v>
      </c>
      <c r="AE407" s="41">
        <f>(SalesCleanTable[[#This Row],[Unit Price]] - SalesCleanTable[[#This Row],[Unit Cost]]) / SalesCleanTable[[#This Row],[Unit Price]]</f>
        <v>0.17142857142857143</v>
      </c>
    </row>
    <row r="408" spans="1:31">
      <c r="A408" t="s">
        <v>594</v>
      </c>
      <c r="B408" s="6">
        <v>45820</v>
      </c>
      <c r="C408" t="s">
        <v>57</v>
      </c>
      <c r="D408" t="s">
        <v>58</v>
      </c>
      <c r="E408" t="s">
        <v>59</v>
      </c>
      <c r="F408" t="s">
        <v>60</v>
      </c>
      <c r="G408" t="s">
        <v>61</v>
      </c>
      <c r="H408" t="s">
        <v>153</v>
      </c>
      <c r="I408" t="s">
        <v>154</v>
      </c>
      <c r="J408" t="s">
        <v>155</v>
      </c>
      <c r="K408" t="s">
        <v>131</v>
      </c>
      <c r="L408" t="s">
        <v>166</v>
      </c>
      <c r="M408" t="s">
        <v>171</v>
      </c>
      <c r="N408">
        <v>3</v>
      </c>
      <c r="O408" s="4">
        <v>2400</v>
      </c>
      <c r="P408" s="4">
        <v>3400</v>
      </c>
      <c r="Q408" s="7">
        <v>0.15</v>
      </c>
      <c r="R408" t="s">
        <v>204</v>
      </c>
      <c r="S408">
        <v>2</v>
      </c>
      <c r="T408">
        <v>10200</v>
      </c>
      <c r="U408">
        <v>1530</v>
      </c>
      <c r="V408">
        <v>8670</v>
      </c>
      <c r="W408">
        <v>7200</v>
      </c>
      <c r="X408">
        <v>1470</v>
      </c>
      <c r="Y408" s="8">
        <v>0.16955017301038061</v>
      </c>
      <c r="Z408" t="s">
        <v>2996</v>
      </c>
      <c r="AA408" t="str">
        <f>IF(AND(SalesCleanTable[[#This Row],[Discount %]]&gt;0, SalesCleanTable[[#This Row],[Profit]]&lt;0), "Discount loss", "Safe")</f>
        <v>Safe</v>
      </c>
      <c r="AB408" s="25">
        <f>(SalesCleanTable[[#This Row],[Unit Price]] - SalesCleanTable[[#This Row],[Unit Cost]]) / SalesCleanTable[[#This Row],[Unit Price]]</f>
        <v>0.29411764705882354</v>
      </c>
      <c r="AC408" t="str">
        <f>IF(SalesCleanTable[[#This Row],[Discount %]] &gt; SalesCleanTable[[#This Row],[Max Allowed Discount]], "Discount loss", "Safe")</f>
        <v>Safe</v>
      </c>
      <c r="AD408" s="4">
        <f>SalesCleanTable[[#This Row],[Unit Price]] - SalesCleanTable[[#This Row],[Unit Cost]]</f>
        <v>1000</v>
      </c>
      <c r="AE408" s="41">
        <f>(SalesCleanTable[[#This Row],[Unit Price]] - SalesCleanTable[[#This Row],[Unit Cost]]) / SalesCleanTable[[#This Row],[Unit Price]]</f>
        <v>0.29411764705882354</v>
      </c>
    </row>
    <row r="409" spans="1:31">
      <c r="A409" t="s">
        <v>595</v>
      </c>
      <c r="B409" s="6">
        <v>45767</v>
      </c>
      <c r="C409" t="s">
        <v>78</v>
      </c>
      <c r="D409" t="s">
        <v>79</v>
      </c>
      <c r="E409" t="s">
        <v>75</v>
      </c>
      <c r="F409" t="s">
        <v>80</v>
      </c>
      <c r="G409" t="s">
        <v>81</v>
      </c>
      <c r="H409" t="s">
        <v>135</v>
      </c>
      <c r="I409" t="s">
        <v>136</v>
      </c>
      <c r="J409" t="s">
        <v>137</v>
      </c>
      <c r="K409" t="s">
        <v>138</v>
      </c>
      <c r="L409" t="s">
        <v>183</v>
      </c>
      <c r="M409" t="s">
        <v>186</v>
      </c>
      <c r="N409">
        <v>2</v>
      </c>
      <c r="O409" s="4">
        <v>1200</v>
      </c>
      <c r="P409" s="4">
        <v>1900</v>
      </c>
      <c r="Q409" s="7">
        <v>0.2</v>
      </c>
      <c r="R409" t="s">
        <v>204</v>
      </c>
      <c r="S409">
        <v>14</v>
      </c>
      <c r="T409">
        <v>3800</v>
      </c>
      <c r="U409">
        <v>760</v>
      </c>
      <c r="V409">
        <v>3040</v>
      </c>
      <c r="W409">
        <v>2400</v>
      </c>
      <c r="X409">
        <v>640</v>
      </c>
      <c r="Y409" s="8">
        <v>0.21052631578947367</v>
      </c>
      <c r="Z409" t="s">
        <v>2996</v>
      </c>
      <c r="AA409" t="str">
        <f>IF(AND(SalesCleanTable[[#This Row],[Discount %]]&gt;0, SalesCleanTable[[#This Row],[Profit]]&lt;0), "Discount loss", "Safe")</f>
        <v>Safe</v>
      </c>
      <c r="AB409" s="25">
        <f>(SalesCleanTable[[#This Row],[Unit Price]] - SalesCleanTable[[#This Row],[Unit Cost]]) / SalesCleanTable[[#This Row],[Unit Price]]</f>
        <v>0.36842105263157893</v>
      </c>
      <c r="AC409" t="str">
        <f>IF(SalesCleanTable[[#This Row],[Discount %]] &gt; SalesCleanTable[[#This Row],[Max Allowed Discount]], "Discount loss", "Safe")</f>
        <v>Safe</v>
      </c>
      <c r="AD409" s="4">
        <f>SalesCleanTable[[#This Row],[Unit Price]] - SalesCleanTable[[#This Row],[Unit Cost]]</f>
        <v>700</v>
      </c>
      <c r="AE409" s="41">
        <f>(SalesCleanTable[[#This Row],[Unit Price]] - SalesCleanTable[[#This Row],[Unit Cost]]) / SalesCleanTable[[#This Row],[Unit Price]]</f>
        <v>0.36842105263157893</v>
      </c>
    </row>
    <row r="410" spans="1:31">
      <c r="A410" t="s">
        <v>596</v>
      </c>
      <c r="B410" s="6">
        <v>45990</v>
      </c>
      <c r="C410" t="s">
        <v>24</v>
      </c>
      <c r="D410" t="s">
        <v>25</v>
      </c>
      <c r="E410" t="s">
        <v>26</v>
      </c>
      <c r="F410" t="s">
        <v>27</v>
      </c>
      <c r="G410" t="s">
        <v>28</v>
      </c>
      <c r="H410" t="s">
        <v>141</v>
      </c>
      <c r="I410" t="s">
        <v>142</v>
      </c>
      <c r="J410" t="s">
        <v>143</v>
      </c>
      <c r="K410" t="s">
        <v>144</v>
      </c>
      <c r="L410" t="s">
        <v>183</v>
      </c>
      <c r="M410" t="s">
        <v>171</v>
      </c>
      <c r="N410">
        <v>2</v>
      </c>
      <c r="O410" s="4">
        <v>14500</v>
      </c>
      <c r="P410" s="4">
        <v>17500</v>
      </c>
      <c r="Q410" s="7">
        <v>0.15</v>
      </c>
      <c r="R410" t="s">
        <v>197</v>
      </c>
      <c r="S410">
        <v>11</v>
      </c>
      <c r="T410">
        <v>35000</v>
      </c>
      <c r="U410">
        <v>5250</v>
      </c>
      <c r="V410">
        <v>29750</v>
      </c>
      <c r="W410">
        <v>29000</v>
      </c>
      <c r="X410">
        <v>750</v>
      </c>
      <c r="Y410" s="8">
        <v>2.5210084033613446E-2</v>
      </c>
      <c r="Z410" t="s">
        <v>2995</v>
      </c>
      <c r="AA410" t="str">
        <f>IF(AND(SalesCleanTable[[#This Row],[Discount %]]&gt;0, SalesCleanTable[[#This Row],[Profit]]&lt;0), "Discount loss", "Safe")</f>
        <v>Safe</v>
      </c>
      <c r="AB410" s="25">
        <f>(SalesCleanTable[[#This Row],[Unit Price]] - SalesCleanTable[[#This Row],[Unit Cost]]) / SalesCleanTable[[#This Row],[Unit Price]]</f>
        <v>0.17142857142857143</v>
      </c>
      <c r="AC410" t="str">
        <f>IF(SalesCleanTable[[#This Row],[Discount %]] &gt; SalesCleanTable[[#This Row],[Max Allowed Discount]], "Discount loss", "Safe")</f>
        <v>Safe</v>
      </c>
      <c r="AD410" s="4">
        <f>SalesCleanTable[[#This Row],[Unit Price]] - SalesCleanTable[[#This Row],[Unit Cost]]</f>
        <v>3000</v>
      </c>
      <c r="AE410" s="41">
        <f>(SalesCleanTable[[#This Row],[Unit Price]] - SalesCleanTable[[#This Row],[Unit Cost]]) / SalesCleanTable[[#This Row],[Unit Price]]</f>
        <v>0.17142857142857143</v>
      </c>
    </row>
    <row r="411" spans="1:31">
      <c r="A411" t="s">
        <v>597</v>
      </c>
      <c r="B411" s="6">
        <v>45853</v>
      </c>
      <c r="C411" t="s">
        <v>112</v>
      </c>
      <c r="D411" t="s">
        <v>113</v>
      </c>
      <c r="E411" t="s">
        <v>109</v>
      </c>
      <c r="F411" t="s">
        <v>114</v>
      </c>
      <c r="G411" t="s">
        <v>115</v>
      </c>
      <c r="H411" t="s">
        <v>153</v>
      </c>
      <c r="I411" t="s">
        <v>154</v>
      </c>
      <c r="J411" t="s">
        <v>155</v>
      </c>
      <c r="K411" t="s">
        <v>131</v>
      </c>
      <c r="L411" t="s">
        <v>166</v>
      </c>
      <c r="M411" t="s">
        <v>171</v>
      </c>
      <c r="N411">
        <v>2</v>
      </c>
      <c r="O411" s="4">
        <v>1300</v>
      </c>
      <c r="P411" s="4">
        <v>2100</v>
      </c>
      <c r="Q411" s="7">
        <v>0.05</v>
      </c>
      <c r="R411" t="s">
        <v>220</v>
      </c>
      <c r="S411">
        <v>9</v>
      </c>
      <c r="T411">
        <v>4200</v>
      </c>
      <c r="U411">
        <v>210</v>
      </c>
      <c r="V411">
        <v>3990</v>
      </c>
      <c r="W411">
        <v>2600</v>
      </c>
      <c r="X411">
        <v>1390</v>
      </c>
      <c r="Y411" s="8">
        <v>0.34837092731829572</v>
      </c>
      <c r="Z411" t="s">
        <v>2995</v>
      </c>
      <c r="AA411" t="str">
        <f>IF(AND(SalesCleanTable[[#This Row],[Discount %]]&gt;0, SalesCleanTable[[#This Row],[Profit]]&lt;0), "Discount loss", "Safe")</f>
        <v>Safe</v>
      </c>
      <c r="AB411" s="25">
        <f>(SalesCleanTable[[#This Row],[Unit Price]] - SalesCleanTable[[#This Row],[Unit Cost]]) / SalesCleanTable[[#This Row],[Unit Price]]</f>
        <v>0.38095238095238093</v>
      </c>
      <c r="AC411" t="str">
        <f>IF(SalesCleanTable[[#This Row],[Discount %]] &gt; SalesCleanTable[[#This Row],[Max Allowed Discount]], "Discount loss", "Safe")</f>
        <v>Safe</v>
      </c>
      <c r="AD411" s="4">
        <f>SalesCleanTable[[#This Row],[Unit Price]] - SalesCleanTable[[#This Row],[Unit Cost]]</f>
        <v>800</v>
      </c>
      <c r="AE411" s="41">
        <f>(SalesCleanTable[[#This Row],[Unit Price]] - SalesCleanTable[[#This Row],[Unit Cost]]) / SalesCleanTable[[#This Row],[Unit Price]]</f>
        <v>0.38095238095238093</v>
      </c>
    </row>
    <row r="412" spans="1:31">
      <c r="A412" t="s">
        <v>598</v>
      </c>
      <c r="B412" s="6">
        <v>45886</v>
      </c>
      <c r="C412" t="s">
        <v>53</v>
      </c>
      <c r="D412" t="s">
        <v>54</v>
      </c>
      <c r="E412" t="s">
        <v>38</v>
      </c>
      <c r="F412" t="s">
        <v>55</v>
      </c>
      <c r="G412" t="s">
        <v>56</v>
      </c>
      <c r="H412" t="s">
        <v>135</v>
      </c>
      <c r="I412" t="s">
        <v>136</v>
      </c>
      <c r="J412" t="s">
        <v>137</v>
      </c>
      <c r="K412" t="s">
        <v>138</v>
      </c>
      <c r="L412" t="s">
        <v>166</v>
      </c>
      <c r="M412" t="s">
        <v>177</v>
      </c>
      <c r="N412">
        <v>-1</v>
      </c>
      <c r="O412" s="4">
        <v>330</v>
      </c>
      <c r="P412" s="4">
        <v>550</v>
      </c>
      <c r="Q412" s="7">
        <v>0.05</v>
      </c>
      <c r="R412" t="s">
        <v>168</v>
      </c>
      <c r="S412">
        <v>9</v>
      </c>
      <c r="T412">
        <v>-550</v>
      </c>
      <c r="U412">
        <v>-27.5</v>
      </c>
      <c r="V412">
        <v>-522.5</v>
      </c>
      <c r="W412">
        <v>-330</v>
      </c>
      <c r="X412">
        <v>-192.5</v>
      </c>
      <c r="Y412" s="8">
        <v>0.36842105263157893</v>
      </c>
      <c r="Z412" t="s">
        <v>2996</v>
      </c>
      <c r="AA412" t="str">
        <f>IF(AND(SalesCleanTable[[#This Row],[Discount %]]&gt;0, SalesCleanTable[[#This Row],[Profit]]&lt;0), "Discount loss", "Safe")</f>
        <v>Discount loss</v>
      </c>
      <c r="AB412" s="25">
        <f>(SalesCleanTable[[#This Row],[Unit Price]] - SalesCleanTable[[#This Row],[Unit Cost]]) / SalesCleanTable[[#This Row],[Unit Price]]</f>
        <v>0.4</v>
      </c>
      <c r="AC412" t="str">
        <f>IF(SalesCleanTable[[#This Row],[Discount %]] &gt; SalesCleanTable[[#This Row],[Max Allowed Discount]], "Discount loss", "Safe")</f>
        <v>Safe</v>
      </c>
      <c r="AD412" s="4">
        <f>SalesCleanTable[[#This Row],[Unit Price]] - SalesCleanTable[[#This Row],[Unit Cost]]</f>
        <v>220</v>
      </c>
      <c r="AE412" s="41">
        <f>(SalesCleanTable[[#This Row],[Unit Price]] - SalesCleanTable[[#This Row],[Unit Cost]]) / SalesCleanTable[[#This Row],[Unit Price]]</f>
        <v>0.4</v>
      </c>
    </row>
    <row r="413" spans="1:31">
      <c r="A413" t="s">
        <v>599</v>
      </c>
      <c r="B413" s="6">
        <v>45765</v>
      </c>
      <c r="C413" t="s">
        <v>78</v>
      </c>
      <c r="D413" t="s">
        <v>79</v>
      </c>
      <c r="E413" t="s">
        <v>75</v>
      </c>
      <c r="F413" t="s">
        <v>80</v>
      </c>
      <c r="G413" t="s">
        <v>81</v>
      </c>
      <c r="H413" t="s">
        <v>145</v>
      </c>
      <c r="I413" t="s">
        <v>146</v>
      </c>
      <c r="J413" t="s">
        <v>147</v>
      </c>
      <c r="K413" t="s">
        <v>148</v>
      </c>
      <c r="L413" t="s">
        <v>166</v>
      </c>
      <c r="M413" t="s">
        <v>171</v>
      </c>
      <c r="N413">
        <v>6</v>
      </c>
      <c r="O413" s="4">
        <v>1200</v>
      </c>
      <c r="P413" s="4">
        <v>1900</v>
      </c>
      <c r="Q413" s="7">
        <v>0.05</v>
      </c>
      <c r="R413" t="s">
        <v>204</v>
      </c>
      <c r="S413">
        <v>12</v>
      </c>
      <c r="T413">
        <v>11400</v>
      </c>
      <c r="U413">
        <v>570</v>
      </c>
      <c r="V413">
        <v>10830</v>
      </c>
      <c r="W413">
        <v>7200</v>
      </c>
      <c r="X413">
        <v>3630</v>
      </c>
      <c r="Y413" s="8">
        <v>0.33518005540166207</v>
      </c>
      <c r="Z413" t="s">
        <v>2996</v>
      </c>
      <c r="AA413" t="str">
        <f>IF(AND(SalesCleanTable[[#This Row],[Discount %]]&gt;0, SalesCleanTable[[#This Row],[Profit]]&lt;0), "Discount loss", "Safe")</f>
        <v>Safe</v>
      </c>
      <c r="AB413" s="25">
        <f>(SalesCleanTable[[#This Row],[Unit Price]] - SalesCleanTable[[#This Row],[Unit Cost]]) / SalesCleanTable[[#This Row],[Unit Price]]</f>
        <v>0.36842105263157893</v>
      </c>
      <c r="AC413" t="str">
        <f>IF(SalesCleanTable[[#This Row],[Discount %]] &gt; SalesCleanTable[[#This Row],[Max Allowed Discount]], "Discount loss", "Safe")</f>
        <v>Safe</v>
      </c>
      <c r="AD413" s="4">
        <f>SalesCleanTable[[#This Row],[Unit Price]] - SalesCleanTable[[#This Row],[Unit Cost]]</f>
        <v>700</v>
      </c>
      <c r="AE413" s="41">
        <f>(SalesCleanTable[[#This Row],[Unit Price]] - SalesCleanTable[[#This Row],[Unit Cost]]) / SalesCleanTable[[#This Row],[Unit Price]]</f>
        <v>0.36842105263157893</v>
      </c>
    </row>
    <row r="414" spans="1:31">
      <c r="A414" t="s">
        <v>600</v>
      </c>
      <c r="B414" s="6">
        <v>45989</v>
      </c>
      <c r="C414" t="s">
        <v>95</v>
      </c>
      <c r="D414" t="s">
        <v>96</v>
      </c>
      <c r="E414" t="s">
        <v>92</v>
      </c>
      <c r="F414" t="s">
        <v>97</v>
      </c>
      <c r="G414" t="s">
        <v>98</v>
      </c>
      <c r="H414" t="s">
        <v>128</v>
      </c>
      <c r="I414" t="s">
        <v>129</v>
      </c>
      <c r="J414" t="s">
        <v>130</v>
      </c>
      <c r="K414" t="s">
        <v>131</v>
      </c>
      <c r="L414" t="s">
        <v>183</v>
      </c>
      <c r="M414" t="s">
        <v>177</v>
      </c>
      <c r="N414">
        <v>4</v>
      </c>
      <c r="O414" s="4">
        <v>18000</v>
      </c>
      <c r="P414" s="4">
        <v>24500</v>
      </c>
      <c r="Q414" s="7">
        <v>0</v>
      </c>
      <c r="R414" t="s">
        <v>181</v>
      </c>
      <c r="S414">
        <v>1</v>
      </c>
      <c r="T414">
        <v>98000</v>
      </c>
      <c r="U414">
        <v>0</v>
      </c>
      <c r="V414">
        <v>98000</v>
      </c>
      <c r="W414">
        <v>72000</v>
      </c>
      <c r="X414">
        <v>26000</v>
      </c>
      <c r="Y414" s="8">
        <v>0.26530612244897961</v>
      </c>
      <c r="Z414" t="s">
        <v>2995</v>
      </c>
      <c r="AA414" t="str">
        <f>IF(AND(SalesCleanTable[[#This Row],[Discount %]]&gt;0, SalesCleanTable[[#This Row],[Profit]]&lt;0), "Discount loss", "Safe")</f>
        <v>Safe</v>
      </c>
      <c r="AB414" s="25">
        <f>(SalesCleanTable[[#This Row],[Unit Price]] - SalesCleanTable[[#This Row],[Unit Cost]]) / SalesCleanTable[[#This Row],[Unit Price]]</f>
        <v>0.26530612244897961</v>
      </c>
      <c r="AC414" t="str">
        <f>IF(SalesCleanTable[[#This Row],[Discount %]] &gt; SalesCleanTable[[#This Row],[Max Allowed Discount]], "Discount loss", "Safe")</f>
        <v>Safe</v>
      </c>
      <c r="AD414" s="4">
        <f>SalesCleanTable[[#This Row],[Unit Price]] - SalesCleanTable[[#This Row],[Unit Cost]]</f>
        <v>6500</v>
      </c>
      <c r="AE414" s="41">
        <f>(SalesCleanTable[[#This Row],[Unit Price]] - SalesCleanTable[[#This Row],[Unit Cost]]) / SalesCleanTable[[#This Row],[Unit Price]]</f>
        <v>0.26530612244897961</v>
      </c>
    </row>
    <row r="415" spans="1:31">
      <c r="A415" t="s">
        <v>601</v>
      </c>
      <c r="B415" s="6">
        <v>45786</v>
      </c>
      <c r="C415" t="s">
        <v>62</v>
      </c>
      <c r="D415" t="s">
        <v>63</v>
      </c>
      <c r="E415" t="s">
        <v>59</v>
      </c>
      <c r="F415" t="s">
        <v>64</v>
      </c>
      <c r="G415" t="s">
        <v>65</v>
      </c>
      <c r="H415" t="s">
        <v>139</v>
      </c>
      <c r="I415" t="s">
        <v>140</v>
      </c>
      <c r="J415" t="s">
        <v>137</v>
      </c>
      <c r="K415" t="s">
        <v>138</v>
      </c>
      <c r="L415" t="s">
        <v>166</v>
      </c>
      <c r="M415" t="s">
        <v>171</v>
      </c>
      <c r="N415">
        <v>-2</v>
      </c>
      <c r="O415" s="4">
        <v>3200</v>
      </c>
      <c r="P415" s="4">
        <v>4500</v>
      </c>
      <c r="Q415" s="7">
        <v>0</v>
      </c>
      <c r="R415" t="s">
        <v>204</v>
      </c>
      <c r="S415">
        <v>6</v>
      </c>
      <c r="T415">
        <v>-9000</v>
      </c>
      <c r="U415">
        <v>0</v>
      </c>
      <c r="V415">
        <v>-9000</v>
      </c>
      <c r="W415">
        <v>-6400</v>
      </c>
      <c r="X415">
        <v>-2600</v>
      </c>
      <c r="Y415" s="8">
        <v>0.28888888888888886</v>
      </c>
      <c r="Z415" t="s">
        <v>2996</v>
      </c>
      <c r="AA415" t="str">
        <f>IF(AND(SalesCleanTable[[#This Row],[Discount %]]&gt;0, SalesCleanTable[[#This Row],[Profit]]&lt;0), "Discount loss", "Safe")</f>
        <v>Safe</v>
      </c>
      <c r="AB415" s="25">
        <f>(SalesCleanTable[[#This Row],[Unit Price]] - SalesCleanTable[[#This Row],[Unit Cost]]) / SalesCleanTable[[#This Row],[Unit Price]]</f>
        <v>0.28888888888888886</v>
      </c>
      <c r="AC415" t="str">
        <f>IF(SalesCleanTable[[#This Row],[Discount %]] &gt; SalesCleanTable[[#This Row],[Max Allowed Discount]], "Discount loss", "Safe")</f>
        <v>Safe</v>
      </c>
      <c r="AD415" s="4">
        <f>SalesCleanTable[[#This Row],[Unit Price]] - SalesCleanTable[[#This Row],[Unit Cost]]</f>
        <v>1300</v>
      </c>
      <c r="AE415" s="41">
        <f>(SalesCleanTable[[#This Row],[Unit Price]] - SalesCleanTable[[#This Row],[Unit Cost]]) / SalesCleanTable[[#This Row],[Unit Price]]</f>
        <v>0.28888888888888886</v>
      </c>
    </row>
    <row r="416" spans="1:31">
      <c r="A416" t="s">
        <v>602</v>
      </c>
      <c r="B416" s="6">
        <v>45718</v>
      </c>
      <c r="C416" t="s">
        <v>57</v>
      </c>
      <c r="D416" t="s">
        <v>58</v>
      </c>
      <c r="E416" t="s">
        <v>59</v>
      </c>
      <c r="F416" t="s">
        <v>60</v>
      </c>
      <c r="G416" t="s">
        <v>61</v>
      </c>
      <c r="H416" t="s">
        <v>141</v>
      </c>
      <c r="I416" t="s">
        <v>142</v>
      </c>
      <c r="J416" t="s">
        <v>143</v>
      </c>
      <c r="K416" t="s">
        <v>144</v>
      </c>
      <c r="L416" t="s">
        <v>183</v>
      </c>
      <c r="M416" t="s">
        <v>171</v>
      </c>
      <c r="N416">
        <v>3</v>
      </c>
      <c r="O416" s="4">
        <v>2400</v>
      </c>
      <c r="P416" s="4">
        <v>3400</v>
      </c>
      <c r="Q416" s="7">
        <v>0.1</v>
      </c>
      <c r="R416" t="s">
        <v>192</v>
      </c>
      <c r="S416">
        <v>6</v>
      </c>
      <c r="T416">
        <v>10200</v>
      </c>
      <c r="U416">
        <v>1020</v>
      </c>
      <c r="V416">
        <v>9180</v>
      </c>
      <c r="W416">
        <v>7200</v>
      </c>
      <c r="X416">
        <v>1980</v>
      </c>
      <c r="Y416" s="8">
        <v>0.21568627450980393</v>
      </c>
      <c r="Z416" t="s">
        <v>2996</v>
      </c>
      <c r="AA416" t="str">
        <f>IF(AND(SalesCleanTable[[#This Row],[Discount %]]&gt;0, SalesCleanTable[[#This Row],[Profit]]&lt;0), "Discount loss", "Safe")</f>
        <v>Safe</v>
      </c>
      <c r="AB416" s="25">
        <f>(SalesCleanTable[[#This Row],[Unit Price]] - SalesCleanTable[[#This Row],[Unit Cost]]) / SalesCleanTable[[#This Row],[Unit Price]]</f>
        <v>0.29411764705882354</v>
      </c>
      <c r="AC416" t="str">
        <f>IF(SalesCleanTable[[#This Row],[Discount %]] &gt; SalesCleanTable[[#This Row],[Max Allowed Discount]], "Discount loss", "Safe")</f>
        <v>Safe</v>
      </c>
      <c r="AD416" s="4">
        <f>SalesCleanTable[[#This Row],[Unit Price]] - SalesCleanTable[[#This Row],[Unit Cost]]</f>
        <v>1000</v>
      </c>
      <c r="AE416" s="41">
        <f>(SalesCleanTable[[#This Row],[Unit Price]] - SalesCleanTable[[#This Row],[Unit Cost]]) / SalesCleanTable[[#This Row],[Unit Price]]</f>
        <v>0.29411764705882354</v>
      </c>
    </row>
    <row r="417" spans="1:31">
      <c r="A417" t="s">
        <v>603</v>
      </c>
      <c r="B417" s="6">
        <v>45712</v>
      </c>
      <c r="C417" t="s">
        <v>45</v>
      </c>
      <c r="D417" t="s">
        <v>46</v>
      </c>
      <c r="E417" t="s">
        <v>38</v>
      </c>
      <c r="F417" t="s">
        <v>47</v>
      </c>
      <c r="G417" t="s">
        <v>48</v>
      </c>
      <c r="H417" t="s">
        <v>141</v>
      </c>
      <c r="I417" t="s">
        <v>142</v>
      </c>
      <c r="J417" t="s">
        <v>143</v>
      </c>
      <c r="K417" t="s">
        <v>144</v>
      </c>
      <c r="L417" t="s">
        <v>170</v>
      </c>
      <c r="M417" t="s">
        <v>186</v>
      </c>
      <c r="N417">
        <v>3</v>
      </c>
      <c r="O417" s="4">
        <v>230</v>
      </c>
      <c r="P417" s="4">
        <v>400</v>
      </c>
      <c r="Q417" s="7">
        <v>0</v>
      </c>
      <c r="R417" t="s">
        <v>168</v>
      </c>
      <c r="S417">
        <v>1</v>
      </c>
      <c r="T417">
        <v>1200</v>
      </c>
      <c r="U417">
        <v>0</v>
      </c>
      <c r="V417">
        <v>1200</v>
      </c>
      <c r="W417">
        <v>690</v>
      </c>
      <c r="X417">
        <v>510</v>
      </c>
      <c r="Y417" s="8">
        <v>0.42499999999999999</v>
      </c>
      <c r="Z417" t="s">
        <v>2995</v>
      </c>
      <c r="AA417" t="str">
        <f>IF(AND(SalesCleanTable[[#This Row],[Discount %]]&gt;0, SalesCleanTable[[#This Row],[Profit]]&lt;0), "Discount loss", "Safe")</f>
        <v>Safe</v>
      </c>
      <c r="AB417" s="25">
        <f>(SalesCleanTable[[#This Row],[Unit Price]] - SalesCleanTable[[#This Row],[Unit Cost]]) / SalesCleanTable[[#This Row],[Unit Price]]</f>
        <v>0.42499999999999999</v>
      </c>
      <c r="AC417" t="str">
        <f>IF(SalesCleanTable[[#This Row],[Discount %]] &gt; SalesCleanTable[[#This Row],[Max Allowed Discount]], "Discount loss", "Safe")</f>
        <v>Safe</v>
      </c>
      <c r="AD417" s="4">
        <f>SalesCleanTable[[#This Row],[Unit Price]] - SalesCleanTable[[#This Row],[Unit Cost]]</f>
        <v>170</v>
      </c>
      <c r="AE417" s="41">
        <f>(SalesCleanTable[[#This Row],[Unit Price]] - SalesCleanTable[[#This Row],[Unit Cost]]) / SalesCleanTable[[#This Row],[Unit Price]]</f>
        <v>0.42499999999999999</v>
      </c>
    </row>
    <row r="418" spans="1:31">
      <c r="A418" t="s">
        <v>604</v>
      </c>
      <c r="B418" s="6">
        <v>45931</v>
      </c>
      <c r="C418" t="s">
        <v>41</v>
      </c>
      <c r="D418" t="s">
        <v>42</v>
      </c>
      <c r="E418" t="s">
        <v>26</v>
      </c>
      <c r="F418" t="s">
        <v>43</v>
      </c>
      <c r="G418" t="s">
        <v>44</v>
      </c>
      <c r="H418" t="s">
        <v>145</v>
      </c>
      <c r="I418" t="s">
        <v>146</v>
      </c>
      <c r="J418" t="s">
        <v>147</v>
      </c>
      <c r="K418" t="s">
        <v>148</v>
      </c>
      <c r="L418" t="s">
        <v>166</v>
      </c>
      <c r="M418" t="s">
        <v>171</v>
      </c>
      <c r="N418">
        <v>5</v>
      </c>
      <c r="O418" s="4">
        <v>850</v>
      </c>
      <c r="P418" s="4">
        <v>1300</v>
      </c>
      <c r="Q418" s="7">
        <v>0.15</v>
      </c>
      <c r="R418" t="s">
        <v>194</v>
      </c>
      <c r="S418">
        <v>11</v>
      </c>
      <c r="T418">
        <v>6500</v>
      </c>
      <c r="U418">
        <v>975</v>
      </c>
      <c r="V418">
        <v>5525</v>
      </c>
      <c r="W418">
        <v>4250</v>
      </c>
      <c r="X418">
        <v>1275</v>
      </c>
      <c r="Y418" s="8">
        <v>0.23076923076923078</v>
      </c>
      <c r="Z418" t="s">
        <v>2995</v>
      </c>
      <c r="AA418" t="str">
        <f>IF(AND(SalesCleanTable[[#This Row],[Discount %]]&gt;0, SalesCleanTable[[#This Row],[Profit]]&lt;0), "Discount loss", "Safe")</f>
        <v>Safe</v>
      </c>
      <c r="AB418" s="25">
        <f>(SalesCleanTable[[#This Row],[Unit Price]] - SalesCleanTable[[#This Row],[Unit Cost]]) / SalesCleanTable[[#This Row],[Unit Price]]</f>
        <v>0.34615384615384615</v>
      </c>
      <c r="AC418" t="str">
        <f>IF(SalesCleanTable[[#This Row],[Discount %]] &gt; SalesCleanTable[[#This Row],[Max Allowed Discount]], "Discount loss", "Safe")</f>
        <v>Safe</v>
      </c>
      <c r="AD418" s="4">
        <f>SalesCleanTable[[#This Row],[Unit Price]] - SalesCleanTable[[#This Row],[Unit Cost]]</f>
        <v>450</v>
      </c>
      <c r="AE418" s="41">
        <f>(SalesCleanTable[[#This Row],[Unit Price]] - SalesCleanTable[[#This Row],[Unit Cost]]) / SalesCleanTable[[#This Row],[Unit Price]]</f>
        <v>0.34615384615384615</v>
      </c>
    </row>
    <row r="419" spans="1:31">
      <c r="A419" t="s">
        <v>605</v>
      </c>
      <c r="B419" s="6">
        <v>45989</v>
      </c>
      <c r="C419" t="s">
        <v>49</v>
      </c>
      <c r="D419" t="s">
        <v>50</v>
      </c>
      <c r="E419" t="s">
        <v>38</v>
      </c>
      <c r="F419" t="s">
        <v>51</v>
      </c>
      <c r="G419" t="s">
        <v>52</v>
      </c>
      <c r="H419" t="s">
        <v>153</v>
      </c>
      <c r="I419" t="s">
        <v>154</v>
      </c>
      <c r="J419" t="s">
        <v>155</v>
      </c>
      <c r="K419" t="s">
        <v>131</v>
      </c>
      <c r="L419" t="s">
        <v>166</v>
      </c>
      <c r="M419" t="s">
        <v>177</v>
      </c>
      <c r="N419">
        <v>3</v>
      </c>
      <c r="O419" s="4">
        <v>550</v>
      </c>
      <c r="P419" s="4">
        <v>850</v>
      </c>
      <c r="Q419" s="7">
        <v>0.1</v>
      </c>
      <c r="R419" t="s">
        <v>168</v>
      </c>
      <c r="S419">
        <v>7</v>
      </c>
      <c r="T419">
        <v>2550</v>
      </c>
      <c r="U419">
        <v>255</v>
      </c>
      <c r="V419">
        <v>2295</v>
      </c>
      <c r="W419">
        <v>1650</v>
      </c>
      <c r="X419">
        <v>645</v>
      </c>
      <c r="Y419" s="8">
        <v>0.28104575163398693</v>
      </c>
      <c r="Z419" t="s">
        <v>2996</v>
      </c>
      <c r="AA419" t="str">
        <f>IF(AND(SalesCleanTable[[#This Row],[Discount %]]&gt;0, SalesCleanTable[[#This Row],[Profit]]&lt;0), "Discount loss", "Safe")</f>
        <v>Safe</v>
      </c>
      <c r="AB419" s="25">
        <f>(SalesCleanTable[[#This Row],[Unit Price]] - SalesCleanTable[[#This Row],[Unit Cost]]) / SalesCleanTable[[#This Row],[Unit Price]]</f>
        <v>0.35294117647058826</v>
      </c>
      <c r="AC419" t="str">
        <f>IF(SalesCleanTable[[#This Row],[Discount %]] &gt; SalesCleanTable[[#This Row],[Max Allowed Discount]], "Discount loss", "Safe")</f>
        <v>Safe</v>
      </c>
      <c r="AD419" s="4">
        <f>SalesCleanTable[[#This Row],[Unit Price]] - SalesCleanTable[[#This Row],[Unit Cost]]</f>
        <v>300</v>
      </c>
      <c r="AE419" s="41">
        <f>(SalesCleanTable[[#This Row],[Unit Price]] - SalesCleanTable[[#This Row],[Unit Cost]]) / SalesCleanTable[[#This Row],[Unit Price]]</f>
        <v>0.35294117647058826</v>
      </c>
    </row>
    <row r="420" spans="1:31">
      <c r="A420" t="s">
        <v>606</v>
      </c>
      <c r="B420" s="6">
        <v>45701</v>
      </c>
      <c r="C420" t="s">
        <v>45</v>
      </c>
      <c r="D420" t="s">
        <v>46</v>
      </c>
      <c r="E420" t="s">
        <v>38</v>
      </c>
      <c r="F420" t="s">
        <v>47</v>
      </c>
      <c r="G420" t="s">
        <v>48</v>
      </c>
      <c r="H420" t="s">
        <v>145</v>
      </c>
      <c r="I420" t="s">
        <v>146</v>
      </c>
      <c r="J420" t="s">
        <v>147</v>
      </c>
      <c r="K420" t="s">
        <v>148</v>
      </c>
      <c r="L420" t="s">
        <v>166</v>
      </c>
      <c r="M420" t="s">
        <v>171</v>
      </c>
      <c r="N420">
        <v>6</v>
      </c>
      <c r="O420" s="4">
        <v>230</v>
      </c>
      <c r="P420" s="4">
        <v>400</v>
      </c>
      <c r="Q420" s="7">
        <v>0.05</v>
      </c>
      <c r="R420" t="s">
        <v>168</v>
      </c>
      <c r="S420">
        <v>3</v>
      </c>
      <c r="T420">
        <v>2400</v>
      </c>
      <c r="U420">
        <v>120</v>
      </c>
      <c r="V420">
        <v>2280</v>
      </c>
      <c r="W420">
        <v>1380</v>
      </c>
      <c r="X420">
        <v>900</v>
      </c>
      <c r="Y420" s="8">
        <v>0.39473684210526316</v>
      </c>
      <c r="Z420" t="s">
        <v>2995</v>
      </c>
      <c r="AA420" t="str">
        <f>IF(AND(SalesCleanTable[[#This Row],[Discount %]]&gt;0, SalesCleanTable[[#This Row],[Profit]]&lt;0), "Discount loss", "Safe")</f>
        <v>Safe</v>
      </c>
      <c r="AB420" s="25">
        <f>(SalesCleanTable[[#This Row],[Unit Price]] - SalesCleanTable[[#This Row],[Unit Cost]]) / SalesCleanTable[[#This Row],[Unit Price]]</f>
        <v>0.42499999999999999</v>
      </c>
      <c r="AC420" t="str">
        <f>IF(SalesCleanTable[[#This Row],[Discount %]] &gt; SalesCleanTable[[#This Row],[Max Allowed Discount]], "Discount loss", "Safe")</f>
        <v>Safe</v>
      </c>
      <c r="AD420" s="4">
        <f>SalesCleanTable[[#This Row],[Unit Price]] - SalesCleanTable[[#This Row],[Unit Cost]]</f>
        <v>170</v>
      </c>
      <c r="AE420" s="41">
        <f>(SalesCleanTable[[#This Row],[Unit Price]] - SalesCleanTable[[#This Row],[Unit Cost]]) / SalesCleanTable[[#This Row],[Unit Price]]</f>
        <v>0.42499999999999999</v>
      </c>
    </row>
    <row r="421" spans="1:31">
      <c r="A421" t="s">
        <v>607</v>
      </c>
      <c r="B421" s="6">
        <v>45771</v>
      </c>
      <c r="C421" t="s">
        <v>73</v>
      </c>
      <c r="D421" t="s">
        <v>74</v>
      </c>
      <c r="E421" t="s">
        <v>75</v>
      </c>
      <c r="F421" t="s">
        <v>76</v>
      </c>
      <c r="G421" t="s">
        <v>77</v>
      </c>
      <c r="H421" t="s">
        <v>135</v>
      </c>
      <c r="I421" t="s">
        <v>136</v>
      </c>
      <c r="J421" t="s">
        <v>137</v>
      </c>
      <c r="K421" t="s">
        <v>138</v>
      </c>
      <c r="L421" t="s">
        <v>166</v>
      </c>
      <c r="M421" t="s">
        <v>177</v>
      </c>
      <c r="N421">
        <v>1</v>
      </c>
      <c r="O421" s="4">
        <v>3500</v>
      </c>
      <c r="P421" s="4">
        <v>5200</v>
      </c>
      <c r="Q421" s="7">
        <v>0.1</v>
      </c>
      <c r="R421" t="s">
        <v>204</v>
      </c>
      <c r="S421">
        <v>8</v>
      </c>
      <c r="T421">
        <v>5200</v>
      </c>
      <c r="U421">
        <v>520</v>
      </c>
      <c r="V421">
        <v>4680</v>
      </c>
      <c r="W421">
        <v>3500</v>
      </c>
      <c r="X421">
        <v>1180</v>
      </c>
      <c r="Y421" s="8">
        <v>0.25213675213675213</v>
      </c>
      <c r="Z421" t="s">
        <v>2996</v>
      </c>
      <c r="AA421" t="str">
        <f>IF(AND(SalesCleanTable[[#This Row],[Discount %]]&gt;0, SalesCleanTable[[#This Row],[Profit]]&lt;0), "Discount loss", "Safe")</f>
        <v>Safe</v>
      </c>
      <c r="AB421" s="25">
        <f>(SalesCleanTable[[#This Row],[Unit Price]] - SalesCleanTable[[#This Row],[Unit Cost]]) / SalesCleanTable[[#This Row],[Unit Price]]</f>
        <v>0.32692307692307693</v>
      </c>
      <c r="AC421" t="str">
        <f>IF(SalesCleanTable[[#This Row],[Discount %]] &gt; SalesCleanTable[[#This Row],[Max Allowed Discount]], "Discount loss", "Safe")</f>
        <v>Safe</v>
      </c>
      <c r="AD421" s="4">
        <f>SalesCleanTable[[#This Row],[Unit Price]] - SalesCleanTable[[#This Row],[Unit Cost]]</f>
        <v>1700</v>
      </c>
      <c r="AE421" s="41">
        <f>(SalesCleanTable[[#This Row],[Unit Price]] - SalesCleanTable[[#This Row],[Unit Cost]]) / SalesCleanTable[[#This Row],[Unit Price]]</f>
        <v>0.32692307692307693</v>
      </c>
    </row>
    <row r="422" spans="1:31">
      <c r="A422" t="s">
        <v>608</v>
      </c>
      <c r="B422" s="6">
        <v>45695</v>
      </c>
      <c r="C422" t="s">
        <v>45</v>
      </c>
      <c r="D422" t="s">
        <v>46</v>
      </c>
      <c r="E422" t="s">
        <v>38</v>
      </c>
      <c r="F422" t="s">
        <v>47</v>
      </c>
      <c r="G422" t="s">
        <v>48</v>
      </c>
      <c r="H422" t="s">
        <v>128</v>
      </c>
      <c r="I422" t="s">
        <v>129</v>
      </c>
      <c r="J422" t="s">
        <v>130</v>
      </c>
      <c r="K422" t="s">
        <v>131</v>
      </c>
      <c r="L422" t="s">
        <v>166</v>
      </c>
      <c r="M422" t="s">
        <v>186</v>
      </c>
      <c r="N422">
        <v>1</v>
      </c>
      <c r="O422" s="4">
        <v>230</v>
      </c>
      <c r="P422" s="4">
        <v>400</v>
      </c>
      <c r="Q422" s="7">
        <v>0.1</v>
      </c>
      <c r="R422" t="s">
        <v>178</v>
      </c>
      <c r="S422">
        <v>11</v>
      </c>
      <c r="T422">
        <v>400</v>
      </c>
      <c r="U422">
        <v>40</v>
      </c>
      <c r="V422">
        <v>360</v>
      </c>
      <c r="W422">
        <v>230</v>
      </c>
      <c r="X422">
        <v>130</v>
      </c>
      <c r="Y422" s="8">
        <v>0.3611111111111111</v>
      </c>
      <c r="Z422" t="s">
        <v>2995</v>
      </c>
      <c r="AA422" t="str">
        <f>IF(AND(SalesCleanTable[[#This Row],[Discount %]]&gt;0, SalesCleanTable[[#This Row],[Profit]]&lt;0), "Discount loss", "Safe")</f>
        <v>Safe</v>
      </c>
      <c r="AB422" s="25">
        <f>(SalesCleanTable[[#This Row],[Unit Price]] - SalesCleanTable[[#This Row],[Unit Cost]]) / SalesCleanTable[[#This Row],[Unit Price]]</f>
        <v>0.42499999999999999</v>
      </c>
      <c r="AC422" t="str">
        <f>IF(SalesCleanTable[[#This Row],[Discount %]] &gt; SalesCleanTable[[#This Row],[Max Allowed Discount]], "Discount loss", "Safe")</f>
        <v>Safe</v>
      </c>
      <c r="AD422" s="4">
        <f>SalesCleanTable[[#This Row],[Unit Price]] - SalesCleanTable[[#This Row],[Unit Cost]]</f>
        <v>170</v>
      </c>
      <c r="AE422" s="41">
        <f>(SalesCleanTable[[#This Row],[Unit Price]] - SalesCleanTable[[#This Row],[Unit Cost]]) / SalesCleanTable[[#This Row],[Unit Price]]</f>
        <v>0.42499999999999999</v>
      </c>
    </row>
    <row r="423" spans="1:31">
      <c r="A423" t="s">
        <v>609</v>
      </c>
      <c r="B423" s="6">
        <v>45709</v>
      </c>
      <c r="C423" t="s">
        <v>45</v>
      </c>
      <c r="D423" t="s">
        <v>46</v>
      </c>
      <c r="E423" t="s">
        <v>38</v>
      </c>
      <c r="F423" t="s">
        <v>47</v>
      </c>
      <c r="G423" t="s">
        <v>48</v>
      </c>
      <c r="H423" t="s">
        <v>128</v>
      </c>
      <c r="I423" t="s">
        <v>129</v>
      </c>
      <c r="J423" t="s">
        <v>130</v>
      </c>
      <c r="K423" t="s">
        <v>131</v>
      </c>
      <c r="L423" t="s">
        <v>166</v>
      </c>
      <c r="M423" t="s">
        <v>171</v>
      </c>
      <c r="N423">
        <v>1</v>
      </c>
      <c r="O423" s="4">
        <v>230</v>
      </c>
      <c r="P423" s="4">
        <v>400</v>
      </c>
      <c r="Q423" s="7">
        <v>0.05</v>
      </c>
      <c r="R423" t="s">
        <v>168</v>
      </c>
      <c r="S423">
        <v>10</v>
      </c>
      <c r="T423">
        <v>400</v>
      </c>
      <c r="U423">
        <v>20</v>
      </c>
      <c r="V423">
        <v>380</v>
      </c>
      <c r="W423">
        <v>230</v>
      </c>
      <c r="X423">
        <v>150</v>
      </c>
      <c r="Y423" s="8">
        <v>0.39473684210526316</v>
      </c>
      <c r="Z423" t="s">
        <v>2995</v>
      </c>
      <c r="AA423" t="str">
        <f>IF(AND(SalesCleanTable[[#This Row],[Discount %]]&gt;0, SalesCleanTable[[#This Row],[Profit]]&lt;0), "Discount loss", "Safe")</f>
        <v>Safe</v>
      </c>
      <c r="AB423" s="25">
        <f>(SalesCleanTable[[#This Row],[Unit Price]] - SalesCleanTable[[#This Row],[Unit Cost]]) / SalesCleanTable[[#This Row],[Unit Price]]</f>
        <v>0.42499999999999999</v>
      </c>
      <c r="AC423" t="str">
        <f>IF(SalesCleanTable[[#This Row],[Discount %]] &gt; SalesCleanTable[[#This Row],[Max Allowed Discount]], "Discount loss", "Safe")</f>
        <v>Safe</v>
      </c>
      <c r="AD423" s="4">
        <f>SalesCleanTable[[#This Row],[Unit Price]] - SalesCleanTable[[#This Row],[Unit Cost]]</f>
        <v>170</v>
      </c>
      <c r="AE423" s="41">
        <f>(SalesCleanTable[[#This Row],[Unit Price]] - SalesCleanTable[[#This Row],[Unit Cost]]) / SalesCleanTable[[#This Row],[Unit Price]]</f>
        <v>0.42499999999999999</v>
      </c>
    </row>
    <row r="424" spans="1:31">
      <c r="A424" t="s">
        <v>610</v>
      </c>
      <c r="B424" s="6">
        <v>45948</v>
      </c>
      <c r="C424" t="s">
        <v>49</v>
      </c>
      <c r="D424" t="s">
        <v>50</v>
      </c>
      <c r="E424" t="s">
        <v>38</v>
      </c>
      <c r="F424" t="s">
        <v>51</v>
      </c>
      <c r="G424" t="s">
        <v>52</v>
      </c>
      <c r="H424" t="s">
        <v>135</v>
      </c>
      <c r="I424" t="s">
        <v>136</v>
      </c>
      <c r="J424" t="s">
        <v>137</v>
      </c>
      <c r="K424" t="s">
        <v>138</v>
      </c>
      <c r="L424" t="s">
        <v>166</v>
      </c>
      <c r="M424" t="s">
        <v>167</v>
      </c>
      <c r="N424">
        <v>2</v>
      </c>
      <c r="O424" s="4">
        <v>550</v>
      </c>
      <c r="P424" s="4">
        <v>850</v>
      </c>
      <c r="Q424" s="7">
        <v>0</v>
      </c>
      <c r="R424" t="s">
        <v>168</v>
      </c>
      <c r="S424">
        <v>11</v>
      </c>
      <c r="T424">
        <v>1700</v>
      </c>
      <c r="U424">
        <v>0</v>
      </c>
      <c r="V424">
        <v>1700</v>
      </c>
      <c r="W424">
        <v>1100</v>
      </c>
      <c r="X424">
        <v>600</v>
      </c>
      <c r="Y424" s="8">
        <v>0.35294117647058826</v>
      </c>
      <c r="Z424" t="s">
        <v>2996</v>
      </c>
      <c r="AA424" t="str">
        <f>IF(AND(SalesCleanTable[[#This Row],[Discount %]]&gt;0, SalesCleanTable[[#This Row],[Profit]]&lt;0), "Discount loss", "Safe")</f>
        <v>Safe</v>
      </c>
      <c r="AB424" s="25">
        <f>(SalesCleanTable[[#This Row],[Unit Price]] - SalesCleanTable[[#This Row],[Unit Cost]]) / SalesCleanTable[[#This Row],[Unit Price]]</f>
        <v>0.35294117647058826</v>
      </c>
      <c r="AC424" t="str">
        <f>IF(SalesCleanTable[[#This Row],[Discount %]] &gt; SalesCleanTable[[#This Row],[Max Allowed Discount]], "Discount loss", "Safe")</f>
        <v>Safe</v>
      </c>
      <c r="AD424" s="4">
        <f>SalesCleanTable[[#This Row],[Unit Price]] - SalesCleanTable[[#This Row],[Unit Cost]]</f>
        <v>300</v>
      </c>
      <c r="AE424" s="41">
        <f>(SalesCleanTable[[#This Row],[Unit Price]] - SalesCleanTable[[#This Row],[Unit Cost]]) / SalesCleanTable[[#This Row],[Unit Price]]</f>
        <v>0.35294117647058826</v>
      </c>
    </row>
    <row r="425" spans="1:31">
      <c r="A425" t="s">
        <v>611</v>
      </c>
      <c r="B425" s="6">
        <v>45842</v>
      </c>
      <c r="C425" t="s">
        <v>32</v>
      </c>
      <c r="D425" t="s">
        <v>33</v>
      </c>
      <c r="E425" t="s">
        <v>26</v>
      </c>
      <c r="F425" t="s">
        <v>34</v>
      </c>
      <c r="G425" t="s">
        <v>35</v>
      </c>
      <c r="H425" t="s">
        <v>145</v>
      </c>
      <c r="I425" t="s">
        <v>146</v>
      </c>
      <c r="J425" t="s">
        <v>147</v>
      </c>
      <c r="K425" t="s">
        <v>148</v>
      </c>
      <c r="L425" t="s">
        <v>166</v>
      </c>
      <c r="M425" t="s">
        <v>167</v>
      </c>
      <c r="N425">
        <v>6</v>
      </c>
      <c r="O425" s="4">
        <v>7800</v>
      </c>
      <c r="P425" s="4">
        <v>9800</v>
      </c>
      <c r="Q425" s="7">
        <v>0.05</v>
      </c>
      <c r="R425" t="s">
        <v>173</v>
      </c>
      <c r="S425">
        <v>2</v>
      </c>
      <c r="T425">
        <v>58800</v>
      </c>
      <c r="U425">
        <v>2940</v>
      </c>
      <c r="V425">
        <v>55860</v>
      </c>
      <c r="W425">
        <v>46800</v>
      </c>
      <c r="X425">
        <v>9060</v>
      </c>
      <c r="Y425" s="8">
        <v>0.16219119226638024</v>
      </c>
      <c r="Z425" t="s">
        <v>2995</v>
      </c>
      <c r="AA425" t="str">
        <f>IF(AND(SalesCleanTable[[#This Row],[Discount %]]&gt;0, SalesCleanTable[[#This Row],[Profit]]&lt;0), "Discount loss", "Safe")</f>
        <v>Safe</v>
      </c>
      <c r="AB425" s="25">
        <f>(SalesCleanTable[[#This Row],[Unit Price]] - SalesCleanTable[[#This Row],[Unit Cost]]) / SalesCleanTable[[#This Row],[Unit Price]]</f>
        <v>0.20408163265306123</v>
      </c>
      <c r="AC425" t="str">
        <f>IF(SalesCleanTable[[#This Row],[Discount %]] &gt; SalesCleanTable[[#This Row],[Max Allowed Discount]], "Discount loss", "Safe")</f>
        <v>Safe</v>
      </c>
      <c r="AD425" s="4">
        <f>SalesCleanTable[[#This Row],[Unit Price]] - SalesCleanTable[[#This Row],[Unit Cost]]</f>
        <v>2000</v>
      </c>
      <c r="AE425" s="41">
        <f>(SalesCleanTable[[#This Row],[Unit Price]] - SalesCleanTable[[#This Row],[Unit Cost]]) / SalesCleanTable[[#This Row],[Unit Price]]</f>
        <v>0.20408163265306123</v>
      </c>
    </row>
    <row r="426" spans="1:31">
      <c r="A426" t="s">
        <v>612</v>
      </c>
      <c r="B426" s="6">
        <v>45968</v>
      </c>
      <c r="C426" t="s">
        <v>29</v>
      </c>
      <c r="D426" t="s">
        <v>30</v>
      </c>
      <c r="E426" t="s">
        <v>26</v>
      </c>
      <c r="F426" t="s">
        <v>27</v>
      </c>
      <c r="G426" t="s">
        <v>31</v>
      </c>
      <c r="H426" t="s">
        <v>135</v>
      </c>
      <c r="I426" t="s">
        <v>136</v>
      </c>
      <c r="J426" t="s">
        <v>137</v>
      </c>
      <c r="K426" t="s">
        <v>138</v>
      </c>
      <c r="L426" t="s">
        <v>166</v>
      </c>
      <c r="M426" t="s">
        <v>171</v>
      </c>
      <c r="N426">
        <v>5</v>
      </c>
      <c r="O426" s="4">
        <v>6200</v>
      </c>
      <c r="P426" s="4">
        <v>7900</v>
      </c>
      <c r="Q426" s="7">
        <v>0.15</v>
      </c>
      <c r="R426" t="s">
        <v>173</v>
      </c>
      <c r="S426">
        <v>2</v>
      </c>
      <c r="T426">
        <v>39500</v>
      </c>
      <c r="U426">
        <v>5925</v>
      </c>
      <c r="V426">
        <v>33575</v>
      </c>
      <c r="W426">
        <v>31000</v>
      </c>
      <c r="X426">
        <v>2575</v>
      </c>
      <c r="Y426" s="8">
        <v>7.6693968726731204E-2</v>
      </c>
      <c r="Z426" t="s">
        <v>2996</v>
      </c>
      <c r="AA426" t="str">
        <f>IF(AND(SalesCleanTable[[#This Row],[Discount %]]&gt;0, SalesCleanTable[[#This Row],[Profit]]&lt;0), "Discount loss", "Safe")</f>
        <v>Safe</v>
      </c>
      <c r="AB426" s="25">
        <f>(SalesCleanTable[[#This Row],[Unit Price]] - SalesCleanTable[[#This Row],[Unit Cost]]) / SalesCleanTable[[#This Row],[Unit Price]]</f>
        <v>0.21518987341772153</v>
      </c>
      <c r="AC426" t="str">
        <f>IF(SalesCleanTable[[#This Row],[Discount %]] &gt; SalesCleanTable[[#This Row],[Max Allowed Discount]], "Discount loss", "Safe")</f>
        <v>Safe</v>
      </c>
      <c r="AD426" s="4">
        <f>SalesCleanTable[[#This Row],[Unit Price]] - SalesCleanTable[[#This Row],[Unit Cost]]</f>
        <v>1700</v>
      </c>
      <c r="AE426" s="41">
        <f>(SalesCleanTable[[#This Row],[Unit Price]] - SalesCleanTable[[#This Row],[Unit Cost]]) / SalesCleanTable[[#This Row],[Unit Price]]</f>
        <v>0.21518987341772153</v>
      </c>
    </row>
    <row r="427" spans="1:31">
      <c r="A427" t="s">
        <v>613</v>
      </c>
      <c r="B427" s="6">
        <v>45667</v>
      </c>
      <c r="C427" t="s">
        <v>103</v>
      </c>
      <c r="D427" t="s">
        <v>104</v>
      </c>
      <c r="E427" t="s">
        <v>92</v>
      </c>
      <c r="F427" t="s">
        <v>105</v>
      </c>
      <c r="G427" t="s">
        <v>106</v>
      </c>
      <c r="H427" t="s">
        <v>141</v>
      </c>
      <c r="I427" t="s">
        <v>142</v>
      </c>
      <c r="J427" t="s">
        <v>143</v>
      </c>
      <c r="K427" t="s">
        <v>144</v>
      </c>
      <c r="L427" t="s">
        <v>183</v>
      </c>
      <c r="M427" t="s">
        <v>167</v>
      </c>
      <c r="N427">
        <v>5</v>
      </c>
      <c r="O427" s="4">
        <v>1500</v>
      </c>
      <c r="P427" s="4">
        <v>2500</v>
      </c>
      <c r="Q427" s="7">
        <v>0.1</v>
      </c>
      <c r="R427" t="s">
        <v>181</v>
      </c>
      <c r="S427">
        <v>9</v>
      </c>
      <c r="T427">
        <v>12500</v>
      </c>
      <c r="U427">
        <v>1250</v>
      </c>
      <c r="V427">
        <v>11250</v>
      </c>
      <c r="W427">
        <v>7500</v>
      </c>
      <c r="X427">
        <v>3750</v>
      </c>
      <c r="Y427" s="8">
        <v>0.33333333333333331</v>
      </c>
      <c r="Z427" t="s">
        <v>2996</v>
      </c>
      <c r="AA427" t="str">
        <f>IF(AND(SalesCleanTable[[#This Row],[Discount %]]&gt;0, SalesCleanTable[[#This Row],[Profit]]&lt;0), "Discount loss", "Safe")</f>
        <v>Safe</v>
      </c>
      <c r="AB427" s="25">
        <f>(SalesCleanTable[[#This Row],[Unit Price]] - SalesCleanTable[[#This Row],[Unit Cost]]) / SalesCleanTable[[#This Row],[Unit Price]]</f>
        <v>0.4</v>
      </c>
      <c r="AC427" t="str">
        <f>IF(SalesCleanTable[[#This Row],[Discount %]] &gt; SalesCleanTable[[#This Row],[Max Allowed Discount]], "Discount loss", "Safe")</f>
        <v>Safe</v>
      </c>
      <c r="AD427" s="4">
        <f>SalesCleanTable[[#This Row],[Unit Price]] - SalesCleanTable[[#This Row],[Unit Cost]]</f>
        <v>1000</v>
      </c>
      <c r="AE427" s="41">
        <f>(SalesCleanTable[[#This Row],[Unit Price]] - SalesCleanTable[[#This Row],[Unit Cost]]) / SalesCleanTable[[#This Row],[Unit Price]]</f>
        <v>0.4</v>
      </c>
    </row>
    <row r="428" spans="1:31">
      <c r="A428" t="s">
        <v>614</v>
      </c>
      <c r="B428" s="6">
        <v>45934</v>
      </c>
      <c r="C428" t="s">
        <v>53</v>
      </c>
      <c r="D428" t="s">
        <v>54</v>
      </c>
      <c r="E428" t="s">
        <v>38</v>
      </c>
      <c r="F428" t="s">
        <v>55</v>
      </c>
      <c r="G428" t="s">
        <v>56</v>
      </c>
      <c r="H428" t="s">
        <v>145</v>
      </c>
      <c r="I428" t="s">
        <v>146</v>
      </c>
      <c r="J428" t="s">
        <v>147</v>
      </c>
      <c r="K428" t="s">
        <v>148</v>
      </c>
      <c r="L428" t="s">
        <v>183</v>
      </c>
      <c r="M428" t="s">
        <v>171</v>
      </c>
      <c r="N428">
        <v>2</v>
      </c>
      <c r="O428" s="4">
        <v>330</v>
      </c>
      <c r="P428" s="4">
        <v>550</v>
      </c>
      <c r="Q428" s="7">
        <v>0</v>
      </c>
      <c r="R428" t="s">
        <v>175</v>
      </c>
      <c r="S428">
        <v>3</v>
      </c>
      <c r="T428">
        <v>1100</v>
      </c>
      <c r="U428">
        <v>0</v>
      </c>
      <c r="V428">
        <v>1100</v>
      </c>
      <c r="W428">
        <v>660</v>
      </c>
      <c r="X428">
        <v>440</v>
      </c>
      <c r="Y428" s="8">
        <v>0.4</v>
      </c>
      <c r="Z428" t="s">
        <v>2996</v>
      </c>
      <c r="AA428" t="str">
        <f>IF(AND(SalesCleanTable[[#This Row],[Discount %]]&gt;0, SalesCleanTable[[#This Row],[Profit]]&lt;0), "Discount loss", "Safe")</f>
        <v>Safe</v>
      </c>
      <c r="AB428" s="25">
        <f>(SalesCleanTable[[#This Row],[Unit Price]] - SalesCleanTable[[#This Row],[Unit Cost]]) / SalesCleanTable[[#This Row],[Unit Price]]</f>
        <v>0.4</v>
      </c>
      <c r="AC428" t="str">
        <f>IF(SalesCleanTable[[#This Row],[Discount %]] &gt; SalesCleanTable[[#This Row],[Max Allowed Discount]], "Discount loss", "Safe")</f>
        <v>Safe</v>
      </c>
      <c r="AD428" s="4">
        <f>SalesCleanTable[[#This Row],[Unit Price]] - SalesCleanTable[[#This Row],[Unit Cost]]</f>
        <v>220</v>
      </c>
      <c r="AE428" s="41">
        <f>(SalesCleanTable[[#This Row],[Unit Price]] - SalesCleanTable[[#This Row],[Unit Cost]]) / SalesCleanTable[[#This Row],[Unit Price]]</f>
        <v>0.4</v>
      </c>
    </row>
    <row r="429" spans="1:31">
      <c r="A429" t="s">
        <v>615</v>
      </c>
      <c r="B429" s="6">
        <v>45919</v>
      </c>
      <c r="C429" t="s">
        <v>29</v>
      </c>
      <c r="D429" t="s">
        <v>30</v>
      </c>
      <c r="E429" t="s">
        <v>26</v>
      </c>
      <c r="F429" t="s">
        <v>27</v>
      </c>
      <c r="G429" t="s">
        <v>31</v>
      </c>
      <c r="H429" t="s">
        <v>135</v>
      </c>
      <c r="I429" t="s">
        <v>136</v>
      </c>
      <c r="J429" t="s">
        <v>137</v>
      </c>
      <c r="K429" t="s">
        <v>138</v>
      </c>
      <c r="L429" t="s">
        <v>170</v>
      </c>
      <c r="M429" t="s">
        <v>171</v>
      </c>
      <c r="N429">
        <v>1</v>
      </c>
      <c r="O429" s="4">
        <v>6200</v>
      </c>
      <c r="P429" s="4">
        <v>7900</v>
      </c>
      <c r="Q429" s="7">
        <v>0</v>
      </c>
      <c r="R429" t="s">
        <v>173</v>
      </c>
      <c r="S429">
        <v>3</v>
      </c>
      <c r="T429">
        <v>7900</v>
      </c>
      <c r="U429">
        <v>0</v>
      </c>
      <c r="V429">
        <v>7900</v>
      </c>
      <c r="W429">
        <v>6200</v>
      </c>
      <c r="X429">
        <v>1700</v>
      </c>
      <c r="Y429" s="8">
        <v>0.21518987341772153</v>
      </c>
      <c r="Z429" t="s">
        <v>2996</v>
      </c>
      <c r="AA429" t="str">
        <f>IF(AND(SalesCleanTable[[#This Row],[Discount %]]&gt;0, SalesCleanTable[[#This Row],[Profit]]&lt;0), "Discount loss", "Safe")</f>
        <v>Safe</v>
      </c>
      <c r="AB429" s="25">
        <f>(SalesCleanTable[[#This Row],[Unit Price]] - SalesCleanTable[[#This Row],[Unit Cost]]) / SalesCleanTable[[#This Row],[Unit Price]]</f>
        <v>0.21518987341772153</v>
      </c>
      <c r="AC429" t="str">
        <f>IF(SalesCleanTable[[#This Row],[Discount %]] &gt; SalesCleanTable[[#This Row],[Max Allowed Discount]], "Discount loss", "Safe")</f>
        <v>Safe</v>
      </c>
      <c r="AD429" s="4">
        <f>SalesCleanTable[[#This Row],[Unit Price]] - SalesCleanTable[[#This Row],[Unit Cost]]</f>
        <v>1700</v>
      </c>
      <c r="AE429" s="41">
        <f>(SalesCleanTable[[#This Row],[Unit Price]] - SalesCleanTable[[#This Row],[Unit Cost]]) / SalesCleanTable[[#This Row],[Unit Price]]</f>
        <v>0.21518987341772153</v>
      </c>
    </row>
    <row r="430" spans="1:31">
      <c r="A430" t="s">
        <v>616</v>
      </c>
      <c r="B430" s="6">
        <v>45729</v>
      </c>
      <c r="C430" t="s">
        <v>53</v>
      </c>
      <c r="D430" t="s">
        <v>54</v>
      </c>
      <c r="E430" t="s">
        <v>38</v>
      </c>
      <c r="F430" t="s">
        <v>55</v>
      </c>
      <c r="G430" t="s">
        <v>56</v>
      </c>
      <c r="H430" t="s">
        <v>133</v>
      </c>
      <c r="I430" t="s">
        <v>134</v>
      </c>
      <c r="J430" t="s">
        <v>130</v>
      </c>
      <c r="K430" t="s">
        <v>131</v>
      </c>
      <c r="L430" t="s">
        <v>170</v>
      </c>
      <c r="M430" t="s">
        <v>171</v>
      </c>
      <c r="N430">
        <v>8</v>
      </c>
      <c r="O430" s="4">
        <v>330</v>
      </c>
      <c r="P430" s="4">
        <v>550</v>
      </c>
      <c r="Q430" s="7">
        <v>0.1</v>
      </c>
      <c r="R430" t="s">
        <v>175</v>
      </c>
      <c r="S430">
        <v>6</v>
      </c>
      <c r="T430">
        <v>4400</v>
      </c>
      <c r="U430">
        <v>440</v>
      </c>
      <c r="V430">
        <v>3960</v>
      </c>
      <c r="W430">
        <v>2640</v>
      </c>
      <c r="X430">
        <v>1320</v>
      </c>
      <c r="Y430" s="8">
        <v>0.33333333333333331</v>
      </c>
      <c r="Z430" t="s">
        <v>2996</v>
      </c>
      <c r="AA430" t="str">
        <f>IF(AND(SalesCleanTable[[#This Row],[Discount %]]&gt;0, SalesCleanTable[[#This Row],[Profit]]&lt;0), "Discount loss", "Safe")</f>
        <v>Safe</v>
      </c>
      <c r="AB430" s="25">
        <f>(SalesCleanTable[[#This Row],[Unit Price]] - SalesCleanTable[[#This Row],[Unit Cost]]) / SalesCleanTable[[#This Row],[Unit Price]]</f>
        <v>0.4</v>
      </c>
      <c r="AC430" t="str">
        <f>IF(SalesCleanTable[[#This Row],[Discount %]] &gt; SalesCleanTable[[#This Row],[Max Allowed Discount]], "Discount loss", "Safe")</f>
        <v>Safe</v>
      </c>
      <c r="AD430" s="4">
        <f>SalesCleanTable[[#This Row],[Unit Price]] - SalesCleanTable[[#This Row],[Unit Cost]]</f>
        <v>220</v>
      </c>
      <c r="AE430" s="41">
        <f>(SalesCleanTable[[#This Row],[Unit Price]] - SalesCleanTable[[#This Row],[Unit Cost]]) / SalesCleanTable[[#This Row],[Unit Price]]</f>
        <v>0.4</v>
      </c>
    </row>
    <row r="431" spans="1:31">
      <c r="A431" t="s">
        <v>617</v>
      </c>
      <c r="B431" s="6">
        <v>45907</v>
      </c>
      <c r="C431" t="s">
        <v>41</v>
      </c>
      <c r="D431" t="s">
        <v>42</v>
      </c>
      <c r="E431" t="s">
        <v>26</v>
      </c>
      <c r="F431" t="s">
        <v>43</v>
      </c>
      <c r="G431" t="s">
        <v>44</v>
      </c>
      <c r="H431" t="s">
        <v>135</v>
      </c>
      <c r="I431" t="s">
        <v>136</v>
      </c>
      <c r="J431" t="s">
        <v>137</v>
      </c>
      <c r="K431" t="s">
        <v>138</v>
      </c>
      <c r="L431" t="s">
        <v>166</v>
      </c>
      <c r="M431" t="s">
        <v>171</v>
      </c>
      <c r="N431">
        <v>2</v>
      </c>
      <c r="O431" s="4">
        <v>850</v>
      </c>
      <c r="P431" s="4">
        <v>1300</v>
      </c>
      <c r="Q431" s="7">
        <v>0.1</v>
      </c>
      <c r="R431" t="s">
        <v>194</v>
      </c>
      <c r="S431">
        <v>8</v>
      </c>
      <c r="T431">
        <v>2600</v>
      </c>
      <c r="U431">
        <v>260</v>
      </c>
      <c r="V431">
        <v>2340</v>
      </c>
      <c r="W431">
        <v>1700</v>
      </c>
      <c r="X431">
        <v>640</v>
      </c>
      <c r="Y431" s="8">
        <v>0.27350427350427353</v>
      </c>
      <c r="Z431" t="s">
        <v>2995</v>
      </c>
      <c r="AA431" t="str">
        <f>IF(AND(SalesCleanTable[[#This Row],[Discount %]]&gt;0, SalesCleanTable[[#This Row],[Profit]]&lt;0), "Discount loss", "Safe")</f>
        <v>Safe</v>
      </c>
      <c r="AB431" s="25">
        <f>(SalesCleanTable[[#This Row],[Unit Price]] - SalesCleanTable[[#This Row],[Unit Cost]]) / SalesCleanTable[[#This Row],[Unit Price]]</f>
        <v>0.34615384615384615</v>
      </c>
      <c r="AC431" t="str">
        <f>IF(SalesCleanTable[[#This Row],[Discount %]] &gt; SalesCleanTable[[#This Row],[Max Allowed Discount]], "Discount loss", "Safe")</f>
        <v>Safe</v>
      </c>
      <c r="AD431" s="4">
        <f>SalesCleanTable[[#This Row],[Unit Price]] - SalesCleanTable[[#This Row],[Unit Cost]]</f>
        <v>450</v>
      </c>
      <c r="AE431" s="41">
        <f>(SalesCleanTable[[#This Row],[Unit Price]] - SalesCleanTable[[#This Row],[Unit Cost]]) / SalesCleanTable[[#This Row],[Unit Price]]</f>
        <v>0.34615384615384615</v>
      </c>
    </row>
    <row r="432" spans="1:31">
      <c r="A432" t="s">
        <v>618</v>
      </c>
      <c r="B432" s="6">
        <v>45681</v>
      </c>
      <c r="C432" t="s">
        <v>24</v>
      </c>
      <c r="D432" t="s">
        <v>25</v>
      </c>
      <c r="E432" t="s">
        <v>26</v>
      </c>
      <c r="F432" t="s">
        <v>27</v>
      </c>
      <c r="G432" t="s">
        <v>28</v>
      </c>
      <c r="H432" t="s">
        <v>141</v>
      </c>
      <c r="I432" t="s">
        <v>142</v>
      </c>
      <c r="J432" t="s">
        <v>143</v>
      </c>
      <c r="K432" t="s">
        <v>144</v>
      </c>
      <c r="L432" t="s">
        <v>183</v>
      </c>
      <c r="M432" t="s">
        <v>167</v>
      </c>
      <c r="N432">
        <v>1</v>
      </c>
      <c r="O432" s="4">
        <v>14500</v>
      </c>
      <c r="P432" s="4">
        <v>17500</v>
      </c>
      <c r="Q432" s="7">
        <v>0.2</v>
      </c>
      <c r="R432" t="s">
        <v>173</v>
      </c>
      <c r="S432">
        <v>5</v>
      </c>
      <c r="T432">
        <v>17500</v>
      </c>
      <c r="U432">
        <v>3500</v>
      </c>
      <c r="V432">
        <v>14000</v>
      </c>
      <c r="W432">
        <v>14500</v>
      </c>
      <c r="X432">
        <v>-500</v>
      </c>
      <c r="Y432" s="8">
        <v>-3.5714285714285712E-2</v>
      </c>
      <c r="Z432" t="s">
        <v>2995</v>
      </c>
      <c r="AA432" t="str">
        <f>IF(AND(SalesCleanTable[[#This Row],[Discount %]]&gt;0, SalesCleanTable[[#This Row],[Profit]]&lt;0), "Discount loss", "Safe")</f>
        <v>Discount loss</v>
      </c>
      <c r="AB432" s="25">
        <f>(SalesCleanTable[[#This Row],[Unit Price]] - SalesCleanTable[[#This Row],[Unit Cost]]) / SalesCleanTable[[#This Row],[Unit Price]]</f>
        <v>0.17142857142857143</v>
      </c>
      <c r="AC432" t="str">
        <f>IF(SalesCleanTable[[#This Row],[Discount %]] &gt; SalesCleanTable[[#This Row],[Max Allowed Discount]], "Discount loss", "Safe")</f>
        <v>Discount loss</v>
      </c>
      <c r="AD432" s="4">
        <f>SalesCleanTable[[#This Row],[Unit Price]] - SalesCleanTable[[#This Row],[Unit Cost]]</f>
        <v>3000</v>
      </c>
      <c r="AE432" s="41">
        <f>(SalesCleanTable[[#This Row],[Unit Price]] - SalesCleanTable[[#This Row],[Unit Cost]]) / SalesCleanTable[[#This Row],[Unit Price]]</f>
        <v>0.17142857142857143</v>
      </c>
    </row>
    <row r="433" spans="1:31">
      <c r="A433" t="s">
        <v>619</v>
      </c>
      <c r="B433" s="6">
        <v>45949</v>
      </c>
      <c r="C433" t="s">
        <v>36</v>
      </c>
      <c r="D433" t="s">
        <v>37</v>
      </c>
      <c r="E433" t="s">
        <v>38</v>
      </c>
      <c r="F433" t="s">
        <v>39</v>
      </c>
      <c r="G433" t="s">
        <v>40</v>
      </c>
      <c r="H433" t="s">
        <v>141</v>
      </c>
      <c r="I433" t="s">
        <v>142</v>
      </c>
      <c r="J433" t="s">
        <v>143</v>
      </c>
      <c r="K433" t="s">
        <v>144</v>
      </c>
      <c r="L433" t="s">
        <v>183</v>
      </c>
      <c r="M433" t="s">
        <v>186</v>
      </c>
      <c r="N433">
        <v>2</v>
      </c>
      <c r="O433" s="4">
        <v>1650</v>
      </c>
      <c r="P433" s="4">
        <v>2200</v>
      </c>
      <c r="Q433" s="7">
        <v>0.1</v>
      </c>
      <c r="R433" t="s">
        <v>175</v>
      </c>
      <c r="S433">
        <v>4</v>
      </c>
      <c r="T433">
        <v>4400</v>
      </c>
      <c r="U433">
        <v>440</v>
      </c>
      <c r="V433">
        <v>3960</v>
      </c>
      <c r="W433">
        <v>3300</v>
      </c>
      <c r="X433">
        <v>660</v>
      </c>
      <c r="Y433" s="8">
        <v>0.16666666666666666</v>
      </c>
      <c r="Z433" t="s">
        <v>2995</v>
      </c>
      <c r="AA433" t="str">
        <f>IF(AND(SalesCleanTable[[#This Row],[Discount %]]&gt;0, SalesCleanTable[[#This Row],[Profit]]&lt;0), "Discount loss", "Safe")</f>
        <v>Safe</v>
      </c>
      <c r="AB433" s="25">
        <f>(SalesCleanTable[[#This Row],[Unit Price]] - SalesCleanTable[[#This Row],[Unit Cost]]) / SalesCleanTable[[#This Row],[Unit Price]]</f>
        <v>0.25</v>
      </c>
      <c r="AC433" t="str">
        <f>IF(SalesCleanTable[[#This Row],[Discount %]] &gt; SalesCleanTable[[#This Row],[Max Allowed Discount]], "Discount loss", "Safe")</f>
        <v>Safe</v>
      </c>
      <c r="AD433" s="4">
        <f>SalesCleanTable[[#This Row],[Unit Price]] - SalesCleanTable[[#This Row],[Unit Cost]]</f>
        <v>550</v>
      </c>
      <c r="AE433" s="41">
        <f>(SalesCleanTable[[#This Row],[Unit Price]] - SalesCleanTable[[#This Row],[Unit Cost]]) / SalesCleanTable[[#This Row],[Unit Price]]</f>
        <v>0.25</v>
      </c>
    </row>
    <row r="434" spans="1:31">
      <c r="A434" t="s">
        <v>620</v>
      </c>
      <c r="B434" s="6">
        <v>45838</v>
      </c>
      <c r="C434" t="s">
        <v>95</v>
      </c>
      <c r="D434" t="s">
        <v>96</v>
      </c>
      <c r="E434" t="s">
        <v>92</v>
      </c>
      <c r="F434" t="s">
        <v>97</v>
      </c>
      <c r="G434" t="s">
        <v>98</v>
      </c>
      <c r="H434" t="s">
        <v>135</v>
      </c>
      <c r="I434" t="s">
        <v>136</v>
      </c>
      <c r="J434" t="s">
        <v>137</v>
      </c>
      <c r="K434" t="s">
        <v>138</v>
      </c>
      <c r="L434" t="s">
        <v>166</v>
      </c>
      <c r="M434" t="s">
        <v>171</v>
      </c>
      <c r="N434">
        <v>5</v>
      </c>
      <c r="O434" s="4">
        <v>18000</v>
      </c>
      <c r="P434" s="4">
        <v>24500</v>
      </c>
      <c r="Q434" s="7">
        <v>0.15</v>
      </c>
      <c r="R434" t="s">
        <v>217</v>
      </c>
      <c r="S434">
        <v>3</v>
      </c>
      <c r="T434">
        <v>122500</v>
      </c>
      <c r="U434">
        <v>18375</v>
      </c>
      <c r="V434">
        <v>104125</v>
      </c>
      <c r="W434">
        <v>90000</v>
      </c>
      <c r="X434">
        <v>14125</v>
      </c>
      <c r="Y434" s="8">
        <v>0.13565426170468187</v>
      </c>
      <c r="Z434" t="s">
        <v>2995</v>
      </c>
      <c r="AA434" t="str">
        <f>IF(AND(SalesCleanTable[[#This Row],[Discount %]]&gt;0, SalesCleanTable[[#This Row],[Profit]]&lt;0), "Discount loss", "Safe")</f>
        <v>Safe</v>
      </c>
      <c r="AB434" s="25">
        <f>(SalesCleanTable[[#This Row],[Unit Price]] - SalesCleanTable[[#This Row],[Unit Cost]]) / SalesCleanTable[[#This Row],[Unit Price]]</f>
        <v>0.26530612244897961</v>
      </c>
      <c r="AC434" t="str">
        <f>IF(SalesCleanTable[[#This Row],[Discount %]] &gt; SalesCleanTable[[#This Row],[Max Allowed Discount]], "Discount loss", "Safe")</f>
        <v>Safe</v>
      </c>
      <c r="AD434" s="4">
        <f>SalesCleanTable[[#This Row],[Unit Price]] - SalesCleanTable[[#This Row],[Unit Cost]]</f>
        <v>6500</v>
      </c>
      <c r="AE434" s="41">
        <f>(SalesCleanTable[[#This Row],[Unit Price]] - SalesCleanTable[[#This Row],[Unit Cost]]) / SalesCleanTable[[#This Row],[Unit Price]]</f>
        <v>0.26530612244897961</v>
      </c>
    </row>
    <row r="435" spans="1:31">
      <c r="A435" t="s">
        <v>621</v>
      </c>
      <c r="B435" s="6">
        <v>45921</v>
      </c>
      <c r="C435" t="s">
        <v>78</v>
      </c>
      <c r="D435" t="s">
        <v>79</v>
      </c>
      <c r="E435" t="s">
        <v>75</v>
      </c>
      <c r="F435" t="s">
        <v>80</v>
      </c>
      <c r="G435" t="s">
        <v>81</v>
      </c>
      <c r="H435" t="s">
        <v>133</v>
      </c>
      <c r="I435" t="s">
        <v>134</v>
      </c>
      <c r="J435" t="s">
        <v>130</v>
      </c>
      <c r="K435" t="s">
        <v>131</v>
      </c>
      <c r="L435" t="s">
        <v>183</v>
      </c>
      <c r="M435" t="s">
        <v>177</v>
      </c>
      <c r="N435">
        <v>1</v>
      </c>
      <c r="O435" s="4">
        <v>1200</v>
      </c>
      <c r="P435" s="4">
        <v>1900</v>
      </c>
      <c r="Q435" s="7">
        <v>0.05</v>
      </c>
      <c r="R435" t="s">
        <v>187</v>
      </c>
      <c r="S435">
        <v>7</v>
      </c>
      <c r="T435">
        <v>1900</v>
      </c>
      <c r="U435">
        <v>95</v>
      </c>
      <c r="V435">
        <v>1805</v>
      </c>
      <c r="W435">
        <v>1200</v>
      </c>
      <c r="X435">
        <v>605</v>
      </c>
      <c r="Y435" s="8">
        <v>0.33518005540166207</v>
      </c>
      <c r="Z435" t="s">
        <v>2996</v>
      </c>
      <c r="AA435" t="str">
        <f>IF(AND(SalesCleanTable[[#This Row],[Discount %]]&gt;0, SalesCleanTable[[#This Row],[Profit]]&lt;0), "Discount loss", "Safe")</f>
        <v>Safe</v>
      </c>
      <c r="AB435" s="25">
        <f>(SalesCleanTable[[#This Row],[Unit Price]] - SalesCleanTable[[#This Row],[Unit Cost]]) / SalesCleanTable[[#This Row],[Unit Price]]</f>
        <v>0.36842105263157893</v>
      </c>
      <c r="AC435" t="str">
        <f>IF(SalesCleanTable[[#This Row],[Discount %]] &gt; SalesCleanTable[[#This Row],[Max Allowed Discount]], "Discount loss", "Safe")</f>
        <v>Safe</v>
      </c>
      <c r="AD435" s="4">
        <f>SalesCleanTable[[#This Row],[Unit Price]] - SalesCleanTable[[#This Row],[Unit Cost]]</f>
        <v>700</v>
      </c>
      <c r="AE435" s="41">
        <f>(SalesCleanTable[[#This Row],[Unit Price]] - SalesCleanTable[[#This Row],[Unit Cost]]) / SalesCleanTable[[#This Row],[Unit Price]]</f>
        <v>0.36842105263157893</v>
      </c>
    </row>
    <row r="436" spans="1:31">
      <c r="A436" t="s">
        <v>622</v>
      </c>
      <c r="B436" s="6">
        <v>45716</v>
      </c>
      <c r="C436" t="s">
        <v>53</v>
      </c>
      <c r="D436" t="s">
        <v>54</v>
      </c>
      <c r="E436" t="s">
        <v>38</v>
      </c>
      <c r="F436" t="s">
        <v>55</v>
      </c>
      <c r="G436" t="s">
        <v>56</v>
      </c>
      <c r="H436" t="s">
        <v>139</v>
      </c>
      <c r="I436" t="s">
        <v>140</v>
      </c>
      <c r="J436" t="s">
        <v>137</v>
      </c>
      <c r="K436" t="s">
        <v>138</v>
      </c>
      <c r="L436" t="s">
        <v>183</v>
      </c>
      <c r="M436" t="s">
        <v>177</v>
      </c>
      <c r="N436">
        <v>1</v>
      </c>
      <c r="O436" s="4">
        <v>330</v>
      </c>
      <c r="P436" s="4">
        <v>550</v>
      </c>
      <c r="Q436" s="7">
        <v>0</v>
      </c>
      <c r="R436" t="s">
        <v>178</v>
      </c>
      <c r="S436">
        <v>3</v>
      </c>
      <c r="T436">
        <v>550</v>
      </c>
      <c r="U436">
        <v>0</v>
      </c>
      <c r="V436">
        <v>550</v>
      </c>
      <c r="W436">
        <v>330</v>
      </c>
      <c r="X436">
        <v>220</v>
      </c>
      <c r="Y436" s="8">
        <v>0.4</v>
      </c>
      <c r="Z436" t="s">
        <v>2996</v>
      </c>
      <c r="AA436" t="str">
        <f>IF(AND(SalesCleanTable[[#This Row],[Discount %]]&gt;0, SalesCleanTable[[#This Row],[Profit]]&lt;0), "Discount loss", "Safe")</f>
        <v>Safe</v>
      </c>
      <c r="AB436" s="25">
        <f>(SalesCleanTable[[#This Row],[Unit Price]] - SalesCleanTable[[#This Row],[Unit Cost]]) / SalesCleanTable[[#This Row],[Unit Price]]</f>
        <v>0.4</v>
      </c>
      <c r="AC436" t="str">
        <f>IF(SalesCleanTable[[#This Row],[Discount %]] &gt; SalesCleanTable[[#This Row],[Max Allowed Discount]], "Discount loss", "Safe")</f>
        <v>Safe</v>
      </c>
      <c r="AD436" s="4">
        <f>SalesCleanTable[[#This Row],[Unit Price]] - SalesCleanTable[[#This Row],[Unit Cost]]</f>
        <v>220</v>
      </c>
      <c r="AE436" s="41">
        <f>(SalesCleanTable[[#This Row],[Unit Price]] - SalesCleanTable[[#This Row],[Unit Cost]]) / SalesCleanTable[[#This Row],[Unit Price]]</f>
        <v>0.4</v>
      </c>
    </row>
    <row r="437" spans="1:31">
      <c r="A437" t="s">
        <v>623</v>
      </c>
      <c r="B437" s="6">
        <v>45740</v>
      </c>
      <c r="C437" t="s">
        <v>32</v>
      </c>
      <c r="D437" t="s">
        <v>33</v>
      </c>
      <c r="E437" t="s">
        <v>26</v>
      </c>
      <c r="F437" t="s">
        <v>34</v>
      </c>
      <c r="G437" t="s">
        <v>35</v>
      </c>
      <c r="H437" t="s">
        <v>139</v>
      </c>
      <c r="I437" t="s">
        <v>140</v>
      </c>
      <c r="J437" t="s">
        <v>137</v>
      </c>
      <c r="K437" t="s">
        <v>138</v>
      </c>
      <c r="L437" t="s">
        <v>166</v>
      </c>
      <c r="M437" t="s">
        <v>171</v>
      </c>
      <c r="N437">
        <v>6</v>
      </c>
      <c r="O437" s="4">
        <v>7800</v>
      </c>
      <c r="P437" s="4">
        <v>9800</v>
      </c>
      <c r="Q437" s="7">
        <v>0</v>
      </c>
      <c r="R437" t="s">
        <v>173</v>
      </c>
      <c r="S437">
        <v>7</v>
      </c>
      <c r="T437">
        <v>58800</v>
      </c>
      <c r="U437">
        <v>0</v>
      </c>
      <c r="V437">
        <v>58800</v>
      </c>
      <c r="W437">
        <v>46800</v>
      </c>
      <c r="X437">
        <v>12000</v>
      </c>
      <c r="Y437" s="8">
        <v>0.20408163265306123</v>
      </c>
      <c r="Z437" t="s">
        <v>2995</v>
      </c>
      <c r="AA437" t="str">
        <f>IF(AND(SalesCleanTable[[#This Row],[Discount %]]&gt;0, SalesCleanTable[[#This Row],[Profit]]&lt;0), "Discount loss", "Safe")</f>
        <v>Safe</v>
      </c>
      <c r="AB437" s="25">
        <f>(SalesCleanTable[[#This Row],[Unit Price]] - SalesCleanTable[[#This Row],[Unit Cost]]) / SalesCleanTable[[#This Row],[Unit Price]]</f>
        <v>0.20408163265306123</v>
      </c>
      <c r="AC437" t="str">
        <f>IF(SalesCleanTable[[#This Row],[Discount %]] &gt; SalesCleanTable[[#This Row],[Max Allowed Discount]], "Discount loss", "Safe")</f>
        <v>Safe</v>
      </c>
      <c r="AD437" s="4">
        <f>SalesCleanTable[[#This Row],[Unit Price]] - SalesCleanTable[[#This Row],[Unit Cost]]</f>
        <v>2000</v>
      </c>
      <c r="AE437" s="41">
        <f>(SalesCleanTable[[#This Row],[Unit Price]] - SalesCleanTable[[#This Row],[Unit Cost]]) / SalesCleanTable[[#This Row],[Unit Price]]</f>
        <v>0.20408163265306123</v>
      </c>
    </row>
    <row r="438" spans="1:31">
      <c r="A438" t="s">
        <v>624</v>
      </c>
      <c r="B438" s="6">
        <v>45946</v>
      </c>
      <c r="C438" t="s">
        <v>73</v>
      </c>
      <c r="D438" t="s">
        <v>74</v>
      </c>
      <c r="E438" t="s">
        <v>75</v>
      </c>
      <c r="F438" t="s">
        <v>76</v>
      </c>
      <c r="G438" t="s">
        <v>77</v>
      </c>
      <c r="H438" t="s">
        <v>149</v>
      </c>
      <c r="I438" t="s">
        <v>150</v>
      </c>
      <c r="J438" t="s">
        <v>151</v>
      </c>
      <c r="K438" t="s">
        <v>152</v>
      </c>
      <c r="L438" t="s">
        <v>170</v>
      </c>
      <c r="M438" t="s">
        <v>167</v>
      </c>
      <c r="N438">
        <v>4</v>
      </c>
      <c r="O438" s="4">
        <v>3500</v>
      </c>
      <c r="P438" s="4">
        <v>5200</v>
      </c>
      <c r="Q438" s="7">
        <v>0.15</v>
      </c>
      <c r="R438" t="s">
        <v>204</v>
      </c>
      <c r="S438">
        <v>8</v>
      </c>
      <c r="T438">
        <v>20800</v>
      </c>
      <c r="U438">
        <v>3120</v>
      </c>
      <c r="V438">
        <v>17680</v>
      </c>
      <c r="W438">
        <v>14000</v>
      </c>
      <c r="X438">
        <v>3680</v>
      </c>
      <c r="Y438" s="8">
        <v>0.20814479638009051</v>
      </c>
      <c r="Z438" t="s">
        <v>2996</v>
      </c>
      <c r="AA438" t="str">
        <f>IF(AND(SalesCleanTable[[#This Row],[Discount %]]&gt;0, SalesCleanTable[[#This Row],[Profit]]&lt;0), "Discount loss", "Safe")</f>
        <v>Safe</v>
      </c>
      <c r="AB438" s="25">
        <f>(SalesCleanTable[[#This Row],[Unit Price]] - SalesCleanTable[[#This Row],[Unit Cost]]) / SalesCleanTable[[#This Row],[Unit Price]]</f>
        <v>0.32692307692307693</v>
      </c>
      <c r="AC438" t="str">
        <f>IF(SalesCleanTable[[#This Row],[Discount %]] &gt; SalesCleanTable[[#This Row],[Max Allowed Discount]], "Discount loss", "Safe")</f>
        <v>Safe</v>
      </c>
      <c r="AD438" s="4">
        <f>SalesCleanTable[[#This Row],[Unit Price]] - SalesCleanTable[[#This Row],[Unit Cost]]</f>
        <v>1700</v>
      </c>
      <c r="AE438" s="41">
        <f>(SalesCleanTable[[#This Row],[Unit Price]] - SalesCleanTable[[#This Row],[Unit Cost]]) / SalesCleanTable[[#This Row],[Unit Price]]</f>
        <v>0.32692307692307693</v>
      </c>
    </row>
    <row r="439" spans="1:31">
      <c r="A439" t="s">
        <v>625</v>
      </c>
      <c r="B439" s="6">
        <v>45745</v>
      </c>
      <c r="C439" t="s">
        <v>41</v>
      </c>
      <c r="D439" t="s">
        <v>42</v>
      </c>
      <c r="E439" t="s">
        <v>26</v>
      </c>
      <c r="F439" t="s">
        <v>43</v>
      </c>
      <c r="G439" t="s">
        <v>44</v>
      </c>
      <c r="H439" t="s">
        <v>135</v>
      </c>
      <c r="I439" t="s">
        <v>136</v>
      </c>
      <c r="J439" t="s">
        <v>137</v>
      </c>
      <c r="K439" t="s">
        <v>138</v>
      </c>
      <c r="L439" t="s">
        <v>183</v>
      </c>
      <c r="M439" t="s">
        <v>171</v>
      </c>
      <c r="N439">
        <v>1</v>
      </c>
      <c r="O439" s="4">
        <v>850</v>
      </c>
      <c r="P439" s="4">
        <v>1300</v>
      </c>
      <c r="Q439" s="7">
        <v>0.1</v>
      </c>
      <c r="R439" t="s">
        <v>173</v>
      </c>
      <c r="S439">
        <v>5</v>
      </c>
      <c r="T439">
        <v>1300</v>
      </c>
      <c r="U439">
        <v>130</v>
      </c>
      <c r="V439">
        <v>1170</v>
      </c>
      <c r="W439">
        <v>850</v>
      </c>
      <c r="X439">
        <v>320</v>
      </c>
      <c r="Y439" s="8">
        <v>0.27350427350427353</v>
      </c>
      <c r="Z439" t="s">
        <v>2995</v>
      </c>
      <c r="AA439" t="str">
        <f>IF(AND(SalesCleanTable[[#This Row],[Discount %]]&gt;0, SalesCleanTable[[#This Row],[Profit]]&lt;0), "Discount loss", "Safe")</f>
        <v>Safe</v>
      </c>
      <c r="AB439" s="25">
        <f>(SalesCleanTable[[#This Row],[Unit Price]] - SalesCleanTable[[#This Row],[Unit Cost]]) / SalesCleanTable[[#This Row],[Unit Price]]</f>
        <v>0.34615384615384615</v>
      </c>
      <c r="AC439" t="str">
        <f>IF(SalesCleanTable[[#This Row],[Discount %]] &gt; SalesCleanTable[[#This Row],[Max Allowed Discount]], "Discount loss", "Safe")</f>
        <v>Safe</v>
      </c>
      <c r="AD439" s="4">
        <f>SalesCleanTable[[#This Row],[Unit Price]] - SalesCleanTable[[#This Row],[Unit Cost]]</f>
        <v>450</v>
      </c>
      <c r="AE439" s="41">
        <f>(SalesCleanTable[[#This Row],[Unit Price]] - SalesCleanTable[[#This Row],[Unit Cost]]) / SalesCleanTable[[#This Row],[Unit Price]]</f>
        <v>0.34615384615384615</v>
      </c>
    </row>
    <row r="440" spans="1:31">
      <c r="A440" t="s">
        <v>626</v>
      </c>
      <c r="B440" s="6">
        <v>46009</v>
      </c>
      <c r="C440" t="s">
        <v>45</v>
      </c>
      <c r="D440" t="s">
        <v>46</v>
      </c>
      <c r="E440" t="s">
        <v>38</v>
      </c>
      <c r="F440" t="s">
        <v>47</v>
      </c>
      <c r="G440" t="s">
        <v>48</v>
      </c>
      <c r="H440" t="s">
        <v>139</v>
      </c>
      <c r="I440" t="s">
        <v>140</v>
      </c>
      <c r="J440" t="s">
        <v>137</v>
      </c>
      <c r="K440" t="s">
        <v>138</v>
      </c>
      <c r="L440" t="s">
        <v>166</v>
      </c>
      <c r="M440" t="s">
        <v>177</v>
      </c>
      <c r="N440">
        <v>3</v>
      </c>
      <c r="O440" s="4">
        <v>230</v>
      </c>
      <c r="P440" s="4">
        <v>400</v>
      </c>
      <c r="Q440" s="7">
        <v>0</v>
      </c>
      <c r="R440" t="s">
        <v>178</v>
      </c>
      <c r="S440">
        <v>9</v>
      </c>
      <c r="T440">
        <v>1200</v>
      </c>
      <c r="U440">
        <v>0</v>
      </c>
      <c r="V440">
        <v>1200</v>
      </c>
      <c r="W440">
        <v>690</v>
      </c>
      <c r="X440">
        <v>510</v>
      </c>
      <c r="Y440" s="8">
        <v>0.42499999999999999</v>
      </c>
      <c r="Z440" t="s">
        <v>2995</v>
      </c>
      <c r="AA440" t="str">
        <f>IF(AND(SalesCleanTable[[#This Row],[Discount %]]&gt;0, SalesCleanTable[[#This Row],[Profit]]&lt;0), "Discount loss", "Safe")</f>
        <v>Safe</v>
      </c>
      <c r="AB440" s="25">
        <f>(SalesCleanTable[[#This Row],[Unit Price]] - SalesCleanTable[[#This Row],[Unit Cost]]) / SalesCleanTable[[#This Row],[Unit Price]]</f>
        <v>0.42499999999999999</v>
      </c>
      <c r="AC440" t="str">
        <f>IF(SalesCleanTable[[#This Row],[Discount %]] &gt; SalesCleanTable[[#This Row],[Max Allowed Discount]], "Discount loss", "Safe")</f>
        <v>Safe</v>
      </c>
      <c r="AD440" s="4">
        <f>SalesCleanTable[[#This Row],[Unit Price]] - SalesCleanTable[[#This Row],[Unit Cost]]</f>
        <v>170</v>
      </c>
      <c r="AE440" s="41">
        <f>(SalesCleanTable[[#This Row],[Unit Price]] - SalesCleanTable[[#This Row],[Unit Cost]]) / SalesCleanTable[[#This Row],[Unit Price]]</f>
        <v>0.42499999999999999</v>
      </c>
    </row>
    <row r="441" spans="1:31">
      <c r="A441" t="s">
        <v>627</v>
      </c>
      <c r="B441" s="6">
        <v>45916</v>
      </c>
      <c r="C441" t="s">
        <v>78</v>
      </c>
      <c r="D441" t="s">
        <v>79</v>
      </c>
      <c r="E441" t="s">
        <v>75</v>
      </c>
      <c r="F441" t="s">
        <v>80</v>
      </c>
      <c r="G441" t="s">
        <v>81</v>
      </c>
      <c r="H441" t="s">
        <v>149</v>
      </c>
      <c r="I441" t="s">
        <v>150</v>
      </c>
      <c r="J441" t="s">
        <v>151</v>
      </c>
      <c r="K441" t="s">
        <v>152</v>
      </c>
      <c r="L441" t="s">
        <v>183</v>
      </c>
      <c r="M441" t="s">
        <v>171</v>
      </c>
      <c r="N441">
        <v>3</v>
      </c>
      <c r="O441" s="4">
        <v>1200</v>
      </c>
      <c r="P441" s="4">
        <v>1900</v>
      </c>
      <c r="Q441" s="7">
        <v>0</v>
      </c>
      <c r="R441" t="s">
        <v>204</v>
      </c>
      <c r="S441">
        <v>9</v>
      </c>
      <c r="T441">
        <v>5700</v>
      </c>
      <c r="U441">
        <v>0</v>
      </c>
      <c r="V441">
        <v>5700</v>
      </c>
      <c r="W441">
        <v>3600</v>
      </c>
      <c r="X441">
        <v>2100</v>
      </c>
      <c r="Y441" s="8">
        <v>0.36842105263157893</v>
      </c>
      <c r="Z441" t="s">
        <v>2996</v>
      </c>
      <c r="AA441" t="str">
        <f>IF(AND(SalesCleanTable[[#This Row],[Discount %]]&gt;0, SalesCleanTable[[#This Row],[Profit]]&lt;0), "Discount loss", "Safe")</f>
        <v>Safe</v>
      </c>
      <c r="AB441" s="25">
        <f>(SalesCleanTable[[#This Row],[Unit Price]] - SalesCleanTable[[#This Row],[Unit Cost]]) / SalesCleanTable[[#This Row],[Unit Price]]</f>
        <v>0.36842105263157893</v>
      </c>
      <c r="AC441" t="str">
        <f>IF(SalesCleanTable[[#This Row],[Discount %]] &gt; SalesCleanTable[[#This Row],[Max Allowed Discount]], "Discount loss", "Safe")</f>
        <v>Safe</v>
      </c>
      <c r="AD441" s="4">
        <f>SalesCleanTable[[#This Row],[Unit Price]] - SalesCleanTable[[#This Row],[Unit Cost]]</f>
        <v>700</v>
      </c>
      <c r="AE441" s="41">
        <f>(SalesCleanTable[[#This Row],[Unit Price]] - SalesCleanTable[[#This Row],[Unit Cost]]) / SalesCleanTable[[#This Row],[Unit Price]]</f>
        <v>0.36842105263157893</v>
      </c>
    </row>
    <row r="442" spans="1:31">
      <c r="A442" t="s">
        <v>628</v>
      </c>
      <c r="B442" s="6">
        <v>45705</v>
      </c>
      <c r="C442" t="s">
        <v>53</v>
      </c>
      <c r="D442" t="s">
        <v>54</v>
      </c>
      <c r="E442" t="s">
        <v>38</v>
      </c>
      <c r="F442" t="s">
        <v>55</v>
      </c>
      <c r="G442" t="s">
        <v>56</v>
      </c>
      <c r="H442" t="s">
        <v>128</v>
      </c>
      <c r="I442" t="s">
        <v>129</v>
      </c>
      <c r="J442" t="s">
        <v>130</v>
      </c>
      <c r="K442" t="s">
        <v>131</v>
      </c>
      <c r="L442" t="s">
        <v>183</v>
      </c>
      <c r="M442" t="s">
        <v>171</v>
      </c>
      <c r="N442">
        <v>3</v>
      </c>
      <c r="O442" s="4">
        <v>330</v>
      </c>
      <c r="P442" s="4">
        <v>550</v>
      </c>
      <c r="Q442" s="7">
        <v>0.15</v>
      </c>
      <c r="R442" t="s">
        <v>168</v>
      </c>
      <c r="S442">
        <v>7</v>
      </c>
      <c r="T442">
        <v>1650</v>
      </c>
      <c r="U442">
        <v>247.5</v>
      </c>
      <c r="V442">
        <v>1402.5</v>
      </c>
      <c r="W442">
        <v>990</v>
      </c>
      <c r="X442">
        <v>412.5</v>
      </c>
      <c r="Y442" s="8">
        <v>0.29411764705882354</v>
      </c>
      <c r="Z442" t="s">
        <v>2996</v>
      </c>
      <c r="AA442" t="str">
        <f>IF(AND(SalesCleanTable[[#This Row],[Discount %]]&gt;0, SalesCleanTable[[#This Row],[Profit]]&lt;0), "Discount loss", "Safe")</f>
        <v>Safe</v>
      </c>
      <c r="AB442" s="25">
        <f>(SalesCleanTable[[#This Row],[Unit Price]] - SalesCleanTable[[#This Row],[Unit Cost]]) / SalesCleanTable[[#This Row],[Unit Price]]</f>
        <v>0.4</v>
      </c>
      <c r="AC442" t="str">
        <f>IF(SalesCleanTable[[#This Row],[Discount %]] &gt; SalesCleanTable[[#This Row],[Max Allowed Discount]], "Discount loss", "Safe")</f>
        <v>Safe</v>
      </c>
      <c r="AD442" s="4">
        <f>SalesCleanTable[[#This Row],[Unit Price]] - SalesCleanTable[[#This Row],[Unit Cost]]</f>
        <v>220</v>
      </c>
      <c r="AE442" s="41">
        <f>(SalesCleanTable[[#This Row],[Unit Price]] - SalesCleanTable[[#This Row],[Unit Cost]]) / SalesCleanTable[[#This Row],[Unit Price]]</f>
        <v>0.4</v>
      </c>
    </row>
    <row r="443" spans="1:31">
      <c r="A443" t="s">
        <v>629</v>
      </c>
      <c r="B443" s="6">
        <v>45847</v>
      </c>
      <c r="C443" t="s">
        <v>103</v>
      </c>
      <c r="D443" t="s">
        <v>104</v>
      </c>
      <c r="E443" t="s">
        <v>92</v>
      </c>
      <c r="F443" t="s">
        <v>105</v>
      </c>
      <c r="G443" t="s">
        <v>106</v>
      </c>
      <c r="H443" t="s">
        <v>145</v>
      </c>
      <c r="I443" t="s">
        <v>146</v>
      </c>
      <c r="J443" t="s">
        <v>147</v>
      </c>
      <c r="K443" t="s">
        <v>148</v>
      </c>
      <c r="L443" t="s">
        <v>166</v>
      </c>
      <c r="M443" t="s">
        <v>171</v>
      </c>
      <c r="N443">
        <v>2</v>
      </c>
      <c r="O443" s="4">
        <v>1500</v>
      </c>
      <c r="P443" s="4">
        <v>2500</v>
      </c>
      <c r="Q443" s="7">
        <v>0.2</v>
      </c>
      <c r="R443" t="s">
        <v>217</v>
      </c>
      <c r="S443">
        <v>10</v>
      </c>
      <c r="T443">
        <v>5000</v>
      </c>
      <c r="U443">
        <v>1000</v>
      </c>
      <c r="V443">
        <v>4000</v>
      </c>
      <c r="W443">
        <v>3000</v>
      </c>
      <c r="X443">
        <v>1000</v>
      </c>
      <c r="Y443" s="8">
        <v>0.25</v>
      </c>
      <c r="Z443" t="s">
        <v>2996</v>
      </c>
      <c r="AA443" t="str">
        <f>IF(AND(SalesCleanTable[[#This Row],[Discount %]]&gt;0, SalesCleanTable[[#This Row],[Profit]]&lt;0), "Discount loss", "Safe")</f>
        <v>Safe</v>
      </c>
      <c r="AB443" s="25">
        <f>(SalesCleanTable[[#This Row],[Unit Price]] - SalesCleanTable[[#This Row],[Unit Cost]]) / SalesCleanTable[[#This Row],[Unit Price]]</f>
        <v>0.4</v>
      </c>
      <c r="AC443" t="str">
        <f>IF(SalesCleanTable[[#This Row],[Discount %]] &gt; SalesCleanTable[[#This Row],[Max Allowed Discount]], "Discount loss", "Safe")</f>
        <v>Safe</v>
      </c>
      <c r="AD443" s="4">
        <f>SalesCleanTable[[#This Row],[Unit Price]] - SalesCleanTable[[#This Row],[Unit Cost]]</f>
        <v>1000</v>
      </c>
      <c r="AE443" s="41">
        <f>(SalesCleanTable[[#This Row],[Unit Price]] - SalesCleanTable[[#This Row],[Unit Cost]]) / SalesCleanTable[[#This Row],[Unit Price]]</f>
        <v>0.4</v>
      </c>
    </row>
    <row r="444" spans="1:31">
      <c r="A444" t="s">
        <v>630</v>
      </c>
      <c r="B444" s="6">
        <v>46014</v>
      </c>
      <c r="C444" t="s">
        <v>66</v>
      </c>
      <c r="D444" t="s">
        <v>67</v>
      </c>
      <c r="E444" t="s">
        <v>59</v>
      </c>
      <c r="F444" t="s">
        <v>60</v>
      </c>
      <c r="G444" t="s">
        <v>68</v>
      </c>
      <c r="H444" t="s">
        <v>135</v>
      </c>
      <c r="I444" t="s">
        <v>136</v>
      </c>
      <c r="J444" t="s">
        <v>137</v>
      </c>
      <c r="K444" t="s">
        <v>138</v>
      </c>
      <c r="L444" t="s">
        <v>183</v>
      </c>
      <c r="M444" t="s">
        <v>177</v>
      </c>
      <c r="N444">
        <v>2</v>
      </c>
      <c r="O444" s="4">
        <v>2800</v>
      </c>
      <c r="P444" s="4">
        <v>3900</v>
      </c>
      <c r="Q444" s="7">
        <v>0.1</v>
      </c>
      <c r="R444" t="s">
        <v>173</v>
      </c>
      <c r="S444">
        <v>9</v>
      </c>
      <c r="T444">
        <v>7800</v>
      </c>
      <c r="U444">
        <v>780</v>
      </c>
      <c r="V444">
        <v>7020</v>
      </c>
      <c r="W444">
        <v>5600</v>
      </c>
      <c r="X444">
        <v>1420</v>
      </c>
      <c r="Y444" s="8">
        <v>0.20227920227920229</v>
      </c>
      <c r="Z444" t="s">
        <v>2996</v>
      </c>
      <c r="AA444" t="str">
        <f>IF(AND(SalesCleanTable[[#This Row],[Discount %]]&gt;0, SalesCleanTable[[#This Row],[Profit]]&lt;0), "Discount loss", "Safe")</f>
        <v>Safe</v>
      </c>
      <c r="AB444" s="25">
        <f>(SalesCleanTable[[#This Row],[Unit Price]] - SalesCleanTable[[#This Row],[Unit Cost]]) / SalesCleanTable[[#This Row],[Unit Price]]</f>
        <v>0.28205128205128205</v>
      </c>
      <c r="AC444" t="str">
        <f>IF(SalesCleanTable[[#This Row],[Discount %]] &gt; SalesCleanTable[[#This Row],[Max Allowed Discount]], "Discount loss", "Safe")</f>
        <v>Safe</v>
      </c>
      <c r="AD444" s="4">
        <f>SalesCleanTable[[#This Row],[Unit Price]] - SalesCleanTable[[#This Row],[Unit Cost]]</f>
        <v>1100</v>
      </c>
      <c r="AE444" s="41">
        <f>(SalesCleanTable[[#This Row],[Unit Price]] - SalesCleanTable[[#This Row],[Unit Cost]]) / SalesCleanTable[[#This Row],[Unit Price]]</f>
        <v>0.28205128205128205</v>
      </c>
    </row>
    <row r="445" spans="1:31">
      <c r="A445" t="s">
        <v>631</v>
      </c>
      <c r="B445" s="6">
        <v>45754</v>
      </c>
      <c r="C445" t="s">
        <v>24</v>
      </c>
      <c r="D445" t="s">
        <v>25</v>
      </c>
      <c r="E445" t="s">
        <v>26</v>
      </c>
      <c r="F445" t="s">
        <v>27</v>
      </c>
      <c r="G445" t="s">
        <v>28</v>
      </c>
      <c r="H445" t="s">
        <v>145</v>
      </c>
      <c r="I445" t="s">
        <v>146</v>
      </c>
      <c r="J445" t="s">
        <v>147</v>
      </c>
      <c r="K445" t="s">
        <v>148</v>
      </c>
      <c r="L445" t="s">
        <v>166</v>
      </c>
      <c r="M445" t="s">
        <v>186</v>
      </c>
      <c r="N445">
        <v>1</v>
      </c>
      <c r="O445" s="4">
        <v>14500</v>
      </c>
      <c r="P445" s="4">
        <v>17500</v>
      </c>
      <c r="Q445" s="7">
        <v>0.05</v>
      </c>
      <c r="R445" t="s">
        <v>197</v>
      </c>
      <c r="S445">
        <v>12</v>
      </c>
      <c r="T445">
        <v>17500</v>
      </c>
      <c r="U445">
        <v>875</v>
      </c>
      <c r="V445">
        <v>16625</v>
      </c>
      <c r="W445">
        <v>14500</v>
      </c>
      <c r="X445">
        <v>2125</v>
      </c>
      <c r="Y445" s="8">
        <v>0.12781954887218044</v>
      </c>
      <c r="Z445" t="s">
        <v>2995</v>
      </c>
      <c r="AA445" t="str">
        <f>IF(AND(SalesCleanTable[[#This Row],[Discount %]]&gt;0, SalesCleanTable[[#This Row],[Profit]]&lt;0), "Discount loss", "Safe")</f>
        <v>Safe</v>
      </c>
      <c r="AB445" s="25">
        <f>(SalesCleanTable[[#This Row],[Unit Price]] - SalesCleanTable[[#This Row],[Unit Cost]]) / SalesCleanTable[[#This Row],[Unit Price]]</f>
        <v>0.17142857142857143</v>
      </c>
      <c r="AC445" t="str">
        <f>IF(SalesCleanTable[[#This Row],[Discount %]] &gt; SalesCleanTable[[#This Row],[Max Allowed Discount]], "Discount loss", "Safe")</f>
        <v>Safe</v>
      </c>
      <c r="AD445" s="4">
        <f>SalesCleanTable[[#This Row],[Unit Price]] - SalesCleanTable[[#This Row],[Unit Cost]]</f>
        <v>3000</v>
      </c>
      <c r="AE445" s="41">
        <f>(SalesCleanTable[[#This Row],[Unit Price]] - SalesCleanTable[[#This Row],[Unit Cost]]) / SalesCleanTable[[#This Row],[Unit Price]]</f>
        <v>0.17142857142857143</v>
      </c>
    </row>
    <row r="446" spans="1:31">
      <c r="A446" t="s">
        <v>632</v>
      </c>
      <c r="B446" s="6">
        <v>45867</v>
      </c>
      <c r="C446" t="s">
        <v>49</v>
      </c>
      <c r="D446" t="s">
        <v>50</v>
      </c>
      <c r="E446" t="s">
        <v>38</v>
      </c>
      <c r="F446" t="s">
        <v>51</v>
      </c>
      <c r="G446" t="s">
        <v>52</v>
      </c>
      <c r="H446" t="s">
        <v>133</v>
      </c>
      <c r="I446" t="s">
        <v>134</v>
      </c>
      <c r="J446" t="s">
        <v>130</v>
      </c>
      <c r="K446" t="s">
        <v>131</v>
      </c>
      <c r="L446" t="s">
        <v>183</v>
      </c>
      <c r="M446" t="s">
        <v>186</v>
      </c>
      <c r="N446">
        <v>4</v>
      </c>
      <c r="O446" s="4">
        <v>550</v>
      </c>
      <c r="P446" s="4">
        <v>850</v>
      </c>
      <c r="Q446" s="7">
        <v>0</v>
      </c>
      <c r="R446" t="s">
        <v>175</v>
      </c>
      <c r="S446">
        <v>10</v>
      </c>
      <c r="T446">
        <v>3400</v>
      </c>
      <c r="U446">
        <v>0</v>
      </c>
      <c r="V446">
        <v>3400</v>
      </c>
      <c r="W446">
        <v>2200</v>
      </c>
      <c r="X446">
        <v>1200</v>
      </c>
      <c r="Y446" s="8">
        <v>0.35294117647058826</v>
      </c>
      <c r="Z446" t="s">
        <v>2996</v>
      </c>
      <c r="AA446" t="str">
        <f>IF(AND(SalesCleanTable[[#This Row],[Discount %]]&gt;0, SalesCleanTable[[#This Row],[Profit]]&lt;0), "Discount loss", "Safe")</f>
        <v>Safe</v>
      </c>
      <c r="AB446" s="25">
        <f>(SalesCleanTable[[#This Row],[Unit Price]] - SalesCleanTable[[#This Row],[Unit Cost]]) / SalesCleanTable[[#This Row],[Unit Price]]</f>
        <v>0.35294117647058826</v>
      </c>
      <c r="AC446" t="str">
        <f>IF(SalesCleanTable[[#This Row],[Discount %]] &gt; SalesCleanTable[[#This Row],[Max Allowed Discount]], "Discount loss", "Safe")</f>
        <v>Safe</v>
      </c>
      <c r="AD446" s="4">
        <f>SalesCleanTable[[#This Row],[Unit Price]] - SalesCleanTable[[#This Row],[Unit Cost]]</f>
        <v>300</v>
      </c>
      <c r="AE446" s="41">
        <f>(SalesCleanTable[[#This Row],[Unit Price]] - SalesCleanTable[[#This Row],[Unit Cost]]) / SalesCleanTable[[#This Row],[Unit Price]]</f>
        <v>0.35294117647058826</v>
      </c>
    </row>
    <row r="447" spans="1:31">
      <c r="A447" t="s">
        <v>633</v>
      </c>
      <c r="B447" s="6">
        <v>46006</v>
      </c>
      <c r="C447" t="s">
        <v>49</v>
      </c>
      <c r="D447" t="s">
        <v>50</v>
      </c>
      <c r="E447" t="s">
        <v>38</v>
      </c>
      <c r="F447" t="s">
        <v>51</v>
      </c>
      <c r="G447" t="s">
        <v>52</v>
      </c>
      <c r="H447" t="s">
        <v>133</v>
      </c>
      <c r="I447" t="s">
        <v>134</v>
      </c>
      <c r="J447" t="s">
        <v>130</v>
      </c>
      <c r="K447" t="s">
        <v>131</v>
      </c>
      <c r="L447" t="s">
        <v>166</v>
      </c>
      <c r="M447" t="s">
        <v>171</v>
      </c>
      <c r="N447">
        <v>3</v>
      </c>
      <c r="O447" s="4">
        <v>550</v>
      </c>
      <c r="P447" s="4">
        <v>850</v>
      </c>
      <c r="Q447" s="7">
        <v>0.1</v>
      </c>
      <c r="R447" t="s">
        <v>175</v>
      </c>
      <c r="S447">
        <v>5</v>
      </c>
      <c r="T447">
        <v>2550</v>
      </c>
      <c r="U447">
        <v>255</v>
      </c>
      <c r="V447">
        <v>2295</v>
      </c>
      <c r="W447">
        <v>1650</v>
      </c>
      <c r="X447">
        <v>645</v>
      </c>
      <c r="Y447" s="8">
        <v>0.28104575163398693</v>
      </c>
      <c r="Z447" t="s">
        <v>2996</v>
      </c>
      <c r="AA447" t="str">
        <f>IF(AND(SalesCleanTable[[#This Row],[Discount %]]&gt;0, SalesCleanTable[[#This Row],[Profit]]&lt;0), "Discount loss", "Safe")</f>
        <v>Safe</v>
      </c>
      <c r="AB447" s="25">
        <f>(SalesCleanTable[[#This Row],[Unit Price]] - SalesCleanTable[[#This Row],[Unit Cost]]) / SalesCleanTable[[#This Row],[Unit Price]]</f>
        <v>0.35294117647058826</v>
      </c>
      <c r="AC447" t="str">
        <f>IF(SalesCleanTable[[#This Row],[Discount %]] &gt; SalesCleanTable[[#This Row],[Max Allowed Discount]], "Discount loss", "Safe")</f>
        <v>Safe</v>
      </c>
      <c r="AD447" s="4">
        <f>SalesCleanTable[[#This Row],[Unit Price]] - SalesCleanTable[[#This Row],[Unit Cost]]</f>
        <v>300</v>
      </c>
      <c r="AE447" s="41">
        <f>(SalesCleanTable[[#This Row],[Unit Price]] - SalesCleanTable[[#This Row],[Unit Cost]]) / SalesCleanTable[[#This Row],[Unit Price]]</f>
        <v>0.35294117647058826</v>
      </c>
    </row>
    <row r="448" spans="1:31">
      <c r="A448" t="s">
        <v>634</v>
      </c>
      <c r="B448" s="6">
        <v>45953</v>
      </c>
      <c r="C448" t="s">
        <v>45</v>
      </c>
      <c r="D448" t="s">
        <v>46</v>
      </c>
      <c r="E448" t="s">
        <v>38</v>
      </c>
      <c r="F448" t="s">
        <v>47</v>
      </c>
      <c r="G448" t="s">
        <v>48</v>
      </c>
      <c r="H448" t="s">
        <v>145</v>
      </c>
      <c r="I448" t="s">
        <v>146</v>
      </c>
      <c r="J448" t="s">
        <v>147</v>
      </c>
      <c r="K448" t="s">
        <v>148</v>
      </c>
      <c r="L448" t="s">
        <v>183</v>
      </c>
      <c r="M448" t="s">
        <v>171</v>
      </c>
      <c r="N448">
        <v>4</v>
      </c>
      <c r="O448" s="4">
        <v>230</v>
      </c>
      <c r="P448" s="4">
        <v>400</v>
      </c>
      <c r="Q448" s="7">
        <v>0.15</v>
      </c>
      <c r="R448" t="s">
        <v>175</v>
      </c>
      <c r="S448">
        <v>13</v>
      </c>
      <c r="T448">
        <v>1600</v>
      </c>
      <c r="U448">
        <v>240</v>
      </c>
      <c r="V448">
        <v>1360</v>
      </c>
      <c r="W448">
        <v>920</v>
      </c>
      <c r="X448">
        <v>440</v>
      </c>
      <c r="Y448" s="8">
        <v>0.3235294117647059</v>
      </c>
      <c r="Z448" t="s">
        <v>2995</v>
      </c>
      <c r="AA448" t="str">
        <f>IF(AND(SalesCleanTable[[#This Row],[Discount %]]&gt;0, SalesCleanTable[[#This Row],[Profit]]&lt;0), "Discount loss", "Safe")</f>
        <v>Safe</v>
      </c>
      <c r="AB448" s="25">
        <f>(SalesCleanTable[[#This Row],[Unit Price]] - SalesCleanTable[[#This Row],[Unit Cost]]) / SalesCleanTable[[#This Row],[Unit Price]]</f>
        <v>0.42499999999999999</v>
      </c>
      <c r="AC448" t="str">
        <f>IF(SalesCleanTable[[#This Row],[Discount %]] &gt; SalesCleanTable[[#This Row],[Max Allowed Discount]], "Discount loss", "Safe")</f>
        <v>Safe</v>
      </c>
      <c r="AD448" s="4">
        <f>SalesCleanTable[[#This Row],[Unit Price]] - SalesCleanTable[[#This Row],[Unit Cost]]</f>
        <v>170</v>
      </c>
      <c r="AE448" s="41">
        <f>(SalesCleanTable[[#This Row],[Unit Price]] - SalesCleanTable[[#This Row],[Unit Cost]]) / SalesCleanTable[[#This Row],[Unit Price]]</f>
        <v>0.42499999999999999</v>
      </c>
    </row>
    <row r="449" spans="1:31">
      <c r="A449" t="s">
        <v>635</v>
      </c>
      <c r="B449" s="6">
        <v>45740</v>
      </c>
      <c r="C449" t="s">
        <v>32</v>
      </c>
      <c r="D449" t="s">
        <v>33</v>
      </c>
      <c r="E449" t="s">
        <v>26</v>
      </c>
      <c r="F449" t="s">
        <v>34</v>
      </c>
      <c r="G449" t="s">
        <v>35</v>
      </c>
      <c r="H449" t="s">
        <v>139</v>
      </c>
      <c r="I449" t="s">
        <v>140</v>
      </c>
      <c r="J449" t="s">
        <v>137</v>
      </c>
      <c r="K449" t="s">
        <v>138</v>
      </c>
      <c r="L449" t="s">
        <v>183</v>
      </c>
      <c r="M449" t="s">
        <v>171</v>
      </c>
      <c r="N449">
        <v>5</v>
      </c>
      <c r="O449" s="4">
        <v>7800</v>
      </c>
      <c r="P449" s="4">
        <v>9800</v>
      </c>
      <c r="Q449" s="7">
        <v>0.15</v>
      </c>
      <c r="R449" t="s">
        <v>197</v>
      </c>
      <c r="S449">
        <v>3</v>
      </c>
      <c r="T449">
        <v>49000</v>
      </c>
      <c r="U449">
        <v>7350</v>
      </c>
      <c r="V449">
        <v>41650</v>
      </c>
      <c r="W449">
        <v>39000</v>
      </c>
      <c r="X449">
        <v>2650</v>
      </c>
      <c r="Y449" s="8">
        <v>6.3625450180072027E-2</v>
      </c>
      <c r="Z449" t="s">
        <v>2995</v>
      </c>
      <c r="AA449" t="str">
        <f>IF(AND(SalesCleanTable[[#This Row],[Discount %]]&gt;0, SalesCleanTable[[#This Row],[Profit]]&lt;0), "Discount loss", "Safe")</f>
        <v>Safe</v>
      </c>
      <c r="AB449" s="25">
        <f>(SalesCleanTable[[#This Row],[Unit Price]] - SalesCleanTable[[#This Row],[Unit Cost]]) / SalesCleanTable[[#This Row],[Unit Price]]</f>
        <v>0.20408163265306123</v>
      </c>
      <c r="AC449" t="str">
        <f>IF(SalesCleanTable[[#This Row],[Discount %]] &gt; SalesCleanTable[[#This Row],[Max Allowed Discount]], "Discount loss", "Safe")</f>
        <v>Safe</v>
      </c>
      <c r="AD449" s="4">
        <f>SalesCleanTable[[#This Row],[Unit Price]] - SalesCleanTable[[#This Row],[Unit Cost]]</f>
        <v>2000</v>
      </c>
      <c r="AE449" s="41">
        <f>(SalesCleanTable[[#This Row],[Unit Price]] - SalesCleanTable[[#This Row],[Unit Cost]]) / SalesCleanTable[[#This Row],[Unit Price]]</f>
        <v>0.20408163265306123</v>
      </c>
    </row>
    <row r="450" spans="1:31">
      <c r="A450" t="s">
        <v>636</v>
      </c>
      <c r="B450" s="6">
        <v>45983</v>
      </c>
      <c r="C450" t="s">
        <v>24</v>
      </c>
      <c r="D450" t="s">
        <v>25</v>
      </c>
      <c r="E450" t="s">
        <v>26</v>
      </c>
      <c r="F450" t="s">
        <v>27</v>
      </c>
      <c r="G450" t="s">
        <v>28</v>
      </c>
      <c r="H450" t="s">
        <v>128</v>
      </c>
      <c r="I450" t="s">
        <v>129</v>
      </c>
      <c r="J450" t="s">
        <v>130</v>
      </c>
      <c r="K450" t="s">
        <v>131</v>
      </c>
      <c r="L450" t="s">
        <v>166</v>
      </c>
      <c r="M450" t="s">
        <v>177</v>
      </c>
      <c r="N450">
        <v>1</v>
      </c>
      <c r="O450" s="4">
        <v>14500</v>
      </c>
      <c r="P450" s="4">
        <v>17500</v>
      </c>
      <c r="Q450" s="7">
        <v>0.2</v>
      </c>
      <c r="R450" t="s">
        <v>197</v>
      </c>
      <c r="S450">
        <v>6</v>
      </c>
      <c r="T450">
        <v>17500</v>
      </c>
      <c r="U450">
        <v>3500</v>
      </c>
      <c r="V450">
        <v>14000</v>
      </c>
      <c r="W450">
        <v>14500</v>
      </c>
      <c r="X450">
        <v>-500</v>
      </c>
      <c r="Y450" s="8">
        <v>-3.5714285714285712E-2</v>
      </c>
      <c r="Z450" t="s">
        <v>2995</v>
      </c>
      <c r="AA450" t="str">
        <f>IF(AND(SalesCleanTable[[#This Row],[Discount %]]&gt;0, SalesCleanTable[[#This Row],[Profit]]&lt;0), "Discount loss", "Safe")</f>
        <v>Discount loss</v>
      </c>
      <c r="AB450" s="25">
        <f>(SalesCleanTable[[#This Row],[Unit Price]] - SalesCleanTable[[#This Row],[Unit Cost]]) / SalesCleanTable[[#This Row],[Unit Price]]</f>
        <v>0.17142857142857143</v>
      </c>
      <c r="AC450" t="str">
        <f>IF(SalesCleanTable[[#This Row],[Discount %]] &gt; SalesCleanTable[[#This Row],[Max Allowed Discount]], "Discount loss", "Safe")</f>
        <v>Discount loss</v>
      </c>
      <c r="AD450" s="4">
        <f>SalesCleanTable[[#This Row],[Unit Price]] - SalesCleanTable[[#This Row],[Unit Cost]]</f>
        <v>3000</v>
      </c>
      <c r="AE450" s="41">
        <f>(SalesCleanTable[[#This Row],[Unit Price]] - SalesCleanTable[[#This Row],[Unit Cost]]) / SalesCleanTable[[#This Row],[Unit Price]]</f>
        <v>0.17142857142857143</v>
      </c>
    </row>
    <row r="451" spans="1:31">
      <c r="A451" t="s">
        <v>637</v>
      </c>
      <c r="B451" s="6">
        <v>45677</v>
      </c>
      <c r="C451" t="s">
        <v>82</v>
      </c>
      <c r="D451" t="s">
        <v>83</v>
      </c>
      <c r="E451" t="s">
        <v>75</v>
      </c>
      <c r="F451" t="s">
        <v>84</v>
      </c>
      <c r="G451" t="s">
        <v>85</v>
      </c>
      <c r="H451" t="s">
        <v>153</v>
      </c>
      <c r="I451" t="s">
        <v>154</v>
      </c>
      <c r="J451" t="s">
        <v>155</v>
      </c>
      <c r="K451" t="s">
        <v>131</v>
      </c>
      <c r="L451" t="s">
        <v>166</v>
      </c>
      <c r="M451" t="s">
        <v>171</v>
      </c>
      <c r="N451">
        <v>2</v>
      </c>
      <c r="O451" s="4">
        <v>600</v>
      </c>
      <c r="P451" s="4">
        <v>950</v>
      </c>
      <c r="Q451" s="7">
        <v>0.1</v>
      </c>
      <c r="R451" t="s">
        <v>187</v>
      </c>
      <c r="S451">
        <v>13</v>
      </c>
      <c r="T451">
        <v>1900</v>
      </c>
      <c r="U451">
        <v>190</v>
      </c>
      <c r="V451">
        <v>1710</v>
      </c>
      <c r="W451">
        <v>1200</v>
      </c>
      <c r="X451">
        <v>510</v>
      </c>
      <c r="Y451" s="8">
        <v>0.2982456140350877</v>
      </c>
      <c r="Z451" t="s">
        <v>2996</v>
      </c>
      <c r="AA451" t="str">
        <f>IF(AND(SalesCleanTable[[#This Row],[Discount %]]&gt;0, SalesCleanTable[[#This Row],[Profit]]&lt;0), "Discount loss", "Safe")</f>
        <v>Safe</v>
      </c>
      <c r="AB451" s="25">
        <f>(SalesCleanTable[[#This Row],[Unit Price]] - SalesCleanTable[[#This Row],[Unit Cost]]) / SalesCleanTable[[#This Row],[Unit Price]]</f>
        <v>0.36842105263157893</v>
      </c>
      <c r="AC451" t="str">
        <f>IF(SalesCleanTable[[#This Row],[Discount %]] &gt; SalesCleanTable[[#This Row],[Max Allowed Discount]], "Discount loss", "Safe")</f>
        <v>Safe</v>
      </c>
      <c r="AD451" s="4">
        <f>SalesCleanTable[[#This Row],[Unit Price]] - SalesCleanTable[[#This Row],[Unit Cost]]</f>
        <v>350</v>
      </c>
      <c r="AE451" s="41">
        <f>(SalesCleanTable[[#This Row],[Unit Price]] - SalesCleanTable[[#This Row],[Unit Cost]]) / SalesCleanTable[[#This Row],[Unit Price]]</f>
        <v>0.36842105263157893</v>
      </c>
    </row>
    <row r="452" spans="1:31">
      <c r="A452" t="s">
        <v>638</v>
      </c>
      <c r="B452" s="6">
        <v>45985</v>
      </c>
      <c r="C452" t="s">
        <v>53</v>
      </c>
      <c r="D452" t="s">
        <v>54</v>
      </c>
      <c r="E452" t="s">
        <v>38</v>
      </c>
      <c r="F452" t="s">
        <v>55</v>
      </c>
      <c r="G452" t="s">
        <v>56</v>
      </c>
      <c r="H452" t="s">
        <v>128</v>
      </c>
      <c r="I452" t="s">
        <v>129</v>
      </c>
      <c r="J452" t="s">
        <v>130</v>
      </c>
      <c r="K452" t="s">
        <v>131</v>
      </c>
      <c r="L452" t="s">
        <v>166</v>
      </c>
      <c r="M452" t="s">
        <v>177</v>
      </c>
      <c r="N452">
        <v>5</v>
      </c>
      <c r="O452" s="4">
        <v>330</v>
      </c>
      <c r="P452" s="4">
        <v>550</v>
      </c>
      <c r="Q452" s="7">
        <v>0.2</v>
      </c>
      <c r="R452" t="s">
        <v>168</v>
      </c>
      <c r="S452">
        <v>9</v>
      </c>
      <c r="T452">
        <v>2750</v>
      </c>
      <c r="U452">
        <v>550</v>
      </c>
      <c r="V452">
        <v>2200</v>
      </c>
      <c r="W452">
        <v>1650</v>
      </c>
      <c r="X452">
        <v>550</v>
      </c>
      <c r="Y452" s="8">
        <v>0.25</v>
      </c>
      <c r="Z452" t="s">
        <v>2996</v>
      </c>
      <c r="AA452" t="str">
        <f>IF(AND(SalesCleanTable[[#This Row],[Discount %]]&gt;0, SalesCleanTable[[#This Row],[Profit]]&lt;0), "Discount loss", "Safe")</f>
        <v>Safe</v>
      </c>
      <c r="AB452" s="25">
        <f>(SalesCleanTable[[#This Row],[Unit Price]] - SalesCleanTable[[#This Row],[Unit Cost]]) / SalesCleanTable[[#This Row],[Unit Price]]</f>
        <v>0.4</v>
      </c>
      <c r="AC452" t="str">
        <f>IF(SalesCleanTable[[#This Row],[Discount %]] &gt; SalesCleanTable[[#This Row],[Max Allowed Discount]], "Discount loss", "Safe")</f>
        <v>Safe</v>
      </c>
      <c r="AD452" s="4">
        <f>SalesCleanTable[[#This Row],[Unit Price]] - SalesCleanTable[[#This Row],[Unit Cost]]</f>
        <v>220</v>
      </c>
      <c r="AE452" s="41">
        <f>(SalesCleanTable[[#This Row],[Unit Price]] - SalesCleanTable[[#This Row],[Unit Cost]]) / SalesCleanTable[[#This Row],[Unit Price]]</f>
        <v>0.4</v>
      </c>
    </row>
    <row r="453" spans="1:31">
      <c r="A453" t="s">
        <v>639</v>
      </c>
      <c r="B453" s="6">
        <v>45776</v>
      </c>
      <c r="C453" t="s">
        <v>73</v>
      </c>
      <c r="D453" t="s">
        <v>74</v>
      </c>
      <c r="E453" t="s">
        <v>75</v>
      </c>
      <c r="F453" t="s">
        <v>76</v>
      </c>
      <c r="G453" t="s">
        <v>77</v>
      </c>
      <c r="H453" t="s">
        <v>141</v>
      </c>
      <c r="I453" t="s">
        <v>142</v>
      </c>
      <c r="J453" t="s">
        <v>143</v>
      </c>
      <c r="K453" t="s">
        <v>144</v>
      </c>
      <c r="L453" t="s">
        <v>170</v>
      </c>
      <c r="M453" t="s">
        <v>177</v>
      </c>
      <c r="N453">
        <v>2</v>
      </c>
      <c r="O453" s="4">
        <v>3500</v>
      </c>
      <c r="P453" s="4">
        <v>5200</v>
      </c>
      <c r="Q453" s="7">
        <v>0.1</v>
      </c>
      <c r="R453" t="s">
        <v>208</v>
      </c>
      <c r="S453">
        <v>13</v>
      </c>
      <c r="T453">
        <v>10400</v>
      </c>
      <c r="U453">
        <v>1040</v>
      </c>
      <c r="V453">
        <v>9360</v>
      </c>
      <c r="W453">
        <v>7000</v>
      </c>
      <c r="X453">
        <v>2360</v>
      </c>
      <c r="Y453" s="8">
        <v>0.25213675213675213</v>
      </c>
      <c r="Z453" t="s">
        <v>2996</v>
      </c>
      <c r="AA453" t="str">
        <f>IF(AND(SalesCleanTable[[#This Row],[Discount %]]&gt;0, SalesCleanTable[[#This Row],[Profit]]&lt;0), "Discount loss", "Safe")</f>
        <v>Safe</v>
      </c>
      <c r="AB453" s="25">
        <f>(SalesCleanTable[[#This Row],[Unit Price]] - SalesCleanTable[[#This Row],[Unit Cost]]) / SalesCleanTable[[#This Row],[Unit Price]]</f>
        <v>0.32692307692307693</v>
      </c>
      <c r="AC453" t="str">
        <f>IF(SalesCleanTable[[#This Row],[Discount %]] &gt; SalesCleanTable[[#This Row],[Max Allowed Discount]], "Discount loss", "Safe")</f>
        <v>Safe</v>
      </c>
      <c r="AD453" s="4">
        <f>SalesCleanTable[[#This Row],[Unit Price]] - SalesCleanTable[[#This Row],[Unit Cost]]</f>
        <v>1700</v>
      </c>
      <c r="AE453" s="41">
        <f>(SalesCleanTable[[#This Row],[Unit Price]] - SalesCleanTable[[#This Row],[Unit Cost]]) / SalesCleanTable[[#This Row],[Unit Price]]</f>
        <v>0.32692307692307693</v>
      </c>
    </row>
    <row r="454" spans="1:31">
      <c r="A454" t="s">
        <v>640</v>
      </c>
      <c r="B454" s="6">
        <v>46000</v>
      </c>
      <c r="C454" t="s">
        <v>49</v>
      </c>
      <c r="D454" t="s">
        <v>50</v>
      </c>
      <c r="E454" t="s">
        <v>38</v>
      </c>
      <c r="F454" t="s">
        <v>51</v>
      </c>
      <c r="G454" t="s">
        <v>52</v>
      </c>
      <c r="H454" t="s">
        <v>139</v>
      </c>
      <c r="I454" t="s">
        <v>140</v>
      </c>
      <c r="J454" t="s">
        <v>137</v>
      </c>
      <c r="K454" t="s">
        <v>138</v>
      </c>
      <c r="L454" t="s">
        <v>166</v>
      </c>
      <c r="M454" t="s">
        <v>177</v>
      </c>
      <c r="N454">
        <v>3</v>
      </c>
      <c r="O454" s="4">
        <v>550</v>
      </c>
      <c r="P454" s="4">
        <v>850</v>
      </c>
      <c r="Q454" s="7">
        <v>0.1</v>
      </c>
      <c r="R454" t="s">
        <v>175</v>
      </c>
      <c r="S454">
        <v>12</v>
      </c>
      <c r="T454">
        <v>2550</v>
      </c>
      <c r="U454">
        <v>255</v>
      </c>
      <c r="V454">
        <v>2295</v>
      </c>
      <c r="W454">
        <v>1650</v>
      </c>
      <c r="X454">
        <v>645</v>
      </c>
      <c r="Y454" s="8">
        <v>0.28104575163398693</v>
      </c>
      <c r="Z454" t="s">
        <v>2996</v>
      </c>
      <c r="AA454" t="str">
        <f>IF(AND(SalesCleanTable[[#This Row],[Discount %]]&gt;0, SalesCleanTable[[#This Row],[Profit]]&lt;0), "Discount loss", "Safe")</f>
        <v>Safe</v>
      </c>
      <c r="AB454" s="25">
        <f>(SalesCleanTable[[#This Row],[Unit Price]] - SalesCleanTable[[#This Row],[Unit Cost]]) / SalesCleanTable[[#This Row],[Unit Price]]</f>
        <v>0.35294117647058826</v>
      </c>
      <c r="AC454" t="str">
        <f>IF(SalesCleanTable[[#This Row],[Discount %]] &gt; SalesCleanTable[[#This Row],[Max Allowed Discount]], "Discount loss", "Safe")</f>
        <v>Safe</v>
      </c>
      <c r="AD454" s="4">
        <f>SalesCleanTable[[#This Row],[Unit Price]] - SalesCleanTable[[#This Row],[Unit Cost]]</f>
        <v>300</v>
      </c>
      <c r="AE454" s="41">
        <f>(SalesCleanTable[[#This Row],[Unit Price]] - SalesCleanTable[[#This Row],[Unit Cost]]) / SalesCleanTable[[#This Row],[Unit Price]]</f>
        <v>0.35294117647058826</v>
      </c>
    </row>
    <row r="455" spans="1:31">
      <c r="A455" t="s">
        <v>641</v>
      </c>
      <c r="B455" s="6">
        <v>45956</v>
      </c>
      <c r="C455" t="s">
        <v>45</v>
      </c>
      <c r="D455" t="s">
        <v>46</v>
      </c>
      <c r="E455" t="s">
        <v>38</v>
      </c>
      <c r="F455" t="s">
        <v>47</v>
      </c>
      <c r="G455" t="s">
        <v>48</v>
      </c>
      <c r="H455" t="s">
        <v>153</v>
      </c>
      <c r="I455" t="s">
        <v>154</v>
      </c>
      <c r="J455" t="s">
        <v>155</v>
      </c>
      <c r="K455" t="s">
        <v>131</v>
      </c>
      <c r="L455" t="s">
        <v>166</v>
      </c>
      <c r="M455" t="s">
        <v>171</v>
      </c>
      <c r="N455">
        <v>2</v>
      </c>
      <c r="O455" s="4">
        <v>230</v>
      </c>
      <c r="P455" s="4">
        <v>400</v>
      </c>
      <c r="Q455" s="7">
        <v>0.1</v>
      </c>
      <c r="R455" t="s">
        <v>168</v>
      </c>
      <c r="S455">
        <v>1</v>
      </c>
      <c r="T455">
        <v>800</v>
      </c>
      <c r="U455">
        <v>80</v>
      </c>
      <c r="V455">
        <v>720</v>
      </c>
      <c r="W455">
        <v>460</v>
      </c>
      <c r="X455">
        <v>260</v>
      </c>
      <c r="Y455" s="8">
        <v>0.3611111111111111</v>
      </c>
      <c r="Z455" t="s">
        <v>2995</v>
      </c>
      <c r="AA455" t="str">
        <f>IF(AND(SalesCleanTable[[#This Row],[Discount %]]&gt;0, SalesCleanTable[[#This Row],[Profit]]&lt;0), "Discount loss", "Safe")</f>
        <v>Safe</v>
      </c>
      <c r="AB455" s="25">
        <f>(SalesCleanTable[[#This Row],[Unit Price]] - SalesCleanTable[[#This Row],[Unit Cost]]) / SalesCleanTable[[#This Row],[Unit Price]]</f>
        <v>0.42499999999999999</v>
      </c>
      <c r="AC455" t="str">
        <f>IF(SalesCleanTable[[#This Row],[Discount %]] &gt; SalesCleanTable[[#This Row],[Max Allowed Discount]], "Discount loss", "Safe")</f>
        <v>Safe</v>
      </c>
      <c r="AD455" s="4">
        <f>SalesCleanTable[[#This Row],[Unit Price]] - SalesCleanTable[[#This Row],[Unit Cost]]</f>
        <v>170</v>
      </c>
      <c r="AE455" s="41">
        <f>(SalesCleanTable[[#This Row],[Unit Price]] - SalesCleanTable[[#This Row],[Unit Cost]]) / SalesCleanTable[[#This Row],[Unit Price]]</f>
        <v>0.42499999999999999</v>
      </c>
    </row>
    <row r="456" spans="1:31">
      <c r="A456" t="s">
        <v>642</v>
      </c>
      <c r="B456" s="6">
        <v>45866</v>
      </c>
      <c r="C456" t="s">
        <v>57</v>
      </c>
      <c r="D456" t="s">
        <v>58</v>
      </c>
      <c r="E456" t="s">
        <v>59</v>
      </c>
      <c r="F456" t="s">
        <v>60</v>
      </c>
      <c r="G456" t="s">
        <v>61</v>
      </c>
      <c r="H456" t="s">
        <v>139</v>
      </c>
      <c r="I456" t="s">
        <v>140</v>
      </c>
      <c r="J456" t="s">
        <v>137</v>
      </c>
      <c r="K456" t="s">
        <v>138</v>
      </c>
      <c r="L456" t="s">
        <v>166</v>
      </c>
      <c r="M456" t="s">
        <v>186</v>
      </c>
      <c r="N456">
        <v>3</v>
      </c>
      <c r="O456" s="4">
        <v>2400</v>
      </c>
      <c r="P456" s="4">
        <v>3400</v>
      </c>
      <c r="Q456" s="7">
        <v>0.05</v>
      </c>
      <c r="R456" t="s">
        <v>204</v>
      </c>
      <c r="S456">
        <v>9</v>
      </c>
      <c r="T456">
        <v>10200</v>
      </c>
      <c r="U456">
        <v>510</v>
      </c>
      <c r="V456">
        <v>9690</v>
      </c>
      <c r="W456">
        <v>7200</v>
      </c>
      <c r="X456">
        <v>2490</v>
      </c>
      <c r="Y456" s="8">
        <v>0.25696594427244585</v>
      </c>
      <c r="Z456" t="s">
        <v>2996</v>
      </c>
      <c r="AA456" t="str">
        <f>IF(AND(SalesCleanTable[[#This Row],[Discount %]]&gt;0, SalesCleanTable[[#This Row],[Profit]]&lt;0), "Discount loss", "Safe")</f>
        <v>Safe</v>
      </c>
      <c r="AB456" s="25">
        <f>(SalesCleanTable[[#This Row],[Unit Price]] - SalesCleanTable[[#This Row],[Unit Cost]]) / SalesCleanTable[[#This Row],[Unit Price]]</f>
        <v>0.29411764705882354</v>
      </c>
      <c r="AC456" t="str">
        <f>IF(SalesCleanTable[[#This Row],[Discount %]] &gt; SalesCleanTable[[#This Row],[Max Allowed Discount]], "Discount loss", "Safe")</f>
        <v>Safe</v>
      </c>
      <c r="AD456" s="4">
        <f>SalesCleanTable[[#This Row],[Unit Price]] - SalesCleanTable[[#This Row],[Unit Cost]]</f>
        <v>1000</v>
      </c>
      <c r="AE456" s="41">
        <f>(SalesCleanTable[[#This Row],[Unit Price]] - SalesCleanTable[[#This Row],[Unit Cost]]) / SalesCleanTable[[#This Row],[Unit Price]]</f>
        <v>0.29411764705882354</v>
      </c>
    </row>
    <row r="457" spans="1:31">
      <c r="A457" t="s">
        <v>643</v>
      </c>
      <c r="B457" s="6">
        <v>45952</v>
      </c>
      <c r="C457" t="s">
        <v>41</v>
      </c>
      <c r="D457" t="s">
        <v>42</v>
      </c>
      <c r="E457" t="s">
        <v>26</v>
      </c>
      <c r="F457" t="s">
        <v>43</v>
      </c>
      <c r="G457" t="s">
        <v>44</v>
      </c>
      <c r="H457" t="s">
        <v>135</v>
      </c>
      <c r="I457" t="s">
        <v>136</v>
      </c>
      <c r="J457" t="s">
        <v>137</v>
      </c>
      <c r="K457" t="s">
        <v>138</v>
      </c>
      <c r="L457" t="s">
        <v>166</v>
      </c>
      <c r="M457" t="s">
        <v>186</v>
      </c>
      <c r="N457">
        <v>2</v>
      </c>
      <c r="O457" s="4">
        <v>850</v>
      </c>
      <c r="P457" s="4">
        <v>1300</v>
      </c>
      <c r="Q457" s="7">
        <v>0.05</v>
      </c>
      <c r="R457" t="s">
        <v>194</v>
      </c>
      <c r="S457">
        <v>11</v>
      </c>
      <c r="T457">
        <v>2600</v>
      </c>
      <c r="U457">
        <v>130</v>
      </c>
      <c r="V457">
        <v>2470</v>
      </c>
      <c r="W457">
        <v>1700</v>
      </c>
      <c r="X457">
        <v>770</v>
      </c>
      <c r="Y457" s="8">
        <v>0.31174089068825911</v>
      </c>
      <c r="Z457" t="s">
        <v>2995</v>
      </c>
      <c r="AA457" t="str">
        <f>IF(AND(SalesCleanTable[[#This Row],[Discount %]]&gt;0, SalesCleanTable[[#This Row],[Profit]]&lt;0), "Discount loss", "Safe")</f>
        <v>Safe</v>
      </c>
      <c r="AB457" s="25">
        <f>(SalesCleanTable[[#This Row],[Unit Price]] - SalesCleanTable[[#This Row],[Unit Cost]]) / SalesCleanTable[[#This Row],[Unit Price]]</f>
        <v>0.34615384615384615</v>
      </c>
      <c r="AC457" t="str">
        <f>IF(SalesCleanTable[[#This Row],[Discount %]] &gt; SalesCleanTable[[#This Row],[Max Allowed Discount]], "Discount loss", "Safe")</f>
        <v>Safe</v>
      </c>
      <c r="AD457" s="4">
        <f>SalesCleanTable[[#This Row],[Unit Price]] - SalesCleanTable[[#This Row],[Unit Cost]]</f>
        <v>450</v>
      </c>
      <c r="AE457" s="41">
        <f>(SalesCleanTable[[#This Row],[Unit Price]] - SalesCleanTable[[#This Row],[Unit Cost]]) / SalesCleanTable[[#This Row],[Unit Price]]</f>
        <v>0.34615384615384615</v>
      </c>
    </row>
    <row r="458" spans="1:31">
      <c r="A458" t="s">
        <v>644</v>
      </c>
      <c r="B458" s="6">
        <v>45958</v>
      </c>
      <c r="C458" t="s">
        <v>103</v>
      </c>
      <c r="D458" t="s">
        <v>104</v>
      </c>
      <c r="E458" t="s">
        <v>92</v>
      </c>
      <c r="F458" t="s">
        <v>105</v>
      </c>
      <c r="G458" t="s">
        <v>106</v>
      </c>
      <c r="H458" t="s">
        <v>139</v>
      </c>
      <c r="I458" t="s">
        <v>140</v>
      </c>
      <c r="J458" t="s">
        <v>137</v>
      </c>
      <c r="K458" t="s">
        <v>138</v>
      </c>
      <c r="L458" t="s">
        <v>183</v>
      </c>
      <c r="M458" t="s">
        <v>167</v>
      </c>
      <c r="N458">
        <v>2</v>
      </c>
      <c r="O458" s="4">
        <v>1500</v>
      </c>
      <c r="P458" s="4">
        <v>2500</v>
      </c>
      <c r="Q458" s="7">
        <v>0.05</v>
      </c>
      <c r="R458" t="s">
        <v>215</v>
      </c>
      <c r="S458">
        <v>4</v>
      </c>
      <c r="T458">
        <v>5000</v>
      </c>
      <c r="U458">
        <v>250</v>
      </c>
      <c r="V458">
        <v>4750</v>
      </c>
      <c r="W458">
        <v>3000</v>
      </c>
      <c r="X458">
        <v>1750</v>
      </c>
      <c r="Y458" s="8">
        <v>0.36842105263157893</v>
      </c>
      <c r="Z458" t="s">
        <v>2996</v>
      </c>
      <c r="AA458" t="str">
        <f>IF(AND(SalesCleanTable[[#This Row],[Discount %]]&gt;0, SalesCleanTable[[#This Row],[Profit]]&lt;0), "Discount loss", "Safe")</f>
        <v>Safe</v>
      </c>
      <c r="AB458" s="25">
        <f>(SalesCleanTable[[#This Row],[Unit Price]] - SalesCleanTable[[#This Row],[Unit Cost]]) / SalesCleanTable[[#This Row],[Unit Price]]</f>
        <v>0.4</v>
      </c>
      <c r="AC458" t="str">
        <f>IF(SalesCleanTable[[#This Row],[Discount %]] &gt; SalesCleanTable[[#This Row],[Max Allowed Discount]], "Discount loss", "Safe")</f>
        <v>Safe</v>
      </c>
      <c r="AD458" s="4">
        <f>SalesCleanTable[[#This Row],[Unit Price]] - SalesCleanTable[[#This Row],[Unit Cost]]</f>
        <v>1000</v>
      </c>
      <c r="AE458" s="41">
        <f>(SalesCleanTable[[#This Row],[Unit Price]] - SalesCleanTable[[#This Row],[Unit Cost]]) / SalesCleanTable[[#This Row],[Unit Price]]</f>
        <v>0.4</v>
      </c>
    </row>
    <row r="459" spans="1:31">
      <c r="A459" t="s">
        <v>645</v>
      </c>
      <c r="B459" s="6">
        <v>45869</v>
      </c>
      <c r="C459" t="s">
        <v>116</v>
      </c>
      <c r="D459" t="s">
        <v>117</v>
      </c>
      <c r="E459" t="s">
        <v>109</v>
      </c>
      <c r="F459" t="s">
        <v>118</v>
      </c>
      <c r="G459" t="s">
        <v>119</v>
      </c>
      <c r="H459" t="s">
        <v>139</v>
      </c>
      <c r="I459" t="s">
        <v>140</v>
      </c>
      <c r="J459" t="s">
        <v>137</v>
      </c>
      <c r="K459" t="s">
        <v>138</v>
      </c>
      <c r="L459" t="s">
        <v>166</v>
      </c>
      <c r="M459" t="s">
        <v>177</v>
      </c>
      <c r="N459">
        <v>1</v>
      </c>
      <c r="O459" s="4">
        <v>2800</v>
      </c>
      <c r="P459" s="4">
        <v>4200</v>
      </c>
      <c r="Q459" s="7">
        <v>0.15</v>
      </c>
      <c r="R459" t="s">
        <v>184</v>
      </c>
      <c r="S459">
        <v>12</v>
      </c>
      <c r="T459">
        <v>4200</v>
      </c>
      <c r="U459">
        <v>630</v>
      </c>
      <c r="V459">
        <v>3570</v>
      </c>
      <c r="W459">
        <v>2800</v>
      </c>
      <c r="X459">
        <v>770</v>
      </c>
      <c r="Y459" s="8">
        <v>0.21568627450980393</v>
      </c>
      <c r="Z459" t="s">
        <v>2995</v>
      </c>
      <c r="AA459" t="str">
        <f>IF(AND(SalesCleanTable[[#This Row],[Discount %]]&gt;0, SalesCleanTable[[#This Row],[Profit]]&lt;0), "Discount loss", "Safe")</f>
        <v>Safe</v>
      </c>
      <c r="AB459" s="25">
        <f>(SalesCleanTable[[#This Row],[Unit Price]] - SalesCleanTable[[#This Row],[Unit Cost]]) / SalesCleanTable[[#This Row],[Unit Price]]</f>
        <v>0.33333333333333331</v>
      </c>
      <c r="AC459" t="str">
        <f>IF(SalesCleanTable[[#This Row],[Discount %]] &gt; SalesCleanTable[[#This Row],[Max Allowed Discount]], "Discount loss", "Safe")</f>
        <v>Safe</v>
      </c>
      <c r="AD459" s="4">
        <f>SalesCleanTable[[#This Row],[Unit Price]] - SalesCleanTable[[#This Row],[Unit Cost]]</f>
        <v>1400</v>
      </c>
      <c r="AE459" s="41">
        <f>(SalesCleanTable[[#This Row],[Unit Price]] - SalesCleanTable[[#This Row],[Unit Cost]]) / SalesCleanTable[[#This Row],[Unit Price]]</f>
        <v>0.33333333333333331</v>
      </c>
    </row>
    <row r="460" spans="1:31">
      <c r="A460" t="s">
        <v>646</v>
      </c>
      <c r="B460" s="6">
        <v>45696</v>
      </c>
      <c r="C460" t="s">
        <v>62</v>
      </c>
      <c r="D460" t="s">
        <v>63</v>
      </c>
      <c r="E460" t="s">
        <v>59</v>
      </c>
      <c r="F460" t="s">
        <v>64</v>
      </c>
      <c r="G460" t="s">
        <v>65</v>
      </c>
      <c r="H460" t="s">
        <v>133</v>
      </c>
      <c r="I460" t="s">
        <v>134</v>
      </c>
      <c r="J460" t="s">
        <v>130</v>
      </c>
      <c r="K460" t="s">
        <v>131</v>
      </c>
      <c r="L460" t="s">
        <v>166</v>
      </c>
      <c r="M460" t="s">
        <v>177</v>
      </c>
      <c r="N460">
        <v>2</v>
      </c>
      <c r="O460" s="4">
        <v>3200</v>
      </c>
      <c r="P460" s="4">
        <v>4500</v>
      </c>
      <c r="Q460" s="7">
        <v>0</v>
      </c>
      <c r="R460" t="s">
        <v>173</v>
      </c>
      <c r="S460">
        <v>11</v>
      </c>
      <c r="T460">
        <v>9000</v>
      </c>
      <c r="U460">
        <v>0</v>
      </c>
      <c r="V460">
        <v>9000</v>
      </c>
      <c r="W460">
        <v>6400</v>
      </c>
      <c r="X460">
        <v>2600</v>
      </c>
      <c r="Y460" s="8">
        <v>0.28888888888888886</v>
      </c>
      <c r="Z460" t="s">
        <v>2996</v>
      </c>
      <c r="AA460" t="str">
        <f>IF(AND(SalesCleanTable[[#This Row],[Discount %]]&gt;0, SalesCleanTable[[#This Row],[Profit]]&lt;0), "Discount loss", "Safe")</f>
        <v>Safe</v>
      </c>
      <c r="AB460" s="25">
        <f>(SalesCleanTable[[#This Row],[Unit Price]] - SalesCleanTable[[#This Row],[Unit Cost]]) / SalesCleanTable[[#This Row],[Unit Price]]</f>
        <v>0.28888888888888886</v>
      </c>
      <c r="AC460" t="str">
        <f>IF(SalesCleanTable[[#This Row],[Discount %]] &gt; SalesCleanTable[[#This Row],[Max Allowed Discount]], "Discount loss", "Safe")</f>
        <v>Safe</v>
      </c>
      <c r="AD460" s="4">
        <f>SalesCleanTable[[#This Row],[Unit Price]] - SalesCleanTable[[#This Row],[Unit Cost]]</f>
        <v>1300</v>
      </c>
      <c r="AE460" s="41">
        <f>(SalesCleanTable[[#This Row],[Unit Price]] - SalesCleanTable[[#This Row],[Unit Cost]]) / SalesCleanTable[[#This Row],[Unit Price]]</f>
        <v>0.28888888888888886</v>
      </c>
    </row>
    <row r="461" spans="1:31">
      <c r="A461" t="s">
        <v>647</v>
      </c>
      <c r="B461" s="6">
        <v>45755</v>
      </c>
      <c r="C461" t="s">
        <v>53</v>
      </c>
      <c r="D461" t="s">
        <v>54</v>
      </c>
      <c r="E461" t="s">
        <v>38</v>
      </c>
      <c r="F461" t="s">
        <v>55</v>
      </c>
      <c r="G461" t="s">
        <v>56</v>
      </c>
      <c r="H461" t="s">
        <v>133</v>
      </c>
      <c r="I461" t="s">
        <v>134</v>
      </c>
      <c r="J461" t="s">
        <v>130</v>
      </c>
      <c r="K461" t="s">
        <v>131</v>
      </c>
      <c r="L461" t="s">
        <v>166</v>
      </c>
      <c r="M461" t="s">
        <v>167</v>
      </c>
      <c r="N461">
        <v>4</v>
      </c>
      <c r="O461" s="4">
        <v>330</v>
      </c>
      <c r="P461" s="4">
        <v>550</v>
      </c>
      <c r="Q461" s="7">
        <v>0.15</v>
      </c>
      <c r="R461" t="s">
        <v>178</v>
      </c>
      <c r="S461">
        <v>14</v>
      </c>
      <c r="T461">
        <v>2200</v>
      </c>
      <c r="U461">
        <v>330</v>
      </c>
      <c r="V461">
        <v>1870</v>
      </c>
      <c r="W461">
        <v>1320</v>
      </c>
      <c r="X461">
        <v>550</v>
      </c>
      <c r="Y461" s="8">
        <v>0.29411764705882354</v>
      </c>
      <c r="Z461" t="s">
        <v>2996</v>
      </c>
      <c r="AA461" t="str">
        <f>IF(AND(SalesCleanTable[[#This Row],[Discount %]]&gt;0, SalesCleanTable[[#This Row],[Profit]]&lt;0), "Discount loss", "Safe")</f>
        <v>Safe</v>
      </c>
      <c r="AB461" s="25">
        <f>(SalesCleanTable[[#This Row],[Unit Price]] - SalesCleanTable[[#This Row],[Unit Cost]]) / SalesCleanTable[[#This Row],[Unit Price]]</f>
        <v>0.4</v>
      </c>
      <c r="AC461" t="str">
        <f>IF(SalesCleanTable[[#This Row],[Discount %]] &gt; SalesCleanTable[[#This Row],[Max Allowed Discount]], "Discount loss", "Safe")</f>
        <v>Safe</v>
      </c>
      <c r="AD461" s="4">
        <f>SalesCleanTable[[#This Row],[Unit Price]] - SalesCleanTable[[#This Row],[Unit Cost]]</f>
        <v>220</v>
      </c>
      <c r="AE461" s="41">
        <f>(SalesCleanTable[[#This Row],[Unit Price]] - SalesCleanTable[[#This Row],[Unit Cost]]) / SalesCleanTable[[#This Row],[Unit Price]]</f>
        <v>0.4</v>
      </c>
    </row>
    <row r="462" spans="1:31">
      <c r="A462" t="s">
        <v>648</v>
      </c>
      <c r="B462" s="6">
        <v>45737</v>
      </c>
      <c r="C462" t="s">
        <v>90</v>
      </c>
      <c r="D462" t="s">
        <v>91</v>
      </c>
      <c r="E462" t="s">
        <v>92</v>
      </c>
      <c r="F462" t="s">
        <v>93</v>
      </c>
      <c r="G462" t="s">
        <v>94</v>
      </c>
      <c r="H462" t="s">
        <v>128</v>
      </c>
      <c r="I462" t="s">
        <v>129</v>
      </c>
      <c r="J462" t="s">
        <v>130</v>
      </c>
      <c r="K462" t="s">
        <v>131</v>
      </c>
      <c r="L462" t="s">
        <v>166</v>
      </c>
      <c r="M462" t="s">
        <v>177</v>
      </c>
      <c r="N462">
        <v>1</v>
      </c>
      <c r="O462" s="4">
        <v>7500</v>
      </c>
      <c r="P462" s="4">
        <v>10500</v>
      </c>
      <c r="Q462" s="7">
        <v>0.25</v>
      </c>
      <c r="R462" t="s">
        <v>215</v>
      </c>
      <c r="S462">
        <v>1</v>
      </c>
      <c r="T462">
        <v>10500</v>
      </c>
      <c r="U462">
        <v>2625</v>
      </c>
      <c r="V462">
        <v>7875</v>
      </c>
      <c r="W462">
        <v>7500</v>
      </c>
      <c r="X462">
        <v>375</v>
      </c>
      <c r="Y462" s="8">
        <v>4.7619047619047616E-2</v>
      </c>
      <c r="Z462" t="s">
        <v>2996</v>
      </c>
      <c r="AA462" t="str">
        <f>IF(AND(SalesCleanTable[[#This Row],[Discount %]]&gt;0, SalesCleanTable[[#This Row],[Profit]]&lt;0), "Discount loss", "Safe")</f>
        <v>Safe</v>
      </c>
      <c r="AB462" s="25">
        <f>(SalesCleanTable[[#This Row],[Unit Price]] - SalesCleanTable[[#This Row],[Unit Cost]]) / SalesCleanTable[[#This Row],[Unit Price]]</f>
        <v>0.2857142857142857</v>
      </c>
      <c r="AC462" t="str">
        <f>IF(SalesCleanTable[[#This Row],[Discount %]] &gt; SalesCleanTable[[#This Row],[Max Allowed Discount]], "Discount loss", "Safe")</f>
        <v>Safe</v>
      </c>
      <c r="AD462" s="4">
        <f>SalesCleanTable[[#This Row],[Unit Price]] - SalesCleanTable[[#This Row],[Unit Cost]]</f>
        <v>3000</v>
      </c>
      <c r="AE462" s="41">
        <f>(SalesCleanTable[[#This Row],[Unit Price]] - SalesCleanTable[[#This Row],[Unit Cost]]) / SalesCleanTable[[#This Row],[Unit Price]]</f>
        <v>0.2857142857142857</v>
      </c>
    </row>
    <row r="463" spans="1:31">
      <c r="A463" t="s">
        <v>649</v>
      </c>
      <c r="B463" s="6">
        <v>45848</v>
      </c>
      <c r="C463" t="s">
        <v>73</v>
      </c>
      <c r="D463" t="s">
        <v>74</v>
      </c>
      <c r="E463" t="s">
        <v>75</v>
      </c>
      <c r="F463" t="s">
        <v>76</v>
      </c>
      <c r="G463" t="s">
        <v>77</v>
      </c>
      <c r="H463" t="s">
        <v>139</v>
      </c>
      <c r="I463" t="s">
        <v>140</v>
      </c>
      <c r="J463" t="s">
        <v>137</v>
      </c>
      <c r="K463" t="s">
        <v>138</v>
      </c>
      <c r="L463" t="s">
        <v>183</v>
      </c>
      <c r="M463" t="s">
        <v>186</v>
      </c>
      <c r="N463">
        <v>10</v>
      </c>
      <c r="O463" s="4">
        <v>3500</v>
      </c>
      <c r="P463" s="4">
        <v>5200</v>
      </c>
      <c r="Q463" s="7">
        <v>0.15</v>
      </c>
      <c r="R463" t="s">
        <v>204</v>
      </c>
      <c r="S463">
        <v>5</v>
      </c>
      <c r="T463">
        <v>52000</v>
      </c>
      <c r="U463">
        <v>7800</v>
      </c>
      <c r="V463">
        <v>44200</v>
      </c>
      <c r="W463">
        <v>35000</v>
      </c>
      <c r="X463">
        <v>9200</v>
      </c>
      <c r="Y463" s="8">
        <v>0.20814479638009051</v>
      </c>
      <c r="Z463" t="s">
        <v>2996</v>
      </c>
      <c r="AA463" t="str">
        <f>IF(AND(SalesCleanTable[[#This Row],[Discount %]]&gt;0, SalesCleanTable[[#This Row],[Profit]]&lt;0), "Discount loss", "Safe")</f>
        <v>Safe</v>
      </c>
      <c r="AB463" s="25">
        <f>(SalesCleanTable[[#This Row],[Unit Price]] - SalesCleanTable[[#This Row],[Unit Cost]]) / SalesCleanTable[[#This Row],[Unit Price]]</f>
        <v>0.32692307692307693</v>
      </c>
      <c r="AC463" t="str">
        <f>IF(SalesCleanTable[[#This Row],[Discount %]] &gt; SalesCleanTable[[#This Row],[Max Allowed Discount]], "Discount loss", "Safe")</f>
        <v>Safe</v>
      </c>
      <c r="AD463" s="4">
        <f>SalesCleanTable[[#This Row],[Unit Price]] - SalesCleanTable[[#This Row],[Unit Cost]]</f>
        <v>1700</v>
      </c>
      <c r="AE463" s="41">
        <f>(SalesCleanTable[[#This Row],[Unit Price]] - SalesCleanTable[[#This Row],[Unit Cost]]) / SalesCleanTable[[#This Row],[Unit Price]]</f>
        <v>0.32692307692307693</v>
      </c>
    </row>
    <row r="464" spans="1:31">
      <c r="A464" t="s">
        <v>650</v>
      </c>
      <c r="B464" s="6">
        <v>45953</v>
      </c>
      <c r="C464" t="s">
        <v>32</v>
      </c>
      <c r="D464" t="s">
        <v>33</v>
      </c>
      <c r="E464" t="s">
        <v>26</v>
      </c>
      <c r="F464" t="s">
        <v>34</v>
      </c>
      <c r="G464" t="s">
        <v>35</v>
      </c>
      <c r="H464" t="s">
        <v>139</v>
      </c>
      <c r="I464" t="s">
        <v>140</v>
      </c>
      <c r="J464" t="s">
        <v>137</v>
      </c>
      <c r="K464" t="s">
        <v>138</v>
      </c>
      <c r="L464" t="s">
        <v>166</v>
      </c>
      <c r="M464" t="s">
        <v>186</v>
      </c>
      <c r="N464">
        <v>2</v>
      </c>
      <c r="O464" s="4">
        <v>7800</v>
      </c>
      <c r="P464" s="4">
        <v>9800</v>
      </c>
      <c r="Q464" s="7">
        <v>0.2</v>
      </c>
      <c r="R464" t="s">
        <v>173</v>
      </c>
      <c r="S464">
        <v>13</v>
      </c>
      <c r="T464">
        <v>19600</v>
      </c>
      <c r="U464">
        <v>3920</v>
      </c>
      <c r="V464">
        <v>15680</v>
      </c>
      <c r="W464">
        <v>15600</v>
      </c>
      <c r="X464">
        <v>80</v>
      </c>
      <c r="Y464" s="8">
        <v>5.1020408163265302E-3</v>
      </c>
      <c r="Z464" t="s">
        <v>2995</v>
      </c>
      <c r="AA464" t="str">
        <f>IF(AND(SalesCleanTable[[#This Row],[Discount %]]&gt;0, SalesCleanTable[[#This Row],[Profit]]&lt;0), "Discount loss", "Safe")</f>
        <v>Safe</v>
      </c>
      <c r="AB464" s="25">
        <f>(SalesCleanTable[[#This Row],[Unit Price]] - SalesCleanTable[[#This Row],[Unit Cost]]) / SalesCleanTable[[#This Row],[Unit Price]]</f>
        <v>0.20408163265306123</v>
      </c>
      <c r="AC464" t="str">
        <f>IF(SalesCleanTable[[#This Row],[Discount %]] &gt; SalesCleanTable[[#This Row],[Max Allowed Discount]], "Discount loss", "Safe")</f>
        <v>Safe</v>
      </c>
      <c r="AD464" s="4">
        <f>SalesCleanTable[[#This Row],[Unit Price]] - SalesCleanTable[[#This Row],[Unit Cost]]</f>
        <v>2000</v>
      </c>
      <c r="AE464" s="41">
        <f>(SalesCleanTable[[#This Row],[Unit Price]] - SalesCleanTable[[#This Row],[Unit Cost]]) / SalesCleanTable[[#This Row],[Unit Price]]</f>
        <v>0.20408163265306123</v>
      </c>
    </row>
    <row r="465" spans="1:31">
      <c r="A465" t="s">
        <v>651</v>
      </c>
      <c r="B465" s="6">
        <v>45719</v>
      </c>
      <c r="C465" t="s">
        <v>82</v>
      </c>
      <c r="D465" t="s">
        <v>83</v>
      </c>
      <c r="E465" t="s">
        <v>75</v>
      </c>
      <c r="F465" t="s">
        <v>84</v>
      </c>
      <c r="G465" t="s">
        <v>85</v>
      </c>
      <c r="H465" t="s">
        <v>139</v>
      </c>
      <c r="I465" t="s">
        <v>140</v>
      </c>
      <c r="J465" t="s">
        <v>137</v>
      </c>
      <c r="K465" t="s">
        <v>138</v>
      </c>
      <c r="L465" t="s">
        <v>166</v>
      </c>
      <c r="M465" t="s">
        <v>171</v>
      </c>
      <c r="N465">
        <v>4</v>
      </c>
      <c r="O465" s="4">
        <v>600</v>
      </c>
      <c r="P465" s="4">
        <v>950</v>
      </c>
      <c r="Q465" s="7">
        <v>0</v>
      </c>
      <c r="R465" t="s">
        <v>208</v>
      </c>
      <c r="S465">
        <v>6</v>
      </c>
      <c r="T465">
        <v>3800</v>
      </c>
      <c r="U465">
        <v>0</v>
      </c>
      <c r="V465">
        <v>3800</v>
      </c>
      <c r="W465">
        <v>2400</v>
      </c>
      <c r="X465">
        <v>1400</v>
      </c>
      <c r="Y465" s="8">
        <v>0.36842105263157893</v>
      </c>
      <c r="Z465" t="s">
        <v>2996</v>
      </c>
      <c r="AA465" t="str">
        <f>IF(AND(SalesCleanTable[[#This Row],[Discount %]]&gt;0, SalesCleanTable[[#This Row],[Profit]]&lt;0), "Discount loss", "Safe")</f>
        <v>Safe</v>
      </c>
      <c r="AB465" s="25">
        <f>(SalesCleanTable[[#This Row],[Unit Price]] - SalesCleanTable[[#This Row],[Unit Cost]]) / SalesCleanTable[[#This Row],[Unit Price]]</f>
        <v>0.36842105263157893</v>
      </c>
      <c r="AC465" t="str">
        <f>IF(SalesCleanTable[[#This Row],[Discount %]] &gt; SalesCleanTable[[#This Row],[Max Allowed Discount]], "Discount loss", "Safe")</f>
        <v>Safe</v>
      </c>
      <c r="AD465" s="4">
        <f>SalesCleanTable[[#This Row],[Unit Price]] - SalesCleanTable[[#This Row],[Unit Cost]]</f>
        <v>350</v>
      </c>
      <c r="AE465" s="41">
        <f>(SalesCleanTable[[#This Row],[Unit Price]] - SalesCleanTable[[#This Row],[Unit Cost]]) / SalesCleanTable[[#This Row],[Unit Price]]</f>
        <v>0.36842105263157893</v>
      </c>
    </row>
    <row r="466" spans="1:31">
      <c r="A466" t="s">
        <v>652</v>
      </c>
      <c r="B466" s="6">
        <v>45790</v>
      </c>
      <c r="C466" t="s">
        <v>36</v>
      </c>
      <c r="D466" t="s">
        <v>37</v>
      </c>
      <c r="E466" t="s">
        <v>38</v>
      </c>
      <c r="F466" t="s">
        <v>39</v>
      </c>
      <c r="G466" t="s">
        <v>40</v>
      </c>
      <c r="H466" t="s">
        <v>135</v>
      </c>
      <c r="I466" t="s">
        <v>136</v>
      </c>
      <c r="J466" t="s">
        <v>137</v>
      </c>
      <c r="K466" t="s">
        <v>138</v>
      </c>
      <c r="L466" t="s">
        <v>166</v>
      </c>
      <c r="M466" t="s">
        <v>177</v>
      </c>
      <c r="N466">
        <v>2</v>
      </c>
      <c r="O466" s="4">
        <v>1650</v>
      </c>
      <c r="P466" s="4">
        <v>2200</v>
      </c>
      <c r="Q466" s="7">
        <v>0.2</v>
      </c>
      <c r="R466" t="s">
        <v>175</v>
      </c>
      <c r="S466">
        <v>4</v>
      </c>
      <c r="T466">
        <v>4400</v>
      </c>
      <c r="U466">
        <v>880</v>
      </c>
      <c r="V466">
        <v>3520</v>
      </c>
      <c r="W466">
        <v>3300</v>
      </c>
      <c r="X466">
        <v>220</v>
      </c>
      <c r="Y466" s="8">
        <v>6.25E-2</v>
      </c>
      <c r="Z466" t="s">
        <v>2995</v>
      </c>
      <c r="AA466" t="str">
        <f>IF(AND(SalesCleanTable[[#This Row],[Discount %]]&gt;0, SalesCleanTable[[#This Row],[Profit]]&lt;0), "Discount loss", "Safe")</f>
        <v>Safe</v>
      </c>
      <c r="AB466" s="25">
        <f>(SalesCleanTable[[#This Row],[Unit Price]] - SalesCleanTable[[#This Row],[Unit Cost]]) / SalesCleanTable[[#This Row],[Unit Price]]</f>
        <v>0.25</v>
      </c>
      <c r="AC466" t="str">
        <f>IF(SalesCleanTable[[#This Row],[Discount %]] &gt; SalesCleanTable[[#This Row],[Max Allowed Discount]], "Discount loss", "Safe")</f>
        <v>Safe</v>
      </c>
      <c r="AD466" s="4">
        <f>SalesCleanTable[[#This Row],[Unit Price]] - SalesCleanTable[[#This Row],[Unit Cost]]</f>
        <v>550</v>
      </c>
      <c r="AE466" s="41">
        <f>(SalesCleanTable[[#This Row],[Unit Price]] - SalesCleanTable[[#This Row],[Unit Cost]]) / SalesCleanTable[[#This Row],[Unit Price]]</f>
        <v>0.25</v>
      </c>
    </row>
    <row r="467" spans="1:31">
      <c r="A467" t="s">
        <v>653</v>
      </c>
      <c r="B467" s="6">
        <v>45848</v>
      </c>
      <c r="C467" t="s">
        <v>49</v>
      </c>
      <c r="D467" t="s">
        <v>50</v>
      </c>
      <c r="E467" t="s">
        <v>38</v>
      </c>
      <c r="F467" t="s">
        <v>51</v>
      </c>
      <c r="G467" t="s">
        <v>52</v>
      </c>
      <c r="H467" t="s">
        <v>135</v>
      </c>
      <c r="I467" t="s">
        <v>136</v>
      </c>
      <c r="J467" t="s">
        <v>137</v>
      </c>
      <c r="K467" t="s">
        <v>138</v>
      </c>
      <c r="L467" t="s">
        <v>170</v>
      </c>
      <c r="M467" t="s">
        <v>171</v>
      </c>
      <c r="N467">
        <v>2</v>
      </c>
      <c r="O467" s="4">
        <v>550</v>
      </c>
      <c r="P467" s="4">
        <v>850</v>
      </c>
      <c r="Q467" s="7">
        <v>0.1</v>
      </c>
      <c r="R467" t="s">
        <v>178</v>
      </c>
      <c r="S467">
        <v>12</v>
      </c>
      <c r="T467">
        <v>1700</v>
      </c>
      <c r="U467">
        <v>170</v>
      </c>
      <c r="V467">
        <v>1530</v>
      </c>
      <c r="W467">
        <v>1100</v>
      </c>
      <c r="X467">
        <v>430</v>
      </c>
      <c r="Y467" s="8">
        <v>0.28104575163398693</v>
      </c>
      <c r="Z467" t="s">
        <v>2996</v>
      </c>
      <c r="AA467" t="str">
        <f>IF(AND(SalesCleanTable[[#This Row],[Discount %]]&gt;0, SalesCleanTable[[#This Row],[Profit]]&lt;0), "Discount loss", "Safe")</f>
        <v>Safe</v>
      </c>
      <c r="AB467" s="25">
        <f>(SalesCleanTable[[#This Row],[Unit Price]] - SalesCleanTable[[#This Row],[Unit Cost]]) / SalesCleanTable[[#This Row],[Unit Price]]</f>
        <v>0.35294117647058826</v>
      </c>
      <c r="AC467" t="str">
        <f>IF(SalesCleanTable[[#This Row],[Discount %]] &gt; SalesCleanTable[[#This Row],[Max Allowed Discount]], "Discount loss", "Safe")</f>
        <v>Safe</v>
      </c>
      <c r="AD467" s="4">
        <f>SalesCleanTable[[#This Row],[Unit Price]] - SalesCleanTable[[#This Row],[Unit Cost]]</f>
        <v>300</v>
      </c>
      <c r="AE467" s="41">
        <f>(SalesCleanTable[[#This Row],[Unit Price]] - SalesCleanTable[[#This Row],[Unit Cost]]) / SalesCleanTable[[#This Row],[Unit Price]]</f>
        <v>0.35294117647058826</v>
      </c>
    </row>
    <row r="468" spans="1:31">
      <c r="A468" t="s">
        <v>654</v>
      </c>
      <c r="B468" s="6">
        <v>45778</v>
      </c>
      <c r="C468" t="s">
        <v>62</v>
      </c>
      <c r="D468" t="s">
        <v>63</v>
      </c>
      <c r="E468" t="s">
        <v>59</v>
      </c>
      <c r="F468" t="s">
        <v>64</v>
      </c>
      <c r="G468" t="s">
        <v>65</v>
      </c>
      <c r="H468" t="s">
        <v>149</v>
      </c>
      <c r="I468" t="s">
        <v>150</v>
      </c>
      <c r="J468" t="s">
        <v>151</v>
      </c>
      <c r="K468" t="s">
        <v>152</v>
      </c>
      <c r="L468" t="s">
        <v>183</v>
      </c>
      <c r="M468" t="s">
        <v>186</v>
      </c>
      <c r="N468">
        <v>1</v>
      </c>
      <c r="O468" s="4">
        <v>3200</v>
      </c>
      <c r="P468" s="4">
        <v>4500</v>
      </c>
      <c r="Q468" s="7">
        <v>0.15</v>
      </c>
      <c r="R468" t="s">
        <v>192</v>
      </c>
      <c r="S468">
        <v>3</v>
      </c>
      <c r="T468">
        <v>4500</v>
      </c>
      <c r="U468">
        <v>675</v>
      </c>
      <c r="V468">
        <v>3825</v>
      </c>
      <c r="W468">
        <v>3200</v>
      </c>
      <c r="X468">
        <v>625</v>
      </c>
      <c r="Y468" s="8">
        <v>0.16339869281045752</v>
      </c>
      <c r="Z468" t="s">
        <v>2996</v>
      </c>
      <c r="AA468" t="str">
        <f>IF(AND(SalesCleanTable[[#This Row],[Discount %]]&gt;0, SalesCleanTable[[#This Row],[Profit]]&lt;0), "Discount loss", "Safe")</f>
        <v>Safe</v>
      </c>
      <c r="AB468" s="25">
        <f>(SalesCleanTable[[#This Row],[Unit Price]] - SalesCleanTable[[#This Row],[Unit Cost]]) / SalesCleanTable[[#This Row],[Unit Price]]</f>
        <v>0.28888888888888886</v>
      </c>
      <c r="AC468" t="str">
        <f>IF(SalesCleanTable[[#This Row],[Discount %]] &gt; SalesCleanTable[[#This Row],[Max Allowed Discount]], "Discount loss", "Safe")</f>
        <v>Safe</v>
      </c>
      <c r="AD468" s="4">
        <f>SalesCleanTable[[#This Row],[Unit Price]] - SalesCleanTable[[#This Row],[Unit Cost]]</f>
        <v>1300</v>
      </c>
      <c r="AE468" s="41">
        <f>(SalesCleanTable[[#This Row],[Unit Price]] - SalesCleanTable[[#This Row],[Unit Cost]]) / SalesCleanTable[[#This Row],[Unit Price]]</f>
        <v>0.28888888888888886</v>
      </c>
    </row>
    <row r="469" spans="1:31">
      <c r="A469" t="s">
        <v>655</v>
      </c>
      <c r="B469" s="6">
        <v>45726</v>
      </c>
      <c r="C469" t="s">
        <v>120</v>
      </c>
      <c r="D469" t="s">
        <v>121</v>
      </c>
      <c r="E469" t="s">
        <v>109</v>
      </c>
      <c r="F469" t="s">
        <v>93</v>
      </c>
      <c r="G469" t="s">
        <v>122</v>
      </c>
      <c r="H469" t="s">
        <v>149</v>
      </c>
      <c r="I469" t="s">
        <v>150</v>
      </c>
      <c r="J469" t="s">
        <v>151</v>
      </c>
      <c r="K469" t="s">
        <v>152</v>
      </c>
      <c r="L469" t="s">
        <v>183</v>
      </c>
      <c r="M469" t="s">
        <v>167</v>
      </c>
      <c r="N469">
        <v>3</v>
      </c>
      <c r="O469" s="4">
        <v>1700</v>
      </c>
      <c r="P469" s="4">
        <v>2800</v>
      </c>
      <c r="Q469" s="7">
        <v>0.2</v>
      </c>
      <c r="R469" t="s">
        <v>184</v>
      </c>
      <c r="S469">
        <v>14</v>
      </c>
      <c r="T469">
        <v>8400</v>
      </c>
      <c r="U469">
        <v>1680</v>
      </c>
      <c r="V469">
        <v>6720</v>
      </c>
      <c r="W469">
        <v>5100</v>
      </c>
      <c r="X469">
        <v>1620</v>
      </c>
      <c r="Y469" s="8">
        <v>0.24107142857142858</v>
      </c>
      <c r="Z469" t="s">
        <v>2997</v>
      </c>
      <c r="AA469" t="str">
        <f>IF(AND(SalesCleanTable[[#This Row],[Discount %]]&gt;0, SalesCleanTable[[#This Row],[Profit]]&lt;0), "Discount loss", "Safe")</f>
        <v>Safe</v>
      </c>
      <c r="AB469" s="25">
        <f>(SalesCleanTable[[#This Row],[Unit Price]] - SalesCleanTable[[#This Row],[Unit Cost]]) / SalesCleanTable[[#This Row],[Unit Price]]</f>
        <v>0.39285714285714285</v>
      </c>
      <c r="AC469" t="str">
        <f>IF(SalesCleanTable[[#This Row],[Discount %]] &gt; SalesCleanTable[[#This Row],[Max Allowed Discount]], "Discount loss", "Safe")</f>
        <v>Safe</v>
      </c>
      <c r="AD469" s="4">
        <f>SalesCleanTable[[#This Row],[Unit Price]] - SalesCleanTable[[#This Row],[Unit Cost]]</f>
        <v>1100</v>
      </c>
      <c r="AE469" s="41">
        <f>(SalesCleanTable[[#This Row],[Unit Price]] - SalesCleanTable[[#This Row],[Unit Cost]]) / SalesCleanTable[[#This Row],[Unit Price]]</f>
        <v>0.39285714285714285</v>
      </c>
    </row>
    <row r="470" spans="1:31">
      <c r="A470" t="s">
        <v>656</v>
      </c>
      <c r="B470" s="6">
        <v>45861</v>
      </c>
      <c r="C470" t="s">
        <v>32</v>
      </c>
      <c r="D470" t="s">
        <v>33</v>
      </c>
      <c r="E470" t="s">
        <v>26</v>
      </c>
      <c r="F470" t="s">
        <v>34</v>
      </c>
      <c r="G470" t="s">
        <v>35</v>
      </c>
      <c r="H470" t="s">
        <v>133</v>
      </c>
      <c r="I470" t="s">
        <v>134</v>
      </c>
      <c r="J470" t="s">
        <v>130</v>
      </c>
      <c r="K470" t="s">
        <v>131</v>
      </c>
      <c r="L470" t="s">
        <v>183</v>
      </c>
      <c r="M470" t="s">
        <v>177</v>
      </c>
      <c r="N470">
        <v>1</v>
      </c>
      <c r="O470" s="4">
        <v>7800</v>
      </c>
      <c r="P470" s="4">
        <v>9800</v>
      </c>
      <c r="Q470" s="7">
        <v>0</v>
      </c>
      <c r="R470" t="s">
        <v>173</v>
      </c>
      <c r="S470">
        <v>6</v>
      </c>
      <c r="T470">
        <v>9800</v>
      </c>
      <c r="U470">
        <v>0</v>
      </c>
      <c r="V470">
        <v>9800</v>
      </c>
      <c r="W470">
        <v>7800</v>
      </c>
      <c r="X470">
        <v>2000</v>
      </c>
      <c r="Y470" s="8">
        <v>0.20408163265306123</v>
      </c>
      <c r="Z470" t="s">
        <v>2995</v>
      </c>
      <c r="AA470" t="str">
        <f>IF(AND(SalesCleanTable[[#This Row],[Discount %]]&gt;0, SalesCleanTable[[#This Row],[Profit]]&lt;0), "Discount loss", "Safe")</f>
        <v>Safe</v>
      </c>
      <c r="AB470" s="25">
        <f>(SalesCleanTable[[#This Row],[Unit Price]] - SalesCleanTable[[#This Row],[Unit Cost]]) / SalesCleanTable[[#This Row],[Unit Price]]</f>
        <v>0.20408163265306123</v>
      </c>
      <c r="AC470" t="str">
        <f>IF(SalesCleanTable[[#This Row],[Discount %]] &gt; SalesCleanTable[[#This Row],[Max Allowed Discount]], "Discount loss", "Safe")</f>
        <v>Safe</v>
      </c>
      <c r="AD470" s="4">
        <f>SalesCleanTable[[#This Row],[Unit Price]] - SalesCleanTable[[#This Row],[Unit Cost]]</f>
        <v>2000</v>
      </c>
      <c r="AE470" s="41">
        <f>(SalesCleanTable[[#This Row],[Unit Price]] - SalesCleanTable[[#This Row],[Unit Cost]]) / SalesCleanTable[[#This Row],[Unit Price]]</f>
        <v>0.20408163265306123</v>
      </c>
    </row>
    <row r="471" spans="1:31">
      <c r="A471" t="s">
        <v>657</v>
      </c>
      <c r="B471" s="6">
        <v>45842</v>
      </c>
      <c r="C471" t="s">
        <v>62</v>
      </c>
      <c r="D471" t="s">
        <v>63</v>
      </c>
      <c r="E471" t="s">
        <v>59</v>
      </c>
      <c r="F471" t="s">
        <v>64</v>
      </c>
      <c r="G471" t="s">
        <v>65</v>
      </c>
      <c r="H471" t="s">
        <v>153</v>
      </c>
      <c r="I471" t="s">
        <v>154</v>
      </c>
      <c r="J471" t="s">
        <v>155</v>
      </c>
      <c r="K471" t="s">
        <v>131</v>
      </c>
      <c r="L471" t="s">
        <v>166</v>
      </c>
      <c r="M471" t="s">
        <v>171</v>
      </c>
      <c r="N471">
        <v>2</v>
      </c>
      <c r="O471" s="4">
        <v>3200</v>
      </c>
      <c r="P471" s="4">
        <v>4500</v>
      </c>
      <c r="Q471" s="7">
        <v>0</v>
      </c>
      <c r="R471" t="s">
        <v>173</v>
      </c>
      <c r="S471">
        <v>4</v>
      </c>
      <c r="T471">
        <v>9000</v>
      </c>
      <c r="U471">
        <v>0</v>
      </c>
      <c r="V471">
        <v>9000</v>
      </c>
      <c r="W471">
        <v>6400</v>
      </c>
      <c r="X471">
        <v>2600</v>
      </c>
      <c r="Y471" s="8">
        <v>0.28888888888888886</v>
      </c>
      <c r="Z471" t="s">
        <v>2996</v>
      </c>
      <c r="AA471" t="str">
        <f>IF(AND(SalesCleanTable[[#This Row],[Discount %]]&gt;0, SalesCleanTable[[#This Row],[Profit]]&lt;0), "Discount loss", "Safe")</f>
        <v>Safe</v>
      </c>
      <c r="AB471" s="25">
        <f>(SalesCleanTable[[#This Row],[Unit Price]] - SalesCleanTable[[#This Row],[Unit Cost]]) / SalesCleanTable[[#This Row],[Unit Price]]</f>
        <v>0.28888888888888886</v>
      </c>
      <c r="AC471" t="str">
        <f>IF(SalesCleanTable[[#This Row],[Discount %]] &gt; SalesCleanTable[[#This Row],[Max Allowed Discount]], "Discount loss", "Safe")</f>
        <v>Safe</v>
      </c>
      <c r="AD471" s="4">
        <f>SalesCleanTable[[#This Row],[Unit Price]] - SalesCleanTable[[#This Row],[Unit Cost]]</f>
        <v>1300</v>
      </c>
      <c r="AE471" s="41">
        <f>(SalesCleanTable[[#This Row],[Unit Price]] - SalesCleanTable[[#This Row],[Unit Cost]]) / SalesCleanTable[[#This Row],[Unit Price]]</f>
        <v>0.28888888888888886</v>
      </c>
    </row>
    <row r="472" spans="1:31">
      <c r="A472" t="s">
        <v>658</v>
      </c>
      <c r="B472" s="6">
        <v>45990</v>
      </c>
      <c r="C472" t="s">
        <v>78</v>
      </c>
      <c r="D472" t="s">
        <v>79</v>
      </c>
      <c r="E472" t="s">
        <v>75</v>
      </c>
      <c r="F472" t="s">
        <v>80</v>
      </c>
      <c r="G472" t="s">
        <v>81</v>
      </c>
      <c r="H472" t="s">
        <v>133</v>
      </c>
      <c r="I472" t="s">
        <v>134</v>
      </c>
      <c r="J472" t="s">
        <v>130</v>
      </c>
      <c r="K472" t="s">
        <v>131</v>
      </c>
      <c r="L472" t="s">
        <v>183</v>
      </c>
      <c r="M472" t="s">
        <v>186</v>
      </c>
      <c r="N472">
        <v>5</v>
      </c>
      <c r="O472" s="4">
        <v>1200</v>
      </c>
      <c r="P472" s="4">
        <v>1900</v>
      </c>
      <c r="Q472" s="7">
        <v>0.05</v>
      </c>
      <c r="R472" t="s">
        <v>204</v>
      </c>
      <c r="S472">
        <v>8</v>
      </c>
      <c r="T472">
        <v>9500</v>
      </c>
      <c r="U472">
        <v>475</v>
      </c>
      <c r="V472">
        <v>9025</v>
      </c>
      <c r="W472">
        <v>6000</v>
      </c>
      <c r="X472">
        <v>3025</v>
      </c>
      <c r="Y472" s="8">
        <v>0.33518005540166207</v>
      </c>
      <c r="Z472" t="s">
        <v>2996</v>
      </c>
      <c r="AA472" t="str">
        <f>IF(AND(SalesCleanTable[[#This Row],[Discount %]]&gt;0, SalesCleanTable[[#This Row],[Profit]]&lt;0), "Discount loss", "Safe")</f>
        <v>Safe</v>
      </c>
      <c r="AB472" s="25">
        <f>(SalesCleanTable[[#This Row],[Unit Price]] - SalesCleanTable[[#This Row],[Unit Cost]]) / SalesCleanTable[[#This Row],[Unit Price]]</f>
        <v>0.36842105263157893</v>
      </c>
      <c r="AC472" t="str">
        <f>IF(SalesCleanTable[[#This Row],[Discount %]] &gt; SalesCleanTable[[#This Row],[Max Allowed Discount]], "Discount loss", "Safe")</f>
        <v>Safe</v>
      </c>
      <c r="AD472" s="4">
        <f>SalesCleanTable[[#This Row],[Unit Price]] - SalesCleanTable[[#This Row],[Unit Cost]]</f>
        <v>700</v>
      </c>
      <c r="AE472" s="41">
        <f>(SalesCleanTable[[#This Row],[Unit Price]] - SalesCleanTable[[#This Row],[Unit Cost]]) / SalesCleanTable[[#This Row],[Unit Price]]</f>
        <v>0.36842105263157893</v>
      </c>
    </row>
    <row r="473" spans="1:31">
      <c r="A473" t="s">
        <v>659</v>
      </c>
      <c r="B473" s="6">
        <v>45853</v>
      </c>
      <c r="C473" t="s">
        <v>69</v>
      </c>
      <c r="D473" t="s">
        <v>70</v>
      </c>
      <c r="E473" t="s">
        <v>59</v>
      </c>
      <c r="F473" t="s">
        <v>71</v>
      </c>
      <c r="G473" t="s">
        <v>72</v>
      </c>
      <c r="H473" t="s">
        <v>139</v>
      </c>
      <c r="I473" t="s">
        <v>140</v>
      </c>
      <c r="J473" t="s">
        <v>137</v>
      </c>
      <c r="K473" t="s">
        <v>138</v>
      </c>
      <c r="L473" t="s">
        <v>183</v>
      </c>
      <c r="M473" t="s">
        <v>171</v>
      </c>
      <c r="N473">
        <v>8</v>
      </c>
      <c r="O473" s="4">
        <v>1700</v>
      </c>
      <c r="P473" s="4">
        <v>2600</v>
      </c>
      <c r="Q473" s="7">
        <v>0.15</v>
      </c>
      <c r="R473" t="s">
        <v>204</v>
      </c>
      <c r="S473">
        <v>11</v>
      </c>
      <c r="T473">
        <v>20800</v>
      </c>
      <c r="U473">
        <v>3120</v>
      </c>
      <c r="V473">
        <v>17680</v>
      </c>
      <c r="W473">
        <v>13600</v>
      </c>
      <c r="X473">
        <v>4080</v>
      </c>
      <c r="Y473" s="8">
        <v>0.23076923076923078</v>
      </c>
      <c r="Z473" t="s">
        <v>2997</v>
      </c>
      <c r="AA473" t="str">
        <f>IF(AND(SalesCleanTable[[#This Row],[Discount %]]&gt;0, SalesCleanTable[[#This Row],[Profit]]&lt;0), "Discount loss", "Safe")</f>
        <v>Safe</v>
      </c>
      <c r="AB473" s="25">
        <f>(SalesCleanTable[[#This Row],[Unit Price]] - SalesCleanTable[[#This Row],[Unit Cost]]) / SalesCleanTable[[#This Row],[Unit Price]]</f>
        <v>0.34615384615384615</v>
      </c>
      <c r="AC473" t="str">
        <f>IF(SalesCleanTable[[#This Row],[Discount %]] &gt; SalesCleanTable[[#This Row],[Max Allowed Discount]], "Discount loss", "Safe")</f>
        <v>Safe</v>
      </c>
      <c r="AD473" s="4">
        <f>SalesCleanTable[[#This Row],[Unit Price]] - SalesCleanTable[[#This Row],[Unit Cost]]</f>
        <v>900</v>
      </c>
      <c r="AE473" s="41">
        <f>(SalesCleanTable[[#This Row],[Unit Price]] - SalesCleanTable[[#This Row],[Unit Cost]]) / SalesCleanTable[[#This Row],[Unit Price]]</f>
        <v>0.34615384615384615</v>
      </c>
    </row>
    <row r="474" spans="1:31">
      <c r="A474" t="s">
        <v>660</v>
      </c>
      <c r="B474" s="6">
        <v>45865</v>
      </c>
      <c r="C474" t="s">
        <v>103</v>
      </c>
      <c r="D474" t="s">
        <v>104</v>
      </c>
      <c r="E474" t="s">
        <v>92</v>
      </c>
      <c r="F474" t="s">
        <v>105</v>
      </c>
      <c r="G474" t="s">
        <v>106</v>
      </c>
      <c r="H474" t="s">
        <v>128</v>
      </c>
      <c r="I474" t="s">
        <v>129</v>
      </c>
      <c r="J474" t="s">
        <v>130</v>
      </c>
      <c r="K474" t="s">
        <v>131</v>
      </c>
      <c r="L474" t="s">
        <v>166</v>
      </c>
      <c r="M474" t="s">
        <v>167</v>
      </c>
      <c r="N474">
        <v>1</v>
      </c>
      <c r="O474" s="4">
        <v>1500</v>
      </c>
      <c r="P474" s="4">
        <v>2500</v>
      </c>
      <c r="Q474" s="7">
        <v>0</v>
      </c>
      <c r="R474" t="s">
        <v>217</v>
      </c>
      <c r="S474">
        <v>10</v>
      </c>
      <c r="T474">
        <v>2500</v>
      </c>
      <c r="U474">
        <v>0</v>
      </c>
      <c r="V474">
        <v>2500</v>
      </c>
      <c r="W474">
        <v>1500</v>
      </c>
      <c r="X474">
        <v>1000</v>
      </c>
      <c r="Y474" s="8">
        <v>0.4</v>
      </c>
      <c r="Z474" t="s">
        <v>2996</v>
      </c>
      <c r="AA474" t="str">
        <f>IF(AND(SalesCleanTable[[#This Row],[Discount %]]&gt;0, SalesCleanTable[[#This Row],[Profit]]&lt;0), "Discount loss", "Safe")</f>
        <v>Safe</v>
      </c>
      <c r="AB474" s="25">
        <f>(SalesCleanTable[[#This Row],[Unit Price]] - SalesCleanTable[[#This Row],[Unit Cost]]) / SalesCleanTable[[#This Row],[Unit Price]]</f>
        <v>0.4</v>
      </c>
      <c r="AC474" t="str">
        <f>IF(SalesCleanTable[[#This Row],[Discount %]] &gt; SalesCleanTable[[#This Row],[Max Allowed Discount]], "Discount loss", "Safe")</f>
        <v>Safe</v>
      </c>
      <c r="AD474" s="4">
        <f>SalesCleanTable[[#This Row],[Unit Price]] - SalesCleanTable[[#This Row],[Unit Cost]]</f>
        <v>1000</v>
      </c>
      <c r="AE474" s="41">
        <f>(SalesCleanTable[[#This Row],[Unit Price]] - SalesCleanTable[[#This Row],[Unit Cost]]) / SalesCleanTable[[#This Row],[Unit Price]]</f>
        <v>0.4</v>
      </c>
    </row>
    <row r="475" spans="1:31">
      <c r="A475" t="s">
        <v>661</v>
      </c>
      <c r="B475" s="6">
        <v>45796</v>
      </c>
      <c r="C475" t="s">
        <v>103</v>
      </c>
      <c r="D475" t="s">
        <v>104</v>
      </c>
      <c r="E475" t="s">
        <v>92</v>
      </c>
      <c r="F475" t="s">
        <v>105</v>
      </c>
      <c r="G475" t="s">
        <v>106</v>
      </c>
      <c r="H475" t="s">
        <v>145</v>
      </c>
      <c r="I475" t="s">
        <v>146</v>
      </c>
      <c r="J475" t="s">
        <v>147</v>
      </c>
      <c r="K475" t="s">
        <v>148</v>
      </c>
      <c r="L475" t="s">
        <v>166</v>
      </c>
      <c r="M475" t="s">
        <v>186</v>
      </c>
      <c r="N475">
        <v>8</v>
      </c>
      <c r="O475" s="4">
        <v>1500</v>
      </c>
      <c r="P475" s="4">
        <v>2500</v>
      </c>
      <c r="Q475" s="7">
        <v>0.1</v>
      </c>
      <c r="R475" t="s">
        <v>181</v>
      </c>
      <c r="S475">
        <v>3</v>
      </c>
      <c r="T475">
        <v>20000</v>
      </c>
      <c r="U475">
        <v>2000</v>
      </c>
      <c r="V475">
        <v>18000</v>
      </c>
      <c r="W475">
        <v>12000</v>
      </c>
      <c r="X475">
        <v>6000</v>
      </c>
      <c r="Y475" s="8">
        <v>0.33333333333333331</v>
      </c>
      <c r="Z475" t="s">
        <v>2996</v>
      </c>
      <c r="AA475" t="str">
        <f>IF(AND(SalesCleanTable[[#This Row],[Discount %]]&gt;0, SalesCleanTable[[#This Row],[Profit]]&lt;0), "Discount loss", "Safe")</f>
        <v>Safe</v>
      </c>
      <c r="AB475" s="25">
        <f>(SalesCleanTable[[#This Row],[Unit Price]] - SalesCleanTable[[#This Row],[Unit Cost]]) / SalesCleanTable[[#This Row],[Unit Price]]</f>
        <v>0.4</v>
      </c>
      <c r="AC475" t="str">
        <f>IF(SalesCleanTable[[#This Row],[Discount %]] &gt; SalesCleanTable[[#This Row],[Max Allowed Discount]], "Discount loss", "Safe")</f>
        <v>Safe</v>
      </c>
      <c r="AD475" s="4">
        <f>SalesCleanTable[[#This Row],[Unit Price]] - SalesCleanTable[[#This Row],[Unit Cost]]</f>
        <v>1000</v>
      </c>
      <c r="AE475" s="41">
        <f>(SalesCleanTable[[#This Row],[Unit Price]] - SalesCleanTable[[#This Row],[Unit Cost]]) / SalesCleanTable[[#This Row],[Unit Price]]</f>
        <v>0.4</v>
      </c>
    </row>
    <row r="476" spans="1:31">
      <c r="A476" t="s">
        <v>662</v>
      </c>
      <c r="B476" s="6">
        <v>45722</v>
      </c>
      <c r="C476" t="s">
        <v>82</v>
      </c>
      <c r="D476" t="s">
        <v>83</v>
      </c>
      <c r="E476" t="s">
        <v>75</v>
      </c>
      <c r="F476" t="s">
        <v>84</v>
      </c>
      <c r="G476" t="s">
        <v>85</v>
      </c>
      <c r="H476" t="s">
        <v>141</v>
      </c>
      <c r="I476" t="s">
        <v>142</v>
      </c>
      <c r="J476" t="s">
        <v>143</v>
      </c>
      <c r="K476" t="s">
        <v>144</v>
      </c>
      <c r="L476" t="s">
        <v>166</v>
      </c>
      <c r="M476" t="s">
        <v>177</v>
      </c>
      <c r="N476">
        <v>8</v>
      </c>
      <c r="O476" s="4">
        <v>600</v>
      </c>
      <c r="P476" s="4">
        <v>950</v>
      </c>
      <c r="Q476" s="7">
        <v>0.1</v>
      </c>
      <c r="R476" t="s">
        <v>187</v>
      </c>
      <c r="S476">
        <v>2</v>
      </c>
      <c r="T476">
        <v>7600</v>
      </c>
      <c r="U476">
        <v>760</v>
      </c>
      <c r="V476">
        <v>6840</v>
      </c>
      <c r="W476">
        <v>4800</v>
      </c>
      <c r="X476">
        <v>2040</v>
      </c>
      <c r="Y476" s="8">
        <v>0.2982456140350877</v>
      </c>
      <c r="Z476" t="s">
        <v>2996</v>
      </c>
      <c r="AA476" t="str">
        <f>IF(AND(SalesCleanTable[[#This Row],[Discount %]]&gt;0, SalesCleanTable[[#This Row],[Profit]]&lt;0), "Discount loss", "Safe")</f>
        <v>Safe</v>
      </c>
      <c r="AB476" s="25">
        <f>(SalesCleanTable[[#This Row],[Unit Price]] - SalesCleanTable[[#This Row],[Unit Cost]]) / SalesCleanTable[[#This Row],[Unit Price]]</f>
        <v>0.36842105263157893</v>
      </c>
      <c r="AC476" t="str">
        <f>IF(SalesCleanTable[[#This Row],[Discount %]] &gt; SalesCleanTable[[#This Row],[Max Allowed Discount]], "Discount loss", "Safe")</f>
        <v>Safe</v>
      </c>
      <c r="AD476" s="4">
        <f>SalesCleanTable[[#This Row],[Unit Price]] - SalesCleanTable[[#This Row],[Unit Cost]]</f>
        <v>350</v>
      </c>
      <c r="AE476" s="41">
        <f>(SalesCleanTable[[#This Row],[Unit Price]] - SalesCleanTable[[#This Row],[Unit Cost]]) / SalesCleanTable[[#This Row],[Unit Price]]</f>
        <v>0.36842105263157893</v>
      </c>
    </row>
    <row r="477" spans="1:31">
      <c r="A477" t="s">
        <v>663</v>
      </c>
      <c r="B477" s="6">
        <v>45900</v>
      </c>
      <c r="C477" t="s">
        <v>62</v>
      </c>
      <c r="D477" t="s">
        <v>63</v>
      </c>
      <c r="E477" t="s">
        <v>59</v>
      </c>
      <c r="F477" t="s">
        <v>64</v>
      </c>
      <c r="G477" t="s">
        <v>65</v>
      </c>
      <c r="H477" t="s">
        <v>128</v>
      </c>
      <c r="I477" t="s">
        <v>129</v>
      </c>
      <c r="J477" t="s">
        <v>130</v>
      </c>
      <c r="K477" t="s">
        <v>131</v>
      </c>
      <c r="L477" t="s">
        <v>166</v>
      </c>
      <c r="M477" t="s">
        <v>167</v>
      </c>
      <c r="N477">
        <v>2</v>
      </c>
      <c r="O477" s="4">
        <v>3200</v>
      </c>
      <c r="P477" s="4">
        <v>4500</v>
      </c>
      <c r="Q477" s="7">
        <v>0.1</v>
      </c>
      <c r="R477" t="s">
        <v>192</v>
      </c>
      <c r="S477">
        <v>2</v>
      </c>
      <c r="T477">
        <v>9000</v>
      </c>
      <c r="U477">
        <v>900</v>
      </c>
      <c r="V477">
        <v>8100</v>
      </c>
      <c r="W477">
        <v>6400</v>
      </c>
      <c r="X477">
        <v>1700</v>
      </c>
      <c r="Y477" s="8">
        <v>0.20987654320987653</v>
      </c>
      <c r="Z477" t="s">
        <v>2996</v>
      </c>
      <c r="AA477" t="str">
        <f>IF(AND(SalesCleanTable[[#This Row],[Discount %]]&gt;0, SalesCleanTable[[#This Row],[Profit]]&lt;0), "Discount loss", "Safe")</f>
        <v>Safe</v>
      </c>
      <c r="AB477" s="25">
        <f>(SalesCleanTable[[#This Row],[Unit Price]] - SalesCleanTable[[#This Row],[Unit Cost]]) / SalesCleanTable[[#This Row],[Unit Price]]</f>
        <v>0.28888888888888886</v>
      </c>
      <c r="AC477" t="str">
        <f>IF(SalesCleanTable[[#This Row],[Discount %]] &gt; SalesCleanTable[[#This Row],[Max Allowed Discount]], "Discount loss", "Safe")</f>
        <v>Safe</v>
      </c>
      <c r="AD477" s="4">
        <f>SalesCleanTable[[#This Row],[Unit Price]] - SalesCleanTable[[#This Row],[Unit Cost]]</f>
        <v>1300</v>
      </c>
      <c r="AE477" s="41">
        <f>(SalesCleanTable[[#This Row],[Unit Price]] - SalesCleanTable[[#This Row],[Unit Cost]]) / SalesCleanTable[[#This Row],[Unit Price]]</f>
        <v>0.28888888888888886</v>
      </c>
    </row>
    <row r="478" spans="1:31">
      <c r="A478" t="s">
        <v>664</v>
      </c>
      <c r="B478" s="6">
        <v>45857</v>
      </c>
      <c r="C478" t="s">
        <v>45</v>
      </c>
      <c r="D478" t="s">
        <v>46</v>
      </c>
      <c r="E478" t="s">
        <v>38</v>
      </c>
      <c r="F478" t="s">
        <v>47</v>
      </c>
      <c r="G478" t="s">
        <v>48</v>
      </c>
      <c r="H478" t="s">
        <v>135</v>
      </c>
      <c r="I478" t="s">
        <v>136</v>
      </c>
      <c r="J478" t="s">
        <v>137</v>
      </c>
      <c r="K478" t="s">
        <v>138</v>
      </c>
      <c r="L478" t="s">
        <v>166</v>
      </c>
      <c r="M478" t="s">
        <v>171</v>
      </c>
      <c r="N478">
        <v>2</v>
      </c>
      <c r="O478" s="4">
        <v>230</v>
      </c>
      <c r="P478" s="4">
        <v>400</v>
      </c>
      <c r="Q478" s="7">
        <v>0.1</v>
      </c>
      <c r="R478" t="s">
        <v>178</v>
      </c>
      <c r="S478">
        <v>1</v>
      </c>
      <c r="T478">
        <v>800</v>
      </c>
      <c r="U478">
        <v>80</v>
      </c>
      <c r="V478">
        <v>720</v>
      </c>
      <c r="W478">
        <v>460</v>
      </c>
      <c r="X478">
        <v>260</v>
      </c>
      <c r="Y478" s="8">
        <v>0.3611111111111111</v>
      </c>
      <c r="Z478" t="s">
        <v>2995</v>
      </c>
      <c r="AA478" t="str">
        <f>IF(AND(SalesCleanTable[[#This Row],[Discount %]]&gt;0, SalesCleanTable[[#This Row],[Profit]]&lt;0), "Discount loss", "Safe")</f>
        <v>Safe</v>
      </c>
      <c r="AB478" s="25">
        <f>(SalesCleanTable[[#This Row],[Unit Price]] - SalesCleanTable[[#This Row],[Unit Cost]]) / SalesCleanTable[[#This Row],[Unit Price]]</f>
        <v>0.42499999999999999</v>
      </c>
      <c r="AC478" t="str">
        <f>IF(SalesCleanTable[[#This Row],[Discount %]] &gt; SalesCleanTable[[#This Row],[Max Allowed Discount]], "Discount loss", "Safe")</f>
        <v>Safe</v>
      </c>
      <c r="AD478" s="4">
        <f>SalesCleanTable[[#This Row],[Unit Price]] - SalesCleanTable[[#This Row],[Unit Cost]]</f>
        <v>170</v>
      </c>
      <c r="AE478" s="41">
        <f>(SalesCleanTable[[#This Row],[Unit Price]] - SalesCleanTable[[#This Row],[Unit Cost]]) / SalesCleanTable[[#This Row],[Unit Price]]</f>
        <v>0.42499999999999999</v>
      </c>
    </row>
    <row r="479" spans="1:31">
      <c r="A479" t="s">
        <v>665</v>
      </c>
      <c r="B479" s="6">
        <v>45824</v>
      </c>
      <c r="C479" t="s">
        <v>103</v>
      </c>
      <c r="D479" t="s">
        <v>104</v>
      </c>
      <c r="E479" t="s">
        <v>92</v>
      </c>
      <c r="F479" t="s">
        <v>105</v>
      </c>
      <c r="G479" t="s">
        <v>106</v>
      </c>
      <c r="H479" t="s">
        <v>139</v>
      </c>
      <c r="I479" t="s">
        <v>140</v>
      </c>
      <c r="J479" t="s">
        <v>137</v>
      </c>
      <c r="K479" t="s">
        <v>138</v>
      </c>
      <c r="L479" t="s">
        <v>166</v>
      </c>
      <c r="M479" t="s">
        <v>177</v>
      </c>
      <c r="N479">
        <v>6</v>
      </c>
      <c r="O479" s="4">
        <v>1500</v>
      </c>
      <c r="P479" s="4">
        <v>2500</v>
      </c>
      <c r="Q479" s="7">
        <v>0.2</v>
      </c>
      <c r="R479" t="s">
        <v>215</v>
      </c>
      <c r="S479">
        <v>9</v>
      </c>
      <c r="T479">
        <v>15000</v>
      </c>
      <c r="U479">
        <v>3000</v>
      </c>
      <c r="V479">
        <v>12000</v>
      </c>
      <c r="W479">
        <v>9000</v>
      </c>
      <c r="X479">
        <v>3000</v>
      </c>
      <c r="Y479" s="8">
        <v>0.25</v>
      </c>
      <c r="Z479" t="s">
        <v>2996</v>
      </c>
      <c r="AA479" t="str">
        <f>IF(AND(SalesCleanTable[[#This Row],[Discount %]]&gt;0, SalesCleanTable[[#This Row],[Profit]]&lt;0), "Discount loss", "Safe")</f>
        <v>Safe</v>
      </c>
      <c r="AB479" s="25">
        <f>(SalesCleanTable[[#This Row],[Unit Price]] - SalesCleanTable[[#This Row],[Unit Cost]]) / SalesCleanTable[[#This Row],[Unit Price]]</f>
        <v>0.4</v>
      </c>
      <c r="AC479" t="str">
        <f>IF(SalesCleanTable[[#This Row],[Discount %]] &gt; SalesCleanTable[[#This Row],[Max Allowed Discount]], "Discount loss", "Safe")</f>
        <v>Safe</v>
      </c>
      <c r="AD479" s="4">
        <f>SalesCleanTable[[#This Row],[Unit Price]] - SalesCleanTable[[#This Row],[Unit Cost]]</f>
        <v>1000</v>
      </c>
      <c r="AE479" s="41">
        <f>(SalesCleanTable[[#This Row],[Unit Price]] - SalesCleanTable[[#This Row],[Unit Cost]]) / SalesCleanTable[[#This Row],[Unit Price]]</f>
        <v>0.4</v>
      </c>
    </row>
    <row r="480" spans="1:31">
      <c r="A480" t="s">
        <v>666</v>
      </c>
      <c r="B480" s="6">
        <v>45963</v>
      </c>
      <c r="C480" t="s">
        <v>53</v>
      </c>
      <c r="D480" t="s">
        <v>54</v>
      </c>
      <c r="E480" t="s">
        <v>38</v>
      </c>
      <c r="F480" t="s">
        <v>55</v>
      </c>
      <c r="G480" t="s">
        <v>56</v>
      </c>
      <c r="H480" t="s">
        <v>145</v>
      </c>
      <c r="I480" t="s">
        <v>146</v>
      </c>
      <c r="J480" t="s">
        <v>147</v>
      </c>
      <c r="K480" t="s">
        <v>148</v>
      </c>
      <c r="L480" t="s">
        <v>183</v>
      </c>
      <c r="M480" t="s">
        <v>171</v>
      </c>
      <c r="N480">
        <v>6</v>
      </c>
      <c r="O480" s="4">
        <v>330</v>
      </c>
      <c r="P480" s="4">
        <v>550</v>
      </c>
      <c r="Q480" s="7">
        <v>0.05</v>
      </c>
      <c r="R480" t="s">
        <v>175</v>
      </c>
      <c r="S480">
        <v>8</v>
      </c>
      <c r="T480">
        <v>3300</v>
      </c>
      <c r="U480">
        <v>165</v>
      </c>
      <c r="V480">
        <v>3135</v>
      </c>
      <c r="W480">
        <v>1980</v>
      </c>
      <c r="X480">
        <v>1155</v>
      </c>
      <c r="Y480" s="8">
        <v>0.36842105263157893</v>
      </c>
      <c r="Z480" t="s">
        <v>2996</v>
      </c>
      <c r="AA480" t="str">
        <f>IF(AND(SalesCleanTable[[#This Row],[Discount %]]&gt;0, SalesCleanTable[[#This Row],[Profit]]&lt;0), "Discount loss", "Safe")</f>
        <v>Safe</v>
      </c>
      <c r="AB480" s="25">
        <f>(SalesCleanTable[[#This Row],[Unit Price]] - SalesCleanTable[[#This Row],[Unit Cost]]) / SalesCleanTable[[#This Row],[Unit Price]]</f>
        <v>0.4</v>
      </c>
      <c r="AC480" t="str">
        <f>IF(SalesCleanTable[[#This Row],[Discount %]] &gt; SalesCleanTable[[#This Row],[Max Allowed Discount]], "Discount loss", "Safe")</f>
        <v>Safe</v>
      </c>
      <c r="AD480" s="4">
        <f>SalesCleanTable[[#This Row],[Unit Price]] - SalesCleanTable[[#This Row],[Unit Cost]]</f>
        <v>220</v>
      </c>
      <c r="AE480" s="41">
        <f>(SalesCleanTable[[#This Row],[Unit Price]] - SalesCleanTable[[#This Row],[Unit Cost]]) / SalesCleanTable[[#This Row],[Unit Price]]</f>
        <v>0.4</v>
      </c>
    </row>
    <row r="481" spans="1:31">
      <c r="A481" t="s">
        <v>667</v>
      </c>
      <c r="B481" s="6">
        <v>45703</v>
      </c>
      <c r="C481" t="s">
        <v>53</v>
      </c>
      <c r="D481" t="s">
        <v>54</v>
      </c>
      <c r="E481" t="s">
        <v>38</v>
      </c>
      <c r="F481" t="s">
        <v>55</v>
      </c>
      <c r="G481" t="s">
        <v>56</v>
      </c>
      <c r="H481" t="s">
        <v>135</v>
      </c>
      <c r="I481" t="s">
        <v>136</v>
      </c>
      <c r="J481" t="s">
        <v>137</v>
      </c>
      <c r="K481" t="s">
        <v>138</v>
      </c>
      <c r="L481" t="s">
        <v>166</v>
      </c>
      <c r="M481" t="s">
        <v>171</v>
      </c>
      <c r="N481">
        <v>2</v>
      </c>
      <c r="O481" s="4">
        <v>330</v>
      </c>
      <c r="P481" s="4">
        <v>550</v>
      </c>
      <c r="Q481" s="7">
        <v>0.05</v>
      </c>
      <c r="R481" t="s">
        <v>178</v>
      </c>
      <c r="S481">
        <v>6</v>
      </c>
      <c r="T481">
        <v>1100</v>
      </c>
      <c r="U481">
        <v>55</v>
      </c>
      <c r="V481">
        <v>1045</v>
      </c>
      <c r="W481">
        <v>660</v>
      </c>
      <c r="X481">
        <v>385</v>
      </c>
      <c r="Y481" s="8">
        <v>0.36842105263157893</v>
      </c>
      <c r="Z481" t="s">
        <v>2996</v>
      </c>
      <c r="AA481" t="str">
        <f>IF(AND(SalesCleanTable[[#This Row],[Discount %]]&gt;0, SalesCleanTable[[#This Row],[Profit]]&lt;0), "Discount loss", "Safe")</f>
        <v>Safe</v>
      </c>
      <c r="AB481" s="25">
        <f>(SalesCleanTable[[#This Row],[Unit Price]] - SalesCleanTable[[#This Row],[Unit Cost]]) / SalesCleanTable[[#This Row],[Unit Price]]</f>
        <v>0.4</v>
      </c>
      <c r="AC481" t="str">
        <f>IF(SalesCleanTable[[#This Row],[Discount %]] &gt; SalesCleanTable[[#This Row],[Max Allowed Discount]], "Discount loss", "Safe")</f>
        <v>Safe</v>
      </c>
      <c r="AD481" s="4">
        <f>SalesCleanTable[[#This Row],[Unit Price]] - SalesCleanTable[[#This Row],[Unit Cost]]</f>
        <v>220</v>
      </c>
      <c r="AE481" s="41">
        <f>(SalesCleanTable[[#This Row],[Unit Price]] - SalesCleanTable[[#This Row],[Unit Cost]]) / SalesCleanTable[[#This Row],[Unit Price]]</f>
        <v>0.4</v>
      </c>
    </row>
    <row r="482" spans="1:31">
      <c r="A482" t="s">
        <v>668</v>
      </c>
      <c r="B482" s="6">
        <v>45931</v>
      </c>
      <c r="C482" t="s">
        <v>24</v>
      </c>
      <c r="D482" t="s">
        <v>25</v>
      </c>
      <c r="E482" t="s">
        <v>26</v>
      </c>
      <c r="F482" t="s">
        <v>27</v>
      </c>
      <c r="G482" t="s">
        <v>28</v>
      </c>
      <c r="H482" t="s">
        <v>149</v>
      </c>
      <c r="I482" t="s">
        <v>150</v>
      </c>
      <c r="J482" t="s">
        <v>151</v>
      </c>
      <c r="K482" t="s">
        <v>152</v>
      </c>
      <c r="L482" t="s">
        <v>166</v>
      </c>
      <c r="M482" t="s">
        <v>186</v>
      </c>
      <c r="N482">
        <v>8</v>
      </c>
      <c r="O482" s="4">
        <v>14500</v>
      </c>
      <c r="P482" s="4">
        <v>17500</v>
      </c>
      <c r="Q482" s="7">
        <v>0.05</v>
      </c>
      <c r="R482" t="s">
        <v>194</v>
      </c>
      <c r="S482">
        <v>10</v>
      </c>
      <c r="T482">
        <v>140000</v>
      </c>
      <c r="U482">
        <v>7000</v>
      </c>
      <c r="V482">
        <v>133000</v>
      </c>
      <c r="W482">
        <v>116000</v>
      </c>
      <c r="X482">
        <v>17000</v>
      </c>
      <c r="Y482" s="8">
        <v>0.12781954887218044</v>
      </c>
      <c r="Z482" t="s">
        <v>2995</v>
      </c>
      <c r="AA482" t="str">
        <f>IF(AND(SalesCleanTable[[#This Row],[Discount %]]&gt;0, SalesCleanTable[[#This Row],[Profit]]&lt;0), "Discount loss", "Safe")</f>
        <v>Safe</v>
      </c>
      <c r="AB482" s="25">
        <f>(SalesCleanTable[[#This Row],[Unit Price]] - SalesCleanTable[[#This Row],[Unit Cost]]) / SalesCleanTable[[#This Row],[Unit Price]]</f>
        <v>0.17142857142857143</v>
      </c>
      <c r="AC482" t="str">
        <f>IF(SalesCleanTable[[#This Row],[Discount %]] &gt; SalesCleanTable[[#This Row],[Max Allowed Discount]], "Discount loss", "Safe")</f>
        <v>Safe</v>
      </c>
      <c r="AD482" s="4">
        <f>SalesCleanTable[[#This Row],[Unit Price]] - SalesCleanTable[[#This Row],[Unit Cost]]</f>
        <v>3000</v>
      </c>
      <c r="AE482" s="41">
        <f>(SalesCleanTable[[#This Row],[Unit Price]] - SalesCleanTable[[#This Row],[Unit Cost]]) / SalesCleanTable[[#This Row],[Unit Price]]</f>
        <v>0.17142857142857143</v>
      </c>
    </row>
    <row r="483" spans="1:31">
      <c r="A483" t="s">
        <v>669</v>
      </c>
      <c r="B483" s="6">
        <v>45661</v>
      </c>
      <c r="C483" t="s">
        <v>62</v>
      </c>
      <c r="D483" t="s">
        <v>63</v>
      </c>
      <c r="E483" t="s">
        <v>59</v>
      </c>
      <c r="F483" t="s">
        <v>64</v>
      </c>
      <c r="G483" t="s">
        <v>65</v>
      </c>
      <c r="H483" t="s">
        <v>133</v>
      </c>
      <c r="I483" t="s">
        <v>134</v>
      </c>
      <c r="J483" t="s">
        <v>130</v>
      </c>
      <c r="K483" t="s">
        <v>131</v>
      </c>
      <c r="L483" t="s">
        <v>166</v>
      </c>
      <c r="M483" t="s">
        <v>171</v>
      </c>
      <c r="N483">
        <v>6</v>
      </c>
      <c r="O483" s="4">
        <v>3200</v>
      </c>
      <c r="P483" s="4">
        <v>4500</v>
      </c>
      <c r="Q483" s="7">
        <v>0.05</v>
      </c>
      <c r="R483" t="s">
        <v>173</v>
      </c>
      <c r="S483">
        <v>7</v>
      </c>
      <c r="T483">
        <v>27000</v>
      </c>
      <c r="U483">
        <v>1350</v>
      </c>
      <c r="V483">
        <v>25650</v>
      </c>
      <c r="W483">
        <v>19200</v>
      </c>
      <c r="X483">
        <v>6450</v>
      </c>
      <c r="Y483" s="8">
        <v>0.25146198830409355</v>
      </c>
      <c r="Z483" t="s">
        <v>2996</v>
      </c>
      <c r="AA483" t="str">
        <f>IF(AND(SalesCleanTable[[#This Row],[Discount %]]&gt;0, SalesCleanTable[[#This Row],[Profit]]&lt;0), "Discount loss", "Safe")</f>
        <v>Safe</v>
      </c>
      <c r="AB483" s="25">
        <f>(SalesCleanTable[[#This Row],[Unit Price]] - SalesCleanTable[[#This Row],[Unit Cost]]) / SalesCleanTable[[#This Row],[Unit Price]]</f>
        <v>0.28888888888888886</v>
      </c>
      <c r="AC483" t="str">
        <f>IF(SalesCleanTable[[#This Row],[Discount %]] &gt; SalesCleanTable[[#This Row],[Max Allowed Discount]], "Discount loss", "Safe")</f>
        <v>Safe</v>
      </c>
      <c r="AD483" s="4">
        <f>SalesCleanTable[[#This Row],[Unit Price]] - SalesCleanTable[[#This Row],[Unit Cost]]</f>
        <v>1300</v>
      </c>
      <c r="AE483" s="41">
        <f>(SalesCleanTable[[#This Row],[Unit Price]] - SalesCleanTable[[#This Row],[Unit Cost]]) / SalesCleanTable[[#This Row],[Unit Price]]</f>
        <v>0.28888888888888886</v>
      </c>
    </row>
    <row r="484" spans="1:31">
      <c r="A484" t="s">
        <v>670</v>
      </c>
      <c r="B484" s="6">
        <v>45770</v>
      </c>
      <c r="C484" t="s">
        <v>41</v>
      </c>
      <c r="D484" t="s">
        <v>42</v>
      </c>
      <c r="E484" t="s">
        <v>26</v>
      </c>
      <c r="F484" t="s">
        <v>43</v>
      </c>
      <c r="G484" t="s">
        <v>44</v>
      </c>
      <c r="H484" t="s">
        <v>135</v>
      </c>
      <c r="I484" t="s">
        <v>136</v>
      </c>
      <c r="J484" t="s">
        <v>137</v>
      </c>
      <c r="K484" t="s">
        <v>138</v>
      </c>
      <c r="L484" t="s">
        <v>183</v>
      </c>
      <c r="M484" t="s">
        <v>171</v>
      </c>
      <c r="N484">
        <v>2</v>
      </c>
      <c r="O484" s="4">
        <v>850</v>
      </c>
      <c r="P484" s="4">
        <v>1300</v>
      </c>
      <c r="Q484" s="7">
        <v>0.1</v>
      </c>
      <c r="R484" t="s">
        <v>173</v>
      </c>
      <c r="S484">
        <v>5</v>
      </c>
      <c r="T484">
        <v>2600</v>
      </c>
      <c r="U484">
        <v>260</v>
      </c>
      <c r="V484">
        <v>2340</v>
      </c>
      <c r="W484">
        <v>1700</v>
      </c>
      <c r="X484">
        <v>640</v>
      </c>
      <c r="Y484" s="8">
        <v>0.27350427350427353</v>
      </c>
      <c r="Z484" t="s">
        <v>2995</v>
      </c>
      <c r="AA484" t="str">
        <f>IF(AND(SalesCleanTable[[#This Row],[Discount %]]&gt;0, SalesCleanTable[[#This Row],[Profit]]&lt;0), "Discount loss", "Safe")</f>
        <v>Safe</v>
      </c>
      <c r="AB484" s="25">
        <f>(SalesCleanTable[[#This Row],[Unit Price]] - SalesCleanTable[[#This Row],[Unit Cost]]) / SalesCleanTable[[#This Row],[Unit Price]]</f>
        <v>0.34615384615384615</v>
      </c>
      <c r="AC484" t="str">
        <f>IF(SalesCleanTable[[#This Row],[Discount %]] &gt; SalesCleanTable[[#This Row],[Max Allowed Discount]], "Discount loss", "Safe")</f>
        <v>Safe</v>
      </c>
      <c r="AD484" s="4">
        <f>SalesCleanTable[[#This Row],[Unit Price]] - SalesCleanTable[[#This Row],[Unit Cost]]</f>
        <v>450</v>
      </c>
      <c r="AE484" s="41">
        <f>(SalesCleanTable[[#This Row],[Unit Price]] - SalesCleanTable[[#This Row],[Unit Cost]]) / SalesCleanTable[[#This Row],[Unit Price]]</f>
        <v>0.34615384615384615</v>
      </c>
    </row>
    <row r="485" spans="1:31">
      <c r="A485" t="s">
        <v>671</v>
      </c>
      <c r="B485" s="6">
        <v>45930</v>
      </c>
      <c r="C485" t="s">
        <v>95</v>
      </c>
      <c r="D485" t="s">
        <v>96</v>
      </c>
      <c r="E485" t="s">
        <v>92</v>
      </c>
      <c r="F485" t="s">
        <v>97</v>
      </c>
      <c r="G485" t="s">
        <v>98</v>
      </c>
      <c r="H485" t="s">
        <v>135</v>
      </c>
      <c r="I485" t="s">
        <v>136</v>
      </c>
      <c r="J485" t="s">
        <v>137</v>
      </c>
      <c r="K485" t="s">
        <v>138</v>
      </c>
      <c r="L485" t="s">
        <v>166</v>
      </c>
      <c r="M485" t="s">
        <v>171</v>
      </c>
      <c r="N485">
        <v>5</v>
      </c>
      <c r="O485" s="4">
        <v>18000</v>
      </c>
      <c r="P485" s="4">
        <v>24500</v>
      </c>
      <c r="Q485" s="7">
        <v>0</v>
      </c>
      <c r="R485" t="s">
        <v>215</v>
      </c>
      <c r="S485">
        <v>8</v>
      </c>
      <c r="T485">
        <v>122500</v>
      </c>
      <c r="U485">
        <v>0</v>
      </c>
      <c r="V485">
        <v>122500</v>
      </c>
      <c r="W485">
        <v>90000</v>
      </c>
      <c r="X485">
        <v>32500</v>
      </c>
      <c r="Y485" s="8">
        <v>0.26530612244897961</v>
      </c>
      <c r="Z485" t="s">
        <v>2995</v>
      </c>
      <c r="AA485" t="str">
        <f>IF(AND(SalesCleanTable[[#This Row],[Discount %]]&gt;0, SalesCleanTable[[#This Row],[Profit]]&lt;0), "Discount loss", "Safe")</f>
        <v>Safe</v>
      </c>
      <c r="AB485" s="25">
        <f>(SalesCleanTable[[#This Row],[Unit Price]] - SalesCleanTable[[#This Row],[Unit Cost]]) / SalesCleanTable[[#This Row],[Unit Price]]</f>
        <v>0.26530612244897961</v>
      </c>
      <c r="AC485" t="str">
        <f>IF(SalesCleanTable[[#This Row],[Discount %]] &gt; SalesCleanTable[[#This Row],[Max Allowed Discount]], "Discount loss", "Safe")</f>
        <v>Safe</v>
      </c>
      <c r="AD485" s="4">
        <f>SalesCleanTable[[#This Row],[Unit Price]] - SalesCleanTable[[#This Row],[Unit Cost]]</f>
        <v>6500</v>
      </c>
      <c r="AE485" s="41">
        <f>(SalesCleanTable[[#This Row],[Unit Price]] - SalesCleanTable[[#This Row],[Unit Cost]]) / SalesCleanTable[[#This Row],[Unit Price]]</f>
        <v>0.26530612244897961</v>
      </c>
    </row>
    <row r="486" spans="1:31">
      <c r="A486" t="s">
        <v>672</v>
      </c>
      <c r="B486" s="6">
        <v>45976</v>
      </c>
      <c r="C486" t="s">
        <v>53</v>
      </c>
      <c r="D486" t="s">
        <v>54</v>
      </c>
      <c r="E486" t="s">
        <v>38</v>
      </c>
      <c r="F486" t="s">
        <v>55</v>
      </c>
      <c r="G486" t="s">
        <v>56</v>
      </c>
      <c r="H486" t="s">
        <v>135</v>
      </c>
      <c r="I486" t="s">
        <v>136</v>
      </c>
      <c r="J486" t="s">
        <v>137</v>
      </c>
      <c r="K486" t="s">
        <v>138</v>
      </c>
      <c r="L486" t="s">
        <v>166</v>
      </c>
      <c r="M486" t="s">
        <v>171</v>
      </c>
      <c r="N486">
        <v>1</v>
      </c>
      <c r="O486" s="4">
        <v>330</v>
      </c>
      <c r="P486" s="4">
        <v>550</v>
      </c>
      <c r="Q486" s="7">
        <v>0.2</v>
      </c>
      <c r="R486" t="s">
        <v>175</v>
      </c>
      <c r="S486">
        <v>5</v>
      </c>
      <c r="T486">
        <v>550</v>
      </c>
      <c r="U486">
        <v>110</v>
      </c>
      <c r="V486">
        <v>440</v>
      </c>
      <c r="W486">
        <v>330</v>
      </c>
      <c r="X486">
        <v>110</v>
      </c>
      <c r="Y486" s="8">
        <v>0.25</v>
      </c>
      <c r="Z486" t="s">
        <v>2996</v>
      </c>
      <c r="AA486" t="str">
        <f>IF(AND(SalesCleanTable[[#This Row],[Discount %]]&gt;0, SalesCleanTable[[#This Row],[Profit]]&lt;0), "Discount loss", "Safe")</f>
        <v>Safe</v>
      </c>
      <c r="AB486" s="25">
        <f>(SalesCleanTable[[#This Row],[Unit Price]] - SalesCleanTable[[#This Row],[Unit Cost]]) / SalesCleanTable[[#This Row],[Unit Price]]</f>
        <v>0.4</v>
      </c>
      <c r="AC486" t="str">
        <f>IF(SalesCleanTable[[#This Row],[Discount %]] &gt; SalesCleanTable[[#This Row],[Max Allowed Discount]], "Discount loss", "Safe")</f>
        <v>Safe</v>
      </c>
      <c r="AD486" s="4">
        <f>SalesCleanTable[[#This Row],[Unit Price]] - SalesCleanTable[[#This Row],[Unit Cost]]</f>
        <v>220</v>
      </c>
      <c r="AE486" s="41">
        <f>(SalesCleanTable[[#This Row],[Unit Price]] - SalesCleanTable[[#This Row],[Unit Cost]]) / SalesCleanTable[[#This Row],[Unit Price]]</f>
        <v>0.4</v>
      </c>
    </row>
    <row r="487" spans="1:31">
      <c r="A487" t="s">
        <v>673</v>
      </c>
      <c r="B487" s="6">
        <v>45882</v>
      </c>
      <c r="C487" t="s">
        <v>82</v>
      </c>
      <c r="D487" t="s">
        <v>83</v>
      </c>
      <c r="E487" t="s">
        <v>75</v>
      </c>
      <c r="F487" t="s">
        <v>84</v>
      </c>
      <c r="G487" t="s">
        <v>85</v>
      </c>
      <c r="H487" t="s">
        <v>133</v>
      </c>
      <c r="I487" t="s">
        <v>134</v>
      </c>
      <c r="J487" t="s">
        <v>130</v>
      </c>
      <c r="K487" t="s">
        <v>131</v>
      </c>
      <c r="L487" t="s">
        <v>166</v>
      </c>
      <c r="M487" t="s">
        <v>167</v>
      </c>
      <c r="N487">
        <v>1</v>
      </c>
      <c r="O487" s="4">
        <v>600</v>
      </c>
      <c r="P487" s="4">
        <v>950</v>
      </c>
      <c r="Q487" s="7">
        <v>0.05</v>
      </c>
      <c r="R487" t="s">
        <v>208</v>
      </c>
      <c r="S487">
        <v>6</v>
      </c>
      <c r="T487">
        <v>950</v>
      </c>
      <c r="U487">
        <v>47.5</v>
      </c>
      <c r="V487">
        <v>902.5</v>
      </c>
      <c r="W487">
        <v>600</v>
      </c>
      <c r="X487">
        <v>302.5</v>
      </c>
      <c r="Y487" s="8">
        <v>0.33518005540166207</v>
      </c>
      <c r="Z487" t="s">
        <v>2996</v>
      </c>
      <c r="AA487" t="str">
        <f>IF(AND(SalesCleanTable[[#This Row],[Discount %]]&gt;0, SalesCleanTable[[#This Row],[Profit]]&lt;0), "Discount loss", "Safe")</f>
        <v>Safe</v>
      </c>
      <c r="AB487" s="25">
        <f>(SalesCleanTable[[#This Row],[Unit Price]] - SalesCleanTable[[#This Row],[Unit Cost]]) / SalesCleanTable[[#This Row],[Unit Price]]</f>
        <v>0.36842105263157893</v>
      </c>
      <c r="AC487" t="str">
        <f>IF(SalesCleanTable[[#This Row],[Discount %]] &gt; SalesCleanTable[[#This Row],[Max Allowed Discount]], "Discount loss", "Safe")</f>
        <v>Safe</v>
      </c>
      <c r="AD487" s="4">
        <f>SalesCleanTable[[#This Row],[Unit Price]] - SalesCleanTable[[#This Row],[Unit Cost]]</f>
        <v>350</v>
      </c>
      <c r="AE487" s="41">
        <f>(SalesCleanTable[[#This Row],[Unit Price]] - SalesCleanTable[[#This Row],[Unit Cost]]) / SalesCleanTable[[#This Row],[Unit Price]]</f>
        <v>0.36842105263157893</v>
      </c>
    </row>
    <row r="488" spans="1:31">
      <c r="A488" t="s">
        <v>674</v>
      </c>
      <c r="B488" s="6">
        <v>45674</v>
      </c>
      <c r="C488" t="s">
        <v>45</v>
      </c>
      <c r="D488" t="s">
        <v>46</v>
      </c>
      <c r="E488" t="s">
        <v>38</v>
      </c>
      <c r="F488" t="s">
        <v>47</v>
      </c>
      <c r="G488" t="s">
        <v>48</v>
      </c>
      <c r="H488" t="s">
        <v>149</v>
      </c>
      <c r="I488" t="s">
        <v>150</v>
      </c>
      <c r="J488" t="s">
        <v>151</v>
      </c>
      <c r="K488" t="s">
        <v>152</v>
      </c>
      <c r="L488" t="s">
        <v>183</v>
      </c>
      <c r="M488" t="s">
        <v>177</v>
      </c>
      <c r="N488">
        <v>8</v>
      </c>
      <c r="O488" s="4">
        <v>230</v>
      </c>
      <c r="P488" s="4">
        <v>400</v>
      </c>
      <c r="Q488" s="7">
        <v>0</v>
      </c>
      <c r="R488" t="s">
        <v>175</v>
      </c>
      <c r="S488">
        <v>3</v>
      </c>
      <c r="T488">
        <v>3200</v>
      </c>
      <c r="U488">
        <v>0</v>
      </c>
      <c r="V488">
        <v>3200</v>
      </c>
      <c r="W488">
        <v>1840</v>
      </c>
      <c r="X488">
        <v>1360</v>
      </c>
      <c r="Y488" s="8">
        <v>0.42499999999999999</v>
      </c>
      <c r="Z488" t="s">
        <v>2995</v>
      </c>
      <c r="AA488" t="str">
        <f>IF(AND(SalesCleanTable[[#This Row],[Discount %]]&gt;0, SalesCleanTable[[#This Row],[Profit]]&lt;0), "Discount loss", "Safe")</f>
        <v>Safe</v>
      </c>
      <c r="AB488" s="25">
        <f>(SalesCleanTable[[#This Row],[Unit Price]] - SalesCleanTable[[#This Row],[Unit Cost]]) / SalesCleanTable[[#This Row],[Unit Price]]</f>
        <v>0.42499999999999999</v>
      </c>
      <c r="AC488" t="str">
        <f>IF(SalesCleanTable[[#This Row],[Discount %]] &gt; SalesCleanTable[[#This Row],[Max Allowed Discount]], "Discount loss", "Safe")</f>
        <v>Safe</v>
      </c>
      <c r="AD488" s="4">
        <f>SalesCleanTable[[#This Row],[Unit Price]] - SalesCleanTable[[#This Row],[Unit Cost]]</f>
        <v>170</v>
      </c>
      <c r="AE488" s="41">
        <f>(SalesCleanTable[[#This Row],[Unit Price]] - SalesCleanTable[[#This Row],[Unit Cost]]) / SalesCleanTable[[#This Row],[Unit Price]]</f>
        <v>0.42499999999999999</v>
      </c>
    </row>
    <row r="489" spans="1:31">
      <c r="A489" t="s">
        <v>675</v>
      </c>
      <c r="B489" s="6">
        <v>45786</v>
      </c>
      <c r="C489" t="s">
        <v>95</v>
      </c>
      <c r="D489" t="s">
        <v>96</v>
      </c>
      <c r="E489" t="s">
        <v>92</v>
      </c>
      <c r="F489" t="s">
        <v>97</v>
      </c>
      <c r="G489" t="s">
        <v>98</v>
      </c>
      <c r="H489" t="s">
        <v>149</v>
      </c>
      <c r="I489" t="s">
        <v>150</v>
      </c>
      <c r="J489" t="s">
        <v>151</v>
      </c>
      <c r="K489" t="s">
        <v>152</v>
      </c>
      <c r="L489" t="s">
        <v>166</v>
      </c>
      <c r="M489" t="s">
        <v>171</v>
      </c>
      <c r="N489">
        <v>1</v>
      </c>
      <c r="O489" s="4">
        <v>18000</v>
      </c>
      <c r="P489" s="4">
        <v>24500</v>
      </c>
      <c r="Q489" s="7">
        <v>0.1</v>
      </c>
      <c r="R489" t="s">
        <v>217</v>
      </c>
      <c r="S489">
        <v>4</v>
      </c>
      <c r="T489">
        <v>24500</v>
      </c>
      <c r="U489">
        <v>2450</v>
      </c>
      <c r="V489">
        <v>22050</v>
      </c>
      <c r="W489">
        <v>18000</v>
      </c>
      <c r="X489">
        <v>4050</v>
      </c>
      <c r="Y489" s="8">
        <v>0.18367346938775511</v>
      </c>
      <c r="Z489" t="s">
        <v>2995</v>
      </c>
      <c r="AA489" t="str">
        <f>IF(AND(SalesCleanTable[[#This Row],[Discount %]]&gt;0, SalesCleanTable[[#This Row],[Profit]]&lt;0), "Discount loss", "Safe")</f>
        <v>Safe</v>
      </c>
      <c r="AB489" s="25">
        <f>(SalesCleanTable[[#This Row],[Unit Price]] - SalesCleanTable[[#This Row],[Unit Cost]]) / SalesCleanTable[[#This Row],[Unit Price]]</f>
        <v>0.26530612244897961</v>
      </c>
      <c r="AC489" t="str">
        <f>IF(SalesCleanTable[[#This Row],[Discount %]] &gt; SalesCleanTable[[#This Row],[Max Allowed Discount]], "Discount loss", "Safe")</f>
        <v>Safe</v>
      </c>
      <c r="AD489" s="4">
        <f>SalesCleanTable[[#This Row],[Unit Price]] - SalesCleanTable[[#This Row],[Unit Cost]]</f>
        <v>6500</v>
      </c>
      <c r="AE489" s="41">
        <f>(SalesCleanTable[[#This Row],[Unit Price]] - SalesCleanTable[[#This Row],[Unit Cost]]) / SalesCleanTable[[#This Row],[Unit Price]]</f>
        <v>0.26530612244897961</v>
      </c>
    </row>
    <row r="490" spans="1:31">
      <c r="A490" t="s">
        <v>676</v>
      </c>
      <c r="B490" s="6">
        <v>45675</v>
      </c>
      <c r="C490" t="s">
        <v>41</v>
      </c>
      <c r="D490" t="s">
        <v>42</v>
      </c>
      <c r="E490" t="s">
        <v>26</v>
      </c>
      <c r="F490" t="s">
        <v>43</v>
      </c>
      <c r="G490" t="s">
        <v>44</v>
      </c>
      <c r="H490" t="s">
        <v>145</v>
      </c>
      <c r="I490" t="s">
        <v>146</v>
      </c>
      <c r="J490" t="s">
        <v>147</v>
      </c>
      <c r="K490" t="s">
        <v>148</v>
      </c>
      <c r="L490" t="s">
        <v>166</v>
      </c>
      <c r="M490" t="s">
        <v>186</v>
      </c>
      <c r="N490">
        <v>1</v>
      </c>
      <c r="O490" s="4">
        <v>850</v>
      </c>
      <c r="P490" s="4">
        <v>1300</v>
      </c>
      <c r="Q490" s="7">
        <v>0.1</v>
      </c>
      <c r="R490" t="s">
        <v>194</v>
      </c>
      <c r="S490">
        <v>6</v>
      </c>
      <c r="T490">
        <v>1300</v>
      </c>
      <c r="U490">
        <v>130</v>
      </c>
      <c r="V490">
        <v>1170</v>
      </c>
      <c r="W490">
        <v>850</v>
      </c>
      <c r="X490">
        <v>320</v>
      </c>
      <c r="Y490" s="8">
        <v>0.27350427350427353</v>
      </c>
      <c r="Z490" t="s">
        <v>2995</v>
      </c>
      <c r="AA490" t="str">
        <f>IF(AND(SalesCleanTable[[#This Row],[Discount %]]&gt;0, SalesCleanTable[[#This Row],[Profit]]&lt;0), "Discount loss", "Safe")</f>
        <v>Safe</v>
      </c>
      <c r="AB490" s="25">
        <f>(SalesCleanTable[[#This Row],[Unit Price]] - SalesCleanTable[[#This Row],[Unit Cost]]) / SalesCleanTable[[#This Row],[Unit Price]]</f>
        <v>0.34615384615384615</v>
      </c>
      <c r="AC490" t="str">
        <f>IF(SalesCleanTable[[#This Row],[Discount %]] &gt; SalesCleanTable[[#This Row],[Max Allowed Discount]], "Discount loss", "Safe")</f>
        <v>Safe</v>
      </c>
      <c r="AD490" s="4">
        <f>SalesCleanTable[[#This Row],[Unit Price]] - SalesCleanTable[[#This Row],[Unit Cost]]</f>
        <v>450</v>
      </c>
      <c r="AE490" s="41">
        <f>(SalesCleanTable[[#This Row],[Unit Price]] - SalesCleanTable[[#This Row],[Unit Cost]]) / SalesCleanTable[[#This Row],[Unit Price]]</f>
        <v>0.34615384615384615</v>
      </c>
    </row>
    <row r="491" spans="1:31">
      <c r="A491" t="s">
        <v>677</v>
      </c>
      <c r="B491" s="6">
        <v>45679</v>
      </c>
      <c r="C491" t="s">
        <v>82</v>
      </c>
      <c r="D491" t="s">
        <v>83</v>
      </c>
      <c r="E491" t="s">
        <v>75</v>
      </c>
      <c r="F491" t="s">
        <v>84</v>
      </c>
      <c r="G491" t="s">
        <v>85</v>
      </c>
      <c r="H491" t="s">
        <v>139</v>
      </c>
      <c r="I491" t="s">
        <v>140</v>
      </c>
      <c r="J491" t="s">
        <v>137</v>
      </c>
      <c r="K491" t="s">
        <v>138</v>
      </c>
      <c r="L491" t="s">
        <v>166</v>
      </c>
      <c r="M491" t="s">
        <v>186</v>
      </c>
      <c r="N491">
        <v>1</v>
      </c>
      <c r="O491" s="4">
        <v>600</v>
      </c>
      <c r="P491" s="4">
        <v>950</v>
      </c>
      <c r="Q491" s="7">
        <v>0.05</v>
      </c>
      <c r="R491" t="s">
        <v>187</v>
      </c>
      <c r="S491">
        <v>14</v>
      </c>
      <c r="T491">
        <v>950</v>
      </c>
      <c r="U491">
        <v>47.5</v>
      </c>
      <c r="V491">
        <v>902.5</v>
      </c>
      <c r="W491">
        <v>600</v>
      </c>
      <c r="X491">
        <v>302.5</v>
      </c>
      <c r="Y491" s="8">
        <v>0.33518005540166207</v>
      </c>
      <c r="Z491" t="s">
        <v>2996</v>
      </c>
      <c r="AA491" t="str">
        <f>IF(AND(SalesCleanTable[[#This Row],[Discount %]]&gt;0, SalesCleanTable[[#This Row],[Profit]]&lt;0), "Discount loss", "Safe")</f>
        <v>Safe</v>
      </c>
      <c r="AB491" s="25">
        <f>(SalesCleanTable[[#This Row],[Unit Price]] - SalesCleanTable[[#This Row],[Unit Cost]]) / SalesCleanTable[[#This Row],[Unit Price]]</f>
        <v>0.36842105263157893</v>
      </c>
      <c r="AC491" t="str">
        <f>IF(SalesCleanTable[[#This Row],[Discount %]] &gt; SalesCleanTable[[#This Row],[Max Allowed Discount]], "Discount loss", "Safe")</f>
        <v>Safe</v>
      </c>
      <c r="AD491" s="4">
        <f>SalesCleanTable[[#This Row],[Unit Price]] - SalesCleanTable[[#This Row],[Unit Cost]]</f>
        <v>350</v>
      </c>
      <c r="AE491" s="41">
        <f>(SalesCleanTable[[#This Row],[Unit Price]] - SalesCleanTable[[#This Row],[Unit Cost]]) / SalesCleanTable[[#This Row],[Unit Price]]</f>
        <v>0.36842105263157893</v>
      </c>
    </row>
    <row r="492" spans="1:31">
      <c r="A492" t="s">
        <v>678</v>
      </c>
      <c r="B492" s="6">
        <v>45715</v>
      </c>
      <c r="C492" t="s">
        <v>41</v>
      </c>
      <c r="D492" t="s">
        <v>42</v>
      </c>
      <c r="E492" t="s">
        <v>26</v>
      </c>
      <c r="F492" t="s">
        <v>43</v>
      </c>
      <c r="G492" t="s">
        <v>44</v>
      </c>
      <c r="H492" t="s">
        <v>135</v>
      </c>
      <c r="I492" t="s">
        <v>136</v>
      </c>
      <c r="J492" t="s">
        <v>137</v>
      </c>
      <c r="K492" t="s">
        <v>138</v>
      </c>
      <c r="L492" t="s">
        <v>183</v>
      </c>
      <c r="M492" t="s">
        <v>186</v>
      </c>
      <c r="N492">
        <v>1</v>
      </c>
      <c r="O492" s="4">
        <v>850</v>
      </c>
      <c r="P492" s="4">
        <v>1300</v>
      </c>
      <c r="Q492" s="7">
        <v>0.15</v>
      </c>
      <c r="R492" t="s">
        <v>197</v>
      </c>
      <c r="S492">
        <v>1</v>
      </c>
      <c r="T492">
        <v>1300</v>
      </c>
      <c r="U492">
        <v>195</v>
      </c>
      <c r="V492">
        <v>1105</v>
      </c>
      <c r="W492">
        <v>850</v>
      </c>
      <c r="X492">
        <v>255</v>
      </c>
      <c r="Y492" s="8">
        <v>0.23076923076923078</v>
      </c>
      <c r="Z492" t="s">
        <v>2995</v>
      </c>
      <c r="AA492" t="str">
        <f>IF(AND(SalesCleanTable[[#This Row],[Discount %]]&gt;0, SalesCleanTable[[#This Row],[Profit]]&lt;0), "Discount loss", "Safe")</f>
        <v>Safe</v>
      </c>
      <c r="AB492" s="25">
        <f>(SalesCleanTable[[#This Row],[Unit Price]] - SalesCleanTable[[#This Row],[Unit Cost]]) / SalesCleanTable[[#This Row],[Unit Price]]</f>
        <v>0.34615384615384615</v>
      </c>
      <c r="AC492" t="str">
        <f>IF(SalesCleanTable[[#This Row],[Discount %]] &gt; SalesCleanTable[[#This Row],[Max Allowed Discount]], "Discount loss", "Safe")</f>
        <v>Safe</v>
      </c>
      <c r="AD492" s="4">
        <f>SalesCleanTable[[#This Row],[Unit Price]] - SalesCleanTable[[#This Row],[Unit Cost]]</f>
        <v>450</v>
      </c>
      <c r="AE492" s="41">
        <f>(SalesCleanTable[[#This Row],[Unit Price]] - SalesCleanTable[[#This Row],[Unit Cost]]) / SalesCleanTable[[#This Row],[Unit Price]]</f>
        <v>0.34615384615384615</v>
      </c>
    </row>
    <row r="493" spans="1:31">
      <c r="A493" t="s">
        <v>679</v>
      </c>
      <c r="B493" s="6">
        <v>45955</v>
      </c>
      <c r="C493" t="s">
        <v>90</v>
      </c>
      <c r="D493" t="s">
        <v>91</v>
      </c>
      <c r="E493" t="s">
        <v>92</v>
      </c>
      <c r="F493" t="s">
        <v>93</v>
      </c>
      <c r="G493" t="s">
        <v>94</v>
      </c>
      <c r="H493" t="s">
        <v>139</v>
      </c>
      <c r="I493" t="s">
        <v>140</v>
      </c>
      <c r="J493" t="s">
        <v>137</v>
      </c>
      <c r="K493" t="s">
        <v>138</v>
      </c>
      <c r="L493" t="s">
        <v>166</v>
      </c>
      <c r="M493" t="s">
        <v>177</v>
      </c>
      <c r="N493">
        <v>3</v>
      </c>
      <c r="O493" s="4">
        <v>7500</v>
      </c>
      <c r="P493" s="4">
        <v>10500</v>
      </c>
      <c r="Q493" s="7">
        <v>0.1</v>
      </c>
      <c r="R493" t="s">
        <v>181</v>
      </c>
      <c r="S493">
        <v>11</v>
      </c>
      <c r="T493">
        <v>31500</v>
      </c>
      <c r="U493">
        <v>3150</v>
      </c>
      <c r="V493">
        <v>28350</v>
      </c>
      <c r="W493">
        <v>22500</v>
      </c>
      <c r="X493">
        <v>5850</v>
      </c>
      <c r="Y493" s="8">
        <v>0.20634920634920634</v>
      </c>
      <c r="Z493" t="s">
        <v>2996</v>
      </c>
      <c r="AA493" t="str">
        <f>IF(AND(SalesCleanTable[[#This Row],[Discount %]]&gt;0, SalesCleanTable[[#This Row],[Profit]]&lt;0), "Discount loss", "Safe")</f>
        <v>Safe</v>
      </c>
      <c r="AB493" s="25">
        <f>(SalesCleanTable[[#This Row],[Unit Price]] - SalesCleanTable[[#This Row],[Unit Cost]]) / SalesCleanTable[[#This Row],[Unit Price]]</f>
        <v>0.2857142857142857</v>
      </c>
      <c r="AC493" t="str">
        <f>IF(SalesCleanTable[[#This Row],[Discount %]] &gt; SalesCleanTable[[#This Row],[Max Allowed Discount]], "Discount loss", "Safe")</f>
        <v>Safe</v>
      </c>
      <c r="AD493" s="4">
        <f>SalesCleanTable[[#This Row],[Unit Price]] - SalesCleanTable[[#This Row],[Unit Cost]]</f>
        <v>3000</v>
      </c>
      <c r="AE493" s="41">
        <f>(SalesCleanTable[[#This Row],[Unit Price]] - SalesCleanTable[[#This Row],[Unit Cost]]) / SalesCleanTable[[#This Row],[Unit Price]]</f>
        <v>0.2857142857142857</v>
      </c>
    </row>
    <row r="494" spans="1:31">
      <c r="A494" t="s">
        <v>680</v>
      </c>
      <c r="B494" s="6">
        <v>45978</v>
      </c>
      <c r="C494" t="s">
        <v>29</v>
      </c>
      <c r="D494" t="s">
        <v>30</v>
      </c>
      <c r="E494" t="s">
        <v>26</v>
      </c>
      <c r="F494" t="s">
        <v>27</v>
      </c>
      <c r="G494" t="s">
        <v>31</v>
      </c>
      <c r="H494" t="s">
        <v>135</v>
      </c>
      <c r="I494" t="s">
        <v>136</v>
      </c>
      <c r="J494" t="s">
        <v>137</v>
      </c>
      <c r="K494" t="s">
        <v>138</v>
      </c>
      <c r="L494" t="s">
        <v>166</v>
      </c>
      <c r="M494" t="s">
        <v>186</v>
      </c>
      <c r="N494">
        <v>1</v>
      </c>
      <c r="O494" s="4">
        <v>6200</v>
      </c>
      <c r="P494" s="4">
        <v>7900</v>
      </c>
      <c r="Q494" s="7">
        <v>0.05</v>
      </c>
      <c r="R494" t="s">
        <v>194</v>
      </c>
      <c r="S494">
        <v>9</v>
      </c>
      <c r="T494">
        <v>7900</v>
      </c>
      <c r="U494">
        <v>395</v>
      </c>
      <c r="V494">
        <v>7505</v>
      </c>
      <c r="W494">
        <v>6200</v>
      </c>
      <c r="X494">
        <v>1305</v>
      </c>
      <c r="Y494" s="8">
        <v>0.17388407728181213</v>
      </c>
      <c r="Z494" t="s">
        <v>2996</v>
      </c>
      <c r="AA494" t="str">
        <f>IF(AND(SalesCleanTable[[#This Row],[Discount %]]&gt;0, SalesCleanTable[[#This Row],[Profit]]&lt;0), "Discount loss", "Safe")</f>
        <v>Safe</v>
      </c>
      <c r="AB494" s="25">
        <f>(SalesCleanTable[[#This Row],[Unit Price]] - SalesCleanTable[[#This Row],[Unit Cost]]) / SalesCleanTable[[#This Row],[Unit Price]]</f>
        <v>0.21518987341772153</v>
      </c>
      <c r="AC494" t="str">
        <f>IF(SalesCleanTable[[#This Row],[Discount %]] &gt; SalesCleanTable[[#This Row],[Max Allowed Discount]], "Discount loss", "Safe")</f>
        <v>Safe</v>
      </c>
      <c r="AD494" s="4">
        <f>SalesCleanTable[[#This Row],[Unit Price]] - SalesCleanTable[[#This Row],[Unit Cost]]</f>
        <v>1700</v>
      </c>
      <c r="AE494" s="41">
        <f>(SalesCleanTable[[#This Row],[Unit Price]] - SalesCleanTable[[#This Row],[Unit Cost]]) / SalesCleanTable[[#This Row],[Unit Price]]</f>
        <v>0.21518987341772153</v>
      </c>
    </row>
    <row r="495" spans="1:31">
      <c r="A495" t="s">
        <v>681</v>
      </c>
      <c r="B495" s="6">
        <v>45835</v>
      </c>
      <c r="C495" t="s">
        <v>95</v>
      </c>
      <c r="D495" t="s">
        <v>96</v>
      </c>
      <c r="E495" t="s">
        <v>92</v>
      </c>
      <c r="F495" t="s">
        <v>97</v>
      </c>
      <c r="G495" t="s">
        <v>98</v>
      </c>
      <c r="H495" t="s">
        <v>135</v>
      </c>
      <c r="I495" t="s">
        <v>136</v>
      </c>
      <c r="J495" t="s">
        <v>137</v>
      </c>
      <c r="K495" t="s">
        <v>138</v>
      </c>
      <c r="L495" t="s">
        <v>166</v>
      </c>
      <c r="M495" t="s">
        <v>177</v>
      </c>
      <c r="N495">
        <v>1</v>
      </c>
      <c r="O495" s="4">
        <v>18000</v>
      </c>
      <c r="P495" s="4">
        <v>24500</v>
      </c>
      <c r="Q495" s="7">
        <v>0.1</v>
      </c>
      <c r="R495" t="s">
        <v>181</v>
      </c>
      <c r="S495">
        <v>8</v>
      </c>
      <c r="T495">
        <v>24500</v>
      </c>
      <c r="U495">
        <v>2450</v>
      </c>
      <c r="V495">
        <v>22050</v>
      </c>
      <c r="W495">
        <v>18000</v>
      </c>
      <c r="X495">
        <v>4050</v>
      </c>
      <c r="Y495" s="8">
        <v>0.18367346938775511</v>
      </c>
      <c r="Z495" t="s">
        <v>2995</v>
      </c>
      <c r="AA495" t="str">
        <f>IF(AND(SalesCleanTable[[#This Row],[Discount %]]&gt;0, SalesCleanTable[[#This Row],[Profit]]&lt;0), "Discount loss", "Safe")</f>
        <v>Safe</v>
      </c>
      <c r="AB495" s="25">
        <f>(SalesCleanTable[[#This Row],[Unit Price]] - SalesCleanTable[[#This Row],[Unit Cost]]) / SalesCleanTable[[#This Row],[Unit Price]]</f>
        <v>0.26530612244897961</v>
      </c>
      <c r="AC495" t="str">
        <f>IF(SalesCleanTable[[#This Row],[Discount %]] &gt; SalesCleanTable[[#This Row],[Max Allowed Discount]], "Discount loss", "Safe")</f>
        <v>Safe</v>
      </c>
      <c r="AD495" s="4">
        <f>SalesCleanTable[[#This Row],[Unit Price]] - SalesCleanTable[[#This Row],[Unit Cost]]</f>
        <v>6500</v>
      </c>
      <c r="AE495" s="41">
        <f>(SalesCleanTable[[#This Row],[Unit Price]] - SalesCleanTable[[#This Row],[Unit Cost]]) / SalesCleanTable[[#This Row],[Unit Price]]</f>
        <v>0.26530612244897961</v>
      </c>
    </row>
    <row r="496" spans="1:31">
      <c r="A496" t="s">
        <v>682</v>
      </c>
      <c r="B496" s="6">
        <v>45944</v>
      </c>
      <c r="C496" t="s">
        <v>45</v>
      </c>
      <c r="D496" t="s">
        <v>46</v>
      </c>
      <c r="E496" t="s">
        <v>38</v>
      </c>
      <c r="F496" t="s">
        <v>47</v>
      </c>
      <c r="G496" t="s">
        <v>48</v>
      </c>
      <c r="H496" t="s">
        <v>145</v>
      </c>
      <c r="I496" t="s">
        <v>146</v>
      </c>
      <c r="J496" t="s">
        <v>147</v>
      </c>
      <c r="K496" t="s">
        <v>148</v>
      </c>
      <c r="L496" t="s">
        <v>166</v>
      </c>
      <c r="M496" t="s">
        <v>171</v>
      </c>
      <c r="N496">
        <v>1</v>
      </c>
      <c r="O496" s="4">
        <v>230</v>
      </c>
      <c r="P496" s="4">
        <v>400</v>
      </c>
      <c r="Q496" s="7">
        <v>0</v>
      </c>
      <c r="R496" t="s">
        <v>175</v>
      </c>
      <c r="S496">
        <v>14</v>
      </c>
      <c r="T496">
        <v>400</v>
      </c>
      <c r="U496">
        <v>0</v>
      </c>
      <c r="V496">
        <v>400</v>
      </c>
      <c r="W496">
        <v>230</v>
      </c>
      <c r="X496">
        <v>170</v>
      </c>
      <c r="Y496" s="8">
        <v>0.42499999999999999</v>
      </c>
      <c r="Z496" t="s">
        <v>2995</v>
      </c>
      <c r="AA496" t="str">
        <f>IF(AND(SalesCleanTable[[#This Row],[Discount %]]&gt;0, SalesCleanTable[[#This Row],[Profit]]&lt;0), "Discount loss", "Safe")</f>
        <v>Safe</v>
      </c>
      <c r="AB496" s="25">
        <f>(SalesCleanTable[[#This Row],[Unit Price]] - SalesCleanTable[[#This Row],[Unit Cost]]) / SalesCleanTable[[#This Row],[Unit Price]]</f>
        <v>0.42499999999999999</v>
      </c>
      <c r="AC496" t="str">
        <f>IF(SalesCleanTable[[#This Row],[Discount %]] &gt; SalesCleanTable[[#This Row],[Max Allowed Discount]], "Discount loss", "Safe")</f>
        <v>Safe</v>
      </c>
      <c r="AD496" s="4">
        <f>SalesCleanTable[[#This Row],[Unit Price]] - SalesCleanTable[[#This Row],[Unit Cost]]</f>
        <v>170</v>
      </c>
      <c r="AE496" s="41">
        <f>(SalesCleanTable[[#This Row],[Unit Price]] - SalesCleanTable[[#This Row],[Unit Cost]]) / SalesCleanTable[[#This Row],[Unit Price]]</f>
        <v>0.42499999999999999</v>
      </c>
    </row>
    <row r="497" spans="1:31">
      <c r="A497" t="s">
        <v>683</v>
      </c>
      <c r="B497" s="6">
        <v>45941</v>
      </c>
      <c r="C497" t="s">
        <v>36</v>
      </c>
      <c r="D497" t="s">
        <v>37</v>
      </c>
      <c r="E497" t="s">
        <v>38</v>
      </c>
      <c r="F497" t="s">
        <v>39</v>
      </c>
      <c r="G497" t="s">
        <v>40</v>
      </c>
      <c r="H497" t="s">
        <v>139</v>
      </c>
      <c r="I497" t="s">
        <v>140</v>
      </c>
      <c r="J497" t="s">
        <v>137</v>
      </c>
      <c r="K497" t="s">
        <v>138</v>
      </c>
      <c r="L497" t="s">
        <v>166</v>
      </c>
      <c r="M497" t="s">
        <v>186</v>
      </c>
      <c r="N497">
        <v>2</v>
      </c>
      <c r="O497" s="4">
        <v>1650</v>
      </c>
      <c r="P497" s="4">
        <v>2200</v>
      </c>
      <c r="Q497" s="7">
        <v>0.15</v>
      </c>
      <c r="R497" t="s">
        <v>168</v>
      </c>
      <c r="S497">
        <v>9</v>
      </c>
      <c r="T497">
        <v>4400</v>
      </c>
      <c r="U497">
        <v>660</v>
      </c>
      <c r="V497">
        <v>3740</v>
      </c>
      <c r="W497">
        <v>3300</v>
      </c>
      <c r="X497">
        <v>440</v>
      </c>
      <c r="Y497" s="8">
        <v>0.11764705882352941</v>
      </c>
      <c r="Z497" t="s">
        <v>2995</v>
      </c>
      <c r="AA497" t="str">
        <f>IF(AND(SalesCleanTable[[#This Row],[Discount %]]&gt;0, SalesCleanTable[[#This Row],[Profit]]&lt;0), "Discount loss", "Safe")</f>
        <v>Safe</v>
      </c>
      <c r="AB497" s="25">
        <f>(SalesCleanTable[[#This Row],[Unit Price]] - SalesCleanTable[[#This Row],[Unit Cost]]) / SalesCleanTable[[#This Row],[Unit Price]]</f>
        <v>0.25</v>
      </c>
      <c r="AC497" t="str">
        <f>IF(SalesCleanTable[[#This Row],[Discount %]] &gt; SalesCleanTable[[#This Row],[Max Allowed Discount]], "Discount loss", "Safe")</f>
        <v>Safe</v>
      </c>
      <c r="AD497" s="4">
        <f>SalesCleanTable[[#This Row],[Unit Price]] - SalesCleanTable[[#This Row],[Unit Cost]]</f>
        <v>550</v>
      </c>
      <c r="AE497" s="41">
        <f>(SalesCleanTable[[#This Row],[Unit Price]] - SalesCleanTable[[#This Row],[Unit Cost]]) / SalesCleanTable[[#This Row],[Unit Price]]</f>
        <v>0.25</v>
      </c>
    </row>
    <row r="498" spans="1:31">
      <c r="A498" t="s">
        <v>684</v>
      </c>
      <c r="B498" s="6">
        <v>45752</v>
      </c>
      <c r="C498" t="s">
        <v>103</v>
      </c>
      <c r="D498" t="s">
        <v>104</v>
      </c>
      <c r="E498" t="s">
        <v>92</v>
      </c>
      <c r="F498" t="s">
        <v>105</v>
      </c>
      <c r="G498" t="s">
        <v>106</v>
      </c>
      <c r="H498" t="s">
        <v>141</v>
      </c>
      <c r="I498" t="s">
        <v>142</v>
      </c>
      <c r="J498" t="s">
        <v>143</v>
      </c>
      <c r="K498" t="s">
        <v>144</v>
      </c>
      <c r="L498" t="s">
        <v>166</v>
      </c>
      <c r="M498" t="s">
        <v>177</v>
      </c>
      <c r="N498">
        <v>2</v>
      </c>
      <c r="O498" s="4">
        <v>1500</v>
      </c>
      <c r="P498" s="4">
        <v>2500</v>
      </c>
      <c r="Q498" s="7">
        <v>0.1</v>
      </c>
      <c r="R498" t="s">
        <v>215</v>
      </c>
      <c r="S498">
        <v>14</v>
      </c>
      <c r="T498">
        <v>5000</v>
      </c>
      <c r="U498">
        <v>500</v>
      </c>
      <c r="V498">
        <v>4500</v>
      </c>
      <c r="W498">
        <v>3000</v>
      </c>
      <c r="X498">
        <v>1500</v>
      </c>
      <c r="Y498" s="8">
        <v>0.33333333333333331</v>
      </c>
      <c r="Z498" t="s">
        <v>2996</v>
      </c>
      <c r="AA498" t="str">
        <f>IF(AND(SalesCleanTable[[#This Row],[Discount %]]&gt;0, SalesCleanTable[[#This Row],[Profit]]&lt;0), "Discount loss", "Safe")</f>
        <v>Safe</v>
      </c>
      <c r="AB498" s="25">
        <f>(SalesCleanTable[[#This Row],[Unit Price]] - SalesCleanTable[[#This Row],[Unit Cost]]) / SalesCleanTable[[#This Row],[Unit Price]]</f>
        <v>0.4</v>
      </c>
      <c r="AC498" t="str">
        <f>IF(SalesCleanTable[[#This Row],[Discount %]] &gt; SalesCleanTable[[#This Row],[Max Allowed Discount]], "Discount loss", "Safe")</f>
        <v>Safe</v>
      </c>
      <c r="AD498" s="4">
        <f>SalesCleanTable[[#This Row],[Unit Price]] - SalesCleanTable[[#This Row],[Unit Cost]]</f>
        <v>1000</v>
      </c>
      <c r="AE498" s="41">
        <f>(SalesCleanTable[[#This Row],[Unit Price]] - SalesCleanTable[[#This Row],[Unit Cost]]) / SalesCleanTable[[#This Row],[Unit Price]]</f>
        <v>0.4</v>
      </c>
    </row>
    <row r="499" spans="1:31">
      <c r="A499" t="s">
        <v>685</v>
      </c>
      <c r="B499" s="6">
        <v>45926</v>
      </c>
      <c r="C499" t="s">
        <v>78</v>
      </c>
      <c r="D499" t="s">
        <v>79</v>
      </c>
      <c r="E499" t="s">
        <v>75</v>
      </c>
      <c r="F499" t="s">
        <v>80</v>
      </c>
      <c r="G499" t="s">
        <v>81</v>
      </c>
      <c r="H499" t="s">
        <v>145</v>
      </c>
      <c r="I499" t="s">
        <v>146</v>
      </c>
      <c r="J499" t="s">
        <v>147</v>
      </c>
      <c r="K499" t="s">
        <v>148</v>
      </c>
      <c r="L499" t="s">
        <v>166</v>
      </c>
      <c r="M499" t="s">
        <v>186</v>
      </c>
      <c r="N499">
        <v>1</v>
      </c>
      <c r="O499" s="4">
        <v>1200</v>
      </c>
      <c r="P499" s="4">
        <v>1900</v>
      </c>
      <c r="Q499" s="7">
        <v>0</v>
      </c>
      <c r="R499" t="s">
        <v>187</v>
      </c>
      <c r="S499">
        <v>9</v>
      </c>
      <c r="T499">
        <v>1900</v>
      </c>
      <c r="U499">
        <v>0</v>
      </c>
      <c r="V499">
        <v>1900</v>
      </c>
      <c r="W499">
        <v>1200</v>
      </c>
      <c r="X499">
        <v>700</v>
      </c>
      <c r="Y499" s="8">
        <v>0.36842105263157893</v>
      </c>
      <c r="Z499" t="s">
        <v>2996</v>
      </c>
      <c r="AA499" t="str">
        <f>IF(AND(SalesCleanTable[[#This Row],[Discount %]]&gt;0, SalesCleanTable[[#This Row],[Profit]]&lt;0), "Discount loss", "Safe")</f>
        <v>Safe</v>
      </c>
      <c r="AB499" s="25">
        <f>(SalesCleanTable[[#This Row],[Unit Price]] - SalesCleanTable[[#This Row],[Unit Cost]]) / SalesCleanTable[[#This Row],[Unit Price]]</f>
        <v>0.36842105263157893</v>
      </c>
      <c r="AC499" t="str">
        <f>IF(SalesCleanTable[[#This Row],[Discount %]] &gt; SalesCleanTable[[#This Row],[Max Allowed Discount]], "Discount loss", "Safe")</f>
        <v>Safe</v>
      </c>
      <c r="AD499" s="4">
        <f>SalesCleanTable[[#This Row],[Unit Price]] - SalesCleanTable[[#This Row],[Unit Cost]]</f>
        <v>700</v>
      </c>
      <c r="AE499" s="41">
        <f>(SalesCleanTable[[#This Row],[Unit Price]] - SalesCleanTable[[#This Row],[Unit Cost]]) / SalesCleanTable[[#This Row],[Unit Price]]</f>
        <v>0.36842105263157893</v>
      </c>
    </row>
    <row r="500" spans="1:31">
      <c r="A500" t="s">
        <v>686</v>
      </c>
      <c r="B500" s="6">
        <v>45680</v>
      </c>
      <c r="C500" t="s">
        <v>99</v>
      </c>
      <c r="D500" t="s">
        <v>100</v>
      </c>
      <c r="E500" t="s">
        <v>92</v>
      </c>
      <c r="F500" t="s">
        <v>101</v>
      </c>
      <c r="G500" t="s">
        <v>102</v>
      </c>
      <c r="H500" t="s">
        <v>128</v>
      </c>
      <c r="I500" t="s">
        <v>129</v>
      </c>
      <c r="J500" t="s">
        <v>130</v>
      </c>
      <c r="K500" t="s">
        <v>131</v>
      </c>
      <c r="L500" t="s">
        <v>166</v>
      </c>
      <c r="M500" t="s">
        <v>177</v>
      </c>
      <c r="N500">
        <v>6</v>
      </c>
      <c r="O500" s="4">
        <v>12500</v>
      </c>
      <c r="P500" s="4">
        <v>18500</v>
      </c>
      <c r="Q500" s="7">
        <v>0</v>
      </c>
      <c r="R500" t="s">
        <v>215</v>
      </c>
      <c r="S500">
        <v>11</v>
      </c>
      <c r="T500">
        <v>111000</v>
      </c>
      <c r="U500">
        <v>0</v>
      </c>
      <c r="V500">
        <v>111000</v>
      </c>
      <c r="W500">
        <v>75000</v>
      </c>
      <c r="X500">
        <v>36000</v>
      </c>
      <c r="Y500" s="8">
        <v>0.32432432432432434</v>
      </c>
      <c r="Z500" t="s">
        <v>2995</v>
      </c>
      <c r="AA500" t="str">
        <f>IF(AND(SalesCleanTable[[#This Row],[Discount %]]&gt;0, SalesCleanTable[[#This Row],[Profit]]&lt;0), "Discount loss", "Safe")</f>
        <v>Safe</v>
      </c>
      <c r="AB500" s="25">
        <f>(SalesCleanTable[[#This Row],[Unit Price]] - SalesCleanTable[[#This Row],[Unit Cost]]) / SalesCleanTable[[#This Row],[Unit Price]]</f>
        <v>0.32432432432432434</v>
      </c>
      <c r="AC500" t="str">
        <f>IF(SalesCleanTable[[#This Row],[Discount %]] &gt; SalesCleanTable[[#This Row],[Max Allowed Discount]], "Discount loss", "Safe")</f>
        <v>Safe</v>
      </c>
      <c r="AD500" s="4">
        <f>SalesCleanTable[[#This Row],[Unit Price]] - SalesCleanTable[[#This Row],[Unit Cost]]</f>
        <v>6000</v>
      </c>
      <c r="AE500" s="41">
        <f>(SalesCleanTable[[#This Row],[Unit Price]] - SalesCleanTable[[#This Row],[Unit Cost]]) / SalesCleanTable[[#This Row],[Unit Price]]</f>
        <v>0.32432432432432434</v>
      </c>
    </row>
    <row r="501" spans="1:31">
      <c r="A501" t="s">
        <v>687</v>
      </c>
      <c r="B501" s="6">
        <v>45994</v>
      </c>
      <c r="C501" t="s">
        <v>53</v>
      </c>
      <c r="D501" t="s">
        <v>54</v>
      </c>
      <c r="E501" t="s">
        <v>38</v>
      </c>
      <c r="F501" t="s">
        <v>55</v>
      </c>
      <c r="G501" t="s">
        <v>56</v>
      </c>
      <c r="H501" t="s">
        <v>141</v>
      </c>
      <c r="I501" t="s">
        <v>142</v>
      </c>
      <c r="J501" t="s">
        <v>143</v>
      </c>
      <c r="K501" t="s">
        <v>144</v>
      </c>
      <c r="L501" t="s">
        <v>166</v>
      </c>
      <c r="M501" t="s">
        <v>171</v>
      </c>
      <c r="N501">
        <v>3</v>
      </c>
      <c r="O501" s="4">
        <v>330</v>
      </c>
      <c r="P501" s="4">
        <v>550</v>
      </c>
      <c r="Q501" s="7">
        <v>0</v>
      </c>
      <c r="R501" t="s">
        <v>178</v>
      </c>
      <c r="S501">
        <v>4</v>
      </c>
      <c r="T501">
        <v>1650</v>
      </c>
      <c r="U501">
        <v>0</v>
      </c>
      <c r="V501">
        <v>1650</v>
      </c>
      <c r="W501">
        <v>990</v>
      </c>
      <c r="X501">
        <v>660</v>
      </c>
      <c r="Y501" s="8">
        <v>0.4</v>
      </c>
      <c r="Z501" t="s">
        <v>2996</v>
      </c>
      <c r="AA501" t="str">
        <f>IF(AND(SalesCleanTable[[#This Row],[Discount %]]&gt;0, SalesCleanTable[[#This Row],[Profit]]&lt;0), "Discount loss", "Safe")</f>
        <v>Safe</v>
      </c>
      <c r="AB501" s="25">
        <f>(SalesCleanTable[[#This Row],[Unit Price]] - SalesCleanTable[[#This Row],[Unit Cost]]) / SalesCleanTable[[#This Row],[Unit Price]]</f>
        <v>0.4</v>
      </c>
      <c r="AC501" t="str">
        <f>IF(SalesCleanTable[[#This Row],[Discount %]] &gt; SalesCleanTable[[#This Row],[Max Allowed Discount]], "Discount loss", "Safe")</f>
        <v>Safe</v>
      </c>
      <c r="AD501" s="4">
        <f>SalesCleanTable[[#This Row],[Unit Price]] - SalesCleanTable[[#This Row],[Unit Cost]]</f>
        <v>220</v>
      </c>
      <c r="AE501" s="41">
        <f>(SalesCleanTable[[#This Row],[Unit Price]] - SalesCleanTable[[#This Row],[Unit Cost]]) / SalesCleanTable[[#This Row],[Unit Price]]</f>
        <v>0.4</v>
      </c>
    </row>
    <row r="502" spans="1:31">
      <c r="A502" t="s">
        <v>688</v>
      </c>
      <c r="B502" s="6">
        <v>45698</v>
      </c>
      <c r="C502" t="s">
        <v>53</v>
      </c>
      <c r="D502" t="s">
        <v>54</v>
      </c>
      <c r="E502" t="s">
        <v>38</v>
      </c>
      <c r="F502" t="s">
        <v>55</v>
      </c>
      <c r="G502" t="s">
        <v>56</v>
      </c>
      <c r="H502" t="s">
        <v>141</v>
      </c>
      <c r="I502" t="s">
        <v>142</v>
      </c>
      <c r="J502" t="s">
        <v>143</v>
      </c>
      <c r="K502" t="s">
        <v>144</v>
      </c>
      <c r="L502" t="s">
        <v>183</v>
      </c>
      <c r="M502" t="s">
        <v>171</v>
      </c>
      <c r="N502">
        <v>2</v>
      </c>
      <c r="O502" s="4">
        <v>330</v>
      </c>
      <c r="P502" s="4">
        <v>550</v>
      </c>
      <c r="Q502" s="7">
        <v>0.1</v>
      </c>
      <c r="R502" t="s">
        <v>168</v>
      </c>
      <c r="S502">
        <v>1</v>
      </c>
      <c r="T502">
        <v>1100</v>
      </c>
      <c r="U502">
        <v>110</v>
      </c>
      <c r="V502">
        <v>990</v>
      </c>
      <c r="W502">
        <v>660</v>
      </c>
      <c r="X502">
        <v>330</v>
      </c>
      <c r="Y502" s="8">
        <v>0.33333333333333331</v>
      </c>
      <c r="Z502" t="s">
        <v>2996</v>
      </c>
      <c r="AA502" t="str">
        <f>IF(AND(SalesCleanTable[[#This Row],[Discount %]]&gt;0, SalesCleanTable[[#This Row],[Profit]]&lt;0), "Discount loss", "Safe")</f>
        <v>Safe</v>
      </c>
      <c r="AB502" s="25">
        <f>(SalesCleanTable[[#This Row],[Unit Price]] - SalesCleanTable[[#This Row],[Unit Cost]]) / SalesCleanTable[[#This Row],[Unit Price]]</f>
        <v>0.4</v>
      </c>
      <c r="AC502" t="str">
        <f>IF(SalesCleanTable[[#This Row],[Discount %]] &gt; SalesCleanTable[[#This Row],[Max Allowed Discount]], "Discount loss", "Safe")</f>
        <v>Safe</v>
      </c>
      <c r="AD502" s="4">
        <f>SalesCleanTable[[#This Row],[Unit Price]] - SalesCleanTable[[#This Row],[Unit Cost]]</f>
        <v>220</v>
      </c>
      <c r="AE502" s="41">
        <f>(SalesCleanTable[[#This Row],[Unit Price]] - SalesCleanTable[[#This Row],[Unit Cost]]) / SalesCleanTable[[#This Row],[Unit Price]]</f>
        <v>0.4</v>
      </c>
    </row>
    <row r="503" spans="1:31">
      <c r="A503" t="s">
        <v>689</v>
      </c>
      <c r="B503" s="6">
        <v>45794</v>
      </c>
      <c r="C503" t="s">
        <v>57</v>
      </c>
      <c r="D503" t="s">
        <v>58</v>
      </c>
      <c r="E503" t="s">
        <v>59</v>
      </c>
      <c r="F503" t="s">
        <v>60</v>
      </c>
      <c r="G503" t="s">
        <v>61</v>
      </c>
      <c r="H503" t="s">
        <v>145</v>
      </c>
      <c r="I503" t="s">
        <v>146</v>
      </c>
      <c r="J503" t="s">
        <v>147</v>
      </c>
      <c r="K503" t="s">
        <v>148</v>
      </c>
      <c r="L503" t="s">
        <v>166</v>
      </c>
      <c r="M503" t="s">
        <v>186</v>
      </c>
      <c r="N503">
        <v>5</v>
      </c>
      <c r="O503" s="4">
        <v>2400</v>
      </c>
      <c r="P503" s="4">
        <v>3400</v>
      </c>
      <c r="Q503" s="7">
        <v>0</v>
      </c>
      <c r="R503" t="s">
        <v>192</v>
      </c>
      <c r="S503">
        <v>12</v>
      </c>
      <c r="T503">
        <v>17000</v>
      </c>
      <c r="U503">
        <v>0</v>
      </c>
      <c r="V503">
        <v>17000</v>
      </c>
      <c r="W503">
        <v>12000</v>
      </c>
      <c r="X503">
        <v>5000</v>
      </c>
      <c r="Y503" s="8">
        <v>0.29411764705882354</v>
      </c>
      <c r="Z503" t="s">
        <v>2996</v>
      </c>
      <c r="AA503" t="str">
        <f>IF(AND(SalesCleanTable[[#This Row],[Discount %]]&gt;0, SalesCleanTable[[#This Row],[Profit]]&lt;0), "Discount loss", "Safe")</f>
        <v>Safe</v>
      </c>
      <c r="AB503" s="25">
        <f>(SalesCleanTable[[#This Row],[Unit Price]] - SalesCleanTable[[#This Row],[Unit Cost]]) / SalesCleanTable[[#This Row],[Unit Price]]</f>
        <v>0.29411764705882354</v>
      </c>
      <c r="AC503" t="str">
        <f>IF(SalesCleanTable[[#This Row],[Discount %]] &gt; SalesCleanTable[[#This Row],[Max Allowed Discount]], "Discount loss", "Safe")</f>
        <v>Safe</v>
      </c>
      <c r="AD503" s="4">
        <f>SalesCleanTable[[#This Row],[Unit Price]] - SalesCleanTable[[#This Row],[Unit Cost]]</f>
        <v>1000</v>
      </c>
      <c r="AE503" s="41">
        <f>(SalesCleanTable[[#This Row],[Unit Price]] - SalesCleanTable[[#This Row],[Unit Cost]]) / SalesCleanTable[[#This Row],[Unit Price]]</f>
        <v>0.29411764705882354</v>
      </c>
    </row>
    <row r="504" spans="1:31">
      <c r="A504" t="s">
        <v>690</v>
      </c>
      <c r="B504" s="6">
        <v>45855</v>
      </c>
      <c r="C504" t="s">
        <v>36</v>
      </c>
      <c r="D504" t="s">
        <v>37</v>
      </c>
      <c r="E504" t="s">
        <v>38</v>
      </c>
      <c r="F504" t="s">
        <v>39</v>
      </c>
      <c r="G504" t="s">
        <v>40</v>
      </c>
      <c r="H504" t="s">
        <v>139</v>
      </c>
      <c r="I504" t="s">
        <v>140</v>
      </c>
      <c r="J504" t="s">
        <v>137</v>
      </c>
      <c r="K504" t="s">
        <v>138</v>
      </c>
      <c r="L504" t="s">
        <v>166</v>
      </c>
      <c r="M504" t="s">
        <v>171</v>
      </c>
      <c r="N504">
        <v>2</v>
      </c>
      <c r="O504" s="4">
        <v>1650</v>
      </c>
      <c r="P504" s="4">
        <v>2200</v>
      </c>
      <c r="Q504" s="7">
        <v>0.1</v>
      </c>
      <c r="R504" t="s">
        <v>175</v>
      </c>
      <c r="S504">
        <v>12</v>
      </c>
      <c r="T504">
        <v>4400</v>
      </c>
      <c r="U504">
        <v>440</v>
      </c>
      <c r="V504">
        <v>3960</v>
      </c>
      <c r="W504">
        <v>3300</v>
      </c>
      <c r="X504">
        <v>660</v>
      </c>
      <c r="Y504" s="8">
        <v>0.16666666666666666</v>
      </c>
      <c r="Z504" t="s">
        <v>2995</v>
      </c>
      <c r="AA504" t="str">
        <f>IF(AND(SalesCleanTable[[#This Row],[Discount %]]&gt;0, SalesCleanTable[[#This Row],[Profit]]&lt;0), "Discount loss", "Safe")</f>
        <v>Safe</v>
      </c>
      <c r="AB504" s="25">
        <f>(SalesCleanTable[[#This Row],[Unit Price]] - SalesCleanTable[[#This Row],[Unit Cost]]) / SalesCleanTable[[#This Row],[Unit Price]]</f>
        <v>0.25</v>
      </c>
      <c r="AC504" t="str">
        <f>IF(SalesCleanTable[[#This Row],[Discount %]] &gt; SalesCleanTable[[#This Row],[Max Allowed Discount]], "Discount loss", "Safe")</f>
        <v>Safe</v>
      </c>
      <c r="AD504" s="4">
        <f>SalesCleanTable[[#This Row],[Unit Price]] - SalesCleanTable[[#This Row],[Unit Cost]]</f>
        <v>550</v>
      </c>
      <c r="AE504" s="41">
        <f>(SalesCleanTable[[#This Row],[Unit Price]] - SalesCleanTable[[#This Row],[Unit Cost]]) / SalesCleanTable[[#This Row],[Unit Price]]</f>
        <v>0.25</v>
      </c>
    </row>
    <row r="505" spans="1:31">
      <c r="A505" t="s">
        <v>691</v>
      </c>
      <c r="B505" s="6">
        <v>45984</v>
      </c>
      <c r="C505" t="s">
        <v>66</v>
      </c>
      <c r="D505" t="s">
        <v>67</v>
      </c>
      <c r="E505" t="s">
        <v>59</v>
      </c>
      <c r="F505" t="s">
        <v>60</v>
      </c>
      <c r="G505" t="s">
        <v>68</v>
      </c>
      <c r="H505" t="s">
        <v>141</v>
      </c>
      <c r="I505" t="s">
        <v>142</v>
      </c>
      <c r="J505" t="s">
        <v>143</v>
      </c>
      <c r="K505" t="s">
        <v>144</v>
      </c>
      <c r="L505" t="s">
        <v>166</v>
      </c>
      <c r="M505" t="s">
        <v>171</v>
      </c>
      <c r="N505">
        <v>4</v>
      </c>
      <c r="O505" s="4">
        <v>2800</v>
      </c>
      <c r="P505" s="4">
        <v>3900</v>
      </c>
      <c r="Q505" s="7">
        <v>0.05</v>
      </c>
      <c r="R505" t="s">
        <v>173</v>
      </c>
      <c r="S505">
        <v>7</v>
      </c>
      <c r="T505">
        <v>15600</v>
      </c>
      <c r="U505">
        <v>780</v>
      </c>
      <c r="V505">
        <v>14820</v>
      </c>
      <c r="W505">
        <v>11200</v>
      </c>
      <c r="X505">
        <v>3620</v>
      </c>
      <c r="Y505" s="8">
        <v>0.24426450742240216</v>
      </c>
      <c r="Z505" t="s">
        <v>2996</v>
      </c>
      <c r="AA505" t="str">
        <f>IF(AND(SalesCleanTable[[#This Row],[Discount %]]&gt;0, SalesCleanTable[[#This Row],[Profit]]&lt;0), "Discount loss", "Safe")</f>
        <v>Safe</v>
      </c>
      <c r="AB505" s="25">
        <f>(SalesCleanTable[[#This Row],[Unit Price]] - SalesCleanTable[[#This Row],[Unit Cost]]) / SalesCleanTable[[#This Row],[Unit Price]]</f>
        <v>0.28205128205128205</v>
      </c>
      <c r="AC505" t="str">
        <f>IF(SalesCleanTable[[#This Row],[Discount %]] &gt; SalesCleanTable[[#This Row],[Max Allowed Discount]], "Discount loss", "Safe")</f>
        <v>Safe</v>
      </c>
      <c r="AD505" s="4">
        <f>SalesCleanTable[[#This Row],[Unit Price]] - SalesCleanTable[[#This Row],[Unit Cost]]</f>
        <v>1100</v>
      </c>
      <c r="AE505" s="41">
        <f>(SalesCleanTable[[#This Row],[Unit Price]] - SalesCleanTable[[#This Row],[Unit Cost]]) / SalesCleanTable[[#This Row],[Unit Price]]</f>
        <v>0.28205128205128205</v>
      </c>
    </row>
    <row r="506" spans="1:31">
      <c r="A506" t="s">
        <v>692</v>
      </c>
      <c r="B506" s="6">
        <v>45994</v>
      </c>
      <c r="C506" t="s">
        <v>36</v>
      </c>
      <c r="D506" t="s">
        <v>37</v>
      </c>
      <c r="E506" t="s">
        <v>38</v>
      </c>
      <c r="F506" t="s">
        <v>39</v>
      </c>
      <c r="G506" t="s">
        <v>40</v>
      </c>
      <c r="H506" t="s">
        <v>153</v>
      </c>
      <c r="I506" t="s">
        <v>154</v>
      </c>
      <c r="J506" t="s">
        <v>155</v>
      </c>
      <c r="K506" t="s">
        <v>131</v>
      </c>
      <c r="L506" t="s">
        <v>166</v>
      </c>
      <c r="M506" t="s">
        <v>171</v>
      </c>
      <c r="N506">
        <v>2</v>
      </c>
      <c r="O506" s="4">
        <v>1650</v>
      </c>
      <c r="P506" s="4">
        <v>2200</v>
      </c>
      <c r="Q506" s="7">
        <v>0.05</v>
      </c>
      <c r="R506" t="s">
        <v>175</v>
      </c>
      <c r="S506">
        <v>14</v>
      </c>
      <c r="T506">
        <v>4400</v>
      </c>
      <c r="U506">
        <v>220</v>
      </c>
      <c r="V506">
        <v>4180</v>
      </c>
      <c r="W506">
        <v>3300</v>
      </c>
      <c r="X506">
        <v>880</v>
      </c>
      <c r="Y506" s="8">
        <v>0.21052631578947367</v>
      </c>
      <c r="Z506" t="s">
        <v>2995</v>
      </c>
      <c r="AA506" t="str">
        <f>IF(AND(SalesCleanTable[[#This Row],[Discount %]]&gt;0, SalesCleanTable[[#This Row],[Profit]]&lt;0), "Discount loss", "Safe")</f>
        <v>Safe</v>
      </c>
      <c r="AB506" s="25">
        <f>(SalesCleanTable[[#This Row],[Unit Price]] - SalesCleanTable[[#This Row],[Unit Cost]]) / SalesCleanTable[[#This Row],[Unit Price]]</f>
        <v>0.25</v>
      </c>
      <c r="AC506" t="str">
        <f>IF(SalesCleanTable[[#This Row],[Discount %]] &gt; SalesCleanTable[[#This Row],[Max Allowed Discount]], "Discount loss", "Safe")</f>
        <v>Safe</v>
      </c>
      <c r="AD506" s="4">
        <f>SalesCleanTable[[#This Row],[Unit Price]] - SalesCleanTable[[#This Row],[Unit Cost]]</f>
        <v>550</v>
      </c>
      <c r="AE506" s="41">
        <f>(SalesCleanTable[[#This Row],[Unit Price]] - SalesCleanTable[[#This Row],[Unit Cost]]) / SalesCleanTable[[#This Row],[Unit Price]]</f>
        <v>0.25</v>
      </c>
    </row>
    <row r="507" spans="1:31">
      <c r="A507" t="s">
        <v>693</v>
      </c>
      <c r="B507" s="6">
        <v>45982</v>
      </c>
      <c r="C507" t="s">
        <v>53</v>
      </c>
      <c r="D507" t="s">
        <v>54</v>
      </c>
      <c r="E507" t="s">
        <v>38</v>
      </c>
      <c r="F507" t="s">
        <v>55</v>
      </c>
      <c r="G507" t="s">
        <v>56</v>
      </c>
      <c r="H507" t="s">
        <v>145</v>
      </c>
      <c r="I507" t="s">
        <v>146</v>
      </c>
      <c r="J507" t="s">
        <v>147</v>
      </c>
      <c r="K507" t="s">
        <v>148</v>
      </c>
      <c r="L507" t="s">
        <v>166</v>
      </c>
      <c r="M507" t="s">
        <v>171</v>
      </c>
      <c r="N507">
        <v>3</v>
      </c>
      <c r="O507" s="4">
        <v>330</v>
      </c>
      <c r="P507" s="4">
        <v>550</v>
      </c>
      <c r="Q507" s="7">
        <v>0.1</v>
      </c>
      <c r="R507" t="s">
        <v>168</v>
      </c>
      <c r="S507">
        <v>5</v>
      </c>
      <c r="T507">
        <v>1650</v>
      </c>
      <c r="U507">
        <v>165</v>
      </c>
      <c r="V507">
        <v>1485</v>
      </c>
      <c r="W507">
        <v>990</v>
      </c>
      <c r="X507">
        <v>495</v>
      </c>
      <c r="Y507" s="8">
        <v>0.33333333333333331</v>
      </c>
      <c r="Z507" t="s">
        <v>2996</v>
      </c>
      <c r="AA507" t="str">
        <f>IF(AND(SalesCleanTable[[#This Row],[Discount %]]&gt;0, SalesCleanTable[[#This Row],[Profit]]&lt;0), "Discount loss", "Safe")</f>
        <v>Safe</v>
      </c>
      <c r="AB507" s="25">
        <f>(SalesCleanTable[[#This Row],[Unit Price]] - SalesCleanTable[[#This Row],[Unit Cost]]) / SalesCleanTable[[#This Row],[Unit Price]]</f>
        <v>0.4</v>
      </c>
      <c r="AC507" t="str">
        <f>IF(SalesCleanTable[[#This Row],[Discount %]] &gt; SalesCleanTable[[#This Row],[Max Allowed Discount]], "Discount loss", "Safe")</f>
        <v>Safe</v>
      </c>
      <c r="AD507" s="4">
        <f>SalesCleanTable[[#This Row],[Unit Price]] - SalesCleanTable[[#This Row],[Unit Cost]]</f>
        <v>220</v>
      </c>
      <c r="AE507" s="41">
        <f>(SalesCleanTable[[#This Row],[Unit Price]] - SalesCleanTable[[#This Row],[Unit Cost]]) / SalesCleanTable[[#This Row],[Unit Price]]</f>
        <v>0.4</v>
      </c>
    </row>
    <row r="508" spans="1:31">
      <c r="A508" t="s">
        <v>694</v>
      </c>
      <c r="B508" s="6">
        <v>45889</v>
      </c>
      <c r="C508" t="s">
        <v>53</v>
      </c>
      <c r="D508" t="s">
        <v>54</v>
      </c>
      <c r="E508" t="s">
        <v>38</v>
      </c>
      <c r="F508" t="s">
        <v>55</v>
      </c>
      <c r="G508" t="s">
        <v>56</v>
      </c>
      <c r="H508" t="s">
        <v>135</v>
      </c>
      <c r="I508" t="s">
        <v>136</v>
      </c>
      <c r="J508" t="s">
        <v>137</v>
      </c>
      <c r="K508" t="s">
        <v>138</v>
      </c>
      <c r="L508" t="s">
        <v>183</v>
      </c>
      <c r="M508" t="s">
        <v>186</v>
      </c>
      <c r="N508">
        <v>4</v>
      </c>
      <c r="O508" s="4">
        <v>330</v>
      </c>
      <c r="P508" s="4">
        <v>550</v>
      </c>
      <c r="Q508" s="7">
        <v>0.2</v>
      </c>
      <c r="R508" t="s">
        <v>175</v>
      </c>
      <c r="S508">
        <v>1</v>
      </c>
      <c r="T508">
        <v>2200</v>
      </c>
      <c r="U508">
        <v>440</v>
      </c>
      <c r="V508">
        <v>1760</v>
      </c>
      <c r="W508">
        <v>1320</v>
      </c>
      <c r="X508">
        <v>440</v>
      </c>
      <c r="Y508" s="8">
        <v>0.25</v>
      </c>
      <c r="Z508" t="s">
        <v>2996</v>
      </c>
      <c r="AA508" t="str">
        <f>IF(AND(SalesCleanTable[[#This Row],[Discount %]]&gt;0, SalesCleanTable[[#This Row],[Profit]]&lt;0), "Discount loss", "Safe")</f>
        <v>Safe</v>
      </c>
      <c r="AB508" s="25">
        <f>(SalesCleanTable[[#This Row],[Unit Price]] - SalesCleanTable[[#This Row],[Unit Cost]]) / SalesCleanTable[[#This Row],[Unit Price]]</f>
        <v>0.4</v>
      </c>
      <c r="AC508" t="str">
        <f>IF(SalesCleanTable[[#This Row],[Discount %]] &gt; SalesCleanTable[[#This Row],[Max Allowed Discount]], "Discount loss", "Safe")</f>
        <v>Safe</v>
      </c>
      <c r="AD508" s="4">
        <f>SalesCleanTable[[#This Row],[Unit Price]] - SalesCleanTable[[#This Row],[Unit Cost]]</f>
        <v>220</v>
      </c>
      <c r="AE508" s="41">
        <f>(SalesCleanTable[[#This Row],[Unit Price]] - SalesCleanTable[[#This Row],[Unit Cost]]) / SalesCleanTable[[#This Row],[Unit Price]]</f>
        <v>0.4</v>
      </c>
    </row>
    <row r="509" spans="1:31">
      <c r="A509" t="s">
        <v>695</v>
      </c>
      <c r="B509" s="6">
        <v>45771</v>
      </c>
      <c r="C509" t="s">
        <v>41</v>
      </c>
      <c r="D509" t="s">
        <v>42</v>
      </c>
      <c r="E509" t="s">
        <v>26</v>
      </c>
      <c r="F509" t="s">
        <v>43</v>
      </c>
      <c r="G509" t="s">
        <v>44</v>
      </c>
      <c r="H509" t="s">
        <v>135</v>
      </c>
      <c r="I509" t="s">
        <v>136</v>
      </c>
      <c r="J509" t="s">
        <v>137</v>
      </c>
      <c r="K509" t="s">
        <v>138</v>
      </c>
      <c r="L509" t="s">
        <v>183</v>
      </c>
      <c r="M509" t="s">
        <v>171</v>
      </c>
      <c r="N509">
        <v>5</v>
      </c>
      <c r="O509" s="4">
        <v>850</v>
      </c>
      <c r="P509" s="4">
        <v>1300</v>
      </c>
      <c r="Q509" s="7">
        <v>0.2</v>
      </c>
      <c r="R509" t="s">
        <v>173</v>
      </c>
      <c r="S509">
        <v>9</v>
      </c>
      <c r="T509">
        <v>6500</v>
      </c>
      <c r="U509">
        <v>1300</v>
      </c>
      <c r="V509">
        <v>5200</v>
      </c>
      <c r="W509">
        <v>4250</v>
      </c>
      <c r="X509">
        <v>950</v>
      </c>
      <c r="Y509" s="8">
        <v>0.18269230769230768</v>
      </c>
      <c r="Z509" t="s">
        <v>2995</v>
      </c>
      <c r="AA509" t="str">
        <f>IF(AND(SalesCleanTable[[#This Row],[Discount %]]&gt;0, SalesCleanTable[[#This Row],[Profit]]&lt;0), "Discount loss", "Safe")</f>
        <v>Safe</v>
      </c>
      <c r="AB509" s="25">
        <f>(SalesCleanTable[[#This Row],[Unit Price]] - SalesCleanTable[[#This Row],[Unit Cost]]) / SalesCleanTable[[#This Row],[Unit Price]]</f>
        <v>0.34615384615384615</v>
      </c>
      <c r="AC509" t="str">
        <f>IF(SalesCleanTable[[#This Row],[Discount %]] &gt; SalesCleanTable[[#This Row],[Max Allowed Discount]], "Discount loss", "Safe")</f>
        <v>Safe</v>
      </c>
      <c r="AD509" s="4">
        <f>SalesCleanTable[[#This Row],[Unit Price]] - SalesCleanTable[[#This Row],[Unit Cost]]</f>
        <v>450</v>
      </c>
      <c r="AE509" s="41">
        <f>(SalesCleanTable[[#This Row],[Unit Price]] - SalesCleanTable[[#This Row],[Unit Cost]]) / SalesCleanTable[[#This Row],[Unit Price]]</f>
        <v>0.34615384615384615</v>
      </c>
    </row>
    <row r="510" spans="1:31">
      <c r="A510" t="s">
        <v>696</v>
      </c>
      <c r="B510" s="6">
        <v>45950</v>
      </c>
      <c r="C510" t="s">
        <v>36</v>
      </c>
      <c r="D510" t="s">
        <v>37</v>
      </c>
      <c r="E510" t="s">
        <v>38</v>
      </c>
      <c r="F510" t="s">
        <v>39</v>
      </c>
      <c r="G510" t="s">
        <v>40</v>
      </c>
      <c r="H510" t="s">
        <v>128</v>
      </c>
      <c r="I510" t="s">
        <v>129</v>
      </c>
      <c r="J510" t="s">
        <v>130</v>
      </c>
      <c r="K510" t="s">
        <v>131</v>
      </c>
      <c r="L510" t="s">
        <v>166</v>
      </c>
      <c r="M510" t="s">
        <v>171</v>
      </c>
      <c r="N510">
        <v>2</v>
      </c>
      <c r="O510" s="4">
        <v>1650</v>
      </c>
      <c r="P510" s="4">
        <v>2200</v>
      </c>
      <c r="Q510" s="7">
        <v>0</v>
      </c>
      <c r="R510" t="s">
        <v>178</v>
      </c>
      <c r="S510">
        <v>5</v>
      </c>
      <c r="T510">
        <v>4400</v>
      </c>
      <c r="U510">
        <v>0</v>
      </c>
      <c r="V510">
        <v>4400</v>
      </c>
      <c r="W510">
        <v>3300</v>
      </c>
      <c r="X510">
        <v>1100</v>
      </c>
      <c r="Y510" s="8">
        <v>0.25</v>
      </c>
      <c r="Z510" t="s">
        <v>2995</v>
      </c>
      <c r="AA510" t="str">
        <f>IF(AND(SalesCleanTable[[#This Row],[Discount %]]&gt;0, SalesCleanTable[[#This Row],[Profit]]&lt;0), "Discount loss", "Safe")</f>
        <v>Safe</v>
      </c>
      <c r="AB510" s="25">
        <f>(SalesCleanTable[[#This Row],[Unit Price]] - SalesCleanTable[[#This Row],[Unit Cost]]) / SalesCleanTable[[#This Row],[Unit Price]]</f>
        <v>0.25</v>
      </c>
      <c r="AC510" t="str">
        <f>IF(SalesCleanTable[[#This Row],[Discount %]] &gt; SalesCleanTable[[#This Row],[Max Allowed Discount]], "Discount loss", "Safe")</f>
        <v>Safe</v>
      </c>
      <c r="AD510" s="4">
        <f>SalesCleanTable[[#This Row],[Unit Price]] - SalesCleanTable[[#This Row],[Unit Cost]]</f>
        <v>550</v>
      </c>
      <c r="AE510" s="41">
        <f>(SalesCleanTable[[#This Row],[Unit Price]] - SalesCleanTable[[#This Row],[Unit Cost]]) / SalesCleanTable[[#This Row],[Unit Price]]</f>
        <v>0.25</v>
      </c>
    </row>
    <row r="511" spans="1:31">
      <c r="A511" t="s">
        <v>697</v>
      </c>
      <c r="B511" s="6">
        <v>45705</v>
      </c>
      <c r="C511" t="s">
        <v>62</v>
      </c>
      <c r="D511" t="s">
        <v>63</v>
      </c>
      <c r="E511" t="s">
        <v>59</v>
      </c>
      <c r="F511" t="s">
        <v>64</v>
      </c>
      <c r="G511" t="s">
        <v>65</v>
      </c>
      <c r="H511" t="s">
        <v>139</v>
      </c>
      <c r="I511" t="s">
        <v>140</v>
      </c>
      <c r="J511" t="s">
        <v>137</v>
      </c>
      <c r="K511" t="s">
        <v>138</v>
      </c>
      <c r="L511" t="s">
        <v>166</v>
      </c>
      <c r="M511" t="s">
        <v>186</v>
      </c>
      <c r="N511">
        <v>1</v>
      </c>
      <c r="O511" s="4">
        <v>3200</v>
      </c>
      <c r="P511" s="4">
        <v>4500</v>
      </c>
      <c r="Q511" s="7">
        <v>0</v>
      </c>
      <c r="R511" t="s">
        <v>204</v>
      </c>
      <c r="S511">
        <v>14</v>
      </c>
      <c r="T511">
        <v>4500</v>
      </c>
      <c r="U511">
        <v>0</v>
      </c>
      <c r="V511">
        <v>4500</v>
      </c>
      <c r="W511">
        <v>3200</v>
      </c>
      <c r="X511">
        <v>1300</v>
      </c>
      <c r="Y511" s="8">
        <v>0.28888888888888886</v>
      </c>
      <c r="Z511" t="s">
        <v>2996</v>
      </c>
      <c r="AA511" t="str">
        <f>IF(AND(SalesCleanTable[[#This Row],[Discount %]]&gt;0, SalesCleanTable[[#This Row],[Profit]]&lt;0), "Discount loss", "Safe")</f>
        <v>Safe</v>
      </c>
      <c r="AB511" s="25">
        <f>(SalesCleanTable[[#This Row],[Unit Price]] - SalesCleanTable[[#This Row],[Unit Cost]]) / SalesCleanTable[[#This Row],[Unit Price]]</f>
        <v>0.28888888888888886</v>
      </c>
      <c r="AC511" t="str">
        <f>IF(SalesCleanTable[[#This Row],[Discount %]] &gt; SalesCleanTable[[#This Row],[Max Allowed Discount]], "Discount loss", "Safe")</f>
        <v>Safe</v>
      </c>
      <c r="AD511" s="4">
        <f>SalesCleanTable[[#This Row],[Unit Price]] - SalesCleanTable[[#This Row],[Unit Cost]]</f>
        <v>1300</v>
      </c>
      <c r="AE511" s="41">
        <f>(SalesCleanTable[[#This Row],[Unit Price]] - SalesCleanTable[[#This Row],[Unit Cost]]) / SalesCleanTable[[#This Row],[Unit Price]]</f>
        <v>0.28888888888888886</v>
      </c>
    </row>
    <row r="512" spans="1:31">
      <c r="A512" t="s">
        <v>698</v>
      </c>
      <c r="B512" s="6">
        <v>46017</v>
      </c>
      <c r="C512" t="s">
        <v>66</v>
      </c>
      <c r="D512" t="s">
        <v>67</v>
      </c>
      <c r="E512" t="s">
        <v>59</v>
      </c>
      <c r="F512" t="s">
        <v>60</v>
      </c>
      <c r="G512" t="s">
        <v>68</v>
      </c>
      <c r="H512" t="s">
        <v>149</v>
      </c>
      <c r="I512" t="s">
        <v>150</v>
      </c>
      <c r="J512" t="s">
        <v>151</v>
      </c>
      <c r="K512" t="s">
        <v>152</v>
      </c>
      <c r="L512" t="s">
        <v>183</v>
      </c>
      <c r="M512" t="s">
        <v>171</v>
      </c>
      <c r="N512">
        <v>3</v>
      </c>
      <c r="O512" s="4">
        <v>2800</v>
      </c>
      <c r="P512" s="4">
        <v>3900</v>
      </c>
      <c r="Q512" s="7">
        <v>0.05</v>
      </c>
      <c r="R512" t="s">
        <v>192</v>
      </c>
      <c r="S512">
        <v>13</v>
      </c>
      <c r="T512">
        <v>11700</v>
      </c>
      <c r="U512">
        <v>585</v>
      </c>
      <c r="V512">
        <v>11115</v>
      </c>
      <c r="W512">
        <v>8400</v>
      </c>
      <c r="X512">
        <v>2715</v>
      </c>
      <c r="Y512" s="8">
        <v>0.24426450742240216</v>
      </c>
      <c r="Z512" t="s">
        <v>2996</v>
      </c>
      <c r="AA512" t="str">
        <f>IF(AND(SalesCleanTable[[#This Row],[Discount %]]&gt;0, SalesCleanTable[[#This Row],[Profit]]&lt;0), "Discount loss", "Safe")</f>
        <v>Safe</v>
      </c>
      <c r="AB512" s="25">
        <f>(SalesCleanTable[[#This Row],[Unit Price]] - SalesCleanTable[[#This Row],[Unit Cost]]) / SalesCleanTable[[#This Row],[Unit Price]]</f>
        <v>0.28205128205128205</v>
      </c>
      <c r="AC512" t="str">
        <f>IF(SalesCleanTable[[#This Row],[Discount %]] &gt; SalesCleanTable[[#This Row],[Max Allowed Discount]], "Discount loss", "Safe")</f>
        <v>Safe</v>
      </c>
      <c r="AD512" s="4">
        <f>SalesCleanTable[[#This Row],[Unit Price]] - SalesCleanTable[[#This Row],[Unit Cost]]</f>
        <v>1100</v>
      </c>
      <c r="AE512" s="41">
        <f>(SalesCleanTable[[#This Row],[Unit Price]] - SalesCleanTable[[#This Row],[Unit Cost]]) / SalesCleanTable[[#This Row],[Unit Price]]</f>
        <v>0.28205128205128205</v>
      </c>
    </row>
    <row r="513" spans="1:31">
      <c r="A513" t="s">
        <v>699</v>
      </c>
      <c r="B513" s="6">
        <v>45829</v>
      </c>
      <c r="C513" t="s">
        <v>45</v>
      </c>
      <c r="D513" t="s">
        <v>46</v>
      </c>
      <c r="E513" t="s">
        <v>38</v>
      </c>
      <c r="F513" t="s">
        <v>47</v>
      </c>
      <c r="G513" t="s">
        <v>48</v>
      </c>
      <c r="H513" t="s">
        <v>149</v>
      </c>
      <c r="I513" t="s">
        <v>150</v>
      </c>
      <c r="J513" t="s">
        <v>151</v>
      </c>
      <c r="K513" t="s">
        <v>152</v>
      </c>
      <c r="L513" t="s">
        <v>183</v>
      </c>
      <c r="M513" t="s">
        <v>167</v>
      </c>
      <c r="N513">
        <v>2</v>
      </c>
      <c r="O513" s="4">
        <v>230</v>
      </c>
      <c r="P513" s="4">
        <v>400</v>
      </c>
      <c r="Q513" s="7">
        <v>0.15</v>
      </c>
      <c r="R513" t="s">
        <v>168</v>
      </c>
      <c r="S513">
        <v>14</v>
      </c>
      <c r="T513">
        <v>800</v>
      </c>
      <c r="U513">
        <v>120</v>
      </c>
      <c r="V513">
        <v>680</v>
      </c>
      <c r="W513">
        <v>460</v>
      </c>
      <c r="X513">
        <v>220</v>
      </c>
      <c r="Y513" s="8">
        <v>0.3235294117647059</v>
      </c>
      <c r="Z513" t="s">
        <v>2995</v>
      </c>
      <c r="AA513" t="str">
        <f>IF(AND(SalesCleanTable[[#This Row],[Discount %]]&gt;0, SalesCleanTable[[#This Row],[Profit]]&lt;0), "Discount loss", "Safe")</f>
        <v>Safe</v>
      </c>
      <c r="AB513" s="25">
        <f>(SalesCleanTable[[#This Row],[Unit Price]] - SalesCleanTable[[#This Row],[Unit Cost]]) / SalesCleanTable[[#This Row],[Unit Price]]</f>
        <v>0.42499999999999999</v>
      </c>
      <c r="AC513" t="str">
        <f>IF(SalesCleanTable[[#This Row],[Discount %]] &gt; SalesCleanTable[[#This Row],[Max Allowed Discount]], "Discount loss", "Safe")</f>
        <v>Safe</v>
      </c>
      <c r="AD513" s="4">
        <f>SalesCleanTable[[#This Row],[Unit Price]] - SalesCleanTable[[#This Row],[Unit Cost]]</f>
        <v>170</v>
      </c>
      <c r="AE513" s="41">
        <f>(SalesCleanTable[[#This Row],[Unit Price]] - SalesCleanTable[[#This Row],[Unit Cost]]) / SalesCleanTable[[#This Row],[Unit Price]]</f>
        <v>0.42499999999999999</v>
      </c>
    </row>
    <row r="514" spans="1:31">
      <c r="A514" t="s">
        <v>700</v>
      </c>
      <c r="B514" s="6">
        <v>45663</v>
      </c>
      <c r="C514" t="s">
        <v>73</v>
      </c>
      <c r="D514" t="s">
        <v>74</v>
      </c>
      <c r="E514" t="s">
        <v>75</v>
      </c>
      <c r="F514" t="s">
        <v>76</v>
      </c>
      <c r="G514" t="s">
        <v>77</v>
      </c>
      <c r="H514" t="s">
        <v>141</v>
      </c>
      <c r="I514" t="s">
        <v>142</v>
      </c>
      <c r="J514" t="s">
        <v>143</v>
      </c>
      <c r="K514" t="s">
        <v>144</v>
      </c>
      <c r="L514" t="s">
        <v>166</v>
      </c>
      <c r="M514" t="s">
        <v>171</v>
      </c>
      <c r="N514">
        <v>1</v>
      </c>
      <c r="O514" s="4">
        <v>3500</v>
      </c>
      <c r="P514" s="4">
        <v>5200</v>
      </c>
      <c r="Q514" s="7">
        <v>0.05</v>
      </c>
      <c r="R514" t="s">
        <v>208</v>
      </c>
      <c r="S514">
        <v>9</v>
      </c>
      <c r="T514">
        <v>5200</v>
      </c>
      <c r="U514">
        <v>260</v>
      </c>
      <c r="V514">
        <v>4940</v>
      </c>
      <c r="W514">
        <v>3500</v>
      </c>
      <c r="X514">
        <v>1440</v>
      </c>
      <c r="Y514" s="8">
        <v>0.291497975708502</v>
      </c>
      <c r="Z514" t="s">
        <v>2996</v>
      </c>
      <c r="AA514" t="str">
        <f>IF(AND(SalesCleanTable[[#This Row],[Discount %]]&gt;0, SalesCleanTable[[#This Row],[Profit]]&lt;0), "Discount loss", "Safe")</f>
        <v>Safe</v>
      </c>
      <c r="AB514" s="25">
        <f>(SalesCleanTable[[#This Row],[Unit Price]] - SalesCleanTable[[#This Row],[Unit Cost]]) / SalesCleanTable[[#This Row],[Unit Price]]</f>
        <v>0.32692307692307693</v>
      </c>
      <c r="AC514" t="str">
        <f>IF(SalesCleanTable[[#This Row],[Discount %]] &gt; SalesCleanTable[[#This Row],[Max Allowed Discount]], "Discount loss", "Safe")</f>
        <v>Safe</v>
      </c>
      <c r="AD514" s="4">
        <f>SalesCleanTable[[#This Row],[Unit Price]] - SalesCleanTable[[#This Row],[Unit Cost]]</f>
        <v>1700</v>
      </c>
      <c r="AE514" s="41">
        <f>(SalesCleanTable[[#This Row],[Unit Price]] - SalesCleanTable[[#This Row],[Unit Cost]]) / SalesCleanTable[[#This Row],[Unit Price]]</f>
        <v>0.32692307692307693</v>
      </c>
    </row>
    <row r="515" spans="1:31">
      <c r="A515" t="s">
        <v>701</v>
      </c>
      <c r="B515" s="6">
        <v>45736</v>
      </c>
      <c r="C515" t="s">
        <v>24</v>
      </c>
      <c r="D515" t="s">
        <v>25</v>
      </c>
      <c r="E515" t="s">
        <v>26</v>
      </c>
      <c r="F515" t="s">
        <v>27</v>
      </c>
      <c r="G515" t="s">
        <v>28</v>
      </c>
      <c r="H515" t="s">
        <v>145</v>
      </c>
      <c r="I515" t="s">
        <v>146</v>
      </c>
      <c r="J515" t="s">
        <v>147</v>
      </c>
      <c r="K515" t="s">
        <v>148</v>
      </c>
      <c r="L515" t="s">
        <v>183</v>
      </c>
      <c r="M515" t="s">
        <v>186</v>
      </c>
      <c r="N515">
        <v>2</v>
      </c>
      <c r="O515" s="4">
        <v>14500</v>
      </c>
      <c r="P515" s="4">
        <v>17500</v>
      </c>
      <c r="Q515" s="7">
        <v>0.05</v>
      </c>
      <c r="R515" t="s">
        <v>197</v>
      </c>
      <c r="S515">
        <v>7</v>
      </c>
      <c r="T515">
        <v>35000</v>
      </c>
      <c r="U515">
        <v>1750</v>
      </c>
      <c r="V515">
        <v>33250</v>
      </c>
      <c r="W515">
        <v>29000</v>
      </c>
      <c r="X515">
        <v>4250</v>
      </c>
      <c r="Y515" s="8">
        <v>0.12781954887218044</v>
      </c>
      <c r="Z515" t="s">
        <v>2995</v>
      </c>
      <c r="AA515" t="str">
        <f>IF(AND(SalesCleanTable[[#This Row],[Discount %]]&gt;0, SalesCleanTable[[#This Row],[Profit]]&lt;0), "Discount loss", "Safe")</f>
        <v>Safe</v>
      </c>
      <c r="AB515" s="25">
        <f>(SalesCleanTable[[#This Row],[Unit Price]] - SalesCleanTable[[#This Row],[Unit Cost]]) / SalesCleanTable[[#This Row],[Unit Price]]</f>
        <v>0.17142857142857143</v>
      </c>
      <c r="AC515" t="str">
        <f>IF(SalesCleanTable[[#This Row],[Discount %]] &gt; SalesCleanTable[[#This Row],[Max Allowed Discount]], "Discount loss", "Safe")</f>
        <v>Safe</v>
      </c>
      <c r="AD515" s="4">
        <f>SalesCleanTable[[#This Row],[Unit Price]] - SalesCleanTable[[#This Row],[Unit Cost]]</f>
        <v>3000</v>
      </c>
      <c r="AE515" s="41">
        <f>(SalesCleanTable[[#This Row],[Unit Price]] - SalesCleanTable[[#This Row],[Unit Cost]]) / SalesCleanTable[[#This Row],[Unit Price]]</f>
        <v>0.17142857142857143</v>
      </c>
    </row>
    <row r="516" spans="1:31">
      <c r="A516" t="s">
        <v>702</v>
      </c>
      <c r="B516" s="6">
        <v>45859</v>
      </c>
      <c r="C516" t="s">
        <v>32</v>
      </c>
      <c r="D516" t="s">
        <v>33</v>
      </c>
      <c r="E516" t="s">
        <v>26</v>
      </c>
      <c r="F516" t="s">
        <v>34</v>
      </c>
      <c r="G516" t="s">
        <v>35</v>
      </c>
      <c r="H516" t="s">
        <v>135</v>
      </c>
      <c r="I516" t="s">
        <v>136</v>
      </c>
      <c r="J516" t="s">
        <v>137</v>
      </c>
      <c r="K516" t="s">
        <v>138</v>
      </c>
      <c r="L516" t="s">
        <v>166</v>
      </c>
      <c r="M516" t="s">
        <v>167</v>
      </c>
      <c r="N516">
        <v>3</v>
      </c>
      <c r="O516" s="4">
        <v>7800</v>
      </c>
      <c r="P516" s="4">
        <v>9800</v>
      </c>
      <c r="Q516" s="7">
        <v>0.1</v>
      </c>
      <c r="R516" t="s">
        <v>194</v>
      </c>
      <c r="S516">
        <v>9</v>
      </c>
      <c r="T516">
        <v>29400</v>
      </c>
      <c r="U516">
        <v>2940</v>
      </c>
      <c r="V516">
        <v>26460</v>
      </c>
      <c r="W516">
        <v>23400</v>
      </c>
      <c r="X516">
        <v>3060</v>
      </c>
      <c r="Y516" s="8">
        <v>0.11564625850340136</v>
      </c>
      <c r="Z516" t="s">
        <v>2995</v>
      </c>
      <c r="AA516" t="str">
        <f>IF(AND(SalesCleanTable[[#This Row],[Discount %]]&gt;0, SalesCleanTable[[#This Row],[Profit]]&lt;0), "Discount loss", "Safe")</f>
        <v>Safe</v>
      </c>
      <c r="AB516" s="25">
        <f>(SalesCleanTable[[#This Row],[Unit Price]] - SalesCleanTable[[#This Row],[Unit Cost]]) / SalesCleanTable[[#This Row],[Unit Price]]</f>
        <v>0.20408163265306123</v>
      </c>
      <c r="AC516" t="str">
        <f>IF(SalesCleanTable[[#This Row],[Discount %]] &gt; SalesCleanTable[[#This Row],[Max Allowed Discount]], "Discount loss", "Safe")</f>
        <v>Safe</v>
      </c>
      <c r="AD516" s="4">
        <f>SalesCleanTable[[#This Row],[Unit Price]] - SalesCleanTable[[#This Row],[Unit Cost]]</f>
        <v>2000</v>
      </c>
      <c r="AE516" s="41">
        <f>(SalesCleanTable[[#This Row],[Unit Price]] - SalesCleanTable[[#This Row],[Unit Cost]]) / SalesCleanTable[[#This Row],[Unit Price]]</f>
        <v>0.20408163265306123</v>
      </c>
    </row>
    <row r="517" spans="1:31">
      <c r="A517" t="s">
        <v>703</v>
      </c>
      <c r="B517" s="6">
        <v>46015</v>
      </c>
      <c r="C517" t="s">
        <v>32</v>
      </c>
      <c r="D517" t="s">
        <v>33</v>
      </c>
      <c r="E517" t="s">
        <v>26</v>
      </c>
      <c r="F517" t="s">
        <v>34</v>
      </c>
      <c r="G517" t="s">
        <v>35</v>
      </c>
      <c r="H517" t="s">
        <v>128</v>
      </c>
      <c r="I517" t="s">
        <v>129</v>
      </c>
      <c r="J517" t="s">
        <v>130</v>
      </c>
      <c r="K517" t="s">
        <v>131</v>
      </c>
      <c r="L517" t="s">
        <v>183</v>
      </c>
      <c r="M517" t="s">
        <v>177</v>
      </c>
      <c r="N517">
        <v>3</v>
      </c>
      <c r="O517" s="4">
        <v>7800</v>
      </c>
      <c r="P517" s="4">
        <v>9800</v>
      </c>
      <c r="Q517" s="7">
        <v>0.05</v>
      </c>
      <c r="R517" t="s">
        <v>173</v>
      </c>
      <c r="S517">
        <v>12</v>
      </c>
      <c r="T517">
        <v>29400</v>
      </c>
      <c r="U517">
        <v>1470</v>
      </c>
      <c r="V517">
        <v>27930</v>
      </c>
      <c r="W517">
        <v>23400</v>
      </c>
      <c r="X517">
        <v>4530</v>
      </c>
      <c r="Y517" s="8">
        <v>0.16219119226638024</v>
      </c>
      <c r="Z517" t="s">
        <v>2995</v>
      </c>
      <c r="AA517" t="str">
        <f>IF(AND(SalesCleanTable[[#This Row],[Discount %]]&gt;0, SalesCleanTable[[#This Row],[Profit]]&lt;0), "Discount loss", "Safe")</f>
        <v>Safe</v>
      </c>
      <c r="AB517" s="25">
        <f>(SalesCleanTable[[#This Row],[Unit Price]] - SalesCleanTable[[#This Row],[Unit Cost]]) / SalesCleanTable[[#This Row],[Unit Price]]</f>
        <v>0.20408163265306123</v>
      </c>
      <c r="AC517" t="str">
        <f>IF(SalesCleanTable[[#This Row],[Discount %]] &gt; SalesCleanTable[[#This Row],[Max Allowed Discount]], "Discount loss", "Safe")</f>
        <v>Safe</v>
      </c>
      <c r="AD517" s="4">
        <f>SalesCleanTable[[#This Row],[Unit Price]] - SalesCleanTable[[#This Row],[Unit Cost]]</f>
        <v>2000</v>
      </c>
      <c r="AE517" s="41">
        <f>(SalesCleanTable[[#This Row],[Unit Price]] - SalesCleanTable[[#This Row],[Unit Cost]]) / SalesCleanTable[[#This Row],[Unit Price]]</f>
        <v>0.20408163265306123</v>
      </c>
    </row>
    <row r="518" spans="1:31">
      <c r="A518" t="s">
        <v>704</v>
      </c>
      <c r="B518" s="6">
        <v>45782</v>
      </c>
      <c r="C518" t="s">
        <v>29</v>
      </c>
      <c r="D518" t="s">
        <v>30</v>
      </c>
      <c r="E518" t="s">
        <v>26</v>
      </c>
      <c r="F518" t="s">
        <v>27</v>
      </c>
      <c r="G518" t="s">
        <v>31</v>
      </c>
      <c r="H518" t="s">
        <v>145</v>
      </c>
      <c r="I518" t="s">
        <v>146</v>
      </c>
      <c r="J518" t="s">
        <v>147</v>
      </c>
      <c r="K518" t="s">
        <v>148</v>
      </c>
      <c r="L518" t="s">
        <v>166</v>
      </c>
      <c r="M518" t="s">
        <v>171</v>
      </c>
      <c r="N518">
        <v>2</v>
      </c>
      <c r="O518" s="4">
        <v>6200</v>
      </c>
      <c r="P518" s="4">
        <v>7900</v>
      </c>
      <c r="Q518" s="7">
        <v>0.2</v>
      </c>
      <c r="R518" t="s">
        <v>194</v>
      </c>
      <c r="S518">
        <v>6</v>
      </c>
      <c r="T518">
        <v>15800</v>
      </c>
      <c r="U518">
        <v>3160</v>
      </c>
      <c r="V518">
        <v>12640</v>
      </c>
      <c r="W518">
        <v>12400</v>
      </c>
      <c r="X518">
        <v>240</v>
      </c>
      <c r="Y518" s="8">
        <v>1.8987341772151899E-2</v>
      </c>
      <c r="Z518" t="s">
        <v>2996</v>
      </c>
      <c r="AA518" t="str">
        <f>IF(AND(SalesCleanTable[[#This Row],[Discount %]]&gt;0, SalesCleanTable[[#This Row],[Profit]]&lt;0), "Discount loss", "Safe")</f>
        <v>Safe</v>
      </c>
      <c r="AB518" s="25">
        <f>(SalesCleanTable[[#This Row],[Unit Price]] - SalesCleanTable[[#This Row],[Unit Cost]]) / SalesCleanTable[[#This Row],[Unit Price]]</f>
        <v>0.21518987341772153</v>
      </c>
      <c r="AC518" t="str">
        <f>IF(SalesCleanTable[[#This Row],[Discount %]] &gt; SalesCleanTable[[#This Row],[Max Allowed Discount]], "Discount loss", "Safe")</f>
        <v>Safe</v>
      </c>
      <c r="AD518" s="4">
        <f>SalesCleanTable[[#This Row],[Unit Price]] - SalesCleanTable[[#This Row],[Unit Cost]]</f>
        <v>1700</v>
      </c>
      <c r="AE518" s="41">
        <f>(SalesCleanTable[[#This Row],[Unit Price]] - SalesCleanTable[[#This Row],[Unit Cost]]) / SalesCleanTable[[#This Row],[Unit Price]]</f>
        <v>0.21518987341772153</v>
      </c>
    </row>
    <row r="519" spans="1:31">
      <c r="A519" t="s">
        <v>705</v>
      </c>
      <c r="B519" s="6">
        <v>45822</v>
      </c>
      <c r="C519" t="s">
        <v>45</v>
      </c>
      <c r="D519" t="s">
        <v>46</v>
      </c>
      <c r="E519" t="s">
        <v>38</v>
      </c>
      <c r="F519" t="s">
        <v>47</v>
      </c>
      <c r="G519" t="s">
        <v>48</v>
      </c>
      <c r="H519" t="s">
        <v>141</v>
      </c>
      <c r="I519" t="s">
        <v>142</v>
      </c>
      <c r="J519" t="s">
        <v>143</v>
      </c>
      <c r="K519" t="s">
        <v>144</v>
      </c>
      <c r="L519" t="s">
        <v>166</v>
      </c>
      <c r="M519" t="s">
        <v>171</v>
      </c>
      <c r="N519">
        <v>4</v>
      </c>
      <c r="O519" s="4">
        <v>230</v>
      </c>
      <c r="P519" s="4">
        <v>400</v>
      </c>
      <c r="Q519" s="7">
        <v>0</v>
      </c>
      <c r="R519" t="s">
        <v>175</v>
      </c>
      <c r="S519">
        <v>10</v>
      </c>
      <c r="T519">
        <v>1600</v>
      </c>
      <c r="U519">
        <v>0</v>
      </c>
      <c r="V519">
        <v>1600</v>
      </c>
      <c r="W519">
        <v>920</v>
      </c>
      <c r="X519">
        <v>680</v>
      </c>
      <c r="Y519" s="8">
        <v>0.42499999999999999</v>
      </c>
      <c r="Z519" t="s">
        <v>2995</v>
      </c>
      <c r="AA519" t="str">
        <f>IF(AND(SalesCleanTable[[#This Row],[Discount %]]&gt;0, SalesCleanTable[[#This Row],[Profit]]&lt;0), "Discount loss", "Safe")</f>
        <v>Safe</v>
      </c>
      <c r="AB519" s="25">
        <f>(SalesCleanTable[[#This Row],[Unit Price]] - SalesCleanTable[[#This Row],[Unit Cost]]) / SalesCleanTable[[#This Row],[Unit Price]]</f>
        <v>0.42499999999999999</v>
      </c>
      <c r="AC519" t="str">
        <f>IF(SalesCleanTable[[#This Row],[Discount %]] &gt; SalesCleanTable[[#This Row],[Max Allowed Discount]], "Discount loss", "Safe")</f>
        <v>Safe</v>
      </c>
      <c r="AD519" s="4">
        <f>SalesCleanTable[[#This Row],[Unit Price]] - SalesCleanTable[[#This Row],[Unit Cost]]</f>
        <v>170</v>
      </c>
      <c r="AE519" s="41">
        <f>(SalesCleanTable[[#This Row],[Unit Price]] - SalesCleanTable[[#This Row],[Unit Cost]]) / SalesCleanTable[[#This Row],[Unit Price]]</f>
        <v>0.42499999999999999</v>
      </c>
    </row>
    <row r="520" spans="1:31">
      <c r="A520" t="s">
        <v>706</v>
      </c>
      <c r="B520" s="6">
        <v>45680</v>
      </c>
      <c r="C520" t="s">
        <v>112</v>
      </c>
      <c r="D520" t="s">
        <v>113</v>
      </c>
      <c r="E520" t="s">
        <v>109</v>
      </c>
      <c r="F520" t="s">
        <v>114</v>
      </c>
      <c r="G520" t="s">
        <v>115</v>
      </c>
      <c r="H520" t="s">
        <v>133</v>
      </c>
      <c r="I520" t="s">
        <v>134</v>
      </c>
      <c r="J520" t="s">
        <v>130</v>
      </c>
      <c r="K520" t="s">
        <v>131</v>
      </c>
      <c r="L520" t="s">
        <v>183</v>
      </c>
      <c r="M520" t="s">
        <v>177</v>
      </c>
      <c r="N520">
        <v>4</v>
      </c>
      <c r="O520" s="4">
        <v>1300</v>
      </c>
      <c r="P520" s="4">
        <v>2100</v>
      </c>
      <c r="Q520" s="7">
        <v>0</v>
      </c>
      <c r="R520" t="s">
        <v>184</v>
      </c>
      <c r="S520">
        <v>1</v>
      </c>
      <c r="T520">
        <v>8400</v>
      </c>
      <c r="U520">
        <v>0</v>
      </c>
      <c r="V520">
        <v>8400</v>
      </c>
      <c r="W520">
        <v>5200</v>
      </c>
      <c r="X520">
        <v>3200</v>
      </c>
      <c r="Y520" s="8">
        <v>0.38095238095238093</v>
      </c>
      <c r="Z520" t="s">
        <v>2995</v>
      </c>
      <c r="AA520" t="str">
        <f>IF(AND(SalesCleanTable[[#This Row],[Discount %]]&gt;0, SalesCleanTable[[#This Row],[Profit]]&lt;0), "Discount loss", "Safe")</f>
        <v>Safe</v>
      </c>
      <c r="AB520" s="25">
        <f>(SalesCleanTable[[#This Row],[Unit Price]] - SalesCleanTable[[#This Row],[Unit Cost]]) / SalesCleanTable[[#This Row],[Unit Price]]</f>
        <v>0.38095238095238093</v>
      </c>
      <c r="AC520" t="str">
        <f>IF(SalesCleanTable[[#This Row],[Discount %]] &gt; SalesCleanTable[[#This Row],[Max Allowed Discount]], "Discount loss", "Safe")</f>
        <v>Safe</v>
      </c>
      <c r="AD520" s="4">
        <f>SalesCleanTable[[#This Row],[Unit Price]] - SalesCleanTable[[#This Row],[Unit Cost]]</f>
        <v>800</v>
      </c>
      <c r="AE520" s="41">
        <f>(SalesCleanTable[[#This Row],[Unit Price]] - SalesCleanTable[[#This Row],[Unit Cost]]) / SalesCleanTable[[#This Row],[Unit Price]]</f>
        <v>0.38095238095238093</v>
      </c>
    </row>
    <row r="521" spans="1:31">
      <c r="A521" t="s">
        <v>707</v>
      </c>
      <c r="B521" s="6">
        <v>45975</v>
      </c>
      <c r="C521" t="s">
        <v>112</v>
      </c>
      <c r="D521" t="s">
        <v>113</v>
      </c>
      <c r="E521" t="s">
        <v>109</v>
      </c>
      <c r="F521" t="s">
        <v>114</v>
      </c>
      <c r="G521" t="s">
        <v>115</v>
      </c>
      <c r="H521" t="s">
        <v>149</v>
      </c>
      <c r="I521" t="s">
        <v>150</v>
      </c>
      <c r="J521" t="s">
        <v>151</v>
      </c>
      <c r="K521" t="s">
        <v>152</v>
      </c>
      <c r="L521" t="s">
        <v>183</v>
      </c>
      <c r="M521" t="s">
        <v>177</v>
      </c>
      <c r="N521">
        <v>5</v>
      </c>
      <c r="O521" s="4">
        <v>1300</v>
      </c>
      <c r="P521" s="4">
        <v>2100</v>
      </c>
      <c r="Q521" s="7">
        <v>0</v>
      </c>
      <c r="R521" t="s">
        <v>220</v>
      </c>
      <c r="S521">
        <v>8</v>
      </c>
      <c r="T521">
        <v>10500</v>
      </c>
      <c r="U521">
        <v>0</v>
      </c>
      <c r="V521">
        <v>10500</v>
      </c>
      <c r="W521">
        <v>6500</v>
      </c>
      <c r="X521">
        <v>4000</v>
      </c>
      <c r="Y521" s="8">
        <v>0.38095238095238093</v>
      </c>
      <c r="Z521" t="s">
        <v>2995</v>
      </c>
      <c r="AA521" t="str">
        <f>IF(AND(SalesCleanTable[[#This Row],[Discount %]]&gt;0, SalesCleanTable[[#This Row],[Profit]]&lt;0), "Discount loss", "Safe")</f>
        <v>Safe</v>
      </c>
      <c r="AB521" s="25">
        <f>(SalesCleanTable[[#This Row],[Unit Price]] - SalesCleanTable[[#This Row],[Unit Cost]]) / SalesCleanTable[[#This Row],[Unit Price]]</f>
        <v>0.38095238095238093</v>
      </c>
      <c r="AC521" t="str">
        <f>IF(SalesCleanTable[[#This Row],[Discount %]] &gt; SalesCleanTable[[#This Row],[Max Allowed Discount]], "Discount loss", "Safe")</f>
        <v>Safe</v>
      </c>
      <c r="AD521" s="4">
        <f>SalesCleanTable[[#This Row],[Unit Price]] - SalesCleanTable[[#This Row],[Unit Cost]]</f>
        <v>800</v>
      </c>
      <c r="AE521" s="41">
        <f>(SalesCleanTable[[#This Row],[Unit Price]] - SalesCleanTable[[#This Row],[Unit Cost]]) / SalesCleanTable[[#This Row],[Unit Price]]</f>
        <v>0.38095238095238093</v>
      </c>
    </row>
    <row r="522" spans="1:31">
      <c r="A522" t="s">
        <v>708</v>
      </c>
      <c r="B522" s="6">
        <v>45765</v>
      </c>
      <c r="C522" t="s">
        <v>82</v>
      </c>
      <c r="D522" t="s">
        <v>83</v>
      </c>
      <c r="E522" t="s">
        <v>75</v>
      </c>
      <c r="F522" t="s">
        <v>84</v>
      </c>
      <c r="G522" t="s">
        <v>85</v>
      </c>
      <c r="H522" t="s">
        <v>133</v>
      </c>
      <c r="I522" t="s">
        <v>134</v>
      </c>
      <c r="J522" t="s">
        <v>130</v>
      </c>
      <c r="K522" t="s">
        <v>131</v>
      </c>
      <c r="L522" t="s">
        <v>166</v>
      </c>
      <c r="M522" t="s">
        <v>171</v>
      </c>
      <c r="N522">
        <v>3</v>
      </c>
      <c r="O522" s="4">
        <v>600</v>
      </c>
      <c r="P522" s="4">
        <v>950</v>
      </c>
      <c r="Q522" s="7">
        <v>0.1</v>
      </c>
      <c r="R522" t="s">
        <v>187</v>
      </c>
      <c r="S522">
        <v>12</v>
      </c>
      <c r="T522">
        <v>2850</v>
      </c>
      <c r="U522">
        <v>285</v>
      </c>
      <c r="V522">
        <v>2565</v>
      </c>
      <c r="W522">
        <v>1800</v>
      </c>
      <c r="X522">
        <v>765</v>
      </c>
      <c r="Y522" s="8">
        <v>0.2982456140350877</v>
      </c>
      <c r="Z522" t="s">
        <v>2996</v>
      </c>
      <c r="AA522" t="str">
        <f>IF(AND(SalesCleanTable[[#This Row],[Discount %]]&gt;0, SalesCleanTable[[#This Row],[Profit]]&lt;0), "Discount loss", "Safe")</f>
        <v>Safe</v>
      </c>
      <c r="AB522" s="25">
        <f>(SalesCleanTable[[#This Row],[Unit Price]] - SalesCleanTable[[#This Row],[Unit Cost]]) / SalesCleanTable[[#This Row],[Unit Price]]</f>
        <v>0.36842105263157893</v>
      </c>
      <c r="AC522" t="str">
        <f>IF(SalesCleanTable[[#This Row],[Discount %]] &gt; SalesCleanTable[[#This Row],[Max Allowed Discount]], "Discount loss", "Safe")</f>
        <v>Safe</v>
      </c>
      <c r="AD522" s="4">
        <f>SalesCleanTable[[#This Row],[Unit Price]] - SalesCleanTable[[#This Row],[Unit Cost]]</f>
        <v>350</v>
      </c>
      <c r="AE522" s="41">
        <f>(SalesCleanTable[[#This Row],[Unit Price]] - SalesCleanTable[[#This Row],[Unit Cost]]) / SalesCleanTable[[#This Row],[Unit Price]]</f>
        <v>0.36842105263157893</v>
      </c>
    </row>
    <row r="523" spans="1:31">
      <c r="A523" t="s">
        <v>709</v>
      </c>
      <c r="B523" s="6">
        <v>45667</v>
      </c>
      <c r="C523" t="s">
        <v>49</v>
      </c>
      <c r="D523" t="s">
        <v>50</v>
      </c>
      <c r="E523" t="s">
        <v>38</v>
      </c>
      <c r="F523" t="s">
        <v>51</v>
      </c>
      <c r="G523" t="s">
        <v>52</v>
      </c>
      <c r="H523" t="s">
        <v>149</v>
      </c>
      <c r="I523" t="s">
        <v>150</v>
      </c>
      <c r="J523" t="s">
        <v>151</v>
      </c>
      <c r="K523" t="s">
        <v>152</v>
      </c>
      <c r="L523" t="s">
        <v>166</v>
      </c>
      <c r="M523" t="s">
        <v>167</v>
      </c>
      <c r="N523">
        <v>3</v>
      </c>
      <c r="O523" s="4">
        <v>550</v>
      </c>
      <c r="P523" s="4">
        <v>850</v>
      </c>
      <c r="Q523" s="7">
        <v>0</v>
      </c>
      <c r="R523" t="s">
        <v>168</v>
      </c>
      <c r="S523">
        <v>10</v>
      </c>
      <c r="T523">
        <v>2550</v>
      </c>
      <c r="U523">
        <v>0</v>
      </c>
      <c r="V523">
        <v>2550</v>
      </c>
      <c r="W523">
        <v>1650</v>
      </c>
      <c r="X523">
        <v>900</v>
      </c>
      <c r="Y523" s="8">
        <v>0.35294117647058826</v>
      </c>
      <c r="Z523" t="s">
        <v>2996</v>
      </c>
      <c r="AA523" t="str">
        <f>IF(AND(SalesCleanTable[[#This Row],[Discount %]]&gt;0, SalesCleanTable[[#This Row],[Profit]]&lt;0), "Discount loss", "Safe")</f>
        <v>Safe</v>
      </c>
      <c r="AB523" s="25">
        <f>(SalesCleanTable[[#This Row],[Unit Price]] - SalesCleanTable[[#This Row],[Unit Cost]]) / SalesCleanTable[[#This Row],[Unit Price]]</f>
        <v>0.35294117647058826</v>
      </c>
      <c r="AC523" t="str">
        <f>IF(SalesCleanTable[[#This Row],[Discount %]] &gt; SalesCleanTable[[#This Row],[Max Allowed Discount]], "Discount loss", "Safe")</f>
        <v>Safe</v>
      </c>
      <c r="AD523" s="4">
        <f>SalesCleanTable[[#This Row],[Unit Price]] - SalesCleanTable[[#This Row],[Unit Cost]]</f>
        <v>300</v>
      </c>
      <c r="AE523" s="41">
        <f>(SalesCleanTable[[#This Row],[Unit Price]] - SalesCleanTable[[#This Row],[Unit Cost]]) / SalesCleanTable[[#This Row],[Unit Price]]</f>
        <v>0.35294117647058826</v>
      </c>
    </row>
    <row r="524" spans="1:31">
      <c r="A524" t="s">
        <v>710</v>
      </c>
      <c r="B524" s="6">
        <v>45896</v>
      </c>
      <c r="C524" t="s">
        <v>78</v>
      </c>
      <c r="D524" t="s">
        <v>79</v>
      </c>
      <c r="E524" t="s">
        <v>75</v>
      </c>
      <c r="F524" t="s">
        <v>80</v>
      </c>
      <c r="G524" t="s">
        <v>81</v>
      </c>
      <c r="H524" t="s">
        <v>128</v>
      </c>
      <c r="I524" t="s">
        <v>129</v>
      </c>
      <c r="J524" t="s">
        <v>130</v>
      </c>
      <c r="K524" t="s">
        <v>131</v>
      </c>
      <c r="L524" t="s">
        <v>183</v>
      </c>
      <c r="M524" t="s">
        <v>171</v>
      </c>
      <c r="N524">
        <v>2</v>
      </c>
      <c r="O524" s="4">
        <v>1200</v>
      </c>
      <c r="P524" s="4">
        <v>1900</v>
      </c>
      <c r="Q524" s="7">
        <v>0</v>
      </c>
      <c r="R524" t="s">
        <v>187</v>
      </c>
      <c r="S524">
        <v>1</v>
      </c>
      <c r="T524">
        <v>3800</v>
      </c>
      <c r="U524">
        <v>0</v>
      </c>
      <c r="V524">
        <v>3800</v>
      </c>
      <c r="W524">
        <v>2400</v>
      </c>
      <c r="X524">
        <v>1400</v>
      </c>
      <c r="Y524" s="8">
        <v>0.36842105263157893</v>
      </c>
      <c r="Z524" t="s">
        <v>2996</v>
      </c>
      <c r="AA524" t="str">
        <f>IF(AND(SalesCleanTable[[#This Row],[Discount %]]&gt;0, SalesCleanTable[[#This Row],[Profit]]&lt;0), "Discount loss", "Safe")</f>
        <v>Safe</v>
      </c>
      <c r="AB524" s="25">
        <f>(SalesCleanTable[[#This Row],[Unit Price]] - SalesCleanTable[[#This Row],[Unit Cost]]) / SalesCleanTable[[#This Row],[Unit Price]]</f>
        <v>0.36842105263157893</v>
      </c>
      <c r="AC524" t="str">
        <f>IF(SalesCleanTable[[#This Row],[Discount %]] &gt; SalesCleanTable[[#This Row],[Max Allowed Discount]], "Discount loss", "Safe")</f>
        <v>Safe</v>
      </c>
      <c r="AD524" s="4">
        <f>SalesCleanTable[[#This Row],[Unit Price]] - SalesCleanTable[[#This Row],[Unit Cost]]</f>
        <v>700</v>
      </c>
      <c r="AE524" s="41">
        <f>(SalesCleanTable[[#This Row],[Unit Price]] - SalesCleanTable[[#This Row],[Unit Cost]]) / SalesCleanTable[[#This Row],[Unit Price]]</f>
        <v>0.36842105263157893</v>
      </c>
    </row>
    <row r="525" spans="1:31">
      <c r="A525" t="s">
        <v>711</v>
      </c>
      <c r="B525" s="6">
        <v>45990</v>
      </c>
      <c r="C525" t="s">
        <v>49</v>
      </c>
      <c r="D525" t="s">
        <v>50</v>
      </c>
      <c r="E525" t="s">
        <v>38</v>
      </c>
      <c r="F525" t="s">
        <v>51</v>
      </c>
      <c r="G525" t="s">
        <v>52</v>
      </c>
      <c r="H525" t="s">
        <v>153</v>
      </c>
      <c r="I525" t="s">
        <v>154</v>
      </c>
      <c r="J525" t="s">
        <v>155</v>
      </c>
      <c r="K525" t="s">
        <v>131</v>
      </c>
      <c r="L525" t="s">
        <v>183</v>
      </c>
      <c r="M525" t="s">
        <v>186</v>
      </c>
      <c r="N525">
        <v>3</v>
      </c>
      <c r="O525" s="4">
        <v>550</v>
      </c>
      <c r="P525" s="4">
        <v>850</v>
      </c>
      <c r="Q525" s="7">
        <v>0.1</v>
      </c>
      <c r="R525" t="s">
        <v>168</v>
      </c>
      <c r="S525">
        <v>9</v>
      </c>
      <c r="T525">
        <v>2550</v>
      </c>
      <c r="U525">
        <v>255</v>
      </c>
      <c r="V525">
        <v>2295</v>
      </c>
      <c r="W525">
        <v>1650</v>
      </c>
      <c r="X525">
        <v>645</v>
      </c>
      <c r="Y525" s="8">
        <v>0.28104575163398693</v>
      </c>
      <c r="Z525" t="s">
        <v>2996</v>
      </c>
      <c r="AA525" t="str">
        <f>IF(AND(SalesCleanTable[[#This Row],[Discount %]]&gt;0, SalesCleanTable[[#This Row],[Profit]]&lt;0), "Discount loss", "Safe")</f>
        <v>Safe</v>
      </c>
      <c r="AB525" s="25">
        <f>(SalesCleanTable[[#This Row],[Unit Price]] - SalesCleanTable[[#This Row],[Unit Cost]]) / SalesCleanTable[[#This Row],[Unit Price]]</f>
        <v>0.35294117647058826</v>
      </c>
      <c r="AC525" t="str">
        <f>IF(SalesCleanTable[[#This Row],[Discount %]] &gt; SalesCleanTable[[#This Row],[Max Allowed Discount]], "Discount loss", "Safe")</f>
        <v>Safe</v>
      </c>
      <c r="AD525" s="4">
        <f>SalesCleanTable[[#This Row],[Unit Price]] - SalesCleanTable[[#This Row],[Unit Cost]]</f>
        <v>300</v>
      </c>
      <c r="AE525" s="41">
        <f>(SalesCleanTable[[#This Row],[Unit Price]] - SalesCleanTable[[#This Row],[Unit Cost]]) / SalesCleanTable[[#This Row],[Unit Price]]</f>
        <v>0.35294117647058826</v>
      </c>
    </row>
    <row r="526" spans="1:31">
      <c r="A526" t="s">
        <v>712</v>
      </c>
      <c r="B526" s="6">
        <v>45759</v>
      </c>
      <c r="C526" t="s">
        <v>57</v>
      </c>
      <c r="D526" t="s">
        <v>58</v>
      </c>
      <c r="E526" t="s">
        <v>59</v>
      </c>
      <c r="F526" t="s">
        <v>60</v>
      </c>
      <c r="G526" t="s">
        <v>61</v>
      </c>
      <c r="H526" t="s">
        <v>139</v>
      </c>
      <c r="I526" t="s">
        <v>140</v>
      </c>
      <c r="J526" t="s">
        <v>137</v>
      </c>
      <c r="K526" t="s">
        <v>138</v>
      </c>
      <c r="L526" t="s">
        <v>166</v>
      </c>
      <c r="M526" t="s">
        <v>171</v>
      </c>
      <c r="N526">
        <v>8</v>
      </c>
      <c r="O526" s="4">
        <v>2400</v>
      </c>
      <c r="P526" s="4">
        <v>3400</v>
      </c>
      <c r="Q526" s="7">
        <v>0</v>
      </c>
      <c r="R526" t="s">
        <v>204</v>
      </c>
      <c r="S526">
        <v>8</v>
      </c>
      <c r="T526">
        <v>27200</v>
      </c>
      <c r="U526">
        <v>0</v>
      </c>
      <c r="V526">
        <v>27200</v>
      </c>
      <c r="W526">
        <v>19200</v>
      </c>
      <c r="X526">
        <v>8000</v>
      </c>
      <c r="Y526" s="8">
        <v>0.29411764705882354</v>
      </c>
      <c r="Z526" t="s">
        <v>2996</v>
      </c>
      <c r="AA526" t="str">
        <f>IF(AND(SalesCleanTable[[#This Row],[Discount %]]&gt;0, SalesCleanTable[[#This Row],[Profit]]&lt;0), "Discount loss", "Safe")</f>
        <v>Safe</v>
      </c>
      <c r="AB526" s="25">
        <f>(SalesCleanTable[[#This Row],[Unit Price]] - SalesCleanTable[[#This Row],[Unit Cost]]) / SalesCleanTable[[#This Row],[Unit Price]]</f>
        <v>0.29411764705882354</v>
      </c>
      <c r="AC526" t="str">
        <f>IF(SalesCleanTable[[#This Row],[Discount %]] &gt; SalesCleanTable[[#This Row],[Max Allowed Discount]], "Discount loss", "Safe")</f>
        <v>Safe</v>
      </c>
      <c r="AD526" s="4">
        <f>SalesCleanTable[[#This Row],[Unit Price]] - SalesCleanTable[[#This Row],[Unit Cost]]</f>
        <v>1000</v>
      </c>
      <c r="AE526" s="41">
        <f>(SalesCleanTable[[#This Row],[Unit Price]] - SalesCleanTable[[#This Row],[Unit Cost]]) / SalesCleanTable[[#This Row],[Unit Price]]</f>
        <v>0.29411764705882354</v>
      </c>
    </row>
    <row r="527" spans="1:31">
      <c r="A527" t="s">
        <v>713</v>
      </c>
      <c r="B527" s="6">
        <v>45738</v>
      </c>
      <c r="C527" t="s">
        <v>24</v>
      </c>
      <c r="D527" t="s">
        <v>25</v>
      </c>
      <c r="E527" t="s">
        <v>26</v>
      </c>
      <c r="F527" t="s">
        <v>27</v>
      </c>
      <c r="G527" t="s">
        <v>28</v>
      </c>
      <c r="H527" t="s">
        <v>141</v>
      </c>
      <c r="I527" t="s">
        <v>142</v>
      </c>
      <c r="J527" t="s">
        <v>143</v>
      </c>
      <c r="K527" t="s">
        <v>144</v>
      </c>
      <c r="L527" t="s">
        <v>170</v>
      </c>
      <c r="M527" t="s">
        <v>171</v>
      </c>
      <c r="N527">
        <v>2</v>
      </c>
      <c r="O527" s="4">
        <v>14500</v>
      </c>
      <c r="P527" s="4">
        <v>17500</v>
      </c>
      <c r="Q527" s="7">
        <v>0.05</v>
      </c>
      <c r="R527" t="s">
        <v>194</v>
      </c>
      <c r="S527">
        <v>13</v>
      </c>
      <c r="T527">
        <v>35000</v>
      </c>
      <c r="U527">
        <v>1750</v>
      </c>
      <c r="V527">
        <v>33250</v>
      </c>
      <c r="W527">
        <v>29000</v>
      </c>
      <c r="X527">
        <v>4250</v>
      </c>
      <c r="Y527" s="8">
        <v>0.12781954887218044</v>
      </c>
      <c r="Z527" t="s">
        <v>2995</v>
      </c>
      <c r="AA527" t="str">
        <f>IF(AND(SalesCleanTable[[#This Row],[Discount %]]&gt;0, SalesCleanTable[[#This Row],[Profit]]&lt;0), "Discount loss", "Safe")</f>
        <v>Safe</v>
      </c>
      <c r="AB527" s="25">
        <f>(SalesCleanTable[[#This Row],[Unit Price]] - SalesCleanTable[[#This Row],[Unit Cost]]) / SalesCleanTable[[#This Row],[Unit Price]]</f>
        <v>0.17142857142857143</v>
      </c>
      <c r="AC527" t="str">
        <f>IF(SalesCleanTable[[#This Row],[Discount %]] &gt; SalesCleanTable[[#This Row],[Max Allowed Discount]], "Discount loss", "Safe")</f>
        <v>Safe</v>
      </c>
      <c r="AD527" s="4">
        <f>SalesCleanTable[[#This Row],[Unit Price]] - SalesCleanTable[[#This Row],[Unit Cost]]</f>
        <v>3000</v>
      </c>
      <c r="AE527" s="41">
        <f>(SalesCleanTable[[#This Row],[Unit Price]] - SalesCleanTable[[#This Row],[Unit Cost]]) / SalesCleanTable[[#This Row],[Unit Price]]</f>
        <v>0.17142857142857143</v>
      </c>
    </row>
    <row r="528" spans="1:31">
      <c r="A528" t="s">
        <v>714</v>
      </c>
      <c r="B528" s="6">
        <v>45789</v>
      </c>
      <c r="C528" t="s">
        <v>103</v>
      </c>
      <c r="D528" t="s">
        <v>104</v>
      </c>
      <c r="E528" t="s">
        <v>92</v>
      </c>
      <c r="F528" t="s">
        <v>105</v>
      </c>
      <c r="G528" t="s">
        <v>106</v>
      </c>
      <c r="H528" t="s">
        <v>149</v>
      </c>
      <c r="I528" t="s">
        <v>150</v>
      </c>
      <c r="J528" t="s">
        <v>151</v>
      </c>
      <c r="K528" t="s">
        <v>152</v>
      </c>
      <c r="L528" t="s">
        <v>166</v>
      </c>
      <c r="M528" t="s">
        <v>167</v>
      </c>
      <c r="N528">
        <v>5</v>
      </c>
      <c r="O528" s="4">
        <v>1500</v>
      </c>
      <c r="P528" s="4">
        <v>2500</v>
      </c>
      <c r="Q528" s="7">
        <v>0</v>
      </c>
      <c r="R528" t="s">
        <v>181</v>
      </c>
      <c r="S528">
        <v>6</v>
      </c>
      <c r="T528">
        <v>12500</v>
      </c>
      <c r="U528">
        <v>0</v>
      </c>
      <c r="V528">
        <v>12500</v>
      </c>
      <c r="W528">
        <v>7500</v>
      </c>
      <c r="X528">
        <v>5000</v>
      </c>
      <c r="Y528" s="8">
        <v>0.4</v>
      </c>
      <c r="Z528" t="s">
        <v>2996</v>
      </c>
      <c r="AA528" t="str">
        <f>IF(AND(SalesCleanTable[[#This Row],[Discount %]]&gt;0, SalesCleanTable[[#This Row],[Profit]]&lt;0), "Discount loss", "Safe")</f>
        <v>Safe</v>
      </c>
      <c r="AB528" s="25">
        <f>(SalesCleanTable[[#This Row],[Unit Price]] - SalesCleanTable[[#This Row],[Unit Cost]]) / SalesCleanTable[[#This Row],[Unit Price]]</f>
        <v>0.4</v>
      </c>
      <c r="AC528" t="str">
        <f>IF(SalesCleanTable[[#This Row],[Discount %]] &gt; SalesCleanTable[[#This Row],[Max Allowed Discount]], "Discount loss", "Safe")</f>
        <v>Safe</v>
      </c>
      <c r="AD528" s="4">
        <f>SalesCleanTable[[#This Row],[Unit Price]] - SalesCleanTable[[#This Row],[Unit Cost]]</f>
        <v>1000</v>
      </c>
      <c r="AE528" s="41">
        <f>(SalesCleanTable[[#This Row],[Unit Price]] - SalesCleanTable[[#This Row],[Unit Cost]]) / SalesCleanTable[[#This Row],[Unit Price]]</f>
        <v>0.4</v>
      </c>
    </row>
    <row r="529" spans="1:31">
      <c r="A529" t="s">
        <v>715</v>
      </c>
      <c r="B529" s="6">
        <v>45994</v>
      </c>
      <c r="C529" t="s">
        <v>32</v>
      </c>
      <c r="D529" t="s">
        <v>33</v>
      </c>
      <c r="E529" t="s">
        <v>26</v>
      </c>
      <c r="F529" t="s">
        <v>34</v>
      </c>
      <c r="G529" t="s">
        <v>35</v>
      </c>
      <c r="H529" t="s">
        <v>145</v>
      </c>
      <c r="I529" t="s">
        <v>146</v>
      </c>
      <c r="J529" t="s">
        <v>147</v>
      </c>
      <c r="K529" t="s">
        <v>148</v>
      </c>
      <c r="L529" t="s">
        <v>183</v>
      </c>
      <c r="M529" t="s">
        <v>171</v>
      </c>
      <c r="N529">
        <v>3</v>
      </c>
      <c r="O529" s="4">
        <v>7800</v>
      </c>
      <c r="P529" s="4">
        <v>9800</v>
      </c>
      <c r="Q529" s="7">
        <v>0.1</v>
      </c>
      <c r="R529" t="s">
        <v>194</v>
      </c>
      <c r="S529">
        <v>4</v>
      </c>
      <c r="T529">
        <v>29400</v>
      </c>
      <c r="U529">
        <v>2940</v>
      </c>
      <c r="V529">
        <v>26460</v>
      </c>
      <c r="W529">
        <v>23400</v>
      </c>
      <c r="X529">
        <v>3060</v>
      </c>
      <c r="Y529" s="8">
        <v>0.11564625850340136</v>
      </c>
      <c r="Z529" t="s">
        <v>2995</v>
      </c>
      <c r="AA529" t="str">
        <f>IF(AND(SalesCleanTable[[#This Row],[Discount %]]&gt;0, SalesCleanTable[[#This Row],[Profit]]&lt;0), "Discount loss", "Safe")</f>
        <v>Safe</v>
      </c>
      <c r="AB529" s="25">
        <f>(SalesCleanTable[[#This Row],[Unit Price]] - SalesCleanTable[[#This Row],[Unit Cost]]) / SalesCleanTable[[#This Row],[Unit Price]]</f>
        <v>0.20408163265306123</v>
      </c>
      <c r="AC529" t="str">
        <f>IF(SalesCleanTable[[#This Row],[Discount %]] &gt; SalesCleanTable[[#This Row],[Max Allowed Discount]], "Discount loss", "Safe")</f>
        <v>Safe</v>
      </c>
      <c r="AD529" s="4">
        <f>SalesCleanTable[[#This Row],[Unit Price]] - SalesCleanTable[[#This Row],[Unit Cost]]</f>
        <v>2000</v>
      </c>
      <c r="AE529" s="41">
        <f>(SalesCleanTable[[#This Row],[Unit Price]] - SalesCleanTable[[#This Row],[Unit Cost]]) / SalesCleanTable[[#This Row],[Unit Price]]</f>
        <v>0.20408163265306123</v>
      </c>
    </row>
    <row r="530" spans="1:31">
      <c r="A530" t="s">
        <v>716</v>
      </c>
      <c r="B530" s="6">
        <v>45876</v>
      </c>
      <c r="C530" t="s">
        <v>116</v>
      </c>
      <c r="D530" t="s">
        <v>117</v>
      </c>
      <c r="E530" t="s">
        <v>109</v>
      </c>
      <c r="F530" t="s">
        <v>118</v>
      </c>
      <c r="G530" t="s">
        <v>119</v>
      </c>
      <c r="H530" t="s">
        <v>149</v>
      </c>
      <c r="I530" t="s">
        <v>150</v>
      </c>
      <c r="J530" t="s">
        <v>151</v>
      </c>
      <c r="K530" t="s">
        <v>152</v>
      </c>
      <c r="L530" t="s">
        <v>166</v>
      </c>
      <c r="M530" t="s">
        <v>177</v>
      </c>
      <c r="N530">
        <v>2</v>
      </c>
      <c r="O530" s="4">
        <v>2800</v>
      </c>
      <c r="P530" s="4">
        <v>4200</v>
      </c>
      <c r="Q530" s="7">
        <v>0.05</v>
      </c>
      <c r="R530" t="s">
        <v>184</v>
      </c>
      <c r="S530">
        <v>11</v>
      </c>
      <c r="T530">
        <v>8400</v>
      </c>
      <c r="U530">
        <v>420</v>
      </c>
      <c r="V530">
        <v>7980</v>
      </c>
      <c r="W530">
        <v>5600</v>
      </c>
      <c r="X530">
        <v>2380</v>
      </c>
      <c r="Y530" s="8">
        <v>0.2982456140350877</v>
      </c>
      <c r="Z530" t="s">
        <v>2995</v>
      </c>
      <c r="AA530" t="str">
        <f>IF(AND(SalesCleanTable[[#This Row],[Discount %]]&gt;0, SalesCleanTable[[#This Row],[Profit]]&lt;0), "Discount loss", "Safe")</f>
        <v>Safe</v>
      </c>
      <c r="AB530" s="25">
        <f>(SalesCleanTable[[#This Row],[Unit Price]] - SalesCleanTable[[#This Row],[Unit Cost]]) / SalesCleanTable[[#This Row],[Unit Price]]</f>
        <v>0.33333333333333331</v>
      </c>
      <c r="AC530" t="str">
        <f>IF(SalesCleanTable[[#This Row],[Discount %]] &gt; SalesCleanTable[[#This Row],[Max Allowed Discount]], "Discount loss", "Safe")</f>
        <v>Safe</v>
      </c>
      <c r="AD530" s="4">
        <f>SalesCleanTable[[#This Row],[Unit Price]] - SalesCleanTable[[#This Row],[Unit Cost]]</f>
        <v>1400</v>
      </c>
      <c r="AE530" s="41">
        <f>(SalesCleanTable[[#This Row],[Unit Price]] - SalesCleanTable[[#This Row],[Unit Cost]]) / SalesCleanTable[[#This Row],[Unit Price]]</f>
        <v>0.33333333333333331</v>
      </c>
    </row>
    <row r="531" spans="1:31">
      <c r="A531" t="s">
        <v>717</v>
      </c>
      <c r="B531" s="6">
        <v>45728</v>
      </c>
      <c r="C531" t="s">
        <v>45</v>
      </c>
      <c r="D531" t="s">
        <v>46</v>
      </c>
      <c r="E531" t="s">
        <v>38</v>
      </c>
      <c r="F531" t="s">
        <v>47</v>
      </c>
      <c r="G531" t="s">
        <v>48</v>
      </c>
      <c r="H531" t="s">
        <v>145</v>
      </c>
      <c r="I531" t="s">
        <v>146</v>
      </c>
      <c r="J531" t="s">
        <v>147</v>
      </c>
      <c r="K531" t="s">
        <v>148</v>
      </c>
      <c r="L531" t="s">
        <v>170</v>
      </c>
      <c r="M531" t="s">
        <v>171</v>
      </c>
      <c r="N531">
        <v>3</v>
      </c>
      <c r="O531" s="4">
        <v>230</v>
      </c>
      <c r="P531" s="4">
        <v>400</v>
      </c>
      <c r="Q531" s="7">
        <v>0</v>
      </c>
      <c r="R531" t="s">
        <v>178</v>
      </c>
      <c r="S531">
        <v>11</v>
      </c>
      <c r="T531">
        <v>1200</v>
      </c>
      <c r="U531">
        <v>0</v>
      </c>
      <c r="V531">
        <v>1200</v>
      </c>
      <c r="W531">
        <v>690</v>
      </c>
      <c r="X531">
        <v>510</v>
      </c>
      <c r="Y531" s="8">
        <v>0.42499999999999999</v>
      </c>
      <c r="Z531" t="s">
        <v>2995</v>
      </c>
      <c r="AA531" t="str">
        <f>IF(AND(SalesCleanTable[[#This Row],[Discount %]]&gt;0, SalesCleanTable[[#This Row],[Profit]]&lt;0), "Discount loss", "Safe")</f>
        <v>Safe</v>
      </c>
      <c r="AB531" s="25">
        <f>(SalesCleanTable[[#This Row],[Unit Price]] - SalesCleanTable[[#This Row],[Unit Cost]]) / SalesCleanTable[[#This Row],[Unit Price]]</f>
        <v>0.42499999999999999</v>
      </c>
      <c r="AC531" t="str">
        <f>IF(SalesCleanTable[[#This Row],[Discount %]] &gt; SalesCleanTable[[#This Row],[Max Allowed Discount]], "Discount loss", "Safe")</f>
        <v>Safe</v>
      </c>
      <c r="AD531" s="4">
        <f>SalesCleanTable[[#This Row],[Unit Price]] - SalesCleanTable[[#This Row],[Unit Cost]]</f>
        <v>170</v>
      </c>
      <c r="AE531" s="41">
        <f>(SalesCleanTable[[#This Row],[Unit Price]] - SalesCleanTable[[#This Row],[Unit Cost]]) / SalesCleanTable[[#This Row],[Unit Price]]</f>
        <v>0.42499999999999999</v>
      </c>
    </row>
    <row r="532" spans="1:31">
      <c r="A532" t="s">
        <v>718</v>
      </c>
      <c r="B532" s="6">
        <v>45738</v>
      </c>
      <c r="C532" t="s">
        <v>45</v>
      </c>
      <c r="D532" t="s">
        <v>46</v>
      </c>
      <c r="E532" t="s">
        <v>38</v>
      </c>
      <c r="F532" t="s">
        <v>47</v>
      </c>
      <c r="G532" t="s">
        <v>48</v>
      </c>
      <c r="H532" t="s">
        <v>139</v>
      </c>
      <c r="I532" t="s">
        <v>140</v>
      </c>
      <c r="J532" t="s">
        <v>137</v>
      </c>
      <c r="K532" t="s">
        <v>138</v>
      </c>
      <c r="L532" t="s">
        <v>166</v>
      </c>
      <c r="M532" t="s">
        <v>171</v>
      </c>
      <c r="N532">
        <v>8</v>
      </c>
      <c r="O532" s="4">
        <v>230</v>
      </c>
      <c r="P532" s="4">
        <v>400</v>
      </c>
      <c r="Q532" s="7">
        <v>0</v>
      </c>
      <c r="R532" t="s">
        <v>168</v>
      </c>
      <c r="S532">
        <v>1</v>
      </c>
      <c r="T532">
        <v>3200</v>
      </c>
      <c r="U532">
        <v>0</v>
      </c>
      <c r="V532">
        <v>3200</v>
      </c>
      <c r="W532">
        <v>1840</v>
      </c>
      <c r="X532">
        <v>1360</v>
      </c>
      <c r="Y532" s="8">
        <v>0.42499999999999999</v>
      </c>
      <c r="Z532" t="s">
        <v>2995</v>
      </c>
      <c r="AA532" t="str">
        <f>IF(AND(SalesCleanTable[[#This Row],[Discount %]]&gt;0, SalesCleanTable[[#This Row],[Profit]]&lt;0), "Discount loss", "Safe")</f>
        <v>Safe</v>
      </c>
      <c r="AB532" s="25">
        <f>(SalesCleanTable[[#This Row],[Unit Price]] - SalesCleanTable[[#This Row],[Unit Cost]]) / SalesCleanTable[[#This Row],[Unit Price]]</f>
        <v>0.42499999999999999</v>
      </c>
      <c r="AC532" t="str">
        <f>IF(SalesCleanTable[[#This Row],[Discount %]] &gt; SalesCleanTable[[#This Row],[Max Allowed Discount]], "Discount loss", "Safe")</f>
        <v>Safe</v>
      </c>
      <c r="AD532" s="4">
        <f>SalesCleanTable[[#This Row],[Unit Price]] - SalesCleanTable[[#This Row],[Unit Cost]]</f>
        <v>170</v>
      </c>
      <c r="AE532" s="41">
        <f>(SalesCleanTable[[#This Row],[Unit Price]] - SalesCleanTable[[#This Row],[Unit Cost]]) / SalesCleanTable[[#This Row],[Unit Price]]</f>
        <v>0.42499999999999999</v>
      </c>
    </row>
    <row r="533" spans="1:31">
      <c r="A533" t="s">
        <v>719</v>
      </c>
      <c r="B533" s="6">
        <v>45869</v>
      </c>
      <c r="C533" t="s">
        <v>116</v>
      </c>
      <c r="D533" t="s">
        <v>117</v>
      </c>
      <c r="E533" t="s">
        <v>109</v>
      </c>
      <c r="F533" t="s">
        <v>118</v>
      </c>
      <c r="G533" t="s">
        <v>119</v>
      </c>
      <c r="H533" t="s">
        <v>135</v>
      </c>
      <c r="I533" t="s">
        <v>136</v>
      </c>
      <c r="J533" t="s">
        <v>137</v>
      </c>
      <c r="K533" t="s">
        <v>138</v>
      </c>
      <c r="L533" t="s">
        <v>183</v>
      </c>
      <c r="M533" t="s">
        <v>171</v>
      </c>
      <c r="N533">
        <v>4</v>
      </c>
      <c r="O533" s="4">
        <v>2800</v>
      </c>
      <c r="P533" s="4">
        <v>4200</v>
      </c>
      <c r="Q533" s="7">
        <v>0.15</v>
      </c>
      <c r="R533" t="s">
        <v>235</v>
      </c>
      <c r="S533">
        <v>13</v>
      </c>
      <c r="T533">
        <v>16800</v>
      </c>
      <c r="U533">
        <v>2520</v>
      </c>
      <c r="V533">
        <v>14280</v>
      </c>
      <c r="W533">
        <v>11200</v>
      </c>
      <c r="X533">
        <v>3080</v>
      </c>
      <c r="Y533" s="8">
        <v>0.21568627450980393</v>
      </c>
      <c r="Z533" t="s">
        <v>2995</v>
      </c>
      <c r="AA533" t="str">
        <f>IF(AND(SalesCleanTable[[#This Row],[Discount %]]&gt;0, SalesCleanTable[[#This Row],[Profit]]&lt;0), "Discount loss", "Safe")</f>
        <v>Safe</v>
      </c>
      <c r="AB533" s="25">
        <f>(SalesCleanTable[[#This Row],[Unit Price]] - SalesCleanTable[[#This Row],[Unit Cost]]) / SalesCleanTable[[#This Row],[Unit Price]]</f>
        <v>0.33333333333333331</v>
      </c>
      <c r="AC533" t="str">
        <f>IF(SalesCleanTable[[#This Row],[Discount %]] &gt; SalesCleanTable[[#This Row],[Max Allowed Discount]], "Discount loss", "Safe")</f>
        <v>Safe</v>
      </c>
      <c r="AD533" s="4">
        <f>SalesCleanTable[[#This Row],[Unit Price]] - SalesCleanTable[[#This Row],[Unit Cost]]</f>
        <v>1400</v>
      </c>
      <c r="AE533" s="41">
        <f>(SalesCleanTable[[#This Row],[Unit Price]] - SalesCleanTable[[#This Row],[Unit Cost]]) / SalesCleanTable[[#This Row],[Unit Price]]</f>
        <v>0.33333333333333331</v>
      </c>
    </row>
    <row r="534" spans="1:31">
      <c r="A534" t="s">
        <v>720</v>
      </c>
      <c r="B534" s="6">
        <v>45725</v>
      </c>
      <c r="C534" t="s">
        <v>36</v>
      </c>
      <c r="D534" t="s">
        <v>37</v>
      </c>
      <c r="E534" t="s">
        <v>38</v>
      </c>
      <c r="F534" t="s">
        <v>39</v>
      </c>
      <c r="G534" t="s">
        <v>40</v>
      </c>
      <c r="H534" t="s">
        <v>145</v>
      </c>
      <c r="I534" t="s">
        <v>146</v>
      </c>
      <c r="J534" t="s">
        <v>147</v>
      </c>
      <c r="K534" t="s">
        <v>148</v>
      </c>
      <c r="L534" t="s">
        <v>166</v>
      </c>
      <c r="M534" t="s">
        <v>167</v>
      </c>
      <c r="N534">
        <v>3</v>
      </c>
      <c r="O534" s="4">
        <v>1650</v>
      </c>
      <c r="P534" s="4">
        <v>2200</v>
      </c>
      <c r="Q534" s="7">
        <v>0</v>
      </c>
      <c r="R534" t="s">
        <v>178</v>
      </c>
      <c r="S534">
        <v>4</v>
      </c>
      <c r="T534">
        <v>6600</v>
      </c>
      <c r="U534">
        <v>0</v>
      </c>
      <c r="V534">
        <v>6600</v>
      </c>
      <c r="W534">
        <v>4950</v>
      </c>
      <c r="X534">
        <v>1650</v>
      </c>
      <c r="Y534" s="8">
        <v>0.25</v>
      </c>
      <c r="Z534" t="s">
        <v>2995</v>
      </c>
      <c r="AA534" t="str">
        <f>IF(AND(SalesCleanTable[[#This Row],[Discount %]]&gt;0, SalesCleanTable[[#This Row],[Profit]]&lt;0), "Discount loss", "Safe")</f>
        <v>Safe</v>
      </c>
      <c r="AB534" s="25">
        <f>(SalesCleanTable[[#This Row],[Unit Price]] - SalesCleanTable[[#This Row],[Unit Cost]]) / SalesCleanTable[[#This Row],[Unit Price]]</f>
        <v>0.25</v>
      </c>
      <c r="AC534" t="str">
        <f>IF(SalesCleanTable[[#This Row],[Discount %]] &gt; SalesCleanTable[[#This Row],[Max Allowed Discount]], "Discount loss", "Safe")</f>
        <v>Safe</v>
      </c>
      <c r="AD534" s="4">
        <f>SalesCleanTable[[#This Row],[Unit Price]] - SalesCleanTable[[#This Row],[Unit Cost]]</f>
        <v>550</v>
      </c>
      <c r="AE534" s="41">
        <f>(SalesCleanTable[[#This Row],[Unit Price]] - SalesCleanTable[[#This Row],[Unit Cost]]) / SalesCleanTable[[#This Row],[Unit Price]]</f>
        <v>0.25</v>
      </c>
    </row>
    <row r="535" spans="1:31">
      <c r="A535" t="s">
        <v>721</v>
      </c>
      <c r="B535" s="6">
        <v>45841</v>
      </c>
      <c r="C535" t="s">
        <v>29</v>
      </c>
      <c r="D535" t="s">
        <v>30</v>
      </c>
      <c r="E535" t="s">
        <v>26</v>
      </c>
      <c r="F535" t="s">
        <v>27</v>
      </c>
      <c r="G535" t="s">
        <v>31</v>
      </c>
      <c r="H535" t="s">
        <v>145</v>
      </c>
      <c r="I535" t="s">
        <v>146</v>
      </c>
      <c r="J535" t="s">
        <v>147</v>
      </c>
      <c r="K535" t="s">
        <v>148</v>
      </c>
      <c r="L535" t="s">
        <v>166</v>
      </c>
      <c r="M535" t="s">
        <v>171</v>
      </c>
      <c r="N535">
        <v>1</v>
      </c>
      <c r="O535" s="4">
        <v>6200</v>
      </c>
      <c r="P535" s="4">
        <v>7900</v>
      </c>
      <c r="Q535" s="7">
        <v>0.15</v>
      </c>
      <c r="R535" t="s">
        <v>197</v>
      </c>
      <c r="S535">
        <v>14</v>
      </c>
      <c r="T535">
        <v>7900</v>
      </c>
      <c r="U535">
        <v>1185</v>
      </c>
      <c r="V535">
        <v>6715</v>
      </c>
      <c r="W535">
        <v>6200</v>
      </c>
      <c r="X535">
        <v>515</v>
      </c>
      <c r="Y535" s="8">
        <v>7.6693968726731204E-2</v>
      </c>
      <c r="Z535" t="s">
        <v>2996</v>
      </c>
      <c r="AA535" t="str">
        <f>IF(AND(SalesCleanTable[[#This Row],[Discount %]]&gt;0, SalesCleanTable[[#This Row],[Profit]]&lt;0), "Discount loss", "Safe")</f>
        <v>Safe</v>
      </c>
      <c r="AB535" s="25">
        <f>(SalesCleanTable[[#This Row],[Unit Price]] - SalesCleanTable[[#This Row],[Unit Cost]]) / SalesCleanTable[[#This Row],[Unit Price]]</f>
        <v>0.21518987341772153</v>
      </c>
      <c r="AC535" t="str">
        <f>IF(SalesCleanTable[[#This Row],[Discount %]] &gt; SalesCleanTable[[#This Row],[Max Allowed Discount]], "Discount loss", "Safe")</f>
        <v>Safe</v>
      </c>
      <c r="AD535" s="4">
        <f>SalesCleanTable[[#This Row],[Unit Price]] - SalesCleanTable[[#This Row],[Unit Cost]]</f>
        <v>1700</v>
      </c>
      <c r="AE535" s="41">
        <f>(SalesCleanTable[[#This Row],[Unit Price]] - SalesCleanTable[[#This Row],[Unit Cost]]) / SalesCleanTable[[#This Row],[Unit Price]]</f>
        <v>0.21518987341772153</v>
      </c>
    </row>
    <row r="536" spans="1:31">
      <c r="A536" t="s">
        <v>722</v>
      </c>
      <c r="B536" s="6">
        <v>45900</v>
      </c>
      <c r="C536" t="s">
        <v>32</v>
      </c>
      <c r="D536" t="s">
        <v>33</v>
      </c>
      <c r="E536" t="s">
        <v>26</v>
      </c>
      <c r="F536" t="s">
        <v>34</v>
      </c>
      <c r="G536" t="s">
        <v>35</v>
      </c>
      <c r="H536" t="s">
        <v>133</v>
      </c>
      <c r="I536" t="s">
        <v>134</v>
      </c>
      <c r="J536" t="s">
        <v>130</v>
      </c>
      <c r="K536" t="s">
        <v>131</v>
      </c>
      <c r="L536" t="s">
        <v>166</v>
      </c>
      <c r="M536" t="s">
        <v>167</v>
      </c>
      <c r="N536">
        <v>1</v>
      </c>
      <c r="O536" s="4">
        <v>7800</v>
      </c>
      <c r="P536" s="4">
        <v>9800</v>
      </c>
      <c r="Q536" s="7">
        <v>0.1</v>
      </c>
      <c r="R536" t="s">
        <v>194</v>
      </c>
      <c r="S536">
        <v>4</v>
      </c>
      <c r="T536">
        <v>9800</v>
      </c>
      <c r="U536">
        <v>980</v>
      </c>
      <c r="V536">
        <v>8820</v>
      </c>
      <c r="W536">
        <v>7800</v>
      </c>
      <c r="X536">
        <v>1020</v>
      </c>
      <c r="Y536" s="8">
        <v>0.11564625850340136</v>
      </c>
      <c r="Z536" t="s">
        <v>2995</v>
      </c>
      <c r="AA536" t="str">
        <f>IF(AND(SalesCleanTable[[#This Row],[Discount %]]&gt;0, SalesCleanTable[[#This Row],[Profit]]&lt;0), "Discount loss", "Safe")</f>
        <v>Safe</v>
      </c>
      <c r="AB536" s="25">
        <f>(SalesCleanTable[[#This Row],[Unit Price]] - SalesCleanTable[[#This Row],[Unit Cost]]) / SalesCleanTable[[#This Row],[Unit Price]]</f>
        <v>0.20408163265306123</v>
      </c>
      <c r="AC536" t="str">
        <f>IF(SalesCleanTable[[#This Row],[Discount %]] &gt; SalesCleanTable[[#This Row],[Max Allowed Discount]], "Discount loss", "Safe")</f>
        <v>Safe</v>
      </c>
      <c r="AD536" s="4">
        <f>SalesCleanTable[[#This Row],[Unit Price]] - SalesCleanTable[[#This Row],[Unit Cost]]</f>
        <v>2000</v>
      </c>
      <c r="AE536" s="41">
        <f>(SalesCleanTable[[#This Row],[Unit Price]] - SalesCleanTable[[#This Row],[Unit Cost]]) / SalesCleanTable[[#This Row],[Unit Price]]</f>
        <v>0.20408163265306123</v>
      </c>
    </row>
    <row r="537" spans="1:31">
      <c r="A537" t="s">
        <v>723</v>
      </c>
      <c r="B537" s="6">
        <v>45761</v>
      </c>
      <c r="C537" t="s">
        <v>86</v>
      </c>
      <c r="D537" t="s">
        <v>87</v>
      </c>
      <c r="E537" t="s">
        <v>75</v>
      </c>
      <c r="F537" t="s">
        <v>88</v>
      </c>
      <c r="G537" t="s">
        <v>89</v>
      </c>
      <c r="H537" t="s">
        <v>128</v>
      </c>
      <c r="I537" t="s">
        <v>129</v>
      </c>
      <c r="J537" t="s">
        <v>130</v>
      </c>
      <c r="K537" t="s">
        <v>131</v>
      </c>
      <c r="L537" t="s">
        <v>183</v>
      </c>
      <c r="M537" t="s">
        <v>186</v>
      </c>
      <c r="N537">
        <v>8</v>
      </c>
      <c r="O537" s="4">
        <v>8500</v>
      </c>
      <c r="P537" s="4">
        <v>12500</v>
      </c>
      <c r="Q537" s="7">
        <v>0.25</v>
      </c>
      <c r="R537" t="s">
        <v>208</v>
      </c>
      <c r="S537">
        <v>14</v>
      </c>
      <c r="T537">
        <v>100000</v>
      </c>
      <c r="U537">
        <v>25000</v>
      </c>
      <c r="V537">
        <v>75000</v>
      </c>
      <c r="W537">
        <v>68000</v>
      </c>
      <c r="X537">
        <v>7000</v>
      </c>
      <c r="Y537" s="8">
        <v>9.3333333333333338E-2</v>
      </c>
      <c r="Z537" t="s">
        <v>2997</v>
      </c>
      <c r="AA537" t="str">
        <f>IF(AND(SalesCleanTable[[#This Row],[Discount %]]&gt;0, SalesCleanTable[[#This Row],[Profit]]&lt;0), "Discount loss", "Safe")</f>
        <v>Safe</v>
      </c>
      <c r="AB537" s="25">
        <f>(SalesCleanTable[[#This Row],[Unit Price]] - SalesCleanTable[[#This Row],[Unit Cost]]) / SalesCleanTable[[#This Row],[Unit Price]]</f>
        <v>0.32</v>
      </c>
      <c r="AC537" t="str">
        <f>IF(SalesCleanTable[[#This Row],[Discount %]] &gt; SalesCleanTable[[#This Row],[Max Allowed Discount]], "Discount loss", "Safe")</f>
        <v>Safe</v>
      </c>
      <c r="AD537" s="4">
        <f>SalesCleanTable[[#This Row],[Unit Price]] - SalesCleanTable[[#This Row],[Unit Cost]]</f>
        <v>4000</v>
      </c>
      <c r="AE537" s="41">
        <f>(SalesCleanTable[[#This Row],[Unit Price]] - SalesCleanTable[[#This Row],[Unit Cost]]) / SalesCleanTable[[#This Row],[Unit Price]]</f>
        <v>0.32</v>
      </c>
    </row>
    <row r="538" spans="1:31">
      <c r="A538" t="s">
        <v>724</v>
      </c>
      <c r="B538" s="6">
        <v>45784</v>
      </c>
      <c r="C538" t="s">
        <v>53</v>
      </c>
      <c r="D538" t="s">
        <v>54</v>
      </c>
      <c r="E538" t="s">
        <v>38</v>
      </c>
      <c r="F538" t="s">
        <v>55</v>
      </c>
      <c r="G538" t="s">
        <v>56</v>
      </c>
      <c r="H538" t="s">
        <v>145</v>
      </c>
      <c r="I538" t="s">
        <v>146</v>
      </c>
      <c r="J538" t="s">
        <v>147</v>
      </c>
      <c r="K538" t="s">
        <v>148</v>
      </c>
      <c r="L538" t="s">
        <v>183</v>
      </c>
      <c r="M538" t="s">
        <v>186</v>
      </c>
      <c r="N538">
        <v>3</v>
      </c>
      <c r="O538" s="4">
        <v>330</v>
      </c>
      <c r="P538" s="4">
        <v>550</v>
      </c>
      <c r="Q538" s="7">
        <v>0.15</v>
      </c>
      <c r="R538" t="s">
        <v>168</v>
      </c>
      <c r="S538">
        <v>10</v>
      </c>
      <c r="T538">
        <v>1650</v>
      </c>
      <c r="U538">
        <v>247.5</v>
      </c>
      <c r="V538">
        <v>1402.5</v>
      </c>
      <c r="W538">
        <v>990</v>
      </c>
      <c r="X538">
        <v>412.5</v>
      </c>
      <c r="Y538" s="8">
        <v>0.29411764705882354</v>
      </c>
      <c r="Z538" t="s">
        <v>2996</v>
      </c>
      <c r="AA538" t="str">
        <f>IF(AND(SalesCleanTable[[#This Row],[Discount %]]&gt;0, SalesCleanTable[[#This Row],[Profit]]&lt;0), "Discount loss", "Safe")</f>
        <v>Safe</v>
      </c>
      <c r="AB538" s="25">
        <f>(SalesCleanTable[[#This Row],[Unit Price]] - SalesCleanTable[[#This Row],[Unit Cost]]) / SalesCleanTable[[#This Row],[Unit Price]]</f>
        <v>0.4</v>
      </c>
      <c r="AC538" t="str">
        <f>IF(SalesCleanTable[[#This Row],[Discount %]] &gt; SalesCleanTable[[#This Row],[Max Allowed Discount]], "Discount loss", "Safe")</f>
        <v>Safe</v>
      </c>
      <c r="AD538" s="4">
        <f>SalesCleanTable[[#This Row],[Unit Price]] - SalesCleanTable[[#This Row],[Unit Cost]]</f>
        <v>220</v>
      </c>
      <c r="AE538" s="41">
        <f>(SalesCleanTable[[#This Row],[Unit Price]] - SalesCleanTable[[#This Row],[Unit Cost]]) / SalesCleanTable[[#This Row],[Unit Price]]</f>
        <v>0.4</v>
      </c>
    </row>
    <row r="539" spans="1:31">
      <c r="A539" t="s">
        <v>725</v>
      </c>
      <c r="B539" s="6">
        <v>45926</v>
      </c>
      <c r="C539" t="s">
        <v>73</v>
      </c>
      <c r="D539" t="s">
        <v>74</v>
      </c>
      <c r="E539" t="s">
        <v>75</v>
      </c>
      <c r="F539" t="s">
        <v>76</v>
      </c>
      <c r="G539" t="s">
        <v>77</v>
      </c>
      <c r="H539" t="s">
        <v>145</v>
      </c>
      <c r="I539" t="s">
        <v>146</v>
      </c>
      <c r="J539" t="s">
        <v>147</v>
      </c>
      <c r="K539" t="s">
        <v>148</v>
      </c>
      <c r="L539" t="s">
        <v>166</v>
      </c>
      <c r="M539" t="s">
        <v>171</v>
      </c>
      <c r="N539">
        <v>1</v>
      </c>
      <c r="O539" s="4">
        <v>3500</v>
      </c>
      <c r="P539" s="4">
        <v>5200</v>
      </c>
      <c r="Q539" s="7">
        <v>0</v>
      </c>
      <c r="R539" t="s">
        <v>187</v>
      </c>
      <c r="S539">
        <v>9</v>
      </c>
      <c r="T539">
        <v>5200</v>
      </c>
      <c r="U539">
        <v>0</v>
      </c>
      <c r="V539">
        <v>5200</v>
      </c>
      <c r="W539">
        <v>3500</v>
      </c>
      <c r="X539">
        <v>1700</v>
      </c>
      <c r="Y539" s="8">
        <v>0.32692307692307693</v>
      </c>
      <c r="Z539" t="s">
        <v>2996</v>
      </c>
      <c r="AA539" t="str">
        <f>IF(AND(SalesCleanTable[[#This Row],[Discount %]]&gt;0, SalesCleanTable[[#This Row],[Profit]]&lt;0), "Discount loss", "Safe")</f>
        <v>Safe</v>
      </c>
      <c r="AB539" s="25">
        <f>(SalesCleanTable[[#This Row],[Unit Price]] - SalesCleanTable[[#This Row],[Unit Cost]]) / SalesCleanTable[[#This Row],[Unit Price]]</f>
        <v>0.32692307692307693</v>
      </c>
      <c r="AC539" t="str">
        <f>IF(SalesCleanTable[[#This Row],[Discount %]] &gt; SalesCleanTable[[#This Row],[Max Allowed Discount]], "Discount loss", "Safe")</f>
        <v>Safe</v>
      </c>
      <c r="AD539" s="4">
        <f>SalesCleanTable[[#This Row],[Unit Price]] - SalesCleanTable[[#This Row],[Unit Cost]]</f>
        <v>1700</v>
      </c>
      <c r="AE539" s="41">
        <f>(SalesCleanTable[[#This Row],[Unit Price]] - SalesCleanTable[[#This Row],[Unit Cost]]) / SalesCleanTable[[#This Row],[Unit Price]]</f>
        <v>0.32692307692307693</v>
      </c>
    </row>
    <row r="540" spans="1:31">
      <c r="A540" t="s">
        <v>726</v>
      </c>
      <c r="B540" s="6">
        <v>45678</v>
      </c>
      <c r="C540" t="s">
        <v>62</v>
      </c>
      <c r="D540" t="s">
        <v>63</v>
      </c>
      <c r="E540" t="s">
        <v>59</v>
      </c>
      <c r="F540" t="s">
        <v>64</v>
      </c>
      <c r="G540" t="s">
        <v>65</v>
      </c>
      <c r="H540" t="s">
        <v>139</v>
      </c>
      <c r="I540" t="s">
        <v>140</v>
      </c>
      <c r="J540" t="s">
        <v>137</v>
      </c>
      <c r="K540" t="s">
        <v>138</v>
      </c>
      <c r="L540" t="s">
        <v>166</v>
      </c>
      <c r="M540" t="s">
        <v>186</v>
      </c>
      <c r="N540">
        <v>3</v>
      </c>
      <c r="O540" s="4">
        <v>3200</v>
      </c>
      <c r="P540" s="4">
        <v>4500</v>
      </c>
      <c r="Q540" s="7">
        <v>0</v>
      </c>
      <c r="R540" t="s">
        <v>204</v>
      </c>
      <c r="S540">
        <v>13</v>
      </c>
      <c r="T540">
        <v>13500</v>
      </c>
      <c r="U540">
        <v>0</v>
      </c>
      <c r="V540">
        <v>13500</v>
      </c>
      <c r="W540">
        <v>9600</v>
      </c>
      <c r="X540">
        <v>3900</v>
      </c>
      <c r="Y540" s="8">
        <v>0.28888888888888886</v>
      </c>
      <c r="Z540" t="s">
        <v>2996</v>
      </c>
      <c r="AA540" t="str">
        <f>IF(AND(SalesCleanTable[[#This Row],[Discount %]]&gt;0, SalesCleanTable[[#This Row],[Profit]]&lt;0), "Discount loss", "Safe")</f>
        <v>Safe</v>
      </c>
      <c r="AB540" s="25">
        <f>(SalesCleanTable[[#This Row],[Unit Price]] - SalesCleanTable[[#This Row],[Unit Cost]]) / SalesCleanTable[[#This Row],[Unit Price]]</f>
        <v>0.28888888888888886</v>
      </c>
      <c r="AC540" t="str">
        <f>IF(SalesCleanTable[[#This Row],[Discount %]] &gt; SalesCleanTable[[#This Row],[Max Allowed Discount]], "Discount loss", "Safe")</f>
        <v>Safe</v>
      </c>
      <c r="AD540" s="4">
        <f>SalesCleanTable[[#This Row],[Unit Price]] - SalesCleanTable[[#This Row],[Unit Cost]]</f>
        <v>1300</v>
      </c>
      <c r="AE540" s="41">
        <f>(SalesCleanTable[[#This Row],[Unit Price]] - SalesCleanTable[[#This Row],[Unit Cost]]) / SalesCleanTable[[#This Row],[Unit Price]]</f>
        <v>0.28888888888888886</v>
      </c>
    </row>
    <row r="541" spans="1:31">
      <c r="A541" t="s">
        <v>727</v>
      </c>
      <c r="B541" s="6">
        <v>45894</v>
      </c>
      <c r="C541" t="s">
        <v>36</v>
      </c>
      <c r="D541" t="s">
        <v>37</v>
      </c>
      <c r="E541" t="s">
        <v>38</v>
      </c>
      <c r="F541" t="s">
        <v>39</v>
      </c>
      <c r="G541" t="s">
        <v>40</v>
      </c>
      <c r="H541" t="s">
        <v>135</v>
      </c>
      <c r="I541" t="s">
        <v>136</v>
      </c>
      <c r="J541" t="s">
        <v>137</v>
      </c>
      <c r="K541" t="s">
        <v>138</v>
      </c>
      <c r="L541" t="s">
        <v>183</v>
      </c>
      <c r="M541" t="s">
        <v>186</v>
      </c>
      <c r="N541">
        <v>6</v>
      </c>
      <c r="O541" s="4">
        <v>1650</v>
      </c>
      <c r="P541" s="4">
        <v>2200</v>
      </c>
      <c r="Q541" s="7">
        <v>0.1</v>
      </c>
      <c r="R541" t="s">
        <v>168</v>
      </c>
      <c r="S541">
        <v>8</v>
      </c>
      <c r="T541">
        <v>13200</v>
      </c>
      <c r="U541">
        <v>1320</v>
      </c>
      <c r="V541">
        <v>11880</v>
      </c>
      <c r="W541">
        <v>9900</v>
      </c>
      <c r="X541">
        <v>1980</v>
      </c>
      <c r="Y541" s="8">
        <v>0.16666666666666666</v>
      </c>
      <c r="Z541" t="s">
        <v>2995</v>
      </c>
      <c r="AA541" t="str">
        <f>IF(AND(SalesCleanTable[[#This Row],[Discount %]]&gt;0, SalesCleanTable[[#This Row],[Profit]]&lt;0), "Discount loss", "Safe")</f>
        <v>Safe</v>
      </c>
      <c r="AB541" s="25">
        <f>(SalesCleanTable[[#This Row],[Unit Price]] - SalesCleanTable[[#This Row],[Unit Cost]]) / SalesCleanTable[[#This Row],[Unit Price]]</f>
        <v>0.25</v>
      </c>
      <c r="AC541" t="str">
        <f>IF(SalesCleanTable[[#This Row],[Discount %]] &gt; SalesCleanTable[[#This Row],[Max Allowed Discount]], "Discount loss", "Safe")</f>
        <v>Safe</v>
      </c>
      <c r="AD541" s="4">
        <f>SalesCleanTable[[#This Row],[Unit Price]] - SalesCleanTable[[#This Row],[Unit Cost]]</f>
        <v>550</v>
      </c>
      <c r="AE541" s="41">
        <f>(SalesCleanTable[[#This Row],[Unit Price]] - SalesCleanTable[[#This Row],[Unit Cost]]) / SalesCleanTable[[#This Row],[Unit Price]]</f>
        <v>0.25</v>
      </c>
    </row>
    <row r="542" spans="1:31">
      <c r="A542" t="s">
        <v>728</v>
      </c>
      <c r="B542" s="6">
        <v>45914</v>
      </c>
      <c r="C542" t="s">
        <v>32</v>
      </c>
      <c r="D542" t="s">
        <v>33</v>
      </c>
      <c r="E542" t="s">
        <v>26</v>
      </c>
      <c r="F542" t="s">
        <v>34</v>
      </c>
      <c r="G542" t="s">
        <v>35</v>
      </c>
      <c r="H542" t="s">
        <v>145</v>
      </c>
      <c r="I542" t="s">
        <v>146</v>
      </c>
      <c r="J542" t="s">
        <v>147</v>
      </c>
      <c r="K542" t="s">
        <v>148</v>
      </c>
      <c r="L542" t="s">
        <v>166</v>
      </c>
      <c r="M542" t="s">
        <v>186</v>
      </c>
      <c r="N542">
        <v>8</v>
      </c>
      <c r="O542" s="4">
        <v>7800</v>
      </c>
      <c r="P542" s="4">
        <v>9800</v>
      </c>
      <c r="Q542" s="7">
        <v>0.1</v>
      </c>
      <c r="R542" t="s">
        <v>194</v>
      </c>
      <c r="S542">
        <v>1</v>
      </c>
      <c r="T542">
        <v>78400</v>
      </c>
      <c r="U542">
        <v>7840</v>
      </c>
      <c r="V542">
        <v>70560</v>
      </c>
      <c r="W542">
        <v>62400</v>
      </c>
      <c r="X542">
        <v>8160</v>
      </c>
      <c r="Y542" s="8">
        <v>0.11564625850340136</v>
      </c>
      <c r="Z542" t="s">
        <v>2995</v>
      </c>
      <c r="AA542" t="str">
        <f>IF(AND(SalesCleanTable[[#This Row],[Discount %]]&gt;0, SalesCleanTable[[#This Row],[Profit]]&lt;0), "Discount loss", "Safe")</f>
        <v>Safe</v>
      </c>
      <c r="AB542" s="25">
        <f>(SalesCleanTable[[#This Row],[Unit Price]] - SalesCleanTable[[#This Row],[Unit Cost]]) / SalesCleanTable[[#This Row],[Unit Price]]</f>
        <v>0.20408163265306123</v>
      </c>
      <c r="AC542" t="str">
        <f>IF(SalesCleanTable[[#This Row],[Discount %]] &gt; SalesCleanTable[[#This Row],[Max Allowed Discount]], "Discount loss", "Safe")</f>
        <v>Safe</v>
      </c>
      <c r="AD542" s="4">
        <f>SalesCleanTable[[#This Row],[Unit Price]] - SalesCleanTable[[#This Row],[Unit Cost]]</f>
        <v>2000</v>
      </c>
      <c r="AE542" s="41">
        <f>(SalesCleanTable[[#This Row],[Unit Price]] - SalesCleanTable[[#This Row],[Unit Cost]]) / SalesCleanTable[[#This Row],[Unit Price]]</f>
        <v>0.20408163265306123</v>
      </c>
    </row>
    <row r="543" spans="1:31">
      <c r="A543" t="s">
        <v>729</v>
      </c>
      <c r="B543" s="6">
        <v>45960</v>
      </c>
      <c r="C543" t="s">
        <v>107</v>
      </c>
      <c r="D543" t="s">
        <v>108</v>
      </c>
      <c r="E543" t="s">
        <v>109</v>
      </c>
      <c r="F543" t="s">
        <v>110</v>
      </c>
      <c r="G543" t="s">
        <v>111</v>
      </c>
      <c r="H543" t="s">
        <v>149</v>
      </c>
      <c r="I543" t="s">
        <v>150</v>
      </c>
      <c r="J543" t="s">
        <v>151</v>
      </c>
      <c r="K543" t="s">
        <v>152</v>
      </c>
      <c r="L543" t="s">
        <v>166</v>
      </c>
      <c r="M543" t="s">
        <v>171</v>
      </c>
      <c r="N543">
        <v>6</v>
      </c>
      <c r="O543" s="4">
        <v>5200</v>
      </c>
      <c r="P543" s="4">
        <v>7000</v>
      </c>
      <c r="Q543" s="7">
        <v>0</v>
      </c>
      <c r="R543" t="s">
        <v>184</v>
      </c>
      <c r="S543">
        <v>13</v>
      </c>
      <c r="T543">
        <v>42000</v>
      </c>
      <c r="U543">
        <v>0</v>
      </c>
      <c r="V543">
        <v>42000</v>
      </c>
      <c r="W543">
        <v>31200</v>
      </c>
      <c r="X543">
        <v>10800</v>
      </c>
      <c r="Y543" s="8">
        <v>0.25714285714285712</v>
      </c>
      <c r="Z543" t="s">
        <v>2997</v>
      </c>
      <c r="AA543" t="str">
        <f>IF(AND(SalesCleanTable[[#This Row],[Discount %]]&gt;0, SalesCleanTable[[#This Row],[Profit]]&lt;0), "Discount loss", "Safe")</f>
        <v>Safe</v>
      </c>
      <c r="AB543" s="25">
        <f>(SalesCleanTable[[#This Row],[Unit Price]] - SalesCleanTable[[#This Row],[Unit Cost]]) / SalesCleanTable[[#This Row],[Unit Price]]</f>
        <v>0.25714285714285712</v>
      </c>
      <c r="AC543" t="str">
        <f>IF(SalesCleanTable[[#This Row],[Discount %]] &gt; SalesCleanTable[[#This Row],[Max Allowed Discount]], "Discount loss", "Safe")</f>
        <v>Safe</v>
      </c>
      <c r="AD543" s="4">
        <f>SalesCleanTable[[#This Row],[Unit Price]] - SalesCleanTable[[#This Row],[Unit Cost]]</f>
        <v>1800</v>
      </c>
      <c r="AE543" s="41">
        <f>(SalesCleanTable[[#This Row],[Unit Price]] - SalesCleanTable[[#This Row],[Unit Cost]]) / SalesCleanTable[[#This Row],[Unit Price]]</f>
        <v>0.25714285714285712</v>
      </c>
    </row>
    <row r="544" spans="1:31">
      <c r="A544" t="s">
        <v>730</v>
      </c>
      <c r="B544" s="6">
        <v>45721</v>
      </c>
      <c r="C544" t="s">
        <v>29</v>
      </c>
      <c r="D544" t="s">
        <v>30</v>
      </c>
      <c r="E544" t="s">
        <v>26</v>
      </c>
      <c r="F544" t="s">
        <v>27</v>
      </c>
      <c r="G544" t="s">
        <v>31</v>
      </c>
      <c r="H544" t="s">
        <v>145</v>
      </c>
      <c r="I544" t="s">
        <v>146</v>
      </c>
      <c r="J544" t="s">
        <v>147</v>
      </c>
      <c r="K544" t="s">
        <v>148</v>
      </c>
      <c r="L544" t="s">
        <v>183</v>
      </c>
      <c r="M544" t="s">
        <v>171</v>
      </c>
      <c r="N544">
        <v>3</v>
      </c>
      <c r="O544" s="4">
        <v>6200</v>
      </c>
      <c r="P544" s="4">
        <v>7900</v>
      </c>
      <c r="Q544" s="7">
        <v>0</v>
      </c>
      <c r="R544" t="s">
        <v>173</v>
      </c>
      <c r="S544">
        <v>10</v>
      </c>
      <c r="T544">
        <v>23700</v>
      </c>
      <c r="U544">
        <v>0</v>
      </c>
      <c r="V544">
        <v>23700</v>
      </c>
      <c r="W544">
        <v>18600</v>
      </c>
      <c r="X544">
        <v>5100</v>
      </c>
      <c r="Y544" s="8">
        <v>0.21518987341772153</v>
      </c>
      <c r="Z544" t="s">
        <v>2996</v>
      </c>
      <c r="AA544" t="str">
        <f>IF(AND(SalesCleanTable[[#This Row],[Discount %]]&gt;0, SalesCleanTable[[#This Row],[Profit]]&lt;0), "Discount loss", "Safe")</f>
        <v>Safe</v>
      </c>
      <c r="AB544" s="25">
        <f>(SalesCleanTable[[#This Row],[Unit Price]] - SalesCleanTable[[#This Row],[Unit Cost]]) / SalesCleanTable[[#This Row],[Unit Price]]</f>
        <v>0.21518987341772153</v>
      </c>
      <c r="AC544" t="str">
        <f>IF(SalesCleanTable[[#This Row],[Discount %]] &gt; SalesCleanTable[[#This Row],[Max Allowed Discount]], "Discount loss", "Safe")</f>
        <v>Safe</v>
      </c>
      <c r="AD544" s="4">
        <f>SalesCleanTable[[#This Row],[Unit Price]] - SalesCleanTable[[#This Row],[Unit Cost]]</f>
        <v>1700</v>
      </c>
      <c r="AE544" s="41">
        <f>(SalesCleanTable[[#This Row],[Unit Price]] - SalesCleanTable[[#This Row],[Unit Cost]]) / SalesCleanTable[[#This Row],[Unit Price]]</f>
        <v>0.21518987341772153</v>
      </c>
    </row>
    <row r="545" spans="1:31">
      <c r="A545" t="s">
        <v>731</v>
      </c>
      <c r="B545" s="6">
        <v>45851</v>
      </c>
      <c r="C545" t="s">
        <v>62</v>
      </c>
      <c r="D545" t="s">
        <v>63</v>
      </c>
      <c r="E545" t="s">
        <v>59</v>
      </c>
      <c r="F545" t="s">
        <v>64</v>
      </c>
      <c r="G545" t="s">
        <v>65</v>
      </c>
      <c r="H545" t="s">
        <v>128</v>
      </c>
      <c r="I545" t="s">
        <v>129</v>
      </c>
      <c r="J545" t="s">
        <v>130</v>
      </c>
      <c r="K545" t="s">
        <v>131</v>
      </c>
      <c r="L545" t="s">
        <v>183</v>
      </c>
      <c r="M545" t="s">
        <v>171</v>
      </c>
      <c r="N545">
        <v>1</v>
      </c>
      <c r="O545" s="4">
        <v>3200</v>
      </c>
      <c r="P545" s="4">
        <v>4500</v>
      </c>
      <c r="Q545" s="7">
        <v>0.05</v>
      </c>
      <c r="R545" t="s">
        <v>192</v>
      </c>
      <c r="S545">
        <v>14</v>
      </c>
      <c r="T545">
        <v>4500</v>
      </c>
      <c r="U545">
        <v>225</v>
      </c>
      <c r="V545">
        <v>4275</v>
      </c>
      <c r="W545">
        <v>3200</v>
      </c>
      <c r="X545">
        <v>1075</v>
      </c>
      <c r="Y545" s="8">
        <v>0.25146198830409355</v>
      </c>
      <c r="Z545" t="s">
        <v>2996</v>
      </c>
      <c r="AA545" t="str">
        <f>IF(AND(SalesCleanTable[[#This Row],[Discount %]]&gt;0, SalesCleanTable[[#This Row],[Profit]]&lt;0), "Discount loss", "Safe")</f>
        <v>Safe</v>
      </c>
      <c r="AB545" s="25">
        <f>(SalesCleanTable[[#This Row],[Unit Price]] - SalesCleanTable[[#This Row],[Unit Cost]]) / SalesCleanTable[[#This Row],[Unit Price]]</f>
        <v>0.28888888888888886</v>
      </c>
      <c r="AC545" t="str">
        <f>IF(SalesCleanTable[[#This Row],[Discount %]] &gt; SalesCleanTable[[#This Row],[Max Allowed Discount]], "Discount loss", "Safe")</f>
        <v>Safe</v>
      </c>
      <c r="AD545" s="4">
        <f>SalesCleanTable[[#This Row],[Unit Price]] - SalesCleanTable[[#This Row],[Unit Cost]]</f>
        <v>1300</v>
      </c>
      <c r="AE545" s="41">
        <f>(SalesCleanTable[[#This Row],[Unit Price]] - SalesCleanTable[[#This Row],[Unit Cost]]) / SalesCleanTable[[#This Row],[Unit Price]]</f>
        <v>0.28888888888888886</v>
      </c>
    </row>
    <row r="546" spans="1:31">
      <c r="A546" t="s">
        <v>732</v>
      </c>
      <c r="B546" s="6">
        <v>46022</v>
      </c>
      <c r="C546" t="s">
        <v>24</v>
      </c>
      <c r="D546" t="s">
        <v>25</v>
      </c>
      <c r="E546" t="s">
        <v>26</v>
      </c>
      <c r="F546" t="s">
        <v>27</v>
      </c>
      <c r="G546" t="s">
        <v>28</v>
      </c>
      <c r="H546" t="s">
        <v>135</v>
      </c>
      <c r="I546" t="s">
        <v>136</v>
      </c>
      <c r="J546" t="s">
        <v>137</v>
      </c>
      <c r="K546" t="s">
        <v>138</v>
      </c>
      <c r="L546" t="s">
        <v>166</v>
      </c>
      <c r="M546" t="s">
        <v>177</v>
      </c>
      <c r="N546">
        <v>-1</v>
      </c>
      <c r="O546" s="4">
        <v>14500</v>
      </c>
      <c r="P546" s="4">
        <v>17500</v>
      </c>
      <c r="Q546" s="7">
        <v>0.2</v>
      </c>
      <c r="R546" t="s">
        <v>197</v>
      </c>
      <c r="S546">
        <v>4</v>
      </c>
      <c r="T546">
        <v>-17500</v>
      </c>
      <c r="U546">
        <v>-3500</v>
      </c>
      <c r="V546">
        <v>-14000</v>
      </c>
      <c r="W546">
        <v>-14500</v>
      </c>
      <c r="X546">
        <v>500</v>
      </c>
      <c r="Y546" s="8">
        <v>-3.5714285714285712E-2</v>
      </c>
      <c r="Z546" t="s">
        <v>2995</v>
      </c>
      <c r="AA546" t="str">
        <f>IF(AND(SalesCleanTable[[#This Row],[Discount %]]&gt;0, SalesCleanTable[[#This Row],[Profit]]&lt;0), "Discount loss", "Safe")</f>
        <v>Safe</v>
      </c>
      <c r="AB546" s="25">
        <f>(SalesCleanTable[[#This Row],[Unit Price]] - SalesCleanTable[[#This Row],[Unit Cost]]) / SalesCleanTable[[#This Row],[Unit Price]]</f>
        <v>0.17142857142857143</v>
      </c>
      <c r="AC546" t="str">
        <f>IF(SalesCleanTable[[#This Row],[Discount %]] &gt; SalesCleanTable[[#This Row],[Max Allowed Discount]], "Discount loss", "Safe")</f>
        <v>Discount loss</v>
      </c>
      <c r="AD546" s="4">
        <f>SalesCleanTable[[#This Row],[Unit Price]] - SalesCleanTable[[#This Row],[Unit Cost]]</f>
        <v>3000</v>
      </c>
      <c r="AE546" s="41">
        <f>(SalesCleanTable[[#This Row],[Unit Price]] - SalesCleanTable[[#This Row],[Unit Cost]]) / SalesCleanTable[[#This Row],[Unit Price]]</f>
        <v>0.17142857142857143</v>
      </c>
    </row>
    <row r="547" spans="1:31">
      <c r="A547" t="s">
        <v>733</v>
      </c>
      <c r="B547" s="6">
        <v>45664</v>
      </c>
      <c r="C547" t="s">
        <v>53</v>
      </c>
      <c r="D547" t="s">
        <v>54</v>
      </c>
      <c r="E547" t="s">
        <v>38</v>
      </c>
      <c r="F547" t="s">
        <v>55</v>
      </c>
      <c r="G547" t="s">
        <v>56</v>
      </c>
      <c r="H547" t="s">
        <v>149</v>
      </c>
      <c r="I547" t="s">
        <v>150</v>
      </c>
      <c r="J547" t="s">
        <v>151</v>
      </c>
      <c r="K547" t="s">
        <v>152</v>
      </c>
      <c r="L547" t="s">
        <v>183</v>
      </c>
      <c r="M547" t="s">
        <v>167</v>
      </c>
      <c r="N547">
        <v>3</v>
      </c>
      <c r="O547" s="4">
        <v>330</v>
      </c>
      <c r="P547" s="4">
        <v>550</v>
      </c>
      <c r="Q547" s="7">
        <v>0</v>
      </c>
      <c r="R547" t="s">
        <v>168</v>
      </c>
      <c r="S547">
        <v>11</v>
      </c>
      <c r="T547">
        <v>1650</v>
      </c>
      <c r="U547">
        <v>0</v>
      </c>
      <c r="V547">
        <v>1650</v>
      </c>
      <c r="W547">
        <v>990</v>
      </c>
      <c r="X547">
        <v>660</v>
      </c>
      <c r="Y547" s="8">
        <v>0.4</v>
      </c>
      <c r="Z547" t="s">
        <v>2996</v>
      </c>
      <c r="AA547" t="str">
        <f>IF(AND(SalesCleanTable[[#This Row],[Discount %]]&gt;0, SalesCleanTable[[#This Row],[Profit]]&lt;0), "Discount loss", "Safe")</f>
        <v>Safe</v>
      </c>
      <c r="AB547" s="25">
        <f>(SalesCleanTable[[#This Row],[Unit Price]] - SalesCleanTable[[#This Row],[Unit Cost]]) / SalesCleanTable[[#This Row],[Unit Price]]</f>
        <v>0.4</v>
      </c>
      <c r="AC547" t="str">
        <f>IF(SalesCleanTable[[#This Row],[Discount %]] &gt; SalesCleanTable[[#This Row],[Max Allowed Discount]], "Discount loss", "Safe")</f>
        <v>Safe</v>
      </c>
      <c r="AD547" s="4">
        <f>SalesCleanTable[[#This Row],[Unit Price]] - SalesCleanTable[[#This Row],[Unit Cost]]</f>
        <v>220</v>
      </c>
      <c r="AE547" s="41">
        <f>(SalesCleanTable[[#This Row],[Unit Price]] - SalesCleanTable[[#This Row],[Unit Cost]]) / SalesCleanTable[[#This Row],[Unit Price]]</f>
        <v>0.4</v>
      </c>
    </row>
    <row r="548" spans="1:31">
      <c r="A548" t="s">
        <v>734</v>
      </c>
      <c r="B548" s="6">
        <v>45867</v>
      </c>
      <c r="C548" t="s">
        <v>53</v>
      </c>
      <c r="D548" t="s">
        <v>54</v>
      </c>
      <c r="E548" t="s">
        <v>38</v>
      </c>
      <c r="F548" t="s">
        <v>55</v>
      </c>
      <c r="G548" t="s">
        <v>56</v>
      </c>
      <c r="H548" t="s">
        <v>141</v>
      </c>
      <c r="I548" t="s">
        <v>142</v>
      </c>
      <c r="J548" t="s">
        <v>143</v>
      </c>
      <c r="K548" t="s">
        <v>144</v>
      </c>
      <c r="L548" t="s">
        <v>166</v>
      </c>
      <c r="M548" t="s">
        <v>171</v>
      </c>
      <c r="N548">
        <v>1</v>
      </c>
      <c r="O548" s="4">
        <v>330</v>
      </c>
      <c r="P548" s="4">
        <v>550</v>
      </c>
      <c r="Q548" s="7">
        <v>0.15</v>
      </c>
      <c r="R548" t="s">
        <v>178</v>
      </c>
      <c r="S548">
        <v>1</v>
      </c>
      <c r="T548">
        <v>550</v>
      </c>
      <c r="U548">
        <v>82.5</v>
      </c>
      <c r="V548">
        <v>467.5</v>
      </c>
      <c r="W548">
        <v>330</v>
      </c>
      <c r="X548">
        <v>137.5</v>
      </c>
      <c r="Y548" s="8">
        <v>0.29411764705882354</v>
      </c>
      <c r="Z548" t="s">
        <v>2996</v>
      </c>
      <c r="AA548" t="str">
        <f>IF(AND(SalesCleanTable[[#This Row],[Discount %]]&gt;0, SalesCleanTable[[#This Row],[Profit]]&lt;0), "Discount loss", "Safe")</f>
        <v>Safe</v>
      </c>
      <c r="AB548" s="25">
        <f>(SalesCleanTable[[#This Row],[Unit Price]] - SalesCleanTable[[#This Row],[Unit Cost]]) / SalesCleanTable[[#This Row],[Unit Price]]</f>
        <v>0.4</v>
      </c>
      <c r="AC548" t="str">
        <f>IF(SalesCleanTable[[#This Row],[Discount %]] &gt; SalesCleanTable[[#This Row],[Max Allowed Discount]], "Discount loss", "Safe")</f>
        <v>Safe</v>
      </c>
      <c r="AD548" s="4">
        <f>SalesCleanTable[[#This Row],[Unit Price]] - SalesCleanTable[[#This Row],[Unit Cost]]</f>
        <v>220</v>
      </c>
      <c r="AE548" s="41">
        <f>(SalesCleanTable[[#This Row],[Unit Price]] - SalesCleanTable[[#This Row],[Unit Cost]]) / SalesCleanTable[[#This Row],[Unit Price]]</f>
        <v>0.4</v>
      </c>
    </row>
    <row r="549" spans="1:31">
      <c r="A549" t="s">
        <v>735</v>
      </c>
      <c r="B549" s="6">
        <v>45686</v>
      </c>
      <c r="C549" t="s">
        <v>78</v>
      </c>
      <c r="D549" t="s">
        <v>79</v>
      </c>
      <c r="E549" t="s">
        <v>75</v>
      </c>
      <c r="F549" t="s">
        <v>80</v>
      </c>
      <c r="G549" t="s">
        <v>81</v>
      </c>
      <c r="H549" t="s">
        <v>128</v>
      </c>
      <c r="I549" t="s">
        <v>129</v>
      </c>
      <c r="J549" t="s">
        <v>130</v>
      </c>
      <c r="K549" t="s">
        <v>131</v>
      </c>
      <c r="L549" t="s">
        <v>183</v>
      </c>
      <c r="M549" t="s">
        <v>167</v>
      </c>
      <c r="N549">
        <v>5</v>
      </c>
      <c r="O549" s="4">
        <v>1200</v>
      </c>
      <c r="P549" s="4">
        <v>1900</v>
      </c>
      <c r="Q549" s="7">
        <v>0.1</v>
      </c>
      <c r="R549" t="s">
        <v>187</v>
      </c>
      <c r="S549">
        <v>1</v>
      </c>
      <c r="T549">
        <v>9500</v>
      </c>
      <c r="U549">
        <v>950</v>
      </c>
      <c r="V549">
        <v>8550</v>
      </c>
      <c r="W549">
        <v>6000</v>
      </c>
      <c r="X549">
        <v>2550</v>
      </c>
      <c r="Y549" s="8">
        <v>0.2982456140350877</v>
      </c>
      <c r="Z549" t="s">
        <v>2996</v>
      </c>
      <c r="AA549" t="str">
        <f>IF(AND(SalesCleanTable[[#This Row],[Discount %]]&gt;0, SalesCleanTable[[#This Row],[Profit]]&lt;0), "Discount loss", "Safe")</f>
        <v>Safe</v>
      </c>
      <c r="AB549" s="25">
        <f>(SalesCleanTable[[#This Row],[Unit Price]] - SalesCleanTable[[#This Row],[Unit Cost]]) / SalesCleanTable[[#This Row],[Unit Price]]</f>
        <v>0.36842105263157893</v>
      </c>
      <c r="AC549" t="str">
        <f>IF(SalesCleanTable[[#This Row],[Discount %]] &gt; SalesCleanTable[[#This Row],[Max Allowed Discount]], "Discount loss", "Safe")</f>
        <v>Safe</v>
      </c>
      <c r="AD549" s="4">
        <f>SalesCleanTable[[#This Row],[Unit Price]] - SalesCleanTable[[#This Row],[Unit Cost]]</f>
        <v>700</v>
      </c>
      <c r="AE549" s="41">
        <f>(SalesCleanTable[[#This Row],[Unit Price]] - SalesCleanTable[[#This Row],[Unit Cost]]) / SalesCleanTable[[#This Row],[Unit Price]]</f>
        <v>0.36842105263157893</v>
      </c>
    </row>
    <row r="550" spans="1:31">
      <c r="A550" t="s">
        <v>736</v>
      </c>
      <c r="B550" s="6">
        <v>45749</v>
      </c>
      <c r="C550" t="s">
        <v>36</v>
      </c>
      <c r="D550" t="s">
        <v>37</v>
      </c>
      <c r="E550" t="s">
        <v>38</v>
      </c>
      <c r="F550" t="s">
        <v>39</v>
      </c>
      <c r="G550" t="s">
        <v>40</v>
      </c>
      <c r="H550" t="s">
        <v>135</v>
      </c>
      <c r="I550" t="s">
        <v>136</v>
      </c>
      <c r="J550" t="s">
        <v>137</v>
      </c>
      <c r="K550" t="s">
        <v>138</v>
      </c>
      <c r="L550" t="s">
        <v>166</v>
      </c>
      <c r="M550" t="s">
        <v>171</v>
      </c>
      <c r="N550">
        <v>4</v>
      </c>
      <c r="O550" s="4">
        <v>1650</v>
      </c>
      <c r="P550" s="4">
        <v>2200</v>
      </c>
      <c r="Q550" s="7">
        <v>0.1</v>
      </c>
      <c r="R550" t="s">
        <v>175</v>
      </c>
      <c r="S550">
        <v>12</v>
      </c>
      <c r="T550">
        <v>8800</v>
      </c>
      <c r="U550">
        <v>880</v>
      </c>
      <c r="V550">
        <v>7920</v>
      </c>
      <c r="W550">
        <v>6600</v>
      </c>
      <c r="X550">
        <v>1320</v>
      </c>
      <c r="Y550" s="8">
        <v>0.16666666666666666</v>
      </c>
      <c r="Z550" t="s">
        <v>2995</v>
      </c>
      <c r="AA550" t="str">
        <f>IF(AND(SalesCleanTable[[#This Row],[Discount %]]&gt;0, SalesCleanTable[[#This Row],[Profit]]&lt;0), "Discount loss", "Safe")</f>
        <v>Safe</v>
      </c>
      <c r="AB550" s="25">
        <f>(SalesCleanTable[[#This Row],[Unit Price]] - SalesCleanTable[[#This Row],[Unit Cost]]) / SalesCleanTable[[#This Row],[Unit Price]]</f>
        <v>0.25</v>
      </c>
      <c r="AC550" t="str">
        <f>IF(SalesCleanTable[[#This Row],[Discount %]] &gt; SalesCleanTable[[#This Row],[Max Allowed Discount]], "Discount loss", "Safe")</f>
        <v>Safe</v>
      </c>
      <c r="AD550" s="4">
        <f>SalesCleanTable[[#This Row],[Unit Price]] - SalesCleanTable[[#This Row],[Unit Cost]]</f>
        <v>550</v>
      </c>
      <c r="AE550" s="41">
        <f>(SalesCleanTable[[#This Row],[Unit Price]] - SalesCleanTable[[#This Row],[Unit Cost]]) / SalesCleanTable[[#This Row],[Unit Price]]</f>
        <v>0.25</v>
      </c>
    </row>
    <row r="551" spans="1:31">
      <c r="A551" t="s">
        <v>737</v>
      </c>
      <c r="B551" s="6">
        <v>45676</v>
      </c>
      <c r="C551" t="s">
        <v>29</v>
      </c>
      <c r="D551" t="s">
        <v>30</v>
      </c>
      <c r="E551" t="s">
        <v>26</v>
      </c>
      <c r="F551" t="s">
        <v>27</v>
      </c>
      <c r="G551" t="s">
        <v>31</v>
      </c>
      <c r="H551" t="s">
        <v>135</v>
      </c>
      <c r="I551" t="s">
        <v>136</v>
      </c>
      <c r="J551" t="s">
        <v>137</v>
      </c>
      <c r="K551" t="s">
        <v>138</v>
      </c>
      <c r="L551" t="s">
        <v>166</v>
      </c>
      <c r="M551" t="s">
        <v>186</v>
      </c>
      <c r="N551">
        <v>2</v>
      </c>
      <c r="O551" s="4">
        <v>6200</v>
      </c>
      <c r="P551" s="4">
        <v>7900</v>
      </c>
      <c r="Q551" s="7">
        <v>0.05</v>
      </c>
      <c r="R551" t="s">
        <v>173</v>
      </c>
      <c r="S551">
        <v>2</v>
      </c>
      <c r="T551">
        <v>15800</v>
      </c>
      <c r="U551">
        <v>790</v>
      </c>
      <c r="V551">
        <v>15010</v>
      </c>
      <c r="W551">
        <v>12400</v>
      </c>
      <c r="X551">
        <v>2610</v>
      </c>
      <c r="Y551" s="8">
        <v>0.17388407728181213</v>
      </c>
      <c r="Z551" t="s">
        <v>2996</v>
      </c>
      <c r="AA551" t="str">
        <f>IF(AND(SalesCleanTable[[#This Row],[Discount %]]&gt;0, SalesCleanTable[[#This Row],[Profit]]&lt;0), "Discount loss", "Safe")</f>
        <v>Safe</v>
      </c>
      <c r="AB551" s="25">
        <f>(SalesCleanTable[[#This Row],[Unit Price]] - SalesCleanTable[[#This Row],[Unit Cost]]) / SalesCleanTable[[#This Row],[Unit Price]]</f>
        <v>0.21518987341772153</v>
      </c>
      <c r="AC551" t="str">
        <f>IF(SalesCleanTable[[#This Row],[Discount %]] &gt; SalesCleanTable[[#This Row],[Max Allowed Discount]], "Discount loss", "Safe")</f>
        <v>Safe</v>
      </c>
      <c r="AD551" s="4">
        <f>SalesCleanTable[[#This Row],[Unit Price]] - SalesCleanTable[[#This Row],[Unit Cost]]</f>
        <v>1700</v>
      </c>
      <c r="AE551" s="41">
        <f>(SalesCleanTable[[#This Row],[Unit Price]] - SalesCleanTable[[#This Row],[Unit Cost]]) / SalesCleanTable[[#This Row],[Unit Price]]</f>
        <v>0.21518987341772153</v>
      </c>
    </row>
    <row r="552" spans="1:31">
      <c r="A552" t="s">
        <v>738</v>
      </c>
      <c r="B552" s="6">
        <v>45726</v>
      </c>
      <c r="C552" t="s">
        <v>32</v>
      </c>
      <c r="D552" t="s">
        <v>33</v>
      </c>
      <c r="E552" t="s">
        <v>26</v>
      </c>
      <c r="F552" t="s">
        <v>34</v>
      </c>
      <c r="G552" t="s">
        <v>35</v>
      </c>
      <c r="H552" t="s">
        <v>149</v>
      </c>
      <c r="I552" t="s">
        <v>150</v>
      </c>
      <c r="J552" t="s">
        <v>151</v>
      </c>
      <c r="K552" t="s">
        <v>152</v>
      </c>
      <c r="L552" t="s">
        <v>166</v>
      </c>
      <c r="M552" t="s">
        <v>167</v>
      </c>
      <c r="N552">
        <v>2</v>
      </c>
      <c r="O552" s="4">
        <v>7800</v>
      </c>
      <c r="P552" s="4">
        <v>9800</v>
      </c>
      <c r="Q552" s="7">
        <v>0.05</v>
      </c>
      <c r="R552" t="s">
        <v>197</v>
      </c>
      <c r="S552">
        <v>2</v>
      </c>
      <c r="T552">
        <v>19600</v>
      </c>
      <c r="U552">
        <v>980</v>
      </c>
      <c r="V552">
        <v>18620</v>
      </c>
      <c r="W552">
        <v>15600</v>
      </c>
      <c r="X552">
        <v>3020</v>
      </c>
      <c r="Y552" s="8">
        <v>0.16219119226638024</v>
      </c>
      <c r="Z552" t="s">
        <v>2995</v>
      </c>
      <c r="AA552" t="str">
        <f>IF(AND(SalesCleanTable[[#This Row],[Discount %]]&gt;0, SalesCleanTable[[#This Row],[Profit]]&lt;0), "Discount loss", "Safe")</f>
        <v>Safe</v>
      </c>
      <c r="AB552" s="25">
        <f>(SalesCleanTable[[#This Row],[Unit Price]] - SalesCleanTable[[#This Row],[Unit Cost]]) / SalesCleanTable[[#This Row],[Unit Price]]</f>
        <v>0.20408163265306123</v>
      </c>
      <c r="AC552" t="str">
        <f>IF(SalesCleanTable[[#This Row],[Discount %]] &gt; SalesCleanTable[[#This Row],[Max Allowed Discount]], "Discount loss", "Safe")</f>
        <v>Safe</v>
      </c>
      <c r="AD552" s="4">
        <f>SalesCleanTable[[#This Row],[Unit Price]] - SalesCleanTable[[#This Row],[Unit Cost]]</f>
        <v>2000</v>
      </c>
      <c r="AE552" s="41">
        <f>(SalesCleanTable[[#This Row],[Unit Price]] - SalesCleanTable[[#This Row],[Unit Cost]]) / SalesCleanTable[[#This Row],[Unit Price]]</f>
        <v>0.20408163265306123</v>
      </c>
    </row>
    <row r="553" spans="1:31">
      <c r="A553" t="s">
        <v>739</v>
      </c>
      <c r="B553" s="6">
        <v>45980</v>
      </c>
      <c r="C553" t="s">
        <v>57</v>
      </c>
      <c r="D553" t="s">
        <v>58</v>
      </c>
      <c r="E553" t="s">
        <v>59</v>
      </c>
      <c r="F553" t="s">
        <v>60</v>
      </c>
      <c r="G553" t="s">
        <v>61</v>
      </c>
      <c r="H553" t="s">
        <v>128</v>
      </c>
      <c r="I553" t="s">
        <v>129</v>
      </c>
      <c r="J553" t="s">
        <v>130</v>
      </c>
      <c r="K553" t="s">
        <v>131</v>
      </c>
      <c r="L553" t="s">
        <v>183</v>
      </c>
      <c r="M553" t="s">
        <v>171</v>
      </c>
      <c r="N553">
        <v>4</v>
      </c>
      <c r="O553" s="4">
        <v>2400</v>
      </c>
      <c r="P553" s="4">
        <v>3400</v>
      </c>
      <c r="Q553" s="7">
        <v>0.1</v>
      </c>
      <c r="R553" t="s">
        <v>204</v>
      </c>
      <c r="S553">
        <v>10</v>
      </c>
      <c r="T553">
        <v>13600</v>
      </c>
      <c r="U553">
        <v>1360</v>
      </c>
      <c r="V553">
        <v>12240</v>
      </c>
      <c r="W553">
        <v>9600</v>
      </c>
      <c r="X553">
        <v>2640</v>
      </c>
      <c r="Y553" s="8">
        <v>0.21568627450980393</v>
      </c>
      <c r="Z553" t="s">
        <v>2996</v>
      </c>
      <c r="AA553" t="str">
        <f>IF(AND(SalesCleanTable[[#This Row],[Discount %]]&gt;0, SalesCleanTable[[#This Row],[Profit]]&lt;0), "Discount loss", "Safe")</f>
        <v>Safe</v>
      </c>
      <c r="AB553" s="25">
        <f>(SalesCleanTable[[#This Row],[Unit Price]] - SalesCleanTable[[#This Row],[Unit Cost]]) / SalesCleanTable[[#This Row],[Unit Price]]</f>
        <v>0.29411764705882354</v>
      </c>
      <c r="AC553" t="str">
        <f>IF(SalesCleanTable[[#This Row],[Discount %]] &gt; SalesCleanTable[[#This Row],[Max Allowed Discount]], "Discount loss", "Safe")</f>
        <v>Safe</v>
      </c>
      <c r="AD553" s="4">
        <f>SalesCleanTable[[#This Row],[Unit Price]] - SalesCleanTable[[#This Row],[Unit Cost]]</f>
        <v>1000</v>
      </c>
      <c r="AE553" s="41">
        <f>(SalesCleanTable[[#This Row],[Unit Price]] - SalesCleanTable[[#This Row],[Unit Cost]]) / SalesCleanTable[[#This Row],[Unit Price]]</f>
        <v>0.29411764705882354</v>
      </c>
    </row>
    <row r="554" spans="1:31">
      <c r="A554" t="s">
        <v>740</v>
      </c>
      <c r="B554" s="6">
        <v>45790</v>
      </c>
      <c r="C554" t="s">
        <v>57</v>
      </c>
      <c r="D554" t="s">
        <v>58</v>
      </c>
      <c r="E554" t="s">
        <v>59</v>
      </c>
      <c r="F554" t="s">
        <v>60</v>
      </c>
      <c r="G554" t="s">
        <v>61</v>
      </c>
      <c r="H554" t="s">
        <v>153</v>
      </c>
      <c r="I554" t="s">
        <v>154</v>
      </c>
      <c r="J554" t="s">
        <v>155</v>
      </c>
      <c r="K554" t="s">
        <v>131</v>
      </c>
      <c r="L554" t="s">
        <v>166</v>
      </c>
      <c r="M554" t="s">
        <v>186</v>
      </c>
      <c r="N554">
        <v>2</v>
      </c>
      <c r="O554" s="4">
        <v>2400</v>
      </c>
      <c r="P554" s="4">
        <v>3400</v>
      </c>
      <c r="Q554" s="7">
        <v>0</v>
      </c>
      <c r="R554" t="s">
        <v>173</v>
      </c>
      <c r="S554">
        <v>8</v>
      </c>
      <c r="T554">
        <v>6800</v>
      </c>
      <c r="U554">
        <v>0</v>
      </c>
      <c r="V554">
        <v>6800</v>
      </c>
      <c r="W554">
        <v>4800</v>
      </c>
      <c r="X554">
        <v>2000</v>
      </c>
      <c r="Y554" s="8">
        <v>0.29411764705882354</v>
      </c>
      <c r="Z554" t="s">
        <v>2996</v>
      </c>
      <c r="AA554" t="str">
        <f>IF(AND(SalesCleanTable[[#This Row],[Discount %]]&gt;0, SalesCleanTable[[#This Row],[Profit]]&lt;0), "Discount loss", "Safe")</f>
        <v>Safe</v>
      </c>
      <c r="AB554" s="25">
        <f>(SalesCleanTable[[#This Row],[Unit Price]] - SalesCleanTable[[#This Row],[Unit Cost]]) / SalesCleanTable[[#This Row],[Unit Price]]</f>
        <v>0.29411764705882354</v>
      </c>
      <c r="AC554" t="str">
        <f>IF(SalesCleanTable[[#This Row],[Discount %]] &gt; SalesCleanTable[[#This Row],[Max Allowed Discount]], "Discount loss", "Safe")</f>
        <v>Safe</v>
      </c>
      <c r="AD554" s="4">
        <f>SalesCleanTable[[#This Row],[Unit Price]] - SalesCleanTable[[#This Row],[Unit Cost]]</f>
        <v>1000</v>
      </c>
      <c r="AE554" s="41">
        <f>(SalesCleanTable[[#This Row],[Unit Price]] - SalesCleanTable[[#This Row],[Unit Cost]]) / SalesCleanTable[[#This Row],[Unit Price]]</f>
        <v>0.29411764705882354</v>
      </c>
    </row>
    <row r="555" spans="1:31">
      <c r="A555" t="s">
        <v>741</v>
      </c>
      <c r="B555" s="6">
        <v>45750</v>
      </c>
      <c r="C555" t="s">
        <v>103</v>
      </c>
      <c r="D555" t="s">
        <v>104</v>
      </c>
      <c r="E555" t="s">
        <v>92</v>
      </c>
      <c r="F555" t="s">
        <v>105</v>
      </c>
      <c r="G555" t="s">
        <v>106</v>
      </c>
      <c r="H555" t="s">
        <v>133</v>
      </c>
      <c r="I555" t="s">
        <v>134</v>
      </c>
      <c r="J555" t="s">
        <v>130</v>
      </c>
      <c r="K555" t="s">
        <v>131</v>
      </c>
      <c r="L555" t="s">
        <v>166</v>
      </c>
      <c r="M555" t="s">
        <v>186</v>
      </c>
      <c r="N555">
        <v>2</v>
      </c>
      <c r="O555" s="4">
        <v>1500</v>
      </c>
      <c r="P555" s="4">
        <v>2500</v>
      </c>
      <c r="Q555" s="7">
        <v>0</v>
      </c>
      <c r="R555" t="s">
        <v>181</v>
      </c>
      <c r="S555">
        <v>12</v>
      </c>
      <c r="T555">
        <v>5000</v>
      </c>
      <c r="U555">
        <v>0</v>
      </c>
      <c r="V555">
        <v>5000</v>
      </c>
      <c r="W555">
        <v>3000</v>
      </c>
      <c r="X555">
        <v>2000</v>
      </c>
      <c r="Y555" s="8">
        <v>0.4</v>
      </c>
      <c r="Z555" t="s">
        <v>2996</v>
      </c>
      <c r="AA555" t="str">
        <f>IF(AND(SalesCleanTable[[#This Row],[Discount %]]&gt;0, SalesCleanTable[[#This Row],[Profit]]&lt;0), "Discount loss", "Safe")</f>
        <v>Safe</v>
      </c>
      <c r="AB555" s="25">
        <f>(SalesCleanTable[[#This Row],[Unit Price]] - SalesCleanTable[[#This Row],[Unit Cost]]) / SalesCleanTable[[#This Row],[Unit Price]]</f>
        <v>0.4</v>
      </c>
      <c r="AC555" t="str">
        <f>IF(SalesCleanTable[[#This Row],[Discount %]] &gt; SalesCleanTable[[#This Row],[Max Allowed Discount]], "Discount loss", "Safe")</f>
        <v>Safe</v>
      </c>
      <c r="AD555" s="4">
        <f>SalesCleanTable[[#This Row],[Unit Price]] - SalesCleanTable[[#This Row],[Unit Cost]]</f>
        <v>1000</v>
      </c>
      <c r="AE555" s="41">
        <f>(SalesCleanTable[[#This Row],[Unit Price]] - SalesCleanTable[[#This Row],[Unit Cost]]) / SalesCleanTable[[#This Row],[Unit Price]]</f>
        <v>0.4</v>
      </c>
    </row>
    <row r="556" spans="1:31">
      <c r="A556" t="s">
        <v>742</v>
      </c>
      <c r="B556" s="6">
        <v>45973</v>
      </c>
      <c r="C556" t="s">
        <v>120</v>
      </c>
      <c r="D556" t="s">
        <v>121</v>
      </c>
      <c r="E556" t="s">
        <v>109</v>
      </c>
      <c r="F556" t="s">
        <v>93</v>
      </c>
      <c r="G556" t="s">
        <v>122</v>
      </c>
      <c r="H556" t="s">
        <v>135</v>
      </c>
      <c r="I556" t="s">
        <v>136</v>
      </c>
      <c r="J556" t="s">
        <v>137</v>
      </c>
      <c r="K556" t="s">
        <v>138</v>
      </c>
      <c r="L556" t="s">
        <v>183</v>
      </c>
      <c r="M556" t="s">
        <v>177</v>
      </c>
      <c r="N556">
        <v>2</v>
      </c>
      <c r="O556" s="4">
        <v>1700</v>
      </c>
      <c r="P556" s="4">
        <v>2800</v>
      </c>
      <c r="Q556" s="7">
        <v>0.15</v>
      </c>
      <c r="R556" t="s">
        <v>235</v>
      </c>
      <c r="S556">
        <v>12</v>
      </c>
      <c r="T556">
        <v>5600</v>
      </c>
      <c r="U556">
        <v>840</v>
      </c>
      <c r="V556">
        <v>4760</v>
      </c>
      <c r="W556">
        <v>3400</v>
      </c>
      <c r="X556">
        <v>1360</v>
      </c>
      <c r="Y556" s="8">
        <v>0.2857142857142857</v>
      </c>
      <c r="Z556" t="s">
        <v>2997</v>
      </c>
      <c r="AA556" t="str">
        <f>IF(AND(SalesCleanTable[[#This Row],[Discount %]]&gt;0, SalesCleanTable[[#This Row],[Profit]]&lt;0), "Discount loss", "Safe")</f>
        <v>Safe</v>
      </c>
      <c r="AB556" s="25">
        <f>(SalesCleanTable[[#This Row],[Unit Price]] - SalesCleanTable[[#This Row],[Unit Cost]]) / SalesCleanTable[[#This Row],[Unit Price]]</f>
        <v>0.39285714285714285</v>
      </c>
      <c r="AC556" t="str">
        <f>IF(SalesCleanTable[[#This Row],[Discount %]] &gt; SalesCleanTable[[#This Row],[Max Allowed Discount]], "Discount loss", "Safe")</f>
        <v>Safe</v>
      </c>
      <c r="AD556" s="4">
        <f>SalesCleanTable[[#This Row],[Unit Price]] - SalesCleanTable[[#This Row],[Unit Cost]]</f>
        <v>1100</v>
      </c>
      <c r="AE556" s="41">
        <f>(SalesCleanTable[[#This Row],[Unit Price]] - SalesCleanTable[[#This Row],[Unit Cost]]) / SalesCleanTable[[#This Row],[Unit Price]]</f>
        <v>0.39285714285714285</v>
      </c>
    </row>
    <row r="557" spans="1:31">
      <c r="A557" t="s">
        <v>743</v>
      </c>
      <c r="B557" s="6">
        <v>45692</v>
      </c>
      <c r="C557" t="s">
        <v>45</v>
      </c>
      <c r="D557" t="s">
        <v>46</v>
      </c>
      <c r="E557" t="s">
        <v>38</v>
      </c>
      <c r="F557" t="s">
        <v>47</v>
      </c>
      <c r="G557" t="s">
        <v>48</v>
      </c>
      <c r="H557" t="s">
        <v>139</v>
      </c>
      <c r="I557" t="s">
        <v>140</v>
      </c>
      <c r="J557" t="s">
        <v>137</v>
      </c>
      <c r="K557" t="s">
        <v>138</v>
      </c>
      <c r="L557" t="s">
        <v>183</v>
      </c>
      <c r="M557" t="s">
        <v>186</v>
      </c>
      <c r="N557">
        <v>2</v>
      </c>
      <c r="O557" s="4">
        <v>230</v>
      </c>
      <c r="P557" s="4">
        <v>400</v>
      </c>
      <c r="Q557" s="7">
        <v>0</v>
      </c>
      <c r="R557" t="s">
        <v>168</v>
      </c>
      <c r="S557">
        <v>10</v>
      </c>
      <c r="T557">
        <v>800</v>
      </c>
      <c r="U557">
        <v>0</v>
      </c>
      <c r="V557">
        <v>800</v>
      </c>
      <c r="W557">
        <v>460</v>
      </c>
      <c r="X557">
        <v>340</v>
      </c>
      <c r="Y557" s="8">
        <v>0.42499999999999999</v>
      </c>
      <c r="Z557" t="s">
        <v>2995</v>
      </c>
      <c r="AA557" t="str">
        <f>IF(AND(SalesCleanTable[[#This Row],[Discount %]]&gt;0, SalesCleanTable[[#This Row],[Profit]]&lt;0), "Discount loss", "Safe")</f>
        <v>Safe</v>
      </c>
      <c r="AB557" s="25">
        <f>(SalesCleanTable[[#This Row],[Unit Price]] - SalesCleanTable[[#This Row],[Unit Cost]]) / SalesCleanTable[[#This Row],[Unit Price]]</f>
        <v>0.42499999999999999</v>
      </c>
      <c r="AC557" t="str">
        <f>IF(SalesCleanTable[[#This Row],[Discount %]] &gt; SalesCleanTable[[#This Row],[Max Allowed Discount]], "Discount loss", "Safe")</f>
        <v>Safe</v>
      </c>
      <c r="AD557" s="4">
        <f>SalesCleanTable[[#This Row],[Unit Price]] - SalesCleanTable[[#This Row],[Unit Cost]]</f>
        <v>170</v>
      </c>
      <c r="AE557" s="41">
        <f>(SalesCleanTable[[#This Row],[Unit Price]] - SalesCleanTable[[#This Row],[Unit Cost]]) / SalesCleanTable[[#This Row],[Unit Price]]</f>
        <v>0.42499999999999999</v>
      </c>
    </row>
    <row r="558" spans="1:31">
      <c r="A558" t="s">
        <v>744</v>
      </c>
      <c r="B558" s="6">
        <v>45672</v>
      </c>
      <c r="C558" t="s">
        <v>99</v>
      </c>
      <c r="D558" t="s">
        <v>100</v>
      </c>
      <c r="E558" t="s">
        <v>92</v>
      </c>
      <c r="F558" t="s">
        <v>101</v>
      </c>
      <c r="G558" t="s">
        <v>102</v>
      </c>
      <c r="H558" t="s">
        <v>133</v>
      </c>
      <c r="I558" t="s">
        <v>134</v>
      </c>
      <c r="J558" t="s">
        <v>130</v>
      </c>
      <c r="K558" t="s">
        <v>131</v>
      </c>
      <c r="L558" t="s">
        <v>166</v>
      </c>
      <c r="M558" t="s">
        <v>186</v>
      </c>
      <c r="N558">
        <v>5</v>
      </c>
      <c r="O558" s="4">
        <v>12500</v>
      </c>
      <c r="P558" s="4">
        <v>18500</v>
      </c>
      <c r="Q558" s="7">
        <v>0.2</v>
      </c>
      <c r="R558" t="s">
        <v>181</v>
      </c>
      <c r="S558">
        <v>11</v>
      </c>
      <c r="T558">
        <v>92500</v>
      </c>
      <c r="U558">
        <v>18500</v>
      </c>
      <c r="V558">
        <v>74000</v>
      </c>
      <c r="W558">
        <v>62500</v>
      </c>
      <c r="X558">
        <v>11500</v>
      </c>
      <c r="Y558" s="8">
        <v>0.1554054054054054</v>
      </c>
      <c r="Z558" t="s">
        <v>2995</v>
      </c>
      <c r="AA558" t="str">
        <f>IF(AND(SalesCleanTable[[#This Row],[Discount %]]&gt;0, SalesCleanTable[[#This Row],[Profit]]&lt;0), "Discount loss", "Safe")</f>
        <v>Safe</v>
      </c>
      <c r="AB558" s="25">
        <f>(SalesCleanTable[[#This Row],[Unit Price]] - SalesCleanTable[[#This Row],[Unit Cost]]) / SalesCleanTable[[#This Row],[Unit Price]]</f>
        <v>0.32432432432432434</v>
      </c>
      <c r="AC558" t="str">
        <f>IF(SalesCleanTable[[#This Row],[Discount %]] &gt; SalesCleanTable[[#This Row],[Max Allowed Discount]], "Discount loss", "Safe")</f>
        <v>Safe</v>
      </c>
      <c r="AD558" s="4">
        <f>SalesCleanTable[[#This Row],[Unit Price]] - SalesCleanTable[[#This Row],[Unit Cost]]</f>
        <v>6000</v>
      </c>
      <c r="AE558" s="41">
        <f>(SalesCleanTable[[#This Row],[Unit Price]] - SalesCleanTable[[#This Row],[Unit Cost]]) / SalesCleanTable[[#This Row],[Unit Price]]</f>
        <v>0.32432432432432434</v>
      </c>
    </row>
    <row r="559" spans="1:31">
      <c r="A559" t="s">
        <v>745</v>
      </c>
      <c r="B559" s="6">
        <v>45737</v>
      </c>
      <c r="C559" t="s">
        <v>73</v>
      </c>
      <c r="D559" t="s">
        <v>74</v>
      </c>
      <c r="E559" t="s">
        <v>75</v>
      </c>
      <c r="F559" t="s">
        <v>76</v>
      </c>
      <c r="G559" t="s">
        <v>77</v>
      </c>
      <c r="H559" t="s">
        <v>149</v>
      </c>
      <c r="I559" t="s">
        <v>150</v>
      </c>
      <c r="J559" t="s">
        <v>151</v>
      </c>
      <c r="K559" t="s">
        <v>152</v>
      </c>
      <c r="L559" t="s">
        <v>183</v>
      </c>
      <c r="M559" t="s">
        <v>186</v>
      </c>
      <c r="N559">
        <v>3</v>
      </c>
      <c r="O559" s="4">
        <v>3500</v>
      </c>
      <c r="P559" s="4">
        <v>5200</v>
      </c>
      <c r="Q559" s="7">
        <v>0.05</v>
      </c>
      <c r="R559" t="s">
        <v>204</v>
      </c>
      <c r="S559">
        <v>1</v>
      </c>
      <c r="T559">
        <v>15600</v>
      </c>
      <c r="U559">
        <v>780</v>
      </c>
      <c r="V559">
        <v>14820</v>
      </c>
      <c r="W559">
        <v>10500</v>
      </c>
      <c r="X559">
        <v>4320</v>
      </c>
      <c r="Y559" s="8">
        <v>0.291497975708502</v>
      </c>
      <c r="Z559" t="s">
        <v>2996</v>
      </c>
      <c r="AA559" t="str">
        <f>IF(AND(SalesCleanTable[[#This Row],[Discount %]]&gt;0, SalesCleanTable[[#This Row],[Profit]]&lt;0), "Discount loss", "Safe")</f>
        <v>Safe</v>
      </c>
      <c r="AB559" s="25">
        <f>(SalesCleanTable[[#This Row],[Unit Price]] - SalesCleanTable[[#This Row],[Unit Cost]]) / SalesCleanTable[[#This Row],[Unit Price]]</f>
        <v>0.32692307692307693</v>
      </c>
      <c r="AC559" t="str">
        <f>IF(SalesCleanTable[[#This Row],[Discount %]] &gt; SalesCleanTable[[#This Row],[Max Allowed Discount]], "Discount loss", "Safe")</f>
        <v>Safe</v>
      </c>
      <c r="AD559" s="4">
        <f>SalesCleanTable[[#This Row],[Unit Price]] - SalesCleanTable[[#This Row],[Unit Cost]]</f>
        <v>1700</v>
      </c>
      <c r="AE559" s="41">
        <f>(SalesCleanTable[[#This Row],[Unit Price]] - SalesCleanTable[[#This Row],[Unit Cost]]) / SalesCleanTable[[#This Row],[Unit Price]]</f>
        <v>0.32692307692307693</v>
      </c>
    </row>
    <row r="560" spans="1:31">
      <c r="A560" t="s">
        <v>746</v>
      </c>
      <c r="B560" s="6">
        <v>45811</v>
      </c>
      <c r="C560" t="s">
        <v>62</v>
      </c>
      <c r="D560" t="s">
        <v>63</v>
      </c>
      <c r="E560" t="s">
        <v>59</v>
      </c>
      <c r="F560" t="s">
        <v>64</v>
      </c>
      <c r="G560" t="s">
        <v>65</v>
      </c>
      <c r="H560" t="s">
        <v>141</v>
      </c>
      <c r="I560" t="s">
        <v>142</v>
      </c>
      <c r="J560" t="s">
        <v>143</v>
      </c>
      <c r="K560" t="s">
        <v>144</v>
      </c>
      <c r="L560" t="s">
        <v>166</v>
      </c>
      <c r="M560" t="s">
        <v>186</v>
      </c>
      <c r="N560">
        <v>3</v>
      </c>
      <c r="O560" s="4">
        <v>3200</v>
      </c>
      <c r="P560" s="4">
        <v>4500</v>
      </c>
      <c r="Q560" s="7">
        <v>0</v>
      </c>
      <c r="R560" t="s">
        <v>204</v>
      </c>
      <c r="S560">
        <v>2</v>
      </c>
      <c r="T560">
        <v>13500</v>
      </c>
      <c r="U560">
        <v>0</v>
      </c>
      <c r="V560">
        <v>13500</v>
      </c>
      <c r="W560">
        <v>9600</v>
      </c>
      <c r="X560">
        <v>3900</v>
      </c>
      <c r="Y560" s="8">
        <v>0.28888888888888886</v>
      </c>
      <c r="Z560" t="s">
        <v>2996</v>
      </c>
      <c r="AA560" t="str">
        <f>IF(AND(SalesCleanTable[[#This Row],[Discount %]]&gt;0, SalesCleanTable[[#This Row],[Profit]]&lt;0), "Discount loss", "Safe")</f>
        <v>Safe</v>
      </c>
      <c r="AB560" s="25">
        <f>(SalesCleanTable[[#This Row],[Unit Price]] - SalesCleanTable[[#This Row],[Unit Cost]]) / SalesCleanTable[[#This Row],[Unit Price]]</f>
        <v>0.28888888888888886</v>
      </c>
      <c r="AC560" t="str">
        <f>IF(SalesCleanTable[[#This Row],[Discount %]] &gt; SalesCleanTable[[#This Row],[Max Allowed Discount]], "Discount loss", "Safe")</f>
        <v>Safe</v>
      </c>
      <c r="AD560" s="4">
        <f>SalesCleanTable[[#This Row],[Unit Price]] - SalesCleanTable[[#This Row],[Unit Cost]]</f>
        <v>1300</v>
      </c>
      <c r="AE560" s="41">
        <f>(SalesCleanTable[[#This Row],[Unit Price]] - SalesCleanTable[[#This Row],[Unit Cost]]) / SalesCleanTable[[#This Row],[Unit Price]]</f>
        <v>0.28888888888888886</v>
      </c>
    </row>
    <row r="561" spans="1:31">
      <c r="A561" t="s">
        <v>747</v>
      </c>
      <c r="B561" s="6">
        <v>45801</v>
      </c>
      <c r="C561" t="s">
        <v>99</v>
      </c>
      <c r="D561" t="s">
        <v>100</v>
      </c>
      <c r="E561" t="s">
        <v>92</v>
      </c>
      <c r="F561" t="s">
        <v>101</v>
      </c>
      <c r="G561" t="s">
        <v>102</v>
      </c>
      <c r="H561" t="s">
        <v>135</v>
      </c>
      <c r="I561" t="s">
        <v>136</v>
      </c>
      <c r="J561" t="s">
        <v>137</v>
      </c>
      <c r="K561" t="s">
        <v>138</v>
      </c>
      <c r="L561" t="s">
        <v>166</v>
      </c>
      <c r="M561" t="s">
        <v>171</v>
      </c>
      <c r="N561">
        <v>2</v>
      </c>
      <c r="O561" s="4">
        <v>12500</v>
      </c>
      <c r="P561" s="4">
        <v>18500</v>
      </c>
      <c r="Q561" s="7">
        <v>0.05</v>
      </c>
      <c r="R561" t="s">
        <v>181</v>
      </c>
      <c r="S561">
        <v>10</v>
      </c>
      <c r="T561">
        <v>37000</v>
      </c>
      <c r="U561">
        <v>1850</v>
      </c>
      <c r="V561">
        <v>35150</v>
      </c>
      <c r="W561">
        <v>25000</v>
      </c>
      <c r="X561">
        <v>10150</v>
      </c>
      <c r="Y561" s="8">
        <v>0.28876244665718348</v>
      </c>
      <c r="Z561" t="s">
        <v>2995</v>
      </c>
      <c r="AA561" t="str">
        <f>IF(AND(SalesCleanTable[[#This Row],[Discount %]]&gt;0, SalesCleanTable[[#This Row],[Profit]]&lt;0), "Discount loss", "Safe")</f>
        <v>Safe</v>
      </c>
      <c r="AB561" s="25">
        <f>(SalesCleanTable[[#This Row],[Unit Price]] - SalesCleanTable[[#This Row],[Unit Cost]]) / SalesCleanTable[[#This Row],[Unit Price]]</f>
        <v>0.32432432432432434</v>
      </c>
      <c r="AC561" t="str">
        <f>IF(SalesCleanTable[[#This Row],[Discount %]] &gt; SalesCleanTable[[#This Row],[Max Allowed Discount]], "Discount loss", "Safe")</f>
        <v>Safe</v>
      </c>
      <c r="AD561" s="4">
        <f>SalesCleanTable[[#This Row],[Unit Price]] - SalesCleanTable[[#This Row],[Unit Cost]]</f>
        <v>6000</v>
      </c>
      <c r="AE561" s="41">
        <f>(SalesCleanTable[[#This Row],[Unit Price]] - SalesCleanTable[[#This Row],[Unit Cost]]) / SalesCleanTable[[#This Row],[Unit Price]]</f>
        <v>0.32432432432432434</v>
      </c>
    </row>
    <row r="562" spans="1:31">
      <c r="A562" t="s">
        <v>748</v>
      </c>
      <c r="B562" s="6">
        <v>45815</v>
      </c>
      <c r="C562" t="s">
        <v>82</v>
      </c>
      <c r="D562" t="s">
        <v>83</v>
      </c>
      <c r="E562" t="s">
        <v>75</v>
      </c>
      <c r="F562" t="s">
        <v>84</v>
      </c>
      <c r="G562" t="s">
        <v>85</v>
      </c>
      <c r="H562" t="s">
        <v>135</v>
      </c>
      <c r="I562" t="s">
        <v>136</v>
      </c>
      <c r="J562" t="s">
        <v>137</v>
      </c>
      <c r="K562" t="s">
        <v>138</v>
      </c>
      <c r="L562" t="s">
        <v>166</v>
      </c>
      <c r="M562" t="s">
        <v>167</v>
      </c>
      <c r="N562">
        <v>1</v>
      </c>
      <c r="O562" s="4">
        <v>600</v>
      </c>
      <c r="P562" s="4">
        <v>950</v>
      </c>
      <c r="Q562" s="7">
        <v>0.05</v>
      </c>
      <c r="R562" t="s">
        <v>208</v>
      </c>
      <c r="S562">
        <v>14</v>
      </c>
      <c r="T562">
        <v>950</v>
      </c>
      <c r="U562">
        <v>47.5</v>
      </c>
      <c r="V562">
        <v>902.5</v>
      </c>
      <c r="W562">
        <v>600</v>
      </c>
      <c r="X562">
        <v>302.5</v>
      </c>
      <c r="Y562" s="8">
        <v>0.33518005540166207</v>
      </c>
      <c r="Z562" t="s">
        <v>2996</v>
      </c>
      <c r="AA562" t="str">
        <f>IF(AND(SalesCleanTable[[#This Row],[Discount %]]&gt;0, SalesCleanTable[[#This Row],[Profit]]&lt;0), "Discount loss", "Safe")</f>
        <v>Safe</v>
      </c>
      <c r="AB562" s="25">
        <f>(SalesCleanTable[[#This Row],[Unit Price]] - SalesCleanTable[[#This Row],[Unit Cost]]) / SalesCleanTable[[#This Row],[Unit Price]]</f>
        <v>0.36842105263157893</v>
      </c>
      <c r="AC562" t="str">
        <f>IF(SalesCleanTable[[#This Row],[Discount %]] &gt; SalesCleanTable[[#This Row],[Max Allowed Discount]], "Discount loss", "Safe")</f>
        <v>Safe</v>
      </c>
      <c r="AD562" s="4">
        <f>SalesCleanTable[[#This Row],[Unit Price]] - SalesCleanTable[[#This Row],[Unit Cost]]</f>
        <v>350</v>
      </c>
      <c r="AE562" s="41">
        <f>(SalesCleanTable[[#This Row],[Unit Price]] - SalesCleanTable[[#This Row],[Unit Cost]]) / SalesCleanTable[[#This Row],[Unit Price]]</f>
        <v>0.36842105263157893</v>
      </c>
    </row>
    <row r="563" spans="1:31">
      <c r="A563" t="s">
        <v>749</v>
      </c>
      <c r="B563" s="6">
        <v>45768</v>
      </c>
      <c r="C563" t="s">
        <v>57</v>
      </c>
      <c r="D563" t="s">
        <v>58</v>
      </c>
      <c r="E563" t="s">
        <v>59</v>
      </c>
      <c r="F563" t="s">
        <v>60</v>
      </c>
      <c r="G563" t="s">
        <v>61</v>
      </c>
      <c r="H563" t="s">
        <v>133</v>
      </c>
      <c r="I563" t="s">
        <v>134</v>
      </c>
      <c r="J563" t="s">
        <v>130</v>
      </c>
      <c r="K563" t="s">
        <v>131</v>
      </c>
      <c r="L563" t="s">
        <v>166</v>
      </c>
      <c r="M563" t="s">
        <v>177</v>
      </c>
      <c r="N563">
        <v>2</v>
      </c>
      <c r="O563" s="4">
        <v>2400</v>
      </c>
      <c r="P563" s="4">
        <v>3400</v>
      </c>
      <c r="Q563" s="7">
        <v>0</v>
      </c>
      <c r="R563" t="s">
        <v>173</v>
      </c>
      <c r="S563">
        <v>1</v>
      </c>
      <c r="T563">
        <v>6800</v>
      </c>
      <c r="U563">
        <v>0</v>
      </c>
      <c r="V563">
        <v>6800</v>
      </c>
      <c r="W563">
        <v>4800</v>
      </c>
      <c r="X563">
        <v>2000</v>
      </c>
      <c r="Y563" s="8">
        <v>0.29411764705882354</v>
      </c>
      <c r="Z563" t="s">
        <v>2996</v>
      </c>
      <c r="AA563" t="str">
        <f>IF(AND(SalesCleanTable[[#This Row],[Discount %]]&gt;0, SalesCleanTable[[#This Row],[Profit]]&lt;0), "Discount loss", "Safe")</f>
        <v>Safe</v>
      </c>
      <c r="AB563" s="25">
        <f>(SalesCleanTable[[#This Row],[Unit Price]] - SalesCleanTable[[#This Row],[Unit Cost]]) / SalesCleanTable[[#This Row],[Unit Price]]</f>
        <v>0.29411764705882354</v>
      </c>
      <c r="AC563" t="str">
        <f>IF(SalesCleanTable[[#This Row],[Discount %]] &gt; SalesCleanTable[[#This Row],[Max Allowed Discount]], "Discount loss", "Safe")</f>
        <v>Safe</v>
      </c>
      <c r="AD563" s="4">
        <f>SalesCleanTable[[#This Row],[Unit Price]] - SalesCleanTable[[#This Row],[Unit Cost]]</f>
        <v>1000</v>
      </c>
      <c r="AE563" s="41">
        <f>(SalesCleanTable[[#This Row],[Unit Price]] - SalesCleanTable[[#This Row],[Unit Cost]]) / SalesCleanTable[[#This Row],[Unit Price]]</f>
        <v>0.29411764705882354</v>
      </c>
    </row>
    <row r="564" spans="1:31">
      <c r="A564" t="s">
        <v>750</v>
      </c>
      <c r="B564" s="6">
        <v>45914</v>
      </c>
      <c r="C564" t="s">
        <v>36</v>
      </c>
      <c r="D564" t="s">
        <v>37</v>
      </c>
      <c r="E564" t="s">
        <v>38</v>
      </c>
      <c r="F564" t="s">
        <v>39</v>
      </c>
      <c r="G564" t="s">
        <v>40</v>
      </c>
      <c r="H564" t="s">
        <v>135</v>
      </c>
      <c r="I564" t="s">
        <v>136</v>
      </c>
      <c r="J564" t="s">
        <v>137</v>
      </c>
      <c r="K564" t="s">
        <v>138</v>
      </c>
      <c r="L564" t="s">
        <v>166</v>
      </c>
      <c r="M564" t="s">
        <v>186</v>
      </c>
      <c r="N564">
        <v>3</v>
      </c>
      <c r="O564" s="4">
        <v>1650</v>
      </c>
      <c r="P564" s="4">
        <v>2200</v>
      </c>
      <c r="Q564" s="7">
        <v>0.15</v>
      </c>
      <c r="R564" t="s">
        <v>178</v>
      </c>
      <c r="S564">
        <v>14</v>
      </c>
      <c r="T564">
        <v>6600</v>
      </c>
      <c r="U564">
        <v>990</v>
      </c>
      <c r="V564">
        <v>5610</v>
      </c>
      <c r="W564">
        <v>4950</v>
      </c>
      <c r="X564">
        <v>660</v>
      </c>
      <c r="Y564" s="8">
        <v>0.11764705882352941</v>
      </c>
      <c r="Z564" t="s">
        <v>2995</v>
      </c>
      <c r="AA564" t="str">
        <f>IF(AND(SalesCleanTable[[#This Row],[Discount %]]&gt;0, SalesCleanTable[[#This Row],[Profit]]&lt;0), "Discount loss", "Safe")</f>
        <v>Safe</v>
      </c>
      <c r="AB564" s="25">
        <f>(SalesCleanTable[[#This Row],[Unit Price]] - SalesCleanTable[[#This Row],[Unit Cost]]) / SalesCleanTable[[#This Row],[Unit Price]]</f>
        <v>0.25</v>
      </c>
      <c r="AC564" t="str">
        <f>IF(SalesCleanTable[[#This Row],[Discount %]] &gt; SalesCleanTable[[#This Row],[Max Allowed Discount]], "Discount loss", "Safe")</f>
        <v>Safe</v>
      </c>
      <c r="AD564" s="4">
        <f>SalesCleanTable[[#This Row],[Unit Price]] - SalesCleanTable[[#This Row],[Unit Cost]]</f>
        <v>550</v>
      </c>
      <c r="AE564" s="41">
        <f>(SalesCleanTable[[#This Row],[Unit Price]] - SalesCleanTable[[#This Row],[Unit Cost]]) / SalesCleanTable[[#This Row],[Unit Price]]</f>
        <v>0.25</v>
      </c>
    </row>
    <row r="565" spans="1:31">
      <c r="A565" t="s">
        <v>751</v>
      </c>
      <c r="B565" s="6">
        <v>45922</v>
      </c>
      <c r="C565" t="s">
        <v>78</v>
      </c>
      <c r="D565" t="s">
        <v>79</v>
      </c>
      <c r="E565" t="s">
        <v>75</v>
      </c>
      <c r="F565" t="s">
        <v>80</v>
      </c>
      <c r="G565" t="s">
        <v>81</v>
      </c>
      <c r="H565" t="s">
        <v>128</v>
      </c>
      <c r="I565" t="s">
        <v>129</v>
      </c>
      <c r="J565" t="s">
        <v>130</v>
      </c>
      <c r="K565" t="s">
        <v>131</v>
      </c>
      <c r="L565" t="s">
        <v>183</v>
      </c>
      <c r="M565" t="s">
        <v>171</v>
      </c>
      <c r="N565">
        <v>4</v>
      </c>
      <c r="O565" s="4">
        <v>1200</v>
      </c>
      <c r="P565" s="4">
        <v>1900</v>
      </c>
      <c r="Q565" s="7">
        <v>0.05</v>
      </c>
      <c r="R565" t="s">
        <v>187</v>
      </c>
      <c r="S565">
        <v>5</v>
      </c>
      <c r="T565">
        <v>7600</v>
      </c>
      <c r="U565">
        <v>380</v>
      </c>
      <c r="V565">
        <v>7220</v>
      </c>
      <c r="W565">
        <v>4800</v>
      </c>
      <c r="X565">
        <v>2420</v>
      </c>
      <c r="Y565" s="8">
        <v>0.33518005540166207</v>
      </c>
      <c r="Z565" t="s">
        <v>2996</v>
      </c>
      <c r="AA565" t="str">
        <f>IF(AND(SalesCleanTable[[#This Row],[Discount %]]&gt;0, SalesCleanTable[[#This Row],[Profit]]&lt;0), "Discount loss", "Safe")</f>
        <v>Safe</v>
      </c>
      <c r="AB565" s="25">
        <f>(SalesCleanTable[[#This Row],[Unit Price]] - SalesCleanTable[[#This Row],[Unit Cost]]) / SalesCleanTable[[#This Row],[Unit Price]]</f>
        <v>0.36842105263157893</v>
      </c>
      <c r="AC565" t="str">
        <f>IF(SalesCleanTable[[#This Row],[Discount %]] &gt; SalesCleanTable[[#This Row],[Max Allowed Discount]], "Discount loss", "Safe")</f>
        <v>Safe</v>
      </c>
      <c r="AD565" s="4">
        <f>SalesCleanTable[[#This Row],[Unit Price]] - SalesCleanTable[[#This Row],[Unit Cost]]</f>
        <v>700</v>
      </c>
      <c r="AE565" s="41">
        <f>(SalesCleanTable[[#This Row],[Unit Price]] - SalesCleanTable[[#This Row],[Unit Cost]]) / SalesCleanTable[[#This Row],[Unit Price]]</f>
        <v>0.36842105263157893</v>
      </c>
    </row>
    <row r="566" spans="1:31">
      <c r="A566" t="s">
        <v>752</v>
      </c>
      <c r="B566" s="6">
        <v>46009</v>
      </c>
      <c r="C566" t="s">
        <v>103</v>
      </c>
      <c r="D566" t="s">
        <v>104</v>
      </c>
      <c r="E566" t="s">
        <v>92</v>
      </c>
      <c r="F566" t="s">
        <v>105</v>
      </c>
      <c r="G566" t="s">
        <v>106</v>
      </c>
      <c r="H566" t="s">
        <v>149</v>
      </c>
      <c r="I566" t="s">
        <v>150</v>
      </c>
      <c r="J566" t="s">
        <v>151</v>
      </c>
      <c r="K566" t="s">
        <v>152</v>
      </c>
      <c r="L566" t="s">
        <v>166</v>
      </c>
      <c r="M566" t="s">
        <v>171</v>
      </c>
      <c r="N566">
        <v>2</v>
      </c>
      <c r="O566" s="4">
        <v>1500</v>
      </c>
      <c r="P566" s="4">
        <v>2500</v>
      </c>
      <c r="Q566" s="7">
        <v>0.15</v>
      </c>
      <c r="R566" t="s">
        <v>215</v>
      </c>
      <c r="S566">
        <v>5</v>
      </c>
      <c r="T566">
        <v>5000</v>
      </c>
      <c r="U566">
        <v>750</v>
      </c>
      <c r="V566">
        <v>4250</v>
      </c>
      <c r="W566">
        <v>3000</v>
      </c>
      <c r="X566">
        <v>1250</v>
      </c>
      <c r="Y566" s="8">
        <v>0.29411764705882354</v>
      </c>
      <c r="Z566" t="s">
        <v>2996</v>
      </c>
      <c r="AA566" t="str">
        <f>IF(AND(SalesCleanTable[[#This Row],[Discount %]]&gt;0, SalesCleanTable[[#This Row],[Profit]]&lt;0), "Discount loss", "Safe")</f>
        <v>Safe</v>
      </c>
      <c r="AB566" s="25">
        <f>(SalesCleanTable[[#This Row],[Unit Price]] - SalesCleanTable[[#This Row],[Unit Cost]]) / SalesCleanTable[[#This Row],[Unit Price]]</f>
        <v>0.4</v>
      </c>
      <c r="AC566" t="str">
        <f>IF(SalesCleanTable[[#This Row],[Discount %]] &gt; SalesCleanTable[[#This Row],[Max Allowed Discount]], "Discount loss", "Safe")</f>
        <v>Safe</v>
      </c>
      <c r="AD566" s="4">
        <f>SalesCleanTable[[#This Row],[Unit Price]] - SalesCleanTable[[#This Row],[Unit Cost]]</f>
        <v>1000</v>
      </c>
      <c r="AE566" s="41">
        <f>(SalesCleanTable[[#This Row],[Unit Price]] - SalesCleanTable[[#This Row],[Unit Cost]]) / SalesCleanTable[[#This Row],[Unit Price]]</f>
        <v>0.4</v>
      </c>
    </row>
    <row r="567" spans="1:31">
      <c r="A567" t="s">
        <v>753</v>
      </c>
      <c r="B567" s="6">
        <v>45817</v>
      </c>
      <c r="C567" t="s">
        <v>73</v>
      </c>
      <c r="D567" t="s">
        <v>74</v>
      </c>
      <c r="E567" t="s">
        <v>75</v>
      </c>
      <c r="F567" t="s">
        <v>76</v>
      </c>
      <c r="G567" t="s">
        <v>77</v>
      </c>
      <c r="H567" t="s">
        <v>133</v>
      </c>
      <c r="I567" t="s">
        <v>134</v>
      </c>
      <c r="J567" t="s">
        <v>130</v>
      </c>
      <c r="K567" t="s">
        <v>131</v>
      </c>
      <c r="L567" t="s">
        <v>166</v>
      </c>
      <c r="M567" t="s">
        <v>171</v>
      </c>
      <c r="N567">
        <v>1</v>
      </c>
      <c r="O567" s="4">
        <v>3500</v>
      </c>
      <c r="P567" s="4">
        <v>5200</v>
      </c>
      <c r="Q567" s="7">
        <v>0</v>
      </c>
      <c r="R567" t="s">
        <v>204</v>
      </c>
      <c r="S567">
        <v>2</v>
      </c>
      <c r="T567">
        <v>5200</v>
      </c>
      <c r="U567">
        <v>0</v>
      </c>
      <c r="V567">
        <v>5200</v>
      </c>
      <c r="W567">
        <v>3500</v>
      </c>
      <c r="X567">
        <v>1700</v>
      </c>
      <c r="Y567" s="8">
        <v>0.32692307692307693</v>
      </c>
      <c r="Z567" t="s">
        <v>2996</v>
      </c>
      <c r="AA567" t="str">
        <f>IF(AND(SalesCleanTable[[#This Row],[Discount %]]&gt;0, SalesCleanTable[[#This Row],[Profit]]&lt;0), "Discount loss", "Safe")</f>
        <v>Safe</v>
      </c>
      <c r="AB567" s="25">
        <f>(SalesCleanTable[[#This Row],[Unit Price]] - SalesCleanTable[[#This Row],[Unit Cost]]) / SalesCleanTable[[#This Row],[Unit Price]]</f>
        <v>0.32692307692307693</v>
      </c>
      <c r="AC567" t="str">
        <f>IF(SalesCleanTable[[#This Row],[Discount %]] &gt; SalesCleanTable[[#This Row],[Max Allowed Discount]], "Discount loss", "Safe")</f>
        <v>Safe</v>
      </c>
      <c r="AD567" s="4">
        <f>SalesCleanTable[[#This Row],[Unit Price]] - SalesCleanTable[[#This Row],[Unit Cost]]</f>
        <v>1700</v>
      </c>
      <c r="AE567" s="41">
        <f>(SalesCleanTable[[#This Row],[Unit Price]] - SalesCleanTable[[#This Row],[Unit Cost]]) / SalesCleanTable[[#This Row],[Unit Price]]</f>
        <v>0.32692307692307693</v>
      </c>
    </row>
    <row r="568" spans="1:31">
      <c r="A568" t="s">
        <v>754</v>
      </c>
      <c r="B568" s="6">
        <v>45738</v>
      </c>
      <c r="C568" t="s">
        <v>45</v>
      </c>
      <c r="D568" t="s">
        <v>46</v>
      </c>
      <c r="E568" t="s">
        <v>38</v>
      </c>
      <c r="F568" t="s">
        <v>47</v>
      </c>
      <c r="G568" t="s">
        <v>48</v>
      </c>
      <c r="H568" t="s">
        <v>128</v>
      </c>
      <c r="I568" t="s">
        <v>129</v>
      </c>
      <c r="J568" t="s">
        <v>130</v>
      </c>
      <c r="K568" t="s">
        <v>131</v>
      </c>
      <c r="L568" t="s">
        <v>166</v>
      </c>
      <c r="M568" t="s">
        <v>186</v>
      </c>
      <c r="N568">
        <v>3</v>
      </c>
      <c r="O568" s="4">
        <v>230</v>
      </c>
      <c r="P568" s="4">
        <v>400</v>
      </c>
      <c r="Q568" s="7">
        <v>0.05</v>
      </c>
      <c r="R568" t="s">
        <v>175</v>
      </c>
      <c r="S568">
        <v>5</v>
      </c>
      <c r="T568">
        <v>1200</v>
      </c>
      <c r="U568">
        <v>60</v>
      </c>
      <c r="V568">
        <v>1140</v>
      </c>
      <c r="W568">
        <v>690</v>
      </c>
      <c r="X568">
        <v>450</v>
      </c>
      <c r="Y568" s="8">
        <v>0.39473684210526316</v>
      </c>
      <c r="Z568" t="s">
        <v>2995</v>
      </c>
      <c r="AA568" t="str">
        <f>IF(AND(SalesCleanTable[[#This Row],[Discount %]]&gt;0, SalesCleanTable[[#This Row],[Profit]]&lt;0), "Discount loss", "Safe")</f>
        <v>Safe</v>
      </c>
      <c r="AB568" s="25">
        <f>(SalesCleanTable[[#This Row],[Unit Price]] - SalesCleanTable[[#This Row],[Unit Cost]]) / SalesCleanTable[[#This Row],[Unit Price]]</f>
        <v>0.42499999999999999</v>
      </c>
      <c r="AC568" t="str">
        <f>IF(SalesCleanTable[[#This Row],[Discount %]] &gt; SalesCleanTable[[#This Row],[Max Allowed Discount]], "Discount loss", "Safe")</f>
        <v>Safe</v>
      </c>
      <c r="AD568" s="4">
        <f>SalesCleanTable[[#This Row],[Unit Price]] - SalesCleanTable[[#This Row],[Unit Cost]]</f>
        <v>170</v>
      </c>
      <c r="AE568" s="41">
        <f>(SalesCleanTable[[#This Row],[Unit Price]] - SalesCleanTable[[#This Row],[Unit Cost]]) / SalesCleanTable[[#This Row],[Unit Price]]</f>
        <v>0.42499999999999999</v>
      </c>
    </row>
    <row r="569" spans="1:31">
      <c r="A569" t="s">
        <v>755</v>
      </c>
      <c r="B569" s="6">
        <v>46018</v>
      </c>
      <c r="C569" t="s">
        <v>95</v>
      </c>
      <c r="D569" t="s">
        <v>96</v>
      </c>
      <c r="E569" t="s">
        <v>92</v>
      </c>
      <c r="F569" t="s">
        <v>97</v>
      </c>
      <c r="G569" t="s">
        <v>98</v>
      </c>
      <c r="H569" t="s">
        <v>139</v>
      </c>
      <c r="I569" t="s">
        <v>140</v>
      </c>
      <c r="J569" t="s">
        <v>137</v>
      </c>
      <c r="K569" t="s">
        <v>138</v>
      </c>
      <c r="L569" t="s">
        <v>183</v>
      </c>
      <c r="M569" t="s">
        <v>171</v>
      </c>
      <c r="N569">
        <v>1</v>
      </c>
      <c r="O569" s="4">
        <v>18000</v>
      </c>
      <c r="P569" s="4">
        <v>24500</v>
      </c>
      <c r="Q569" s="7">
        <v>0.05</v>
      </c>
      <c r="R569" t="s">
        <v>181</v>
      </c>
      <c r="S569">
        <v>3</v>
      </c>
      <c r="T569">
        <v>24500</v>
      </c>
      <c r="U569">
        <v>1225</v>
      </c>
      <c r="V569">
        <v>23275</v>
      </c>
      <c r="W569">
        <v>18000</v>
      </c>
      <c r="X569">
        <v>5275</v>
      </c>
      <c r="Y569" s="8">
        <v>0.22663802363050484</v>
      </c>
      <c r="Z569" t="s">
        <v>2995</v>
      </c>
      <c r="AA569" t="str">
        <f>IF(AND(SalesCleanTable[[#This Row],[Discount %]]&gt;0, SalesCleanTable[[#This Row],[Profit]]&lt;0), "Discount loss", "Safe")</f>
        <v>Safe</v>
      </c>
      <c r="AB569" s="25">
        <f>(SalesCleanTable[[#This Row],[Unit Price]] - SalesCleanTable[[#This Row],[Unit Cost]]) / SalesCleanTable[[#This Row],[Unit Price]]</f>
        <v>0.26530612244897961</v>
      </c>
      <c r="AC569" t="str">
        <f>IF(SalesCleanTable[[#This Row],[Discount %]] &gt; SalesCleanTable[[#This Row],[Max Allowed Discount]], "Discount loss", "Safe")</f>
        <v>Safe</v>
      </c>
      <c r="AD569" s="4">
        <f>SalesCleanTable[[#This Row],[Unit Price]] - SalesCleanTable[[#This Row],[Unit Cost]]</f>
        <v>6500</v>
      </c>
      <c r="AE569" s="41">
        <f>(SalesCleanTable[[#This Row],[Unit Price]] - SalesCleanTable[[#This Row],[Unit Cost]]) / SalesCleanTable[[#This Row],[Unit Price]]</f>
        <v>0.26530612244897961</v>
      </c>
    </row>
    <row r="570" spans="1:31">
      <c r="A570" t="s">
        <v>756</v>
      </c>
      <c r="B570" s="6">
        <v>46003</v>
      </c>
      <c r="C570" t="s">
        <v>24</v>
      </c>
      <c r="D570" t="s">
        <v>25</v>
      </c>
      <c r="E570" t="s">
        <v>26</v>
      </c>
      <c r="F570" t="s">
        <v>27</v>
      </c>
      <c r="G570" t="s">
        <v>28</v>
      </c>
      <c r="H570" t="s">
        <v>135</v>
      </c>
      <c r="I570" t="s">
        <v>136</v>
      </c>
      <c r="J570" t="s">
        <v>137</v>
      </c>
      <c r="K570" t="s">
        <v>138</v>
      </c>
      <c r="L570" t="s">
        <v>183</v>
      </c>
      <c r="M570" t="s">
        <v>171</v>
      </c>
      <c r="N570">
        <v>1</v>
      </c>
      <c r="O570" s="4">
        <v>14500</v>
      </c>
      <c r="P570" s="4">
        <v>17500</v>
      </c>
      <c r="Q570" s="7">
        <v>0.05</v>
      </c>
      <c r="R570" t="s">
        <v>173</v>
      </c>
      <c r="S570">
        <v>14</v>
      </c>
      <c r="T570">
        <v>17500</v>
      </c>
      <c r="U570">
        <v>875</v>
      </c>
      <c r="V570">
        <v>16625</v>
      </c>
      <c r="W570">
        <v>14500</v>
      </c>
      <c r="X570">
        <v>2125</v>
      </c>
      <c r="Y570" s="8">
        <v>0.12781954887218044</v>
      </c>
      <c r="Z570" t="s">
        <v>2995</v>
      </c>
      <c r="AA570" t="str">
        <f>IF(AND(SalesCleanTable[[#This Row],[Discount %]]&gt;0, SalesCleanTable[[#This Row],[Profit]]&lt;0), "Discount loss", "Safe")</f>
        <v>Safe</v>
      </c>
      <c r="AB570" s="25">
        <f>(SalesCleanTable[[#This Row],[Unit Price]] - SalesCleanTable[[#This Row],[Unit Cost]]) / SalesCleanTable[[#This Row],[Unit Price]]</f>
        <v>0.17142857142857143</v>
      </c>
      <c r="AC570" t="str">
        <f>IF(SalesCleanTable[[#This Row],[Discount %]] &gt; SalesCleanTable[[#This Row],[Max Allowed Discount]], "Discount loss", "Safe")</f>
        <v>Safe</v>
      </c>
      <c r="AD570" s="4">
        <f>SalesCleanTable[[#This Row],[Unit Price]] - SalesCleanTable[[#This Row],[Unit Cost]]</f>
        <v>3000</v>
      </c>
      <c r="AE570" s="41">
        <f>(SalesCleanTable[[#This Row],[Unit Price]] - SalesCleanTable[[#This Row],[Unit Cost]]) / SalesCleanTable[[#This Row],[Unit Price]]</f>
        <v>0.17142857142857143</v>
      </c>
    </row>
    <row r="571" spans="1:31">
      <c r="A571" t="s">
        <v>757</v>
      </c>
      <c r="B571" s="6">
        <v>45886</v>
      </c>
      <c r="C571" t="s">
        <v>73</v>
      </c>
      <c r="D571" t="s">
        <v>74</v>
      </c>
      <c r="E571" t="s">
        <v>75</v>
      </c>
      <c r="F571" t="s">
        <v>76</v>
      </c>
      <c r="G571" t="s">
        <v>77</v>
      </c>
      <c r="H571" t="s">
        <v>135</v>
      </c>
      <c r="I571" t="s">
        <v>136</v>
      </c>
      <c r="J571" t="s">
        <v>137</v>
      </c>
      <c r="K571" t="s">
        <v>138</v>
      </c>
      <c r="L571" t="s">
        <v>183</v>
      </c>
      <c r="M571" t="s">
        <v>171</v>
      </c>
      <c r="N571">
        <v>5</v>
      </c>
      <c r="O571" s="4">
        <v>3500</v>
      </c>
      <c r="P571" s="4">
        <v>5200</v>
      </c>
      <c r="Q571" s="7">
        <v>0.1</v>
      </c>
      <c r="R571" t="s">
        <v>208</v>
      </c>
      <c r="S571">
        <v>10</v>
      </c>
      <c r="T571">
        <v>26000</v>
      </c>
      <c r="U571">
        <v>2600</v>
      </c>
      <c r="V571">
        <v>23400</v>
      </c>
      <c r="W571">
        <v>17500</v>
      </c>
      <c r="X571">
        <v>5900</v>
      </c>
      <c r="Y571" s="8">
        <v>0.25213675213675213</v>
      </c>
      <c r="Z571" t="s">
        <v>2996</v>
      </c>
      <c r="AA571" t="str">
        <f>IF(AND(SalesCleanTable[[#This Row],[Discount %]]&gt;0, SalesCleanTable[[#This Row],[Profit]]&lt;0), "Discount loss", "Safe")</f>
        <v>Safe</v>
      </c>
      <c r="AB571" s="25">
        <f>(SalesCleanTable[[#This Row],[Unit Price]] - SalesCleanTable[[#This Row],[Unit Cost]]) / SalesCleanTable[[#This Row],[Unit Price]]</f>
        <v>0.32692307692307693</v>
      </c>
      <c r="AC571" t="str">
        <f>IF(SalesCleanTable[[#This Row],[Discount %]] &gt; SalesCleanTable[[#This Row],[Max Allowed Discount]], "Discount loss", "Safe")</f>
        <v>Safe</v>
      </c>
      <c r="AD571" s="4">
        <f>SalesCleanTable[[#This Row],[Unit Price]] - SalesCleanTable[[#This Row],[Unit Cost]]</f>
        <v>1700</v>
      </c>
      <c r="AE571" s="41">
        <f>(SalesCleanTable[[#This Row],[Unit Price]] - SalesCleanTable[[#This Row],[Unit Cost]]) / SalesCleanTable[[#This Row],[Unit Price]]</f>
        <v>0.32692307692307693</v>
      </c>
    </row>
    <row r="572" spans="1:31">
      <c r="A572" t="s">
        <v>758</v>
      </c>
      <c r="B572" s="6">
        <v>46015</v>
      </c>
      <c r="C572" t="s">
        <v>53</v>
      </c>
      <c r="D572" t="s">
        <v>54</v>
      </c>
      <c r="E572" t="s">
        <v>38</v>
      </c>
      <c r="F572" t="s">
        <v>55</v>
      </c>
      <c r="G572" t="s">
        <v>56</v>
      </c>
      <c r="H572" t="s">
        <v>139</v>
      </c>
      <c r="I572" t="s">
        <v>140</v>
      </c>
      <c r="J572" t="s">
        <v>137</v>
      </c>
      <c r="K572" t="s">
        <v>138</v>
      </c>
      <c r="L572" t="s">
        <v>166</v>
      </c>
      <c r="M572" t="s">
        <v>167</v>
      </c>
      <c r="N572">
        <v>4</v>
      </c>
      <c r="O572" s="4">
        <v>330</v>
      </c>
      <c r="P572" s="4">
        <v>550</v>
      </c>
      <c r="Q572" s="7">
        <v>0.1</v>
      </c>
      <c r="R572" t="s">
        <v>178</v>
      </c>
      <c r="S572">
        <v>3</v>
      </c>
      <c r="T572">
        <v>2200</v>
      </c>
      <c r="U572">
        <v>220</v>
      </c>
      <c r="V572">
        <v>1980</v>
      </c>
      <c r="W572">
        <v>1320</v>
      </c>
      <c r="X572">
        <v>660</v>
      </c>
      <c r="Y572" s="8">
        <v>0.33333333333333331</v>
      </c>
      <c r="Z572" t="s">
        <v>2996</v>
      </c>
      <c r="AA572" t="str">
        <f>IF(AND(SalesCleanTable[[#This Row],[Discount %]]&gt;0, SalesCleanTable[[#This Row],[Profit]]&lt;0), "Discount loss", "Safe")</f>
        <v>Safe</v>
      </c>
      <c r="AB572" s="25">
        <f>(SalesCleanTable[[#This Row],[Unit Price]] - SalesCleanTable[[#This Row],[Unit Cost]]) / SalesCleanTable[[#This Row],[Unit Price]]</f>
        <v>0.4</v>
      </c>
      <c r="AC572" t="str">
        <f>IF(SalesCleanTable[[#This Row],[Discount %]] &gt; SalesCleanTable[[#This Row],[Max Allowed Discount]], "Discount loss", "Safe")</f>
        <v>Safe</v>
      </c>
      <c r="AD572" s="4">
        <f>SalesCleanTable[[#This Row],[Unit Price]] - SalesCleanTable[[#This Row],[Unit Cost]]</f>
        <v>220</v>
      </c>
      <c r="AE572" s="41">
        <f>(SalesCleanTable[[#This Row],[Unit Price]] - SalesCleanTable[[#This Row],[Unit Cost]]) / SalesCleanTable[[#This Row],[Unit Price]]</f>
        <v>0.4</v>
      </c>
    </row>
    <row r="573" spans="1:31">
      <c r="A573" t="s">
        <v>759</v>
      </c>
      <c r="B573" s="6">
        <v>45973</v>
      </c>
      <c r="C573" t="s">
        <v>41</v>
      </c>
      <c r="D573" t="s">
        <v>42</v>
      </c>
      <c r="E573" t="s">
        <v>26</v>
      </c>
      <c r="F573" t="s">
        <v>43</v>
      </c>
      <c r="G573" t="s">
        <v>44</v>
      </c>
      <c r="H573" t="s">
        <v>135</v>
      </c>
      <c r="I573" t="s">
        <v>136</v>
      </c>
      <c r="J573" t="s">
        <v>137</v>
      </c>
      <c r="K573" t="s">
        <v>138</v>
      </c>
      <c r="L573" t="s">
        <v>166</v>
      </c>
      <c r="M573" t="s">
        <v>171</v>
      </c>
      <c r="N573">
        <v>1</v>
      </c>
      <c r="O573" s="4">
        <v>850</v>
      </c>
      <c r="P573" s="4">
        <v>1300</v>
      </c>
      <c r="Q573" s="7">
        <v>0.15</v>
      </c>
      <c r="R573" t="s">
        <v>194</v>
      </c>
      <c r="S573">
        <v>8</v>
      </c>
      <c r="T573">
        <v>1300</v>
      </c>
      <c r="U573">
        <v>195</v>
      </c>
      <c r="V573">
        <v>1105</v>
      </c>
      <c r="W573">
        <v>850</v>
      </c>
      <c r="X573">
        <v>255</v>
      </c>
      <c r="Y573" s="8">
        <v>0.23076923076923078</v>
      </c>
      <c r="Z573" t="s">
        <v>2995</v>
      </c>
      <c r="AA573" t="str">
        <f>IF(AND(SalesCleanTable[[#This Row],[Discount %]]&gt;0, SalesCleanTable[[#This Row],[Profit]]&lt;0), "Discount loss", "Safe")</f>
        <v>Safe</v>
      </c>
      <c r="AB573" s="25">
        <f>(SalesCleanTable[[#This Row],[Unit Price]] - SalesCleanTable[[#This Row],[Unit Cost]]) / SalesCleanTable[[#This Row],[Unit Price]]</f>
        <v>0.34615384615384615</v>
      </c>
      <c r="AC573" t="str">
        <f>IF(SalesCleanTable[[#This Row],[Discount %]] &gt; SalesCleanTable[[#This Row],[Max Allowed Discount]], "Discount loss", "Safe")</f>
        <v>Safe</v>
      </c>
      <c r="AD573" s="4">
        <f>SalesCleanTable[[#This Row],[Unit Price]] - SalesCleanTable[[#This Row],[Unit Cost]]</f>
        <v>450</v>
      </c>
      <c r="AE573" s="41">
        <f>(SalesCleanTable[[#This Row],[Unit Price]] - SalesCleanTable[[#This Row],[Unit Cost]]) / SalesCleanTable[[#This Row],[Unit Price]]</f>
        <v>0.34615384615384615</v>
      </c>
    </row>
    <row r="574" spans="1:31">
      <c r="A574" t="s">
        <v>760</v>
      </c>
      <c r="B574" s="6">
        <v>45691</v>
      </c>
      <c r="C574" t="s">
        <v>53</v>
      </c>
      <c r="D574" t="s">
        <v>54</v>
      </c>
      <c r="E574" t="s">
        <v>38</v>
      </c>
      <c r="F574" t="s">
        <v>55</v>
      </c>
      <c r="G574" t="s">
        <v>56</v>
      </c>
      <c r="H574" t="s">
        <v>135</v>
      </c>
      <c r="I574" t="s">
        <v>136</v>
      </c>
      <c r="J574" t="s">
        <v>137</v>
      </c>
      <c r="K574" t="s">
        <v>138</v>
      </c>
      <c r="L574" t="s">
        <v>183</v>
      </c>
      <c r="M574" t="s">
        <v>171</v>
      </c>
      <c r="N574">
        <v>2</v>
      </c>
      <c r="O574" s="4">
        <v>330</v>
      </c>
      <c r="P574" s="4">
        <v>550</v>
      </c>
      <c r="Q574" s="7">
        <v>0</v>
      </c>
      <c r="R574" t="s">
        <v>178</v>
      </c>
      <c r="S574">
        <v>9</v>
      </c>
      <c r="T574">
        <v>1100</v>
      </c>
      <c r="U574">
        <v>0</v>
      </c>
      <c r="V574">
        <v>1100</v>
      </c>
      <c r="W574">
        <v>660</v>
      </c>
      <c r="X574">
        <v>440</v>
      </c>
      <c r="Y574" s="8">
        <v>0.4</v>
      </c>
      <c r="Z574" t="s">
        <v>2996</v>
      </c>
      <c r="AA574" t="str">
        <f>IF(AND(SalesCleanTable[[#This Row],[Discount %]]&gt;0, SalesCleanTable[[#This Row],[Profit]]&lt;0), "Discount loss", "Safe")</f>
        <v>Safe</v>
      </c>
      <c r="AB574" s="25">
        <f>(SalesCleanTable[[#This Row],[Unit Price]] - SalesCleanTable[[#This Row],[Unit Cost]]) / SalesCleanTable[[#This Row],[Unit Price]]</f>
        <v>0.4</v>
      </c>
      <c r="AC574" t="str">
        <f>IF(SalesCleanTable[[#This Row],[Discount %]] &gt; SalesCleanTable[[#This Row],[Max Allowed Discount]], "Discount loss", "Safe")</f>
        <v>Safe</v>
      </c>
      <c r="AD574" s="4">
        <f>SalesCleanTable[[#This Row],[Unit Price]] - SalesCleanTable[[#This Row],[Unit Cost]]</f>
        <v>220</v>
      </c>
      <c r="AE574" s="41">
        <f>(SalesCleanTable[[#This Row],[Unit Price]] - SalesCleanTable[[#This Row],[Unit Cost]]) / SalesCleanTable[[#This Row],[Unit Price]]</f>
        <v>0.4</v>
      </c>
    </row>
    <row r="575" spans="1:31">
      <c r="A575" t="s">
        <v>761</v>
      </c>
      <c r="B575" s="6">
        <v>45712</v>
      </c>
      <c r="C575" t="s">
        <v>45</v>
      </c>
      <c r="D575" t="s">
        <v>46</v>
      </c>
      <c r="E575" t="s">
        <v>38</v>
      </c>
      <c r="F575" t="s">
        <v>47</v>
      </c>
      <c r="G575" t="s">
        <v>48</v>
      </c>
      <c r="H575" t="s">
        <v>141</v>
      </c>
      <c r="I575" t="s">
        <v>142</v>
      </c>
      <c r="J575" t="s">
        <v>143</v>
      </c>
      <c r="K575" t="s">
        <v>144</v>
      </c>
      <c r="L575" t="s">
        <v>166</v>
      </c>
      <c r="M575" t="s">
        <v>186</v>
      </c>
      <c r="N575">
        <v>5</v>
      </c>
      <c r="O575" s="4">
        <v>230</v>
      </c>
      <c r="P575" s="4">
        <v>400</v>
      </c>
      <c r="Q575" s="7">
        <v>0.05</v>
      </c>
      <c r="R575" t="s">
        <v>168</v>
      </c>
      <c r="S575">
        <v>4</v>
      </c>
      <c r="T575">
        <v>2000</v>
      </c>
      <c r="U575">
        <v>100</v>
      </c>
      <c r="V575">
        <v>1900</v>
      </c>
      <c r="W575">
        <v>1150</v>
      </c>
      <c r="X575">
        <v>750</v>
      </c>
      <c r="Y575" s="8">
        <v>0.39473684210526316</v>
      </c>
      <c r="Z575" t="s">
        <v>2995</v>
      </c>
      <c r="AA575" t="str">
        <f>IF(AND(SalesCleanTable[[#This Row],[Discount %]]&gt;0, SalesCleanTable[[#This Row],[Profit]]&lt;0), "Discount loss", "Safe")</f>
        <v>Safe</v>
      </c>
      <c r="AB575" s="25">
        <f>(SalesCleanTable[[#This Row],[Unit Price]] - SalesCleanTable[[#This Row],[Unit Cost]]) / SalesCleanTable[[#This Row],[Unit Price]]</f>
        <v>0.42499999999999999</v>
      </c>
      <c r="AC575" t="str">
        <f>IF(SalesCleanTable[[#This Row],[Discount %]] &gt; SalesCleanTable[[#This Row],[Max Allowed Discount]], "Discount loss", "Safe")</f>
        <v>Safe</v>
      </c>
      <c r="AD575" s="4">
        <f>SalesCleanTable[[#This Row],[Unit Price]] - SalesCleanTable[[#This Row],[Unit Cost]]</f>
        <v>170</v>
      </c>
      <c r="AE575" s="41">
        <f>(SalesCleanTable[[#This Row],[Unit Price]] - SalesCleanTable[[#This Row],[Unit Cost]]) / SalesCleanTable[[#This Row],[Unit Price]]</f>
        <v>0.42499999999999999</v>
      </c>
    </row>
    <row r="576" spans="1:31">
      <c r="A576" t="s">
        <v>762</v>
      </c>
      <c r="B576" s="6">
        <v>45904</v>
      </c>
      <c r="C576" t="s">
        <v>49</v>
      </c>
      <c r="D576" t="s">
        <v>50</v>
      </c>
      <c r="E576" t="s">
        <v>38</v>
      </c>
      <c r="F576" t="s">
        <v>51</v>
      </c>
      <c r="G576" t="s">
        <v>52</v>
      </c>
      <c r="H576" t="s">
        <v>135</v>
      </c>
      <c r="I576" t="s">
        <v>136</v>
      </c>
      <c r="J576" t="s">
        <v>137</v>
      </c>
      <c r="K576" t="s">
        <v>138</v>
      </c>
      <c r="L576" t="s">
        <v>183</v>
      </c>
      <c r="M576" t="s">
        <v>186</v>
      </c>
      <c r="N576">
        <v>5</v>
      </c>
      <c r="O576" s="4">
        <v>550</v>
      </c>
      <c r="P576" s="4">
        <v>850</v>
      </c>
      <c r="Q576" s="7">
        <v>0.1</v>
      </c>
      <c r="R576" t="s">
        <v>175</v>
      </c>
      <c r="S576">
        <v>9</v>
      </c>
      <c r="T576">
        <v>4250</v>
      </c>
      <c r="U576">
        <v>425</v>
      </c>
      <c r="V576">
        <v>3825</v>
      </c>
      <c r="W576">
        <v>2750</v>
      </c>
      <c r="X576">
        <v>1075</v>
      </c>
      <c r="Y576" s="8">
        <v>0.28104575163398693</v>
      </c>
      <c r="Z576" t="s">
        <v>2996</v>
      </c>
      <c r="AA576" t="str">
        <f>IF(AND(SalesCleanTable[[#This Row],[Discount %]]&gt;0, SalesCleanTable[[#This Row],[Profit]]&lt;0), "Discount loss", "Safe")</f>
        <v>Safe</v>
      </c>
      <c r="AB576" s="25">
        <f>(SalesCleanTable[[#This Row],[Unit Price]] - SalesCleanTable[[#This Row],[Unit Cost]]) / SalesCleanTable[[#This Row],[Unit Price]]</f>
        <v>0.35294117647058826</v>
      </c>
      <c r="AC576" t="str">
        <f>IF(SalesCleanTable[[#This Row],[Discount %]] &gt; SalesCleanTable[[#This Row],[Max Allowed Discount]], "Discount loss", "Safe")</f>
        <v>Safe</v>
      </c>
      <c r="AD576" s="4">
        <f>SalesCleanTable[[#This Row],[Unit Price]] - SalesCleanTable[[#This Row],[Unit Cost]]</f>
        <v>300</v>
      </c>
      <c r="AE576" s="41">
        <f>(SalesCleanTable[[#This Row],[Unit Price]] - SalesCleanTable[[#This Row],[Unit Cost]]) / SalesCleanTable[[#This Row],[Unit Price]]</f>
        <v>0.35294117647058826</v>
      </c>
    </row>
    <row r="577" spans="1:31">
      <c r="A577" t="s">
        <v>763</v>
      </c>
      <c r="B577" s="6">
        <v>45746</v>
      </c>
      <c r="C577" t="s">
        <v>78</v>
      </c>
      <c r="D577" t="s">
        <v>79</v>
      </c>
      <c r="E577" t="s">
        <v>75</v>
      </c>
      <c r="F577" t="s">
        <v>80</v>
      </c>
      <c r="G577" t="s">
        <v>81</v>
      </c>
      <c r="H577" t="s">
        <v>128</v>
      </c>
      <c r="I577" t="s">
        <v>129</v>
      </c>
      <c r="J577" t="s">
        <v>130</v>
      </c>
      <c r="K577" t="s">
        <v>131</v>
      </c>
      <c r="L577" t="s">
        <v>166</v>
      </c>
      <c r="M577" t="s">
        <v>171</v>
      </c>
      <c r="N577">
        <v>8</v>
      </c>
      <c r="O577" s="4">
        <v>1200</v>
      </c>
      <c r="P577" s="4">
        <v>1900</v>
      </c>
      <c r="Q577" s="7">
        <v>0.1</v>
      </c>
      <c r="R577" t="s">
        <v>208</v>
      </c>
      <c r="S577">
        <v>6</v>
      </c>
      <c r="T577">
        <v>15200</v>
      </c>
      <c r="U577">
        <v>1520</v>
      </c>
      <c r="V577">
        <v>13680</v>
      </c>
      <c r="W577">
        <v>9600</v>
      </c>
      <c r="X577">
        <v>4080</v>
      </c>
      <c r="Y577" s="8">
        <v>0.2982456140350877</v>
      </c>
      <c r="Z577" t="s">
        <v>2996</v>
      </c>
      <c r="AA577" t="str">
        <f>IF(AND(SalesCleanTable[[#This Row],[Discount %]]&gt;0, SalesCleanTable[[#This Row],[Profit]]&lt;0), "Discount loss", "Safe")</f>
        <v>Safe</v>
      </c>
      <c r="AB577" s="25">
        <f>(SalesCleanTable[[#This Row],[Unit Price]] - SalesCleanTable[[#This Row],[Unit Cost]]) / SalesCleanTable[[#This Row],[Unit Price]]</f>
        <v>0.36842105263157893</v>
      </c>
      <c r="AC577" t="str">
        <f>IF(SalesCleanTable[[#This Row],[Discount %]] &gt; SalesCleanTable[[#This Row],[Max Allowed Discount]], "Discount loss", "Safe")</f>
        <v>Safe</v>
      </c>
      <c r="AD577" s="4">
        <f>SalesCleanTable[[#This Row],[Unit Price]] - SalesCleanTable[[#This Row],[Unit Cost]]</f>
        <v>700</v>
      </c>
      <c r="AE577" s="41">
        <f>(SalesCleanTable[[#This Row],[Unit Price]] - SalesCleanTable[[#This Row],[Unit Cost]]) / SalesCleanTable[[#This Row],[Unit Price]]</f>
        <v>0.36842105263157893</v>
      </c>
    </row>
    <row r="578" spans="1:31">
      <c r="A578" t="s">
        <v>764</v>
      </c>
      <c r="B578" s="6">
        <v>45885</v>
      </c>
      <c r="C578" t="s">
        <v>36</v>
      </c>
      <c r="D578" t="s">
        <v>37</v>
      </c>
      <c r="E578" t="s">
        <v>38</v>
      </c>
      <c r="F578" t="s">
        <v>39</v>
      </c>
      <c r="G578" t="s">
        <v>40</v>
      </c>
      <c r="H578" t="s">
        <v>153</v>
      </c>
      <c r="I578" t="s">
        <v>154</v>
      </c>
      <c r="J578" t="s">
        <v>155</v>
      </c>
      <c r="K578" t="s">
        <v>131</v>
      </c>
      <c r="L578" t="s">
        <v>183</v>
      </c>
      <c r="M578" t="s">
        <v>171</v>
      </c>
      <c r="N578">
        <v>1</v>
      </c>
      <c r="O578" s="4">
        <v>1650</v>
      </c>
      <c r="P578" s="4">
        <v>2200</v>
      </c>
      <c r="Q578" s="7">
        <v>0</v>
      </c>
      <c r="R578" t="s">
        <v>175</v>
      </c>
      <c r="S578">
        <v>6</v>
      </c>
      <c r="T578">
        <v>2200</v>
      </c>
      <c r="U578">
        <v>0</v>
      </c>
      <c r="V578">
        <v>2200</v>
      </c>
      <c r="W578">
        <v>1650</v>
      </c>
      <c r="X578">
        <v>550</v>
      </c>
      <c r="Y578" s="8">
        <v>0.25</v>
      </c>
      <c r="Z578" t="s">
        <v>2995</v>
      </c>
      <c r="AA578" t="str">
        <f>IF(AND(SalesCleanTable[[#This Row],[Discount %]]&gt;0, SalesCleanTable[[#This Row],[Profit]]&lt;0), "Discount loss", "Safe")</f>
        <v>Safe</v>
      </c>
      <c r="AB578" s="25">
        <f>(SalesCleanTable[[#This Row],[Unit Price]] - SalesCleanTable[[#This Row],[Unit Cost]]) / SalesCleanTable[[#This Row],[Unit Price]]</f>
        <v>0.25</v>
      </c>
      <c r="AC578" t="str">
        <f>IF(SalesCleanTable[[#This Row],[Discount %]] &gt; SalesCleanTable[[#This Row],[Max Allowed Discount]], "Discount loss", "Safe")</f>
        <v>Safe</v>
      </c>
      <c r="AD578" s="4">
        <f>SalesCleanTable[[#This Row],[Unit Price]] - SalesCleanTable[[#This Row],[Unit Cost]]</f>
        <v>550</v>
      </c>
      <c r="AE578" s="41">
        <f>(SalesCleanTable[[#This Row],[Unit Price]] - SalesCleanTable[[#This Row],[Unit Cost]]) / SalesCleanTable[[#This Row],[Unit Price]]</f>
        <v>0.25</v>
      </c>
    </row>
    <row r="579" spans="1:31">
      <c r="A579" t="s">
        <v>765</v>
      </c>
      <c r="B579" s="6">
        <v>45996</v>
      </c>
      <c r="C579" t="s">
        <v>29</v>
      </c>
      <c r="D579" t="s">
        <v>30</v>
      </c>
      <c r="E579" t="s">
        <v>26</v>
      </c>
      <c r="F579" t="s">
        <v>27</v>
      </c>
      <c r="G579" t="s">
        <v>31</v>
      </c>
      <c r="H579" t="s">
        <v>133</v>
      </c>
      <c r="I579" t="s">
        <v>134</v>
      </c>
      <c r="J579" t="s">
        <v>130</v>
      </c>
      <c r="K579" t="s">
        <v>131</v>
      </c>
      <c r="L579" t="s">
        <v>183</v>
      </c>
      <c r="M579" t="s">
        <v>171</v>
      </c>
      <c r="N579">
        <v>1</v>
      </c>
      <c r="O579" s="4">
        <v>6200</v>
      </c>
      <c r="P579" s="4">
        <v>7900</v>
      </c>
      <c r="Q579" s="7">
        <v>0.1</v>
      </c>
      <c r="R579" t="s">
        <v>197</v>
      </c>
      <c r="S579">
        <v>11</v>
      </c>
      <c r="T579">
        <v>7900</v>
      </c>
      <c r="U579">
        <v>790</v>
      </c>
      <c r="V579">
        <v>7110</v>
      </c>
      <c r="W579">
        <v>6200</v>
      </c>
      <c r="X579">
        <v>910</v>
      </c>
      <c r="Y579" s="8">
        <v>0.12798874824191281</v>
      </c>
      <c r="Z579" t="s">
        <v>2996</v>
      </c>
      <c r="AA579" t="str">
        <f>IF(AND(SalesCleanTable[[#This Row],[Discount %]]&gt;0, SalesCleanTable[[#This Row],[Profit]]&lt;0), "Discount loss", "Safe")</f>
        <v>Safe</v>
      </c>
      <c r="AB579" s="25">
        <f>(SalesCleanTable[[#This Row],[Unit Price]] - SalesCleanTable[[#This Row],[Unit Cost]]) / SalesCleanTable[[#This Row],[Unit Price]]</f>
        <v>0.21518987341772153</v>
      </c>
      <c r="AC579" t="str">
        <f>IF(SalesCleanTable[[#This Row],[Discount %]] &gt; SalesCleanTable[[#This Row],[Max Allowed Discount]], "Discount loss", "Safe")</f>
        <v>Safe</v>
      </c>
      <c r="AD579" s="4">
        <f>SalesCleanTable[[#This Row],[Unit Price]] - SalesCleanTable[[#This Row],[Unit Cost]]</f>
        <v>1700</v>
      </c>
      <c r="AE579" s="41">
        <f>(SalesCleanTable[[#This Row],[Unit Price]] - SalesCleanTable[[#This Row],[Unit Cost]]) / SalesCleanTable[[#This Row],[Unit Price]]</f>
        <v>0.21518987341772153</v>
      </c>
    </row>
    <row r="580" spans="1:31">
      <c r="A580" t="s">
        <v>766</v>
      </c>
      <c r="B580" s="6">
        <v>45930</v>
      </c>
      <c r="C580" t="s">
        <v>45</v>
      </c>
      <c r="D580" t="s">
        <v>46</v>
      </c>
      <c r="E580" t="s">
        <v>38</v>
      </c>
      <c r="F580" t="s">
        <v>47</v>
      </c>
      <c r="G580" t="s">
        <v>48</v>
      </c>
      <c r="H580" t="s">
        <v>141</v>
      </c>
      <c r="I580" t="s">
        <v>142</v>
      </c>
      <c r="J580" t="s">
        <v>143</v>
      </c>
      <c r="K580" t="s">
        <v>144</v>
      </c>
      <c r="L580" t="s">
        <v>183</v>
      </c>
      <c r="M580" t="s">
        <v>167</v>
      </c>
      <c r="N580">
        <v>2</v>
      </c>
      <c r="O580" s="4">
        <v>230</v>
      </c>
      <c r="P580" s="4">
        <v>400</v>
      </c>
      <c r="Q580" s="7">
        <v>0</v>
      </c>
      <c r="R580" t="s">
        <v>168</v>
      </c>
      <c r="S580">
        <v>5</v>
      </c>
      <c r="T580">
        <v>800</v>
      </c>
      <c r="U580">
        <v>0</v>
      </c>
      <c r="V580">
        <v>800</v>
      </c>
      <c r="W580">
        <v>460</v>
      </c>
      <c r="X580">
        <v>340</v>
      </c>
      <c r="Y580" s="8">
        <v>0.42499999999999999</v>
      </c>
      <c r="Z580" t="s">
        <v>2995</v>
      </c>
      <c r="AA580" t="str">
        <f>IF(AND(SalesCleanTable[[#This Row],[Discount %]]&gt;0, SalesCleanTable[[#This Row],[Profit]]&lt;0), "Discount loss", "Safe")</f>
        <v>Safe</v>
      </c>
      <c r="AB580" s="25">
        <f>(SalesCleanTable[[#This Row],[Unit Price]] - SalesCleanTable[[#This Row],[Unit Cost]]) / SalesCleanTable[[#This Row],[Unit Price]]</f>
        <v>0.42499999999999999</v>
      </c>
      <c r="AC580" t="str">
        <f>IF(SalesCleanTable[[#This Row],[Discount %]] &gt; SalesCleanTable[[#This Row],[Max Allowed Discount]], "Discount loss", "Safe")</f>
        <v>Safe</v>
      </c>
      <c r="AD580" s="4">
        <f>SalesCleanTable[[#This Row],[Unit Price]] - SalesCleanTable[[#This Row],[Unit Cost]]</f>
        <v>170</v>
      </c>
      <c r="AE580" s="41">
        <f>(SalesCleanTable[[#This Row],[Unit Price]] - SalesCleanTable[[#This Row],[Unit Cost]]) / SalesCleanTable[[#This Row],[Unit Price]]</f>
        <v>0.42499999999999999</v>
      </c>
    </row>
    <row r="581" spans="1:31">
      <c r="A581" t="s">
        <v>767</v>
      </c>
      <c r="B581" s="6">
        <v>45880</v>
      </c>
      <c r="C581" t="s">
        <v>82</v>
      </c>
      <c r="D581" t="s">
        <v>83</v>
      </c>
      <c r="E581" t="s">
        <v>75</v>
      </c>
      <c r="F581" t="s">
        <v>84</v>
      </c>
      <c r="G581" t="s">
        <v>85</v>
      </c>
      <c r="H581" t="s">
        <v>149</v>
      </c>
      <c r="I581" t="s">
        <v>150</v>
      </c>
      <c r="J581" t="s">
        <v>151</v>
      </c>
      <c r="K581" t="s">
        <v>152</v>
      </c>
      <c r="L581" t="s">
        <v>183</v>
      </c>
      <c r="M581" t="s">
        <v>186</v>
      </c>
      <c r="N581">
        <v>10</v>
      </c>
      <c r="O581" s="4">
        <v>600</v>
      </c>
      <c r="P581" s="4">
        <v>950</v>
      </c>
      <c r="Q581" s="7">
        <v>0.1</v>
      </c>
      <c r="R581" t="s">
        <v>187</v>
      </c>
      <c r="S581">
        <v>14</v>
      </c>
      <c r="T581">
        <v>9500</v>
      </c>
      <c r="U581">
        <v>950</v>
      </c>
      <c r="V581">
        <v>8550</v>
      </c>
      <c r="W581">
        <v>6000</v>
      </c>
      <c r="X581">
        <v>2550</v>
      </c>
      <c r="Y581" s="8">
        <v>0.2982456140350877</v>
      </c>
      <c r="Z581" t="s">
        <v>2996</v>
      </c>
      <c r="AA581" t="str">
        <f>IF(AND(SalesCleanTable[[#This Row],[Discount %]]&gt;0, SalesCleanTable[[#This Row],[Profit]]&lt;0), "Discount loss", "Safe")</f>
        <v>Safe</v>
      </c>
      <c r="AB581" s="25">
        <f>(SalesCleanTable[[#This Row],[Unit Price]] - SalesCleanTable[[#This Row],[Unit Cost]]) / SalesCleanTable[[#This Row],[Unit Price]]</f>
        <v>0.36842105263157893</v>
      </c>
      <c r="AC581" t="str">
        <f>IF(SalesCleanTable[[#This Row],[Discount %]] &gt; SalesCleanTable[[#This Row],[Max Allowed Discount]], "Discount loss", "Safe")</f>
        <v>Safe</v>
      </c>
      <c r="AD581" s="4">
        <f>SalesCleanTable[[#This Row],[Unit Price]] - SalesCleanTable[[#This Row],[Unit Cost]]</f>
        <v>350</v>
      </c>
      <c r="AE581" s="41">
        <f>(SalesCleanTable[[#This Row],[Unit Price]] - SalesCleanTable[[#This Row],[Unit Cost]]) / SalesCleanTable[[#This Row],[Unit Price]]</f>
        <v>0.36842105263157893</v>
      </c>
    </row>
    <row r="582" spans="1:31">
      <c r="A582" t="s">
        <v>768</v>
      </c>
      <c r="B582" s="6">
        <v>45847</v>
      </c>
      <c r="C582" t="s">
        <v>107</v>
      </c>
      <c r="D582" t="s">
        <v>108</v>
      </c>
      <c r="E582" t="s">
        <v>109</v>
      </c>
      <c r="F582" t="s">
        <v>110</v>
      </c>
      <c r="G582" t="s">
        <v>111</v>
      </c>
      <c r="H582" t="s">
        <v>153</v>
      </c>
      <c r="I582" t="s">
        <v>154</v>
      </c>
      <c r="J582" t="s">
        <v>155</v>
      </c>
      <c r="K582" t="s">
        <v>131</v>
      </c>
      <c r="L582" t="s">
        <v>170</v>
      </c>
      <c r="M582" t="s">
        <v>177</v>
      </c>
      <c r="N582">
        <v>1</v>
      </c>
      <c r="O582" s="4">
        <v>5200</v>
      </c>
      <c r="P582" s="4">
        <v>7000</v>
      </c>
      <c r="Q582" s="7">
        <v>0.15</v>
      </c>
      <c r="R582" t="s">
        <v>220</v>
      </c>
      <c r="S582">
        <v>14</v>
      </c>
      <c r="T582">
        <v>7000</v>
      </c>
      <c r="U582">
        <v>1050</v>
      </c>
      <c r="V582">
        <v>5950</v>
      </c>
      <c r="W582">
        <v>5200</v>
      </c>
      <c r="X582">
        <v>750</v>
      </c>
      <c r="Y582" s="8">
        <v>0.12605042016806722</v>
      </c>
      <c r="Z582" t="s">
        <v>2997</v>
      </c>
      <c r="AA582" t="str">
        <f>IF(AND(SalesCleanTable[[#This Row],[Discount %]]&gt;0, SalesCleanTable[[#This Row],[Profit]]&lt;0), "Discount loss", "Safe")</f>
        <v>Safe</v>
      </c>
      <c r="AB582" s="25">
        <f>(SalesCleanTable[[#This Row],[Unit Price]] - SalesCleanTable[[#This Row],[Unit Cost]]) / SalesCleanTable[[#This Row],[Unit Price]]</f>
        <v>0.25714285714285712</v>
      </c>
      <c r="AC582" t="str">
        <f>IF(SalesCleanTable[[#This Row],[Discount %]] &gt; SalesCleanTable[[#This Row],[Max Allowed Discount]], "Discount loss", "Safe")</f>
        <v>Safe</v>
      </c>
      <c r="AD582" s="4">
        <f>SalesCleanTable[[#This Row],[Unit Price]] - SalesCleanTable[[#This Row],[Unit Cost]]</f>
        <v>1800</v>
      </c>
      <c r="AE582" s="41">
        <f>(SalesCleanTable[[#This Row],[Unit Price]] - SalesCleanTable[[#This Row],[Unit Cost]]) / SalesCleanTable[[#This Row],[Unit Price]]</f>
        <v>0.25714285714285712</v>
      </c>
    </row>
    <row r="583" spans="1:31">
      <c r="A583" t="s">
        <v>769</v>
      </c>
      <c r="B583" s="6">
        <v>45879</v>
      </c>
      <c r="C583" t="s">
        <v>82</v>
      </c>
      <c r="D583" t="s">
        <v>83</v>
      </c>
      <c r="E583" t="s">
        <v>75</v>
      </c>
      <c r="F583" t="s">
        <v>84</v>
      </c>
      <c r="G583" t="s">
        <v>85</v>
      </c>
      <c r="H583" t="s">
        <v>135</v>
      </c>
      <c r="I583" t="s">
        <v>136</v>
      </c>
      <c r="J583" t="s">
        <v>137</v>
      </c>
      <c r="K583" t="s">
        <v>138</v>
      </c>
      <c r="L583" t="s">
        <v>166</v>
      </c>
      <c r="M583" t="s">
        <v>171</v>
      </c>
      <c r="N583">
        <v>2</v>
      </c>
      <c r="O583" s="4">
        <v>600</v>
      </c>
      <c r="P583" s="4">
        <v>950</v>
      </c>
      <c r="Q583" s="7">
        <v>0.05</v>
      </c>
      <c r="R583" t="s">
        <v>204</v>
      </c>
      <c r="S583">
        <v>3</v>
      </c>
      <c r="T583">
        <v>1900</v>
      </c>
      <c r="U583">
        <v>95</v>
      </c>
      <c r="V583">
        <v>1805</v>
      </c>
      <c r="W583">
        <v>1200</v>
      </c>
      <c r="X583">
        <v>605</v>
      </c>
      <c r="Y583" s="8">
        <v>0.33518005540166207</v>
      </c>
      <c r="Z583" t="s">
        <v>2996</v>
      </c>
      <c r="AA583" t="str">
        <f>IF(AND(SalesCleanTable[[#This Row],[Discount %]]&gt;0, SalesCleanTable[[#This Row],[Profit]]&lt;0), "Discount loss", "Safe")</f>
        <v>Safe</v>
      </c>
      <c r="AB583" s="25">
        <f>(SalesCleanTable[[#This Row],[Unit Price]] - SalesCleanTable[[#This Row],[Unit Cost]]) / SalesCleanTable[[#This Row],[Unit Price]]</f>
        <v>0.36842105263157893</v>
      </c>
      <c r="AC583" t="str">
        <f>IF(SalesCleanTable[[#This Row],[Discount %]] &gt; SalesCleanTable[[#This Row],[Max Allowed Discount]], "Discount loss", "Safe")</f>
        <v>Safe</v>
      </c>
      <c r="AD583" s="4">
        <f>SalesCleanTable[[#This Row],[Unit Price]] - SalesCleanTable[[#This Row],[Unit Cost]]</f>
        <v>350</v>
      </c>
      <c r="AE583" s="41">
        <f>(SalesCleanTable[[#This Row],[Unit Price]] - SalesCleanTable[[#This Row],[Unit Cost]]) / SalesCleanTable[[#This Row],[Unit Price]]</f>
        <v>0.36842105263157893</v>
      </c>
    </row>
    <row r="584" spans="1:31">
      <c r="A584" t="s">
        <v>770</v>
      </c>
      <c r="B584" s="6">
        <v>45754</v>
      </c>
      <c r="C584" t="s">
        <v>62</v>
      </c>
      <c r="D584" t="s">
        <v>63</v>
      </c>
      <c r="E584" t="s">
        <v>59</v>
      </c>
      <c r="F584" t="s">
        <v>64</v>
      </c>
      <c r="G584" t="s">
        <v>65</v>
      </c>
      <c r="H584" t="s">
        <v>149</v>
      </c>
      <c r="I584" t="s">
        <v>150</v>
      </c>
      <c r="J584" t="s">
        <v>151</v>
      </c>
      <c r="K584" t="s">
        <v>152</v>
      </c>
      <c r="L584" t="s">
        <v>166</v>
      </c>
      <c r="M584" t="s">
        <v>171</v>
      </c>
      <c r="N584">
        <v>-2</v>
      </c>
      <c r="O584" s="4">
        <v>3200</v>
      </c>
      <c r="P584" s="4">
        <v>4500</v>
      </c>
      <c r="Q584" s="7">
        <v>0.05</v>
      </c>
      <c r="R584" t="s">
        <v>192</v>
      </c>
      <c r="S584">
        <v>3</v>
      </c>
      <c r="T584">
        <v>-9000</v>
      </c>
      <c r="U584">
        <v>-450</v>
      </c>
      <c r="V584">
        <v>-8550</v>
      </c>
      <c r="W584">
        <v>-6400</v>
      </c>
      <c r="X584">
        <v>-2150</v>
      </c>
      <c r="Y584" s="8">
        <v>0.25146198830409355</v>
      </c>
      <c r="Z584" t="s">
        <v>2996</v>
      </c>
      <c r="AA584" t="str">
        <f>IF(AND(SalesCleanTable[[#This Row],[Discount %]]&gt;0, SalesCleanTable[[#This Row],[Profit]]&lt;0), "Discount loss", "Safe")</f>
        <v>Discount loss</v>
      </c>
      <c r="AB584" s="25">
        <f>(SalesCleanTable[[#This Row],[Unit Price]] - SalesCleanTable[[#This Row],[Unit Cost]]) / SalesCleanTable[[#This Row],[Unit Price]]</f>
        <v>0.28888888888888886</v>
      </c>
      <c r="AC584" t="str">
        <f>IF(SalesCleanTable[[#This Row],[Discount %]] &gt; SalesCleanTable[[#This Row],[Max Allowed Discount]], "Discount loss", "Safe")</f>
        <v>Safe</v>
      </c>
      <c r="AD584" s="4">
        <f>SalesCleanTable[[#This Row],[Unit Price]] - SalesCleanTable[[#This Row],[Unit Cost]]</f>
        <v>1300</v>
      </c>
      <c r="AE584" s="41">
        <f>(SalesCleanTable[[#This Row],[Unit Price]] - SalesCleanTable[[#This Row],[Unit Cost]]) / SalesCleanTable[[#This Row],[Unit Price]]</f>
        <v>0.28888888888888886</v>
      </c>
    </row>
    <row r="585" spans="1:31">
      <c r="A585" t="s">
        <v>771</v>
      </c>
      <c r="B585" s="6">
        <v>45666</v>
      </c>
      <c r="C585" t="s">
        <v>32</v>
      </c>
      <c r="D585" t="s">
        <v>33</v>
      </c>
      <c r="E585" t="s">
        <v>26</v>
      </c>
      <c r="F585" t="s">
        <v>34</v>
      </c>
      <c r="G585" t="s">
        <v>35</v>
      </c>
      <c r="H585" t="s">
        <v>149</v>
      </c>
      <c r="I585" t="s">
        <v>150</v>
      </c>
      <c r="J585" t="s">
        <v>151</v>
      </c>
      <c r="K585" t="s">
        <v>152</v>
      </c>
      <c r="L585" t="s">
        <v>166</v>
      </c>
      <c r="M585" t="s">
        <v>177</v>
      </c>
      <c r="N585">
        <v>4</v>
      </c>
      <c r="O585" s="4">
        <v>7800</v>
      </c>
      <c r="P585" s="4">
        <v>9800</v>
      </c>
      <c r="Q585" s="7">
        <v>0.2</v>
      </c>
      <c r="R585" t="s">
        <v>194</v>
      </c>
      <c r="S585">
        <v>14</v>
      </c>
      <c r="T585">
        <v>39200</v>
      </c>
      <c r="U585">
        <v>7840</v>
      </c>
      <c r="V585">
        <v>31360</v>
      </c>
      <c r="W585">
        <v>31200</v>
      </c>
      <c r="X585">
        <v>160</v>
      </c>
      <c r="Y585" s="8">
        <v>5.1020408163265302E-3</v>
      </c>
      <c r="Z585" t="s">
        <v>2995</v>
      </c>
      <c r="AA585" t="str">
        <f>IF(AND(SalesCleanTable[[#This Row],[Discount %]]&gt;0, SalesCleanTable[[#This Row],[Profit]]&lt;0), "Discount loss", "Safe")</f>
        <v>Safe</v>
      </c>
      <c r="AB585" s="25">
        <f>(SalesCleanTable[[#This Row],[Unit Price]] - SalesCleanTable[[#This Row],[Unit Cost]]) / SalesCleanTable[[#This Row],[Unit Price]]</f>
        <v>0.20408163265306123</v>
      </c>
      <c r="AC585" t="str">
        <f>IF(SalesCleanTable[[#This Row],[Discount %]] &gt; SalesCleanTable[[#This Row],[Max Allowed Discount]], "Discount loss", "Safe")</f>
        <v>Safe</v>
      </c>
      <c r="AD585" s="4">
        <f>SalesCleanTable[[#This Row],[Unit Price]] - SalesCleanTable[[#This Row],[Unit Cost]]</f>
        <v>2000</v>
      </c>
      <c r="AE585" s="41">
        <f>(SalesCleanTable[[#This Row],[Unit Price]] - SalesCleanTable[[#This Row],[Unit Cost]]) / SalesCleanTable[[#This Row],[Unit Price]]</f>
        <v>0.20408163265306123</v>
      </c>
    </row>
    <row r="586" spans="1:31">
      <c r="A586" t="s">
        <v>772</v>
      </c>
      <c r="B586" s="6">
        <v>46014</v>
      </c>
      <c r="C586" t="s">
        <v>69</v>
      </c>
      <c r="D586" t="s">
        <v>70</v>
      </c>
      <c r="E586" t="s">
        <v>59</v>
      </c>
      <c r="F586" t="s">
        <v>71</v>
      </c>
      <c r="G586" t="s">
        <v>72</v>
      </c>
      <c r="H586" t="s">
        <v>135</v>
      </c>
      <c r="I586" t="s">
        <v>136</v>
      </c>
      <c r="J586" t="s">
        <v>137</v>
      </c>
      <c r="K586" t="s">
        <v>138</v>
      </c>
      <c r="L586" t="s">
        <v>166</v>
      </c>
      <c r="M586" t="s">
        <v>186</v>
      </c>
      <c r="N586">
        <v>1</v>
      </c>
      <c r="O586" s="4">
        <v>1700</v>
      </c>
      <c r="P586" s="4">
        <v>2600</v>
      </c>
      <c r="Q586" s="7">
        <v>0.05</v>
      </c>
      <c r="R586" t="s">
        <v>204</v>
      </c>
      <c r="S586">
        <v>4</v>
      </c>
      <c r="T586">
        <v>2600</v>
      </c>
      <c r="U586">
        <v>130</v>
      </c>
      <c r="V586">
        <v>2470</v>
      </c>
      <c r="W586">
        <v>1700</v>
      </c>
      <c r="X586">
        <v>770</v>
      </c>
      <c r="Y586" s="8">
        <v>0.31174089068825911</v>
      </c>
      <c r="Z586" t="s">
        <v>2997</v>
      </c>
      <c r="AA586" t="str">
        <f>IF(AND(SalesCleanTable[[#This Row],[Discount %]]&gt;0, SalesCleanTable[[#This Row],[Profit]]&lt;0), "Discount loss", "Safe")</f>
        <v>Safe</v>
      </c>
      <c r="AB586" s="25">
        <f>(SalesCleanTable[[#This Row],[Unit Price]] - SalesCleanTable[[#This Row],[Unit Cost]]) / SalesCleanTable[[#This Row],[Unit Price]]</f>
        <v>0.34615384615384615</v>
      </c>
      <c r="AC586" t="str">
        <f>IF(SalesCleanTable[[#This Row],[Discount %]] &gt; SalesCleanTable[[#This Row],[Max Allowed Discount]], "Discount loss", "Safe")</f>
        <v>Safe</v>
      </c>
      <c r="AD586" s="4">
        <f>SalesCleanTable[[#This Row],[Unit Price]] - SalesCleanTable[[#This Row],[Unit Cost]]</f>
        <v>900</v>
      </c>
      <c r="AE586" s="41">
        <f>(SalesCleanTable[[#This Row],[Unit Price]] - SalesCleanTable[[#This Row],[Unit Cost]]) / SalesCleanTable[[#This Row],[Unit Price]]</f>
        <v>0.34615384615384615</v>
      </c>
    </row>
    <row r="587" spans="1:31">
      <c r="A587" t="s">
        <v>773</v>
      </c>
      <c r="B587" s="6">
        <v>45967</v>
      </c>
      <c r="C587" t="s">
        <v>24</v>
      </c>
      <c r="D587" t="s">
        <v>25</v>
      </c>
      <c r="E587" t="s">
        <v>26</v>
      </c>
      <c r="F587" t="s">
        <v>27</v>
      </c>
      <c r="G587" t="s">
        <v>28</v>
      </c>
      <c r="H587" t="s">
        <v>139</v>
      </c>
      <c r="I587" t="s">
        <v>140</v>
      </c>
      <c r="J587" t="s">
        <v>137</v>
      </c>
      <c r="K587" t="s">
        <v>138</v>
      </c>
      <c r="L587" t="s">
        <v>166</v>
      </c>
      <c r="M587" t="s">
        <v>171</v>
      </c>
      <c r="N587">
        <v>4</v>
      </c>
      <c r="O587" s="4">
        <v>14500</v>
      </c>
      <c r="P587" s="4">
        <v>17500</v>
      </c>
      <c r="Q587" s="7">
        <v>0.1</v>
      </c>
      <c r="R587" t="s">
        <v>173</v>
      </c>
      <c r="S587">
        <v>6</v>
      </c>
      <c r="T587">
        <v>70000</v>
      </c>
      <c r="U587">
        <v>7000</v>
      </c>
      <c r="V587">
        <v>63000</v>
      </c>
      <c r="W587">
        <v>58000</v>
      </c>
      <c r="X587">
        <v>5000</v>
      </c>
      <c r="Y587" s="8">
        <v>7.9365079365079361E-2</v>
      </c>
      <c r="Z587" t="s">
        <v>2995</v>
      </c>
      <c r="AA587" t="str">
        <f>IF(AND(SalesCleanTable[[#This Row],[Discount %]]&gt;0, SalesCleanTable[[#This Row],[Profit]]&lt;0), "Discount loss", "Safe")</f>
        <v>Safe</v>
      </c>
      <c r="AB587" s="25">
        <f>(SalesCleanTable[[#This Row],[Unit Price]] - SalesCleanTable[[#This Row],[Unit Cost]]) / SalesCleanTable[[#This Row],[Unit Price]]</f>
        <v>0.17142857142857143</v>
      </c>
      <c r="AC587" t="str">
        <f>IF(SalesCleanTable[[#This Row],[Discount %]] &gt; SalesCleanTable[[#This Row],[Max Allowed Discount]], "Discount loss", "Safe")</f>
        <v>Safe</v>
      </c>
      <c r="AD587" s="4">
        <f>SalesCleanTable[[#This Row],[Unit Price]] - SalesCleanTable[[#This Row],[Unit Cost]]</f>
        <v>3000</v>
      </c>
      <c r="AE587" s="41">
        <f>(SalesCleanTable[[#This Row],[Unit Price]] - SalesCleanTable[[#This Row],[Unit Cost]]) / SalesCleanTable[[#This Row],[Unit Price]]</f>
        <v>0.17142857142857143</v>
      </c>
    </row>
    <row r="588" spans="1:31">
      <c r="A588" t="s">
        <v>774</v>
      </c>
      <c r="B588" s="6">
        <v>45677</v>
      </c>
      <c r="C588" t="s">
        <v>62</v>
      </c>
      <c r="D588" t="s">
        <v>63</v>
      </c>
      <c r="E588" t="s">
        <v>59</v>
      </c>
      <c r="F588" t="s">
        <v>64</v>
      </c>
      <c r="G588" t="s">
        <v>65</v>
      </c>
      <c r="H588" t="s">
        <v>145</v>
      </c>
      <c r="I588" t="s">
        <v>146</v>
      </c>
      <c r="J588" t="s">
        <v>147</v>
      </c>
      <c r="K588" t="s">
        <v>148</v>
      </c>
      <c r="L588" t="s">
        <v>183</v>
      </c>
      <c r="M588" t="s">
        <v>177</v>
      </c>
      <c r="N588">
        <v>1</v>
      </c>
      <c r="O588" s="4">
        <v>3200</v>
      </c>
      <c r="P588" s="4">
        <v>4500</v>
      </c>
      <c r="Q588" s="7">
        <v>0.05</v>
      </c>
      <c r="R588" t="s">
        <v>173</v>
      </c>
      <c r="S588">
        <v>9</v>
      </c>
      <c r="T588">
        <v>4500</v>
      </c>
      <c r="U588">
        <v>225</v>
      </c>
      <c r="V588">
        <v>4275</v>
      </c>
      <c r="W588">
        <v>3200</v>
      </c>
      <c r="X588">
        <v>1075</v>
      </c>
      <c r="Y588" s="8">
        <v>0.25146198830409355</v>
      </c>
      <c r="Z588" t="s">
        <v>2996</v>
      </c>
      <c r="AA588" t="str">
        <f>IF(AND(SalesCleanTable[[#This Row],[Discount %]]&gt;0, SalesCleanTable[[#This Row],[Profit]]&lt;0), "Discount loss", "Safe")</f>
        <v>Safe</v>
      </c>
      <c r="AB588" s="25">
        <f>(SalesCleanTable[[#This Row],[Unit Price]] - SalesCleanTable[[#This Row],[Unit Cost]]) / SalesCleanTable[[#This Row],[Unit Price]]</f>
        <v>0.28888888888888886</v>
      </c>
      <c r="AC588" t="str">
        <f>IF(SalesCleanTable[[#This Row],[Discount %]] &gt; SalesCleanTable[[#This Row],[Max Allowed Discount]], "Discount loss", "Safe")</f>
        <v>Safe</v>
      </c>
      <c r="AD588" s="4">
        <f>SalesCleanTable[[#This Row],[Unit Price]] - SalesCleanTable[[#This Row],[Unit Cost]]</f>
        <v>1300</v>
      </c>
      <c r="AE588" s="41">
        <f>(SalesCleanTable[[#This Row],[Unit Price]] - SalesCleanTable[[#This Row],[Unit Cost]]) / SalesCleanTable[[#This Row],[Unit Price]]</f>
        <v>0.28888888888888886</v>
      </c>
    </row>
    <row r="589" spans="1:31">
      <c r="A589" t="s">
        <v>775</v>
      </c>
      <c r="B589" s="6">
        <v>45801</v>
      </c>
      <c r="C589" t="s">
        <v>53</v>
      </c>
      <c r="D589" t="s">
        <v>54</v>
      </c>
      <c r="E589" t="s">
        <v>38</v>
      </c>
      <c r="F589" t="s">
        <v>55</v>
      </c>
      <c r="G589" t="s">
        <v>56</v>
      </c>
      <c r="H589" t="s">
        <v>128</v>
      </c>
      <c r="I589" t="s">
        <v>129</v>
      </c>
      <c r="J589" t="s">
        <v>130</v>
      </c>
      <c r="K589" t="s">
        <v>131</v>
      </c>
      <c r="L589" t="s">
        <v>166</v>
      </c>
      <c r="M589" t="s">
        <v>171</v>
      </c>
      <c r="N589">
        <v>6</v>
      </c>
      <c r="O589" s="4">
        <v>330</v>
      </c>
      <c r="P589" s="4">
        <v>550</v>
      </c>
      <c r="Q589" s="7">
        <v>0</v>
      </c>
      <c r="R589" t="s">
        <v>168</v>
      </c>
      <c r="S589">
        <v>2</v>
      </c>
      <c r="T589">
        <v>3300</v>
      </c>
      <c r="U589">
        <v>0</v>
      </c>
      <c r="V589">
        <v>3300</v>
      </c>
      <c r="W589">
        <v>1980</v>
      </c>
      <c r="X589">
        <v>1320</v>
      </c>
      <c r="Y589" s="8">
        <v>0.4</v>
      </c>
      <c r="Z589" t="s">
        <v>2996</v>
      </c>
      <c r="AA589" t="str">
        <f>IF(AND(SalesCleanTable[[#This Row],[Discount %]]&gt;0, SalesCleanTable[[#This Row],[Profit]]&lt;0), "Discount loss", "Safe")</f>
        <v>Safe</v>
      </c>
      <c r="AB589" s="25">
        <f>(SalesCleanTable[[#This Row],[Unit Price]] - SalesCleanTable[[#This Row],[Unit Cost]]) / SalesCleanTable[[#This Row],[Unit Price]]</f>
        <v>0.4</v>
      </c>
      <c r="AC589" t="str">
        <f>IF(SalesCleanTable[[#This Row],[Discount %]] &gt; SalesCleanTable[[#This Row],[Max Allowed Discount]], "Discount loss", "Safe")</f>
        <v>Safe</v>
      </c>
      <c r="AD589" s="4">
        <f>SalesCleanTable[[#This Row],[Unit Price]] - SalesCleanTable[[#This Row],[Unit Cost]]</f>
        <v>220</v>
      </c>
      <c r="AE589" s="41">
        <f>(SalesCleanTable[[#This Row],[Unit Price]] - SalesCleanTable[[#This Row],[Unit Cost]]) / SalesCleanTable[[#This Row],[Unit Price]]</f>
        <v>0.4</v>
      </c>
    </row>
    <row r="590" spans="1:31">
      <c r="A590" t="s">
        <v>776</v>
      </c>
      <c r="B590" s="6">
        <v>45934</v>
      </c>
      <c r="C590" t="s">
        <v>95</v>
      </c>
      <c r="D590" t="s">
        <v>96</v>
      </c>
      <c r="E590" t="s">
        <v>92</v>
      </c>
      <c r="F590" t="s">
        <v>97</v>
      </c>
      <c r="G590" t="s">
        <v>98</v>
      </c>
      <c r="H590" t="s">
        <v>135</v>
      </c>
      <c r="I590" t="s">
        <v>136</v>
      </c>
      <c r="J590" t="s">
        <v>137</v>
      </c>
      <c r="K590" t="s">
        <v>138</v>
      </c>
      <c r="L590" t="s">
        <v>183</v>
      </c>
      <c r="M590" t="s">
        <v>186</v>
      </c>
      <c r="N590">
        <v>1</v>
      </c>
      <c r="O590" s="4">
        <v>18000</v>
      </c>
      <c r="P590" s="4">
        <v>24500</v>
      </c>
      <c r="Q590" s="7">
        <v>0.05</v>
      </c>
      <c r="R590" t="s">
        <v>215</v>
      </c>
      <c r="S590">
        <v>8</v>
      </c>
      <c r="T590">
        <v>24500</v>
      </c>
      <c r="U590">
        <v>1225</v>
      </c>
      <c r="V590">
        <v>23275</v>
      </c>
      <c r="W590">
        <v>18000</v>
      </c>
      <c r="X590">
        <v>5275</v>
      </c>
      <c r="Y590" s="8">
        <v>0.22663802363050484</v>
      </c>
      <c r="Z590" t="s">
        <v>2995</v>
      </c>
      <c r="AA590" t="str">
        <f>IF(AND(SalesCleanTable[[#This Row],[Discount %]]&gt;0, SalesCleanTable[[#This Row],[Profit]]&lt;0), "Discount loss", "Safe")</f>
        <v>Safe</v>
      </c>
      <c r="AB590" s="25">
        <f>(SalesCleanTable[[#This Row],[Unit Price]] - SalesCleanTable[[#This Row],[Unit Cost]]) / SalesCleanTable[[#This Row],[Unit Price]]</f>
        <v>0.26530612244897961</v>
      </c>
      <c r="AC590" t="str">
        <f>IF(SalesCleanTable[[#This Row],[Discount %]] &gt; SalesCleanTable[[#This Row],[Max Allowed Discount]], "Discount loss", "Safe")</f>
        <v>Safe</v>
      </c>
      <c r="AD590" s="4">
        <f>SalesCleanTable[[#This Row],[Unit Price]] - SalesCleanTable[[#This Row],[Unit Cost]]</f>
        <v>6500</v>
      </c>
      <c r="AE590" s="41">
        <f>(SalesCleanTable[[#This Row],[Unit Price]] - SalesCleanTable[[#This Row],[Unit Cost]]) / SalesCleanTable[[#This Row],[Unit Price]]</f>
        <v>0.26530612244897961</v>
      </c>
    </row>
    <row r="591" spans="1:31">
      <c r="A591" t="s">
        <v>777</v>
      </c>
      <c r="B591" s="6">
        <v>45827</v>
      </c>
      <c r="C591" t="s">
        <v>53</v>
      </c>
      <c r="D591" t="s">
        <v>54</v>
      </c>
      <c r="E591" t="s">
        <v>38</v>
      </c>
      <c r="F591" t="s">
        <v>55</v>
      </c>
      <c r="G591" t="s">
        <v>56</v>
      </c>
      <c r="H591" t="s">
        <v>153</v>
      </c>
      <c r="I591" t="s">
        <v>154</v>
      </c>
      <c r="J591" t="s">
        <v>155</v>
      </c>
      <c r="K591" t="s">
        <v>131</v>
      </c>
      <c r="L591" t="s">
        <v>166</v>
      </c>
      <c r="M591" t="s">
        <v>171</v>
      </c>
      <c r="N591">
        <v>5</v>
      </c>
      <c r="O591" s="4">
        <v>330</v>
      </c>
      <c r="P591" s="4">
        <v>550</v>
      </c>
      <c r="Q591" s="7">
        <v>0</v>
      </c>
      <c r="R591" t="s">
        <v>168</v>
      </c>
      <c r="S591">
        <v>5</v>
      </c>
      <c r="T591">
        <v>2750</v>
      </c>
      <c r="U591">
        <v>0</v>
      </c>
      <c r="V591">
        <v>2750</v>
      </c>
      <c r="W591">
        <v>1650</v>
      </c>
      <c r="X591">
        <v>1100</v>
      </c>
      <c r="Y591" s="8">
        <v>0.4</v>
      </c>
      <c r="Z591" t="s">
        <v>2996</v>
      </c>
      <c r="AA591" t="str">
        <f>IF(AND(SalesCleanTable[[#This Row],[Discount %]]&gt;0, SalesCleanTable[[#This Row],[Profit]]&lt;0), "Discount loss", "Safe")</f>
        <v>Safe</v>
      </c>
      <c r="AB591" s="25">
        <f>(SalesCleanTable[[#This Row],[Unit Price]] - SalesCleanTable[[#This Row],[Unit Cost]]) / SalesCleanTable[[#This Row],[Unit Price]]</f>
        <v>0.4</v>
      </c>
      <c r="AC591" t="str">
        <f>IF(SalesCleanTable[[#This Row],[Discount %]] &gt; SalesCleanTable[[#This Row],[Max Allowed Discount]], "Discount loss", "Safe")</f>
        <v>Safe</v>
      </c>
      <c r="AD591" s="4">
        <f>SalesCleanTable[[#This Row],[Unit Price]] - SalesCleanTable[[#This Row],[Unit Cost]]</f>
        <v>220</v>
      </c>
      <c r="AE591" s="41">
        <f>(SalesCleanTable[[#This Row],[Unit Price]] - SalesCleanTable[[#This Row],[Unit Cost]]) / SalesCleanTable[[#This Row],[Unit Price]]</f>
        <v>0.4</v>
      </c>
    </row>
    <row r="592" spans="1:31">
      <c r="A592" t="s">
        <v>778</v>
      </c>
      <c r="B592" s="6">
        <v>45946</v>
      </c>
      <c r="C592" t="s">
        <v>41</v>
      </c>
      <c r="D592" t="s">
        <v>42</v>
      </c>
      <c r="E592" t="s">
        <v>26</v>
      </c>
      <c r="F592" t="s">
        <v>43</v>
      </c>
      <c r="G592" t="s">
        <v>44</v>
      </c>
      <c r="H592" t="s">
        <v>141</v>
      </c>
      <c r="I592" t="s">
        <v>142</v>
      </c>
      <c r="J592" t="s">
        <v>143</v>
      </c>
      <c r="K592" t="s">
        <v>144</v>
      </c>
      <c r="L592" t="s">
        <v>183</v>
      </c>
      <c r="M592" t="s">
        <v>167</v>
      </c>
      <c r="N592">
        <v>3</v>
      </c>
      <c r="O592" s="4">
        <v>850</v>
      </c>
      <c r="P592" s="4">
        <v>1300</v>
      </c>
      <c r="Q592" s="7">
        <v>0.1</v>
      </c>
      <c r="R592" t="s">
        <v>173</v>
      </c>
      <c r="S592">
        <v>10</v>
      </c>
      <c r="T592">
        <v>3900</v>
      </c>
      <c r="U592">
        <v>390</v>
      </c>
      <c r="V592">
        <v>3510</v>
      </c>
      <c r="W592">
        <v>2550</v>
      </c>
      <c r="X592">
        <v>960</v>
      </c>
      <c r="Y592" s="8">
        <v>0.27350427350427353</v>
      </c>
      <c r="Z592" t="s">
        <v>2995</v>
      </c>
      <c r="AA592" t="str">
        <f>IF(AND(SalesCleanTable[[#This Row],[Discount %]]&gt;0, SalesCleanTable[[#This Row],[Profit]]&lt;0), "Discount loss", "Safe")</f>
        <v>Safe</v>
      </c>
      <c r="AB592" s="25">
        <f>(SalesCleanTable[[#This Row],[Unit Price]] - SalesCleanTable[[#This Row],[Unit Cost]]) / SalesCleanTable[[#This Row],[Unit Price]]</f>
        <v>0.34615384615384615</v>
      </c>
      <c r="AC592" t="str">
        <f>IF(SalesCleanTable[[#This Row],[Discount %]] &gt; SalesCleanTable[[#This Row],[Max Allowed Discount]], "Discount loss", "Safe")</f>
        <v>Safe</v>
      </c>
      <c r="AD592" s="4">
        <f>SalesCleanTable[[#This Row],[Unit Price]] - SalesCleanTable[[#This Row],[Unit Cost]]</f>
        <v>450</v>
      </c>
      <c r="AE592" s="41">
        <f>(SalesCleanTable[[#This Row],[Unit Price]] - SalesCleanTable[[#This Row],[Unit Cost]]) / SalesCleanTable[[#This Row],[Unit Price]]</f>
        <v>0.34615384615384615</v>
      </c>
    </row>
    <row r="593" spans="1:31">
      <c r="A593" t="s">
        <v>779</v>
      </c>
      <c r="B593" s="6">
        <v>45906</v>
      </c>
      <c r="C593" t="s">
        <v>29</v>
      </c>
      <c r="D593" t="s">
        <v>30</v>
      </c>
      <c r="E593" t="s">
        <v>26</v>
      </c>
      <c r="F593" t="s">
        <v>27</v>
      </c>
      <c r="G593" t="s">
        <v>31</v>
      </c>
      <c r="H593" t="s">
        <v>139</v>
      </c>
      <c r="I593" t="s">
        <v>140</v>
      </c>
      <c r="J593" t="s">
        <v>137</v>
      </c>
      <c r="K593" t="s">
        <v>138</v>
      </c>
      <c r="L593" t="s">
        <v>166</v>
      </c>
      <c r="M593" t="s">
        <v>167</v>
      </c>
      <c r="N593">
        <v>5</v>
      </c>
      <c r="O593" s="4">
        <v>6200</v>
      </c>
      <c r="P593" s="4">
        <v>7900</v>
      </c>
      <c r="Q593" s="7">
        <v>0</v>
      </c>
      <c r="R593" t="s">
        <v>194</v>
      </c>
      <c r="S593">
        <v>1</v>
      </c>
      <c r="T593">
        <v>39500</v>
      </c>
      <c r="U593">
        <v>0</v>
      </c>
      <c r="V593">
        <v>39500</v>
      </c>
      <c r="W593">
        <v>31000</v>
      </c>
      <c r="X593">
        <v>8500</v>
      </c>
      <c r="Y593" s="8">
        <v>0.21518987341772153</v>
      </c>
      <c r="Z593" t="s">
        <v>2996</v>
      </c>
      <c r="AA593" t="str">
        <f>IF(AND(SalesCleanTable[[#This Row],[Discount %]]&gt;0, SalesCleanTable[[#This Row],[Profit]]&lt;0), "Discount loss", "Safe")</f>
        <v>Safe</v>
      </c>
      <c r="AB593" s="25">
        <f>(SalesCleanTable[[#This Row],[Unit Price]] - SalesCleanTable[[#This Row],[Unit Cost]]) / SalesCleanTable[[#This Row],[Unit Price]]</f>
        <v>0.21518987341772153</v>
      </c>
      <c r="AC593" t="str">
        <f>IF(SalesCleanTable[[#This Row],[Discount %]] &gt; SalesCleanTable[[#This Row],[Max Allowed Discount]], "Discount loss", "Safe")</f>
        <v>Safe</v>
      </c>
      <c r="AD593" s="4">
        <f>SalesCleanTable[[#This Row],[Unit Price]] - SalesCleanTable[[#This Row],[Unit Cost]]</f>
        <v>1700</v>
      </c>
      <c r="AE593" s="41">
        <f>(SalesCleanTable[[#This Row],[Unit Price]] - SalesCleanTable[[#This Row],[Unit Cost]]) / SalesCleanTable[[#This Row],[Unit Price]]</f>
        <v>0.21518987341772153</v>
      </c>
    </row>
    <row r="594" spans="1:31">
      <c r="A594" t="s">
        <v>780</v>
      </c>
      <c r="B594" s="6">
        <v>45967</v>
      </c>
      <c r="C594" t="s">
        <v>36</v>
      </c>
      <c r="D594" t="s">
        <v>37</v>
      </c>
      <c r="E594" t="s">
        <v>38</v>
      </c>
      <c r="F594" t="s">
        <v>39</v>
      </c>
      <c r="G594" t="s">
        <v>40</v>
      </c>
      <c r="H594" t="s">
        <v>139</v>
      </c>
      <c r="I594" t="s">
        <v>140</v>
      </c>
      <c r="J594" t="s">
        <v>137</v>
      </c>
      <c r="K594" t="s">
        <v>138</v>
      </c>
      <c r="L594" t="s">
        <v>183</v>
      </c>
      <c r="M594" t="s">
        <v>167</v>
      </c>
      <c r="N594">
        <v>1</v>
      </c>
      <c r="O594" s="4">
        <v>1650</v>
      </c>
      <c r="P594" s="4">
        <v>2200</v>
      </c>
      <c r="Q594" s="7">
        <v>0.05</v>
      </c>
      <c r="R594" t="s">
        <v>168</v>
      </c>
      <c r="S594">
        <v>4</v>
      </c>
      <c r="T594">
        <v>2200</v>
      </c>
      <c r="U594">
        <v>110</v>
      </c>
      <c r="V594">
        <v>2090</v>
      </c>
      <c r="W594">
        <v>1650</v>
      </c>
      <c r="X594">
        <v>440</v>
      </c>
      <c r="Y594" s="8">
        <v>0.21052631578947367</v>
      </c>
      <c r="Z594" t="s">
        <v>2995</v>
      </c>
      <c r="AA594" t="str">
        <f>IF(AND(SalesCleanTable[[#This Row],[Discount %]]&gt;0, SalesCleanTable[[#This Row],[Profit]]&lt;0), "Discount loss", "Safe")</f>
        <v>Safe</v>
      </c>
      <c r="AB594" s="25">
        <f>(SalesCleanTable[[#This Row],[Unit Price]] - SalesCleanTable[[#This Row],[Unit Cost]]) / SalesCleanTable[[#This Row],[Unit Price]]</f>
        <v>0.25</v>
      </c>
      <c r="AC594" t="str">
        <f>IF(SalesCleanTable[[#This Row],[Discount %]] &gt; SalesCleanTable[[#This Row],[Max Allowed Discount]], "Discount loss", "Safe")</f>
        <v>Safe</v>
      </c>
      <c r="AD594" s="4">
        <f>SalesCleanTable[[#This Row],[Unit Price]] - SalesCleanTable[[#This Row],[Unit Cost]]</f>
        <v>550</v>
      </c>
      <c r="AE594" s="41">
        <f>(SalesCleanTable[[#This Row],[Unit Price]] - SalesCleanTable[[#This Row],[Unit Cost]]) / SalesCleanTable[[#This Row],[Unit Price]]</f>
        <v>0.25</v>
      </c>
    </row>
    <row r="595" spans="1:31">
      <c r="A595" t="s">
        <v>781</v>
      </c>
      <c r="B595" s="6">
        <v>45928</v>
      </c>
      <c r="C595" t="s">
        <v>103</v>
      </c>
      <c r="D595" t="s">
        <v>104</v>
      </c>
      <c r="E595" t="s">
        <v>92</v>
      </c>
      <c r="F595" t="s">
        <v>105</v>
      </c>
      <c r="G595" t="s">
        <v>106</v>
      </c>
      <c r="H595" t="s">
        <v>135</v>
      </c>
      <c r="I595" t="s">
        <v>136</v>
      </c>
      <c r="J595" t="s">
        <v>137</v>
      </c>
      <c r="K595" t="s">
        <v>138</v>
      </c>
      <c r="L595" t="s">
        <v>170</v>
      </c>
      <c r="M595" t="s">
        <v>177</v>
      </c>
      <c r="N595">
        <v>1</v>
      </c>
      <c r="O595" s="4">
        <v>1500</v>
      </c>
      <c r="P595" s="4">
        <v>2500</v>
      </c>
      <c r="Q595" s="7">
        <v>0</v>
      </c>
      <c r="R595" t="s">
        <v>217</v>
      </c>
      <c r="S595">
        <v>13</v>
      </c>
      <c r="T595">
        <v>2500</v>
      </c>
      <c r="U595">
        <v>0</v>
      </c>
      <c r="V595">
        <v>2500</v>
      </c>
      <c r="W595">
        <v>1500</v>
      </c>
      <c r="X595">
        <v>1000</v>
      </c>
      <c r="Y595" s="8">
        <v>0.4</v>
      </c>
      <c r="Z595" t="s">
        <v>2996</v>
      </c>
      <c r="AA595" t="str">
        <f>IF(AND(SalesCleanTable[[#This Row],[Discount %]]&gt;0, SalesCleanTable[[#This Row],[Profit]]&lt;0), "Discount loss", "Safe")</f>
        <v>Safe</v>
      </c>
      <c r="AB595" s="25">
        <f>(SalesCleanTable[[#This Row],[Unit Price]] - SalesCleanTable[[#This Row],[Unit Cost]]) / SalesCleanTable[[#This Row],[Unit Price]]</f>
        <v>0.4</v>
      </c>
      <c r="AC595" t="str">
        <f>IF(SalesCleanTable[[#This Row],[Discount %]] &gt; SalesCleanTable[[#This Row],[Max Allowed Discount]], "Discount loss", "Safe")</f>
        <v>Safe</v>
      </c>
      <c r="AD595" s="4">
        <f>SalesCleanTable[[#This Row],[Unit Price]] - SalesCleanTable[[#This Row],[Unit Cost]]</f>
        <v>1000</v>
      </c>
      <c r="AE595" s="41">
        <f>(SalesCleanTable[[#This Row],[Unit Price]] - SalesCleanTable[[#This Row],[Unit Cost]]) / SalesCleanTable[[#This Row],[Unit Price]]</f>
        <v>0.4</v>
      </c>
    </row>
    <row r="596" spans="1:31">
      <c r="A596" t="s">
        <v>782</v>
      </c>
      <c r="B596" s="6">
        <v>45854</v>
      </c>
      <c r="C596" t="s">
        <v>41</v>
      </c>
      <c r="D596" t="s">
        <v>42</v>
      </c>
      <c r="E596" t="s">
        <v>26</v>
      </c>
      <c r="F596" t="s">
        <v>43</v>
      </c>
      <c r="G596" t="s">
        <v>44</v>
      </c>
      <c r="H596" t="s">
        <v>135</v>
      </c>
      <c r="I596" t="s">
        <v>136</v>
      </c>
      <c r="J596" t="s">
        <v>137</v>
      </c>
      <c r="K596" t="s">
        <v>138</v>
      </c>
      <c r="L596" t="s">
        <v>183</v>
      </c>
      <c r="M596" t="s">
        <v>186</v>
      </c>
      <c r="N596">
        <v>3</v>
      </c>
      <c r="O596" s="4">
        <v>850</v>
      </c>
      <c r="P596" s="4">
        <v>1300</v>
      </c>
      <c r="Q596" s="7">
        <v>0</v>
      </c>
      <c r="R596" t="s">
        <v>173</v>
      </c>
      <c r="S596">
        <v>5</v>
      </c>
      <c r="T596">
        <v>3900</v>
      </c>
      <c r="U596">
        <v>0</v>
      </c>
      <c r="V596">
        <v>3900</v>
      </c>
      <c r="W596">
        <v>2550</v>
      </c>
      <c r="X596">
        <v>1350</v>
      </c>
      <c r="Y596" s="8">
        <v>0.34615384615384615</v>
      </c>
      <c r="Z596" t="s">
        <v>2995</v>
      </c>
      <c r="AA596" t="str">
        <f>IF(AND(SalesCleanTable[[#This Row],[Discount %]]&gt;0, SalesCleanTable[[#This Row],[Profit]]&lt;0), "Discount loss", "Safe")</f>
        <v>Safe</v>
      </c>
      <c r="AB596" s="25">
        <f>(SalesCleanTable[[#This Row],[Unit Price]] - SalesCleanTable[[#This Row],[Unit Cost]]) / SalesCleanTable[[#This Row],[Unit Price]]</f>
        <v>0.34615384615384615</v>
      </c>
      <c r="AC596" t="str">
        <f>IF(SalesCleanTable[[#This Row],[Discount %]] &gt; SalesCleanTable[[#This Row],[Max Allowed Discount]], "Discount loss", "Safe")</f>
        <v>Safe</v>
      </c>
      <c r="AD596" s="4">
        <f>SalesCleanTable[[#This Row],[Unit Price]] - SalesCleanTable[[#This Row],[Unit Cost]]</f>
        <v>450</v>
      </c>
      <c r="AE596" s="41">
        <f>(SalesCleanTable[[#This Row],[Unit Price]] - SalesCleanTable[[#This Row],[Unit Cost]]) / SalesCleanTable[[#This Row],[Unit Price]]</f>
        <v>0.34615384615384615</v>
      </c>
    </row>
    <row r="597" spans="1:31">
      <c r="A597" t="s">
        <v>783</v>
      </c>
      <c r="B597" s="6">
        <v>45717</v>
      </c>
      <c r="C597" t="s">
        <v>24</v>
      </c>
      <c r="D597" t="s">
        <v>25</v>
      </c>
      <c r="E597" t="s">
        <v>26</v>
      </c>
      <c r="F597" t="s">
        <v>27</v>
      </c>
      <c r="G597" t="s">
        <v>28</v>
      </c>
      <c r="H597" t="s">
        <v>139</v>
      </c>
      <c r="I597" t="s">
        <v>140</v>
      </c>
      <c r="J597" t="s">
        <v>137</v>
      </c>
      <c r="K597" t="s">
        <v>138</v>
      </c>
      <c r="L597" t="s">
        <v>170</v>
      </c>
      <c r="M597" t="s">
        <v>171</v>
      </c>
      <c r="N597">
        <v>3</v>
      </c>
      <c r="O597" s="4">
        <v>14500</v>
      </c>
      <c r="P597" s="4">
        <v>17500</v>
      </c>
      <c r="Q597" s="7">
        <v>0.05</v>
      </c>
      <c r="R597" t="s">
        <v>197</v>
      </c>
      <c r="S597">
        <v>7</v>
      </c>
      <c r="T597">
        <v>52500</v>
      </c>
      <c r="U597">
        <v>2625</v>
      </c>
      <c r="V597">
        <v>49875</v>
      </c>
      <c r="W597">
        <v>43500</v>
      </c>
      <c r="X597">
        <v>6375</v>
      </c>
      <c r="Y597" s="8">
        <v>0.12781954887218044</v>
      </c>
      <c r="Z597" t="s">
        <v>2995</v>
      </c>
      <c r="AA597" t="str">
        <f>IF(AND(SalesCleanTable[[#This Row],[Discount %]]&gt;0, SalesCleanTable[[#This Row],[Profit]]&lt;0), "Discount loss", "Safe")</f>
        <v>Safe</v>
      </c>
      <c r="AB597" s="25">
        <f>(SalesCleanTable[[#This Row],[Unit Price]] - SalesCleanTable[[#This Row],[Unit Cost]]) / SalesCleanTable[[#This Row],[Unit Price]]</f>
        <v>0.17142857142857143</v>
      </c>
      <c r="AC597" t="str">
        <f>IF(SalesCleanTable[[#This Row],[Discount %]] &gt; SalesCleanTable[[#This Row],[Max Allowed Discount]], "Discount loss", "Safe")</f>
        <v>Safe</v>
      </c>
      <c r="AD597" s="4">
        <f>SalesCleanTable[[#This Row],[Unit Price]] - SalesCleanTable[[#This Row],[Unit Cost]]</f>
        <v>3000</v>
      </c>
      <c r="AE597" s="41">
        <f>(SalesCleanTable[[#This Row],[Unit Price]] - SalesCleanTable[[#This Row],[Unit Cost]]) / SalesCleanTable[[#This Row],[Unit Price]]</f>
        <v>0.17142857142857143</v>
      </c>
    </row>
    <row r="598" spans="1:31">
      <c r="A598" t="s">
        <v>784</v>
      </c>
      <c r="B598" s="6">
        <v>45857</v>
      </c>
      <c r="C598" t="s">
        <v>53</v>
      </c>
      <c r="D598" t="s">
        <v>54</v>
      </c>
      <c r="E598" t="s">
        <v>38</v>
      </c>
      <c r="F598" t="s">
        <v>55</v>
      </c>
      <c r="G598" t="s">
        <v>56</v>
      </c>
      <c r="H598" t="s">
        <v>133</v>
      </c>
      <c r="I598" t="s">
        <v>134</v>
      </c>
      <c r="J598" t="s">
        <v>130</v>
      </c>
      <c r="K598" t="s">
        <v>131</v>
      </c>
      <c r="L598" t="s">
        <v>170</v>
      </c>
      <c r="M598" t="s">
        <v>186</v>
      </c>
      <c r="N598">
        <v>6</v>
      </c>
      <c r="O598" s="4">
        <v>330</v>
      </c>
      <c r="P598" s="4">
        <v>550</v>
      </c>
      <c r="Q598" s="7">
        <v>0</v>
      </c>
      <c r="R598" t="s">
        <v>168</v>
      </c>
      <c r="S598">
        <v>6</v>
      </c>
      <c r="T598">
        <v>3300</v>
      </c>
      <c r="U598">
        <v>0</v>
      </c>
      <c r="V598">
        <v>3300</v>
      </c>
      <c r="W598">
        <v>1980</v>
      </c>
      <c r="X598">
        <v>1320</v>
      </c>
      <c r="Y598" s="8">
        <v>0.4</v>
      </c>
      <c r="Z598" t="s">
        <v>2996</v>
      </c>
      <c r="AA598" t="str">
        <f>IF(AND(SalesCleanTable[[#This Row],[Discount %]]&gt;0, SalesCleanTable[[#This Row],[Profit]]&lt;0), "Discount loss", "Safe")</f>
        <v>Safe</v>
      </c>
      <c r="AB598" s="25">
        <f>(SalesCleanTable[[#This Row],[Unit Price]] - SalesCleanTable[[#This Row],[Unit Cost]]) / SalesCleanTable[[#This Row],[Unit Price]]</f>
        <v>0.4</v>
      </c>
      <c r="AC598" t="str">
        <f>IF(SalesCleanTable[[#This Row],[Discount %]] &gt; SalesCleanTable[[#This Row],[Max Allowed Discount]], "Discount loss", "Safe")</f>
        <v>Safe</v>
      </c>
      <c r="AD598" s="4">
        <f>SalesCleanTable[[#This Row],[Unit Price]] - SalesCleanTable[[#This Row],[Unit Cost]]</f>
        <v>220</v>
      </c>
      <c r="AE598" s="41">
        <f>(SalesCleanTable[[#This Row],[Unit Price]] - SalesCleanTable[[#This Row],[Unit Cost]]) / SalesCleanTable[[#This Row],[Unit Price]]</f>
        <v>0.4</v>
      </c>
    </row>
    <row r="599" spans="1:31">
      <c r="A599" t="s">
        <v>785</v>
      </c>
      <c r="B599" s="6">
        <v>46007</v>
      </c>
      <c r="C599" t="s">
        <v>116</v>
      </c>
      <c r="D599" t="s">
        <v>117</v>
      </c>
      <c r="E599" t="s">
        <v>109</v>
      </c>
      <c r="F599" t="s">
        <v>118</v>
      </c>
      <c r="G599" t="s">
        <v>119</v>
      </c>
      <c r="H599" t="s">
        <v>128</v>
      </c>
      <c r="I599" t="s">
        <v>129</v>
      </c>
      <c r="J599" t="s">
        <v>130</v>
      </c>
      <c r="K599" t="s">
        <v>131</v>
      </c>
      <c r="L599" t="s">
        <v>183</v>
      </c>
      <c r="M599" t="s">
        <v>171</v>
      </c>
      <c r="N599">
        <v>3</v>
      </c>
      <c r="O599" s="4">
        <v>2800</v>
      </c>
      <c r="P599" s="4">
        <v>4200</v>
      </c>
      <c r="Q599" s="7">
        <v>0.05</v>
      </c>
      <c r="R599" t="s">
        <v>184</v>
      </c>
      <c r="S599">
        <v>14</v>
      </c>
      <c r="T599">
        <v>12600</v>
      </c>
      <c r="U599">
        <v>630</v>
      </c>
      <c r="V599">
        <v>11970</v>
      </c>
      <c r="W599">
        <v>8400</v>
      </c>
      <c r="X599">
        <v>3570</v>
      </c>
      <c r="Y599" s="8">
        <v>0.2982456140350877</v>
      </c>
      <c r="Z599" t="s">
        <v>2995</v>
      </c>
      <c r="AA599" t="str">
        <f>IF(AND(SalesCleanTable[[#This Row],[Discount %]]&gt;0, SalesCleanTable[[#This Row],[Profit]]&lt;0), "Discount loss", "Safe")</f>
        <v>Safe</v>
      </c>
      <c r="AB599" s="25">
        <f>(SalesCleanTable[[#This Row],[Unit Price]] - SalesCleanTable[[#This Row],[Unit Cost]]) / SalesCleanTable[[#This Row],[Unit Price]]</f>
        <v>0.33333333333333331</v>
      </c>
      <c r="AC599" t="str">
        <f>IF(SalesCleanTable[[#This Row],[Discount %]] &gt; SalesCleanTable[[#This Row],[Max Allowed Discount]], "Discount loss", "Safe")</f>
        <v>Safe</v>
      </c>
      <c r="AD599" s="4">
        <f>SalesCleanTable[[#This Row],[Unit Price]] - SalesCleanTable[[#This Row],[Unit Cost]]</f>
        <v>1400</v>
      </c>
      <c r="AE599" s="41">
        <f>(SalesCleanTable[[#This Row],[Unit Price]] - SalesCleanTable[[#This Row],[Unit Cost]]) / SalesCleanTable[[#This Row],[Unit Price]]</f>
        <v>0.33333333333333331</v>
      </c>
    </row>
    <row r="600" spans="1:31">
      <c r="A600" t="s">
        <v>786</v>
      </c>
      <c r="B600" s="6">
        <v>45796</v>
      </c>
      <c r="C600" t="s">
        <v>45</v>
      </c>
      <c r="D600" t="s">
        <v>46</v>
      </c>
      <c r="E600" t="s">
        <v>38</v>
      </c>
      <c r="F600" t="s">
        <v>47</v>
      </c>
      <c r="G600" t="s">
        <v>48</v>
      </c>
      <c r="H600" t="s">
        <v>128</v>
      </c>
      <c r="I600" t="s">
        <v>129</v>
      </c>
      <c r="J600" t="s">
        <v>130</v>
      </c>
      <c r="K600" t="s">
        <v>131</v>
      </c>
      <c r="L600" t="s">
        <v>183</v>
      </c>
      <c r="M600" t="s">
        <v>171</v>
      </c>
      <c r="N600">
        <v>4</v>
      </c>
      <c r="O600" s="4">
        <v>230</v>
      </c>
      <c r="P600" s="4">
        <v>400</v>
      </c>
      <c r="Q600" s="7">
        <v>0.05</v>
      </c>
      <c r="R600" t="s">
        <v>168</v>
      </c>
      <c r="S600">
        <v>11</v>
      </c>
      <c r="T600">
        <v>1600</v>
      </c>
      <c r="U600">
        <v>80</v>
      </c>
      <c r="V600">
        <v>1520</v>
      </c>
      <c r="W600">
        <v>920</v>
      </c>
      <c r="X600">
        <v>600</v>
      </c>
      <c r="Y600" s="8">
        <v>0.39473684210526316</v>
      </c>
      <c r="Z600" t="s">
        <v>2995</v>
      </c>
      <c r="AA600" t="str">
        <f>IF(AND(SalesCleanTable[[#This Row],[Discount %]]&gt;0, SalesCleanTable[[#This Row],[Profit]]&lt;0), "Discount loss", "Safe")</f>
        <v>Safe</v>
      </c>
      <c r="AB600" s="25">
        <f>(SalesCleanTable[[#This Row],[Unit Price]] - SalesCleanTable[[#This Row],[Unit Cost]]) / SalesCleanTable[[#This Row],[Unit Price]]</f>
        <v>0.42499999999999999</v>
      </c>
      <c r="AC600" t="str">
        <f>IF(SalesCleanTable[[#This Row],[Discount %]] &gt; SalesCleanTable[[#This Row],[Max Allowed Discount]], "Discount loss", "Safe")</f>
        <v>Safe</v>
      </c>
      <c r="AD600" s="4">
        <f>SalesCleanTable[[#This Row],[Unit Price]] - SalesCleanTable[[#This Row],[Unit Cost]]</f>
        <v>170</v>
      </c>
      <c r="AE600" s="41">
        <f>(SalesCleanTable[[#This Row],[Unit Price]] - SalesCleanTable[[#This Row],[Unit Cost]]) / SalesCleanTable[[#This Row],[Unit Price]]</f>
        <v>0.42499999999999999</v>
      </c>
    </row>
    <row r="601" spans="1:31">
      <c r="A601" t="s">
        <v>787</v>
      </c>
      <c r="B601" s="6">
        <v>45757</v>
      </c>
      <c r="C601" t="s">
        <v>57</v>
      </c>
      <c r="D601" t="s">
        <v>58</v>
      </c>
      <c r="E601" t="s">
        <v>59</v>
      </c>
      <c r="F601" t="s">
        <v>60</v>
      </c>
      <c r="G601" t="s">
        <v>61</v>
      </c>
      <c r="H601" t="s">
        <v>141</v>
      </c>
      <c r="I601" t="s">
        <v>142</v>
      </c>
      <c r="J601" t="s">
        <v>143</v>
      </c>
      <c r="K601" t="s">
        <v>144</v>
      </c>
      <c r="L601" t="s">
        <v>166</v>
      </c>
      <c r="M601" t="s">
        <v>177</v>
      </c>
      <c r="N601">
        <v>10</v>
      </c>
      <c r="O601" s="4">
        <v>2400</v>
      </c>
      <c r="P601" s="4">
        <v>3400</v>
      </c>
      <c r="Q601" s="7">
        <v>0.05</v>
      </c>
      <c r="R601" t="s">
        <v>192</v>
      </c>
      <c r="S601">
        <v>1</v>
      </c>
      <c r="T601">
        <v>34000</v>
      </c>
      <c r="U601">
        <v>1700</v>
      </c>
      <c r="V601">
        <v>32300</v>
      </c>
      <c r="W601">
        <v>24000</v>
      </c>
      <c r="X601">
        <v>8300</v>
      </c>
      <c r="Y601" s="8">
        <v>0.25696594427244585</v>
      </c>
      <c r="Z601" t="s">
        <v>2996</v>
      </c>
      <c r="AA601" t="str">
        <f>IF(AND(SalesCleanTable[[#This Row],[Discount %]]&gt;0, SalesCleanTable[[#This Row],[Profit]]&lt;0), "Discount loss", "Safe")</f>
        <v>Safe</v>
      </c>
      <c r="AB601" s="25">
        <f>(SalesCleanTable[[#This Row],[Unit Price]] - SalesCleanTable[[#This Row],[Unit Cost]]) / SalesCleanTable[[#This Row],[Unit Price]]</f>
        <v>0.29411764705882354</v>
      </c>
      <c r="AC601" t="str">
        <f>IF(SalesCleanTable[[#This Row],[Discount %]] &gt; SalesCleanTable[[#This Row],[Max Allowed Discount]], "Discount loss", "Safe")</f>
        <v>Safe</v>
      </c>
      <c r="AD601" s="4">
        <f>SalesCleanTable[[#This Row],[Unit Price]] - SalesCleanTable[[#This Row],[Unit Cost]]</f>
        <v>1000</v>
      </c>
      <c r="AE601" s="41">
        <f>(SalesCleanTable[[#This Row],[Unit Price]] - SalesCleanTable[[#This Row],[Unit Cost]]) / SalesCleanTable[[#This Row],[Unit Price]]</f>
        <v>0.29411764705882354</v>
      </c>
    </row>
    <row r="602" spans="1:31">
      <c r="A602" t="s">
        <v>788</v>
      </c>
      <c r="B602" s="6">
        <v>45926</v>
      </c>
      <c r="C602" t="s">
        <v>32</v>
      </c>
      <c r="D602" t="s">
        <v>33</v>
      </c>
      <c r="E602" t="s">
        <v>26</v>
      </c>
      <c r="F602" t="s">
        <v>34</v>
      </c>
      <c r="G602" t="s">
        <v>35</v>
      </c>
      <c r="H602" t="s">
        <v>135</v>
      </c>
      <c r="I602" t="s">
        <v>136</v>
      </c>
      <c r="J602" t="s">
        <v>137</v>
      </c>
      <c r="K602" t="s">
        <v>138</v>
      </c>
      <c r="L602" t="s">
        <v>166</v>
      </c>
      <c r="M602" t="s">
        <v>177</v>
      </c>
      <c r="N602">
        <v>1</v>
      </c>
      <c r="O602" s="4">
        <v>7800</v>
      </c>
      <c r="P602" s="4">
        <v>9800</v>
      </c>
      <c r="Q602" s="7">
        <v>0</v>
      </c>
      <c r="R602" t="s">
        <v>197</v>
      </c>
      <c r="S602">
        <v>1</v>
      </c>
      <c r="T602">
        <v>9800</v>
      </c>
      <c r="U602">
        <v>0</v>
      </c>
      <c r="V602">
        <v>9800</v>
      </c>
      <c r="W602">
        <v>7800</v>
      </c>
      <c r="X602">
        <v>2000</v>
      </c>
      <c r="Y602" s="8">
        <v>0.20408163265306123</v>
      </c>
      <c r="Z602" t="s">
        <v>2995</v>
      </c>
      <c r="AA602" t="str">
        <f>IF(AND(SalesCleanTable[[#This Row],[Discount %]]&gt;0, SalesCleanTable[[#This Row],[Profit]]&lt;0), "Discount loss", "Safe")</f>
        <v>Safe</v>
      </c>
      <c r="AB602" s="25">
        <f>(SalesCleanTable[[#This Row],[Unit Price]] - SalesCleanTable[[#This Row],[Unit Cost]]) / SalesCleanTable[[#This Row],[Unit Price]]</f>
        <v>0.20408163265306123</v>
      </c>
      <c r="AC602" t="str">
        <f>IF(SalesCleanTable[[#This Row],[Discount %]] &gt; SalesCleanTable[[#This Row],[Max Allowed Discount]], "Discount loss", "Safe")</f>
        <v>Safe</v>
      </c>
      <c r="AD602" s="4">
        <f>SalesCleanTable[[#This Row],[Unit Price]] - SalesCleanTable[[#This Row],[Unit Cost]]</f>
        <v>2000</v>
      </c>
      <c r="AE602" s="41">
        <f>(SalesCleanTable[[#This Row],[Unit Price]] - SalesCleanTable[[#This Row],[Unit Cost]]) / SalesCleanTable[[#This Row],[Unit Price]]</f>
        <v>0.20408163265306123</v>
      </c>
    </row>
    <row r="603" spans="1:31">
      <c r="A603" t="s">
        <v>789</v>
      </c>
      <c r="B603" s="6">
        <v>45994</v>
      </c>
      <c r="C603" t="s">
        <v>107</v>
      </c>
      <c r="D603" t="s">
        <v>108</v>
      </c>
      <c r="E603" t="s">
        <v>109</v>
      </c>
      <c r="F603" t="s">
        <v>110</v>
      </c>
      <c r="G603" t="s">
        <v>111</v>
      </c>
      <c r="H603" t="s">
        <v>133</v>
      </c>
      <c r="I603" t="s">
        <v>134</v>
      </c>
      <c r="J603" t="s">
        <v>130</v>
      </c>
      <c r="K603" t="s">
        <v>131</v>
      </c>
      <c r="L603" t="s">
        <v>170</v>
      </c>
      <c r="M603" t="s">
        <v>177</v>
      </c>
      <c r="N603">
        <v>3</v>
      </c>
      <c r="O603" s="4">
        <v>5200</v>
      </c>
      <c r="P603" s="4">
        <v>7000</v>
      </c>
      <c r="Q603" s="7">
        <v>0.05</v>
      </c>
      <c r="R603" t="s">
        <v>184</v>
      </c>
      <c r="S603">
        <v>3</v>
      </c>
      <c r="T603">
        <v>21000</v>
      </c>
      <c r="U603">
        <v>1050</v>
      </c>
      <c r="V603">
        <v>19950</v>
      </c>
      <c r="W603">
        <v>15600</v>
      </c>
      <c r="X603">
        <v>4350</v>
      </c>
      <c r="Y603" s="8">
        <v>0.21804511278195488</v>
      </c>
      <c r="Z603" t="s">
        <v>2997</v>
      </c>
      <c r="AA603" t="str">
        <f>IF(AND(SalesCleanTable[[#This Row],[Discount %]]&gt;0, SalesCleanTable[[#This Row],[Profit]]&lt;0), "Discount loss", "Safe")</f>
        <v>Safe</v>
      </c>
      <c r="AB603" s="25">
        <f>(SalesCleanTable[[#This Row],[Unit Price]] - SalesCleanTable[[#This Row],[Unit Cost]]) / SalesCleanTable[[#This Row],[Unit Price]]</f>
        <v>0.25714285714285712</v>
      </c>
      <c r="AC603" t="str">
        <f>IF(SalesCleanTable[[#This Row],[Discount %]] &gt; SalesCleanTable[[#This Row],[Max Allowed Discount]], "Discount loss", "Safe")</f>
        <v>Safe</v>
      </c>
      <c r="AD603" s="4">
        <f>SalesCleanTable[[#This Row],[Unit Price]] - SalesCleanTable[[#This Row],[Unit Cost]]</f>
        <v>1800</v>
      </c>
      <c r="AE603" s="41">
        <f>(SalesCleanTable[[#This Row],[Unit Price]] - SalesCleanTable[[#This Row],[Unit Cost]]) / SalesCleanTable[[#This Row],[Unit Price]]</f>
        <v>0.25714285714285712</v>
      </c>
    </row>
    <row r="604" spans="1:31">
      <c r="A604" t="s">
        <v>790</v>
      </c>
      <c r="B604" s="6">
        <v>45989</v>
      </c>
      <c r="C604" t="s">
        <v>62</v>
      </c>
      <c r="D604" t="s">
        <v>63</v>
      </c>
      <c r="E604" t="s">
        <v>59</v>
      </c>
      <c r="F604" t="s">
        <v>64</v>
      </c>
      <c r="G604" t="s">
        <v>65</v>
      </c>
      <c r="H604" t="s">
        <v>153</v>
      </c>
      <c r="I604" t="s">
        <v>154</v>
      </c>
      <c r="J604" t="s">
        <v>155</v>
      </c>
      <c r="K604" t="s">
        <v>131</v>
      </c>
      <c r="L604" t="s">
        <v>166</v>
      </c>
      <c r="M604" t="s">
        <v>186</v>
      </c>
      <c r="N604">
        <v>6</v>
      </c>
      <c r="O604" s="4">
        <v>3200</v>
      </c>
      <c r="P604" s="4">
        <v>4500</v>
      </c>
      <c r="Q604" s="7">
        <v>0.1</v>
      </c>
      <c r="R604" t="s">
        <v>192</v>
      </c>
      <c r="S604">
        <v>11</v>
      </c>
      <c r="T604">
        <v>27000</v>
      </c>
      <c r="U604">
        <v>2700</v>
      </c>
      <c r="V604">
        <v>24300</v>
      </c>
      <c r="W604">
        <v>19200</v>
      </c>
      <c r="X604">
        <v>5100</v>
      </c>
      <c r="Y604" s="8">
        <v>0.20987654320987653</v>
      </c>
      <c r="Z604" t="s">
        <v>2996</v>
      </c>
      <c r="AA604" t="str">
        <f>IF(AND(SalesCleanTable[[#This Row],[Discount %]]&gt;0, SalesCleanTable[[#This Row],[Profit]]&lt;0), "Discount loss", "Safe")</f>
        <v>Safe</v>
      </c>
      <c r="AB604" s="25">
        <f>(SalesCleanTable[[#This Row],[Unit Price]] - SalesCleanTable[[#This Row],[Unit Cost]]) / SalesCleanTable[[#This Row],[Unit Price]]</f>
        <v>0.28888888888888886</v>
      </c>
      <c r="AC604" t="str">
        <f>IF(SalesCleanTable[[#This Row],[Discount %]] &gt; SalesCleanTable[[#This Row],[Max Allowed Discount]], "Discount loss", "Safe")</f>
        <v>Safe</v>
      </c>
      <c r="AD604" s="4">
        <f>SalesCleanTable[[#This Row],[Unit Price]] - SalesCleanTable[[#This Row],[Unit Cost]]</f>
        <v>1300</v>
      </c>
      <c r="AE604" s="41">
        <f>(SalesCleanTable[[#This Row],[Unit Price]] - SalesCleanTable[[#This Row],[Unit Cost]]) / SalesCleanTable[[#This Row],[Unit Price]]</f>
        <v>0.28888888888888886</v>
      </c>
    </row>
    <row r="605" spans="1:31">
      <c r="A605" t="s">
        <v>791</v>
      </c>
      <c r="B605" s="6">
        <v>45799</v>
      </c>
      <c r="C605" t="s">
        <v>90</v>
      </c>
      <c r="D605" t="s">
        <v>91</v>
      </c>
      <c r="E605" t="s">
        <v>92</v>
      </c>
      <c r="F605" t="s">
        <v>93</v>
      </c>
      <c r="G605" t="s">
        <v>94</v>
      </c>
      <c r="H605" t="s">
        <v>141</v>
      </c>
      <c r="I605" t="s">
        <v>142</v>
      </c>
      <c r="J605" t="s">
        <v>143</v>
      </c>
      <c r="K605" t="s">
        <v>144</v>
      </c>
      <c r="L605" t="s">
        <v>166</v>
      </c>
      <c r="M605" t="s">
        <v>171</v>
      </c>
      <c r="N605">
        <v>4</v>
      </c>
      <c r="O605" s="4">
        <v>7500</v>
      </c>
      <c r="P605" s="4">
        <v>10500</v>
      </c>
      <c r="Q605" s="7">
        <v>0.2</v>
      </c>
      <c r="R605" t="s">
        <v>217</v>
      </c>
      <c r="S605">
        <v>13</v>
      </c>
      <c r="T605">
        <v>42000</v>
      </c>
      <c r="U605">
        <v>8400</v>
      </c>
      <c r="V605">
        <v>33600</v>
      </c>
      <c r="W605">
        <v>30000</v>
      </c>
      <c r="X605">
        <v>3600</v>
      </c>
      <c r="Y605" s="8">
        <v>0.10714285714285714</v>
      </c>
      <c r="Z605" t="s">
        <v>2996</v>
      </c>
      <c r="AA605" t="str">
        <f>IF(AND(SalesCleanTable[[#This Row],[Discount %]]&gt;0, SalesCleanTable[[#This Row],[Profit]]&lt;0), "Discount loss", "Safe")</f>
        <v>Safe</v>
      </c>
      <c r="AB605" s="25">
        <f>(SalesCleanTable[[#This Row],[Unit Price]] - SalesCleanTable[[#This Row],[Unit Cost]]) / SalesCleanTable[[#This Row],[Unit Price]]</f>
        <v>0.2857142857142857</v>
      </c>
      <c r="AC605" t="str">
        <f>IF(SalesCleanTable[[#This Row],[Discount %]] &gt; SalesCleanTable[[#This Row],[Max Allowed Discount]], "Discount loss", "Safe")</f>
        <v>Safe</v>
      </c>
      <c r="AD605" s="4">
        <f>SalesCleanTable[[#This Row],[Unit Price]] - SalesCleanTable[[#This Row],[Unit Cost]]</f>
        <v>3000</v>
      </c>
      <c r="AE605" s="41">
        <f>(SalesCleanTable[[#This Row],[Unit Price]] - SalesCleanTable[[#This Row],[Unit Cost]]) / SalesCleanTable[[#This Row],[Unit Price]]</f>
        <v>0.2857142857142857</v>
      </c>
    </row>
    <row r="606" spans="1:31">
      <c r="A606" t="s">
        <v>792</v>
      </c>
      <c r="B606" s="6">
        <v>45856</v>
      </c>
      <c r="C606" t="s">
        <v>45</v>
      </c>
      <c r="D606" t="s">
        <v>46</v>
      </c>
      <c r="E606" t="s">
        <v>38</v>
      </c>
      <c r="F606" t="s">
        <v>47</v>
      </c>
      <c r="G606" t="s">
        <v>48</v>
      </c>
      <c r="H606" t="s">
        <v>128</v>
      </c>
      <c r="I606" t="s">
        <v>129</v>
      </c>
      <c r="J606" t="s">
        <v>130</v>
      </c>
      <c r="K606" t="s">
        <v>131</v>
      </c>
      <c r="L606" t="s">
        <v>166</v>
      </c>
      <c r="M606" t="s">
        <v>186</v>
      </c>
      <c r="N606">
        <v>8</v>
      </c>
      <c r="O606" s="4">
        <v>230</v>
      </c>
      <c r="P606" s="4">
        <v>400</v>
      </c>
      <c r="Q606" s="7">
        <v>0</v>
      </c>
      <c r="R606" t="s">
        <v>178</v>
      </c>
      <c r="S606">
        <v>10</v>
      </c>
      <c r="T606">
        <v>3200</v>
      </c>
      <c r="U606">
        <v>0</v>
      </c>
      <c r="V606">
        <v>3200</v>
      </c>
      <c r="W606">
        <v>1840</v>
      </c>
      <c r="X606">
        <v>1360</v>
      </c>
      <c r="Y606" s="8">
        <v>0.42499999999999999</v>
      </c>
      <c r="Z606" t="s">
        <v>2995</v>
      </c>
      <c r="AA606" t="str">
        <f>IF(AND(SalesCleanTable[[#This Row],[Discount %]]&gt;0, SalesCleanTable[[#This Row],[Profit]]&lt;0), "Discount loss", "Safe")</f>
        <v>Safe</v>
      </c>
      <c r="AB606" s="25">
        <f>(SalesCleanTable[[#This Row],[Unit Price]] - SalesCleanTable[[#This Row],[Unit Cost]]) / SalesCleanTable[[#This Row],[Unit Price]]</f>
        <v>0.42499999999999999</v>
      </c>
      <c r="AC606" t="str">
        <f>IF(SalesCleanTable[[#This Row],[Discount %]] &gt; SalesCleanTable[[#This Row],[Max Allowed Discount]], "Discount loss", "Safe")</f>
        <v>Safe</v>
      </c>
      <c r="AD606" s="4">
        <f>SalesCleanTable[[#This Row],[Unit Price]] - SalesCleanTable[[#This Row],[Unit Cost]]</f>
        <v>170</v>
      </c>
      <c r="AE606" s="41">
        <f>(SalesCleanTable[[#This Row],[Unit Price]] - SalesCleanTable[[#This Row],[Unit Cost]]) / SalesCleanTable[[#This Row],[Unit Price]]</f>
        <v>0.42499999999999999</v>
      </c>
    </row>
    <row r="607" spans="1:31">
      <c r="A607" t="s">
        <v>793</v>
      </c>
      <c r="B607" s="6">
        <v>45988</v>
      </c>
      <c r="C607" t="s">
        <v>53</v>
      </c>
      <c r="D607" t="s">
        <v>54</v>
      </c>
      <c r="E607" t="s">
        <v>38</v>
      </c>
      <c r="F607" t="s">
        <v>55</v>
      </c>
      <c r="G607" t="s">
        <v>56</v>
      </c>
      <c r="H607" t="s">
        <v>133</v>
      </c>
      <c r="I607" t="s">
        <v>134</v>
      </c>
      <c r="J607" t="s">
        <v>130</v>
      </c>
      <c r="K607" t="s">
        <v>131</v>
      </c>
      <c r="L607" t="s">
        <v>183</v>
      </c>
      <c r="M607" t="s">
        <v>171</v>
      </c>
      <c r="N607">
        <v>4</v>
      </c>
      <c r="O607" s="4">
        <v>330</v>
      </c>
      <c r="P607" s="4">
        <v>550</v>
      </c>
      <c r="Q607" s="7">
        <v>0</v>
      </c>
      <c r="R607" t="s">
        <v>168</v>
      </c>
      <c r="S607">
        <v>5</v>
      </c>
      <c r="T607">
        <v>2200</v>
      </c>
      <c r="U607">
        <v>0</v>
      </c>
      <c r="V607">
        <v>2200</v>
      </c>
      <c r="W607">
        <v>1320</v>
      </c>
      <c r="X607">
        <v>880</v>
      </c>
      <c r="Y607" s="8">
        <v>0.4</v>
      </c>
      <c r="Z607" t="s">
        <v>2996</v>
      </c>
      <c r="AA607" t="str">
        <f>IF(AND(SalesCleanTable[[#This Row],[Discount %]]&gt;0, SalesCleanTable[[#This Row],[Profit]]&lt;0), "Discount loss", "Safe")</f>
        <v>Safe</v>
      </c>
      <c r="AB607" s="25">
        <f>(SalesCleanTable[[#This Row],[Unit Price]] - SalesCleanTable[[#This Row],[Unit Cost]]) / SalesCleanTable[[#This Row],[Unit Price]]</f>
        <v>0.4</v>
      </c>
      <c r="AC607" t="str">
        <f>IF(SalesCleanTable[[#This Row],[Discount %]] &gt; SalesCleanTable[[#This Row],[Max Allowed Discount]], "Discount loss", "Safe")</f>
        <v>Safe</v>
      </c>
      <c r="AD607" s="4">
        <f>SalesCleanTable[[#This Row],[Unit Price]] - SalesCleanTable[[#This Row],[Unit Cost]]</f>
        <v>220</v>
      </c>
      <c r="AE607" s="41">
        <f>(SalesCleanTable[[#This Row],[Unit Price]] - SalesCleanTable[[#This Row],[Unit Cost]]) / SalesCleanTable[[#This Row],[Unit Price]]</f>
        <v>0.4</v>
      </c>
    </row>
    <row r="608" spans="1:31">
      <c r="A608" t="s">
        <v>794</v>
      </c>
      <c r="B608" s="6">
        <v>45695</v>
      </c>
      <c r="C608" t="s">
        <v>29</v>
      </c>
      <c r="D608" t="s">
        <v>30</v>
      </c>
      <c r="E608" t="s">
        <v>26</v>
      </c>
      <c r="F608" t="s">
        <v>27</v>
      </c>
      <c r="G608" t="s">
        <v>31</v>
      </c>
      <c r="H608" t="s">
        <v>145</v>
      </c>
      <c r="I608" t="s">
        <v>146</v>
      </c>
      <c r="J608" t="s">
        <v>147</v>
      </c>
      <c r="K608" t="s">
        <v>148</v>
      </c>
      <c r="L608" t="s">
        <v>166</v>
      </c>
      <c r="M608" t="s">
        <v>171</v>
      </c>
      <c r="N608">
        <v>5</v>
      </c>
      <c r="O608" s="4">
        <v>6200</v>
      </c>
      <c r="P608" s="4">
        <v>7900</v>
      </c>
      <c r="Q608" s="7">
        <v>0</v>
      </c>
      <c r="R608" t="s">
        <v>197</v>
      </c>
      <c r="S608">
        <v>1</v>
      </c>
      <c r="T608">
        <v>39500</v>
      </c>
      <c r="U608">
        <v>0</v>
      </c>
      <c r="V608">
        <v>39500</v>
      </c>
      <c r="W608">
        <v>31000</v>
      </c>
      <c r="X608">
        <v>8500</v>
      </c>
      <c r="Y608" s="8">
        <v>0.21518987341772153</v>
      </c>
      <c r="Z608" t="s">
        <v>2996</v>
      </c>
      <c r="AA608" t="str">
        <f>IF(AND(SalesCleanTable[[#This Row],[Discount %]]&gt;0, SalesCleanTable[[#This Row],[Profit]]&lt;0), "Discount loss", "Safe")</f>
        <v>Safe</v>
      </c>
      <c r="AB608" s="25">
        <f>(SalesCleanTable[[#This Row],[Unit Price]] - SalesCleanTable[[#This Row],[Unit Cost]]) / SalesCleanTable[[#This Row],[Unit Price]]</f>
        <v>0.21518987341772153</v>
      </c>
      <c r="AC608" t="str">
        <f>IF(SalesCleanTable[[#This Row],[Discount %]] &gt; SalesCleanTable[[#This Row],[Max Allowed Discount]], "Discount loss", "Safe")</f>
        <v>Safe</v>
      </c>
      <c r="AD608" s="4">
        <f>SalesCleanTable[[#This Row],[Unit Price]] - SalesCleanTable[[#This Row],[Unit Cost]]</f>
        <v>1700</v>
      </c>
      <c r="AE608" s="41">
        <f>(SalesCleanTable[[#This Row],[Unit Price]] - SalesCleanTable[[#This Row],[Unit Cost]]) / SalesCleanTable[[#This Row],[Unit Price]]</f>
        <v>0.21518987341772153</v>
      </c>
    </row>
    <row r="609" spans="1:31">
      <c r="A609" t="s">
        <v>795</v>
      </c>
      <c r="B609" s="6">
        <v>45794</v>
      </c>
      <c r="C609" t="s">
        <v>36</v>
      </c>
      <c r="D609" t="s">
        <v>37</v>
      </c>
      <c r="E609" t="s">
        <v>38</v>
      </c>
      <c r="F609" t="s">
        <v>39</v>
      </c>
      <c r="G609" t="s">
        <v>40</v>
      </c>
      <c r="H609" t="s">
        <v>135</v>
      </c>
      <c r="I609" t="s">
        <v>136</v>
      </c>
      <c r="J609" t="s">
        <v>137</v>
      </c>
      <c r="K609" t="s">
        <v>138</v>
      </c>
      <c r="L609" t="s">
        <v>183</v>
      </c>
      <c r="M609" t="s">
        <v>171</v>
      </c>
      <c r="N609">
        <v>2</v>
      </c>
      <c r="O609" s="4">
        <v>1650</v>
      </c>
      <c r="P609" s="4">
        <v>2200</v>
      </c>
      <c r="Q609" s="7">
        <v>0</v>
      </c>
      <c r="R609" t="s">
        <v>175</v>
      </c>
      <c r="S609">
        <v>7</v>
      </c>
      <c r="T609">
        <v>4400</v>
      </c>
      <c r="U609">
        <v>0</v>
      </c>
      <c r="V609">
        <v>4400</v>
      </c>
      <c r="W609">
        <v>3300</v>
      </c>
      <c r="X609">
        <v>1100</v>
      </c>
      <c r="Y609" s="8">
        <v>0.25</v>
      </c>
      <c r="Z609" t="s">
        <v>2995</v>
      </c>
      <c r="AA609" t="str">
        <f>IF(AND(SalesCleanTable[[#This Row],[Discount %]]&gt;0, SalesCleanTable[[#This Row],[Profit]]&lt;0), "Discount loss", "Safe")</f>
        <v>Safe</v>
      </c>
      <c r="AB609" s="25">
        <f>(SalesCleanTable[[#This Row],[Unit Price]] - SalesCleanTable[[#This Row],[Unit Cost]]) / SalesCleanTable[[#This Row],[Unit Price]]</f>
        <v>0.25</v>
      </c>
      <c r="AC609" t="str">
        <f>IF(SalesCleanTable[[#This Row],[Discount %]] &gt; SalesCleanTable[[#This Row],[Max Allowed Discount]], "Discount loss", "Safe")</f>
        <v>Safe</v>
      </c>
      <c r="AD609" s="4">
        <f>SalesCleanTable[[#This Row],[Unit Price]] - SalesCleanTable[[#This Row],[Unit Cost]]</f>
        <v>550</v>
      </c>
      <c r="AE609" s="41">
        <f>(SalesCleanTable[[#This Row],[Unit Price]] - SalesCleanTable[[#This Row],[Unit Cost]]) / SalesCleanTable[[#This Row],[Unit Price]]</f>
        <v>0.25</v>
      </c>
    </row>
    <row r="610" spans="1:31">
      <c r="A610" t="s">
        <v>796</v>
      </c>
      <c r="B610" s="6">
        <v>45693</v>
      </c>
      <c r="C610" t="s">
        <v>57</v>
      </c>
      <c r="D610" t="s">
        <v>58</v>
      </c>
      <c r="E610" t="s">
        <v>59</v>
      </c>
      <c r="F610" t="s">
        <v>60</v>
      </c>
      <c r="G610" t="s">
        <v>61</v>
      </c>
      <c r="H610" t="s">
        <v>128</v>
      </c>
      <c r="I610" t="s">
        <v>129</v>
      </c>
      <c r="J610" t="s">
        <v>130</v>
      </c>
      <c r="K610" t="s">
        <v>131</v>
      </c>
      <c r="L610" t="s">
        <v>166</v>
      </c>
      <c r="M610" t="s">
        <v>171</v>
      </c>
      <c r="N610">
        <v>8</v>
      </c>
      <c r="O610" s="4">
        <v>2400</v>
      </c>
      <c r="P610" s="4">
        <v>3400</v>
      </c>
      <c r="Q610" s="7">
        <v>0.15</v>
      </c>
      <c r="R610" t="s">
        <v>204</v>
      </c>
      <c r="S610">
        <v>6</v>
      </c>
      <c r="T610">
        <v>27200</v>
      </c>
      <c r="U610">
        <v>4080</v>
      </c>
      <c r="V610">
        <v>23120</v>
      </c>
      <c r="W610">
        <v>19200</v>
      </c>
      <c r="X610">
        <v>3920</v>
      </c>
      <c r="Y610" s="8">
        <v>0.16955017301038061</v>
      </c>
      <c r="Z610" t="s">
        <v>2996</v>
      </c>
      <c r="AA610" t="str">
        <f>IF(AND(SalesCleanTable[[#This Row],[Discount %]]&gt;0, SalesCleanTable[[#This Row],[Profit]]&lt;0), "Discount loss", "Safe")</f>
        <v>Safe</v>
      </c>
      <c r="AB610" s="25">
        <f>(SalesCleanTable[[#This Row],[Unit Price]] - SalesCleanTable[[#This Row],[Unit Cost]]) / SalesCleanTable[[#This Row],[Unit Price]]</f>
        <v>0.29411764705882354</v>
      </c>
      <c r="AC610" t="str">
        <f>IF(SalesCleanTable[[#This Row],[Discount %]] &gt; SalesCleanTable[[#This Row],[Max Allowed Discount]], "Discount loss", "Safe")</f>
        <v>Safe</v>
      </c>
      <c r="AD610" s="4">
        <f>SalesCleanTable[[#This Row],[Unit Price]] - SalesCleanTable[[#This Row],[Unit Cost]]</f>
        <v>1000</v>
      </c>
      <c r="AE610" s="41">
        <f>(SalesCleanTable[[#This Row],[Unit Price]] - SalesCleanTable[[#This Row],[Unit Cost]]) / SalesCleanTable[[#This Row],[Unit Price]]</f>
        <v>0.29411764705882354</v>
      </c>
    </row>
    <row r="611" spans="1:31">
      <c r="A611" t="s">
        <v>797</v>
      </c>
      <c r="B611" s="6">
        <v>45863</v>
      </c>
      <c r="C611" t="s">
        <v>29</v>
      </c>
      <c r="D611" t="s">
        <v>30</v>
      </c>
      <c r="E611" t="s">
        <v>26</v>
      </c>
      <c r="F611" t="s">
        <v>27</v>
      </c>
      <c r="G611" t="s">
        <v>31</v>
      </c>
      <c r="H611" t="s">
        <v>153</v>
      </c>
      <c r="I611" t="s">
        <v>154</v>
      </c>
      <c r="J611" t="s">
        <v>155</v>
      </c>
      <c r="K611" t="s">
        <v>131</v>
      </c>
      <c r="L611" t="s">
        <v>183</v>
      </c>
      <c r="M611" t="s">
        <v>186</v>
      </c>
      <c r="N611">
        <v>3</v>
      </c>
      <c r="O611" s="4">
        <v>6200</v>
      </c>
      <c r="P611" s="4">
        <v>7900</v>
      </c>
      <c r="Q611" s="7">
        <v>0.05</v>
      </c>
      <c r="R611" t="s">
        <v>194</v>
      </c>
      <c r="S611">
        <v>13</v>
      </c>
      <c r="T611">
        <v>23700</v>
      </c>
      <c r="U611">
        <v>1185</v>
      </c>
      <c r="V611">
        <v>22515</v>
      </c>
      <c r="W611">
        <v>18600</v>
      </c>
      <c r="X611">
        <v>3915</v>
      </c>
      <c r="Y611" s="8">
        <v>0.17388407728181213</v>
      </c>
      <c r="Z611" t="s">
        <v>2996</v>
      </c>
      <c r="AA611" t="str">
        <f>IF(AND(SalesCleanTable[[#This Row],[Discount %]]&gt;0, SalesCleanTable[[#This Row],[Profit]]&lt;0), "Discount loss", "Safe")</f>
        <v>Safe</v>
      </c>
      <c r="AB611" s="25">
        <f>(SalesCleanTable[[#This Row],[Unit Price]] - SalesCleanTable[[#This Row],[Unit Cost]]) / SalesCleanTable[[#This Row],[Unit Price]]</f>
        <v>0.21518987341772153</v>
      </c>
      <c r="AC611" t="str">
        <f>IF(SalesCleanTable[[#This Row],[Discount %]] &gt; SalesCleanTable[[#This Row],[Max Allowed Discount]], "Discount loss", "Safe")</f>
        <v>Safe</v>
      </c>
      <c r="AD611" s="4">
        <f>SalesCleanTable[[#This Row],[Unit Price]] - SalesCleanTable[[#This Row],[Unit Cost]]</f>
        <v>1700</v>
      </c>
      <c r="AE611" s="41">
        <f>(SalesCleanTable[[#This Row],[Unit Price]] - SalesCleanTable[[#This Row],[Unit Cost]]) / SalesCleanTable[[#This Row],[Unit Price]]</f>
        <v>0.21518987341772153</v>
      </c>
    </row>
    <row r="612" spans="1:31">
      <c r="A612" t="s">
        <v>798</v>
      </c>
      <c r="B612" s="6">
        <v>45989</v>
      </c>
      <c r="C612" t="s">
        <v>41</v>
      </c>
      <c r="D612" t="s">
        <v>42</v>
      </c>
      <c r="E612" t="s">
        <v>26</v>
      </c>
      <c r="F612" t="s">
        <v>43</v>
      </c>
      <c r="G612" t="s">
        <v>44</v>
      </c>
      <c r="H612" t="s">
        <v>139</v>
      </c>
      <c r="I612" t="s">
        <v>140</v>
      </c>
      <c r="J612" t="s">
        <v>137</v>
      </c>
      <c r="K612" t="s">
        <v>138</v>
      </c>
      <c r="L612" t="s">
        <v>166</v>
      </c>
      <c r="M612" t="s">
        <v>186</v>
      </c>
      <c r="N612">
        <v>8</v>
      </c>
      <c r="O612" s="4">
        <v>850</v>
      </c>
      <c r="P612" s="4">
        <v>1300</v>
      </c>
      <c r="Q612" s="7">
        <v>0.1</v>
      </c>
      <c r="R612" t="s">
        <v>197</v>
      </c>
      <c r="S612">
        <v>11</v>
      </c>
      <c r="T612">
        <v>10400</v>
      </c>
      <c r="U612">
        <v>1040</v>
      </c>
      <c r="V612">
        <v>9360</v>
      </c>
      <c r="W612">
        <v>6800</v>
      </c>
      <c r="X612">
        <v>2560</v>
      </c>
      <c r="Y612" s="8">
        <v>0.27350427350427353</v>
      </c>
      <c r="Z612" t="s">
        <v>2995</v>
      </c>
      <c r="AA612" t="str">
        <f>IF(AND(SalesCleanTable[[#This Row],[Discount %]]&gt;0, SalesCleanTable[[#This Row],[Profit]]&lt;0), "Discount loss", "Safe")</f>
        <v>Safe</v>
      </c>
      <c r="AB612" s="25">
        <f>(SalesCleanTable[[#This Row],[Unit Price]] - SalesCleanTable[[#This Row],[Unit Cost]]) / SalesCleanTable[[#This Row],[Unit Price]]</f>
        <v>0.34615384615384615</v>
      </c>
      <c r="AC612" t="str">
        <f>IF(SalesCleanTable[[#This Row],[Discount %]] &gt; SalesCleanTable[[#This Row],[Max Allowed Discount]], "Discount loss", "Safe")</f>
        <v>Safe</v>
      </c>
      <c r="AD612" s="4">
        <f>SalesCleanTable[[#This Row],[Unit Price]] - SalesCleanTable[[#This Row],[Unit Cost]]</f>
        <v>450</v>
      </c>
      <c r="AE612" s="41">
        <f>(SalesCleanTable[[#This Row],[Unit Price]] - SalesCleanTable[[#This Row],[Unit Cost]]) / SalesCleanTable[[#This Row],[Unit Price]]</f>
        <v>0.34615384615384615</v>
      </c>
    </row>
    <row r="613" spans="1:31">
      <c r="A613" t="s">
        <v>799</v>
      </c>
      <c r="B613" s="6">
        <v>45907</v>
      </c>
      <c r="C613" t="s">
        <v>29</v>
      </c>
      <c r="D613" t="s">
        <v>30</v>
      </c>
      <c r="E613" t="s">
        <v>26</v>
      </c>
      <c r="F613" t="s">
        <v>27</v>
      </c>
      <c r="G613" t="s">
        <v>31</v>
      </c>
      <c r="H613" t="s">
        <v>141</v>
      </c>
      <c r="I613" t="s">
        <v>142</v>
      </c>
      <c r="J613" t="s">
        <v>143</v>
      </c>
      <c r="K613" t="s">
        <v>144</v>
      </c>
      <c r="L613" t="s">
        <v>166</v>
      </c>
      <c r="M613" t="s">
        <v>171</v>
      </c>
      <c r="N613">
        <v>4</v>
      </c>
      <c r="O613" s="4">
        <v>6200</v>
      </c>
      <c r="P613" s="4">
        <v>7900</v>
      </c>
      <c r="Q613" s="7">
        <v>0</v>
      </c>
      <c r="R613" t="s">
        <v>173</v>
      </c>
      <c r="S613">
        <v>4</v>
      </c>
      <c r="T613">
        <v>31600</v>
      </c>
      <c r="U613">
        <v>0</v>
      </c>
      <c r="V613">
        <v>31600</v>
      </c>
      <c r="W613">
        <v>24800</v>
      </c>
      <c r="X613">
        <v>6800</v>
      </c>
      <c r="Y613" s="8">
        <v>0.21518987341772153</v>
      </c>
      <c r="Z613" t="s">
        <v>2996</v>
      </c>
      <c r="AA613" t="str">
        <f>IF(AND(SalesCleanTable[[#This Row],[Discount %]]&gt;0, SalesCleanTable[[#This Row],[Profit]]&lt;0), "Discount loss", "Safe")</f>
        <v>Safe</v>
      </c>
      <c r="AB613" s="25">
        <f>(SalesCleanTable[[#This Row],[Unit Price]] - SalesCleanTable[[#This Row],[Unit Cost]]) / SalesCleanTable[[#This Row],[Unit Price]]</f>
        <v>0.21518987341772153</v>
      </c>
      <c r="AC613" t="str">
        <f>IF(SalesCleanTable[[#This Row],[Discount %]] &gt; SalesCleanTable[[#This Row],[Max Allowed Discount]], "Discount loss", "Safe")</f>
        <v>Safe</v>
      </c>
      <c r="AD613" s="4">
        <f>SalesCleanTable[[#This Row],[Unit Price]] - SalesCleanTable[[#This Row],[Unit Cost]]</f>
        <v>1700</v>
      </c>
      <c r="AE613" s="41">
        <f>(SalesCleanTable[[#This Row],[Unit Price]] - SalesCleanTable[[#This Row],[Unit Cost]]) / SalesCleanTable[[#This Row],[Unit Price]]</f>
        <v>0.21518987341772153</v>
      </c>
    </row>
    <row r="614" spans="1:31">
      <c r="A614" t="s">
        <v>800</v>
      </c>
      <c r="B614" s="6">
        <v>45690</v>
      </c>
      <c r="C614" t="s">
        <v>95</v>
      </c>
      <c r="D614" t="s">
        <v>96</v>
      </c>
      <c r="E614" t="s">
        <v>92</v>
      </c>
      <c r="F614" t="s">
        <v>97</v>
      </c>
      <c r="G614" t="s">
        <v>98</v>
      </c>
      <c r="H614" t="s">
        <v>141</v>
      </c>
      <c r="I614" t="s">
        <v>142</v>
      </c>
      <c r="J614" t="s">
        <v>143</v>
      </c>
      <c r="K614" t="s">
        <v>144</v>
      </c>
      <c r="L614" t="s">
        <v>183</v>
      </c>
      <c r="M614" t="s">
        <v>171</v>
      </c>
      <c r="N614">
        <v>3</v>
      </c>
      <c r="O614" s="4">
        <v>18000</v>
      </c>
      <c r="P614" s="4">
        <v>24500</v>
      </c>
      <c r="Q614" s="7">
        <v>0.2</v>
      </c>
      <c r="R614" t="s">
        <v>181</v>
      </c>
      <c r="S614">
        <v>1</v>
      </c>
      <c r="T614">
        <v>73500</v>
      </c>
      <c r="U614">
        <v>14700</v>
      </c>
      <c r="V614">
        <v>58800</v>
      </c>
      <c r="W614">
        <v>54000</v>
      </c>
      <c r="X614">
        <v>4800</v>
      </c>
      <c r="Y614" s="8">
        <v>8.1632653061224483E-2</v>
      </c>
      <c r="Z614" t="s">
        <v>2995</v>
      </c>
      <c r="AA614" t="str">
        <f>IF(AND(SalesCleanTable[[#This Row],[Discount %]]&gt;0, SalesCleanTable[[#This Row],[Profit]]&lt;0), "Discount loss", "Safe")</f>
        <v>Safe</v>
      </c>
      <c r="AB614" s="25">
        <f>(SalesCleanTable[[#This Row],[Unit Price]] - SalesCleanTable[[#This Row],[Unit Cost]]) / SalesCleanTable[[#This Row],[Unit Price]]</f>
        <v>0.26530612244897961</v>
      </c>
      <c r="AC614" t="str">
        <f>IF(SalesCleanTable[[#This Row],[Discount %]] &gt; SalesCleanTable[[#This Row],[Max Allowed Discount]], "Discount loss", "Safe")</f>
        <v>Safe</v>
      </c>
      <c r="AD614" s="4">
        <f>SalesCleanTable[[#This Row],[Unit Price]] - SalesCleanTable[[#This Row],[Unit Cost]]</f>
        <v>6500</v>
      </c>
      <c r="AE614" s="41">
        <f>(SalesCleanTable[[#This Row],[Unit Price]] - SalesCleanTable[[#This Row],[Unit Cost]]) / SalesCleanTable[[#This Row],[Unit Price]]</f>
        <v>0.26530612244897961</v>
      </c>
    </row>
    <row r="615" spans="1:31">
      <c r="A615" t="s">
        <v>801</v>
      </c>
      <c r="B615" s="6">
        <v>45830</v>
      </c>
      <c r="C615" t="s">
        <v>95</v>
      </c>
      <c r="D615" t="s">
        <v>96</v>
      </c>
      <c r="E615" t="s">
        <v>92</v>
      </c>
      <c r="F615" t="s">
        <v>97</v>
      </c>
      <c r="G615" t="s">
        <v>98</v>
      </c>
      <c r="H615" t="s">
        <v>128</v>
      </c>
      <c r="I615" t="s">
        <v>129</v>
      </c>
      <c r="J615" t="s">
        <v>130</v>
      </c>
      <c r="K615" t="s">
        <v>131</v>
      </c>
      <c r="L615" t="s">
        <v>183</v>
      </c>
      <c r="M615" t="s">
        <v>186</v>
      </c>
      <c r="N615">
        <v>1</v>
      </c>
      <c r="O615" s="4">
        <v>18000</v>
      </c>
      <c r="P615" s="4">
        <v>24500</v>
      </c>
      <c r="Q615" s="7">
        <v>0.15</v>
      </c>
      <c r="R615" t="s">
        <v>215</v>
      </c>
      <c r="S615">
        <v>14</v>
      </c>
      <c r="T615">
        <v>24500</v>
      </c>
      <c r="U615">
        <v>3675</v>
      </c>
      <c r="V615">
        <v>20825</v>
      </c>
      <c r="W615">
        <v>18000</v>
      </c>
      <c r="X615">
        <v>2825</v>
      </c>
      <c r="Y615" s="8">
        <v>0.13565426170468187</v>
      </c>
      <c r="Z615" t="s">
        <v>2995</v>
      </c>
      <c r="AA615" t="str">
        <f>IF(AND(SalesCleanTable[[#This Row],[Discount %]]&gt;0, SalesCleanTable[[#This Row],[Profit]]&lt;0), "Discount loss", "Safe")</f>
        <v>Safe</v>
      </c>
      <c r="AB615" s="25">
        <f>(SalesCleanTable[[#This Row],[Unit Price]] - SalesCleanTable[[#This Row],[Unit Cost]]) / SalesCleanTable[[#This Row],[Unit Price]]</f>
        <v>0.26530612244897961</v>
      </c>
      <c r="AC615" t="str">
        <f>IF(SalesCleanTable[[#This Row],[Discount %]] &gt; SalesCleanTable[[#This Row],[Max Allowed Discount]], "Discount loss", "Safe")</f>
        <v>Safe</v>
      </c>
      <c r="AD615" s="4">
        <f>SalesCleanTable[[#This Row],[Unit Price]] - SalesCleanTable[[#This Row],[Unit Cost]]</f>
        <v>6500</v>
      </c>
      <c r="AE615" s="41">
        <f>(SalesCleanTable[[#This Row],[Unit Price]] - SalesCleanTable[[#This Row],[Unit Cost]]) / SalesCleanTable[[#This Row],[Unit Price]]</f>
        <v>0.26530612244897961</v>
      </c>
    </row>
    <row r="616" spans="1:31">
      <c r="A616" t="s">
        <v>802</v>
      </c>
      <c r="B616" s="6">
        <v>45734</v>
      </c>
      <c r="C616" t="s">
        <v>82</v>
      </c>
      <c r="D616" t="s">
        <v>83</v>
      </c>
      <c r="E616" t="s">
        <v>75</v>
      </c>
      <c r="F616" t="s">
        <v>84</v>
      </c>
      <c r="G616" t="s">
        <v>85</v>
      </c>
      <c r="H616" t="s">
        <v>133</v>
      </c>
      <c r="I616" t="s">
        <v>134</v>
      </c>
      <c r="J616" t="s">
        <v>130</v>
      </c>
      <c r="K616" t="s">
        <v>131</v>
      </c>
      <c r="L616" t="s">
        <v>166</v>
      </c>
      <c r="M616" t="s">
        <v>177</v>
      </c>
      <c r="N616">
        <v>1</v>
      </c>
      <c r="O616" s="4">
        <v>600</v>
      </c>
      <c r="P616" s="4">
        <v>950</v>
      </c>
      <c r="Q616" s="7">
        <v>0.1</v>
      </c>
      <c r="R616" t="s">
        <v>204</v>
      </c>
      <c r="S616">
        <v>1</v>
      </c>
      <c r="T616">
        <v>950</v>
      </c>
      <c r="U616">
        <v>95</v>
      </c>
      <c r="V616">
        <v>855</v>
      </c>
      <c r="W616">
        <v>600</v>
      </c>
      <c r="X616">
        <v>255</v>
      </c>
      <c r="Y616" s="8">
        <v>0.2982456140350877</v>
      </c>
      <c r="Z616" t="s">
        <v>2996</v>
      </c>
      <c r="AA616" t="str">
        <f>IF(AND(SalesCleanTable[[#This Row],[Discount %]]&gt;0, SalesCleanTable[[#This Row],[Profit]]&lt;0), "Discount loss", "Safe")</f>
        <v>Safe</v>
      </c>
      <c r="AB616" s="25">
        <f>(SalesCleanTable[[#This Row],[Unit Price]] - SalesCleanTable[[#This Row],[Unit Cost]]) / SalesCleanTable[[#This Row],[Unit Price]]</f>
        <v>0.36842105263157893</v>
      </c>
      <c r="AC616" t="str">
        <f>IF(SalesCleanTable[[#This Row],[Discount %]] &gt; SalesCleanTable[[#This Row],[Max Allowed Discount]], "Discount loss", "Safe")</f>
        <v>Safe</v>
      </c>
      <c r="AD616" s="4">
        <f>SalesCleanTable[[#This Row],[Unit Price]] - SalesCleanTable[[#This Row],[Unit Cost]]</f>
        <v>350</v>
      </c>
      <c r="AE616" s="41">
        <f>(SalesCleanTable[[#This Row],[Unit Price]] - SalesCleanTable[[#This Row],[Unit Cost]]) / SalesCleanTable[[#This Row],[Unit Price]]</f>
        <v>0.36842105263157893</v>
      </c>
    </row>
    <row r="617" spans="1:31">
      <c r="A617" t="s">
        <v>803</v>
      </c>
      <c r="B617" s="6">
        <v>45990</v>
      </c>
      <c r="C617" t="s">
        <v>32</v>
      </c>
      <c r="D617" t="s">
        <v>33</v>
      </c>
      <c r="E617" t="s">
        <v>26</v>
      </c>
      <c r="F617" t="s">
        <v>34</v>
      </c>
      <c r="G617" t="s">
        <v>35</v>
      </c>
      <c r="H617" t="s">
        <v>133</v>
      </c>
      <c r="I617" t="s">
        <v>134</v>
      </c>
      <c r="J617" t="s">
        <v>130</v>
      </c>
      <c r="K617" t="s">
        <v>131</v>
      </c>
      <c r="L617" t="s">
        <v>183</v>
      </c>
      <c r="M617" t="s">
        <v>186</v>
      </c>
      <c r="N617">
        <v>1</v>
      </c>
      <c r="O617" s="4">
        <v>7800</v>
      </c>
      <c r="P617" s="4">
        <v>9800</v>
      </c>
      <c r="Q617" s="7">
        <v>0.05</v>
      </c>
      <c r="R617" t="s">
        <v>197</v>
      </c>
      <c r="S617">
        <v>14</v>
      </c>
      <c r="T617">
        <v>9800</v>
      </c>
      <c r="U617">
        <v>490</v>
      </c>
      <c r="V617">
        <v>9310</v>
      </c>
      <c r="W617">
        <v>7800</v>
      </c>
      <c r="X617">
        <v>1510</v>
      </c>
      <c r="Y617" s="8">
        <v>0.16219119226638024</v>
      </c>
      <c r="Z617" t="s">
        <v>2995</v>
      </c>
      <c r="AA617" t="str">
        <f>IF(AND(SalesCleanTable[[#This Row],[Discount %]]&gt;0, SalesCleanTable[[#This Row],[Profit]]&lt;0), "Discount loss", "Safe")</f>
        <v>Safe</v>
      </c>
      <c r="AB617" s="25">
        <f>(SalesCleanTable[[#This Row],[Unit Price]] - SalesCleanTable[[#This Row],[Unit Cost]]) / SalesCleanTable[[#This Row],[Unit Price]]</f>
        <v>0.20408163265306123</v>
      </c>
      <c r="AC617" t="str">
        <f>IF(SalesCleanTable[[#This Row],[Discount %]] &gt; SalesCleanTable[[#This Row],[Max Allowed Discount]], "Discount loss", "Safe")</f>
        <v>Safe</v>
      </c>
      <c r="AD617" s="4">
        <f>SalesCleanTable[[#This Row],[Unit Price]] - SalesCleanTable[[#This Row],[Unit Cost]]</f>
        <v>2000</v>
      </c>
      <c r="AE617" s="41">
        <f>(SalesCleanTable[[#This Row],[Unit Price]] - SalesCleanTable[[#This Row],[Unit Cost]]) / SalesCleanTable[[#This Row],[Unit Price]]</f>
        <v>0.20408163265306123</v>
      </c>
    </row>
    <row r="618" spans="1:31">
      <c r="A618" t="s">
        <v>804</v>
      </c>
      <c r="B618" s="6">
        <v>45712</v>
      </c>
      <c r="C618" t="s">
        <v>32</v>
      </c>
      <c r="D618" t="s">
        <v>33</v>
      </c>
      <c r="E618" t="s">
        <v>26</v>
      </c>
      <c r="F618" t="s">
        <v>34</v>
      </c>
      <c r="G618" t="s">
        <v>35</v>
      </c>
      <c r="H618" t="s">
        <v>139</v>
      </c>
      <c r="I618" t="s">
        <v>140</v>
      </c>
      <c r="J618" t="s">
        <v>137</v>
      </c>
      <c r="K618" t="s">
        <v>138</v>
      </c>
      <c r="L618" t="s">
        <v>166</v>
      </c>
      <c r="M618" t="s">
        <v>186</v>
      </c>
      <c r="N618">
        <v>3</v>
      </c>
      <c r="O618" s="4">
        <v>7800</v>
      </c>
      <c r="P618" s="4">
        <v>9800</v>
      </c>
      <c r="Q618" s="7">
        <v>0</v>
      </c>
      <c r="R618" t="s">
        <v>173</v>
      </c>
      <c r="S618">
        <v>11</v>
      </c>
      <c r="T618">
        <v>29400</v>
      </c>
      <c r="U618">
        <v>0</v>
      </c>
      <c r="V618">
        <v>29400</v>
      </c>
      <c r="W618">
        <v>23400</v>
      </c>
      <c r="X618">
        <v>6000</v>
      </c>
      <c r="Y618" s="8">
        <v>0.20408163265306123</v>
      </c>
      <c r="Z618" t="s">
        <v>2995</v>
      </c>
      <c r="AA618" t="str">
        <f>IF(AND(SalesCleanTable[[#This Row],[Discount %]]&gt;0, SalesCleanTable[[#This Row],[Profit]]&lt;0), "Discount loss", "Safe")</f>
        <v>Safe</v>
      </c>
      <c r="AB618" s="25">
        <f>(SalesCleanTable[[#This Row],[Unit Price]] - SalesCleanTable[[#This Row],[Unit Cost]]) / SalesCleanTable[[#This Row],[Unit Price]]</f>
        <v>0.20408163265306123</v>
      </c>
      <c r="AC618" t="str">
        <f>IF(SalesCleanTable[[#This Row],[Discount %]] &gt; SalesCleanTable[[#This Row],[Max Allowed Discount]], "Discount loss", "Safe")</f>
        <v>Safe</v>
      </c>
      <c r="AD618" s="4">
        <f>SalesCleanTable[[#This Row],[Unit Price]] - SalesCleanTable[[#This Row],[Unit Cost]]</f>
        <v>2000</v>
      </c>
      <c r="AE618" s="41">
        <f>(SalesCleanTable[[#This Row],[Unit Price]] - SalesCleanTable[[#This Row],[Unit Cost]]) / SalesCleanTable[[#This Row],[Unit Price]]</f>
        <v>0.20408163265306123</v>
      </c>
    </row>
    <row r="619" spans="1:31">
      <c r="A619" t="s">
        <v>805</v>
      </c>
      <c r="B619" s="6">
        <v>45719</v>
      </c>
      <c r="C619" t="s">
        <v>116</v>
      </c>
      <c r="D619" t="s">
        <v>117</v>
      </c>
      <c r="E619" t="s">
        <v>109</v>
      </c>
      <c r="F619" t="s">
        <v>118</v>
      </c>
      <c r="G619" t="s">
        <v>119</v>
      </c>
      <c r="H619" t="s">
        <v>139</v>
      </c>
      <c r="I619" t="s">
        <v>140</v>
      </c>
      <c r="J619" t="s">
        <v>137</v>
      </c>
      <c r="K619" t="s">
        <v>138</v>
      </c>
      <c r="L619" t="s">
        <v>183</v>
      </c>
      <c r="M619" t="s">
        <v>171</v>
      </c>
      <c r="N619">
        <v>1</v>
      </c>
      <c r="O619" s="4">
        <v>2800</v>
      </c>
      <c r="P619" s="4">
        <v>4200</v>
      </c>
      <c r="Q619" s="7">
        <v>0.15</v>
      </c>
      <c r="R619" t="s">
        <v>184</v>
      </c>
      <c r="S619">
        <v>3</v>
      </c>
      <c r="T619">
        <v>4200</v>
      </c>
      <c r="U619">
        <v>630</v>
      </c>
      <c r="V619">
        <v>3570</v>
      </c>
      <c r="W619">
        <v>2800</v>
      </c>
      <c r="X619">
        <v>770</v>
      </c>
      <c r="Y619" s="8">
        <v>0.21568627450980393</v>
      </c>
      <c r="Z619" t="s">
        <v>2995</v>
      </c>
      <c r="AA619" t="str">
        <f>IF(AND(SalesCleanTable[[#This Row],[Discount %]]&gt;0, SalesCleanTable[[#This Row],[Profit]]&lt;0), "Discount loss", "Safe")</f>
        <v>Safe</v>
      </c>
      <c r="AB619" s="25">
        <f>(SalesCleanTable[[#This Row],[Unit Price]] - SalesCleanTable[[#This Row],[Unit Cost]]) / SalesCleanTable[[#This Row],[Unit Price]]</f>
        <v>0.33333333333333331</v>
      </c>
      <c r="AC619" t="str">
        <f>IF(SalesCleanTable[[#This Row],[Discount %]] &gt; SalesCleanTable[[#This Row],[Max Allowed Discount]], "Discount loss", "Safe")</f>
        <v>Safe</v>
      </c>
      <c r="AD619" s="4">
        <f>SalesCleanTable[[#This Row],[Unit Price]] - SalesCleanTable[[#This Row],[Unit Cost]]</f>
        <v>1400</v>
      </c>
      <c r="AE619" s="41">
        <f>(SalesCleanTable[[#This Row],[Unit Price]] - SalesCleanTable[[#This Row],[Unit Cost]]) / SalesCleanTable[[#This Row],[Unit Price]]</f>
        <v>0.33333333333333331</v>
      </c>
    </row>
    <row r="620" spans="1:31">
      <c r="A620" t="s">
        <v>806</v>
      </c>
      <c r="B620" s="6">
        <v>45719</v>
      </c>
      <c r="C620" t="s">
        <v>45</v>
      </c>
      <c r="D620" t="s">
        <v>46</v>
      </c>
      <c r="E620" t="s">
        <v>38</v>
      </c>
      <c r="F620" t="s">
        <v>47</v>
      </c>
      <c r="G620" t="s">
        <v>48</v>
      </c>
      <c r="H620" t="s">
        <v>145</v>
      </c>
      <c r="I620" t="s">
        <v>146</v>
      </c>
      <c r="J620" t="s">
        <v>147</v>
      </c>
      <c r="K620" t="s">
        <v>148</v>
      </c>
      <c r="L620" t="s">
        <v>166</v>
      </c>
      <c r="M620" t="s">
        <v>167</v>
      </c>
      <c r="N620">
        <v>1</v>
      </c>
      <c r="O620" s="4">
        <v>230</v>
      </c>
      <c r="P620" s="4">
        <v>400</v>
      </c>
      <c r="Q620" s="7">
        <v>0.05</v>
      </c>
      <c r="R620" t="s">
        <v>168</v>
      </c>
      <c r="S620">
        <v>1</v>
      </c>
      <c r="T620">
        <v>400</v>
      </c>
      <c r="U620">
        <v>20</v>
      </c>
      <c r="V620">
        <v>380</v>
      </c>
      <c r="W620">
        <v>230</v>
      </c>
      <c r="X620">
        <v>150</v>
      </c>
      <c r="Y620" s="8">
        <v>0.39473684210526316</v>
      </c>
      <c r="Z620" t="s">
        <v>2995</v>
      </c>
      <c r="AA620" t="str">
        <f>IF(AND(SalesCleanTable[[#This Row],[Discount %]]&gt;0, SalesCleanTable[[#This Row],[Profit]]&lt;0), "Discount loss", "Safe")</f>
        <v>Safe</v>
      </c>
      <c r="AB620" s="25">
        <f>(SalesCleanTable[[#This Row],[Unit Price]] - SalesCleanTable[[#This Row],[Unit Cost]]) / SalesCleanTable[[#This Row],[Unit Price]]</f>
        <v>0.42499999999999999</v>
      </c>
      <c r="AC620" t="str">
        <f>IF(SalesCleanTable[[#This Row],[Discount %]] &gt; SalesCleanTable[[#This Row],[Max Allowed Discount]], "Discount loss", "Safe")</f>
        <v>Safe</v>
      </c>
      <c r="AD620" s="4">
        <f>SalesCleanTable[[#This Row],[Unit Price]] - SalesCleanTable[[#This Row],[Unit Cost]]</f>
        <v>170</v>
      </c>
      <c r="AE620" s="41">
        <f>(SalesCleanTable[[#This Row],[Unit Price]] - SalesCleanTable[[#This Row],[Unit Cost]]) / SalesCleanTable[[#This Row],[Unit Price]]</f>
        <v>0.42499999999999999</v>
      </c>
    </row>
    <row r="621" spans="1:31">
      <c r="A621" t="s">
        <v>807</v>
      </c>
      <c r="B621" s="6">
        <v>45981</v>
      </c>
      <c r="C621" t="s">
        <v>69</v>
      </c>
      <c r="D621" t="s">
        <v>70</v>
      </c>
      <c r="E621" t="s">
        <v>59</v>
      </c>
      <c r="F621" t="s">
        <v>71</v>
      </c>
      <c r="G621" t="s">
        <v>72</v>
      </c>
      <c r="H621" t="s">
        <v>145</v>
      </c>
      <c r="I621" t="s">
        <v>146</v>
      </c>
      <c r="J621" t="s">
        <v>147</v>
      </c>
      <c r="K621" t="s">
        <v>148</v>
      </c>
      <c r="L621" t="s">
        <v>166</v>
      </c>
      <c r="M621" t="s">
        <v>177</v>
      </c>
      <c r="N621">
        <v>1</v>
      </c>
      <c r="O621" s="4">
        <v>1700</v>
      </c>
      <c r="P621" s="4">
        <v>2600</v>
      </c>
      <c r="Q621" s="7">
        <v>0.05</v>
      </c>
      <c r="R621" t="s">
        <v>192</v>
      </c>
      <c r="S621">
        <v>12</v>
      </c>
      <c r="T621">
        <v>2600</v>
      </c>
      <c r="U621">
        <v>130</v>
      </c>
      <c r="V621">
        <v>2470</v>
      </c>
      <c r="W621">
        <v>1700</v>
      </c>
      <c r="X621">
        <v>770</v>
      </c>
      <c r="Y621" s="8">
        <v>0.31174089068825911</v>
      </c>
      <c r="Z621" t="s">
        <v>2997</v>
      </c>
      <c r="AA621" t="str">
        <f>IF(AND(SalesCleanTable[[#This Row],[Discount %]]&gt;0, SalesCleanTable[[#This Row],[Profit]]&lt;0), "Discount loss", "Safe")</f>
        <v>Safe</v>
      </c>
      <c r="AB621" s="25">
        <f>(SalesCleanTable[[#This Row],[Unit Price]] - SalesCleanTable[[#This Row],[Unit Cost]]) / SalesCleanTable[[#This Row],[Unit Price]]</f>
        <v>0.34615384615384615</v>
      </c>
      <c r="AC621" t="str">
        <f>IF(SalesCleanTable[[#This Row],[Discount %]] &gt; SalesCleanTable[[#This Row],[Max Allowed Discount]], "Discount loss", "Safe")</f>
        <v>Safe</v>
      </c>
      <c r="AD621" s="4">
        <f>SalesCleanTable[[#This Row],[Unit Price]] - SalesCleanTable[[#This Row],[Unit Cost]]</f>
        <v>900</v>
      </c>
      <c r="AE621" s="41">
        <f>(SalesCleanTable[[#This Row],[Unit Price]] - SalesCleanTable[[#This Row],[Unit Cost]]) / SalesCleanTable[[#This Row],[Unit Price]]</f>
        <v>0.34615384615384615</v>
      </c>
    </row>
    <row r="622" spans="1:31">
      <c r="A622" t="s">
        <v>808</v>
      </c>
      <c r="B622" s="6">
        <v>45803</v>
      </c>
      <c r="C622" t="s">
        <v>49</v>
      </c>
      <c r="D622" t="s">
        <v>50</v>
      </c>
      <c r="E622" t="s">
        <v>38</v>
      </c>
      <c r="F622" t="s">
        <v>51</v>
      </c>
      <c r="G622" t="s">
        <v>52</v>
      </c>
      <c r="H622" t="s">
        <v>145</v>
      </c>
      <c r="I622" t="s">
        <v>146</v>
      </c>
      <c r="J622" t="s">
        <v>147</v>
      </c>
      <c r="K622" t="s">
        <v>148</v>
      </c>
      <c r="L622" t="s">
        <v>166</v>
      </c>
      <c r="M622" t="s">
        <v>171</v>
      </c>
      <c r="N622">
        <v>5</v>
      </c>
      <c r="O622" s="4">
        <v>550</v>
      </c>
      <c r="P622" s="4">
        <v>850</v>
      </c>
      <c r="Q622" s="7">
        <v>0.1</v>
      </c>
      <c r="R622" t="s">
        <v>168</v>
      </c>
      <c r="S622">
        <v>8</v>
      </c>
      <c r="T622">
        <v>4250</v>
      </c>
      <c r="U622">
        <v>425</v>
      </c>
      <c r="V622">
        <v>3825</v>
      </c>
      <c r="W622">
        <v>2750</v>
      </c>
      <c r="X622">
        <v>1075</v>
      </c>
      <c r="Y622" s="8">
        <v>0.28104575163398693</v>
      </c>
      <c r="Z622" t="s">
        <v>2996</v>
      </c>
      <c r="AA622" t="str">
        <f>IF(AND(SalesCleanTable[[#This Row],[Discount %]]&gt;0, SalesCleanTable[[#This Row],[Profit]]&lt;0), "Discount loss", "Safe")</f>
        <v>Safe</v>
      </c>
      <c r="AB622" s="25">
        <f>(SalesCleanTable[[#This Row],[Unit Price]] - SalesCleanTable[[#This Row],[Unit Cost]]) / SalesCleanTable[[#This Row],[Unit Price]]</f>
        <v>0.35294117647058826</v>
      </c>
      <c r="AC622" t="str">
        <f>IF(SalesCleanTable[[#This Row],[Discount %]] &gt; SalesCleanTable[[#This Row],[Max Allowed Discount]], "Discount loss", "Safe")</f>
        <v>Safe</v>
      </c>
      <c r="AD622" s="4">
        <f>SalesCleanTable[[#This Row],[Unit Price]] - SalesCleanTable[[#This Row],[Unit Cost]]</f>
        <v>300</v>
      </c>
      <c r="AE622" s="41">
        <f>(SalesCleanTable[[#This Row],[Unit Price]] - SalesCleanTable[[#This Row],[Unit Cost]]) / SalesCleanTable[[#This Row],[Unit Price]]</f>
        <v>0.35294117647058826</v>
      </c>
    </row>
    <row r="623" spans="1:31">
      <c r="A623" t="s">
        <v>809</v>
      </c>
      <c r="B623" s="6">
        <v>45747</v>
      </c>
      <c r="C623" t="s">
        <v>69</v>
      </c>
      <c r="D623" t="s">
        <v>70</v>
      </c>
      <c r="E623" t="s">
        <v>59</v>
      </c>
      <c r="F623" t="s">
        <v>71</v>
      </c>
      <c r="G623" t="s">
        <v>72</v>
      </c>
      <c r="H623" t="s">
        <v>128</v>
      </c>
      <c r="I623" t="s">
        <v>129</v>
      </c>
      <c r="J623" t="s">
        <v>130</v>
      </c>
      <c r="K623" t="s">
        <v>131</v>
      </c>
      <c r="L623" t="s">
        <v>170</v>
      </c>
      <c r="M623" t="s">
        <v>171</v>
      </c>
      <c r="N623">
        <v>1</v>
      </c>
      <c r="O623" s="4">
        <v>1700</v>
      </c>
      <c r="P623" s="4">
        <v>2600</v>
      </c>
      <c r="Q623" s="7">
        <v>0.05</v>
      </c>
      <c r="R623" t="s">
        <v>204</v>
      </c>
      <c r="S623">
        <v>6</v>
      </c>
      <c r="T623">
        <v>2600</v>
      </c>
      <c r="U623">
        <v>130</v>
      </c>
      <c r="V623">
        <v>2470</v>
      </c>
      <c r="W623">
        <v>1700</v>
      </c>
      <c r="X623">
        <v>770</v>
      </c>
      <c r="Y623" s="8">
        <v>0.31174089068825911</v>
      </c>
      <c r="Z623" t="s">
        <v>2997</v>
      </c>
      <c r="AA623" t="str">
        <f>IF(AND(SalesCleanTable[[#This Row],[Discount %]]&gt;0, SalesCleanTable[[#This Row],[Profit]]&lt;0), "Discount loss", "Safe")</f>
        <v>Safe</v>
      </c>
      <c r="AB623" s="25">
        <f>(SalesCleanTable[[#This Row],[Unit Price]] - SalesCleanTable[[#This Row],[Unit Cost]]) / SalesCleanTable[[#This Row],[Unit Price]]</f>
        <v>0.34615384615384615</v>
      </c>
      <c r="AC623" t="str">
        <f>IF(SalesCleanTable[[#This Row],[Discount %]] &gt; SalesCleanTable[[#This Row],[Max Allowed Discount]], "Discount loss", "Safe")</f>
        <v>Safe</v>
      </c>
      <c r="AD623" s="4">
        <f>SalesCleanTable[[#This Row],[Unit Price]] - SalesCleanTable[[#This Row],[Unit Cost]]</f>
        <v>900</v>
      </c>
      <c r="AE623" s="41">
        <f>(SalesCleanTable[[#This Row],[Unit Price]] - SalesCleanTable[[#This Row],[Unit Cost]]) / SalesCleanTable[[#This Row],[Unit Price]]</f>
        <v>0.34615384615384615</v>
      </c>
    </row>
    <row r="624" spans="1:31">
      <c r="A624" t="s">
        <v>810</v>
      </c>
      <c r="B624" s="6">
        <v>45943</v>
      </c>
      <c r="C624" t="s">
        <v>41</v>
      </c>
      <c r="D624" t="s">
        <v>42</v>
      </c>
      <c r="E624" t="s">
        <v>26</v>
      </c>
      <c r="F624" t="s">
        <v>43</v>
      </c>
      <c r="G624" t="s">
        <v>44</v>
      </c>
      <c r="H624" t="s">
        <v>128</v>
      </c>
      <c r="I624" t="s">
        <v>129</v>
      </c>
      <c r="J624" t="s">
        <v>130</v>
      </c>
      <c r="K624" t="s">
        <v>131</v>
      </c>
      <c r="L624" t="s">
        <v>166</v>
      </c>
      <c r="M624" t="s">
        <v>171</v>
      </c>
      <c r="N624">
        <v>3</v>
      </c>
      <c r="O624" s="4">
        <v>850</v>
      </c>
      <c r="P624" s="4">
        <v>1300</v>
      </c>
      <c r="Q624" s="7">
        <v>0</v>
      </c>
      <c r="R624" t="s">
        <v>173</v>
      </c>
      <c r="S624">
        <v>9</v>
      </c>
      <c r="T624">
        <v>3900</v>
      </c>
      <c r="U624">
        <v>0</v>
      </c>
      <c r="V624">
        <v>3900</v>
      </c>
      <c r="W624">
        <v>2550</v>
      </c>
      <c r="X624">
        <v>1350</v>
      </c>
      <c r="Y624" s="8">
        <v>0.34615384615384615</v>
      </c>
      <c r="Z624" t="s">
        <v>2995</v>
      </c>
      <c r="AA624" t="str">
        <f>IF(AND(SalesCleanTable[[#This Row],[Discount %]]&gt;0, SalesCleanTable[[#This Row],[Profit]]&lt;0), "Discount loss", "Safe")</f>
        <v>Safe</v>
      </c>
      <c r="AB624" s="25">
        <f>(SalesCleanTable[[#This Row],[Unit Price]] - SalesCleanTable[[#This Row],[Unit Cost]]) / SalesCleanTable[[#This Row],[Unit Price]]</f>
        <v>0.34615384615384615</v>
      </c>
      <c r="AC624" t="str">
        <f>IF(SalesCleanTable[[#This Row],[Discount %]] &gt; SalesCleanTable[[#This Row],[Max Allowed Discount]], "Discount loss", "Safe")</f>
        <v>Safe</v>
      </c>
      <c r="AD624" s="4">
        <f>SalesCleanTable[[#This Row],[Unit Price]] - SalesCleanTable[[#This Row],[Unit Cost]]</f>
        <v>450</v>
      </c>
      <c r="AE624" s="41">
        <f>(SalesCleanTable[[#This Row],[Unit Price]] - SalesCleanTable[[#This Row],[Unit Cost]]) / SalesCleanTable[[#This Row],[Unit Price]]</f>
        <v>0.34615384615384615</v>
      </c>
    </row>
    <row r="625" spans="1:31">
      <c r="A625" t="s">
        <v>811</v>
      </c>
      <c r="B625" s="6">
        <v>45978</v>
      </c>
      <c r="C625" t="s">
        <v>78</v>
      </c>
      <c r="D625" t="s">
        <v>79</v>
      </c>
      <c r="E625" t="s">
        <v>75</v>
      </c>
      <c r="F625" t="s">
        <v>80</v>
      </c>
      <c r="G625" t="s">
        <v>81</v>
      </c>
      <c r="H625" t="s">
        <v>135</v>
      </c>
      <c r="I625" t="s">
        <v>136</v>
      </c>
      <c r="J625" t="s">
        <v>137</v>
      </c>
      <c r="K625" t="s">
        <v>138</v>
      </c>
      <c r="L625" t="s">
        <v>183</v>
      </c>
      <c r="M625" t="s">
        <v>171</v>
      </c>
      <c r="N625">
        <v>1</v>
      </c>
      <c r="O625" s="4">
        <v>1200</v>
      </c>
      <c r="P625" s="4">
        <v>1900</v>
      </c>
      <c r="Q625" s="7">
        <v>0.15</v>
      </c>
      <c r="R625" t="s">
        <v>208</v>
      </c>
      <c r="S625">
        <v>8</v>
      </c>
      <c r="T625">
        <v>1900</v>
      </c>
      <c r="U625">
        <v>285</v>
      </c>
      <c r="V625">
        <v>1615</v>
      </c>
      <c r="W625">
        <v>1200</v>
      </c>
      <c r="X625">
        <v>415</v>
      </c>
      <c r="Y625" s="8">
        <v>0.25696594427244585</v>
      </c>
      <c r="Z625" t="s">
        <v>2996</v>
      </c>
      <c r="AA625" t="str">
        <f>IF(AND(SalesCleanTable[[#This Row],[Discount %]]&gt;0, SalesCleanTable[[#This Row],[Profit]]&lt;0), "Discount loss", "Safe")</f>
        <v>Safe</v>
      </c>
      <c r="AB625" s="25">
        <f>(SalesCleanTable[[#This Row],[Unit Price]] - SalesCleanTable[[#This Row],[Unit Cost]]) / SalesCleanTable[[#This Row],[Unit Price]]</f>
        <v>0.36842105263157893</v>
      </c>
      <c r="AC625" t="str">
        <f>IF(SalesCleanTable[[#This Row],[Discount %]] &gt; SalesCleanTable[[#This Row],[Max Allowed Discount]], "Discount loss", "Safe")</f>
        <v>Safe</v>
      </c>
      <c r="AD625" s="4">
        <f>SalesCleanTable[[#This Row],[Unit Price]] - SalesCleanTable[[#This Row],[Unit Cost]]</f>
        <v>700</v>
      </c>
      <c r="AE625" s="41">
        <f>(SalesCleanTable[[#This Row],[Unit Price]] - SalesCleanTable[[#This Row],[Unit Cost]]) / SalesCleanTable[[#This Row],[Unit Price]]</f>
        <v>0.36842105263157893</v>
      </c>
    </row>
    <row r="626" spans="1:31">
      <c r="A626" t="s">
        <v>812</v>
      </c>
      <c r="B626" s="6">
        <v>46001</v>
      </c>
      <c r="C626" t="s">
        <v>112</v>
      </c>
      <c r="D626" t="s">
        <v>113</v>
      </c>
      <c r="E626" t="s">
        <v>109</v>
      </c>
      <c r="F626" t="s">
        <v>114</v>
      </c>
      <c r="G626" t="s">
        <v>115</v>
      </c>
      <c r="H626" t="s">
        <v>128</v>
      </c>
      <c r="I626" t="s">
        <v>129</v>
      </c>
      <c r="J626" t="s">
        <v>130</v>
      </c>
      <c r="K626" t="s">
        <v>131</v>
      </c>
      <c r="L626" t="s">
        <v>166</v>
      </c>
      <c r="M626" t="s">
        <v>171</v>
      </c>
      <c r="N626">
        <v>2</v>
      </c>
      <c r="O626" s="4">
        <v>1300</v>
      </c>
      <c r="P626" s="4">
        <v>2100</v>
      </c>
      <c r="Q626" s="7">
        <v>0</v>
      </c>
      <c r="R626" t="s">
        <v>220</v>
      </c>
      <c r="S626">
        <v>1</v>
      </c>
      <c r="T626">
        <v>4200</v>
      </c>
      <c r="U626">
        <v>0</v>
      </c>
      <c r="V626">
        <v>4200</v>
      </c>
      <c r="W626">
        <v>2600</v>
      </c>
      <c r="X626">
        <v>1600</v>
      </c>
      <c r="Y626" s="8">
        <v>0.38095238095238093</v>
      </c>
      <c r="Z626" t="s">
        <v>2995</v>
      </c>
      <c r="AA626" t="str">
        <f>IF(AND(SalesCleanTable[[#This Row],[Discount %]]&gt;0, SalesCleanTable[[#This Row],[Profit]]&lt;0), "Discount loss", "Safe")</f>
        <v>Safe</v>
      </c>
      <c r="AB626" s="25">
        <f>(SalesCleanTable[[#This Row],[Unit Price]] - SalesCleanTable[[#This Row],[Unit Cost]]) / SalesCleanTable[[#This Row],[Unit Price]]</f>
        <v>0.38095238095238093</v>
      </c>
      <c r="AC626" t="str">
        <f>IF(SalesCleanTable[[#This Row],[Discount %]] &gt; SalesCleanTable[[#This Row],[Max Allowed Discount]], "Discount loss", "Safe")</f>
        <v>Safe</v>
      </c>
      <c r="AD626" s="4">
        <f>SalesCleanTable[[#This Row],[Unit Price]] - SalesCleanTable[[#This Row],[Unit Cost]]</f>
        <v>800</v>
      </c>
      <c r="AE626" s="41">
        <f>(SalesCleanTable[[#This Row],[Unit Price]] - SalesCleanTable[[#This Row],[Unit Cost]]) / SalesCleanTable[[#This Row],[Unit Price]]</f>
        <v>0.38095238095238093</v>
      </c>
    </row>
    <row r="627" spans="1:31">
      <c r="A627" t="s">
        <v>813</v>
      </c>
      <c r="B627" s="6">
        <v>45684</v>
      </c>
      <c r="C627" t="s">
        <v>112</v>
      </c>
      <c r="D627" t="s">
        <v>113</v>
      </c>
      <c r="E627" t="s">
        <v>109</v>
      </c>
      <c r="F627" t="s">
        <v>114</v>
      </c>
      <c r="G627" t="s">
        <v>115</v>
      </c>
      <c r="H627" t="s">
        <v>133</v>
      </c>
      <c r="I627" t="s">
        <v>134</v>
      </c>
      <c r="J627" t="s">
        <v>130</v>
      </c>
      <c r="K627" t="s">
        <v>131</v>
      </c>
      <c r="L627" t="s">
        <v>166</v>
      </c>
      <c r="M627" t="s">
        <v>171</v>
      </c>
      <c r="N627">
        <v>5</v>
      </c>
      <c r="O627" s="4">
        <v>1300</v>
      </c>
      <c r="P627" s="4">
        <v>2100</v>
      </c>
      <c r="Q627" s="7">
        <v>0.05</v>
      </c>
      <c r="R627" t="s">
        <v>184</v>
      </c>
      <c r="S627">
        <v>8</v>
      </c>
      <c r="T627">
        <v>10500</v>
      </c>
      <c r="U627">
        <v>525</v>
      </c>
      <c r="V627">
        <v>9975</v>
      </c>
      <c r="W627">
        <v>6500</v>
      </c>
      <c r="X627">
        <v>3475</v>
      </c>
      <c r="Y627" s="8">
        <v>0.34837092731829572</v>
      </c>
      <c r="Z627" t="s">
        <v>2995</v>
      </c>
      <c r="AA627" t="str">
        <f>IF(AND(SalesCleanTable[[#This Row],[Discount %]]&gt;0, SalesCleanTable[[#This Row],[Profit]]&lt;0), "Discount loss", "Safe")</f>
        <v>Safe</v>
      </c>
      <c r="AB627" s="25">
        <f>(SalesCleanTable[[#This Row],[Unit Price]] - SalesCleanTable[[#This Row],[Unit Cost]]) / SalesCleanTable[[#This Row],[Unit Price]]</f>
        <v>0.38095238095238093</v>
      </c>
      <c r="AC627" t="str">
        <f>IF(SalesCleanTable[[#This Row],[Discount %]] &gt; SalesCleanTable[[#This Row],[Max Allowed Discount]], "Discount loss", "Safe")</f>
        <v>Safe</v>
      </c>
      <c r="AD627" s="4">
        <f>SalesCleanTable[[#This Row],[Unit Price]] - SalesCleanTable[[#This Row],[Unit Cost]]</f>
        <v>800</v>
      </c>
      <c r="AE627" s="41">
        <f>(SalesCleanTable[[#This Row],[Unit Price]] - SalesCleanTable[[#This Row],[Unit Cost]]) / SalesCleanTable[[#This Row],[Unit Price]]</f>
        <v>0.38095238095238093</v>
      </c>
    </row>
    <row r="628" spans="1:31">
      <c r="A628" t="s">
        <v>814</v>
      </c>
      <c r="B628" s="6">
        <v>45824</v>
      </c>
      <c r="C628" t="s">
        <v>53</v>
      </c>
      <c r="D628" t="s">
        <v>54</v>
      </c>
      <c r="E628" t="s">
        <v>38</v>
      </c>
      <c r="F628" t="s">
        <v>55</v>
      </c>
      <c r="G628" t="s">
        <v>56</v>
      </c>
      <c r="H628" t="s">
        <v>145</v>
      </c>
      <c r="I628" t="s">
        <v>146</v>
      </c>
      <c r="J628" t="s">
        <v>147</v>
      </c>
      <c r="K628" t="s">
        <v>148</v>
      </c>
      <c r="L628" t="s">
        <v>166</v>
      </c>
      <c r="M628" t="s">
        <v>167</v>
      </c>
      <c r="N628">
        <v>6</v>
      </c>
      <c r="O628" s="4">
        <v>330</v>
      </c>
      <c r="P628" s="4">
        <v>550</v>
      </c>
      <c r="Q628" s="7">
        <v>0</v>
      </c>
      <c r="R628" t="s">
        <v>178</v>
      </c>
      <c r="S628">
        <v>12</v>
      </c>
      <c r="T628">
        <v>3300</v>
      </c>
      <c r="U628">
        <v>0</v>
      </c>
      <c r="V628">
        <v>3300</v>
      </c>
      <c r="W628">
        <v>1980</v>
      </c>
      <c r="X628">
        <v>1320</v>
      </c>
      <c r="Y628" s="8">
        <v>0.4</v>
      </c>
      <c r="Z628" t="s">
        <v>2996</v>
      </c>
      <c r="AA628" t="str">
        <f>IF(AND(SalesCleanTable[[#This Row],[Discount %]]&gt;0, SalesCleanTable[[#This Row],[Profit]]&lt;0), "Discount loss", "Safe")</f>
        <v>Safe</v>
      </c>
      <c r="AB628" s="25">
        <f>(SalesCleanTable[[#This Row],[Unit Price]] - SalesCleanTable[[#This Row],[Unit Cost]]) / SalesCleanTable[[#This Row],[Unit Price]]</f>
        <v>0.4</v>
      </c>
      <c r="AC628" t="str">
        <f>IF(SalesCleanTable[[#This Row],[Discount %]] &gt; SalesCleanTable[[#This Row],[Max Allowed Discount]], "Discount loss", "Safe")</f>
        <v>Safe</v>
      </c>
      <c r="AD628" s="4">
        <f>SalesCleanTable[[#This Row],[Unit Price]] - SalesCleanTable[[#This Row],[Unit Cost]]</f>
        <v>220</v>
      </c>
      <c r="AE628" s="41">
        <f>(SalesCleanTable[[#This Row],[Unit Price]] - SalesCleanTable[[#This Row],[Unit Cost]]) / SalesCleanTable[[#This Row],[Unit Price]]</f>
        <v>0.4</v>
      </c>
    </row>
    <row r="629" spans="1:31">
      <c r="A629" t="s">
        <v>815</v>
      </c>
      <c r="B629" s="6">
        <v>45760</v>
      </c>
      <c r="C629" t="s">
        <v>49</v>
      </c>
      <c r="D629" t="s">
        <v>50</v>
      </c>
      <c r="E629" t="s">
        <v>38</v>
      </c>
      <c r="F629" t="s">
        <v>51</v>
      </c>
      <c r="G629" t="s">
        <v>52</v>
      </c>
      <c r="H629" t="s">
        <v>133</v>
      </c>
      <c r="I629" t="s">
        <v>134</v>
      </c>
      <c r="J629" t="s">
        <v>130</v>
      </c>
      <c r="K629" t="s">
        <v>131</v>
      </c>
      <c r="L629" t="s">
        <v>183</v>
      </c>
      <c r="M629" t="s">
        <v>177</v>
      </c>
      <c r="N629">
        <v>3</v>
      </c>
      <c r="O629" s="4">
        <v>550</v>
      </c>
      <c r="P629" s="4">
        <v>850</v>
      </c>
      <c r="Q629" s="7">
        <v>0.05</v>
      </c>
      <c r="R629" t="s">
        <v>168</v>
      </c>
      <c r="S629">
        <v>8</v>
      </c>
      <c r="T629">
        <v>2550</v>
      </c>
      <c r="U629">
        <v>127.5</v>
      </c>
      <c r="V629">
        <v>2422.5</v>
      </c>
      <c r="W629">
        <v>1650</v>
      </c>
      <c r="X629">
        <v>772.5</v>
      </c>
      <c r="Y629" s="8">
        <v>0.31888544891640869</v>
      </c>
      <c r="Z629" t="s">
        <v>2996</v>
      </c>
      <c r="AA629" t="str">
        <f>IF(AND(SalesCleanTable[[#This Row],[Discount %]]&gt;0, SalesCleanTable[[#This Row],[Profit]]&lt;0), "Discount loss", "Safe")</f>
        <v>Safe</v>
      </c>
      <c r="AB629" s="25">
        <f>(SalesCleanTable[[#This Row],[Unit Price]] - SalesCleanTable[[#This Row],[Unit Cost]]) / SalesCleanTable[[#This Row],[Unit Price]]</f>
        <v>0.35294117647058826</v>
      </c>
      <c r="AC629" t="str">
        <f>IF(SalesCleanTable[[#This Row],[Discount %]] &gt; SalesCleanTable[[#This Row],[Max Allowed Discount]], "Discount loss", "Safe")</f>
        <v>Safe</v>
      </c>
      <c r="AD629" s="4">
        <f>SalesCleanTable[[#This Row],[Unit Price]] - SalesCleanTable[[#This Row],[Unit Cost]]</f>
        <v>300</v>
      </c>
      <c r="AE629" s="41">
        <f>(SalesCleanTable[[#This Row],[Unit Price]] - SalesCleanTable[[#This Row],[Unit Cost]]) / SalesCleanTable[[#This Row],[Unit Price]]</f>
        <v>0.35294117647058826</v>
      </c>
    </row>
    <row r="630" spans="1:31">
      <c r="A630" t="s">
        <v>816</v>
      </c>
      <c r="B630" s="6">
        <v>45849</v>
      </c>
      <c r="C630" t="s">
        <v>32</v>
      </c>
      <c r="D630" t="s">
        <v>33</v>
      </c>
      <c r="E630" t="s">
        <v>26</v>
      </c>
      <c r="F630" t="s">
        <v>34</v>
      </c>
      <c r="G630" t="s">
        <v>35</v>
      </c>
      <c r="H630" t="s">
        <v>145</v>
      </c>
      <c r="I630" t="s">
        <v>146</v>
      </c>
      <c r="J630" t="s">
        <v>147</v>
      </c>
      <c r="K630" t="s">
        <v>148</v>
      </c>
      <c r="L630" t="s">
        <v>166</v>
      </c>
      <c r="M630" t="s">
        <v>177</v>
      </c>
      <c r="N630">
        <v>3</v>
      </c>
      <c r="O630" s="4">
        <v>7800</v>
      </c>
      <c r="P630" s="4">
        <v>9800</v>
      </c>
      <c r="Q630" s="7">
        <v>0.2</v>
      </c>
      <c r="R630" t="s">
        <v>173</v>
      </c>
      <c r="S630">
        <v>10</v>
      </c>
      <c r="T630">
        <v>29400</v>
      </c>
      <c r="U630">
        <v>5880</v>
      </c>
      <c r="V630">
        <v>23520</v>
      </c>
      <c r="W630">
        <v>23400</v>
      </c>
      <c r="X630">
        <v>120</v>
      </c>
      <c r="Y630" s="8">
        <v>5.1020408163265302E-3</v>
      </c>
      <c r="Z630" t="s">
        <v>2995</v>
      </c>
      <c r="AA630" t="str">
        <f>IF(AND(SalesCleanTable[[#This Row],[Discount %]]&gt;0, SalesCleanTable[[#This Row],[Profit]]&lt;0), "Discount loss", "Safe")</f>
        <v>Safe</v>
      </c>
      <c r="AB630" s="25">
        <f>(SalesCleanTable[[#This Row],[Unit Price]] - SalesCleanTable[[#This Row],[Unit Cost]]) / SalesCleanTable[[#This Row],[Unit Price]]</f>
        <v>0.20408163265306123</v>
      </c>
      <c r="AC630" t="str">
        <f>IF(SalesCleanTable[[#This Row],[Discount %]] &gt; SalesCleanTable[[#This Row],[Max Allowed Discount]], "Discount loss", "Safe")</f>
        <v>Safe</v>
      </c>
      <c r="AD630" s="4">
        <f>SalesCleanTable[[#This Row],[Unit Price]] - SalesCleanTable[[#This Row],[Unit Cost]]</f>
        <v>2000</v>
      </c>
      <c r="AE630" s="41">
        <f>(SalesCleanTable[[#This Row],[Unit Price]] - SalesCleanTable[[#This Row],[Unit Cost]]) / SalesCleanTable[[#This Row],[Unit Price]]</f>
        <v>0.20408163265306123</v>
      </c>
    </row>
    <row r="631" spans="1:31">
      <c r="A631" t="s">
        <v>817</v>
      </c>
      <c r="B631" s="6">
        <v>45727</v>
      </c>
      <c r="C631" t="s">
        <v>32</v>
      </c>
      <c r="D631" t="s">
        <v>33</v>
      </c>
      <c r="E631" t="s">
        <v>26</v>
      </c>
      <c r="F631" t="s">
        <v>34</v>
      </c>
      <c r="G631" t="s">
        <v>35</v>
      </c>
      <c r="H631" t="s">
        <v>139</v>
      </c>
      <c r="I631" t="s">
        <v>140</v>
      </c>
      <c r="J631" t="s">
        <v>137</v>
      </c>
      <c r="K631" t="s">
        <v>138</v>
      </c>
      <c r="L631" t="s">
        <v>166</v>
      </c>
      <c r="M631" t="s">
        <v>167</v>
      </c>
      <c r="N631">
        <v>2</v>
      </c>
      <c r="O631" s="4">
        <v>7800</v>
      </c>
      <c r="P631" s="4">
        <v>9800</v>
      </c>
      <c r="Q631" s="7">
        <v>0.1</v>
      </c>
      <c r="R631" t="s">
        <v>197</v>
      </c>
      <c r="S631">
        <v>13</v>
      </c>
      <c r="T631">
        <v>19600</v>
      </c>
      <c r="U631">
        <v>1960</v>
      </c>
      <c r="V631">
        <v>17640</v>
      </c>
      <c r="W631">
        <v>15600</v>
      </c>
      <c r="X631">
        <v>2040</v>
      </c>
      <c r="Y631" s="8">
        <v>0.11564625850340136</v>
      </c>
      <c r="Z631" t="s">
        <v>2995</v>
      </c>
      <c r="AA631" t="str">
        <f>IF(AND(SalesCleanTable[[#This Row],[Discount %]]&gt;0, SalesCleanTable[[#This Row],[Profit]]&lt;0), "Discount loss", "Safe")</f>
        <v>Safe</v>
      </c>
      <c r="AB631" s="25">
        <f>(SalesCleanTable[[#This Row],[Unit Price]] - SalesCleanTable[[#This Row],[Unit Cost]]) / SalesCleanTable[[#This Row],[Unit Price]]</f>
        <v>0.20408163265306123</v>
      </c>
      <c r="AC631" t="str">
        <f>IF(SalesCleanTable[[#This Row],[Discount %]] &gt; SalesCleanTable[[#This Row],[Max Allowed Discount]], "Discount loss", "Safe")</f>
        <v>Safe</v>
      </c>
      <c r="AD631" s="4">
        <f>SalesCleanTable[[#This Row],[Unit Price]] - SalesCleanTable[[#This Row],[Unit Cost]]</f>
        <v>2000</v>
      </c>
      <c r="AE631" s="41">
        <f>(SalesCleanTable[[#This Row],[Unit Price]] - SalesCleanTable[[#This Row],[Unit Cost]]) / SalesCleanTable[[#This Row],[Unit Price]]</f>
        <v>0.20408163265306123</v>
      </c>
    </row>
    <row r="632" spans="1:31">
      <c r="A632" t="s">
        <v>818</v>
      </c>
      <c r="B632" s="6">
        <v>45971</v>
      </c>
      <c r="C632" t="s">
        <v>107</v>
      </c>
      <c r="D632" t="s">
        <v>108</v>
      </c>
      <c r="E632" t="s">
        <v>109</v>
      </c>
      <c r="F632" t="s">
        <v>110</v>
      </c>
      <c r="G632" t="s">
        <v>111</v>
      </c>
      <c r="H632" t="s">
        <v>139</v>
      </c>
      <c r="I632" t="s">
        <v>140</v>
      </c>
      <c r="J632" t="s">
        <v>137</v>
      </c>
      <c r="K632" t="s">
        <v>138</v>
      </c>
      <c r="L632" t="s">
        <v>166</v>
      </c>
      <c r="M632" t="s">
        <v>171</v>
      </c>
      <c r="N632">
        <v>3</v>
      </c>
      <c r="O632" s="4">
        <v>5200</v>
      </c>
      <c r="P632" s="4">
        <v>7000</v>
      </c>
      <c r="Q632" s="7">
        <v>0.05</v>
      </c>
      <c r="R632" t="s">
        <v>235</v>
      </c>
      <c r="S632">
        <v>10</v>
      </c>
      <c r="T632">
        <v>21000</v>
      </c>
      <c r="U632">
        <v>1050</v>
      </c>
      <c r="V632">
        <v>19950</v>
      </c>
      <c r="W632">
        <v>15600</v>
      </c>
      <c r="X632">
        <v>4350</v>
      </c>
      <c r="Y632" s="8">
        <v>0.21804511278195488</v>
      </c>
      <c r="Z632" t="s">
        <v>2997</v>
      </c>
      <c r="AA632" t="str">
        <f>IF(AND(SalesCleanTable[[#This Row],[Discount %]]&gt;0, SalesCleanTable[[#This Row],[Profit]]&lt;0), "Discount loss", "Safe")</f>
        <v>Safe</v>
      </c>
      <c r="AB632" s="25">
        <f>(SalesCleanTable[[#This Row],[Unit Price]] - SalesCleanTable[[#This Row],[Unit Cost]]) / SalesCleanTable[[#This Row],[Unit Price]]</f>
        <v>0.25714285714285712</v>
      </c>
      <c r="AC632" t="str">
        <f>IF(SalesCleanTable[[#This Row],[Discount %]] &gt; SalesCleanTable[[#This Row],[Max Allowed Discount]], "Discount loss", "Safe")</f>
        <v>Safe</v>
      </c>
      <c r="AD632" s="4">
        <f>SalesCleanTable[[#This Row],[Unit Price]] - SalesCleanTable[[#This Row],[Unit Cost]]</f>
        <v>1800</v>
      </c>
      <c r="AE632" s="41">
        <f>(SalesCleanTable[[#This Row],[Unit Price]] - SalesCleanTable[[#This Row],[Unit Cost]]) / SalesCleanTable[[#This Row],[Unit Price]]</f>
        <v>0.25714285714285712</v>
      </c>
    </row>
    <row r="633" spans="1:31">
      <c r="A633" t="s">
        <v>819</v>
      </c>
      <c r="B633" s="6">
        <v>45894</v>
      </c>
      <c r="C633" t="s">
        <v>45</v>
      </c>
      <c r="D633" t="s">
        <v>46</v>
      </c>
      <c r="E633" t="s">
        <v>38</v>
      </c>
      <c r="F633" t="s">
        <v>47</v>
      </c>
      <c r="G633" t="s">
        <v>48</v>
      </c>
      <c r="H633" t="s">
        <v>145</v>
      </c>
      <c r="I633" t="s">
        <v>146</v>
      </c>
      <c r="J633" t="s">
        <v>147</v>
      </c>
      <c r="K633" t="s">
        <v>148</v>
      </c>
      <c r="L633" t="s">
        <v>166</v>
      </c>
      <c r="M633" t="s">
        <v>171</v>
      </c>
      <c r="N633">
        <v>4</v>
      </c>
      <c r="O633" s="4">
        <v>230</v>
      </c>
      <c r="P633" s="4">
        <v>400</v>
      </c>
      <c r="Q633" s="7">
        <v>0</v>
      </c>
      <c r="R633" t="s">
        <v>168</v>
      </c>
      <c r="S633">
        <v>3</v>
      </c>
      <c r="T633">
        <v>1600</v>
      </c>
      <c r="U633">
        <v>0</v>
      </c>
      <c r="V633">
        <v>1600</v>
      </c>
      <c r="W633">
        <v>920</v>
      </c>
      <c r="X633">
        <v>680</v>
      </c>
      <c r="Y633" s="8">
        <v>0.42499999999999999</v>
      </c>
      <c r="Z633" t="s">
        <v>2995</v>
      </c>
      <c r="AA633" t="str">
        <f>IF(AND(SalesCleanTable[[#This Row],[Discount %]]&gt;0, SalesCleanTable[[#This Row],[Profit]]&lt;0), "Discount loss", "Safe")</f>
        <v>Safe</v>
      </c>
      <c r="AB633" s="25">
        <f>(SalesCleanTable[[#This Row],[Unit Price]] - SalesCleanTable[[#This Row],[Unit Cost]]) / SalesCleanTable[[#This Row],[Unit Price]]</f>
        <v>0.42499999999999999</v>
      </c>
      <c r="AC633" t="str">
        <f>IF(SalesCleanTable[[#This Row],[Discount %]] &gt; SalesCleanTable[[#This Row],[Max Allowed Discount]], "Discount loss", "Safe")</f>
        <v>Safe</v>
      </c>
      <c r="AD633" s="4">
        <f>SalesCleanTable[[#This Row],[Unit Price]] - SalesCleanTable[[#This Row],[Unit Cost]]</f>
        <v>170</v>
      </c>
      <c r="AE633" s="41">
        <f>(SalesCleanTable[[#This Row],[Unit Price]] - SalesCleanTable[[#This Row],[Unit Cost]]) / SalesCleanTable[[#This Row],[Unit Price]]</f>
        <v>0.42499999999999999</v>
      </c>
    </row>
    <row r="634" spans="1:31">
      <c r="A634" t="s">
        <v>820</v>
      </c>
      <c r="B634" s="6">
        <v>45660</v>
      </c>
      <c r="C634" t="s">
        <v>49</v>
      </c>
      <c r="D634" t="s">
        <v>50</v>
      </c>
      <c r="E634" t="s">
        <v>38</v>
      </c>
      <c r="F634" t="s">
        <v>51</v>
      </c>
      <c r="G634" t="s">
        <v>52</v>
      </c>
      <c r="H634" t="s">
        <v>128</v>
      </c>
      <c r="I634" t="s">
        <v>129</v>
      </c>
      <c r="J634" t="s">
        <v>130</v>
      </c>
      <c r="K634" t="s">
        <v>131</v>
      </c>
      <c r="L634" t="s">
        <v>166</v>
      </c>
      <c r="M634" t="s">
        <v>186</v>
      </c>
      <c r="N634">
        <v>10</v>
      </c>
      <c r="O634" s="4">
        <v>550</v>
      </c>
      <c r="P634" s="4">
        <v>850</v>
      </c>
      <c r="Q634" s="7">
        <v>0.1</v>
      </c>
      <c r="R634" t="s">
        <v>175</v>
      </c>
      <c r="S634">
        <v>8</v>
      </c>
      <c r="T634">
        <v>8500</v>
      </c>
      <c r="U634">
        <v>850</v>
      </c>
      <c r="V634">
        <v>7650</v>
      </c>
      <c r="W634">
        <v>5500</v>
      </c>
      <c r="X634">
        <v>2150</v>
      </c>
      <c r="Y634" s="8">
        <v>0.28104575163398693</v>
      </c>
      <c r="Z634" t="s">
        <v>2996</v>
      </c>
      <c r="AA634" t="str">
        <f>IF(AND(SalesCleanTable[[#This Row],[Discount %]]&gt;0, SalesCleanTable[[#This Row],[Profit]]&lt;0), "Discount loss", "Safe")</f>
        <v>Safe</v>
      </c>
      <c r="AB634" s="25">
        <f>(SalesCleanTable[[#This Row],[Unit Price]] - SalesCleanTable[[#This Row],[Unit Cost]]) / SalesCleanTable[[#This Row],[Unit Price]]</f>
        <v>0.35294117647058826</v>
      </c>
      <c r="AC634" t="str">
        <f>IF(SalesCleanTable[[#This Row],[Discount %]] &gt; SalesCleanTable[[#This Row],[Max Allowed Discount]], "Discount loss", "Safe")</f>
        <v>Safe</v>
      </c>
      <c r="AD634" s="4">
        <f>SalesCleanTable[[#This Row],[Unit Price]] - SalesCleanTable[[#This Row],[Unit Cost]]</f>
        <v>300</v>
      </c>
      <c r="AE634" s="41">
        <f>(SalesCleanTable[[#This Row],[Unit Price]] - SalesCleanTable[[#This Row],[Unit Cost]]) / SalesCleanTable[[#This Row],[Unit Price]]</f>
        <v>0.35294117647058826</v>
      </c>
    </row>
    <row r="635" spans="1:31">
      <c r="A635" t="s">
        <v>821</v>
      </c>
      <c r="B635" s="6">
        <v>46014</v>
      </c>
      <c r="C635" t="s">
        <v>99</v>
      </c>
      <c r="D635" t="s">
        <v>100</v>
      </c>
      <c r="E635" t="s">
        <v>92</v>
      </c>
      <c r="F635" t="s">
        <v>101</v>
      </c>
      <c r="G635" t="s">
        <v>102</v>
      </c>
      <c r="H635" t="s">
        <v>139</v>
      </c>
      <c r="I635" t="s">
        <v>140</v>
      </c>
      <c r="J635" t="s">
        <v>137</v>
      </c>
      <c r="K635" t="s">
        <v>138</v>
      </c>
      <c r="L635" t="s">
        <v>166</v>
      </c>
      <c r="M635" t="s">
        <v>171</v>
      </c>
      <c r="N635">
        <v>2</v>
      </c>
      <c r="O635" s="4">
        <v>12500</v>
      </c>
      <c r="P635" s="4">
        <v>18500</v>
      </c>
      <c r="Q635" s="7">
        <v>0.1</v>
      </c>
      <c r="R635" t="s">
        <v>181</v>
      </c>
      <c r="S635">
        <v>3</v>
      </c>
      <c r="T635">
        <v>37000</v>
      </c>
      <c r="U635">
        <v>3700</v>
      </c>
      <c r="V635">
        <v>33300</v>
      </c>
      <c r="W635">
        <v>25000</v>
      </c>
      <c r="X635">
        <v>8300</v>
      </c>
      <c r="Y635" s="8">
        <v>0.24924924924924924</v>
      </c>
      <c r="Z635" t="s">
        <v>2995</v>
      </c>
      <c r="AA635" t="str">
        <f>IF(AND(SalesCleanTable[[#This Row],[Discount %]]&gt;0, SalesCleanTable[[#This Row],[Profit]]&lt;0), "Discount loss", "Safe")</f>
        <v>Safe</v>
      </c>
      <c r="AB635" s="25">
        <f>(SalesCleanTable[[#This Row],[Unit Price]] - SalesCleanTable[[#This Row],[Unit Cost]]) / SalesCleanTable[[#This Row],[Unit Price]]</f>
        <v>0.32432432432432434</v>
      </c>
      <c r="AC635" t="str">
        <f>IF(SalesCleanTable[[#This Row],[Discount %]] &gt; SalesCleanTable[[#This Row],[Max Allowed Discount]], "Discount loss", "Safe")</f>
        <v>Safe</v>
      </c>
      <c r="AD635" s="4">
        <f>SalesCleanTable[[#This Row],[Unit Price]] - SalesCleanTable[[#This Row],[Unit Cost]]</f>
        <v>6000</v>
      </c>
      <c r="AE635" s="41">
        <f>(SalesCleanTable[[#This Row],[Unit Price]] - SalesCleanTable[[#This Row],[Unit Cost]]) / SalesCleanTable[[#This Row],[Unit Price]]</f>
        <v>0.32432432432432434</v>
      </c>
    </row>
    <row r="636" spans="1:31">
      <c r="A636" t="s">
        <v>822</v>
      </c>
      <c r="B636" s="6">
        <v>45780</v>
      </c>
      <c r="C636" t="s">
        <v>78</v>
      </c>
      <c r="D636" t="s">
        <v>79</v>
      </c>
      <c r="E636" t="s">
        <v>75</v>
      </c>
      <c r="F636" t="s">
        <v>80</v>
      </c>
      <c r="G636" t="s">
        <v>81</v>
      </c>
      <c r="H636" t="s">
        <v>128</v>
      </c>
      <c r="I636" t="s">
        <v>129</v>
      </c>
      <c r="J636" t="s">
        <v>130</v>
      </c>
      <c r="K636" t="s">
        <v>131</v>
      </c>
      <c r="L636" t="s">
        <v>183</v>
      </c>
      <c r="M636" t="s">
        <v>171</v>
      </c>
      <c r="N636">
        <v>3</v>
      </c>
      <c r="O636" s="4">
        <v>1200</v>
      </c>
      <c r="P636" s="4">
        <v>1900</v>
      </c>
      <c r="Q636" s="7">
        <v>0.05</v>
      </c>
      <c r="R636" t="s">
        <v>204</v>
      </c>
      <c r="S636">
        <v>10</v>
      </c>
      <c r="T636">
        <v>5700</v>
      </c>
      <c r="U636">
        <v>285</v>
      </c>
      <c r="V636">
        <v>5415</v>
      </c>
      <c r="W636">
        <v>3600</v>
      </c>
      <c r="X636">
        <v>1815</v>
      </c>
      <c r="Y636" s="8">
        <v>0.33518005540166207</v>
      </c>
      <c r="Z636" t="s">
        <v>2996</v>
      </c>
      <c r="AA636" t="str">
        <f>IF(AND(SalesCleanTable[[#This Row],[Discount %]]&gt;0, SalesCleanTable[[#This Row],[Profit]]&lt;0), "Discount loss", "Safe")</f>
        <v>Safe</v>
      </c>
      <c r="AB636" s="25">
        <f>(SalesCleanTable[[#This Row],[Unit Price]] - SalesCleanTable[[#This Row],[Unit Cost]]) / SalesCleanTable[[#This Row],[Unit Price]]</f>
        <v>0.36842105263157893</v>
      </c>
      <c r="AC636" t="str">
        <f>IF(SalesCleanTable[[#This Row],[Discount %]] &gt; SalesCleanTable[[#This Row],[Max Allowed Discount]], "Discount loss", "Safe")</f>
        <v>Safe</v>
      </c>
      <c r="AD636" s="4">
        <f>SalesCleanTable[[#This Row],[Unit Price]] - SalesCleanTable[[#This Row],[Unit Cost]]</f>
        <v>700</v>
      </c>
      <c r="AE636" s="41">
        <f>(SalesCleanTable[[#This Row],[Unit Price]] - SalesCleanTable[[#This Row],[Unit Cost]]) / SalesCleanTable[[#This Row],[Unit Price]]</f>
        <v>0.36842105263157893</v>
      </c>
    </row>
    <row r="637" spans="1:31">
      <c r="A637" t="s">
        <v>823</v>
      </c>
      <c r="B637" s="6">
        <v>45890</v>
      </c>
      <c r="C637" t="s">
        <v>53</v>
      </c>
      <c r="D637" t="s">
        <v>54</v>
      </c>
      <c r="E637" t="s">
        <v>38</v>
      </c>
      <c r="F637" t="s">
        <v>55</v>
      </c>
      <c r="G637" t="s">
        <v>56</v>
      </c>
      <c r="H637" t="s">
        <v>133</v>
      </c>
      <c r="I637" t="s">
        <v>134</v>
      </c>
      <c r="J637" t="s">
        <v>130</v>
      </c>
      <c r="K637" t="s">
        <v>131</v>
      </c>
      <c r="L637" t="s">
        <v>183</v>
      </c>
      <c r="M637" t="s">
        <v>171</v>
      </c>
      <c r="N637">
        <v>-2</v>
      </c>
      <c r="O637" s="4">
        <v>330</v>
      </c>
      <c r="P637" s="4">
        <v>550</v>
      </c>
      <c r="Q637" s="7">
        <v>0</v>
      </c>
      <c r="R637" t="s">
        <v>168</v>
      </c>
      <c r="S637">
        <v>11</v>
      </c>
      <c r="T637">
        <v>-1100</v>
      </c>
      <c r="U637">
        <v>0</v>
      </c>
      <c r="V637">
        <v>-1100</v>
      </c>
      <c r="W637">
        <v>-660</v>
      </c>
      <c r="X637">
        <v>-440</v>
      </c>
      <c r="Y637" s="8">
        <v>0.4</v>
      </c>
      <c r="Z637" t="s">
        <v>2996</v>
      </c>
      <c r="AA637" t="str">
        <f>IF(AND(SalesCleanTable[[#This Row],[Discount %]]&gt;0, SalesCleanTable[[#This Row],[Profit]]&lt;0), "Discount loss", "Safe")</f>
        <v>Safe</v>
      </c>
      <c r="AB637" s="25">
        <f>(SalesCleanTable[[#This Row],[Unit Price]] - SalesCleanTable[[#This Row],[Unit Cost]]) / SalesCleanTable[[#This Row],[Unit Price]]</f>
        <v>0.4</v>
      </c>
      <c r="AC637" t="str">
        <f>IF(SalesCleanTable[[#This Row],[Discount %]] &gt; SalesCleanTable[[#This Row],[Max Allowed Discount]], "Discount loss", "Safe")</f>
        <v>Safe</v>
      </c>
      <c r="AD637" s="4">
        <f>SalesCleanTable[[#This Row],[Unit Price]] - SalesCleanTable[[#This Row],[Unit Cost]]</f>
        <v>220</v>
      </c>
      <c r="AE637" s="41">
        <f>(SalesCleanTable[[#This Row],[Unit Price]] - SalesCleanTable[[#This Row],[Unit Cost]]) / SalesCleanTable[[#This Row],[Unit Price]]</f>
        <v>0.4</v>
      </c>
    </row>
    <row r="638" spans="1:31">
      <c r="A638" t="s">
        <v>824</v>
      </c>
      <c r="B638" s="6">
        <v>45694</v>
      </c>
      <c r="C638" t="s">
        <v>49</v>
      </c>
      <c r="D638" t="s">
        <v>50</v>
      </c>
      <c r="E638" t="s">
        <v>38</v>
      </c>
      <c r="F638" t="s">
        <v>51</v>
      </c>
      <c r="G638" t="s">
        <v>52</v>
      </c>
      <c r="H638" t="s">
        <v>141</v>
      </c>
      <c r="I638" t="s">
        <v>142</v>
      </c>
      <c r="J638" t="s">
        <v>143</v>
      </c>
      <c r="K638" t="s">
        <v>144</v>
      </c>
      <c r="L638" t="s">
        <v>183</v>
      </c>
      <c r="M638" t="s">
        <v>171</v>
      </c>
      <c r="N638">
        <v>3</v>
      </c>
      <c r="O638" s="4">
        <v>550</v>
      </c>
      <c r="P638" s="4">
        <v>850</v>
      </c>
      <c r="Q638" s="7">
        <v>0</v>
      </c>
      <c r="R638" t="s">
        <v>168</v>
      </c>
      <c r="S638">
        <v>9</v>
      </c>
      <c r="T638">
        <v>2550</v>
      </c>
      <c r="U638">
        <v>0</v>
      </c>
      <c r="V638">
        <v>2550</v>
      </c>
      <c r="W638">
        <v>1650</v>
      </c>
      <c r="X638">
        <v>900</v>
      </c>
      <c r="Y638" s="8">
        <v>0.35294117647058826</v>
      </c>
      <c r="Z638" t="s">
        <v>2996</v>
      </c>
      <c r="AA638" t="str">
        <f>IF(AND(SalesCleanTable[[#This Row],[Discount %]]&gt;0, SalesCleanTable[[#This Row],[Profit]]&lt;0), "Discount loss", "Safe")</f>
        <v>Safe</v>
      </c>
      <c r="AB638" s="25">
        <f>(SalesCleanTable[[#This Row],[Unit Price]] - SalesCleanTable[[#This Row],[Unit Cost]]) / SalesCleanTable[[#This Row],[Unit Price]]</f>
        <v>0.35294117647058826</v>
      </c>
      <c r="AC638" t="str">
        <f>IF(SalesCleanTable[[#This Row],[Discount %]] &gt; SalesCleanTable[[#This Row],[Max Allowed Discount]], "Discount loss", "Safe")</f>
        <v>Safe</v>
      </c>
      <c r="AD638" s="4">
        <f>SalesCleanTable[[#This Row],[Unit Price]] - SalesCleanTable[[#This Row],[Unit Cost]]</f>
        <v>300</v>
      </c>
      <c r="AE638" s="41">
        <f>(SalesCleanTable[[#This Row],[Unit Price]] - SalesCleanTable[[#This Row],[Unit Cost]]) / SalesCleanTable[[#This Row],[Unit Price]]</f>
        <v>0.35294117647058826</v>
      </c>
    </row>
    <row r="639" spans="1:31">
      <c r="A639" t="s">
        <v>825</v>
      </c>
      <c r="B639" s="6">
        <v>45764</v>
      </c>
      <c r="C639" t="s">
        <v>95</v>
      </c>
      <c r="D639" t="s">
        <v>96</v>
      </c>
      <c r="E639" t="s">
        <v>92</v>
      </c>
      <c r="F639" t="s">
        <v>97</v>
      </c>
      <c r="G639" t="s">
        <v>98</v>
      </c>
      <c r="H639" t="s">
        <v>128</v>
      </c>
      <c r="I639" t="s">
        <v>129</v>
      </c>
      <c r="J639" t="s">
        <v>130</v>
      </c>
      <c r="K639" t="s">
        <v>131</v>
      </c>
      <c r="L639" t="s">
        <v>166</v>
      </c>
      <c r="M639" t="s">
        <v>171</v>
      </c>
      <c r="N639">
        <v>6</v>
      </c>
      <c r="O639" s="4">
        <v>18000</v>
      </c>
      <c r="P639" s="4">
        <v>24500</v>
      </c>
      <c r="Q639" s="7">
        <v>0.1</v>
      </c>
      <c r="R639" t="s">
        <v>215</v>
      </c>
      <c r="S639">
        <v>6</v>
      </c>
      <c r="T639">
        <v>147000</v>
      </c>
      <c r="U639">
        <v>14700</v>
      </c>
      <c r="V639">
        <v>132300</v>
      </c>
      <c r="W639">
        <v>108000</v>
      </c>
      <c r="X639">
        <v>24300</v>
      </c>
      <c r="Y639" s="8">
        <v>0.18367346938775511</v>
      </c>
      <c r="Z639" t="s">
        <v>2995</v>
      </c>
      <c r="AA639" t="str">
        <f>IF(AND(SalesCleanTable[[#This Row],[Discount %]]&gt;0, SalesCleanTable[[#This Row],[Profit]]&lt;0), "Discount loss", "Safe")</f>
        <v>Safe</v>
      </c>
      <c r="AB639" s="25">
        <f>(SalesCleanTable[[#This Row],[Unit Price]] - SalesCleanTable[[#This Row],[Unit Cost]]) / SalesCleanTable[[#This Row],[Unit Price]]</f>
        <v>0.26530612244897961</v>
      </c>
      <c r="AC639" t="str">
        <f>IF(SalesCleanTable[[#This Row],[Discount %]] &gt; SalesCleanTable[[#This Row],[Max Allowed Discount]], "Discount loss", "Safe")</f>
        <v>Safe</v>
      </c>
      <c r="AD639" s="4">
        <f>SalesCleanTable[[#This Row],[Unit Price]] - SalesCleanTable[[#This Row],[Unit Cost]]</f>
        <v>6500</v>
      </c>
      <c r="AE639" s="41">
        <f>(SalesCleanTable[[#This Row],[Unit Price]] - SalesCleanTable[[#This Row],[Unit Cost]]) / SalesCleanTable[[#This Row],[Unit Price]]</f>
        <v>0.26530612244897961</v>
      </c>
    </row>
    <row r="640" spans="1:31">
      <c r="A640" t="s">
        <v>826</v>
      </c>
      <c r="B640" s="6">
        <v>45714</v>
      </c>
      <c r="C640" t="s">
        <v>49</v>
      </c>
      <c r="D640" t="s">
        <v>50</v>
      </c>
      <c r="E640" t="s">
        <v>38</v>
      </c>
      <c r="F640" t="s">
        <v>51</v>
      </c>
      <c r="G640" t="s">
        <v>52</v>
      </c>
      <c r="H640" t="s">
        <v>139</v>
      </c>
      <c r="I640" t="s">
        <v>140</v>
      </c>
      <c r="J640" t="s">
        <v>137</v>
      </c>
      <c r="K640" t="s">
        <v>138</v>
      </c>
      <c r="L640" t="s">
        <v>183</v>
      </c>
      <c r="M640" t="s">
        <v>171</v>
      </c>
      <c r="N640">
        <v>1</v>
      </c>
      <c r="O640" s="4">
        <v>550</v>
      </c>
      <c r="P640" s="4">
        <v>850</v>
      </c>
      <c r="Q640" s="7">
        <v>0.05</v>
      </c>
      <c r="R640" t="s">
        <v>168</v>
      </c>
      <c r="S640">
        <v>12</v>
      </c>
      <c r="T640">
        <v>850</v>
      </c>
      <c r="U640">
        <v>42.5</v>
      </c>
      <c r="V640">
        <v>807.5</v>
      </c>
      <c r="W640">
        <v>550</v>
      </c>
      <c r="X640">
        <v>257.5</v>
      </c>
      <c r="Y640" s="8">
        <v>0.31888544891640869</v>
      </c>
      <c r="Z640" t="s">
        <v>2996</v>
      </c>
      <c r="AA640" t="str">
        <f>IF(AND(SalesCleanTable[[#This Row],[Discount %]]&gt;0, SalesCleanTable[[#This Row],[Profit]]&lt;0), "Discount loss", "Safe")</f>
        <v>Safe</v>
      </c>
      <c r="AB640" s="25">
        <f>(SalesCleanTable[[#This Row],[Unit Price]] - SalesCleanTable[[#This Row],[Unit Cost]]) / SalesCleanTable[[#This Row],[Unit Price]]</f>
        <v>0.35294117647058826</v>
      </c>
      <c r="AC640" t="str">
        <f>IF(SalesCleanTable[[#This Row],[Discount %]] &gt; SalesCleanTable[[#This Row],[Max Allowed Discount]], "Discount loss", "Safe")</f>
        <v>Safe</v>
      </c>
      <c r="AD640" s="4">
        <f>SalesCleanTable[[#This Row],[Unit Price]] - SalesCleanTable[[#This Row],[Unit Cost]]</f>
        <v>300</v>
      </c>
      <c r="AE640" s="41">
        <f>(SalesCleanTable[[#This Row],[Unit Price]] - SalesCleanTable[[#This Row],[Unit Cost]]) / SalesCleanTable[[#This Row],[Unit Price]]</f>
        <v>0.35294117647058826</v>
      </c>
    </row>
    <row r="641" spans="1:31">
      <c r="A641" t="s">
        <v>827</v>
      </c>
      <c r="B641" s="6">
        <v>45728</v>
      </c>
      <c r="C641" t="s">
        <v>116</v>
      </c>
      <c r="D641" t="s">
        <v>117</v>
      </c>
      <c r="E641" t="s">
        <v>109</v>
      </c>
      <c r="F641" t="s">
        <v>118</v>
      </c>
      <c r="G641" t="s">
        <v>119</v>
      </c>
      <c r="H641" t="s">
        <v>133</v>
      </c>
      <c r="I641" t="s">
        <v>134</v>
      </c>
      <c r="J641" t="s">
        <v>130</v>
      </c>
      <c r="K641" t="s">
        <v>131</v>
      </c>
      <c r="L641" t="s">
        <v>170</v>
      </c>
      <c r="M641" t="s">
        <v>171</v>
      </c>
      <c r="N641">
        <v>1</v>
      </c>
      <c r="O641" s="4">
        <v>2800</v>
      </c>
      <c r="P641" s="4">
        <v>4200</v>
      </c>
      <c r="Q641" s="7">
        <v>0.05</v>
      </c>
      <c r="R641" t="s">
        <v>184</v>
      </c>
      <c r="S641">
        <v>4</v>
      </c>
      <c r="T641">
        <v>4200</v>
      </c>
      <c r="U641">
        <v>210</v>
      </c>
      <c r="V641">
        <v>3990</v>
      </c>
      <c r="W641">
        <v>2800</v>
      </c>
      <c r="X641">
        <v>1190</v>
      </c>
      <c r="Y641" s="8">
        <v>0.2982456140350877</v>
      </c>
      <c r="Z641" t="s">
        <v>2995</v>
      </c>
      <c r="AA641" t="str">
        <f>IF(AND(SalesCleanTable[[#This Row],[Discount %]]&gt;0, SalesCleanTable[[#This Row],[Profit]]&lt;0), "Discount loss", "Safe")</f>
        <v>Safe</v>
      </c>
      <c r="AB641" s="25">
        <f>(SalesCleanTable[[#This Row],[Unit Price]] - SalesCleanTable[[#This Row],[Unit Cost]]) / SalesCleanTable[[#This Row],[Unit Price]]</f>
        <v>0.33333333333333331</v>
      </c>
      <c r="AC641" t="str">
        <f>IF(SalesCleanTable[[#This Row],[Discount %]] &gt; SalesCleanTable[[#This Row],[Max Allowed Discount]], "Discount loss", "Safe")</f>
        <v>Safe</v>
      </c>
      <c r="AD641" s="4">
        <f>SalesCleanTable[[#This Row],[Unit Price]] - SalesCleanTable[[#This Row],[Unit Cost]]</f>
        <v>1400</v>
      </c>
      <c r="AE641" s="41">
        <f>(SalesCleanTable[[#This Row],[Unit Price]] - SalesCleanTable[[#This Row],[Unit Cost]]) / SalesCleanTable[[#This Row],[Unit Price]]</f>
        <v>0.33333333333333331</v>
      </c>
    </row>
    <row r="642" spans="1:31">
      <c r="A642" t="s">
        <v>828</v>
      </c>
      <c r="B642" s="6">
        <v>45773</v>
      </c>
      <c r="C642" t="s">
        <v>45</v>
      </c>
      <c r="D642" t="s">
        <v>46</v>
      </c>
      <c r="E642" t="s">
        <v>38</v>
      </c>
      <c r="F642" t="s">
        <v>47</v>
      </c>
      <c r="G642" t="s">
        <v>48</v>
      </c>
      <c r="H642" t="s">
        <v>149</v>
      </c>
      <c r="I642" t="s">
        <v>150</v>
      </c>
      <c r="J642" t="s">
        <v>151</v>
      </c>
      <c r="K642" t="s">
        <v>152</v>
      </c>
      <c r="L642" t="s">
        <v>166</v>
      </c>
      <c r="M642" t="s">
        <v>186</v>
      </c>
      <c r="N642">
        <v>3</v>
      </c>
      <c r="O642" s="4">
        <v>230</v>
      </c>
      <c r="P642" s="4">
        <v>400</v>
      </c>
      <c r="Q642" s="7">
        <v>0.05</v>
      </c>
      <c r="R642" t="s">
        <v>175</v>
      </c>
      <c r="S642">
        <v>8</v>
      </c>
      <c r="T642">
        <v>1200</v>
      </c>
      <c r="U642">
        <v>60</v>
      </c>
      <c r="V642">
        <v>1140</v>
      </c>
      <c r="W642">
        <v>690</v>
      </c>
      <c r="X642">
        <v>450</v>
      </c>
      <c r="Y642" s="8">
        <v>0.39473684210526316</v>
      </c>
      <c r="Z642" t="s">
        <v>2995</v>
      </c>
      <c r="AA642" t="str">
        <f>IF(AND(SalesCleanTable[[#This Row],[Discount %]]&gt;0, SalesCleanTable[[#This Row],[Profit]]&lt;0), "Discount loss", "Safe")</f>
        <v>Safe</v>
      </c>
      <c r="AB642" s="25">
        <f>(SalesCleanTable[[#This Row],[Unit Price]] - SalesCleanTable[[#This Row],[Unit Cost]]) / SalesCleanTable[[#This Row],[Unit Price]]</f>
        <v>0.42499999999999999</v>
      </c>
      <c r="AC642" t="str">
        <f>IF(SalesCleanTable[[#This Row],[Discount %]] &gt; SalesCleanTable[[#This Row],[Max Allowed Discount]], "Discount loss", "Safe")</f>
        <v>Safe</v>
      </c>
      <c r="AD642" s="4">
        <f>SalesCleanTable[[#This Row],[Unit Price]] - SalesCleanTable[[#This Row],[Unit Cost]]</f>
        <v>170</v>
      </c>
      <c r="AE642" s="41">
        <f>(SalesCleanTable[[#This Row],[Unit Price]] - SalesCleanTable[[#This Row],[Unit Cost]]) / SalesCleanTable[[#This Row],[Unit Price]]</f>
        <v>0.42499999999999999</v>
      </c>
    </row>
    <row r="643" spans="1:31">
      <c r="A643" t="s">
        <v>829</v>
      </c>
      <c r="B643" s="6">
        <v>45720</v>
      </c>
      <c r="C643" t="s">
        <v>53</v>
      </c>
      <c r="D643" t="s">
        <v>54</v>
      </c>
      <c r="E643" t="s">
        <v>38</v>
      </c>
      <c r="F643" t="s">
        <v>55</v>
      </c>
      <c r="G643" t="s">
        <v>56</v>
      </c>
      <c r="H643" t="s">
        <v>139</v>
      </c>
      <c r="I643" t="s">
        <v>140</v>
      </c>
      <c r="J643" t="s">
        <v>137</v>
      </c>
      <c r="K643" t="s">
        <v>138</v>
      </c>
      <c r="L643" t="s">
        <v>166</v>
      </c>
      <c r="M643" t="s">
        <v>186</v>
      </c>
      <c r="N643">
        <v>5</v>
      </c>
      <c r="O643" s="4">
        <v>330</v>
      </c>
      <c r="P643" s="4">
        <v>550</v>
      </c>
      <c r="Q643" s="7">
        <v>0.15</v>
      </c>
      <c r="R643" t="s">
        <v>168</v>
      </c>
      <c r="S643">
        <v>12</v>
      </c>
      <c r="T643">
        <v>2750</v>
      </c>
      <c r="U643">
        <v>412.5</v>
      </c>
      <c r="V643">
        <v>2337.5</v>
      </c>
      <c r="W643">
        <v>1650</v>
      </c>
      <c r="X643">
        <v>687.5</v>
      </c>
      <c r="Y643" s="8">
        <v>0.29411764705882354</v>
      </c>
      <c r="Z643" t="s">
        <v>2996</v>
      </c>
      <c r="AA643" t="str">
        <f>IF(AND(SalesCleanTable[[#This Row],[Discount %]]&gt;0, SalesCleanTable[[#This Row],[Profit]]&lt;0), "Discount loss", "Safe")</f>
        <v>Safe</v>
      </c>
      <c r="AB643" s="25">
        <f>(SalesCleanTable[[#This Row],[Unit Price]] - SalesCleanTable[[#This Row],[Unit Cost]]) / SalesCleanTable[[#This Row],[Unit Price]]</f>
        <v>0.4</v>
      </c>
      <c r="AC643" t="str">
        <f>IF(SalesCleanTable[[#This Row],[Discount %]] &gt; SalesCleanTable[[#This Row],[Max Allowed Discount]], "Discount loss", "Safe")</f>
        <v>Safe</v>
      </c>
      <c r="AD643" s="4">
        <f>SalesCleanTable[[#This Row],[Unit Price]] - SalesCleanTable[[#This Row],[Unit Cost]]</f>
        <v>220</v>
      </c>
      <c r="AE643" s="41">
        <f>(SalesCleanTable[[#This Row],[Unit Price]] - SalesCleanTable[[#This Row],[Unit Cost]]) / SalesCleanTable[[#This Row],[Unit Price]]</f>
        <v>0.4</v>
      </c>
    </row>
    <row r="644" spans="1:31">
      <c r="A644" t="s">
        <v>830</v>
      </c>
      <c r="B644" s="6">
        <v>45691</v>
      </c>
      <c r="C644" t="s">
        <v>36</v>
      </c>
      <c r="D644" t="s">
        <v>37</v>
      </c>
      <c r="E644" t="s">
        <v>38</v>
      </c>
      <c r="F644" t="s">
        <v>39</v>
      </c>
      <c r="G644" t="s">
        <v>40</v>
      </c>
      <c r="H644" t="s">
        <v>149</v>
      </c>
      <c r="I644" t="s">
        <v>150</v>
      </c>
      <c r="J644" t="s">
        <v>151</v>
      </c>
      <c r="K644" t="s">
        <v>152</v>
      </c>
      <c r="L644" t="s">
        <v>166</v>
      </c>
      <c r="M644" t="s">
        <v>171</v>
      </c>
      <c r="N644">
        <v>1</v>
      </c>
      <c r="O644" s="4">
        <v>1650</v>
      </c>
      <c r="P644" s="4">
        <v>2200</v>
      </c>
      <c r="Q644" s="7">
        <v>0.05</v>
      </c>
      <c r="R644" t="s">
        <v>178</v>
      </c>
      <c r="S644">
        <v>2</v>
      </c>
      <c r="T644">
        <v>2200</v>
      </c>
      <c r="U644">
        <v>110</v>
      </c>
      <c r="V644">
        <v>2090</v>
      </c>
      <c r="W644">
        <v>1650</v>
      </c>
      <c r="X644">
        <v>440</v>
      </c>
      <c r="Y644" s="8">
        <v>0.21052631578947367</v>
      </c>
      <c r="Z644" t="s">
        <v>2995</v>
      </c>
      <c r="AA644" t="str">
        <f>IF(AND(SalesCleanTable[[#This Row],[Discount %]]&gt;0, SalesCleanTable[[#This Row],[Profit]]&lt;0), "Discount loss", "Safe")</f>
        <v>Safe</v>
      </c>
      <c r="AB644" s="25">
        <f>(SalesCleanTable[[#This Row],[Unit Price]] - SalesCleanTable[[#This Row],[Unit Cost]]) / SalesCleanTable[[#This Row],[Unit Price]]</f>
        <v>0.25</v>
      </c>
      <c r="AC644" t="str">
        <f>IF(SalesCleanTable[[#This Row],[Discount %]] &gt; SalesCleanTable[[#This Row],[Max Allowed Discount]], "Discount loss", "Safe")</f>
        <v>Safe</v>
      </c>
      <c r="AD644" s="4">
        <f>SalesCleanTable[[#This Row],[Unit Price]] - SalesCleanTable[[#This Row],[Unit Cost]]</f>
        <v>550</v>
      </c>
      <c r="AE644" s="41">
        <f>(SalesCleanTable[[#This Row],[Unit Price]] - SalesCleanTable[[#This Row],[Unit Cost]]) / SalesCleanTable[[#This Row],[Unit Price]]</f>
        <v>0.25</v>
      </c>
    </row>
    <row r="645" spans="1:31">
      <c r="A645" t="s">
        <v>831</v>
      </c>
      <c r="B645" s="6">
        <v>45715</v>
      </c>
      <c r="C645" t="s">
        <v>82</v>
      </c>
      <c r="D645" t="s">
        <v>83</v>
      </c>
      <c r="E645" t="s">
        <v>75</v>
      </c>
      <c r="F645" t="s">
        <v>84</v>
      </c>
      <c r="G645" t="s">
        <v>85</v>
      </c>
      <c r="H645" t="s">
        <v>139</v>
      </c>
      <c r="I645" t="s">
        <v>140</v>
      </c>
      <c r="J645" t="s">
        <v>137</v>
      </c>
      <c r="K645" t="s">
        <v>138</v>
      </c>
      <c r="L645" t="s">
        <v>183</v>
      </c>
      <c r="M645" t="s">
        <v>167</v>
      </c>
      <c r="N645">
        <v>6</v>
      </c>
      <c r="O645" s="4">
        <v>600</v>
      </c>
      <c r="P645" s="4">
        <v>950</v>
      </c>
      <c r="Q645" s="7">
        <v>0.05</v>
      </c>
      <c r="R645" t="s">
        <v>204</v>
      </c>
      <c r="S645">
        <v>9</v>
      </c>
      <c r="T645">
        <v>5700</v>
      </c>
      <c r="U645">
        <v>285</v>
      </c>
      <c r="V645">
        <v>5415</v>
      </c>
      <c r="W645">
        <v>3600</v>
      </c>
      <c r="X645">
        <v>1815</v>
      </c>
      <c r="Y645" s="8">
        <v>0.33518005540166207</v>
      </c>
      <c r="Z645" t="s">
        <v>2996</v>
      </c>
      <c r="AA645" t="str">
        <f>IF(AND(SalesCleanTable[[#This Row],[Discount %]]&gt;0, SalesCleanTable[[#This Row],[Profit]]&lt;0), "Discount loss", "Safe")</f>
        <v>Safe</v>
      </c>
      <c r="AB645" s="25">
        <f>(SalesCleanTable[[#This Row],[Unit Price]] - SalesCleanTable[[#This Row],[Unit Cost]]) / SalesCleanTable[[#This Row],[Unit Price]]</f>
        <v>0.36842105263157893</v>
      </c>
      <c r="AC645" t="str">
        <f>IF(SalesCleanTable[[#This Row],[Discount %]] &gt; SalesCleanTable[[#This Row],[Max Allowed Discount]], "Discount loss", "Safe")</f>
        <v>Safe</v>
      </c>
      <c r="AD645" s="4">
        <f>SalesCleanTable[[#This Row],[Unit Price]] - SalesCleanTable[[#This Row],[Unit Cost]]</f>
        <v>350</v>
      </c>
      <c r="AE645" s="41">
        <f>(SalesCleanTable[[#This Row],[Unit Price]] - SalesCleanTable[[#This Row],[Unit Cost]]) / SalesCleanTable[[#This Row],[Unit Price]]</f>
        <v>0.36842105263157893</v>
      </c>
    </row>
    <row r="646" spans="1:31">
      <c r="A646" t="s">
        <v>832</v>
      </c>
      <c r="B646" s="6">
        <v>45900</v>
      </c>
      <c r="C646" t="s">
        <v>45</v>
      </c>
      <c r="D646" t="s">
        <v>46</v>
      </c>
      <c r="E646" t="s">
        <v>38</v>
      </c>
      <c r="F646" t="s">
        <v>47</v>
      </c>
      <c r="G646" t="s">
        <v>48</v>
      </c>
      <c r="H646" t="s">
        <v>135</v>
      </c>
      <c r="I646" t="s">
        <v>136</v>
      </c>
      <c r="J646" t="s">
        <v>137</v>
      </c>
      <c r="K646" t="s">
        <v>138</v>
      </c>
      <c r="L646" t="s">
        <v>166</v>
      </c>
      <c r="M646" t="s">
        <v>171</v>
      </c>
      <c r="N646">
        <v>3</v>
      </c>
      <c r="O646" s="4">
        <v>230</v>
      </c>
      <c r="P646" s="4">
        <v>400</v>
      </c>
      <c r="Q646" s="7">
        <v>0</v>
      </c>
      <c r="R646" t="s">
        <v>178</v>
      </c>
      <c r="S646">
        <v>14</v>
      </c>
      <c r="T646">
        <v>1200</v>
      </c>
      <c r="U646">
        <v>0</v>
      </c>
      <c r="V646">
        <v>1200</v>
      </c>
      <c r="W646">
        <v>690</v>
      </c>
      <c r="X646">
        <v>510</v>
      </c>
      <c r="Y646" s="8">
        <v>0.42499999999999999</v>
      </c>
      <c r="Z646" t="s">
        <v>2995</v>
      </c>
      <c r="AA646" t="str">
        <f>IF(AND(SalesCleanTable[[#This Row],[Discount %]]&gt;0, SalesCleanTable[[#This Row],[Profit]]&lt;0), "Discount loss", "Safe")</f>
        <v>Safe</v>
      </c>
      <c r="AB646" s="25">
        <f>(SalesCleanTable[[#This Row],[Unit Price]] - SalesCleanTable[[#This Row],[Unit Cost]]) / SalesCleanTable[[#This Row],[Unit Price]]</f>
        <v>0.42499999999999999</v>
      </c>
      <c r="AC646" t="str">
        <f>IF(SalesCleanTable[[#This Row],[Discount %]] &gt; SalesCleanTable[[#This Row],[Max Allowed Discount]], "Discount loss", "Safe")</f>
        <v>Safe</v>
      </c>
      <c r="AD646" s="4">
        <f>SalesCleanTable[[#This Row],[Unit Price]] - SalesCleanTable[[#This Row],[Unit Cost]]</f>
        <v>170</v>
      </c>
      <c r="AE646" s="41">
        <f>(SalesCleanTable[[#This Row],[Unit Price]] - SalesCleanTable[[#This Row],[Unit Cost]]) / SalesCleanTable[[#This Row],[Unit Price]]</f>
        <v>0.42499999999999999</v>
      </c>
    </row>
    <row r="647" spans="1:31">
      <c r="A647" t="s">
        <v>833</v>
      </c>
      <c r="B647" s="6">
        <v>45988</v>
      </c>
      <c r="C647" t="s">
        <v>45</v>
      </c>
      <c r="D647" t="s">
        <v>46</v>
      </c>
      <c r="E647" t="s">
        <v>38</v>
      </c>
      <c r="F647" t="s">
        <v>47</v>
      </c>
      <c r="G647" t="s">
        <v>48</v>
      </c>
      <c r="H647" t="s">
        <v>139</v>
      </c>
      <c r="I647" t="s">
        <v>140</v>
      </c>
      <c r="J647" t="s">
        <v>137</v>
      </c>
      <c r="K647" t="s">
        <v>138</v>
      </c>
      <c r="L647" t="s">
        <v>166</v>
      </c>
      <c r="M647" t="s">
        <v>171</v>
      </c>
      <c r="N647">
        <v>4</v>
      </c>
      <c r="O647" s="4">
        <v>230</v>
      </c>
      <c r="P647" s="4">
        <v>400</v>
      </c>
      <c r="Q647" s="7">
        <v>0.15</v>
      </c>
      <c r="R647" t="s">
        <v>168</v>
      </c>
      <c r="S647">
        <v>14</v>
      </c>
      <c r="T647">
        <v>1600</v>
      </c>
      <c r="U647">
        <v>240</v>
      </c>
      <c r="V647">
        <v>1360</v>
      </c>
      <c r="W647">
        <v>920</v>
      </c>
      <c r="X647">
        <v>440</v>
      </c>
      <c r="Y647" s="8">
        <v>0.3235294117647059</v>
      </c>
      <c r="Z647" t="s">
        <v>2995</v>
      </c>
      <c r="AA647" t="str">
        <f>IF(AND(SalesCleanTable[[#This Row],[Discount %]]&gt;0, SalesCleanTable[[#This Row],[Profit]]&lt;0), "Discount loss", "Safe")</f>
        <v>Safe</v>
      </c>
      <c r="AB647" s="25">
        <f>(SalesCleanTable[[#This Row],[Unit Price]] - SalesCleanTable[[#This Row],[Unit Cost]]) / SalesCleanTable[[#This Row],[Unit Price]]</f>
        <v>0.42499999999999999</v>
      </c>
      <c r="AC647" t="str">
        <f>IF(SalesCleanTable[[#This Row],[Discount %]] &gt; SalesCleanTable[[#This Row],[Max Allowed Discount]], "Discount loss", "Safe")</f>
        <v>Safe</v>
      </c>
      <c r="AD647" s="4">
        <f>SalesCleanTable[[#This Row],[Unit Price]] - SalesCleanTable[[#This Row],[Unit Cost]]</f>
        <v>170</v>
      </c>
      <c r="AE647" s="41">
        <f>(SalesCleanTable[[#This Row],[Unit Price]] - SalesCleanTable[[#This Row],[Unit Cost]]) / SalesCleanTable[[#This Row],[Unit Price]]</f>
        <v>0.42499999999999999</v>
      </c>
    </row>
    <row r="648" spans="1:31">
      <c r="A648" t="s">
        <v>834</v>
      </c>
      <c r="B648" s="6">
        <v>45892</v>
      </c>
      <c r="C648" t="s">
        <v>45</v>
      </c>
      <c r="D648" t="s">
        <v>46</v>
      </c>
      <c r="E648" t="s">
        <v>38</v>
      </c>
      <c r="F648" t="s">
        <v>47</v>
      </c>
      <c r="G648" t="s">
        <v>48</v>
      </c>
      <c r="H648" t="s">
        <v>128</v>
      </c>
      <c r="I648" t="s">
        <v>129</v>
      </c>
      <c r="J648" t="s">
        <v>130</v>
      </c>
      <c r="K648" t="s">
        <v>131</v>
      </c>
      <c r="L648" t="s">
        <v>166</v>
      </c>
      <c r="M648" t="s">
        <v>186</v>
      </c>
      <c r="N648">
        <v>5</v>
      </c>
      <c r="O648" s="4">
        <v>230</v>
      </c>
      <c r="P648" s="4">
        <v>400</v>
      </c>
      <c r="Q648" s="7">
        <v>0</v>
      </c>
      <c r="R648" t="s">
        <v>175</v>
      </c>
      <c r="S648">
        <v>13</v>
      </c>
      <c r="T648">
        <v>2000</v>
      </c>
      <c r="U648">
        <v>0</v>
      </c>
      <c r="V648">
        <v>2000</v>
      </c>
      <c r="W648">
        <v>1150</v>
      </c>
      <c r="X648">
        <v>850</v>
      </c>
      <c r="Y648" s="8">
        <v>0.42499999999999999</v>
      </c>
      <c r="Z648" t="s">
        <v>2995</v>
      </c>
      <c r="AA648" t="str">
        <f>IF(AND(SalesCleanTable[[#This Row],[Discount %]]&gt;0, SalesCleanTable[[#This Row],[Profit]]&lt;0), "Discount loss", "Safe")</f>
        <v>Safe</v>
      </c>
      <c r="AB648" s="25">
        <f>(SalesCleanTable[[#This Row],[Unit Price]] - SalesCleanTable[[#This Row],[Unit Cost]]) / SalesCleanTable[[#This Row],[Unit Price]]</f>
        <v>0.42499999999999999</v>
      </c>
      <c r="AC648" t="str">
        <f>IF(SalesCleanTable[[#This Row],[Discount %]] &gt; SalesCleanTable[[#This Row],[Max Allowed Discount]], "Discount loss", "Safe")</f>
        <v>Safe</v>
      </c>
      <c r="AD648" s="4">
        <f>SalesCleanTable[[#This Row],[Unit Price]] - SalesCleanTable[[#This Row],[Unit Cost]]</f>
        <v>170</v>
      </c>
      <c r="AE648" s="41">
        <f>(SalesCleanTable[[#This Row],[Unit Price]] - SalesCleanTable[[#This Row],[Unit Cost]]) / SalesCleanTable[[#This Row],[Unit Price]]</f>
        <v>0.42499999999999999</v>
      </c>
    </row>
    <row r="649" spans="1:31">
      <c r="A649" t="s">
        <v>835</v>
      </c>
      <c r="B649" s="6">
        <v>45733</v>
      </c>
      <c r="C649" t="s">
        <v>45</v>
      </c>
      <c r="D649" t="s">
        <v>46</v>
      </c>
      <c r="E649" t="s">
        <v>38</v>
      </c>
      <c r="F649" t="s">
        <v>47</v>
      </c>
      <c r="G649" t="s">
        <v>48</v>
      </c>
      <c r="H649" t="s">
        <v>139</v>
      </c>
      <c r="I649" t="s">
        <v>140</v>
      </c>
      <c r="J649" t="s">
        <v>137</v>
      </c>
      <c r="K649" t="s">
        <v>138</v>
      </c>
      <c r="L649" t="s">
        <v>183</v>
      </c>
      <c r="M649" t="s">
        <v>167</v>
      </c>
      <c r="N649">
        <v>1</v>
      </c>
      <c r="O649" s="4">
        <v>230</v>
      </c>
      <c r="P649" s="4">
        <v>400</v>
      </c>
      <c r="Q649" s="7">
        <v>0.2</v>
      </c>
      <c r="R649" t="s">
        <v>178</v>
      </c>
      <c r="S649">
        <v>14</v>
      </c>
      <c r="T649">
        <v>400</v>
      </c>
      <c r="U649">
        <v>80</v>
      </c>
      <c r="V649">
        <v>320</v>
      </c>
      <c r="W649">
        <v>230</v>
      </c>
      <c r="X649">
        <v>90</v>
      </c>
      <c r="Y649" s="8">
        <v>0.28125</v>
      </c>
      <c r="Z649" t="s">
        <v>2995</v>
      </c>
      <c r="AA649" t="str">
        <f>IF(AND(SalesCleanTable[[#This Row],[Discount %]]&gt;0, SalesCleanTable[[#This Row],[Profit]]&lt;0), "Discount loss", "Safe")</f>
        <v>Safe</v>
      </c>
      <c r="AB649" s="25">
        <f>(SalesCleanTable[[#This Row],[Unit Price]] - SalesCleanTable[[#This Row],[Unit Cost]]) / SalesCleanTable[[#This Row],[Unit Price]]</f>
        <v>0.42499999999999999</v>
      </c>
      <c r="AC649" t="str">
        <f>IF(SalesCleanTable[[#This Row],[Discount %]] &gt; SalesCleanTable[[#This Row],[Max Allowed Discount]], "Discount loss", "Safe")</f>
        <v>Safe</v>
      </c>
      <c r="AD649" s="4">
        <f>SalesCleanTable[[#This Row],[Unit Price]] - SalesCleanTable[[#This Row],[Unit Cost]]</f>
        <v>170</v>
      </c>
      <c r="AE649" s="41">
        <f>(SalesCleanTable[[#This Row],[Unit Price]] - SalesCleanTable[[#This Row],[Unit Cost]]) / SalesCleanTable[[#This Row],[Unit Price]]</f>
        <v>0.42499999999999999</v>
      </c>
    </row>
    <row r="650" spans="1:31">
      <c r="A650" t="s">
        <v>836</v>
      </c>
      <c r="B650" s="6">
        <v>45999</v>
      </c>
      <c r="C650" t="s">
        <v>95</v>
      </c>
      <c r="D650" t="s">
        <v>96</v>
      </c>
      <c r="E650" t="s">
        <v>92</v>
      </c>
      <c r="F650" t="s">
        <v>97</v>
      </c>
      <c r="G650" t="s">
        <v>98</v>
      </c>
      <c r="H650" t="s">
        <v>133</v>
      </c>
      <c r="I650" t="s">
        <v>134</v>
      </c>
      <c r="J650" t="s">
        <v>130</v>
      </c>
      <c r="K650" t="s">
        <v>131</v>
      </c>
      <c r="L650" t="s">
        <v>166</v>
      </c>
      <c r="M650" t="s">
        <v>186</v>
      </c>
      <c r="N650">
        <v>1</v>
      </c>
      <c r="O650" s="4">
        <v>18000</v>
      </c>
      <c r="P650" s="4">
        <v>24500</v>
      </c>
      <c r="Q650" s="7">
        <v>0.2</v>
      </c>
      <c r="R650" t="s">
        <v>217</v>
      </c>
      <c r="S650">
        <v>3</v>
      </c>
      <c r="T650">
        <v>24500</v>
      </c>
      <c r="U650">
        <v>4900</v>
      </c>
      <c r="V650">
        <v>19600</v>
      </c>
      <c r="W650">
        <v>18000</v>
      </c>
      <c r="X650">
        <v>1600</v>
      </c>
      <c r="Y650" s="8">
        <v>8.1632653061224483E-2</v>
      </c>
      <c r="Z650" t="s">
        <v>2995</v>
      </c>
      <c r="AA650" t="str">
        <f>IF(AND(SalesCleanTable[[#This Row],[Discount %]]&gt;0, SalesCleanTable[[#This Row],[Profit]]&lt;0), "Discount loss", "Safe")</f>
        <v>Safe</v>
      </c>
      <c r="AB650" s="25">
        <f>(SalesCleanTable[[#This Row],[Unit Price]] - SalesCleanTable[[#This Row],[Unit Cost]]) / SalesCleanTable[[#This Row],[Unit Price]]</f>
        <v>0.26530612244897961</v>
      </c>
      <c r="AC650" t="str">
        <f>IF(SalesCleanTable[[#This Row],[Discount %]] &gt; SalesCleanTable[[#This Row],[Max Allowed Discount]], "Discount loss", "Safe")</f>
        <v>Safe</v>
      </c>
      <c r="AD650" s="4">
        <f>SalesCleanTable[[#This Row],[Unit Price]] - SalesCleanTable[[#This Row],[Unit Cost]]</f>
        <v>6500</v>
      </c>
      <c r="AE650" s="41">
        <f>(SalesCleanTable[[#This Row],[Unit Price]] - SalesCleanTable[[#This Row],[Unit Cost]]) / SalesCleanTable[[#This Row],[Unit Price]]</f>
        <v>0.26530612244897961</v>
      </c>
    </row>
    <row r="651" spans="1:31">
      <c r="A651" t="s">
        <v>837</v>
      </c>
      <c r="B651" s="6">
        <v>46020</v>
      </c>
      <c r="C651" t="s">
        <v>24</v>
      </c>
      <c r="D651" t="s">
        <v>25</v>
      </c>
      <c r="E651" t="s">
        <v>26</v>
      </c>
      <c r="F651" t="s">
        <v>27</v>
      </c>
      <c r="G651" t="s">
        <v>28</v>
      </c>
      <c r="H651" t="s">
        <v>135</v>
      </c>
      <c r="I651" t="s">
        <v>136</v>
      </c>
      <c r="J651" t="s">
        <v>137</v>
      </c>
      <c r="K651" t="s">
        <v>138</v>
      </c>
      <c r="L651" t="s">
        <v>166</v>
      </c>
      <c r="M651" t="s">
        <v>177</v>
      </c>
      <c r="N651">
        <v>2</v>
      </c>
      <c r="O651" s="4">
        <v>14500</v>
      </c>
      <c r="P651" s="4">
        <v>17500</v>
      </c>
      <c r="Q651" s="7">
        <v>0.05</v>
      </c>
      <c r="R651" t="s">
        <v>194</v>
      </c>
      <c r="S651">
        <v>2</v>
      </c>
      <c r="T651">
        <v>35000</v>
      </c>
      <c r="U651">
        <v>1750</v>
      </c>
      <c r="V651">
        <v>33250</v>
      </c>
      <c r="W651">
        <v>29000</v>
      </c>
      <c r="X651">
        <v>4250</v>
      </c>
      <c r="Y651" s="8">
        <v>0.12781954887218044</v>
      </c>
      <c r="Z651" t="s">
        <v>2995</v>
      </c>
      <c r="AA651" t="str">
        <f>IF(AND(SalesCleanTable[[#This Row],[Discount %]]&gt;0, SalesCleanTable[[#This Row],[Profit]]&lt;0), "Discount loss", "Safe")</f>
        <v>Safe</v>
      </c>
      <c r="AB651" s="25">
        <f>(SalesCleanTable[[#This Row],[Unit Price]] - SalesCleanTable[[#This Row],[Unit Cost]]) / SalesCleanTable[[#This Row],[Unit Price]]</f>
        <v>0.17142857142857143</v>
      </c>
      <c r="AC651" t="str">
        <f>IF(SalesCleanTable[[#This Row],[Discount %]] &gt; SalesCleanTable[[#This Row],[Max Allowed Discount]], "Discount loss", "Safe")</f>
        <v>Safe</v>
      </c>
      <c r="AD651" s="4">
        <f>SalesCleanTable[[#This Row],[Unit Price]] - SalesCleanTable[[#This Row],[Unit Cost]]</f>
        <v>3000</v>
      </c>
      <c r="AE651" s="41">
        <f>(SalesCleanTable[[#This Row],[Unit Price]] - SalesCleanTable[[#This Row],[Unit Cost]]) / SalesCleanTable[[#This Row],[Unit Price]]</f>
        <v>0.17142857142857143</v>
      </c>
    </row>
    <row r="652" spans="1:31">
      <c r="A652" t="s">
        <v>838</v>
      </c>
      <c r="B652" s="6">
        <v>45865</v>
      </c>
      <c r="C652" t="s">
        <v>112</v>
      </c>
      <c r="D652" t="s">
        <v>113</v>
      </c>
      <c r="E652" t="s">
        <v>109</v>
      </c>
      <c r="F652" t="s">
        <v>114</v>
      </c>
      <c r="G652" t="s">
        <v>115</v>
      </c>
      <c r="H652" t="s">
        <v>145</v>
      </c>
      <c r="I652" t="s">
        <v>146</v>
      </c>
      <c r="J652" t="s">
        <v>147</v>
      </c>
      <c r="K652" t="s">
        <v>148</v>
      </c>
      <c r="L652" t="s">
        <v>166</v>
      </c>
      <c r="M652" t="s">
        <v>171</v>
      </c>
      <c r="N652">
        <v>8</v>
      </c>
      <c r="O652" s="4">
        <v>1300</v>
      </c>
      <c r="P652" s="4">
        <v>2100</v>
      </c>
      <c r="Q652" s="7">
        <v>0.2</v>
      </c>
      <c r="R652" t="s">
        <v>184</v>
      </c>
      <c r="S652">
        <v>9</v>
      </c>
      <c r="T652">
        <v>16800</v>
      </c>
      <c r="U652">
        <v>3360</v>
      </c>
      <c r="V652">
        <v>13440</v>
      </c>
      <c r="W652">
        <v>10400</v>
      </c>
      <c r="X652">
        <v>3040</v>
      </c>
      <c r="Y652" s="8">
        <v>0.22619047619047619</v>
      </c>
      <c r="Z652" t="s">
        <v>2995</v>
      </c>
      <c r="AA652" t="str">
        <f>IF(AND(SalesCleanTable[[#This Row],[Discount %]]&gt;0, SalesCleanTable[[#This Row],[Profit]]&lt;0), "Discount loss", "Safe")</f>
        <v>Safe</v>
      </c>
      <c r="AB652" s="25">
        <f>(SalesCleanTable[[#This Row],[Unit Price]] - SalesCleanTable[[#This Row],[Unit Cost]]) / SalesCleanTable[[#This Row],[Unit Price]]</f>
        <v>0.38095238095238093</v>
      </c>
      <c r="AC652" t="str">
        <f>IF(SalesCleanTable[[#This Row],[Discount %]] &gt; SalesCleanTable[[#This Row],[Max Allowed Discount]], "Discount loss", "Safe")</f>
        <v>Safe</v>
      </c>
      <c r="AD652" s="4">
        <f>SalesCleanTable[[#This Row],[Unit Price]] - SalesCleanTable[[#This Row],[Unit Cost]]</f>
        <v>800</v>
      </c>
      <c r="AE652" s="41">
        <f>(SalesCleanTable[[#This Row],[Unit Price]] - SalesCleanTable[[#This Row],[Unit Cost]]) / SalesCleanTable[[#This Row],[Unit Price]]</f>
        <v>0.38095238095238093</v>
      </c>
    </row>
    <row r="653" spans="1:31">
      <c r="A653" t="s">
        <v>839</v>
      </c>
      <c r="B653" s="6">
        <v>46019</v>
      </c>
      <c r="C653" t="s">
        <v>45</v>
      </c>
      <c r="D653" t="s">
        <v>46</v>
      </c>
      <c r="E653" t="s">
        <v>38</v>
      </c>
      <c r="F653" t="s">
        <v>47</v>
      </c>
      <c r="G653" t="s">
        <v>48</v>
      </c>
      <c r="H653" t="s">
        <v>149</v>
      </c>
      <c r="I653" t="s">
        <v>150</v>
      </c>
      <c r="J653" t="s">
        <v>151</v>
      </c>
      <c r="K653" t="s">
        <v>152</v>
      </c>
      <c r="L653" t="s">
        <v>170</v>
      </c>
      <c r="M653" t="s">
        <v>171</v>
      </c>
      <c r="N653">
        <v>8</v>
      </c>
      <c r="O653" s="4">
        <v>230</v>
      </c>
      <c r="P653" s="4">
        <v>400</v>
      </c>
      <c r="Q653" s="7">
        <v>0.1</v>
      </c>
      <c r="R653" t="s">
        <v>168</v>
      </c>
      <c r="S653">
        <v>12</v>
      </c>
      <c r="T653">
        <v>3200</v>
      </c>
      <c r="U653">
        <v>320</v>
      </c>
      <c r="V653">
        <v>2880</v>
      </c>
      <c r="W653">
        <v>1840</v>
      </c>
      <c r="X653">
        <v>1040</v>
      </c>
      <c r="Y653" s="8">
        <v>0.3611111111111111</v>
      </c>
      <c r="Z653" t="s">
        <v>2995</v>
      </c>
      <c r="AA653" t="str">
        <f>IF(AND(SalesCleanTable[[#This Row],[Discount %]]&gt;0, SalesCleanTable[[#This Row],[Profit]]&lt;0), "Discount loss", "Safe")</f>
        <v>Safe</v>
      </c>
      <c r="AB653" s="25">
        <f>(SalesCleanTable[[#This Row],[Unit Price]] - SalesCleanTable[[#This Row],[Unit Cost]]) / SalesCleanTable[[#This Row],[Unit Price]]</f>
        <v>0.42499999999999999</v>
      </c>
      <c r="AC653" t="str">
        <f>IF(SalesCleanTable[[#This Row],[Discount %]] &gt; SalesCleanTable[[#This Row],[Max Allowed Discount]], "Discount loss", "Safe")</f>
        <v>Safe</v>
      </c>
      <c r="AD653" s="4">
        <f>SalesCleanTable[[#This Row],[Unit Price]] - SalesCleanTable[[#This Row],[Unit Cost]]</f>
        <v>170</v>
      </c>
      <c r="AE653" s="41">
        <f>(SalesCleanTable[[#This Row],[Unit Price]] - SalesCleanTable[[#This Row],[Unit Cost]]) / SalesCleanTable[[#This Row],[Unit Price]]</f>
        <v>0.42499999999999999</v>
      </c>
    </row>
    <row r="654" spans="1:31">
      <c r="A654" t="s">
        <v>840</v>
      </c>
      <c r="B654" s="6">
        <v>45884</v>
      </c>
      <c r="C654" t="s">
        <v>45</v>
      </c>
      <c r="D654" t="s">
        <v>46</v>
      </c>
      <c r="E654" t="s">
        <v>38</v>
      </c>
      <c r="F654" t="s">
        <v>47</v>
      </c>
      <c r="G654" t="s">
        <v>48</v>
      </c>
      <c r="H654" t="s">
        <v>128</v>
      </c>
      <c r="I654" t="s">
        <v>129</v>
      </c>
      <c r="J654" t="s">
        <v>130</v>
      </c>
      <c r="K654" t="s">
        <v>131</v>
      </c>
      <c r="L654" t="s">
        <v>183</v>
      </c>
      <c r="M654" t="s">
        <v>177</v>
      </c>
      <c r="N654">
        <v>3</v>
      </c>
      <c r="O654" s="4">
        <v>230</v>
      </c>
      <c r="P654" s="4">
        <v>400</v>
      </c>
      <c r="Q654" s="7">
        <v>0</v>
      </c>
      <c r="R654" t="s">
        <v>178</v>
      </c>
      <c r="S654">
        <v>7</v>
      </c>
      <c r="T654">
        <v>1200</v>
      </c>
      <c r="U654">
        <v>0</v>
      </c>
      <c r="V654">
        <v>1200</v>
      </c>
      <c r="W654">
        <v>690</v>
      </c>
      <c r="X654">
        <v>510</v>
      </c>
      <c r="Y654" s="8">
        <v>0.42499999999999999</v>
      </c>
      <c r="Z654" t="s">
        <v>2995</v>
      </c>
      <c r="AA654" t="str">
        <f>IF(AND(SalesCleanTable[[#This Row],[Discount %]]&gt;0, SalesCleanTable[[#This Row],[Profit]]&lt;0), "Discount loss", "Safe")</f>
        <v>Safe</v>
      </c>
      <c r="AB654" s="25">
        <f>(SalesCleanTable[[#This Row],[Unit Price]] - SalesCleanTable[[#This Row],[Unit Cost]]) / SalesCleanTable[[#This Row],[Unit Price]]</f>
        <v>0.42499999999999999</v>
      </c>
      <c r="AC654" t="str">
        <f>IF(SalesCleanTable[[#This Row],[Discount %]] &gt; SalesCleanTable[[#This Row],[Max Allowed Discount]], "Discount loss", "Safe")</f>
        <v>Safe</v>
      </c>
      <c r="AD654" s="4">
        <f>SalesCleanTable[[#This Row],[Unit Price]] - SalesCleanTable[[#This Row],[Unit Cost]]</f>
        <v>170</v>
      </c>
      <c r="AE654" s="41">
        <f>(SalesCleanTable[[#This Row],[Unit Price]] - SalesCleanTable[[#This Row],[Unit Cost]]) / SalesCleanTable[[#This Row],[Unit Price]]</f>
        <v>0.42499999999999999</v>
      </c>
    </row>
    <row r="655" spans="1:31">
      <c r="A655" t="s">
        <v>841</v>
      </c>
      <c r="B655" s="6">
        <v>45770</v>
      </c>
      <c r="C655" t="s">
        <v>53</v>
      </c>
      <c r="D655" t="s">
        <v>54</v>
      </c>
      <c r="E655" t="s">
        <v>38</v>
      </c>
      <c r="F655" t="s">
        <v>55</v>
      </c>
      <c r="G655" t="s">
        <v>56</v>
      </c>
      <c r="H655" t="s">
        <v>128</v>
      </c>
      <c r="I655" t="s">
        <v>129</v>
      </c>
      <c r="J655" t="s">
        <v>130</v>
      </c>
      <c r="K655" t="s">
        <v>131</v>
      </c>
      <c r="L655" t="s">
        <v>183</v>
      </c>
      <c r="M655" t="s">
        <v>167</v>
      </c>
      <c r="N655">
        <v>1</v>
      </c>
      <c r="O655" s="4">
        <v>330</v>
      </c>
      <c r="P655" s="4">
        <v>550</v>
      </c>
      <c r="Q655" s="7">
        <v>0.1</v>
      </c>
      <c r="R655" t="s">
        <v>175</v>
      </c>
      <c r="S655">
        <v>4</v>
      </c>
      <c r="T655">
        <v>550</v>
      </c>
      <c r="U655">
        <v>55</v>
      </c>
      <c r="V655">
        <v>495</v>
      </c>
      <c r="W655">
        <v>330</v>
      </c>
      <c r="X655">
        <v>165</v>
      </c>
      <c r="Y655" s="8">
        <v>0.33333333333333331</v>
      </c>
      <c r="Z655" t="s">
        <v>2996</v>
      </c>
      <c r="AA655" t="str">
        <f>IF(AND(SalesCleanTable[[#This Row],[Discount %]]&gt;0, SalesCleanTable[[#This Row],[Profit]]&lt;0), "Discount loss", "Safe")</f>
        <v>Safe</v>
      </c>
      <c r="AB655" s="25">
        <f>(SalesCleanTable[[#This Row],[Unit Price]] - SalesCleanTable[[#This Row],[Unit Cost]]) / SalesCleanTable[[#This Row],[Unit Price]]</f>
        <v>0.4</v>
      </c>
      <c r="AC655" t="str">
        <f>IF(SalesCleanTable[[#This Row],[Discount %]] &gt; SalesCleanTable[[#This Row],[Max Allowed Discount]], "Discount loss", "Safe")</f>
        <v>Safe</v>
      </c>
      <c r="AD655" s="4">
        <f>SalesCleanTable[[#This Row],[Unit Price]] - SalesCleanTable[[#This Row],[Unit Cost]]</f>
        <v>220</v>
      </c>
      <c r="AE655" s="41">
        <f>(SalesCleanTable[[#This Row],[Unit Price]] - SalesCleanTable[[#This Row],[Unit Cost]]) / SalesCleanTable[[#This Row],[Unit Price]]</f>
        <v>0.4</v>
      </c>
    </row>
    <row r="656" spans="1:31">
      <c r="A656" t="s">
        <v>842</v>
      </c>
      <c r="B656" s="6">
        <v>45933</v>
      </c>
      <c r="C656" t="s">
        <v>103</v>
      </c>
      <c r="D656" t="s">
        <v>104</v>
      </c>
      <c r="E656" t="s">
        <v>92</v>
      </c>
      <c r="F656" t="s">
        <v>105</v>
      </c>
      <c r="G656" t="s">
        <v>106</v>
      </c>
      <c r="H656" t="s">
        <v>141</v>
      </c>
      <c r="I656" t="s">
        <v>142</v>
      </c>
      <c r="J656" t="s">
        <v>143</v>
      </c>
      <c r="K656" t="s">
        <v>144</v>
      </c>
      <c r="L656" t="s">
        <v>166</v>
      </c>
      <c r="M656" t="s">
        <v>186</v>
      </c>
      <c r="N656">
        <v>8</v>
      </c>
      <c r="O656" s="4">
        <v>1500</v>
      </c>
      <c r="P656" s="4">
        <v>2500</v>
      </c>
      <c r="Q656" s="7">
        <v>0.2</v>
      </c>
      <c r="R656" t="s">
        <v>215</v>
      </c>
      <c r="S656">
        <v>10</v>
      </c>
      <c r="T656">
        <v>20000</v>
      </c>
      <c r="U656">
        <v>4000</v>
      </c>
      <c r="V656">
        <v>16000</v>
      </c>
      <c r="W656">
        <v>12000</v>
      </c>
      <c r="X656">
        <v>4000</v>
      </c>
      <c r="Y656" s="8">
        <v>0.25</v>
      </c>
      <c r="Z656" t="s">
        <v>2996</v>
      </c>
      <c r="AA656" t="str">
        <f>IF(AND(SalesCleanTable[[#This Row],[Discount %]]&gt;0, SalesCleanTable[[#This Row],[Profit]]&lt;0), "Discount loss", "Safe")</f>
        <v>Safe</v>
      </c>
      <c r="AB656" s="25">
        <f>(SalesCleanTable[[#This Row],[Unit Price]] - SalesCleanTable[[#This Row],[Unit Cost]]) / SalesCleanTable[[#This Row],[Unit Price]]</f>
        <v>0.4</v>
      </c>
      <c r="AC656" t="str">
        <f>IF(SalesCleanTable[[#This Row],[Discount %]] &gt; SalesCleanTable[[#This Row],[Max Allowed Discount]], "Discount loss", "Safe")</f>
        <v>Safe</v>
      </c>
      <c r="AD656" s="4">
        <f>SalesCleanTable[[#This Row],[Unit Price]] - SalesCleanTable[[#This Row],[Unit Cost]]</f>
        <v>1000</v>
      </c>
      <c r="AE656" s="41">
        <f>(SalesCleanTable[[#This Row],[Unit Price]] - SalesCleanTable[[#This Row],[Unit Cost]]) / SalesCleanTable[[#This Row],[Unit Price]]</f>
        <v>0.4</v>
      </c>
    </row>
    <row r="657" spans="1:31">
      <c r="A657" t="s">
        <v>843</v>
      </c>
      <c r="B657" s="6">
        <v>45686</v>
      </c>
      <c r="C657" t="s">
        <v>107</v>
      </c>
      <c r="D657" t="s">
        <v>108</v>
      </c>
      <c r="E657" t="s">
        <v>109</v>
      </c>
      <c r="F657" t="s">
        <v>110</v>
      </c>
      <c r="G657" t="s">
        <v>111</v>
      </c>
      <c r="H657" t="s">
        <v>135</v>
      </c>
      <c r="I657" t="s">
        <v>136</v>
      </c>
      <c r="J657" t="s">
        <v>137</v>
      </c>
      <c r="K657" t="s">
        <v>138</v>
      </c>
      <c r="L657" t="s">
        <v>166</v>
      </c>
      <c r="M657" t="s">
        <v>186</v>
      </c>
      <c r="N657">
        <v>1</v>
      </c>
      <c r="O657" s="4">
        <v>5200</v>
      </c>
      <c r="P657" s="4">
        <v>7000</v>
      </c>
      <c r="Q657" s="7">
        <v>0.25</v>
      </c>
      <c r="R657" t="s">
        <v>220</v>
      </c>
      <c r="S657">
        <v>6</v>
      </c>
      <c r="T657">
        <v>7000</v>
      </c>
      <c r="U657">
        <v>1750</v>
      </c>
      <c r="V657">
        <v>5250</v>
      </c>
      <c r="W657">
        <v>5200</v>
      </c>
      <c r="X657">
        <v>50</v>
      </c>
      <c r="Y657" s="8">
        <v>9.5238095238095247E-3</v>
      </c>
      <c r="Z657" t="s">
        <v>2997</v>
      </c>
      <c r="AA657" t="str">
        <f>IF(AND(SalesCleanTable[[#This Row],[Discount %]]&gt;0, SalesCleanTable[[#This Row],[Profit]]&lt;0), "Discount loss", "Safe")</f>
        <v>Safe</v>
      </c>
      <c r="AB657" s="25">
        <f>(SalesCleanTable[[#This Row],[Unit Price]] - SalesCleanTable[[#This Row],[Unit Cost]]) / SalesCleanTable[[#This Row],[Unit Price]]</f>
        <v>0.25714285714285712</v>
      </c>
      <c r="AC657" t="str">
        <f>IF(SalesCleanTable[[#This Row],[Discount %]] &gt; SalesCleanTable[[#This Row],[Max Allowed Discount]], "Discount loss", "Safe")</f>
        <v>Safe</v>
      </c>
      <c r="AD657" s="4">
        <f>SalesCleanTable[[#This Row],[Unit Price]] - SalesCleanTable[[#This Row],[Unit Cost]]</f>
        <v>1800</v>
      </c>
      <c r="AE657" s="41">
        <f>(SalesCleanTable[[#This Row],[Unit Price]] - SalesCleanTable[[#This Row],[Unit Cost]]) / SalesCleanTable[[#This Row],[Unit Price]]</f>
        <v>0.25714285714285712</v>
      </c>
    </row>
    <row r="658" spans="1:31">
      <c r="A658" t="s">
        <v>844</v>
      </c>
      <c r="B658" s="6">
        <v>45886</v>
      </c>
      <c r="C658" t="s">
        <v>103</v>
      </c>
      <c r="D658" t="s">
        <v>104</v>
      </c>
      <c r="E658" t="s">
        <v>92</v>
      </c>
      <c r="F658" t="s">
        <v>105</v>
      </c>
      <c r="G658" t="s">
        <v>106</v>
      </c>
      <c r="H658" t="s">
        <v>128</v>
      </c>
      <c r="I658" t="s">
        <v>129</v>
      </c>
      <c r="J658" t="s">
        <v>130</v>
      </c>
      <c r="K658" t="s">
        <v>131</v>
      </c>
      <c r="L658" t="s">
        <v>170</v>
      </c>
      <c r="M658" t="s">
        <v>171</v>
      </c>
      <c r="N658">
        <v>4</v>
      </c>
      <c r="O658" s="4">
        <v>1500</v>
      </c>
      <c r="P658" s="4">
        <v>2500</v>
      </c>
      <c r="Q658" s="7">
        <v>0.05</v>
      </c>
      <c r="R658" t="s">
        <v>217</v>
      </c>
      <c r="S658">
        <v>3</v>
      </c>
      <c r="T658">
        <v>10000</v>
      </c>
      <c r="U658">
        <v>500</v>
      </c>
      <c r="V658">
        <v>9500</v>
      </c>
      <c r="W658">
        <v>6000</v>
      </c>
      <c r="X658">
        <v>3500</v>
      </c>
      <c r="Y658" s="8">
        <v>0.36842105263157893</v>
      </c>
      <c r="Z658" t="s">
        <v>2996</v>
      </c>
      <c r="AA658" t="str">
        <f>IF(AND(SalesCleanTable[[#This Row],[Discount %]]&gt;0, SalesCleanTable[[#This Row],[Profit]]&lt;0), "Discount loss", "Safe")</f>
        <v>Safe</v>
      </c>
      <c r="AB658" s="25">
        <f>(SalesCleanTable[[#This Row],[Unit Price]] - SalesCleanTable[[#This Row],[Unit Cost]]) / SalesCleanTable[[#This Row],[Unit Price]]</f>
        <v>0.4</v>
      </c>
      <c r="AC658" t="str">
        <f>IF(SalesCleanTable[[#This Row],[Discount %]] &gt; SalesCleanTable[[#This Row],[Max Allowed Discount]], "Discount loss", "Safe")</f>
        <v>Safe</v>
      </c>
      <c r="AD658" s="4">
        <f>SalesCleanTable[[#This Row],[Unit Price]] - SalesCleanTable[[#This Row],[Unit Cost]]</f>
        <v>1000</v>
      </c>
      <c r="AE658" s="41">
        <f>(SalesCleanTable[[#This Row],[Unit Price]] - SalesCleanTable[[#This Row],[Unit Cost]]) / SalesCleanTable[[#This Row],[Unit Price]]</f>
        <v>0.4</v>
      </c>
    </row>
    <row r="659" spans="1:31">
      <c r="A659" t="s">
        <v>845</v>
      </c>
      <c r="B659" s="6">
        <v>45875</v>
      </c>
      <c r="C659" t="s">
        <v>82</v>
      </c>
      <c r="D659" t="s">
        <v>83</v>
      </c>
      <c r="E659" t="s">
        <v>75</v>
      </c>
      <c r="F659" t="s">
        <v>84</v>
      </c>
      <c r="G659" t="s">
        <v>85</v>
      </c>
      <c r="H659" t="s">
        <v>135</v>
      </c>
      <c r="I659" t="s">
        <v>136</v>
      </c>
      <c r="J659" t="s">
        <v>137</v>
      </c>
      <c r="K659" t="s">
        <v>138</v>
      </c>
      <c r="L659" t="s">
        <v>166</v>
      </c>
      <c r="M659" t="s">
        <v>167</v>
      </c>
      <c r="N659">
        <v>5</v>
      </c>
      <c r="O659" s="4">
        <v>600</v>
      </c>
      <c r="P659" s="4">
        <v>950</v>
      </c>
      <c r="Q659" s="7">
        <v>0.1</v>
      </c>
      <c r="R659" t="s">
        <v>204</v>
      </c>
      <c r="S659">
        <v>6</v>
      </c>
      <c r="T659">
        <v>4750</v>
      </c>
      <c r="U659">
        <v>475</v>
      </c>
      <c r="V659">
        <v>4275</v>
      </c>
      <c r="W659">
        <v>3000</v>
      </c>
      <c r="X659">
        <v>1275</v>
      </c>
      <c r="Y659" s="8">
        <v>0.2982456140350877</v>
      </c>
      <c r="Z659" t="s">
        <v>2996</v>
      </c>
      <c r="AA659" t="str">
        <f>IF(AND(SalesCleanTable[[#This Row],[Discount %]]&gt;0, SalesCleanTable[[#This Row],[Profit]]&lt;0), "Discount loss", "Safe")</f>
        <v>Safe</v>
      </c>
      <c r="AB659" s="25">
        <f>(SalesCleanTable[[#This Row],[Unit Price]] - SalesCleanTable[[#This Row],[Unit Cost]]) / SalesCleanTable[[#This Row],[Unit Price]]</f>
        <v>0.36842105263157893</v>
      </c>
      <c r="AC659" t="str">
        <f>IF(SalesCleanTable[[#This Row],[Discount %]] &gt; SalesCleanTable[[#This Row],[Max Allowed Discount]], "Discount loss", "Safe")</f>
        <v>Safe</v>
      </c>
      <c r="AD659" s="4">
        <f>SalesCleanTable[[#This Row],[Unit Price]] - SalesCleanTable[[#This Row],[Unit Cost]]</f>
        <v>350</v>
      </c>
      <c r="AE659" s="41">
        <f>(SalesCleanTable[[#This Row],[Unit Price]] - SalesCleanTable[[#This Row],[Unit Cost]]) / SalesCleanTable[[#This Row],[Unit Price]]</f>
        <v>0.36842105263157893</v>
      </c>
    </row>
    <row r="660" spans="1:31">
      <c r="A660" t="s">
        <v>846</v>
      </c>
      <c r="B660" s="6">
        <v>45960</v>
      </c>
      <c r="C660" t="s">
        <v>82</v>
      </c>
      <c r="D660" t="s">
        <v>83</v>
      </c>
      <c r="E660" t="s">
        <v>75</v>
      </c>
      <c r="F660" t="s">
        <v>84</v>
      </c>
      <c r="G660" t="s">
        <v>85</v>
      </c>
      <c r="H660" t="s">
        <v>128</v>
      </c>
      <c r="I660" t="s">
        <v>129</v>
      </c>
      <c r="J660" t="s">
        <v>130</v>
      </c>
      <c r="K660" t="s">
        <v>131</v>
      </c>
      <c r="L660" t="s">
        <v>166</v>
      </c>
      <c r="M660" t="s">
        <v>171</v>
      </c>
      <c r="N660">
        <v>2</v>
      </c>
      <c r="O660" s="4">
        <v>600</v>
      </c>
      <c r="P660" s="4">
        <v>950</v>
      </c>
      <c r="Q660" s="7">
        <v>0.15</v>
      </c>
      <c r="R660" t="s">
        <v>204</v>
      </c>
      <c r="S660">
        <v>10</v>
      </c>
      <c r="T660">
        <v>1900</v>
      </c>
      <c r="U660">
        <v>285</v>
      </c>
      <c r="V660">
        <v>1615</v>
      </c>
      <c r="W660">
        <v>1200</v>
      </c>
      <c r="X660">
        <v>415</v>
      </c>
      <c r="Y660" s="8">
        <v>0.25696594427244585</v>
      </c>
      <c r="Z660" t="s">
        <v>2996</v>
      </c>
      <c r="AA660" t="str">
        <f>IF(AND(SalesCleanTable[[#This Row],[Discount %]]&gt;0, SalesCleanTable[[#This Row],[Profit]]&lt;0), "Discount loss", "Safe")</f>
        <v>Safe</v>
      </c>
      <c r="AB660" s="25">
        <f>(SalesCleanTable[[#This Row],[Unit Price]] - SalesCleanTable[[#This Row],[Unit Cost]]) / SalesCleanTable[[#This Row],[Unit Price]]</f>
        <v>0.36842105263157893</v>
      </c>
      <c r="AC660" t="str">
        <f>IF(SalesCleanTable[[#This Row],[Discount %]] &gt; SalesCleanTable[[#This Row],[Max Allowed Discount]], "Discount loss", "Safe")</f>
        <v>Safe</v>
      </c>
      <c r="AD660" s="4">
        <f>SalesCleanTable[[#This Row],[Unit Price]] - SalesCleanTable[[#This Row],[Unit Cost]]</f>
        <v>350</v>
      </c>
      <c r="AE660" s="41">
        <f>(SalesCleanTable[[#This Row],[Unit Price]] - SalesCleanTable[[#This Row],[Unit Cost]]) / SalesCleanTable[[#This Row],[Unit Price]]</f>
        <v>0.36842105263157893</v>
      </c>
    </row>
    <row r="661" spans="1:31">
      <c r="A661" t="s">
        <v>847</v>
      </c>
      <c r="B661" s="6">
        <v>45728</v>
      </c>
      <c r="C661" t="s">
        <v>41</v>
      </c>
      <c r="D661" t="s">
        <v>42</v>
      </c>
      <c r="E661" t="s">
        <v>26</v>
      </c>
      <c r="F661" t="s">
        <v>43</v>
      </c>
      <c r="G661" t="s">
        <v>44</v>
      </c>
      <c r="H661" t="s">
        <v>149</v>
      </c>
      <c r="I661" t="s">
        <v>150</v>
      </c>
      <c r="J661" t="s">
        <v>151</v>
      </c>
      <c r="K661" t="s">
        <v>152</v>
      </c>
      <c r="L661" t="s">
        <v>183</v>
      </c>
      <c r="M661" t="s">
        <v>167</v>
      </c>
      <c r="N661">
        <v>2</v>
      </c>
      <c r="O661" s="4">
        <v>850</v>
      </c>
      <c r="P661" s="4">
        <v>1300</v>
      </c>
      <c r="Q661" s="7">
        <v>0.05</v>
      </c>
      <c r="R661" t="s">
        <v>173</v>
      </c>
      <c r="S661">
        <v>5</v>
      </c>
      <c r="T661">
        <v>2600</v>
      </c>
      <c r="U661">
        <v>130</v>
      </c>
      <c r="V661">
        <v>2470</v>
      </c>
      <c r="W661">
        <v>1700</v>
      </c>
      <c r="X661">
        <v>770</v>
      </c>
      <c r="Y661" s="8">
        <v>0.31174089068825911</v>
      </c>
      <c r="Z661" t="s">
        <v>2995</v>
      </c>
      <c r="AA661" t="str">
        <f>IF(AND(SalesCleanTable[[#This Row],[Discount %]]&gt;0, SalesCleanTable[[#This Row],[Profit]]&lt;0), "Discount loss", "Safe")</f>
        <v>Safe</v>
      </c>
      <c r="AB661" s="25">
        <f>(SalesCleanTable[[#This Row],[Unit Price]] - SalesCleanTable[[#This Row],[Unit Cost]]) / SalesCleanTable[[#This Row],[Unit Price]]</f>
        <v>0.34615384615384615</v>
      </c>
      <c r="AC661" t="str">
        <f>IF(SalesCleanTable[[#This Row],[Discount %]] &gt; SalesCleanTable[[#This Row],[Max Allowed Discount]], "Discount loss", "Safe")</f>
        <v>Safe</v>
      </c>
      <c r="AD661" s="4">
        <f>SalesCleanTable[[#This Row],[Unit Price]] - SalesCleanTable[[#This Row],[Unit Cost]]</f>
        <v>450</v>
      </c>
      <c r="AE661" s="41">
        <f>(SalesCleanTable[[#This Row],[Unit Price]] - SalesCleanTable[[#This Row],[Unit Cost]]) / SalesCleanTable[[#This Row],[Unit Price]]</f>
        <v>0.34615384615384615</v>
      </c>
    </row>
    <row r="662" spans="1:31">
      <c r="A662" t="s">
        <v>848</v>
      </c>
      <c r="B662" s="6">
        <v>45895</v>
      </c>
      <c r="C662" t="s">
        <v>41</v>
      </c>
      <c r="D662" t="s">
        <v>42</v>
      </c>
      <c r="E662" t="s">
        <v>26</v>
      </c>
      <c r="F662" t="s">
        <v>43</v>
      </c>
      <c r="G662" t="s">
        <v>44</v>
      </c>
      <c r="H662" t="s">
        <v>145</v>
      </c>
      <c r="I662" t="s">
        <v>146</v>
      </c>
      <c r="J662" t="s">
        <v>147</v>
      </c>
      <c r="K662" t="s">
        <v>148</v>
      </c>
      <c r="L662" t="s">
        <v>183</v>
      </c>
      <c r="M662" t="s">
        <v>171</v>
      </c>
      <c r="N662">
        <v>1</v>
      </c>
      <c r="O662" s="4">
        <v>850</v>
      </c>
      <c r="P662" s="4">
        <v>1300</v>
      </c>
      <c r="Q662" s="7">
        <v>0.05</v>
      </c>
      <c r="R662" t="s">
        <v>197</v>
      </c>
      <c r="S662">
        <v>11</v>
      </c>
      <c r="T662">
        <v>1300</v>
      </c>
      <c r="U662">
        <v>65</v>
      </c>
      <c r="V662">
        <v>1235</v>
      </c>
      <c r="W662">
        <v>850</v>
      </c>
      <c r="X662">
        <v>385</v>
      </c>
      <c r="Y662" s="8">
        <v>0.31174089068825911</v>
      </c>
      <c r="Z662" t="s">
        <v>2995</v>
      </c>
      <c r="AA662" t="str">
        <f>IF(AND(SalesCleanTable[[#This Row],[Discount %]]&gt;0, SalesCleanTable[[#This Row],[Profit]]&lt;0), "Discount loss", "Safe")</f>
        <v>Safe</v>
      </c>
      <c r="AB662" s="25">
        <f>(SalesCleanTable[[#This Row],[Unit Price]] - SalesCleanTable[[#This Row],[Unit Cost]]) / SalesCleanTable[[#This Row],[Unit Price]]</f>
        <v>0.34615384615384615</v>
      </c>
      <c r="AC662" t="str">
        <f>IF(SalesCleanTable[[#This Row],[Discount %]] &gt; SalesCleanTable[[#This Row],[Max Allowed Discount]], "Discount loss", "Safe")</f>
        <v>Safe</v>
      </c>
      <c r="AD662" s="4">
        <f>SalesCleanTable[[#This Row],[Unit Price]] - SalesCleanTable[[#This Row],[Unit Cost]]</f>
        <v>450</v>
      </c>
      <c r="AE662" s="41">
        <f>(SalesCleanTable[[#This Row],[Unit Price]] - SalesCleanTable[[#This Row],[Unit Cost]]) / SalesCleanTable[[#This Row],[Unit Price]]</f>
        <v>0.34615384615384615</v>
      </c>
    </row>
    <row r="663" spans="1:31">
      <c r="A663" t="s">
        <v>849</v>
      </c>
      <c r="B663" s="6">
        <v>45805</v>
      </c>
      <c r="C663" t="s">
        <v>49</v>
      </c>
      <c r="D663" t="s">
        <v>50</v>
      </c>
      <c r="E663" t="s">
        <v>38</v>
      </c>
      <c r="F663" t="s">
        <v>51</v>
      </c>
      <c r="G663" t="s">
        <v>52</v>
      </c>
      <c r="H663" t="s">
        <v>139</v>
      </c>
      <c r="I663" t="s">
        <v>140</v>
      </c>
      <c r="J663" t="s">
        <v>137</v>
      </c>
      <c r="K663" t="s">
        <v>138</v>
      </c>
      <c r="L663" t="s">
        <v>166</v>
      </c>
      <c r="M663" t="s">
        <v>167</v>
      </c>
      <c r="N663">
        <v>4</v>
      </c>
      <c r="O663" s="4">
        <v>550</v>
      </c>
      <c r="P663" s="4">
        <v>850</v>
      </c>
      <c r="Q663" s="7">
        <v>0</v>
      </c>
      <c r="R663" t="s">
        <v>178</v>
      </c>
      <c r="S663">
        <v>10</v>
      </c>
      <c r="T663">
        <v>3400</v>
      </c>
      <c r="U663">
        <v>0</v>
      </c>
      <c r="V663">
        <v>3400</v>
      </c>
      <c r="W663">
        <v>2200</v>
      </c>
      <c r="X663">
        <v>1200</v>
      </c>
      <c r="Y663" s="8">
        <v>0.35294117647058826</v>
      </c>
      <c r="Z663" t="s">
        <v>2996</v>
      </c>
      <c r="AA663" t="str">
        <f>IF(AND(SalesCleanTable[[#This Row],[Discount %]]&gt;0, SalesCleanTable[[#This Row],[Profit]]&lt;0), "Discount loss", "Safe")</f>
        <v>Safe</v>
      </c>
      <c r="AB663" s="25">
        <f>(SalesCleanTable[[#This Row],[Unit Price]] - SalesCleanTable[[#This Row],[Unit Cost]]) / SalesCleanTable[[#This Row],[Unit Price]]</f>
        <v>0.35294117647058826</v>
      </c>
      <c r="AC663" t="str">
        <f>IF(SalesCleanTable[[#This Row],[Discount %]] &gt; SalesCleanTable[[#This Row],[Max Allowed Discount]], "Discount loss", "Safe")</f>
        <v>Safe</v>
      </c>
      <c r="AD663" s="4">
        <f>SalesCleanTable[[#This Row],[Unit Price]] - SalesCleanTable[[#This Row],[Unit Cost]]</f>
        <v>300</v>
      </c>
      <c r="AE663" s="41">
        <f>(SalesCleanTable[[#This Row],[Unit Price]] - SalesCleanTable[[#This Row],[Unit Cost]]) / SalesCleanTable[[#This Row],[Unit Price]]</f>
        <v>0.35294117647058826</v>
      </c>
    </row>
    <row r="664" spans="1:31">
      <c r="A664" t="s">
        <v>850</v>
      </c>
      <c r="B664" s="6">
        <v>45955</v>
      </c>
      <c r="C664" t="s">
        <v>53</v>
      </c>
      <c r="D664" t="s">
        <v>54</v>
      </c>
      <c r="E664" t="s">
        <v>38</v>
      </c>
      <c r="F664" t="s">
        <v>55</v>
      </c>
      <c r="G664" t="s">
        <v>56</v>
      </c>
      <c r="H664" t="s">
        <v>135</v>
      </c>
      <c r="I664" t="s">
        <v>136</v>
      </c>
      <c r="J664" t="s">
        <v>137</v>
      </c>
      <c r="K664" t="s">
        <v>138</v>
      </c>
      <c r="L664" t="s">
        <v>170</v>
      </c>
      <c r="M664" t="s">
        <v>171</v>
      </c>
      <c r="N664">
        <v>2</v>
      </c>
      <c r="O664" s="4">
        <v>330</v>
      </c>
      <c r="P664" s="4">
        <v>550</v>
      </c>
      <c r="Q664" s="7">
        <v>0.1</v>
      </c>
      <c r="R664" t="s">
        <v>175</v>
      </c>
      <c r="S664">
        <v>9</v>
      </c>
      <c r="T664">
        <v>1100</v>
      </c>
      <c r="U664">
        <v>110</v>
      </c>
      <c r="V664">
        <v>990</v>
      </c>
      <c r="W664">
        <v>660</v>
      </c>
      <c r="X664">
        <v>330</v>
      </c>
      <c r="Y664" s="8">
        <v>0.33333333333333331</v>
      </c>
      <c r="Z664" t="s">
        <v>2996</v>
      </c>
      <c r="AA664" t="str">
        <f>IF(AND(SalesCleanTable[[#This Row],[Discount %]]&gt;0, SalesCleanTable[[#This Row],[Profit]]&lt;0), "Discount loss", "Safe")</f>
        <v>Safe</v>
      </c>
      <c r="AB664" s="25">
        <f>(SalesCleanTable[[#This Row],[Unit Price]] - SalesCleanTable[[#This Row],[Unit Cost]]) / SalesCleanTable[[#This Row],[Unit Price]]</f>
        <v>0.4</v>
      </c>
      <c r="AC664" t="str">
        <f>IF(SalesCleanTable[[#This Row],[Discount %]] &gt; SalesCleanTable[[#This Row],[Max Allowed Discount]], "Discount loss", "Safe")</f>
        <v>Safe</v>
      </c>
      <c r="AD664" s="4">
        <f>SalesCleanTable[[#This Row],[Unit Price]] - SalesCleanTable[[#This Row],[Unit Cost]]</f>
        <v>220</v>
      </c>
      <c r="AE664" s="41">
        <f>(SalesCleanTable[[#This Row],[Unit Price]] - SalesCleanTable[[#This Row],[Unit Cost]]) / SalesCleanTable[[#This Row],[Unit Price]]</f>
        <v>0.4</v>
      </c>
    </row>
    <row r="665" spans="1:31">
      <c r="A665" t="s">
        <v>851</v>
      </c>
      <c r="B665" s="6">
        <v>45666</v>
      </c>
      <c r="C665" t="s">
        <v>103</v>
      </c>
      <c r="D665" t="s">
        <v>104</v>
      </c>
      <c r="E665" t="s">
        <v>92</v>
      </c>
      <c r="F665" t="s">
        <v>105</v>
      </c>
      <c r="G665" t="s">
        <v>106</v>
      </c>
      <c r="H665" t="s">
        <v>133</v>
      </c>
      <c r="I665" t="s">
        <v>134</v>
      </c>
      <c r="J665" t="s">
        <v>130</v>
      </c>
      <c r="K665" t="s">
        <v>131</v>
      </c>
      <c r="L665" t="s">
        <v>183</v>
      </c>
      <c r="M665" t="s">
        <v>177</v>
      </c>
      <c r="N665">
        <v>1</v>
      </c>
      <c r="O665" s="4">
        <v>1500</v>
      </c>
      <c r="P665" s="4">
        <v>2500</v>
      </c>
      <c r="Q665" s="7">
        <v>0.05</v>
      </c>
      <c r="R665" t="s">
        <v>181</v>
      </c>
      <c r="S665">
        <v>1</v>
      </c>
      <c r="T665">
        <v>2500</v>
      </c>
      <c r="U665">
        <v>125</v>
      </c>
      <c r="V665">
        <v>2375</v>
      </c>
      <c r="W665">
        <v>1500</v>
      </c>
      <c r="X665">
        <v>875</v>
      </c>
      <c r="Y665" s="8">
        <v>0.36842105263157893</v>
      </c>
      <c r="Z665" t="s">
        <v>2996</v>
      </c>
      <c r="AA665" t="str">
        <f>IF(AND(SalesCleanTable[[#This Row],[Discount %]]&gt;0, SalesCleanTable[[#This Row],[Profit]]&lt;0), "Discount loss", "Safe")</f>
        <v>Safe</v>
      </c>
      <c r="AB665" s="25">
        <f>(SalesCleanTable[[#This Row],[Unit Price]] - SalesCleanTable[[#This Row],[Unit Cost]]) / SalesCleanTable[[#This Row],[Unit Price]]</f>
        <v>0.4</v>
      </c>
      <c r="AC665" t="str">
        <f>IF(SalesCleanTable[[#This Row],[Discount %]] &gt; SalesCleanTable[[#This Row],[Max Allowed Discount]], "Discount loss", "Safe")</f>
        <v>Safe</v>
      </c>
      <c r="AD665" s="4">
        <f>SalesCleanTable[[#This Row],[Unit Price]] - SalesCleanTable[[#This Row],[Unit Cost]]</f>
        <v>1000</v>
      </c>
      <c r="AE665" s="41">
        <f>(SalesCleanTable[[#This Row],[Unit Price]] - SalesCleanTable[[#This Row],[Unit Cost]]) / SalesCleanTable[[#This Row],[Unit Price]]</f>
        <v>0.4</v>
      </c>
    </row>
    <row r="666" spans="1:31">
      <c r="A666" t="s">
        <v>852</v>
      </c>
      <c r="B666" s="6">
        <v>45872</v>
      </c>
      <c r="C666" t="s">
        <v>73</v>
      </c>
      <c r="D666" t="s">
        <v>74</v>
      </c>
      <c r="E666" t="s">
        <v>75</v>
      </c>
      <c r="F666" t="s">
        <v>76</v>
      </c>
      <c r="G666" t="s">
        <v>77</v>
      </c>
      <c r="H666" t="s">
        <v>153</v>
      </c>
      <c r="I666" t="s">
        <v>154</v>
      </c>
      <c r="J666" t="s">
        <v>155</v>
      </c>
      <c r="K666" t="s">
        <v>131</v>
      </c>
      <c r="L666" t="s">
        <v>183</v>
      </c>
      <c r="M666" t="s">
        <v>177</v>
      </c>
      <c r="N666">
        <v>1</v>
      </c>
      <c r="O666" s="4">
        <v>3500</v>
      </c>
      <c r="P666" s="4">
        <v>5200</v>
      </c>
      <c r="Q666" s="7">
        <v>0</v>
      </c>
      <c r="R666" t="s">
        <v>187</v>
      </c>
      <c r="S666">
        <v>13</v>
      </c>
      <c r="T666">
        <v>5200</v>
      </c>
      <c r="U666">
        <v>0</v>
      </c>
      <c r="V666">
        <v>5200</v>
      </c>
      <c r="W666">
        <v>3500</v>
      </c>
      <c r="X666">
        <v>1700</v>
      </c>
      <c r="Y666" s="8">
        <v>0.32692307692307693</v>
      </c>
      <c r="Z666" t="s">
        <v>2996</v>
      </c>
      <c r="AA666" t="str">
        <f>IF(AND(SalesCleanTable[[#This Row],[Discount %]]&gt;0, SalesCleanTable[[#This Row],[Profit]]&lt;0), "Discount loss", "Safe")</f>
        <v>Safe</v>
      </c>
      <c r="AB666" s="25">
        <f>(SalesCleanTable[[#This Row],[Unit Price]] - SalesCleanTable[[#This Row],[Unit Cost]]) / SalesCleanTable[[#This Row],[Unit Price]]</f>
        <v>0.32692307692307693</v>
      </c>
      <c r="AC666" t="str">
        <f>IF(SalesCleanTable[[#This Row],[Discount %]] &gt; SalesCleanTable[[#This Row],[Max Allowed Discount]], "Discount loss", "Safe")</f>
        <v>Safe</v>
      </c>
      <c r="AD666" s="4">
        <f>SalesCleanTable[[#This Row],[Unit Price]] - SalesCleanTable[[#This Row],[Unit Cost]]</f>
        <v>1700</v>
      </c>
      <c r="AE666" s="41">
        <f>(SalesCleanTable[[#This Row],[Unit Price]] - SalesCleanTable[[#This Row],[Unit Cost]]) / SalesCleanTable[[#This Row],[Unit Price]]</f>
        <v>0.32692307692307693</v>
      </c>
    </row>
    <row r="667" spans="1:31">
      <c r="A667" t="s">
        <v>853</v>
      </c>
      <c r="B667" s="6">
        <v>45706</v>
      </c>
      <c r="C667" t="s">
        <v>66</v>
      </c>
      <c r="D667" t="s">
        <v>67</v>
      </c>
      <c r="E667" t="s">
        <v>59</v>
      </c>
      <c r="F667" t="s">
        <v>60</v>
      </c>
      <c r="G667" t="s">
        <v>68</v>
      </c>
      <c r="H667" t="s">
        <v>133</v>
      </c>
      <c r="I667" t="s">
        <v>134</v>
      </c>
      <c r="J667" t="s">
        <v>130</v>
      </c>
      <c r="K667" t="s">
        <v>131</v>
      </c>
      <c r="L667" t="s">
        <v>183</v>
      </c>
      <c r="M667" t="s">
        <v>171</v>
      </c>
      <c r="N667">
        <v>2</v>
      </c>
      <c r="O667" s="4">
        <v>2800</v>
      </c>
      <c r="P667" s="4">
        <v>3900</v>
      </c>
      <c r="Q667" s="7">
        <v>0.05</v>
      </c>
      <c r="R667" t="s">
        <v>204</v>
      </c>
      <c r="S667">
        <v>11</v>
      </c>
      <c r="T667">
        <v>7800</v>
      </c>
      <c r="U667">
        <v>390</v>
      </c>
      <c r="V667">
        <v>7410</v>
      </c>
      <c r="W667">
        <v>5600</v>
      </c>
      <c r="X667">
        <v>1810</v>
      </c>
      <c r="Y667" s="8">
        <v>0.24426450742240216</v>
      </c>
      <c r="Z667" t="s">
        <v>2996</v>
      </c>
      <c r="AA667" t="str">
        <f>IF(AND(SalesCleanTable[[#This Row],[Discount %]]&gt;0, SalesCleanTable[[#This Row],[Profit]]&lt;0), "Discount loss", "Safe")</f>
        <v>Safe</v>
      </c>
      <c r="AB667" s="25">
        <f>(SalesCleanTable[[#This Row],[Unit Price]] - SalesCleanTable[[#This Row],[Unit Cost]]) / SalesCleanTable[[#This Row],[Unit Price]]</f>
        <v>0.28205128205128205</v>
      </c>
      <c r="AC667" t="str">
        <f>IF(SalesCleanTable[[#This Row],[Discount %]] &gt; SalesCleanTable[[#This Row],[Max Allowed Discount]], "Discount loss", "Safe")</f>
        <v>Safe</v>
      </c>
      <c r="AD667" s="4">
        <f>SalesCleanTable[[#This Row],[Unit Price]] - SalesCleanTable[[#This Row],[Unit Cost]]</f>
        <v>1100</v>
      </c>
      <c r="AE667" s="41">
        <f>(SalesCleanTable[[#This Row],[Unit Price]] - SalesCleanTable[[#This Row],[Unit Cost]]) / SalesCleanTable[[#This Row],[Unit Price]]</f>
        <v>0.28205128205128205</v>
      </c>
    </row>
    <row r="668" spans="1:31">
      <c r="A668" t="s">
        <v>854</v>
      </c>
      <c r="B668" s="6">
        <v>45843</v>
      </c>
      <c r="C668" t="s">
        <v>32</v>
      </c>
      <c r="D668" t="s">
        <v>33</v>
      </c>
      <c r="E668" t="s">
        <v>26</v>
      </c>
      <c r="F668" t="s">
        <v>34</v>
      </c>
      <c r="G668" t="s">
        <v>35</v>
      </c>
      <c r="H668" t="s">
        <v>139</v>
      </c>
      <c r="I668" t="s">
        <v>140</v>
      </c>
      <c r="J668" t="s">
        <v>137</v>
      </c>
      <c r="K668" t="s">
        <v>138</v>
      </c>
      <c r="L668" t="s">
        <v>166</v>
      </c>
      <c r="M668" t="s">
        <v>186</v>
      </c>
      <c r="N668">
        <v>5</v>
      </c>
      <c r="O668" s="4">
        <v>7800</v>
      </c>
      <c r="P668" s="4">
        <v>9800</v>
      </c>
      <c r="Q668" s="7">
        <v>0</v>
      </c>
      <c r="R668" t="s">
        <v>194</v>
      </c>
      <c r="S668">
        <v>7</v>
      </c>
      <c r="T668">
        <v>49000</v>
      </c>
      <c r="U668">
        <v>0</v>
      </c>
      <c r="V668">
        <v>49000</v>
      </c>
      <c r="W668">
        <v>39000</v>
      </c>
      <c r="X668">
        <v>10000</v>
      </c>
      <c r="Y668" s="8">
        <v>0.20408163265306123</v>
      </c>
      <c r="Z668" t="s">
        <v>2995</v>
      </c>
      <c r="AA668" t="str">
        <f>IF(AND(SalesCleanTable[[#This Row],[Discount %]]&gt;0, SalesCleanTable[[#This Row],[Profit]]&lt;0), "Discount loss", "Safe")</f>
        <v>Safe</v>
      </c>
      <c r="AB668" s="25">
        <f>(SalesCleanTable[[#This Row],[Unit Price]] - SalesCleanTable[[#This Row],[Unit Cost]]) / SalesCleanTable[[#This Row],[Unit Price]]</f>
        <v>0.20408163265306123</v>
      </c>
      <c r="AC668" t="str">
        <f>IF(SalesCleanTable[[#This Row],[Discount %]] &gt; SalesCleanTable[[#This Row],[Max Allowed Discount]], "Discount loss", "Safe")</f>
        <v>Safe</v>
      </c>
      <c r="AD668" s="4">
        <f>SalesCleanTable[[#This Row],[Unit Price]] - SalesCleanTable[[#This Row],[Unit Cost]]</f>
        <v>2000</v>
      </c>
      <c r="AE668" s="41">
        <f>(SalesCleanTable[[#This Row],[Unit Price]] - SalesCleanTable[[#This Row],[Unit Cost]]) / SalesCleanTable[[#This Row],[Unit Price]]</f>
        <v>0.20408163265306123</v>
      </c>
    </row>
    <row r="669" spans="1:31">
      <c r="A669" t="s">
        <v>855</v>
      </c>
      <c r="B669" s="6">
        <v>45741</v>
      </c>
      <c r="C669" t="s">
        <v>32</v>
      </c>
      <c r="D669" t="s">
        <v>33</v>
      </c>
      <c r="E669" t="s">
        <v>26</v>
      </c>
      <c r="F669" t="s">
        <v>34</v>
      </c>
      <c r="G669" t="s">
        <v>35</v>
      </c>
      <c r="H669" t="s">
        <v>133</v>
      </c>
      <c r="I669" t="s">
        <v>134</v>
      </c>
      <c r="J669" t="s">
        <v>130</v>
      </c>
      <c r="K669" t="s">
        <v>131</v>
      </c>
      <c r="L669" t="s">
        <v>183</v>
      </c>
      <c r="M669" t="s">
        <v>171</v>
      </c>
      <c r="N669">
        <v>2</v>
      </c>
      <c r="O669" s="4">
        <v>7800</v>
      </c>
      <c r="P669" s="4">
        <v>9800</v>
      </c>
      <c r="Q669" s="7">
        <v>0</v>
      </c>
      <c r="R669" t="s">
        <v>173</v>
      </c>
      <c r="S669">
        <v>14</v>
      </c>
      <c r="T669">
        <v>19600</v>
      </c>
      <c r="U669">
        <v>0</v>
      </c>
      <c r="V669">
        <v>19600</v>
      </c>
      <c r="W669">
        <v>15600</v>
      </c>
      <c r="X669">
        <v>4000</v>
      </c>
      <c r="Y669" s="8">
        <v>0.20408163265306123</v>
      </c>
      <c r="Z669" t="s">
        <v>2995</v>
      </c>
      <c r="AA669" t="str">
        <f>IF(AND(SalesCleanTable[[#This Row],[Discount %]]&gt;0, SalesCleanTable[[#This Row],[Profit]]&lt;0), "Discount loss", "Safe")</f>
        <v>Safe</v>
      </c>
      <c r="AB669" s="25">
        <f>(SalesCleanTable[[#This Row],[Unit Price]] - SalesCleanTable[[#This Row],[Unit Cost]]) / SalesCleanTable[[#This Row],[Unit Price]]</f>
        <v>0.20408163265306123</v>
      </c>
      <c r="AC669" t="str">
        <f>IF(SalesCleanTable[[#This Row],[Discount %]] &gt; SalesCleanTable[[#This Row],[Max Allowed Discount]], "Discount loss", "Safe")</f>
        <v>Safe</v>
      </c>
      <c r="AD669" s="4">
        <f>SalesCleanTable[[#This Row],[Unit Price]] - SalesCleanTable[[#This Row],[Unit Cost]]</f>
        <v>2000</v>
      </c>
      <c r="AE669" s="41">
        <f>(SalesCleanTable[[#This Row],[Unit Price]] - SalesCleanTable[[#This Row],[Unit Cost]]) / SalesCleanTable[[#This Row],[Unit Price]]</f>
        <v>0.20408163265306123</v>
      </c>
    </row>
    <row r="670" spans="1:31">
      <c r="A670" t="s">
        <v>856</v>
      </c>
      <c r="B670" s="6">
        <v>45940</v>
      </c>
      <c r="C670" t="s">
        <v>82</v>
      </c>
      <c r="D670" t="s">
        <v>83</v>
      </c>
      <c r="E670" t="s">
        <v>75</v>
      </c>
      <c r="F670" t="s">
        <v>84</v>
      </c>
      <c r="G670" t="s">
        <v>85</v>
      </c>
      <c r="H670" t="s">
        <v>145</v>
      </c>
      <c r="I670" t="s">
        <v>146</v>
      </c>
      <c r="J670" t="s">
        <v>147</v>
      </c>
      <c r="K670" t="s">
        <v>148</v>
      </c>
      <c r="L670" t="s">
        <v>166</v>
      </c>
      <c r="M670" t="s">
        <v>177</v>
      </c>
      <c r="N670">
        <v>2</v>
      </c>
      <c r="O670" s="4">
        <v>600</v>
      </c>
      <c r="P670" s="4">
        <v>950</v>
      </c>
      <c r="Q670" s="7">
        <v>0.15</v>
      </c>
      <c r="R670" t="s">
        <v>187</v>
      </c>
      <c r="S670">
        <v>8</v>
      </c>
      <c r="T670">
        <v>1900</v>
      </c>
      <c r="U670">
        <v>285</v>
      </c>
      <c r="V670">
        <v>1615</v>
      </c>
      <c r="W670">
        <v>1200</v>
      </c>
      <c r="X670">
        <v>415</v>
      </c>
      <c r="Y670" s="8">
        <v>0.25696594427244585</v>
      </c>
      <c r="Z670" t="s">
        <v>2996</v>
      </c>
      <c r="AA670" t="str">
        <f>IF(AND(SalesCleanTable[[#This Row],[Discount %]]&gt;0, SalesCleanTable[[#This Row],[Profit]]&lt;0), "Discount loss", "Safe")</f>
        <v>Safe</v>
      </c>
      <c r="AB670" s="25">
        <f>(SalesCleanTable[[#This Row],[Unit Price]] - SalesCleanTable[[#This Row],[Unit Cost]]) / SalesCleanTable[[#This Row],[Unit Price]]</f>
        <v>0.36842105263157893</v>
      </c>
      <c r="AC670" t="str">
        <f>IF(SalesCleanTable[[#This Row],[Discount %]] &gt; SalesCleanTable[[#This Row],[Max Allowed Discount]], "Discount loss", "Safe")</f>
        <v>Safe</v>
      </c>
      <c r="AD670" s="4">
        <f>SalesCleanTable[[#This Row],[Unit Price]] - SalesCleanTable[[#This Row],[Unit Cost]]</f>
        <v>350</v>
      </c>
      <c r="AE670" s="41">
        <f>(SalesCleanTable[[#This Row],[Unit Price]] - SalesCleanTable[[#This Row],[Unit Cost]]) / SalesCleanTable[[#This Row],[Unit Price]]</f>
        <v>0.36842105263157893</v>
      </c>
    </row>
    <row r="671" spans="1:31">
      <c r="A671" t="s">
        <v>857</v>
      </c>
      <c r="B671" s="6">
        <v>46011</v>
      </c>
      <c r="C671" t="s">
        <v>49</v>
      </c>
      <c r="D671" t="s">
        <v>50</v>
      </c>
      <c r="E671" t="s">
        <v>38</v>
      </c>
      <c r="F671" t="s">
        <v>51</v>
      </c>
      <c r="G671" t="s">
        <v>52</v>
      </c>
      <c r="H671" t="s">
        <v>149</v>
      </c>
      <c r="I671" t="s">
        <v>150</v>
      </c>
      <c r="J671" t="s">
        <v>151</v>
      </c>
      <c r="K671" t="s">
        <v>152</v>
      </c>
      <c r="L671" t="s">
        <v>183</v>
      </c>
      <c r="M671" t="s">
        <v>186</v>
      </c>
      <c r="N671">
        <v>6</v>
      </c>
      <c r="O671" s="4">
        <v>550</v>
      </c>
      <c r="P671" s="4">
        <v>850</v>
      </c>
      <c r="Q671" s="7">
        <v>0.1</v>
      </c>
      <c r="R671" t="s">
        <v>168</v>
      </c>
      <c r="S671">
        <v>5</v>
      </c>
      <c r="T671">
        <v>5100</v>
      </c>
      <c r="U671">
        <v>510</v>
      </c>
      <c r="V671">
        <v>4590</v>
      </c>
      <c r="W671">
        <v>3300</v>
      </c>
      <c r="X671">
        <v>1290</v>
      </c>
      <c r="Y671" s="8">
        <v>0.28104575163398693</v>
      </c>
      <c r="Z671" t="s">
        <v>2996</v>
      </c>
      <c r="AA671" t="str">
        <f>IF(AND(SalesCleanTable[[#This Row],[Discount %]]&gt;0, SalesCleanTable[[#This Row],[Profit]]&lt;0), "Discount loss", "Safe")</f>
        <v>Safe</v>
      </c>
      <c r="AB671" s="25">
        <f>(SalesCleanTable[[#This Row],[Unit Price]] - SalesCleanTable[[#This Row],[Unit Cost]]) / SalesCleanTable[[#This Row],[Unit Price]]</f>
        <v>0.35294117647058826</v>
      </c>
      <c r="AC671" t="str">
        <f>IF(SalesCleanTable[[#This Row],[Discount %]] &gt; SalesCleanTable[[#This Row],[Max Allowed Discount]], "Discount loss", "Safe")</f>
        <v>Safe</v>
      </c>
      <c r="AD671" s="4">
        <f>SalesCleanTable[[#This Row],[Unit Price]] - SalesCleanTable[[#This Row],[Unit Cost]]</f>
        <v>300</v>
      </c>
      <c r="AE671" s="41">
        <f>(SalesCleanTable[[#This Row],[Unit Price]] - SalesCleanTable[[#This Row],[Unit Cost]]) / SalesCleanTable[[#This Row],[Unit Price]]</f>
        <v>0.35294117647058826</v>
      </c>
    </row>
    <row r="672" spans="1:31">
      <c r="A672" t="s">
        <v>858</v>
      </c>
      <c r="B672" s="6">
        <v>45718</v>
      </c>
      <c r="C672" t="s">
        <v>41</v>
      </c>
      <c r="D672" t="s">
        <v>42</v>
      </c>
      <c r="E672" t="s">
        <v>26</v>
      </c>
      <c r="F672" t="s">
        <v>43</v>
      </c>
      <c r="G672" t="s">
        <v>44</v>
      </c>
      <c r="H672" t="s">
        <v>149</v>
      </c>
      <c r="I672" t="s">
        <v>150</v>
      </c>
      <c r="J672" t="s">
        <v>151</v>
      </c>
      <c r="K672" t="s">
        <v>152</v>
      </c>
      <c r="L672" t="s">
        <v>166</v>
      </c>
      <c r="M672" t="s">
        <v>177</v>
      </c>
      <c r="N672">
        <v>1</v>
      </c>
      <c r="O672" s="4">
        <v>850</v>
      </c>
      <c r="P672" s="4">
        <v>1300</v>
      </c>
      <c r="Q672" s="7">
        <v>0</v>
      </c>
      <c r="R672" t="s">
        <v>197</v>
      </c>
      <c r="S672">
        <v>7</v>
      </c>
      <c r="T672">
        <v>1300</v>
      </c>
      <c r="U672">
        <v>0</v>
      </c>
      <c r="V672">
        <v>1300</v>
      </c>
      <c r="W672">
        <v>850</v>
      </c>
      <c r="X672">
        <v>450</v>
      </c>
      <c r="Y672" s="8">
        <v>0.34615384615384615</v>
      </c>
      <c r="Z672" t="s">
        <v>2995</v>
      </c>
      <c r="AA672" t="str">
        <f>IF(AND(SalesCleanTable[[#This Row],[Discount %]]&gt;0, SalesCleanTable[[#This Row],[Profit]]&lt;0), "Discount loss", "Safe")</f>
        <v>Safe</v>
      </c>
      <c r="AB672" s="25">
        <f>(SalesCleanTable[[#This Row],[Unit Price]] - SalesCleanTable[[#This Row],[Unit Cost]]) / SalesCleanTable[[#This Row],[Unit Price]]</f>
        <v>0.34615384615384615</v>
      </c>
      <c r="AC672" t="str">
        <f>IF(SalesCleanTable[[#This Row],[Discount %]] &gt; SalesCleanTable[[#This Row],[Max Allowed Discount]], "Discount loss", "Safe")</f>
        <v>Safe</v>
      </c>
      <c r="AD672" s="4">
        <f>SalesCleanTable[[#This Row],[Unit Price]] - SalesCleanTable[[#This Row],[Unit Cost]]</f>
        <v>450</v>
      </c>
      <c r="AE672" s="41">
        <f>(SalesCleanTable[[#This Row],[Unit Price]] - SalesCleanTable[[#This Row],[Unit Cost]]) / SalesCleanTable[[#This Row],[Unit Price]]</f>
        <v>0.34615384615384615</v>
      </c>
    </row>
    <row r="673" spans="1:31">
      <c r="A673" t="s">
        <v>859</v>
      </c>
      <c r="B673" s="6">
        <v>45715</v>
      </c>
      <c r="C673" t="s">
        <v>29</v>
      </c>
      <c r="D673" t="s">
        <v>30</v>
      </c>
      <c r="E673" t="s">
        <v>26</v>
      </c>
      <c r="F673" t="s">
        <v>27</v>
      </c>
      <c r="G673" t="s">
        <v>31</v>
      </c>
      <c r="H673" t="s">
        <v>145</v>
      </c>
      <c r="I673" t="s">
        <v>146</v>
      </c>
      <c r="J673" t="s">
        <v>147</v>
      </c>
      <c r="K673" t="s">
        <v>148</v>
      </c>
      <c r="L673" t="s">
        <v>166</v>
      </c>
      <c r="M673" t="s">
        <v>171</v>
      </c>
      <c r="N673">
        <v>4</v>
      </c>
      <c r="O673" s="4">
        <v>6200</v>
      </c>
      <c r="P673" s="4">
        <v>7900</v>
      </c>
      <c r="Q673" s="7">
        <v>0</v>
      </c>
      <c r="R673" t="s">
        <v>173</v>
      </c>
      <c r="S673">
        <v>10</v>
      </c>
      <c r="T673">
        <v>31600</v>
      </c>
      <c r="U673">
        <v>0</v>
      </c>
      <c r="V673">
        <v>31600</v>
      </c>
      <c r="W673">
        <v>24800</v>
      </c>
      <c r="X673">
        <v>6800</v>
      </c>
      <c r="Y673" s="8">
        <v>0.21518987341772153</v>
      </c>
      <c r="Z673" t="s">
        <v>2996</v>
      </c>
      <c r="AA673" t="str">
        <f>IF(AND(SalesCleanTable[[#This Row],[Discount %]]&gt;0, SalesCleanTable[[#This Row],[Profit]]&lt;0), "Discount loss", "Safe")</f>
        <v>Safe</v>
      </c>
      <c r="AB673" s="25">
        <f>(SalesCleanTable[[#This Row],[Unit Price]] - SalesCleanTable[[#This Row],[Unit Cost]]) / SalesCleanTable[[#This Row],[Unit Price]]</f>
        <v>0.21518987341772153</v>
      </c>
      <c r="AC673" t="str">
        <f>IF(SalesCleanTable[[#This Row],[Discount %]] &gt; SalesCleanTable[[#This Row],[Max Allowed Discount]], "Discount loss", "Safe")</f>
        <v>Safe</v>
      </c>
      <c r="AD673" s="4">
        <f>SalesCleanTable[[#This Row],[Unit Price]] - SalesCleanTable[[#This Row],[Unit Cost]]</f>
        <v>1700</v>
      </c>
      <c r="AE673" s="41">
        <f>(SalesCleanTable[[#This Row],[Unit Price]] - SalesCleanTable[[#This Row],[Unit Cost]]) / SalesCleanTable[[#This Row],[Unit Price]]</f>
        <v>0.21518987341772153</v>
      </c>
    </row>
    <row r="674" spans="1:31">
      <c r="A674" t="s">
        <v>860</v>
      </c>
      <c r="B674" s="6">
        <v>45718</v>
      </c>
      <c r="C674" t="s">
        <v>107</v>
      </c>
      <c r="D674" t="s">
        <v>108</v>
      </c>
      <c r="E674" t="s">
        <v>109</v>
      </c>
      <c r="F674" t="s">
        <v>110</v>
      </c>
      <c r="G674" t="s">
        <v>111</v>
      </c>
      <c r="H674" t="s">
        <v>128</v>
      </c>
      <c r="I674" t="s">
        <v>129</v>
      </c>
      <c r="J674" t="s">
        <v>130</v>
      </c>
      <c r="K674" t="s">
        <v>131</v>
      </c>
      <c r="L674" t="s">
        <v>166</v>
      </c>
      <c r="M674" t="s">
        <v>177</v>
      </c>
      <c r="N674">
        <v>2</v>
      </c>
      <c r="O674" s="4">
        <v>5200</v>
      </c>
      <c r="P674" s="4">
        <v>7000</v>
      </c>
      <c r="Q674" s="7">
        <v>0</v>
      </c>
      <c r="R674" t="s">
        <v>184</v>
      </c>
      <c r="S674">
        <v>4</v>
      </c>
      <c r="T674">
        <v>14000</v>
      </c>
      <c r="U674">
        <v>0</v>
      </c>
      <c r="V674">
        <v>14000</v>
      </c>
      <c r="W674">
        <v>10400</v>
      </c>
      <c r="X674">
        <v>3600</v>
      </c>
      <c r="Y674" s="8">
        <v>0.25714285714285712</v>
      </c>
      <c r="Z674" t="s">
        <v>2997</v>
      </c>
      <c r="AA674" t="str">
        <f>IF(AND(SalesCleanTable[[#This Row],[Discount %]]&gt;0, SalesCleanTable[[#This Row],[Profit]]&lt;0), "Discount loss", "Safe")</f>
        <v>Safe</v>
      </c>
      <c r="AB674" s="25">
        <f>(SalesCleanTable[[#This Row],[Unit Price]] - SalesCleanTable[[#This Row],[Unit Cost]]) / SalesCleanTable[[#This Row],[Unit Price]]</f>
        <v>0.25714285714285712</v>
      </c>
      <c r="AC674" t="str">
        <f>IF(SalesCleanTable[[#This Row],[Discount %]] &gt; SalesCleanTable[[#This Row],[Max Allowed Discount]], "Discount loss", "Safe")</f>
        <v>Safe</v>
      </c>
      <c r="AD674" s="4">
        <f>SalesCleanTable[[#This Row],[Unit Price]] - SalesCleanTable[[#This Row],[Unit Cost]]</f>
        <v>1800</v>
      </c>
      <c r="AE674" s="41">
        <f>(SalesCleanTable[[#This Row],[Unit Price]] - SalesCleanTable[[#This Row],[Unit Cost]]) / SalesCleanTable[[#This Row],[Unit Price]]</f>
        <v>0.25714285714285712</v>
      </c>
    </row>
    <row r="675" spans="1:31">
      <c r="A675" t="s">
        <v>861</v>
      </c>
      <c r="B675" s="6">
        <v>45760</v>
      </c>
      <c r="C675" t="s">
        <v>36</v>
      </c>
      <c r="D675" t="s">
        <v>37</v>
      </c>
      <c r="E675" t="s">
        <v>38</v>
      </c>
      <c r="F675" t="s">
        <v>39</v>
      </c>
      <c r="G675" t="s">
        <v>40</v>
      </c>
      <c r="H675" t="s">
        <v>135</v>
      </c>
      <c r="I675" t="s">
        <v>136</v>
      </c>
      <c r="J675" t="s">
        <v>137</v>
      </c>
      <c r="K675" t="s">
        <v>138</v>
      </c>
      <c r="L675" t="s">
        <v>170</v>
      </c>
      <c r="M675" t="s">
        <v>171</v>
      </c>
      <c r="N675">
        <v>1</v>
      </c>
      <c r="O675" s="4">
        <v>1650</v>
      </c>
      <c r="P675" s="4">
        <v>2200</v>
      </c>
      <c r="Q675" s="7">
        <v>0.15</v>
      </c>
      <c r="R675" t="s">
        <v>175</v>
      </c>
      <c r="S675">
        <v>6</v>
      </c>
      <c r="T675">
        <v>2200</v>
      </c>
      <c r="U675">
        <v>330</v>
      </c>
      <c r="V675">
        <v>1870</v>
      </c>
      <c r="W675">
        <v>1650</v>
      </c>
      <c r="X675">
        <v>220</v>
      </c>
      <c r="Y675" s="8">
        <v>0.11764705882352941</v>
      </c>
      <c r="Z675" t="s">
        <v>2995</v>
      </c>
      <c r="AA675" t="str">
        <f>IF(AND(SalesCleanTable[[#This Row],[Discount %]]&gt;0, SalesCleanTable[[#This Row],[Profit]]&lt;0), "Discount loss", "Safe")</f>
        <v>Safe</v>
      </c>
      <c r="AB675" s="25">
        <f>(SalesCleanTable[[#This Row],[Unit Price]] - SalesCleanTable[[#This Row],[Unit Cost]]) / SalesCleanTable[[#This Row],[Unit Price]]</f>
        <v>0.25</v>
      </c>
      <c r="AC675" t="str">
        <f>IF(SalesCleanTable[[#This Row],[Discount %]] &gt; SalesCleanTable[[#This Row],[Max Allowed Discount]], "Discount loss", "Safe")</f>
        <v>Safe</v>
      </c>
      <c r="AD675" s="4">
        <f>SalesCleanTable[[#This Row],[Unit Price]] - SalesCleanTable[[#This Row],[Unit Cost]]</f>
        <v>550</v>
      </c>
      <c r="AE675" s="41">
        <f>(SalesCleanTable[[#This Row],[Unit Price]] - SalesCleanTable[[#This Row],[Unit Cost]]) / SalesCleanTable[[#This Row],[Unit Price]]</f>
        <v>0.25</v>
      </c>
    </row>
    <row r="676" spans="1:31">
      <c r="A676" t="s">
        <v>862</v>
      </c>
      <c r="B676" s="6">
        <v>45914</v>
      </c>
      <c r="C676" t="s">
        <v>90</v>
      </c>
      <c r="D676" t="s">
        <v>91</v>
      </c>
      <c r="E676" t="s">
        <v>92</v>
      </c>
      <c r="F676" t="s">
        <v>93</v>
      </c>
      <c r="G676" t="s">
        <v>94</v>
      </c>
      <c r="H676" t="s">
        <v>141</v>
      </c>
      <c r="I676" t="s">
        <v>142</v>
      </c>
      <c r="J676" t="s">
        <v>143</v>
      </c>
      <c r="K676" t="s">
        <v>144</v>
      </c>
      <c r="L676" t="s">
        <v>183</v>
      </c>
      <c r="M676" t="s">
        <v>171</v>
      </c>
      <c r="N676">
        <v>3</v>
      </c>
      <c r="O676" s="4">
        <v>7500</v>
      </c>
      <c r="P676" s="4">
        <v>10500</v>
      </c>
      <c r="Q676" s="7">
        <v>0</v>
      </c>
      <c r="R676" t="s">
        <v>215</v>
      </c>
      <c r="S676">
        <v>4</v>
      </c>
      <c r="T676">
        <v>31500</v>
      </c>
      <c r="U676">
        <v>0</v>
      </c>
      <c r="V676">
        <v>31500</v>
      </c>
      <c r="W676">
        <v>22500</v>
      </c>
      <c r="X676">
        <v>9000</v>
      </c>
      <c r="Y676" s="8">
        <v>0.2857142857142857</v>
      </c>
      <c r="Z676" t="s">
        <v>2996</v>
      </c>
      <c r="AA676" t="str">
        <f>IF(AND(SalesCleanTable[[#This Row],[Discount %]]&gt;0, SalesCleanTable[[#This Row],[Profit]]&lt;0), "Discount loss", "Safe")</f>
        <v>Safe</v>
      </c>
      <c r="AB676" s="25">
        <f>(SalesCleanTable[[#This Row],[Unit Price]] - SalesCleanTable[[#This Row],[Unit Cost]]) / SalesCleanTable[[#This Row],[Unit Price]]</f>
        <v>0.2857142857142857</v>
      </c>
      <c r="AC676" t="str">
        <f>IF(SalesCleanTable[[#This Row],[Discount %]] &gt; SalesCleanTable[[#This Row],[Max Allowed Discount]], "Discount loss", "Safe")</f>
        <v>Safe</v>
      </c>
      <c r="AD676" s="4">
        <f>SalesCleanTable[[#This Row],[Unit Price]] - SalesCleanTable[[#This Row],[Unit Cost]]</f>
        <v>3000</v>
      </c>
      <c r="AE676" s="41">
        <f>(SalesCleanTable[[#This Row],[Unit Price]] - SalesCleanTable[[#This Row],[Unit Cost]]) / SalesCleanTable[[#This Row],[Unit Price]]</f>
        <v>0.2857142857142857</v>
      </c>
    </row>
    <row r="677" spans="1:31">
      <c r="A677" t="s">
        <v>863</v>
      </c>
      <c r="B677" s="6">
        <v>45802</v>
      </c>
      <c r="C677" t="s">
        <v>36</v>
      </c>
      <c r="D677" t="s">
        <v>37</v>
      </c>
      <c r="E677" t="s">
        <v>38</v>
      </c>
      <c r="F677" t="s">
        <v>39</v>
      </c>
      <c r="G677" t="s">
        <v>40</v>
      </c>
      <c r="H677" t="s">
        <v>145</v>
      </c>
      <c r="I677" t="s">
        <v>146</v>
      </c>
      <c r="J677" t="s">
        <v>147</v>
      </c>
      <c r="K677" t="s">
        <v>148</v>
      </c>
      <c r="L677" t="s">
        <v>170</v>
      </c>
      <c r="M677" t="s">
        <v>171</v>
      </c>
      <c r="N677">
        <v>1</v>
      </c>
      <c r="O677" s="4">
        <v>1650</v>
      </c>
      <c r="P677" s="4">
        <v>2200</v>
      </c>
      <c r="Q677" s="7">
        <v>0.1</v>
      </c>
      <c r="R677" t="s">
        <v>168</v>
      </c>
      <c r="S677">
        <v>8</v>
      </c>
      <c r="T677">
        <v>2200</v>
      </c>
      <c r="U677">
        <v>220</v>
      </c>
      <c r="V677">
        <v>1980</v>
      </c>
      <c r="W677">
        <v>1650</v>
      </c>
      <c r="X677">
        <v>330</v>
      </c>
      <c r="Y677" s="8">
        <v>0.16666666666666666</v>
      </c>
      <c r="Z677" t="s">
        <v>2995</v>
      </c>
      <c r="AA677" t="str">
        <f>IF(AND(SalesCleanTable[[#This Row],[Discount %]]&gt;0, SalesCleanTable[[#This Row],[Profit]]&lt;0), "Discount loss", "Safe")</f>
        <v>Safe</v>
      </c>
      <c r="AB677" s="25">
        <f>(SalesCleanTable[[#This Row],[Unit Price]] - SalesCleanTable[[#This Row],[Unit Cost]]) / SalesCleanTable[[#This Row],[Unit Price]]</f>
        <v>0.25</v>
      </c>
      <c r="AC677" t="str">
        <f>IF(SalesCleanTable[[#This Row],[Discount %]] &gt; SalesCleanTable[[#This Row],[Max Allowed Discount]], "Discount loss", "Safe")</f>
        <v>Safe</v>
      </c>
      <c r="AD677" s="4">
        <f>SalesCleanTable[[#This Row],[Unit Price]] - SalesCleanTable[[#This Row],[Unit Cost]]</f>
        <v>550</v>
      </c>
      <c r="AE677" s="41">
        <f>(SalesCleanTable[[#This Row],[Unit Price]] - SalesCleanTable[[#This Row],[Unit Cost]]) / SalesCleanTable[[#This Row],[Unit Price]]</f>
        <v>0.25</v>
      </c>
    </row>
    <row r="678" spans="1:31">
      <c r="A678" t="s">
        <v>864</v>
      </c>
      <c r="B678" s="6">
        <v>45959</v>
      </c>
      <c r="C678" t="s">
        <v>36</v>
      </c>
      <c r="D678" t="s">
        <v>37</v>
      </c>
      <c r="E678" t="s">
        <v>38</v>
      </c>
      <c r="F678" t="s">
        <v>39</v>
      </c>
      <c r="G678" t="s">
        <v>40</v>
      </c>
      <c r="H678" t="s">
        <v>141</v>
      </c>
      <c r="I678" t="s">
        <v>142</v>
      </c>
      <c r="J678" t="s">
        <v>143</v>
      </c>
      <c r="K678" t="s">
        <v>144</v>
      </c>
      <c r="L678" t="s">
        <v>170</v>
      </c>
      <c r="M678" t="s">
        <v>186</v>
      </c>
      <c r="N678">
        <v>1</v>
      </c>
      <c r="O678" s="4">
        <v>1650</v>
      </c>
      <c r="P678" s="4">
        <v>2200</v>
      </c>
      <c r="Q678" s="7">
        <v>0.15</v>
      </c>
      <c r="R678" t="s">
        <v>168</v>
      </c>
      <c r="S678">
        <v>4</v>
      </c>
      <c r="T678">
        <v>2200</v>
      </c>
      <c r="U678">
        <v>330</v>
      </c>
      <c r="V678">
        <v>1870</v>
      </c>
      <c r="W678">
        <v>1650</v>
      </c>
      <c r="X678">
        <v>220</v>
      </c>
      <c r="Y678" s="8">
        <v>0.11764705882352941</v>
      </c>
      <c r="Z678" t="s">
        <v>2995</v>
      </c>
      <c r="AA678" t="str">
        <f>IF(AND(SalesCleanTable[[#This Row],[Discount %]]&gt;0, SalesCleanTable[[#This Row],[Profit]]&lt;0), "Discount loss", "Safe")</f>
        <v>Safe</v>
      </c>
      <c r="AB678" s="25">
        <f>(SalesCleanTable[[#This Row],[Unit Price]] - SalesCleanTable[[#This Row],[Unit Cost]]) / SalesCleanTable[[#This Row],[Unit Price]]</f>
        <v>0.25</v>
      </c>
      <c r="AC678" t="str">
        <f>IF(SalesCleanTable[[#This Row],[Discount %]] &gt; SalesCleanTable[[#This Row],[Max Allowed Discount]], "Discount loss", "Safe")</f>
        <v>Safe</v>
      </c>
      <c r="AD678" s="4">
        <f>SalesCleanTable[[#This Row],[Unit Price]] - SalesCleanTable[[#This Row],[Unit Cost]]</f>
        <v>550</v>
      </c>
      <c r="AE678" s="41">
        <f>(SalesCleanTable[[#This Row],[Unit Price]] - SalesCleanTable[[#This Row],[Unit Cost]]) / SalesCleanTable[[#This Row],[Unit Price]]</f>
        <v>0.25</v>
      </c>
    </row>
    <row r="679" spans="1:31">
      <c r="A679" t="s">
        <v>865</v>
      </c>
      <c r="B679" s="6">
        <v>45818</v>
      </c>
      <c r="C679" t="s">
        <v>32</v>
      </c>
      <c r="D679" t="s">
        <v>33</v>
      </c>
      <c r="E679" t="s">
        <v>26</v>
      </c>
      <c r="F679" t="s">
        <v>34</v>
      </c>
      <c r="G679" t="s">
        <v>35</v>
      </c>
      <c r="H679" t="s">
        <v>128</v>
      </c>
      <c r="I679" t="s">
        <v>129</v>
      </c>
      <c r="J679" t="s">
        <v>130</v>
      </c>
      <c r="K679" t="s">
        <v>131</v>
      </c>
      <c r="L679" t="s">
        <v>183</v>
      </c>
      <c r="M679" t="s">
        <v>171</v>
      </c>
      <c r="N679">
        <v>1</v>
      </c>
      <c r="O679" s="4">
        <v>7800</v>
      </c>
      <c r="P679" s="4">
        <v>9800</v>
      </c>
      <c r="Q679" s="7">
        <v>0.1</v>
      </c>
      <c r="R679" t="s">
        <v>197</v>
      </c>
      <c r="S679">
        <v>2</v>
      </c>
      <c r="T679">
        <v>9800</v>
      </c>
      <c r="U679">
        <v>980</v>
      </c>
      <c r="V679">
        <v>8820</v>
      </c>
      <c r="W679">
        <v>7800</v>
      </c>
      <c r="X679">
        <v>1020</v>
      </c>
      <c r="Y679" s="8">
        <v>0.11564625850340136</v>
      </c>
      <c r="Z679" t="s">
        <v>2995</v>
      </c>
      <c r="AA679" t="str">
        <f>IF(AND(SalesCleanTable[[#This Row],[Discount %]]&gt;0, SalesCleanTable[[#This Row],[Profit]]&lt;0), "Discount loss", "Safe")</f>
        <v>Safe</v>
      </c>
      <c r="AB679" s="25">
        <f>(SalesCleanTable[[#This Row],[Unit Price]] - SalesCleanTable[[#This Row],[Unit Cost]]) / SalesCleanTable[[#This Row],[Unit Price]]</f>
        <v>0.20408163265306123</v>
      </c>
      <c r="AC679" t="str">
        <f>IF(SalesCleanTable[[#This Row],[Discount %]] &gt; SalesCleanTable[[#This Row],[Max Allowed Discount]], "Discount loss", "Safe")</f>
        <v>Safe</v>
      </c>
      <c r="AD679" s="4">
        <f>SalesCleanTable[[#This Row],[Unit Price]] - SalesCleanTable[[#This Row],[Unit Cost]]</f>
        <v>2000</v>
      </c>
      <c r="AE679" s="41">
        <f>(SalesCleanTable[[#This Row],[Unit Price]] - SalesCleanTable[[#This Row],[Unit Cost]]) / SalesCleanTable[[#This Row],[Unit Price]]</f>
        <v>0.20408163265306123</v>
      </c>
    </row>
    <row r="680" spans="1:31">
      <c r="A680" t="s">
        <v>866</v>
      </c>
      <c r="B680" s="6">
        <v>45717</v>
      </c>
      <c r="C680" t="s">
        <v>49</v>
      </c>
      <c r="D680" t="s">
        <v>50</v>
      </c>
      <c r="E680" t="s">
        <v>38</v>
      </c>
      <c r="F680" t="s">
        <v>51</v>
      </c>
      <c r="G680" t="s">
        <v>52</v>
      </c>
      <c r="H680" t="s">
        <v>139</v>
      </c>
      <c r="I680" t="s">
        <v>140</v>
      </c>
      <c r="J680" t="s">
        <v>137</v>
      </c>
      <c r="K680" t="s">
        <v>138</v>
      </c>
      <c r="L680" t="s">
        <v>183</v>
      </c>
      <c r="M680" t="s">
        <v>167</v>
      </c>
      <c r="N680">
        <v>4</v>
      </c>
      <c r="O680" s="4">
        <v>550</v>
      </c>
      <c r="P680" s="4">
        <v>850</v>
      </c>
      <c r="Q680" s="7">
        <v>0.1</v>
      </c>
      <c r="R680" t="s">
        <v>175</v>
      </c>
      <c r="S680">
        <v>5</v>
      </c>
      <c r="T680">
        <v>3400</v>
      </c>
      <c r="U680">
        <v>340</v>
      </c>
      <c r="V680">
        <v>3060</v>
      </c>
      <c r="W680">
        <v>2200</v>
      </c>
      <c r="X680">
        <v>860</v>
      </c>
      <c r="Y680" s="8">
        <v>0.28104575163398693</v>
      </c>
      <c r="Z680" t="s">
        <v>2996</v>
      </c>
      <c r="AA680" t="str">
        <f>IF(AND(SalesCleanTable[[#This Row],[Discount %]]&gt;0, SalesCleanTable[[#This Row],[Profit]]&lt;0), "Discount loss", "Safe")</f>
        <v>Safe</v>
      </c>
      <c r="AB680" s="25">
        <f>(SalesCleanTable[[#This Row],[Unit Price]] - SalesCleanTable[[#This Row],[Unit Cost]]) / SalesCleanTable[[#This Row],[Unit Price]]</f>
        <v>0.35294117647058826</v>
      </c>
      <c r="AC680" t="str">
        <f>IF(SalesCleanTable[[#This Row],[Discount %]] &gt; SalesCleanTable[[#This Row],[Max Allowed Discount]], "Discount loss", "Safe")</f>
        <v>Safe</v>
      </c>
      <c r="AD680" s="4">
        <f>SalesCleanTable[[#This Row],[Unit Price]] - SalesCleanTable[[#This Row],[Unit Cost]]</f>
        <v>300</v>
      </c>
      <c r="AE680" s="41">
        <f>(SalesCleanTable[[#This Row],[Unit Price]] - SalesCleanTable[[#This Row],[Unit Cost]]) / SalesCleanTable[[#This Row],[Unit Price]]</f>
        <v>0.35294117647058826</v>
      </c>
    </row>
    <row r="681" spans="1:31">
      <c r="A681" t="s">
        <v>867</v>
      </c>
      <c r="B681" s="6">
        <v>45877</v>
      </c>
      <c r="C681" t="s">
        <v>36</v>
      </c>
      <c r="D681" t="s">
        <v>37</v>
      </c>
      <c r="E681" t="s">
        <v>38</v>
      </c>
      <c r="F681" t="s">
        <v>39</v>
      </c>
      <c r="G681" t="s">
        <v>40</v>
      </c>
      <c r="H681" t="s">
        <v>128</v>
      </c>
      <c r="I681" t="s">
        <v>129</v>
      </c>
      <c r="J681" t="s">
        <v>130</v>
      </c>
      <c r="K681" t="s">
        <v>131</v>
      </c>
      <c r="L681" t="s">
        <v>183</v>
      </c>
      <c r="M681" t="s">
        <v>177</v>
      </c>
      <c r="N681">
        <v>5</v>
      </c>
      <c r="O681" s="4">
        <v>1650</v>
      </c>
      <c r="P681" s="4">
        <v>2200</v>
      </c>
      <c r="Q681" s="7">
        <v>0.05</v>
      </c>
      <c r="R681" t="s">
        <v>168</v>
      </c>
      <c r="S681">
        <v>8</v>
      </c>
      <c r="T681">
        <v>11000</v>
      </c>
      <c r="U681">
        <v>550</v>
      </c>
      <c r="V681">
        <v>10450</v>
      </c>
      <c r="W681">
        <v>8250</v>
      </c>
      <c r="X681">
        <v>2200</v>
      </c>
      <c r="Y681" s="8">
        <v>0.21052631578947367</v>
      </c>
      <c r="Z681" t="s">
        <v>2995</v>
      </c>
      <c r="AA681" t="str">
        <f>IF(AND(SalesCleanTable[[#This Row],[Discount %]]&gt;0, SalesCleanTable[[#This Row],[Profit]]&lt;0), "Discount loss", "Safe")</f>
        <v>Safe</v>
      </c>
      <c r="AB681" s="25">
        <f>(SalesCleanTable[[#This Row],[Unit Price]] - SalesCleanTable[[#This Row],[Unit Cost]]) / SalesCleanTable[[#This Row],[Unit Price]]</f>
        <v>0.25</v>
      </c>
      <c r="AC681" t="str">
        <f>IF(SalesCleanTable[[#This Row],[Discount %]] &gt; SalesCleanTable[[#This Row],[Max Allowed Discount]], "Discount loss", "Safe")</f>
        <v>Safe</v>
      </c>
      <c r="AD681" s="4">
        <f>SalesCleanTable[[#This Row],[Unit Price]] - SalesCleanTable[[#This Row],[Unit Cost]]</f>
        <v>550</v>
      </c>
      <c r="AE681" s="41">
        <f>(SalesCleanTable[[#This Row],[Unit Price]] - SalesCleanTable[[#This Row],[Unit Cost]]) / SalesCleanTable[[#This Row],[Unit Price]]</f>
        <v>0.25</v>
      </c>
    </row>
    <row r="682" spans="1:31">
      <c r="A682" t="s">
        <v>868</v>
      </c>
      <c r="B682" s="6">
        <v>45860</v>
      </c>
      <c r="C682" t="s">
        <v>53</v>
      </c>
      <c r="D682" t="s">
        <v>54</v>
      </c>
      <c r="E682" t="s">
        <v>38</v>
      </c>
      <c r="F682" t="s">
        <v>55</v>
      </c>
      <c r="G682" t="s">
        <v>56</v>
      </c>
      <c r="H682" t="s">
        <v>141</v>
      </c>
      <c r="I682" t="s">
        <v>142</v>
      </c>
      <c r="J682" t="s">
        <v>143</v>
      </c>
      <c r="K682" t="s">
        <v>144</v>
      </c>
      <c r="L682" t="s">
        <v>166</v>
      </c>
      <c r="M682" t="s">
        <v>171</v>
      </c>
      <c r="N682">
        <v>1</v>
      </c>
      <c r="O682" s="4">
        <v>330</v>
      </c>
      <c r="P682" s="4">
        <v>550</v>
      </c>
      <c r="Q682" s="7">
        <v>0</v>
      </c>
      <c r="R682" t="s">
        <v>178</v>
      </c>
      <c r="S682">
        <v>12</v>
      </c>
      <c r="T682">
        <v>550</v>
      </c>
      <c r="U682">
        <v>0</v>
      </c>
      <c r="V682">
        <v>550</v>
      </c>
      <c r="W682">
        <v>330</v>
      </c>
      <c r="X682">
        <v>220</v>
      </c>
      <c r="Y682" s="8">
        <v>0.4</v>
      </c>
      <c r="Z682" t="s">
        <v>2996</v>
      </c>
      <c r="AA682" t="str">
        <f>IF(AND(SalesCleanTable[[#This Row],[Discount %]]&gt;0, SalesCleanTable[[#This Row],[Profit]]&lt;0), "Discount loss", "Safe")</f>
        <v>Safe</v>
      </c>
      <c r="AB682" s="25">
        <f>(SalesCleanTable[[#This Row],[Unit Price]] - SalesCleanTable[[#This Row],[Unit Cost]]) / SalesCleanTable[[#This Row],[Unit Price]]</f>
        <v>0.4</v>
      </c>
      <c r="AC682" t="str">
        <f>IF(SalesCleanTable[[#This Row],[Discount %]] &gt; SalesCleanTable[[#This Row],[Max Allowed Discount]], "Discount loss", "Safe")</f>
        <v>Safe</v>
      </c>
      <c r="AD682" s="4">
        <f>SalesCleanTable[[#This Row],[Unit Price]] - SalesCleanTable[[#This Row],[Unit Cost]]</f>
        <v>220</v>
      </c>
      <c r="AE682" s="41">
        <f>(SalesCleanTable[[#This Row],[Unit Price]] - SalesCleanTable[[#This Row],[Unit Cost]]) / SalesCleanTable[[#This Row],[Unit Price]]</f>
        <v>0.4</v>
      </c>
    </row>
    <row r="683" spans="1:31">
      <c r="A683" t="s">
        <v>869</v>
      </c>
      <c r="B683" s="6">
        <v>45744</v>
      </c>
      <c r="C683" t="s">
        <v>29</v>
      </c>
      <c r="D683" t="s">
        <v>30</v>
      </c>
      <c r="E683" t="s">
        <v>26</v>
      </c>
      <c r="F683" t="s">
        <v>27</v>
      </c>
      <c r="G683" t="s">
        <v>31</v>
      </c>
      <c r="H683" t="s">
        <v>153</v>
      </c>
      <c r="I683" t="s">
        <v>154</v>
      </c>
      <c r="J683" t="s">
        <v>155</v>
      </c>
      <c r="K683" t="s">
        <v>131</v>
      </c>
      <c r="L683" t="s">
        <v>170</v>
      </c>
      <c r="M683" t="s">
        <v>177</v>
      </c>
      <c r="N683">
        <v>2</v>
      </c>
      <c r="O683" s="4">
        <v>6200</v>
      </c>
      <c r="P683" s="4">
        <v>7900</v>
      </c>
      <c r="Q683" s="7">
        <v>0.1</v>
      </c>
      <c r="R683" t="s">
        <v>194</v>
      </c>
      <c r="S683">
        <v>12</v>
      </c>
      <c r="T683">
        <v>15800</v>
      </c>
      <c r="U683">
        <v>1580</v>
      </c>
      <c r="V683">
        <v>14220</v>
      </c>
      <c r="W683">
        <v>12400</v>
      </c>
      <c r="X683">
        <v>1820</v>
      </c>
      <c r="Y683" s="8">
        <v>0.12798874824191281</v>
      </c>
      <c r="Z683" t="s">
        <v>2996</v>
      </c>
      <c r="AA683" t="str">
        <f>IF(AND(SalesCleanTable[[#This Row],[Discount %]]&gt;0, SalesCleanTable[[#This Row],[Profit]]&lt;0), "Discount loss", "Safe")</f>
        <v>Safe</v>
      </c>
      <c r="AB683" s="25">
        <f>(SalesCleanTable[[#This Row],[Unit Price]] - SalesCleanTable[[#This Row],[Unit Cost]]) / SalesCleanTable[[#This Row],[Unit Price]]</f>
        <v>0.21518987341772153</v>
      </c>
      <c r="AC683" t="str">
        <f>IF(SalesCleanTable[[#This Row],[Discount %]] &gt; SalesCleanTable[[#This Row],[Max Allowed Discount]], "Discount loss", "Safe")</f>
        <v>Safe</v>
      </c>
      <c r="AD683" s="4">
        <f>SalesCleanTable[[#This Row],[Unit Price]] - SalesCleanTable[[#This Row],[Unit Cost]]</f>
        <v>1700</v>
      </c>
      <c r="AE683" s="41">
        <f>(SalesCleanTable[[#This Row],[Unit Price]] - SalesCleanTable[[#This Row],[Unit Cost]]) / SalesCleanTable[[#This Row],[Unit Price]]</f>
        <v>0.21518987341772153</v>
      </c>
    </row>
    <row r="684" spans="1:31">
      <c r="A684" t="s">
        <v>870</v>
      </c>
      <c r="B684" s="6">
        <v>45955</v>
      </c>
      <c r="C684" t="s">
        <v>66</v>
      </c>
      <c r="D684" t="s">
        <v>67</v>
      </c>
      <c r="E684" t="s">
        <v>59</v>
      </c>
      <c r="F684" t="s">
        <v>60</v>
      </c>
      <c r="G684" t="s">
        <v>68</v>
      </c>
      <c r="H684" t="s">
        <v>145</v>
      </c>
      <c r="I684" t="s">
        <v>146</v>
      </c>
      <c r="J684" t="s">
        <v>147</v>
      </c>
      <c r="K684" t="s">
        <v>148</v>
      </c>
      <c r="L684" t="s">
        <v>166</v>
      </c>
      <c r="M684" t="s">
        <v>171</v>
      </c>
      <c r="N684">
        <v>5</v>
      </c>
      <c r="O684" s="4">
        <v>2800</v>
      </c>
      <c r="P684" s="4">
        <v>3900</v>
      </c>
      <c r="Q684" s="7">
        <v>0.2</v>
      </c>
      <c r="R684" t="s">
        <v>204</v>
      </c>
      <c r="S684">
        <v>8</v>
      </c>
      <c r="T684">
        <v>19500</v>
      </c>
      <c r="U684">
        <v>3900</v>
      </c>
      <c r="V684">
        <v>15600</v>
      </c>
      <c r="W684">
        <v>14000</v>
      </c>
      <c r="X684">
        <v>1600</v>
      </c>
      <c r="Y684" s="8">
        <v>0.10256410256410256</v>
      </c>
      <c r="Z684" t="s">
        <v>2996</v>
      </c>
      <c r="AA684" t="str">
        <f>IF(AND(SalesCleanTable[[#This Row],[Discount %]]&gt;0, SalesCleanTable[[#This Row],[Profit]]&lt;0), "Discount loss", "Safe")</f>
        <v>Safe</v>
      </c>
      <c r="AB684" s="25">
        <f>(SalesCleanTable[[#This Row],[Unit Price]] - SalesCleanTable[[#This Row],[Unit Cost]]) / SalesCleanTable[[#This Row],[Unit Price]]</f>
        <v>0.28205128205128205</v>
      </c>
      <c r="AC684" t="str">
        <f>IF(SalesCleanTable[[#This Row],[Discount %]] &gt; SalesCleanTable[[#This Row],[Max Allowed Discount]], "Discount loss", "Safe")</f>
        <v>Safe</v>
      </c>
      <c r="AD684" s="4">
        <f>SalesCleanTable[[#This Row],[Unit Price]] - SalesCleanTable[[#This Row],[Unit Cost]]</f>
        <v>1100</v>
      </c>
      <c r="AE684" s="41">
        <f>(SalesCleanTable[[#This Row],[Unit Price]] - SalesCleanTable[[#This Row],[Unit Cost]]) / SalesCleanTable[[#This Row],[Unit Price]]</f>
        <v>0.28205128205128205</v>
      </c>
    </row>
    <row r="685" spans="1:31">
      <c r="A685" t="s">
        <v>871</v>
      </c>
      <c r="B685" s="6">
        <v>45733</v>
      </c>
      <c r="C685" t="s">
        <v>90</v>
      </c>
      <c r="D685" t="s">
        <v>91</v>
      </c>
      <c r="E685" t="s">
        <v>92</v>
      </c>
      <c r="F685" t="s">
        <v>93</v>
      </c>
      <c r="G685" t="s">
        <v>94</v>
      </c>
      <c r="H685" t="s">
        <v>128</v>
      </c>
      <c r="I685" t="s">
        <v>129</v>
      </c>
      <c r="J685" t="s">
        <v>130</v>
      </c>
      <c r="K685" t="s">
        <v>131</v>
      </c>
      <c r="L685" t="s">
        <v>183</v>
      </c>
      <c r="M685" t="s">
        <v>177</v>
      </c>
      <c r="N685">
        <v>2</v>
      </c>
      <c r="O685" s="4">
        <v>7500</v>
      </c>
      <c r="P685" s="4">
        <v>10500</v>
      </c>
      <c r="Q685" s="7">
        <v>0.15</v>
      </c>
      <c r="R685" t="s">
        <v>181</v>
      </c>
      <c r="S685">
        <v>12</v>
      </c>
      <c r="T685">
        <v>21000</v>
      </c>
      <c r="U685">
        <v>3150</v>
      </c>
      <c r="V685">
        <v>17850</v>
      </c>
      <c r="W685">
        <v>15000</v>
      </c>
      <c r="X685">
        <v>2850</v>
      </c>
      <c r="Y685" s="8">
        <v>0.15966386554621848</v>
      </c>
      <c r="Z685" t="s">
        <v>2996</v>
      </c>
      <c r="AA685" t="str">
        <f>IF(AND(SalesCleanTable[[#This Row],[Discount %]]&gt;0, SalesCleanTable[[#This Row],[Profit]]&lt;0), "Discount loss", "Safe")</f>
        <v>Safe</v>
      </c>
      <c r="AB685" s="25">
        <f>(SalesCleanTable[[#This Row],[Unit Price]] - SalesCleanTable[[#This Row],[Unit Cost]]) / SalesCleanTable[[#This Row],[Unit Price]]</f>
        <v>0.2857142857142857</v>
      </c>
      <c r="AC685" t="str">
        <f>IF(SalesCleanTable[[#This Row],[Discount %]] &gt; SalesCleanTable[[#This Row],[Max Allowed Discount]], "Discount loss", "Safe")</f>
        <v>Safe</v>
      </c>
      <c r="AD685" s="4">
        <f>SalesCleanTable[[#This Row],[Unit Price]] - SalesCleanTable[[#This Row],[Unit Cost]]</f>
        <v>3000</v>
      </c>
      <c r="AE685" s="41">
        <f>(SalesCleanTable[[#This Row],[Unit Price]] - SalesCleanTable[[#This Row],[Unit Cost]]) / SalesCleanTable[[#This Row],[Unit Price]]</f>
        <v>0.2857142857142857</v>
      </c>
    </row>
    <row r="686" spans="1:31">
      <c r="A686" t="s">
        <v>872</v>
      </c>
      <c r="B686" s="6">
        <v>45692</v>
      </c>
      <c r="C686" t="s">
        <v>53</v>
      </c>
      <c r="D686" t="s">
        <v>54</v>
      </c>
      <c r="E686" t="s">
        <v>38</v>
      </c>
      <c r="F686" t="s">
        <v>55</v>
      </c>
      <c r="G686" t="s">
        <v>56</v>
      </c>
      <c r="H686" t="s">
        <v>128</v>
      </c>
      <c r="I686" t="s">
        <v>129</v>
      </c>
      <c r="J686" t="s">
        <v>130</v>
      </c>
      <c r="K686" t="s">
        <v>131</v>
      </c>
      <c r="L686" t="s">
        <v>166</v>
      </c>
      <c r="M686" t="s">
        <v>167</v>
      </c>
      <c r="N686">
        <v>1</v>
      </c>
      <c r="O686" s="4">
        <v>330</v>
      </c>
      <c r="P686" s="4">
        <v>550</v>
      </c>
      <c r="Q686" s="7">
        <v>0.1</v>
      </c>
      <c r="R686" t="s">
        <v>168</v>
      </c>
      <c r="S686">
        <v>2</v>
      </c>
      <c r="T686">
        <v>550</v>
      </c>
      <c r="U686">
        <v>55</v>
      </c>
      <c r="V686">
        <v>495</v>
      </c>
      <c r="W686">
        <v>330</v>
      </c>
      <c r="X686">
        <v>165</v>
      </c>
      <c r="Y686" s="8">
        <v>0.33333333333333331</v>
      </c>
      <c r="Z686" t="s">
        <v>2996</v>
      </c>
      <c r="AA686" t="str">
        <f>IF(AND(SalesCleanTable[[#This Row],[Discount %]]&gt;0, SalesCleanTable[[#This Row],[Profit]]&lt;0), "Discount loss", "Safe")</f>
        <v>Safe</v>
      </c>
      <c r="AB686" s="25">
        <f>(SalesCleanTable[[#This Row],[Unit Price]] - SalesCleanTable[[#This Row],[Unit Cost]]) / SalesCleanTable[[#This Row],[Unit Price]]</f>
        <v>0.4</v>
      </c>
      <c r="AC686" t="str">
        <f>IF(SalesCleanTable[[#This Row],[Discount %]] &gt; SalesCleanTable[[#This Row],[Max Allowed Discount]], "Discount loss", "Safe")</f>
        <v>Safe</v>
      </c>
      <c r="AD686" s="4">
        <f>SalesCleanTable[[#This Row],[Unit Price]] - SalesCleanTable[[#This Row],[Unit Cost]]</f>
        <v>220</v>
      </c>
      <c r="AE686" s="41">
        <f>(SalesCleanTable[[#This Row],[Unit Price]] - SalesCleanTable[[#This Row],[Unit Cost]]) / SalesCleanTable[[#This Row],[Unit Price]]</f>
        <v>0.4</v>
      </c>
    </row>
    <row r="687" spans="1:31">
      <c r="A687" t="s">
        <v>873</v>
      </c>
      <c r="B687" s="6">
        <v>45996</v>
      </c>
      <c r="C687" t="s">
        <v>82</v>
      </c>
      <c r="D687" t="s">
        <v>83</v>
      </c>
      <c r="E687" t="s">
        <v>75</v>
      </c>
      <c r="F687" t="s">
        <v>84</v>
      </c>
      <c r="G687" t="s">
        <v>85</v>
      </c>
      <c r="H687" t="s">
        <v>145</v>
      </c>
      <c r="I687" t="s">
        <v>146</v>
      </c>
      <c r="J687" t="s">
        <v>147</v>
      </c>
      <c r="K687" t="s">
        <v>148</v>
      </c>
      <c r="L687" t="s">
        <v>183</v>
      </c>
      <c r="M687" t="s">
        <v>186</v>
      </c>
      <c r="N687">
        <v>5</v>
      </c>
      <c r="O687" s="4">
        <v>600</v>
      </c>
      <c r="P687" s="4">
        <v>950</v>
      </c>
      <c r="Q687" s="7">
        <v>0</v>
      </c>
      <c r="R687" t="s">
        <v>208</v>
      </c>
      <c r="S687">
        <v>9</v>
      </c>
      <c r="T687">
        <v>4750</v>
      </c>
      <c r="U687">
        <v>0</v>
      </c>
      <c r="V687">
        <v>4750</v>
      </c>
      <c r="W687">
        <v>3000</v>
      </c>
      <c r="X687">
        <v>1750</v>
      </c>
      <c r="Y687" s="8">
        <v>0.36842105263157893</v>
      </c>
      <c r="Z687" t="s">
        <v>2996</v>
      </c>
      <c r="AA687" t="str">
        <f>IF(AND(SalesCleanTable[[#This Row],[Discount %]]&gt;0, SalesCleanTable[[#This Row],[Profit]]&lt;0), "Discount loss", "Safe")</f>
        <v>Safe</v>
      </c>
      <c r="AB687" s="25">
        <f>(SalesCleanTable[[#This Row],[Unit Price]] - SalesCleanTable[[#This Row],[Unit Cost]]) / SalesCleanTable[[#This Row],[Unit Price]]</f>
        <v>0.36842105263157893</v>
      </c>
      <c r="AC687" t="str">
        <f>IF(SalesCleanTable[[#This Row],[Discount %]] &gt; SalesCleanTable[[#This Row],[Max Allowed Discount]], "Discount loss", "Safe")</f>
        <v>Safe</v>
      </c>
      <c r="AD687" s="4">
        <f>SalesCleanTable[[#This Row],[Unit Price]] - SalesCleanTable[[#This Row],[Unit Cost]]</f>
        <v>350</v>
      </c>
      <c r="AE687" s="41">
        <f>(SalesCleanTable[[#This Row],[Unit Price]] - SalesCleanTable[[#This Row],[Unit Cost]]) / SalesCleanTable[[#This Row],[Unit Price]]</f>
        <v>0.36842105263157893</v>
      </c>
    </row>
    <row r="688" spans="1:31">
      <c r="A688" t="s">
        <v>874</v>
      </c>
      <c r="B688" s="6">
        <v>45934</v>
      </c>
      <c r="C688" t="s">
        <v>62</v>
      </c>
      <c r="D688" t="s">
        <v>63</v>
      </c>
      <c r="E688" t="s">
        <v>59</v>
      </c>
      <c r="F688" t="s">
        <v>64</v>
      </c>
      <c r="G688" t="s">
        <v>65</v>
      </c>
      <c r="H688" t="s">
        <v>153</v>
      </c>
      <c r="I688" t="s">
        <v>154</v>
      </c>
      <c r="J688" t="s">
        <v>155</v>
      </c>
      <c r="K688" t="s">
        <v>131</v>
      </c>
      <c r="L688" t="s">
        <v>183</v>
      </c>
      <c r="M688" t="s">
        <v>186</v>
      </c>
      <c r="N688">
        <v>1</v>
      </c>
      <c r="O688" s="4">
        <v>3200</v>
      </c>
      <c r="P688" s="4">
        <v>4500</v>
      </c>
      <c r="Q688" s="7">
        <v>0.05</v>
      </c>
      <c r="R688" t="s">
        <v>204</v>
      </c>
      <c r="S688">
        <v>14</v>
      </c>
      <c r="T688">
        <v>4500</v>
      </c>
      <c r="U688">
        <v>225</v>
      </c>
      <c r="V688">
        <v>4275</v>
      </c>
      <c r="W688">
        <v>3200</v>
      </c>
      <c r="X688">
        <v>1075</v>
      </c>
      <c r="Y688" s="8">
        <v>0.25146198830409355</v>
      </c>
      <c r="Z688" t="s">
        <v>2996</v>
      </c>
      <c r="AA688" t="str">
        <f>IF(AND(SalesCleanTable[[#This Row],[Discount %]]&gt;0, SalesCleanTable[[#This Row],[Profit]]&lt;0), "Discount loss", "Safe")</f>
        <v>Safe</v>
      </c>
      <c r="AB688" s="25">
        <f>(SalesCleanTable[[#This Row],[Unit Price]] - SalesCleanTable[[#This Row],[Unit Cost]]) / SalesCleanTable[[#This Row],[Unit Price]]</f>
        <v>0.28888888888888886</v>
      </c>
      <c r="AC688" t="str">
        <f>IF(SalesCleanTable[[#This Row],[Discount %]] &gt; SalesCleanTable[[#This Row],[Max Allowed Discount]], "Discount loss", "Safe")</f>
        <v>Safe</v>
      </c>
      <c r="AD688" s="4">
        <f>SalesCleanTable[[#This Row],[Unit Price]] - SalesCleanTable[[#This Row],[Unit Cost]]</f>
        <v>1300</v>
      </c>
      <c r="AE688" s="41">
        <f>(SalesCleanTable[[#This Row],[Unit Price]] - SalesCleanTable[[#This Row],[Unit Cost]]) / SalesCleanTable[[#This Row],[Unit Price]]</f>
        <v>0.28888888888888886</v>
      </c>
    </row>
    <row r="689" spans="1:31">
      <c r="A689" t="s">
        <v>875</v>
      </c>
      <c r="B689" s="6">
        <v>45893</v>
      </c>
      <c r="C689" t="s">
        <v>24</v>
      </c>
      <c r="D689" t="s">
        <v>25</v>
      </c>
      <c r="E689" t="s">
        <v>26</v>
      </c>
      <c r="F689" t="s">
        <v>27</v>
      </c>
      <c r="G689" t="s">
        <v>28</v>
      </c>
      <c r="H689" t="s">
        <v>133</v>
      </c>
      <c r="I689" t="s">
        <v>134</v>
      </c>
      <c r="J689" t="s">
        <v>130</v>
      </c>
      <c r="K689" t="s">
        <v>131</v>
      </c>
      <c r="L689" t="s">
        <v>183</v>
      </c>
      <c r="M689" t="s">
        <v>177</v>
      </c>
      <c r="N689">
        <v>4</v>
      </c>
      <c r="O689" s="4">
        <v>14500</v>
      </c>
      <c r="P689" s="4">
        <v>17500</v>
      </c>
      <c r="Q689" s="7">
        <v>0.15</v>
      </c>
      <c r="R689" t="s">
        <v>194</v>
      </c>
      <c r="S689">
        <v>3</v>
      </c>
      <c r="T689">
        <v>70000</v>
      </c>
      <c r="U689">
        <v>10500</v>
      </c>
      <c r="V689">
        <v>59500</v>
      </c>
      <c r="W689">
        <v>58000</v>
      </c>
      <c r="X689">
        <v>1500</v>
      </c>
      <c r="Y689" s="8">
        <v>2.5210084033613446E-2</v>
      </c>
      <c r="Z689" t="s">
        <v>2995</v>
      </c>
      <c r="AA689" t="str">
        <f>IF(AND(SalesCleanTable[[#This Row],[Discount %]]&gt;0, SalesCleanTable[[#This Row],[Profit]]&lt;0), "Discount loss", "Safe")</f>
        <v>Safe</v>
      </c>
      <c r="AB689" s="25">
        <f>(SalesCleanTable[[#This Row],[Unit Price]] - SalesCleanTable[[#This Row],[Unit Cost]]) / SalesCleanTable[[#This Row],[Unit Price]]</f>
        <v>0.17142857142857143</v>
      </c>
      <c r="AC689" t="str">
        <f>IF(SalesCleanTable[[#This Row],[Discount %]] &gt; SalesCleanTable[[#This Row],[Max Allowed Discount]], "Discount loss", "Safe")</f>
        <v>Safe</v>
      </c>
      <c r="AD689" s="4">
        <f>SalesCleanTable[[#This Row],[Unit Price]] - SalesCleanTable[[#This Row],[Unit Cost]]</f>
        <v>3000</v>
      </c>
      <c r="AE689" s="41">
        <f>(SalesCleanTable[[#This Row],[Unit Price]] - SalesCleanTable[[#This Row],[Unit Cost]]) / SalesCleanTable[[#This Row],[Unit Price]]</f>
        <v>0.17142857142857143</v>
      </c>
    </row>
    <row r="690" spans="1:31">
      <c r="A690" t="s">
        <v>876</v>
      </c>
      <c r="B690" s="6">
        <v>45857</v>
      </c>
      <c r="C690" t="s">
        <v>53</v>
      </c>
      <c r="D690" t="s">
        <v>54</v>
      </c>
      <c r="E690" t="s">
        <v>38</v>
      </c>
      <c r="F690" t="s">
        <v>55</v>
      </c>
      <c r="G690" t="s">
        <v>56</v>
      </c>
      <c r="H690" t="s">
        <v>128</v>
      </c>
      <c r="I690" t="s">
        <v>129</v>
      </c>
      <c r="J690" t="s">
        <v>130</v>
      </c>
      <c r="K690" t="s">
        <v>131</v>
      </c>
      <c r="L690" t="s">
        <v>183</v>
      </c>
      <c r="M690" t="s">
        <v>171</v>
      </c>
      <c r="N690">
        <v>4</v>
      </c>
      <c r="O690" s="4">
        <v>330</v>
      </c>
      <c r="P690" s="4">
        <v>550</v>
      </c>
      <c r="Q690" s="7">
        <v>0.1</v>
      </c>
      <c r="R690" t="s">
        <v>175</v>
      </c>
      <c r="S690">
        <v>9</v>
      </c>
      <c r="T690">
        <v>2200</v>
      </c>
      <c r="U690">
        <v>220</v>
      </c>
      <c r="V690">
        <v>1980</v>
      </c>
      <c r="W690">
        <v>1320</v>
      </c>
      <c r="X690">
        <v>660</v>
      </c>
      <c r="Y690" s="8">
        <v>0.33333333333333331</v>
      </c>
      <c r="Z690" t="s">
        <v>2996</v>
      </c>
      <c r="AA690" t="str">
        <f>IF(AND(SalesCleanTable[[#This Row],[Discount %]]&gt;0, SalesCleanTable[[#This Row],[Profit]]&lt;0), "Discount loss", "Safe")</f>
        <v>Safe</v>
      </c>
      <c r="AB690" s="25">
        <f>(SalesCleanTable[[#This Row],[Unit Price]] - SalesCleanTable[[#This Row],[Unit Cost]]) / SalesCleanTable[[#This Row],[Unit Price]]</f>
        <v>0.4</v>
      </c>
      <c r="AC690" t="str">
        <f>IF(SalesCleanTable[[#This Row],[Discount %]] &gt; SalesCleanTable[[#This Row],[Max Allowed Discount]], "Discount loss", "Safe")</f>
        <v>Safe</v>
      </c>
      <c r="AD690" s="4">
        <f>SalesCleanTable[[#This Row],[Unit Price]] - SalesCleanTable[[#This Row],[Unit Cost]]</f>
        <v>220</v>
      </c>
      <c r="AE690" s="41">
        <f>(SalesCleanTable[[#This Row],[Unit Price]] - SalesCleanTable[[#This Row],[Unit Cost]]) / SalesCleanTable[[#This Row],[Unit Price]]</f>
        <v>0.4</v>
      </c>
    </row>
    <row r="691" spans="1:31">
      <c r="A691" t="s">
        <v>877</v>
      </c>
      <c r="B691" s="6">
        <v>45917</v>
      </c>
      <c r="C691" t="s">
        <v>29</v>
      </c>
      <c r="D691" t="s">
        <v>30</v>
      </c>
      <c r="E691" t="s">
        <v>26</v>
      </c>
      <c r="F691" t="s">
        <v>27</v>
      </c>
      <c r="G691" t="s">
        <v>31</v>
      </c>
      <c r="H691" t="s">
        <v>135</v>
      </c>
      <c r="I691" t="s">
        <v>136</v>
      </c>
      <c r="J691" t="s">
        <v>137</v>
      </c>
      <c r="K691" t="s">
        <v>138</v>
      </c>
      <c r="L691" t="s">
        <v>183</v>
      </c>
      <c r="M691" t="s">
        <v>171</v>
      </c>
      <c r="N691">
        <v>3</v>
      </c>
      <c r="O691" s="4">
        <v>6200</v>
      </c>
      <c r="P691" s="4">
        <v>7900</v>
      </c>
      <c r="Q691" s="7">
        <v>0.05</v>
      </c>
      <c r="R691" t="s">
        <v>194</v>
      </c>
      <c r="S691">
        <v>6</v>
      </c>
      <c r="T691">
        <v>23700</v>
      </c>
      <c r="U691">
        <v>1185</v>
      </c>
      <c r="V691">
        <v>22515</v>
      </c>
      <c r="W691">
        <v>18600</v>
      </c>
      <c r="X691">
        <v>3915</v>
      </c>
      <c r="Y691" s="8">
        <v>0.17388407728181213</v>
      </c>
      <c r="Z691" t="s">
        <v>2996</v>
      </c>
      <c r="AA691" t="str">
        <f>IF(AND(SalesCleanTable[[#This Row],[Discount %]]&gt;0, SalesCleanTable[[#This Row],[Profit]]&lt;0), "Discount loss", "Safe")</f>
        <v>Safe</v>
      </c>
      <c r="AB691" s="25">
        <f>(SalesCleanTable[[#This Row],[Unit Price]] - SalesCleanTable[[#This Row],[Unit Cost]]) / SalesCleanTable[[#This Row],[Unit Price]]</f>
        <v>0.21518987341772153</v>
      </c>
      <c r="AC691" t="str">
        <f>IF(SalesCleanTable[[#This Row],[Discount %]] &gt; SalesCleanTable[[#This Row],[Max Allowed Discount]], "Discount loss", "Safe")</f>
        <v>Safe</v>
      </c>
      <c r="AD691" s="4">
        <f>SalesCleanTable[[#This Row],[Unit Price]] - SalesCleanTable[[#This Row],[Unit Cost]]</f>
        <v>1700</v>
      </c>
      <c r="AE691" s="41">
        <f>(SalesCleanTable[[#This Row],[Unit Price]] - SalesCleanTable[[#This Row],[Unit Cost]]) / SalesCleanTable[[#This Row],[Unit Price]]</f>
        <v>0.21518987341772153</v>
      </c>
    </row>
    <row r="692" spans="1:31">
      <c r="A692" t="s">
        <v>878</v>
      </c>
      <c r="B692" s="6">
        <v>45960</v>
      </c>
      <c r="C692" t="s">
        <v>24</v>
      </c>
      <c r="D692" t="s">
        <v>25</v>
      </c>
      <c r="E692" t="s">
        <v>26</v>
      </c>
      <c r="F692" t="s">
        <v>27</v>
      </c>
      <c r="G692" t="s">
        <v>28</v>
      </c>
      <c r="H692" t="s">
        <v>149</v>
      </c>
      <c r="I692" t="s">
        <v>150</v>
      </c>
      <c r="J692" t="s">
        <v>151</v>
      </c>
      <c r="K692" t="s">
        <v>152</v>
      </c>
      <c r="L692" t="s">
        <v>166</v>
      </c>
      <c r="M692" t="s">
        <v>171</v>
      </c>
      <c r="N692">
        <v>2</v>
      </c>
      <c r="O692" s="4">
        <v>14500</v>
      </c>
      <c r="P692" s="4">
        <v>17500</v>
      </c>
      <c r="Q692" s="7">
        <v>0.1</v>
      </c>
      <c r="R692" t="s">
        <v>194</v>
      </c>
      <c r="S692">
        <v>7</v>
      </c>
      <c r="T692">
        <v>35000</v>
      </c>
      <c r="U692">
        <v>3500</v>
      </c>
      <c r="V692">
        <v>31500</v>
      </c>
      <c r="W692">
        <v>29000</v>
      </c>
      <c r="X692">
        <v>2500</v>
      </c>
      <c r="Y692" s="8">
        <v>7.9365079365079361E-2</v>
      </c>
      <c r="Z692" t="s">
        <v>2995</v>
      </c>
      <c r="AA692" t="str">
        <f>IF(AND(SalesCleanTable[[#This Row],[Discount %]]&gt;0, SalesCleanTable[[#This Row],[Profit]]&lt;0), "Discount loss", "Safe")</f>
        <v>Safe</v>
      </c>
      <c r="AB692" s="25">
        <f>(SalesCleanTable[[#This Row],[Unit Price]] - SalesCleanTable[[#This Row],[Unit Cost]]) / SalesCleanTable[[#This Row],[Unit Price]]</f>
        <v>0.17142857142857143</v>
      </c>
      <c r="AC692" t="str">
        <f>IF(SalesCleanTable[[#This Row],[Discount %]] &gt; SalesCleanTable[[#This Row],[Max Allowed Discount]], "Discount loss", "Safe")</f>
        <v>Safe</v>
      </c>
      <c r="AD692" s="4">
        <f>SalesCleanTable[[#This Row],[Unit Price]] - SalesCleanTable[[#This Row],[Unit Cost]]</f>
        <v>3000</v>
      </c>
      <c r="AE692" s="41">
        <f>(SalesCleanTable[[#This Row],[Unit Price]] - SalesCleanTable[[#This Row],[Unit Cost]]) / SalesCleanTable[[#This Row],[Unit Price]]</f>
        <v>0.17142857142857143</v>
      </c>
    </row>
    <row r="693" spans="1:31">
      <c r="A693" t="s">
        <v>879</v>
      </c>
      <c r="B693" s="6">
        <v>45834</v>
      </c>
      <c r="C693" t="s">
        <v>120</v>
      </c>
      <c r="D693" t="s">
        <v>121</v>
      </c>
      <c r="E693" t="s">
        <v>109</v>
      </c>
      <c r="F693" t="s">
        <v>93</v>
      </c>
      <c r="G693" t="s">
        <v>122</v>
      </c>
      <c r="H693" t="s">
        <v>135</v>
      </c>
      <c r="I693" t="s">
        <v>136</v>
      </c>
      <c r="J693" t="s">
        <v>137</v>
      </c>
      <c r="K693" t="s">
        <v>138</v>
      </c>
      <c r="L693" t="s">
        <v>166</v>
      </c>
      <c r="M693" t="s">
        <v>167</v>
      </c>
      <c r="N693">
        <v>1</v>
      </c>
      <c r="O693" s="4">
        <v>1700</v>
      </c>
      <c r="P693" s="4">
        <v>2800</v>
      </c>
      <c r="Q693" s="7">
        <v>0.1</v>
      </c>
      <c r="R693" t="s">
        <v>235</v>
      </c>
      <c r="S693">
        <v>12</v>
      </c>
      <c r="T693">
        <v>2800</v>
      </c>
      <c r="U693">
        <v>280</v>
      </c>
      <c r="V693">
        <v>2520</v>
      </c>
      <c r="W693">
        <v>1700</v>
      </c>
      <c r="X693">
        <v>820</v>
      </c>
      <c r="Y693" s="8">
        <v>0.32539682539682541</v>
      </c>
      <c r="Z693" t="s">
        <v>2997</v>
      </c>
      <c r="AA693" t="str">
        <f>IF(AND(SalesCleanTable[[#This Row],[Discount %]]&gt;0, SalesCleanTable[[#This Row],[Profit]]&lt;0), "Discount loss", "Safe")</f>
        <v>Safe</v>
      </c>
      <c r="AB693" s="25">
        <f>(SalesCleanTable[[#This Row],[Unit Price]] - SalesCleanTable[[#This Row],[Unit Cost]]) / SalesCleanTable[[#This Row],[Unit Price]]</f>
        <v>0.39285714285714285</v>
      </c>
      <c r="AC693" t="str">
        <f>IF(SalesCleanTable[[#This Row],[Discount %]] &gt; SalesCleanTable[[#This Row],[Max Allowed Discount]], "Discount loss", "Safe")</f>
        <v>Safe</v>
      </c>
      <c r="AD693" s="4">
        <f>SalesCleanTable[[#This Row],[Unit Price]] - SalesCleanTable[[#This Row],[Unit Cost]]</f>
        <v>1100</v>
      </c>
      <c r="AE693" s="41">
        <f>(SalesCleanTable[[#This Row],[Unit Price]] - SalesCleanTable[[#This Row],[Unit Cost]]) / SalesCleanTable[[#This Row],[Unit Price]]</f>
        <v>0.39285714285714285</v>
      </c>
    </row>
    <row r="694" spans="1:31">
      <c r="A694" t="s">
        <v>880</v>
      </c>
      <c r="B694" s="6">
        <v>45814</v>
      </c>
      <c r="C694" t="s">
        <v>32</v>
      </c>
      <c r="D694" t="s">
        <v>33</v>
      </c>
      <c r="E694" t="s">
        <v>26</v>
      </c>
      <c r="F694" t="s">
        <v>34</v>
      </c>
      <c r="G694" t="s">
        <v>35</v>
      </c>
      <c r="H694" t="s">
        <v>133</v>
      </c>
      <c r="I694" t="s">
        <v>134</v>
      </c>
      <c r="J694" t="s">
        <v>130</v>
      </c>
      <c r="K694" t="s">
        <v>131</v>
      </c>
      <c r="L694" t="s">
        <v>183</v>
      </c>
      <c r="M694" t="s">
        <v>186</v>
      </c>
      <c r="N694">
        <v>3</v>
      </c>
      <c r="O694" s="4">
        <v>7800</v>
      </c>
      <c r="P694" s="4">
        <v>9800</v>
      </c>
      <c r="Q694" s="7">
        <v>0</v>
      </c>
      <c r="R694" t="s">
        <v>173</v>
      </c>
      <c r="S694">
        <v>7</v>
      </c>
      <c r="T694">
        <v>29400</v>
      </c>
      <c r="U694">
        <v>0</v>
      </c>
      <c r="V694">
        <v>29400</v>
      </c>
      <c r="W694">
        <v>23400</v>
      </c>
      <c r="X694">
        <v>6000</v>
      </c>
      <c r="Y694" s="8">
        <v>0.20408163265306123</v>
      </c>
      <c r="Z694" t="s">
        <v>2995</v>
      </c>
      <c r="AA694" t="str">
        <f>IF(AND(SalesCleanTable[[#This Row],[Discount %]]&gt;0, SalesCleanTable[[#This Row],[Profit]]&lt;0), "Discount loss", "Safe")</f>
        <v>Safe</v>
      </c>
      <c r="AB694" s="25">
        <f>(SalesCleanTable[[#This Row],[Unit Price]] - SalesCleanTable[[#This Row],[Unit Cost]]) / SalesCleanTable[[#This Row],[Unit Price]]</f>
        <v>0.20408163265306123</v>
      </c>
      <c r="AC694" t="str">
        <f>IF(SalesCleanTable[[#This Row],[Discount %]] &gt; SalesCleanTable[[#This Row],[Max Allowed Discount]], "Discount loss", "Safe")</f>
        <v>Safe</v>
      </c>
      <c r="AD694" s="4">
        <f>SalesCleanTable[[#This Row],[Unit Price]] - SalesCleanTable[[#This Row],[Unit Cost]]</f>
        <v>2000</v>
      </c>
      <c r="AE694" s="41">
        <f>(SalesCleanTable[[#This Row],[Unit Price]] - SalesCleanTable[[#This Row],[Unit Cost]]) / SalesCleanTable[[#This Row],[Unit Price]]</f>
        <v>0.20408163265306123</v>
      </c>
    </row>
    <row r="695" spans="1:31">
      <c r="A695" t="s">
        <v>881</v>
      </c>
      <c r="B695" s="6">
        <v>46014</v>
      </c>
      <c r="C695" t="s">
        <v>53</v>
      </c>
      <c r="D695" t="s">
        <v>54</v>
      </c>
      <c r="E695" t="s">
        <v>38</v>
      </c>
      <c r="F695" t="s">
        <v>55</v>
      </c>
      <c r="G695" t="s">
        <v>56</v>
      </c>
      <c r="H695" t="s">
        <v>128</v>
      </c>
      <c r="I695" t="s">
        <v>129</v>
      </c>
      <c r="J695" t="s">
        <v>130</v>
      </c>
      <c r="K695" t="s">
        <v>131</v>
      </c>
      <c r="L695" t="s">
        <v>166</v>
      </c>
      <c r="M695" t="s">
        <v>177</v>
      </c>
      <c r="N695">
        <v>2</v>
      </c>
      <c r="O695" s="4">
        <v>330</v>
      </c>
      <c r="P695" s="4">
        <v>550</v>
      </c>
      <c r="Q695" s="7">
        <v>0.1</v>
      </c>
      <c r="R695" t="s">
        <v>175</v>
      </c>
      <c r="S695">
        <v>2</v>
      </c>
      <c r="T695">
        <v>1100</v>
      </c>
      <c r="U695">
        <v>110</v>
      </c>
      <c r="V695">
        <v>990</v>
      </c>
      <c r="W695">
        <v>660</v>
      </c>
      <c r="X695">
        <v>330</v>
      </c>
      <c r="Y695" s="8">
        <v>0.33333333333333331</v>
      </c>
      <c r="Z695" t="s">
        <v>2996</v>
      </c>
      <c r="AA695" t="str">
        <f>IF(AND(SalesCleanTable[[#This Row],[Discount %]]&gt;0, SalesCleanTable[[#This Row],[Profit]]&lt;0), "Discount loss", "Safe")</f>
        <v>Safe</v>
      </c>
      <c r="AB695" s="25">
        <f>(SalesCleanTable[[#This Row],[Unit Price]] - SalesCleanTable[[#This Row],[Unit Cost]]) / SalesCleanTable[[#This Row],[Unit Price]]</f>
        <v>0.4</v>
      </c>
      <c r="AC695" t="str">
        <f>IF(SalesCleanTable[[#This Row],[Discount %]] &gt; SalesCleanTable[[#This Row],[Max Allowed Discount]], "Discount loss", "Safe")</f>
        <v>Safe</v>
      </c>
      <c r="AD695" s="4">
        <f>SalesCleanTable[[#This Row],[Unit Price]] - SalesCleanTable[[#This Row],[Unit Cost]]</f>
        <v>220</v>
      </c>
      <c r="AE695" s="41">
        <f>(SalesCleanTable[[#This Row],[Unit Price]] - SalesCleanTable[[#This Row],[Unit Cost]]) / SalesCleanTable[[#This Row],[Unit Price]]</f>
        <v>0.4</v>
      </c>
    </row>
    <row r="696" spans="1:31">
      <c r="A696" t="s">
        <v>882</v>
      </c>
      <c r="B696" s="6">
        <v>45763</v>
      </c>
      <c r="C696" t="s">
        <v>45</v>
      </c>
      <c r="D696" t="s">
        <v>46</v>
      </c>
      <c r="E696" t="s">
        <v>38</v>
      </c>
      <c r="F696" t="s">
        <v>47</v>
      </c>
      <c r="G696" t="s">
        <v>48</v>
      </c>
      <c r="H696" t="s">
        <v>139</v>
      </c>
      <c r="I696" t="s">
        <v>140</v>
      </c>
      <c r="J696" t="s">
        <v>137</v>
      </c>
      <c r="K696" t="s">
        <v>138</v>
      </c>
      <c r="L696" t="s">
        <v>183</v>
      </c>
      <c r="M696" t="s">
        <v>186</v>
      </c>
      <c r="N696">
        <v>4</v>
      </c>
      <c r="O696" s="4">
        <v>230</v>
      </c>
      <c r="P696" s="4">
        <v>400</v>
      </c>
      <c r="Q696" s="7">
        <v>0.05</v>
      </c>
      <c r="R696" t="s">
        <v>175</v>
      </c>
      <c r="S696">
        <v>4</v>
      </c>
      <c r="T696">
        <v>1600</v>
      </c>
      <c r="U696">
        <v>80</v>
      </c>
      <c r="V696">
        <v>1520</v>
      </c>
      <c r="W696">
        <v>920</v>
      </c>
      <c r="X696">
        <v>600</v>
      </c>
      <c r="Y696" s="8">
        <v>0.39473684210526316</v>
      </c>
      <c r="Z696" t="s">
        <v>2995</v>
      </c>
      <c r="AA696" t="str">
        <f>IF(AND(SalesCleanTable[[#This Row],[Discount %]]&gt;0, SalesCleanTable[[#This Row],[Profit]]&lt;0), "Discount loss", "Safe")</f>
        <v>Safe</v>
      </c>
      <c r="AB696" s="25">
        <f>(SalesCleanTable[[#This Row],[Unit Price]] - SalesCleanTable[[#This Row],[Unit Cost]]) / SalesCleanTable[[#This Row],[Unit Price]]</f>
        <v>0.42499999999999999</v>
      </c>
      <c r="AC696" t="str">
        <f>IF(SalesCleanTable[[#This Row],[Discount %]] &gt; SalesCleanTable[[#This Row],[Max Allowed Discount]], "Discount loss", "Safe")</f>
        <v>Safe</v>
      </c>
      <c r="AD696" s="4">
        <f>SalesCleanTable[[#This Row],[Unit Price]] - SalesCleanTable[[#This Row],[Unit Cost]]</f>
        <v>170</v>
      </c>
      <c r="AE696" s="41">
        <f>(SalesCleanTable[[#This Row],[Unit Price]] - SalesCleanTable[[#This Row],[Unit Cost]]) / SalesCleanTable[[#This Row],[Unit Price]]</f>
        <v>0.42499999999999999</v>
      </c>
    </row>
    <row r="697" spans="1:31">
      <c r="A697" t="s">
        <v>883</v>
      </c>
      <c r="B697" s="6">
        <v>45696</v>
      </c>
      <c r="C697" t="s">
        <v>99</v>
      </c>
      <c r="D697" t="s">
        <v>100</v>
      </c>
      <c r="E697" t="s">
        <v>92</v>
      </c>
      <c r="F697" t="s">
        <v>101</v>
      </c>
      <c r="G697" t="s">
        <v>102</v>
      </c>
      <c r="H697" t="s">
        <v>139</v>
      </c>
      <c r="I697" t="s">
        <v>140</v>
      </c>
      <c r="J697" t="s">
        <v>137</v>
      </c>
      <c r="K697" t="s">
        <v>138</v>
      </c>
      <c r="L697" t="s">
        <v>170</v>
      </c>
      <c r="M697" t="s">
        <v>186</v>
      </c>
      <c r="N697">
        <v>2</v>
      </c>
      <c r="O697" s="4">
        <v>12500</v>
      </c>
      <c r="P697" s="4">
        <v>18500</v>
      </c>
      <c r="Q697" s="7">
        <v>0</v>
      </c>
      <c r="R697" t="s">
        <v>181</v>
      </c>
      <c r="S697">
        <v>10</v>
      </c>
      <c r="T697">
        <v>37000</v>
      </c>
      <c r="U697">
        <v>0</v>
      </c>
      <c r="V697">
        <v>37000</v>
      </c>
      <c r="W697">
        <v>25000</v>
      </c>
      <c r="X697">
        <v>12000</v>
      </c>
      <c r="Y697" s="8">
        <v>0.32432432432432434</v>
      </c>
      <c r="Z697" t="s">
        <v>2995</v>
      </c>
      <c r="AA697" t="str">
        <f>IF(AND(SalesCleanTable[[#This Row],[Discount %]]&gt;0, SalesCleanTable[[#This Row],[Profit]]&lt;0), "Discount loss", "Safe")</f>
        <v>Safe</v>
      </c>
      <c r="AB697" s="25">
        <f>(SalesCleanTable[[#This Row],[Unit Price]] - SalesCleanTable[[#This Row],[Unit Cost]]) / SalesCleanTable[[#This Row],[Unit Price]]</f>
        <v>0.32432432432432434</v>
      </c>
      <c r="AC697" t="str">
        <f>IF(SalesCleanTable[[#This Row],[Discount %]] &gt; SalesCleanTable[[#This Row],[Max Allowed Discount]], "Discount loss", "Safe")</f>
        <v>Safe</v>
      </c>
      <c r="AD697" s="4">
        <f>SalesCleanTable[[#This Row],[Unit Price]] - SalesCleanTable[[#This Row],[Unit Cost]]</f>
        <v>6000</v>
      </c>
      <c r="AE697" s="41">
        <f>(SalesCleanTable[[#This Row],[Unit Price]] - SalesCleanTable[[#This Row],[Unit Cost]]) / SalesCleanTable[[#This Row],[Unit Price]]</f>
        <v>0.32432432432432434</v>
      </c>
    </row>
    <row r="698" spans="1:31">
      <c r="A698" t="s">
        <v>884</v>
      </c>
      <c r="B698" s="6">
        <v>45705</v>
      </c>
      <c r="C698" t="s">
        <v>82</v>
      </c>
      <c r="D698" t="s">
        <v>83</v>
      </c>
      <c r="E698" t="s">
        <v>75</v>
      </c>
      <c r="F698" t="s">
        <v>84</v>
      </c>
      <c r="G698" t="s">
        <v>85</v>
      </c>
      <c r="H698" t="s">
        <v>139</v>
      </c>
      <c r="I698" t="s">
        <v>140</v>
      </c>
      <c r="J698" t="s">
        <v>137</v>
      </c>
      <c r="K698" t="s">
        <v>138</v>
      </c>
      <c r="L698" t="s">
        <v>166</v>
      </c>
      <c r="M698" t="s">
        <v>171</v>
      </c>
      <c r="N698">
        <v>3</v>
      </c>
      <c r="O698" s="4">
        <v>600</v>
      </c>
      <c r="P698" s="4">
        <v>950</v>
      </c>
      <c r="Q698" s="7">
        <v>0</v>
      </c>
      <c r="R698" t="s">
        <v>208</v>
      </c>
      <c r="S698">
        <v>4</v>
      </c>
      <c r="T698">
        <v>2850</v>
      </c>
      <c r="U698">
        <v>0</v>
      </c>
      <c r="V698">
        <v>2850</v>
      </c>
      <c r="W698">
        <v>1800</v>
      </c>
      <c r="X698">
        <v>1050</v>
      </c>
      <c r="Y698" s="8">
        <v>0.36842105263157893</v>
      </c>
      <c r="Z698" t="s">
        <v>2996</v>
      </c>
      <c r="AA698" t="str">
        <f>IF(AND(SalesCleanTable[[#This Row],[Discount %]]&gt;0, SalesCleanTable[[#This Row],[Profit]]&lt;0), "Discount loss", "Safe")</f>
        <v>Safe</v>
      </c>
      <c r="AB698" s="25">
        <f>(SalesCleanTable[[#This Row],[Unit Price]] - SalesCleanTable[[#This Row],[Unit Cost]]) / SalesCleanTable[[#This Row],[Unit Price]]</f>
        <v>0.36842105263157893</v>
      </c>
      <c r="AC698" t="str">
        <f>IF(SalesCleanTable[[#This Row],[Discount %]] &gt; SalesCleanTable[[#This Row],[Max Allowed Discount]], "Discount loss", "Safe")</f>
        <v>Safe</v>
      </c>
      <c r="AD698" s="4">
        <f>SalesCleanTable[[#This Row],[Unit Price]] - SalesCleanTable[[#This Row],[Unit Cost]]</f>
        <v>350</v>
      </c>
      <c r="AE698" s="41">
        <f>(SalesCleanTable[[#This Row],[Unit Price]] - SalesCleanTable[[#This Row],[Unit Cost]]) / SalesCleanTable[[#This Row],[Unit Price]]</f>
        <v>0.36842105263157893</v>
      </c>
    </row>
    <row r="699" spans="1:31">
      <c r="A699" t="s">
        <v>885</v>
      </c>
      <c r="B699" s="6">
        <v>45697</v>
      </c>
      <c r="C699" t="s">
        <v>78</v>
      </c>
      <c r="D699" t="s">
        <v>79</v>
      </c>
      <c r="E699" t="s">
        <v>75</v>
      </c>
      <c r="F699" t="s">
        <v>80</v>
      </c>
      <c r="G699" t="s">
        <v>81</v>
      </c>
      <c r="H699" t="s">
        <v>135</v>
      </c>
      <c r="I699" t="s">
        <v>136</v>
      </c>
      <c r="J699" t="s">
        <v>137</v>
      </c>
      <c r="K699" t="s">
        <v>138</v>
      </c>
      <c r="L699" t="s">
        <v>166</v>
      </c>
      <c r="M699" t="s">
        <v>167</v>
      </c>
      <c r="N699">
        <v>5</v>
      </c>
      <c r="O699" s="4">
        <v>1200</v>
      </c>
      <c r="P699" s="4">
        <v>1900</v>
      </c>
      <c r="Q699" s="7">
        <v>0.05</v>
      </c>
      <c r="R699" t="s">
        <v>208</v>
      </c>
      <c r="S699">
        <v>5</v>
      </c>
      <c r="T699">
        <v>9500</v>
      </c>
      <c r="U699">
        <v>475</v>
      </c>
      <c r="V699">
        <v>9025</v>
      </c>
      <c r="W699">
        <v>6000</v>
      </c>
      <c r="X699">
        <v>3025</v>
      </c>
      <c r="Y699" s="8">
        <v>0.33518005540166207</v>
      </c>
      <c r="Z699" t="s">
        <v>2996</v>
      </c>
      <c r="AA699" t="str">
        <f>IF(AND(SalesCleanTable[[#This Row],[Discount %]]&gt;0, SalesCleanTable[[#This Row],[Profit]]&lt;0), "Discount loss", "Safe")</f>
        <v>Safe</v>
      </c>
      <c r="AB699" s="25">
        <f>(SalesCleanTable[[#This Row],[Unit Price]] - SalesCleanTable[[#This Row],[Unit Cost]]) / SalesCleanTable[[#This Row],[Unit Price]]</f>
        <v>0.36842105263157893</v>
      </c>
      <c r="AC699" t="str">
        <f>IF(SalesCleanTable[[#This Row],[Discount %]] &gt; SalesCleanTable[[#This Row],[Max Allowed Discount]], "Discount loss", "Safe")</f>
        <v>Safe</v>
      </c>
      <c r="AD699" s="4">
        <f>SalesCleanTable[[#This Row],[Unit Price]] - SalesCleanTable[[#This Row],[Unit Cost]]</f>
        <v>700</v>
      </c>
      <c r="AE699" s="41">
        <f>(SalesCleanTable[[#This Row],[Unit Price]] - SalesCleanTable[[#This Row],[Unit Cost]]) / SalesCleanTable[[#This Row],[Unit Price]]</f>
        <v>0.36842105263157893</v>
      </c>
    </row>
    <row r="700" spans="1:31">
      <c r="A700" t="s">
        <v>886</v>
      </c>
      <c r="B700" s="6">
        <v>45890</v>
      </c>
      <c r="C700" t="s">
        <v>78</v>
      </c>
      <c r="D700" t="s">
        <v>79</v>
      </c>
      <c r="E700" t="s">
        <v>75</v>
      </c>
      <c r="F700" t="s">
        <v>80</v>
      </c>
      <c r="G700" t="s">
        <v>81</v>
      </c>
      <c r="H700" t="s">
        <v>139</v>
      </c>
      <c r="I700" t="s">
        <v>140</v>
      </c>
      <c r="J700" t="s">
        <v>137</v>
      </c>
      <c r="K700" t="s">
        <v>138</v>
      </c>
      <c r="L700" t="s">
        <v>166</v>
      </c>
      <c r="M700" t="s">
        <v>177</v>
      </c>
      <c r="N700">
        <v>6</v>
      </c>
      <c r="O700" s="4">
        <v>1200</v>
      </c>
      <c r="P700" s="4">
        <v>1900</v>
      </c>
      <c r="Q700" s="7">
        <v>0.1</v>
      </c>
      <c r="R700" t="s">
        <v>208</v>
      </c>
      <c r="S700">
        <v>4</v>
      </c>
      <c r="T700">
        <v>11400</v>
      </c>
      <c r="U700">
        <v>1140</v>
      </c>
      <c r="V700">
        <v>10260</v>
      </c>
      <c r="W700">
        <v>7200</v>
      </c>
      <c r="X700">
        <v>3060</v>
      </c>
      <c r="Y700" s="8">
        <v>0.2982456140350877</v>
      </c>
      <c r="Z700" t="s">
        <v>2996</v>
      </c>
      <c r="AA700" t="str">
        <f>IF(AND(SalesCleanTable[[#This Row],[Discount %]]&gt;0, SalesCleanTable[[#This Row],[Profit]]&lt;0), "Discount loss", "Safe")</f>
        <v>Safe</v>
      </c>
      <c r="AB700" s="25">
        <f>(SalesCleanTable[[#This Row],[Unit Price]] - SalesCleanTable[[#This Row],[Unit Cost]]) / SalesCleanTable[[#This Row],[Unit Price]]</f>
        <v>0.36842105263157893</v>
      </c>
      <c r="AC700" t="str">
        <f>IF(SalesCleanTable[[#This Row],[Discount %]] &gt; SalesCleanTable[[#This Row],[Max Allowed Discount]], "Discount loss", "Safe")</f>
        <v>Safe</v>
      </c>
      <c r="AD700" s="4">
        <f>SalesCleanTable[[#This Row],[Unit Price]] - SalesCleanTable[[#This Row],[Unit Cost]]</f>
        <v>700</v>
      </c>
      <c r="AE700" s="41">
        <f>(SalesCleanTable[[#This Row],[Unit Price]] - SalesCleanTable[[#This Row],[Unit Cost]]) / SalesCleanTable[[#This Row],[Unit Price]]</f>
        <v>0.36842105263157893</v>
      </c>
    </row>
    <row r="701" spans="1:31">
      <c r="A701" t="s">
        <v>887</v>
      </c>
      <c r="B701" s="6">
        <v>45897</v>
      </c>
      <c r="C701" t="s">
        <v>45</v>
      </c>
      <c r="D701" t="s">
        <v>46</v>
      </c>
      <c r="E701" t="s">
        <v>38</v>
      </c>
      <c r="F701" t="s">
        <v>47</v>
      </c>
      <c r="G701" t="s">
        <v>48</v>
      </c>
      <c r="H701" t="s">
        <v>141</v>
      </c>
      <c r="I701" t="s">
        <v>142</v>
      </c>
      <c r="J701" t="s">
        <v>143</v>
      </c>
      <c r="K701" t="s">
        <v>144</v>
      </c>
      <c r="L701" t="s">
        <v>183</v>
      </c>
      <c r="M701" t="s">
        <v>171</v>
      </c>
      <c r="N701">
        <v>5</v>
      </c>
      <c r="O701" s="4">
        <v>230</v>
      </c>
      <c r="P701" s="4">
        <v>400</v>
      </c>
      <c r="Q701" s="7">
        <v>0.15</v>
      </c>
      <c r="R701" t="s">
        <v>168</v>
      </c>
      <c r="S701">
        <v>11</v>
      </c>
      <c r="T701">
        <v>2000</v>
      </c>
      <c r="U701">
        <v>300</v>
      </c>
      <c r="V701">
        <v>1700</v>
      </c>
      <c r="W701">
        <v>1150</v>
      </c>
      <c r="X701">
        <v>550</v>
      </c>
      <c r="Y701" s="8">
        <v>0.3235294117647059</v>
      </c>
      <c r="Z701" t="s">
        <v>2995</v>
      </c>
      <c r="AA701" t="str">
        <f>IF(AND(SalesCleanTable[[#This Row],[Discount %]]&gt;0, SalesCleanTable[[#This Row],[Profit]]&lt;0), "Discount loss", "Safe")</f>
        <v>Safe</v>
      </c>
      <c r="AB701" s="25">
        <f>(SalesCleanTable[[#This Row],[Unit Price]] - SalesCleanTable[[#This Row],[Unit Cost]]) / SalesCleanTable[[#This Row],[Unit Price]]</f>
        <v>0.42499999999999999</v>
      </c>
      <c r="AC701" t="str">
        <f>IF(SalesCleanTable[[#This Row],[Discount %]] &gt; SalesCleanTable[[#This Row],[Max Allowed Discount]], "Discount loss", "Safe")</f>
        <v>Safe</v>
      </c>
      <c r="AD701" s="4">
        <f>SalesCleanTable[[#This Row],[Unit Price]] - SalesCleanTable[[#This Row],[Unit Cost]]</f>
        <v>170</v>
      </c>
      <c r="AE701" s="41">
        <f>(SalesCleanTable[[#This Row],[Unit Price]] - SalesCleanTable[[#This Row],[Unit Cost]]) / SalesCleanTable[[#This Row],[Unit Price]]</f>
        <v>0.42499999999999999</v>
      </c>
    </row>
    <row r="702" spans="1:31">
      <c r="A702" t="s">
        <v>888</v>
      </c>
      <c r="B702" s="6">
        <v>45760</v>
      </c>
      <c r="C702" t="s">
        <v>49</v>
      </c>
      <c r="D702" t="s">
        <v>50</v>
      </c>
      <c r="E702" t="s">
        <v>38</v>
      </c>
      <c r="F702" t="s">
        <v>51</v>
      </c>
      <c r="G702" t="s">
        <v>52</v>
      </c>
      <c r="H702" t="s">
        <v>133</v>
      </c>
      <c r="I702" t="s">
        <v>134</v>
      </c>
      <c r="J702" t="s">
        <v>130</v>
      </c>
      <c r="K702" t="s">
        <v>131</v>
      </c>
      <c r="L702" t="s">
        <v>166</v>
      </c>
      <c r="M702" t="s">
        <v>186</v>
      </c>
      <c r="N702">
        <v>1</v>
      </c>
      <c r="O702" s="4">
        <v>550</v>
      </c>
      <c r="P702" s="4">
        <v>850</v>
      </c>
      <c r="Q702" s="7">
        <v>0.1</v>
      </c>
      <c r="R702" t="s">
        <v>175</v>
      </c>
      <c r="S702">
        <v>14</v>
      </c>
      <c r="T702">
        <v>850</v>
      </c>
      <c r="U702">
        <v>85</v>
      </c>
      <c r="V702">
        <v>765</v>
      </c>
      <c r="W702">
        <v>550</v>
      </c>
      <c r="X702">
        <v>215</v>
      </c>
      <c r="Y702" s="8">
        <v>0.28104575163398693</v>
      </c>
      <c r="Z702" t="s">
        <v>2996</v>
      </c>
      <c r="AA702" t="str">
        <f>IF(AND(SalesCleanTable[[#This Row],[Discount %]]&gt;0, SalesCleanTable[[#This Row],[Profit]]&lt;0), "Discount loss", "Safe")</f>
        <v>Safe</v>
      </c>
      <c r="AB702" s="25">
        <f>(SalesCleanTable[[#This Row],[Unit Price]] - SalesCleanTable[[#This Row],[Unit Cost]]) / SalesCleanTable[[#This Row],[Unit Price]]</f>
        <v>0.35294117647058826</v>
      </c>
      <c r="AC702" t="str">
        <f>IF(SalesCleanTable[[#This Row],[Discount %]] &gt; SalesCleanTable[[#This Row],[Max Allowed Discount]], "Discount loss", "Safe")</f>
        <v>Safe</v>
      </c>
      <c r="AD702" s="4">
        <f>SalesCleanTable[[#This Row],[Unit Price]] - SalesCleanTable[[#This Row],[Unit Cost]]</f>
        <v>300</v>
      </c>
      <c r="AE702" s="41">
        <f>(SalesCleanTable[[#This Row],[Unit Price]] - SalesCleanTable[[#This Row],[Unit Cost]]) / SalesCleanTable[[#This Row],[Unit Price]]</f>
        <v>0.35294117647058826</v>
      </c>
    </row>
    <row r="703" spans="1:31">
      <c r="A703" t="s">
        <v>889</v>
      </c>
      <c r="B703" s="6">
        <v>45690</v>
      </c>
      <c r="C703" t="s">
        <v>73</v>
      </c>
      <c r="D703" t="s">
        <v>74</v>
      </c>
      <c r="E703" t="s">
        <v>75</v>
      </c>
      <c r="F703" t="s">
        <v>76</v>
      </c>
      <c r="G703" t="s">
        <v>77</v>
      </c>
      <c r="H703" t="s">
        <v>149</v>
      </c>
      <c r="I703" t="s">
        <v>150</v>
      </c>
      <c r="J703" t="s">
        <v>151</v>
      </c>
      <c r="K703" t="s">
        <v>152</v>
      </c>
      <c r="L703" t="s">
        <v>166</v>
      </c>
      <c r="M703" t="s">
        <v>171</v>
      </c>
      <c r="N703">
        <v>2</v>
      </c>
      <c r="O703" s="4">
        <v>3500</v>
      </c>
      <c r="P703" s="4">
        <v>5200</v>
      </c>
      <c r="Q703" s="7">
        <v>0</v>
      </c>
      <c r="R703" t="s">
        <v>187</v>
      </c>
      <c r="S703">
        <v>7</v>
      </c>
      <c r="T703">
        <v>10400</v>
      </c>
      <c r="U703">
        <v>0</v>
      </c>
      <c r="V703">
        <v>10400</v>
      </c>
      <c r="W703">
        <v>7000</v>
      </c>
      <c r="X703">
        <v>3400</v>
      </c>
      <c r="Y703" s="8">
        <v>0.32692307692307693</v>
      </c>
      <c r="Z703" t="s">
        <v>2996</v>
      </c>
      <c r="AA703" t="str">
        <f>IF(AND(SalesCleanTable[[#This Row],[Discount %]]&gt;0, SalesCleanTable[[#This Row],[Profit]]&lt;0), "Discount loss", "Safe")</f>
        <v>Safe</v>
      </c>
      <c r="AB703" s="25">
        <f>(SalesCleanTable[[#This Row],[Unit Price]] - SalesCleanTable[[#This Row],[Unit Cost]]) / SalesCleanTable[[#This Row],[Unit Price]]</f>
        <v>0.32692307692307693</v>
      </c>
      <c r="AC703" t="str">
        <f>IF(SalesCleanTable[[#This Row],[Discount %]] &gt; SalesCleanTable[[#This Row],[Max Allowed Discount]], "Discount loss", "Safe")</f>
        <v>Safe</v>
      </c>
      <c r="AD703" s="4">
        <f>SalesCleanTable[[#This Row],[Unit Price]] - SalesCleanTable[[#This Row],[Unit Cost]]</f>
        <v>1700</v>
      </c>
      <c r="AE703" s="41">
        <f>(SalesCleanTable[[#This Row],[Unit Price]] - SalesCleanTable[[#This Row],[Unit Cost]]) / SalesCleanTable[[#This Row],[Unit Price]]</f>
        <v>0.32692307692307693</v>
      </c>
    </row>
    <row r="704" spans="1:31">
      <c r="A704" t="s">
        <v>890</v>
      </c>
      <c r="B704" s="6">
        <v>45734</v>
      </c>
      <c r="C704" t="s">
        <v>36</v>
      </c>
      <c r="D704" t="s">
        <v>37</v>
      </c>
      <c r="E704" t="s">
        <v>38</v>
      </c>
      <c r="F704" t="s">
        <v>39</v>
      </c>
      <c r="G704" t="s">
        <v>40</v>
      </c>
      <c r="H704" t="s">
        <v>133</v>
      </c>
      <c r="I704" t="s">
        <v>134</v>
      </c>
      <c r="J704" t="s">
        <v>130</v>
      </c>
      <c r="K704" t="s">
        <v>131</v>
      </c>
      <c r="L704" t="s">
        <v>166</v>
      </c>
      <c r="M704" t="s">
        <v>186</v>
      </c>
      <c r="N704">
        <v>5</v>
      </c>
      <c r="O704" s="4">
        <v>1650</v>
      </c>
      <c r="P704" s="4">
        <v>2200</v>
      </c>
      <c r="Q704" s="7">
        <v>0.05</v>
      </c>
      <c r="R704" t="s">
        <v>168</v>
      </c>
      <c r="S704">
        <v>1</v>
      </c>
      <c r="T704">
        <v>11000</v>
      </c>
      <c r="U704">
        <v>550</v>
      </c>
      <c r="V704">
        <v>10450</v>
      </c>
      <c r="W704">
        <v>8250</v>
      </c>
      <c r="X704">
        <v>2200</v>
      </c>
      <c r="Y704" s="8">
        <v>0.21052631578947367</v>
      </c>
      <c r="Z704" t="s">
        <v>2995</v>
      </c>
      <c r="AA704" t="str">
        <f>IF(AND(SalesCleanTable[[#This Row],[Discount %]]&gt;0, SalesCleanTable[[#This Row],[Profit]]&lt;0), "Discount loss", "Safe")</f>
        <v>Safe</v>
      </c>
      <c r="AB704" s="25">
        <f>(SalesCleanTable[[#This Row],[Unit Price]] - SalesCleanTable[[#This Row],[Unit Cost]]) / SalesCleanTable[[#This Row],[Unit Price]]</f>
        <v>0.25</v>
      </c>
      <c r="AC704" t="str">
        <f>IF(SalesCleanTable[[#This Row],[Discount %]] &gt; SalesCleanTable[[#This Row],[Max Allowed Discount]], "Discount loss", "Safe")</f>
        <v>Safe</v>
      </c>
      <c r="AD704" s="4">
        <f>SalesCleanTable[[#This Row],[Unit Price]] - SalesCleanTable[[#This Row],[Unit Cost]]</f>
        <v>550</v>
      </c>
      <c r="AE704" s="41">
        <f>(SalesCleanTable[[#This Row],[Unit Price]] - SalesCleanTable[[#This Row],[Unit Cost]]) / SalesCleanTable[[#This Row],[Unit Price]]</f>
        <v>0.25</v>
      </c>
    </row>
    <row r="705" spans="1:31">
      <c r="A705" t="s">
        <v>891</v>
      </c>
      <c r="B705" s="6">
        <v>45797</v>
      </c>
      <c r="C705" t="s">
        <v>32</v>
      </c>
      <c r="D705" t="s">
        <v>33</v>
      </c>
      <c r="E705" t="s">
        <v>26</v>
      </c>
      <c r="F705" t="s">
        <v>34</v>
      </c>
      <c r="G705" t="s">
        <v>35</v>
      </c>
      <c r="H705" t="s">
        <v>135</v>
      </c>
      <c r="I705" t="s">
        <v>136</v>
      </c>
      <c r="J705" t="s">
        <v>137</v>
      </c>
      <c r="K705" t="s">
        <v>138</v>
      </c>
      <c r="L705" t="s">
        <v>166</v>
      </c>
      <c r="M705" t="s">
        <v>171</v>
      </c>
      <c r="N705">
        <v>5</v>
      </c>
      <c r="O705" s="4">
        <v>7800</v>
      </c>
      <c r="P705" s="4">
        <v>9800</v>
      </c>
      <c r="Q705" s="7">
        <v>0.1</v>
      </c>
      <c r="R705" t="s">
        <v>173</v>
      </c>
      <c r="S705">
        <v>8</v>
      </c>
      <c r="T705">
        <v>49000</v>
      </c>
      <c r="U705">
        <v>4900</v>
      </c>
      <c r="V705">
        <v>44100</v>
      </c>
      <c r="W705">
        <v>39000</v>
      </c>
      <c r="X705">
        <v>5100</v>
      </c>
      <c r="Y705" s="8">
        <v>0.11564625850340136</v>
      </c>
      <c r="Z705" t="s">
        <v>2995</v>
      </c>
      <c r="AA705" t="str">
        <f>IF(AND(SalesCleanTable[[#This Row],[Discount %]]&gt;0, SalesCleanTable[[#This Row],[Profit]]&lt;0), "Discount loss", "Safe")</f>
        <v>Safe</v>
      </c>
      <c r="AB705" s="25">
        <f>(SalesCleanTable[[#This Row],[Unit Price]] - SalesCleanTable[[#This Row],[Unit Cost]]) / SalesCleanTable[[#This Row],[Unit Price]]</f>
        <v>0.20408163265306123</v>
      </c>
      <c r="AC705" t="str">
        <f>IF(SalesCleanTable[[#This Row],[Discount %]] &gt; SalesCleanTable[[#This Row],[Max Allowed Discount]], "Discount loss", "Safe")</f>
        <v>Safe</v>
      </c>
      <c r="AD705" s="4">
        <f>SalesCleanTable[[#This Row],[Unit Price]] - SalesCleanTable[[#This Row],[Unit Cost]]</f>
        <v>2000</v>
      </c>
      <c r="AE705" s="41">
        <f>(SalesCleanTable[[#This Row],[Unit Price]] - SalesCleanTable[[#This Row],[Unit Cost]]) / SalesCleanTable[[#This Row],[Unit Price]]</f>
        <v>0.20408163265306123</v>
      </c>
    </row>
    <row r="706" spans="1:31">
      <c r="A706" t="s">
        <v>892</v>
      </c>
      <c r="B706" s="6">
        <v>45686</v>
      </c>
      <c r="C706" t="s">
        <v>103</v>
      </c>
      <c r="D706" t="s">
        <v>104</v>
      </c>
      <c r="E706" t="s">
        <v>92</v>
      </c>
      <c r="F706" t="s">
        <v>105</v>
      </c>
      <c r="G706" t="s">
        <v>106</v>
      </c>
      <c r="H706" t="s">
        <v>128</v>
      </c>
      <c r="I706" t="s">
        <v>129</v>
      </c>
      <c r="J706" t="s">
        <v>130</v>
      </c>
      <c r="K706" t="s">
        <v>131</v>
      </c>
      <c r="L706" t="s">
        <v>183</v>
      </c>
      <c r="M706" t="s">
        <v>186</v>
      </c>
      <c r="N706">
        <v>3</v>
      </c>
      <c r="O706" s="4">
        <v>1500</v>
      </c>
      <c r="P706" s="4">
        <v>2500</v>
      </c>
      <c r="Q706" s="7">
        <v>0.15</v>
      </c>
      <c r="R706" t="s">
        <v>217</v>
      </c>
      <c r="S706">
        <v>11</v>
      </c>
      <c r="T706">
        <v>7500</v>
      </c>
      <c r="U706">
        <v>1125</v>
      </c>
      <c r="V706">
        <v>6375</v>
      </c>
      <c r="W706">
        <v>4500</v>
      </c>
      <c r="X706">
        <v>1875</v>
      </c>
      <c r="Y706" s="8">
        <v>0.29411764705882354</v>
      </c>
      <c r="Z706" t="s">
        <v>2996</v>
      </c>
      <c r="AA706" t="str">
        <f>IF(AND(SalesCleanTable[[#This Row],[Discount %]]&gt;0, SalesCleanTable[[#This Row],[Profit]]&lt;0), "Discount loss", "Safe")</f>
        <v>Safe</v>
      </c>
      <c r="AB706" s="25">
        <f>(SalesCleanTable[[#This Row],[Unit Price]] - SalesCleanTable[[#This Row],[Unit Cost]]) / SalesCleanTable[[#This Row],[Unit Price]]</f>
        <v>0.4</v>
      </c>
      <c r="AC706" t="str">
        <f>IF(SalesCleanTable[[#This Row],[Discount %]] &gt; SalesCleanTable[[#This Row],[Max Allowed Discount]], "Discount loss", "Safe")</f>
        <v>Safe</v>
      </c>
      <c r="AD706" s="4">
        <f>SalesCleanTable[[#This Row],[Unit Price]] - SalesCleanTable[[#This Row],[Unit Cost]]</f>
        <v>1000</v>
      </c>
      <c r="AE706" s="41">
        <f>(SalesCleanTable[[#This Row],[Unit Price]] - SalesCleanTable[[#This Row],[Unit Cost]]) / SalesCleanTable[[#This Row],[Unit Price]]</f>
        <v>0.4</v>
      </c>
    </row>
    <row r="707" spans="1:31">
      <c r="A707" t="s">
        <v>893</v>
      </c>
      <c r="B707" s="6">
        <v>45704</v>
      </c>
      <c r="C707" t="s">
        <v>49</v>
      </c>
      <c r="D707" t="s">
        <v>50</v>
      </c>
      <c r="E707" t="s">
        <v>38</v>
      </c>
      <c r="F707" t="s">
        <v>51</v>
      </c>
      <c r="G707" t="s">
        <v>52</v>
      </c>
      <c r="H707" t="s">
        <v>149</v>
      </c>
      <c r="I707" t="s">
        <v>150</v>
      </c>
      <c r="J707" t="s">
        <v>151</v>
      </c>
      <c r="K707" t="s">
        <v>152</v>
      </c>
      <c r="L707" t="s">
        <v>166</v>
      </c>
      <c r="M707" t="s">
        <v>186</v>
      </c>
      <c r="N707">
        <v>5</v>
      </c>
      <c r="O707" s="4">
        <v>550</v>
      </c>
      <c r="P707" s="4">
        <v>850</v>
      </c>
      <c r="Q707" s="7">
        <v>0</v>
      </c>
      <c r="R707" t="s">
        <v>178</v>
      </c>
      <c r="S707">
        <v>9</v>
      </c>
      <c r="T707">
        <v>4250</v>
      </c>
      <c r="U707">
        <v>0</v>
      </c>
      <c r="V707">
        <v>4250</v>
      </c>
      <c r="W707">
        <v>2750</v>
      </c>
      <c r="X707">
        <v>1500</v>
      </c>
      <c r="Y707" s="8">
        <v>0.35294117647058826</v>
      </c>
      <c r="Z707" t="s">
        <v>2996</v>
      </c>
      <c r="AA707" t="str">
        <f>IF(AND(SalesCleanTable[[#This Row],[Discount %]]&gt;0, SalesCleanTable[[#This Row],[Profit]]&lt;0), "Discount loss", "Safe")</f>
        <v>Safe</v>
      </c>
      <c r="AB707" s="25">
        <f>(SalesCleanTable[[#This Row],[Unit Price]] - SalesCleanTable[[#This Row],[Unit Cost]]) / SalesCleanTable[[#This Row],[Unit Price]]</f>
        <v>0.35294117647058826</v>
      </c>
      <c r="AC707" t="str">
        <f>IF(SalesCleanTable[[#This Row],[Discount %]] &gt; SalesCleanTable[[#This Row],[Max Allowed Discount]], "Discount loss", "Safe")</f>
        <v>Safe</v>
      </c>
      <c r="AD707" s="4">
        <f>SalesCleanTable[[#This Row],[Unit Price]] - SalesCleanTable[[#This Row],[Unit Cost]]</f>
        <v>300</v>
      </c>
      <c r="AE707" s="41">
        <f>(SalesCleanTable[[#This Row],[Unit Price]] - SalesCleanTable[[#This Row],[Unit Cost]]) / SalesCleanTable[[#This Row],[Unit Price]]</f>
        <v>0.35294117647058826</v>
      </c>
    </row>
    <row r="708" spans="1:31">
      <c r="A708" t="s">
        <v>894</v>
      </c>
      <c r="B708" s="6">
        <v>45955</v>
      </c>
      <c r="C708" t="s">
        <v>112</v>
      </c>
      <c r="D708" t="s">
        <v>113</v>
      </c>
      <c r="E708" t="s">
        <v>109</v>
      </c>
      <c r="F708" t="s">
        <v>114</v>
      </c>
      <c r="G708" t="s">
        <v>115</v>
      </c>
      <c r="H708" t="s">
        <v>153</v>
      </c>
      <c r="I708" t="s">
        <v>154</v>
      </c>
      <c r="J708" t="s">
        <v>155</v>
      </c>
      <c r="K708" t="s">
        <v>131</v>
      </c>
      <c r="L708" t="s">
        <v>166</v>
      </c>
      <c r="M708" t="s">
        <v>177</v>
      </c>
      <c r="N708">
        <v>2</v>
      </c>
      <c r="O708" s="4">
        <v>1300</v>
      </c>
      <c r="P708" s="4">
        <v>2100</v>
      </c>
      <c r="Q708" s="7">
        <v>0.15</v>
      </c>
      <c r="R708" t="s">
        <v>220</v>
      </c>
      <c r="S708">
        <v>6</v>
      </c>
      <c r="T708">
        <v>4200</v>
      </c>
      <c r="U708">
        <v>630</v>
      </c>
      <c r="V708">
        <v>3570</v>
      </c>
      <c r="W708">
        <v>2600</v>
      </c>
      <c r="X708">
        <v>970</v>
      </c>
      <c r="Y708" s="8">
        <v>0.27170868347338933</v>
      </c>
      <c r="Z708" t="s">
        <v>2995</v>
      </c>
      <c r="AA708" t="str">
        <f>IF(AND(SalesCleanTable[[#This Row],[Discount %]]&gt;0, SalesCleanTable[[#This Row],[Profit]]&lt;0), "Discount loss", "Safe")</f>
        <v>Safe</v>
      </c>
      <c r="AB708" s="25">
        <f>(SalesCleanTable[[#This Row],[Unit Price]] - SalesCleanTable[[#This Row],[Unit Cost]]) / SalesCleanTable[[#This Row],[Unit Price]]</f>
        <v>0.38095238095238093</v>
      </c>
      <c r="AC708" t="str">
        <f>IF(SalesCleanTable[[#This Row],[Discount %]] &gt; SalesCleanTable[[#This Row],[Max Allowed Discount]], "Discount loss", "Safe")</f>
        <v>Safe</v>
      </c>
      <c r="AD708" s="4">
        <f>SalesCleanTable[[#This Row],[Unit Price]] - SalesCleanTable[[#This Row],[Unit Cost]]</f>
        <v>800</v>
      </c>
      <c r="AE708" s="41">
        <f>(SalesCleanTable[[#This Row],[Unit Price]] - SalesCleanTable[[#This Row],[Unit Cost]]) / SalesCleanTable[[#This Row],[Unit Price]]</f>
        <v>0.38095238095238093</v>
      </c>
    </row>
    <row r="709" spans="1:31">
      <c r="A709" t="s">
        <v>895</v>
      </c>
      <c r="B709" s="6">
        <v>45857</v>
      </c>
      <c r="C709" t="s">
        <v>95</v>
      </c>
      <c r="D709" t="s">
        <v>96</v>
      </c>
      <c r="E709" t="s">
        <v>92</v>
      </c>
      <c r="F709" t="s">
        <v>97</v>
      </c>
      <c r="G709" t="s">
        <v>98</v>
      </c>
      <c r="H709" t="s">
        <v>145</v>
      </c>
      <c r="I709" t="s">
        <v>146</v>
      </c>
      <c r="J709" t="s">
        <v>147</v>
      </c>
      <c r="K709" t="s">
        <v>148</v>
      </c>
      <c r="L709" t="s">
        <v>166</v>
      </c>
      <c r="M709" t="s">
        <v>167</v>
      </c>
      <c r="N709">
        <v>8</v>
      </c>
      <c r="O709" s="4">
        <v>18000</v>
      </c>
      <c r="P709" s="4">
        <v>24500</v>
      </c>
      <c r="Q709" s="7">
        <v>0</v>
      </c>
      <c r="R709" t="s">
        <v>217</v>
      </c>
      <c r="S709">
        <v>8</v>
      </c>
      <c r="T709">
        <v>196000</v>
      </c>
      <c r="U709">
        <v>0</v>
      </c>
      <c r="V709">
        <v>196000</v>
      </c>
      <c r="W709">
        <v>144000</v>
      </c>
      <c r="X709">
        <v>52000</v>
      </c>
      <c r="Y709" s="8">
        <v>0.26530612244897961</v>
      </c>
      <c r="Z709" t="s">
        <v>2995</v>
      </c>
      <c r="AA709" t="str">
        <f>IF(AND(SalesCleanTable[[#This Row],[Discount %]]&gt;0, SalesCleanTable[[#This Row],[Profit]]&lt;0), "Discount loss", "Safe")</f>
        <v>Safe</v>
      </c>
      <c r="AB709" s="25">
        <f>(SalesCleanTable[[#This Row],[Unit Price]] - SalesCleanTable[[#This Row],[Unit Cost]]) / SalesCleanTable[[#This Row],[Unit Price]]</f>
        <v>0.26530612244897961</v>
      </c>
      <c r="AC709" t="str">
        <f>IF(SalesCleanTable[[#This Row],[Discount %]] &gt; SalesCleanTable[[#This Row],[Max Allowed Discount]], "Discount loss", "Safe")</f>
        <v>Safe</v>
      </c>
      <c r="AD709" s="4">
        <f>SalesCleanTable[[#This Row],[Unit Price]] - SalesCleanTable[[#This Row],[Unit Cost]]</f>
        <v>6500</v>
      </c>
      <c r="AE709" s="41">
        <f>(SalesCleanTable[[#This Row],[Unit Price]] - SalesCleanTable[[#This Row],[Unit Cost]]) / SalesCleanTable[[#This Row],[Unit Price]]</f>
        <v>0.26530612244897961</v>
      </c>
    </row>
    <row r="710" spans="1:31">
      <c r="A710" t="s">
        <v>896</v>
      </c>
      <c r="B710" s="6">
        <v>45959</v>
      </c>
      <c r="C710" t="s">
        <v>29</v>
      </c>
      <c r="D710" t="s">
        <v>30</v>
      </c>
      <c r="E710" t="s">
        <v>26</v>
      </c>
      <c r="F710" t="s">
        <v>27</v>
      </c>
      <c r="G710" t="s">
        <v>31</v>
      </c>
      <c r="H710" t="s">
        <v>139</v>
      </c>
      <c r="I710" t="s">
        <v>140</v>
      </c>
      <c r="J710" t="s">
        <v>137</v>
      </c>
      <c r="K710" t="s">
        <v>138</v>
      </c>
      <c r="L710" t="s">
        <v>166</v>
      </c>
      <c r="M710" t="s">
        <v>186</v>
      </c>
      <c r="N710">
        <v>4</v>
      </c>
      <c r="O710" s="4">
        <v>6200</v>
      </c>
      <c r="P710" s="4">
        <v>7900</v>
      </c>
      <c r="Q710" s="7">
        <v>0</v>
      </c>
      <c r="R710" t="s">
        <v>197</v>
      </c>
      <c r="S710">
        <v>5</v>
      </c>
      <c r="T710">
        <v>31600</v>
      </c>
      <c r="U710">
        <v>0</v>
      </c>
      <c r="V710">
        <v>31600</v>
      </c>
      <c r="W710">
        <v>24800</v>
      </c>
      <c r="X710">
        <v>6800</v>
      </c>
      <c r="Y710" s="8">
        <v>0.21518987341772153</v>
      </c>
      <c r="Z710" t="s">
        <v>2996</v>
      </c>
      <c r="AA710" t="str">
        <f>IF(AND(SalesCleanTable[[#This Row],[Discount %]]&gt;0, SalesCleanTable[[#This Row],[Profit]]&lt;0), "Discount loss", "Safe")</f>
        <v>Safe</v>
      </c>
      <c r="AB710" s="25">
        <f>(SalesCleanTable[[#This Row],[Unit Price]] - SalesCleanTable[[#This Row],[Unit Cost]]) / SalesCleanTable[[#This Row],[Unit Price]]</f>
        <v>0.21518987341772153</v>
      </c>
      <c r="AC710" t="str">
        <f>IF(SalesCleanTable[[#This Row],[Discount %]] &gt; SalesCleanTable[[#This Row],[Max Allowed Discount]], "Discount loss", "Safe")</f>
        <v>Safe</v>
      </c>
      <c r="AD710" s="4">
        <f>SalesCleanTable[[#This Row],[Unit Price]] - SalesCleanTable[[#This Row],[Unit Cost]]</f>
        <v>1700</v>
      </c>
      <c r="AE710" s="41">
        <f>(SalesCleanTable[[#This Row],[Unit Price]] - SalesCleanTable[[#This Row],[Unit Cost]]) / SalesCleanTable[[#This Row],[Unit Price]]</f>
        <v>0.21518987341772153</v>
      </c>
    </row>
    <row r="711" spans="1:31">
      <c r="A711" t="s">
        <v>897</v>
      </c>
      <c r="B711" s="6">
        <v>45732</v>
      </c>
      <c r="C711" t="s">
        <v>49</v>
      </c>
      <c r="D711" t="s">
        <v>50</v>
      </c>
      <c r="E711" t="s">
        <v>38</v>
      </c>
      <c r="F711" t="s">
        <v>51</v>
      </c>
      <c r="G711" t="s">
        <v>52</v>
      </c>
      <c r="H711" t="s">
        <v>145</v>
      </c>
      <c r="I711" t="s">
        <v>146</v>
      </c>
      <c r="J711" t="s">
        <v>147</v>
      </c>
      <c r="K711" t="s">
        <v>148</v>
      </c>
      <c r="L711" t="s">
        <v>170</v>
      </c>
      <c r="M711" t="s">
        <v>171</v>
      </c>
      <c r="N711">
        <v>5</v>
      </c>
      <c r="O711" s="4">
        <v>550</v>
      </c>
      <c r="P711" s="4">
        <v>850</v>
      </c>
      <c r="Q711" s="7">
        <v>0</v>
      </c>
      <c r="R711" t="s">
        <v>168</v>
      </c>
      <c r="S711">
        <v>11</v>
      </c>
      <c r="T711">
        <v>4250</v>
      </c>
      <c r="U711">
        <v>0</v>
      </c>
      <c r="V711">
        <v>4250</v>
      </c>
      <c r="W711">
        <v>2750</v>
      </c>
      <c r="X711">
        <v>1500</v>
      </c>
      <c r="Y711" s="8">
        <v>0.35294117647058826</v>
      </c>
      <c r="Z711" t="s">
        <v>2996</v>
      </c>
      <c r="AA711" t="str">
        <f>IF(AND(SalesCleanTable[[#This Row],[Discount %]]&gt;0, SalesCleanTable[[#This Row],[Profit]]&lt;0), "Discount loss", "Safe")</f>
        <v>Safe</v>
      </c>
      <c r="AB711" s="25">
        <f>(SalesCleanTable[[#This Row],[Unit Price]] - SalesCleanTable[[#This Row],[Unit Cost]]) / SalesCleanTable[[#This Row],[Unit Price]]</f>
        <v>0.35294117647058826</v>
      </c>
      <c r="AC711" t="str">
        <f>IF(SalesCleanTable[[#This Row],[Discount %]] &gt; SalesCleanTable[[#This Row],[Max Allowed Discount]], "Discount loss", "Safe")</f>
        <v>Safe</v>
      </c>
      <c r="AD711" s="4">
        <f>SalesCleanTable[[#This Row],[Unit Price]] - SalesCleanTable[[#This Row],[Unit Cost]]</f>
        <v>300</v>
      </c>
      <c r="AE711" s="41">
        <f>(SalesCleanTable[[#This Row],[Unit Price]] - SalesCleanTable[[#This Row],[Unit Cost]]) / SalesCleanTable[[#This Row],[Unit Price]]</f>
        <v>0.35294117647058826</v>
      </c>
    </row>
    <row r="712" spans="1:31">
      <c r="A712" t="s">
        <v>898</v>
      </c>
      <c r="B712" s="6">
        <v>45685</v>
      </c>
      <c r="C712" t="s">
        <v>82</v>
      </c>
      <c r="D712" t="s">
        <v>83</v>
      </c>
      <c r="E712" t="s">
        <v>75</v>
      </c>
      <c r="F712" t="s">
        <v>84</v>
      </c>
      <c r="G712" t="s">
        <v>85</v>
      </c>
      <c r="H712" t="s">
        <v>145</v>
      </c>
      <c r="I712" t="s">
        <v>146</v>
      </c>
      <c r="J712" t="s">
        <v>147</v>
      </c>
      <c r="K712" t="s">
        <v>148</v>
      </c>
      <c r="L712" t="s">
        <v>166</v>
      </c>
      <c r="M712" t="s">
        <v>171</v>
      </c>
      <c r="N712">
        <v>2</v>
      </c>
      <c r="O712" s="4">
        <v>600</v>
      </c>
      <c r="P712" s="4">
        <v>950</v>
      </c>
      <c r="Q712" s="7">
        <v>0.1</v>
      </c>
      <c r="R712" t="s">
        <v>208</v>
      </c>
      <c r="S712">
        <v>13</v>
      </c>
      <c r="T712">
        <v>1900</v>
      </c>
      <c r="U712">
        <v>190</v>
      </c>
      <c r="V712">
        <v>1710</v>
      </c>
      <c r="W712">
        <v>1200</v>
      </c>
      <c r="X712">
        <v>510</v>
      </c>
      <c r="Y712" s="8">
        <v>0.2982456140350877</v>
      </c>
      <c r="Z712" t="s">
        <v>2996</v>
      </c>
      <c r="AA712" t="str">
        <f>IF(AND(SalesCleanTable[[#This Row],[Discount %]]&gt;0, SalesCleanTable[[#This Row],[Profit]]&lt;0), "Discount loss", "Safe")</f>
        <v>Safe</v>
      </c>
      <c r="AB712" s="25">
        <f>(SalesCleanTable[[#This Row],[Unit Price]] - SalesCleanTable[[#This Row],[Unit Cost]]) / SalesCleanTable[[#This Row],[Unit Price]]</f>
        <v>0.36842105263157893</v>
      </c>
      <c r="AC712" t="str">
        <f>IF(SalesCleanTable[[#This Row],[Discount %]] &gt; SalesCleanTable[[#This Row],[Max Allowed Discount]], "Discount loss", "Safe")</f>
        <v>Safe</v>
      </c>
      <c r="AD712" s="4">
        <f>SalesCleanTable[[#This Row],[Unit Price]] - SalesCleanTable[[#This Row],[Unit Cost]]</f>
        <v>350</v>
      </c>
      <c r="AE712" s="41">
        <f>(SalesCleanTable[[#This Row],[Unit Price]] - SalesCleanTable[[#This Row],[Unit Cost]]) / SalesCleanTable[[#This Row],[Unit Price]]</f>
        <v>0.36842105263157893</v>
      </c>
    </row>
    <row r="713" spans="1:31">
      <c r="A713" t="s">
        <v>899</v>
      </c>
      <c r="B713" s="6">
        <v>45931</v>
      </c>
      <c r="C713" t="s">
        <v>103</v>
      </c>
      <c r="D713" t="s">
        <v>104</v>
      </c>
      <c r="E713" t="s">
        <v>92</v>
      </c>
      <c r="F713" t="s">
        <v>105</v>
      </c>
      <c r="G713" t="s">
        <v>106</v>
      </c>
      <c r="H713" t="s">
        <v>149</v>
      </c>
      <c r="I713" t="s">
        <v>150</v>
      </c>
      <c r="J713" t="s">
        <v>151</v>
      </c>
      <c r="K713" t="s">
        <v>152</v>
      </c>
      <c r="L713" t="s">
        <v>166</v>
      </c>
      <c r="M713" t="s">
        <v>171</v>
      </c>
      <c r="N713">
        <v>2</v>
      </c>
      <c r="O713" s="4">
        <v>1500</v>
      </c>
      <c r="P713" s="4">
        <v>2500</v>
      </c>
      <c r="Q713" s="7">
        <v>0.15</v>
      </c>
      <c r="R713" t="s">
        <v>217</v>
      </c>
      <c r="S713">
        <v>5</v>
      </c>
      <c r="T713">
        <v>5000</v>
      </c>
      <c r="U713">
        <v>750</v>
      </c>
      <c r="V713">
        <v>4250</v>
      </c>
      <c r="W713">
        <v>3000</v>
      </c>
      <c r="X713">
        <v>1250</v>
      </c>
      <c r="Y713" s="8">
        <v>0.29411764705882354</v>
      </c>
      <c r="Z713" t="s">
        <v>2996</v>
      </c>
      <c r="AA713" t="str">
        <f>IF(AND(SalesCleanTable[[#This Row],[Discount %]]&gt;0, SalesCleanTable[[#This Row],[Profit]]&lt;0), "Discount loss", "Safe")</f>
        <v>Safe</v>
      </c>
      <c r="AB713" s="25">
        <f>(SalesCleanTable[[#This Row],[Unit Price]] - SalesCleanTable[[#This Row],[Unit Cost]]) / SalesCleanTable[[#This Row],[Unit Price]]</f>
        <v>0.4</v>
      </c>
      <c r="AC713" t="str">
        <f>IF(SalesCleanTable[[#This Row],[Discount %]] &gt; SalesCleanTable[[#This Row],[Max Allowed Discount]], "Discount loss", "Safe")</f>
        <v>Safe</v>
      </c>
      <c r="AD713" s="4">
        <f>SalesCleanTable[[#This Row],[Unit Price]] - SalesCleanTable[[#This Row],[Unit Cost]]</f>
        <v>1000</v>
      </c>
      <c r="AE713" s="41">
        <f>(SalesCleanTable[[#This Row],[Unit Price]] - SalesCleanTable[[#This Row],[Unit Cost]]) / SalesCleanTable[[#This Row],[Unit Price]]</f>
        <v>0.4</v>
      </c>
    </row>
    <row r="714" spans="1:31">
      <c r="A714" t="s">
        <v>900</v>
      </c>
      <c r="B714" s="6">
        <v>45778</v>
      </c>
      <c r="C714" t="s">
        <v>45</v>
      </c>
      <c r="D714" t="s">
        <v>46</v>
      </c>
      <c r="E714" t="s">
        <v>38</v>
      </c>
      <c r="F714" t="s">
        <v>47</v>
      </c>
      <c r="G714" t="s">
        <v>48</v>
      </c>
      <c r="H714" t="s">
        <v>149</v>
      </c>
      <c r="I714" t="s">
        <v>150</v>
      </c>
      <c r="J714" t="s">
        <v>151</v>
      </c>
      <c r="K714" t="s">
        <v>152</v>
      </c>
      <c r="L714" t="s">
        <v>166</v>
      </c>
      <c r="M714" t="s">
        <v>171</v>
      </c>
      <c r="N714">
        <v>1</v>
      </c>
      <c r="O714" s="4">
        <v>230</v>
      </c>
      <c r="P714" s="4">
        <v>400</v>
      </c>
      <c r="Q714" s="7">
        <v>0.05</v>
      </c>
      <c r="R714" t="s">
        <v>168</v>
      </c>
      <c r="S714">
        <v>7</v>
      </c>
      <c r="T714">
        <v>400</v>
      </c>
      <c r="U714">
        <v>20</v>
      </c>
      <c r="V714">
        <v>380</v>
      </c>
      <c r="W714">
        <v>230</v>
      </c>
      <c r="X714">
        <v>150</v>
      </c>
      <c r="Y714" s="8">
        <v>0.39473684210526316</v>
      </c>
      <c r="Z714" t="s">
        <v>2995</v>
      </c>
      <c r="AA714" t="str">
        <f>IF(AND(SalesCleanTable[[#This Row],[Discount %]]&gt;0, SalesCleanTable[[#This Row],[Profit]]&lt;0), "Discount loss", "Safe")</f>
        <v>Safe</v>
      </c>
      <c r="AB714" s="25">
        <f>(SalesCleanTable[[#This Row],[Unit Price]] - SalesCleanTable[[#This Row],[Unit Cost]]) / SalesCleanTable[[#This Row],[Unit Price]]</f>
        <v>0.42499999999999999</v>
      </c>
      <c r="AC714" t="str">
        <f>IF(SalesCleanTable[[#This Row],[Discount %]] &gt; SalesCleanTable[[#This Row],[Max Allowed Discount]], "Discount loss", "Safe")</f>
        <v>Safe</v>
      </c>
      <c r="AD714" s="4">
        <f>SalesCleanTable[[#This Row],[Unit Price]] - SalesCleanTable[[#This Row],[Unit Cost]]</f>
        <v>170</v>
      </c>
      <c r="AE714" s="41">
        <f>(SalesCleanTable[[#This Row],[Unit Price]] - SalesCleanTable[[#This Row],[Unit Cost]]) / SalesCleanTable[[#This Row],[Unit Price]]</f>
        <v>0.42499999999999999</v>
      </c>
    </row>
    <row r="715" spans="1:31">
      <c r="A715" t="s">
        <v>901</v>
      </c>
      <c r="B715" s="6">
        <v>45798</v>
      </c>
      <c r="C715" t="s">
        <v>103</v>
      </c>
      <c r="D715" t="s">
        <v>104</v>
      </c>
      <c r="E715" t="s">
        <v>92</v>
      </c>
      <c r="F715" t="s">
        <v>105</v>
      </c>
      <c r="G715" t="s">
        <v>106</v>
      </c>
      <c r="H715" t="s">
        <v>149</v>
      </c>
      <c r="I715" t="s">
        <v>150</v>
      </c>
      <c r="J715" t="s">
        <v>151</v>
      </c>
      <c r="K715" t="s">
        <v>152</v>
      </c>
      <c r="L715" t="s">
        <v>166</v>
      </c>
      <c r="M715" t="s">
        <v>171</v>
      </c>
      <c r="N715">
        <v>8</v>
      </c>
      <c r="O715" s="4">
        <v>1500</v>
      </c>
      <c r="P715" s="4">
        <v>2500</v>
      </c>
      <c r="Q715" s="7">
        <v>0.05</v>
      </c>
      <c r="R715" t="s">
        <v>215</v>
      </c>
      <c r="S715">
        <v>7</v>
      </c>
      <c r="T715">
        <v>20000</v>
      </c>
      <c r="U715">
        <v>1000</v>
      </c>
      <c r="V715">
        <v>19000</v>
      </c>
      <c r="W715">
        <v>12000</v>
      </c>
      <c r="X715">
        <v>7000</v>
      </c>
      <c r="Y715" s="8">
        <v>0.36842105263157893</v>
      </c>
      <c r="Z715" t="s">
        <v>2996</v>
      </c>
      <c r="AA715" t="str">
        <f>IF(AND(SalesCleanTable[[#This Row],[Discount %]]&gt;0, SalesCleanTable[[#This Row],[Profit]]&lt;0), "Discount loss", "Safe")</f>
        <v>Safe</v>
      </c>
      <c r="AB715" s="25">
        <f>(SalesCleanTable[[#This Row],[Unit Price]] - SalesCleanTable[[#This Row],[Unit Cost]]) / SalesCleanTable[[#This Row],[Unit Price]]</f>
        <v>0.4</v>
      </c>
      <c r="AC715" t="str">
        <f>IF(SalesCleanTable[[#This Row],[Discount %]] &gt; SalesCleanTable[[#This Row],[Max Allowed Discount]], "Discount loss", "Safe")</f>
        <v>Safe</v>
      </c>
      <c r="AD715" s="4">
        <f>SalesCleanTable[[#This Row],[Unit Price]] - SalesCleanTable[[#This Row],[Unit Cost]]</f>
        <v>1000</v>
      </c>
      <c r="AE715" s="41">
        <f>(SalesCleanTable[[#This Row],[Unit Price]] - SalesCleanTable[[#This Row],[Unit Cost]]) / SalesCleanTable[[#This Row],[Unit Price]]</f>
        <v>0.4</v>
      </c>
    </row>
    <row r="716" spans="1:31">
      <c r="A716" t="s">
        <v>902</v>
      </c>
      <c r="B716" s="6">
        <v>45709</v>
      </c>
      <c r="C716" t="s">
        <v>99</v>
      </c>
      <c r="D716" t="s">
        <v>100</v>
      </c>
      <c r="E716" t="s">
        <v>92</v>
      </c>
      <c r="F716" t="s">
        <v>101</v>
      </c>
      <c r="G716" t="s">
        <v>102</v>
      </c>
      <c r="H716" t="s">
        <v>145</v>
      </c>
      <c r="I716" t="s">
        <v>146</v>
      </c>
      <c r="J716" t="s">
        <v>147</v>
      </c>
      <c r="K716" t="s">
        <v>148</v>
      </c>
      <c r="L716" t="s">
        <v>183</v>
      </c>
      <c r="M716" t="s">
        <v>171</v>
      </c>
      <c r="N716">
        <v>3</v>
      </c>
      <c r="O716" s="4">
        <v>12500</v>
      </c>
      <c r="P716" s="4">
        <v>18500</v>
      </c>
      <c r="Q716" s="7">
        <v>0.05</v>
      </c>
      <c r="R716" t="s">
        <v>215</v>
      </c>
      <c r="S716">
        <v>6</v>
      </c>
      <c r="T716">
        <v>55500</v>
      </c>
      <c r="U716">
        <v>2775</v>
      </c>
      <c r="V716">
        <v>52725</v>
      </c>
      <c r="W716">
        <v>37500</v>
      </c>
      <c r="X716">
        <v>15225</v>
      </c>
      <c r="Y716" s="8">
        <v>0.28876244665718348</v>
      </c>
      <c r="Z716" t="s">
        <v>2995</v>
      </c>
      <c r="AA716" t="str">
        <f>IF(AND(SalesCleanTable[[#This Row],[Discount %]]&gt;0, SalesCleanTable[[#This Row],[Profit]]&lt;0), "Discount loss", "Safe")</f>
        <v>Safe</v>
      </c>
      <c r="AB716" s="25">
        <f>(SalesCleanTable[[#This Row],[Unit Price]] - SalesCleanTable[[#This Row],[Unit Cost]]) / SalesCleanTable[[#This Row],[Unit Price]]</f>
        <v>0.32432432432432434</v>
      </c>
      <c r="AC716" t="str">
        <f>IF(SalesCleanTable[[#This Row],[Discount %]] &gt; SalesCleanTable[[#This Row],[Max Allowed Discount]], "Discount loss", "Safe")</f>
        <v>Safe</v>
      </c>
      <c r="AD716" s="4">
        <f>SalesCleanTable[[#This Row],[Unit Price]] - SalesCleanTable[[#This Row],[Unit Cost]]</f>
        <v>6000</v>
      </c>
      <c r="AE716" s="41">
        <f>(SalesCleanTable[[#This Row],[Unit Price]] - SalesCleanTable[[#This Row],[Unit Cost]]) / SalesCleanTable[[#This Row],[Unit Price]]</f>
        <v>0.32432432432432434</v>
      </c>
    </row>
    <row r="717" spans="1:31">
      <c r="A717" t="s">
        <v>903</v>
      </c>
      <c r="B717" s="6">
        <v>45672</v>
      </c>
      <c r="C717" t="s">
        <v>86</v>
      </c>
      <c r="D717" t="s">
        <v>87</v>
      </c>
      <c r="E717" t="s">
        <v>75</v>
      </c>
      <c r="F717" t="s">
        <v>88</v>
      </c>
      <c r="G717" t="s">
        <v>89</v>
      </c>
      <c r="H717" t="s">
        <v>141</v>
      </c>
      <c r="I717" t="s">
        <v>142</v>
      </c>
      <c r="J717" t="s">
        <v>143</v>
      </c>
      <c r="K717" t="s">
        <v>144</v>
      </c>
      <c r="L717" t="s">
        <v>183</v>
      </c>
      <c r="M717" t="s">
        <v>177</v>
      </c>
      <c r="N717">
        <v>1</v>
      </c>
      <c r="O717" s="4">
        <v>8500</v>
      </c>
      <c r="P717" s="4">
        <v>12500</v>
      </c>
      <c r="Q717" s="7">
        <v>0.15</v>
      </c>
      <c r="R717" t="s">
        <v>187</v>
      </c>
      <c r="S717">
        <v>11</v>
      </c>
      <c r="T717">
        <v>12500</v>
      </c>
      <c r="U717">
        <v>1875</v>
      </c>
      <c r="V717">
        <v>10625</v>
      </c>
      <c r="W717">
        <v>8500</v>
      </c>
      <c r="X717">
        <v>2125</v>
      </c>
      <c r="Y717" s="8">
        <v>0.2</v>
      </c>
      <c r="Z717" t="s">
        <v>2997</v>
      </c>
      <c r="AA717" t="str">
        <f>IF(AND(SalesCleanTable[[#This Row],[Discount %]]&gt;0, SalesCleanTable[[#This Row],[Profit]]&lt;0), "Discount loss", "Safe")</f>
        <v>Safe</v>
      </c>
      <c r="AB717" s="25">
        <f>(SalesCleanTable[[#This Row],[Unit Price]] - SalesCleanTable[[#This Row],[Unit Cost]]) / SalesCleanTable[[#This Row],[Unit Price]]</f>
        <v>0.32</v>
      </c>
      <c r="AC717" t="str">
        <f>IF(SalesCleanTable[[#This Row],[Discount %]] &gt; SalesCleanTable[[#This Row],[Max Allowed Discount]], "Discount loss", "Safe")</f>
        <v>Safe</v>
      </c>
      <c r="AD717" s="4">
        <f>SalesCleanTable[[#This Row],[Unit Price]] - SalesCleanTable[[#This Row],[Unit Cost]]</f>
        <v>4000</v>
      </c>
      <c r="AE717" s="41">
        <f>(SalesCleanTable[[#This Row],[Unit Price]] - SalesCleanTable[[#This Row],[Unit Cost]]) / SalesCleanTable[[#This Row],[Unit Price]]</f>
        <v>0.32</v>
      </c>
    </row>
    <row r="718" spans="1:31">
      <c r="A718" t="s">
        <v>904</v>
      </c>
      <c r="B718" s="6">
        <v>45952</v>
      </c>
      <c r="C718" t="s">
        <v>29</v>
      </c>
      <c r="D718" t="s">
        <v>30</v>
      </c>
      <c r="E718" t="s">
        <v>26</v>
      </c>
      <c r="F718" t="s">
        <v>27</v>
      </c>
      <c r="G718" t="s">
        <v>31</v>
      </c>
      <c r="H718" t="s">
        <v>133</v>
      </c>
      <c r="I718" t="s">
        <v>134</v>
      </c>
      <c r="J718" t="s">
        <v>130</v>
      </c>
      <c r="K718" t="s">
        <v>131</v>
      </c>
      <c r="L718" t="s">
        <v>183</v>
      </c>
      <c r="M718" t="s">
        <v>171</v>
      </c>
      <c r="N718">
        <v>3</v>
      </c>
      <c r="O718" s="4">
        <v>6200</v>
      </c>
      <c r="P718" s="4">
        <v>7900</v>
      </c>
      <c r="Q718" s="7">
        <v>0.2</v>
      </c>
      <c r="R718" t="s">
        <v>173</v>
      </c>
      <c r="S718">
        <v>11</v>
      </c>
      <c r="T718">
        <v>23700</v>
      </c>
      <c r="U718">
        <v>4740</v>
      </c>
      <c r="V718">
        <v>18960</v>
      </c>
      <c r="W718">
        <v>18600</v>
      </c>
      <c r="X718">
        <v>360</v>
      </c>
      <c r="Y718" s="8">
        <v>1.8987341772151899E-2</v>
      </c>
      <c r="Z718" t="s">
        <v>2996</v>
      </c>
      <c r="AA718" t="str">
        <f>IF(AND(SalesCleanTable[[#This Row],[Discount %]]&gt;0, SalesCleanTable[[#This Row],[Profit]]&lt;0), "Discount loss", "Safe")</f>
        <v>Safe</v>
      </c>
      <c r="AB718" s="25">
        <f>(SalesCleanTable[[#This Row],[Unit Price]] - SalesCleanTable[[#This Row],[Unit Cost]]) / SalesCleanTable[[#This Row],[Unit Price]]</f>
        <v>0.21518987341772153</v>
      </c>
      <c r="AC718" t="str">
        <f>IF(SalesCleanTable[[#This Row],[Discount %]] &gt; SalesCleanTable[[#This Row],[Max Allowed Discount]], "Discount loss", "Safe")</f>
        <v>Safe</v>
      </c>
      <c r="AD718" s="4">
        <f>SalesCleanTable[[#This Row],[Unit Price]] - SalesCleanTable[[#This Row],[Unit Cost]]</f>
        <v>1700</v>
      </c>
      <c r="AE718" s="41">
        <f>(SalesCleanTable[[#This Row],[Unit Price]] - SalesCleanTable[[#This Row],[Unit Cost]]) / SalesCleanTable[[#This Row],[Unit Price]]</f>
        <v>0.21518987341772153</v>
      </c>
    </row>
    <row r="719" spans="1:31">
      <c r="A719" t="s">
        <v>905</v>
      </c>
      <c r="B719" s="6">
        <v>45821</v>
      </c>
      <c r="C719" t="s">
        <v>53</v>
      </c>
      <c r="D719" t="s">
        <v>54</v>
      </c>
      <c r="E719" t="s">
        <v>38</v>
      </c>
      <c r="F719" t="s">
        <v>55</v>
      </c>
      <c r="G719" t="s">
        <v>56</v>
      </c>
      <c r="H719" t="s">
        <v>149</v>
      </c>
      <c r="I719" t="s">
        <v>150</v>
      </c>
      <c r="J719" t="s">
        <v>151</v>
      </c>
      <c r="K719" t="s">
        <v>152</v>
      </c>
      <c r="L719" t="s">
        <v>183</v>
      </c>
      <c r="M719" t="s">
        <v>186</v>
      </c>
      <c r="N719">
        <v>1</v>
      </c>
      <c r="O719" s="4">
        <v>330</v>
      </c>
      <c r="P719" s="4">
        <v>550</v>
      </c>
      <c r="Q719" s="7">
        <v>0</v>
      </c>
      <c r="R719" t="s">
        <v>175</v>
      </c>
      <c r="S719">
        <v>4</v>
      </c>
      <c r="T719">
        <v>550</v>
      </c>
      <c r="U719">
        <v>0</v>
      </c>
      <c r="V719">
        <v>550</v>
      </c>
      <c r="W719">
        <v>330</v>
      </c>
      <c r="X719">
        <v>220</v>
      </c>
      <c r="Y719" s="8">
        <v>0.4</v>
      </c>
      <c r="Z719" t="s">
        <v>2996</v>
      </c>
      <c r="AA719" t="str">
        <f>IF(AND(SalesCleanTable[[#This Row],[Discount %]]&gt;0, SalesCleanTable[[#This Row],[Profit]]&lt;0), "Discount loss", "Safe")</f>
        <v>Safe</v>
      </c>
      <c r="AB719" s="25">
        <f>(SalesCleanTable[[#This Row],[Unit Price]] - SalesCleanTable[[#This Row],[Unit Cost]]) / SalesCleanTable[[#This Row],[Unit Price]]</f>
        <v>0.4</v>
      </c>
      <c r="AC719" t="str">
        <f>IF(SalesCleanTable[[#This Row],[Discount %]] &gt; SalesCleanTable[[#This Row],[Max Allowed Discount]], "Discount loss", "Safe")</f>
        <v>Safe</v>
      </c>
      <c r="AD719" s="4">
        <f>SalesCleanTable[[#This Row],[Unit Price]] - SalesCleanTable[[#This Row],[Unit Cost]]</f>
        <v>220</v>
      </c>
      <c r="AE719" s="41">
        <f>(SalesCleanTable[[#This Row],[Unit Price]] - SalesCleanTable[[#This Row],[Unit Cost]]) / SalesCleanTable[[#This Row],[Unit Price]]</f>
        <v>0.4</v>
      </c>
    </row>
    <row r="720" spans="1:31">
      <c r="A720" t="s">
        <v>906</v>
      </c>
      <c r="B720" s="6">
        <v>45846</v>
      </c>
      <c r="C720" t="s">
        <v>36</v>
      </c>
      <c r="D720" t="s">
        <v>37</v>
      </c>
      <c r="E720" t="s">
        <v>38</v>
      </c>
      <c r="F720" t="s">
        <v>39</v>
      </c>
      <c r="G720" t="s">
        <v>40</v>
      </c>
      <c r="H720" t="s">
        <v>149</v>
      </c>
      <c r="I720" t="s">
        <v>150</v>
      </c>
      <c r="J720" t="s">
        <v>151</v>
      </c>
      <c r="K720" t="s">
        <v>152</v>
      </c>
      <c r="L720" t="s">
        <v>166</v>
      </c>
      <c r="M720" t="s">
        <v>171</v>
      </c>
      <c r="N720">
        <v>8</v>
      </c>
      <c r="O720" s="4">
        <v>1650</v>
      </c>
      <c r="P720" s="4">
        <v>2200</v>
      </c>
      <c r="Q720" s="7">
        <v>0.15</v>
      </c>
      <c r="R720" t="s">
        <v>168</v>
      </c>
      <c r="S720">
        <v>11</v>
      </c>
      <c r="T720">
        <v>17600</v>
      </c>
      <c r="U720">
        <v>2640</v>
      </c>
      <c r="V720">
        <v>14960</v>
      </c>
      <c r="W720">
        <v>13200</v>
      </c>
      <c r="X720">
        <v>1760</v>
      </c>
      <c r="Y720" s="8">
        <v>0.11764705882352941</v>
      </c>
      <c r="Z720" t="s">
        <v>2995</v>
      </c>
      <c r="AA720" t="str">
        <f>IF(AND(SalesCleanTable[[#This Row],[Discount %]]&gt;0, SalesCleanTable[[#This Row],[Profit]]&lt;0), "Discount loss", "Safe")</f>
        <v>Safe</v>
      </c>
      <c r="AB720" s="25">
        <f>(SalesCleanTable[[#This Row],[Unit Price]] - SalesCleanTable[[#This Row],[Unit Cost]]) / SalesCleanTable[[#This Row],[Unit Price]]</f>
        <v>0.25</v>
      </c>
      <c r="AC720" t="str">
        <f>IF(SalesCleanTable[[#This Row],[Discount %]] &gt; SalesCleanTable[[#This Row],[Max Allowed Discount]], "Discount loss", "Safe")</f>
        <v>Safe</v>
      </c>
      <c r="AD720" s="4">
        <f>SalesCleanTable[[#This Row],[Unit Price]] - SalesCleanTable[[#This Row],[Unit Cost]]</f>
        <v>550</v>
      </c>
      <c r="AE720" s="41">
        <f>(SalesCleanTable[[#This Row],[Unit Price]] - SalesCleanTable[[#This Row],[Unit Cost]]) / SalesCleanTable[[#This Row],[Unit Price]]</f>
        <v>0.25</v>
      </c>
    </row>
    <row r="721" spans="1:31">
      <c r="A721" t="s">
        <v>907</v>
      </c>
      <c r="B721" s="6">
        <v>45775</v>
      </c>
      <c r="C721" t="s">
        <v>107</v>
      </c>
      <c r="D721" t="s">
        <v>108</v>
      </c>
      <c r="E721" t="s">
        <v>109</v>
      </c>
      <c r="F721" t="s">
        <v>110</v>
      </c>
      <c r="G721" t="s">
        <v>111</v>
      </c>
      <c r="H721" t="s">
        <v>153</v>
      </c>
      <c r="I721" t="s">
        <v>154</v>
      </c>
      <c r="J721" t="s">
        <v>155</v>
      </c>
      <c r="K721" t="s">
        <v>131</v>
      </c>
      <c r="L721" t="s">
        <v>166</v>
      </c>
      <c r="M721" t="s">
        <v>186</v>
      </c>
      <c r="N721">
        <v>1</v>
      </c>
      <c r="O721" s="4">
        <v>5200</v>
      </c>
      <c r="P721" s="4">
        <v>7000</v>
      </c>
      <c r="Q721" s="7">
        <v>0.2</v>
      </c>
      <c r="R721" t="s">
        <v>220</v>
      </c>
      <c r="S721">
        <v>10</v>
      </c>
      <c r="T721">
        <v>7000</v>
      </c>
      <c r="U721">
        <v>1400</v>
      </c>
      <c r="V721">
        <v>5600</v>
      </c>
      <c r="W721">
        <v>5200</v>
      </c>
      <c r="X721">
        <v>400</v>
      </c>
      <c r="Y721" s="8">
        <v>7.1428571428571425E-2</v>
      </c>
      <c r="Z721" t="s">
        <v>2997</v>
      </c>
      <c r="AA721" t="str">
        <f>IF(AND(SalesCleanTable[[#This Row],[Discount %]]&gt;0, SalesCleanTable[[#This Row],[Profit]]&lt;0), "Discount loss", "Safe")</f>
        <v>Safe</v>
      </c>
      <c r="AB721" s="25">
        <f>(SalesCleanTable[[#This Row],[Unit Price]] - SalesCleanTable[[#This Row],[Unit Cost]]) / SalesCleanTable[[#This Row],[Unit Price]]</f>
        <v>0.25714285714285712</v>
      </c>
      <c r="AC721" t="str">
        <f>IF(SalesCleanTable[[#This Row],[Discount %]] &gt; SalesCleanTable[[#This Row],[Max Allowed Discount]], "Discount loss", "Safe")</f>
        <v>Safe</v>
      </c>
      <c r="AD721" s="4">
        <f>SalesCleanTable[[#This Row],[Unit Price]] - SalesCleanTable[[#This Row],[Unit Cost]]</f>
        <v>1800</v>
      </c>
      <c r="AE721" s="41">
        <f>(SalesCleanTable[[#This Row],[Unit Price]] - SalesCleanTable[[#This Row],[Unit Cost]]) / SalesCleanTable[[#This Row],[Unit Price]]</f>
        <v>0.25714285714285712</v>
      </c>
    </row>
    <row r="722" spans="1:31">
      <c r="A722" t="s">
        <v>908</v>
      </c>
      <c r="B722" s="6">
        <v>45703</v>
      </c>
      <c r="C722" t="s">
        <v>116</v>
      </c>
      <c r="D722" t="s">
        <v>117</v>
      </c>
      <c r="E722" t="s">
        <v>109</v>
      </c>
      <c r="F722" t="s">
        <v>118</v>
      </c>
      <c r="G722" t="s">
        <v>119</v>
      </c>
      <c r="H722" t="s">
        <v>133</v>
      </c>
      <c r="I722" t="s">
        <v>134</v>
      </c>
      <c r="J722" t="s">
        <v>130</v>
      </c>
      <c r="K722" t="s">
        <v>131</v>
      </c>
      <c r="L722" t="s">
        <v>166</v>
      </c>
      <c r="M722" t="s">
        <v>171</v>
      </c>
      <c r="N722">
        <v>3</v>
      </c>
      <c r="O722" s="4">
        <v>2800</v>
      </c>
      <c r="P722" s="4">
        <v>4200</v>
      </c>
      <c r="Q722" s="7">
        <v>0</v>
      </c>
      <c r="R722" t="s">
        <v>220</v>
      </c>
      <c r="S722">
        <v>14</v>
      </c>
      <c r="T722">
        <v>12600</v>
      </c>
      <c r="U722">
        <v>0</v>
      </c>
      <c r="V722">
        <v>12600</v>
      </c>
      <c r="W722">
        <v>8400</v>
      </c>
      <c r="X722">
        <v>4200</v>
      </c>
      <c r="Y722" s="8">
        <v>0.33333333333333331</v>
      </c>
      <c r="Z722" t="s">
        <v>2995</v>
      </c>
      <c r="AA722" t="str">
        <f>IF(AND(SalesCleanTable[[#This Row],[Discount %]]&gt;0, SalesCleanTable[[#This Row],[Profit]]&lt;0), "Discount loss", "Safe")</f>
        <v>Safe</v>
      </c>
      <c r="AB722" s="25">
        <f>(SalesCleanTable[[#This Row],[Unit Price]] - SalesCleanTable[[#This Row],[Unit Cost]]) / SalesCleanTable[[#This Row],[Unit Price]]</f>
        <v>0.33333333333333331</v>
      </c>
      <c r="AC722" t="str">
        <f>IF(SalesCleanTable[[#This Row],[Discount %]] &gt; SalesCleanTable[[#This Row],[Max Allowed Discount]], "Discount loss", "Safe")</f>
        <v>Safe</v>
      </c>
      <c r="AD722" s="4">
        <f>SalesCleanTable[[#This Row],[Unit Price]] - SalesCleanTable[[#This Row],[Unit Cost]]</f>
        <v>1400</v>
      </c>
      <c r="AE722" s="41">
        <f>(SalesCleanTable[[#This Row],[Unit Price]] - SalesCleanTable[[#This Row],[Unit Cost]]) / SalesCleanTable[[#This Row],[Unit Price]]</f>
        <v>0.33333333333333331</v>
      </c>
    </row>
    <row r="723" spans="1:31">
      <c r="A723" t="s">
        <v>909</v>
      </c>
      <c r="B723" s="6">
        <v>45718</v>
      </c>
      <c r="C723" t="s">
        <v>41</v>
      </c>
      <c r="D723" t="s">
        <v>42</v>
      </c>
      <c r="E723" t="s">
        <v>26</v>
      </c>
      <c r="F723" t="s">
        <v>43</v>
      </c>
      <c r="G723" t="s">
        <v>44</v>
      </c>
      <c r="H723" t="s">
        <v>133</v>
      </c>
      <c r="I723" t="s">
        <v>134</v>
      </c>
      <c r="J723" t="s">
        <v>130</v>
      </c>
      <c r="K723" t="s">
        <v>131</v>
      </c>
      <c r="L723" t="s">
        <v>166</v>
      </c>
      <c r="M723" t="s">
        <v>171</v>
      </c>
      <c r="N723">
        <v>8</v>
      </c>
      <c r="O723" s="4">
        <v>850</v>
      </c>
      <c r="P723" s="4">
        <v>1300</v>
      </c>
      <c r="Q723" s="7">
        <v>0.15</v>
      </c>
      <c r="R723" t="s">
        <v>194</v>
      </c>
      <c r="S723">
        <v>3</v>
      </c>
      <c r="T723">
        <v>10400</v>
      </c>
      <c r="U723">
        <v>1560</v>
      </c>
      <c r="V723">
        <v>8840</v>
      </c>
      <c r="W723">
        <v>6800</v>
      </c>
      <c r="X723">
        <v>2040</v>
      </c>
      <c r="Y723" s="8">
        <v>0.23076923076923078</v>
      </c>
      <c r="Z723" t="s">
        <v>2995</v>
      </c>
      <c r="AA723" t="str">
        <f>IF(AND(SalesCleanTable[[#This Row],[Discount %]]&gt;0, SalesCleanTable[[#This Row],[Profit]]&lt;0), "Discount loss", "Safe")</f>
        <v>Safe</v>
      </c>
      <c r="AB723" s="25">
        <f>(SalesCleanTable[[#This Row],[Unit Price]] - SalesCleanTable[[#This Row],[Unit Cost]]) / SalesCleanTable[[#This Row],[Unit Price]]</f>
        <v>0.34615384615384615</v>
      </c>
      <c r="AC723" t="str">
        <f>IF(SalesCleanTable[[#This Row],[Discount %]] &gt; SalesCleanTable[[#This Row],[Max Allowed Discount]], "Discount loss", "Safe")</f>
        <v>Safe</v>
      </c>
      <c r="AD723" s="4">
        <f>SalesCleanTable[[#This Row],[Unit Price]] - SalesCleanTable[[#This Row],[Unit Cost]]</f>
        <v>450</v>
      </c>
      <c r="AE723" s="41">
        <f>(SalesCleanTable[[#This Row],[Unit Price]] - SalesCleanTable[[#This Row],[Unit Cost]]) / SalesCleanTable[[#This Row],[Unit Price]]</f>
        <v>0.34615384615384615</v>
      </c>
    </row>
    <row r="724" spans="1:31">
      <c r="A724" t="s">
        <v>910</v>
      </c>
      <c r="B724" s="6">
        <v>45763</v>
      </c>
      <c r="C724" t="s">
        <v>66</v>
      </c>
      <c r="D724" t="s">
        <v>67</v>
      </c>
      <c r="E724" t="s">
        <v>59</v>
      </c>
      <c r="F724" t="s">
        <v>60</v>
      </c>
      <c r="G724" t="s">
        <v>68</v>
      </c>
      <c r="H724" t="s">
        <v>153</v>
      </c>
      <c r="I724" t="s">
        <v>154</v>
      </c>
      <c r="J724" t="s">
        <v>155</v>
      </c>
      <c r="K724" t="s">
        <v>131</v>
      </c>
      <c r="L724" t="s">
        <v>166</v>
      </c>
      <c r="M724" t="s">
        <v>186</v>
      </c>
      <c r="N724">
        <v>2</v>
      </c>
      <c r="O724" s="4">
        <v>2800</v>
      </c>
      <c r="P724" s="4">
        <v>3900</v>
      </c>
      <c r="Q724" s="7">
        <v>0.1</v>
      </c>
      <c r="R724" t="s">
        <v>192</v>
      </c>
      <c r="S724">
        <v>1</v>
      </c>
      <c r="T724">
        <v>7800</v>
      </c>
      <c r="U724">
        <v>780</v>
      </c>
      <c r="V724">
        <v>7020</v>
      </c>
      <c r="W724">
        <v>5600</v>
      </c>
      <c r="X724">
        <v>1420</v>
      </c>
      <c r="Y724" s="8">
        <v>0.20227920227920229</v>
      </c>
      <c r="Z724" t="s">
        <v>2996</v>
      </c>
      <c r="AA724" t="str">
        <f>IF(AND(SalesCleanTable[[#This Row],[Discount %]]&gt;0, SalesCleanTable[[#This Row],[Profit]]&lt;0), "Discount loss", "Safe")</f>
        <v>Safe</v>
      </c>
      <c r="AB724" s="25">
        <f>(SalesCleanTable[[#This Row],[Unit Price]] - SalesCleanTable[[#This Row],[Unit Cost]]) / SalesCleanTable[[#This Row],[Unit Price]]</f>
        <v>0.28205128205128205</v>
      </c>
      <c r="AC724" t="str">
        <f>IF(SalesCleanTable[[#This Row],[Discount %]] &gt; SalesCleanTable[[#This Row],[Max Allowed Discount]], "Discount loss", "Safe")</f>
        <v>Safe</v>
      </c>
      <c r="AD724" s="4">
        <f>SalesCleanTable[[#This Row],[Unit Price]] - SalesCleanTable[[#This Row],[Unit Cost]]</f>
        <v>1100</v>
      </c>
      <c r="AE724" s="41">
        <f>(SalesCleanTable[[#This Row],[Unit Price]] - SalesCleanTable[[#This Row],[Unit Cost]]) / SalesCleanTable[[#This Row],[Unit Price]]</f>
        <v>0.28205128205128205</v>
      </c>
    </row>
    <row r="725" spans="1:31">
      <c r="A725" t="s">
        <v>911</v>
      </c>
      <c r="B725" s="6">
        <v>45792</v>
      </c>
      <c r="C725" t="s">
        <v>41</v>
      </c>
      <c r="D725" t="s">
        <v>42</v>
      </c>
      <c r="E725" t="s">
        <v>26</v>
      </c>
      <c r="F725" t="s">
        <v>43</v>
      </c>
      <c r="G725" t="s">
        <v>44</v>
      </c>
      <c r="H725" t="s">
        <v>139</v>
      </c>
      <c r="I725" t="s">
        <v>140</v>
      </c>
      <c r="J725" t="s">
        <v>137</v>
      </c>
      <c r="K725" t="s">
        <v>138</v>
      </c>
      <c r="L725" t="s">
        <v>183</v>
      </c>
      <c r="M725" t="s">
        <v>177</v>
      </c>
      <c r="N725">
        <v>2</v>
      </c>
      <c r="O725" s="4">
        <v>850</v>
      </c>
      <c r="P725" s="4">
        <v>1300</v>
      </c>
      <c r="Q725" s="7">
        <v>0.1</v>
      </c>
      <c r="R725" t="s">
        <v>194</v>
      </c>
      <c r="S725">
        <v>3</v>
      </c>
      <c r="T725">
        <v>2600</v>
      </c>
      <c r="U725">
        <v>260</v>
      </c>
      <c r="V725">
        <v>2340</v>
      </c>
      <c r="W725">
        <v>1700</v>
      </c>
      <c r="X725">
        <v>640</v>
      </c>
      <c r="Y725" s="8">
        <v>0.27350427350427353</v>
      </c>
      <c r="Z725" t="s">
        <v>2995</v>
      </c>
      <c r="AA725" t="str">
        <f>IF(AND(SalesCleanTable[[#This Row],[Discount %]]&gt;0, SalesCleanTable[[#This Row],[Profit]]&lt;0), "Discount loss", "Safe")</f>
        <v>Safe</v>
      </c>
      <c r="AB725" s="25">
        <f>(SalesCleanTable[[#This Row],[Unit Price]] - SalesCleanTable[[#This Row],[Unit Cost]]) / SalesCleanTable[[#This Row],[Unit Price]]</f>
        <v>0.34615384615384615</v>
      </c>
      <c r="AC725" t="str">
        <f>IF(SalesCleanTable[[#This Row],[Discount %]] &gt; SalesCleanTable[[#This Row],[Max Allowed Discount]], "Discount loss", "Safe")</f>
        <v>Safe</v>
      </c>
      <c r="AD725" s="4">
        <f>SalesCleanTable[[#This Row],[Unit Price]] - SalesCleanTable[[#This Row],[Unit Cost]]</f>
        <v>450</v>
      </c>
      <c r="AE725" s="41">
        <f>(SalesCleanTable[[#This Row],[Unit Price]] - SalesCleanTable[[#This Row],[Unit Cost]]) / SalesCleanTable[[#This Row],[Unit Price]]</f>
        <v>0.34615384615384615</v>
      </c>
    </row>
    <row r="726" spans="1:31">
      <c r="A726" t="s">
        <v>912</v>
      </c>
      <c r="B726" s="6">
        <v>46012</v>
      </c>
      <c r="C726" t="s">
        <v>49</v>
      </c>
      <c r="D726" t="s">
        <v>50</v>
      </c>
      <c r="E726" t="s">
        <v>38</v>
      </c>
      <c r="F726" t="s">
        <v>51</v>
      </c>
      <c r="G726" t="s">
        <v>52</v>
      </c>
      <c r="H726" t="s">
        <v>133</v>
      </c>
      <c r="I726" t="s">
        <v>134</v>
      </c>
      <c r="J726" t="s">
        <v>130</v>
      </c>
      <c r="K726" t="s">
        <v>131</v>
      </c>
      <c r="L726" t="s">
        <v>183</v>
      </c>
      <c r="M726" t="s">
        <v>177</v>
      </c>
      <c r="N726">
        <v>2</v>
      </c>
      <c r="O726" s="4">
        <v>550</v>
      </c>
      <c r="P726" s="4">
        <v>850</v>
      </c>
      <c r="Q726" s="7">
        <v>0.05</v>
      </c>
      <c r="R726" t="s">
        <v>168</v>
      </c>
      <c r="S726">
        <v>1</v>
      </c>
      <c r="T726">
        <v>1700</v>
      </c>
      <c r="U726">
        <v>85</v>
      </c>
      <c r="V726">
        <v>1615</v>
      </c>
      <c r="W726">
        <v>1100</v>
      </c>
      <c r="X726">
        <v>515</v>
      </c>
      <c r="Y726" s="8">
        <v>0.31888544891640869</v>
      </c>
      <c r="Z726" t="s">
        <v>2996</v>
      </c>
      <c r="AA726" t="str">
        <f>IF(AND(SalesCleanTable[[#This Row],[Discount %]]&gt;0, SalesCleanTable[[#This Row],[Profit]]&lt;0), "Discount loss", "Safe")</f>
        <v>Safe</v>
      </c>
      <c r="AB726" s="25">
        <f>(SalesCleanTable[[#This Row],[Unit Price]] - SalesCleanTable[[#This Row],[Unit Cost]]) / SalesCleanTable[[#This Row],[Unit Price]]</f>
        <v>0.35294117647058826</v>
      </c>
      <c r="AC726" t="str">
        <f>IF(SalesCleanTable[[#This Row],[Discount %]] &gt; SalesCleanTable[[#This Row],[Max Allowed Discount]], "Discount loss", "Safe")</f>
        <v>Safe</v>
      </c>
      <c r="AD726" s="4">
        <f>SalesCleanTable[[#This Row],[Unit Price]] - SalesCleanTable[[#This Row],[Unit Cost]]</f>
        <v>300</v>
      </c>
      <c r="AE726" s="41">
        <f>(SalesCleanTable[[#This Row],[Unit Price]] - SalesCleanTable[[#This Row],[Unit Cost]]) / SalesCleanTable[[#This Row],[Unit Price]]</f>
        <v>0.35294117647058826</v>
      </c>
    </row>
    <row r="727" spans="1:31">
      <c r="A727" t="s">
        <v>913</v>
      </c>
      <c r="B727" s="6">
        <v>45778</v>
      </c>
      <c r="C727" t="s">
        <v>53</v>
      </c>
      <c r="D727" t="s">
        <v>54</v>
      </c>
      <c r="E727" t="s">
        <v>38</v>
      </c>
      <c r="F727" t="s">
        <v>55</v>
      </c>
      <c r="G727" t="s">
        <v>56</v>
      </c>
      <c r="H727" t="s">
        <v>135</v>
      </c>
      <c r="I727" t="s">
        <v>136</v>
      </c>
      <c r="J727" t="s">
        <v>137</v>
      </c>
      <c r="K727" t="s">
        <v>138</v>
      </c>
      <c r="L727" t="s">
        <v>183</v>
      </c>
      <c r="M727" t="s">
        <v>171</v>
      </c>
      <c r="N727">
        <v>3</v>
      </c>
      <c r="O727" s="4">
        <v>330</v>
      </c>
      <c r="P727" s="4">
        <v>550</v>
      </c>
      <c r="Q727" s="7">
        <v>0.1</v>
      </c>
      <c r="R727" t="s">
        <v>178</v>
      </c>
      <c r="S727">
        <v>1</v>
      </c>
      <c r="T727">
        <v>1650</v>
      </c>
      <c r="U727">
        <v>165</v>
      </c>
      <c r="V727">
        <v>1485</v>
      </c>
      <c r="W727">
        <v>990</v>
      </c>
      <c r="X727">
        <v>495</v>
      </c>
      <c r="Y727" s="8">
        <v>0.33333333333333331</v>
      </c>
      <c r="Z727" t="s">
        <v>2996</v>
      </c>
      <c r="AA727" t="str">
        <f>IF(AND(SalesCleanTable[[#This Row],[Discount %]]&gt;0, SalesCleanTable[[#This Row],[Profit]]&lt;0), "Discount loss", "Safe")</f>
        <v>Safe</v>
      </c>
      <c r="AB727" s="25">
        <f>(SalesCleanTable[[#This Row],[Unit Price]] - SalesCleanTable[[#This Row],[Unit Cost]]) / SalesCleanTable[[#This Row],[Unit Price]]</f>
        <v>0.4</v>
      </c>
      <c r="AC727" t="str">
        <f>IF(SalesCleanTable[[#This Row],[Discount %]] &gt; SalesCleanTable[[#This Row],[Max Allowed Discount]], "Discount loss", "Safe")</f>
        <v>Safe</v>
      </c>
      <c r="AD727" s="4">
        <f>SalesCleanTable[[#This Row],[Unit Price]] - SalesCleanTable[[#This Row],[Unit Cost]]</f>
        <v>220</v>
      </c>
      <c r="AE727" s="41">
        <f>(SalesCleanTable[[#This Row],[Unit Price]] - SalesCleanTable[[#This Row],[Unit Cost]]) / SalesCleanTable[[#This Row],[Unit Price]]</f>
        <v>0.4</v>
      </c>
    </row>
    <row r="728" spans="1:31">
      <c r="A728" t="s">
        <v>914</v>
      </c>
      <c r="B728" s="6">
        <v>45975</v>
      </c>
      <c r="C728" t="s">
        <v>49</v>
      </c>
      <c r="D728" t="s">
        <v>50</v>
      </c>
      <c r="E728" t="s">
        <v>38</v>
      </c>
      <c r="F728" t="s">
        <v>51</v>
      </c>
      <c r="G728" t="s">
        <v>52</v>
      </c>
      <c r="H728" t="s">
        <v>153</v>
      </c>
      <c r="I728" t="s">
        <v>154</v>
      </c>
      <c r="J728" t="s">
        <v>155</v>
      </c>
      <c r="K728" t="s">
        <v>131</v>
      </c>
      <c r="L728" t="s">
        <v>183</v>
      </c>
      <c r="M728" t="s">
        <v>177</v>
      </c>
      <c r="N728">
        <v>4</v>
      </c>
      <c r="O728" s="4">
        <v>550</v>
      </c>
      <c r="P728" s="4">
        <v>850</v>
      </c>
      <c r="Q728" s="7">
        <v>0</v>
      </c>
      <c r="R728" t="s">
        <v>178</v>
      </c>
      <c r="S728">
        <v>5</v>
      </c>
      <c r="T728">
        <v>3400</v>
      </c>
      <c r="U728">
        <v>0</v>
      </c>
      <c r="V728">
        <v>3400</v>
      </c>
      <c r="W728">
        <v>2200</v>
      </c>
      <c r="X728">
        <v>1200</v>
      </c>
      <c r="Y728" s="8">
        <v>0.35294117647058826</v>
      </c>
      <c r="Z728" t="s">
        <v>2996</v>
      </c>
      <c r="AA728" t="str">
        <f>IF(AND(SalesCleanTable[[#This Row],[Discount %]]&gt;0, SalesCleanTable[[#This Row],[Profit]]&lt;0), "Discount loss", "Safe")</f>
        <v>Safe</v>
      </c>
      <c r="AB728" s="25">
        <f>(SalesCleanTable[[#This Row],[Unit Price]] - SalesCleanTable[[#This Row],[Unit Cost]]) / SalesCleanTable[[#This Row],[Unit Price]]</f>
        <v>0.35294117647058826</v>
      </c>
      <c r="AC728" t="str">
        <f>IF(SalesCleanTable[[#This Row],[Discount %]] &gt; SalesCleanTable[[#This Row],[Max Allowed Discount]], "Discount loss", "Safe")</f>
        <v>Safe</v>
      </c>
      <c r="AD728" s="4">
        <f>SalesCleanTable[[#This Row],[Unit Price]] - SalesCleanTable[[#This Row],[Unit Cost]]</f>
        <v>300</v>
      </c>
      <c r="AE728" s="41">
        <f>(SalesCleanTable[[#This Row],[Unit Price]] - SalesCleanTable[[#This Row],[Unit Cost]]) / SalesCleanTable[[#This Row],[Unit Price]]</f>
        <v>0.35294117647058826</v>
      </c>
    </row>
    <row r="729" spans="1:31">
      <c r="A729" t="s">
        <v>915</v>
      </c>
      <c r="B729" s="6">
        <v>45910</v>
      </c>
      <c r="C729" t="s">
        <v>112</v>
      </c>
      <c r="D729" t="s">
        <v>113</v>
      </c>
      <c r="E729" t="s">
        <v>109</v>
      </c>
      <c r="F729" t="s">
        <v>114</v>
      </c>
      <c r="G729" t="s">
        <v>115</v>
      </c>
      <c r="H729" t="s">
        <v>149</v>
      </c>
      <c r="I729" t="s">
        <v>150</v>
      </c>
      <c r="J729" t="s">
        <v>151</v>
      </c>
      <c r="K729" t="s">
        <v>152</v>
      </c>
      <c r="L729" t="s">
        <v>166</v>
      </c>
      <c r="M729" t="s">
        <v>177</v>
      </c>
      <c r="N729">
        <v>1</v>
      </c>
      <c r="O729" s="4">
        <v>1300</v>
      </c>
      <c r="P729" s="4">
        <v>2100</v>
      </c>
      <c r="Q729" s="7">
        <v>0.05</v>
      </c>
      <c r="R729" t="s">
        <v>235</v>
      </c>
      <c r="S729">
        <v>6</v>
      </c>
      <c r="T729">
        <v>2100</v>
      </c>
      <c r="U729">
        <v>105</v>
      </c>
      <c r="V729">
        <v>1995</v>
      </c>
      <c r="W729">
        <v>1300</v>
      </c>
      <c r="X729">
        <v>695</v>
      </c>
      <c r="Y729" s="8">
        <v>0.34837092731829572</v>
      </c>
      <c r="Z729" t="s">
        <v>2995</v>
      </c>
      <c r="AA729" t="str">
        <f>IF(AND(SalesCleanTable[[#This Row],[Discount %]]&gt;0, SalesCleanTable[[#This Row],[Profit]]&lt;0), "Discount loss", "Safe")</f>
        <v>Safe</v>
      </c>
      <c r="AB729" s="25">
        <f>(SalesCleanTable[[#This Row],[Unit Price]] - SalesCleanTable[[#This Row],[Unit Cost]]) / SalesCleanTable[[#This Row],[Unit Price]]</f>
        <v>0.38095238095238093</v>
      </c>
      <c r="AC729" t="str">
        <f>IF(SalesCleanTable[[#This Row],[Discount %]] &gt; SalesCleanTable[[#This Row],[Max Allowed Discount]], "Discount loss", "Safe")</f>
        <v>Safe</v>
      </c>
      <c r="AD729" s="4">
        <f>SalesCleanTable[[#This Row],[Unit Price]] - SalesCleanTable[[#This Row],[Unit Cost]]</f>
        <v>800</v>
      </c>
      <c r="AE729" s="41">
        <f>(SalesCleanTable[[#This Row],[Unit Price]] - SalesCleanTable[[#This Row],[Unit Cost]]) / SalesCleanTable[[#This Row],[Unit Price]]</f>
        <v>0.38095238095238093</v>
      </c>
    </row>
    <row r="730" spans="1:31">
      <c r="A730" t="s">
        <v>916</v>
      </c>
      <c r="B730" s="6">
        <v>45723</v>
      </c>
      <c r="C730" t="s">
        <v>53</v>
      </c>
      <c r="D730" t="s">
        <v>54</v>
      </c>
      <c r="E730" t="s">
        <v>38</v>
      </c>
      <c r="F730" t="s">
        <v>55</v>
      </c>
      <c r="G730" t="s">
        <v>56</v>
      </c>
      <c r="H730" t="s">
        <v>153</v>
      </c>
      <c r="I730" t="s">
        <v>154</v>
      </c>
      <c r="J730" t="s">
        <v>155</v>
      </c>
      <c r="K730" t="s">
        <v>131</v>
      </c>
      <c r="L730" t="s">
        <v>166</v>
      </c>
      <c r="M730" t="s">
        <v>171</v>
      </c>
      <c r="N730">
        <v>2</v>
      </c>
      <c r="O730" s="4">
        <v>330</v>
      </c>
      <c r="P730" s="4">
        <v>550</v>
      </c>
      <c r="Q730" s="7">
        <v>0.05</v>
      </c>
      <c r="R730" t="s">
        <v>175</v>
      </c>
      <c r="S730">
        <v>10</v>
      </c>
      <c r="T730">
        <v>1100</v>
      </c>
      <c r="U730">
        <v>55</v>
      </c>
      <c r="V730">
        <v>1045</v>
      </c>
      <c r="W730">
        <v>660</v>
      </c>
      <c r="X730">
        <v>385</v>
      </c>
      <c r="Y730" s="8">
        <v>0.36842105263157893</v>
      </c>
      <c r="Z730" t="s">
        <v>2996</v>
      </c>
      <c r="AA730" t="str">
        <f>IF(AND(SalesCleanTable[[#This Row],[Discount %]]&gt;0, SalesCleanTable[[#This Row],[Profit]]&lt;0), "Discount loss", "Safe")</f>
        <v>Safe</v>
      </c>
      <c r="AB730" s="25">
        <f>(SalesCleanTable[[#This Row],[Unit Price]] - SalesCleanTable[[#This Row],[Unit Cost]]) / SalesCleanTable[[#This Row],[Unit Price]]</f>
        <v>0.4</v>
      </c>
      <c r="AC730" t="str">
        <f>IF(SalesCleanTable[[#This Row],[Discount %]] &gt; SalesCleanTable[[#This Row],[Max Allowed Discount]], "Discount loss", "Safe")</f>
        <v>Safe</v>
      </c>
      <c r="AD730" s="4">
        <f>SalesCleanTable[[#This Row],[Unit Price]] - SalesCleanTable[[#This Row],[Unit Cost]]</f>
        <v>220</v>
      </c>
      <c r="AE730" s="41">
        <f>(SalesCleanTable[[#This Row],[Unit Price]] - SalesCleanTable[[#This Row],[Unit Cost]]) / SalesCleanTable[[#This Row],[Unit Price]]</f>
        <v>0.4</v>
      </c>
    </row>
    <row r="731" spans="1:31">
      <c r="A731" t="s">
        <v>917</v>
      </c>
      <c r="B731" s="6">
        <v>45793</v>
      </c>
      <c r="C731" t="s">
        <v>57</v>
      </c>
      <c r="D731" t="s">
        <v>58</v>
      </c>
      <c r="E731" t="s">
        <v>59</v>
      </c>
      <c r="F731" t="s">
        <v>60</v>
      </c>
      <c r="G731" t="s">
        <v>61</v>
      </c>
      <c r="H731" t="s">
        <v>135</v>
      </c>
      <c r="I731" t="s">
        <v>136</v>
      </c>
      <c r="J731" t="s">
        <v>137</v>
      </c>
      <c r="K731" t="s">
        <v>138</v>
      </c>
      <c r="L731" t="s">
        <v>166</v>
      </c>
      <c r="M731" t="s">
        <v>171</v>
      </c>
      <c r="N731">
        <v>1</v>
      </c>
      <c r="O731" s="4">
        <v>2400</v>
      </c>
      <c r="P731" s="4">
        <v>3400</v>
      </c>
      <c r="Q731" s="7">
        <v>0.1</v>
      </c>
      <c r="R731" t="s">
        <v>173</v>
      </c>
      <c r="S731">
        <v>14</v>
      </c>
      <c r="T731">
        <v>3400</v>
      </c>
      <c r="U731">
        <v>340</v>
      </c>
      <c r="V731">
        <v>3060</v>
      </c>
      <c r="W731">
        <v>2400</v>
      </c>
      <c r="X731">
        <v>660</v>
      </c>
      <c r="Y731" s="8">
        <v>0.21568627450980393</v>
      </c>
      <c r="Z731" t="s">
        <v>2996</v>
      </c>
      <c r="AA731" t="str">
        <f>IF(AND(SalesCleanTable[[#This Row],[Discount %]]&gt;0, SalesCleanTable[[#This Row],[Profit]]&lt;0), "Discount loss", "Safe")</f>
        <v>Safe</v>
      </c>
      <c r="AB731" s="25">
        <f>(SalesCleanTable[[#This Row],[Unit Price]] - SalesCleanTable[[#This Row],[Unit Cost]]) / SalesCleanTable[[#This Row],[Unit Price]]</f>
        <v>0.29411764705882354</v>
      </c>
      <c r="AC731" t="str">
        <f>IF(SalesCleanTable[[#This Row],[Discount %]] &gt; SalesCleanTable[[#This Row],[Max Allowed Discount]], "Discount loss", "Safe")</f>
        <v>Safe</v>
      </c>
      <c r="AD731" s="4">
        <f>SalesCleanTable[[#This Row],[Unit Price]] - SalesCleanTable[[#This Row],[Unit Cost]]</f>
        <v>1000</v>
      </c>
      <c r="AE731" s="41">
        <f>(SalesCleanTable[[#This Row],[Unit Price]] - SalesCleanTable[[#This Row],[Unit Cost]]) / SalesCleanTable[[#This Row],[Unit Price]]</f>
        <v>0.29411764705882354</v>
      </c>
    </row>
    <row r="732" spans="1:31">
      <c r="A732" t="s">
        <v>918</v>
      </c>
      <c r="B732" s="6">
        <v>45983</v>
      </c>
      <c r="C732" t="s">
        <v>95</v>
      </c>
      <c r="D732" t="s">
        <v>96</v>
      </c>
      <c r="E732" t="s">
        <v>92</v>
      </c>
      <c r="F732" t="s">
        <v>97</v>
      </c>
      <c r="G732" t="s">
        <v>98</v>
      </c>
      <c r="H732" t="s">
        <v>128</v>
      </c>
      <c r="I732" t="s">
        <v>129</v>
      </c>
      <c r="J732" t="s">
        <v>130</v>
      </c>
      <c r="K732" t="s">
        <v>131</v>
      </c>
      <c r="L732" t="s">
        <v>166</v>
      </c>
      <c r="M732" t="s">
        <v>167</v>
      </c>
      <c r="N732">
        <v>1</v>
      </c>
      <c r="O732" s="4">
        <v>18000</v>
      </c>
      <c r="P732" s="4">
        <v>24500</v>
      </c>
      <c r="Q732" s="7">
        <v>0</v>
      </c>
      <c r="R732" t="s">
        <v>215</v>
      </c>
      <c r="S732">
        <v>8</v>
      </c>
      <c r="T732">
        <v>24500</v>
      </c>
      <c r="U732">
        <v>0</v>
      </c>
      <c r="V732">
        <v>24500</v>
      </c>
      <c r="W732">
        <v>18000</v>
      </c>
      <c r="X732">
        <v>6500</v>
      </c>
      <c r="Y732" s="8">
        <v>0.26530612244897961</v>
      </c>
      <c r="Z732" t="s">
        <v>2995</v>
      </c>
      <c r="AA732" t="str">
        <f>IF(AND(SalesCleanTable[[#This Row],[Discount %]]&gt;0, SalesCleanTable[[#This Row],[Profit]]&lt;0), "Discount loss", "Safe")</f>
        <v>Safe</v>
      </c>
      <c r="AB732" s="25">
        <f>(SalesCleanTable[[#This Row],[Unit Price]] - SalesCleanTable[[#This Row],[Unit Cost]]) / SalesCleanTable[[#This Row],[Unit Price]]</f>
        <v>0.26530612244897961</v>
      </c>
      <c r="AC732" t="str">
        <f>IF(SalesCleanTable[[#This Row],[Discount %]] &gt; SalesCleanTable[[#This Row],[Max Allowed Discount]], "Discount loss", "Safe")</f>
        <v>Safe</v>
      </c>
      <c r="AD732" s="4">
        <f>SalesCleanTable[[#This Row],[Unit Price]] - SalesCleanTable[[#This Row],[Unit Cost]]</f>
        <v>6500</v>
      </c>
      <c r="AE732" s="41">
        <f>(SalesCleanTable[[#This Row],[Unit Price]] - SalesCleanTable[[#This Row],[Unit Cost]]) / SalesCleanTable[[#This Row],[Unit Price]]</f>
        <v>0.26530612244897961</v>
      </c>
    </row>
    <row r="733" spans="1:31">
      <c r="A733" t="s">
        <v>919</v>
      </c>
      <c r="B733" s="6">
        <v>45911</v>
      </c>
      <c r="C733" t="s">
        <v>24</v>
      </c>
      <c r="D733" t="s">
        <v>25</v>
      </c>
      <c r="E733" t="s">
        <v>26</v>
      </c>
      <c r="F733" t="s">
        <v>27</v>
      </c>
      <c r="G733" t="s">
        <v>28</v>
      </c>
      <c r="H733" t="s">
        <v>135</v>
      </c>
      <c r="I733" t="s">
        <v>136</v>
      </c>
      <c r="J733" t="s">
        <v>137</v>
      </c>
      <c r="K733" t="s">
        <v>138</v>
      </c>
      <c r="L733" t="s">
        <v>166</v>
      </c>
      <c r="M733" t="s">
        <v>171</v>
      </c>
      <c r="N733">
        <v>4</v>
      </c>
      <c r="O733" s="4">
        <v>14500</v>
      </c>
      <c r="P733" s="4">
        <v>17500</v>
      </c>
      <c r="Q733" s="7">
        <v>0.05</v>
      </c>
      <c r="R733" t="s">
        <v>197</v>
      </c>
      <c r="S733">
        <v>2</v>
      </c>
      <c r="T733">
        <v>70000</v>
      </c>
      <c r="U733">
        <v>3500</v>
      </c>
      <c r="V733">
        <v>66500</v>
      </c>
      <c r="W733">
        <v>58000</v>
      </c>
      <c r="X733">
        <v>8500</v>
      </c>
      <c r="Y733" s="8">
        <v>0.12781954887218044</v>
      </c>
      <c r="Z733" t="s">
        <v>2995</v>
      </c>
      <c r="AA733" t="str">
        <f>IF(AND(SalesCleanTable[[#This Row],[Discount %]]&gt;0, SalesCleanTable[[#This Row],[Profit]]&lt;0), "Discount loss", "Safe")</f>
        <v>Safe</v>
      </c>
      <c r="AB733" s="25">
        <f>(SalesCleanTable[[#This Row],[Unit Price]] - SalesCleanTable[[#This Row],[Unit Cost]]) / SalesCleanTable[[#This Row],[Unit Price]]</f>
        <v>0.17142857142857143</v>
      </c>
      <c r="AC733" t="str">
        <f>IF(SalesCleanTable[[#This Row],[Discount %]] &gt; SalesCleanTable[[#This Row],[Max Allowed Discount]], "Discount loss", "Safe")</f>
        <v>Safe</v>
      </c>
      <c r="AD733" s="4">
        <f>SalesCleanTable[[#This Row],[Unit Price]] - SalesCleanTable[[#This Row],[Unit Cost]]</f>
        <v>3000</v>
      </c>
      <c r="AE733" s="41">
        <f>(SalesCleanTable[[#This Row],[Unit Price]] - SalesCleanTable[[#This Row],[Unit Cost]]) / SalesCleanTable[[#This Row],[Unit Price]]</f>
        <v>0.17142857142857143</v>
      </c>
    </row>
    <row r="734" spans="1:31">
      <c r="A734" t="s">
        <v>920</v>
      </c>
      <c r="B734" s="6">
        <v>45762</v>
      </c>
      <c r="C734" t="s">
        <v>103</v>
      </c>
      <c r="D734" t="s">
        <v>104</v>
      </c>
      <c r="E734" t="s">
        <v>92</v>
      </c>
      <c r="F734" t="s">
        <v>105</v>
      </c>
      <c r="G734" t="s">
        <v>106</v>
      </c>
      <c r="H734" t="s">
        <v>133</v>
      </c>
      <c r="I734" t="s">
        <v>134</v>
      </c>
      <c r="J734" t="s">
        <v>130</v>
      </c>
      <c r="K734" t="s">
        <v>131</v>
      </c>
      <c r="L734" t="s">
        <v>166</v>
      </c>
      <c r="M734" t="s">
        <v>171</v>
      </c>
      <c r="N734">
        <v>1</v>
      </c>
      <c r="O734" s="4">
        <v>1500</v>
      </c>
      <c r="P734" s="4">
        <v>2500</v>
      </c>
      <c r="Q734" s="7">
        <v>0.05</v>
      </c>
      <c r="R734" t="s">
        <v>215</v>
      </c>
      <c r="S734">
        <v>4</v>
      </c>
      <c r="T734">
        <v>2500</v>
      </c>
      <c r="U734">
        <v>125</v>
      </c>
      <c r="V734">
        <v>2375</v>
      </c>
      <c r="W734">
        <v>1500</v>
      </c>
      <c r="X734">
        <v>875</v>
      </c>
      <c r="Y734" s="8">
        <v>0.36842105263157893</v>
      </c>
      <c r="Z734" t="s">
        <v>2996</v>
      </c>
      <c r="AA734" t="str">
        <f>IF(AND(SalesCleanTable[[#This Row],[Discount %]]&gt;0, SalesCleanTable[[#This Row],[Profit]]&lt;0), "Discount loss", "Safe")</f>
        <v>Safe</v>
      </c>
      <c r="AB734" s="25">
        <f>(SalesCleanTable[[#This Row],[Unit Price]] - SalesCleanTable[[#This Row],[Unit Cost]]) / SalesCleanTable[[#This Row],[Unit Price]]</f>
        <v>0.4</v>
      </c>
      <c r="AC734" t="str">
        <f>IF(SalesCleanTable[[#This Row],[Discount %]] &gt; SalesCleanTable[[#This Row],[Max Allowed Discount]], "Discount loss", "Safe")</f>
        <v>Safe</v>
      </c>
      <c r="AD734" s="4">
        <f>SalesCleanTable[[#This Row],[Unit Price]] - SalesCleanTable[[#This Row],[Unit Cost]]</f>
        <v>1000</v>
      </c>
      <c r="AE734" s="41">
        <f>(SalesCleanTable[[#This Row],[Unit Price]] - SalesCleanTable[[#This Row],[Unit Cost]]) / SalesCleanTable[[#This Row],[Unit Price]]</f>
        <v>0.4</v>
      </c>
    </row>
    <row r="735" spans="1:31">
      <c r="A735" t="s">
        <v>921</v>
      </c>
      <c r="B735" s="6">
        <v>45660</v>
      </c>
      <c r="C735" t="s">
        <v>57</v>
      </c>
      <c r="D735" t="s">
        <v>58</v>
      </c>
      <c r="E735" t="s">
        <v>59</v>
      </c>
      <c r="F735" t="s">
        <v>60</v>
      </c>
      <c r="G735" t="s">
        <v>61</v>
      </c>
      <c r="H735" t="s">
        <v>139</v>
      </c>
      <c r="I735" t="s">
        <v>140</v>
      </c>
      <c r="J735" t="s">
        <v>137</v>
      </c>
      <c r="K735" t="s">
        <v>138</v>
      </c>
      <c r="L735" t="s">
        <v>183</v>
      </c>
      <c r="M735" t="s">
        <v>171</v>
      </c>
      <c r="N735">
        <v>2</v>
      </c>
      <c r="O735" s="4">
        <v>2400</v>
      </c>
      <c r="P735" s="4">
        <v>3400</v>
      </c>
      <c r="Q735" s="7">
        <v>0</v>
      </c>
      <c r="R735" t="s">
        <v>204</v>
      </c>
      <c r="S735">
        <v>1</v>
      </c>
      <c r="T735">
        <v>6800</v>
      </c>
      <c r="U735">
        <v>0</v>
      </c>
      <c r="V735">
        <v>6800</v>
      </c>
      <c r="W735">
        <v>4800</v>
      </c>
      <c r="X735">
        <v>2000</v>
      </c>
      <c r="Y735" s="8">
        <v>0.29411764705882354</v>
      </c>
      <c r="Z735" t="s">
        <v>2996</v>
      </c>
      <c r="AA735" t="str">
        <f>IF(AND(SalesCleanTable[[#This Row],[Discount %]]&gt;0, SalesCleanTable[[#This Row],[Profit]]&lt;0), "Discount loss", "Safe")</f>
        <v>Safe</v>
      </c>
      <c r="AB735" s="25">
        <f>(SalesCleanTable[[#This Row],[Unit Price]] - SalesCleanTable[[#This Row],[Unit Cost]]) / SalesCleanTable[[#This Row],[Unit Price]]</f>
        <v>0.29411764705882354</v>
      </c>
      <c r="AC735" t="str">
        <f>IF(SalesCleanTable[[#This Row],[Discount %]] &gt; SalesCleanTable[[#This Row],[Max Allowed Discount]], "Discount loss", "Safe")</f>
        <v>Safe</v>
      </c>
      <c r="AD735" s="4">
        <f>SalesCleanTable[[#This Row],[Unit Price]] - SalesCleanTable[[#This Row],[Unit Cost]]</f>
        <v>1000</v>
      </c>
      <c r="AE735" s="41">
        <f>(SalesCleanTable[[#This Row],[Unit Price]] - SalesCleanTable[[#This Row],[Unit Cost]]) / SalesCleanTable[[#This Row],[Unit Price]]</f>
        <v>0.29411764705882354</v>
      </c>
    </row>
    <row r="736" spans="1:31">
      <c r="A736" t="s">
        <v>922</v>
      </c>
      <c r="B736" s="6">
        <v>46006</v>
      </c>
      <c r="C736" t="s">
        <v>32</v>
      </c>
      <c r="D736" t="s">
        <v>33</v>
      </c>
      <c r="E736" t="s">
        <v>26</v>
      </c>
      <c r="F736" t="s">
        <v>34</v>
      </c>
      <c r="G736" t="s">
        <v>35</v>
      </c>
      <c r="H736" t="s">
        <v>135</v>
      </c>
      <c r="I736" t="s">
        <v>136</v>
      </c>
      <c r="J736" t="s">
        <v>137</v>
      </c>
      <c r="K736" t="s">
        <v>138</v>
      </c>
      <c r="L736" t="s">
        <v>166</v>
      </c>
      <c r="M736" t="s">
        <v>177</v>
      </c>
      <c r="N736">
        <v>8</v>
      </c>
      <c r="O736" s="4">
        <v>7800</v>
      </c>
      <c r="P736" s="4">
        <v>9800</v>
      </c>
      <c r="Q736" s="7">
        <v>0</v>
      </c>
      <c r="R736" t="s">
        <v>194</v>
      </c>
      <c r="S736">
        <v>14</v>
      </c>
      <c r="T736">
        <v>78400</v>
      </c>
      <c r="U736">
        <v>0</v>
      </c>
      <c r="V736">
        <v>78400</v>
      </c>
      <c r="W736">
        <v>62400</v>
      </c>
      <c r="X736">
        <v>16000</v>
      </c>
      <c r="Y736" s="8">
        <v>0.20408163265306123</v>
      </c>
      <c r="Z736" t="s">
        <v>2995</v>
      </c>
      <c r="AA736" t="str">
        <f>IF(AND(SalesCleanTable[[#This Row],[Discount %]]&gt;0, SalesCleanTable[[#This Row],[Profit]]&lt;0), "Discount loss", "Safe")</f>
        <v>Safe</v>
      </c>
      <c r="AB736" s="25">
        <f>(SalesCleanTable[[#This Row],[Unit Price]] - SalesCleanTable[[#This Row],[Unit Cost]]) / SalesCleanTable[[#This Row],[Unit Price]]</f>
        <v>0.20408163265306123</v>
      </c>
      <c r="AC736" t="str">
        <f>IF(SalesCleanTable[[#This Row],[Discount %]] &gt; SalesCleanTable[[#This Row],[Max Allowed Discount]], "Discount loss", "Safe")</f>
        <v>Safe</v>
      </c>
      <c r="AD736" s="4">
        <f>SalesCleanTable[[#This Row],[Unit Price]] - SalesCleanTable[[#This Row],[Unit Cost]]</f>
        <v>2000</v>
      </c>
      <c r="AE736" s="41">
        <f>(SalesCleanTable[[#This Row],[Unit Price]] - SalesCleanTable[[#This Row],[Unit Cost]]) / SalesCleanTable[[#This Row],[Unit Price]]</f>
        <v>0.20408163265306123</v>
      </c>
    </row>
    <row r="737" spans="1:31">
      <c r="A737" t="s">
        <v>923</v>
      </c>
      <c r="B737" s="6">
        <v>45903</v>
      </c>
      <c r="C737" t="s">
        <v>53</v>
      </c>
      <c r="D737" t="s">
        <v>54</v>
      </c>
      <c r="E737" t="s">
        <v>38</v>
      </c>
      <c r="F737" t="s">
        <v>55</v>
      </c>
      <c r="G737" t="s">
        <v>56</v>
      </c>
      <c r="H737" t="s">
        <v>153</v>
      </c>
      <c r="I737" t="s">
        <v>154</v>
      </c>
      <c r="J737" t="s">
        <v>155</v>
      </c>
      <c r="K737" t="s">
        <v>131</v>
      </c>
      <c r="L737" t="s">
        <v>170</v>
      </c>
      <c r="M737" t="s">
        <v>171</v>
      </c>
      <c r="N737">
        <v>3</v>
      </c>
      <c r="O737" s="4">
        <v>330</v>
      </c>
      <c r="P737" s="4">
        <v>550</v>
      </c>
      <c r="Q737" s="7">
        <v>0</v>
      </c>
      <c r="R737" t="s">
        <v>175</v>
      </c>
      <c r="S737">
        <v>6</v>
      </c>
      <c r="T737">
        <v>1650</v>
      </c>
      <c r="U737">
        <v>0</v>
      </c>
      <c r="V737">
        <v>1650</v>
      </c>
      <c r="W737">
        <v>990</v>
      </c>
      <c r="X737">
        <v>660</v>
      </c>
      <c r="Y737" s="8">
        <v>0.4</v>
      </c>
      <c r="Z737" t="s">
        <v>2996</v>
      </c>
      <c r="AA737" t="str">
        <f>IF(AND(SalesCleanTable[[#This Row],[Discount %]]&gt;0, SalesCleanTable[[#This Row],[Profit]]&lt;0), "Discount loss", "Safe")</f>
        <v>Safe</v>
      </c>
      <c r="AB737" s="25">
        <f>(SalesCleanTable[[#This Row],[Unit Price]] - SalesCleanTable[[#This Row],[Unit Cost]]) / SalesCleanTable[[#This Row],[Unit Price]]</f>
        <v>0.4</v>
      </c>
      <c r="AC737" t="str">
        <f>IF(SalesCleanTable[[#This Row],[Discount %]] &gt; SalesCleanTable[[#This Row],[Max Allowed Discount]], "Discount loss", "Safe")</f>
        <v>Safe</v>
      </c>
      <c r="AD737" s="4">
        <f>SalesCleanTable[[#This Row],[Unit Price]] - SalesCleanTable[[#This Row],[Unit Cost]]</f>
        <v>220</v>
      </c>
      <c r="AE737" s="41">
        <f>(SalesCleanTable[[#This Row],[Unit Price]] - SalesCleanTable[[#This Row],[Unit Cost]]) / SalesCleanTable[[#This Row],[Unit Price]]</f>
        <v>0.4</v>
      </c>
    </row>
    <row r="738" spans="1:31">
      <c r="A738" t="s">
        <v>924</v>
      </c>
      <c r="B738" s="6">
        <v>45949</v>
      </c>
      <c r="C738" t="s">
        <v>32</v>
      </c>
      <c r="D738" t="s">
        <v>33</v>
      </c>
      <c r="E738" t="s">
        <v>26</v>
      </c>
      <c r="F738" t="s">
        <v>34</v>
      </c>
      <c r="G738" t="s">
        <v>35</v>
      </c>
      <c r="H738" t="s">
        <v>149</v>
      </c>
      <c r="I738" t="s">
        <v>150</v>
      </c>
      <c r="J738" t="s">
        <v>151</v>
      </c>
      <c r="K738" t="s">
        <v>152</v>
      </c>
      <c r="L738" t="s">
        <v>183</v>
      </c>
      <c r="M738" t="s">
        <v>171</v>
      </c>
      <c r="N738">
        <v>5</v>
      </c>
      <c r="O738" s="4">
        <v>7800</v>
      </c>
      <c r="P738" s="4">
        <v>9800</v>
      </c>
      <c r="Q738" s="7">
        <v>0</v>
      </c>
      <c r="R738" t="s">
        <v>173</v>
      </c>
      <c r="S738">
        <v>10</v>
      </c>
      <c r="T738">
        <v>49000</v>
      </c>
      <c r="U738">
        <v>0</v>
      </c>
      <c r="V738">
        <v>49000</v>
      </c>
      <c r="W738">
        <v>39000</v>
      </c>
      <c r="X738">
        <v>10000</v>
      </c>
      <c r="Y738" s="8">
        <v>0.20408163265306123</v>
      </c>
      <c r="Z738" t="s">
        <v>2995</v>
      </c>
      <c r="AA738" t="str">
        <f>IF(AND(SalesCleanTable[[#This Row],[Discount %]]&gt;0, SalesCleanTable[[#This Row],[Profit]]&lt;0), "Discount loss", "Safe")</f>
        <v>Safe</v>
      </c>
      <c r="AB738" s="25">
        <f>(SalesCleanTable[[#This Row],[Unit Price]] - SalesCleanTable[[#This Row],[Unit Cost]]) / SalesCleanTable[[#This Row],[Unit Price]]</f>
        <v>0.20408163265306123</v>
      </c>
      <c r="AC738" t="str">
        <f>IF(SalesCleanTable[[#This Row],[Discount %]] &gt; SalesCleanTable[[#This Row],[Max Allowed Discount]], "Discount loss", "Safe")</f>
        <v>Safe</v>
      </c>
      <c r="AD738" s="4">
        <f>SalesCleanTable[[#This Row],[Unit Price]] - SalesCleanTable[[#This Row],[Unit Cost]]</f>
        <v>2000</v>
      </c>
      <c r="AE738" s="41">
        <f>(SalesCleanTable[[#This Row],[Unit Price]] - SalesCleanTable[[#This Row],[Unit Cost]]) / SalesCleanTable[[#This Row],[Unit Price]]</f>
        <v>0.20408163265306123</v>
      </c>
    </row>
    <row r="739" spans="1:31">
      <c r="A739" t="s">
        <v>925</v>
      </c>
      <c r="B739" s="6">
        <v>45862</v>
      </c>
      <c r="C739" t="s">
        <v>41</v>
      </c>
      <c r="D739" t="s">
        <v>42</v>
      </c>
      <c r="E739" t="s">
        <v>26</v>
      </c>
      <c r="F739" t="s">
        <v>43</v>
      </c>
      <c r="G739" t="s">
        <v>44</v>
      </c>
      <c r="H739" t="s">
        <v>133</v>
      </c>
      <c r="I739" t="s">
        <v>134</v>
      </c>
      <c r="J739" t="s">
        <v>130</v>
      </c>
      <c r="K739" t="s">
        <v>131</v>
      </c>
      <c r="L739" t="s">
        <v>166</v>
      </c>
      <c r="M739" t="s">
        <v>167</v>
      </c>
      <c r="N739">
        <v>5</v>
      </c>
      <c r="O739" s="4">
        <v>850</v>
      </c>
      <c r="P739" s="4">
        <v>1300</v>
      </c>
      <c r="Q739" s="7">
        <v>0.05</v>
      </c>
      <c r="R739" t="s">
        <v>194</v>
      </c>
      <c r="S739">
        <v>13</v>
      </c>
      <c r="T739">
        <v>6500</v>
      </c>
      <c r="U739">
        <v>325</v>
      </c>
      <c r="V739">
        <v>6175</v>
      </c>
      <c r="W739">
        <v>4250</v>
      </c>
      <c r="X739">
        <v>1925</v>
      </c>
      <c r="Y739" s="8">
        <v>0.31174089068825911</v>
      </c>
      <c r="Z739" t="s">
        <v>2995</v>
      </c>
      <c r="AA739" t="str">
        <f>IF(AND(SalesCleanTable[[#This Row],[Discount %]]&gt;0, SalesCleanTable[[#This Row],[Profit]]&lt;0), "Discount loss", "Safe")</f>
        <v>Safe</v>
      </c>
      <c r="AB739" s="25">
        <f>(SalesCleanTable[[#This Row],[Unit Price]] - SalesCleanTable[[#This Row],[Unit Cost]]) / SalesCleanTable[[#This Row],[Unit Price]]</f>
        <v>0.34615384615384615</v>
      </c>
      <c r="AC739" t="str">
        <f>IF(SalesCleanTable[[#This Row],[Discount %]] &gt; SalesCleanTable[[#This Row],[Max Allowed Discount]], "Discount loss", "Safe")</f>
        <v>Safe</v>
      </c>
      <c r="AD739" s="4">
        <f>SalesCleanTable[[#This Row],[Unit Price]] - SalesCleanTable[[#This Row],[Unit Cost]]</f>
        <v>450</v>
      </c>
      <c r="AE739" s="41">
        <f>(SalesCleanTable[[#This Row],[Unit Price]] - SalesCleanTable[[#This Row],[Unit Cost]]) / SalesCleanTable[[#This Row],[Unit Price]]</f>
        <v>0.34615384615384615</v>
      </c>
    </row>
    <row r="740" spans="1:31">
      <c r="A740" t="s">
        <v>926</v>
      </c>
      <c r="B740" s="6">
        <v>45989</v>
      </c>
      <c r="C740" t="s">
        <v>82</v>
      </c>
      <c r="D740" t="s">
        <v>83</v>
      </c>
      <c r="E740" t="s">
        <v>75</v>
      </c>
      <c r="F740" t="s">
        <v>84</v>
      </c>
      <c r="G740" t="s">
        <v>85</v>
      </c>
      <c r="H740" t="s">
        <v>141</v>
      </c>
      <c r="I740" t="s">
        <v>142</v>
      </c>
      <c r="J740" t="s">
        <v>143</v>
      </c>
      <c r="K740" t="s">
        <v>144</v>
      </c>
      <c r="L740" t="s">
        <v>166</v>
      </c>
      <c r="M740" t="s">
        <v>171</v>
      </c>
      <c r="N740">
        <v>1</v>
      </c>
      <c r="O740" s="4">
        <v>600</v>
      </c>
      <c r="P740" s="4">
        <v>950</v>
      </c>
      <c r="Q740" s="7">
        <v>0.05</v>
      </c>
      <c r="R740" t="s">
        <v>208</v>
      </c>
      <c r="S740">
        <v>11</v>
      </c>
      <c r="T740">
        <v>950</v>
      </c>
      <c r="U740">
        <v>47.5</v>
      </c>
      <c r="V740">
        <v>902.5</v>
      </c>
      <c r="W740">
        <v>600</v>
      </c>
      <c r="X740">
        <v>302.5</v>
      </c>
      <c r="Y740" s="8">
        <v>0.33518005540166207</v>
      </c>
      <c r="Z740" t="s">
        <v>2996</v>
      </c>
      <c r="AA740" t="str">
        <f>IF(AND(SalesCleanTable[[#This Row],[Discount %]]&gt;0, SalesCleanTable[[#This Row],[Profit]]&lt;0), "Discount loss", "Safe")</f>
        <v>Safe</v>
      </c>
      <c r="AB740" s="25">
        <f>(SalesCleanTable[[#This Row],[Unit Price]] - SalesCleanTable[[#This Row],[Unit Cost]]) / SalesCleanTable[[#This Row],[Unit Price]]</f>
        <v>0.36842105263157893</v>
      </c>
      <c r="AC740" t="str">
        <f>IF(SalesCleanTable[[#This Row],[Discount %]] &gt; SalesCleanTable[[#This Row],[Max Allowed Discount]], "Discount loss", "Safe")</f>
        <v>Safe</v>
      </c>
      <c r="AD740" s="4">
        <f>SalesCleanTable[[#This Row],[Unit Price]] - SalesCleanTable[[#This Row],[Unit Cost]]</f>
        <v>350</v>
      </c>
      <c r="AE740" s="41">
        <f>(SalesCleanTable[[#This Row],[Unit Price]] - SalesCleanTable[[#This Row],[Unit Cost]]) / SalesCleanTable[[#This Row],[Unit Price]]</f>
        <v>0.36842105263157893</v>
      </c>
    </row>
    <row r="741" spans="1:31">
      <c r="A741" t="s">
        <v>927</v>
      </c>
      <c r="B741" s="6">
        <v>45841</v>
      </c>
      <c r="C741" t="s">
        <v>78</v>
      </c>
      <c r="D741" t="s">
        <v>79</v>
      </c>
      <c r="E741" t="s">
        <v>75</v>
      </c>
      <c r="F741" t="s">
        <v>80</v>
      </c>
      <c r="G741" t="s">
        <v>81</v>
      </c>
      <c r="H741" t="s">
        <v>149</v>
      </c>
      <c r="I741" t="s">
        <v>150</v>
      </c>
      <c r="J741" t="s">
        <v>151</v>
      </c>
      <c r="K741" t="s">
        <v>152</v>
      </c>
      <c r="L741" t="s">
        <v>183</v>
      </c>
      <c r="M741" t="s">
        <v>186</v>
      </c>
      <c r="N741">
        <v>3</v>
      </c>
      <c r="O741" s="4">
        <v>1200</v>
      </c>
      <c r="P741" s="4">
        <v>1900</v>
      </c>
      <c r="Q741" s="7">
        <v>0.05</v>
      </c>
      <c r="R741" t="s">
        <v>204</v>
      </c>
      <c r="S741">
        <v>10</v>
      </c>
      <c r="T741">
        <v>5700</v>
      </c>
      <c r="U741">
        <v>285</v>
      </c>
      <c r="V741">
        <v>5415</v>
      </c>
      <c r="W741">
        <v>3600</v>
      </c>
      <c r="X741">
        <v>1815</v>
      </c>
      <c r="Y741" s="8">
        <v>0.33518005540166207</v>
      </c>
      <c r="Z741" t="s">
        <v>2996</v>
      </c>
      <c r="AA741" t="str">
        <f>IF(AND(SalesCleanTable[[#This Row],[Discount %]]&gt;0, SalesCleanTable[[#This Row],[Profit]]&lt;0), "Discount loss", "Safe")</f>
        <v>Safe</v>
      </c>
      <c r="AB741" s="25">
        <f>(SalesCleanTable[[#This Row],[Unit Price]] - SalesCleanTable[[#This Row],[Unit Cost]]) / SalesCleanTable[[#This Row],[Unit Price]]</f>
        <v>0.36842105263157893</v>
      </c>
      <c r="AC741" t="str">
        <f>IF(SalesCleanTable[[#This Row],[Discount %]] &gt; SalesCleanTable[[#This Row],[Max Allowed Discount]], "Discount loss", "Safe")</f>
        <v>Safe</v>
      </c>
      <c r="AD741" s="4">
        <f>SalesCleanTable[[#This Row],[Unit Price]] - SalesCleanTable[[#This Row],[Unit Cost]]</f>
        <v>700</v>
      </c>
      <c r="AE741" s="41">
        <f>(SalesCleanTable[[#This Row],[Unit Price]] - SalesCleanTable[[#This Row],[Unit Cost]]) / SalesCleanTable[[#This Row],[Unit Price]]</f>
        <v>0.36842105263157893</v>
      </c>
    </row>
    <row r="742" spans="1:31">
      <c r="A742" t="s">
        <v>928</v>
      </c>
      <c r="B742" s="6">
        <v>45874</v>
      </c>
      <c r="C742" t="s">
        <v>95</v>
      </c>
      <c r="D742" t="s">
        <v>96</v>
      </c>
      <c r="E742" t="s">
        <v>92</v>
      </c>
      <c r="F742" t="s">
        <v>97</v>
      </c>
      <c r="G742" t="s">
        <v>98</v>
      </c>
      <c r="H742" t="s">
        <v>141</v>
      </c>
      <c r="I742" t="s">
        <v>142</v>
      </c>
      <c r="J742" t="s">
        <v>143</v>
      </c>
      <c r="K742" t="s">
        <v>144</v>
      </c>
      <c r="L742" t="s">
        <v>166</v>
      </c>
      <c r="M742" t="s">
        <v>186</v>
      </c>
      <c r="N742">
        <v>2</v>
      </c>
      <c r="O742" s="4">
        <v>18000</v>
      </c>
      <c r="P742" s="4">
        <v>24500</v>
      </c>
      <c r="Q742" s="7">
        <v>0.05</v>
      </c>
      <c r="R742" t="s">
        <v>217</v>
      </c>
      <c r="S742">
        <v>11</v>
      </c>
      <c r="T742">
        <v>49000</v>
      </c>
      <c r="U742">
        <v>2450</v>
      </c>
      <c r="V742">
        <v>46550</v>
      </c>
      <c r="W742">
        <v>36000</v>
      </c>
      <c r="X742">
        <v>10550</v>
      </c>
      <c r="Y742" s="8">
        <v>0.22663802363050484</v>
      </c>
      <c r="Z742" t="s">
        <v>2995</v>
      </c>
      <c r="AA742" t="str">
        <f>IF(AND(SalesCleanTable[[#This Row],[Discount %]]&gt;0, SalesCleanTable[[#This Row],[Profit]]&lt;0), "Discount loss", "Safe")</f>
        <v>Safe</v>
      </c>
      <c r="AB742" s="25">
        <f>(SalesCleanTable[[#This Row],[Unit Price]] - SalesCleanTable[[#This Row],[Unit Cost]]) / SalesCleanTable[[#This Row],[Unit Price]]</f>
        <v>0.26530612244897961</v>
      </c>
      <c r="AC742" t="str">
        <f>IF(SalesCleanTable[[#This Row],[Discount %]] &gt; SalesCleanTable[[#This Row],[Max Allowed Discount]], "Discount loss", "Safe")</f>
        <v>Safe</v>
      </c>
      <c r="AD742" s="4">
        <f>SalesCleanTable[[#This Row],[Unit Price]] - SalesCleanTable[[#This Row],[Unit Cost]]</f>
        <v>6500</v>
      </c>
      <c r="AE742" s="41">
        <f>(SalesCleanTable[[#This Row],[Unit Price]] - SalesCleanTable[[#This Row],[Unit Cost]]) / SalesCleanTable[[#This Row],[Unit Price]]</f>
        <v>0.26530612244897961</v>
      </c>
    </row>
    <row r="743" spans="1:31">
      <c r="A743" t="s">
        <v>929</v>
      </c>
      <c r="B743" s="6">
        <v>46009</v>
      </c>
      <c r="C743" t="s">
        <v>82</v>
      </c>
      <c r="D743" t="s">
        <v>83</v>
      </c>
      <c r="E743" t="s">
        <v>75</v>
      </c>
      <c r="F743" t="s">
        <v>84</v>
      </c>
      <c r="G743" t="s">
        <v>85</v>
      </c>
      <c r="H743" t="s">
        <v>153</v>
      </c>
      <c r="I743" t="s">
        <v>154</v>
      </c>
      <c r="J743" t="s">
        <v>155</v>
      </c>
      <c r="K743" t="s">
        <v>131</v>
      </c>
      <c r="L743" t="s">
        <v>166</v>
      </c>
      <c r="M743" t="s">
        <v>186</v>
      </c>
      <c r="N743">
        <v>3</v>
      </c>
      <c r="O743" s="4">
        <v>600</v>
      </c>
      <c r="P743" s="4">
        <v>950</v>
      </c>
      <c r="Q743" s="7">
        <v>0.1</v>
      </c>
      <c r="R743" t="s">
        <v>187</v>
      </c>
      <c r="S743">
        <v>13</v>
      </c>
      <c r="T743">
        <v>2850</v>
      </c>
      <c r="U743">
        <v>285</v>
      </c>
      <c r="V743">
        <v>2565</v>
      </c>
      <c r="W743">
        <v>1800</v>
      </c>
      <c r="X743">
        <v>765</v>
      </c>
      <c r="Y743" s="8">
        <v>0.2982456140350877</v>
      </c>
      <c r="Z743" t="s">
        <v>2996</v>
      </c>
      <c r="AA743" t="str">
        <f>IF(AND(SalesCleanTable[[#This Row],[Discount %]]&gt;0, SalesCleanTable[[#This Row],[Profit]]&lt;0), "Discount loss", "Safe")</f>
        <v>Safe</v>
      </c>
      <c r="AB743" s="25">
        <f>(SalesCleanTable[[#This Row],[Unit Price]] - SalesCleanTable[[#This Row],[Unit Cost]]) / SalesCleanTable[[#This Row],[Unit Price]]</f>
        <v>0.36842105263157893</v>
      </c>
      <c r="AC743" t="str">
        <f>IF(SalesCleanTable[[#This Row],[Discount %]] &gt; SalesCleanTable[[#This Row],[Max Allowed Discount]], "Discount loss", "Safe")</f>
        <v>Safe</v>
      </c>
      <c r="AD743" s="4">
        <f>SalesCleanTable[[#This Row],[Unit Price]] - SalesCleanTable[[#This Row],[Unit Cost]]</f>
        <v>350</v>
      </c>
      <c r="AE743" s="41">
        <f>(SalesCleanTable[[#This Row],[Unit Price]] - SalesCleanTable[[#This Row],[Unit Cost]]) / SalesCleanTable[[#This Row],[Unit Price]]</f>
        <v>0.36842105263157893</v>
      </c>
    </row>
    <row r="744" spans="1:31">
      <c r="A744" t="s">
        <v>930</v>
      </c>
      <c r="B744" s="6">
        <v>45734</v>
      </c>
      <c r="C744" t="s">
        <v>116</v>
      </c>
      <c r="D744" t="s">
        <v>117</v>
      </c>
      <c r="E744" t="s">
        <v>109</v>
      </c>
      <c r="F744" t="s">
        <v>118</v>
      </c>
      <c r="G744" t="s">
        <v>119</v>
      </c>
      <c r="H744" t="s">
        <v>141</v>
      </c>
      <c r="I744" t="s">
        <v>142</v>
      </c>
      <c r="J744" t="s">
        <v>143</v>
      </c>
      <c r="K744" t="s">
        <v>144</v>
      </c>
      <c r="L744" t="s">
        <v>166</v>
      </c>
      <c r="M744" t="s">
        <v>171</v>
      </c>
      <c r="N744">
        <v>2</v>
      </c>
      <c r="O744" s="4">
        <v>2800</v>
      </c>
      <c r="P744" s="4">
        <v>4200</v>
      </c>
      <c r="Q744" s="7">
        <v>0</v>
      </c>
      <c r="R744" t="s">
        <v>184</v>
      </c>
      <c r="S744">
        <v>2</v>
      </c>
      <c r="T744">
        <v>8400</v>
      </c>
      <c r="U744">
        <v>0</v>
      </c>
      <c r="V744">
        <v>8400</v>
      </c>
      <c r="W744">
        <v>5600</v>
      </c>
      <c r="X744">
        <v>2800</v>
      </c>
      <c r="Y744" s="8">
        <v>0.33333333333333331</v>
      </c>
      <c r="Z744" t="s">
        <v>2995</v>
      </c>
      <c r="AA744" t="str">
        <f>IF(AND(SalesCleanTable[[#This Row],[Discount %]]&gt;0, SalesCleanTable[[#This Row],[Profit]]&lt;0), "Discount loss", "Safe")</f>
        <v>Safe</v>
      </c>
      <c r="AB744" s="25">
        <f>(SalesCleanTable[[#This Row],[Unit Price]] - SalesCleanTable[[#This Row],[Unit Cost]]) / SalesCleanTable[[#This Row],[Unit Price]]</f>
        <v>0.33333333333333331</v>
      </c>
      <c r="AC744" t="str">
        <f>IF(SalesCleanTable[[#This Row],[Discount %]] &gt; SalesCleanTable[[#This Row],[Max Allowed Discount]], "Discount loss", "Safe")</f>
        <v>Safe</v>
      </c>
      <c r="AD744" s="4">
        <f>SalesCleanTable[[#This Row],[Unit Price]] - SalesCleanTable[[#This Row],[Unit Cost]]</f>
        <v>1400</v>
      </c>
      <c r="AE744" s="41">
        <f>(SalesCleanTable[[#This Row],[Unit Price]] - SalesCleanTable[[#This Row],[Unit Cost]]) / SalesCleanTable[[#This Row],[Unit Price]]</f>
        <v>0.33333333333333331</v>
      </c>
    </row>
    <row r="745" spans="1:31">
      <c r="A745" t="s">
        <v>931</v>
      </c>
      <c r="B745" s="6">
        <v>45920</v>
      </c>
      <c r="C745" t="s">
        <v>32</v>
      </c>
      <c r="D745" t="s">
        <v>33</v>
      </c>
      <c r="E745" t="s">
        <v>26</v>
      </c>
      <c r="F745" t="s">
        <v>34</v>
      </c>
      <c r="G745" t="s">
        <v>35</v>
      </c>
      <c r="H745" t="s">
        <v>135</v>
      </c>
      <c r="I745" t="s">
        <v>136</v>
      </c>
      <c r="J745" t="s">
        <v>137</v>
      </c>
      <c r="K745" t="s">
        <v>138</v>
      </c>
      <c r="L745" t="s">
        <v>166</v>
      </c>
      <c r="M745" t="s">
        <v>167</v>
      </c>
      <c r="N745">
        <v>1</v>
      </c>
      <c r="O745" s="4">
        <v>7800</v>
      </c>
      <c r="P745" s="4">
        <v>9800</v>
      </c>
      <c r="Q745" s="7">
        <v>0.1</v>
      </c>
      <c r="R745" t="s">
        <v>194</v>
      </c>
      <c r="S745">
        <v>10</v>
      </c>
      <c r="T745">
        <v>9800</v>
      </c>
      <c r="U745">
        <v>980</v>
      </c>
      <c r="V745">
        <v>8820</v>
      </c>
      <c r="W745">
        <v>7800</v>
      </c>
      <c r="X745">
        <v>1020</v>
      </c>
      <c r="Y745" s="8">
        <v>0.11564625850340136</v>
      </c>
      <c r="Z745" t="s">
        <v>2995</v>
      </c>
      <c r="AA745" t="str">
        <f>IF(AND(SalesCleanTable[[#This Row],[Discount %]]&gt;0, SalesCleanTable[[#This Row],[Profit]]&lt;0), "Discount loss", "Safe")</f>
        <v>Safe</v>
      </c>
      <c r="AB745" s="25">
        <f>(SalesCleanTable[[#This Row],[Unit Price]] - SalesCleanTable[[#This Row],[Unit Cost]]) / SalesCleanTable[[#This Row],[Unit Price]]</f>
        <v>0.20408163265306123</v>
      </c>
      <c r="AC745" t="str">
        <f>IF(SalesCleanTable[[#This Row],[Discount %]] &gt; SalesCleanTable[[#This Row],[Max Allowed Discount]], "Discount loss", "Safe")</f>
        <v>Safe</v>
      </c>
      <c r="AD745" s="4">
        <f>SalesCleanTable[[#This Row],[Unit Price]] - SalesCleanTable[[#This Row],[Unit Cost]]</f>
        <v>2000</v>
      </c>
      <c r="AE745" s="41">
        <f>(SalesCleanTable[[#This Row],[Unit Price]] - SalesCleanTable[[#This Row],[Unit Cost]]) / SalesCleanTable[[#This Row],[Unit Price]]</f>
        <v>0.20408163265306123</v>
      </c>
    </row>
    <row r="746" spans="1:31">
      <c r="A746" t="s">
        <v>932</v>
      </c>
      <c r="B746" s="6">
        <v>45915</v>
      </c>
      <c r="C746" t="s">
        <v>24</v>
      </c>
      <c r="D746" t="s">
        <v>25</v>
      </c>
      <c r="E746" t="s">
        <v>26</v>
      </c>
      <c r="F746" t="s">
        <v>27</v>
      </c>
      <c r="G746" t="s">
        <v>28</v>
      </c>
      <c r="H746" t="s">
        <v>145</v>
      </c>
      <c r="I746" t="s">
        <v>146</v>
      </c>
      <c r="J746" t="s">
        <v>147</v>
      </c>
      <c r="K746" t="s">
        <v>148</v>
      </c>
      <c r="L746" t="s">
        <v>183</v>
      </c>
      <c r="M746" t="s">
        <v>177</v>
      </c>
      <c r="N746">
        <v>2</v>
      </c>
      <c r="O746" s="4">
        <v>14500</v>
      </c>
      <c r="P746" s="4">
        <v>17500</v>
      </c>
      <c r="Q746" s="7">
        <v>0.15</v>
      </c>
      <c r="R746" t="s">
        <v>194</v>
      </c>
      <c r="S746">
        <v>12</v>
      </c>
      <c r="T746">
        <v>35000</v>
      </c>
      <c r="U746">
        <v>5250</v>
      </c>
      <c r="V746">
        <v>29750</v>
      </c>
      <c r="W746">
        <v>29000</v>
      </c>
      <c r="X746">
        <v>750</v>
      </c>
      <c r="Y746" s="8">
        <v>2.5210084033613446E-2</v>
      </c>
      <c r="Z746" t="s">
        <v>2995</v>
      </c>
      <c r="AA746" t="str">
        <f>IF(AND(SalesCleanTable[[#This Row],[Discount %]]&gt;0, SalesCleanTable[[#This Row],[Profit]]&lt;0), "Discount loss", "Safe")</f>
        <v>Safe</v>
      </c>
      <c r="AB746" s="25">
        <f>(SalesCleanTable[[#This Row],[Unit Price]] - SalesCleanTable[[#This Row],[Unit Cost]]) / SalesCleanTable[[#This Row],[Unit Price]]</f>
        <v>0.17142857142857143</v>
      </c>
      <c r="AC746" t="str">
        <f>IF(SalesCleanTable[[#This Row],[Discount %]] &gt; SalesCleanTable[[#This Row],[Max Allowed Discount]], "Discount loss", "Safe")</f>
        <v>Safe</v>
      </c>
      <c r="AD746" s="4">
        <f>SalesCleanTable[[#This Row],[Unit Price]] - SalesCleanTable[[#This Row],[Unit Cost]]</f>
        <v>3000</v>
      </c>
      <c r="AE746" s="41">
        <f>(SalesCleanTable[[#This Row],[Unit Price]] - SalesCleanTable[[#This Row],[Unit Cost]]) / SalesCleanTable[[#This Row],[Unit Price]]</f>
        <v>0.17142857142857143</v>
      </c>
    </row>
    <row r="747" spans="1:31">
      <c r="A747" t="s">
        <v>933</v>
      </c>
      <c r="B747" s="6">
        <v>45958</v>
      </c>
      <c r="C747" t="s">
        <v>82</v>
      </c>
      <c r="D747" t="s">
        <v>83</v>
      </c>
      <c r="E747" t="s">
        <v>75</v>
      </c>
      <c r="F747" t="s">
        <v>84</v>
      </c>
      <c r="G747" t="s">
        <v>85</v>
      </c>
      <c r="H747" t="s">
        <v>145</v>
      </c>
      <c r="I747" t="s">
        <v>146</v>
      </c>
      <c r="J747" t="s">
        <v>147</v>
      </c>
      <c r="K747" t="s">
        <v>148</v>
      </c>
      <c r="L747" t="s">
        <v>166</v>
      </c>
      <c r="M747" t="s">
        <v>171</v>
      </c>
      <c r="N747">
        <v>2</v>
      </c>
      <c r="O747" s="4">
        <v>600</v>
      </c>
      <c r="P747" s="4">
        <v>950</v>
      </c>
      <c r="Q747" s="7">
        <v>0.15</v>
      </c>
      <c r="R747" t="s">
        <v>187</v>
      </c>
      <c r="S747">
        <v>4</v>
      </c>
      <c r="T747">
        <v>1900</v>
      </c>
      <c r="U747">
        <v>285</v>
      </c>
      <c r="V747">
        <v>1615</v>
      </c>
      <c r="W747">
        <v>1200</v>
      </c>
      <c r="X747">
        <v>415</v>
      </c>
      <c r="Y747" s="8">
        <v>0.25696594427244585</v>
      </c>
      <c r="Z747" t="s">
        <v>2996</v>
      </c>
      <c r="AA747" t="str">
        <f>IF(AND(SalesCleanTable[[#This Row],[Discount %]]&gt;0, SalesCleanTable[[#This Row],[Profit]]&lt;0), "Discount loss", "Safe")</f>
        <v>Safe</v>
      </c>
      <c r="AB747" s="25">
        <f>(SalesCleanTable[[#This Row],[Unit Price]] - SalesCleanTable[[#This Row],[Unit Cost]]) / SalesCleanTable[[#This Row],[Unit Price]]</f>
        <v>0.36842105263157893</v>
      </c>
      <c r="AC747" t="str">
        <f>IF(SalesCleanTable[[#This Row],[Discount %]] &gt; SalesCleanTable[[#This Row],[Max Allowed Discount]], "Discount loss", "Safe")</f>
        <v>Safe</v>
      </c>
      <c r="AD747" s="4">
        <f>SalesCleanTable[[#This Row],[Unit Price]] - SalesCleanTable[[#This Row],[Unit Cost]]</f>
        <v>350</v>
      </c>
      <c r="AE747" s="41">
        <f>(SalesCleanTable[[#This Row],[Unit Price]] - SalesCleanTable[[#This Row],[Unit Cost]]) / SalesCleanTable[[#This Row],[Unit Price]]</f>
        <v>0.36842105263157893</v>
      </c>
    </row>
    <row r="748" spans="1:31">
      <c r="A748" t="s">
        <v>934</v>
      </c>
      <c r="B748" s="6">
        <v>45967</v>
      </c>
      <c r="C748" t="s">
        <v>41</v>
      </c>
      <c r="D748" t="s">
        <v>42</v>
      </c>
      <c r="E748" t="s">
        <v>26</v>
      </c>
      <c r="F748" t="s">
        <v>43</v>
      </c>
      <c r="G748" t="s">
        <v>44</v>
      </c>
      <c r="H748" t="s">
        <v>141</v>
      </c>
      <c r="I748" t="s">
        <v>142</v>
      </c>
      <c r="J748" t="s">
        <v>143</v>
      </c>
      <c r="K748" t="s">
        <v>144</v>
      </c>
      <c r="L748" t="s">
        <v>166</v>
      </c>
      <c r="M748" t="s">
        <v>177</v>
      </c>
      <c r="N748">
        <v>2</v>
      </c>
      <c r="O748" s="4">
        <v>850</v>
      </c>
      <c r="P748" s="4">
        <v>1300</v>
      </c>
      <c r="Q748" s="7">
        <v>0</v>
      </c>
      <c r="R748" t="s">
        <v>173</v>
      </c>
      <c r="S748">
        <v>8</v>
      </c>
      <c r="T748">
        <v>2600</v>
      </c>
      <c r="U748">
        <v>0</v>
      </c>
      <c r="V748">
        <v>2600</v>
      </c>
      <c r="W748">
        <v>1700</v>
      </c>
      <c r="X748">
        <v>900</v>
      </c>
      <c r="Y748" s="8">
        <v>0.34615384615384615</v>
      </c>
      <c r="Z748" t="s">
        <v>2995</v>
      </c>
      <c r="AA748" t="str">
        <f>IF(AND(SalesCleanTable[[#This Row],[Discount %]]&gt;0, SalesCleanTable[[#This Row],[Profit]]&lt;0), "Discount loss", "Safe")</f>
        <v>Safe</v>
      </c>
      <c r="AB748" s="25">
        <f>(SalesCleanTable[[#This Row],[Unit Price]] - SalesCleanTable[[#This Row],[Unit Cost]]) / SalesCleanTable[[#This Row],[Unit Price]]</f>
        <v>0.34615384615384615</v>
      </c>
      <c r="AC748" t="str">
        <f>IF(SalesCleanTable[[#This Row],[Discount %]] &gt; SalesCleanTable[[#This Row],[Max Allowed Discount]], "Discount loss", "Safe")</f>
        <v>Safe</v>
      </c>
      <c r="AD748" s="4">
        <f>SalesCleanTable[[#This Row],[Unit Price]] - SalesCleanTable[[#This Row],[Unit Cost]]</f>
        <v>450</v>
      </c>
      <c r="AE748" s="41">
        <f>(SalesCleanTable[[#This Row],[Unit Price]] - SalesCleanTable[[#This Row],[Unit Cost]]) / SalesCleanTable[[#This Row],[Unit Price]]</f>
        <v>0.34615384615384615</v>
      </c>
    </row>
    <row r="749" spans="1:31">
      <c r="A749" t="s">
        <v>935</v>
      </c>
      <c r="B749" s="6">
        <v>45865</v>
      </c>
      <c r="C749" t="s">
        <v>103</v>
      </c>
      <c r="D749" t="s">
        <v>104</v>
      </c>
      <c r="E749" t="s">
        <v>92</v>
      </c>
      <c r="F749" t="s">
        <v>105</v>
      </c>
      <c r="G749" t="s">
        <v>106</v>
      </c>
      <c r="H749" t="s">
        <v>153</v>
      </c>
      <c r="I749" t="s">
        <v>154</v>
      </c>
      <c r="J749" t="s">
        <v>155</v>
      </c>
      <c r="K749" t="s">
        <v>131</v>
      </c>
      <c r="L749" t="s">
        <v>183</v>
      </c>
      <c r="M749" t="s">
        <v>171</v>
      </c>
      <c r="N749">
        <v>3</v>
      </c>
      <c r="O749" s="4">
        <v>1500</v>
      </c>
      <c r="P749" s="4">
        <v>2500</v>
      </c>
      <c r="Q749" s="7">
        <v>0.05</v>
      </c>
      <c r="R749" t="s">
        <v>217</v>
      </c>
      <c r="S749">
        <v>12</v>
      </c>
      <c r="T749">
        <v>7500</v>
      </c>
      <c r="U749">
        <v>375</v>
      </c>
      <c r="V749">
        <v>7125</v>
      </c>
      <c r="W749">
        <v>4500</v>
      </c>
      <c r="X749">
        <v>2625</v>
      </c>
      <c r="Y749" s="8">
        <v>0.36842105263157893</v>
      </c>
      <c r="Z749" t="s">
        <v>2996</v>
      </c>
      <c r="AA749" t="str">
        <f>IF(AND(SalesCleanTable[[#This Row],[Discount %]]&gt;0, SalesCleanTable[[#This Row],[Profit]]&lt;0), "Discount loss", "Safe")</f>
        <v>Safe</v>
      </c>
      <c r="AB749" s="25">
        <f>(SalesCleanTable[[#This Row],[Unit Price]] - SalesCleanTable[[#This Row],[Unit Cost]]) / SalesCleanTable[[#This Row],[Unit Price]]</f>
        <v>0.4</v>
      </c>
      <c r="AC749" t="str">
        <f>IF(SalesCleanTable[[#This Row],[Discount %]] &gt; SalesCleanTable[[#This Row],[Max Allowed Discount]], "Discount loss", "Safe")</f>
        <v>Safe</v>
      </c>
      <c r="AD749" s="4">
        <f>SalesCleanTable[[#This Row],[Unit Price]] - SalesCleanTable[[#This Row],[Unit Cost]]</f>
        <v>1000</v>
      </c>
      <c r="AE749" s="41">
        <f>(SalesCleanTable[[#This Row],[Unit Price]] - SalesCleanTable[[#This Row],[Unit Cost]]) / SalesCleanTable[[#This Row],[Unit Price]]</f>
        <v>0.4</v>
      </c>
    </row>
    <row r="750" spans="1:31">
      <c r="A750" t="s">
        <v>936</v>
      </c>
      <c r="B750" s="6">
        <v>46011</v>
      </c>
      <c r="C750" t="s">
        <v>78</v>
      </c>
      <c r="D750" t="s">
        <v>79</v>
      </c>
      <c r="E750" t="s">
        <v>75</v>
      </c>
      <c r="F750" t="s">
        <v>80</v>
      </c>
      <c r="G750" t="s">
        <v>81</v>
      </c>
      <c r="H750" t="s">
        <v>145</v>
      </c>
      <c r="I750" t="s">
        <v>146</v>
      </c>
      <c r="J750" t="s">
        <v>147</v>
      </c>
      <c r="K750" t="s">
        <v>148</v>
      </c>
      <c r="L750" t="s">
        <v>166</v>
      </c>
      <c r="M750" t="s">
        <v>171</v>
      </c>
      <c r="N750">
        <v>1</v>
      </c>
      <c r="O750" s="4">
        <v>1200</v>
      </c>
      <c r="P750" s="4">
        <v>1900</v>
      </c>
      <c r="Q750" s="7">
        <v>0</v>
      </c>
      <c r="R750" t="s">
        <v>204</v>
      </c>
      <c r="S750">
        <v>4</v>
      </c>
      <c r="T750">
        <v>1900</v>
      </c>
      <c r="U750">
        <v>0</v>
      </c>
      <c r="V750">
        <v>1900</v>
      </c>
      <c r="W750">
        <v>1200</v>
      </c>
      <c r="X750">
        <v>700</v>
      </c>
      <c r="Y750" s="8">
        <v>0.36842105263157893</v>
      </c>
      <c r="Z750" t="s">
        <v>2996</v>
      </c>
      <c r="AA750" t="str">
        <f>IF(AND(SalesCleanTable[[#This Row],[Discount %]]&gt;0, SalesCleanTable[[#This Row],[Profit]]&lt;0), "Discount loss", "Safe")</f>
        <v>Safe</v>
      </c>
      <c r="AB750" s="25">
        <f>(SalesCleanTable[[#This Row],[Unit Price]] - SalesCleanTable[[#This Row],[Unit Cost]]) / SalesCleanTable[[#This Row],[Unit Price]]</f>
        <v>0.36842105263157893</v>
      </c>
      <c r="AC750" t="str">
        <f>IF(SalesCleanTable[[#This Row],[Discount %]] &gt; SalesCleanTable[[#This Row],[Max Allowed Discount]], "Discount loss", "Safe")</f>
        <v>Safe</v>
      </c>
      <c r="AD750" s="4">
        <f>SalesCleanTable[[#This Row],[Unit Price]] - SalesCleanTable[[#This Row],[Unit Cost]]</f>
        <v>700</v>
      </c>
      <c r="AE750" s="41">
        <f>(SalesCleanTable[[#This Row],[Unit Price]] - SalesCleanTable[[#This Row],[Unit Cost]]) / SalesCleanTable[[#This Row],[Unit Price]]</f>
        <v>0.36842105263157893</v>
      </c>
    </row>
    <row r="751" spans="1:31">
      <c r="A751" t="s">
        <v>937</v>
      </c>
      <c r="B751" s="6">
        <v>45765</v>
      </c>
      <c r="C751" t="s">
        <v>53</v>
      </c>
      <c r="D751" t="s">
        <v>54</v>
      </c>
      <c r="E751" t="s">
        <v>38</v>
      </c>
      <c r="F751" t="s">
        <v>55</v>
      </c>
      <c r="G751" t="s">
        <v>56</v>
      </c>
      <c r="H751" t="s">
        <v>133</v>
      </c>
      <c r="I751" t="s">
        <v>134</v>
      </c>
      <c r="J751" t="s">
        <v>130</v>
      </c>
      <c r="K751" t="s">
        <v>131</v>
      </c>
      <c r="L751" t="s">
        <v>183</v>
      </c>
      <c r="M751" t="s">
        <v>171</v>
      </c>
      <c r="N751">
        <v>2</v>
      </c>
      <c r="O751" s="4">
        <v>330</v>
      </c>
      <c r="P751" s="4">
        <v>550</v>
      </c>
      <c r="Q751" s="7">
        <v>0.15</v>
      </c>
      <c r="R751" t="s">
        <v>178</v>
      </c>
      <c r="S751">
        <v>5</v>
      </c>
      <c r="T751">
        <v>1100</v>
      </c>
      <c r="U751">
        <v>165</v>
      </c>
      <c r="V751">
        <v>935</v>
      </c>
      <c r="W751">
        <v>660</v>
      </c>
      <c r="X751">
        <v>275</v>
      </c>
      <c r="Y751" s="8">
        <v>0.29411764705882354</v>
      </c>
      <c r="Z751" t="s">
        <v>2996</v>
      </c>
      <c r="AA751" t="str">
        <f>IF(AND(SalesCleanTable[[#This Row],[Discount %]]&gt;0, SalesCleanTable[[#This Row],[Profit]]&lt;0), "Discount loss", "Safe")</f>
        <v>Safe</v>
      </c>
      <c r="AB751" s="25">
        <f>(SalesCleanTable[[#This Row],[Unit Price]] - SalesCleanTable[[#This Row],[Unit Cost]]) / SalesCleanTable[[#This Row],[Unit Price]]</f>
        <v>0.4</v>
      </c>
      <c r="AC751" t="str">
        <f>IF(SalesCleanTable[[#This Row],[Discount %]] &gt; SalesCleanTable[[#This Row],[Max Allowed Discount]], "Discount loss", "Safe")</f>
        <v>Safe</v>
      </c>
      <c r="AD751" s="4">
        <f>SalesCleanTable[[#This Row],[Unit Price]] - SalesCleanTable[[#This Row],[Unit Cost]]</f>
        <v>220</v>
      </c>
      <c r="AE751" s="41">
        <f>(SalesCleanTable[[#This Row],[Unit Price]] - SalesCleanTable[[#This Row],[Unit Cost]]) / SalesCleanTable[[#This Row],[Unit Price]]</f>
        <v>0.4</v>
      </c>
    </row>
    <row r="752" spans="1:31">
      <c r="A752" t="s">
        <v>938</v>
      </c>
      <c r="B752" s="6">
        <v>45733</v>
      </c>
      <c r="C752" t="s">
        <v>53</v>
      </c>
      <c r="D752" t="s">
        <v>54</v>
      </c>
      <c r="E752" t="s">
        <v>38</v>
      </c>
      <c r="F752" t="s">
        <v>55</v>
      </c>
      <c r="G752" t="s">
        <v>56</v>
      </c>
      <c r="H752" t="s">
        <v>128</v>
      </c>
      <c r="I752" t="s">
        <v>129</v>
      </c>
      <c r="J752" t="s">
        <v>130</v>
      </c>
      <c r="K752" t="s">
        <v>131</v>
      </c>
      <c r="L752" t="s">
        <v>183</v>
      </c>
      <c r="M752" t="s">
        <v>171</v>
      </c>
      <c r="N752">
        <v>1</v>
      </c>
      <c r="O752" s="4">
        <v>330</v>
      </c>
      <c r="P752" s="4">
        <v>550</v>
      </c>
      <c r="Q752" s="7">
        <v>0</v>
      </c>
      <c r="R752" t="s">
        <v>175</v>
      </c>
      <c r="S752">
        <v>1</v>
      </c>
      <c r="T752">
        <v>550</v>
      </c>
      <c r="U752">
        <v>0</v>
      </c>
      <c r="V752">
        <v>550</v>
      </c>
      <c r="W752">
        <v>330</v>
      </c>
      <c r="X752">
        <v>220</v>
      </c>
      <c r="Y752" s="8">
        <v>0.4</v>
      </c>
      <c r="Z752" t="s">
        <v>2996</v>
      </c>
      <c r="AA752" t="str">
        <f>IF(AND(SalesCleanTable[[#This Row],[Discount %]]&gt;0, SalesCleanTable[[#This Row],[Profit]]&lt;0), "Discount loss", "Safe")</f>
        <v>Safe</v>
      </c>
      <c r="AB752" s="25">
        <f>(SalesCleanTable[[#This Row],[Unit Price]] - SalesCleanTable[[#This Row],[Unit Cost]]) / SalesCleanTable[[#This Row],[Unit Price]]</f>
        <v>0.4</v>
      </c>
      <c r="AC752" t="str">
        <f>IF(SalesCleanTable[[#This Row],[Discount %]] &gt; SalesCleanTable[[#This Row],[Max Allowed Discount]], "Discount loss", "Safe")</f>
        <v>Safe</v>
      </c>
      <c r="AD752" s="4">
        <f>SalesCleanTable[[#This Row],[Unit Price]] - SalesCleanTable[[#This Row],[Unit Cost]]</f>
        <v>220</v>
      </c>
      <c r="AE752" s="41">
        <f>(SalesCleanTable[[#This Row],[Unit Price]] - SalesCleanTable[[#This Row],[Unit Cost]]) / SalesCleanTable[[#This Row],[Unit Price]]</f>
        <v>0.4</v>
      </c>
    </row>
    <row r="753" spans="1:31">
      <c r="A753" t="s">
        <v>939</v>
      </c>
      <c r="B753" s="6">
        <v>45957</v>
      </c>
      <c r="C753" t="s">
        <v>41</v>
      </c>
      <c r="D753" t="s">
        <v>42</v>
      </c>
      <c r="E753" t="s">
        <v>26</v>
      </c>
      <c r="F753" t="s">
        <v>43</v>
      </c>
      <c r="G753" t="s">
        <v>44</v>
      </c>
      <c r="H753" t="s">
        <v>135</v>
      </c>
      <c r="I753" t="s">
        <v>136</v>
      </c>
      <c r="J753" t="s">
        <v>137</v>
      </c>
      <c r="K753" t="s">
        <v>138</v>
      </c>
      <c r="L753" t="s">
        <v>166</v>
      </c>
      <c r="M753" t="s">
        <v>177</v>
      </c>
      <c r="N753">
        <v>5</v>
      </c>
      <c r="O753" s="4">
        <v>850</v>
      </c>
      <c r="P753" s="4">
        <v>1300</v>
      </c>
      <c r="Q753" s="7">
        <v>0.05</v>
      </c>
      <c r="R753" t="s">
        <v>173</v>
      </c>
      <c r="S753">
        <v>7</v>
      </c>
      <c r="T753">
        <v>6500</v>
      </c>
      <c r="U753">
        <v>325</v>
      </c>
      <c r="V753">
        <v>6175</v>
      </c>
      <c r="W753">
        <v>4250</v>
      </c>
      <c r="X753">
        <v>1925</v>
      </c>
      <c r="Y753" s="8">
        <v>0.31174089068825911</v>
      </c>
      <c r="Z753" t="s">
        <v>2995</v>
      </c>
      <c r="AA753" t="str">
        <f>IF(AND(SalesCleanTable[[#This Row],[Discount %]]&gt;0, SalesCleanTable[[#This Row],[Profit]]&lt;0), "Discount loss", "Safe")</f>
        <v>Safe</v>
      </c>
      <c r="AB753" s="25">
        <f>(SalesCleanTable[[#This Row],[Unit Price]] - SalesCleanTable[[#This Row],[Unit Cost]]) / SalesCleanTable[[#This Row],[Unit Price]]</f>
        <v>0.34615384615384615</v>
      </c>
      <c r="AC753" t="str">
        <f>IF(SalesCleanTable[[#This Row],[Discount %]] &gt; SalesCleanTable[[#This Row],[Max Allowed Discount]], "Discount loss", "Safe")</f>
        <v>Safe</v>
      </c>
      <c r="AD753" s="4">
        <f>SalesCleanTable[[#This Row],[Unit Price]] - SalesCleanTable[[#This Row],[Unit Cost]]</f>
        <v>450</v>
      </c>
      <c r="AE753" s="41">
        <f>(SalesCleanTable[[#This Row],[Unit Price]] - SalesCleanTable[[#This Row],[Unit Cost]]) / SalesCleanTable[[#This Row],[Unit Price]]</f>
        <v>0.34615384615384615</v>
      </c>
    </row>
    <row r="754" spans="1:31">
      <c r="A754" t="s">
        <v>940</v>
      </c>
      <c r="B754" s="6">
        <v>45911</v>
      </c>
      <c r="C754" t="s">
        <v>82</v>
      </c>
      <c r="D754" t="s">
        <v>83</v>
      </c>
      <c r="E754" t="s">
        <v>75</v>
      </c>
      <c r="F754" t="s">
        <v>84</v>
      </c>
      <c r="G754" t="s">
        <v>85</v>
      </c>
      <c r="H754" t="s">
        <v>139</v>
      </c>
      <c r="I754" t="s">
        <v>140</v>
      </c>
      <c r="J754" t="s">
        <v>137</v>
      </c>
      <c r="K754" t="s">
        <v>138</v>
      </c>
      <c r="L754" t="s">
        <v>166</v>
      </c>
      <c r="M754" t="s">
        <v>186</v>
      </c>
      <c r="N754">
        <v>3</v>
      </c>
      <c r="O754" s="4">
        <v>600</v>
      </c>
      <c r="P754" s="4">
        <v>950</v>
      </c>
      <c r="Q754" s="7">
        <v>0</v>
      </c>
      <c r="R754" t="s">
        <v>204</v>
      </c>
      <c r="S754">
        <v>12</v>
      </c>
      <c r="T754">
        <v>2850</v>
      </c>
      <c r="U754">
        <v>0</v>
      </c>
      <c r="V754">
        <v>2850</v>
      </c>
      <c r="W754">
        <v>1800</v>
      </c>
      <c r="X754">
        <v>1050</v>
      </c>
      <c r="Y754" s="8">
        <v>0.36842105263157893</v>
      </c>
      <c r="Z754" t="s">
        <v>2996</v>
      </c>
      <c r="AA754" t="str">
        <f>IF(AND(SalesCleanTable[[#This Row],[Discount %]]&gt;0, SalesCleanTable[[#This Row],[Profit]]&lt;0), "Discount loss", "Safe")</f>
        <v>Safe</v>
      </c>
      <c r="AB754" s="25">
        <f>(SalesCleanTable[[#This Row],[Unit Price]] - SalesCleanTable[[#This Row],[Unit Cost]]) / SalesCleanTable[[#This Row],[Unit Price]]</f>
        <v>0.36842105263157893</v>
      </c>
      <c r="AC754" t="str">
        <f>IF(SalesCleanTable[[#This Row],[Discount %]] &gt; SalesCleanTable[[#This Row],[Max Allowed Discount]], "Discount loss", "Safe")</f>
        <v>Safe</v>
      </c>
      <c r="AD754" s="4">
        <f>SalesCleanTable[[#This Row],[Unit Price]] - SalesCleanTable[[#This Row],[Unit Cost]]</f>
        <v>350</v>
      </c>
      <c r="AE754" s="41">
        <f>(SalesCleanTable[[#This Row],[Unit Price]] - SalesCleanTable[[#This Row],[Unit Cost]]) / SalesCleanTable[[#This Row],[Unit Price]]</f>
        <v>0.36842105263157893</v>
      </c>
    </row>
    <row r="755" spans="1:31">
      <c r="A755" t="s">
        <v>941</v>
      </c>
      <c r="B755" s="6">
        <v>46005</v>
      </c>
      <c r="C755" t="s">
        <v>107</v>
      </c>
      <c r="D755" t="s">
        <v>108</v>
      </c>
      <c r="E755" t="s">
        <v>109</v>
      </c>
      <c r="F755" t="s">
        <v>110</v>
      </c>
      <c r="G755" t="s">
        <v>111</v>
      </c>
      <c r="H755" t="s">
        <v>149</v>
      </c>
      <c r="I755" t="s">
        <v>150</v>
      </c>
      <c r="J755" t="s">
        <v>151</v>
      </c>
      <c r="K755" t="s">
        <v>152</v>
      </c>
      <c r="L755" t="s">
        <v>166</v>
      </c>
      <c r="M755" t="s">
        <v>171</v>
      </c>
      <c r="N755">
        <v>2</v>
      </c>
      <c r="O755" s="4">
        <v>5200</v>
      </c>
      <c r="P755" s="4">
        <v>7000</v>
      </c>
      <c r="Q755" s="7">
        <v>0</v>
      </c>
      <c r="R755" t="s">
        <v>184</v>
      </c>
      <c r="S755">
        <v>2</v>
      </c>
      <c r="T755">
        <v>14000</v>
      </c>
      <c r="U755">
        <v>0</v>
      </c>
      <c r="V755">
        <v>14000</v>
      </c>
      <c r="W755">
        <v>10400</v>
      </c>
      <c r="X755">
        <v>3600</v>
      </c>
      <c r="Y755" s="8">
        <v>0.25714285714285712</v>
      </c>
      <c r="Z755" t="s">
        <v>2997</v>
      </c>
      <c r="AA755" t="str">
        <f>IF(AND(SalesCleanTable[[#This Row],[Discount %]]&gt;0, SalesCleanTable[[#This Row],[Profit]]&lt;0), "Discount loss", "Safe")</f>
        <v>Safe</v>
      </c>
      <c r="AB755" s="25">
        <f>(SalesCleanTable[[#This Row],[Unit Price]] - SalesCleanTable[[#This Row],[Unit Cost]]) / SalesCleanTable[[#This Row],[Unit Price]]</f>
        <v>0.25714285714285712</v>
      </c>
      <c r="AC755" t="str">
        <f>IF(SalesCleanTable[[#This Row],[Discount %]] &gt; SalesCleanTable[[#This Row],[Max Allowed Discount]], "Discount loss", "Safe")</f>
        <v>Safe</v>
      </c>
      <c r="AD755" s="4">
        <f>SalesCleanTable[[#This Row],[Unit Price]] - SalesCleanTable[[#This Row],[Unit Cost]]</f>
        <v>1800</v>
      </c>
      <c r="AE755" s="41">
        <f>(SalesCleanTable[[#This Row],[Unit Price]] - SalesCleanTable[[#This Row],[Unit Cost]]) / SalesCleanTable[[#This Row],[Unit Price]]</f>
        <v>0.25714285714285712</v>
      </c>
    </row>
    <row r="756" spans="1:31">
      <c r="A756" t="s">
        <v>942</v>
      </c>
      <c r="B756" s="6">
        <v>45989</v>
      </c>
      <c r="C756" t="s">
        <v>49</v>
      </c>
      <c r="D756" t="s">
        <v>50</v>
      </c>
      <c r="E756" t="s">
        <v>38</v>
      </c>
      <c r="F756" t="s">
        <v>51</v>
      </c>
      <c r="G756" t="s">
        <v>52</v>
      </c>
      <c r="H756" t="s">
        <v>139</v>
      </c>
      <c r="I756" t="s">
        <v>140</v>
      </c>
      <c r="J756" t="s">
        <v>137</v>
      </c>
      <c r="K756" t="s">
        <v>138</v>
      </c>
      <c r="L756" t="s">
        <v>166</v>
      </c>
      <c r="M756" t="s">
        <v>171</v>
      </c>
      <c r="N756">
        <v>3</v>
      </c>
      <c r="O756" s="4">
        <v>550</v>
      </c>
      <c r="P756" s="4">
        <v>850</v>
      </c>
      <c r="Q756" s="7">
        <v>0.2</v>
      </c>
      <c r="R756" t="s">
        <v>178</v>
      </c>
      <c r="S756">
        <v>3</v>
      </c>
      <c r="T756">
        <v>2550</v>
      </c>
      <c r="U756">
        <v>510</v>
      </c>
      <c r="V756">
        <v>2040</v>
      </c>
      <c r="W756">
        <v>1650</v>
      </c>
      <c r="X756">
        <v>390</v>
      </c>
      <c r="Y756" s="8">
        <v>0.19117647058823528</v>
      </c>
      <c r="Z756" t="s">
        <v>2996</v>
      </c>
      <c r="AA756" t="str">
        <f>IF(AND(SalesCleanTable[[#This Row],[Discount %]]&gt;0, SalesCleanTable[[#This Row],[Profit]]&lt;0), "Discount loss", "Safe")</f>
        <v>Safe</v>
      </c>
      <c r="AB756" s="25">
        <f>(SalesCleanTable[[#This Row],[Unit Price]] - SalesCleanTable[[#This Row],[Unit Cost]]) / SalesCleanTable[[#This Row],[Unit Price]]</f>
        <v>0.35294117647058826</v>
      </c>
      <c r="AC756" t="str">
        <f>IF(SalesCleanTable[[#This Row],[Discount %]] &gt; SalesCleanTable[[#This Row],[Max Allowed Discount]], "Discount loss", "Safe")</f>
        <v>Safe</v>
      </c>
      <c r="AD756" s="4">
        <f>SalesCleanTable[[#This Row],[Unit Price]] - SalesCleanTable[[#This Row],[Unit Cost]]</f>
        <v>300</v>
      </c>
      <c r="AE756" s="41">
        <f>(SalesCleanTable[[#This Row],[Unit Price]] - SalesCleanTable[[#This Row],[Unit Cost]]) / SalesCleanTable[[#This Row],[Unit Price]]</f>
        <v>0.35294117647058826</v>
      </c>
    </row>
    <row r="757" spans="1:31">
      <c r="A757" t="s">
        <v>943</v>
      </c>
      <c r="B757" s="6">
        <v>45756</v>
      </c>
      <c r="C757" t="s">
        <v>53</v>
      </c>
      <c r="D757" t="s">
        <v>54</v>
      </c>
      <c r="E757" t="s">
        <v>38</v>
      </c>
      <c r="F757" t="s">
        <v>55</v>
      </c>
      <c r="G757" t="s">
        <v>56</v>
      </c>
      <c r="H757" t="s">
        <v>135</v>
      </c>
      <c r="I757" t="s">
        <v>136</v>
      </c>
      <c r="J757" t="s">
        <v>137</v>
      </c>
      <c r="K757" t="s">
        <v>138</v>
      </c>
      <c r="L757" t="s">
        <v>183</v>
      </c>
      <c r="M757" t="s">
        <v>171</v>
      </c>
      <c r="N757">
        <v>3</v>
      </c>
      <c r="O757" s="4">
        <v>330</v>
      </c>
      <c r="P757" s="4">
        <v>550</v>
      </c>
      <c r="Q757" s="7">
        <v>0.1</v>
      </c>
      <c r="R757" t="s">
        <v>168</v>
      </c>
      <c r="S757">
        <v>11</v>
      </c>
      <c r="T757">
        <v>1650</v>
      </c>
      <c r="U757">
        <v>165</v>
      </c>
      <c r="V757">
        <v>1485</v>
      </c>
      <c r="W757">
        <v>990</v>
      </c>
      <c r="X757">
        <v>495</v>
      </c>
      <c r="Y757" s="8">
        <v>0.33333333333333331</v>
      </c>
      <c r="Z757" t="s">
        <v>2996</v>
      </c>
      <c r="AA757" t="str">
        <f>IF(AND(SalesCleanTable[[#This Row],[Discount %]]&gt;0, SalesCleanTable[[#This Row],[Profit]]&lt;0), "Discount loss", "Safe")</f>
        <v>Safe</v>
      </c>
      <c r="AB757" s="25">
        <f>(SalesCleanTable[[#This Row],[Unit Price]] - SalesCleanTable[[#This Row],[Unit Cost]]) / SalesCleanTable[[#This Row],[Unit Price]]</f>
        <v>0.4</v>
      </c>
      <c r="AC757" t="str">
        <f>IF(SalesCleanTable[[#This Row],[Discount %]] &gt; SalesCleanTable[[#This Row],[Max Allowed Discount]], "Discount loss", "Safe")</f>
        <v>Safe</v>
      </c>
      <c r="AD757" s="4">
        <f>SalesCleanTable[[#This Row],[Unit Price]] - SalesCleanTable[[#This Row],[Unit Cost]]</f>
        <v>220</v>
      </c>
      <c r="AE757" s="41">
        <f>(SalesCleanTable[[#This Row],[Unit Price]] - SalesCleanTable[[#This Row],[Unit Cost]]) / SalesCleanTable[[#This Row],[Unit Price]]</f>
        <v>0.4</v>
      </c>
    </row>
    <row r="758" spans="1:31">
      <c r="A758" t="s">
        <v>944</v>
      </c>
      <c r="B758" s="6">
        <v>45808</v>
      </c>
      <c r="C758" t="s">
        <v>82</v>
      </c>
      <c r="D758" t="s">
        <v>83</v>
      </c>
      <c r="E758" t="s">
        <v>75</v>
      </c>
      <c r="F758" t="s">
        <v>84</v>
      </c>
      <c r="G758" t="s">
        <v>85</v>
      </c>
      <c r="H758" t="s">
        <v>135</v>
      </c>
      <c r="I758" t="s">
        <v>136</v>
      </c>
      <c r="J758" t="s">
        <v>137</v>
      </c>
      <c r="K758" t="s">
        <v>138</v>
      </c>
      <c r="L758" t="s">
        <v>183</v>
      </c>
      <c r="M758" t="s">
        <v>186</v>
      </c>
      <c r="N758">
        <v>2</v>
      </c>
      <c r="O758" s="4">
        <v>600</v>
      </c>
      <c r="P758" s="4">
        <v>950</v>
      </c>
      <c r="Q758" s="7">
        <v>0.2</v>
      </c>
      <c r="R758" t="s">
        <v>208</v>
      </c>
      <c r="S758">
        <v>13</v>
      </c>
      <c r="T758">
        <v>1900</v>
      </c>
      <c r="U758">
        <v>380</v>
      </c>
      <c r="V758">
        <v>1520</v>
      </c>
      <c r="W758">
        <v>1200</v>
      </c>
      <c r="X758">
        <v>320</v>
      </c>
      <c r="Y758" s="8">
        <v>0.21052631578947367</v>
      </c>
      <c r="Z758" t="s">
        <v>2996</v>
      </c>
      <c r="AA758" t="str">
        <f>IF(AND(SalesCleanTable[[#This Row],[Discount %]]&gt;0, SalesCleanTable[[#This Row],[Profit]]&lt;0), "Discount loss", "Safe")</f>
        <v>Safe</v>
      </c>
      <c r="AB758" s="25">
        <f>(SalesCleanTable[[#This Row],[Unit Price]] - SalesCleanTable[[#This Row],[Unit Cost]]) / SalesCleanTable[[#This Row],[Unit Price]]</f>
        <v>0.36842105263157893</v>
      </c>
      <c r="AC758" t="str">
        <f>IF(SalesCleanTable[[#This Row],[Discount %]] &gt; SalesCleanTable[[#This Row],[Max Allowed Discount]], "Discount loss", "Safe")</f>
        <v>Safe</v>
      </c>
      <c r="AD758" s="4">
        <f>SalesCleanTable[[#This Row],[Unit Price]] - SalesCleanTable[[#This Row],[Unit Cost]]</f>
        <v>350</v>
      </c>
      <c r="AE758" s="41">
        <f>(SalesCleanTable[[#This Row],[Unit Price]] - SalesCleanTable[[#This Row],[Unit Cost]]) / SalesCleanTable[[#This Row],[Unit Price]]</f>
        <v>0.36842105263157893</v>
      </c>
    </row>
    <row r="759" spans="1:31">
      <c r="A759" t="s">
        <v>945</v>
      </c>
      <c r="B759" s="6">
        <v>45740</v>
      </c>
      <c r="C759" t="s">
        <v>73</v>
      </c>
      <c r="D759" t="s">
        <v>74</v>
      </c>
      <c r="E759" t="s">
        <v>75</v>
      </c>
      <c r="F759" t="s">
        <v>76</v>
      </c>
      <c r="G759" t="s">
        <v>77</v>
      </c>
      <c r="H759" t="s">
        <v>135</v>
      </c>
      <c r="I759" t="s">
        <v>136</v>
      </c>
      <c r="J759" t="s">
        <v>137</v>
      </c>
      <c r="K759" t="s">
        <v>138</v>
      </c>
      <c r="L759" t="s">
        <v>166</v>
      </c>
      <c r="M759" t="s">
        <v>177</v>
      </c>
      <c r="N759">
        <v>4</v>
      </c>
      <c r="O759" s="4">
        <v>3500</v>
      </c>
      <c r="P759" s="4">
        <v>5200</v>
      </c>
      <c r="Q759" s="7">
        <v>0.1</v>
      </c>
      <c r="R759" t="s">
        <v>204</v>
      </c>
      <c r="S759">
        <v>8</v>
      </c>
      <c r="T759">
        <v>20800</v>
      </c>
      <c r="U759">
        <v>2080</v>
      </c>
      <c r="V759">
        <v>18720</v>
      </c>
      <c r="W759">
        <v>14000</v>
      </c>
      <c r="X759">
        <v>4720</v>
      </c>
      <c r="Y759" s="8">
        <v>0.25213675213675213</v>
      </c>
      <c r="Z759" t="s">
        <v>2996</v>
      </c>
      <c r="AA759" t="str">
        <f>IF(AND(SalesCleanTable[[#This Row],[Discount %]]&gt;0, SalesCleanTable[[#This Row],[Profit]]&lt;0), "Discount loss", "Safe")</f>
        <v>Safe</v>
      </c>
      <c r="AB759" s="25">
        <f>(SalesCleanTable[[#This Row],[Unit Price]] - SalesCleanTable[[#This Row],[Unit Cost]]) / SalesCleanTable[[#This Row],[Unit Price]]</f>
        <v>0.32692307692307693</v>
      </c>
      <c r="AC759" t="str">
        <f>IF(SalesCleanTable[[#This Row],[Discount %]] &gt; SalesCleanTable[[#This Row],[Max Allowed Discount]], "Discount loss", "Safe")</f>
        <v>Safe</v>
      </c>
      <c r="AD759" s="4">
        <f>SalesCleanTable[[#This Row],[Unit Price]] - SalesCleanTable[[#This Row],[Unit Cost]]</f>
        <v>1700</v>
      </c>
      <c r="AE759" s="41">
        <f>(SalesCleanTable[[#This Row],[Unit Price]] - SalesCleanTable[[#This Row],[Unit Cost]]) / SalesCleanTable[[#This Row],[Unit Price]]</f>
        <v>0.32692307692307693</v>
      </c>
    </row>
    <row r="760" spans="1:31">
      <c r="A760" t="s">
        <v>946</v>
      </c>
      <c r="B760" s="6">
        <v>45870</v>
      </c>
      <c r="C760" t="s">
        <v>112</v>
      </c>
      <c r="D760" t="s">
        <v>113</v>
      </c>
      <c r="E760" t="s">
        <v>109</v>
      </c>
      <c r="F760" t="s">
        <v>114</v>
      </c>
      <c r="G760" t="s">
        <v>115</v>
      </c>
      <c r="H760" t="s">
        <v>139</v>
      </c>
      <c r="I760" t="s">
        <v>140</v>
      </c>
      <c r="J760" t="s">
        <v>137</v>
      </c>
      <c r="K760" t="s">
        <v>138</v>
      </c>
      <c r="L760" t="s">
        <v>170</v>
      </c>
      <c r="M760" t="s">
        <v>186</v>
      </c>
      <c r="N760">
        <v>2</v>
      </c>
      <c r="O760" s="4">
        <v>1300</v>
      </c>
      <c r="P760" s="4">
        <v>2100</v>
      </c>
      <c r="Q760" s="7">
        <v>0.1</v>
      </c>
      <c r="R760" t="s">
        <v>220</v>
      </c>
      <c r="S760">
        <v>6</v>
      </c>
      <c r="T760">
        <v>4200</v>
      </c>
      <c r="U760">
        <v>420</v>
      </c>
      <c r="V760">
        <v>3780</v>
      </c>
      <c r="W760">
        <v>2600</v>
      </c>
      <c r="X760">
        <v>1180</v>
      </c>
      <c r="Y760" s="8">
        <v>0.31216931216931215</v>
      </c>
      <c r="Z760" t="s">
        <v>2995</v>
      </c>
      <c r="AA760" t="str">
        <f>IF(AND(SalesCleanTable[[#This Row],[Discount %]]&gt;0, SalesCleanTable[[#This Row],[Profit]]&lt;0), "Discount loss", "Safe")</f>
        <v>Safe</v>
      </c>
      <c r="AB760" s="25">
        <f>(SalesCleanTable[[#This Row],[Unit Price]] - SalesCleanTable[[#This Row],[Unit Cost]]) / SalesCleanTable[[#This Row],[Unit Price]]</f>
        <v>0.38095238095238093</v>
      </c>
      <c r="AC760" t="str">
        <f>IF(SalesCleanTable[[#This Row],[Discount %]] &gt; SalesCleanTable[[#This Row],[Max Allowed Discount]], "Discount loss", "Safe")</f>
        <v>Safe</v>
      </c>
      <c r="AD760" s="4">
        <f>SalesCleanTable[[#This Row],[Unit Price]] - SalesCleanTable[[#This Row],[Unit Cost]]</f>
        <v>800</v>
      </c>
      <c r="AE760" s="41">
        <f>(SalesCleanTable[[#This Row],[Unit Price]] - SalesCleanTable[[#This Row],[Unit Cost]]) / SalesCleanTable[[#This Row],[Unit Price]]</f>
        <v>0.38095238095238093</v>
      </c>
    </row>
    <row r="761" spans="1:31">
      <c r="A761" t="s">
        <v>947</v>
      </c>
      <c r="B761" s="6">
        <v>45747</v>
      </c>
      <c r="C761" t="s">
        <v>99</v>
      </c>
      <c r="D761" t="s">
        <v>100</v>
      </c>
      <c r="E761" t="s">
        <v>92</v>
      </c>
      <c r="F761" t="s">
        <v>101</v>
      </c>
      <c r="G761" t="s">
        <v>102</v>
      </c>
      <c r="H761" t="s">
        <v>149</v>
      </c>
      <c r="I761" t="s">
        <v>150</v>
      </c>
      <c r="J761" t="s">
        <v>151</v>
      </c>
      <c r="K761" t="s">
        <v>152</v>
      </c>
      <c r="L761" t="s">
        <v>166</v>
      </c>
      <c r="M761" t="s">
        <v>171</v>
      </c>
      <c r="N761">
        <v>1</v>
      </c>
      <c r="O761" s="4">
        <v>12500</v>
      </c>
      <c r="P761" s="4">
        <v>18500</v>
      </c>
      <c r="Q761" s="7">
        <v>0</v>
      </c>
      <c r="R761" t="s">
        <v>181</v>
      </c>
      <c r="S761">
        <v>9</v>
      </c>
      <c r="T761">
        <v>18500</v>
      </c>
      <c r="U761">
        <v>0</v>
      </c>
      <c r="V761">
        <v>18500</v>
      </c>
      <c r="W761">
        <v>12500</v>
      </c>
      <c r="X761">
        <v>6000</v>
      </c>
      <c r="Y761" s="8">
        <v>0.32432432432432434</v>
      </c>
      <c r="Z761" t="s">
        <v>2995</v>
      </c>
      <c r="AA761" t="str">
        <f>IF(AND(SalesCleanTable[[#This Row],[Discount %]]&gt;0, SalesCleanTable[[#This Row],[Profit]]&lt;0), "Discount loss", "Safe")</f>
        <v>Safe</v>
      </c>
      <c r="AB761" s="25">
        <f>(SalesCleanTable[[#This Row],[Unit Price]] - SalesCleanTable[[#This Row],[Unit Cost]]) / SalesCleanTable[[#This Row],[Unit Price]]</f>
        <v>0.32432432432432434</v>
      </c>
      <c r="AC761" t="str">
        <f>IF(SalesCleanTable[[#This Row],[Discount %]] &gt; SalesCleanTable[[#This Row],[Max Allowed Discount]], "Discount loss", "Safe")</f>
        <v>Safe</v>
      </c>
      <c r="AD761" s="4">
        <f>SalesCleanTable[[#This Row],[Unit Price]] - SalesCleanTable[[#This Row],[Unit Cost]]</f>
        <v>6000</v>
      </c>
      <c r="AE761" s="41">
        <f>(SalesCleanTable[[#This Row],[Unit Price]] - SalesCleanTable[[#This Row],[Unit Cost]]) / SalesCleanTable[[#This Row],[Unit Price]]</f>
        <v>0.32432432432432434</v>
      </c>
    </row>
    <row r="762" spans="1:31">
      <c r="A762" t="s">
        <v>948</v>
      </c>
      <c r="B762" s="6">
        <v>45790</v>
      </c>
      <c r="C762" t="s">
        <v>120</v>
      </c>
      <c r="D762" t="s">
        <v>121</v>
      </c>
      <c r="E762" t="s">
        <v>109</v>
      </c>
      <c r="F762" t="s">
        <v>93</v>
      </c>
      <c r="G762" t="s">
        <v>122</v>
      </c>
      <c r="H762" t="s">
        <v>145</v>
      </c>
      <c r="I762" t="s">
        <v>146</v>
      </c>
      <c r="J762" t="s">
        <v>147</v>
      </c>
      <c r="K762" t="s">
        <v>148</v>
      </c>
      <c r="L762" t="s">
        <v>166</v>
      </c>
      <c r="M762" t="s">
        <v>171</v>
      </c>
      <c r="N762">
        <v>4</v>
      </c>
      <c r="O762" s="4">
        <v>1700</v>
      </c>
      <c r="P762" s="4">
        <v>2800</v>
      </c>
      <c r="Q762" s="7">
        <v>0.2</v>
      </c>
      <c r="R762" t="s">
        <v>184</v>
      </c>
      <c r="S762">
        <v>14</v>
      </c>
      <c r="T762">
        <v>11200</v>
      </c>
      <c r="U762">
        <v>2240</v>
      </c>
      <c r="V762">
        <v>8960</v>
      </c>
      <c r="W762">
        <v>6800</v>
      </c>
      <c r="X762">
        <v>2160</v>
      </c>
      <c r="Y762" s="8">
        <v>0.24107142857142858</v>
      </c>
      <c r="Z762" t="s">
        <v>2997</v>
      </c>
      <c r="AA762" t="str">
        <f>IF(AND(SalesCleanTable[[#This Row],[Discount %]]&gt;0, SalesCleanTable[[#This Row],[Profit]]&lt;0), "Discount loss", "Safe")</f>
        <v>Safe</v>
      </c>
      <c r="AB762" s="25">
        <f>(SalesCleanTable[[#This Row],[Unit Price]] - SalesCleanTable[[#This Row],[Unit Cost]]) / SalesCleanTable[[#This Row],[Unit Price]]</f>
        <v>0.39285714285714285</v>
      </c>
      <c r="AC762" t="str">
        <f>IF(SalesCleanTable[[#This Row],[Discount %]] &gt; SalesCleanTable[[#This Row],[Max Allowed Discount]], "Discount loss", "Safe")</f>
        <v>Safe</v>
      </c>
      <c r="AD762" s="4">
        <f>SalesCleanTable[[#This Row],[Unit Price]] - SalesCleanTable[[#This Row],[Unit Cost]]</f>
        <v>1100</v>
      </c>
      <c r="AE762" s="41">
        <f>(SalesCleanTable[[#This Row],[Unit Price]] - SalesCleanTable[[#This Row],[Unit Cost]]) / SalesCleanTable[[#This Row],[Unit Price]]</f>
        <v>0.39285714285714285</v>
      </c>
    </row>
    <row r="763" spans="1:31">
      <c r="A763" t="s">
        <v>949</v>
      </c>
      <c r="B763" s="6">
        <v>46000</v>
      </c>
      <c r="C763" t="s">
        <v>32</v>
      </c>
      <c r="D763" t="s">
        <v>33</v>
      </c>
      <c r="E763" t="s">
        <v>26</v>
      </c>
      <c r="F763" t="s">
        <v>34</v>
      </c>
      <c r="G763" t="s">
        <v>35</v>
      </c>
      <c r="H763" t="s">
        <v>128</v>
      </c>
      <c r="I763" t="s">
        <v>129</v>
      </c>
      <c r="J763" t="s">
        <v>130</v>
      </c>
      <c r="K763" t="s">
        <v>131</v>
      </c>
      <c r="L763" t="s">
        <v>170</v>
      </c>
      <c r="M763" t="s">
        <v>171</v>
      </c>
      <c r="N763">
        <v>8</v>
      </c>
      <c r="O763" s="4">
        <v>7800</v>
      </c>
      <c r="P763" s="4">
        <v>9800</v>
      </c>
      <c r="Q763" s="7">
        <v>0.15</v>
      </c>
      <c r="R763" t="s">
        <v>197</v>
      </c>
      <c r="S763">
        <v>13</v>
      </c>
      <c r="T763">
        <v>78400</v>
      </c>
      <c r="U763">
        <v>11760</v>
      </c>
      <c r="V763">
        <v>66640</v>
      </c>
      <c r="W763">
        <v>62400</v>
      </c>
      <c r="X763">
        <v>4240</v>
      </c>
      <c r="Y763" s="8">
        <v>6.3625450180072027E-2</v>
      </c>
      <c r="Z763" t="s">
        <v>2995</v>
      </c>
      <c r="AA763" t="str">
        <f>IF(AND(SalesCleanTable[[#This Row],[Discount %]]&gt;0, SalesCleanTable[[#This Row],[Profit]]&lt;0), "Discount loss", "Safe")</f>
        <v>Safe</v>
      </c>
      <c r="AB763" s="25">
        <f>(SalesCleanTable[[#This Row],[Unit Price]] - SalesCleanTable[[#This Row],[Unit Cost]]) / SalesCleanTable[[#This Row],[Unit Price]]</f>
        <v>0.20408163265306123</v>
      </c>
      <c r="AC763" t="str">
        <f>IF(SalesCleanTable[[#This Row],[Discount %]] &gt; SalesCleanTable[[#This Row],[Max Allowed Discount]], "Discount loss", "Safe")</f>
        <v>Safe</v>
      </c>
      <c r="AD763" s="4">
        <f>SalesCleanTable[[#This Row],[Unit Price]] - SalesCleanTable[[#This Row],[Unit Cost]]</f>
        <v>2000</v>
      </c>
      <c r="AE763" s="41">
        <f>(SalesCleanTable[[#This Row],[Unit Price]] - SalesCleanTable[[#This Row],[Unit Cost]]) / SalesCleanTable[[#This Row],[Unit Price]]</f>
        <v>0.20408163265306123</v>
      </c>
    </row>
    <row r="764" spans="1:31">
      <c r="A764" t="s">
        <v>950</v>
      </c>
      <c r="B764" s="6">
        <v>45710</v>
      </c>
      <c r="C764" t="s">
        <v>99</v>
      </c>
      <c r="D764" t="s">
        <v>100</v>
      </c>
      <c r="E764" t="s">
        <v>92</v>
      </c>
      <c r="F764" t="s">
        <v>101</v>
      </c>
      <c r="G764" t="s">
        <v>102</v>
      </c>
      <c r="H764" t="s">
        <v>128</v>
      </c>
      <c r="I764" t="s">
        <v>129</v>
      </c>
      <c r="J764" t="s">
        <v>130</v>
      </c>
      <c r="K764" t="s">
        <v>131</v>
      </c>
      <c r="L764" t="s">
        <v>183</v>
      </c>
      <c r="M764" t="s">
        <v>171</v>
      </c>
      <c r="N764">
        <v>1</v>
      </c>
      <c r="O764" s="4">
        <v>12500</v>
      </c>
      <c r="P764" s="4">
        <v>18500</v>
      </c>
      <c r="Q764" s="7">
        <v>0.1</v>
      </c>
      <c r="R764" t="s">
        <v>181</v>
      </c>
      <c r="S764">
        <v>12</v>
      </c>
      <c r="T764">
        <v>18500</v>
      </c>
      <c r="U764">
        <v>1850</v>
      </c>
      <c r="V764">
        <v>16650</v>
      </c>
      <c r="W764">
        <v>12500</v>
      </c>
      <c r="X764">
        <v>4150</v>
      </c>
      <c r="Y764" s="8">
        <v>0.24924924924924924</v>
      </c>
      <c r="Z764" t="s">
        <v>2995</v>
      </c>
      <c r="AA764" t="str">
        <f>IF(AND(SalesCleanTable[[#This Row],[Discount %]]&gt;0, SalesCleanTable[[#This Row],[Profit]]&lt;0), "Discount loss", "Safe")</f>
        <v>Safe</v>
      </c>
      <c r="AB764" s="25">
        <f>(SalesCleanTable[[#This Row],[Unit Price]] - SalesCleanTable[[#This Row],[Unit Cost]]) / SalesCleanTable[[#This Row],[Unit Price]]</f>
        <v>0.32432432432432434</v>
      </c>
      <c r="AC764" t="str">
        <f>IF(SalesCleanTable[[#This Row],[Discount %]] &gt; SalesCleanTable[[#This Row],[Max Allowed Discount]], "Discount loss", "Safe")</f>
        <v>Safe</v>
      </c>
      <c r="AD764" s="4">
        <f>SalesCleanTable[[#This Row],[Unit Price]] - SalesCleanTable[[#This Row],[Unit Cost]]</f>
        <v>6000</v>
      </c>
      <c r="AE764" s="41">
        <f>(SalesCleanTable[[#This Row],[Unit Price]] - SalesCleanTable[[#This Row],[Unit Cost]]) / SalesCleanTable[[#This Row],[Unit Price]]</f>
        <v>0.32432432432432434</v>
      </c>
    </row>
    <row r="765" spans="1:31">
      <c r="A765" t="s">
        <v>951</v>
      </c>
      <c r="B765" s="6">
        <v>45884</v>
      </c>
      <c r="C765" t="s">
        <v>86</v>
      </c>
      <c r="D765" t="s">
        <v>87</v>
      </c>
      <c r="E765" t="s">
        <v>75</v>
      </c>
      <c r="F765" t="s">
        <v>88</v>
      </c>
      <c r="G765" t="s">
        <v>89</v>
      </c>
      <c r="H765" t="s">
        <v>139</v>
      </c>
      <c r="I765" t="s">
        <v>140</v>
      </c>
      <c r="J765" t="s">
        <v>137</v>
      </c>
      <c r="K765" t="s">
        <v>138</v>
      </c>
      <c r="L765" t="s">
        <v>166</v>
      </c>
      <c r="M765" t="s">
        <v>171</v>
      </c>
      <c r="N765">
        <v>6</v>
      </c>
      <c r="O765" s="4">
        <v>8500</v>
      </c>
      <c r="P765" s="4">
        <v>12500</v>
      </c>
      <c r="Q765" s="7">
        <v>0.05</v>
      </c>
      <c r="R765" t="s">
        <v>187</v>
      </c>
      <c r="S765">
        <v>14</v>
      </c>
      <c r="T765">
        <v>75000</v>
      </c>
      <c r="U765">
        <v>3750</v>
      </c>
      <c r="V765">
        <v>71250</v>
      </c>
      <c r="W765">
        <v>51000</v>
      </c>
      <c r="X765">
        <v>20250</v>
      </c>
      <c r="Y765" s="8">
        <v>0.28421052631578947</v>
      </c>
      <c r="Z765" t="s">
        <v>2997</v>
      </c>
      <c r="AA765" t="str">
        <f>IF(AND(SalesCleanTable[[#This Row],[Discount %]]&gt;0, SalesCleanTable[[#This Row],[Profit]]&lt;0), "Discount loss", "Safe")</f>
        <v>Safe</v>
      </c>
      <c r="AB765" s="25">
        <f>(SalesCleanTable[[#This Row],[Unit Price]] - SalesCleanTable[[#This Row],[Unit Cost]]) / SalesCleanTable[[#This Row],[Unit Price]]</f>
        <v>0.32</v>
      </c>
      <c r="AC765" t="str">
        <f>IF(SalesCleanTable[[#This Row],[Discount %]] &gt; SalesCleanTable[[#This Row],[Max Allowed Discount]], "Discount loss", "Safe")</f>
        <v>Safe</v>
      </c>
      <c r="AD765" s="4">
        <f>SalesCleanTable[[#This Row],[Unit Price]] - SalesCleanTable[[#This Row],[Unit Cost]]</f>
        <v>4000</v>
      </c>
      <c r="AE765" s="41">
        <f>(SalesCleanTable[[#This Row],[Unit Price]] - SalesCleanTable[[#This Row],[Unit Cost]]) / SalesCleanTable[[#This Row],[Unit Price]]</f>
        <v>0.32</v>
      </c>
    </row>
    <row r="766" spans="1:31">
      <c r="A766" t="s">
        <v>952</v>
      </c>
      <c r="B766" s="6">
        <v>45870</v>
      </c>
      <c r="C766" t="s">
        <v>90</v>
      </c>
      <c r="D766" t="s">
        <v>91</v>
      </c>
      <c r="E766" t="s">
        <v>92</v>
      </c>
      <c r="F766" t="s">
        <v>93</v>
      </c>
      <c r="G766" t="s">
        <v>94</v>
      </c>
      <c r="H766" t="s">
        <v>128</v>
      </c>
      <c r="I766" t="s">
        <v>129</v>
      </c>
      <c r="J766" t="s">
        <v>130</v>
      </c>
      <c r="K766" t="s">
        <v>131</v>
      </c>
      <c r="L766" t="s">
        <v>166</v>
      </c>
      <c r="M766" t="s">
        <v>177</v>
      </c>
      <c r="N766">
        <v>5</v>
      </c>
      <c r="O766" s="4">
        <v>7500</v>
      </c>
      <c r="P766" s="4">
        <v>10500</v>
      </c>
      <c r="Q766" s="7">
        <v>0.15</v>
      </c>
      <c r="R766" t="s">
        <v>217</v>
      </c>
      <c r="S766">
        <v>6</v>
      </c>
      <c r="T766">
        <v>52500</v>
      </c>
      <c r="U766">
        <v>7875</v>
      </c>
      <c r="V766">
        <v>44625</v>
      </c>
      <c r="W766">
        <v>37500</v>
      </c>
      <c r="X766">
        <v>7125</v>
      </c>
      <c r="Y766" s="8">
        <v>0.15966386554621848</v>
      </c>
      <c r="Z766" t="s">
        <v>2996</v>
      </c>
      <c r="AA766" t="str">
        <f>IF(AND(SalesCleanTable[[#This Row],[Discount %]]&gt;0, SalesCleanTable[[#This Row],[Profit]]&lt;0), "Discount loss", "Safe")</f>
        <v>Safe</v>
      </c>
      <c r="AB766" s="25">
        <f>(SalesCleanTable[[#This Row],[Unit Price]] - SalesCleanTable[[#This Row],[Unit Cost]]) / SalesCleanTable[[#This Row],[Unit Price]]</f>
        <v>0.2857142857142857</v>
      </c>
      <c r="AC766" t="str">
        <f>IF(SalesCleanTable[[#This Row],[Discount %]] &gt; SalesCleanTable[[#This Row],[Max Allowed Discount]], "Discount loss", "Safe")</f>
        <v>Safe</v>
      </c>
      <c r="AD766" s="4">
        <f>SalesCleanTable[[#This Row],[Unit Price]] - SalesCleanTable[[#This Row],[Unit Cost]]</f>
        <v>3000</v>
      </c>
      <c r="AE766" s="41">
        <f>(SalesCleanTable[[#This Row],[Unit Price]] - SalesCleanTable[[#This Row],[Unit Cost]]) / SalesCleanTable[[#This Row],[Unit Price]]</f>
        <v>0.2857142857142857</v>
      </c>
    </row>
    <row r="767" spans="1:31">
      <c r="A767" t="s">
        <v>953</v>
      </c>
      <c r="B767" s="6">
        <v>45870</v>
      </c>
      <c r="C767" t="s">
        <v>49</v>
      </c>
      <c r="D767" t="s">
        <v>50</v>
      </c>
      <c r="E767" t="s">
        <v>38</v>
      </c>
      <c r="F767" t="s">
        <v>51</v>
      </c>
      <c r="G767" t="s">
        <v>52</v>
      </c>
      <c r="H767" t="s">
        <v>141</v>
      </c>
      <c r="I767" t="s">
        <v>142</v>
      </c>
      <c r="J767" t="s">
        <v>143</v>
      </c>
      <c r="K767" t="s">
        <v>144</v>
      </c>
      <c r="L767" t="s">
        <v>166</v>
      </c>
      <c r="M767" t="s">
        <v>167</v>
      </c>
      <c r="N767">
        <v>1</v>
      </c>
      <c r="O767" s="4">
        <v>550</v>
      </c>
      <c r="P767" s="4">
        <v>850</v>
      </c>
      <c r="Q767" s="7">
        <v>0.1</v>
      </c>
      <c r="R767" t="s">
        <v>175</v>
      </c>
      <c r="S767">
        <v>7</v>
      </c>
      <c r="T767">
        <v>850</v>
      </c>
      <c r="U767">
        <v>85</v>
      </c>
      <c r="V767">
        <v>765</v>
      </c>
      <c r="W767">
        <v>550</v>
      </c>
      <c r="X767">
        <v>215</v>
      </c>
      <c r="Y767" s="8">
        <v>0.28104575163398693</v>
      </c>
      <c r="Z767" t="s">
        <v>2996</v>
      </c>
      <c r="AA767" t="str">
        <f>IF(AND(SalesCleanTable[[#This Row],[Discount %]]&gt;0, SalesCleanTable[[#This Row],[Profit]]&lt;0), "Discount loss", "Safe")</f>
        <v>Safe</v>
      </c>
      <c r="AB767" s="25">
        <f>(SalesCleanTable[[#This Row],[Unit Price]] - SalesCleanTable[[#This Row],[Unit Cost]]) / SalesCleanTable[[#This Row],[Unit Price]]</f>
        <v>0.35294117647058826</v>
      </c>
      <c r="AC767" t="str">
        <f>IF(SalesCleanTable[[#This Row],[Discount %]] &gt; SalesCleanTable[[#This Row],[Max Allowed Discount]], "Discount loss", "Safe")</f>
        <v>Safe</v>
      </c>
      <c r="AD767" s="4">
        <f>SalesCleanTable[[#This Row],[Unit Price]] - SalesCleanTable[[#This Row],[Unit Cost]]</f>
        <v>300</v>
      </c>
      <c r="AE767" s="41">
        <f>(SalesCleanTable[[#This Row],[Unit Price]] - SalesCleanTable[[#This Row],[Unit Cost]]) / SalesCleanTable[[#This Row],[Unit Price]]</f>
        <v>0.35294117647058826</v>
      </c>
    </row>
    <row r="768" spans="1:31">
      <c r="A768" t="s">
        <v>954</v>
      </c>
      <c r="B768" s="6">
        <v>45892</v>
      </c>
      <c r="C768" t="s">
        <v>112</v>
      </c>
      <c r="D768" t="s">
        <v>113</v>
      </c>
      <c r="E768" t="s">
        <v>109</v>
      </c>
      <c r="F768" t="s">
        <v>114</v>
      </c>
      <c r="G768" t="s">
        <v>115</v>
      </c>
      <c r="H768" t="s">
        <v>139</v>
      </c>
      <c r="I768" t="s">
        <v>140</v>
      </c>
      <c r="J768" t="s">
        <v>137</v>
      </c>
      <c r="K768" t="s">
        <v>138</v>
      </c>
      <c r="L768" t="s">
        <v>166</v>
      </c>
      <c r="M768" t="s">
        <v>171</v>
      </c>
      <c r="N768">
        <v>4</v>
      </c>
      <c r="O768" s="4">
        <v>1300</v>
      </c>
      <c r="P768" s="4">
        <v>2100</v>
      </c>
      <c r="Q768" s="7">
        <v>0.2</v>
      </c>
      <c r="R768" t="s">
        <v>184</v>
      </c>
      <c r="S768">
        <v>13</v>
      </c>
      <c r="T768">
        <v>8400</v>
      </c>
      <c r="U768">
        <v>1680</v>
      </c>
      <c r="V768">
        <v>6720</v>
      </c>
      <c r="W768">
        <v>5200</v>
      </c>
      <c r="X768">
        <v>1520</v>
      </c>
      <c r="Y768" s="8">
        <v>0.22619047619047619</v>
      </c>
      <c r="Z768" t="s">
        <v>2995</v>
      </c>
      <c r="AA768" t="str">
        <f>IF(AND(SalesCleanTable[[#This Row],[Discount %]]&gt;0, SalesCleanTable[[#This Row],[Profit]]&lt;0), "Discount loss", "Safe")</f>
        <v>Safe</v>
      </c>
      <c r="AB768" s="25">
        <f>(SalesCleanTable[[#This Row],[Unit Price]] - SalesCleanTable[[#This Row],[Unit Cost]]) / SalesCleanTable[[#This Row],[Unit Price]]</f>
        <v>0.38095238095238093</v>
      </c>
      <c r="AC768" t="str">
        <f>IF(SalesCleanTable[[#This Row],[Discount %]] &gt; SalesCleanTable[[#This Row],[Max Allowed Discount]], "Discount loss", "Safe")</f>
        <v>Safe</v>
      </c>
      <c r="AD768" s="4">
        <f>SalesCleanTable[[#This Row],[Unit Price]] - SalesCleanTable[[#This Row],[Unit Cost]]</f>
        <v>800</v>
      </c>
      <c r="AE768" s="41">
        <f>(SalesCleanTable[[#This Row],[Unit Price]] - SalesCleanTable[[#This Row],[Unit Cost]]) / SalesCleanTable[[#This Row],[Unit Price]]</f>
        <v>0.38095238095238093</v>
      </c>
    </row>
    <row r="769" spans="1:31">
      <c r="A769" t="s">
        <v>955</v>
      </c>
      <c r="B769" s="6">
        <v>45693</v>
      </c>
      <c r="C769" t="s">
        <v>29</v>
      </c>
      <c r="D769" t="s">
        <v>30</v>
      </c>
      <c r="E769" t="s">
        <v>26</v>
      </c>
      <c r="F769" t="s">
        <v>27</v>
      </c>
      <c r="G769" t="s">
        <v>31</v>
      </c>
      <c r="H769" t="s">
        <v>135</v>
      </c>
      <c r="I769" t="s">
        <v>136</v>
      </c>
      <c r="J769" t="s">
        <v>137</v>
      </c>
      <c r="K769" t="s">
        <v>138</v>
      </c>
      <c r="L769" t="s">
        <v>166</v>
      </c>
      <c r="M769" t="s">
        <v>171</v>
      </c>
      <c r="N769">
        <v>10</v>
      </c>
      <c r="O769" s="4">
        <v>6200</v>
      </c>
      <c r="P769" s="4">
        <v>7900</v>
      </c>
      <c r="Q769" s="7">
        <v>0</v>
      </c>
      <c r="R769" t="s">
        <v>173</v>
      </c>
      <c r="S769">
        <v>11</v>
      </c>
      <c r="T769">
        <v>79000</v>
      </c>
      <c r="U769">
        <v>0</v>
      </c>
      <c r="V769">
        <v>79000</v>
      </c>
      <c r="W769">
        <v>62000</v>
      </c>
      <c r="X769">
        <v>17000</v>
      </c>
      <c r="Y769" s="8">
        <v>0.21518987341772153</v>
      </c>
      <c r="Z769" t="s">
        <v>2996</v>
      </c>
      <c r="AA769" t="str">
        <f>IF(AND(SalesCleanTable[[#This Row],[Discount %]]&gt;0, SalesCleanTable[[#This Row],[Profit]]&lt;0), "Discount loss", "Safe")</f>
        <v>Safe</v>
      </c>
      <c r="AB769" s="25">
        <f>(SalesCleanTable[[#This Row],[Unit Price]] - SalesCleanTable[[#This Row],[Unit Cost]]) / SalesCleanTable[[#This Row],[Unit Price]]</f>
        <v>0.21518987341772153</v>
      </c>
      <c r="AC769" t="str">
        <f>IF(SalesCleanTable[[#This Row],[Discount %]] &gt; SalesCleanTable[[#This Row],[Max Allowed Discount]], "Discount loss", "Safe")</f>
        <v>Safe</v>
      </c>
      <c r="AD769" s="4">
        <f>SalesCleanTable[[#This Row],[Unit Price]] - SalesCleanTable[[#This Row],[Unit Cost]]</f>
        <v>1700</v>
      </c>
      <c r="AE769" s="41">
        <f>(SalesCleanTable[[#This Row],[Unit Price]] - SalesCleanTable[[#This Row],[Unit Cost]]) / SalesCleanTable[[#This Row],[Unit Price]]</f>
        <v>0.21518987341772153</v>
      </c>
    </row>
    <row r="770" spans="1:31">
      <c r="A770" t="s">
        <v>956</v>
      </c>
      <c r="B770" s="6">
        <v>45952</v>
      </c>
      <c r="C770" t="s">
        <v>29</v>
      </c>
      <c r="D770" t="s">
        <v>30</v>
      </c>
      <c r="E770" t="s">
        <v>26</v>
      </c>
      <c r="F770" t="s">
        <v>27</v>
      </c>
      <c r="G770" t="s">
        <v>31</v>
      </c>
      <c r="H770" t="s">
        <v>141</v>
      </c>
      <c r="I770" t="s">
        <v>142</v>
      </c>
      <c r="J770" t="s">
        <v>143</v>
      </c>
      <c r="K770" t="s">
        <v>144</v>
      </c>
      <c r="L770" t="s">
        <v>166</v>
      </c>
      <c r="M770" t="s">
        <v>167</v>
      </c>
      <c r="N770">
        <v>4</v>
      </c>
      <c r="O770" s="4">
        <v>6200</v>
      </c>
      <c r="P770" s="4">
        <v>7900</v>
      </c>
      <c r="Q770" s="7">
        <v>0.1</v>
      </c>
      <c r="R770" t="s">
        <v>194</v>
      </c>
      <c r="S770">
        <v>11</v>
      </c>
      <c r="T770">
        <v>31600</v>
      </c>
      <c r="U770">
        <v>3160</v>
      </c>
      <c r="V770">
        <v>28440</v>
      </c>
      <c r="W770">
        <v>24800</v>
      </c>
      <c r="X770">
        <v>3640</v>
      </c>
      <c r="Y770" s="8">
        <v>0.12798874824191281</v>
      </c>
      <c r="Z770" t="s">
        <v>2996</v>
      </c>
      <c r="AA770" t="str">
        <f>IF(AND(SalesCleanTable[[#This Row],[Discount %]]&gt;0, SalesCleanTable[[#This Row],[Profit]]&lt;0), "Discount loss", "Safe")</f>
        <v>Safe</v>
      </c>
      <c r="AB770" s="25">
        <f>(SalesCleanTable[[#This Row],[Unit Price]] - SalesCleanTable[[#This Row],[Unit Cost]]) / SalesCleanTable[[#This Row],[Unit Price]]</f>
        <v>0.21518987341772153</v>
      </c>
      <c r="AC770" t="str">
        <f>IF(SalesCleanTable[[#This Row],[Discount %]] &gt; SalesCleanTable[[#This Row],[Max Allowed Discount]], "Discount loss", "Safe")</f>
        <v>Safe</v>
      </c>
      <c r="AD770" s="4">
        <f>SalesCleanTable[[#This Row],[Unit Price]] - SalesCleanTable[[#This Row],[Unit Cost]]</f>
        <v>1700</v>
      </c>
      <c r="AE770" s="41">
        <f>(SalesCleanTable[[#This Row],[Unit Price]] - SalesCleanTable[[#This Row],[Unit Cost]]) / SalesCleanTable[[#This Row],[Unit Price]]</f>
        <v>0.21518987341772153</v>
      </c>
    </row>
    <row r="771" spans="1:31">
      <c r="A771" t="s">
        <v>957</v>
      </c>
      <c r="B771" s="6">
        <v>45813</v>
      </c>
      <c r="C771" t="s">
        <v>82</v>
      </c>
      <c r="D771" t="s">
        <v>83</v>
      </c>
      <c r="E771" t="s">
        <v>75</v>
      </c>
      <c r="F771" t="s">
        <v>84</v>
      </c>
      <c r="G771" t="s">
        <v>85</v>
      </c>
      <c r="H771" t="s">
        <v>135</v>
      </c>
      <c r="I771" t="s">
        <v>136</v>
      </c>
      <c r="J771" t="s">
        <v>137</v>
      </c>
      <c r="K771" t="s">
        <v>138</v>
      </c>
      <c r="L771" t="s">
        <v>183</v>
      </c>
      <c r="M771" t="s">
        <v>171</v>
      </c>
      <c r="N771">
        <v>2</v>
      </c>
      <c r="O771" s="4">
        <v>600</v>
      </c>
      <c r="P771" s="4">
        <v>950</v>
      </c>
      <c r="Q771" s="7">
        <v>0.15</v>
      </c>
      <c r="R771" t="s">
        <v>187</v>
      </c>
      <c r="S771">
        <v>12</v>
      </c>
      <c r="T771">
        <v>1900</v>
      </c>
      <c r="U771">
        <v>285</v>
      </c>
      <c r="V771">
        <v>1615</v>
      </c>
      <c r="W771">
        <v>1200</v>
      </c>
      <c r="X771">
        <v>415</v>
      </c>
      <c r="Y771" s="8">
        <v>0.25696594427244585</v>
      </c>
      <c r="Z771" t="s">
        <v>2996</v>
      </c>
      <c r="AA771" t="str">
        <f>IF(AND(SalesCleanTable[[#This Row],[Discount %]]&gt;0, SalesCleanTable[[#This Row],[Profit]]&lt;0), "Discount loss", "Safe")</f>
        <v>Safe</v>
      </c>
      <c r="AB771" s="25">
        <f>(SalesCleanTable[[#This Row],[Unit Price]] - SalesCleanTable[[#This Row],[Unit Cost]]) / SalesCleanTable[[#This Row],[Unit Price]]</f>
        <v>0.36842105263157893</v>
      </c>
      <c r="AC771" t="str">
        <f>IF(SalesCleanTable[[#This Row],[Discount %]] &gt; SalesCleanTable[[#This Row],[Max Allowed Discount]], "Discount loss", "Safe")</f>
        <v>Safe</v>
      </c>
      <c r="AD771" s="4">
        <f>SalesCleanTable[[#This Row],[Unit Price]] - SalesCleanTable[[#This Row],[Unit Cost]]</f>
        <v>350</v>
      </c>
      <c r="AE771" s="41">
        <f>(SalesCleanTable[[#This Row],[Unit Price]] - SalesCleanTable[[#This Row],[Unit Cost]]) / SalesCleanTable[[#This Row],[Unit Price]]</f>
        <v>0.36842105263157893</v>
      </c>
    </row>
    <row r="772" spans="1:31">
      <c r="A772" t="s">
        <v>958</v>
      </c>
      <c r="B772" s="6">
        <v>45987</v>
      </c>
      <c r="C772" t="s">
        <v>41</v>
      </c>
      <c r="D772" t="s">
        <v>42</v>
      </c>
      <c r="E772" t="s">
        <v>26</v>
      </c>
      <c r="F772" t="s">
        <v>43</v>
      </c>
      <c r="G772" t="s">
        <v>44</v>
      </c>
      <c r="H772" t="s">
        <v>139</v>
      </c>
      <c r="I772" t="s">
        <v>140</v>
      </c>
      <c r="J772" t="s">
        <v>137</v>
      </c>
      <c r="K772" t="s">
        <v>138</v>
      </c>
      <c r="L772" t="s">
        <v>183</v>
      </c>
      <c r="M772" t="s">
        <v>171</v>
      </c>
      <c r="N772">
        <v>5</v>
      </c>
      <c r="O772" s="4">
        <v>850</v>
      </c>
      <c r="P772" s="4">
        <v>1300</v>
      </c>
      <c r="Q772" s="7">
        <v>0.1</v>
      </c>
      <c r="R772" t="s">
        <v>173</v>
      </c>
      <c r="S772">
        <v>7</v>
      </c>
      <c r="T772">
        <v>6500</v>
      </c>
      <c r="U772">
        <v>650</v>
      </c>
      <c r="V772">
        <v>5850</v>
      </c>
      <c r="W772">
        <v>4250</v>
      </c>
      <c r="X772">
        <v>1600</v>
      </c>
      <c r="Y772" s="8">
        <v>0.27350427350427353</v>
      </c>
      <c r="Z772" t="s">
        <v>2995</v>
      </c>
      <c r="AA772" t="str">
        <f>IF(AND(SalesCleanTable[[#This Row],[Discount %]]&gt;0, SalesCleanTable[[#This Row],[Profit]]&lt;0), "Discount loss", "Safe")</f>
        <v>Safe</v>
      </c>
      <c r="AB772" s="25">
        <f>(SalesCleanTable[[#This Row],[Unit Price]] - SalesCleanTable[[#This Row],[Unit Cost]]) / SalesCleanTable[[#This Row],[Unit Price]]</f>
        <v>0.34615384615384615</v>
      </c>
      <c r="AC772" t="str">
        <f>IF(SalesCleanTable[[#This Row],[Discount %]] &gt; SalesCleanTable[[#This Row],[Max Allowed Discount]], "Discount loss", "Safe")</f>
        <v>Safe</v>
      </c>
      <c r="AD772" s="4">
        <f>SalesCleanTable[[#This Row],[Unit Price]] - SalesCleanTable[[#This Row],[Unit Cost]]</f>
        <v>450</v>
      </c>
      <c r="AE772" s="41">
        <f>(SalesCleanTable[[#This Row],[Unit Price]] - SalesCleanTable[[#This Row],[Unit Cost]]) / SalesCleanTable[[#This Row],[Unit Price]]</f>
        <v>0.34615384615384615</v>
      </c>
    </row>
    <row r="773" spans="1:31">
      <c r="A773" t="s">
        <v>959</v>
      </c>
      <c r="B773" s="6">
        <v>45812</v>
      </c>
      <c r="C773" t="s">
        <v>29</v>
      </c>
      <c r="D773" t="s">
        <v>30</v>
      </c>
      <c r="E773" t="s">
        <v>26</v>
      </c>
      <c r="F773" t="s">
        <v>27</v>
      </c>
      <c r="G773" t="s">
        <v>31</v>
      </c>
      <c r="H773" t="s">
        <v>139</v>
      </c>
      <c r="I773" t="s">
        <v>140</v>
      </c>
      <c r="J773" t="s">
        <v>137</v>
      </c>
      <c r="K773" t="s">
        <v>138</v>
      </c>
      <c r="L773" t="s">
        <v>183</v>
      </c>
      <c r="M773" t="s">
        <v>171</v>
      </c>
      <c r="N773">
        <v>2</v>
      </c>
      <c r="O773" s="4">
        <v>6200</v>
      </c>
      <c r="P773" s="4">
        <v>7900</v>
      </c>
      <c r="Q773" s="7">
        <v>0.1</v>
      </c>
      <c r="R773" t="s">
        <v>173</v>
      </c>
      <c r="S773">
        <v>5</v>
      </c>
      <c r="T773">
        <v>15800</v>
      </c>
      <c r="U773">
        <v>1580</v>
      </c>
      <c r="V773">
        <v>14220</v>
      </c>
      <c r="W773">
        <v>12400</v>
      </c>
      <c r="X773">
        <v>1820</v>
      </c>
      <c r="Y773" s="8">
        <v>0.12798874824191281</v>
      </c>
      <c r="Z773" t="s">
        <v>2996</v>
      </c>
      <c r="AA773" t="str">
        <f>IF(AND(SalesCleanTable[[#This Row],[Discount %]]&gt;0, SalesCleanTable[[#This Row],[Profit]]&lt;0), "Discount loss", "Safe")</f>
        <v>Safe</v>
      </c>
      <c r="AB773" s="25">
        <f>(SalesCleanTable[[#This Row],[Unit Price]] - SalesCleanTable[[#This Row],[Unit Cost]]) / SalesCleanTable[[#This Row],[Unit Price]]</f>
        <v>0.21518987341772153</v>
      </c>
      <c r="AC773" t="str">
        <f>IF(SalesCleanTable[[#This Row],[Discount %]] &gt; SalesCleanTable[[#This Row],[Max Allowed Discount]], "Discount loss", "Safe")</f>
        <v>Safe</v>
      </c>
      <c r="AD773" s="4">
        <f>SalesCleanTable[[#This Row],[Unit Price]] - SalesCleanTable[[#This Row],[Unit Cost]]</f>
        <v>1700</v>
      </c>
      <c r="AE773" s="41">
        <f>(SalesCleanTable[[#This Row],[Unit Price]] - SalesCleanTable[[#This Row],[Unit Cost]]) / SalesCleanTable[[#This Row],[Unit Price]]</f>
        <v>0.21518987341772153</v>
      </c>
    </row>
    <row r="774" spans="1:31">
      <c r="A774" t="s">
        <v>960</v>
      </c>
      <c r="B774" s="6">
        <v>45919</v>
      </c>
      <c r="C774" t="s">
        <v>62</v>
      </c>
      <c r="D774" t="s">
        <v>63</v>
      </c>
      <c r="E774" t="s">
        <v>59</v>
      </c>
      <c r="F774" t="s">
        <v>64</v>
      </c>
      <c r="G774" t="s">
        <v>65</v>
      </c>
      <c r="H774" t="s">
        <v>139</v>
      </c>
      <c r="I774" t="s">
        <v>140</v>
      </c>
      <c r="J774" t="s">
        <v>137</v>
      </c>
      <c r="K774" t="s">
        <v>138</v>
      </c>
      <c r="L774" t="s">
        <v>166</v>
      </c>
      <c r="M774" t="s">
        <v>171</v>
      </c>
      <c r="N774">
        <v>4</v>
      </c>
      <c r="O774" s="4">
        <v>3200</v>
      </c>
      <c r="P774" s="4">
        <v>4500</v>
      </c>
      <c r="Q774" s="7">
        <v>0</v>
      </c>
      <c r="R774" t="s">
        <v>173</v>
      </c>
      <c r="S774">
        <v>5</v>
      </c>
      <c r="T774">
        <v>18000</v>
      </c>
      <c r="U774">
        <v>0</v>
      </c>
      <c r="V774">
        <v>18000</v>
      </c>
      <c r="W774">
        <v>12800</v>
      </c>
      <c r="X774">
        <v>5200</v>
      </c>
      <c r="Y774" s="8">
        <v>0.28888888888888886</v>
      </c>
      <c r="Z774" t="s">
        <v>2996</v>
      </c>
      <c r="AA774" t="str">
        <f>IF(AND(SalesCleanTable[[#This Row],[Discount %]]&gt;0, SalesCleanTable[[#This Row],[Profit]]&lt;0), "Discount loss", "Safe")</f>
        <v>Safe</v>
      </c>
      <c r="AB774" s="25">
        <f>(SalesCleanTable[[#This Row],[Unit Price]] - SalesCleanTable[[#This Row],[Unit Cost]]) / SalesCleanTable[[#This Row],[Unit Price]]</f>
        <v>0.28888888888888886</v>
      </c>
      <c r="AC774" t="str">
        <f>IF(SalesCleanTable[[#This Row],[Discount %]] &gt; SalesCleanTable[[#This Row],[Max Allowed Discount]], "Discount loss", "Safe")</f>
        <v>Safe</v>
      </c>
      <c r="AD774" s="4">
        <f>SalesCleanTable[[#This Row],[Unit Price]] - SalesCleanTable[[#This Row],[Unit Cost]]</f>
        <v>1300</v>
      </c>
      <c r="AE774" s="41">
        <f>(SalesCleanTable[[#This Row],[Unit Price]] - SalesCleanTable[[#This Row],[Unit Cost]]) / SalesCleanTable[[#This Row],[Unit Price]]</f>
        <v>0.28888888888888886</v>
      </c>
    </row>
    <row r="775" spans="1:31">
      <c r="A775" t="s">
        <v>961</v>
      </c>
      <c r="B775" s="6">
        <v>45813</v>
      </c>
      <c r="C775" t="s">
        <v>82</v>
      </c>
      <c r="D775" t="s">
        <v>83</v>
      </c>
      <c r="E775" t="s">
        <v>75</v>
      </c>
      <c r="F775" t="s">
        <v>84</v>
      </c>
      <c r="G775" t="s">
        <v>85</v>
      </c>
      <c r="H775" t="s">
        <v>153</v>
      </c>
      <c r="I775" t="s">
        <v>154</v>
      </c>
      <c r="J775" t="s">
        <v>155</v>
      </c>
      <c r="K775" t="s">
        <v>131</v>
      </c>
      <c r="L775" t="s">
        <v>166</v>
      </c>
      <c r="M775" t="s">
        <v>171</v>
      </c>
      <c r="N775">
        <v>1</v>
      </c>
      <c r="O775" s="4">
        <v>600</v>
      </c>
      <c r="P775" s="4">
        <v>950</v>
      </c>
      <c r="Q775" s="7">
        <v>0</v>
      </c>
      <c r="R775" t="s">
        <v>208</v>
      </c>
      <c r="S775">
        <v>2</v>
      </c>
      <c r="T775">
        <v>950</v>
      </c>
      <c r="U775">
        <v>0</v>
      </c>
      <c r="V775">
        <v>950</v>
      </c>
      <c r="W775">
        <v>600</v>
      </c>
      <c r="X775">
        <v>350</v>
      </c>
      <c r="Y775" s="8">
        <v>0.36842105263157893</v>
      </c>
      <c r="Z775" t="s">
        <v>2996</v>
      </c>
      <c r="AA775" t="str">
        <f>IF(AND(SalesCleanTable[[#This Row],[Discount %]]&gt;0, SalesCleanTable[[#This Row],[Profit]]&lt;0), "Discount loss", "Safe")</f>
        <v>Safe</v>
      </c>
      <c r="AB775" s="25">
        <f>(SalesCleanTable[[#This Row],[Unit Price]] - SalesCleanTable[[#This Row],[Unit Cost]]) / SalesCleanTable[[#This Row],[Unit Price]]</f>
        <v>0.36842105263157893</v>
      </c>
      <c r="AC775" t="str">
        <f>IF(SalesCleanTable[[#This Row],[Discount %]] &gt; SalesCleanTable[[#This Row],[Max Allowed Discount]], "Discount loss", "Safe")</f>
        <v>Safe</v>
      </c>
      <c r="AD775" s="4">
        <f>SalesCleanTable[[#This Row],[Unit Price]] - SalesCleanTable[[#This Row],[Unit Cost]]</f>
        <v>350</v>
      </c>
      <c r="AE775" s="41">
        <f>(SalesCleanTable[[#This Row],[Unit Price]] - SalesCleanTable[[#This Row],[Unit Cost]]) / SalesCleanTable[[#This Row],[Unit Price]]</f>
        <v>0.36842105263157893</v>
      </c>
    </row>
    <row r="776" spans="1:31">
      <c r="A776" t="s">
        <v>962</v>
      </c>
      <c r="B776" s="6">
        <v>45991</v>
      </c>
      <c r="C776" t="s">
        <v>112</v>
      </c>
      <c r="D776" t="s">
        <v>113</v>
      </c>
      <c r="E776" t="s">
        <v>109</v>
      </c>
      <c r="F776" t="s">
        <v>114</v>
      </c>
      <c r="G776" t="s">
        <v>115</v>
      </c>
      <c r="H776" t="s">
        <v>139</v>
      </c>
      <c r="I776" t="s">
        <v>140</v>
      </c>
      <c r="J776" t="s">
        <v>137</v>
      </c>
      <c r="K776" t="s">
        <v>138</v>
      </c>
      <c r="L776" t="s">
        <v>166</v>
      </c>
      <c r="M776" t="s">
        <v>167</v>
      </c>
      <c r="N776">
        <v>3</v>
      </c>
      <c r="O776" s="4">
        <v>1300</v>
      </c>
      <c r="P776" s="4">
        <v>2100</v>
      </c>
      <c r="Q776" s="7">
        <v>0</v>
      </c>
      <c r="R776" t="s">
        <v>184</v>
      </c>
      <c r="S776">
        <v>10</v>
      </c>
      <c r="T776">
        <v>6300</v>
      </c>
      <c r="U776">
        <v>0</v>
      </c>
      <c r="V776">
        <v>6300</v>
      </c>
      <c r="W776">
        <v>3900</v>
      </c>
      <c r="X776">
        <v>2400</v>
      </c>
      <c r="Y776" s="8">
        <v>0.38095238095238093</v>
      </c>
      <c r="Z776" t="s">
        <v>2995</v>
      </c>
      <c r="AA776" t="str">
        <f>IF(AND(SalesCleanTable[[#This Row],[Discount %]]&gt;0, SalesCleanTable[[#This Row],[Profit]]&lt;0), "Discount loss", "Safe")</f>
        <v>Safe</v>
      </c>
      <c r="AB776" s="25">
        <f>(SalesCleanTable[[#This Row],[Unit Price]] - SalesCleanTable[[#This Row],[Unit Cost]]) / SalesCleanTable[[#This Row],[Unit Price]]</f>
        <v>0.38095238095238093</v>
      </c>
      <c r="AC776" t="str">
        <f>IF(SalesCleanTable[[#This Row],[Discount %]] &gt; SalesCleanTable[[#This Row],[Max Allowed Discount]], "Discount loss", "Safe")</f>
        <v>Safe</v>
      </c>
      <c r="AD776" s="4">
        <f>SalesCleanTable[[#This Row],[Unit Price]] - SalesCleanTable[[#This Row],[Unit Cost]]</f>
        <v>800</v>
      </c>
      <c r="AE776" s="41">
        <f>(SalesCleanTable[[#This Row],[Unit Price]] - SalesCleanTable[[#This Row],[Unit Cost]]) / SalesCleanTable[[#This Row],[Unit Price]]</f>
        <v>0.38095238095238093</v>
      </c>
    </row>
    <row r="777" spans="1:31">
      <c r="A777" t="s">
        <v>963</v>
      </c>
      <c r="B777" s="6">
        <v>45979</v>
      </c>
      <c r="C777" t="s">
        <v>78</v>
      </c>
      <c r="D777" t="s">
        <v>79</v>
      </c>
      <c r="E777" t="s">
        <v>75</v>
      </c>
      <c r="F777" t="s">
        <v>80</v>
      </c>
      <c r="G777" t="s">
        <v>81</v>
      </c>
      <c r="H777" t="s">
        <v>149</v>
      </c>
      <c r="I777" t="s">
        <v>150</v>
      </c>
      <c r="J777" t="s">
        <v>151</v>
      </c>
      <c r="K777" t="s">
        <v>152</v>
      </c>
      <c r="L777" t="s">
        <v>183</v>
      </c>
      <c r="M777" t="s">
        <v>171</v>
      </c>
      <c r="N777">
        <v>2</v>
      </c>
      <c r="O777" s="4">
        <v>1200</v>
      </c>
      <c r="P777" s="4">
        <v>1900</v>
      </c>
      <c r="Q777" s="7">
        <v>0</v>
      </c>
      <c r="R777" t="s">
        <v>204</v>
      </c>
      <c r="S777">
        <v>11</v>
      </c>
      <c r="T777">
        <v>3800</v>
      </c>
      <c r="U777">
        <v>0</v>
      </c>
      <c r="V777">
        <v>3800</v>
      </c>
      <c r="W777">
        <v>2400</v>
      </c>
      <c r="X777">
        <v>1400</v>
      </c>
      <c r="Y777" s="8">
        <v>0.36842105263157893</v>
      </c>
      <c r="Z777" t="s">
        <v>2996</v>
      </c>
      <c r="AA777" t="str">
        <f>IF(AND(SalesCleanTable[[#This Row],[Discount %]]&gt;0, SalesCleanTable[[#This Row],[Profit]]&lt;0), "Discount loss", "Safe")</f>
        <v>Safe</v>
      </c>
      <c r="AB777" s="25">
        <f>(SalesCleanTable[[#This Row],[Unit Price]] - SalesCleanTable[[#This Row],[Unit Cost]]) / SalesCleanTable[[#This Row],[Unit Price]]</f>
        <v>0.36842105263157893</v>
      </c>
      <c r="AC777" t="str">
        <f>IF(SalesCleanTable[[#This Row],[Discount %]] &gt; SalesCleanTable[[#This Row],[Max Allowed Discount]], "Discount loss", "Safe")</f>
        <v>Safe</v>
      </c>
      <c r="AD777" s="4">
        <f>SalesCleanTable[[#This Row],[Unit Price]] - SalesCleanTable[[#This Row],[Unit Cost]]</f>
        <v>700</v>
      </c>
      <c r="AE777" s="41">
        <f>(SalesCleanTable[[#This Row],[Unit Price]] - SalesCleanTable[[#This Row],[Unit Cost]]) / SalesCleanTable[[#This Row],[Unit Price]]</f>
        <v>0.36842105263157893</v>
      </c>
    </row>
    <row r="778" spans="1:31">
      <c r="A778" t="s">
        <v>964</v>
      </c>
      <c r="B778" s="6">
        <v>45851</v>
      </c>
      <c r="C778" t="s">
        <v>57</v>
      </c>
      <c r="D778" t="s">
        <v>58</v>
      </c>
      <c r="E778" t="s">
        <v>59</v>
      </c>
      <c r="F778" t="s">
        <v>60</v>
      </c>
      <c r="G778" t="s">
        <v>61</v>
      </c>
      <c r="H778" t="s">
        <v>135</v>
      </c>
      <c r="I778" t="s">
        <v>136</v>
      </c>
      <c r="J778" t="s">
        <v>137</v>
      </c>
      <c r="K778" t="s">
        <v>138</v>
      </c>
      <c r="L778" t="s">
        <v>183</v>
      </c>
      <c r="M778" t="s">
        <v>186</v>
      </c>
      <c r="N778">
        <v>2</v>
      </c>
      <c r="O778" s="4">
        <v>2400</v>
      </c>
      <c r="P778" s="4">
        <v>3400</v>
      </c>
      <c r="Q778" s="7">
        <v>0.1</v>
      </c>
      <c r="R778" t="s">
        <v>192</v>
      </c>
      <c r="S778">
        <v>3</v>
      </c>
      <c r="T778">
        <v>6800</v>
      </c>
      <c r="U778">
        <v>680</v>
      </c>
      <c r="V778">
        <v>6120</v>
      </c>
      <c r="W778">
        <v>4800</v>
      </c>
      <c r="X778">
        <v>1320</v>
      </c>
      <c r="Y778" s="8">
        <v>0.21568627450980393</v>
      </c>
      <c r="Z778" t="s">
        <v>2996</v>
      </c>
      <c r="AA778" t="str">
        <f>IF(AND(SalesCleanTable[[#This Row],[Discount %]]&gt;0, SalesCleanTable[[#This Row],[Profit]]&lt;0), "Discount loss", "Safe")</f>
        <v>Safe</v>
      </c>
      <c r="AB778" s="25">
        <f>(SalesCleanTable[[#This Row],[Unit Price]] - SalesCleanTable[[#This Row],[Unit Cost]]) / SalesCleanTable[[#This Row],[Unit Price]]</f>
        <v>0.29411764705882354</v>
      </c>
      <c r="AC778" t="str">
        <f>IF(SalesCleanTable[[#This Row],[Discount %]] &gt; SalesCleanTable[[#This Row],[Max Allowed Discount]], "Discount loss", "Safe")</f>
        <v>Safe</v>
      </c>
      <c r="AD778" s="4">
        <f>SalesCleanTable[[#This Row],[Unit Price]] - SalesCleanTable[[#This Row],[Unit Cost]]</f>
        <v>1000</v>
      </c>
      <c r="AE778" s="41">
        <f>(SalesCleanTable[[#This Row],[Unit Price]] - SalesCleanTable[[#This Row],[Unit Cost]]) / SalesCleanTable[[#This Row],[Unit Price]]</f>
        <v>0.29411764705882354</v>
      </c>
    </row>
    <row r="779" spans="1:31">
      <c r="A779" t="s">
        <v>965</v>
      </c>
      <c r="B779" s="6">
        <v>45868</v>
      </c>
      <c r="C779" t="s">
        <v>29</v>
      </c>
      <c r="D779" t="s">
        <v>30</v>
      </c>
      <c r="E779" t="s">
        <v>26</v>
      </c>
      <c r="F779" t="s">
        <v>27</v>
      </c>
      <c r="G779" t="s">
        <v>31</v>
      </c>
      <c r="H779" t="s">
        <v>128</v>
      </c>
      <c r="I779" t="s">
        <v>129</v>
      </c>
      <c r="J779" t="s">
        <v>130</v>
      </c>
      <c r="K779" t="s">
        <v>131</v>
      </c>
      <c r="L779" t="s">
        <v>166</v>
      </c>
      <c r="M779" t="s">
        <v>186</v>
      </c>
      <c r="N779">
        <v>6</v>
      </c>
      <c r="O779" s="4">
        <v>6200</v>
      </c>
      <c r="P779" s="4">
        <v>7900</v>
      </c>
      <c r="Q779" s="7">
        <v>0.05</v>
      </c>
      <c r="R779" t="s">
        <v>173</v>
      </c>
      <c r="S779">
        <v>7</v>
      </c>
      <c r="T779">
        <v>47400</v>
      </c>
      <c r="U779">
        <v>2370</v>
      </c>
      <c r="V779">
        <v>45030</v>
      </c>
      <c r="W779">
        <v>37200</v>
      </c>
      <c r="X779">
        <v>7830</v>
      </c>
      <c r="Y779" s="8">
        <v>0.17388407728181213</v>
      </c>
      <c r="Z779" t="s">
        <v>2996</v>
      </c>
      <c r="AA779" t="str">
        <f>IF(AND(SalesCleanTable[[#This Row],[Discount %]]&gt;0, SalesCleanTable[[#This Row],[Profit]]&lt;0), "Discount loss", "Safe")</f>
        <v>Safe</v>
      </c>
      <c r="AB779" s="25">
        <f>(SalesCleanTable[[#This Row],[Unit Price]] - SalesCleanTable[[#This Row],[Unit Cost]]) / SalesCleanTable[[#This Row],[Unit Price]]</f>
        <v>0.21518987341772153</v>
      </c>
      <c r="AC779" t="str">
        <f>IF(SalesCleanTable[[#This Row],[Discount %]] &gt; SalesCleanTable[[#This Row],[Max Allowed Discount]], "Discount loss", "Safe")</f>
        <v>Safe</v>
      </c>
      <c r="AD779" s="4">
        <f>SalesCleanTable[[#This Row],[Unit Price]] - SalesCleanTable[[#This Row],[Unit Cost]]</f>
        <v>1700</v>
      </c>
      <c r="AE779" s="41">
        <f>(SalesCleanTable[[#This Row],[Unit Price]] - SalesCleanTable[[#This Row],[Unit Cost]]) / SalesCleanTable[[#This Row],[Unit Price]]</f>
        <v>0.21518987341772153</v>
      </c>
    </row>
    <row r="780" spans="1:31">
      <c r="A780" t="s">
        <v>966</v>
      </c>
      <c r="B780" s="6">
        <v>45923</v>
      </c>
      <c r="C780" t="s">
        <v>90</v>
      </c>
      <c r="D780" t="s">
        <v>91</v>
      </c>
      <c r="E780" t="s">
        <v>92</v>
      </c>
      <c r="F780" t="s">
        <v>93</v>
      </c>
      <c r="G780" t="s">
        <v>94</v>
      </c>
      <c r="H780" t="s">
        <v>149</v>
      </c>
      <c r="I780" t="s">
        <v>150</v>
      </c>
      <c r="J780" t="s">
        <v>151</v>
      </c>
      <c r="K780" t="s">
        <v>152</v>
      </c>
      <c r="L780" t="s">
        <v>170</v>
      </c>
      <c r="M780" t="s">
        <v>171</v>
      </c>
      <c r="N780">
        <v>3</v>
      </c>
      <c r="O780" s="4">
        <v>7500</v>
      </c>
      <c r="P780" s="4">
        <v>10500</v>
      </c>
      <c r="Q780" s="7">
        <v>0.2</v>
      </c>
      <c r="R780" t="s">
        <v>217</v>
      </c>
      <c r="S780">
        <v>12</v>
      </c>
      <c r="T780">
        <v>31500</v>
      </c>
      <c r="U780">
        <v>6300</v>
      </c>
      <c r="V780">
        <v>25200</v>
      </c>
      <c r="W780">
        <v>22500</v>
      </c>
      <c r="X780">
        <v>2700</v>
      </c>
      <c r="Y780" s="8">
        <v>0.10714285714285714</v>
      </c>
      <c r="Z780" t="s">
        <v>2996</v>
      </c>
      <c r="AA780" t="str">
        <f>IF(AND(SalesCleanTable[[#This Row],[Discount %]]&gt;0, SalesCleanTable[[#This Row],[Profit]]&lt;0), "Discount loss", "Safe")</f>
        <v>Safe</v>
      </c>
      <c r="AB780" s="25">
        <f>(SalesCleanTable[[#This Row],[Unit Price]] - SalesCleanTable[[#This Row],[Unit Cost]]) / SalesCleanTable[[#This Row],[Unit Price]]</f>
        <v>0.2857142857142857</v>
      </c>
      <c r="AC780" t="str">
        <f>IF(SalesCleanTable[[#This Row],[Discount %]] &gt; SalesCleanTable[[#This Row],[Max Allowed Discount]], "Discount loss", "Safe")</f>
        <v>Safe</v>
      </c>
      <c r="AD780" s="4">
        <f>SalesCleanTable[[#This Row],[Unit Price]] - SalesCleanTable[[#This Row],[Unit Cost]]</f>
        <v>3000</v>
      </c>
      <c r="AE780" s="41">
        <f>(SalesCleanTable[[#This Row],[Unit Price]] - SalesCleanTable[[#This Row],[Unit Cost]]) / SalesCleanTable[[#This Row],[Unit Price]]</f>
        <v>0.2857142857142857</v>
      </c>
    </row>
    <row r="781" spans="1:31">
      <c r="A781" t="s">
        <v>967</v>
      </c>
      <c r="B781" s="6">
        <v>45741</v>
      </c>
      <c r="C781" t="s">
        <v>32</v>
      </c>
      <c r="D781" t="s">
        <v>33</v>
      </c>
      <c r="E781" t="s">
        <v>26</v>
      </c>
      <c r="F781" t="s">
        <v>34</v>
      </c>
      <c r="G781" t="s">
        <v>35</v>
      </c>
      <c r="H781" t="s">
        <v>128</v>
      </c>
      <c r="I781" t="s">
        <v>129</v>
      </c>
      <c r="J781" t="s">
        <v>130</v>
      </c>
      <c r="K781" t="s">
        <v>131</v>
      </c>
      <c r="L781" t="s">
        <v>183</v>
      </c>
      <c r="M781" t="s">
        <v>171</v>
      </c>
      <c r="N781">
        <v>4</v>
      </c>
      <c r="O781" s="4">
        <v>7800</v>
      </c>
      <c r="P781" s="4">
        <v>9800</v>
      </c>
      <c r="Q781" s="7">
        <v>0</v>
      </c>
      <c r="R781" t="s">
        <v>197</v>
      </c>
      <c r="S781">
        <v>12</v>
      </c>
      <c r="T781">
        <v>39200</v>
      </c>
      <c r="U781">
        <v>0</v>
      </c>
      <c r="V781">
        <v>39200</v>
      </c>
      <c r="W781">
        <v>31200</v>
      </c>
      <c r="X781">
        <v>8000</v>
      </c>
      <c r="Y781" s="8">
        <v>0.20408163265306123</v>
      </c>
      <c r="Z781" t="s">
        <v>2995</v>
      </c>
      <c r="AA781" t="str">
        <f>IF(AND(SalesCleanTable[[#This Row],[Discount %]]&gt;0, SalesCleanTable[[#This Row],[Profit]]&lt;0), "Discount loss", "Safe")</f>
        <v>Safe</v>
      </c>
      <c r="AB781" s="25">
        <f>(SalesCleanTable[[#This Row],[Unit Price]] - SalesCleanTable[[#This Row],[Unit Cost]]) / SalesCleanTable[[#This Row],[Unit Price]]</f>
        <v>0.20408163265306123</v>
      </c>
      <c r="AC781" t="str">
        <f>IF(SalesCleanTable[[#This Row],[Discount %]] &gt; SalesCleanTable[[#This Row],[Max Allowed Discount]], "Discount loss", "Safe")</f>
        <v>Safe</v>
      </c>
      <c r="AD781" s="4">
        <f>SalesCleanTable[[#This Row],[Unit Price]] - SalesCleanTable[[#This Row],[Unit Cost]]</f>
        <v>2000</v>
      </c>
      <c r="AE781" s="41">
        <f>(SalesCleanTable[[#This Row],[Unit Price]] - SalesCleanTable[[#This Row],[Unit Cost]]) / SalesCleanTable[[#This Row],[Unit Price]]</f>
        <v>0.20408163265306123</v>
      </c>
    </row>
    <row r="782" spans="1:31">
      <c r="A782" t="s">
        <v>968</v>
      </c>
      <c r="B782" s="6">
        <v>45900</v>
      </c>
      <c r="C782" t="s">
        <v>24</v>
      </c>
      <c r="D782" t="s">
        <v>25</v>
      </c>
      <c r="E782" t="s">
        <v>26</v>
      </c>
      <c r="F782" t="s">
        <v>27</v>
      </c>
      <c r="G782" t="s">
        <v>28</v>
      </c>
      <c r="H782" t="s">
        <v>133</v>
      </c>
      <c r="I782" t="s">
        <v>134</v>
      </c>
      <c r="J782" t="s">
        <v>130</v>
      </c>
      <c r="K782" t="s">
        <v>131</v>
      </c>
      <c r="L782" t="s">
        <v>166</v>
      </c>
      <c r="M782" t="s">
        <v>171</v>
      </c>
      <c r="N782">
        <v>3</v>
      </c>
      <c r="O782" s="4">
        <v>14500</v>
      </c>
      <c r="P782" s="4">
        <v>17500</v>
      </c>
      <c r="Q782" s="7">
        <v>0.2</v>
      </c>
      <c r="R782" t="s">
        <v>197</v>
      </c>
      <c r="S782">
        <v>2</v>
      </c>
      <c r="T782">
        <v>52500</v>
      </c>
      <c r="U782">
        <v>10500</v>
      </c>
      <c r="V782">
        <v>42000</v>
      </c>
      <c r="W782">
        <v>43500</v>
      </c>
      <c r="X782">
        <v>-1500</v>
      </c>
      <c r="Y782" s="8">
        <v>-3.5714285714285712E-2</v>
      </c>
      <c r="Z782" t="s">
        <v>2995</v>
      </c>
      <c r="AA782" t="str">
        <f>IF(AND(SalesCleanTable[[#This Row],[Discount %]]&gt;0, SalesCleanTable[[#This Row],[Profit]]&lt;0), "Discount loss", "Safe")</f>
        <v>Discount loss</v>
      </c>
      <c r="AB782" s="25">
        <f>(SalesCleanTable[[#This Row],[Unit Price]] - SalesCleanTable[[#This Row],[Unit Cost]]) / SalesCleanTable[[#This Row],[Unit Price]]</f>
        <v>0.17142857142857143</v>
      </c>
      <c r="AC782" t="str">
        <f>IF(SalesCleanTable[[#This Row],[Discount %]] &gt; SalesCleanTable[[#This Row],[Max Allowed Discount]], "Discount loss", "Safe")</f>
        <v>Discount loss</v>
      </c>
      <c r="AD782" s="4">
        <f>SalesCleanTable[[#This Row],[Unit Price]] - SalesCleanTable[[#This Row],[Unit Cost]]</f>
        <v>3000</v>
      </c>
      <c r="AE782" s="41">
        <f>(SalesCleanTable[[#This Row],[Unit Price]] - SalesCleanTable[[#This Row],[Unit Cost]]) / SalesCleanTable[[#This Row],[Unit Price]]</f>
        <v>0.17142857142857143</v>
      </c>
    </row>
    <row r="783" spans="1:31">
      <c r="A783" t="s">
        <v>969</v>
      </c>
      <c r="B783" s="6">
        <v>45806</v>
      </c>
      <c r="C783" t="s">
        <v>24</v>
      </c>
      <c r="D783" t="s">
        <v>25</v>
      </c>
      <c r="E783" t="s">
        <v>26</v>
      </c>
      <c r="F783" t="s">
        <v>27</v>
      </c>
      <c r="G783" t="s">
        <v>28</v>
      </c>
      <c r="H783" t="s">
        <v>133</v>
      </c>
      <c r="I783" t="s">
        <v>134</v>
      </c>
      <c r="J783" t="s">
        <v>130</v>
      </c>
      <c r="K783" t="s">
        <v>131</v>
      </c>
      <c r="L783" t="s">
        <v>166</v>
      </c>
      <c r="M783" t="s">
        <v>186</v>
      </c>
      <c r="N783">
        <v>2</v>
      </c>
      <c r="O783" s="4">
        <v>14500</v>
      </c>
      <c r="P783" s="4">
        <v>17500</v>
      </c>
      <c r="Q783" s="7">
        <v>0.2</v>
      </c>
      <c r="R783" t="s">
        <v>197</v>
      </c>
      <c r="S783">
        <v>3</v>
      </c>
      <c r="T783">
        <v>35000</v>
      </c>
      <c r="U783">
        <v>7000</v>
      </c>
      <c r="V783">
        <v>28000</v>
      </c>
      <c r="W783">
        <v>29000</v>
      </c>
      <c r="X783">
        <v>-1000</v>
      </c>
      <c r="Y783" s="8">
        <v>-3.5714285714285712E-2</v>
      </c>
      <c r="Z783" t="s">
        <v>2995</v>
      </c>
      <c r="AA783" t="str">
        <f>IF(AND(SalesCleanTable[[#This Row],[Discount %]]&gt;0, SalesCleanTable[[#This Row],[Profit]]&lt;0), "Discount loss", "Safe")</f>
        <v>Discount loss</v>
      </c>
      <c r="AB783" s="25">
        <f>(SalesCleanTable[[#This Row],[Unit Price]] - SalesCleanTable[[#This Row],[Unit Cost]]) / SalesCleanTable[[#This Row],[Unit Price]]</f>
        <v>0.17142857142857143</v>
      </c>
      <c r="AC783" t="str">
        <f>IF(SalesCleanTable[[#This Row],[Discount %]] &gt; SalesCleanTable[[#This Row],[Max Allowed Discount]], "Discount loss", "Safe")</f>
        <v>Discount loss</v>
      </c>
      <c r="AD783" s="4">
        <f>SalesCleanTable[[#This Row],[Unit Price]] - SalesCleanTable[[#This Row],[Unit Cost]]</f>
        <v>3000</v>
      </c>
      <c r="AE783" s="41">
        <f>(SalesCleanTable[[#This Row],[Unit Price]] - SalesCleanTable[[#This Row],[Unit Cost]]) / SalesCleanTable[[#This Row],[Unit Price]]</f>
        <v>0.17142857142857143</v>
      </c>
    </row>
    <row r="784" spans="1:31">
      <c r="A784" t="s">
        <v>970</v>
      </c>
      <c r="B784" s="6">
        <v>45873</v>
      </c>
      <c r="C784" t="s">
        <v>24</v>
      </c>
      <c r="D784" t="s">
        <v>25</v>
      </c>
      <c r="E784" t="s">
        <v>26</v>
      </c>
      <c r="F784" t="s">
        <v>27</v>
      </c>
      <c r="G784" t="s">
        <v>28</v>
      </c>
      <c r="H784" t="s">
        <v>149</v>
      </c>
      <c r="I784" t="s">
        <v>150</v>
      </c>
      <c r="J784" t="s">
        <v>151</v>
      </c>
      <c r="K784" t="s">
        <v>152</v>
      </c>
      <c r="L784" t="s">
        <v>183</v>
      </c>
      <c r="M784" t="s">
        <v>186</v>
      </c>
      <c r="N784">
        <v>6</v>
      </c>
      <c r="O784" s="4">
        <v>14500</v>
      </c>
      <c r="P784" s="4">
        <v>17500</v>
      </c>
      <c r="Q784" s="7">
        <v>0</v>
      </c>
      <c r="R784" t="s">
        <v>197</v>
      </c>
      <c r="S784">
        <v>9</v>
      </c>
      <c r="T784">
        <v>105000</v>
      </c>
      <c r="U784">
        <v>0</v>
      </c>
      <c r="V784">
        <v>105000</v>
      </c>
      <c r="W784">
        <v>87000</v>
      </c>
      <c r="X784">
        <v>18000</v>
      </c>
      <c r="Y784" s="8">
        <v>0.17142857142857143</v>
      </c>
      <c r="Z784" t="s">
        <v>2995</v>
      </c>
      <c r="AA784" t="str">
        <f>IF(AND(SalesCleanTable[[#This Row],[Discount %]]&gt;0, SalesCleanTable[[#This Row],[Profit]]&lt;0), "Discount loss", "Safe")</f>
        <v>Safe</v>
      </c>
      <c r="AB784" s="25">
        <f>(SalesCleanTable[[#This Row],[Unit Price]] - SalesCleanTable[[#This Row],[Unit Cost]]) / SalesCleanTable[[#This Row],[Unit Price]]</f>
        <v>0.17142857142857143</v>
      </c>
      <c r="AC784" t="str">
        <f>IF(SalesCleanTable[[#This Row],[Discount %]] &gt; SalesCleanTable[[#This Row],[Max Allowed Discount]], "Discount loss", "Safe")</f>
        <v>Safe</v>
      </c>
      <c r="AD784" s="4">
        <f>SalesCleanTable[[#This Row],[Unit Price]] - SalesCleanTable[[#This Row],[Unit Cost]]</f>
        <v>3000</v>
      </c>
      <c r="AE784" s="41">
        <f>(SalesCleanTable[[#This Row],[Unit Price]] - SalesCleanTable[[#This Row],[Unit Cost]]) / SalesCleanTable[[#This Row],[Unit Price]]</f>
        <v>0.17142857142857143</v>
      </c>
    </row>
    <row r="785" spans="1:31">
      <c r="A785" t="s">
        <v>971</v>
      </c>
      <c r="B785" s="6">
        <v>45680</v>
      </c>
      <c r="C785" t="s">
        <v>49</v>
      </c>
      <c r="D785" t="s">
        <v>50</v>
      </c>
      <c r="E785" t="s">
        <v>38</v>
      </c>
      <c r="F785" t="s">
        <v>51</v>
      </c>
      <c r="G785" t="s">
        <v>52</v>
      </c>
      <c r="H785" t="s">
        <v>139</v>
      </c>
      <c r="I785" t="s">
        <v>140</v>
      </c>
      <c r="J785" t="s">
        <v>137</v>
      </c>
      <c r="K785" t="s">
        <v>138</v>
      </c>
      <c r="L785" t="s">
        <v>183</v>
      </c>
      <c r="M785" t="s">
        <v>186</v>
      </c>
      <c r="N785">
        <v>3</v>
      </c>
      <c r="O785" s="4">
        <v>550</v>
      </c>
      <c r="P785" s="4">
        <v>850</v>
      </c>
      <c r="Q785" s="7">
        <v>0.15</v>
      </c>
      <c r="R785" t="s">
        <v>168</v>
      </c>
      <c r="S785">
        <v>14</v>
      </c>
      <c r="T785">
        <v>2550</v>
      </c>
      <c r="U785">
        <v>382.5</v>
      </c>
      <c r="V785">
        <v>2167.5</v>
      </c>
      <c r="W785">
        <v>1650</v>
      </c>
      <c r="X785">
        <v>517.5</v>
      </c>
      <c r="Y785" s="8">
        <v>0.23875432525951557</v>
      </c>
      <c r="Z785" t="s">
        <v>2996</v>
      </c>
      <c r="AA785" t="str">
        <f>IF(AND(SalesCleanTable[[#This Row],[Discount %]]&gt;0, SalesCleanTable[[#This Row],[Profit]]&lt;0), "Discount loss", "Safe")</f>
        <v>Safe</v>
      </c>
      <c r="AB785" s="25">
        <f>(SalesCleanTable[[#This Row],[Unit Price]] - SalesCleanTable[[#This Row],[Unit Cost]]) / SalesCleanTable[[#This Row],[Unit Price]]</f>
        <v>0.35294117647058826</v>
      </c>
      <c r="AC785" t="str">
        <f>IF(SalesCleanTable[[#This Row],[Discount %]] &gt; SalesCleanTable[[#This Row],[Max Allowed Discount]], "Discount loss", "Safe")</f>
        <v>Safe</v>
      </c>
      <c r="AD785" s="4">
        <f>SalesCleanTable[[#This Row],[Unit Price]] - SalesCleanTable[[#This Row],[Unit Cost]]</f>
        <v>300</v>
      </c>
      <c r="AE785" s="41">
        <f>(SalesCleanTable[[#This Row],[Unit Price]] - SalesCleanTable[[#This Row],[Unit Cost]]) / SalesCleanTable[[#This Row],[Unit Price]]</f>
        <v>0.35294117647058826</v>
      </c>
    </row>
    <row r="786" spans="1:31">
      <c r="A786" t="s">
        <v>972</v>
      </c>
      <c r="B786" s="6">
        <v>45728</v>
      </c>
      <c r="C786" t="s">
        <v>57</v>
      </c>
      <c r="D786" t="s">
        <v>58</v>
      </c>
      <c r="E786" t="s">
        <v>59</v>
      </c>
      <c r="F786" t="s">
        <v>60</v>
      </c>
      <c r="G786" t="s">
        <v>61</v>
      </c>
      <c r="H786" t="s">
        <v>139</v>
      </c>
      <c r="I786" t="s">
        <v>140</v>
      </c>
      <c r="J786" t="s">
        <v>137</v>
      </c>
      <c r="K786" t="s">
        <v>138</v>
      </c>
      <c r="L786" t="s">
        <v>183</v>
      </c>
      <c r="M786" t="s">
        <v>186</v>
      </c>
      <c r="N786">
        <v>2</v>
      </c>
      <c r="O786" s="4">
        <v>2400</v>
      </c>
      <c r="P786" s="4">
        <v>3400</v>
      </c>
      <c r="Q786" s="7">
        <v>0.05</v>
      </c>
      <c r="R786" t="s">
        <v>173</v>
      </c>
      <c r="S786">
        <v>11</v>
      </c>
      <c r="T786">
        <v>6800</v>
      </c>
      <c r="U786">
        <v>340</v>
      </c>
      <c r="V786">
        <v>6460</v>
      </c>
      <c r="W786">
        <v>4800</v>
      </c>
      <c r="X786">
        <v>1660</v>
      </c>
      <c r="Y786" s="8">
        <v>0.25696594427244585</v>
      </c>
      <c r="Z786" t="s">
        <v>2996</v>
      </c>
      <c r="AA786" t="str">
        <f>IF(AND(SalesCleanTable[[#This Row],[Discount %]]&gt;0, SalesCleanTable[[#This Row],[Profit]]&lt;0), "Discount loss", "Safe")</f>
        <v>Safe</v>
      </c>
      <c r="AB786" s="25">
        <f>(SalesCleanTable[[#This Row],[Unit Price]] - SalesCleanTable[[#This Row],[Unit Cost]]) / SalesCleanTable[[#This Row],[Unit Price]]</f>
        <v>0.29411764705882354</v>
      </c>
      <c r="AC786" t="str">
        <f>IF(SalesCleanTable[[#This Row],[Discount %]] &gt; SalesCleanTable[[#This Row],[Max Allowed Discount]], "Discount loss", "Safe")</f>
        <v>Safe</v>
      </c>
      <c r="AD786" s="4">
        <f>SalesCleanTable[[#This Row],[Unit Price]] - SalesCleanTable[[#This Row],[Unit Cost]]</f>
        <v>1000</v>
      </c>
      <c r="AE786" s="41">
        <f>(SalesCleanTable[[#This Row],[Unit Price]] - SalesCleanTable[[#This Row],[Unit Cost]]) / SalesCleanTable[[#This Row],[Unit Price]]</f>
        <v>0.29411764705882354</v>
      </c>
    </row>
    <row r="787" spans="1:31">
      <c r="A787" t="s">
        <v>973</v>
      </c>
      <c r="B787" s="6">
        <v>45856</v>
      </c>
      <c r="C787" t="s">
        <v>41</v>
      </c>
      <c r="D787" t="s">
        <v>42</v>
      </c>
      <c r="E787" t="s">
        <v>26</v>
      </c>
      <c r="F787" t="s">
        <v>43</v>
      </c>
      <c r="G787" t="s">
        <v>44</v>
      </c>
      <c r="H787" t="s">
        <v>135</v>
      </c>
      <c r="I787" t="s">
        <v>136</v>
      </c>
      <c r="J787" t="s">
        <v>137</v>
      </c>
      <c r="K787" t="s">
        <v>138</v>
      </c>
      <c r="L787" t="s">
        <v>183</v>
      </c>
      <c r="M787" t="s">
        <v>171</v>
      </c>
      <c r="N787">
        <v>3</v>
      </c>
      <c r="O787" s="4">
        <v>850</v>
      </c>
      <c r="P787" s="4">
        <v>1300</v>
      </c>
      <c r="Q787" s="7">
        <v>0.2</v>
      </c>
      <c r="R787" t="s">
        <v>173</v>
      </c>
      <c r="S787">
        <v>2</v>
      </c>
      <c r="T787">
        <v>3900</v>
      </c>
      <c r="U787">
        <v>780</v>
      </c>
      <c r="V787">
        <v>3120</v>
      </c>
      <c r="W787">
        <v>2550</v>
      </c>
      <c r="X787">
        <v>570</v>
      </c>
      <c r="Y787" s="8">
        <v>0.18269230769230768</v>
      </c>
      <c r="Z787" t="s">
        <v>2995</v>
      </c>
      <c r="AA787" t="str">
        <f>IF(AND(SalesCleanTable[[#This Row],[Discount %]]&gt;0, SalesCleanTable[[#This Row],[Profit]]&lt;0), "Discount loss", "Safe")</f>
        <v>Safe</v>
      </c>
      <c r="AB787" s="25">
        <f>(SalesCleanTable[[#This Row],[Unit Price]] - SalesCleanTable[[#This Row],[Unit Cost]]) / SalesCleanTable[[#This Row],[Unit Price]]</f>
        <v>0.34615384615384615</v>
      </c>
      <c r="AC787" t="str">
        <f>IF(SalesCleanTable[[#This Row],[Discount %]] &gt; SalesCleanTable[[#This Row],[Max Allowed Discount]], "Discount loss", "Safe")</f>
        <v>Safe</v>
      </c>
      <c r="AD787" s="4">
        <f>SalesCleanTable[[#This Row],[Unit Price]] - SalesCleanTable[[#This Row],[Unit Cost]]</f>
        <v>450</v>
      </c>
      <c r="AE787" s="41">
        <f>(SalesCleanTable[[#This Row],[Unit Price]] - SalesCleanTable[[#This Row],[Unit Cost]]) / SalesCleanTable[[#This Row],[Unit Price]]</f>
        <v>0.34615384615384615</v>
      </c>
    </row>
    <row r="788" spans="1:31">
      <c r="A788" t="s">
        <v>974</v>
      </c>
      <c r="B788" s="6">
        <v>46020</v>
      </c>
      <c r="C788" t="s">
        <v>24</v>
      </c>
      <c r="D788" t="s">
        <v>25</v>
      </c>
      <c r="E788" t="s">
        <v>26</v>
      </c>
      <c r="F788" t="s">
        <v>27</v>
      </c>
      <c r="G788" t="s">
        <v>28</v>
      </c>
      <c r="H788" t="s">
        <v>141</v>
      </c>
      <c r="I788" t="s">
        <v>142</v>
      </c>
      <c r="J788" t="s">
        <v>143</v>
      </c>
      <c r="K788" t="s">
        <v>144</v>
      </c>
      <c r="L788" t="s">
        <v>183</v>
      </c>
      <c r="M788" t="s">
        <v>171</v>
      </c>
      <c r="N788">
        <v>5</v>
      </c>
      <c r="O788" s="4">
        <v>14500</v>
      </c>
      <c r="P788" s="4">
        <v>17500</v>
      </c>
      <c r="Q788" s="7">
        <v>0.05</v>
      </c>
      <c r="R788" t="s">
        <v>197</v>
      </c>
      <c r="S788">
        <v>4</v>
      </c>
      <c r="T788">
        <v>87500</v>
      </c>
      <c r="U788">
        <v>4375</v>
      </c>
      <c r="V788">
        <v>83125</v>
      </c>
      <c r="W788">
        <v>72500</v>
      </c>
      <c r="X788">
        <v>10625</v>
      </c>
      <c r="Y788" s="8">
        <v>0.12781954887218044</v>
      </c>
      <c r="Z788" t="s">
        <v>2995</v>
      </c>
      <c r="AA788" t="str">
        <f>IF(AND(SalesCleanTable[[#This Row],[Discount %]]&gt;0, SalesCleanTable[[#This Row],[Profit]]&lt;0), "Discount loss", "Safe")</f>
        <v>Safe</v>
      </c>
      <c r="AB788" s="25">
        <f>(SalesCleanTable[[#This Row],[Unit Price]] - SalesCleanTable[[#This Row],[Unit Cost]]) / SalesCleanTable[[#This Row],[Unit Price]]</f>
        <v>0.17142857142857143</v>
      </c>
      <c r="AC788" t="str">
        <f>IF(SalesCleanTable[[#This Row],[Discount %]] &gt; SalesCleanTable[[#This Row],[Max Allowed Discount]], "Discount loss", "Safe")</f>
        <v>Safe</v>
      </c>
      <c r="AD788" s="4">
        <f>SalesCleanTable[[#This Row],[Unit Price]] - SalesCleanTable[[#This Row],[Unit Cost]]</f>
        <v>3000</v>
      </c>
      <c r="AE788" s="41">
        <f>(SalesCleanTable[[#This Row],[Unit Price]] - SalesCleanTable[[#This Row],[Unit Cost]]) / SalesCleanTable[[#This Row],[Unit Price]]</f>
        <v>0.17142857142857143</v>
      </c>
    </row>
    <row r="789" spans="1:31">
      <c r="A789" t="s">
        <v>975</v>
      </c>
      <c r="B789" s="6">
        <v>45935</v>
      </c>
      <c r="C789" t="s">
        <v>66</v>
      </c>
      <c r="D789" t="s">
        <v>67</v>
      </c>
      <c r="E789" t="s">
        <v>59</v>
      </c>
      <c r="F789" t="s">
        <v>60</v>
      </c>
      <c r="G789" t="s">
        <v>68</v>
      </c>
      <c r="H789" t="s">
        <v>128</v>
      </c>
      <c r="I789" t="s">
        <v>129</v>
      </c>
      <c r="J789" t="s">
        <v>130</v>
      </c>
      <c r="K789" t="s">
        <v>131</v>
      </c>
      <c r="L789" t="s">
        <v>166</v>
      </c>
      <c r="M789" t="s">
        <v>171</v>
      </c>
      <c r="N789">
        <v>3</v>
      </c>
      <c r="O789" s="4">
        <v>2800</v>
      </c>
      <c r="P789" s="4">
        <v>3900</v>
      </c>
      <c r="Q789" s="7">
        <v>0</v>
      </c>
      <c r="R789" t="s">
        <v>192</v>
      </c>
      <c r="S789">
        <v>11</v>
      </c>
      <c r="T789">
        <v>11700</v>
      </c>
      <c r="U789">
        <v>0</v>
      </c>
      <c r="V789">
        <v>11700</v>
      </c>
      <c r="W789">
        <v>8400</v>
      </c>
      <c r="X789">
        <v>3300</v>
      </c>
      <c r="Y789" s="8">
        <v>0.28205128205128205</v>
      </c>
      <c r="Z789" t="s">
        <v>2996</v>
      </c>
      <c r="AA789" t="str">
        <f>IF(AND(SalesCleanTable[[#This Row],[Discount %]]&gt;0, SalesCleanTable[[#This Row],[Profit]]&lt;0), "Discount loss", "Safe")</f>
        <v>Safe</v>
      </c>
      <c r="AB789" s="25">
        <f>(SalesCleanTable[[#This Row],[Unit Price]] - SalesCleanTable[[#This Row],[Unit Cost]]) / SalesCleanTable[[#This Row],[Unit Price]]</f>
        <v>0.28205128205128205</v>
      </c>
      <c r="AC789" t="str">
        <f>IF(SalesCleanTable[[#This Row],[Discount %]] &gt; SalesCleanTable[[#This Row],[Max Allowed Discount]], "Discount loss", "Safe")</f>
        <v>Safe</v>
      </c>
      <c r="AD789" s="4">
        <f>SalesCleanTable[[#This Row],[Unit Price]] - SalesCleanTable[[#This Row],[Unit Cost]]</f>
        <v>1100</v>
      </c>
      <c r="AE789" s="41">
        <f>(SalesCleanTable[[#This Row],[Unit Price]] - SalesCleanTable[[#This Row],[Unit Cost]]) / SalesCleanTable[[#This Row],[Unit Price]]</f>
        <v>0.28205128205128205</v>
      </c>
    </row>
    <row r="790" spans="1:31">
      <c r="A790" t="s">
        <v>976</v>
      </c>
      <c r="B790" s="6">
        <v>45750</v>
      </c>
      <c r="C790" t="s">
        <v>116</v>
      </c>
      <c r="D790" t="s">
        <v>117</v>
      </c>
      <c r="E790" t="s">
        <v>109</v>
      </c>
      <c r="F790" t="s">
        <v>118</v>
      </c>
      <c r="G790" t="s">
        <v>119</v>
      </c>
      <c r="H790" t="s">
        <v>135</v>
      </c>
      <c r="I790" t="s">
        <v>136</v>
      </c>
      <c r="J790" t="s">
        <v>137</v>
      </c>
      <c r="K790" t="s">
        <v>138</v>
      </c>
      <c r="L790" t="s">
        <v>183</v>
      </c>
      <c r="M790" t="s">
        <v>171</v>
      </c>
      <c r="N790">
        <v>1</v>
      </c>
      <c r="O790" s="4">
        <v>2800</v>
      </c>
      <c r="P790" s="4">
        <v>4200</v>
      </c>
      <c r="Q790" s="7">
        <v>0.15</v>
      </c>
      <c r="R790" t="s">
        <v>235</v>
      </c>
      <c r="S790">
        <v>13</v>
      </c>
      <c r="T790">
        <v>4200</v>
      </c>
      <c r="U790">
        <v>630</v>
      </c>
      <c r="V790">
        <v>3570</v>
      </c>
      <c r="W790">
        <v>2800</v>
      </c>
      <c r="X790">
        <v>770</v>
      </c>
      <c r="Y790" s="8">
        <v>0.21568627450980393</v>
      </c>
      <c r="Z790" t="s">
        <v>2995</v>
      </c>
      <c r="AA790" t="str">
        <f>IF(AND(SalesCleanTable[[#This Row],[Discount %]]&gt;0, SalesCleanTable[[#This Row],[Profit]]&lt;0), "Discount loss", "Safe")</f>
        <v>Safe</v>
      </c>
      <c r="AB790" s="25">
        <f>(SalesCleanTable[[#This Row],[Unit Price]] - SalesCleanTable[[#This Row],[Unit Cost]]) / SalesCleanTable[[#This Row],[Unit Price]]</f>
        <v>0.33333333333333331</v>
      </c>
      <c r="AC790" t="str">
        <f>IF(SalesCleanTable[[#This Row],[Discount %]] &gt; SalesCleanTable[[#This Row],[Max Allowed Discount]], "Discount loss", "Safe")</f>
        <v>Safe</v>
      </c>
      <c r="AD790" s="4">
        <f>SalesCleanTable[[#This Row],[Unit Price]] - SalesCleanTable[[#This Row],[Unit Cost]]</f>
        <v>1400</v>
      </c>
      <c r="AE790" s="41">
        <f>(SalesCleanTable[[#This Row],[Unit Price]] - SalesCleanTable[[#This Row],[Unit Cost]]) / SalesCleanTable[[#This Row],[Unit Price]]</f>
        <v>0.33333333333333331</v>
      </c>
    </row>
    <row r="791" spans="1:31">
      <c r="A791" t="s">
        <v>977</v>
      </c>
      <c r="B791" s="6">
        <v>45822</v>
      </c>
      <c r="C791" t="s">
        <v>49</v>
      </c>
      <c r="D791" t="s">
        <v>50</v>
      </c>
      <c r="E791" t="s">
        <v>38</v>
      </c>
      <c r="F791" t="s">
        <v>51</v>
      </c>
      <c r="G791" t="s">
        <v>52</v>
      </c>
      <c r="H791" t="s">
        <v>128</v>
      </c>
      <c r="I791" t="s">
        <v>129</v>
      </c>
      <c r="J791" t="s">
        <v>130</v>
      </c>
      <c r="K791" t="s">
        <v>131</v>
      </c>
      <c r="L791" t="s">
        <v>166</v>
      </c>
      <c r="M791" t="s">
        <v>186</v>
      </c>
      <c r="N791">
        <v>6</v>
      </c>
      <c r="O791" s="4">
        <v>550</v>
      </c>
      <c r="P791" s="4">
        <v>850</v>
      </c>
      <c r="Q791" s="7">
        <v>0</v>
      </c>
      <c r="R791" t="s">
        <v>168</v>
      </c>
      <c r="S791">
        <v>6</v>
      </c>
      <c r="T791">
        <v>5100</v>
      </c>
      <c r="U791">
        <v>0</v>
      </c>
      <c r="V791">
        <v>5100</v>
      </c>
      <c r="W791">
        <v>3300</v>
      </c>
      <c r="X791">
        <v>1800</v>
      </c>
      <c r="Y791" s="8">
        <v>0.35294117647058826</v>
      </c>
      <c r="Z791" t="s">
        <v>2996</v>
      </c>
      <c r="AA791" t="str">
        <f>IF(AND(SalesCleanTable[[#This Row],[Discount %]]&gt;0, SalesCleanTable[[#This Row],[Profit]]&lt;0), "Discount loss", "Safe")</f>
        <v>Safe</v>
      </c>
      <c r="AB791" s="25">
        <f>(SalesCleanTable[[#This Row],[Unit Price]] - SalesCleanTable[[#This Row],[Unit Cost]]) / SalesCleanTable[[#This Row],[Unit Price]]</f>
        <v>0.35294117647058826</v>
      </c>
      <c r="AC791" t="str">
        <f>IF(SalesCleanTable[[#This Row],[Discount %]] &gt; SalesCleanTable[[#This Row],[Max Allowed Discount]], "Discount loss", "Safe")</f>
        <v>Safe</v>
      </c>
      <c r="AD791" s="4">
        <f>SalesCleanTable[[#This Row],[Unit Price]] - SalesCleanTable[[#This Row],[Unit Cost]]</f>
        <v>300</v>
      </c>
      <c r="AE791" s="41">
        <f>(SalesCleanTable[[#This Row],[Unit Price]] - SalesCleanTable[[#This Row],[Unit Cost]]) / SalesCleanTable[[#This Row],[Unit Price]]</f>
        <v>0.35294117647058826</v>
      </c>
    </row>
    <row r="792" spans="1:31">
      <c r="A792" t="s">
        <v>978</v>
      </c>
      <c r="B792" s="6">
        <v>45704</v>
      </c>
      <c r="C792" t="s">
        <v>32</v>
      </c>
      <c r="D792" t="s">
        <v>33</v>
      </c>
      <c r="E792" t="s">
        <v>26</v>
      </c>
      <c r="F792" t="s">
        <v>34</v>
      </c>
      <c r="G792" t="s">
        <v>35</v>
      </c>
      <c r="H792" t="s">
        <v>128</v>
      </c>
      <c r="I792" t="s">
        <v>129</v>
      </c>
      <c r="J792" t="s">
        <v>130</v>
      </c>
      <c r="K792" t="s">
        <v>131</v>
      </c>
      <c r="L792" t="s">
        <v>166</v>
      </c>
      <c r="M792" t="s">
        <v>177</v>
      </c>
      <c r="N792">
        <v>1</v>
      </c>
      <c r="O792" s="4">
        <v>7800</v>
      </c>
      <c r="P792" s="4">
        <v>9800</v>
      </c>
      <c r="Q792" s="7">
        <v>0</v>
      </c>
      <c r="R792" t="s">
        <v>194</v>
      </c>
      <c r="S792">
        <v>7</v>
      </c>
      <c r="T792">
        <v>9800</v>
      </c>
      <c r="U792">
        <v>0</v>
      </c>
      <c r="V792">
        <v>9800</v>
      </c>
      <c r="W792">
        <v>7800</v>
      </c>
      <c r="X792">
        <v>2000</v>
      </c>
      <c r="Y792" s="8">
        <v>0.20408163265306123</v>
      </c>
      <c r="Z792" t="s">
        <v>2995</v>
      </c>
      <c r="AA792" t="str">
        <f>IF(AND(SalesCleanTable[[#This Row],[Discount %]]&gt;0, SalesCleanTable[[#This Row],[Profit]]&lt;0), "Discount loss", "Safe")</f>
        <v>Safe</v>
      </c>
      <c r="AB792" s="25">
        <f>(SalesCleanTable[[#This Row],[Unit Price]] - SalesCleanTable[[#This Row],[Unit Cost]]) / SalesCleanTable[[#This Row],[Unit Price]]</f>
        <v>0.20408163265306123</v>
      </c>
      <c r="AC792" t="str">
        <f>IF(SalesCleanTable[[#This Row],[Discount %]] &gt; SalesCleanTable[[#This Row],[Max Allowed Discount]], "Discount loss", "Safe")</f>
        <v>Safe</v>
      </c>
      <c r="AD792" s="4">
        <f>SalesCleanTable[[#This Row],[Unit Price]] - SalesCleanTable[[#This Row],[Unit Cost]]</f>
        <v>2000</v>
      </c>
      <c r="AE792" s="41">
        <f>(SalesCleanTable[[#This Row],[Unit Price]] - SalesCleanTable[[#This Row],[Unit Cost]]) / SalesCleanTable[[#This Row],[Unit Price]]</f>
        <v>0.20408163265306123</v>
      </c>
    </row>
    <row r="793" spans="1:31">
      <c r="A793" t="s">
        <v>979</v>
      </c>
      <c r="B793" s="6">
        <v>45688</v>
      </c>
      <c r="C793" t="s">
        <v>69</v>
      </c>
      <c r="D793" t="s">
        <v>70</v>
      </c>
      <c r="E793" t="s">
        <v>59</v>
      </c>
      <c r="F793" t="s">
        <v>71</v>
      </c>
      <c r="G793" t="s">
        <v>72</v>
      </c>
      <c r="H793" t="s">
        <v>135</v>
      </c>
      <c r="I793" t="s">
        <v>136</v>
      </c>
      <c r="J793" t="s">
        <v>137</v>
      </c>
      <c r="K793" t="s">
        <v>138</v>
      </c>
      <c r="L793" t="s">
        <v>166</v>
      </c>
      <c r="M793" t="s">
        <v>186</v>
      </c>
      <c r="N793">
        <v>1</v>
      </c>
      <c r="O793" s="4">
        <v>1700</v>
      </c>
      <c r="P793" s="4">
        <v>2600</v>
      </c>
      <c r="Q793" s="7">
        <v>0</v>
      </c>
      <c r="R793" t="s">
        <v>204</v>
      </c>
      <c r="S793">
        <v>6</v>
      </c>
      <c r="T793">
        <v>2600</v>
      </c>
      <c r="U793">
        <v>0</v>
      </c>
      <c r="V793">
        <v>2600</v>
      </c>
      <c r="W793">
        <v>1700</v>
      </c>
      <c r="X793">
        <v>900</v>
      </c>
      <c r="Y793" s="8">
        <v>0.34615384615384615</v>
      </c>
      <c r="Z793" t="s">
        <v>2997</v>
      </c>
      <c r="AA793" t="str">
        <f>IF(AND(SalesCleanTable[[#This Row],[Discount %]]&gt;0, SalesCleanTable[[#This Row],[Profit]]&lt;0), "Discount loss", "Safe")</f>
        <v>Safe</v>
      </c>
      <c r="AB793" s="25">
        <f>(SalesCleanTable[[#This Row],[Unit Price]] - SalesCleanTable[[#This Row],[Unit Cost]]) / SalesCleanTable[[#This Row],[Unit Price]]</f>
        <v>0.34615384615384615</v>
      </c>
      <c r="AC793" t="str">
        <f>IF(SalesCleanTable[[#This Row],[Discount %]] &gt; SalesCleanTable[[#This Row],[Max Allowed Discount]], "Discount loss", "Safe")</f>
        <v>Safe</v>
      </c>
      <c r="AD793" s="4">
        <f>SalesCleanTable[[#This Row],[Unit Price]] - SalesCleanTable[[#This Row],[Unit Cost]]</f>
        <v>900</v>
      </c>
      <c r="AE793" s="41">
        <f>(SalesCleanTable[[#This Row],[Unit Price]] - SalesCleanTable[[#This Row],[Unit Cost]]) / SalesCleanTable[[#This Row],[Unit Price]]</f>
        <v>0.34615384615384615</v>
      </c>
    </row>
    <row r="794" spans="1:31">
      <c r="A794" t="s">
        <v>980</v>
      </c>
      <c r="B794" s="6">
        <v>45719</v>
      </c>
      <c r="C794" t="s">
        <v>24</v>
      </c>
      <c r="D794" t="s">
        <v>25</v>
      </c>
      <c r="E794" t="s">
        <v>26</v>
      </c>
      <c r="F794" t="s">
        <v>27</v>
      </c>
      <c r="G794" t="s">
        <v>28</v>
      </c>
      <c r="H794" t="s">
        <v>133</v>
      </c>
      <c r="I794" t="s">
        <v>134</v>
      </c>
      <c r="J794" t="s">
        <v>130</v>
      </c>
      <c r="K794" t="s">
        <v>131</v>
      </c>
      <c r="L794" t="s">
        <v>166</v>
      </c>
      <c r="M794" t="s">
        <v>186</v>
      </c>
      <c r="N794">
        <v>3</v>
      </c>
      <c r="O794" s="4">
        <v>14500</v>
      </c>
      <c r="P794" s="4">
        <v>17500</v>
      </c>
      <c r="Q794" s="7">
        <v>0</v>
      </c>
      <c r="R794" t="s">
        <v>197</v>
      </c>
      <c r="S794">
        <v>5</v>
      </c>
      <c r="T794">
        <v>52500</v>
      </c>
      <c r="U794">
        <v>0</v>
      </c>
      <c r="V794">
        <v>52500</v>
      </c>
      <c r="W794">
        <v>43500</v>
      </c>
      <c r="X794">
        <v>9000</v>
      </c>
      <c r="Y794" s="8">
        <v>0.17142857142857143</v>
      </c>
      <c r="Z794" t="s">
        <v>2995</v>
      </c>
      <c r="AA794" t="str">
        <f>IF(AND(SalesCleanTable[[#This Row],[Discount %]]&gt;0, SalesCleanTable[[#This Row],[Profit]]&lt;0), "Discount loss", "Safe")</f>
        <v>Safe</v>
      </c>
      <c r="AB794" s="25">
        <f>(SalesCleanTable[[#This Row],[Unit Price]] - SalesCleanTable[[#This Row],[Unit Cost]]) / SalesCleanTable[[#This Row],[Unit Price]]</f>
        <v>0.17142857142857143</v>
      </c>
      <c r="AC794" t="str">
        <f>IF(SalesCleanTable[[#This Row],[Discount %]] &gt; SalesCleanTable[[#This Row],[Max Allowed Discount]], "Discount loss", "Safe")</f>
        <v>Safe</v>
      </c>
      <c r="AD794" s="4">
        <f>SalesCleanTable[[#This Row],[Unit Price]] - SalesCleanTable[[#This Row],[Unit Cost]]</f>
        <v>3000</v>
      </c>
      <c r="AE794" s="41">
        <f>(SalesCleanTable[[#This Row],[Unit Price]] - SalesCleanTable[[#This Row],[Unit Cost]]) / SalesCleanTable[[#This Row],[Unit Price]]</f>
        <v>0.17142857142857143</v>
      </c>
    </row>
    <row r="795" spans="1:31">
      <c r="A795" t="s">
        <v>981</v>
      </c>
      <c r="B795" s="6">
        <v>45895</v>
      </c>
      <c r="C795" t="s">
        <v>62</v>
      </c>
      <c r="D795" t="s">
        <v>63</v>
      </c>
      <c r="E795" t="s">
        <v>59</v>
      </c>
      <c r="F795" t="s">
        <v>64</v>
      </c>
      <c r="G795" t="s">
        <v>65</v>
      </c>
      <c r="H795" t="s">
        <v>128</v>
      </c>
      <c r="I795" t="s">
        <v>129</v>
      </c>
      <c r="J795" t="s">
        <v>130</v>
      </c>
      <c r="K795" t="s">
        <v>131</v>
      </c>
      <c r="L795" t="s">
        <v>183</v>
      </c>
      <c r="M795" t="s">
        <v>177</v>
      </c>
      <c r="N795">
        <v>1</v>
      </c>
      <c r="O795" s="4">
        <v>3200</v>
      </c>
      <c r="P795" s="4">
        <v>4500</v>
      </c>
      <c r="Q795" s="7">
        <v>0.1</v>
      </c>
      <c r="R795" t="s">
        <v>173</v>
      </c>
      <c r="S795">
        <v>10</v>
      </c>
      <c r="T795">
        <v>4500</v>
      </c>
      <c r="U795">
        <v>450</v>
      </c>
      <c r="V795">
        <v>4050</v>
      </c>
      <c r="W795">
        <v>3200</v>
      </c>
      <c r="X795">
        <v>850</v>
      </c>
      <c r="Y795" s="8">
        <v>0.20987654320987653</v>
      </c>
      <c r="Z795" t="s">
        <v>2996</v>
      </c>
      <c r="AA795" t="str">
        <f>IF(AND(SalesCleanTable[[#This Row],[Discount %]]&gt;0, SalesCleanTable[[#This Row],[Profit]]&lt;0), "Discount loss", "Safe")</f>
        <v>Safe</v>
      </c>
      <c r="AB795" s="25">
        <f>(SalesCleanTable[[#This Row],[Unit Price]] - SalesCleanTable[[#This Row],[Unit Cost]]) / SalesCleanTable[[#This Row],[Unit Price]]</f>
        <v>0.28888888888888886</v>
      </c>
      <c r="AC795" t="str">
        <f>IF(SalesCleanTable[[#This Row],[Discount %]] &gt; SalesCleanTable[[#This Row],[Max Allowed Discount]], "Discount loss", "Safe")</f>
        <v>Safe</v>
      </c>
      <c r="AD795" s="4">
        <f>SalesCleanTable[[#This Row],[Unit Price]] - SalesCleanTable[[#This Row],[Unit Cost]]</f>
        <v>1300</v>
      </c>
      <c r="AE795" s="41">
        <f>(SalesCleanTable[[#This Row],[Unit Price]] - SalesCleanTable[[#This Row],[Unit Cost]]) / SalesCleanTable[[#This Row],[Unit Price]]</f>
        <v>0.28888888888888886</v>
      </c>
    </row>
    <row r="796" spans="1:31">
      <c r="A796" t="s">
        <v>982</v>
      </c>
      <c r="B796" s="6">
        <v>45784</v>
      </c>
      <c r="C796" t="s">
        <v>86</v>
      </c>
      <c r="D796" t="s">
        <v>87</v>
      </c>
      <c r="E796" t="s">
        <v>75</v>
      </c>
      <c r="F796" t="s">
        <v>88</v>
      </c>
      <c r="G796" t="s">
        <v>89</v>
      </c>
      <c r="H796" t="s">
        <v>141</v>
      </c>
      <c r="I796" t="s">
        <v>142</v>
      </c>
      <c r="J796" t="s">
        <v>143</v>
      </c>
      <c r="K796" t="s">
        <v>144</v>
      </c>
      <c r="L796" t="s">
        <v>166</v>
      </c>
      <c r="M796" t="s">
        <v>171</v>
      </c>
      <c r="N796">
        <v>1</v>
      </c>
      <c r="O796" s="4">
        <v>8500</v>
      </c>
      <c r="P796" s="4">
        <v>12500</v>
      </c>
      <c r="Q796" s="7">
        <v>0.15</v>
      </c>
      <c r="R796" t="s">
        <v>204</v>
      </c>
      <c r="S796">
        <v>4</v>
      </c>
      <c r="T796">
        <v>12500</v>
      </c>
      <c r="U796">
        <v>1875</v>
      </c>
      <c r="V796">
        <v>10625</v>
      </c>
      <c r="W796">
        <v>8500</v>
      </c>
      <c r="X796">
        <v>2125</v>
      </c>
      <c r="Y796" s="8">
        <v>0.2</v>
      </c>
      <c r="Z796" t="s">
        <v>2997</v>
      </c>
      <c r="AA796" t="str">
        <f>IF(AND(SalesCleanTable[[#This Row],[Discount %]]&gt;0, SalesCleanTable[[#This Row],[Profit]]&lt;0), "Discount loss", "Safe")</f>
        <v>Safe</v>
      </c>
      <c r="AB796" s="25">
        <f>(SalesCleanTable[[#This Row],[Unit Price]] - SalesCleanTable[[#This Row],[Unit Cost]]) / SalesCleanTable[[#This Row],[Unit Price]]</f>
        <v>0.32</v>
      </c>
      <c r="AC796" t="str">
        <f>IF(SalesCleanTable[[#This Row],[Discount %]] &gt; SalesCleanTable[[#This Row],[Max Allowed Discount]], "Discount loss", "Safe")</f>
        <v>Safe</v>
      </c>
      <c r="AD796" s="4">
        <f>SalesCleanTable[[#This Row],[Unit Price]] - SalesCleanTable[[#This Row],[Unit Cost]]</f>
        <v>4000</v>
      </c>
      <c r="AE796" s="41">
        <f>(SalesCleanTable[[#This Row],[Unit Price]] - SalesCleanTable[[#This Row],[Unit Cost]]) / SalesCleanTable[[#This Row],[Unit Price]]</f>
        <v>0.32</v>
      </c>
    </row>
    <row r="797" spans="1:31">
      <c r="A797" t="s">
        <v>983</v>
      </c>
      <c r="B797" s="6">
        <v>45730</v>
      </c>
      <c r="C797" t="s">
        <v>49</v>
      </c>
      <c r="D797" t="s">
        <v>50</v>
      </c>
      <c r="E797" t="s">
        <v>38</v>
      </c>
      <c r="F797" t="s">
        <v>51</v>
      </c>
      <c r="G797" t="s">
        <v>52</v>
      </c>
      <c r="H797" t="s">
        <v>153</v>
      </c>
      <c r="I797" t="s">
        <v>154</v>
      </c>
      <c r="J797" t="s">
        <v>155</v>
      </c>
      <c r="K797" t="s">
        <v>131</v>
      </c>
      <c r="L797" t="s">
        <v>166</v>
      </c>
      <c r="M797" t="s">
        <v>171</v>
      </c>
      <c r="N797">
        <v>-1</v>
      </c>
      <c r="O797" s="4">
        <v>550</v>
      </c>
      <c r="P797" s="4">
        <v>850</v>
      </c>
      <c r="Q797" s="7">
        <v>0.05</v>
      </c>
      <c r="R797" t="s">
        <v>175</v>
      </c>
      <c r="S797">
        <v>1</v>
      </c>
      <c r="T797">
        <v>-850</v>
      </c>
      <c r="U797">
        <v>-42.5</v>
      </c>
      <c r="V797">
        <v>-807.5</v>
      </c>
      <c r="W797">
        <v>-550</v>
      </c>
      <c r="X797">
        <v>-257.5</v>
      </c>
      <c r="Y797" s="8">
        <v>0.31888544891640869</v>
      </c>
      <c r="Z797" t="s">
        <v>2996</v>
      </c>
      <c r="AA797" t="str">
        <f>IF(AND(SalesCleanTable[[#This Row],[Discount %]]&gt;0, SalesCleanTable[[#This Row],[Profit]]&lt;0), "Discount loss", "Safe")</f>
        <v>Discount loss</v>
      </c>
      <c r="AB797" s="25">
        <f>(SalesCleanTable[[#This Row],[Unit Price]] - SalesCleanTable[[#This Row],[Unit Cost]]) / SalesCleanTable[[#This Row],[Unit Price]]</f>
        <v>0.35294117647058826</v>
      </c>
      <c r="AC797" t="str">
        <f>IF(SalesCleanTable[[#This Row],[Discount %]] &gt; SalesCleanTable[[#This Row],[Max Allowed Discount]], "Discount loss", "Safe")</f>
        <v>Safe</v>
      </c>
      <c r="AD797" s="4">
        <f>SalesCleanTable[[#This Row],[Unit Price]] - SalesCleanTable[[#This Row],[Unit Cost]]</f>
        <v>300</v>
      </c>
      <c r="AE797" s="41">
        <f>(SalesCleanTable[[#This Row],[Unit Price]] - SalesCleanTable[[#This Row],[Unit Cost]]) / SalesCleanTable[[#This Row],[Unit Price]]</f>
        <v>0.35294117647058826</v>
      </c>
    </row>
    <row r="798" spans="1:31">
      <c r="A798" t="s">
        <v>984</v>
      </c>
      <c r="B798" s="6">
        <v>45975</v>
      </c>
      <c r="C798" t="s">
        <v>45</v>
      </c>
      <c r="D798" t="s">
        <v>46</v>
      </c>
      <c r="E798" t="s">
        <v>38</v>
      </c>
      <c r="F798" t="s">
        <v>47</v>
      </c>
      <c r="G798" t="s">
        <v>48</v>
      </c>
      <c r="H798" t="s">
        <v>153</v>
      </c>
      <c r="I798" t="s">
        <v>154</v>
      </c>
      <c r="J798" t="s">
        <v>155</v>
      </c>
      <c r="K798" t="s">
        <v>131</v>
      </c>
      <c r="L798" t="s">
        <v>166</v>
      </c>
      <c r="M798" t="s">
        <v>171</v>
      </c>
      <c r="N798">
        <v>1</v>
      </c>
      <c r="O798" s="4">
        <v>230</v>
      </c>
      <c r="P798" s="4">
        <v>400</v>
      </c>
      <c r="Q798" s="7">
        <v>0.2</v>
      </c>
      <c r="R798" t="s">
        <v>168</v>
      </c>
      <c r="S798">
        <v>7</v>
      </c>
      <c r="T798">
        <v>400</v>
      </c>
      <c r="U798">
        <v>80</v>
      </c>
      <c r="V798">
        <v>320</v>
      </c>
      <c r="W798">
        <v>230</v>
      </c>
      <c r="X798">
        <v>90</v>
      </c>
      <c r="Y798" s="8">
        <v>0.28125</v>
      </c>
      <c r="Z798" t="s">
        <v>2995</v>
      </c>
      <c r="AA798" t="str">
        <f>IF(AND(SalesCleanTable[[#This Row],[Discount %]]&gt;0, SalesCleanTable[[#This Row],[Profit]]&lt;0), "Discount loss", "Safe")</f>
        <v>Safe</v>
      </c>
      <c r="AB798" s="25">
        <f>(SalesCleanTable[[#This Row],[Unit Price]] - SalesCleanTable[[#This Row],[Unit Cost]]) / SalesCleanTable[[#This Row],[Unit Price]]</f>
        <v>0.42499999999999999</v>
      </c>
      <c r="AC798" t="str">
        <f>IF(SalesCleanTable[[#This Row],[Discount %]] &gt; SalesCleanTable[[#This Row],[Max Allowed Discount]], "Discount loss", "Safe")</f>
        <v>Safe</v>
      </c>
      <c r="AD798" s="4">
        <f>SalesCleanTable[[#This Row],[Unit Price]] - SalesCleanTable[[#This Row],[Unit Cost]]</f>
        <v>170</v>
      </c>
      <c r="AE798" s="41">
        <f>(SalesCleanTable[[#This Row],[Unit Price]] - SalesCleanTable[[#This Row],[Unit Cost]]) / SalesCleanTable[[#This Row],[Unit Price]]</f>
        <v>0.42499999999999999</v>
      </c>
    </row>
    <row r="799" spans="1:31">
      <c r="A799" t="s">
        <v>985</v>
      </c>
      <c r="B799" s="6">
        <v>45981</v>
      </c>
      <c r="C799" t="s">
        <v>41</v>
      </c>
      <c r="D799" t="s">
        <v>42</v>
      </c>
      <c r="E799" t="s">
        <v>26</v>
      </c>
      <c r="F799" t="s">
        <v>43</v>
      </c>
      <c r="G799" t="s">
        <v>44</v>
      </c>
      <c r="H799" t="s">
        <v>149</v>
      </c>
      <c r="I799" t="s">
        <v>150</v>
      </c>
      <c r="J799" t="s">
        <v>151</v>
      </c>
      <c r="K799" t="s">
        <v>152</v>
      </c>
      <c r="L799" t="s">
        <v>166</v>
      </c>
      <c r="M799" t="s">
        <v>177</v>
      </c>
      <c r="N799">
        <v>2</v>
      </c>
      <c r="O799" s="4">
        <v>850</v>
      </c>
      <c r="P799" s="4">
        <v>1300</v>
      </c>
      <c r="Q799" s="7">
        <v>0</v>
      </c>
      <c r="R799" t="s">
        <v>197</v>
      </c>
      <c r="S799">
        <v>7</v>
      </c>
      <c r="T799">
        <v>2600</v>
      </c>
      <c r="U799">
        <v>0</v>
      </c>
      <c r="V799">
        <v>2600</v>
      </c>
      <c r="W799">
        <v>1700</v>
      </c>
      <c r="X799">
        <v>900</v>
      </c>
      <c r="Y799" s="8">
        <v>0.34615384615384615</v>
      </c>
      <c r="Z799" t="s">
        <v>2995</v>
      </c>
      <c r="AA799" t="str">
        <f>IF(AND(SalesCleanTable[[#This Row],[Discount %]]&gt;0, SalesCleanTable[[#This Row],[Profit]]&lt;0), "Discount loss", "Safe")</f>
        <v>Safe</v>
      </c>
      <c r="AB799" s="25">
        <f>(SalesCleanTable[[#This Row],[Unit Price]] - SalesCleanTable[[#This Row],[Unit Cost]]) / SalesCleanTable[[#This Row],[Unit Price]]</f>
        <v>0.34615384615384615</v>
      </c>
      <c r="AC799" t="str">
        <f>IF(SalesCleanTable[[#This Row],[Discount %]] &gt; SalesCleanTable[[#This Row],[Max Allowed Discount]], "Discount loss", "Safe")</f>
        <v>Safe</v>
      </c>
      <c r="AD799" s="4">
        <f>SalesCleanTable[[#This Row],[Unit Price]] - SalesCleanTable[[#This Row],[Unit Cost]]</f>
        <v>450</v>
      </c>
      <c r="AE799" s="41">
        <f>(SalesCleanTable[[#This Row],[Unit Price]] - SalesCleanTable[[#This Row],[Unit Cost]]) / SalesCleanTable[[#This Row],[Unit Price]]</f>
        <v>0.34615384615384615</v>
      </c>
    </row>
    <row r="800" spans="1:31">
      <c r="A800" t="s">
        <v>986</v>
      </c>
      <c r="B800" s="6">
        <v>45729</v>
      </c>
      <c r="C800" t="s">
        <v>82</v>
      </c>
      <c r="D800" t="s">
        <v>83</v>
      </c>
      <c r="E800" t="s">
        <v>75</v>
      </c>
      <c r="F800" t="s">
        <v>84</v>
      </c>
      <c r="G800" t="s">
        <v>85</v>
      </c>
      <c r="H800" t="s">
        <v>153</v>
      </c>
      <c r="I800" t="s">
        <v>154</v>
      </c>
      <c r="J800" t="s">
        <v>155</v>
      </c>
      <c r="K800" t="s">
        <v>131</v>
      </c>
      <c r="L800" t="s">
        <v>166</v>
      </c>
      <c r="M800" t="s">
        <v>171</v>
      </c>
      <c r="N800">
        <v>6</v>
      </c>
      <c r="O800" s="4">
        <v>600</v>
      </c>
      <c r="P800" s="4">
        <v>950</v>
      </c>
      <c r="Q800" s="7">
        <v>0</v>
      </c>
      <c r="R800" t="s">
        <v>204</v>
      </c>
      <c r="S800">
        <v>6</v>
      </c>
      <c r="T800">
        <v>5700</v>
      </c>
      <c r="U800">
        <v>0</v>
      </c>
      <c r="V800">
        <v>5700</v>
      </c>
      <c r="W800">
        <v>3600</v>
      </c>
      <c r="X800">
        <v>2100</v>
      </c>
      <c r="Y800" s="8">
        <v>0.36842105263157893</v>
      </c>
      <c r="Z800" t="s">
        <v>2996</v>
      </c>
      <c r="AA800" t="str">
        <f>IF(AND(SalesCleanTable[[#This Row],[Discount %]]&gt;0, SalesCleanTable[[#This Row],[Profit]]&lt;0), "Discount loss", "Safe")</f>
        <v>Safe</v>
      </c>
      <c r="AB800" s="25">
        <f>(SalesCleanTable[[#This Row],[Unit Price]] - SalesCleanTable[[#This Row],[Unit Cost]]) / SalesCleanTable[[#This Row],[Unit Price]]</f>
        <v>0.36842105263157893</v>
      </c>
      <c r="AC800" t="str">
        <f>IF(SalesCleanTable[[#This Row],[Discount %]] &gt; SalesCleanTable[[#This Row],[Max Allowed Discount]], "Discount loss", "Safe")</f>
        <v>Safe</v>
      </c>
      <c r="AD800" s="4">
        <f>SalesCleanTable[[#This Row],[Unit Price]] - SalesCleanTable[[#This Row],[Unit Cost]]</f>
        <v>350</v>
      </c>
      <c r="AE800" s="41">
        <f>(SalesCleanTable[[#This Row],[Unit Price]] - SalesCleanTable[[#This Row],[Unit Cost]]) / SalesCleanTable[[#This Row],[Unit Price]]</f>
        <v>0.36842105263157893</v>
      </c>
    </row>
    <row r="801" spans="1:31">
      <c r="A801" t="s">
        <v>987</v>
      </c>
      <c r="B801" s="6">
        <v>46020</v>
      </c>
      <c r="C801" t="s">
        <v>53</v>
      </c>
      <c r="D801" t="s">
        <v>54</v>
      </c>
      <c r="E801" t="s">
        <v>38</v>
      </c>
      <c r="F801" t="s">
        <v>55</v>
      </c>
      <c r="G801" t="s">
        <v>56</v>
      </c>
      <c r="H801" t="s">
        <v>133</v>
      </c>
      <c r="I801" t="s">
        <v>134</v>
      </c>
      <c r="J801" t="s">
        <v>130</v>
      </c>
      <c r="K801" t="s">
        <v>131</v>
      </c>
      <c r="L801" t="s">
        <v>166</v>
      </c>
      <c r="M801" t="s">
        <v>171</v>
      </c>
      <c r="N801">
        <v>10</v>
      </c>
      <c r="O801" s="4">
        <v>330</v>
      </c>
      <c r="P801" s="4">
        <v>550</v>
      </c>
      <c r="Q801" s="7">
        <v>0.05</v>
      </c>
      <c r="R801" t="s">
        <v>178</v>
      </c>
      <c r="S801">
        <v>12</v>
      </c>
      <c r="T801">
        <v>5500</v>
      </c>
      <c r="U801">
        <v>275</v>
      </c>
      <c r="V801">
        <v>5225</v>
      </c>
      <c r="W801">
        <v>3300</v>
      </c>
      <c r="X801">
        <v>1925</v>
      </c>
      <c r="Y801" s="8">
        <v>0.36842105263157893</v>
      </c>
      <c r="Z801" t="s">
        <v>2996</v>
      </c>
      <c r="AA801" t="str">
        <f>IF(AND(SalesCleanTable[[#This Row],[Discount %]]&gt;0, SalesCleanTable[[#This Row],[Profit]]&lt;0), "Discount loss", "Safe")</f>
        <v>Safe</v>
      </c>
      <c r="AB801" s="25">
        <f>(SalesCleanTable[[#This Row],[Unit Price]] - SalesCleanTable[[#This Row],[Unit Cost]]) / SalesCleanTable[[#This Row],[Unit Price]]</f>
        <v>0.4</v>
      </c>
      <c r="AC801" t="str">
        <f>IF(SalesCleanTable[[#This Row],[Discount %]] &gt; SalesCleanTable[[#This Row],[Max Allowed Discount]], "Discount loss", "Safe")</f>
        <v>Safe</v>
      </c>
      <c r="AD801" s="4">
        <f>SalesCleanTable[[#This Row],[Unit Price]] - SalesCleanTable[[#This Row],[Unit Cost]]</f>
        <v>220</v>
      </c>
      <c r="AE801" s="41">
        <f>(SalesCleanTable[[#This Row],[Unit Price]] - SalesCleanTable[[#This Row],[Unit Cost]]) / SalesCleanTable[[#This Row],[Unit Price]]</f>
        <v>0.4</v>
      </c>
    </row>
    <row r="802" spans="1:31">
      <c r="A802" t="s">
        <v>988</v>
      </c>
      <c r="B802" s="6">
        <v>45659</v>
      </c>
      <c r="C802" t="s">
        <v>69</v>
      </c>
      <c r="D802" t="s">
        <v>70</v>
      </c>
      <c r="E802" t="s">
        <v>59</v>
      </c>
      <c r="F802" t="s">
        <v>71</v>
      </c>
      <c r="G802" t="s">
        <v>72</v>
      </c>
      <c r="H802" t="s">
        <v>128</v>
      </c>
      <c r="I802" t="s">
        <v>129</v>
      </c>
      <c r="J802" t="s">
        <v>130</v>
      </c>
      <c r="K802" t="s">
        <v>131</v>
      </c>
      <c r="L802" t="s">
        <v>166</v>
      </c>
      <c r="M802" t="s">
        <v>171</v>
      </c>
      <c r="N802">
        <v>1</v>
      </c>
      <c r="O802" s="4">
        <v>1700</v>
      </c>
      <c r="P802" s="4">
        <v>2600</v>
      </c>
      <c r="Q802" s="7">
        <v>0</v>
      </c>
      <c r="R802" t="s">
        <v>204</v>
      </c>
      <c r="S802">
        <v>13</v>
      </c>
      <c r="T802">
        <v>2600</v>
      </c>
      <c r="U802">
        <v>0</v>
      </c>
      <c r="V802">
        <v>2600</v>
      </c>
      <c r="W802">
        <v>1700</v>
      </c>
      <c r="X802">
        <v>900</v>
      </c>
      <c r="Y802" s="8">
        <v>0.34615384615384615</v>
      </c>
      <c r="Z802" t="s">
        <v>2997</v>
      </c>
      <c r="AA802" t="str">
        <f>IF(AND(SalesCleanTable[[#This Row],[Discount %]]&gt;0, SalesCleanTable[[#This Row],[Profit]]&lt;0), "Discount loss", "Safe")</f>
        <v>Safe</v>
      </c>
      <c r="AB802" s="25">
        <f>(SalesCleanTable[[#This Row],[Unit Price]] - SalesCleanTable[[#This Row],[Unit Cost]]) / SalesCleanTable[[#This Row],[Unit Price]]</f>
        <v>0.34615384615384615</v>
      </c>
      <c r="AC802" t="str">
        <f>IF(SalesCleanTable[[#This Row],[Discount %]] &gt; SalesCleanTable[[#This Row],[Max Allowed Discount]], "Discount loss", "Safe")</f>
        <v>Safe</v>
      </c>
      <c r="AD802" s="4">
        <f>SalesCleanTable[[#This Row],[Unit Price]] - SalesCleanTable[[#This Row],[Unit Cost]]</f>
        <v>900</v>
      </c>
      <c r="AE802" s="41">
        <f>(SalesCleanTable[[#This Row],[Unit Price]] - SalesCleanTable[[#This Row],[Unit Cost]]) / SalesCleanTable[[#This Row],[Unit Price]]</f>
        <v>0.34615384615384615</v>
      </c>
    </row>
    <row r="803" spans="1:31">
      <c r="A803" t="s">
        <v>989</v>
      </c>
      <c r="B803" s="6">
        <v>45699</v>
      </c>
      <c r="C803" t="s">
        <v>95</v>
      </c>
      <c r="D803" t="s">
        <v>96</v>
      </c>
      <c r="E803" t="s">
        <v>92</v>
      </c>
      <c r="F803" t="s">
        <v>97</v>
      </c>
      <c r="G803" t="s">
        <v>98</v>
      </c>
      <c r="H803" t="s">
        <v>141</v>
      </c>
      <c r="I803" t="s">
        <v>142</v>
      </c>
      <c r="J803" t="s">
        <v>143</v>
      </c>
      <c r="K803" t="s">
        <v>144</v>
      </c>
      <c r="L803" t="s">
        <v>183</v>
      </c>
      <c r="M803" t="s">
        <v>171</v>
      </c>
      <c r="N803">
        <v>1</v>
      </c>
      <c r="O803" s="4">
        <v>18000</v>
      </c>
      <c r="P803" s="4">
        <v>24500</v>
      </c>
      <c r="Q803" s="7">
        <v>0</v>
      </c>
      <c r="R803" t="s">
        <v>215</v>
      </c>
      <c r="S803">
        <v>2</v>
      </c>
      <c r="T803">
        <v>24500</v>
      </c>
      <c r="U803">
        <v>0</v>
      </c>
      <c r="V803">
        <v>24500</v>
      </c>
      <c r="W803">
        <v>18000</v>
      </c>
      <c r="X803">
        <v>6500</v>
      </c>
      <c r="Y803" s="8">
        <v>0.26530612244897961</v>
      </c>
      <c r="Z803" t="s">
        <v>2995</v>
      </c>
      <c r="AA803" t="str">
        <f>IF(AND(SalesCleanTable[[#This Row],[Discount %]]&gt;0, SalesCleanTable[[#This Row],[Profit]]&lt;0), "Discount loss", "Safe")</f>
        <v>Safe</v>
      </c>
      <c r="AB803" s="25">
        <f>(SalesCleanTable[[#This Row],[Unit Price]] - SalesCleanTable[[#This Row],[Unit Cost]]) / SalesCleanTable[[#This Row],[Unit Price]]</f>
        <v>0.26530612244897961</v>
      </c>
      <c r="AC803" t="str">
        <f>IF(SalesCleanTable[[#This Row],[Discount %]] &gt; SalesCleanTable[[#This Row],[Max Allowed Discount]], "Discount loss", "Safe")</f>
        <v>Safe</v>
      </c>
      <c r="AD803" s="4">
        <f>SalesCleanTable[[#This Row],[Unit Price]] - SalesCleanTable[[#This Row],[Unit Cost]]</f>
        <v>6500</v>
      </c>
      <c r="AE803" s="41">
        <f>(SalesCleanTable[[#This Row],[Unit Price]] - SalesCleanTable[[#This Row],[Unit Cost]]) / SalesCleanTable[[#This Row],[Unit Price]]</f>
        <v>0.26530612244897961</v>
      </c>
    </row>
    <row r="804" spans="1:31">
      <c r="A804" t="s">
        <v>990</v>
      </c>
      <c r="B804" s="6">
        <v>45850</v>
      </c>
      <c r="C804" t="s">
        <v>99</v>
      </c>
      <c r="D804" t="s">
        <v>100</v>
      </c>
      <c r="E804" t="s">
        <v>92</v>
      </c>
      <c r="F804" t="s">
        <v>101</v>
      </c>
      <c r="G804" t="s">
        <v>102</v>
      </c>
      <c r="H804" t="s">
        <v>135</v>
      </c>
      <c r="I804" t="s">
        <v>136</v>
      </c>
      <c r="J804" t="s">
        <v>137</v>
      </c>
      <c r="K804" t="s">
        <v>138</v>
      </c>
      <c r="L804" t="s">
        <v>183</v>
      </c>
      <c r="M804" t="s">
        <v>177</v>
      </c>
      <c r="N804">
        <v>1</v>
      </c>
      <c r="O804" s="4">
        <v>12500</v>
      </c>
      <c r="P804" s="4">
        <v>18500</v>
      </c>
      <c r="Q804" s="7">
        <v>0.1</v>
      </c>
      <c r="R804" t="s">
        <v>217</v>
      </c>
      <c r="S804">
        <v>6</v>
      </c>
      <c r="T804">
        <v>18500</v>
      </c>
      <c r="U804">
        <v>1850</v>
      </c>
      <c r="V804">
        <v>16650</v>
      </c>
      <c r="W804">
        <v>12500</v>
      </c>
      <c r="X804">
        <v>4150</v>
      </c>
      <c r="Y804" s="8">
        <v>0.24924924924924924</v>
      </c>
      <c r="Z804" t="s">
        <v>2995</v>
      </c>
      <c r="AA804" t="str">
        <f>IF(AND(SalesCleanTable[[#This Row],[Discount %]]&gt;0, SalesCleanTable[[#This Row],[Profit]]&lt;0), "Discount loss", "Safe")</f>
        <v>Safe</v>
      </c>
      <c r="AB804" s="25">
        <f>(SalesCleanTable[[#This Row],[Unit Price]] - SalesCleanTable[[#This Row],[Unit Cost]]) / SalesCleanTable[[#This Row],[Unit Price]]</f>
        <v>0.32432432432432434</v>
      </c>
      <c r="AC804" t="str">
        <f>IF(SalesCleanTable[[#This Row],[Discount %]] &gt; SalesCleanTable[[#This Row],[Max Allowed Discount]], "Discount loss", "Safe")</f>
        <v>Safe</v>
      </c>
      <c r="AD804" s="4">
        <f>SalesCleanTable[[#This Row],[Unit Price]] - SalesCleanTable[[#This Row],[Unit Cost]]</f>
        <v>6000</v>
      </c>
      <c r="AE804" s="41">
        <f>(SalesCleanTable[[#This Row],[Unit Price]] - SalesCleanTable[[#This Row],[Unit Cost]]) / SalesCleanTable[[#This Row],[Unit Price]]</f>
        <v>0.32432432432432434</v>
      </c>
    </row>
    <row r="805" spans="1:31">
      <c r="A805" t="s">
        <v>991</v>
      </c>
      <c r="B805" s="6">
        <v>45885</v>
      </c>
      <c r="C805" t="s">
        <v>24</v>
      </c>
      <c r="D805" t="s">
        <v>25</v>
      </c>
      <c r="E805" t="s">
        <v>26</v>
      </c>
      <c r="F805" t="s">
        <v>27</v>
      </c>
      <c r="G805" t="s">
        <v>28</v>
      </c>
      <c r="H805" t="s">
        <v>145</v>
      </c>
      <c r="I805" t="s">
        <v>146</v>
      </c>
      <c r="J805" t="s">
        <v>147</v>
      </c>
      <c r="K805" t="s">
        <v>148</v>
      </c>
      <c r="L805" t="s">
        <v>183</v>
      </c>
      <c r="M805" t="s">
        <v>177</v>
      </c>
      <c r="N805">
        <v>4</v>
      </c>
      <c r="O805" s="4">
        <v>14500</v>
      </c>
      <c r="P805" s="4">
        <v>17500</v>
      </c>
      <c r="Q805" s="7">
        <v>0.1</v>
      </c>
      <c r="R805" t="s">
        <v>173</v>
      </c>
      <c r="S805">
        <v>11</v>
      </c>
      <c r="T805">
        <v>70000</v>
      </c>
      <c r="U805">
        <v>7000</v>
      </c>
      <c r="V805">
        <v>63000</v>
      </c>
      <c r="W805">
        <v>58000</v>
      </c>
      <c r="X805">
        <v>5000</v>
      </c>
      <c r="Y805" s="8">
        <v>7.9365079365079361E-2</v>
      </c>
      <c r="Z805" t="s">
        <v>2995</v>
      </c>
      <c r="AA805" t="str">
        <f>IF(AND(SalesCleanTable[[#This Row],[Discount %]]&gt;0, SalesCleanTable[[#This Row],[Profit]]&lt;0), "Discount loss", "Safe")</f>
        <v>Safe</v>
      </c>
      <c r="AB805" s="25">
        <f>(SalesCleanTable[[#This Row],[Unit Price]] - SalesCleanTable[[#This Row],[Unit Cost]]) / SalesCleanTable[[#This Row],[Unit Price]]</f>
        <v>0.17142857142857143</v>
      </c>
      <c r="AC805" t="str">
        <f>IF(SalesCleanTable[[#This Row],[Discount %]] &gt; SalesCleanTable[[#This Row],[Max Allowed Discount]], "Discount loss", "Safe")</f>
        <v>Safe</v>
      </c>
      <c r="AD805" s="4">
        <f>SalesCleanTable[[#This Row],[Unit Price]] - SalesCleanTable[[#This Row],[Unit Cost]]</f>
        <v>3000</v>
      </c>
      <c r="AE805" s="41">
        <f>(SalesCleanTable[[#This Row],[Unit Price]] - SalesCleanTable[[#This Row],[Unit Cost]]) / SalesCleanTable[[#This Row],[Unit Price]]</f>
        <v>0.17142857142857143</v>
      </c>
    </row>
    <row r="806" spans="1:31">
      <c r="A806" t="s">
        <v>992</v>
      </c>
      <c r="B806" s="6">
        <v>45771</v>
      </c>
      <c r="C806" t="s">
        <v>41</v>
      </c>
      <c r="D806" t="s">
        <v>42</v>
      </c>
      <c r="E806" t="s">
        <v>26</v>
      </c>
      <c r="F806" t="s">
        <v>43</v>
      </c>
      <c r="G806" t="s">
        <v>44</v>
      </c>
      <c r="H806" t="s">
        <v>139</v>
      </c>
      <c r="I806" t="s">
        <v>140</v>
      </c>
      <c r="J806" t="s">
        <v>137</v>
      </c>
      <c r="K806" t="s">
        <v>138</v>
      </c>
      <c r="L806" t="s">
        <v>183</v>
      </c>
      <c r="M806" t="s">
        <v>171</v>
      </c>
      <c r="N806">
        <v>2</v>
      </c>
      <c r="O806" s="4">
        <v>850</v>
      </c>
      <c r="P806" s="4">
        <v>1300</v>
      </c>
      <c r="Q806" s="7">
        <v>0</v>
      </c>
      <c r="R806" t="s">
        <v>197</v>
      </c>
      <c r="S806">
        <v>1</v>
      </c>
      <c r="T806">
        <v>2600</v>
      </c>
      <c r="U806">
        <v>0</v>
      </c>
      <c r="V806">
        <v>2600</v>
      </c>
      <c r="W806">
        <v>1700</v>
      </c>
      <c r="X806">
        <v>900</v>
      </c>
      <c r="Y806" s="8">
        <v>0.34615384615384615</v>
      </c>
      <c r="Z806" t="s">
        <v>2995</v>
      </c>
      <c r="AA806" t="str">
        <f>IF(AND(SalesCleanTable[[#This Row],[Discount %]]&gt;0, SalesCleanTable[[#This Row],[Profit]]&lt;0), "Discount loss", "Safe")</f>
        <v>Safe</v>
      </c>
      <c r="AB806" s="25">
        <f>(SalesCleanTable[[#This Row],[Unit Price]] - SalesCleanTable[[#This Row],[Unit Cost]]) / SalesCleanTable[[#This Row],[Unit Price]]</f>
        <v>0.34615384615384615</v>
      </c>
      <c r="AC806" t="str">
        <f>IF(SalesCleanTable[[#This Row],[Discount %]] &gt; SalesCleanTable[[#This Row],[Max Allowed Discount]], "Discount loss", "Safe")</f>
        <v>Safe</v>
      </c>
      <c r="AD806" s="4">
        <f>SalesCleanTable[[#This Row],[Unit Price]] - SalesCleanTable[[#This Row],[Unit Cost]]</f>
        <v>450</v>
      </c>
      <c r="AE806" s="41">
        <f>(SalesCleanTable[[#This Row],[Unit Price]] - SalesCleanTable[[#This Row],[Unit Cost]]) / SalesCleanTable[[#This Row],[Unit Price]]</f>
        <v>0.34615384615384615</v>
      </c>
    </row>
    <row r="807" spans="1:31">
      <c r="A807" t="s">
        <v>993</v>
      </c>
      <c r="B807" s="6">
        <v>45984</v>
      </c>
      <c r="C807" t="s">
        <v>49</v>
      </c>
      <c r="D807" t="s">
        <v>50</v>
      </c>
      <c r="E807" t="s">
        <v>38</v>
      </c>
      <c r="F807" t="s">
        <v>51</v>
      </c>
      <c r="G807" t="s">
        <v>52</v>
      </c>
      <c r="H807" t="s">
        <v>149</v>
      </c>
      <c r="I807" t="s">
        <v>150</v>
      </c>
      <c r="J807" t="s">
        <v>151</v>
      </c>
      <c r="K807" t="s">
        <v>152</v>
      </c>
      <c r="L807" t="s">
        <v>166</v>
      </c>
      <c r="M807" t="s">
        <v>171</v>
      </c>
      <c r="N807">
        <v>3</v>
      </c>
      <c r="O807" s="4">
        <v>550</v>
      </c>
      <c r="P807" s="4">
        <v>850</v>
      </c>
      <c r="Q807" s="7">
        <v>0.05</v>
      </c>
      <c r="R807" t="s">
        <v>168</v>
      </c>
      <c r="S807">
        <v>11</v>
      </c>
      <c r="T807">
        <v>2550</v>
      </c>
      <c r="U807">
        <v>127.5</v>
      </c>
      <c r="V807">
        <v>2422.5</v>
      </c>
      <c r="W807">
        <v>1650</v>
      </c>
      <c r="X807">
        <v>772.5</v>
      </c>
      <c r="Y807" s="8">
        <v>0.31888544891640869</v>
      </c>
      <c r="Z807" t="s">
        <v>2996</v>
      </c>
      <c r="AA807" t="str">
        <f>IF(AND(SalesCleanTable[[#This Row],[Discount %]]&gt;0, SalesCleanTable[[#This Row],[Profit]]&lt;0), "Discount loss", "Safe")</f>
        <v>Safe</v>
      </c>
      <c r="AB807" s="25">
        <f>(SalesCleanTable[[#This Row],[Unit Price]] - SalesCleanTable[[#This Row],[Unit Cost]]) / SalesCleanTable[[#This Row],[Unit Price]]</f>
        <v>0.35294117647058826</v>
      </c>
      <c r="AC807" t="str">
        <f>IF(SalesCleanTable[[#This Row],[Discount %]] &gt; SalesCleanTable[[#This Row],[Max Allowed Discount]], "Discount loss", "Safe")</f>
        <v>Safe</v>
      </c>
      <c r="AD807" s="4">
        <f>SalesCleanTable[[#This Row],[Unit Price]] - SalesCleanTable[[#This Row],[Unit Cost]]</f>
        <v>300</v>
      </c>
      <c r="AE807" s="41">
        <f>(SalesCleanTable[[#This Row],[Unit Price]] - SalesCleanTable[[#This Row],[Unit Cost]]) / SalesCleanTable[[#This Row],[Unit Price]]</f>
        <v>0.35294117647058826</v>
      </c>
    </row>
    <row r="808" spans="1:31">
      <c r="A808" t="s">
        <v>994</v>
      </c>
      <c r="B808" s="6">
        <v>45947</v>
      </c>
      <c r="C808" t="s">
        <v>36</v>
      </c>
      <c r="D808" t="s">
        <v>37</v>
      </c>
      <c r="E808" t="s">
        <v>38</v>
      </c>
      <c r="F808" t="s">
        <v>39</v>
      </c>
      <c r="G808" t="s">
        <v>40</v>
      </c>
      <c r="H808" t="s">
        <v>139</v>
      </c>
      <c r="I808" t="s">
        <v>140</v>
      </c>
      <c r="J808" t="s">
        <v>137</v>
      </c>
      <c r="K808" t="s">
        <v>138</v>
      </c>
      <c r="L808" t="s">
        <v>170</v>
      </c>
      <c r="M808" t="s">
        <v>171</v>
      </c>
      <c r="N808">
        <v>4</v>
      </c>
      <c r="O808" s="4">
        <v>1650</v>
      </c>
      <c r="P808" s="4">
        <v>2200</v>
      </c>
      <c r="Q808" s="7">
        <v>0</v>
      </c>
      <c r="R808" t="s">
        <v>168</v>
      </c>
      <c r="S808">
        <v>12</v>
      </c>
      <c r="T808">
        <v>8800</v>
      </c>
      <c r="U808">
        <v>0</v>
      </c>
      <c r="V808">
        <v>8800</v>
      </c>
      <c r="W808">
        <v>6600</v>
      </c>
      <c r="X808">
        <v>2200</v>
      </c>
      <c r="Y808" s="8">
        <v>0.25</v>
      </c>
      <c r="Z808" t="s">
        <v>2995</v>
      </c>
      <c r="AA808" t="str">
        <f>IF(AND(SalesCleanTable[[#This Row],[Discount %]]&gt;0, SalesCleanTable[[#This Row],[Profit]]&lt;0), "Discount loss", "Safe")</f>
        <v>Safe</v>
      </c>
      <c r="AB808" s="25">
        <f>(SalesCleanTable[[#This Row],[Unit Price]] - SalesCleanTable[[#This Row],[Unit Cost]]) / SalesCleanTable[[#This Row],[Unit Price]]</f>
        <v>0.25</v>
      </c>
      <c r="AC808" t="str">
        <f>IF(SalesCleanTable[[#This Row],[Discount %]] &gt; SalesCleanTable[[#This Row],[Max Allowed Discount]], "Discount loss", "Safe")</f>
        <v>Safe</v>
      </c>
      <c r="AD808" s="4">
        <f>SalesCleanTable[[#This Row],[Unit Price]] - SalesCleanTable[[#This Row],[Unit Cost]]</f>
        <v>550</v>
      </c>
      <c r="AE808" s="41">
        <f>(SalesCleanTable[[#This Row],[Unit Price]] - SalesCleanTable[[#This Row],[Unit Cost]]) / SalesCleanTable[[#This Row],[Unit Price]]</f>
        <v>0.25</v>
      </c>
    </row>
    <row r="809" spans="1:31">
      <c r="A809" t="s">
        <v>995</v>
      </c>
      <c r="B809" s="6">
        <v>45756</v>
      </c>
      <c r="C809" t="s">
        <v>103</v>
      </c>
      <c r="D809" t="s">
        <v>104</v>
      </c>
      <c r="E809" t="s">
        <v>92</v>
      </c>
      <c r="F809" t="s">
        <v>105</v>
      </c>
      <c r="G809" t="s">
        <v>106</v>
      </c>
      <c r="H809" t="s">
        <v>128</v>
      </c>
      <c r="I809" t="s">
        <v>129</v>
      </c>
      <c r="J809" t="s">
        <v>130</v>
      </c>
      <c r="K809" t="s">
        <v>131</v>
      </c>
      <c r="L809" t="s">
        <v>183</v>
      </c>
      <c r="M809" t="s">
        <v>171</v>
      </c>
      <c r="N809">
        <v>8</v>
      </c>
      <c r="O809" s="4">
        <v>1500</v>
      </c>
      <c r="P809" s="4">
        <v>2500</v>
      </c>
      <c r="Q809" s="7">
        <v>0.1</v>
      </c>
      <c r="R809" t="s">
        <v>217</v>
      </c>
      <c r="S809">
        <v>1</v>
      </c>
      <c r="T809">
        <v>20000</v>
      </c>
      <c r="U809">
        <v>2000</v>
      </c>
      <c r="V809">
        <v>18000</v>
      </c>
      <c r="W809">
        <v>12000</v>
      </c>
      <c r="X809">
        <v>6000</v>
      </c>
      <c r="Y809" s="8">
        <v>0.33333333333333331</v>
      </c>
      <c r="Z809" t="s">
        <v>2996</v>
      </c>
      <c r="AA809" t="str">
        <f>IF(AND(SalesCleanTable[[#This Row],[Discount %]]&gt;0, SalesCleanTable[[#This Row],[Profit]]&lt;0), "Discount loss", "Safe")</f>
        <v>Safe</v>
      </c>
      <c r="AB809" s="25">
        <f>(SalesCleanTable[[#This Row],[Unit Price]] - SalesCleanTable[[#This Row],[Unit Cost]]) / SalesCleanTable[[#This Row],[Unit Price]]</f>
        <v>0.4</v>
      </c>
      <c r="AC809" t="str">
        <f>IF(SalesCleanTable[[#This Row],[Discount %]] &gt; SalesCleanTable[[#This Row],[Max Allowed Discount]], "Discount loss", "Safe")</f>
        <v>Safe</v>
      </c>
      <c r="AD809" s="4">
        <f>SalesCleanTable[[#This Row],[Unit Price]] - SalesCleanTable[[#This Row],[Unit Cost]]</f>
        <v>1000</v>
      </c>
      <c r="AE809" s="41">
        <f>(SalesCleanTable[[#This Row],[Unit Price]] - SalesCleanTable[[#This Row],[Unit Cost]]) / SalesCleanTable[[#This Row],[Unit Price]]</f>
        <v>0.4</v>
      </c>
    </row>
    <row r="810" spans="1:31">
      <c r="A810" t="s">
        <v>996</v>
      </c>
      <c r="B810" s="6">
        <v>45986</v>
      </c>
      <c r="C810" t="s">
        <v>78</v>
      </c>
      <c r="D810" t="s">
        <v>79</v>
      </c>
      <c r="E810" t="s">
        <v>75</v>
      </c>
      <c r="F810" t="s">
        <v>80</v>
      </c>
      <c r="G810" t="s">
        <v>81</v>
      </c>
      <c r="H810" t="s">
        <v>141</v>
      </c>
      <c r="I810" t="s">
        <v>142</v>
      </c>
      <c r="J810" t="s">
        <v>143</v>
      </c>
      <c r="K810" t="s">
        <v>144</v>
      </c>
      <c r="L810" t="s">
        <v>183</v>
      </c>
      <c r="M810" t="s">
        <v>186</v>
      </c>
      <c r="N810">
        <v>5</v>
      </c>
      <c r="O810" s="4">
        <v>1200</v>
      </c>
      <c r="P810" s="4">
        <v>1900</v>
      </c>
      <c r="Q810" s="7">
        <v>0.05</v>
      </c>
      <c r="R810" t="s">
        <v>187</v>
      </c>
      <c r="S810">
        <v>11</v>
      </c>
      <c r="T810">
        <v>9500</v>
      </c>
      <c r="U810">
        <v>475</v>
      </c>
      <c r="V810">
        <v>9025</v>
      </c>
      <c r="W810">
        <v>6000</v>
      </c>
      <c r="X810">
        <v>3025</v>
      </c>
      <c r="Y810" s="8">
        <v>0.33518005540166207</v>
      </c>
      <c r="Z810" t="s">
        <v>2996</v>
      </c>
      <c r="AA810" t="str">
        <f>IF(AND(SalesCleanTable[[#This Row],[Discount %]]&gt;0, SalesCleanTable[[#This Row],[Profit]]&lt;0), "Discount loss", "Safe")</f>
        <v>Safe</v>
      </c>
      <c r="AB810" s="25">
        <f>(SalesCleanTable[[#This Row],[Unit Price]] - SalesCleanTable[[#This Row],[Unit Cost]]) / SalesCleanTable[[#This Row],[Unit Price]]</f>
        <v>0.36842105263157893</v>
      </c>
      <c r="AC810" t="str">
        <f>IF(SalesCleanTable[[#This Row],[Discount %]] &gt; SalesCleanTable[[#This Row],[Max Allowed Discount]], "Discount loss", "Safe")</f>
        <v>Safe</v>
      </c>
      <c r="AD810" s="4">
        <f>SalesCleanTable[[#This Row],[Unit Price]] - SalesCleanTable[[#This Row],[Unit Cost]]</f>
        <v>700</v>
      </c>
      <c r="AE810" s="41">
        <f>(SalesCleanTable[[#This Row],[Unit Price]] - SalesCleanTable[[#This Row],[Unit Cost]]) / SalesCleanTable[[#This Row],[Unit Price]]</f>
        <v>0.36842105263157893</v>
      </c>
    </row>
    <row r="811" spans="1:31">
      <c r="A811" t="s">
        <v>997</v>
      </c>
      <c r="B811" s="6">
        <v>45911</v>
      </c>
      <c r="C811" t="s">
        <v>49</v>
      </c>
      <c r="D811" t="s">
        <v>50</v>
      </c>
      <c r="E811" t="s">
        <v>38</v>
      </c>
      <c r="F811" t="s">
        <v>51</v>
      </c>
      <c r="G811" t="s">
        <v>52</v>
      </c>
      <c r="H811" t="s">
        <v>145</v>
      </c>
      <c r="I811" t="s">
        <v>146</v>
      </c>
      <c r="J811" t="s">
        <v>147</v>
      </c>
      <c r="K811" t="s">
        <v>148</v>
      </c>
      <c r="L811" t="s">
        <v>166</v>
      </c>
      <c r="M811" t="s">
        <v>186</v>
      </c>
      <c r="N811">
        <v>-1</v>
      </c>
      <c r="O811" s="4">
        <v>550</v>
      </c>
      <c r="P811" s="4">
        <v>850</v>
      </c>
      <c r="Q811" s="7">
        <v>0</v>
      </c>
      <c r="R811" t="s">
        <v>175</v>
      </c>
      <c r="S811">
        <v>6</v>
      </c>
      <c r="T811">
        <v>-850</v>
      </c>
      <c r="U811">
        <v>0</v>
      </c>
      <c r="V811">
        <v>-850</v>
      </c>
      <c r="W811">
        <v>-550</v>
      </c>
      <c r="X811">
        <v>-300</v>
      </c>
      <c r="Y811" s="8">
        <v>0.35294117647058826</v>
      </c>
      <c r="Z811" t="s">
        <v>2996</v>
      </c>
      <c r="AA811" t="str">
        <f>IF(AND(SalesCleanTable[[#This Row],[Discount %]]&gt;0, SalesCleanTable[[#This Row],[Profit]]&lt;0), "Discount loss", "Safe")</f>
        <v>Safe</v>
      </c>
      <c r="AB811" s="25">
        <f>(SalesCleanTable[[#This Row],[Unit Price]] - SalesCleanTable[[#This Row],[Unit Cost]]) / SalesCleanTable[[#This Row],[Unit Price]]</f>
        <v>0.35294117647058826</v>
      </c>
      <c r="AC811" t="str">
        <f>IF(SalesCleanTable[[#This Row],[Discount %]] &gt; SalesCleanTable[[#This Row],[Max Allowed Discount]], "Discount loss", "Safe")</f>
        <v>Safe</v>
      </c>
      <c r="AD811" s="4">
        <f>SalesCleanTable[[#This Row],[Unit Price]] - SalesCleanTable[[#This Row],[Unit Cost]]</f>
        <v>300</v>
      </c>
      <c r="AE811" s="41">
        <f>(SalesCleanTable[[#This Row],[Unit Price]] - SalesCleanTable[[#This Row],[Unit Cost]]) / SalesCleanTable[[#This Row],[Unit Price]]</f>
        <v>0.35294117647058826</v>
      </c>
    </row>
    <row r="812" spans="1:31">
      <c r="A812" t="s">
        <v>998</v>
      </c>
      <c r="B812" s="6">
        <v>45829</v>
      </c>
      <c r="C812" t="s">
        <v>29</v>
      </c>
      <c r="D812" t="s">
        <v>30</v>
      </c>
      <c r="E812" t="s">
        <v>26</v>
      </c>
      <c r="F812" t="s">
        <v>27</v>
      </c>
      <c r="G812" t="s">
        <v>31</v>
      </c>
      <c r="H812" t="s">
        <v>139</v>
      </c>
      <c r="I812" t="s">
        <v>140</v>
      </c>
      <c r="J812" t="s">
        <v>137</v>
      </c>
      <c r="K812" t="s">
        <v>138</v>
      </c>
      <c r="L812" t="s">
        <v>170</v>
      </c>
      <c r="M812" t="s">
        <v>186</v>
      </c>
      <c r="N812">
        <v>1</v>
      </c>
      <c r="O812" s="4">
        <v>6200</v>
      </c>
      <c r="P812" s="4">
        <v>7900</v>
      </c>
      <c r="Q812" s="7">
        <v>0.1</v>
      </c>
      <c r="R812" t="s">
        <v>197</v>
      </c>
      <c r="S812">
        <v>4</v>
      </c>
      <c r="T812">
        <v>7900</v>
      </c>
      <c r="U812">
        <v>790</v>
      </c>
      <c r="V812">
        <v>7110</v>
      </c>
      <c r="W812">
        <v>6200</v>
      </c>
      <c r="X812">
        <v>910</v>
      </c>
      <c r="Y812" s="8">
        <v>0.12798874824191281</v>
      </c>
      <c r="Z812" t="s">
        <v>2996</v>
      </c>
      <c r="AA812" t="str">
        <f>IF(AND(SalesCleanTable[[#This Row],[Discount %]]&gt;0, SalesCleanTable[[#This Row],[Profit]]&lt;0), "Discount loss", "Safe")</f>
        <v>Safe</v>
      </c>
      <c r="AB812" s="25">
        <f>(SalesCleanTable[[#This Row],[Unit Price]] - SalesCleanTable[[#This Row],[Unit Cost]]) / SalesCleanTable[[#This Row],[Unit Price]]</f>
        <v>0.21518987341772153</v>
      </c>
      <c r="AC812" t="str">
        <f>IF(SalesCleanTable[[#This Row],[Discount %]] &gt; SalesCleanTable[[#This Row],[Max Allowed Discount]], "Discount loss", "Safe")</f>
        <v>Safe</v>
      </c>
      <c r="AD812" s="4">
        <f>SalesCleanTable[[#This Row],[Unit Price]] - SalesCleanTable[[#This Row],[Unit Cost]]</f>
        <v>1700</v>
      </c>
      <c r="AE812" s="41">
        <f>(SalesCleanTable[[#This Row],[Unit Price]] - SalesCleanTable[[#This Row],[Unit Cost]]) / SalesCleanTable[[#This Row],[Unit Price]]</f>
        <v>0.21518987341772153</v>
      </c>
    </row>
    <row r="813" spans="1:31">
      <c r="A813" t="s">
        <v>999</v>
      </c>
      <c r="B813" s="6">
        <v>45826</v>
      </c>
      <c r="C813" t="s">
        <v>45</v>
      </c>
      <c r="D813" t="s">
        <v>46</v>
      </c>
      <c r="E813" t="s">
        <v>38</v>
      </c>
      <c r="F813" t="s">
        <v>47</v>
      </c>
      <c r="G813" t="s">
        <v>48</v>
      </c>
      <c r="H813" t="s">
        <v>141</v>
      </c>
      <c r="I813" t="s">
        <v>142</v>
      </c>
      <c r="J813" t="s">
        <v>143</v>
      </c>
      <c r="K813" t="s">
        <v>144</v>
      </c>
      <c r="L813" t="s">
        <v>183</v>
      </c>
      <c r="M813" t="s">
        <v>171</v>
      </c>
      <c r="N813">
        <v>1</v>
      </c>
      <c r="O813" s="4">
        <v>230</v>
      </c>
      <c r="P813" s="4">
        <v>400</v>
      </c>
      <c r="Q813" s="7">
        <v>0.05</v>
      </c>
      <c r="R813" t="s">
        <v>168</v>
      </c>
      <c r="S813">
        <v>6</v>
      </c>
      <c r="T813">
        <v>400</v>
      </c>
      <c r="U813">
        <v>20</v>
      </c>
      <c r="V813">
        <v>380</v>
      </c>
      <c r="W813">
        <v>230</v>
      </c>
      <c r="X813">
        <v>150</v>
      </c>
      <c r="Y813" s="8">
        <v>0.39473684210526316</v>
      </c>
      <c r="Z813" t="s">
        <v>2995</v>
      </c>
      <c r="AA813" t="str">
        <f>IF(AND(SalesCleanTable[[#This Row],[Discount %]]&gt;0, SalesCleanTable[[#This Row],[Profit]]&lt;0), "Discount loss", "Safe")</f>
        <v>Safe</v>
      </c>
      <c r="AB813" s="25">
        <f>(SalesCleanTable[[#This Row],[Unit Price]] - SalesCleanTable[[#This Row],[Unit Cost]]) / SalesCleanTable[[#This Row],[Unit Price]]</f>
        <v>0.42499999999999999</v>
      </c>
      <c r="AC813" t="str">
        <f>IF(SalesCleanTable[[#This Row],[Discount %]] &gt; SalesCleanTable[[#This Row],[Max Allowed Discount]], "Discount loss", "Safe")</f>
        <v>Safe</v>
      </c>
      <c r="AD813" s="4">
        <f>SalesCleanTable[[#This Row],[Unit Price]] - SalesCleanTable[[#This Row],[Unit Cost]]</f>
        <v>170</v>
      </c>
      <c r="AE813" s="41">
        <f>(SalesCleanTable[[#This Row],[Unit Price]] - SalesCleanTable[[#This Row],[Unit Cost]]) / SalesCleanTable[[#This Row],[Unit Price]]</f>
        <v>0.42499999999999999</v>
      </c>
    </row>
    <row r="814" spans="1:31">
      <c r="A814" t="s">
        <v>1000</v>
      </c>
      <c r="B814" s="6">
        <v>45784</v>
      </c>
      <c r="C814" t="s">
        <v>32</v>
      </c>
      <c r="D814" t="s">
        <v>33</v>
      </c>
      <c r="E814" t="s">
        <v>26</v>
      </c>
      <c r="F814" t="s">
        <v>34</v>
      </c>
      <c r="G814" t="s">
        <v>35</v>
      </c>
      <c r="H814" t="s">
        <v>133</v>
      </c>
      <c r="I814" t="s">
        <v>134</v>
      </c>
      <c r="J814" t="s">
        <v>130</v>
      </c>
      <c r="K814" t="s">
        <v>131</v>
      </c>
      <c r="L814" t="s">
        <v>166</v>
      </c>
      <c r="M814" t="s">
        <v>171</v>
      </c>
      <c r="N814">
        <v>2</v>
      </c>
      <c r="O814" s="4">
        <v>7800</v>
      </c>
      <c r="P814" s="4">
        <v>9800</v>
      </c>
      <c r="Q814" s="7">
        <v>0</v>
      </c>
      <c r="R814" t="s">
        <v>197</v>
      </c>
      <c r="S814">
        <v>13</v>
      </c>
      <c r="T814">
        <v>19600</v>
      </c>
      <c r="U814">
        <v>0</v>
      </c>
      <c r="V814">
        <v>19600</v>
      </c>
      <c r="W814">
        <v>15600</v>
      </c>
      <c r="X814">
        <v>4000</v>
      </c>
      <c r="Y814" s="8">
        <v>0.20408163265306123</v>
      </c>
      <c r="Z814" t="s">
        <v>2995</v>
      </c>
      <c r="AA814" t="str">
        <f>IF(AND(SalesCleanTable[[#This Row],[Discount %]]&gt;0, SalesCleanTable[[#This Row],[Profit]]&lt;0), "Discount loss", "Safe")</f>
        <v>Safe</v>
      </c>
      <c r="AB814" s="25">
        <f>(SalesCleanTable[[#This Row],[Unit Price]] - SalesCleanTable[[#This Row],[Unit Cost]]) / SalesCleanTable[[#This Row],[Unit Price]]</f>
        <v>0.20408163265306123</v>
      </c>
      <c r="AC814" t="str">
        <f>IF(SalesCleanTable[[#This Row],[Discount %]] &gt; SalesCleanTable[[#This Row],[Max Allowed Discount]], "Discount loss", "Safe")</f>
        <v>Safe</v>
      </c>
      <c r="AD814" s="4">
        <f>SalesCleanTable[[#This Row],[Unit Price]] - SalesCleanTable[[#This Row],[Unit Cost]]</f>
        <v>2000</v>
      </c>
      <c r="AE814" s="41">
        <f>(SalesCleanTable[[#This Row],[Unit Price]] - SalesCleanTable[[#This Row],[Unit Cost]]) / SalesCleanTable[[#This Row],[Unit Price]]</f>
        <v>0.20408163265306123</v>
      </c>
    </row>
    <row r="815" spans="1:31">
      <c r="A815" t="s">
        <v>1001</v>
      </c>
      <c r="B815" s="6">
        <v>45882</v>
      </c>
      <c r="C815" t="s">
        <v>90</v>
      </c>
      <c r="D815" t="s">
        <v>91</v>
      </c>
      <c r="E815" t="s">
        <v>92</v>
      </c>
      <c r="F815" t="s">
        <v>93</v>
      </c>
      <c r="G815" t="s">
        <v>94</v>
      </c>
      <c r="H815" t="s">
        <v>141</v>
      </c>
      <c r="I815" t="s">
        <v>142</v>
      </c>
      <c r="J815" t="s">
        <v>143</v>
      </c>
      <c r="K815" t="s">
        <v>144</v>
      </c>
      <c r="L815" t="s">
        <v>166</v>
      </c>
      <c r="M815" t="s">
        <v>177</v>
      </c>
      <c r="N815">
        <v>3</v>
      </c>
      <c r="O815" s="4">
        <v>7500</v>
      </c>
      <c r="P815" s="4">
        <v>10500</v>
      </c>
      <c r="Q815" s="7">
        <v>0</v>
      </c>
      <c r="R815" t="s">
        <v>217</v>
      </c>
      <c r="S815">
        <v>14</v>
      </c>
      <c r="T815">
        <v>31500</v>
      </c>
      <c r="U815">
        <v>0</v>
      </c>
      <c r="V815">
        <v>31500</v>
      </c>
      <c r="W815">
        <v>22500</v>
      </c>
      <c r="X815">
        <v>9000</v>
      </c>
      <c r="Y815" s="8">
        <v>0.2857142857142857</v>
      </c>
      <c r="Z815" t="s">
        <v>2996</v>
      </c>
      <c r="AA815" t="str">
        <f>IF(AND(SalesCleanTable[[#This Row],[Discount %]]&gt;0, SalesCleanTable[[#This Row],[Profit]]&lt;0), "Discount loss", "Safe")</f>
        <v>Safe</v>
      </c>
      <c r="AB815" s="25">
        <f>(SalesCleanTable[[#This Row],[Unit Price]] - SalesCleanTable[[#This Row],[Unit Cost]]) / SalesCleanTable[[#This Row],[Unit Price]]</f>
        <v>0.2857142857142857</v>
      </c>
      <c r="AC815" t="str">
        <f>IF(SalesCleanTable[[#This Row],[Discount %]] &gt; SalesCleanTable[[#This Row],[Max Allowed Discount]], "Discount loss", "Safe")</f>
        <v>Safe</v>
      </c>
      <c r="AD815" s="4">
        <f>SalesCleanTable[[#This Row],[Unit Price]] - SalesCleanTable[[#This Row],[Unit Cost]]</f>
        <v>3000</v>
      </c>
      <c r="AE815" s="41">
        <f>(SalesCleanTable[[#This Row],[Unit Price]] - SalesCleanTable[[#This Row],[Unit Cost]]) / SalesCleanTable[[#This Row],[Unit Price]]</f>
        <v>0.2857142857142857</v>
      </c>
    </row>
    <row r="816" spans="1:31">
      <c r="A816" t="s">
        <v>1002</v>
      </c>
      <c r="B816" s="6">
        <v>45723</v>
      </c>
      <c r="C816" t="s">
        <v>29</v>
      </c>
      <c r="D816" t="s">
        <v>30</v>
      </c>
      <c r="E816" t="s">
        <v>26</v>
      </c>
      <c r="F816" t="s">
        <v>27</v>
      </c>
      <c r="G816" t="s">
        <v>31</v>
      </c>
      <c r="H816" t="s">
        <v>145</v>
      </c>
      <c r="I816" t="s">
        <v>146</v>
      </c>
      <c r="J816" t="s">
        <v>147</v>
      </c>
      <c r="K816" t="s">
        <v>148</v>
      </c>
      <c r="L816" t="s">
        <v>166</v>
      </c>
      <c r="M816" t="s">
        <v>177</v>
      </c>
      <c r="N816">
        <v>1</v>
      </c>
      <c r="O816" s="4">
        <v>6200</v>
      </c>
      <c r="P816" s="4">
        <v>7900</v>
      </c>
      <c r="Q816" s="7">
        <v>0.1</v>
      </c>
      <c r="R816" t="s">
        <v>197</v>
      </c>
      <c r="S816">
        <v>9</v>
      </c>
      <c r="T816">
        <v>7900</v>
      </c>
      <c r="U816">
        <v>790</v>
      </c>
      <c r="V816">
        <v>7110</v>
      </c>
      <c r="W816">
        <v>6200</v>
      </c>
      <c r="X816">
        <v>910</v>
      </c>
      <c r="Y816" s="8">
        <v>0.12798874824191281</v>
      </c>
      <c r="Z816" t="s">
        <v>2996</v>
      </c>
      <c r="AA816" t="str">
        <f>IF(AND(SalesCleanTable[[#This Row],[Discount %]]&gt;0, SalesCleanTable[[#This Row],[Profit]]&lt;0), "Discount loss", "Safe")</f>
        <v>Safe</v>
      </c>
      <c r="AB816" s="25">
        <f>(SalesCleanTable[[#This Row],[Unit Price]] - SalesCleanTable[[#This Row],[Unit Cost]]) / SalesCleanTable[[#This Row],[Unit Price]]</f>
        <v>0.21518987341772153</v>
      </c>
      <c r="AC816" t="str">
        <f>IF(SalesCleanTable[[#This Row],[Discount %]] &gt; SalesCleanTable[[#This Row],[Max Allowed Discount]], "Discount loss", "Safe")</f>
        <v>Safe</v>
      </c>
      <c r="AD816" s="4">
        <f>SalesCleanTable[[#This Row],[Unit Price]] - SalesCleanTable[[#This Row],[Unit Cost]]</f>
        <v>1700</v>
      </c>
      <c r="AE816" s="41">
        <f>(SalesCleanTable[[#This Row],[Unit Price]] - SalesCleanTable[[#This Row],[Unit Cost]]) / SalesCleanTable[[#This Row],[Unit Price]]</f>
        <v>0.21518987341772153</v>
      </c>
    </row>
    <row r="817" spans="1:31">
      <c r="A817" t="s">
        <v>1003</v>
      </c>
      <c r="B817" s="6">
        <v>45853</v>
      </c>
      <c r="C817" t="s">
        <v>49</v>
      </c>
      <c r="D817" t="s">
        <v>50</v>
      </c>
      <c r="E817" t="s">
        <v>38</v>
      </c>
      <c r="F817" t="s">
        <v>51</v>
      </c>
      <c r="G817" t="s">
        <v>52</v>
      </c>
      <c r="H817" t="s">
        <v>141</v>
      </c>
      <c r="I817" t="s">
        <v>142</v>
      </c>
      <c r="J817" t="s">
        <v>143</v>
      </c>
      <c r="K817" t="s">
        <v>144</v>
      </c>
      <c r="L817" t="s">
        <v>183</v>
      </c>
      <c r="M817" t="s">
        <v>171</v>
      </c>
      <c r="N817">
        <v>2</v>
      </c>
      <c r="O817" s="4">
        <v>550</v>
      </c>
      <c r="P817" s="4">
        <v>850</v>
      </c>
      <c r="Q817" s="7">
        <v>0.15</v>
      </c>
      <c r="R817" t="s">
        <v>175</v>
      </c>
      <c r="S817">
        <v>7</v>
      </c>
      <c r="T817">
        <v>1700</v>
      </c>
      <c r="U817">
        <v>255</v>
      </c>
      <c r="V817">
        <v>1445</v>
      </c>
      <c r="W817">
        <v>1100</v>
      </c>
      <c r="X817">
        <v>345</v>
      </c>
      <c r="Y817" s="8">
        <v>0.23875432525951557</v>
      </c>
      <c r="Z817" t="s">
        <v>2996</v>
      </c>
      <c r="AA817" t="str">
        <f>IF(AND(SalesCleanTable[[#This Row],[Discount %]]&gt;0, SalesCleanTable[[#This Row],[Profit]]&lt;0), "Discount loss", "Safe")</f>
        <v>Safe</v>
      </c>
      <c r="AB817" s="25">
        <f>(SalesCleanTable[[#This Row],[Unit Price]] - SalesCleanTable[[#This Row],[Unit Cost]]) / SalesCleanTable[[#This Row],[Unit Price]]</f>
        <v>0.35294117647058826</v>
      </c>
      <c r="AC817" t="str">
        <f>IF(SalesCleanTable[[#This Row],[Discount %]] &gt; SalesCleanTable[[#This Row],[Max Allowed Discount]], "Discount loss", "Safe")</f>
        <v>Safe</v>
      </c>
      <c r="AD817" s="4">
        <f>SalesCleanTable[[#This Row],[Unit Price]] - SalesCleanTable[[#This Row],[Unit Cost]]</f>
        <v>300</v>
      </c>
      <c r="AE817" s="41">
        <f>(SalesCleanTable[[#This Row],[Unit Price]] - SalesCleanTable[[#This Row],[Unit Cost]]) / SalesCleanTable[[#This Row],[Unit Price]]</f>
        <v>0.35294117647058826</v>
      </c>
    </row>
    <row r="818" spans="1:31">
      <c r="A818" t="s">
        <v>1004</v>
      </c>
      <c r="B818" s="6">
        <v>45877</v>
      </c>
      <c r="C818" t="s">
        <v>103</v>
      </c>
      <c r="D818" t="s">
        <v>104</v>
      </c>
      <c r="E818" t="s">
        <v>92</v>
      </c>
      <c r="F818" t="s">
        <v>105</v>
      </c>
      <c r="G818" t="s">
        <v>106</v>
      </c>
      <c r="H818" t="s">
        <v>141</v>
      </c>
      <c r="I818" t="s">
        <v>142</v>
      </c>
      <c r="J818" t="s">
        <v>143</v>
      </c>
      <c r="K818" t="s">
        <v>144</v>
      </c>
      <c r="L818" t="s">
        <v>183</v>
      </c>
      <c r="M818" t="s">
        <v>186</v>
      </c>
      <c r="N818">
        <v>2</v>
      </c>
      <c r="O818" s="4">
        <v>1500</v>
      </c>
      <c r="P818" s="4">
        <v>2500</v>
      </c>
      <c r="Q818" s="7">
        <v>0.2</v>
      </c>
      <c r="R818" t="s">
        <v>217</v>
      </c>
      <c r="S818">
        <v>10</v>
      </c>
      <c r="T818">
        <v>5000</v>
      </c>
      <c r="U818">
        <v>1000</v>
      </c>
      <c r="V818">
        <v>4000</v>
      </c>
      <c r="W818">
        <v>3000</v>
      </c>
      <c r="X818">
        <v>1000</v>
      </c>
      <c r="Y818" s="8">
        <v>0.25</v>
      </c>
      <c r="Z818" t="s">
        <v>2996</v>
      </c>
      <c r="AA818" t="str">
        <f>IF(AND(SalesCleanTable[[#This Row],[Discount %]]&gt;0, SalesCleanTable[[#This Row],[Profit]]&lt;0), "Discount loss", "Safe")</f>
        <v>Safe</v>
      </c>
      <c r="AB818" s="25">
        <f>(SalesCleanTable[[#This Row],[Unit Price]] - SalesCleanTable[[#This Row],[Unit Cost]]) / SalesCleanTable[[#This Row],[Unit Price]]</f>
        <v>0.4</v>
      </c>
      <c r="AC818" t="str">
        <f>IF(SalesCleanTable[[#This Row],[Discount %]] &gt; SalesCleanTable[[#This Row],[Max Allowed Discount]], "Discount loss", "Safe")</f>
        <v>Safe</v>
      </c>
      <c r="AD818" s="4">
        <f>SalesCleanTable[[#This Row],[Unit Price]] - SalesCleanTable[[#This Row],[Unit Cost]]</f>
        <v>1000</v>
      </c>
      <c r="AE818" s="41">
        <f>(SalesCleanTable[[#This Row],[Unit Price]] - SalesCleanTable[[#This Row],[Unit Cost]]) / SalesCleanTable[[#This Row],[Unit Price]]</f>
        <v>0.4</v>
      </c>
    </row>
    <row r="819" spans="1:31">
      <c r="A819" t="s">
        <v>1005</v>
      </c>
      <c r="B819" s="6">
        <v>45710</v>
      </c>
      <c r="C819" t="s">
        <v>24</v>
      </c>
      <c r="D819" t="s">
        <v>25</v>
      </c>
      <c r="E819" t="s">
        <v>26</v>
      </c>
      <c r="F819" t="s">
        <v>27</v>
      </c>
      <c r="G819" t="s">
        <v>28</v>
      </c>
      <c r="H819" t="s">
        <v>145</v>
      </c>
      <c r="I819" t="s">
        <v>146</v>
      </c>
      <c r="J819" t="s">
        <v>147</v>
      </c>
      <c r="K819" t="s">
        <v>148</v>
      </c>
      <c r="L819" t="s">
        <v>183</v>
      </c>
      <c r="M819" t="s">
        <v>177</v>
      </c>
      <c r="N819">
        <v>3</v>
      </c>
      <c r="O819" s="4">
        <v>14500</v>
      </c>
      <c r="P819" s="4">
        <v>17500</v>
      </c>
      <c r="Q819" s="7">
        <v>0.15</v>
      </c>
      <c r="R819" t="s">
        <v>173</v>
      </c>
      <c r="S819">
        <v>5</v>
      </c>
      <c r="T819">
        <v>52500</v>
      </c>
      <c r="U819">
        <v>7875</v>
      </c>
      <c r="V819">
        <v>44625</v>
      </c>
      <c r="W819">
        <v>43500</v>
      </c>
      <c r="X819">
        <v>1125</v>
      </c>
      <c r="Y819" s="8">
        <v>2.5210084033613446E-2</v>
      </c>
      <c r="Z819" t="s">
        <v>2995</v>
      </c>
      <c r="AA819" t="str">
        <f>IF(AND(SalesCleanTable[[#This Row],[Discount %]]&gt;0, SalesCleanTable[[#This Row],[Profit]]&lt;0), "Discount loss", "Safe")</f>
        <v>Safe</v>
      </c>
      <c r="AB819" s="25">
        <f>(SalesCleanTable[[#This Row],[Unit Price]] - SalesCleanTable[[#This Row],[Unit Cost]]) / SalesCleanTable[[#This Row],[Unit Price]]</f>
        <v>0.17142857142857143</v>
      </c>
      <c r="AC819" t="str">
        <f>IF(SalesCleanTable[[#This Row],[Discount %]] &gt; SalesCleanTable[[#This Row],[Max Allowed Discount]], "Discount loss", "Safe")</f>
        <v>Safe</v>
      </c>
      <c r="AD819" s="4">
        <f>SalesCleanTable[[#This Row],[Unit Price]] - SalesCleanTable[[#This Row],[Unit Cost]]</f>
        <v>3000</v>
      </c>
      <c r="AE819" s="41">
        <f>(SalesCleanTable[[#This Row],[Unit Price]] - SalesCleanTable[[#This Row],[Unit Cost]]) / SalesCleanTable[[#This Row],[Unit Price]]</f>
        <v>0.17142857142857143</v>
      </c>
    </row>
    <row r="820" spans="1:31">
      <c r="A820" t="s">
        <v>1006</v>
      </c>
      <c r="B820" s="6">
        <v>45904</v>
      </c>
      <c r="C820" t="s">
        <v>82</v>
      </c>
      <c r="D820" t="s">
        <v>83</v>
      </c>
      <c r="E820" t="s">
        <v>75</v>
      </c>
      <c r="F820" t="s">
        <v>84</v>
      </c>
      <c r="G820" t="s">
        <v>85</v>
      </c>
      <c r="H820" t="s">
        <v>135</v>
      </c>
      <c r="I820" t="s">
        <v>136</v>
      </c>
      <c r="J820" t="s">
        <v>137</v>
      </c>
      <c r="K820" t="s">
        <v>138</v>
      </c>
      <c r="L820" t="s">
        <v>166</v>
      </c>
      <c r="M820" t="s">
        <v>167</v>
      </c>
      <c r="N820">
        <v>2</v>
      </c>
      <c r="O820" s="4">
        <v>600</v>
      </c>
      <c r="P820" s="4">
        <v>950</v>
      </c>
      <c r="Q820" s="7">
        <v>0.15</v>
      </c>
      <c r="R820" t="s">
        <v>208</v>
      </c>
      <c r="S820">
        <v>9</v>
      </c>
      <c r="T820">
        <v>1900</v>
      </c>
      <c r="U820">
        <v>285</v>
      </c>
      <c r="V820">
        <v>1615</v>
      </c>
      <c r="W820">
        <v>1200</v>
      </c>
      <c r="X820">
        <v>415</v>
      </c>
      <c r="Y820" s="8">
        <v>0.25696594427244585</v>
      </c>
      <c r="Z820" t="s">
        <v>2996</v>
      </c>
      <c r="AA820" t="str">
        <f>IF(AND(SalesCleanTable[[#This Row],[Discount %]]&gt;0, SalesCleanTable[[#This Row],[Profit]]&lt;0), "Discount loss", "Safe")</f>
        <v>Safe</v>
      </c>
      <c r="AB820" s="25">
        <f>(SalesCleanTable[[#This Row],[Unit Price]] - SalesCleanTable[[#This Row],[Unit Cost]]) / SalesCleanTable[[#This Row],[Unit Price]]</f>
        <v>0.36842105263157893</v>
      </c>
      <c r="AC820" t="str">
        <f>IF(SalesCleanTable[[#This Row],[Discount %]] &gt; SalesCleanTable[[#This Row],[Max Allowed Discount]], "Discount loss", "Safe")</f>
        <v>Safe</v>
      </c>
      <c r="AD820" s="4">
        <f>SalesCleanTable[[#This Row],[Unit Price]] - SalesCleanTable[[#This Row],[Unit Cost]]</f>
        <v>350</v>
      </c>
      <c r="AE820" s="41">
        <f>(SalesCleanTable[[#This Row],[Unit Price]] - SalesCleanTable[[#This Row],[Unit Cost]]) / SalesCleanTable[[#This Row],[Unit Price]]</f>
        <v>0.36842105263157893</v>
      </c>
    </row>
    <row r="821" spans="1:31">
      <c r="A821" t="s">
        <v>1007</v>
      </c>
      <c r="B821" s="6">
        <v>45841</v>
      </c>
      <c r="C821" t="s">
        <v>45</v>
      </c>
      <c r="D821" t="s">
        <v>46</v>
      </c>
      <c r="E821" t="s">
        <v>38</v>
      </c>
      <c r="F821" t="s">
        <v>47</v>
      </c>
      <c r="G821" t="s">
        <v>48</v>
      </c>
      <c r="H821" t="s">
        <v>149</v>
      </c>
      <c r="I821" t="s">
        <v>150</v>
      </c>
      <c r="J821" t="s">
        <v>151</v>
      </c>
      <c r="K821" t="s">
        <v>152</v>
      </c>
      <c r="L821" t="s">
        <v>166</v>
      </c>
      <c r="M821" t="s">
        <v>186</v>
      </c>
      <c r="N821">
        <v>5</v>
      </c>
      <c r="O821" s="4">
        <v>230</v>
      </c>
      <c r="P821" s="4">
        <v>400</v>
      </c>
      <c r="Q821" s="7">
        <v>0</v>
      </c>
      <c r="R821" t="s">
        <v>175</v>
      </c>
      <c r="S821">
        <v>1</v>
      </c>
      <c r="T821">
        <v>2000</v>
      </c>
      <c r="U821">
        <v>0</v>
      </c>
      <c r="V821">
        <v>2000</v>
      </c>
      <c r="W821">
        <v>1150</v>
      </c>
      <c r="X821">
        <v>850</v>
      </c>
      <c r="Y821" s="8">
        <v>0.42499999999999999</v>
      </c>
      <c r="Z821" t="s">
        <v>2995</v>
      </c>
      <c r="AA821" t="str">
        <f>IF(AND(SalesCleanTable[[#This Row],[Discount %]]&gt;0, SalesCleanTable[[#This Row],[Profit]]&lt;0), "Discount loss", "Safe")</f>
        <v>Safe</v>
      </c>
      <c r="AB821" s="25">
        <f>(SalesCleanTable[[#This Row],[Unit Price]] - SalesCleanTable[[#This Row],[Unit Cost]]) / SalesCleanTable[[#This Row],[Unit Price]]</f>
        <v>0.42499999999999999</v>
      </c>
      <c r="AC821" t="str">
        <f>IF(SalesCleanTable[[#This Row],[Discount %]] &gt; SalesCleanTable[[#This Row],[Max Allowed Discount]], "Discount loss", "Safe")</f>
        <v>Safe</v>
      </c>
      <c r="AD821" s="4">
        <f>SalesCleanTable[[#This Row],[Unit Price]] - SalesCleanTable[[#This Row],[Unit Cost]]</f>
        <v>170</v>
      </c>
      <c r="AE821" s="41">
        <f>(SalesCleanTable[[#This Row],[Unit Price]] - SalesCleanTable[[#This Row],[Unit Cost]]) / SalesCleanTable[[#This Row],[Unit Price]]</f>
        <v>0.42499999999999999</v>
      </c>
    </row>
    <row r="822" spans="1:31">
      <c r="A822" t="s">
        <v>1008</v>
      </c>
      <c r="B822" s="6">
        <v>45994</v>
      </c>
      <c r="C822" t="s">
        <v>78</v>
      </c>
      <c r="D822" t="s">
        <v>79</v>
      </c>
      <c r="E822" t="s">
        <v>75</v>
      </c>
      <c r="F822" t="s">
        <v>80</v>
      </c>
      <c r="G822" t="s">
        <v>81</v>
      </c>
      <c r="H822" t="s">
        <v>128</v>
      </c>
      <c r="I822" t="s">
        <v>129</v>
      </c>
      <c r="J822" t="s">
        <v>130</v>
      </c>
      <c r="K822" t="s">
        <v>131</v>
      </c>
      <c r="L822" t="s">
        <v>183</v>
      </c>
      <c r="M822" t="s">
        <v>186</v>
      </c>
      <c r="N822">
        <v>3</v>
      </c>
      <c r="O822" s="4">
        <v>1200</v>
      </c>
      <c r="P822" s="4">
        <v>1900</v>
      </c>
      <c r="Q822" s="7">
        <v>0.15</v>
      </c>
      <c r="R822" t="s">
        <v>187</v>
      </c>
      <c r="S822">
        <v>4</v>
      </c>
      <c r="T822">
        <v>5700</v>
      </c>
      <c r="U822">
        <v>855</v>
      </c>
      <c r="V822">
        <v>4845</v>
      </c>
      <c r="W822">
        <v>3600</v>
      </c>
      <c r="X822">
        <v>1245</v>
      </c>
      <c r="Y822" s="8">
        <v>0.25696594427244585</v>
      </c>
      <c r="Z822" t="s">
        <v>2996</v>
      </c>
      <c r="AA822" t="str">
        <f>IF(AND(SalesCleanTable[[#This Row],[Discount %]]&gt;0, SalesCleanTable[[#This Row],[Profit]]&lt;0), "Discount loss", "Safe")</f>
        <v>Safe</v>
      </c>
      <c r="AB822" s="25">
        <f>(SalesCleanTable[[#This Row],[Unit Price]] - SalesCleanTable[[#This Row],[Unit Cost]]) / SalesCleanTable[[#This Row],[Unit Price]]</f>
        <v>0.36842105263157893</v>
      </c>
      <c r="AC822" t="str">
        <f>IF(SalesCleanTable[[#This Row],[Discount %]] &gt; SalesCleanTable[[#This Row],[Max Allowed Discount]], "Discount loss", "Safe")</f>
        <v>Safe</v>
      </c>
      <c r="AD822" s="4">
        <f>SalesCleanTable[[#This Row],[Unit Price]] - SalesCleanTable[[#This Row],[Unit Cost]]</f>
        <v>700</v>
      </c>
      <c r="AE822" s="41">
        <f>(SalesCleanTable[[#This Row],[Unit Price]] - SalesCleanTable[[#This Row],[Unit Cost]]) / SalesCleanTable[[#This Row],[Unit Price]]</f>
        <v>0.36842105263157893</v>
      </c>
    </row>
    <row r="823" spans="1:31">
      <c r="A823" t="s">
        <v>1009</v>
      </c>
      <c r="B823" s="6">
        <v>45761</v>
      </c>
      <c r="C823" t="s">
        <v>95</v>
      </c>
      <c r="D823" t="s">
        <v>96</v>
      </c>
      <c r="E823" t="s">
        <v>92</v>
      </c>
      <c r="F823" t="s">
        <v>97</v>
      </c>
      <c r="G823" t="s">
        <v>98</v>
      </c>
      <c r="H823" t="s">
        <v>135</v>
      </c>
      <c r="I823" t="s">
        <v>136</v>
      </c>
      <c r="J823" t="s">
        <v>137</v>
      </c>
      <c r="K823" t="s">
        <v>138</v>
      </c>
      <c r="L823" t="s">
        <v>170</v>
      </c>
      <c r="M823" t="s">
        <v>171</v>
      </c>
      <c r="N823">
        <v>4</v>
      </c>
      <c r="O823" s="4">
        <v>18000</v>
      </c>
      <c r="P823" s="4">
        <v>24500</v>
      </c>
      <c r="Q823" s="7">
        <v>0.1</v>
      </c>
      <c r="R823" t="s">
        <v>217</v>
      </c>
      <c r="S823">
        <v>14</v>
      </c>
      <c r="T823">
        <v>98000</v>
      </c>
      <c r="U823">
        <v>9800</v>
      </c>
      <c r="V823">
        <v>88200</v>
      </c>
      <c r="W823">
        <v>72000</v>
      </c>
      <c r="X823">
        <v>16200</v>
      </c>
      <c r="Y823" s="8">
        <v>0.18367346938775511</v>
      </c>
      <c r="Z823" t="s">
        <v>2995</v>
      </c>
      <c r="AA823" t="str">
        <f>IF(AND(SalesCleanTable[[#This Row],[Discount %]]&gt;0, SalesCleanTable[[#This Row],[Profit]]&lt;0), "Discount loss", "Safe")</f>
        <v>Safe</v>
      </c>
      <c r="AB823" s="25">
        <f>(SalesCleanTable[[#This Row],[Unit Price]] - SalesCleanTable[[#This Row],[Unit Cost]]) / SalesCleanTable[[#This Row],[Unit Price]]</f>
        <v>0.26530612244897961</v>
      </c>
      <c r="AC823" t="str">
        <f>IF(SalesCleanTable[[#This Row],[Discount %]] &gt; SalesCleanTable[[#This Row],[Max Allowed Discount]], "Discount loss", "Safe")</f>
        <v>Safe</v>
      </c>
      <c r="AD823" s="4">
        <f>SalesCleanTable[[#This Row],[Unit Price]] - SalesCleanTable[[#This Row],[Unit Cost]]</f>
        <v>6500</v>
      </c>
      <c r="AE823" s="41">
        <f>(SalesCleanTable[[#This Row],[Unit Price]] - SalesCleanTable[[#This Row],[Unit Cost]]) / SalesCleanTable[[#This Row],[Unit Price]]</f>
        <v>0.26530612244897961</v>
      </c>
    </row>
    <row r="824" spans="1:31">
      <c r="A824" t="s">
        <v>1010</v>
      </c>
      <c r="B824" s="6">
        <v>45829</v>
      </c>
      <c r="C824" t="s">
        <v>73</v>
      </c>
      <c r="D824" t="s">
        <v>74</v>
      </c>
      <c r="E824" t="s">
        <v>75</v>
      </c>
      <c r="F824" t="s">
        <v>76</v>
      </c>
      <c r="G824" t="s">
        <v>77</v>
      </c>
      <c r="H824" t="s">
        <v>135</v>
      </c>
      <c r="I824" t="s">
        <v>136</v>
      </c>
      <c r="J824" t="s">
        <v>137</v>
      </c>
      <c r="K824" t="s">
        <v>138</v>
      </c>
      <c r="L824" t="s">
        <v>183</v>
      </c>
      <c r="M824" t="s">
        <v>177</v>
      </c>
      <c r="N824">
        <v>1</v>
      </c>
      <c r="O824" s="4">
        <v>3500</v>
      </c>
      <c r="P824" s="4">
        <v>5200</v>
      </c>
      <c r="Q824" s="7">
        <v>0.05</v>
      </c>
      <c r="R824" t="s">
        <v>187</v>
      </c>
      <c r="S824">
        <v>1</v>
      </c>
      <c r="T824">
        <v>5200</v>
      </c>
      <c r="U824">
        <v>260</v>
      </c>
      <c r="V824">
        <v>4940</v>
      </c>
      <c r="W824">
        <v>3500</v>
      </c>
      <c r="X824">
        <v>1440</v>
      </c>
      <c r="Y824" s="8">
        <v>0.291497975708502</v>
      </c>
      <c r="Z824" t="s">
        <v>2996</v>
      </c>
      <c r="AA824" t="str">
        <f>IF(AND(SalesCleanTable[[#This Row],[Discount %]]&gt;0, SalesCleanTable[[#This Row],[Profit]]&lt;0), "Discount loss", "Safe")</f>
        <v>Safe</v>
      </c>
      <c r="AB824" s="25">
        <f>(SalesCleanTable[[#This Row],[Unit Price]] - SalesCleanTable[[#This Row],[Unit Cost]]) / SalesCleanTable[[#This Row],[Unit Price]]</f>
        <v>0.32692307692307693</v>
      </c>
      <c r="AC824" t="str">
        <f>IF(SalesCleanTable[[#This Row],[Discount %]] &gt; SalesCleanTable[[#This Row],[Max Allowed Discount]], "Discount loss", "Safe")</f>
        <v>Safe</v>
      </c>
      <c r="AD824" s="4">
        <f>SalesCleanTable[[#This Row],[Unit Price]] - SalesCleanTable[[#This Row],[Unit Cost]]</f>
        <v>1700</v>
      </c>
      <c r="AE824" s="41">
        <f>(SalesCleanTable[[#This Row],[Unit Price]] - SalesCleanTable[[#This Row],[Unit Cost]]) / SalesCleanTable[[#This Row],[Unit Price]]</f>
        <v>0.32692307692307693</v>
      </c>
    </row>
    <row r="825" spans="1:31">
      <c r="A825" t="s">
        <v>1011</v>
      </c>
      <c r="B825" s="6">
        <v>46012</v>
      </c>
      <c r="C825" t="s">
        <v>41</v>
      </c>
      <c r="D825" t="s">
        <v>42</v>
      </c>
      <c r="E825" t="s">
        <v>26</v>
      </c>
      <c r="F825" t="s">
        <v>43</v>
      </c>
      <c r="G825" t="s">
        <v>44</v>
      </c>
      <c r="H825" t="s">
        <v>141</v>
      </c>
      <c r="I825" t="s">
        <v>142</v>
      </c>
      <c r="J825" t="s">
        <v>143</v>
      </c>
      <c r="K825" t="s">
        <v>144</v>
      </c>
      <c r="L825" t="s">
        <v>170</v>
      </c>
      <c r="M825" t="s">
        <v>186</v>
      </c>
      <c r="N825">
        <v>2</v>
      </c>
      <c r="O825" s="4">
        <v>850</v>
      </c>
      <c r="P825" s="4">
        <v>1300</v>
      </c>
      <c r="Q825" s="7">
        <v>0.1</v>
      </c>
      <c r="R825" t="s">
        <v>173</v>
      </c>
      <c r="S825">
        <v>7</v>
      </c>
      <c r="T825">
        <v>2600</v>
      </c>
      <c r="U825">
        <v>260</v>
      </c>
      <c r="V825">
        <v>2340</v>
      </c>
      <c r="W825">
        <v>1700</v>
      </c>
      <c r="X825">
        <v>640</v>
      </c>
      <c r="Y825" s="8">
        <v>0.27350427350427353</v>
      </c>
      <c r="Z825" t="s">
        <v>2995</v>
      </c>
      <c r="AA825" t="str">
        <f>IF(AND(SalesCleanTable[[#This Row],[Discount %]]&gt;0, SalesCleanTable[[#This Row],[Profit]]&lt;0), "Discount loss", "Safe")</f>
        <v>Safe</v>
      </c>
      <c r="AB825" s="25">
        <f>(SalesCleanTable[[#This Row],[Unit Price]] - SalesCleanTable[[#This Row],[Unit Cost]]) / SalesCleanTable[[#This Row],[Unit Price]]</f>
        <v>0.34615384615384615</v>
      </c>
      <c r="AC825" t="str">
        <f>IF(SalesCleanTable[[#This Row],[Discount %]] &gt; SalesCleanTable[[#This Row],[Max Allowed Discount]], "Discount loss", "Safe")</f>
        <v>Safe</v>
      </c>
      <c r="AD825" s="4">
        <f>SalesCleanTable[[#This Row],[Unit Price]] - SalesCleanTable[[#This Row],[Unit Cost]]</f>
        <v>450</v>
      </c>
      <c r="AE825" s="41">
        <f>(SalesCleanTable[[#This Row],[Unit Price]] - SalesCleanTable[[#This Row],[Unit Cost]]) / SalesCleanTable[[#This Row],[Unit Price]]</f>
        <v>0.34615384615384615</v>
      </c>
    </row>
    <row r="826" spans="1:31">
      <c r="A826" t="s">
        <v>1012</v>
      </c>
      <c r="B826" s="6">
        <v>45752</v>
      </c>
      <c r="C826" t="s">
        <v>99</v>
      </c>
      <c r="D826" t="s">
        <v>100</v>
      </c>
      <c r="E826" t="s">
        <v>92</v>
      </c>
      <c r="F826" t="s">
        <v>101</v>
      </c>
      <c r="G826" t="s">
        <v>102</v>
      </c>
      <c r="H826" t="s">
        <v>128</v>
      </c>
      <c r="I826" t="s">
        <v>129</v>
      </c>
      <c r="J826" t="s">
        <v>130</v>
      </c>
      <c r="K826" t="s">
        <v>131</v>
      </c>
      <c r="L826" t="s">
        <v>166</v>
      </c>
      <c r="M826" t="s">
        <v>177</v>
      </c>
      <c r="N826">
        <v>1</v>
      </c>
      <c r="O826" s="4">
        <v>12500</v>
      </c>
      <c r="P826" s="4">
        <v>18500</v>
      </c>
      <c r="Q826" s="7">
        <v>0.05</v>
      </c>
      <c r="R826" t="s">
        <v>217</v>
      </c>
      <c r="S826">
        <v>4</v>
      </c>
      <c r="T826">
        <v>18500</v>
      </c>
      <c r="U826">
        <v>925</v>
      </c>
      <c r="V826">
        <v>17575</v>
      </c>
      <c r="W826">
        <v>12500</v>
      </c>
      <c r="X826">
        <v>5075</v>
      </c>
      <c r="Y826" s="8">
        <v>0.28876244665718348</v>
      </c>
      <c r="Z826" t="s">
        <v>2995</v>
      </c>
      <c r="AA826" t="str">
        <f>IF(AND(SalesCleanTable[[#This Row],[Discount %]]&gt;0, SalesCleanTable[[#This Row],[Profit]]&lt;0), "Discount loss", "Safe")</f>
        <v>Safe</v>
      </c>
      <c r="AB826" s="25">
        <f>(SalesCleanTable[[#This Row],[Unit Price]] - SalesCleanTable[[#This Row],[Unit Cost]]) / SalesCleanTable[[#This Row],[Unit Price]]</f>
        <v>0.32432432432432434</v>
      </c>
      <c r="AC826" t="str">
        <f>IF(SalesCleanTable[[#This Row],[Discount %]] &gt; SalesCleanTable[[#This Row],[Max Allowed Discount]], "Discount loss", "Safe")</f>
        <v>Safe</v>
      </c>
      <c r="AD826" s="4">
        <f>SalesCleanTable[[#This Row],[Unit Price]] - SalesCleanTable[[#This Row],[Unit Cost]]</f>
        <v>6000</v>
      </c>
      <c r="AE826" s="41">
        <f>(SalesCleanTable[[#This Row],[Unit Price]] - SalesCleanTable[[#This Row],[Unit Cost]]) / SalesCleanTable[[#This Row],[Unit Price]]</f>
        <v>0.32432432432432434</v>
      </c>
    </row>
    <row r="827" spans="1:31">
      <c r="A827" t="s">
        <v>1013</v>
      </c>
      <c r="B827" s="6">
        <v>45842</v>
      </c>
      <c r="C827" t="s">
        <v>24</v>
      </c>
      <c r="D827" t="s">
        <v>25</v>
      </c>
      <c r="E827" t="s">
        <v>26</v>
      </c>
      <c r="F827" t="s">
        <v>27</v>
      </c>
      <c r="G827" t="s">
        <v>28</v>
      </c>
      <c r="H827" t="s">
        <v>128</v>
      </c>
      <c r="I827" t="s">
        <v>129</v>
      </c>
      <c r="J827" t="s">
        <v>130</v>
      </c>
      <c r="K827" t="s">
        <v>131</v>
      </c>
      <c r="L827" t="s">
        <v>183</v>
      </c>
      <c r="M827" t="s">
        <v>171</v>
      </c>
      <c r="N827">
        <v>1</v>
      </c>
      <c r="O827" s="4">
        <v>14500</v>
      </c>
      <c r="P827" s="4">
        <v>17500</v>
      </c>
      <c r="Q827" s="7">
        <v>0</v>
      </c>
      <c r="R827" t="s">
        <v>194</v>
      </c>
      <c r="S827">
        <v>14</v>
      </c>
      <c r="T827">
        <v>17500</v>
      </c>
      <c r="U827">
        <v>0</v>
      </c>
      <c r="V827">
        <v>17500</v>
      </c>
      <c r="W827">
        <v>14500</v>
      </c>
      <c r="X827">
        <v>3000</v>
      </c>
      <c r="Y827" s="8">
        <v>0.17142857142857143</v>
      </c>
      <c r="Z827" t="s">
        <v>2995</v>
      </c>
      <c r="AA827" t="str">
        <f>IF(AND(SalesCleanTable[[#This Row],[Discount %]]&gt;0, SalesCleanTable[[#This Row],[Profit]]&lt;0), "Discount loss", "Safe")</f>
        <v>Safe</v>
      </c>
      <c r="AB827" s="25">
        <f>(SalesCleanTable[[#This Row],[Unit Price]] - SalesCleanTable[[#This Row],[Unit Cost]]) / SalesCleanTable[[#This Row],[Unit Price]]</f>
        <v>0.17142857142857143</v>
      </c>
      <c r="AC827" t="str">
        <f>IF(SalesCleanTable[[#This Row],[Discount %]] &gt; SalesCleanTable[[#This Row],[Max Allowed Discount]], "Discount loss", "Safe")</f>
        <v>Safe</v>
      </c>
      <c r="AD827" s="4">
        <f>SalesCleanTable[[#This Row],[Unit Price]] - SalesCleanTable[[#This Row],[Unit Cost]]</f>
        <v>3000</v>
      </c>
      <c r="AE827" s="41">
        <f>(SalesCleanTable[[#This Row],[Unit Price]] - SalesCleanTable[[#This Row],[Unit Cost]]) / SalesCleanTable[[#This Row],[Unit Price]]</f>
        <v>0.17142857142857143</v>
      </c>
    </row>
    <row r="828" spans="1:31">
      <c r="A828" t="s">
        <v>1014</v>
      </c>
      <c r="B828" s="6">
        <v>45749</v>
      </c>
      <c r="C828" t="s">
        <v>41</v>
      </c>
      <c r="D828" t="s">
        <v>42</v>
      </c>
      <c r="E828" t="s">
        <v>26</v>
      </c>
      <c r="F828" t="s">
        <v>43</v>
      </c>
      <c r="G828" t="s">
        <v>44</v>
      </c>
      <c r="H828" t="s">
        <v>133</v>
      </c>
      <c r="I828" t="s">
        <v>134</v>
      </c>
      <c r="J828" t="s">
        <v>130</v>
      </c>
      <c r="K828" t="s">
        <v>131</v>
      </c>
      <c r="L828" t="s">
        <v>183</v>
      </c>
      <c r="M828" t="s">
        <v>177</v>
      </c>
      <c r="N828">
        <v>2</v>
      </c>
      <c r="O828" s="4">
        <v>850</v>
      </c>
      <c r="P828" s="4">
        <v>1300</v>
      </c>
      <c r="Q828" s="7">
        <v>0</v>
      </c>
      <c r="R828" t="s">
        <v>173</v>
      </c>
      <c r="S828">
        <v>13</v>
      </c>
      <c r="T828">
        <v>2600</v>
      </c>
      <c r="U828">
        <v>0</v>
      </c>
      <c r="V828">
        <v>2600</v>
      </c>
      <c r="W828">
        <v>1700</v>
      </c>
      <c r="X828">
        <v>900</v>
      </c>
      <c r="Y828" s="8">
        <v>0.34615384615384615</v>
      </c>
      <c r="Z828" t="s">
        <v>2995</v>
      </c>
      <c r="AA828" t="str">
        <f>IF(AND(SalesCleanTable[[#This Row],[Discount %]]&gt;0, SalesCleanTable[[#This Row],[Profit]]&lt;0), "Discount loss", "Safe")</f>
        <v>Safe</v>
      </c>
      <c r="AB828" s="25">
        <f>(SalesCleanTable[[#This Row],[Unit Price]] - SalesCleanTable[[#This Row],[Unit Cost]]) / SalesCleanTable[[#This Row],[Unit Price]]</f>
        <v>0.34615384615384615</v>
      </c>
      <c r="AC828" t="str">
        <f>IF(SalesCleanTable[[#This Row],[Discount %]] &gt; SalesCleanTable[[#This Row],[Max Allowed Discount]], "Discount loss", "Safe")</f>
        <v>Safe</v>
      </c>
      <c r="AD828" s="4">
        <f>SalesCleanTable[[#This Row],[Unit Price]] - SalesCleanTable[[#This Row],[Unit Cost]]</f>
        <v>450</v>
      </c>
      <c r="AE828" s="41">
        <f>(SalesCleanTable[[#This Row],[Unit Price]] - SalesCleanTable[[#This Row],[Unit Cost]]) / SalesCleanTable[[#This Row],[Unit Price]]</f>
        <v>0.34615384615384615</v>
      </c>
    </row>
    <row r="829" spans="1:31">
      <c r="A829" t="s">
        <v>1015</v>
      </c>
      <c r="B829" s="6">
        <v>45831</v>
      </c>
      <c r="C829" t="s">
        <v>112</v>
      </c>
      <c r="D829" t="s">
        <v>113</v>
      </c>
      <c r="E829" t="s">
        <v>109</v>
      </c>
      <c r="F829" t="s">
        <v>114</v>
      </c>
      <c r="G829" t="s">
        <v>115</v>
      </c>
      <c r="H829" t="s">
        <v>135</v>
      </c>
      <c r="I829" t="s">
        <v>136</v>
      </c>
      <c r="J829" t="s">
        <v>137</v>
      </c>
      <c r="K829" t="s">
        <v>138</v>
      </c>
      <c r="L829" t="s">
        <v>183</v>
      </c>
      <c r="M829" t="s">
        <v>171</v>
      </c>
      <c r="N829">
        <v>2</v>
      </c>
      <c r="O829" s="4">
        <v>1300</v>
      </c>
      <c r="P829" s="4">
        <v>2100</v>
      </c>
      <c r="Q829" s="7">
        <v>0.15</v>
      </c>
      <c r="R829" t="s">
        <v>184</v>
      </c>
      <c r="S829">
        <v>7</v>
      </c>
      <c r="T829">
        <v>4200</v>
      </c>
      <c r="U829">
        <v>630</v>
      </c>
      <c r="V829">
        <v>3570</v>
      </c>
      <c r="W829">
        <v>2600</v>
      </c>
      <c r="X829">
        <v>970</v>
      </c>
      <c r="Y829" s="8">
        <v>0.27170868347338933</v>
      </c>
      <c r="Z829" t="s">
        <v>2995</v>
      </c>
      <c r="AA829" t="str">
        <f>IF(AND(SalesCleanTable[[#This Row],[Discount %]]&gt;0, SalesCleanTable[[#This Row],[Profit]]&lt;0), "Discount loss", "Safe")</f>
        <v>Safe</v>
      </c>
      <c r="AB829" s="25">
        <f>(SalesCleanTable[[#This Row],[Unit Price]] - SalesCleanTable[[#This Row],[Unit Cost]]) / SalesCleanTable[[#This Row],[Unit Price]]</f>
        <v>0.38095238095238093</v>
      </c>
      <c r="AC829" t="str">
        <f>IF(SalesCleanTable[[#This Row],[Discount %]] &gt; SalesCleanTable[[#This Row],[Max Allowed Discount]], "Discount loss", "Safe")</f>
        <v>Safe</v>
      </c>
      <c r="AD829" s="4">
        <f>SalesCleanTable[[#This Row],[Unit Price]] - SalesCleanTable[[#This Row],[Unit Cost]]</f>
        <v>800</v>
      </c>
      <c r="AE829" s="41">
        <f>(SalesCleanTable[[#This Row],[Unit Price]] - SalesCleanTable[[#This Row],[Unit Cost]]) / SalesCleanTable[[#This Row],[Unit Price]]</f>
        <v>0.38095238095238093</v>
      </c>
    </row>
    <row r="830" spans="1:31">
      <c r="A830" t="s">
        <v>1016</v>
      </c>
      <c r="B830" s="6">
        <v>45691</v>
      </c>
      <c r="C830" t="s">
        <v>32</v>
      </c>
      <c r="D830" t="s">
        <v>33</v>
      </c>
      <c r="E830" t="s">
        <v>26</v>
      </c>
      <c r="F830" t="s">
        <v>34</v>
      </c>
      <c r="G830" t="s">
        <v>35</v>
      </c>
      <c r="H830" t="s">
        <v>149</v>
      </c>
      <c r="I830" t="s">
        <v>150</v>
      </c>
      <c r="J830" t="s">
        <v>151</v>
      </c>
      <c r="K830" t="s">
        <v>152</v>
      </c>
      <c r="L830" t="s">
        <v>166</v>
      </c>
      <c r="M830" t="s">
        <v>171</v>
      </c>
      <c r="N830">
        <v>1</v>
      </c>
      <c r="O830" s="4">
        <v>7800</v>
      </c>
      <c r="P830" s="4">
        <v>9800</v>
      </c>
      <c r="Q830" s="7">
        <v>0</v>
      </c>
      <c r="R830" t="s">
        <v>194</v>
      </c>
      <c r="S830">
        <v>10</v>
      </c>
      <c r="T830">
        <v>9800</v>
      </c>
      <c r="U830">
        <v>0</v>
      </c>
      <c r="V830">
        <v>9800</v>
      </c>
      <c r="W830">
        <v>7800</v>
      </c>
      <c r="X830">
        <v>2000</v>
      </c>
      <c r="Y830" s="8">
        <v>0.20408163265306123</v>
      </c>
      <c r="Z830" t="s">
        <v>2995</v>
      </c>
      <c r="AA830" t="str">
        <f>IF(AND(SalesCleanTable[[#This Row],[Discount %]]&gt;0, SalesCleanTable[[#This Row],[Profit]]&lt;0), "Discount loss", "Safe")</f>
        <v>Safe</v>
      </c>
      <c r="AB830" s="25">
        <f>(SalesCleanTable[[#This Row],[Unit Price]] - SalesCleanTable[[#This Row],[Unit Cost]]) / SalesCleanTable[[#This Row],[Unit Price]]</f>
        <v>0.20408163265306123</v>
      </c>
      <c r="AC830" t="str">
        <f>IF(SalesCleanTable[[#This Row],[Discount %]] &gt; SalesCleanTable[[#This Row],[Max Allowed Discount]], "Discount loss", "Safe")</f>
        <v>Safe</v>
      </c>
      <c r="AD830" s="4">
        <f>SalesCleanTable[[#This Row],[Unit Price]] - SalesCleanTable[[#This Row],[Unit Cost]]</f>
        <v>2000</v>
      </c>
      <c r="AE830" s="41">
        <f>(SalesCleanTable[[#This Row],[Unit Price]] - SalesCleanTable[[#This Row],[Unit Cost]]) / SalesCleanTable[[#This Row],[Unit Price]]</f>
        <v>0.20408163265306123</v>
      </c>
    </row>
    <row r="831" spans="1:31">
      <c r="A831" t="s">
        <v>1017</v>
      </c>
      <c r="B831" s="6">
        <v>45983</v>
      </c>
      <c r="C831" t="s">
        <v>41</v>
      </c>
      <c r="D831" t="s">
        <v>42</v>
      </c>
      <c r="E831" t="s">
        <v>26</v>
      </c>
      <c r="F831" t="s">
        <v>43</v>
      </c>
      <c r="G831" t="s">
        <v>44</v>
      </c>
      <c r="H831" t="s">
        <v>128</v>
      </c>
      <c r="I831" t="s">
        <v>129</v>
      </c>
      <c r="J831" t="s">
        <v>130</v>
      </c>
      <c r="K831" t="s">
        <v>131</v>
      </c>
      <c r="L831" t="s">
        <v>166</v>
      </c>
      <c r="M831" t="s">
        <v>171</v>
      </c>
      <c r="N831">
        <v>3</v>
      </c>
      <c r="O831" s="4">
        <v>850</v>
      </c>
      <c r="P831" s="4">
        <v>1300</v>
      </c>
      <c r="Q831" s="7">
        <v>0</v>
      </c>
      <c r="R831" t="s">
        <v>194</v>
      </c>
      <c r="S831">
        <v>4</v>
      </c>
      <c r="T831">
        <v>3900</v>
      </c>
      <c r="U831">
        <v>0</v>
      </c>
      <c r="V831">
        <v>3900</v>
      </c>
      <c r="W831">
        <v>2550</v>
      </c>
      <c r="X831">
        <v>1350</v>
      </c>
      <c r="Y831" s="8">
        <v>0.34615384615384615</v>
      </c>
      <c r="Z831" t="s">
        <v>2995</v>
      </c>
      <c r="AA831" t="str">
        <f>IF(AND(SalesCleanTable[[#This Row],[Discount %]]&gt;0, SalesCleanTable[[#This Row],[Profit]]&lt;0), "Discount loss", "Safe")</f>
        <v>Safe</v>
      </c>
      <c r="AB831" s="25">
        <f>(SalesCleanTable[[#This Row],[Unit Price]] - SalesCleanTable[[#This Row],[Unit Cost]]) / SalesCleanTable[[#This Row],[Unit Price]]</f>
        <v>0.34615384615384615</v>
      </c>
      <c r="AC831" t="str">
        <f>IF(SalesCleanTable[[#This Row],[Discount %]] &gt; SalesCleanTable[[#This Row],[Max Allowed Discount]], "Discount loss", "Safe")</f>
        <v>Safe</v>
      </c>
      <c r="AD831" s="4">
        <f>SalesCleanTable[[#This Row],[Unit Price]] - SalesCleanTable[[#This Row],[Unit Cost]]</f>
        <v>450</v>
      </c>
      <c r="AE831" s="41">
        <f>(SalesCleanTable[[#This Row],[Unit Price]] - SalesCleanTable[[#This Row],[Unit Cost]]) / SalesCleanTable[[#This Row],[Unit Price]]</f>
        <v>0.34615384615384615</v>
      </c>
    </row>
    <row r="832" spans="1:31">
      <c r="A832" t="s">
        <v>1018</v>
      </c>
      <c r="B832" s="6">
        <v>45801</v>
      </c>
      <c r="C832" t="s">
        <v>103</v>
      </c>
      <c r="D832" t="s">
        <v>104</v>
      </c>
      <c r="E832" t="s">
        <v>92</v>
      </c>
      <c r="F832" t="s">
        <v>105</v>
      </c>
      <c r="G832" t="s">
        <v>106</v>
      </c>
      <c r="H832" t="s">
        <v>149</v>
      </c>
      <c r="I832" t="s">
        <v>150</v>
      </c>
      <c r="J832" t="s">
        <v>151</v>
      </c>
      <c r="K832" t="s">
        <v>152</v>
      </c>
      <c r="L832" t="s">
        <v>166</v>
      </c>
      <c r="M832" t="s">
        <v>177</v>
      </c>
      <c r="N832">
        <v>8</v>
      </c>
      <c r="O832" s="4">
        <v>1500</v>
      </c>
      <c r="P832" s="4">
        <v>2500</v>
      </c>
      <c r="Q832" s="7">
        <v>0.15</v>
      </c>
      <c r="R832" t="s">
        <v>217</v>
      </c>
      <c r="S832">
        <v>13</v>
      </c>
      <c r="T832">
        <v>20000</v>
      </c>
      <c r="U832">
        <v>3000</v>
      </c>
      <c r="V832">
        <v>17000</v>
      </c>
      <c r="W832">
        <v>12000</v>
      </c>
      <c r="X832">
        <v>5000</v>
      </c>
      <c r="Y832" s="8">
        <v>0.29411764705882354</v>
      </c>
      <c r="Z832" t="s">
        <v>2996</v>
      </c>
      <c r="AA832" t="str">
        <f>IF(AND(SalesCleanTable[[#This Row],[Discount %]]&gt;0, SalesCleanTable[[#This Row],[Profit]]&lt;0), "Discount loss", "Safe")</f>
        <v>Safe</v>
      </c>
      <c r="AB832" s="25">
        <f>(SalesCleanTable[[#This Row],[Unit Price]] - SalesCleanTable[[#This Row],[Unit Cost]]) / SalesCleanTable[[#This Row],[Unit Price]]</f>
        <v>0.4</v>
      </c>
      <c r="AC832" t="str">
        <f>IF(SalesCleanTable[[#This Row],[Discount %]] &gt; SalesCleanTable[[#This Row],[Max Allowed Discount]], "Discount loss", "Safe")</f>
        <v>Safe</v>
      </c>
      <c r="AD832" s="4">
        <f>SalesCleanTable[[#This Row],[Unit Price]] - SalesCleanTable[[#This Row],[Unit Cost]]</f>
        <v>1000</v>
      </c>
      <c r="AE832" s="41">
        <f>(SalesCleanTable[[#This Row],[Unit Price]] - SalesCleanTable[[#This Row],[Unit Cost]]) / SalesCleanTable[[#This Row],[Unit Price]]</f>
        <v>0.4</v>
      </c>
    </row>
    <row r="833" spans="1:31">
      <c r="A833" t="s">
        <v>1019</v>
      </c>
      <c r="B833" s="6">
        <v>45691</v>
      </c>
      <c r="C833" t="s">
        <v>36</v>
      </c>
      <c r="D833" t="s">
        <v>37</v>
      </c>
      <c r="E833" t="s">
        <v>38</v>
      </c>
      <c r="F833" t="s">
        <v>39</v>
      </c>
      <c r="G833" t="s">
        <v>40</v>
      </c>
      <c r="H833" t="s">
        <v>135</v>
      </c>
      <c r="I833" t="s">
        <v>136</v>
      </c>
      <c r="J833" t="s">
        <v>137</v>
      </c>
      <c r="K833" t="s">
        <v>138</v>
      </c>
      <c r="L833" t="s">
        <v>166</v>
      </c>
      <c r="M833" t="s">
        <v>186</v>
      </c>
      <c r="N833">
        <v>6</v>
      </c>
      <c r="O833" s="4">
        <v>1650</v>
      </c>
      <c r="P833" s="4">
        <v>2200</v>
      </c>
      <c r="Q833" s="7">
        <v>0.1</v>
      </c>
      <c r="R833" t="s">
        <v>178</v>
      </c>
      <c r="S833">
        <v>6</v>
      </c>
      <c r="T833">
        <v>13200</v>
      </c>
      <c r="U833">
        <v>1320</v>
      </c>
      <c r="V833">
        <v>11880</v>
      </c>
      <c r="W833">
        <v>9900</v>
      </c>
      <c r="X833">
        <v>1980</v>
      </c>
      <c r="Y833" s="8">
        <v>0.16666666666666666</v>
      </c>
      <c r="Z833" t="s">
        <v>2995</v>
      </c>
      <c r="AA833" t="str">
        <f>IF(AND(SalesCleanTable[[#This Row],[Discount %]]&gt;0, SalesCleanTable[[#This Row],[Profit]]&lt;0), "Discount loss", "Safe")</f>
        <v>Safe</v>
      </c>
      <c r="AB833" s="25">
        <f>(SalesCleanTable[[#This Row],[Unit Price]] - SalesCleanTable[[#This Row],[Unit Cost]]) / SalesCleanTable[[#This Row],[Unit Price]]</f>
        <v>0.25</v>
      </c>
      <c r="AC833" t="str">
        <f>IF(SalesCleanTable[[#This Row],[Discount %]] &gt; SalesCleanTable[[#This Row],[Max Allowed Discount]], "Discount loss", "Safe")</f>
        <v>Safe</v>
      </c>
      <c r="AD833" s="4">
        <f>SalesCleanTable[[#This Row],[Unit Price]] - SalesCleanTable[[#This Row],[Unit Cost]]</f>
        <v>550</v>
      </c>
      <c r="AE833" s="41">
        <f>(SalesCleanTable[[#This Row],[Unit Price]] - SalesCleanTable[[#This Row],[Unit Cost]]) / SalesCleanTable[[#This Row],[Unit Price]]</f>
        <v>0.25</v>
      </c>
    </row>
    <row r="834" spans="1:31">
      <c r="A834" t="s">
        <v>1020</v>
      </c>
      <c r="B834" s="6">
        <v>45927</v>
      </c>
      <c r="C834" t="s">
        <v>82</v>
      </c>
      <c r="D834" t="s">
        <v>83</v>
      </c>
      <c r="E834" t="s">
        <v>75</v>
      </c>
      <c r="F834" t="s">
        <v>84</v>
      </c>
      <c r="G834" t="s">
        <v>85</v>
      </c>
      <c r="H834" t="s">
        <v>145</v>
      </c>
      <c r="I834" t="s">
        <v>146</v>
      </c>
      <c r="J834" t="s">
        <v>147</v>
      </c>
      <c r="K834" t="s">
        <v>148</v>
      </c>
      <c r="L834" t="s">
        <v>166</v>
      </c>
      <c r="M834" t="s">
        <v>171</v>
      </c>
      <c r="N834">
        <v>3</v>
      </c>
      <c r="O834" s="4">
        <v>600</v>
      </c>
      <c r="P834" s="4">
        <v>950</v>
      </c>
      <c r="Q834" s="7">
        <v>0</v>
      </c>
      <c r="R834" t="s">
        <v>204</v>
      </c>
      <c r="S834">
        <v>11</v>
      </c>
      <c r="T834">
        <v>2850</v>
      </c>
      <c r="U834">
        <v>0</v>
      </c>
      <c r="V834">
        <v>2850</v>
      </c>
      <c r="W834">
        <v>1800</v>
      </c>
      <c r="X834">
        <v>1050</v>
      </c>
      <c r="Y834" s="8">
        <v>0.36842105263157893</v>
      </c>
      <c r="Z834" t="s">
        <v>2996</v>
      </c>
      <c r="AA834" t="str">
        <f>IF(AND(SalesCleanTable[[#This Row],[Discount %]]&gt;0, SalesCleanTable[[#This Row],[Profit]]&lt;0), "Discount loss", "Safe")</f>
        <v>Safe</v>
      </c>
      <c r="AB834" s="25">
        <f>(SalesCleanTable[[#This Row],[Unit Price]] - SalesCleanTable[[#This Row],[Unit Cost]]) / SalesCleanTable[[#This Row],[Unit Price]]</f>
        <v>0.36842105263157893</v>
      </c>
      <c r="AC834" t="str">
        <f>IF(SalesCleanTable[[#This Row],[Discount %]] &gt; SalesCleanTable[[#This Row],[Max Allowed Discount]], "Discount loss", "Safe")</f>
        <v>Safe</v>
      </c>
      <c r="AD834" s="4">
        <f>SalesCleanTable[[#This Row],[Unit Price]] - SalesCleanTable[[#This Row],[Unit Cost]]</f>
        <v>350</v>
      </c>
      <c r="AE834" s="41">
        <f>(SalesCleanTable[[#This Row],[Unit Price]] - SalesCleanTable[[#This Row],[Unit Cost]]) / SalesCleanTable[[#This Row],[Unit Price]]</f>
        <v>0.36842105263157893</v>
      </c>
    </row>
    <row r="835" spans="1:31">
      <c r="A835" t="s">
        <v>1021</v>
      </c>
      <c r="B835" s="6">
        <v>45770</v>
      </c>
      <c r="C835" t="s">
        <v>107</v>
      </c>
      <c r="D835" t="s">
        <v>108</v>
      </c>
      <c r="E835" t="s">
        <v>109</v>
      </c>
      <c r="F835" t="s">
        <v>110</v>
      </c>
      <c r="G835" t="s">
        <v>111</v>
      </c>
      <c r="H835" t="s">
        <v>139</v>
      </c>
      <c r="I835" t="s">
        <v>140</v>
      </c>
      <c r="J835" t="s">
        <v>137</v>
      </c>
      <c r="K835" t="s">
        <v>138</v>
      </c>
      <c r="L835" t="s">
        <v>166</v>
      </c>
      <c r="M835" t="s">
        <v>186</v>
      </c>
      <c r="N835">
        <v>2</v>
      </c>
      <c r="O835" s="4">
        <v>5200</v>
      </c>
      <c r="P835" s="4">
        <v>7000</v>
      </c>
      <c r="Q835" s="7">
        <v>0.05</v>
      </c>
      <c r="R835" t="s">
        <v>235</v>
      </c>
      <c r="S835">
        <v>14</v>
      </c>
      <c r="T835">
        <v>14000</v>
      </c>
      <c r="U835">
        <v>700</v>
      </c>
      <c r="V835">
        <v>13300</v>
      </c>
      <c r="W835">
        <v>10400</v>
      </c>
      <c r="X835">
        <v>2900</v>
      </c>
      <c r="Y835" s="8">
        <v>0.21804511278195488</v>
      </c>
      <c r="Z835" t="s">
        <v>2997</v>
      </c>
      <c r="AA835" t="str">
        <f>IF(AND(SalesCleanTable[[#This Row],[Discount %]]&gt;0, SalesCleanTable[[#This Row],[Profit]]&lt;0), "Discount loss", "Safe")</f>
        <v>Safe</v>
      </c>
      <c r="AB835" s="25">
        <f>(SalesCleanTable[[#This Row],[Unit Price]] - SalesCleanTable[[#This Row],[Unit Cost]]) / SalesCleanTable[[#This Row],[Unit Price]]</f>
        <v>0.25714285714285712</v>
      </c>
      <c r="AC835" t="str">
        <f>IF(SalesCleanTable[[#This Row],[Discount %]] &gt; SalesCleanTable[[#This Row],[Max Allowed Discount]], "Discount loss", "Safe")</f>
        <v>Safe</v>
      </c>
      <c r="AD835" s="4">
        <f>SalesCleanTable[[#This Row],[Unit Price]] - SalesCleanTable[[#This Row],[Unit Cost]]</f>
        <v>1800</v>
      </c>
      <c r="AE835" s="41">
        <f>(SalesCleanTable[[#This Row],[Unit Price]] - SalesCleanTable[[#This Row],[Unit Cost]]) / SalesCleanTable[[#This Row],[Unit Price]]</f>
        <v>0.25714285714285712</v>
      </c>
    </row>
    <row r="836" spans="1:31">
      <c r="A836" t="s">
        <v>1022</v>
      </c>
      <c r="B836" s="6">
        <v>45939</v>
      </c>
      <c r="C836" t="s">
        <v>29</v>
      </c>
      <c r="D836" t="s">
        <v>30</v>
      </c>
      <c r="E836" t="s">
        <v>26</v>
      </c>
      <c r="F836" t="s">
        <v>27</v>
      </c>
      <c r="G836" t="s">
        <v>31</v>
      </c>
      <c r="H836" t="s">
        <v>145</v>
      </c>
      <c r="I836" t="s">
        <v>146</v>
      </c>
      <c r="J836" t="s">
        <v>147</v>
      </c>
      <c r="K836" t="s">
        <v>148</v>
      </c>
      <c r="L836" t="s">
        <v>166</v>
      </c>
      <c r="M836" t="s">
        <v>177</v>
      </c>
      <c r="N836">
        <v>2</v>
      </c>
      <c r="O836" s="4">
        <v>6200</v>
      </c>
      <c r="P836" s="4">
        <v>7900</v>
      </c>
      <c r="Q836" s="7">
        <v>0.05</v>
      </c>
      <c r="R836" t="s">
        <v>173</v>
      </c>
      <c r="S836">
        <v>10</v>
      </c>
      <c r="T836">
        <v>15800</v>
      </c>
      <c r="U836">
        <v>790</v>
      </c>
      <c r="V836">
        <v>15010</v>
      </c>
      <c r="W836">
        <v>12400</v>
      </c>
      <c r="X836">
        <v>2610</v>
      </c>
      <c r="Y836" s="8">
        <v>0.17388407728181213</v>
      </c>
      <c r="Z836" t="s">
        <v>2996</v>
      </c>
      <c r="AA836" t="str">
        <f>IF(AND(SalesCleanTable[[#This Row],[Discount %]]&gt;0, SalesCleanTable[[#This Row],[Profit]]&lt;0), "Discount loss", "Safe")</f>
        <v>Safe</v>
      </c>
      <c r="AB836" s="25">
        <f>(SalesCleanTable[[#This Row],[Unit Price]] - SalesCleanTable[[#This Row],[Unit Cost]]) / SalesCleanTable[[#This Row],[Unit Price]]</f>
        <v>0.21518987341772153</v>
      </c>
      <c r="AC836" t="str">
        <f>IF(SalesCleanTable[[#This Row],[Discount %]] &gt; SalesCleanTable[[#This Row],[Max Allowed Discount]], "Discount loss", "Safe")</f>
        <v>Safe</v>
      </c>
      <c r="AD836" s="4">
        <f>SalesCleanTable[[#This Row],[Unit Price]] - SalesCleanTable[[#This Row],[Unit Cost]]</f>
        <v>1700</v>
      </c>
      <c r="AE836" s="41">
        <f>(SalesCleanTable[[#This Row],[Unit Price]] - SalesCleanTable[[#This Row],[Unit Cost]]) / SalesCleanTable[[#This Row],[Unit Price]]</f>
        <v>0.21518987341772153</v>
      </c>
    </row>
    <row r="837" spans="1:31">
      <c r="A837" t="s">
        <v>1023</v>
      </c>
      <c r="B837" s="6">
        <v>45888</v>
      </c>
      <c r="C837" t="s">
        <v>53</v>
      </c>
      <c r="D837" t="s">
        <v>54</v>
      </c>
      <c r="E837" t="s">
        <v>38</v>
      </c>
      <c r="F837" t="s">
        <v>55</v>
      </c>
      <c r="G837" t="s">
        <v>56</v>
      </c>
      <c r="H837" t="s">
        <v>135</v>
      </c>
      <c r="I837" t="s">
        <v>136</v>
      </c>
      <c r="J837" t="s">
        <v>137</v>
      </c>
      <c r="K837" t="s">
        <v>138</v>
      </c>
      <c r="L837" t="s">
        <v>166</v>
      </c>
      <c r="M837" t="s">
        <v>177</v>
      </c>
      <c r="N837">
        <v>5</v>
      </c>
      <c r="O837" s="4">
        <v>330</v>
      </c>
      <c r="P837" s="4">
        <v>550</v>
      </c>
      <c r="Q837" s="7">
        <v>0.05</v>
      </c>
      <c r="R837" t="s">
        <v>178</v>
      </c>
      <c r="S837">
        <v>5</v>
      </c>
      <c r="T837">
        <v>2750</v>
      </c>
      <c r="U837">
        <v>137.5</v>
      </c>
      <c r="V837">
        <v>2612.5</v>
      </c>
      <c r="W837">
        <v>1650</v>
      </c>
      <c r="X837">
        <v>962.5</v>
      </c>
      <c r="Y837" s="8">
        <v>0.36842105263157893</v>
      </c>
      <c r="Z837" t="s">
        <v>2996</v>
      </c>
      <c r="AA837" t="str">
        <f>IF(AND(SalesCleanTable[[#This Row],[Discount %]]&gt;0, SalesCleanTable[[#This Row],[Profit]]&lt;0), "Discount loss", "Safe")</f>
        <v>Safe</v>
      </c>
      <c r="AB837" s="25">
        <f>(SalesCleanTable[[#This Row],[Unit Price]] - SalesCleanTable[[#This Row],[Unit Cost]]) / SalesCleanTable[[#This Row],[Unit Price]]</f>
        <v>0.4</v>
      </c>
      <c r="AC837" t="str">
        <f>IF(SalesCleanTable[[#This Row],[Discount %]] &gt; SalesCleanTable[[#This Row],[Max Allowed Discount]], "Discount loss", "Safe")</f>
        <v>Safe</v>
      </c>
      <c r="AD837" s="4">
        <f>SalesCleanTable[[#This Row],[Unit Price]] - SalesCleanTable[[#This Row],[Unit Cost]]</f>
        <v>220</v>
      </c>
      <c r="AE837" s="41">
        <f>(SalesCleanTable[[#This Row],[Unit Price]] - SalesCleanTable[[#This Row],[Unit Cost]]) / SalesCleanTable[[#This Row],[Unit Price]]</f>
        <v>0.4</v>
      </c>
    </row>
    <row r="838" spans="1:31">
      <c r="A838" t="s">
        <v>1024</v>
      </c>
      <c r="B838" s="6">
        <v>45841</v>
      </c>
      <c r="C838" t="s">
        <v>107</v>
      </c>
      <c r="D838" t="s">
        <v>108</v>
      </c>
      <c r="E838" t="s">
        <v>109</v>
      </c>
      <c r="F838" t="s">
        <v>110</v>
      </c>
      <c r="G838" t="s">
        <v>111</v>
      </c>
      <c r="H838" t="s">
        <v>135</v>
      </c>
      <c r="I838" t="s">
        <v>136</v>
      </c>
      <c r="J838" t="s">
        <v>137</v>
      </c>
      <c r="K838" t="s">
        <v>138</v>
      </c>
      <c r="L838" t="s">
        <v>166</v>
      </c>
      <c r="M838" t="s">
        <v>167</v>
      </c>
      <c r="N838">
        <v>3</v>
      </c>
      <c r="O838" s="4">
        <v>5200</v>
      </c>
      <c r="P838" s="4">
        <v>7000</v>
      </c>
      <c r="Q838" s="7">
        <v>0.15</v>
      </c>
      <c r="R838" t="s">
        <v>235</v>
      </c>
      <c r="S838">
        <v>2</v>
      </c>
      <c r="T838">
        <v>21000</v>
      </c>
      <c r="U838">
        <v>3150</v>
      </c>
      <c r="V838">
        <v>17850</v>
      </c>
      <c r="W838">
        <v>15600</v>
      </c>
      <c r="X838">
        <v>2250</v>
      </c>
      <c r="Y838" s="8">
        <v>0.12605042016806722</v>
      </c>
      <c r="Z838" t="s">
        <v>2997</v>
      </c>
      <c r="AA838" t="str">
        <f>IF(AND(SalesCleanTable[[#This Row],[Discount %]]&gt;0, SalesCleanTable[[#This Row],[Profit]]&lt;0), "Discount loss", "Safe")</f>
        <v>Safe</v>
      </c>
      <c r="AB838" s="25">
        <f>(SalesCleanTable[[#This Row],[Unit Price]] - SalesCleanTable[[#This Row],[Unit Cost]]) / SalesCleanTable[[#This Row],[Unit Price]]</f>
        <v>0.25714285714285712</v>
      </c>
      <c r="AC838" t="str">
        <f>IF(SalesCleanTable[[#This Row],[Discount %]] &gt; SalesCleanTable[[#This Row],[Max Allowed Discount]], "Discount loss", "Safe")</f>
        <v>Safe</v>
      </c>
      <c r="AD838" s="4">
        <f>SalesCleanTable[[#This Row],[Unit Price]] - SalesCleanTable[[#This Row],[Unit Cost]]</f>
        <v>1800</v>
      </c>
      <c r="AE838" s="41">
        <f>(SalesCleanTable[[#This Row],[Unit Price]] - SalesCleanTable[[#This Row],[Unit Cost]]) / SalesCleanTable[[#This Row],[Unit Price]]</f>
        <v>0.25714285714285712</v>
      </c>
    </row>
    <row r="839" spans="1:31">
      <c r="A839" t="s">
        <v>1025</v>
      </c>
      <c r="B839" s="6">
        <v>45842</v>
      </c>
      <c r="C839" t="s">
        <v>24</v>
      </c>
      <c r="D839" t="s">
        <v>25</v>
      </c>
      <c r="E839" t="s">
        <v>26</v>
      </c>
      <c r="F839" t="s">
        <v>27</v>
      </c>
      <c r="G839" t="s">
        <v>28</v>
      </c>
      <c r="H839" t="s">
        <v>133</v>
      </c>
      <c r="I839" t="s">
        <v>134</v>
      </c>
      <c r="J839" t="s">
        <v>130</v>
      </c>
      <c r="K839" t="s">
        <v>131</v>
      </c>
      <c r="L839" t="s">
        <v>166</v>
      </c>
      <c r="M839" t="s">
        <v>171</v>
      </c>
      <c r="N839">
        <v>1</v>
      </c>
      <c r="O839" s="4">
        <v>14500</v>
      </c>
      <c r="P839" s="4">
        <v>17500</v>
      </c>
      <c r="Q839" s="7">
        <v>0.05</v>
      </c>
      <c r="R839" t="s">
        <v>173</v>
      </c>
      <c r="S839">
        <v>14</v>
      </c>
      <c r="T839">
        <v>17500</v>
      </c>
      <c r="U839">
        <v>875</v>
      </c>
      <c r="V839">
        <v>16625</v>
      </c>
      <c r="W839">
        <v>14500</v>
      </c>
      <c r="X839">
        <v>2125</v>
      </c>
      <c r="Y839" s="8">
        <v>0.12781954887218044</v>
      </c>
      <c r="Z839" t="s">
        <v>2995</v>
      </c>
      <c r="AA839" t="str">
        <f>IF(AND(SalesCleanTable[[#This Row],[Discount %]]&gt;0, SalesCleanTable[[#This Row],[Profit]]&lt;0), "Discount loss", "Safe")</f>
        <v>Safe</v>
      </c>
      <c r="AB839" s="25">
        <f>(SalesCleanTable[[#This Row],[Unit Price]] - SalesCleanTable[[#This Row],[Unit Cost]]) / SalesCleanTable[[#This Row],[Unit Price]]</f>
        <v>0.17142857142857143</v>
      </c>
      <c r="AC839" t="str">
        <f>IF(SalesCleanTable[[#This Row],[Discount %]] &gt; SalesCleanTable[[#This Row],[Max Allowed Discount]], "Discount loss", "Safe")</f>
        <v>Safe</v>
      </c>
      <c r="AD839" s="4">
        <f>SalesCleanTable[[#This Row],[Unit Price]] - SalesCleanTable[[#This Row],[Unit Cost]]</f>
        <v>3000</v>
      </c>
      <c r="AE839" s="41">
        <f>(SalesCleanTable[[#This Row],[Unit Price]] - SalesCleanTable[[#This Row],[Unit Cost]]) / SalesCleanTable[[#This Row],[Unit Price]]</f>
        <v>0.17142857142857143</v>
      </c>
    </row>
    <row r="840" spans="1:31">
      <c r="A840" t="s">
        <v>1026</v>
      </c>
      <c r="B840" s="6">
        <v>46019</v>
      </c>
      <c r="C840" t="s">
        <v>69</v>
      </c>
      <c r="D840" t="s">
        <v>70</v>
      </c>
      <c r="E840" t="s">
        <v>59</v>
      </c>
      <c r="F840" t="s">
        <v>71</v>
      </c>
      <c r="G840" t="s">
        <v>72</v>
      </c>
      <c r="H840" t="s">
        <v>128</v>
      </c>
      <c r="I840" t="s">
        <v>129</v>
      </c>
      <c r="J840" t="s">
        <v>130</v>
      </c>
      <c r="K840" t="s">
        <v>131</v>
      </c>
      <c r="L840" t="s">
        <v>166</v>
      </c>
      <c r="M840" t="s">
        <v>167</v>
      </c>
      <c r="N840">
        <v>5</v>
      </c>
      <c r="O840" s="4">
        <v>1700</v>
      </c>
      <c r="P840" s="4">
        <v>2600</v>
      </c>
      <c r="Q840" s="7">
        <v>0.1</v>
      </c>
      <c r="R840" t="s">
        <v>204</v>
      </c>
      <c r="S840">
        <v>5</v>
      </c>
      <c r="T840">
        <v>13000</v>
      </c>
      <c r="U840">
        <v>1300</v>
      </c>
      <c r="V840">
        <v>11700</v>
      </c>
      <c r="W840">
        <v>8500</v>
      </c>
      <c r="X840">
        <v>3200</v>
      </c>
      <c r="Y840" s="8">
        <v>0.27350427350427353</v>
      </c>
      <c r="Z840" t="s">
        <v>2997</v>
      </c>
      <c r="AA840" t="str">
        <f>IF(AND(SalesCleanTable[[#This Row],[Discount %]]&gt;0, SalesCleanTable[[#This Row],[Profit]]&lt;0), "Discount loss", "Safe")</f>
        <v>Safe</v>
      </c>
      <c r="AB840" s="25">
        <f>(SalesCleanTable[[#This Row],[Unit Price]] - SalesCleanTable[[#This Row],[Unit Cost]]) / SalesCleanTable[[#This Row],[Unit Price]]</f>
        <v>0.34615384615384615</v>
      </c>
      <c r="AC840" t="str">
        <f>IF(SalesCleanTable[[#This Row],[Discount %]] &gt; SalesCleanTable[[#This Row],[Max Allowed Discount]], "Discount loss", "Safe")</f>
        <v>Safe</v>
      </c>
      <c r="AD840" s="4">
        <f>SalesCleanTable[[#This Row],[Unit Price]] - SalesCleanTable[[#This Row],[Unit Cost]]</f>
        <v>900</v>
      </c>
      <c r="AE840" s="41">
        <f>(SalesCleanTable[[#This Row],[Unit Price]] - SalesCleanTable[[#This Row],[Unit Cost]]) / SalesCleanTable[[#This Row],[Unit Price]]</f>
        <v>0.34615384615384615</v>
      </c>
    </row>
    <row r="841" spans="1:31">
      <c r="A841" t="s">
        <v>1027</v>
      </c>
      <c r="B841" s="6">
        <v>45864</v>
      </c>
      <c r="C841" t="s">
        <v>112</v>
      </c>
      <c r="D841" t="s">
        <v>113</v>
      </c>
      <c r="E841" t="s">
        <v>109</v>
      </c>
      <c r="F841" t="s">
        <v>114</v>
      </c>
      <c r="G841" t="s">
        <v>115</v>
      </c>
      <c r="H841" t="s">
        <v>149</v>
      </c>
      <c r="I841" t="s">
        <v>150</v>
      </c>
      <c r="J841" t="s">
        <v>151</v>
      </c>
      <c r="K841" t="s">
        <v>152</v>
      </c>
      <c r="L841" t="s">
        <v>183</v>
      </c>
      <c r="M841" t="s">
        <v>171</v>
      </c>
      <c r="N841">
        <v>4</v>
      </c>
      <c r="O841" s="4">
        <v>1300</v>
      </c>
      <c r="P841" s="4">
        <v>2100</v>
      </c>
      <c r="Q841" s="7">
        <v>0</v>
      </c>
      <c r="R841" t="s">
        <v>235</v>
      </c>
      <c r="S841">
        <v>14</v>
      </c>
      <c r="T841">
        <v>8400</v>
      </c>
      <c r="U841">
        <v>0</v>
      </c>
      <c r="V841">
        <v>8400</v>
      </c>
      <c r="W841">
        <v>5200</v>
      </c>
      <c r="X841">
        <v>3200</v>
      </c>
      <c r="Y841" s="8">
        <v>0.38095238095238093</v>
      </c>
      <c r="Z841" t="s">
        <v>2995</v>
      </c>
      <c r="AA841" t="str">
        <f>IF(AND(SalesCleanTable[[#This Row],[Discount %]]&gt;0, SalesCleanTable[[#This Row],[Profit]]&lt;0), "Discount loss", "Safe")</f>
        <v>Safe</v>
      </c>
      <c r="AB841" s="25">
        <f>(SalesCleanTable[[#This Row],[Unit Price]] - SalesCleanTable[[#This Row],[Unit Cost]]) / SalesCleanTable[[#This Row],[Unit Price]]</f>
        <v>0.38095238095238093</v>
      </c>
      <c r="AC841" t="str">
        <f>IF(SalesCleanTable[[#This Row],[Discount %]] &gt; SalesCleanTable[[#This Row],[Max Allowed Discount]], "Discount loss", "Safe")</f>
        <v>Safe</v>
      </c>
      <c r="AD841" s="4">
        <f>SalesCleanTable[[#This Row],[Unit Price]] - SalesCleanTable[[#This Row],[Unit Cost]]</f>
        <v>800</v>
      </c>
      <c r="AE841" s="41">
        <f>(SalesCleanTable[[#This Row],[Unit Price]] - SalesCleanTable[[#This Row],[Unit Cost]]) / SalesCleanTable[[#This Row],[Unit Price]]</f>
        <v>0.38095238095238093</v>
      </c>
    </row>
    <row r="842" spans="1:31">
      <c r="A842" t="s">
        <v>1028</v>
      </c>
      <c r="B842" s="6">
        <v>45774</v>
      </c>
      <c r="C842" t="s">
        <v>82</v>
      </c>
      <c r="D842" t="s">
        <v>83</v>
      </c>
      <c r="E842" t="s">
        <v>75</v>
      </c>
      <c r="F842" t="s">
        <v>84</v>
      </c>
      <c r="G842" t="s">
        <v>85</v>
      </c>
      <c r="H842" t="s">
        <v>133</v>
      </c>
      <c r="I842" t="s">
        <v>134</v>
      </c>
      <c r="J842" t="s">
        <v>130</v>
      </c>
      <c r="K842" t="s">
        <v>131</v>
      </c>
      <c r="L842" t="s">
        <v>166</v>
      </c>
      <c r="M842" t="s">
        <v>186</v>
      </c>
      <c r="N842">
        <v>2</v>
      </c>
      <c r="O842" s="4">
        <v>600</v>
      </c>
      <c r="P842" s="4">
        <v>950</v>
      </c>
      <c r="Q842" s="7">
        <v>0.1</v>
      </c>
      <c r="R842" t="s">
        <v>208</v>
      </c>
      <c r="S842">
        <v>6</v>
      </c>
      <c r="T842">
        <v>1900</v>
      </c>
      <c r="U842">
        <v>190</v>
      </c>
      <c r="V842">
        <v>1710</v>
      </c>
      <c r="W842">
        <v>1200</v>
      </c>
      <c r="X842">
        <v>510</v>
      </c>
      <c r="Y842" s="8">
        <v>0.2982456140350877</v>
      </c>
      <c r="Z842" t="s">
        <v>2996</v>
      </c>
      <c r="AA842" t="str">
        <f>IF(AND(SalesCleanTable[[#This Row],[Discount %]]&gt;0, SalesCleanTable[[#This Row],[Profit]]&lt;0), "Discount loss", "Safe")</f>
        <v>Safe</v>
      </c>
      <c r="AB842" s="25">
        <f>(SalesCleanTable[[#This Row],[Unit Price]] - SalesCleanTable[[#This Row],[Unit Cost]]) / SalesCleanTable[[#This Row],[Unit Price]]</f>
        <v>0.36842105263157893</v>
      </c>
      <c r="AC842" t="str">
        <f>IF(SalesCleanTable[[#This Row],[Discount %]] &gt; SalesCleanTable[[#This Row],[Max Allowed Discount]], "Discount loss", "Safe")</f>
        <v>Safe</v>
      </c>
      <c r="AD842" s="4">
        <f>SalesCleanTable[[#This Row],[Unit Price]] - SalesCleanTable[[#This Row],[Unit Cost]]</f>
        <v>350</v>
      </c>
      <c r="AE842" s="41">
        <f>(SalesCleanTable[[#This Row],[Unit Price]] - SalesCleanTable[[#This Row],[Unit Cost]]) / SalesCleanTable[[#This Row],[Unit Price]]</f>
        <v>0.36842105263157893</v>
      </c>
    </row>
    <row r="843" spans="1:31">
      <c r="A843" t="s">
        <v>1029</v>
      </c>
      <c r="B843" s="6">
        <v>45818</v>
      </c>
      <c r="C843" t="s">
        <v>103</v>
      </c>
      <c r="D843" t="s">
        <v>104</v>
      </c>
      <c r="E843" t="s">
        <v>92</v>
      </c>
      <c r="F843" t="s">
        <v>105</v>
      </c>
      <c r="G843" t="s">
        <v>106</v>
      </c>
      <c r="H843" t="s">
        <v>135</v>
      </c>
      <c r="I843" t="s">
        <v>136</v>
      </c>
      <c r="J843" t="s">
        <v>137</v>
      </c>
      <c r="K843" t="s">
        <v>138</v>
      </c>
      <c r="L843" t="s">
        <v>166</v>
      </c>
      <c r="M843" t="s">
        <v>171</v>
      </c>
      <c r="N843">
        <v>8</v>
      </c>
      <c r="O843" s="4">
        <v>1500</v>
      </c>
      <c r="P843" s="4">
        <v>2500</v>
      </c>
      <c r="Q843" s="7">
        <v>0.05</v>
      </c>
      <c r="R843" t="s">
        <v>181</v>
      </c>
      <c r="S843">
        <v>6</v>
      </c>
      <c r="T843">
        <v>20000</v>
      </c>
      <c r="U843">
        <v>1000</v>
      </c>
      <c r="V843">
        <v>19000</v>
      </c>
      <c r="W843">
        <v>12000</v>
      </c>
      <c r="X843">
        <v>7000</v>
      </c>
      <c r="Y843" s="8">
        <v>0.36842105263157893</v>
      </c>
      <c r="Z843" t="s">
        <v>2996</v>
      </c>
      <c r="AA843" t="str">
        <f>IF(AND(SalesCleanTable[[#This Row],[Discount %]]&gt;0, SalesCleanTable[[#This Row],[Profit]]&lt;0), "Discount loss", "Safe")</f>
        <v>Safe</v>
      </c>
      <c r="AB843" s="25">
        <f>(SalesCleanTable[[#This Row],[Unit Price]] - SalesCleanTable[[#This Row],[Unit Cost]]) / SalesCleanTable[[#This Row],[Unit Price]]</f>
        <v>0.4</v>
      </c>
      <c r="AC843" t="str">
        <f>IF(SalesCleanTable[[#This Row],[Discount %]] &gt; SalesCleanTable[[#This Row],[Max Allowed Discount]], "Discount loss", "Safe")</f>
        <v>Safe</v>
      </c>
      <c r="AD843" s="4">
        <f>SalesCleanTable[[#This Row],[Unit Price]] - SalesCleanTable[[#This Row],[Unit Cost]]</f>
        <v>1000</v>
      </c>
      <c r="AE843" s="41">
        <f>(SalesCleanTable[[#This Row],[Unit Price]] - SalesCleanTable[[#This Row],[Unit Cost]]) / SalesCleanTable[[#This Row],[Unit Price]]</f>
        <v>0.4</v>
      </c>
    </row>
    <row r="844" spans="1:31">
      <c r="A844" t="s">
        <v>1030</v>
      </c>
      <c r="B844" s="6">
        <v>45723</v>
      </c>
      <c r="C844" t="s">
        <v>45</v>
      </c>
      <c r="D844" t="s">
        <v>46</v>
      </c>
      <c r="E844" t="s">
        <v>38</v>
      </c>
      <c r="F844" t="s">
        <v>47</v>
      </c>
      <c r="G844" t="s">
        <v>48</v>
      </c>
      <c r="H844" t="s">
        <v>145</v>
      </c>
      <c r="I844" t="s">
        <v>146</v>
      </c>
      <c r="J844" t="s">
        <v>147</v>
      </c>
      <c r="K844" t="s">
        <v>148</v>
      </c>
      <c r="L844" t="s">
        <v>166</v>
      </c>
      <c r="M844" t="s">
        <v>167</v>
      </c>
      <c r="N844">
        <v>3</v>
      </c>
      <c r="O844" s="4">
        <v>230</v>
      </c>
      <c r="P844" s="4">
        <v>400</v>
      </c>
      <c r="Q844" s="7">
        <v>0.1</v>
      </c>
      <c r="R844" t="s">
        <v>175</v>
      </c>
      <c r="S844">
        <v>11</v>
      </c>
      <c r="T844">
        <v>1200</v>
      </c>
      <c r="U844">
        <v>120</v>
      </c>
      <c r="V844">
        <v>1080</v>
      </c>
      <c r="W844">
        <v>690</v>
      </c>
      <c r="X844">
        <v>390</v>
      </c>
      <c r="Y844" s="8">
        <v>0.3611111111111111</v>
      </c>
      <c r="Z844" t="s">
        <v>2995</v>
      </c>
      <c r="AA844" t="str">
        <f>IF(AND(SalesCleanTable[[#This Row],[Discount %]]&gt;0, SalesCleanTable[[#This Row],[Profit]]&lt;0), "Discount loss", "Safe")</f>
        <v>Safe</v>
      </c>
      <c r="AB844" s="25">
        <f>(SalesCleanTable[[#This Row],[Unit Price]] - SalesCleanTable[[#This Row],[Unit Cost]]) / SalesCleanTable[[#This Row],[Unit Price]]</f>
        <v>0.42499999999999999</v>
      </c>
      <c r="AC844" t="str">
        <f>IF(SalesCleanTable[[#This Row],[Discount %]] &gt; SalesCleanTable[[#This Row],[Max Allowed Discount]], "Discount loss", "Safe")</f>
        <v>Safe</v>
      </c>
      <c r="AD844" s="4">
        <f>SalesCleanTable[[#This Row],[Unit Price]] - SalesCleanTable[[#This Row],[Unit Cost]]</f>
        <v>170</v>
      </c>
      <c r="AE844" s="41">
        <f>(SalesCleanTable[[#This Row],[Unit Price]] - SalesCleanTable[[#This Row],[Unit Cost]]) / SalesCleanTable[[#This Row],[Unit Price]]</f>
        <v>0.42499999999999999</v>
      </c>
    </row>
    <row r="845" spans="1:31">
      <c r="A845" t="s">
        <v>1031</v>
      </c>
      <c r="B845" s="6">
        <v>46011</v>
      </c>
      <c r="C845" t="s">
        <v>57</v>
      </c>
      <c r="D845" t="s">
        <v>58</v>
      </c>
      <c r="E845" t="s">
        <v>59</v>
      </c>
      <c r="F845" t="s">
        <v>60</v>
      </c>
      <c r="G845" t="s">
        <v>61</v>
      </c>
      <c r="H845" t="s">
        <v>135</v>
      </c>
      <c r="I845" t="s">
        <v>136</v>
      </c>
      <c r="J845" t="s">
        <v>137</v>
      </c>
      <c r="K845" t="s">
        <v>138</v>
      </c>
      <c r="L845" t="s">
        <v>170</v>
      </c>
      <c r="M845" t="s">
        <v>177</v>
      </c>
      <c r="N845">
        <v>1</v>
      </c>
      <c r="O845" s="4">
        <v>2400</v>
      </c>
      <c r="P845" s="4">
        <v>3400</v>
      </c>
      <c r="Q845" s="7">
        <v>0.15</v>
      </c>
      <c r="R845" t="s">
        <v>204</v>
      </c>
      <c r="S845">
        <v>10</v>
      </c>
      <c r="T845">
        <v>3400</v>
      </c>
      <c r="U845">
        <v>510</v>
      </c>
      <c r="V845">
        <v>2890</v>
      </c>
      <c r="W845">
        <v>2400</v>
      </c>
      <c r="X845">
        <v>490</v>
      </c>
      <c r="Y845" s="8">
        <v>0.16955017301038061</v>
      </c>
      <c r="Z845" t="s">
        <v>2996</v>
      </c>
      <c r="AA845" t="str">
        <f>IF(AND(SalesCleanTable[[#This Row],[Discount %]]&gt;0, SalesCleanTable[[#This Row],[Profit]]&lt;0), "Discount loss", "Safe")</f>
        <v>Safe</v>
      </c>
      <c r="AB845" s="25">
        <f>(SalesCleanTable[[#This Row],[Unit Price]] - SalesCleanTable[[#This Row],[Unit Cost]]) / SalesCleanTable[[#This Row],[Unit Price]]</f>
        <v>0.29411764705882354</v>
      </c>
      <c r="AC845" t="str">
        <f>IF(SalesCleanTable[[#This Row],[Discount %]] &gt; SalesCleanTable[[#This Row],[Max Allowed Discount]], "Discount loss", "Safe")</f>
        <v>Safe</v>
      </c>
      <c r="AD845" s="4">
        <f>SalesCleanTable[[#This Row],[Unit Price]] - SalesCleanTable[[#This Row],[Unit Cost]]</f>
        <v>1000</v>
      </c>
      <c r="AE845" s="41">
        <f>(SalesCleanTable[[#This Row],[Unit Price]] - SalesCleanTable[[#This Row],[Unit Cost]]) / SalesCleanTable[[#This Row],[Unit Price]]</f>
        <v>0.29411764705882354</v>
      </c>
    </row>
    <row r="846" spans="1:31">
      <c r="A846" t="s">
        <v>1032</v>
      </c>
      <c r="B846" s="6">
        <v>45966</v>
      </c>
      <c r="C846" t="s">
        <v>112</v>
      </c>
      <c r="D846" t="s">
        <v>113</v>
      </c>
      <c r="E846" t="s">
        <v>109</v>
      </c>
      <c r="F846" t="s">
        <v>114</v>
      </c>
      <c r="G846" t="s">
        <v>115</v>
      </c>
      <c r="H846" t="s">
        <v>139</v>
      </c>
      <c r="I846" t="s">
        <v>140</v>
      </c>
      <c r="J846" t="s">
        <v>137</v>
      </c>
      <c r="K846" t="s">
        <v>138</v>
      </c>
      <c r="L846" t="s">
        <v>170</v>
      </c>
      <c r="M846" t="s">
        <v>177</v>
      </c>
      <c r="N846">
        <v>2</v>
      </c>
      <c r="O846" s="4">
        <v>1300</v>
      </c>
      <c r="P846" s="4">
        <v>2100</v>
      </c>
      <c r="Q846" s="7">
        <v>0.05</v>
      </c>
      <c r="R846" t="s">
        <v>220</v>
      </c>
      <c r="S846">
        <v>4</v>
      </c>
      <c r="T846">
        <v>4200</v>
      </c>
      <c r="U846">
        <v>210</v>
      </c>
      <c r="V846">
        <v>3990</v>
      </c>
      <c r="W846">
        <v>2600</v>
      </c>
      <c r="X846">
        <v>1390</v>
      </c>
      <c r="Y846" s="8">
        <v>0.34837092731829572</v>
      </c>
      <c r="Z846" t="s">
        <v>2995</v>
      </c>
      <c r="AA846" t="str">
        <f>IF(AND(SalesCleanTable[[#This Row],[Discount %]]&gt;0, SalesCleanTable[[#This Row],[Profit]]&lt;0), "Discount loss", "Safe")</f>
        <v>Safe</v>
      </c>
      <c r="AB846" s="25">
        <f>(SalesCleanTable[[#This Row],[Unit Price]] - SalesCleanTable[[#This Row],[Unit Cost]]) / SalesCleanTable[[#This Row],[Unit Price]]</f>
        <v>0.38095238095238093</v>
      </c>
      <c r="AC846" t="str">
        <f>IF(SalesCleanTable[[#This Row],[Discount %]] &gt; SalesCleanTable[[#This Row],[Max Allowed Discount]], "Discount loss", "Safe")</f>
        <v>Safe</v>
      </c>
      <c r="AD846" s="4">
        <f>SalesCleanTable[[#This Row],[Unit Price]] - SalesCleanTable[[#This Row],[Unit Cost]]</f>
        <v>800</v>
      </c>
      <c r="AE846" s="41">
        <f>(SalesCleanTable[[#This Row],[Unit Price]] - SalesCleanTable[[#This Row],[Unit Cost]]) / SalesCleanTable[[#This Row],[Unit Price]]</f>
        <v>0.38095238095238093</v>
      </c>
    </row>
    <row r="847" spans="1:31">
      <c r="A847" t="s">
        <v>1033</v>
      </c>
      <c r="B847" s="6">
        <v>45826</v>
      </c>
      <c r="C847" t="s">
        <v>62</v>
      </c>
      <c r="D847" t="s">
        <v>63</v>
      </c>
      <c r="E847" t="s">
        <v>59</v>
      </c>
      <c r="F847" t="s">
        <v>64</v>
      </c>
      <c r="G847" t="s">
        <v>65</v>
      </c>
      <c r="H847" t="s">
        <v>139</v>
      </c>
      <c r="I847" t="s">
        <v>140</v>
      </c>
      <c r="J847" t="s">
        <v>137</v>
      </c>
      <c r="K847" t="s">
        <v>138</v>
      </c>
      <c r="L847" t="s">
        <v>166</v>
      </c>
      <c r="M847" t="s">
        <v>171</v>
      </c>
      <c r="N847">
        <v>6</v>
      </c>
      <c r="O847" s="4">
        <v>3200</v>
      </c>
      <c r="P847" s="4">
        <v>4500</v>
      </c>
      <c r="Q847" s="7">
        <v>0</v>
      </c>
      <c r="R847" t="s">
        <v>192</v>
      </c>
      <c r="S847">
        <v>14</v>
      </c>
      <c r="T847">
        <v>27000</v>
      </c>
      <c r="U847">
        <v>0</v>
      </c>
      <c r="V847">
        <v>27000</v>
      </c>
      <c r="W847">
        <v>19200</v>
      </c>
      <c r="X847">
        <v>7800</v>
      </c>
      <c r="Y847" s="8">
        <v>0.28888888888888886</v>
      </c>
      <c r="Z847" t="s">
        <v>2996</v>
      </c>
      <c r="AA847" t="str">
        <f>IF(AND(SalesCleanTable[[#This Row],[Discount %]]&gt;0, SalesCleanTable[[#This Row],[Profit]]&lt;0), "Discount loss", "Safe")</f>
        <v>Safe</v>
      </c>
      <c r="AB847" s="25">
        <f>(SalesCleanTable[[#This Row],[Unit Price]] - SalesCleanTable[[#This Row],[Unit Cost]]) / SalesCleanTable[[#This Row],[Unit Price]]</f>
        <v>0.28888888888888886</v>
      </c>
      <c r="AC847" t="str">
        <f>IF(SalesCleanTable[[#This Row],[Discount %]] &gt; SalesCleanTable[[#This Row],[Max Allowed Discount]], "Discount loss", "Safe")</f>
        <v>Safe</v>
      </c>
      <c r="AD847" s="4">
        <f>SalesCleanTable[[#This Row],[Unit Price]] - SalesCleanTable[[#This Row],[Unit Cost]]</f>
        <v>1300</v>
      </c>
      <c r="AE847" s="41">
        <f>(SalesCleanTable[[#This Row],[Unit Price]] - SalesCleanTable[[#This Row],[Unit Cost]]) / SalesCleanTable[[#This Row],[Unit Price]]</f>
        <v>0.28888888888888886</v>
      </c>
    </row>
    <row r="848" spans="1:31">
      <c r="A848" t="s">
        <v>1034</v>
      </c>
      <c r="B848" s="6">
        <v>45908</v>
      </c>
      <c r="C848" t="s">
        <v>24</v>
      </c>
      <c r="D848" t="s">
        <v>25</v>
      </c>
      <c r="E848" t="s">
        <v>26</v>
      </c>
      <c r="F848" t="s">
        <v>27</v>
      </c>
      <c r="G848" t="s">
        <v>28</v>
      </c>
      <c r="H848" t="s">
        <v>133</v>
      </c>
      <c r="I848" t="s">
        <v>134</v>
      </c>
      <c r="J848" t="s">
        <v>130</v>
      </c>
      <c r="K848" t="s">
        <v>131</v>
      </c>
      <c r="L848" t="s">
        <v>166</v>
      </c>
      <c r="M848" t="s">
        <v>167</v>
      </c>
      <c r="N848">
        <v>6</v>
      </c>
      <c r="O848" s="4">
        <v>14500</v>
      </c>
      <c r="P848" s="4">
        <v>17500</v>
      </c>
      <c r="Q848" s="7">
        <v>0.05</v>
      </c>
      <c r="R848" t="s">
        <v>173</v>
      </c>
      <c r="S848">
        <v>2</v>
      </c>
      <c r="T848">
        <v>105000</v>
      </c>
      <c r="U848">
        <v>5250</v>
      </c>
      <c r="V848">
        <v>99750</v>
      </c>
      <c r="W848">
        <v>87000</v>
      </c>
      <c r="X848">
        <v>12750</v>
      </c>
      <c r="Y848" s="8">
        <v>0.12781954887218044</v>
      </c>
      <c r="Z848" t="s">
        <v>2995</v>
      </c>
      <c r="AA848" t="str">
        <f>IF(AND(SalesCleanTable[[#This Row],[Discount %]]&gt;0, SalesCleanTable[[#This Row],[Profit]]&lt;0), "Discount loss", "Safe")</f>
        <v>Safe</v>
      </c>
      <c r="AB848" s="25">
        <f>(SalesCleanTable[[#This Row],[Unit Price]] - SalesCleanTable[[#This Row],[Unit Cost]]) / SalesCleanTable[[#This Row],[Unit Price]]</f>
        <v>0.17142857142857143</v>
      </c>
      <c r="AC848" t="str">
        <f>IF(SalesCleanTable[[#This Row],[Discount %]] &gt; SalesCleanTable[[#This Row],[Max Allowed Discount]], "Discount loss", "Safe")</f>
        <v>Safe</v>
      </c>
      <c r="AD848" s="4">
        <f>SalesCleanTable[[#This Row],[Unit Price]] - SalesCleanTable[[#This Row],[Unit Cost]]</f>
        <v>3000</v>
      </c>
      <c r="AE848" s="41">
        <f>(SalesCleanTable[[#This Row],[Unit Price]] - SalesCleanTable[[#This Row],[Unit Cost]]) / SalesCleanTable[[#This Row],[Unit Price]]</f>
        <v>0.17142857142857143</v>
      </c>
    </row>
    <row r="849" spans="1:31">
      <c r="A849" t="s">
        <v>1035</v>
      </c>
      <c r="B849" s="6">
        <v>45846</v>
      </c>
      <c r="C849" t="s">
        <v>57</v>
      </c>
      <c r="D849" t="s">
        <v>58</v>
      </c>
      <c r="E849" t="s">
        <v>59</v>
      </c>
      <c r="F849" t="s">
        <v>60</v>
      </c>
      <c r="G849" t="s">
        <v>61</v>
      </c>
      <c r="H849" t="s">
        <v>133</v>
      </c>
      <c r="I849" t="s">
        <v>134</v>
      </c>
      <c r="J849" t="s">
        <v>130</v>
      </c>
      <c r="K849" t="s">
        <v>131</v>
      </c>
      <c r="L849" t="s">
        <v>166</v>
      </c>
      <c r="M849" t="s">
        <v>177</v>
      </c>
      <c r="N849">
        <v>5</v>
      </c>
      <c r="O849" s="4">
        <v>2400</v>
      </c>
      <c r="P849" s="4">
        <v>3400</v>
      </c>
      <c r="Q849" s="7">
        <v>0.05</v>
      </c>
      <c r="R849" t="s">
        <v>173</v>
      </c>
      <c r="S849">
        <v>7</v>
      </c>
      <c r="T849">
        <v>17000</v>
      </c>
      <c r="U849">
        <v>850</v>
      </c>
      <c r="V849">
        <v>16150</v>
      </c>
      <c r="W849">
        <v>12000</v>
      </c>
      <c r="X849">
        <v>4150</v>
      </c>
      <c r="Y849" s="8">
        <v>0.25696594427244585</v>
      </c>
      <c r="Z849" t="s">
        <v>2996</v>
      </c>
      <c r="AA849" t="str">
        <f>IF(AND(SalesCleanTable[[#This Row],[Discount %]]&gt;0, SalesCleanTable[[#This Row],[Profit]]&lt;0), "Discount loss", "Safe")</f>
        <v>Safe</v>
      </c>
      <c r="AB849" s="25">
        <f>(SalesCleanTable[[#This Row],[Unit Price]] - SalesCleanTable[[#This Row],[Unit Cost]]) / SalesCleanTable[[#This Row],[Unit Price]]</f>
        <v>0.29411764705882354</v>
      </c>
      <c r="AC849" t="str">
        <f>IF(SalesCleanTable[[#This Row],[Discount %]] &gt; SalesCleanTable[[#This Row],[Max Allowed Discount]], "Discount loss", "Safe")</f>
        <v>Safe</v>
      </c>
      <c r="AD849" s="4">
        <f>SalesCleanTable[[#This Row],[Unit Price]] - SalesCleanTable[[#This Row],[Unit Cost]]</f>
        <v>1000</v>
      </c>
      <c r="AE849" s="41">
        <f>(SalesCleanTable[[#This Row],[Unit Price]] - SalesCleanTable[[#This Row],[Unit Cost]]) / SalesCleanTable[[#This Row],[Unit Price]]</f>
        <v>0.29411764705882354</v>
      </c>
    </row>
    <row r="850" spans="1:31">
      <c r="A850" t="s">
        <v>1036</v>
      </c>
      <c r="B850" s="6">
        <v>45693</v>
      </c>
      <c r="C850" t="s">
        <v>49</v>
      </c>
      <c r="D850" t="s">
        <v>50</v>
      </c>
      <c r="E850" t="s">
        <v>38</v>
      </c>
      <c r="F850" t="s">
        <v>51</v>
      </c>
      <c r="G850" t="s">
        <v>52</v>
      </c>
      <c r="H850" t="s">
        <v>149</v>
      </c>
      <c r="I850" t="s">
        <v>150</v>
      </c>
      <c r="J850" t="s">
        <v>151</v>
      </c>
      <c r="K850" t="s">
        <v>152</v>
      </c>
      <c r="L850" t="s">
        <v>166</v>
      </c>
      <c r="M850" t="s">
        <v>171</v>
      </c>
      <c r="N850">
        <v>1</v>
      </c>
      <c r="O850" s="4">
        <v>550</v>
      </c>
      <c r="P850" s="4">
        <v>850</v>
      </c>
      <c r="Q850" s="7">
        <v>0.15</v>
      </c>
      <c r="R850" t="s">
        <v>168</v>
      </c>
      <c r="S850">
        <v>8</v>
      </c>
      <c r="T850">
        <v>850</v>
      </c>
      <c r="U850">
        <v>127.5</v>
      </c>
      <c r="V850">
        <v>722.5</v>
      </c>
      <c r="W850">
        <v>550</v>
      </c>
      <c r="X850">
        <v>172.5</v>
      </c>
      <c r="Y850" s="8">
        <v>0.23875432525951557</v>
      </c>
      <c r="Z850" t="s">
        <v>2996</v>
      </c>
      <c r="AA850" t="str">
        <f>IF(AND(SalesCleanTable[[#This Row],[Discount %]]&gt;0, SalesCleanTable[[#This Row],[Profit]]&lt;0), "Discount loss", "Safe")</f>
        <v>Safe</v>
      </c>
      <c r="AB850" s="25">
        <f>(SalesCleanTable[[#This Row],[Unit Price]] - SalesCleanTable[[#This Row],[Unit Cost]]) / SalesCleanTable[[#This Row],[Unit Price]]</f>
        <v>0.35294117647058826</v>
      </c>
      <c r="AC850" t="str">
        <f>IF(SalesCleanTable[[#This Row],[Discount %]] &gt; SalesCleanTable[[#This Row],[Max Allowed Discount]], "Discount loss", "Safe")</f>
        <v>Safe</v>
      </c>
      <c r="AD850" s="4">
        <f>SalesCleanTable[[#This Row],[Unit Price]] - SalesCleanTable[[#This Row],[Unit Cost]]</f>
        <v>300</v>
      </c>
      <c r="AE850" s="41">
        <f>(SalesCleanTable[[#This Row],[Unit Price]] - SalesCleanTable[[#This Row],[Unit Cost]]) / SalesCleanTable[[#This Row],[Unit Price]]</f>
        <v>0.35294117647058826</v>
      </c>
    </row>
    <row r="851" spans="1:31">
      <c r="A851" t="s">
        <v>1037</v>
      </c>
      <c r="B851" s="6">
        <v>45952</v>
      </c>
      <c r="C851" t="s">
        <v>112</v>
      </c>
      <c r="D851" t="s">
        <v>113</v>
      </c>
      <c r="E851" t="s">
        <v>109</v>
      </c>
      <c r="F851" t="s">
        <v>114</v>
      </c>
      <c r="G851" t="s">
        <v>115</v>
      </c>
      <c r="H851" t="s">
        <v>139</v>
      </c>
      <c r="I851" t="s">
        <v>140</v>
      </c>
      <c r="J851" t="s">
        <v>137</v>
      </c>
      <c r="K851" t="s">
        <v>138</v>
      </c>
      <c r="L851" t="s">
        <v>166</v>
      </c>
      <c r="M851" t="s">
        <v>177</v>
      </c>
      <c r="N851">
        <v>3</v>
      </c>
      <c r="O851" s="4">
        <v>1300</v>
      </c>
      <c r="P851" s="4">
        <v>2100</v>
      </c>
      <c r="Q851" s="7">
        <v>0.1</v>
      </c>
      <c r="R851" t="s">
        <v>235</v>
      </c>
      <c r="S851">
        <v>8</v>
      </c>
      <c r="T851">
        <v>6300</v>
      </c>
      <c r="U851">
        <v>630</v>
      </c>
      <c r="V851">
        <v>5670</v>
      </c>
      <c r="W851">
        <v>3900</v>
      </c>
      <c r="X851">
        <v>1770</v>
      </c>
      <c r="Y851" s="8">
        <v>0.31216931216931215</v>
      </c>
      <c r="Z851" t="s">
        <v>2995</v>
      </c>
      <c r="AA851" t="str">
        <f>IF(AND(SalesCleanTable[[#This Row],[Discount %]]&gt;0, SalesCleanTable[[#This Row],[Profit]]&lt;0), "Discount loss", "Safe")</f>
        <v>Safe</v>
      </c>
      <c r="AB851" s="25">
        <f>(SalesCleanTable[[#This Row],[Unit Price]] - SalesCleanTable[[#This Row],[Unit Cost]]) / SalesCleanTable[[#This Row],[Unit Price]]</f>
        <v>0.38095238095238093</v>
      </c>
      <c r="AC851" t="str">
        <f>IF(SalesCleanTable[[#This Row],[Discount %]] &gt; SalesCleanTable[[#This Row],[Max Allowed Discount]], "Discount loss", "Safe")</f>
        <v>Safe</v>
      </c>
      <c r="AD851" s="4">
        <f>SalesCleanTable[[#This Row],[Unit Price]] - SalesCleanTable[[#This Row],[Unit Cost]]</f>
        <v>800</v>
      </c>
      <c r="AE851" s="41">
        <f>(SalesCleanTable[[#This Row],[Unit Price]] - SalesCleanTable[[#This Row],[Unit Cost]]) / SalesCleanTable[[#This Row],[Unit Price]]</f>
        <v>0.38095238095238093</v>
      </c>
    </row>
    <row r="852" spans="1:31">
      <c r="A852" t="s">
        <v>1038</v>
      </c>
      <c r="B852" s="6">
        <v>45862</v>
      </c>
      <c r="C852" t="s">
        <v>69</v>
      </c>
      <c r="D852" t="s">
        <v>70</v>
      </c>
      <c r="E852" t="s">
        <v>59</v>
      </c>
      <c r="F852" t="s">
        <v>71</v>
      </c>
      <c r="G852" t="s">
        <v>72</v>
      </c>
      <c r="H852" t="s">
        <v>135</v>
      </c>
      <c r="I852" t="s">
        <v>136</v>
      </c>
      <c r="J852" t="s">
        <v>137</v>
      </c>
      <c r="K852" t="s">
        <v>138</v>
      </c>
      <c r="L852" t="s">
        <v>166</v>
      </c>
      <c r="M852" t="s">
        <v>186</v>
      </c>
      <c r="N852">
        <v>2</v>
      </c>
      <c r="O852" s="4">
        <v>1700</v>
      </c>
      <c r="P852" s="4">
        <v>2600</v>
      </c>
      <c r="Q852" s="7">
        <v>0.1</v>
      </c>
      <c r="R852" t="s">
        <v>192</v>
      </c>
      <c r="S852">
        <v>12</v>
      </c>
      <c r="T852">
        <v>5200</v>
      </c>
      <c r="U852">
        <v>520</v>
      </c>
      <c r="V852">
        <v>4680</v>
      </c>
      <c r="W852">
        <v>3400</v>
      </c>
      <c r="X852">
        <v>1280</v>
      </c>
      <c r="Y852" s="8">
        <v>0.27350427350427353</v>
      </c>
      <c r="Z852" t="s">
        <v>2997</v>
      </c>
      <c r="AA852" t="str">
        <f>IF(AND(SalesCleanTable[[#This Row],[Discount %]]&gt;0, SalesCleanTable[[#This Row],[Profit]]&lt;0), "Discount loss", "Safe")</f>
        <v>Safe</v>
      </c>
      <c r="AB852" s="25">
        <f>(SalesCleanTable[[#This Row],[Unit Price]] - SalesCleanTable[[#This Row],[Unit Cost]]) / SalesCleanTable[[#This Row],[Unit Price]]</f>
        <v>0.34615384615384615</v>
      </c>
      <c r="AC852" t="str">
        <f>IF(SalesCleanTable[[#This Row],[Discount %]] &gt; SalesCleanTable[[#This Row],[Max Allowed Discount]], "Discount loss", "Safe")</f>
        <v>Safe</v>
      </c>
      <c r="AD852" s="4">
        <f>SalesCleanTable[[#This Row],[Unit Price]] - SalesCleanTable[[#This Row],[Unit Cost]]</f>
        <v>900</v>
      </c>
      <c r="AE852" s="41">
        <f>(SalesCleanTable[[#This Row],[Unit Price]] - SalesCleanTable[[#This Row],[Unit Cost]]) / SalesCleanTable[[#This Row],[Unit Price]]</f>
        <v>0.34615384615384615</v>
      </c>
    </row>
    <row r="853" spans="1:31">
      <c r="A853" t="s">
        <v>1039</v>
      </c>
      <c r="B853" s="6">
        <v>45988</v>
      </c>
      <c r="C853" t="s">
        <v>103</v>
      </c>
      <c r="D853" t="s">
        <v>104</v>
      </c>
      <c r="E853" t="s">
        <v>92</v>
      </c>
      <c r="F853" t="s">
        <v>105</v>
      </c>
      <c r="G853" t="s">
        <v>106</v>
      </c>
      <c r="H853" t="s">
        <v>139</v>
      </c>
      <c r="I853" t="s">
        <v>140</v>
      </c>
      <c r="J853" t="s">
        <v>137</v>
      </c>
      <c r="K853" t="s">
        <v>138</v>
      </c>
      <c r="L853" t="s">
        <v>166</v>
      </c>
      <c r="M853" t="s">
        <v>171</v>
      </c>
      <c r="N853">
        <v>4</v>
      </c>
      <c r="O853" s="4">
        <v>1500</v>
      </c>
      <c r="P853" s="4">
        <v>2500</v>
      </c>
      <c r="Q853" s="7">
        <v>0.1</v>
      </c>
      <c r="R853" t="s">
        <v>181</v>
      </c>
      <c r="S853">
        <v>7</v>
      </c>
      <c r="T853">
        <v>10000</v>
      </c>
      <c r="U853">
        <v>1000</v>
      </c>
      <c r="V853">
        <v>9000</v>
      </c>
      <c r="W853">
        <v>6000</v>
      </c>
      <c r="X853">
        <v>3000</v>
      </c>
      <c r="Y853" s="8">
        <v>0.33333333333333331</v>
      </c>
      <c r="Z853" t="s">
        <v>2996</v>
      </c>
      <c r="AA853" t="str">
        <f>IF(AND(SalesCleanTable[[#This Row],[Discount %]]&gt;0, SalesCleanTable[[#This Row],[Profit]]&lt;0), "Discount loss", "Safe")</f>
        <v>Safe</v>
      </c>
      <c r="AB853" s="25">
        <f>(SalesCleanTable[[#This Row],[Unit Price]] - SalesCleanTable[[#This Row],[Unit Cost]]) / SalesCleanTable[[#This Row],[Unit Price]]</f>
        <v>0.4</v>
      </c>
      <c r="AC853" t="str">
        <f>IF(SalesCleanTable[[#This Row],[Discount %]] &gt; SalesCleanTable[[#This Row],[Max Allowed Discount]], "Discount loss", "Safe")</f>
        <v>Safe</v>
      </c>
      <c r="AD853" s="4">
        <f>SalesCleanTable[[#This Row],[Unit Price]] - SalesCleanTable[[#This Row],[Unit Cost]]</f>
        <v>1000</v>
      </c>
      <c r="AE853" s="41">
        <f>(SalesCleanTable[[#This Row],[Unit Price]] - SalesCleanTable[[#This Row],[Unit Cost]]) / SalesCleanTable[[#This Row],[Unit Price]]</f>
        <v>0.4</v>
      </c>
    </row>
    <row r="854" spans="1:31">
      <c r="A854" t="s">
        <v>1040</v>
      </c>
      <c r="B854" s="6">
        <v>45974</v>
      </c>
      <c r="C854" t="s">
        <v>82</v>
      </c>
      <c r="D854" t="s">
        <v>83</v>
      </c>
      <c r="E854" t="s">
        <v>75</v>
      </c>
      <c r="F854" t="s">
        <v>84</v>
      </c>
      <c r="G854" t="s">
        <v>85</v>
      </c>
      <c r="H854" t="s">
        <v>139</v>
      </c>
      <c r="I854" t="s">
        <v>140</v>
      </c>
      <c r="J854" t="s">
        <v>137</v>
      </c>
      <c r="K854" t="s">
        <v>138</v>
      </c>
      <c r="L854" t="s">
        <v>166</v>
      </c>
      <c r="M854" t="s">
        <v>186</v>
      </c>
      <c r="N854">
        <v>6</v>
      </c>
      <c r="O854" s="4">
        <v>600</v>
      </c>
      <c r="P854" s="4">
        <v>950</v>
      </c>
      <c r="Q854" s="7">
        <v>0</v>
      </c>
      <c r="R854" t="s">
        <v>187</v>
      </c>
      <c r="S854">
        <v>4</v>
      </c>
      <c r="T854">
        <v>5700</v>
      </c>
      <c r="U854">
        <v>0</v>
      </c>
      <c r="V854">
        <v>5700</v>
      </c>
      <c r="W854">
        <v>3600</v>
      </c>
      <c r="X854">
        <v>2100</v>
      </c>
      <c r="Y854" s="8">
        <v>0.36842105263157893</v>
      </c>
      <c r="Z854" t="s">
        <v>2996</v>
      </c>
      <c r="AA854" t="str">
        <f>IF(AND(SalesCleanTable[[#This Row],[Discount %]]&gt;0, SalesCleanTable[[#This Row],[Profit]]&lt;0), "Discount loss", "Safe")</f>
        <v>Safe</v>
      </c>
      <c r="AB854" s="25">
        <f>(SalesCleanTable[[#This Row],[Unit Price]] - SalesCleanTable[[#This Row],[Unit Cost]]) / SalesCleanTable[[#This Row],[Unit Price]]</f>
        <v>0.36842105263157893</v>
      </c>
      <c r="AC854" t="str">
        <f>IF(SalesCleanTable[[#This Row],[Discount %]] &gt; SalesCleanTable[[#This Row],[Max Allowed Discount]], "Discount loss", "Safe")</f>
        <v>Safe</v>
      </c>
      <c r="AD854" s="4">
        <f>SalesCleanTable[[#This Row],[Unit Price]] - SalesCleanTable[[#This Row],[Unit Cost]]</f>
        <v>350</v>
      </c>
      <c r="AE854" s="41">
        <f>(SalesCleanTable[[#This Row],[Unit Price]] - SalesCleanTable[[#This Row],[Unit Cost]]) / SalesCleanTable[[#This Row],[Unit Price]]</f>
        <v>0.36842105263157893</v>
      </c>
    </row>
    <row r="855" spans="1:31">
      <c r="A855" t="s">
        <v>1041</v>
      </c>
      <c r="B855" s="6">
        <v>45738</v>
      </c>
      <c r="C855" t="s">
        <v>45</v>
      </c>
      <c r="D855" t="s">
        <v>46</v>
      </c>
      <c r="E855" t="s">
        <v>38</v>
      </c>
      <c r="F855" t="s">
        <v>47</v>
      </c>
      <c r="G855" t="s">
        <v>48</v>
      </c>
      <c r="H855" t="s">
        <v>141</v>
      </c>
      <c r="I855" t="s">
        <v>142</v>
      </c>
      <c r="J855" t="s">
        <v>143</v>
      </c>
      <c r="K855" t="s">
        <v>144</v>
      </c>
      <c r="L855" t="s">
        <v>183</v>
      </c>
      <c r="M855" t="s">
        <v>171</v>
      </c>
      <c r="N855">
        <v>2</v>
      </c>
      <c r="O855" s="4">
        <v>230</v>
      </c>
      <c r="P855" s="4">
        <v>400</v>
      </c>
      <c r="Q855" s="7">
        <v>0.15</v>
      </c>
      <c r="R855" t="s">
        <v>178</v>
      </c>
      <c r="S855">
        <v>8</v>
      </c>
      <c r="T855">
        <v>800</v>
      </c>
      <c r="U855">
        <v>120</v>
      </c>
      <c r="V855">
        <v>680</v>
      </c>
      <c r="W855">
        <v>460</v>
      </c>
      <c r="X855">
        <v>220</v>
      </c>
      <c r="Y855" s="8">
        <v>0.3235294117647059</v>
      </c>
      <c r="Z855" t="s">
        <v>2995</v>
      </c>
      <c r="AA855" t="str">
        <f>IF(AND(SalesCleanTable[[#This Row],[Discount %]]&gt;0, SalesCleanTable[[#This Row],[Profit]]&lt;0), "Discount loss", "Safe")</f>
        <v>Safe</v>
      </c>
      <c r="AB855" s="25">
        <f>(SalesCleanTable[[#This Row],[Unit Price]] - SalesCleanTable[[#This Row],[Unit Cost]]) / SalesCleanTable[[#This Row],[Unit Price]]</f>
        <v>0.42499999999999999</v>
      </c>
      <c r="AC855" t="str">
        <f>IF(SalesCleanTable[[#This Row],[Discount %]] &gt; SalesCleanTable[[#This Row],[Max Allowed Discount]], "Discount loss", "Safe")</f>
        <v>Safe</v>
      </c>
      <c r="AD855" s="4">
        <f>SalesCleanTable[[#This Row],[Unit Price]] - SalesCleanTable[[#This Row],[Unit Cost]]</f>
        <v>170</v>
      </c>
      <c r="AE855" s="41">
        <f>(SalesCleanTable[[#This Row],[Unit Price]] - SalesCleanTable[[#This Row],[Unit Cost]]) / SalesCleanTable[[#This Row],[Unit Price]]</f>
        <v>0.42499999999999999</v>
      </c>
    </row>
    <row r="856" spans="1:31">
      <c r="A856" t="s">
        <v>1042</v>
      </c>
      <c r="B856" s="6">
        <v>45941</v>
      </c>
      <c r="C856" t="s">
        <v>32</v>
      </c>
      <c r="D856" t="s">
        <v>33</v>
      </c>
      <c r="E856" t="s">
        <v>26</v>
      </c>
      <c r="F856" t="s">
        <v>34</v>
      </c>
      <c r="G856" t="s">
        <v>35</v>
      </c>
      <c r="H856" t="s">
        <v>135</v>
      </c>
      <c r="I856" t="s">
        <v>136</v>
      </c>
      <c r="J856" t="s">
        <v>137</v>
      </c>
      <c r="K856" t="s">
        <v>138</v>
      </c>
      <c r="L856" t="s">
        <v>183</v>
      </c>
      <c r="M856" t="s">
        <v>186</v>
      </c>
      <c r="N856">
        <v>4</v>
      </c>
      <c r="O856" s="4">
        <v>7800</v>
      </c>
      <c r="P856" s="4">
        <v>9800</v>
      </c>
      <c r="Q856" s="7">
        <v>0.05</v>
      </c>
      <c r="R856" t="s">
        <v>197</v>
      </c>
      <c r="S856">
        <v>5</v>
      </c>
      <c r="T856">
        <v>39200</v>
      </c>
      <c r="U856">
        <v>1960</v>
      </c>
      <c r="V856">
        <v>37240</v>
      </c>
      <c r="W856">
        <v>31200</v>
      </c>
      <c r="X856">
        <v>6040</v>
      </c>
      <c r="Y856" s="8">
        <v>0.16219119226638024</v>
      </c>
      <c r="Z856" t="s">
        <v>2995</v>
      </c>
      <c r="AA856" t="str">
        <f>IF(AND(SalesCleanTable[[#This Row],[Discount %]]&gt;0, SalesCleanTable[[#This Row],[Profit]]&lt;0), "Discount loss", "Safe")</f>
        <v>Safe</v>
      </c>
      <c r="AB856" s="25">
        <f>(SalesCleanTable[[#This Row],[Unit Price]] - SalesCleanTable[[#This Row],[Unit Cost]]) / SalesCleanTable[[#This Row],[Unit Price]]</f>
        <v>0.20408163265306123</v>
      </c>
      <c r="AC856" t="str">
        <f>IF(SalesCleanTable[[#This Row],[Discount %]] &gt; SalesCleanTable[[#This Row],[Max Allowed Discount]], "Discount loss", "Safe")</f>
        <v>Safe</v>
      </c>
      <c r="AD856" s="4">
        <f>SalesCleanTable[[#This Row],[Unit Price]] - SalesCleanTable[[#This Row],[Unit Cost]]</f>
        <v>2000</v>
      </c>
      <c r="AE856" s="41">
        <f>(SalesCleanTable[[#This Row],[Unit Price]] - SalesCleanTable[[#This Row],[Unit Cost]]) / SalesCleanTable[[#This Row],[Unit Price]]</f>
        <v>0.20408163265306123</v>
      </c>
    </row>
    <row r="857" spans="1:31">
      <c r="A857" t="s">
        <v>1043</v>
      </c>
      <c r="B857" s="6">
        <v>45680</v>
      </c>
      <c r="C857" t="s">
        <v>53</v>
      </c>
      <c r="D857" t="s">
        <v>54</v>
      </c>
      <c r="E857" t="s">
        <v>38</v>
      </c>
      <c r="F857" t="s">
        <v>55</v>
      </c>
      <c r="G857" t="s">
        <v>56</v>
      </c>
      <c r="H857" t="s">
        <v>128</v>
      </c>
      <c r="I857" t="s">
        <v>129</v>
      </c>
      <c r="J857" t="s">
        <v>130</v>
      </c>
      <c r="K857" t="s">
        <v>131</v>
      </c>
      <c r="L857" t="s">
        <v>166</v>
      </c>
      <c r="M857" t="s">
        <v>171</v>
      </c>
      <c r="N857">
        <v>4</v>
      </c>
      <c r="O857" s="4">
        <v>330</v>
      </c>
      <c r="P857" s="4">
        <v>550</v>
      </c>
      <c r="Q857" s="7">
        <v>0.1</v>
      </c>
      <c r="R857" t="s">
        <v>178</v>
      </c>
      <c r="S857">
        <v>7</v>
      </c>
      <c r="T857">
        <v>2200</v>
      </c>
      <c r="U857">
        <v>220</v>
      </c>
      <c r="V857">
        <v>1980</v>
      </c>
      <c r="W857">
        <v>1320</v>
      </c>
      <c r="X857">
        <v>660</v>
      </c>
      <c r="Y857" s="8">
        <v>0.33333333333333331</v>
      </c>
      <c r="Z857" t="s">
        <v>2996</v>
      </c>
      <c r="AA857" t="str">
        <f>IF(AND(SalesCleanTable[[#This Row],[Discount %]]&gt;0, SalesCleanTable[[#This Row],[Profit]]&lt;0), "Discount loss", "Safe")</f>
        <v>Safe</v>
      </c>
      <c r="AB857" s="25">
        <f>(SalesCleanTable[[#This Row],[Unit Price]] - SalesCleanTable[[#This Row],[Unit Cost]]) / SalesCleanTable[[#This Row],[Unit Price]]</f>
        <v>0.4</v>
      </c>
      <c r="AC857" t="str">
        <f>IF(SalesCleanTable[[#This Row],[Discount %]] &gt; SalesCleanTable[[#This Row],[Max Allowed Discount]], "Discount loss", "Safe")</f>
        <v>Safe</v>
      </c>
      <c r="AD857" s="4">
        <f>SalesCleanTable[[#This Row],[Unit Price]] - SalesCleanTable[[#This Row],[Unit Cost]]</f>
        <v>220</v>
      </c>
      <c r="AE857" s="41">
        <f>(SalesCleanTable[[#This Row],[Unit Price]] - SalesCleanTable[[#This Row],[Unit Cost]]) / SalesCleanTable[[#This Row],[Unit Price]]</f>
        <v>0.4</v>
      </c>
    </row>
    <row r="858" spans="1:31">
      <c r="A858" t="s">
        <v>1044</v>
      </c>
      <c r="B858" s="6">
        <v>45786</v>
      </c>
      <c r="C858" t="s">
        <v>32</v>
      </c>
      <c r="D858" t="s">
        <v>33</v>
      </c>
      <c r="E858" t="s">
        <v>26</v>
      </c>
      <c r="F858" t="s">
        <v>34</v>
      </c>
      <c r="G858" t="s">
        <v>35</v>
      </c>
      <c r="H858" t="s">
        <v>149</v>
      </c>
      <c r="I858" t="s">
        <v>150</v>
      </c>
      <c r="J858" t="s">
        <v>151</v>
      </c>
      <c r="K858" t="s">
        <v>152</v>
      </c>
      <c r="L858" t="s">
        <v>166</v>
      </c>
      <c r="M858" t="s">
        <v>177</v>
      </c>
      <c r="N858">
        <v>2</v>
      </c>
      <c r="O858" s="4">
        <v>7800</v>
      </c>
      <c r="P858" s="4">
        <v>9800</v>
      </c>
      <c r="Q858" s="7">
        <v>0.1</v>
      </c>
      <c r="R858" t="s">
        <v>173</v>
      </c>
      <c r="S858">
        <v>11</v>
      </c>
      <c r="T858">
        <v>19600</v>
      </c>
      <c r="U858">
        <v>1960</v>
      </c>
      <c r="V858">
        <v>17640</v>
      </c>
      <c r="W858">
        <v>15600</v>
      </c>
      <c r="X858">
        <v>2040</v>
      </c>
      <c r="Y858" s="8">
        <v>0.11564625850340136</v>
      </c>
      <c r="Z858" t="s">
        <v>2995</v>
      </c>
      <c r="AA858" t="str">
        <f>IF(AND(SalesCleanTable[[#This Row],[Discount %]]&gt;0, SalesCleanTable[[#This Row],[Profit]]&lt;0), "Discount loss", "Safe")</f>
        <v>Safe</v>
      </c>
      <c r="AB858" s="25">
        <f>(SalesCleanTable[[#This Row],[Unit Price]] - SalesCleanTable[[#This Row],[Unit Cost]]) / SalesCleanTable[[#This Row],[Unit Price]]</f>
        <v>0.20408163265306123</v>
      </c>
      <c r="AC858" t="str">
        <f>IF(SalesCleanTable[[#This Row],[Discount %]] &gt; SalesCleanTable[[#This Row],[Max Allowed Discount]], "Discount loss", "Safe")</f>
        <v>Safe</v>
      </c>
      <c r="AD858" s="4">
        <f>SalesCleanTable[[#This Row],[Unit Price]] - SalesCleanTable[[#This Row],[Unit Cost]]</f>
        <v>2000</v>
      </c>
      <c r="AE858" s="41">
        <f>(SalesCleanTable[[#This Row],[Unit Price]] - SalesCleanTable[[#This Row],[Unit Cost]]) / SalesCleanTable[[#This Row],[Unit Price]]</f>
        <v>0.20408163265306123</v>
      </c>
    </row>
    <row r="859" spans="1:31">
      <c r="A859" t="s">
        <v>1045</v>
      </c>
      <c r="B859" s="6">
        <v>45882</v>
      </c>
      <c r="C859" t="s">
        <v>32</v>
      </c>
      <c r="D859" t="s">
        <v>33</v>
      </c>
      <c r="E859" t="s">
        <v>26</v>
      </c>
      <c r="F859" t="s">
        <v>34</v>
      </c>
      <c r="G859" t="s">
        <v>35</v>
      </c>
      <c r="H859" t="s">
        <v>149</v>
      </c>
      <c r="I859" t="s">
        <v>150</v>
      </c>
      <c r="J859" t="s">
        <v>151</v>
      </c>
      <c r="K859" t="s">
        <v>152</v>
      </c>
      <c r="L859" t="s">
        <v>166</v>
      </c>
      <c r="M859" t="s">
        <v>177</v>
      </c>
      <c r="N859">
        <v>5</v>
      </c>
      <c r="O859" s="4">
        <v>7800</v>
      </c>
      <c r="P859" s="4">
        <v>9800</v>
      </c>
      <c r="Q859" s="7">
        <v>0</v>
      </c>
      <c r="R859" t="s">
        <v>194</v>
      </c>
      <c r="S859">
        <v>2</v>
      </c>
      <c r="T859">
        <v>49000</v>
      </c>
      <c r="U859">
        <v>0</v>
      </c>
      <c r="V859">
        <v>49000</v>
      </c>
      <c r="W859">
        <v>39000</v>
      </c>
      <c r="X859">
        <v>10000</v>
      </c>
      <c r="Y859" s="8">
        <v>0.20408163265306123</v>
      </c>
      <c r="Z859" t="s">
        <v>2995</v>
      </c>
      <c r="AA859" t="str">
        <f>IF(AND(SalesCleanTable[[#This Row],[Discount %]]&gt;0, SalesCleanTable[[#This Row],[Profit]]&lt;0), "Discount loss", "Safe")</f>
        <v>Safe</v>
      </c>
      <c r="AB859" s="25">
        <f>(SalesCleanTable[[#This Row],[Unit Price]] - SalesCleanTable[[#This Row],[Unit Cost]]) / SalesCleanTable[[#This Row],[Unit Price]]</f>
        <v>0.20408163265306123</v>
      </c>
      <c r="AC859" t="str">
        <f>IF(SalesCleanTable[[#This Row],[Discount %]] &gt; SalesCleanTable[[#This Row],[Max Allowed Discount]], "Discount loss", "Safe")</f>
        <v>Safe</v>
      </c>
      <c r="AD859" s="4">
        <f>SalesCleanTable[[#This Row],[Unit Price]] - SalesCleanTable[[#This Row],[Unit Cost]]</f>
        <v>2000</v>
      </c>
      <c r="AE859" s="41">
        <f>(SalesCleanTable[[#This Row],[Unit Price]] - SalesCleanTable[[#This Row],[Unit Cost]]) / SalesCleanTable[[#This Row],[Unit Price]]</f>
        <v>0.20408163265306123</v>
      </c>
    </row>
    <row r="860" spans="1:31">
      <c r="A860" t="s">
        <v>1046</v>
      </c>
      <c r="B860" s="6">
        <v>45858</v>
      </c>
      <c r="C860" t="s">
        <v>36</v>
      </c>
      <c r="D860" t="s">
        <v>37</v>
      </c>
      <c r="E860" t="s">
        <v>38</v>
      </c>
      <c r="F860" t="s">
        <v>39</v>
      </c>
      <c r="G860" t="s">
        <v>40</v>
      </c>
      <c r="H860" t="s">
        <v>141</v>
      </c>
      <c r="I860" t="s">
        <v>142</v>
      </c>
      <c r="J860" t="s">
        <v>143</v>
      </c>
      <c r="K860" t="s">
        <v>144</v>
      </c>
      <c r="L860" t="s">
        <v>166</v>
      </c>
      <c r="M860" t="s">
        <v>177</v>
      </c>
      <c r="N860">
        <v>1</v>
      </c>
      <c r="O860" s="4">
        <v>1650</v>
      </c>
      <c r="P860" s="4">
        <v>2200</v>
      </c>
      <c r="Q860" s="7">
        <v>0</v>
      </c>
      <c r="R860" t="s">
        <v>168</v>
      </c>
      <c r="S860">
        <v>1</v>
      </c>
      <c r="T860">
        <v>2200</v>
      </c>
      <c r="U860">
        <v>0</v>
      </c>
      <c r="V860">
        <v>2200</v>
      </c>
      <c r="W860">
        <v>1650</v>
      </c>
      <c r="X860">
        <v>550</v>
      </c>
      <c r="Y860" s="8">
        <v>0.25</v>
      </c>
      <c r="Z860" t="s">
        <v>2995</v>
      </c>
      <c r="AA860" t="str">
        <f>IF(AND(SalesCleanTable[[#This Row],[Discount %]]&gt;0, SalesCleanTable[[#This Row],[Profit]]&lt;0), "Discount loss", "Safe")</f>
        <v>Safe</v>
      </c>
      <c r="AB860" s="25">
        <f>(SalesCleanTable[[#This Row],[Unit Price]] - SalesCleanTable[[#This Row],[Unit Cost]]) / SalesCleanTable[[#This Row],[Unit Price]]</f>
        <v>0.25</v>
      </c>
      <c r="AC860" t="str">
        <f>IF(SalesCleanTable[[#This Row],[Discount %]] &gt; SalesCleanTable[[#This Row],[Max Allowed Discount]], "Discount loss", "Safe")</f>
        <v>Safe</v>
      </c>
      <c r="AD860" s="4">
        <f>SalesCleanTable[[#This Row],[Unit Price]] - SalesCleanTable[[#This Row],[Unit Cost]]</f>
        <v>550</v>
      </c>
      <c r="AE860" s="41">
        <f>(SalesCleanTable[[#This Row],[Unit Price]] - SalesCleanTable[[#This Row],[Unit Cost]]) / SalesCleanTable[[#This Row],[Unit Price]]</f>
        <v>0.25</v>
      </c>
    </row>
    <row r="861" spans="1:31">
      <c r="A861" t="s">
        <v>1047</v>
      </c>
      <c r="B861" s="6">
        <v>45930</v>
      </c>
      <c r="C861" t="s">
        <v>41</v>
      </c>
      <c r="D861" t="s">
        <v>42</v>
      </c>
      <c r="E861" t="s">
        <v>26</v>
      </c>
      <c r="F861" t="s">
        <v>43</v>
      </c>
      <c r="G861" t="s">
        <v>44</v>
      </c>
      <c r="H861" t="s">
        <v>145</v>
      </c>
      <c r="I861" t="s">
        <v>146</v>
      </c>
      <c r="J861" t="s">
        <v>147</v>
      </c>
      <c r="K861" t="s">
        <v>148</v>
      </c>
      <c r="L861" t="s">
        <v>183</v>
      </c>
      <c r="M861" t="s">
        <v>171</v>
      </c>
      <c r="N861">
        <v>5</v>
      </c>
      <c r="O861" s="4">
        <v>850</v>
      </c>
      <c r="P861" s="4">
        <v>1300</v>
      </c>
      <c r="Q861" s="7">
        <v>0.15</v>
      </c>
      <c r="R861" t="s">
        <v>197</v>
      </c>
      <c r="S861">
        <v>7</v>
      </c>
      <c r="T861">
        <v>6500</v>
      </c>
      <c r="U861">
        <v>975</v>
      </c>
      <c r="V861">
        <v>5525</v>
      </c>
      <c r="W861">
        <v>4250</v>
      </c>
      <c r="X861">
        <v>1275</v>
      </c>
      <c r="Y861" s="8">
        <v>0.23076923076923078</v>
      </c>
      <c r="Z861" t="s">
        <v>2995</v>
      </c>
      <c r="AA861" t="str">
        <f>IF(AND(SalesCleanTable[[#This Row],[Discount %]]&gt;0, SalesCleanTable[[#This Row],[Profit]]&lt;0), "Discount loss", "Safe")</f>
        <v>Safe</v>
      </c>
      <c r="AB861" s="25">
        <f>(SalesCleanTable[[#This Row],[Unit Price]] - SalesCleanTable[[#This Row],[Unit Cost]]) / SalesCleanTable[[#This Row],[Unit Price]]</f>
        <v>0.34615384615384615</v>
      </c>
      <c r="AC861" t="str">
        <f>IF(SalesCleanTable[[#This Row],[Discount %]] &gt; SalesCleanTable[[#This Row],[Max Allowed Discount]], "Discount loss", "Safe")</f>
        <v>Safe</v>
      </c>
      <c r="AD861" s="4">
        <f>SalesCleanTable[[#This Row],[Unit Price]] - SalesCleanTable[[#This Row],[Unit Cost]]</f>
        <v>450</v>
      </c>
      <c r="AE861" s="41">
        <f>(SalesCleanTable[[#This Row],[Unit Price]] - SalesCleanTable[[#This Row],[Unit Cost]]) / SalesCleanTable[[#This Row],[Unit Price]]</f>
        <v>0.34615384615384615</v>
      </c>
    </row>
    <row r="862" spans="1:31">
      <c r="A862" t="s">
        <v>1048</v>
      </c>
      <c r="B862" s="6">
        <v>45885</v>
      </c>
      <c r="C862" t="s">
        <v>24</v>
      </c>
      <c r="D862" t="s">
        <v>25</v>
      </c>
      <c r="E862" t="s">
        <v>26</v>
      </c>
      <c r="F862" t="s">
        <v>27</v>
      </c>
      <c r="G862" t="s">
        <v>28</v>
      </c>
      <c r="H862" t="s">
        <v>128</v>
      </c>
      <c r="I862" t="s">
        <v>129</v>
      </c>
      <c r="J862" t="s">
        <v>130</v>
      </c>
      <c r="K862" t="s">
        <v>131</v>
      </c>
      <c r="L862" t="s">
        <v>170</v>
      </c>
      <c r="M862" t="s">
        <v>186</v>
      </c>
      <c r="N862">
        <v>5</v>
      </c>
      <c r="O862" s="4">
        <v>14500</v>
      </c>
      <c r="P862" s="4">
        <v>17500</v>
      </c>
      <c r="Q862" s="7">
        <v>0.1</v>
      </c>
      <c r="R862" t="s">
        <v>197</v>
      </c>
      <c r="S862">
        <v>4</v>
      </c>
      <c r="T862">
        <v>87500</v>
      </c>
      <c r="U862">
        <v>8750</v>
      </c>
      <c r="V862">
        <v>78750</v>
      </c>
      <c r="W862">
        <v>72500</v>
      </c>
      <c r="X862">
        <v>6250</v>
      </c>
      <c r="Y862" s="8">
        <v>7.9365079365079361E-2</v>
      </c>
      <c r="Z862" t="s">
        <v>2995</v>
      </c>
      <c r="AA862" t="str">
        <f>IF(AND(SalesCleanTable[[#This Row],[Discount %]]&gt;0, SalesCleanTable[[#This Row],[Profit]]&lt;0), "Discount loss", "Safe")</f>
        <v>Safe</v>
      </c>
      <c r="AB862" s="25">
        <f>(SalesCleanTable[[#This Row],[Unit Price]] - SalesCleanTable[[#This Row],[Unit Cost]]) / SalesCleanTable[[#This Row],[Unit Price]]</f>
        <v>0.17142857142857143</v>
      </c>
      <c r="AC862" t="str">
        <f>IF(SalesCleanTable[[#This Row],[Discount %]] &gt; SalesCleanTable[[#This Row],[Max Allowed Discount]], "Discount loss", "Safe")</f>
        <v>Safe</v>
      </c>
      <c r="AD862" s="4">
        <f>SalesCleanTable[[#This Row],[Unit Price]] - SalesCleanTable[[#This Row],[Unit Cost]]</f>
        <v>3000</v>
      </c>
      <c r="AE862" s="41">
        <f>(SalesCleanTable[[#This Row],[Unit Price]] - SalesCleanTable[[#This Row],[Unit Cost]]) / SalesCleanTable[[#This Row],[Unit Price]]</f>
        <v>0.17142857142857143</v>
      </c>
    </row>
    <row r="863" spans="1:31">
      <c r="A863" t="s">
        <v>1049</v>
      </c>
      <c r="B863" s="6">
        <v>45873</v>
      </c>
      <c r="C863" t="s">
        <v>24</v>
      </c>
      <c r="D863" t="s">
        <v>25</v>
      </c>
      <c r="E863" t="s">
        <v>26</v>
      </c>
      <c r="F863" t="s">
        <v>27</v>
      </c>
      <c r="G863" t="s">
        <v>28</v>
      </c>
      <c r="H863" t="s">
        <v>128</v>
      </c>
      <c r="I863" t="s">
        <v>129</v>
      </c>
      <c r="J863" t="s">
        <v>130</v>
      </c>
      <c r="K863" t="s">
        <v>131</v>
      </c>
      <c r="L863" t="s">
        <v>166</v>
      </c>
      <c r="M863" t="s">
        <v>171</v>
      </c>
      <c r="N863">
        <v>5</v>
      </c>
      <c r="O863" s="4">
        <v>14500</v>
      </c>
      <c r="P863" s="4">
        <v>17500</v>
      </c>
      <c r="Q863" s="7">
        <v>0.1</v>
      </c>
      <c r="R863" t="s">
        <v>197</v>
      </c>
      <c r="S863">
        <v>13</v>
      </c>
      <c r="T863">
        <v>87500</v>
      </c>
      <c r="U863">
        <v>8750</v>
      </c>
      <c r="V863">
        <v>78750</v>
      </c>
      <c r="W863">
        <v>72500</v>
      </c>
      <c r="X863">
        <v>6250</v>
      </c>
      <c r="Y863" s="8">
        <v>7.9365079365079361E-2</v>
      </c>
      <c r="Z863" t="s">
        <v>2995</v>
      </c>
      <c r="AA863" t="str">
        <f>IF(AND(SalesCleanTable[[#This Row],[Discount %]]&gt;0, SalesCleanTable[[#This Row],[Profit]]&lt;0), "Discount loss", "Safe")</f>
        <v>Safe</v>
      </c>
      <c r="AB863" s="25">
        <f>(SalesCleanTable[[#This Row],[Unit Price]] - SalesCleanTable[[#This Row],[Unit Cost]]) / SalesCleanTable[[#This Row],[Unit Price]]</f>
        <v>0.17142857142857143</v>
      </c>
      <c r="AC863" t="str">
        <f>IF(SalesCleanTable[[#This Row],[Discount %]] &gt; SalesCleanTable[[#This Row],[Max Allowed Discount]], "Discount loss", "Safe")</f>
        <v>Safe</v>
      </c>
      <c r="AD863" s="4">
        <f>SalesCleanTable[[#This Row],[Unit Price]] - SalesCleanTable[[#This Row],[Unit Cost]]</f>
        <v>3000</v>
      </c>
      <c r="AE863" s="41">
        <f>(SalesCleanTable[[#This Row],[Unit Price]] - SalesCleanTable[[#This Row],[Unit Cost]]) / SalesCleanTable[[#This Row],[Unit Price]]</f>
        <v>0.17142857142857143</v>
      </c>
    </row>
    <row r="864" spans="1:31">
      <c r="A864" t="s">
        <v>1050</v>
      </c>
      <c r="B864" s="6">
        <v>45998</v>
      </c>
      <c r="C864" t="s">
        <v>36</v>
      </c>
      <c r="D864" t="s">
        <v>37</v>
      </c>
      <c r="E864" t="s">
        <v>38</v>
      </c>
      <c r="F864" t="s">
        <v>39</v>
      </c>
      <c r="G864" t="s">
        <v>40</v>
      </c>
      <c r="H864" t="s">
        <v>133</v>
      </c>
      <c r="I864" t="s">
        <v>134</v>
      </c>
      <c r="J864" t="s">
        <v>130</v>
      </c>
      <c r="K864" t="s">
        <v>131</v>
      </c>
      <c r="L864" t="s">
        <v>166</v>
      </c>
      <c r="M864" t="s">
        <v>171</v>
      </c>
      <c r="N864">
        <v>2</v>
      </c>
      <c r="O864" s="4">
        <v>1650</v>
      </c>
      <c r="P864" s="4">
        <v>2200</v>
      </c>
      <c r="Q864" s="7">
        <v>0</v>
      </c>
      <c r="R864" t="s">
        <v>178</v>
      </c>
      <c r="S864">
        <v>10</v>
      </c>
      <c r="T864">
        <v>4400</v>
      </c>
      <c r="U864">
        <v>0</v>
      </c>
      <c r="V864">
        <v>4400</v>
      </c>
      <c r="W864">
        <v>3300</v>
      </c>
      <c r="X864">
        <v>1100</v>
      </c>
      <c r="Y864" s="8">
        <v>0.25</v>
      </c>
      <c r="Z864" t="s">
        <v>2995</v>
      </c>
      <c r="AA864" t="str">
        <f>IF(AND(SalesCleanTable[[#This Row],[Discount %]]&gt;0, SalesCleanTable[[#This Row],[Profit]]&lt;0), "Discount loss", "Safe")</f>
        <v>Safe</v>
      </c>
      <c r="AB864" s="25">
        <f>(SalesCleanTable[[#This Row],[Unit Price]] - SalesCleanTable[[#This Row],[Unit Cost]]) / SalesCleanTable[[#This Row],[Unit Price]]</f>
        <v>0.25</v>
      </c>
      <c r="AC864" t="str">
        <f>IF(SalesCleanTable[[#This Row],[Discount %]] &gt; SalesCleanTable[[#This Row],[Max Allowed Discount]], "Discount loss", "Safe")</f>
        <v>Safe</v>
      </c>
      <c r="AD864" s="4">
        <f>SalesCleanTable[[#This Row],[Unit Price]] - SalesCleanTable[[#This Row],[Unit Cost]]</f>
        <v>550</v>
      </c>
      <c r="AE864" s="41">
        <f>(SalesCleanTable[[#This Row],[Unit Price]] - SalesCleanTable[[#This Row],[Unit Cost]]) / SalesCleanTable[[#This Row],[Unit Price]]</f>
        <v>0.25</v>
      </c>
    </row>
    <row r="865" spans="1:31">
      <c r="A865" t="s">
        <v>1051</v>
      </c>
      <c r="B865" s="6">
        <v>45935</v>
      </c>
      <c r="C865" t="s">
        <v>49</v>
      </c>
      <c r="D865" t="s">
        <v>50</v>
      </c>
      <c r="E865" t="s">
        <v>38</v>
      </c>
      <c r="F865" t="s">
        <v>51</v>
      </c>
      <c r="G865" t="s">
        <v>52</v>
      </c>
      <c r="H865" t="s">
        <v>135</v>
      </c>
      <c r="I865" t="s">
        <v>136</v>
      </c>
      <c r="J865" t="s">
        <v>137</v>
      </c>
      <c r="K865" t="s">
        <v>138</v>
      </c>
      <c r="L865" t="s">
        <v>166</v>
      </c>
      <c r="M865" t="s">
        <v>177</v>
      </c>
      <c r="N865">
        <v>-1</v>
      </c>
      <c r="O865" s="4">
        <v>550</v>
      </c>
      <c r="P865" s="4">
        <v>850</v>
      </c>
      <c r="Q865" s="7">
        <v>0</v>
      </c>
      <c r="R865" t="s">
        <v>168</v>
      </c>
      <c r="S865">
        <v>6</v>
      </c>
      <c r="T865">
        <v>-850</v>
      </c>
      <c r="U865">
        <v>0</v>
      </c>
      <c r="V865">
        <v>-850</v>
      </c>
      <c r="W865">
        <v>-550</v>
      </c>
      <c r="X865">
        <v>-300</v>
      </c>
      <c r="Y865" s="8">
        <v>0.35294117647058826</v>
      </c>
      <c r="Z865" t="s">
        <v>2996</v>
      </c>
      <c r="AA865" t="str">
        <f>IF(AND(SalesCleanTable[[#This Row],[Discount %]]&gt;0, SalesCleanTable[[#This Row],[Profit]]&lt;0), "Discount loss", "Safe")</f>
        <v>Safe</v>
      </c>
      <c r="AB865" s="25">
        <f>(SalesCleanTable[[#This Row],[Unit Price]] - SalesCleanTable[[#This Row],[Unit Cost]]) / SalesCleanTable[[#This Row],[Unit Price]]</f>
        <v>0.35294117647058826</v>
      </c>
      <c r="AC865" t="str">
        <f>IF(SalesCleanTable[[#This Row],[Discount %]] &gt; SalesCleanTable[[#This Row],[Max Allowed Discount]], "Discount loss", "Safe")</f>
        <v>Safe</v>
      </c>
      <c r="AD865" s="4">
        <f>SalesCleanTable[[#This Row],[Unit Price]] - SalesCleanTable[[#This Row],[Unit Cost]]</f>
        <v>300</v>
      </c>
      <c r="AE865" s="41">
        <f>(SalesCleanTable[[#This Row],[Unit Price]] - SalesCleanTable[[#This Row],[Unit Cost]]) / SalesCleanTable[[#This Row],[Unit Price]]</f>
        <v>0.35294117647058826</v>
      </c>
    </row>
    <row r="866" spans="1:31">
      <c r="A866" t="s">
        <v>1052</v>
      </c>
      <c r="B866" s="6">
        <v>45892</v>
      </c>
      <c r="C866" t="s">
        <v>41</v>
      </c>
      <c r="D866" t="s">
        <v>42</v>
      </c>
      <c r="E866" t="s">
        <v>26</v>
      </c>
      <c r="F866" t="s">
        <v>43</v>
      </c>
      <c r="G866" t="s">
        <v>44</v>
      </c>
      <c r="H866" t="s">
        <v>141</v>
      </c>
      <c r="I866" t="s">
        <v>142</v>
      </c>
      <c r="J866" t="s">
        <v>143</v>
      </c>
      <c r="K866" t="s">
        <v>144</v>
      </c>
      <c r="L866" t="s">
        <v>166</v>
      </c>
      <c r="M866" t="s">
        <v>171</v>
      </c>
      <c r="N866">
        <v>2</v>
      </c>
      <c r="O866" s="4">
        <v>850</v>
      </c>
      <c r="P866" s="4">
        <v>1300</v>
      </c>
      <c r="Q866" s="7">
        <v>0.1</v>
      </c>
      <c r="R866" t="s">
        <v>194</v>
      </c>
      <c r="S866">
        <v>5</v>
      </c>
      <c r="T866">
        <v>2600</v>
      </c>
      <c r="U866">
        <v>260</v>
      </c>
      <c r="V866">
        <v>2340</v>
      </c>
      <c r="W866">
        <v>1700</v>
      </c>
      <c r="X866">
        <v>640</v>
      </c>
      <c r="Y866" s="8">
        <v>0.27350427350427353</v>
      </c>
      <c r="Z866" t="s">
        <v>2995</v>
      </c>
      <c r="AA866" t="str">
        <f>IF(AND(SalesCleanTable[[#This Row],[Discount %]]&gt;0, SalesCleanTable[[#This Row],[Profit]]&lt;0), "Discount loss", "Safe")</f>
        <v>Safe</v>
      </c>
      <c r="AB866" s="25">
        <f>(SalesCleanTable[[#This Row],[Unit Price]] - SalesCleanTable[[#This Row],[Unit Cost]]) / SalesCleanTable[[#This Row],[Unit Price]]</f>
        <v>0.34615384615384615</v>
      </c>
      <c r="AC866" t="str">
        <f>IF(SalesCleanTable[[#This Row],[Discount %]] &gt; SalesCleanTable[[#This Row],[Max Allowed Discount]], "Discount loss", "Safe")</f>
        <v>Safe</v>
      </c>
      <c r="AD866" s="4">
        <f>SalesCleanTable[[#This Row],[Unit Price]] - SalesCleanTable[[#This Row],[Unit Cost]]</f>
        <v>450</v>
      </c>
      <c r="AE866" s="41">
        <f>(SalesCleanTable[[#This Row],[Unit Price]] - SalesCleanTable[[#This Row],[Unit Cost]]) / SalesCleanTable[[#This Row],[Unit Price]]</f>
        <v>0.34615384615384615</v>
      </c>
    </row>
    <row r="867" spans="1:31">
      <c r="A867" t="s">
        <v>1053</v>
      </c>
      <c r="B867" s="6">
        <v>45913</v>
      </c>
      <c r="C867" t="s">
        <v>116</v>
      </c>
      <c r="D867" t="s">
        <v>117</v>
      </c>
      <c r="E867" t="s">
        <v>109</v>
      </c>
      <c r="F867" t="s">
        <v>118</v>
      </c>
      <c r="G867" t="s">
        <v>119</v>
      </c>
      <c r="H867" t="s">
        <v>128</v>
      </c>
      <c r="I867" t="s">
        <v>129</v>
      </c>
      <c r="J867" t="s">
        <v>130</v>
      </c>
      <c r="K867" t="s">
        <v>131</v>
      </c>
      <c r="L867" t="s">
        <v>183</v>
      </c>
      <c r="M867" t="s">
        <v>177</v>
      </c>
      <c r="N867">
        <v>3</v>
      </c>
      <c r="O867" s="4">
        <v>2800</v>
      </c>
      <c r="P867" s="4">
        <v>4200</v>
      </c>
      <c r="Q867" s="7">
        <v>0.2</v>
      </c>
      <c r="R867" t="s">
        <v>235</v>
      </c>
      <c r="S867">
        <v>10</v>
      </c>
      <c r="T867">
        <v>12600</v>
      </c>
      <c r="U867">
        <v>2520</v>
      </c>
      <c r="V867">
        <v>10080</v>
      </c>
      <c r="W867">
        <v>8400</v>
      </c>
      <c r="X867">
        <v>1680</v>
      </c>
      <c r="Y867" s="8">
        <v>0.16666666666666666</v>
      </c>
      <c r="Z867" t="s">
        <v>2995</v>
      </c>
      <c r="AA867" t="str">
        <f>IF(AND(SalesCleanTable[[#This Row],[Discount %]]&gt;0, SalesCleanTable[[#This Row],[Profit]]&lt;0), "Discount loss", "Safe")</f>
        <v>Safe</v>
      </c>
      <c r="AB867" s="25">
        <f>(SalesCleanTable[[#This Row],[Unit Price]] - SalesCleanTable[[#This Row],[Unit Cost]]) / SalesCleanTable[[#This Row],[Unit Price]]</f>
        <v>0.33333333333333331</v>
      </c>
      <c r="AC867" t="str">
        <f>IF(SalesCleanTable[[#This Row],[Discount %]] &gt; SalesCleanTable[[#This Row],[Max Allowed Discount]], "Discount loss", "Safe")</f>
        <v>Safe</v>
      </c>
      <c r="AD867" s="4">
        <f>SalesCleanTable[[#This Row],[Unit Price]] - SalesCleanTable[[#This Row],[Unit Cost]]</f>
        <v>1400</v>
      </c>
      <c r="AE867" s="41">
        <f>(SalesCleanTable[[#This Row],[Unit Price]] - SalesCleanTable[[#This Row],[Unit Cost]]) / SalesCleanTable[[#This Row],[Unit Price]]</f>
        <v>0.33333333333333331</v>
      </c>
    </row>
    <row r="868" spans="1:31">
      <c r="A868" t="s">
        <v>1054</v>
      </c>
      <c r="B868" s="6">
        <v>45981</v>
      </c>
      <c r="C868" t="s">
        <v>82</v>
      </c>
      <c r="D868" t="s">
        <v>83</v>
      </c>
      <c r="E868" t="s">
        <v>75</v>
      </c>
      <c r="F868" t="s">
        <v>84</v>
      </c>
      <c r="G868" t="s">
        <v>85</v>
      </c>
      <c r="H868" t="s">
        <v>141</v>
      </c>
      <c r="I868" t="s">
        <v>142</v>
      </c>
      <c r="J868" t="s">
        <v>143</v>
      </c>
      <c r="K868" t="s">
        <v>144</v>
      </c>
      <c r="L868" t="s">
        <v>166</v>
      </c>
      <c r="M868" t="s">
        <v>171</v>
      </c>
      <c r="N868">
        <v>10</v>
      </c>
      <c r="O868" s="4">
        <v>600</v>
      </c>
      <c r="P868" s="4">
        <v>950</v>
      </c>
      <c r="Q868" s="7">
        <v>0.1</v>
      </c>
      <c r="R868" t="s">
        <v>204</v>
      </c>
      <c r="S868">
        <v>6</v>
      </c>
      <c r="T868">
        <v>9500</v>
      </c>
      <c r="U868">
        <v>950</v>
      </c>
      <c r="V868">
        <v>8550</v>
      </c>
      <c r="W868">
        <v>6000</v>
      </c>
      <c r="X868">
        <v>2550</v>
      </c>
      <c r="Y868" s="8">
        <v>0.2982456140350877</v>
      </c>
      <c r="Z868" t="s">
        <v>2996</v>
      </c>
      <c r="AA868" t="str">
        <f>IF(AND(SalesCleanTable[[#This Row],[Discount %]]&gt;0, SalesCleanTable[[#This Row],[Profit]]&lt;0), "Discount loss", "Safe")</f>
        <v>Safe</v>
      </c>
      <c r="AB868" s="25">
        <f>(SalesCleanTable[[#This Row],[Unit Price]] - SalesCleanTable[[#This Row],[Unit Cost]]) / SalesCleanTable[[#This Row],[Unit Price]]</f>
        <v>0.36842105263157893</v>
      </c>
      <c r="AC868" t="str">
        <f>IF(SalesCleanTable[[#This Row],[Discount %]] &gt; SalesCleanTable[[#This Row],[Max Allowed Discount]], "Discount loss", "Safe")</f>
        <v>Safe</v>
      </c>
      <c r="AD868" s="4">
        <f>SalesCleanTable[[#This Row],[Unit Price]] - SalesCleanTable[[#This Row],[Unit Cost]]</f>
        <v>350</v>
      </c>
      <c r="AE868" s="41">
        <f>(SalesCleanTable[[#This Row],[Unit Price]] - SalesCleanTable[[#This Row],[Unit Cost]]) / SalesCleanTable[[#This Row],[Unit Price]]</f>
        <v>0.36842105263157893</v>
      </c>
    </row>
    <row r="869" spans="1:31">
      <c r="A869" t="s">
        <v>1055</v>
      </c>
      <c r="B869" s="6">
        <v>45999</v>
      </c>
      <c r="C869" t="s">
        <v>53</v>
      </c>
      <c r="D869" t="s">
        <v>54</v>
      </c>
      <c r="E869" t="s">
        <v>38</v>
      </c>
      <c r="F869" t="s">
        <v>55</v>
      </c>
      <c r="G869" t="s">
        <v>56</v>
      </c>
      <c r="H869" t="s">
        <v>135</v>
      </c>
      <c r="I869" t="s">
        <v>136</v>
      </c>
      <c r="J869" t="s">
        <v>137</v>
      </c>
      <c r="K869" t="s">
        <v>138</v>
      </c>
      <c r="L869" t="s">
        <v>166</v>
      </c>
      <c r="M869" t="s">
        <v>171</v>
      </c>
      <c r="N869">
        <v>3</v>
      </c>
      <c r="O869" s="4">
        <v>330</v>
      </c>
      <c r="P869" s="4">
        <v>550</v>
      </c>
      <c r="Q869" s="7">
        <v>0.1</v>
      </c>
      <c r="R869" t="s">
        <v>178</v>
      </c>
      <c r="S869">
        <v>9</v>
      </c>
      <c r="T869">
        <v>1650</v>
      </c>
      <c r="U869">
        <v>165</v>
      </c>
      <c r="V869">
        <v>1485</v>
      </c>
      <c r="W869">
        <v>990</v>
      </c>
      <c r="X869">
        <v>495</v>
      </c>
      <c r="Y869" s="8">
        <v>0.33333333333333331</v>
      </c>
      <c r="Z869" t="s">
        <v>2996</v>
      </c>
      <c r="AA869" t="str">
        <f>IF(AND(SalesCleanTable[[#This Row],[Discount %]]&gt;0, SalesCleanTable[[#This Row],[Profit]]&lt;0), "Discount loss", "Safe")</f>
        <v>Safe</v>
      </c>
      <c r="AB869" s="25">
        <f>(SalesCleanTable[[#This Row],[Unit Price]] - SalesCleanTable[[#This Row],[Unit Cost]]) / SalesCleanTable[[#This Row],[Unit Price]]</f>
        <v>0.4</v>
      </c>
      <c r="AC869" t="str">
        <f>IF(SalesCleanTable[[#This Row],[Discount %]] &gt; SalesCleanTable[[#This Row],[Max Allowed Discount]], "Discount loss", "Safe")</f>
        <v>Safe</v>
      </c>
      <c r="AD869" s="4">
        <f>SalesCleanTable[[#This Row],[Unit Price]] - SalesCleanTable[[#This Row],[Unit Cost]]</f>
        <v>220</v>
      </c>
      <c r="AE869" s="41">
        <f>(SalesCleanTable[[#This Row],[Unit Price]] - SalesCleanTable[[#This Row],[Unit Cost]]) / SalesCleanTable[[#This Row],[Unit Price]]</f>
        <v>0.4</v>
      </c>
    </row>
    <row r="870" spans="1:31">
      <c r="A870" t="s">
        <v>1056</v>
      </c>
      <c r="B870" s="6">
        <v>45664</v>
      </c>
      <c r="C870" t="s">
        <v>41</v>
      </c>
      <c r="D870" t="s">
        <v>42</v>
      </c>
      <c r="E870" t="s">
        <v>26</v>
      </c>
      <c r="F870" t="s">
        <v>43</v>
      </c>
      <c r="G870" t="s">
        <v>44</v>
      </c>
      <c r="H870" t="s">
        <v>141</v>
      </c>
      <c r="I870" t="s">
        <v>142</v>
      </c>
      <c r="J870" t="s">
        <v>143</v>
      </c>
      <c r="K870" t="s">
        <v>144</v>
      </c>
      <c r="L870" t="s">
        <v>183</v>
      </c>
      <c r="M870" t="s">
        <v>171</v>
      </c>
      <c r="N870">
        <v>6</v>
      </c>
      <c r="O870" s="4">
        <v>850</v>
      </c>
      <c r="P870" s="4">
        <v>1300</v>
      </c>
      <c r="Q870" s="7">
        <v>0.05</v>
      </c>
      <c r="R870" t="s">
        <v>173</v>
      </c>
      <c r="S870">
        <v>2</v>
      </c>
      <c r="T870">
        <v>7800</v>
      </c>
      <c r="U870">
        <v>390</v>
      </c>
      <c r="V870">
        <v>7410</v>
      </c>
      <c r="W870">
        <v>5100</v>
      </c>
      <c r="X870">
        <v>2310</v>
      </c>
      <c r="Y870" s="8">
        <v>0.31174089068825911</v>
      </c>
      <c r="Z870" t="s">
        <v>2995</v>
      </c>
      <c r="AA870" t="str">
        <f>IF(AND(SalesCleanTable[[#This Row],[Discount %]]&gt;0, SalesCleanTable[[#This Row],[Profit]]&lt;0), "Discount loss", "Safe")</f>
        <v>Safe</v>
      </c>
      <c r="AB870" s="25">
        <f>(SalesCleanTable[[#This Row],[Unit Price]] - SalesCleanTable[[#This Row],[Unit Cost]]) / SalesCleanTable[[#This Row],[Unit Price]]</f>
        <v>0.34615384615384615</v>
      </c>
      <c r="AC870" t="str">
        <f>IF(SalesCleanTable[[#This Row],[Discount %]] &gt; SalesCleanTable[[#This Row],[Max Allowed Discount]], "Discount loss", "Safe")</f>
        <v>Safe</v>
      </c>
      <c r="AD870" s="4">
        <f>SalesCleanTable[[#This Row],[Unit Price]] - SalesCleanTable[[#This Row],[Unit Cost]]</f>
        <v>450</v>
      </c>
      <c r="AE870" s="41">
        <f>(SalesCleanTable[[#This Row],[Unit Price]] - SalesCleanTable[[#This Row],[Unit Cost]]) / SalesCleanTable[[#This Row],[Unit Price]]</f>
        <v>0.34615384615384615</v>
      </c>
    </row>
    <row r="871" spans="1:31">
      <c r="A871" t="s">
        <v>1057</v>
      </c>
      <c r="B871" s="6">
        <v>45849</v>
      </c>
      <c r="C871" t="s">
        <v>53</v>
      </c>
      <c r="D871" t="s">
        <v>54</v>
      </c>
      <c r="E871" t="s">
        <v>38</v>
      </c>
      <c r="F871" t="s">
        <v>55</v>
      </c>
      <c r="G871" t="s">
        <v>56</v>
      </c>
      <c r="H871" t="s">
        <v>133</v>
      </c>
      <c r="I871" t="s">
        <v>134</v>
      </c>
      <c r="J871" t="s">
        <v>130</v>
      </c>
      <c r="K871" t="s">
        <v>131</v>
      </c>
      <c r="L871" t="s">
        <v>166</v>
      </c>
      <c r="M871" t="s">
        <v>171</v>
      </c>
      <c r="N871">
        <v>2</v>
      </c>
      <c r="O871" s="4">
        <v>330</v>
      </c>
      <c r="P871" s="4">
        <v>550</v>
      </c>
      <c r="Q871" s="7">
        <v>0.1</v>
      </c>
      <c r="R871" t="s">
        <v>175</v>
      </c>
      <c r="S871">
        <v>12</v>
      </c>
      <c r="T871">
        <v>1100</v>
      </c>
      <c r="U871">
        <v>110</v>
      </c>
      <c r="V871">
        <v>990</v>
      </c>
      <c r="W871">
        <v>660</v>
      </c>
      <c r="X871">
        <v>330</v>
      </c>
      <c r="Y871" s="8">
        <v>0.33333333333333331</v>
      </c>
      <c r="Z871" t="s">
        <v>2996</v>
      </c>
      <c r="AA871" t="str">
        <f>IF(AND(SalesCleanTable[[#This Row],[Discount %]]&gt;0, SalesCleanTable[[#This Row],[Profit]]&lt;0), "Discount loss", "Safe")</f>
        <v>Safe</v>
      </c>
      <c r="AB871" s="25">
        <f>(SalesCleanTable[[#This Row],[Unit Price]] - SalesCleanTable[[#This Row],[Unit Cost]]) / SalesCleanTable[[#This Row],[Unit Price]]</f>
        <v>0.4</v>
      </c>
      <c r="AC871" t="str">
        <f>IF(SalesCleanTable[[#This Row],[Discount %]] &gt; SalesCleanTable[[#This Row],[Max Allowed Discount]], "Discount loss", "Safe")</f>
        <v>Safe</v>
      </c>
      <c r="AD871" s="4">
        <f>SalesCleanTable[[#This Row],[Unit Price]] - SalesCleanTable[[#This Row],[Unit Cost]]</f>
        <v>220</v>
      </c>
      <c r="AE871" s="41">
        <f>(SalesCleanTable[[#This Row],[Unit Price]] - SalesCleanTable[[#This Row],[Unit Cost]]) / SalesCleanTable[[#This Row],[Unit Price]]</f>
        <v>0.4</v>
      </c>
    </row>
    <row r="872" spans="1:31">
      <c r="A872" t="s">
        <v>1058</v>
      </c>
      <c r="B872" s="6">
        <v>45726</v>
      </c>
      <c r="C872" t="s">
        <v>45</v>
      </c>
      <c r="D872" t="s">
        <v>46</v>
      </c>
      <c r="E872" t="s">
        <v>38</v>
      </c>
      <c r="F872" t="s">
        <v>47</v>
      </c>
      <c r="G872" t="s">
        <v>48</v>
      </c>
      <c r="H872" t="s">
        <v>141</v>
      </c>
      <c r="I872" t="s">
        <v>142</v>
      </c>
      <c r="J872" t="s">
        <v>143</v>
      </c>
      <c r="K872" t="s">
        <v>144</v>
      </c>
      <c r="L872" t="s">
        <v>170</v>
      </c>
      <c r="M872" t="s">
        <v>171</v>
      </c>
      <c r="N872">
        <v>4</v>
      </c>
      <c r="O872" s="4">
        <v>230</v>
      </c>
      <c r="P872" s="4">
        <v>400</v>
      </c>
      <c r="Q872" s="7">
        <v>0.05</v>
      </c>
      <c r="R872" t="s">
        <v>175</v>
      </c>
      <c r="S872">
        <v>13</v>
      </c>
      <c r="T872">
        <v>1600</v>
      </c>
      <c r="U872">
        <v>80</v>
      </c>
      <c r="V872">
        <v>1520</v>
      </c>
      <c r="W872">
        <v>920</v>
      </c>
      <c r="X872">
        <v>600</v>
      </c>
      <c r="Y872" s="8">
        <v>0.39473684210526316</v>
      </c>
      <c r="Z872" t="s">
        <v>2995</v>
      </c>
      <c r="AA872" t="str">
        <f>IF(AND(SalesCleanTable[[#This Row],[Discount %]]&gt;0, SalesCleanTable[[#This Row],[Profit]]&lt;0), "Discount loss", "Safe")</f>
        <v>Safe</v>
      </c>
      <c r="AB872" s="25">
        <f>(SalesCleanTable[[#This Row],[Unit Price]] - SalesCleanTable[[#This Row],[Unit Cost]]) / SalesCleanTable[[#This Row],[Unit Price]]</f>
        <v>0.42499999999999999</v>
      </c>
      <c r="AC872" t="str">
        <f>IF(SalesCleanTable[[#This Row],[Discount %]] &gt; SalesCleanTable[[#This Row],[Max Allowed Discount]], "Discount loss", "Safe")</f>
        <v>Safe</v>
      </c>
      <c r="AD872" s="4">
        <f>SalesCleanTable[[#This Row],[Unit Price]] - SalesCleanTable[[#This Row],[Unit Cost]]</f>
        <v>170</v>
      </c>
      <c r="AE872" s="41">
        <f>(SalesCleanTable[[#This Row],[Unit Price]] - SalesCleanTable[[#This Row],[Unit Cost]]) / SalesCleanTable[[#This Row],[Unit Price]]</f>
        <v>0.42499999999999999</v>
      </c>
    </row>
    <row r="873" spans="1:31">
      <c r="A873" t="s">
        <v>1059</v>
      </c>
      <c r="B873" s="6">
        <v>45827</v>
      </c>
      <c r="C873" t="s">
        <v>45</v>
      </c>
      <c r="D873" t="s">
        <v>46</v>
      </c>
      <c r="E873" t="s">
        <v>38</v>
      </c>
      <c r="F873" t="s">
        <v>47</v>
      </c>
      <c r="G873" t="s">
        <v>48</v>
      </c>
      <c r="H873" t="s">
        <v>133</v>
      </c>
      <c r="I873" t="s">
        <v>134</v>
      </c>
      <c r="J873" t="s">
        <v>130</v>
      </c>
      <c r="K873" t="s">
        <v>131</v>
      </c>
      <c r="L873" t="s">
        <v>170</v>
      </c>
      <c r="M873" t="s">
        <v>171</v>
      </c>
      <c r="N873">
        <v>1</v>
      </c>
      <c r="O873" s="4">
        <v>230</v>
      </c>
      <c r="P873" s="4">
        <v>400</v>
      </c>
      <c r="Q873" s="7">
        <v>0.15</v>
      </c>
      <c r="R873" t="s">
        <v>168</v>
      </c>
      <c r="S873">
        <v>12</v>
      </c>
      <c r="T873">
        <v>400</v>
      </c>
      <c r="U873">
        <v>60</v>
      </c>
      <c r="V873">
        <v>340</v>
      </c>
      <c r="W873">
        <v>230</v>
      </c>
      <c r="X873">
        <v>110</v>
      </c>
      <c r="Y873" s="8">
        <v>0.3235294117647059</v>
      </c>
      <c r="Z873" t="s">
        <v>2995</v>
      </c>
      <c r="AA873" t="str">
        <f>IF(AND(SalesCleanTable[[#This Row],[Discount %]]&gt;0, SalesCleanTable[[#This Row],[Profit]]&lt;0), "Discount loss", "Safe")</f>
        <v>Safe</v>
      </c>
      <c r="AB873" s="25">
        <f>(SalesCleanTable[[#This Row],[Unit Price]] - SalesCleanTable[[#This Row],[Unit Cost]]) / SalesCleanTable[[#This Row],[Unit Price]]</f>
        <v>0.42499999999999999</v>
      </c>
      <c r="AC873" t="str">
        <f>IF(SalesCleanTable[[#This Row],[Discount %]] &gt; SalesCleanTable[[#This Row],[Max Allowed Discount]], "Discount loss", "Safe")</f>
        <v>Safe</v>
      </c>
      <c r="AD873" s="4">
        <f>SalesCleanTable[[#This Row],[Unit Price]] - SalesCleanTable[[#This Row],[Unit Cost]]</f>
        <v>170</v>
      </c>
      <c r="AE873" s="41">
        <f>(SalesCleanTable[[#This Row],[Unit Price]] - SalesCleanTable[[#This Row],[Unit Cost]]) / SalesCleanTable[[#This Row],[Unit Price]]</f>
        <v>0.42499999999999999</v>
      </c>
    </row>
    <row r="874" spans="1:31">
      <c r="A874" t="s">
        <v>1060</v>
      </c>
      <c r="B874" s="6">
        <v>45853</v>
      </c>
      <c r="C874" t="s">
        <v>57</v>
      </c>
      <c r="D874" t="s">
        <v>58</v>
      </c>
      <c r="E874" t="s">
        <v>59</v>
      </c>
      <c r="F874" t="s">
        <v>60</v>
      </c>
      <c r="G874" t="s">
        <v>61</v>
      </c>
      <c r="H874" t="s">
        <v>133</v>
      </c>
      <c r="I874" t="s">
        <v>134</v>
      </c>
      <c r="J874" t="s">
        <v>130</v>
      </c>
      <c r="K874" t="s">
        <v>131</v>
      </c>
      <c r="L874" t="s">
        <v>166</v>
      </c>
      <c r="M874" t="s">
        <v>171</v>
      </c>
      <c r="N874">
        <v>3</v>
      </c>
      <c r="O874" s="4">
        <v>2400</v>
      </c>
      <c r="P874" s="4">
        <v>3400</v>
      </c>
      <c r="Q874" s="7">
        <v>0</v>
      </c>
      <c r="R874" t="s">
        <v>192</v>
      </c>
      <c r="S874">
        <v>11</v>
      </c>
      <c r="T874">
        <v>10200</v>
      </c>
      <c r="U874">
        <v>0</v>
      </c>
      <c r="V874">
        <v>10200</v>
      </c>
      <c r="W874">
        <v>7200</v>
      </c>
      <c r="X874">
        <v>3000</v>
      </c>
      <c r="Y874" s="8">
        <v>0.29411764705882354</v>
      </c>
      <c r="Z874" t="s">
        <v>2996</v>
      </c>
      <c r="AA874" t="str">
        <f>IF(AND(SalesCleanTable[[#This Row],[Discount %]]&gt;0, SalesCleanTable[[#This Row],[Profit]]&lt;0), "Discount loss", "Safe")</f>
        <v>Safe</v>
      </c>
      <c r="AB874" s="25">
        <f>(SalesCleanTable[[#This Row],[Unit Price]] - SalesCleanTable[[#This Row],[Unit Cost]]) / SalesCleanTable[[#This Row],[Unit Price]]</f>
        <v>0.29411764705882354</v>
      </c>
      <c r="AC874" t="str">
        <f>IF(SalesCleanTable[[#This Row],[Discount %]] &gt; SalesCleanTable[[#This Row],[Max Allowed Discount]], "Discount loss", "Safe")</f>
        <v>Safe</v>
      </c>
      <c r="AD874" s="4">
        <f>SalesCleanTable[[#This Row],[Unit Price]] - SalesCleanTable[[#This Row],[Unit Cost]]</f>
        <v>1000</v>
      </c>
      <c r="AE874" s="41">
        <f>(SalesCleanTable[[#This Row],[Unit Price]] - SalesCleanTable[[#This Row],[Unit Cost]]) / SalesCleanTable[[#This Row],[Unit Price]]</f>
        <v>0.29411764705882354</v>
      </c>
    </row>
    <row r="875" spans="1:31">
      <c r="A875" t="s">
        <v>1061</v>
      </c>
      <c r="B875" s="6">
        <v>45762</v>
      </c>
      <c r="C875" t="s">
        <v>32</v>
      </c>
      <c r="D875" t="s">
        <v>33</v>
      </c>
      <c r="E875" t="s">
        <v>26</v>
      </c>
      <c r="F875" t="s">
        <v>34</v>
      </c>
      <c r="G875" t="s">
        <v>35</v>
      </c>
      <c r="H875" t="s">
        <v>133</v>
      </c>
      <c r="I875" t="s">
        <v>134</v>
      </c>
      <c r="J875" t="s">
        <v>130</v>
      </c>
      <c r="K875" t="s">
        <v>131</v>
      </c>
      <c r="L875" t="s">
        <v>166</v>
      </c>
      <c r="M875" t="s">
        <v>186</v>
      </c>
      <c r="N875">
        <v>3</v>
      </c>
      <c r="O875" s="4">
        <v>7800</v>
      </c>
      <c r="P875" s="4">
        <v>9800</v>
      </c>
      <c r="Q875" s="7">
        <v>0.15</v>
      </c>
      <c r="R875" t="s">
        <v>194</v>
      </c>
      <c r="S875">
        <v>12</v>
      </c>
      <c r="T875">
        <v>29400</v>
      </c>
      <c r="U875">
        <v>4410</v>
      </c>
      <c r="V875">
        <v>24990</v>
      </c>
      <c r="W875">
        <v>23400</v>
      </c>
      <c r="X875">
        <v>1590</v>
      </c>
      <c r="Y875" s="8">
        <v>6.3625450180072027E-2</v>
      </c>
      <c r="Z875" t="s">
        <v>2995</v>
      </c>
      <c r="AA875" t="str">
        <f>IF(AND(SalesCleanTable[[#This Row],[Discount %]]&gt;0, SalesCleanTable[[#This Row],[Profit]]&lt;0), "Discount loss", "Safe")</f>
        <v>Safe</v>
      </c>
      <c r="AB875" s="25">
        <f>(SalesCleanTable[[#This Row],[Unit Price]] - SalesCleanTable[[#This Row],[Unit Cost]]) / SalesCleanTable[[#This Row],[Unit Price]]</f>
        <v>0.20408163265306123</v>
      </c>
      <c r="AC875" t="str">
        <f>IF(SalesCleanTable[[#This Row],[Discount %]] &gt; SalesCleanTable[[#This Row],[Max Allowed Discount]], "Discount loss", "Safe")</f>
        <v>Safe</v>
      </c>
      <c r="AD875" s="4">
        <f>SalesCleanTable[[#This Row],[Unit Price]] - SalesCleanTable[[#This Row],[Unit Cost]]</f>
        <v>2000</v>
      </c>
      <c r="AE875" s="41">
        <f>(SalesCleanTable[[#This Row],[Unit Price]] - SalesCleanTable[[#This Row],[Unit Cost]]) / SalesCleanTable[[#This Row],[Unit Price]]</f>
        <v>0.20408163265306123</v>
      </c>
    </row>
    <row r="876" spans="1:31">
      <c r="A876" t="s">
        <v>1062</v>
      </c>
      <c r="B876" s="6">
        <v>45742</v>
      </c>
      <c r="C876" t="s">
        <v>82</v>
      </c>
      <c r="D876" t="s">
        <v>83</v>
      </c>
      <c r="E876" t="s">
        <v>75</v>
      </c>
      <c r="F876" t="s">
        <v>84</v>
      </c>
      <c r="G876" t="s">
        <v>85</v>
      </c>
      <c r="H876" t="s">
        <v>133</v>
      </c>
      <c r="I876" t="s">
        <v>134</v>
      </c>
      <c r="J876" t="s">
        <v>130</v>
      </c>
      <c r="K876" t="s">
        <v>131</v>
      </c>
      <c r="L876" t="s">
        <v>166</v>
      </c>
      <c r="M876" t="s">
        <v>186</v>
      </c>
      <c r="N876">
        <v>1</v>
      </c>
      <c r="O876" s="4">
        <v>600</v>
      </c>
      <c r="P876" s="4">
        <v>950</v>
      </c>
      <c r="Q876" s="7">
        <v>0</v>
      </c>
      <c r="R876" t="s">
        <v>204</v>
      </c>
      <c r="S876">
        <v>4</v>
      </c>
      <c r="T876">
        <v>950</v>
      </c>
      <c r="U876">
        <v>0</v>
      </c>
      <c r="V876">
        <v>950</v>
      </c>
      <c r="W876">
        <v>600</v>
      </c>
      <c r="X876">
        <v>350</v>
      </c>
      <c r="Y876" s="8">
        <v>0.36842105263157893</v>
      </c>
      <c r="Z876" t="s">
        <v>2996</v>
      </c>
      <c r="AA876" t="str">
        <f>IF(AND(SalesCleanTable[[#This Row],[Discount %]]&gt;0, SalesCleanTable[[#This Row],[Profit]]&lt;0), "Discount loss", "Safe")</f>
        <v>Safe</v>
      </c>
      <c r="AB876" s="25">
        <f>(SalesCleanTable[[#This Row],[Unit Price]] - SalesCleanTable[[#This Row],[Unit Cost]]) / SalesCleanTable[[#This Row],[Unit Price]]</f>
        <v>0.36842105263157893</v>
      </c>
      <c r="AC876" t="str">
        <f>IF(SalesCleanTable[[#This Row],[Discount %]] &gt; SalesCleanTable[[#This Row],[Max Allowed Discount]], "Discount loss", "Safe")</f>
        <v>Safe</v>
      </c>
      <c r="AD876" s="4">
        <f>SalesCleanTable[[#This Row],[Unit Price]] - SalesCleanTable[[#This Row],[Unit Cost]]</f>
        <v>350</v>
      </c>
      <c r="AE876" s="41">
        <f>(SalesCleanTable[[#This Row],[Unit Price]] - SalesCleanTable[[#This Row],[Unit Cost]]) / SalesCleanTable[[#This Row],[Unit Price]]</f>
        <v>0.36842105263157893</v>
      </c>
    </row>
    <row r="877" spans="1:31">
      <c r="A877" t="s">
        <v>1063</v>
      </c>
      <c r="B877" s="6">
        <v>45904</v>
      </c>
      <c r="C877" t="s">
        <v>29</v>
      </c>
      <c r="D877" t="s">
        <v>30</v>
      </c>
      <c r="E877" t="s">
        <v>26</v>
      </c>
      <c r="F877" t="s">
        <v>27</v>
      </c>
      <c r="G877" t="s">
        <v>31</v>
      </c>
      <c r="H877" t="s">
        <v>153</v>
      </c>
      <c r="I877" t="s">
        <v>154</v>
      </c>
      <c r="J877" t="s">
        <v>155</v>
      </c>
      <c r="K877" t="s">
        <v>131</v>
      </c>
      <c r="L877" t="s">
        <v>166</v>
      </c>
      <c r="M877" t="s">
        <v>186</v>
      </c>
      <c r="N877">
        <v>2</v>
      </c>
      <c r="O877" s="4">
        <v>6200</v>
      </c>
      <c r="P877" s="4">
        <v>7900</v>
      </c>
      <c r="Q877" s="7">
        <v>0</v>
      </c>
      <c r="R877" t="s">
        <v>173</v>
      </c>
      <c r="S877">
        <v>7</v>
      </c>
      <c r="T877">
        <v>15800</v>
      </c>
      <c r="U877">
        <v>0</v>
      </c>
      <c r="V877">
        <v>15800</v>
      </c>
      <c r="W877">
        <v>12400</v>
      </c>
      <c r="X877">
        <v>3400</v>
      </c>
      <c r="Y877" s="8">
        <v>0.21518987341772153</v>
      </c>
      <c r="Z877" t="s">
        <v>2996</v>
      </c>
      <c r="AA877" t="str">
        <f>IF(AND(SalesCleanTable[[#This Row],[Discount %]]&gt;0, SalesCleanTable[[#This Row],[Profit]]&lt;0), "Discount loss", "Safe")</f>
        <v>Safe</v>
      </c>
      <c r="AB877" s="25">
        <f>(SalesCleanTable[[#This Row],[Unit Price]] - SalesCleanTable[[#This Row],[Unit Cost]]) / SalesCleanTable[[#This Row],[Unit Price]]</f>
        <v>0.21518987341772153</v>
      </c>
      <c r="AC877" t="str">
        <f>IF(SalesCleanTable[[#This Row],[Discount %]] &gt; SalesCleanTable[[#This Row],[Max Allowed Discount]], "Discount loss", "Safe")</f>
        <v>Safe</v>
      </c>
      <c r="AD877" s="4">
        <f>SalesCleanTable[[#This Row],[Unit Price]] - SalesCleanTable[[#This Row],[Unit Cost]]</f>
        <v>1700</v>
      </c>
      <c r="AE877" s="41">
        <f>(SalesCleanTable[[#This Row],[Unit Price]] - SalesCleanTable[[#This Row],[Unit Cost]]) / SalesCleanTable[[#This Row],[Unit Price]]</f>
        <v>0.21518987341772153</v>
      </c>
    </row>
    <row r="878" spans="1:31">
      <c r="A878" t="s">
        <v>1064</v>
      </c>
      <c r="B878" s="6">
        <v>45904</v>
      </c>
      <c r="C878" t="s">
        <v>24</v>
      </c>
      <c r="D878" t="s">
        <v>25</v>
      </c>
      <c r="E878" t="s">
        <v>26</v>
      </c>
      <c r="F878" t="s">
        <v>27</v>
      </c>
      <c r="G878" t="s">
        <v>28</v>
      </c>
      <c r="H878" t="s">
        <v>135</v>
      </c>
      <c r="I878" t="s">
        <v>136</v>
      </c>
      <c r="J878" t="s">
        <v>137</v>
      </c>
      <c r="K878" t="s">
        <v>138</v>
      </c>
      <c r="L878" t="s">
        <v>170</v>
      </c>
      <c r="M878" t="s">
        <v>171</v>
      </c>
      <c r="N878">
        <v>5</v>
      </c>
      <c r="O878" s="4">
        <v>14500</v>
      </c>
      <c r="P878" s="4">
        <v>17500</v>
      </c>
      <c r="Q878" s="7">
        <v>0.1</v>
      </c>
      <c r="R878" t="s">
        <v>197</v>
      </c>
      <c r="S878">
        <v>9</v>
      </c>
      <c r="T878">
        <v>87500</v>
      </c>
      <c r="U878">
        <v>8750</v>
      </c>
      <c r="V878">
        <v>78750</v>
      </c>
      <c r="W878">
        <v>72500</v>
      </c>
      <c r="X878">
        <v>6250</v>
      </c>
      <c r="Y878" s="8">
        <v>7.9365079365079361E-2</v>
      </c>
      <c r="Z878" t="s">
        <v>2995</v>
      </c>
      <c r="AA878" t="str">
        <f>IF(AND(SalesCleanTable[[#This Row],[Discount %]]&gt;0, SalesCleanTable[[#This Row],[Profit]]&lt;0), "Discount loss", "Safe")</f>
        <v>Safe</v>
      </c>
      <c r="AB878" s="25">
        <f>(SalesCleanTable[[#This Row],[Unit Price]] - SalesCleanTable[[#This Row],[Unit Cost]]) / SalesCleanTable[[#This Row],[Unit Price]]</f>
        <v>0.17142857142857143</v>
      </c>
      <c r="AC878" t="str">
        <f>IF(SalesCleanTable[[#This Row],[Discount %]] &gt; SalesCleanTable[[#This Row],[Max Allowed Discount]], "Discount loss", "Safe")</f>
        <v>Safe</v>
      </c>
      <c r="AD878" s="4">
        <f>SalesCleanTable[[#This Row],[Unit Price]] - SalesCleanTable[[#This Row],[Unit Cost]]</f>
        <v>3000</v>
      </c>
      <c r="AE878" s="41">
        <f>(SalesCleanTable[[#This Row],[Unit Price]] - SalesCleanTable[[#This Row],[Unit Cost]]) / SalesCleanTable[[#This Row],[Unit Price]]</f>
        <v>0.17142857142857143</v>
      </c>
    </row>
    <row r="879" spans="1:31">
      <c r="A879" t="s">
        <v>1065</v>
      </c>
      <c r="B879" s="6">
        <v>45789</v>
      </c>
      <c r="C879" t="s">
        <v>49</v>
      </c>
      <c r="D879" t="s">
        <v>50</v>
      </c>
      <c r="E879" t="s">
        <v>38</v>
      </c>
      <c r="F879" t="s">
        <v>51</v>
      </c>
      <c r="G879" t="s">
        <v>52</v>
      </c>
      <c r="H879" t="s">
        <v>135</v>
      </c>
      <c r="I879" t="s">
        <v>136</v>
      </c>
      <c r="J879" t="s">
        <v>137</v>
      </c>
      <c r="K879" t="s">
        <v>138</v>
      </c>
      <c r="L879" t="s">
        <v>166</v>
      </c>
      <c r="M879" t="s">
        <v>186</v>
      </c>
      <c r="N879">
        <v>2</v>
      </c>
      <c r="O879" s="4">
        <v>550</v>
      </c>
      <c r="P879" s="4">
        <v>850</v>
      </c>
      <c r="Q879" s="7">
        <v>0.1</v>
      </c>
      <c r="R879" t="s">
        <v>168</v>
      </c>
      <c r="S879">
        <v>8</v>
      </c>
      <c r="T879">
        <v>1700</v>
      </c>
      <c r="U879">
        <v>170</v>
      </c>
      <c r="V879">
        <v>1530</v>
      </c>
      <c r="W879">
        <v>1100</v>
      </c>
      <c r="X879">
        <v>430</v>
      </c>
      <c r="Y879" s="8">
        <v>0.28104575163398693</v>
      </c>
      <c r="Z879" t="s">
        <v>2996</v>
      </c>
      <c r="AA879" t="str">
        <f>IF(AND(SalesCleanTable[[#This Row],[Discount %]]&gt;0, SalesCleanTable[[#This Row],[Profit]]&lt;0), "Discount loss", "Safe")</f>
        <v>Safe</v>
      </c>
      <c r="AB879" s="25">
        <f>(SalesCleanTable[[#This Row],[Unit Price]] - SalesCleanTable[[#This Row],[Unit Cost]]) / SalesCleanTable[[#This Row],[Unit Price]]</f>
        <v>0.35294117647058826</v>
      </c>
      <c r="AC879" t="str">
        <f>IF(SalesCleanTable[[#This Row],[Discount %]] &gt; SalesCleanTable[[#This Row],[Max Allowed Discount]], "Discount loss", "Safe")</f>
        <v>Safe</v>
      </c>
      <c r="AD879" s="4">
        <f>SalesCleanTable[[#This Row],[Unit Price]] - SalesCleanTable[[#This Row],[Unit Cost]]</f>
        <v>300</v>
      </c>
      <c r="AE879" s="41">
        <f>(SalesCleanTable[[#This Row],[Unit Price]] - SalesCleanTable[[#This Row],[Unit Cost]]) / SalesCleanTable[[#This Row],[Unit Price]]</f>
        <v>0.35294117647058826</v>
      </c>
    </row>
    <row r="880" spans="1:31">
      <c r="A880" t="s">
        <v>1066</v>
      </c>
      <c r="B880" s="6">
        <v>45755</v>
      </c>
      <c r="C880" t="s">
        <v>24</v>
      </c>
      <c r="D880" t="s">
        <v>25</v>
      </c>
      <c r="E880" t="s">
        <v>26</v>
      </c>
      <c r="F880" t="s">
        <v>27</v>
      </c>
      <c r="G880" t="s">
        <v>28</v>
      </c>
      <c r="H880" t="s">
        <v>149</v>
      </c>
      <c r="I880" t="s">
        <v>150</v>
      </c>
      <c r="J880" t="s">
        <v>151</v>
      </c>
      <c r="K880" t="s">
        <v>152</v>
      </c>
      <c r="L880" t="s">
        <v>166</v>
      </c>
      <c r="M880" t="s">
        <v>186</v>
      </c>
      <c r="N880">
        <v>4</v>
      </c>
      <c r="O880" s="4">
        <v>14500</v>
      </c>
      <c r="P880" s="4">
        <v>17500</v>
      </c>
      <c r="Q880" s="7">
        <v>0.05</v>
      </c>
      <c r="R880" t="s">
        <v>194</v>
      </c>
      <c r="S880">
        <v>12</v>
      </c>
      <c r="T880">
        <v>70000</v>
      </c>
      <c r="U880">
        <v>3500</v>
      </c>
      <c r="V880">
        <v>66500</v>
      </c>
      <c r="W880">
        <v>58000</v>
      </c>
      <c r="X880">
        <v>8500</v>
      </c>
      <c r="Y880" s="8">
        <v>0.12781954887218044</v>
      </c>
      <c r="Z880" t="s">
        <v>2995</v>
      </c>
      <c r="AA880" t="str">
        <f>IF(AND(SalesCleanTable[[#This Row],[Discount %]]&gt;0, SalesCleanTable[[#This Row],[Profit]]&lt;0), "Discount loss", "Safe")</f>
        <v>Safe</v>
      </c>
      <c r="AB880" s="25">
        <f>(SalesCleanTable[[#This Row],[Unit Price]] - SalesCleanTable[[#This Row],[Unit Cost]]) / SalesCleanTable[[#This Row],[Unit Price]]</f>
        <v>0.17142857142857143</v>
      </c>
      <c r="AC880" t="str">
        <f>IF(SalesCleanTable[[#This Row],[Discount %]] &gt; SalesCleanTable[[#This Row],[Max Allowed Discount]], "Discount loss", "Safe")</f>
        <v>Safe</v>
      </c>
      <c r="AD880" s="4">
        <f>SalesCleanTable[[#This Row],[Unit Price]] - SalesCleanTable[[#This Row],[Unit Cost]]</f>
        <v>3000</v>
      </c>
      <c r="AE880" s="41">
        <f>(SalesCleanTable[[#This Row],[Unit Price]] - SalesCleanTable[[#This Row],[Unit Cost]]) / SalesCleanTable[[#This Row],[Unit Price]]</f>
        <v>0.17142857142857143</v>
      </c>
    </row>
    <row r="881" spans="1:31">
      <c r="A881" t="s">
        <v>1067</v>
      </c>
      <c r="B881" s="6">
        <v>45908</v>
      </c>
      <c r="C881" t="s">
        <v>45</v>
      </c>
      <c r="D881" t="s">
        <v>46</v>
      </c>
      <c r="E881" t="s">
        <v>38</v>
      </c>
      <c r="F881" t="s">
        <v>47</v>
      </c>
      <c r="G881" t="s">
        <v>48</v>
      </c>
      <c r="H881" t="s">
        <v>153</v>
      </c>
      <c r="I881" t="s">
        <v>154</v>
      </c>
      <c r="J881" t="s">
        <v>155</v>
      </c>
      <c r="K881" t="s">
        <v>131</v>
      </c>
      <c r="L881" t="s">
        <v>170</v>
      </c>
      <c r="M881" t="s">
        <v>177</v>
      </c>
      <c r="N881">
        <v>1</v>
      </c>
      <c r="O881" s="4">
        <v>230</v>
      </c>
      <c r="P881" s="4">
        <v>400</v>
      </c>
      <c r="Q881" s="7">
        <v>0.15</v>
      </c>
      <c r="R881" t="s">
        <v>168</v>
      </c>
      <c r="S881">
        <v>3</v>
      </c>
      <c r="T881">
        <v>400</v>
      </c>
      <c r="U881">
        <v>60</v>
      </c>
      <c r="V881">
        <v>340</v>
      </c>
      <c r="W881">
        <v>230</v>
      </c>
      <c r="X881">
        <v>110</v>
      </c>
      <c r="Y881" s="8">
        <v>0.3235294117647059</v>
      </c>
      <c r="Z881" t="s">
        <v>2995</v>
      </c>
      <c r="AA881" t="str">
        <f>IF(AND(SalesCleanTable[[#This Row],[Discount %]]&gt;0, SalesCleanTable[[#This Row],[Profit]]&lt;0), "Discount loss", "Safe")</f>
        <v>Safe</v>
      </c>
      <c r="AB881" s="25">
        <f>(SalesCleanTable[[#This Row],[Unit Price]] - SalesCleanTable[[#This Row],[Unit Cost]]) / SalesCleanTable[[#This Row],[Unit Price]]</f>
        <v>0.42499999999999999</v>
      </c>
      <c r="AC881" t="str">
        <f>IF(SalesCleanTable[[#This Row],[Discount %]] &gt; SalesCleanTable[[#This Row],[Max Allowed Discount]], "Discount loss", "Safe")</f>
        <v>Safe</v>
      </c>
      <c r="AD881" s="4">
        <f>SalesCleanTable[[#This Row],[Unit Price]] - SalesCleanTable[[#This Row],[Unit Cost]]</f>
        <v>170</v>
      </c>
      <c r="AE881" s="41">
        <f>(SalesCleanTable[[#This Row],[Unit Price]] - SalesCleanTable[[#This Row],[Unit Cost]]) / SalesCleanTable[[#This Row],[Unit Price]]</f>
        <v>0.42499999999999999</v>
      </c>
    </row>
    <row r="882" spans="1:31">
      <c r="A882" t="s">
        <v>1068</v>
      </c>
      <c r="B882" s="6">
        <v>45881</v>
      </c>
      <c r="C882" t="s">
        <v>116</v>
      </c>
      <c r="D882" t="s">
        <v>117</v>
      </c>
      <c r="E882" t="s">
        <v>109</v>
      </c>
      <c r="F882" t="s">
        <v>118</v>
      </c>
      <c r="G882" t="s">
        <v>119</v>
      </c>
      <c r="H882" t="s">
        <v>145</v>
      </c>
      <c r="I882" t="s">
        <v>146</v>
      </c>
      <c r="J882" t="s">
        <v>147</v>
      </c>
      <c r="K882" t="s">
        <v>148</v>
      </c>
      <c r="L882" t="s">
        <v>183</v>
      </c>
      <c r="M882" t="s">
        <v>171</v>
      </c>
      <c r="N882">
        <v>4</v>
      </c>
      <c r="O882" s="4">
        <v>2800</v>
      </c>
      <c r="P882" s="4">
        <v>4200</v>
      </c>
      <c r="Q882" s="7">
        <v>0.05</v>
      </c>
      <c r="R882" t="s">
        <v>220</v>
      </c>
      <c r="S882">
        <v>12</v>
      </c>
      <c r="T882">
        <v>16800</v>
      </c>
      <c r="U882">
        <v>840</v>
      </c>
      <c r="V882">
        <v>15960</v>
      </c>
      <c r="W882">
        <v>11200</v>
      </c>
      <c r="X882">
        <v>4760</v>
      </c>
      <c r="Y882" s="8">
        <v>0.2982456140350877</v>
      </c>
      <c r="Z882" t="s">
        <v>2995</v>
      </c>
      <c r="AA882" t="str">
        <f>IF(AND(SalesCleanTable[[#This Row],[Discount %]]&gt;0, SalesCleanTable[[#This Row],[Profit]]&lt;0), "Discount loss", "Safe")</f>
        <v>Safe</v>
      </c>
      <c r="AB882" s="25">
        <f>(SalesCleanTable[[#This Row],[Unit Price]] - SalesCleanTable[[#This Row],[Unit Cost]]) / SalesCleanTable[[#This Row],[Unit Price]]</f>
        <v>0.33333333333333331</v>
      </c>
      <c r="AC882" t="str">
        <f>IF(SalesCleanTable[[#This Row],[Discount %]] &gt; SalesCleanTable[[#This Row],[Max Allowed Discount]], "Discount loss", "Safe")</f>
        <v>Safe</v>
      </c>
      <c r="AD882" s="4">
        <f>SalesCleanTable[[#This Row],[Unit Price]] - SalesCleanTable[[#This Row],[Unit Cost]]</f>
        <v>1400</v>
      </c>
      <c r="AE882" s="41">
        <f>(SalesCleanTable[[#This Row],[Unit Price]] - SalesCleanTable[[#This Row],[Unit Cost]]) / SalesCleanTable[[#This Row],[Unit Price]]</f>
        <v>0.33333333333333331</v>
      </c>
    </row>
    <row r="883" spans="1:31">
      <c r="A883" t="s">
        <v>1069</v>
      </c>
      <c r="B883" s="6">
        <v>45855</v>
      </c>
      <c r="C883" t="s">
        <v>112</v>
      </c>
      <c r="D883" t="s">
        <v>113</v>
      </c>
      <c r="E883" t="s">
        <v>109</v>
      </c>
      <c r="F883" t="s">
        <v>114</v>
      </c>
      <c r="G883" t="s">
        <v>115</v>
      </c>
      <c r="H883" t="s">
        <v>145</v>
      </c>
      <c r="I883" t="s">
        <v>146</v>
      </c>
      <c r="J883" t="s">
        <v>147</v>
      </c>
      <c r="K883" t="s">
        <v>148</v>
      </c>
      <c r="L883" t="s">
        <v>183</v>
      </c>
      <c r="M883" t="s">
        <v>171</v>
      </c>
      <c r="N883">
        <v>2</v>
      </c>
      <c r="O883" s="4">
        <v>1300</v>
      </c>
      <c r="P883" s="4">
        <v>2100</v>
      </c>
      <c r="Q883" s="7">
        <v>0</v>
      </c>
      <c r="R883" t="s">
        <v>235</v>
      </c>
      <c r="S883">
        <v>1</v>
      </c>
      <c r="T883">
        <v>4200</v>
      </c>
      <c r="U883">
        <v>0</v>
      </c>
      <c r="V883">
        <v>4200</v>
      </c>
      <c r="W883">
        <v>2600</v>
      </c>
      <c r="X883">
        <v>1600</v>
      </c>
      <c r="Y883" s="8">
        <v>0.38095238095238093</v>
      </c>
      <c r="Z883" t="s">
        <v>2995</v>
      </c>
      <c r="AA883" t="str">
        <f>IF(AND(SalesCleanTable[[#This Row],[Discount %]]&gt;0, SalesCleanTable[[#This Row],[Profit]]&lt;0), "Discount loss", "Safe")</f>
        <v>Safe</v>
      </c>
      <c r="AB883" s="25">
        <f>(SalesCleanTable[[#This Row],[Unit Price]] - SalesCleanTable[[#This Row],[Unit Cost]]) / SalesCleanTable[[#This Row],[Unit Price]]</f>
        <v>0.38095238095238093</v>
      </c>
      <c r="AC883" t="str">
        <f>IF(SalesCleanTable[[#This Row],[Discount %]] &gt; SalesCleanTable[[#This Row],[Max Allowed Discount]], "Discount loss", "Safe")</f>
        <v>Safe</v>
      </c>
      <c r="AD883" s="4">
        <f>SalesCleanTable[[#This Row],[Unit Price]] - SalesCleanTable[[#This Row],[Unit Cost]]</f>
        <v>800</v>
      </c>
      <c r="AE883" s="41">
        <f>(SalesCleanTable[[#This Row],[Unit Price]] - SalesCleanTable[[#This Row],[Unit Cost]]) / SalesCleanTable[[#This Row],[Unit Price]]</f>
        <v>0.38095238095238093</v>
      </c>
    </row>
    <row r="884" spans="1:31">
      <c r="A884" t="s">
        <v>1070</v>
      </c>
      <c r="B884" s="6">
        <v>45988</v>
      </c>
      <c r="C884" t="s">
        <v>32</v>
      </c>
      <c r="D884" t="s">
        <v>33</v>
      </c>
      <c r="E884" t="s">
        <v>26</v>
      </c>
      <c r="F884" t="s">
        <v>34</v>
      </c>
      <c r="G884" t="s">
        <v>35</v>
      </c>
      <c r="H884" t="s">
        <v>141</v>
      </c>
      <c r="I884" t="s">
        <v>142</v>
      </c>
      <c r="J884" t="s">
        <v>143</v>
      </c>
      <c r="K884" t="s">
        <v>144</v>
      </c>
      <c r="L884" t="s">
        <v>166</v>
      </c>
      <c r="M884" t="s">
        <v>171</v>
      </c>
      <c r="N884">
        <v>8</v>
      </c>
      <c r="O884" s="4">
        <v>7800</v>
      </c>
      <c r="P884" s="4">
        <v>9800</v>
      </c>
      <c r="Q884" s="7">
        <v>0</v>
      </c>
      <c r="R884" t="s">
        <v>173</v>
      </c>
      <c r="S884">
        <v>14</v>
      </c>
      <c r="T884">
        <v>78400</v>
      </c>
      <c r="U884">
        <v>0</v>
      </c>
      <c r="V884">
        <v>78400</v>
      </c>
      <c r="W884">
        <v>62400</v>
      </c>
      <c r="X884">
        <v>16000</v>
      </c>
      <c r="Y884" s="8">
        <v>0.20408163265306123</v>
      </c>
      <c r="Z884" t="s">
        <v>2995</v>
      </c>
      <c r="AA884" t="str">
        <f>IF(AND(SalesCleanTable[[#This Row],[Discount %]]&gt;0, SalesCleanTable[[#This Row],[Profit]]&lt;0), "Discount loss", "Safe")</f>
        <v>Safe</v>
      </c>
      <c r="AB884" s="25">
        <f>(SalesCleanTable[[#This Row],[Unit Price]] - SalesCleanTable[[#This Row],[Unit Cost]]) / SalesCleanTable[[#This Row],[Unit Price]]</f>
        <v>0.20408163265306123</v>
      </c>
      <c r="AC884" t="str">
        <f>IF(SalesCleanTable[[#This Row],[Discount %]] &gt; SalesCleanTable[[#This Row],[Max Allowed Discount]], "Discount loss", "Safe")</f>
        <v>Safe</v>
      </c>
      <c r="AD884" s="4">
        <f>SalesCleanTable[[#This Row],[Unit Price]] - SalesCleanTable[[#This Row],[Unit Cost]]</f>
        <v>2000</v>
      </c>
      <c r="AE884" s="41">
        <f>(SalesCleanTable[[#This Row],[Unit Price]] - SalesCleanTable[[#This Row],[Unit Cost]]) / SalesCleanTable[[#This Row],[Unit Price]]</f>
        <v>0.20408163265306123</v>
      </c>
    </row>
    <row r="885" spans="1:31">
      <c r="A885" t="s">
        <v>1071</v>
      </c>
      <c r="B885" s="6">
        <v>45717</v>
      </c>
      <c r="C885" t="s">
        <v>90</v>
      </c>
      <c r="D885" t="s">
        <v>91</v>
      </c>
      <c r="E885" t="s">
        <v>92</v>
      </c>
      <c r="F885" t="s">
        <v>93</v>
      </c>
      <c r="G885" t="s">
        <v>94</v>
      </c>
      <c r="H885" t="s">
        <v>141</v>
      </c>
      <c r="I885" t="s">
        <v>142</v>
      </c>
      <c r="J885" t="s">
        <v>143</v>
      </c>
      <c r="K885" t="s">
        <v>144</v>
      </c>
      <c r="L885" t="s">
        <v>183</v>
      </c>
      <c r="M885" t="s">
        <v>171</v>
      </c>
      <c r="N885">
        <v>6</v>
      </c>
      <c r="O885" s="4">
        <v>7500</v>
      </c>
      <c r="P885" s="4">
        <v>10500</v>
      </c>
      <c r="Q885" s="7">
        <v>0.1</v>
      </c>
      <c r="R885" t="s">
        <v>215</v>
      </c>
      <c r="S885">
        <v>4</v>
      </c>
      <c r="T885">
        <v>63000</v>
      </c>
      <c r="U885">
        <v>6300</v>
      </c>
      <c r="V885">
        <v>56700</v>
      </c>
      <c r="W885">
        <v>45000</v>
      </c>
      <c r="X885">
        <v>11700</v>
      </c>
      <c r="Y885" s="8">
        <v>0.20634920634920634</v>
      </c>
      <c r="Z885" t="s">
        <v>2996</v>
      </c>
      <c r="AA885" t="str">
        <f>IF(AND(SalesCleanTable[[#This Row],[Discount %]]&gt;0, SalesCleanTable[[#This Row],[Profit]]&lt;0), "Discount loss", "Safe")</f>
        <v>Safe</v>
      </c>
      <c r="AB885" s="25">
        <f>(SalesCleanTable[[#This Row],[Unit Price]] - SalesCleanTable[[#This Row],[Unit Cost]]) / SalesCleanTable[[#This Row],[Unit Price]]</f>
        <v>0.2857142857142857</v>
      </c>
      <c r="AC885" t="str">
        <f>IF(SalesCleanTable[[#This Row],[Discount %]] &gt; SalesCleanTable[[#This Row],[Max Allowed Discount]], "Discount loss", "Safe")</f>
        <v>Safe</v>
      </c>
      <c r="AD885" s="4">
        <f>SalesCleanTable[[#This Row],[Unit Price]] - SalesCleanTable[[#This Row],[Unit Cost]]</f>
        <v>3000</v>
      </c>
      <c r="AE885" s="41">
        <f>(SalesCleanTable[[#This Row],[Unit Price]] - SalesCleanTable[[#This Row],[Unit Cost]]) / SalesCleanTable[[#This Row],[Unit Price]]</f>
        <v>0.2857142857142857</v>
      </c>
    </row>
    <row r="886" spans="1:31">
      <c r="A886" t="s">
        <v>1072</v>
      </c>
      <c r="B886" s="6">
        <v>45742</v>
      </c>
      <c r="C886" t="s">
        <v>99</v>
      </c>
      <c r="D886" t="s">
        <v>100</v>
      </c>
      <c r="E886" t="s">
        <v>92</v>
      </c>
      <c r="F886" t="s">
        <v>101</v>
      </c>
      <c r="G886" t="s">
        <v>102</v>
      </c>
      <c r="H886" t="s">
        <v>135</v>
      </c>
      <c r="I886" t="s">
        <v>136</v>
      </c>
      <c r="J886" t="s">
        <v>137</v>
      </c>
      <c r="K886" t="s">
        <v>138</v>
      </c>
      <c r="L886" t="s">
        <v>183</v>
      </c>
      <c r="M886" t="s">
        <v>186</v>
      </c>
      <c r="N886">
        <v>2</v>
      </c>
      <c r="O886" s="4">
        <v>12500</v>
      </c>
      <c r="P886" s="4">
        <v>18500</v>
      </c>
      <c r="Q886" s="7">
        <v>0.2</v>
      </c>
      <c r="R886" t="s">
        <v>217</v>
      </c>
      <c r="S886">
        <v>12</v>
      </c>
      <c r="T886">
        <v>37000</v>
      </c>
      <c r="U886">
        <v>7400</v>
      </c>
      <c r="V886">
        <v>29600</v>
      </c>
      <c r="W886">
        <v>25000</v>
      </c>
      <c r="X886">
        <v>4600</v>
      </c>
      <c r="Y886" s="8">
        <v>0.1554054054054054</v>
      </c>
      <c r="Z886" t="s">
        <v>2995</v>
      </c>
      <c r="AA886" t="str">
        <f>IF(AND(SalesCleanTable[[#This Row],[Discount %]]&gt;0, SalesCleanTable[[#This Row],[Profit]]&lt;0), "Discount loss", "Safe")</f>
        <v>Safe</v>
      </c>
      <c r="AB886" s="25">
        <f>(SalesCleanTable[[#This Row],[Unit Price]] - SalesCleanTable[[#This Row],[Unit Cost]]) / SalesCleanTable[[#This Row],[Unit Price]]</f>
        <v>0.32432432432432434</v>
      </c>
      <c r="AC886" t="str">
        <f>IF(SalesCleanTable[[#This Row],[Discount %]] &gt; SalesCleanTable[[#This Row],[Max Allowed Discount]], "Discount loss", "Safe")</f>
        <v>Safe</v>
      </c>
      <c r="AD886" s="4">
        <f>SalesCleanTable[[#This Row],[Unit Price]] - SalesCleanTable[[#This Row],[Unit Cost]]</f>
        <v>6000</v>
      </c>
      <c r="AE886" s="41">
        <f>(SalesCleanTable[[#This Row],[Unit Price]] - SalesCleanTable[[#This Row],[Unit Cost]]) / SalesCleanTable[[#This Row],[Unit Price]]</f>
        <v>0.32432432432432434</v>
      </c>
    </row>
    <row r="887" spans="1:31">
      <c r="A887" t="s">
        <v>1073</v>
      </c>
      <c r="B887" s="6">
        <v>45703</v>
      </c>
      <c r="C887" t="s">
        <v>32</v>
      </c>
      <c r="D887" t="s">
        <v>33</v>
      </c>
      <c r="E887" t="s">
        <v>26</v>
      </c>
      <c r="F887" t="s">
        <v>34</v>
      </c>
      <c r="G887" t="s">
        <v>35</v>
      </c>
      <c r="H887" t="s">
        <v>139</v>
      </c>
      <c r="I887" t="s">
        <v>140</v>
      </c>
      <c r="J887" t="s">
        <v>137</v>
      </c>
      <c r="K887" t="s">
        <v>138</v>
      </c>
      <c r="L887" t="s">
        <v>166</v>
      </c>
      <c r="M887" t="s">
        <v>167</v>
      </c>
      <c r="N887">
        <v>5</v>
      </c>
      <c r="O887" s="4">
        <v>7800</v>
      </c>
      <c r="P887" s="4">
        <v>9800</v>
      </c>
      <c r="Q887" s="7">
        <v>0.15</v>
      </c>
      <c r="R887" t="s">
        <v>173</v>
      </c>
      <c r="S887">
        <v>7</v>
      </c>
      <c r="T887">
        <v>49000</v>
      </c>
      <c r="U887">
        <v>7350</v>
      </c>
      <c r="V887">
        <v>41650</v>
      </c>
      <c r="W887">
        <v>39000</v>
      </c>
      <c r="X887">
        <v>2650</v>
      </c>
      <c r="Y887" s="8">
        <v>6.3625450180072027E-2</v>
      </c>
      <c r="Z887" t="s">
        <v>2995</v>
      </c>
      <c r="AA887" t="str">
        <f>IF(AND(SalesCleanTable[[#This Row],[Discount %]]&gt;0, SalesCleanTable[[#This Row],[Profit]]&lt;0), "Discount loss", "Safe")</f>
        <v>Safe</v>
      </c>
      <c r="AB887" s="25">
        <f>(SalesCleanTable[[#This Row],[Unit Price]] - SalesCleanTable[[#This Row],[Unit Cost]]) / SalesCleanTable[[#This Row],[Unit Price]]</f>
        <v>0.20408163265306123</v>
      </c>
      <c r="AC887" t="str">
        <f>IF(SalesCleanTable[[#This Row],[Discount %]] &gt; SalesCleanTable[[#This Row],[Max Allowed Discount]], "Discount loss", "Safe")</f>
        <v>Safe</v>
      </c>
      <c r="AD887" s="4">
        <f>SalesCleanTable[[#This Row],[Unit Price]] - SalesCleanTable[[#This Row],[Unit Cost]]</f>
        <v>2000</v>
      </c>
      <c r="AE887" s="41">
        <f>(SalesCleanTable[[#This Row],[Unit Price]] - SalesCleanTable[[#This Row],[Unit Cost]]) / SalesCleanTable[[#This Row],[Unit Price]]</f>
        <v>0.20408163265306123</v>
      </c>
    </row>
    <row r="888" spans="1:31">
      <c r="A888" t="s">
        <v>1074</v>
      </c>
      <c r="B888" s="6">
        <v>45661</v>
      </c>
      <c r="C888" t="s">
        <v>120</v>
      </c>
      <c r="D888" t="s">
        <v>121</v>
      </c>
      <c r="E888" t="s">
        <v>109</v>
      </c>
      <c r="F888" t="s">
        <v>93</v>
      </c>
      <c r="G888" t="s">
        <v>122</v>
      </c>
      <c r="H888" t="s">
        <v>149</v>
      </c>
      <c r="I888" t="s">
        <v>150</v>
      </c>
      <c r="J888" t="s">
        <v>151</v>
      </c>
      <c r="K888" t="s">
        <v>152</v>
      </c>
      <c r="L888" t="s">
        <v>183</v>
      </c>
      <c r="M888" t="s">
        <v>171</v>
      </c>
      <c r="N888">
        <v>1</v>
      </c>
      <c r="O888" s="4">
        <v>1700</v>
      </c>
      <c r="P888" s="4">
        <v>2800</v>
      </c>
      <c r="Q888" s="7">
        <v>0</v>
      </c>
      <c r="R888" t="s">
        <v>184</v>
      </c>
      <c r="S888">
        <v>5</v>
      </c>
      <c r="T888">
        <v>2800</v>
      </c>
      <c r="U888">
        <v>0</v>
      </c>
      <c r="V888">
        <v>2800</v>
      </c>
      <c r="W888">
        <v>1700</v>
      </c>
      <c r="X888">
        <v>1100</v>
      </c>
      <c r="Y888" s="8">
        <v>0.39285714285714285</v>
      </c>
      <c r="Z888" t="s">
        <v>2997</v>
      </c>
      <c r="AA888" t="str">
        <f>IF(AND(SalesCleanTable[[#This Row],[Discount %]]&gt;0, SalesCleanTable[[#This Row],[Profit]]&lt;0), "Discount loss", "Safe")</f>
        <v>Safe</v>
      </c>
      <c r="AB888" s="25">
        <f>(SalesCleanTable[[#This Row],[Unit Price]] - SalesCleanTable[[#This Row],[Unit Cost]]) / SalesCleanTable[[#This Row],[Unit Price]]</f>
        <v>0.39285714285714285</v>
      </c>
      <c r="AC888" t="str">
        <f>IF(SalesCleanTable[[#This Row],[Discount %]] &gt; SalesCleanTable[[#This Row],[Max Allowed Discount]], "Discount loss", "Safe")</f>
        <v>Safe</v>
      </c>
      <c r="AD888" s="4">
        <f>SalesCleanTable[[#This Row],[Unit Price]] - SalesCleanTable[[#This Row],[Unit Cost]]</f>
        <v>1100</v>
      </c>
      <c r="AE888" s="41">
        <f>(SalesCleanTable[[#This Row],[Unit Price]] - SalesCleanTable[[#This Row],[Unit Cost]]) / SalesCleanTable[[#This Row],[Unit Price]]</f>
        <v>0.39285714285714285</v>
      </c>
    </row>
    <row r="889" spans="1:31">
      <c r="A889" t="s">
        <v>1075</v>
      </c>
      <c r="B889" s="6">
        <v>45745</v>
      </c>
      <c r="C889" t="s">
        <v>36</v>
      </c>
      <c r="D889" t="s">
        <v>37</v>
      </c>
      <c r="E889" t="s">
        <v>38</v>
      </c>
      <c r="F889" t="s">
        <v>39</v>
      </c>
      <c r="G889" t="s">
        <v>40</v>
      </c>
      <c r="H889" t="s">
        <v>133</v>
      </c>
      <c r="I889" t="s">
        <v>134</v>
      </c>
      <c r="J889" t="s">
        <v>130</v>
      </c>
      <c r="K889" t="s">
        <v>131</v>
      </c>
      <c r="L889" t="s">
        <v>166</v>
      </c>
      <c r="M889" t="s">
        <v>177</v>
      </c>
      <c r="N889">
        <v>1</v>
      </c>
      <c r="O889" s="4">
        <v>1650</v>
      </c>
      <c r="P889" s="4">
        <v>2200</v>
      </c>
      <c r="Q889" s="7">
        <v>0.05</v>
      </c>
      <c r="R889" t="s">
        <v>168</v>
      </c>
      <c r="S889">
        <v>14</v>
      </c>
      <c r="T889">
        <v>2200</v>
      </c>
      <c r="U889">
        <v>110</v>
      </c>
      <c r="V889">
        <v>2090</v>
      </c>
      <c r="W889">
        <v>1650</v>
      </c>
      <c r="X889">
        <v>440</v>
      </c>
      <c r="Y889" s="8">
        <v>0.21052631578947367</v>
      </c>
      <c r="Z889" t="s">
        <v>2995</v>
      </c>
      <c r="AA889" t="str">
        <f>IF(AND(SalesCleanTable[[#This Row],[Discount %]]&gt;0, SalesCleanTable[[#This Row],[Profit]]&lt;0), "Discount loss", "Safe")</f>
        <v>Safe</v>
      </c>
      <c r="AB889" s="25">
        <f>(SalesCleanTable[[#This Row],[Unit Price]] - SalesCleanTable[[#This Row],[Unit Cost]]) / SalesCleanTable[[#This Row],[Unit Price]]</f>
        <v>0.25</v>
      </c>
      <c r="AC889" t="str">
        <f>IF(SalesCleanTable[[#This Row],[Discount %]] &gt; SalesCleanTable[[#This Row],[Max Allowed Discount]], "Discount loss", "Safe")</f>
        <v>Safe</v>
      </c>
      <c r="AD889" s="4">
        <f>SalesCleanTable[[#This Row],[Unit Price]] - SalesCleanTable[[#This Row],[Unit Cost]]</f>
        <v>550</v>
      </c>
      <c r="AE889" s="41">
        <f>(SalesCleanTable[[#This Row],[Unit Price]] - SalesCleanTable[[#This Row],[Unit Cost]]) / SalesCleanTable[[#This Row],[Unit Price]]</f>
        <v>0.25</v>
      </c>
    </row>
    <row r="890" spans="1:31">
      <c r="A890" t="s">
        <v>1076</v>
      </c>
      <c r="B890" s="6">
        <v>45760</v>
      </c>
      <c r="C890" t="s">
        <v>29</v>
      </c>
      <c r="D890" t="s">
        <v>30</v>
      </c>
      <c r="E890" t="s">
        <v>26</v>
      </c>
      <c r="F890" t="s">
        <v>27</v>
      </c>
      <c r="G890" t="s">
        <v>31</v>
      </c>
      <c r="H890" t="s">
        <v>133</v>
      </c>
      <c r="I890" t="s">
        <v>134</v>
      </c>
      <c r="J890" t="s">
        <v>130</v>
      </c>
      <c r="K890" t="s">
        <v>131</v>
      </c>
      <c r="L890" t="s">
        <v>183</v>
      </c>
      <c r="M890" t="s">
        <v>186</v>
      </c>
      <c r="N890">
        <v>4</v>
      </c>
      <c r="O890" s="4">
        <v>6200</v>
      </c>
      <c r="P890" s="4">
        <v>7900</v>
      </c>
      <c r="Q890" s="7">
        <v>0</v>
      </c>
      <c r="R890" t="s">
        <v>173</v>
      </c>
      <c r="S890">
        <v>10</v>
      </c>
      <c r="T890">
        <v>31600</v>
      </c>
      <c r="U890">
        <v>0</v>
      </c>
      <c r="V890">
        <v>31600</v>
      </c>
      <c r="W890">
        <v>24800</v>
      </c>
      <c r="X890">
        <v>6800</v>
      </c>
      <c r="Y890" s="8">
        <v>0.21518987341772153</v>
      </c>
      <c r="Z890" t="s">
        <v>2996</v>
      </c>
      <c r="AA890" t="str">
        <f>IF(AND(SalesCleanTable[[#This Row],[Discount %]]&gt;0, SalesCleanTable[[#This Row],[Profit]]&lt;0), "Discount loss", "Safe")</f>
        <v>Safe</v>
      </c>
      <c r="AB890" s="25">
        <f>(SalesCleanTable[[#This Row],[Unit Price]] - SalesCleanTable[[#This Row],[Unit Cost]]) / SalesCleanTable[[#This Row],[Unit Price]]</f>
        <v>0.21518987341772153</v>
      </c>
      <c r="AC890" t="str">
        <f>IF(SalesCleanTable[[#This Row],[Discount %]] &gt; SalesCleanTable[[#This Row],[Max Allowed Discount]], "Discount loss", "Safe")</f>
        <v>Safe</v>
      </c>
      <c r="AD890" s="4">
        <f>SalesCleanTable[[#This Row],[Unit Price]] - SalesCleanTable[[#This Row],[Unit Cost]]</f>
        <v>1700</v>
      </c>
      <c r="AE890" s="41">
        <f>(SalesCleanTable[[#This Row],[Unit Price]] - SalesCleanTable[[#This Row],[Unit Cost]]) / SalesCleanTable[[#This Row],[Unit Price]]</f>
        <v>0.21518987341772153</v>
      </c>
    </row>
    <row r="891" spans="1:31">
      <c r="A891" t="s">
        <v>1077</v>
      </c>
      <c r="B891" s="6">
        <v>45983</v>
      </c>
      <c r="C891" t="s">
        <v>36</v>
      </c>
      <c r="D891" t="s">
        <v>37</v>
      </c>
      <c r="E891" t="s">
        <v>38</v>
      </c>
      <c r="F891" t="s">
        <v>39</v>
      </c>
      <c r="G891" t="s">
        <v>40</v>
      </c>
      <c r="H891" t="s">
        <v>135</v>
      </c>
      <c r="I891" t="s">
        <v>136</v>
      </c>
      <c r="J891" t="s">
        <v>137</v>
      </c>
      <c r="K891" t="s">
        <v>138</v>
      </c>
      <c r="L891" t="s">
        <v>166</v>
      </c>
      <c r="M891" t="s">
        <v>171</v>
      </c>
      <c r="N891">
        <v>2</v>
      </c>
      <c r="O891" s="4">
        <v>1650</v>
      </c>
      <c r="P891" s="4">
        <v>2200</v>
      </c>
      <c r="Q891" s="7">
        <v>0</v>
      </c>
      <c r="R891" t="s">
        <v>175</v>
      </c>
      <c r="S891">
        <v>8</v>
      </c>
      <c r="T891">
        <v>4400</v>
      </c>
      <c r="U891">
        <v>0</v>
      </c>
      <c r="V891">
        <v>4400</v>
      </c>
      <c r="W891">
        <v>3300</v>
      </c>
      <c r="X891">
        <v>1100</v>
      </c>
      <c r="Y891" s="8">
        <v>0.25</v>
      </c>
      <c r="Z891" t="s">
        <v>2995</v>
      </c>
      <c r="AA891" t="str">
        <f>IF(AND(SalesCleanTable[[#This Row],[Discount %]]&gt;0, SalesCleanTable[[#This Row],[Profit]]&lt;0), "Discount loss", "Safe")</f>
        <v>Safe</v>
      </c>
      <c r="AB891" s="25">
        <f>(SalesCleanTable[[#This Row],[Unit Price]] - SalesCleanTable[[#This Row],[Unit Cost]]) / SalesCleanTable[[#This Row],[Unit Price]]</f>
        <v>0.25</v>
      </c>
      <c r="AC891" t="str">
        <f>IF(SalesCleanTable[[#This Row],[Discount %]] &gt; SalesCleanTable[[#This Row],[Max Allowed Discount]], "Discount loss", "Safe")</f>
        <v>Safe</v>
      </c>
      <c r="AD891" s="4">
        <f>SalesCleanTable[[#This Row],[Unit Price]] - SalesCleanTable[[#This Row],[Unit Cost]]</f>
        <v>550</v>
      </c>
      <c r="AE891" s="41">
        <f>(SalesCleanTable[[#This Row],[Unit Price]] - SalesCleanTable[[#This Row],[Unit Cost]]) / SalesCleanTable[[#This Row],[Unit Price]]</f>
        <v>0.25</v>
      </c>
    </row>
    <row r="892" spans="1:31">
      <c r="A892" t="s">
        <v>1078</v>
      </c>
      <c r="B892" s="6">
        <v>45709</v>
      </c>
      <c r="C892" t="s">
        <v>24</v>
      </c>
      <c r="D892" t="s">
        <v>25</v>
      </c>
      <c r="E892" t="s">
        <v>26</v>
      </c>
      <c r="F892" t="s">
        <v>27</v>
      </c>
      <c r="G892" t="s">
        <v>28</v>
      </c>
      <c r="H892" t="s">
        <v>135</v>
      </c>
      <c r="I892" t="s">
        <v>136</v>
      </c>
      <c r="J892" t="s">
        <v>137</v>
      </c>
      <c r="K892" t="s">
        <v>138</v>
      </c>
      <c r="L892" t="s">
        <v>183</v>
      </c>
      <c r="M892" t="s">
        <v>177</v>
      </c>
      <c r="N892">
        <v>8</v>
      </c>
      <c r="O892" s="4">
        <v>14500</v>
      </c>
      <c r="P892" s="4">
        <v>17500</v>
      </c>
      <c r="Q892" s="7">
        <v>0.1</v>
      </c>
      <c r="R892" t="s">
        <v>197</v>
      </c>
      <c r="S892">
        <v>9</v>
      </c>
      <c r="T892">
        <v>140000</v>
      </c>
      <c r="U892">
        <v>14000</v>
      </c>
      <c r="V892">
        <v>126000</v>
      </c>
      <c r="W892">
        <v>116000</v>
      </c>
      <c r="X892">
        <v>10000</v>
      </c>
      <c r="Y892" s="8">
        <v>7.9365079365079361E-2</v>
      </c>
      <c r="Z892" t="s">
        <v>2995</v>
      </c>
      <c r="AA892" t="str">
        <f>IF(AND(SalesCleanTable[[#This Row],[Discount %]]&gt;0, SalesCleanTable[[#This Row],[Profit]]&lt;0), "Discount loss", "Safe")</f>
        <v>Safe</v>
      </c>
      <c r="AB892" s="25">
        <f>(SalesCleanTable[[#This Row],[Unit Price]] - SalesCleanTable[[#This Row],[Unit Cost]]) / SalesCleanTable[[#This Row],[Unit Price]]</f>
        <v>0.17142857142857143</v>
      </c>
      <c r="AC892" t="str">
        <f>IF(SalesCleanTable[[#This Row],[Discount %]] &gt; SalesCleanTable[[#This Row],[Max Allowed Discount]], "Discount loss", "Safe")</f>
        <v>Safe</v>
      </c>
      <c r="AD892" s="4">
        <f>SalesCleanTable[[#This Row],[Unit Price]] - SalesCleanTable[[#This Row],[Unit Cost]]</f>
        <v>3000</v>
      </c>
      <c r="AE892" s="41">
        <f>(SalesCleanTable[[#This Row],[Unit Price]] - SalesCleanTable[[#This Row],[Unit Cost]]) / SalesCleanTable[[#This Row],[Unit Price]]</f>
        <v>0.17142857142857143</v>
      </c>
    </row>
    <row r="893" spans="1:31">
      <c r="A893" t="s">
        <v>1079</v>
      </c>
      <c r="B893" s="6">
        <v>45850</v>
      </c>
      <c r="C893" t="s">
        <v>69</v>
      </c>
      <c r="D893" t="s">
        <v>70</v>
      </c>
      <c r="E893" t="s">
        <v>59</v>
      </c>
      <c r="F893" t="s">
        <v>71</v>
      </c>
      <c r="G893" t="s">
        <v>72</v>
      </c>
      <c r="H893" t="s">
        <v>153</v>
      </c>
      <c r="I893" t="s">
        <v>154</v>
      </c>
      <c r="J893" t="s">
        <v>155</v>
      </c>
      <c r="K893" t="s">
        <v>131</v>
      </c>
      <c r="L893" t="s">
        <v>166</v>
      </c>
      <c r="M893" t="s">
        <v>186</v>
      </c>
      <c r="N893">
        <v>4</v>
      </c>
      <c r="O893" s="4">
        <v>1700</v>
      </c>
      <c r="P893" s="4">
        <v>2600</v>
      </c>
      <c r="Q893" s="7">
        <v>0.2</v>
      </c>
      <c r="R893" t="s">
        <v>204</v>
      </c>
      <c r="S893">
        <v>6</v>
      </c>
      <c r="T893">
        <v>10400</v>
      </c>
      <c r="U893">
        <v>2080</v>
      </c>
      <c r="V893">
        <v>8320</v>
      </c>
      <c r="W893">
        <v>6800</v>
      </c>
      <c r="X893">
        <v>1520</v>
      </c>
      <c r="Y893" s="8">
        <v>0.18269230769230768</v>
      </c>
      <c r="Z893" t="s">
        <v>2997</v>
      </c>
      <c r="AA893" t="str">
        <f>IF(AND(SalesCleanTable[[#This Row],[Discount %]]&gt;0, SalesCleanTable[[#This Row],[Profit]]&lt;0), "Discount loss", "Safe")</f>
        <v>Safe</v>
      </c>
      <c r="AB893" s="25">
        <f>(SalesCleanTable[[#This Row],[Unit Price]] - SalesCleanTable[[#This Row],[Unit Cost]]) / SalesCleanTable[[#This Row],[Unit Price]]</f>
        <v>0.34615384615384615</v>
      </c>
      <c r="AC893" t="str">
        <f>IF(SalesCleanTable[[#This Row],[Discount %]] &gt; SalesCleanTable[[#This Row],[Max Allowed Discount]], "Discount loss", "Safe")</f>
        <v>Safe</v>
      </c>
      <c r="AD893" s="4">
        <f>SalesCleanTable[[#This Row],[Unit Price]] - SalesCleanTable[[#This Row],[Unit Cost]]</f>
        <v>900</v>
      </c>
      <c r="AE893" s="41">
        <f>(SalesCleanTable[[#This Row],[Unit Price]] - SalesCleanTable[[#This Row],[Unit Cost]]) / SalesCleanTable[[#This Row],[Unit Price]]</f>
        <v>0.34615384615384615</v>
      </c>
    </row>
    <row r="894" spans="1:31">
      <c r="A894" t="s">
        <v>1080</v>
      </c>
      <c r="B894" s="6">
        <v>45833</v>
      </c>
      <c r="C894" t="s">
        <v>120</v>
      </c>
      <c r="D894" t="s">
        <v>121</v>
      </c>
      <c r="E894" t="s">
        <v>109</v>
      </c>
      <c r="F894" t="s">
        <v>93</v>
      </c>
      <c r="G894" t="s">
        <v>122</v>
      </c>
      <c r="H894" t="s">
        <v>149</v>
      </c>
      <c r="I894" t="s">
        <v>150</v>
      </c>
      <c r="J894" t="s">
        <v>151</v>
      </c>
      <c r="K894" t="s">
        <v>152</v>
      </c>
      <c r="L894" t="s">
        <v>166</v>
      </c>
      <c r="M894" t="s">
        <v>177</v>
      </c>
      <c r="N894">
        <v>8</v>
      </c>
      <c r="O894" s="4">
        <v>1700</v>
      </c>
      <c r="P894" s="4">
        <v>2800</v>
      </c>
      <c r="Q894" s="7">
        <v>0.2</v>
      </c>
      <c r="R894" t="s">
        <v>220</v>
      </c>
      <c r="S894">
        <v>14</v>
      </c>
      <c r="T894">
        <v>22400</v>
      </c>
      <c r="U894">
        <v>4480</v>
      </c>
      <c r="V894">
        <v>17920</v>
      </c>
      <c r="W894">
        <v>13600</v>
      </c>
      <c r="X894">
        <v>4320</v>
      </c>
      <c r="Y894" s="8">
        <v>0.24107142857142858</v>
      </c>
      <c r="Z894" t="s">
        <v>2997</v>
      </c>
      <c r="AA894" t="str">
        <f>IF(AND(SalesCleanTable[[#This Row],[Discount %]]&gt;0, SalesCleanTable[[#This Row],[Profit]]&lt;0), "Discount loss", "Safe")</f>
        <v>Safe</v>
      </c>
      <c r="AB894" s="25">
        <f>(SalesCleanTable[[#This Row],[Unit Price]] - SalesCleanTable[[#This Row],[Unit Cost]]) / SalesCleanTable[[#This Row],[Unit Price]]</f>
        <v>0.39285714285714285</v>
      </c>
      <c r="AC894" t="str">
        <f>IF(SalesCleanTable[[#This Row],[Discount %]] &gt; SalesCleanTable[[#This Row],[Max Allowed Discount]], "Discount loss", "Safe")</f>
        <v>Safe</v>
      </c>
      <c r="AD894" s="4">
        <f>SalesCleanTable[[#This Row],[Unit Price]] - SalesCleanTable[[#This Row],[Unit Cost]]</f>
        <v>1100</v>
      </c>
      <c r="AE894" s="41">
        <f>(SalesCleanTable[[#This Row],[Unit Price]] - SalesCleanTable[[#This Row],[Unit Cost]]) / SalesCleanTable[[#This Row],[Unit Price]]</f>
        <v>0.39285714285714285</v>
      </c>
    </row>
    <row r="895" spans="1:31">
      <c r="A895" t="s">
        <v>1081</v>
      </c>
      <c r="B895" s="6">
        <v>45709</v>
      </c>
      <c r="C895" t="s">
        <v>24</v>
      </c>
      <c r="D895" t="s">
        <v>25</v>
      </c>
      <c r="E895" t="s">
        <v>26</v>
      </c>
      <c r="F895" t="s">
        <v>27</v>
      </c>
      <c r="G895" t="s">
        <v>28</v>
      </c>
      <c r="H895" t="s">
        <v>149</v>
      </c>
      <c r="I895" t="s">
        <v>150</v>
      </c>
      <c r="J895" t="s">
        <v>151</v>
      </c>
      <c r="K895" t="s">
        <v>152</v>
      </c>
      <c r="L895" t="s">
        <v>170</v>
      </c>
      <c r="M895" t="s">
        <v>177</v>
      </c>
      <c r="N895">
        <v>2</v>
      </c>
      <c r="O895" s="4">
        <v>14500</v>
      </c>
      <c r="P895" s="4">
        <v>17500</v>
      </c>
      <c r="Q895" s="7">
        <v>0.15</v>
      </c>
      <c r="R895" t="s">
        <v>197</v>
      </c>
      <c r="S895">
        <v>14</v>
      </c>
      <c r="T895">
        <v>35000</v>
      </c>
      <c r="U895">
        <v>5250</v>
      </c>
      <c r="V895">
        <v>29750</v>
      </c>
      <c r="W895">
        <v>29000</v>
      </c>
      <c r="X895">
        <v>750</v>
      </c>
      <c r="Y895" s="8">
        <v>2.5210084033613446E-2</v>
      </c>
      <c r="Z895" t="s">
        <v>2995</v>
      </c>
      <c r="AA895" t="str">
        <f>IF(AND(SalesCleanTable[[#This Row],[Discount %]]&gt;0, SalesCleanTable[[#This Row],[Profit]]&lt;0), "Discount loss", "Safe")</f>
        <v>Safe</v>
      </c>
      <c r="AB895" s="25">
        <f>(SalesCleanTable[[#This Row],[Unit Price]] - SalesCleanTable[[#This Row],[Unit Cost]]) / SalesCleanTable[[#This Row],[Unit Price]]</f>
        <v>0.17142857142857143</v>
      </c>
      <c r="AC895" t="str">
        <f>IF(SalesCleanTable[[#This Row],[Discount %]] &gt; SalesCleanTable[[#This Row],[Max Allowed Discount]], "Discount loss", "Safe")</f>
        <v>Safe</v>
      </c>
      <c r="AD895" s="4">
        <f>SalesCleanTable[[#This Row],[Unit Price]] - SalesCleanTable[[#This Row],[Unit Cost]]</f>
        <v>3000</v>
      </c>
      <c r="AE895" s="41">
        <f>(SalesCleanTable[[#This Row],[Unit Price]] - SalesCleanTable[[#This Row],[Unit Cost]]) / SalesCleanTable[[#This Row],[Unit Price]]</f>
        <v>0.17142857142857143</v>
      </c>
    </row>
    <row r="896" spans="1:31">
      <c r="A896" t="s">
        <v>1082</v>
      </c>
      <c r="B896" s="6">
        <v>46016</v>
      </c>
      <c r="C896" t="s">
        <v>82</v>
      </c>
      <c r="D896" t="s">
        <v>83</v>
      </c>
      <c r="E896" t="s">
        <v>75</v>
      </c>
      <c r="F896" t="s">
        <v>84</v>
      </c>
      <c r="G896" t="s">
        <v>85</v>
      </c>
      <c r="H896" t="s">
        <v>135</v>
      </c>
      <c r="I896" t="s">
        <v>136</v>
      </c>
      <c r="J896" t="s">
        <v>137</v>
      </c>
      <c r="K896" t="s">
        <v>138</v>
      </c>
      <c r="L896" t="s">
        <v>183</v>
      </c>
      <c r="M896" t="s">
        <v>186</v>
      </c>
      <c r="N896">
        <v>-2</v>
      </c>
      <c r="O896" s="4">
        <v>600</v>
      </c>
      <c r="P896" s="4">
        <v>950</v>
      </c>
      <c r="Q896" s="7">
        <v>0.1</v>
      </c>
      <c r="R896" t="s">
        <v>204</v>
      </c>
      <c r="S896">
        <v>4</v>
      </c>
      <c r="T896">
        <v>-1900</v>
      </c>
      <c r="U896">
        <v>-190</v>
      </c>
      <c r="V896">
        <v>-1710</v>
      </c>
      <c r="W896">
        <v>-1200</v>
      </c>
      <c r="X896">
        <v>-510</v>
      </c>
      <c r="Y896" s="8">
        <v>0.2982456140350877</v>
      </c>
      <c r="Z896" t="s">
        <v>2996</v>
      </c>
      <c r="AA896" t="str">
        <f>IF(AND(SalesCleanTable[[#This Row],[Discount %]]&gt;0, SalesCleanTable[[#This Row],[Profit]]&lt;0), "Discount loss", "Safe")</f>
        <v>Discount loss</v>
      </c>
      <c r="AB896" s="25">
        <f>(SalesCleanTable[[#This Row],[Unit Price]] - SalesCleanTable[[#This Row],[Unit Cost]]) / SalesCleanTable[[#This Row],[Unit Price]]</f>
        <v>0.36842105263157893</v>
      </c>
      <c r="AC896" t="str">
        <f>IF(SalesCleanTable[[#This Row],[Discount %]] &gt; SalesCleanTable[[#This Row],[Max Allowed Discount]], "Discount loss", "Safe")</f>
        <v>Safe</v>
      </c>
      <c r="AD896" s="4">
        <f>SalesCleanTable[[#This Row],[Unit Price]] - SalesCleanTable[[#This Row],[Unit Cost]]</f>
        <v>350</v>
      </c>
      <c r="AE896" s="41">
        <f>(SalesCleanTable[[#This Row],[Unit Price]] - SalesCleanTable[[#This Row],[Unit Cost]]) / SalesCleanTable[[#This Row],[Unit Price]]</f>
        <v>0.36842105263157893</v>
      </c>
    </row>
    <row r="897" spans="1:31">
      <c r="A897" t="s">
        <v>1083</v>
      </c>
      <c r="B897" s="6">
        <v>45822</v>
      </c>
      <c r="C897" t="s">
        <v>24</v>
      </c>
      <c r="D897" t="s">
        <v>25</v>
      </c>
      <c r="E897" t="s">
        <v>26</v>
      </c>
      <c r="F897" t="s">
        <v>27</v>
      </c>
      <c r="G897" t="s">
        <v>28</v>
      </c>
      <c r="H897" t="s">
        <v>135</v>
      </c>
      <c r="I897" t="s">
        <v>136</v>
      </c>
      <c r="J897" t="s">
        <v>137</v>
      </c>
      <c r="K897" t="s">
        <v>138</v>
      </c>
      <c r="L897" t="s">
        <v>166</v>
      </c>
      <c r="M897" t="s">
        <v>186</v>
      </c>
      <c r="N897">
        <v>1</v>
      </c>
      <c r="O897" s="4">
        <v>14500</v>
      </c>
      <c r="P897" s="4">
        <v>17500</v>
      </c>
      <c r="Q897" s="7">
        <v>0.15</v>
      </c>
      <c r="R897" t="s">
        <v>173</v>
      </c>
      <c r="S897">
        <v>8</v>
      </c>
      <c r="T897">
        <v>17500</v>
      </c>
      <c r="U897">
        <v>2625</v>
      </c>
      <c r="V897">
        <v>14875</v>
      </c>
      <c r="W897">
        <v>14500</v>
      </c>
      <c r="X897">
        <v>375</v>
      </c>
      <c r="Y897" s="8">
        <v>2.5210084033613446E-2</v>
      </c>
      <c r="Z897" t="s">
        <v>2995</v>
      </c>
      <c r="AA897" t="str">
        <f>IF(AND(SalesCleanTable[[#This Row],[Discount %]]&gt;0, SalesCleanTable[[#This Row],[Profit]]&lt;0), "Discount loss", "Safe")</f>
        <v>Safe</v>
      </c>
      <c r="AB897" s="25">
        <f>(SalesCleanTable[[#This Row],[Unit Price]] - SalesCleanTable[[#This Row],[Unit Cost]]) / SalesCleanTable[[#This Row],[Unit Price]]</f>
        <v>0.17142857142857143</v>
      </c>
      <c r="AC897" t="str">
        <f>IF(SalesCleanTable[[#This Row],[Discount %]] &gt; SalesCleanTable[[#This Row],[Max Allowed Discount]], "Discount loss", "Safe")</f>
        <v>Safe</v>
      </c>
      <c r="AD897" s="4">
        <f>SalesCleanTable[[#This Row],[Unit Price]] - SalesCleanTable[[#This Row],[Unit Cost]]</f>
        <v>3000</v>
      </c>
      <c r="AE897" s="41">
        <f>(SalesCleanTable[[#This Row],[Unit Price]] - SalesCleanTable[[#This Row],[Unit Cost]]) / SalesCleanTable[[#This Row],[Unit Price]]</f>
        <v>0.17142857142857143</v>
      </c>
    </row>
    <row r="898" spans="1:31">
      <c r="A898" t="s">
        <v>1084</v>
      </c>
      <c r="B898" s="6">
        <v>45971</v>
      </c>
      <c r="C898" t="s">
        <v>95</v>
      </c>
      <c r="D898" t="s">
        <v>96</v>
      </c>
      <c r="E898" t="s">
        <v>92</v>
      </c>
      <c r="F898" t="s">
        <v>97</v>
      </c>
      <c r="G898" t="s">
        <v>98</v>
      </c>
      <c r="H898" t="s">
        <v>135</v>
      </c>
      <c r="I898" t="s">
        <v>136</v>
      </c>
      <c r="J898" t="s">
        <v>137</v>
      </c>
      <c r="K898" t="s">
        <v>138</v>
      </c>
      <c r="L898" t="s">
        <v>166</v>
      </c>
      <c r="M898" t="s">
        <v>171</v>
      </c>
      <c r="N898">
        <v>8</v>
      </c>
      <c r="O898" s="4">
        <v>18000</v>
      </c>
      <c r="P898" s="4">
        <v>24500</v>
      </c>
      <c r="Q898" s="7">
        <v>0.2</v>
      </c>
      <c r="R898" t="s">
        <v>215</v>
      </c>
      <c r="S898">
        <v>2</v>
      </c>
      <c r="T898">
        <v>196000</v>
      </c>
      <c r="U898">
        <v>39200</v>
      </c>
      <c r="V898">
        <v>156800</v>
      </c>
      <c r="W898">
        <v>144000</v>
      </c>
      <c r="X898">
        <v>12800</v>
      </c>
      <c r="Y898" s="8">
        <v>8.1632653061224483E-2</v>
      </c>
      <c r="Z898" t="s">
        <v>2995</v>
      </c>
      <c r="AA898" t="str">
        <f>IF(AND(SalesCleanTable[[#This Row],[Discount %]]&gt;0, SalesCleanTable[[#This Row],[Profit]]&lt;0), "Discount loss", "Safe")</f>
        <v>Safe</v>
      </c>
      <c r="AB898" s="25">
        <f>(SalesCleanTable[[#This Row],[Unit Price]] - SalesCleanTable[[#This Row],[Unit Cost]]) / SalesCleanTable[[#This Row],[Unit Price]]</f>
        <v>0.26530612244897961</v>
      </c>
      <c r="AC898" t="str">
        <f>IF(SalesCleanTable[[#This Row],[Discount %]] &gt; SalesCleanTable[[#This Row],[Max Allowed Discount]], "Discount loss", "Safe")</f>
        <v>Safe</v>
      </c>
      <c r="AD898" s="4">
        <f>SalesCleanTable[[#This Row],[Unit Price]] - SalesCleanTable[[#This Row],[Unit Cost]]</f>
        <v>6500</v>
      </c>
      <c r="AE898" s="41">
        <f>(SalesCleanTable[[#This Row],[Unit Price]] - SalesCleanTable[[#This Row],[Unit Cost]]) / SalesCleanTable[[#This Row],[Unit Price]]</f>
        <v>0.26530612244897961</v>
      </c>
    </row>
    <row r="899" spans="1:31">
      <c r="A899" t="s">
        <v>1085</v>
      </c>
      <c r="B899" s="6">
        <v>45808</v>
      </c>
      <c r="C899" t="s">
        <v>69</v>
      </c>
      <c r="D899" t="s">
        <v>70</v>
      </c>
      <c r="E899" t="s">
        <v>59</v>
      </c>
      <c r="F899" t="s">
        <v>71</v>
      </c>
      <c r="G899" t="s">
        <v>72</v>
      </c>
      <c r="H899" t="s">
        <v>145</v>
      </c>
      <c r="I899" t="s">
        <v>146</v>
      </c>
      <c r="J899" t="s">
        <v>147</v>
      </c>
      <c r="K899" t="s">
        <v>148</v>
      </c>
      <c r="L899" t="s">
        <v>183</v>
      </c>
      <c r="M899" t="s">
        <v>171</v>
      </c>
      <c r="N899">
        <v>6</v>
      </c>
      <c r="O899" s="4">
        <v>1700</v>
      </c>
      <c r="P899" s="4">
        <v>2600</v>
      </c>
      <c r="Q899" s="7">
        <v>0.15</v>
      </c>
      <c r="R899" t="s">
        <v>192</v>
      </c>
      <c r="S899">
        <v>3</v>
      </c>
      <c r="T899">
        <v>15600</v>
      </c>
      <c r="U899">
        <v>2340</v>
      </c>
      <c r="V899">
        <v>13260</v>
      </c>
      <c r="W899">
        <v>10200</v>
      </c>
      <c r="X899">
        <v>3060</v>
      </c>
      <c r="Y899" s="8">
        <v>0.23076923076923078</v>
      </c>
      <c r="Z899" t="s">
        <v>2997</v>
      </c>
      <c r="AA899" t="str">
        <f>IF(AND(SalesCleanTable[[#This Row],[Discount %]]&gt;0, SalesCleanTable[[#This Row],[Profit]]&lt;0), "Discount loss", "Safe")</f>
        <v>Safe</v>
      </c>
      <c r="AB899" s="25">
        <f>(SalesCleanTable[[#This Row],[Unit Price]] - SalesCleanTable[[#This Row],[Unit Cost]]) / SalesCleanTable[[#This Row],[Unit Price]]</f>
        <v>0.34615384615384615</v>
      </c>
      <c r="AC899" t="str">
        <f>IF(SalesCleanTable[[#This Row],[Discount %]] &gt; SalesCleanTable[[#This Row],[Max Allowed Discount]], "Discount loss", "Safe")</f>
        <v>Safe</v>
      </c>
      <c r="AD899" s="4">
        <f>SalesCleanTable[[#This Row],[Unit Price]] - SalesCleanTable[[#This Row],[Unit Cost]]</f>
        <v>900</v>
      </c>
      <c r="AE899" s="41">
        <f>(SalesCleanTable[[#This Row],[Unit Price]] - SalesCleanTable[[#This Row],[Unit Cost]]) / SalesCleanTable[[#This Row],[Unit Price]]</f>
        <v>0.34615384615384615</v>
      </c>
    </row>
    <row r="900" spans="1:31">
      <c r="A900" t="s">
        <v>1086</v>
      </c>
      <c r="B900" s="6">
        <v>45702</v>
      </c>
      <c r="C900" t="s">
        <v>45</v>
      </c>
      <c r="D900" t="s">
        <v>46</v>
      </c>
      <c r="E900" t="s">
        <v>38</v>
      </c>
      <c r="F900" t="s">
        <v>47</v>
      </c>
      <c r="G900" t="s">
        <v>48</v>
      </c>
      <c r="H900" t="s">
        <v>141</v>
      </c>
      <c r="I900" t="s">
        <v>142</v>
      </c>
      <c r="J900" t="s">
        <v>143</v>
      </c>
      <c r="K900" t="s">
        <v>144</v>
      </c>
      <c r="L900" t="s">
        <v>166</v>
      </c>
      <c r="M900" t="s">
        <v>186</v>
      </c>
      <c r="N900">
        <v>3</v>
      </c>
      <c r="O900" s="4">
        <v>230</v>
      </c>
      <c r="P900" s="4">
        <v>400</v>
      </c>
      <c r="Q900" s="7">
        <v>0.15</v>
      </c>
      <c r="R900" t="s">
        <v>178</v>
      </c>
      <c r="S900">
        <v>8</v>
      </c>
      <c r="T900">
        <v>1200</v>
      </c>
      <c r="U900">
        <v>180</v>
      </c>
      <c r="V900">
        <v>1020</v>
      </c>
      <c r="W900">
        <v>690</v>
      </c>
      <c r="X900">
        <v>330</v>
      </c>
      <c r="Y900" s="8">
        <v>0.3235294117647059</v>
      </c>
      <c r="Z900" t="s">
        <v>2995</v>
      </c>
      <c r="AA900" t="str">
        <f>IF(AND(SalesCleanTable[[#This Row],[Discount %]]&gt;0, SalesCleanTable[[#This Row],[Profit]]&lt;0), "Discount loss", "Safe")</f>
        <v>Safe</v>
      </c>
      <c r="AB900" s="25">
        <f>(SalesCleanTable[[#This Row],[Unit Price]] - SalesCleanTable[[#This Row],[Unit Cost]]) / SalesCleanTable[[#This Row],[Unit Price]]</f>
        <v>0.42499999999999999</v>
      </c>
      <c r="AC900" t="str">
        <f>IF(SalesCleanTable[[#This Row],[Discount %]] &gt; SalesCleanTable[[#This Row],[Max Allowed Discount]], "Discount loss", "Safe")</f>
        <v>Safe</v>
      </c>
      <c r="AD900" s="4">
        <f>SalesCleanTable[[#This Row],[Unit Price]] - SalesCleanTable[[#This Row],[Unit Cost]]</f>
        <v>170</v>
      </c>
      <c r="AE900" s="41">
        <f>(SalesCleanTable[[#This Row],[Unit Price]] - SalesCleanTable[[#This Row],[Unit Cost]]) / SalesCleanTable[[#This Row],[Unit Price]]</f>
        <v>0.42499999999999999</v>
      </c>
    </row>
    <row r="901" spans="1:31">
      <c r="A901" t="s">
        <v>1087</v>
      </c>
      <c r="B901" s="6">
        <v>45781</v>
      </c>
      <c r="C901" t="s">
        <v>41</v>
      </c>
      <c r="D901" t="s">
        <v>42</v>
      </c>
      <c r="E901" t="s">
        <v>26</v>
      </c>
      <c r="F901" t="s">
        <v>43</v>
      </c>
      <c r="G901" t="s">
        <v>44</v>
      </c>
      <c r="H901" t="s">
        <v>133</v>
      </c>
      <c r="I901" t="s">
        <v>134</v>
      </c>
      <c r="J901" t="s">
        <v>130</v>
      </c>
      <c r="K901" t="s">
        <v>131</v>
      </c>
      <c r="L901" t="s">
        <v>166</v>
      </c>
      <c r="M901" t="s">
        <v>171</v>
      </c>
      <c r="N901">
        <v>8</v>
      </c>
      <c r="O901" s="4">
        <v>850</v>
      </c>
      <c r="P901" s="4">
        <v>1300</v>
      </c>
      <c r="Q901" s="7">
        <v>0.1</v>
      </c>
      <c r="R901" t="s">
        <v>197</v>
      </c>
      <c r="S901">
        <v>3</v>
      </c>
      <c r="T901">
        <v>10400</v>
      </c>
      <c r="U901">
        <v>1040</v>
      </c>
      <c r="V901">
        <v>9360</v>
      </c>
      <c r="W901">
        <v>6800</v>
      </c>
      <c r="X901">
        <v>2560</v>
      </c>
      <c r="Y901" s="8">
        <v>0.27350427350427353</v>
      </c>
      <c r="Z901" t="s">
        <v>2995</v>
      </c>
      <c r="AA901" t="str">
        <f>IF(AND(SalesCleanTable[[#This Row],[Discount %]]&gt;0, SalesCleanTable[[#This Row],[Profit]]&lt;0), "Discount loss", "Safe")</f>
        <v>Safe</v>
      </c>
      <c r="AB901" s="25">
        <f>(SalesCleanTable[[#This Row],[Unit Price]] - SalesCleanTable[[#This Row],[Unit Cost]]) / SalesCleanTable[[#This Row],[Unit Price]]</f>
        <v>0.34615384615384615</v>
      </c>
      <c r="AC901" t="str">
        <f>IF(SalesCleanTable[[#This Row],[Discount %]] &gt; SalesCleanTable[[#This Row],[Max Allowed Discount]], "Discount loss", "Safe")</f>
        <v>Safe</v>
      </c>
      <c r="AD901" s="4">
        <f>SalesCleanTable[[#This Row],[Unit Price]] - SalesCleanTable[[#This Row],[Unit Cost]]</f>
        <v>450</v>
      </c>
      <c r="AE901" s="41">
        <f>(SalesCleanTable[[#This Row],[Unit Price]] - SalesCleanTable[[#This Row],[Unit Cost]]) / SalesCleanTable[[#This Row],[Unit Price]]</f>
        <v>0.34615384615384615</v>
      </c>
    </row>
    <row r="902" spans="1:31">
      <c r="A902" t="s">
        <v>1088</v>
      </c>
      <c r="B902" s="6">
        <v>45825</v>
      </c>
      <c r="C902" t="s">
        <v>107</v>
      </c>
      <c r="D902" t="s">
        <v>108</v>
      </c>
      <c r="E902" t="s">
        <v>109</v>
      </c>
      <c r="F902" t="s">
        <v>110</v>
      </c>
      <c r="G902" t="s">
        <v>111</v>
      </c>
      <c r="H902" t="s">
        <v>145</v>
      </c>
      <c r="I902" t="s">
        <v>146</v>
      </c>
      <c r="J902" t="s">
        <v>147</v>
      </c>
      <c r="K902" t="s">
        <v>148</v>
      </c>
      <c r="L902" t="s">
        <v>166</v>
      </c>
      <c r="M902" t="s">
        <v>171</v>
      </c>
      <c r="N902">
        <v>2</v>
      </c>
      <c r="O902" s="4">
        <v>5200</v>
      </c>
      <c r="P902" s="4">
        <v>7000</v>
      </c>
      <c r="Q902" s="7">
        <v>0.1</v>
      </c>
      <c r="R902" t="s">
        <v>235</v>
      </c>
      <c r="S902">
        <v>11</v>
      </c>
      <c r="T902">
        <v>14000</v>
      </c>
      <c r="U902">
        <v>1400</v>
      </c>
      <c r="V902">
        <v>12600</v>
      </c>
      <c r="W902">
        <v>10400</v>
      </c>
      <c r="X902">
        <v>2200</v>
      </c>
      <c r="Y902" s="8">
        <v>0.17460317460317459</v>
      </c>
      <c r="Z902" t="s">
        <v>2997</v>
      </c>
      <c r="AA902" t="str">
        <f>IF(AND(SalesCleanTable[[#This Row],[Discount %]]&gt;0, SalesCleanTable[[#This Row],[Profit]]&lt;0), "Discount loss", "Safe")</f>
        <v>Safe</v>
      </c>
      <c r="AB902" s="25">
        <f>(SalesCleanTable[[#This Row],[Unit Price]] - SalesCleanTable[[#This Row],[Unit Cost]]) / SalesCleanTable[[#This Row],[Unit Price]]</f>
        <v>0.25714285714285712</v>
      </c>
      <c r="AC902" t="str">
        <f>IF(SalesCleanTable[[#This Row],[Discount %]] &gt; SalesCleanTable[[#This Row],[Max Allowed Discount]], "Discount loss", "Safe")</f>
        <v>Safe</v>
      </c>
      <c r="AD902" s="4">
        <f>SalesCleanTable[[#This Row],[Unit Price]] - SalesCleanTable[[#This Row],[Unit Cost]]</f>
        <v>1800</v>
      </c>
      <c r="AE902" s="41">
        <f>(SalesCleanTable[[#This Row],[Unit Price]] - SalesCleanTable[[#This Row],[Unit Cost]]) / SalesCleanTable[[#This Row],[Unit Price]]</f>
        <v>0.25714285714285712</v>
      </c>
    </row>
    <row r="903" spans="1:31">
      <c r="A903" t="s">
        <v>1089</v>
      </c>
      <c r="B903" s="6">
        <v>45931</v>
      </c>
      <c r="C903" t="s">
        <v>73</v>
      </c>
      <c r="D903" t="s">
        <v>74</v>
      </c>
      <c r="E903" t="s">
        <v>75</v>
      </c>
      <c r="F903" t="s">
        <v>76</v>
      </c>
      <c r="G903" t="s">
        <v>77</v>
      </c>
      <c r="H903" t="s">
        <v>139</v>
      </c>
      <c r="I903" t="s">
        <v>140</v>
      </c>
      <c r="J903" t="s">
        <v>137</v>
      </c>
      <c r="K903" t="s">
        <v>138</v>
      </c>
      <c r="L903" t="s">
        <v>166</v>
      </c>
      <c r="M903" t="s">
        <v>171</v>
      </c>
      <c r="N903">
        <v>5</v>
      </c>
      <c r="O903" s="4">
        <v>3500</v>
      </c>
      <c r="P903" s="4">
        <v>5200</v>
      </c>
      <c r="Q903" s="7">
        <v>0.05</v>
      </c>
      <c r="R903" t="s">
        <v>204</v>
      </c>
      <c r="S903">
        <v>2</v>
      </c>
      <c r="T903">
        <v>26000</v>
      </c>
      <c r="U903">
        <v>1300</v>
      </c>
      <c r="V903">
        <v>24700</v>
      </c>
      <c r="W903">
        <v>17500</v>
      </c>
      <c r="X903">
        <v>7200</v>
      </c>
      <c r="Y903" s="8">
        <v>0.291497975708502</v>
      </c>
      <c r="Z903" t="s">
        <v>2996</v>
      </c>
      <c r="AA903" t="str">
        <f>IF(AND(SalesCleanTable[[#This Row],[Discount %]]&gt;0, SalesCleanTable[[#This Row],[Profit]]&lt;0), "Discount loss", "Safe")</f>
        <v>Safe</v>
      </c>
      <c r="AB903" s="25">
        <f>(SalesCleanTable[[#This Row],[Unit Price]] - SalesCleanTable[[#This Row],[Unit Cost]]) / SalesCleanTable[[#This Row],[Unit Price]]</f>
        <v>0.32692307692307693</v>
      </c>
      <c r="AC903" t="str">
        <f>IF(SalesCleanTable[[#This Row],[Discount %]] &gt; SalesCleanTable[[#This Row],[Max Allowed Discount]], "Discount loss", "Safe")</f>
        <v>Safe</v>
      </c>
      <c r="AD903" s="4">
        <f>SalesCleanTable[[#This Row],[Unit Price]] - SalesCleanTable[[#This Row],[Unit Cost]]</f>
        <v>1700</v>
      </c>
      <c r="AE903" s="41">
        <f>(SalesCleanTable[[#This Row],[Unit Price]] - SalesCleanTable[[#This Row],[Unit Cost]]) / SalesCleanTable[[#This Row],[Unit Price]]</f>
        <v>0.32692307692307693</v>
      </c>
    </row>
    <row r="904" spans="1:31">
      <c r="A904" t="s">
        <v>1090</v>
      </c>
      <c r="B904" s="6">
        <v>45851</v>
      </c>
      <c r="C904" t="s">
        <v>107</v>
      </c>
      <c r="D904" t="s">
        <v>108</v>
      </c>
      <c r="E904" t="s">
        <v>109</v>
      </c>
      <c r="F904" t="s">
        <v>110</v>
      </c>
      <c r="G904" t="s">
        <v>111</v>
      </c>
      <c r="H904" t="s">
        <v>145</v>
      </c>
      <c r="I904" t="s">
        <v>146</v>
      </c>
      <c r="J904" t="s">
        <v>147</v>
      </c>
      <c r="K904" t="s">
        <v>148</v>
      </c>
      <c r="L904" t="s">
        <v>183</v>
      </c>
      <c r="M904" t="s">
        <v>171</v>
      </c>
      <c r="N904">
        <v>4</v>
      </c>
      <c r="O904" s="4">
        <v>5200</v>
      </c>
      <c r="P904" s="4">
        <v>7000</v>
      </c>
      <c r="Q904" s="7">
        <v>0.2</v>
      </c>
      <c r="R904" t="s">
        <v>220</v>
      </c>
      <c r="S904">
        <v>13</v>
      </c>
      <c r="T904">
        <v>28000</v>
      </c>
      <c r="U904">
        <v>5600</v>
      </c>
      <c r="V904">
        <v>22400</v>
      </c>
      <c r="W904">
        <v>20800</v>
      </c>
      <c r="X904">
        <v>1600</v>
      </c>
      <c r="Y904" s="8">
        <v>7.1428571428571425E-2</v>
      </c>
      <c r="Z904" t="s">
        <v>2997</v>
      </c>
      <c r="AA904" t="str">
        <f>IF(AND(SalesCleanTable[[#This Row],[Discount %]]&gt;0, SalesCleanTable[[#This Row],[Profit]]&lt;0), "Discount loss", "Safe")</f>
        <v>Safe</v>
      </c>
      <c r="AB904" s="25">
        <f>(SalesCleanTable[[#This Row],[Unit Price]] - SalesCleanTable[[#This Row],[Unit Cost]]) / SalesCleanTable[[#This Row],[Unit Price]]</f>
        <v>0.25714285714285712</v>
      </c>
      <c r="AC904" t="str">
        <f>IF(SalesCleanTable[[#This Row],[Discount %]] &gt; SalesCleanTable[[#This Row],[Max Allowed Discount]], "Discount loss", "Safe")</f>
        <v>Safe</v>
      </c>
      <c r="AD904" s="4">
        <f>SalesCleanTable[[#This Row],[Unit Price]] - SalesCleanTable[[#This Row],[Unit Cost]]</f>
        <v>1800</v>
      </c>
      <c r="AE904" s="41">
        <f>(SalesCleanTable[[#This Row],[Unit Price]] - SalesCleanTable[[#This Row],[Unit Cost]]) / SalesCleanTable[[#This Row],[Unit Price]]</f>
        <v>0.25714285714285712</v>
      </c>
    </row>
    <row r="905" spans="1:31">
      <c r="A905" t="s">
        <v>1091</v>
      </c>
      <c r="B905" s="6">
        <v>45790</v>
      </c>
      <c r="C905" t="s">
        <v>32</v>
      </c>
      <c r="D905" t="s">
        <v>33</v>
      </c>
      <c r="E905" t="s">
        <v>26</v>
      </c>
      <c r="F905" t="s">
        <v>34</v>
      </c>
      <c r="G905" t="s">
        <v>35</v>
      </c>
      <c r="H905" t="s">
        <v>128</v>
      </c>
      <c r="I905" t="s">
        <v>129</v>
      </c>
      <c r="J905" t="s">
        <v>130</v>
      </c>
      <c r="K905" t="s">
        <v>131</v>
      </c>
      <c r="L905" t="s">
        <v>170</v>
      </c>
      <c r="M905" t="s">
        <v>171</v>
      </c>
      <c r="N905">
        <v>1</v>
      </c>
      <c r="O905" s="4">
        <v>7800</v>
      </c>
      <c r="P905" s="4">
        <v>9800</v>
      </c>
      <c r="Q905" s="7">
        <v>0.1</v>
      </c>
      <c r="R905" t="s">
        <v>197</v>
      </c>
      <c r="S905">
        <v>10</v>
      </c>
      <c r="T905">
        <v>9800</v>
      </c>
      <c r="U905">
        <v>980</v>
      </c>
      <c r="V905">
        <v>8820</v>
      </c>
      <c r="W905">
        <v>7800</v>
      </c>
      <c r="X905">
        <v>1020</v>
      </c>
      <c r="Y905" s="8">
        <v>0.11564625850340136</v>
      </c>
      <c r="Z905" t="s">
        <v>2995</v>
      </c>
      <c r="AA905" t="str">
        <f>IF(AND(SalesCleanTable[[#This Row],[Discount %]]&gt;0, SalesCleanTable[[#This Row],[Profit]]&lt;0), "Discount loss", "Safe")</f>
        <v>Safe</v>
      </c>
      <c r="AB905" s="25">
        <f>(SalesCleanTable[[#This Row],[Unit Price]] - SalesCleanTable[[#This Row],[Unit Cost]]) / SalesCleanTable[[#This Row],[Unit Price]]</f>
        <v>0.20408163265306123</v>
      </c>
      <c r="AC905" t="str">
        <f>IF(SalesCleanTable[[#This Row],[Discount %]] &gt; SalesCleanTable[[#This Row],[Max Allowed Discount]], "Discount loss", "Safe")</f>
        <v>Safe</v>
      </c>
      <c r="AD905" s="4">
        <f>SalesCleanTable[[#This Row],[Unit Price]] - SalesCleanTable[[#This Row],[Unit Cost]]</f>
        <v>2000</v>
      </c>
      <c r="AE905" s="41">
        <f>(SalesCleanTable[[#This Row],[Unit Price]] - SalesCleanTable[[#This Row],[Unit Cost]]) / SalesCleanTable[[#This Row],[Unit Price]]</f>
        <v>0.20408163265306123</v>
      </c>
    </row>
    <row r="906" spans="1:31">
      <c r="A906" t="s">
        <v>1092</v>
      </c>
      <c r="B906" s="6">
        <v>45818</v>
      </c>
      <c r="C906" t="s">
        <v>116</v>
      </c>
      <c r="D906" t="s">
        <v>117</v>
      </c>
      <c r="E906" t="s">
        <v>109</v>
      </c>
      <c r="F906" t="s">
        <v>118</v>
      </c>
      <c r="G906" t="s">
        <v>119</v>
      </c>
      <c r="H906" t="s">
        <v>139</v>
      </c>
      <c r="I906" t="s">
        <v>140</v>
      </c>
      <c r="J906" t="s">
        <v>137</v>
      </c>
      <c r="K906" t="s">
        <v>138</v>
      </c>
      <c r="L906" t="s">
        <v>166</v>
      </c>
      <c r="M906" t="s">
        <v>171</v>
      </c>
      <c r="N906">
        <v>1</v>
      </c>
      <c r="O906" s="4">
        <v>2800</v>
      </c>
      <c r="P906" s="4">
        <v>4200</v>
      </c>
      <c r="Q906" s="7">
        <v>0</v>
      </c>
      <c r="R906" t="s">
        <v>220</v>
      </c>
      <c r="S906">
        <v>6</v>
      </c>
      <c r="T906">
        <v>4200</v>
      </c>
      <c r="U906">
        <v>0</v>
      </c>
      <c r="V906">
        <v>4200</v>
      </c>
      <c r="W906">
        <v>2800</v>
      </c>
      <c r="X906">
        <v>1400</v>
      </c>
      <c r="Y906" s="8">
        <v>0.33333333333333331</v>
      </c>
      <c r="Z906" t="s">
        <v>2995</v>
      </c>
      <c r="AA906" t="str">
        <f>IF(AND(SalesCleanTable[[#This Row],[Discount %]]&gt;0, SalesCleanTable[[#This Row],[Profit]]&lt;0), "Discount loss", "Safe")</f>
        <v>Safe</v>
      </c>
      <c r="AB906" s="25">
        <f>(SalesCleanTable[[#This Row],[Unit Price]] - SalesCleanTable[[#This Row],[Unit Cost]]) / SalesCleanTable[[#This Row],[Unit Price]]</f>
        <v>0.33333333333333331</v>
      </c>
      <c r="AC906" t="str">
        <f>IF(SalesCleanTable[[#This Row],[Discount %]] &gt; SalesCleanTable[[#This Row],[Max Allowed Discount]], "Discount loss", "Safe")</f>
        <v>Safe</v>
      </c>
      <c r="AD906" s="4">
        <f>SalesCleanTable[[#This Row],[Unit Price]] - SalesCleanTable[[#This Row],[Unit Cost]]</f>
        <v>1400</v>
      </c>
      <c r="AE906" s="41">
        <f>(SalesCleanTable[[#This Row],[Unit Price]] - SalesCleanTable[[#This Row],[Unit Cost]]) / SalesCleanTable[[#This Row],[Unit Price]]</f>
        <v>0.33333333333333331</v>
      </c>
    </row>
    <row r="907" spans="1:31">
      <c r="A907" t="s">
        <v>1093</v>
      </c>
      <c r="B907" s="6">
        <v>46005</v>
      </c>
      <c r="C907" t="s">
        <v>112</v>
      </c>
      <c r="D907" t="s">
        <v>113</v>
      </c>
      <c r="E907" t="s">
        <v>109</v>
      </c>
      <c r="F907" t="s">
        <v>114</v>
      </c>
      <c r="G907" t="s">
        <v>115</v>
      </c>
      <c r="H907" t="s">
        <v>128</v>
      </c>
      <c r="I907" t="s">
        <v>129</v>
      </c>
      <c r="J907" t="s">
        <v>130</v>
      </c>
      <c r="K907" t="s">
        <v>131</v>
      </c>
      <c r="L907" t="s">
        <v>166</v>
      </c>
      <c r="M907" t="s">
        <v>177</v>
      </c>
      <c r="N907">
        <v>4</v>
      </c>
      <c r="O907" s="4">
        <v>1300</v>
      </c>
      <c r="P907" s="4">
        <v>2100</v>
      </c>
      <c r="Q907" s="7">
        <v>0.1</v>
      </c>
      <c r="R907" t="s">
        <v>220</v>
      </c>
      <c r="S907">
        <v>6</v>
      </c>
      <c r="T907">
        <v>8400</v>
      </c>
      <c r="U907">
        <v>840</v>
      </c>
      <c r="V907">
        <v>7560</v>
      </c>
      <c r="W907">
        <v>5200</v>
      </c>
      <c r="X907">
        <v>2360</v>
      </c>
      <c r="Y907" s="8">
        <v>0.31216931216931215</v>
      </c>
      <c r="Z907" t="s">
        <v>2995</v>
      </c>
      <c r="AA907" t="str">
        <f>IF(AND(SalesCleanTable[[#This Row],[Discount %]]&gt;0, SalesCleanTable[[#This Row],[Profit]]&lt;0), "Discount loss", "Safe")</f>
        <v>Safe</v>
      </c>
      <c r="AB907" s="25">
        <f>(SalesCleanTable[[#This Row],[Unit Price]] - SalesCleanTable[[#This Row],[Unit Cost]]) / SalesCleanTable[[#This Row],[Unit Price]]</f>
        <v>0.38095238095238093</v>
      </c>
      <c r="AC907" t="str">
        <f>IF(SalesCleanTable[[#This Row],[Discount %]] &gt; SalesCleanTable[[#This Row],[Max Allowed Discount]], "Discount loss", "Safe")</f>
        <v>Safe</v>
      </c>
      <c r="AD907" s="4">
        <f>SalesCleanTable[[#This Row],[Unit Price]] - SalesCleanTable[[#This Row],[Unit Cost]]</f>
        <v>800</v>
      </c>
      <c r="AE907" s="41">
        <f>(SalesCleanTable[[#This Row],[Unit Price]] - SalesCleanTable[[#This Row],[Unit Cost]]) / SalesCleanTable[[#This Row],[Unit Price]]</f>
        <v>0.38095238095238093</v>
      </c>
    </row>
    <row r="908" spans="1:31">
      <c r="A908" t="s">
        <v>1094</v>
      </c>
      <c r="B908" s="6">
        <v>45809</v>
      </c>
      <c r="C908" t="s">
        <v>99</v>
      </c>
      <c r="D908" t="s">
        <v>100</v>
      </c>
      <c r="E908" t="s">
        <v>92</v>
      </c>
      <c r="F908" t="s">
        <v>101</v>
      </c>
      <c r="G908" t="s">
        <v>102</v>
      </c>
      <c r="H908" t="s">
        <v>139</v>
      </c>
      <c r="I908" t="s">
        <v>140</v>
      </c>
      <c r="J908" t="s">
        <v>137</v>
      </c>
      <c r="K908" t="s">
        <v>138</v>
      </c>
      <c r="L908" t="s">
        <v>166</v>
      </c>
      <c r="M908" t="s">
        <v>171</v>
      </c>
      <c r="N908">
        <v>2</v>
      </c>
      <c r="O908" s="4">
        <v>12500</v>
      </c>
      <c r="P908" s="4">
        <v>18500</v>
      </c>
      <c r="Q908" s="7">
        <v>0.1</v>
      </c>
      <c r="R908" t="s">
        <v>215</v>
      </c>
      <c r="S908">
        <v>1</v>
      </c>
      <c r="T908">
        <v>37000</v>
      </c>
      <c r="U908">
        <v>3700</v>
      </c>
      <c r="V908">
        <v>33300</v>
      </c>
      <c r="W908">
        <v>25000</v>
      </c>
      <c r="X908">
        <v>8300</v>
      </c>
      <c r="Y908" s="8">
        <v>0.24924924924924924</v>
      </c>
      <c r="Z908" t="s">
        <v>2995</v>
      </c>
      <c r="AA908" t="str">
        <f>IF(AND(SalesCleanTable[[#This Row],[Discount %]]&gt;0, SalesCleanTable[[#This Row],[Profit]]&lt;0), "Discount loss", "Safe")</f>
        <v>Safe</v>
      </c>
      <c r="AB908" s="25">
        <f>(SalesCleanTable[[#This Row],[Unit Price]] - SalesCleanTable[[#This Row],[Unit Cost]]) / SalesCleanTable[[#This Row],[Unit Price]]</f>
        <v>0.32432432432432434</v>
      </c>
      <c r="AC908" t="str">
        <f>IF(SalesCleanTable[[#This Row],[Discount %]] &gt; SalesCleanTable[[#This Row],[Max Allowed Discount]], "Discount loss", "Safe")</f>
        <v>Safe</v>
      </c>
      <c r="AD908" s="4">
        <f>SalesCleanTable[[#This Row],[Unit Price]] - SalesCleanTable[[#This Row],[Unit Cost]]</f>
        <v>6000</v>
      </c>
      <c r="AE908" s="41">
        <f>(SalesCleanTable[[#This Row],[Unit Price]] - SalesCleanTable[[#This Row],[Unit Cost]]) / SalesCleanTable[[#This Row],[Unit Price]]</f>
        <v>0.32432432432432434</v>
      </c>
    </row>
    <row r="909" spans="1:31">
      <c r="A909" t="s">
        <v>1095</v>
      </c>
      <c r="B909" s="6">
        <v>45816</v>
      </c>
      <c r="C909" t="s">
        <v>57</v>
      </c>
      <c r="D909" t="s">
        <v>58</v>
      </c>
      <c r="E909" t="s">
        <v>59</v>
      </c>
      <c r="F909" t="s">
        <v>60</v>
      </c>
      <c r="G909" t="s">
        <v>61</v>
      </c>
      <c r="H909" t="s">
        <v>141</v>
      </c>
      <c r="I909" t="s">
        <v>142</v>
      </c>
      <c r="J909" t="s">
        <v>143</v>
      </c>
      <c r="K909" t="s">
        <v>144</v>
      </c>
      <c r="L909" t="s">
        <v>166</v>
      </c>
      <c r="M909" t="s">
        <v>171</v>
      </c>
      <c r="N909">
        <v>2</v>
      </c>
      <c r="O909" s="4">
        <v>2400</v>
      </c>
      <c r="P909" s="4">
        <v>3400</v>
      </c>
      <c r="Q909" s="7">
        <v>0.15</v>
      </c>
      <c r="R909" t="s">
        <v>192</v>
      </c>
      <c r="S909">
        <v>8</v>
      </c>
      <c r="T909">
        <v>6800</v>
      </c>
      <c r="U909">
        <v>1020</v>
      </c>
      <c r="V909">
        <v>5780</v>
      </c>
      <c r="W909">
        <v>4800</v>
      </c>
      <c r="X909">
        <v>980</v>
      </c>
      <c r="Y909" s="8">
        <v>0.16955017301038061</v>
      </c>
      <c r="Z909" t="s">
        <v>2996</v>
      </c>
      <c r="AA909" t="str">
        <f>IF(AND(SalesCleanTable[[#This Row],[Discount %]]&gt;0, SalesCleanTable[[#This Row],[Profit]]&lt;0), "Discount loss", "Safe")</f>
        <v>Safe</v>
      </c>
      <c r="AB909" s="25">
        <f>(SalesCleanTable[[#This Row],[Unit Price]] - SalesCleanTable[[#This Row],[Unit Cost]]) / SalesCleanTable[[#This Row],[Unit Price]]</f>
        <v>0.29411764705882354</v>
      </c>
      <c r="AC909" t="str">
        <f>IF(SalesCleanTable[[#This Row],[Discount %]] &gt; SalesCleanTable[[#This Row],[Max Allowed Discount]], "Discount loss", "Safe")</f>
        <v>Safe</v>
      </c>
      <c r="AD909" s="4">
        <f>SalesCleanTable[[#This Row],[Unit Price]] - SalesCleanTable[[#This Row],[Unit Cost]]</f>
        <v>1000</v>
      </c>
      <c r="AE909" s="41">
        <f>(SalesCleanTable[[#This Row],[Unit Price]] - SalesCleanTable[[#This Row],[Unit Cost]]) / SalesCleanTable[[#This Row],[Unit Price]]</f>
        <v>0.29411764705882354</v>
      </c>
    </row>
    <row r="910" spans="1:31">
      <c r="A910" t="s">
        <v>1096</v>
      </c>
      <c r="B910" s="6">
        <v>45850</v>
      </c>
      <c r="C910" t="s">
        <v>29</v>
      </c>
      <c r="D910" t="s">
        <v>30</v>
      </c>
      <c r="E910" t="s">
        <v>26</v>
      </c>
      <c r="F910" t="s">
        <v>27</v>
      </c>
      <c r="G910" t="s">
        <v>31</v>
      </c>
      <c r="H910" t="s">
        <v>145</v>
      </c>
      <c r="I910" t="s">
        <v>146</v>
      </c>
      <c r="J910" t="s">
        <v>147</v>
      </c>
      <c r="K910" t="s">
        <v>148</v>
      </c>
      <c r="L910" t="s">
        <v>183</v>
      </c>
      <c r="M910" t="s">
        <v>171</v>
      </c>
      <c r="N910">
        <v>1</v>
      </c>
      <c r="O910" s="4">
        <v>6200</v>
      </c>
      <c r="P910" s="4">
        <v>7900</v>
      </c>
      <c r="Q910" s="7">
        <v>0.1</v>
      </c>
      <c r="R910" t="s">
        <v>197</v>
      </c>
      <c r="S910">
        <v>12</v>
      </c>
      <c r="T910">
        <v>7900</v>
      </c>
      <c r="U910">
        <v>790</v>
      </c>
      <c r="V910">
        <v>7110</v>
      </c>
      <c r="W910">
        <v>6200</v>
      </c>
      <c r="X910">
        <v>910</v>
      </c>
      <c r="Y910" s="8">
        <v>0.12798874824191281</v>
      </c>
      <c r="Z910" t="s">
        <v>2996</v>
      </c>
      <c r="AA910" t="str">
        <f>IF(AND(SalesCleanTable[[#This Row],[Discount %]]&gt;0, SalesCleanTable[[#This Row],[Profit]]&lt;0), "Discount loss", "Safe")</f>
        <v>Safe</v>
      </c>
      <c r="AB910" s="25">
        <f>(SalesCleanTable[[#This Row],[Unit Price]] - SalesCleanTable[[#This Row],[Unit Cost]]) / SalesCleanTable[[#This Row],[Unit Price]]</f>
        <v>0.21518987341772153</v>
      </c>
      <c r="AC910" t="str">
        <f>IF(SalesCleanTable[[#This Row],[Discount %]] &gt; SalesCleanTable[[#This Row],[Max Allowed Discount]], "Discount loss", "Safe")</f>
        <v>Safe</v>
      </c>
      <c r="AD910" s="4">
        <f>SalesCleanTable[[#This Row],[Unit Price]] - SalesCleanTable[[#This Row],[Unit Cost]]</f>
        <v>1700</v>
      </c>
      <c r="AE910" s="41">
        <f>(SalesCleanTable[[#This Row],[Unit Price]] - SalesCleanTable[[#This Row],[Unit Cost]]) / SalesCleanTable[[#This Row],[Unit Price]]</f>
        <v>0.21518987341772153</v>
      </c>
    </row>
    <row r="911" spans="1:31">
      <c r="A911" t="s">
        <v>1097</v>
      </c>
      <c r="B911" s="6">
        <v>45749</v>
      </c>
      <c r="C911" t="s">
        <v>103</v>
      </c>
      <c r="D911" t="s">
        <v>104</v>
      </c>
      <c r="E911" t="s">
        <v>92</v>
      </c>
      <c r="F911" t="s">
        <v>105</v>
      </c>
      <c r="G911" t="s">
        <v>106</v>
      </c>
      <c r="H911" t="s">
        <v>145</v>
      </c>
      <c r="I911" t="s">
        <v>146</v>
      </c>
      <c r="J911" t="s">
        <v>147</v>
      </c>
      <c r="K911" t="s">
        <v>148</v>
      </c>
      <c r="L911" t="s">
        <v>183</v>
      </c>
      <c r="M911" t="s">
        <v>177</v>
      </c>
      <c r="N911">
        <v>2</v>
      </c>
      <c r="O911" s="4">
        <v>1500</v>
      </c>
      <c r="P911" s="4">
        <v>2500</v>
      </c>
      <c r="Q911" s="7">
        <v>0.15</v>
      </c>
      <c r="R911" t="s">
        <v>181</v>
      </c>
      <c r="S911">
        <v>9</v>
      </c>
      <c r="T911">
        <v>5000</v>
      </c>
      <c r="U911">
        <v>750</v>
      </c>
      <c r="V911">
        <v>4250</v>
      </c>
      <c r="W911">
        <v>3000</v>
      </c>
      <c r="X911">
        <v>1250</v>
      </c>
      <c r="Y911" s="8">
        <v>0.29411764705882354</v>
      </c>
      <c r="Z911" t="s">
        <v>2996</v>
      </c>
      <c r="AA911" t="str">
        <f>IF(AND(SalesCleanTable[[#This Row],[Discount %]]&gt;0, SalesCleanTable[[#This Row],[Profit]]&lt;0), "Discount loss", "Safe")</f>
        <v>Safe</v>
      </c>
      <c r="AB911" s="25">
        <f>(SalesCleanTable[[#This Row],[Unit Price]] - SalesCleanTable[[#This Row],[Unit Cost]]) / SalesCleanTable[[#This Row],[Unit Price]]</f>
        <v>0.4</v>
      </c>
      <c r="AC911" t="str">
        <f>IF(SalesCleanTable[[#This Row],[Discount %]] &gt; SalesCleanTable[[#This Row],[Max Allowed Discount]], "Discount loss", "Safe")</f>
        <v>Safe</v>
      </c>
      <c r="AD911" s="4">
        <f>SalesCleanTable[[#This Row],[Unit Price]] - SalesCleanTable[[#This Row],[Unit Cost]]</f>
        <v>1000</v>
      </c>
      <c r="AE911" s="41">
        <f>(SalesCleanTable[[#This Row],[Unit Price]] - SalesCleanTable[[#This Row],[Unit Cost]]) / SalesCleanTable[[#This Row],[Unit Price]]</f>
        <v>0.4</v>
      </c>
    </row>
    <row r="912" spans="1:31">
      <c r="A912" t="s">
        <v>1098</v>
      </c>
      <c r="B912" s="6">
        <v>45874</v>
      </c>
      <c r="C912" t="s">
        <v>78</v>
      </c>
      <c r="D912" t="s">
        <v>79</v>
      </c>
      <c r="E912" t="s">
        <v>75</v>
      </c>
      <c r="F912" t="s">
        <v>80</v>
      </c>
      <c r="G912" t="s">
        <v>81</v>
      </c>
      <c r="H912" t="s">
        <v>153</v>
      </c>
      <c r="I912" t="s">
        <v>154</v>
      </c>
      <c r="J912" t="s">
        <v>155</v>
      </c>
      <c r="K912" t="s">
        <v>131</v>
      </c>
      <c r="L912" t="s">
        <v>166</v>
      </c>
      <c r="M912" t="s">
        <v>167</v>
      </c>
      <c r="N912">
        <v>4</v>
      </c>
      <c r="O912" s="4">
        <v>1200</v>
      </c>
      <c r="P912" s="4">
        <v>1900</v>
      </c>
      <c r="Q912" s="7">
        <v>0.05</v>
      </c>
      <c r="R912" t="s">
        <v>204</v>
      </c>
      <c r="S912">
        <v>4</v>
      </c>
      <c r="T912">
        <v>7600</v>
      </c>
      <c r="U912">
        <v>380</v>
      </c>
      <c r="V912">
        <v>7220</v>
      </c>
      <c r="W912">
        <v>4800</v>
      </c>
      <c r="X912">
        <v>2420</v>
      </c>
      <c r="Y912" s="8">
        <v>0.33518005540166207</v>
      </c>
      <c r="Z912" t="s">
        <v>2996</v>
      </c>
      <c r="AA912" t="str">
        <f>IF(AND(SalesCleanTable[[#This Row],[Discount %]]&gt;0, SalesCleanTable[[#This Row],[Profit]]&lt;0), "Discount loss", "Safe")</f>
        <v>Safe</v>
      </c>
      <c r="AB912" s="25">
        <f>(SalesCleanTable[[#This Row],[Unit Price]] - SalesCleanTable[[#This Row],[Unit Cost]]) / SalesCleanTable[[#This Row],[Unit Price]]</f>
        <v>0.36842105263157893</v>
      </c>
      <c r="AC912" t="str">
        <f>IF(SalesCleanTable[[#This Row],[Discount %]] &gt; SalesCleanTable[[#This Row],[Max Allowed Discount]], "Discount loss", "Safe")</f>
        <v>Safe</v>
      </c>
      <c r="AD912" s="4">
        <f>SalesCleanTable[[#This Row],[Unit Price]] - SalesCleanTable[[#This Row],[Unit Cost]]</f>
        <v>700</v>
      </c>
      <c r="AE912" s="41">
        <f>(SalesCleanTable[[#This Row],[Unit Price]] - SalesCleanTable[[#This Row],[Unit Cost]]) / SalesCleanTable[[#This Row],[Unit Price]]</f>
        <v>0.36842105263157893</v>
      </c>
    </row>
    <row r="913" spans="1:31">
      <c r="A913" t="s">
        <v>1099</v>
      </c>
      <c r="B913" s="6">
        <v>45938</v>
      </c>
      <c r="C913" t="s">
        <v>49</v>
      </c>
      <c r="D913" t="s">
        <v>50</v>
      </c>
      <c r="E913" t="s">
        <v>38</v>
      </c>
      <c r="F913" t="s">
        <v>51</v>
      </c>
      <c r="G913" t="s">
        <v>52</v>
      </c>
      <c r="H913" t="s">
        <v>128</v>
      </c>
      <c r="I913" t="s">
        <v>129</v>
      </c>
      <c r="J913" t="s">
        <v>130</v>
      </c>
      <c r="K913" t="s">
        <v>131</v>
      </c>
      <c r="L913" t="s">
        <v>183</v>
      </c>
      <c r="M913" t="s">
        <v>171</v>
      </c>
      <c r="N913">
        <v>4</v>
      </c>
      <c r="O913" s="4">
        <v>550</v>
      </c>
      <c r="P913" s="4">
        <v>850</v>
      </c>
      <c r="Q913" s="7">
        <v>0.1</v>
      </c>
      <c r="R913" t="s">
        <v>168</v>
      </c>
      <c r="S913">
        <v>5</v>
      </c>
      <c r="T913">
        <v>3400</v>
      </c>
      <c r="U913">
        <v>340</v>
      </c>
      <c r="V913">
        <v>3060</v>
      </c>
      <c r="W913">
        <v>2200</v>
      </c>
      <c r="X913">
        <v>860</v>
      </c>
      <c r="Y913" s="8">
        <v>0.28104575163398693</v>
      </c>
      <c r="Z913" t="s">
        <v>2996</v>
      </c>
      <c r="AA913" t="str">
        <f>IF(AND(SalesCleanTable[[#This Row],[Discount %]]&gt;0, SalesCleanTable[[#This Row],[Profit]]&lt;0), "Discount loss", "Safe")</f>
        <v>Safe</v>
      </c>
      <c r="AB913" s="25">
        <f>(SalesCleanTable[[#This Row],[Unit Price]] - SalesCleanTable[[#This Row],[Unit Cost]]) / SalesCleanTable[[#This Row],[Unit Price]]</f>
        <v>0.35294117647058826</v>
      </c>
      <c r="AC913" t="str">
        <f>IF(SalesCleanTable[[#This Row],[Discount %]] &gt; SalesCleanTable[[#This Row],[Max Allowed Discount]], "Discount loss", "Safe")</f>
        <v>Safe</v>
      </c>
      <c r="AD913" s="4">
        <f>SalesCleanTable[[#This Row],[Unit Price]] - SalesCleanTable[[#This Row],[Unit Cost]]</f>
        <v>300</v>
      </c>
      <c r="AE913" s="41">
        <f>(SalesCleanTable[[#This Row],[Unit Price]] - SalesCleanTable[[#This Row],[Unit Cost]]) / SalesCleanTable[[#This Row],[Unit Price]]</f>
        <v>0.35294117647058826</v>
      </c>
    </row>
    <row r="914" spans="1:31">
      <c r="A914" t="s">
        <v>1100</v>
      </c>
      <c r="B914" s="6">
        <v>45741</v>
      </c>
      <c r="C914" t="s">
        <v>66</v>
      </c>
      <c r="D914" t="s">
        <v>67</v>
      </c>
      <c r="E914" t="s">
        <v>59</v>
      </c>
      <c r="F914" t="s">
        <v>60</v>
      </c>
      <c r="G914" t="s">
        <v>68</v>
      </c>
      <c r="H914" t="s">
        <v>135</v>
      </c>
      <c r="I914" t="s">
        <v>136</v>
      </c>
      <c r="J914" t="s">
        <v>137</v>
      </c>
      <c r="K914" t="s">
        <v>138</v>
      </c>
      <c r="L914" t="s">
        <v>166</v>
      </c>
      <c r="M914" t="s">
        <v>171</v>
      </c>
      <c r="N914">
        <v>3</v>
      </c>
      <c r="O914" s="4">
        <v>2800</v>
      </c>
      <c r="P914" s="4">
        <v>3900</v>
      </c>
      <c r="Q914" s="7">
        <v>0.15</v>
      </c>
      <c r="R914" t="s">
        <v>192</v>
      </c>
      <c r="S914">
        <v>12</v>
      </c>
      <c r="T914">
        <v>11700</v>
      </c>
      <c r="U914">
        <v>1755</v>
      </c>
      <c r="V914">
        <v>9945</v>
      </c>
      <c r="W914">
        <v>8400</v>
      </c>
      <c r="X914">
        <v>1545</v>
      </c>
      <c r="Y914" s="8">
        <v>0.15535444947209653</v>
      </c>
      <c r="Z914" t="s">
        <v>2996</v>
      </c>
      <c r="AA914" t="str">
        <f>IF(AND(SalesCleanTable[[#This Row],[Discount %]]&gt;0, SalesCleanTable[[#This Row],[Profit]]&lt;0), "Discount loss", "Safe")</f>
        <v>Safe</v>
      </c>
      <c r="AB914" s="25">
        <f>(SalesCleanTable[[#This Row],[Unit Price]] - SalesCleanTable[[#This Row],[Unit Cost]]) / SalesCleanTable[[#This Row],[Unit Price]]</f>
        <v>0.28205128205128205</v>
      </c>
      <c r="AC914" t="str">
        <f>IF(SalesCleanTable[[#This Row],[Discount %]] &gt; SalesCleanTable[[#This Row],[Max Allowed Discount]], "Discount loss", "Safe")</f>
        <v>Safe</v>
      </c>
      <c r="AD914" s="4">
        <f>SalesCleanTable[[#This Row],[Unit Price]] - SalesCleanTable[[#This Row],[Unit Cost]]</f>
        <v>1100</v>
      </c>
      <c r="AE914" s="41">
        <f>(SalesCleanTable[[#This Row],[Unit Price]] - SalesCleanTable[[#This Row],[Unit Cost]]) / SalesCleanTable[[#This Row],[Unit Price]]</f>
        <v>0.28205128205128205</v>
      </c>
    </row>
    <row r="915" spans="1:31">
      <c r="A915" t="s">
        <v>1101</v>
      </c>
      <c r="B915" s="6">
        <v>45843</v>
      </c>
      <c r="C915" t="s">
        <v>82</v>
      </c>
      <c r="D915" t="s">
        <v>83</v>
      </c>
      <c r="E915" t="s">
        <v>75</v>
      </c>
      <c r="F915" t="s">
        <v>84</v>
      </c>
      <c r="G915" t="s">
        <v>85</v>
      </c>
      <c r="H915" t="s">
        <v>139</v>
      </c>
      <c r="I915" t="s">
        <v>140</v>
      </c>
      <c r="J915" t="s">
        <v>137</v>
      </c>
      <c r="K915" t="s">
        <v>138</v>
      </c>
      <c r="L915" t="s">
        <v>166</v>
      </c>
      <c r="M915" t="s">
        <v>171</v>
      </c>
      <c r="N915">
        <v>4</v>
      </c>
      <c r="O915" s="4">
        <v>600</v>
      </c>
      <c r="P915" s="4">
        <v>950</v>
      </c>
      <c r="Q915" s="7">
        <v>0.2</v>
      </c>
      <c r="R915" t="s">
        <v>208</v>
      </c>
      <c r="S915">
        <v>11</v>
      </c>
      <c r="T915">
        <v>3800</v>
      </c>
      <c r="U915">
        <v>760</v>
      </c>
      <c r="V915">
        <v>3040</v>
      </c>
      <c r="W915">
        <v>2400</v>
      </c>
      <c r="X915">
        <v>640</v>
      </c>
      <c r="Y915" s="8">
        <v>0.21052631578947367</v>
      </c>
      <c r="Z915" t="s">
        <v>2996</v>
      </c>
      <c r="AA915" t="str">
        <f>IF(AND(SalesCleanTable[[#This Row],[Discount %]]&gt;0, SalesCleanTable[[#This Row],[Profit]]&lt;0), "Discount loss", "Safe")</f>
        <v>Safe</v>
      </c>
      <c r="AB915" s="25">
        <f>(SalesCleanTable[[#This Row],[Unit Price]] - SalesCleanTable[[#This Row],[Unit Cost]]) / SalesCleanTable[[#This Row],[Unit Price]]</f>
        <v>0.36842105263157893</v>
      </c>
      <c r="AC915" t="str">
        <f>IF(SalesCleanTable[[#This Row],[Discount %]] &gt; SalesCleanTable[[#This Row],[Max Allowed Discount]], "Discount loss", "Safe")</f>
        <v>Safe</v>
      </c>
      <c r="AD915" s="4">
        <f>SalesCleanTable[[#This Row],[Unit Price]] - SalesCleanTable[[#This Row],[Unit Cost]]</f>
        <v>350</v>
      </c>
      <c r="AE915" s="41">
        <f>(SalesCleanTable[[#This Row],[Unit Price]] - SalesCleanTable[[#This Row],[Unit Cost]]) / SalesCleanTable[[#This Row],[Unit Price]]</f>
        <v>0.36842105263157893</v>
      </c>
    </row>
    <row r="916" spans="1:31">
      <c r="A916" t="s">
        <v>1102</v>
      </c>
      <c r="B916" s="6">
        <v>45686</v>
      </c>
      <c r="C916" t="s">
        <v>32</v>
      </c>
      <c r="D916" t="s">
        <v>33</v>
      </c>
      <c r="E916" t="s">
        <v>26</v>
      </c>
      <c r="F916" t="s">
        <v>34</v>
      </c>
      <c r="G916" t="s">
        <v>35</v>
      </c>
      <c r="H916" t="s">
        <v>153</v>
      </c>
      <c r="I916" t="s">
        <v>154</v>
      </c>
      <c r="J916" t="s">
        <v>155</v>
      </c>
      <c r="K916" t="s">
        <v>131</v>
      </c>
      <c r="L916" t="s">
        <v>170</v>
      </c>
      <c r="M916" t="s">
        <v>171</v>
      </c>
      <c r="N916">
        <v>1</v>
      </c>
      <c r="O916" s="4">
        <v>7800</v>
      </c>
      <c r="P916" s="4">
        <v>9800</v>
      </c>
      <c r="Q916" s="7">
        <v>0</v>
      </c>
      <c r="R916" t="s">
        <v>173</v>
      </c>
      <c r="S916">
        <v>7</v>
      </c>
      <c r="T916">
        <v>9800</v>
      </c>
      <c r="U916">
        <v>0</v>
      </c>
      <c r="V916">
        <v>9800</v>
      </c>
      <c r="W916">
        <v>7800</v>
      </c>
      <c r="X916">
        <v>2000</v>
      </c>
      <c r="Y916" s="8">
        <v>0.20408163265306123</v>
      </c>
      <c r="Z916" t="s">
        <v>2995</v>
      </c>
      <c r="AA916" t="str">
        <f>IF(AND(SalesCleanTable[[#This Row],[Discount %]]&gt;0, SalesCleanTable[[#This Row],[Profit]]&lt;0), "Discount loss", "Safe")</f>
        <v>Safe</v>
      </c>
      <c r="AB916" s="25">
        <f>(SalesCleanTable[[#This Row],[Unit Price]] - SalesCleanTable[[#This Row],[Unit Cost]]) / SalesCleanTable[[#This Row],[Unit Price]]</f>
        <v>0.20408163265306123</v>
      </c>
      <c r="AC916" t="str">
        <f>IF(SalesCleanTable[[#This Row],[Discount %]] &gt; SalesCleanTable[[#This Row],[Max Allowed Discount]], "Discount loss", "Safe")</f>
        <v>Safe</v>
      </c>
      <c r="AD916" s="4">
        <f>SalesCleanTable[[#This Row],[Unit Price]] - SalesCleanTable[[#This Row],[Unit Cost]]</f>
        <v>2000</v>
      </c>
      <c r="AE916" s="41">
        <f>(SalesCleanTable[[#This Row],[Unit Price]] - SalesCleanTable[[#This Row],[Unit Cost]]) / SalesCleanTable[[#This Row],[Unit Price]]</f>
        <v>0.20408163265306123</v>
      </c>
    </row>
    <row r="917" spans="1:31">
      <c r="A917" t="s">
        <v>1103</v>
      </c>
      <c r="B917" s="6">
        <v>45979</v>
      </c>
      <c r="C917" t="s">
        <v>82</v>
      </c>
      <c r="D917" t="s">
        <v>83</v>
      </c>
      <c r="E917" t="s">
        <v>75</v>
      </c>
      <c r="F917" t="s">
        <v>84</v>
      </c>
      <c r="G917" t="s">
        <v>85</v>
      </c>
      <c r="H917" t="s">
        <v>133</v>
      </c>
      <c r="I917" t="s">
        <v>134</v>
      </c>
      <c r="J917" t="s">
        <v>130</v>
      </c>
      <c r="K917" t="s">
        <v>131</v>
      </c>
      <c r="L917" t="s">
        <v>166</v>
      </c>
      <c r="M917" t="s">
        <v>171</v>
      </c>
      <c r="N917">
        <v>1</v>
      </c>
      <c r="O917" s="4">
        <v>600</v>
      </c>
      <c r="P917" s="4">
        <v>950</v>
      </c>
      <c r="Q917" s="7">
        <v>0.05</v>
      </c>
      <c r="R917" t="s">
        <v>187</v>
      </c>
      <c r="S917">
        <v>11</v>
      </c>
      <c r="T917">
        <v>950</v>
      </c>
      <c r="U917">
        <v>47.5</v>
      </c>
      <c r="V917">
        <v>902.5</v>
      </c>
      <c r="W917">
        <v>600</v>
      </c>
      <c r="X917">
        <v>302.5</v>
      </c>
      <c r="Y917" s="8">
        <v>0.33518005540166207</v>
      </c>
      <c r="Z917" t="s">
        <v>2996</v>
      </c>
      <c r="AA917" t="str">
        <f>IF(AND(SalesCleanTable[[#This Row],[Discount %]]&gt;0, SalesCleanTable[[#This Row],[Profit]]&lt;0), "Discount loss", "Safe")</f>
        <v>Safe</v>
      </c>
      <c r="AB917" s="25">
        <f>(SalesCleanTable[[#This Row],[Unit Price]] - SalesCleanTable[[#This Row],[Unit Cost]]) / SalesCleanTable[[#This Row],[Unit Price]]</f>
        <v>0.36842105263157893</v>
      </c>
      <c r="AC917" t="str">
        <f>IF(SalesCleanTable[[#This Row],[Discount %]] &gt; SalesCleanTable[[#This Row],[Max Allowed Discount]], "Discount loss", "Safe")</f>
        <v>Safe</v>
      </c>
      <c r="AD917" s="4">
        <f>SalesCleanTable[[#This Row],[Unit Price]] - SalesCleanTable[[#This Row],[Unit Cost]]</f>
        <v>350</v>
      </c>
      <c r="AE917" s="41">
        <f>(SalesCleanTable[[#This Row],[Unit Price]] - SalesCleanTable[[#This Row],[Unit Cost]]) / SalesCleanTable[[#This Row],[Unit Price]]</f>
        <v>0.36842105263157893</v>
      </c>
    </row>
    <row r="918" spans="1:31">
      <c r="A918" t="s">
        <v>1104</v>
      </c>
      <c r="B918" s="6">
        <v>46012</v>
      </c>
      <c r="C918" t="s">
        <v>120</v>
      </c>
      <c r="D918" t="s">
        <v>121</v>
      </c>
      <c r="E918" t="s">
        <v>109</v>
      </c>
      <c r="F918" t="s">
        <v>93</v>
      </c>
      <c r="G918" t="s">
        <v>122</v>
      </c>
      <c r="H918" t="s">
        <v>141</v>
      </c>
      <c r="I918" t="s">
        <v>142</v>
      </c>
      <c r="J918" t="s">
        <v>143</v>
      </c>
      <c r="K918" t="s">
        <v>144</v>
      </c>
      <c r="L918" t="s">
        <v>183</v>
      </c>
      <c r="M918" t="s">
        <v>186</v>
      </c>
      <c r="N918">
        <v>1</v>
      </c>
      <c r="O918" s="4">
        <v>1700</v>
      </c>
      <c r="P918" s="4">
        <v>2800</v>
      </c>
      <c r="Q918" s="7">
        <v>0.15</v>
      </c>
      <c r="R918" t="s">
        <v>184</v>
      </c>
      <c r="S918">
        <v>11</v>
      </c>
      <c r="T918">
        <v>2800</v>
      </c>
      <c r="U918">
        <v>420</v>
      </c>
      <c r="V918">
        <v>2380</v>
      </c>
      <c r="W918">
        <v>1700</v>
      </c>
      <c r="X918">
        <v>680</v>
      </c>
      <c r="Y918" s="8">
        <v>0.2857142857142857</v>
      </c>
      <c r="Z918" t="s">
        <v>2997</v>
      </c>
      <c r="AA918" t="str">
        <f>IF(AND(SalesCleanTable[[#This Row],[Discount %]]&gt;0, SalesCleanTable[[#This Row],[Profit]]&lt;0), "Discount loss", "Safe")</f>
        <v>Safe</v>
      </c>
      <c r="AB918" s="25">
        <f>(SalesCleanTable[[#This Row],[Unit Price]] - SalesCleanTable[[#This Row],[Unit Cost]]) / SalesCleanTable[[#This Row],[Unit Price]]</f>
        <v>0.39285714285714285</v>
      </c>
      <c r="AC918" t="str">
        <f>IF(SalesCleanTable[[#This Row],[Discount %]] &gt; SalesCleanTable[[#This Row],[Max Allowed Discount]], "Discount loss", "Safe")</f>
        <v>Safe</v>
      </c>
      <c r="AD918" s="4">
        <f>SalesCleanTable[[#This Row],[Unit Price]] - SalesCleanTable[[#This Row],[Unit Cost]]</f>
        <v>1100</v>
      </c>
      <c r="AE918" s="41">
        <f>(SalesCleanTable[[#This Row],[Unit Price]] - SalesCleanTable[[#This Row],[Unit Cost]]) / SalesCleanTable[[#This Row],[Unit Price]]</f>
        <v>0.39285714285714285</v>
      </c>
    </row>
    <row r="919" spans="1:31">
      <c r="A919" t="s">
        <v>1105</v>
      </c>
      <c r="B919" s="6">
        <v>45663</v>
      </c>
      <c r="C919" t="s">
        <v>32</v>
      </c>
      <c r="D919" t="s">
        <v>33</v>
      </c>
      <c r="E919" t="s">
        <v>26</v>
      </c>
      <c r="F919" t="s">
        <v>34</v>
      </c>
      <c r="G919" t="s">
        <v>35</v>
      </c>
      <c r="H919" t="s">
        <v>128</v>
      </c>
      <c r="I919" t="s">
        <v>129</v>
      </c>
      <c r="J919" t="s">
        <v>130</v>
      </c>
      <c r="K919" t="s">
        <v>131</v>
      </c>
      <c r="L919" t="s">
        <v>166</v>
      </c>
      <c r="M919" t="s">
        <v>177</v>
      </c>
      <c r="N919">
        <v>3</v>
      </c>
      <c r="O919" s="4">
        <v>7800</v>
      </c>
      <c r="P919" s="4">
        <v>9800</v>
      </c>
      <c r="Q919" s="7">
        <v>0.1</v>
      </c>
      <c r="R919" t="s">
        <v>173</v>
      </c>
      <c r="S919">
        <v>10</v>
      </c>
      <c r="T919">
        <v>29400</v>
      </c>
      <c r="U919">
        <v>2940</v>
      </c>
      <c r="V919">
        <v>26460</v>
      </c>
      <c r="W919">
        <v>23400</v>
      </c>
      <c r="X919">
        <v>3060</v>
      </c>
      <c r="Y919" s="8">
        <v>0.11564625850340136</v>
      </c>
      <c r="Z919" t="s">
        <v>2995</v>
      </c>
      <c r="AA919" t="str">
        <f>IF(AND(SalesCleanTable[[#This Row],[Discount %]]&gt;0, SalesCleanTable[[#This Row],[Profit]]&lt;0), "Discount loss", "Safe")</f>
        <v>Safe</v>
      </c>
      <c r="AB919" s="25">
        <f>(SalesCleanTable[[#This Row],[Unit Price]] - SalesCleanTable[[#This Row],[Unit Cost]]) / SalesCleanTable[[#This Row],[Unit Price]]</f>
        <v>0.20408163265306123</v>
      </c>
      <c r="AC919" t="str">
        <f>IF(SalesCleanTable[[#This Row],[Discount %]] &gt; SalesCleanTable[[#This Row],[Max Allowed Discount]], "Discount loss", "Safe")</f>
        <v>Safe</v>
      </c>
      <c r="AD919" s="4">
        <f>SalesCleanTable[[#This Row],[Unit Price]] - SalesCleanTable[[#This Row],[Unit Cost]]</f>
        <v>2000</v>
      </c>
      <c r="AE919" s="41">
        <f>(SalesCleanTable[[#This Row],[Unit Price]] - SalesCleanTable[[#This Row],[Unit Cost]]) / SalesCleanTable[[#This Row],[Unit Price]]</f>
        <v>0.20408163265306123</v>
      </c>
    </row>
    <row r="920" spans="1:31">
      <c r="A920" t="s">
        <v>1106</v>
      </c>
      <c r="B920" s="6">
        <v>46013</v>
      </c>
      <c r="C920" t="s">
        <v>82</v>
      </c>
      <c r="D920" t="s">
        <v>83</v>
      </c>
      <c r="E920" t="s">
        <v>75</v>
      </c>
      <c r="F920" t="s">
        <v>84</v>
      </c>
      <c r="G920" t="s">
        <v>85</v>
      </c>
      <c r="H920" t="s">
        <v>145</v>
      </c>
      <c r="I920" t="s">
        <v>146</v>
      </c>
      <c r="J920" t="s">
        <v>147</v>
      </c>
      <c r="K920" t="s">
        <v>148</v>
      </c>
      <c r="L920" t="s">
        <v>183</v>
      </c>
      <c r="M920" t="s">
        <v>186</v>
      </c>
      <c r="N920">
        <v>1</v>
      </c>
      <c r="O920" s="4">
        <v>600</v>
      </c>
      <c r="P920" s="4">
        <v>950</v>
      </c>
      <c r="Q920" s="7">
        <v>0.05</v>
      </c>
      <c r="R920" t="s">
        <v>204</v>
      </c>
      <c r="S920">
        <v>3</v>
      </c>
      <c r="T920">
        <v>950</v>
      </c>
      <c r="U920">
        <v>47.5</v>
      </c>
      <c r="V920">
        <v>902.5</v>
      </c>
      <c r="W920">
        <v>600</v>
      </c>
      <c r="X920">
        <v>302.5</v>
      </c>
      <c r="Y920" s="8">
        <v>0.33518005540166207</v>
      </c>
      <c r="Z920" t="s">
        <v>2996</v>
      </c>
      <c r="AA920" t="str">
        <f>IF(AND(SalesCleanTable[[#This Row],[Discount %]]&gt;0, SalesCleanTable[[#This Row],[Profit]]&lt;0), "Discount loss", "Safe")</f>
        <v>Safe</v>
      </c>
      <c r="AB920" s="25">
        <f>(SalesCleanTable[[#This Row],[Unit Price]] - SalesCleanTable[[#This Row],[Unit Cost]]) / SalesCleanTable[[#This Row],[Unit Price]]</f>
        <v>0.36842105263157893</v>
      </c>
      <c r="AC920" t="str">
        <f>IF(SalesCleanTable[[#This Row],[Discount %]] &gt; SalesCleanTable[[#This Row],[Max Allowed Discount]], "Discount loss", "Safe")</f>
        <v>Safe</v>
      </c>
      <c r="AD920" s="4">
        <f>SalesCleanTable[[#This Row],[Unit Price]] - SalesCleanTable[[#This Row],[Unit Cost]]</f>
        <v>350</v>
      </c>
      <c r="AE920" s="41">
        <f>(SalesCleanTable[[#This Row],[Unit Price]] - SalesCleanTable[[#This Row],[Unit Cost]]) / SalesCleanTable[[#This Row],[Unit Price]]</f>
        <v>0.36842105263157893</v>
      </c>
    </row>
    <row r="921" spans="1:31">
      <c r="A921" t="s">
        <v>1107</v>
      </c>
      <c r="B921" s="6">
        <v>45690</v>
      </c>
      <c r="C921" t="s">
        <v>82</v>
      </c>
      <c r="D921" t="s">
        <v>83</v>
      </c>
      <c r="E921" t="s">
        <v>75</v>
      </c>
      <c r="F921" t="s">
        <v>84</v>
      </c>
      <c r="G921" t="s">
        <v>85</v>
      </c>
      <c r="H921" t="s">
        <v>149</v>
      </c>
      <c r="I921" t="s">
        <v>150</v>
      </c>
      <c r="J921" t="s">
        <v>151</v>
      </c>
      <c r="K921" t="s">
        <v>152</v>
      </c>
      <c r="L921" t="s">
        <v>183</v>
      </c>
      <c r="M921" t="s">
        <v>186</v>
      </c>
      <c r="N921">
        <v>3</v>
      </c>
      <c r="O921" s="4">
        <v>600</v>
      </c>
      <c r="P921" s="4">
        <v>950</v>
      </c>
      <c r="Q921" s="7">
        <v>0.05</v>
      </c>
      <c r="R921" t="s">
        <v>204</v>
      </c>
      <c r="S921">
        <v>13</v>
      </c>
      <c r="T921">
        <v>2850</v>
      </c>
      <c r="U921">
        <v>142.5</v>
      </c>
      <c r="V921">
        <v>2707.5</v>
      </c>
      <c r="W921">
        <v>1800</v>
      </c>
      <c r="X921">
        <v>907.5</v>
      </c>
      <c r="Y921" s="8">
        <v>0.33518005540166207</v>
      </c>
      <c r="Z921" t="s">
        <v>2996</v>
      </c>
      <c r="AA921" t="str">
        <f>IF(AND(SalesCleanTable[[#This Row],[Discount %]]&gt;0, SalesCleanTable[[#This Row],[Profit]]&lt;0), "Discount loss", "Safe")</f>
        <v>Safe</v>
      </c>
      <c r="AB921" s="25">
        <f>(SalesCleanTable[[#This Row],[Unit Price]] - SalesCleanTable[[#This Row],[Unit Cost]]) / SalesCleanTable[[#This Row],[Unit Price]]</f>
        <v>0.36842105263157893</v>
      </c>
      <c r="AC921" t="str">
        <f>IF(SalesCleanTable[[#This Row],[Discount %]] &gt; SalesCleanTable[[#This Row],[Max Allowed Discount]], "Discount loss", "Safe")</f>
        <v>Safe</v>
      </c>
      <c r="AD921" s="4">
        <f>SalesCleanTable[[#This Row],[Unit Price]] - SalesCleanTable[[#This Row],[Unit Cost]]</f>
        <v>350</v>
      </c>
      <c r="AE921" s="41">
        <f>(SalesCleanTable[[#This Row],[Unit Price]] - SalesCleanTable[[#This Row],[Unit Cost]]) / SalesCleanTable[[#This Row],[Unit Price]]</f>
        <v>0.36842105263157893</v>
      </c>
    </row>
    <row r="922" spans="1:31">
      <c r="A922" t="s">
        <v>1108</v>
      </c>
      <c r="B922" s="6">
        <v>45908</v>
      </c>
      <c r="C922" t="s">
        <v>29</v>
      </c>
      <c r="D922" t="s">
        <v>30</v>
      </c>
      <c r="E922" t="s">
        <v>26</v>
      </c>
      <c r="F922" t="s">
        <v>27</v>
      </c>
      <c r="G922" t="s">
        <v>31</v>
      </c>
      <c r="H922" t="s">
        <v>149</v>
      </c>
      <c r="I922" t="s">
        <v>150</v>
      </c>
      <c r="J922" t="s">
        <v>151</v>
      </c>
      <c r="K922" t="s">
        <v>152</v>
      </c>
      <c r="L922" t="s">
        <v>183</v>
      </c>
      <c r="M922" t="s">
        <v>171</v>
      </c>
      <c r="N922">
        <v>3</v>
      </c>
      <c r="O922" s="4">
        <v>6200</v>
      </c>
      <c r="P922" s="4">
        <v>7900</v>
      </c>
      <c r="Q922" s="7">
        <v>0.15</v>
      </c>
      <c r="R922" t="s">
        <v>197</v>
      </c>
      <c r="S922">
        <v>11</v>
      </c>
      <c r="T922">
        <v>23700</v>
      </c>
      <c r="U922">
        <v>3555</v>
      </c>
      <c r="V922">
        <v>20145</v>
      </c>
      <c r="W922">
        <v>18600</v>
      </c>
      <c r="X922">
        <v>1545</v>
      </c>
      <c r="Y922" s="8">
        <v>7.6693968726731204E-2</v>
      </c>
      <c r="Z922" t="s">
        <v>2996</v>
      </c>
      <c r="AA922" t="str">
        <f>IF(AND(SalesCleanTable[[#This Row],[Discount %]]&gt;0, SalesCleanTable[[#This Row],[Profit]]&lt;0), "Discount loss", "Safe")</f>
        <v>Safe</v>
      </c>
      <c r="AB922" s="25">
        <f>(SalesCleanTable[[#This Row],[Unit Price]] - SalesCleanTable[[#This Row],[Unit Cost]]) / SalesCleanTable[[#This Row],[Unit Price]]</f>
        <v>0.21518987341772153</v>
      </c>
      <c r="AC922" t="str">
        <f>IF(SalesCleanTable[[#This Row],[Discount %]] &gt; SalesCleanTable[[#This Row],[Max Allowed Discount]], "Discount loss", "Safe")</f>
        <v>Safe</v>
      </c>
      <c r="AD922" s="4">
        <f>SalesCleanTable[[#This Row],[Unit Price]] - SalesCleanTable[[#This Row],[Unit Cost]]</f>
        <v>1700</v>
      </c>
      <c r="AE922" s="41">
        <f>(SalesCleanTable[[#This Row],[Unit Price]] - SalesCleanTable[[#This Row],[Unit Cost]]) / SalesCleanTable[[#This Row],[Unit Price]]</f>
        <v>0.21518987341772153</v>
      </c>
    </row>
    <row r="923" spans="1:31">
      <c r="A923" t="s">
        <v>1109</v>
      </c>
      <c r="B923" s="6">
        <v>45750</v>
      </c>
      <c r="C923" t="s">
        <v>103</v>
      </c>
      <c r="D923" t="s">
        <v>104</v>
      </c>
      <c r="E923" t="s">
        <v>92</v>
      </c>
      <c r="F923" t="s">
        <v>105</v>
      </c>
      <c r="G923" t="s">
        <v>106</v>
      </c>
      <c r="H923" t="s">
        <v>145</v>
      </c>
      <c r="I923" t="s">
        <v>146</v>
      </c>
      <c r="J923" t="s">
        <v>147</v>
      </c>
      <c r="K923" t="s">
        <v>148</v>
      </c>
      <c r="L923" t="s">
        <v>166</v>
      </c>
      <c r="M923" t="s">
        <v>177</v>
      </c>
      <c r="N923">
        <v>1</v>
      </c>
      <c r="O923" s="4">
        <v>1500</v>
      </c>
      <c r="P923" s="4">
        <v>2500</v>
      </c>
      <c r="Q923" s="7">
        <v>0.05</v>
      </c>
      <c r="R923" t="s">
        <v>215</v>
      </c>
      <c r="S923">
        <v>4</v>
      </c>
      <c r="T923">
        <v>2500</v>
      </c>
      <c r="U923">
        <v>125</v>
      </c>
      <c r="V923">
        <v>2375</v>
      </c>
      <c r="W923">
        <v>1500</v>
      </c>
      <c r="X923">
        <v>875</v>
      </c>
      <c r="Y923" s="8">
        <v>0.36842105263157893</v>
      </c>
      <c r="Z923" t="s">
        <v>2996</v>
      </c>
      <c r="AA923" t="str">
        <f>IF(AND(SalesCleanTable[[#This Row],[Discount %]]&gt;0, SalesCleanTable[[#This Row],[Profit]]&lt;0), "Discount loss", "Safe")</f>
        <v>Safe</v>
      </c>
      <c r="AB923" s="25">
        <f>(SalesCleanTable[[#This Row],[Unit Price]] - SalesCleanTable[[#This Row],[Unit Cost]]) / SalesCleanTable[[#This Row],[Unit Price]]</f>
        <v>0.4</v>
      </c>
      <c r="AC923" t="str">
        <f>IF(SalesCleanTable[[#This Row],[Discount %]] &gt; SalesCleanTable[[#This Row],[Max Allowed Discount]], "Discount loss", "Safe")</f>
        <v>Safe</v>
      </c>
      <c r="AD923" s="4">
        <f>SalesCleanTable[[#This Row],[Unit Price]] - SalesCleanTable[[#This Row],[Unit Cost]]</f>
        <v>1000</v>
      </c>
      <c r="AE923" s="41">
        <f>(SalesCleanTable[[#This Row],[Unit Price]] - SalesCleanTable[[#This Row],[Unit Cost]]) / SalesCleanTable[[#This Row],[Unit Price]]</f>
        <v>0.4</v>
      </c>
    </row>
    <row r="924" spans="1:31">
      <c r="A924" t="s">
        <v>1110</v>
      </c>
      <c r="B924" s="6">
        <v>45702</v>
      </c>
      <c r="C924" t="s">
        <v>62</v>
      </c>
      <c r="D924" t="s">
        <v>63</v>
      </c>
      <c r="E924" t="s">
        <v>59</v>
      </c>
      <c r="F924" t="s">
        <v>64</v>
      </c>
      <c r="G924" t="s">
        <v>65</v>
      </c>
      <c r="H924" t="s">
        <v>149</v>
      </c>
      <c r="I924" t="s">
        <v>150</v>
      </c>
      <c r="J924" t="s">
        <v>151</v>
      </c>
      <c r="K924" t="s">
        <v>152</v>
      </c>
      <c r="L924" t="s">
        <v>166</v>
      </c>
      <c r="M924" t="s">
        <v>186</v>
      </c>
      <c r="N924">
        <v>1</v>
      </c>
      <c r="O924" s="4">
        <v>3200</v>
      </c>
      <c r="P924" s="4">
        <v>4500</v>
      </c>
      <c r="Q924" s="7">
        <v>0.2</v>
      </c>
      <c r="R924" t="s">
        <v>173</v>
      </c>
      <c r="S924">
        <v>3</v>
      </c>
      <c r="T924">
        <v>4500</v>
      </c>
      <c r="U924">
        <v>900</v>
      </c>
      <c r="V924">
        <v>3600</v>
      </c>
      <c r="W924">
        <v>3200</v>
      </c>
      <c r="X924">
        <v>400</v>
      </c>
      <c r="Y924" s="8">
        <v>0.1111111111111111</v>
      </c>
      <c r="Z924" t="s">
        <v>2996</v>
      </c>
      <c r="AA924" t="str">
        <f>IF(AND(SalesCleanTable[[#This Row],[Discount %]]&gt;0, SalesCleanTable[[#This Row],[Profit]]&lt;0), "Discount loss", "Safe")</f>
        <v>Safe</v>
      </c>
      <c r="AB924" s="25">
        <f>(SalesCleanTable[[#This Row],[Unit Price]] - SalesCleanTable[[#This Row],[Unit Cost]]) / SalesCleanTable[[#This Row],[Unit Price]]</f>
        <v>0.28888888888888886</v>
      </c>
      <c r="AC924" t="str">
        <f>IF(SalesCleanTable[[#This Row],[Discount %]] &gt; SalesCleanTable[[#This Row],[Max Allowed Discount]], "Discount loss", "Safe")</f>
        <v>Safe</v>
      </c>
      <c r="AD924" s="4">
        <f>SalesCleanTable[[#This Row],[Unit Price]] - SalesCleanTable[[#This Row],[Unit Cost]]</f>
        <v>1300</v>
      </c>
      <c r="AE924" s="41">
        <f>(SalesCleanTable[[#This Row],[Unit Price]] - SalesCleanTable[[#This Row],[Unit Cost]]) / SalesCleanTable[[#This Row],[Unit Price]]</f>
        <v>0.28888888888888886</v>
      </c>
    </row>
    <row r="925" spans="1:31">
      <c r="A925" t="s">
        <v>1111</v>
      </c>
      <c r="B925" s="6">
        <v>45994</v>
      </c>
      <c r="C925" t="s">
        <v>24</v>
      </c>
      <c r="D925" t="s">
        <v>25</v>
      </c>
      <c r="E925" t="s">
        <v>26</v>
      </c>
      <c r="F925" t="s">
        <v>27</v>
      </c>
      <c r="G925" t="s">
        <v>28</v>
      </c>
      <c r="H925" t="s">
        <v>135</v>
      </c>
      <c r="I925" t="s">
        <v>136</v>
      </c>
      <c r="J925" t="s">
        <v>137</v>
      </c>
      <c r="K925" t="s">
        <v>138</v>
      </c>
      <c r="L925" t="s">
        <v>183</v>
      </c>
      <c r="M925" t="s">
        <v>171</v>
      </c>
      <c r="N925">
        <v>8</v>
      </c>
      <c r="O925" s="4">
        <v>14500</v>
      </c>
      <c r="P925" s="4">
        <v>17500</v>
      </c>
      <c r="Q925" s="7">
        <v>0.05</v>
      </c>
      <c r="R925" t="s">
        <v>194</v>
      </c>
      <c r="S925">
        <v>3</v>
      </c>
      <c r="T925">
        <v>140000</v>
      </c>
      <c r="U925">
        <v>7000</v>
      </c>
      <c r="V925">
        <v>133000</v>
      </c>
      <c r="W925">
        <v>116000</v>
      </c>
      <c r="X925">
        <v>17000</v>
      </c>
      <c r="Y925" s="8">
        <v>0.12781954887218044</v>
      </c>
      <c r="Z925" t="s">
        <v>2995</v>
      </c>
      <c r="AA925" t="str">
        <f>IF(AND(SalesCleanTable[[#This Row],[Discount %]]&gt;0, SalesCleanTable[[#This Row],[Profit]]&lt;0), "Discount loss", "Safe")</f>
        <v>Safe</v>
      </c>
      <c r="AB925" s="25">
        <f>(SalesCleanTable[[#This Row],[Unit Price]] - SalesCleanTable[[#This Row],[Unit Cost]]) / SalesCleanTable[[#This Row],[Unit Price]]</f>
        <v>0.17142857142857143</v>
      </c>
      <c r="AC925" t="str">
        <f>IF(SalesCleanTable[[#This Row],[Discount %]] &gt; SalesCleanTable[[#This Row],[Max Allowed Discount]], "Discount loss", "Safe")</f>
        <v>Safe</v>
      </c>
      <c r="AD925" s="4">
        <f>SalesCleanTable[[#This Row],[Unit Price]] - SalesCleanTable[[#This Row],[Unit Cost]]</f>
        <v>3000</v>
      </c>
      <c r="AE925" s="41">
        <f>(SalesCleanTable[[#This Row],[Unit Price]] - SalesCleanTable[[#This Row],[Unit Cost]]) / SalesCleanTable[[#This Row],[Unit Price]]</f>
        <v>0.17142857142857143</v>
      </c>
    </row>
    <row r="926" spans="1:31">
      <c r="A926" t="s">
        <v>1112</v>
      </c>
      <c r="B926" s="6">
        <v>46013</v>
      </c>
      <c r="C926" t="s">
        <v>45</v>
      </c>
      <c r="D926" t="s">
        <v>46</v>
      </c>
      <c r="E926" t="s">
        <v>38</v>
      </c>
      <c r="F926" t="s">
        <v>47</v>
      </c>
      <c r="G926" t="s">
        <v>48</v>
      </c>
      <c r="H926" t="s">
        <v>149</v>
      </c>
      <c r="I926" t="s">
        <v>150</v>
      </c>
      <c r="J926" t="s">
        <v>151</v>
      </c>
      <c r="K926" t="s">
        <v>152</v>
      </c>
      <c r="L926" t="s">
        <v>166</v>
      </c>
      <c r="M926" t="s">
        <v>171</v>
      </c>
      <c r="N926">
        <v>10</v>
      </c>
      <c r="O926" s="4">
        <v>230</v>
      </c>
      <c r="P926" s="4">
        <v>400</v>
      </c>
      <c r="Q926" s="7">
        <v>0.1</v>
      </c>
      <c r="R926" t="s">
        <v>168</v>
      </c>
      <c r="S926">
        <v>14</v>
      </c>
      <c r="T926">
        <v>4000</v>
      </c>
      <c r="U926">
        <v>400</v>
      </c>
      <c r="V926">
        <v>3600</v>
      </c>
      <c r="W926">
        <v>2300</v>
      </c>
      <c r="X926">
        <v>1300</v>
      </c>
      <c r="Y926" s="8">
        <v>0.3611111111111111</v>
      </c>
      <c r="Z926" t="s">
        <v>2995</v>
      </c>
      <c r="AA926" t="str">
        <f>IF(AND(SalesCleanTable[[#This Row],[Discount %]]&gt;0, SalesCleanTable[[#This Row],[Profit]]&lt;0), "Discount loss", "Safe")</f>
        <v>Safe</v>
      </c>
      <c r="AB926" s="25">
        <f>(SalesCleanTable[[#This Row],[Unit Price]] - SalesCleanTable[[#This Row],[Unit Cost]]) / SalesCleanTable[[#This Row],[Unit Price]]</f>
        <v>0.42499999999999999</v>
      </c>
      <c r="AC926" t="str">
        <f>IF(SalesCleanTable[[#This Row],[Discount %]] &gt; SalesCleanTable[[#This Row],[Max Allowed Discount]], "Discount loss", "Safe")</f>
        <v>Safe</v>
      </c>
      <c r="AD926" s="4">
        <f>SalesCleanTable[[#This Row],[Unit Price]] - SalesCleanTable[[#This Row],[Unit Cost]]</f>
        <v>170</v>
      </c>
      <c r="AE926" s="41">
        <f>(SalesCleanTable[[#This Row],[Unit Price]] - SalesCleanTable[[#This Row],[Unit Cost]]) / SalesCleanTable[[#This Row],[Unit Price]]</f>
        <v>0.42499999999999999</v>
      </c>
    </row>
    <row r="927" spans="1:31">
      <c r="A927" t="s">
        <v>1113</v>
      </c>
      <c r="B927" s="6">
        <v>45676</v>
      </c>
      <c r="C927" t="s">
        <v>36</v>
      </c>
      <c r="D927" t="s">
        <v>37</v>
      </c>
      <c r="E927" t="s">
        <v>38</v>
      </c>
      <c r="F927" t="s">
        <v>39</v>
      </c>
      <c r="G927" t="s">
        <v>40</v>
      </c>
      <c r="H927" t="s">
        <v>135</v>
      </c>
      <c r="I927" t="s">
        <v>136</v>
      </c>
      <c r="J927" t="s">
        <v>137</v>
      </c>
      <c r="K927" t="s">
        <v>138</v>
      </c>
      <c r="L927" t="s">
        <v>183</v>
      </c>
      <c r="M927" t="s">
        <v>167</v>
      </c>
      <c r="N927">
        <v>5</v>
      </c>
      <c r="O927" s="4">
        <v>1650</v>
      </c>
      <c r="P927" s="4">
        <v>2200</v>
      </c>
      <c r="Q927" s="7">
        <v>0.2</v>
      </c>
      <c r="R927" t="s">
        <v>175</v>
      </c>
      <c r="S927">
        <v>5</v>
      </c>
      <c r="T927">
        <v>11000</v>
      </c>
      <c r="U927">
        <v>2200</v>
      </c>
      <c r="V927">
        <v>8800</v>
      </c>
      <c r="W927">
        <v>8250</v>
      </c>
      <c r="X927">
        <v>550</v>
      </c>
      <c r="Y927" s="8">
        <v>6.25E-2</v>
      </c>
      <c r="Z927" t="s">
        <v>2995</v>
      </c>
      <c r="AA927" t="str">
        <f>IF(AND(SalesCleanTable[[#This Row],[Discount %]]&gt;0, SalesCleanTable[[#This Row],[Profit]]&lt;0), "Discount loss", "Safe")</f>
        <v>Safe</v>
      </c>
      <c r="AB927" s="25">
        <f>(SalesCleanTable[[#This Row],[Unit Price]] - SalesCleanTable[[#This Row],[Unit Cost]]) / SalesCleanTable[[#This Row],[Unit Price]]</f>
        <v>0.25</v>
      </c>
      <c r="AC927" t="str">
        <f>IF(SalesCleanTable[[#This Row],[Discount %]] &gt; SalesCleanTable[[#This Row],[Max Allowed Discount]], "Discount loss", "Safe")</f>
        <v>Safe</v>
      </c>
      <c r="AD927" s="4">
        <f>SalesCleanTable[[#This Row],[Unit Price]] - SalesCleanTable[[#This Row],[Unit Cost]]</f>
        <v>550</v>
      </c>
      <c r="AE927" s="41">
        <f>(SalesCleanTable[[#This Row],[Unit Price]] - SalesCleanTable[[#This Row],[Unit Cost]]) / SalesCleanTable[[#This Row],[Unit Price]]</f>
        <v>0.25</v>
      </c>
    </row>
    <row r="928" spans="1:31">
      <c r="A928" t="s">
        <v>1114</v>
      </c>
      <c r="B928" s="6">
        <v>45976</v>
      </c>
      <c r="C928" t="s">
        <v>53</v>
      </c>
      <c r="D928" t="s">
        <v>54</v>
      </c>
      <c r="E928" t="s">
        <v>38</v>
      </c>
      <c r="F928" t="s">
        <v>55</v>
      </c>
      <c r="G928" t="s">
        <v>56</v>
      </c>
      <c r="H928" t="s">
        <v>139</v>
      </c>
      <c r="I928" t="s">
        <v>140</v>
      </c>
      <c r="J928" t="s">
        <v>137</v>
      </c>
      <c r="K928" t="s">
        <v>138</v>
      </c>
      <c r="L928" t="s">
        <v>166</v>
      </c>
      <c r="M928" t="s">
        <v>186</v>
      </c>
      <c r="N928">
        <v>2</v>
      </c>
      <c r="O928" s="4">
        <v>330</v>
      </c>
      <c r="P928" s="4">
        <v>550</v>
      </c>
      <c r="Q928" s="7">
        <v>0.1</v>
      </c>
      <c r="R928" t="s">
        <v>175</v>
      </c>
      <c r="S928">
        <v>11</v>
      </c>
      <c r="T928">
        <v>1100</v>
      </c>
      <c r="U928">
        <v>110</v>
      </c>
      <c r="V928">
        <v>990</v>
      </c>
      <c r="W928">
        <v>660</v>
      </c>
      <c r="X928">
        <v>330</v>
      </c>
      <c r="Y928" s="8">
        <v>0.33333333333333331</v>
      </c>
      <c r="Z928" t="s">
        <v>2996</v>
      </c>
      <c r="AA928" t="str">
        <f>IF(AND(SalesCleanTable[[#This Row],[Discount %]]&gt;0, SalesCleanTable[[#This Row],[Profit]]&lt;0), "Discount loss", "Safe")</f>
        <v>Safe</v>
      </c>
      <c r="AB928" s="25">
        <f>(SalesCleanTable[[#This Row],[Unit Price]] - SalesCleanTable[[#This Row],[Unit Cost]]) / SalesCleanTable[[#This Row],[Unit Price]]</f>
        <v>0.4</v>
      </c>
      <c r="AC928" t="str">
        <f>IF(SalesCleanTable[[#This Row],[Discount %]] &gt; SalesCleanTable[[#This Row],[Max Allowed Discount]], "Discount loss", "Safe")</f>
        <v>Safe</v>
      </c>
      <c r="AD928" s="4">
        <f>SalesCleanTable[[#This Row],[Unit Price]] - SalesCleanTable[[#This Row],[Unit Cost]]</f>
        <v>220</v>
      </c>
      <c r="AE928" s="41">
        <f>(SalesCleanTable[[#This Row],[Unit Price]] - SalesCleanTable[[#This Row],[Unit Cost]]) / SalesCleanTable[[#This Row],[Unit Price]]</f>
        <v>0.4</v>
      </c>
    </row>
    <row r="929" spans="1:31">
      <c r="A929" t="s">
        <v>1115</v>
      </c>
      <c r="B929" s="6">
        <v>46013</v>
      </c>
      <c r="C929" t="s">
        <v>32</v>
      </c>
      <c r="D929" t="s">
        <v>33</v>
      </c>
      <c r="E929" t="s">
        <v>26</v>
      </c>
      <c r="F929" t="s">
        <v>34</v>
      </c>
      <c r="G929" t="s">
        <v>35</v>
      </c>
      <c r="H929" t="s">
        <v>133</v>
      </c>
      <c r="I929" t="s">
        <v>134</v>
      </c>
      <c r="J929" t="s">
        <v>130</v>
      </c>
      <c r="K929" t="s">
        <v>131</v>
      </c>
      <c r="L929" t="s">
        <v>183</v>
      </c>
      <c r="M929" t="s">
        <v>171</v>
      </c>
      <c r="N929">
        <v>3</v>
      </c>
      <c r="O929" s="4">
        <v>7800</v>
      </c>
      <c r="P929" s="4">
        <v>9800</v>
      </c>
      <c r="Q929" s="7">
        <v>0</v>
      </c>
      <c r="R929" t="s">
        <v>173</v>
      </c>
      <c r="S929">
        <v>6</v>
      </c>
      <c r="T929">
        <v>29400</v>
      </c>
      <c r="U929">
        <v>0</v>
      </c>
      <c r="V929">
        <v>29400</v>
      </c>
      <c r="W929">
        <v>23400</v>
      </c>
      <c r="X929">
        <v>6000</v>
      </c>
      <c r="Y929" s="8">
        <v>0.20408163265306123</v>
      </c>
      <c r="Z929" t="s">
        <v>2995</v>
      </c>
      <c r="AA929" t="str">
        <f>IF(AND(SalesCleanTable[[#This Row],[Discount %]]&gt;0, SalesCleanTable[[#This Row],[Profit]]&lt;0), "Discount loss", "Safe")</f>
        <v>Safe</v>
      </c>
      <c r="AB929" s="25">
        <f>(SalesCleanTable[[#This Row],[Unit Price]] - SalesCleanTable[[#This Row],[Unit Cost]]) / SalesCleanTable[[#This Row],[Unit Price]]</f>
        <v>0.20408163265306123</v>
      </c>
      <c r="AC929" t="str">
        <f>IF(SalesCleanTable[[#This Row],[Discount %]] &gt; SalesCleanTable[[#This Row],[Max Allowed Discount]], "Discount loss", "Safe")</f>
        <v>Safe</v>
      </c>
      <c r="AD929" s="4">
        <f>SalesCleanTable[[#This Row],[Unit Price]] - SalesCleanTable[[#This Row],[Unit Cost]]</f>
        <v>2000</v>
      </c>
      <c r="AE929" s="41">
        <f>(SalesCleanTable[[#This Row],[Unit Price]] - SalesCleanTable[[#This Row],[Unit Cost]]) / SalesCleanTable[[#This Row],[Unit Price]]</f>
        <v>0.20408163265306123</v>
      </c>
    </row>
    <row r="930" spans="1:31">
      <c r="A930" t="s">
        <v>1116</v>
      </c>
      <c r="B930" s="6">
        <v>45989</v>
      </c>
      <c r="C930" t="s">
        <v>99</v>
      </c>
      <c r="D930" t="s">
        <v>100</v>
      </c>
      <c r="E930" t="s">
        <v>92</v>
      </c>
      <c r="F930" t="s">
        <v>101</v>
      </c>
      <c r="G930" t="s">
        <v>102</v>
      </c>
      <c r="H930" t="s">
        <v>141</v>
      </c>
      <c r="I930" t="s">
        <v>142</v>
      </c>
      <c r="J930" t="s">
        <v>143</v>
      </c>
      <c r="K930" t="s">
        <v>144</v>
      </c>
      <c r="L930" t="s">
        <v>170</v>
      </c>
      <c r="M930" t="s">
        <v>186</v>
      </c>
      <c r="N930">
        <v>2</v>
      </c>
      <c r="O930" s="4">
        <v>12500</v>
      </c>
      <c r="P930" s="4">
        <v>18500</v>
      </c>
      <c r="Q930" s="7">
        <v>0</v>
      </c>
      <c r="R930" t="s">
        <v>181</v>
      </c>
      <c r="S930">
        <v>10</v>
      </c>
      <c r="T930">
        <v>37000</v>
      </c>
      <c r="U930">
        <v>0</v>
      </c>
      <c r="V930">
        <v>37000</v>
      </c>
      <c r="W930">
        <v>25000</v>
      </c>
      <c r="X930">
        <v>12000</v>
      </c>
      <c r="Y930" s="8">
        <v>0.32432432432432434</v>
      </c>
      <c r="Z930" t="s">
        <v>2995</v>
      </c>
      <c r="AA930" t="str">
        <f>IF(AND(SalesCleanTable[[#This Row],[Discount %]]&gt;0, SalesCleanTable[[#This Row],[Profit]]&lt;0), "Discount loss", "Safe")</f>
        <v>Safe</v>
      </c>
      <c r="AB930" s="25">
        <f>(SalesCleanTable[[#This Row],[Unit Price]] - SalesCleanTable[[#This Row],[Unit Cost]]) / SalesCleanTable[[#This Row],[Unit Price]]</f>
        <v>0.32432432432432434</v>
      </c>
      <c r="AC930" t="str">
        <f>IF(SalesCleanTable[[#This Row],[Discount %]] &gt; SalesCleanTable[[#This Row],[Max Allowed Discount]], "Discount loss", "Safe")</f>
        <v>Safe</v>
      </c>
      <c r="AD930" s="4">
        <f>SalesCleanTable[[#This Row],[Unit Price]] - SalesCleanTable[[#This Row],[Unit Cost]]</f>
        <v>6000</v>
      </c>
      <c r="AE930" s="41">
        <f>(SalesCleanTable[[#This Row],[Unit Price]] - SalesCleanTable[[#This Row],[Unit Cost]]) / SalesCleanTable[[#This Row],[Unit Price]]</f>
        <v>0.32432432432432434</v>
      </c>
    </row>
    <row r="931" spans="1:31">
      <c r="A931" t="s">
        <v>1117</v>
      </c>
      <c r="B931" s="6">
        <v>45796</v>
      </c>
      <c r="C931" t="s">
        <v>32</v>
      </c>
      <c r="D931" t="s">
        <v>33</v>
      </c>
      <c r="E931" t="s">
        <v>26</v>
      </c>
      <c r="F931" t="s">
        <v>34</v>
      </c>
      <c r="G931" t="s">
        <v>35</v>
      </c>
      <c r="H931" t="s">
        <v>128</v>
      </c>
      <c r="I931" t="s">
        <v>129</v>
      </c>
      <c r="J931" t="s">
        <v>130</v>
      </c>
      <c r="K931" t="s">
        <v>131</v>
      </c>
      <c r="L931" t="s">
        <v>183</v>
      </c>
      <c r="M931" t="s">
        <v>186</v>
      </c>
      <c r="N931">
        <v>3</v>
      </c>
      <c r="O931" s="4">
        <v>7800</v>
      </c>
      <c r="P931" s="4">
        <v>9800</v>
      </c>
      <c r="Q931" s="7">
        <v>0</v>
      </c>
      <c r="R931" t="s">
        <v>194</v>
      </c>
      <c r="S931">
        <v>13</v>
      </c>
      <c r="T931">
        <v>29400</v>
      </c>
      <c r="U931">
        <v>0</v>
      </c>
      <c r="V931">
        <v>29400</v>
      </c>
      <c r="W931">
        <v>23400</v>
      </c>
      <c r="X931">
        <v>6000</v>
      </c>
      <c r="Y931" s="8">
        <v>0.20408163265306123</v>
      </c>
      <c r="Z931" t="s">
        <v>2995</v>
      </c>
      <c r="AA931" t="str">
        <f>IF(AND(SalesCleanTable[[#This Row],[Discount %]]&gt;0, SalesCleanTable[[#This Row],[Profit]]&lt;0), "Discount loss", "Safe")</f>
        <v>Safe</v>
      </c>
      <c r="AB931" s="25">
        <f>(SalesCleanTable[[#This Row],[Unit Price]] - SalesCleanTable[[#This Row],[Unit Cost]]) / SalesCleanTable[[#This Row],[Unit Price]]</f>
        <v>0.20408163265306123</v>
      </c>
      <c r="AC931" t="str">
        <f>IF(SalesCleanTable[[#This Row],[Discount %]] &gt; SalesCleanTable[[#This Row],[Max Allowed Discount]], "Discount loss", "Safe")</f>
        <v>Safe</v>
      </c>
      <c r="AD931" s="4">
        <f>SalesCleanTable[[#This Row],[Unit Price]] - SalesCleanTable[[#This Row],[Unit Cost]]</f>
        <v>2000</v>
      </c>
      <c r="AE931" s="41">
        <f>(SalesCleanTable[[#This Row],[Unit Price]] - SalesCleanTable[[#This Row],[Unit Cost]]) / SalesCleanTable[[#This Row],[Unit Price]]</f>
        <v>0.20408163265306123</v>
      </c>
    </row>
    <row r="932" spans="1:31">
      <c r="A932" t="s">
        <v>1118</v>
      </c>
      <c r="B932" s="6">
        <v>45773</v>
      </c>
      <c r="C932" t="s">
        <v>45</v>
      </c>
      <c r="D932" t="s">
        <v>46</v>
      </c>
      <c r="E932" t="s">
        <v>38</v>
      </c>
      <c r="F932" t="s">
        <v>47</v>
      </c>
      <c r="G932" t="s">
        <v>48</v>
      </c>
      <c r="H932" t="s">
        <v>128</v>
      </c>
      <c r="I932" t="s">
        <v>129</v>
      </c>
      <c r="J932" t="s">
        <v>130</v>
      </c>
      <c r="K932" t="s">
        <v>131</v>
      </c>
      <c r="L932" t="s">
        <v>170</v>
      </c>
      <c r="M932" t="s">
        <v>171</v>
      </c>
      <c r="N932">
        <v>10</v>
      </c>
      <c r="O932" s="4">
        <v>230</v>
      </c>
      <c r="P932" s="4">
        <v>400</v>
      </c>
      <c r="Q932" s="7">
        <v>0</v>
      </c>
      <c r="R932" t="s">
        <v>178</v>
      </c>
      <c r="S932">
        <v>3</v>
      </c>
      <c r="T932">
        <v>4000</v>
      </c>
      <c r="U932">
        <v>0</v>
      </c>
      <c r="V932">
        <v>4000</v>
      </c>
      <c r="W932">
        <v>2300</v>
      </c>
      <c r="X932">
        <v>1700</v>
      </c>
      <c r="Y932" s="8">
        <v>0.42499999999999999</v>
      </c>
      <c r="Z932" t="s">
        <v>2995</v>
      </c>
      <c r="AA932" t="str">
        <f>IF(AND(SalesCleanTable[[#This Row],[Discount %]]&gt;0, SalesCleanTable[[#This Row],[Profit]]&lt;0), "Discount loss", "Safe")</f>
        <v>Safe</v>
      </c>
      <c r="AB932" s="25">
        <f>(SalesCleanTable[[#This Row],[Unit Price]] - SalesCleanTable[[#This Row],[Unit Cost]]) / SalesCleanTable[[#This Row],[Unit Price]]</f>
        <v>0.42499999999999999</v>
      </c>
      <c r="AC932" t="str">
        <f>IF(SalesCleanTable[[#This Row],[Discount %]] &gt; SalesCleanTable[[#This Row],[Max Allowed Discount]], "Discount loss", "Safe")</f>
        <v>Safe</v>
      </c>
      <c r="AD932" s="4">
        <f>SalesCleanTable[[#This Row],[Unit Price]] - SalesCleanTable[[#This Row],[Unit Cost]]</f>
        <v>170</v>
      </c>
      <c r="AE932" s="41">
        <f>(SalesCleanTable[[#This Row],[Unit Price]] - SalesCleanTable[[#This Row],[Unit Cost]]) / SalesCleanTable[[#This Row],[Unit Price]]</f>
        <v>0.42499999999999999</v>
      </c>
    </row>
    <row r="933" spans="1:31">
      <c r="A933" t="s">
        <v>1119</v>
      </c>
      <c r="B933" s="6">
        <v>45814</v>
      </c>
      <c r="C933" t="s">
        <v>66</v>
      </c>
      <c r="D933" t="s">
        <v>67</v>
      </c>
      <c r="E933" t="s">
        <v>59</v>
      </c>
      <c r="F933" t="s">
        <v>60</v>
      </c>
      <c r="G933" t="s">
        <v>68</v>
      </c>
      <c r="H933" t="s">
        <v>145</v>
      </c>
      <c r="I933" t="s">
        <v>146</v>
      </c>
      <c r="J933" t="s">
        <v>147</v>
      </c>
      <c r="K933" t="s">
        <v>148</v>
      </c>
      <c r="L933" t="s">
        <v>166</v>
      </c>
      <c r="M933" t="s">
        <v>167</v>
      </c>
      <c r="N933">
        <v>1</v>
      </c>
      <c r="O933" s="4">
        <v>2800</v>
      </c>
      <c r="P933" s="4">
        <v>3900</v>
      </c>
      <c r="Q933" s="7">
        <v>0.05</v>
      </c>
      <c r="R933" t="s">
        <v>204</v>
      </c>
      <c r="S933">
        <v>10</v>
      </c>
      <c r="T933">
        <v>3900</v>
      </c>
      <c r="U933">
        <v>195</v>
      </c>
      <c r="V933">
        <v>3705</v>
      </c>
      <c r="W933">
        <v>2800</v>
      </c>
      <c r="X933">
        <v>905</v>
      </c>
      <c r="Y933" s="8">
        <v>0.24426450742240216</v>
      </c>
      <c r="Z933" t="s">
        <v>2996</v>
      </c>
      <c r="AA933" t="str">
        <f>IF(AND(SalesCleanTable[[#This Row],[Discount %]]&gt;0, SalesCleanTable[[#This Row],[Profit]]&lt;0), "Discount loss", "Safe")</f>
        <v>Safe</v>
      </c>
      <c r="AB933" s="25">
        <f>(SalesCleanTable[[#This Row],[Unit Price]] - SalesCleanTable[[#This Row],[Unit Cost]]) / SalesCleanTable[[#This Row],[Unit Price]]</f>
        <v>0.28205128205128205</v>
      </c>
      <c r="AC933" t="str">
        <f>IF(SalesCleanTable[[#This Row],[Discount %]] &gt; SalesCleanTable[[#This Row],[Max Allowed Discount]], "Discount loss", "Safe")</f>
        <v>Safe</v>
      </c>
      <c r="AD933" s="4">
        <f>SalesCleanTable[[#This Row],[Unit Price]] - SalesCleanTable[[#This Row],[Unit Cost]]</f>
        <v>1100</v>
      </c>
      <c r="AE933" s="41">
        <f>(SalesCleanTable[[#This Row],[Unit Price]] - SalesCleanTable[[#This Row],[Unit Cost]]) / SalesCleanTable[[#This Row],[Unit Price]]</f>
        <v>0.28205128205128205</v>
      </c>
    </row>
    <row r="934" spans="1:31">
      <c r="A934" t="s">
        <v>1120</v>
      </c>
      <c r="B934" s="6">
        <v>45682</v>
      </c>
      <c r="C934" t="s">
        <v>36</v>
      </c>
      <c r="D934" t="s">
        <v>37</v>
      </c>
      <c r="E934" t="s">
        <v>38</v>
      </c>
      <c r="F934" t="s">
        <v>39</v>
      </c>
      <c r="G934" t="s">
        <v>40</v>
      </c>
      <c r="H934" t="s">
        <v>153</v>
      </c>
      <c r="I934" t="s">
        <v>154</v>
      </c>
      <c r="J934" t="s">
        <v>155</v>
      </c>
      <c r="K934" t="s">
        <v>131</v>
      </c>
      <c r="L934" t="s">
        <v>183</v>
      </c>
      <c r="M934" t="s">
        <v>171</v>
      </c>
      <c r="N934">
        <v>2</v>
      </c>
      <c r="O934" s="4">
        <v>1650</v>
      </c>
      <c r="P934" s="4">
        <v>2200</v>
      </c>
      <c r="Q934" s="7">
        <v>0.05</v>
      </c>
      <c r="R934" t="s">
        <v>168</v>
      </c>
      <c r="S934">
        <v>9</v>
      </c>
      <c r="T934">
        <v>4400</v>
      </c>
      <c r="U934">
        <v>220</v>
      </c>
      <c r="V934">
        <v>4180</v>
      </c>
      <c r="W934">
        <v>3300</v>
      </c>
      <c r="X934">
        <v>880</v>
      </c>
      <c r="Y934" s="8">
        <v>0.21052631578947367</v>
      </c>
      <c r="Z934" t="s">
        <v>2995</v>
      </c>
      <c r="AA934" t="str">
        <f>IF(AND(SalesCleanTable[[#This Row],[Discount %]]&gt;0, SalesCleanTable[[#This Row],[Profit]]&lt;0), "Discount loss", "Safe")</f>
        <v>Safe</v>
      </c>
      <c r="AB934" s="25">
        <f>(SalesCleanTable[[#This Row],[Unit Price]] - SalesCleanTable[[#This Row],[Unit Cost]]) / SalesCleanTable[[#This Row],[Unit Price]]</f>
        <v>0.25</v>
      </c>
      <c r="AC934" t="str">
        <f>IF(SalesCleanTable[[#This Row],[Discount %]] &gt; SalesCleanTable[[#This Row],[Max Allowed Discount]], "Discount loss", "Safe")</f>
        <v>Safe</v>
      </c>
      <c r="AD934" s="4">
        <f>SalesCleanTable[[#This Row],[Unit Price]] - SalesCleanTable[[#This Row],[Unit Cost]]</f>
        <v>550</v>
      </c>
      <c r="AE934" s="41">
        <f>(SalesCleanTable[[#This Row],[Unit Price]] - SalesCleanTable[[#This Row],[Unit Cost]]) / SalesCleanTable[[#This Row],[Unit Price]]</f>
        <v>0.25</v>
      </c>
    </row>
    <row r="935" spans="1:31">
      <c r="A935" t="s">
        <v>1121</v>
      </c>
      <c r="B935" s="6">
        <v>45864</v>
      </c>
      <c r="C935" t="s">
        <v>53</v>
      </c>
      <c r="D935" t="s">
        <v>54</v>
      </c>
      <c r="E935" t="s">
        <v>38</v>
      </c>
      <c r="F935" t="s">
        <v>55</v>
      </c>
      <c r="G935" t="s">
        <v>56</v>
      </c>
      <c r="H935" t="s">
        <v>128</v>
      </c>
      <c r="I935" t="s">
        <v>129</v>
      </c>
      <c r="J935" t="s">
        <v>130</v>
      </c>
      <c r="K935" t="s">
        <v>131</v>
      </c>
      <c r="L935" t="s">
        <v>166</v>
      </c>
      <c r="M935" t="s">
        <v>177</v>
      </c>
      <c r="N935">
        <v>1</v>
      </c>
      <c r="O935" s="4">
        <v>330</v>
      </c>
      <c r="P935" s="4">
        <v>550</v>
      </c>
      <c r="Q935" s="7">
        <v>0.05</v>
      </c>
      <c r="R935" t="s">
        <v>175</v>
      </c>
      <c r="S935">
        <v>10</v>
      </c>
      <c r="T935">
        <v>550</v>
      </c>
      <c r="U935">
        <v>27.5</v>
      </c>
      <c r="V935">
        <v>522.5</v>
      </c>
      <c r="W935">
        <v>330</v>
      </c>
      <c r="X935">
        <v>192.5</v>
      </c>
      <c r="Y935" s="8">
        <v>0.36842105263157893</v>
      </c>
      <c r="Z935" t="s">
        <v>2996</v>
      </c>
      <c r="AA935" t="str">
        <f>IF(AND(SalesCleanTable[[#This Row],[Discount %]]&gt;0, SalesCleanTable[[#This Row],[Profit]]&lt;0), "Discount loss", "Safe")</f>
        <v>Safe</v>
      </c>
      <c r="AB935" s="25">
        <f>(SalesCleanTable[[#This Row],[Unit Price]] - SalesCleanTable[[#This Row],[Unit Cost]]) / SalesCleanTable[[#This Row],[Unit Price]]</f>
        <v>0.4</v>
      </c>
      <c r="AC935" t="str">
        <f>IF(SalesCleanTable[[#This Row],[Discount %]] &gt; SalesCleanTable[[#This Row],[Max Allowed Discount]], "Discount loss", "Safe")</f>
        <v>Safe</v>
      </c>
      <c r="AD935" s="4">
        <f>SalesCleanTable[[#This Row],[Unit Price]] - SalesCleanTable[[#This Row],[Unit Cost]]</f>
        <v>220</v>
      </c>
      <c r="AE935" s="41">
        <f>(SalesCleanTable[[#This Row],[Unit Price]] - SalesCleanTable[[#This Row],[Unit Cost]]) / SalesCleanTable[[#This Row],[Unit Price]]</f>
        <v>0.4</v>
      </c>
    </row>
    <row r="936" spans="1:31">
      <c r="A936" t="s">
        <v>1122</v>
      </c>
      <c r="B936" s="6">
        <v>45685</v>
      </c>
      <c r="C936" t="s">
        <v>112</v>
      </c>
      <c r="D936" t="s">
        <v>113</v>
      </c>
      <c r="E936" t="s">
        <v>109</v>
      </c>
      <c r="F936" t="s">
        <v>114</v>
      </c>
      <c r="G936" t="s">
        <v>115</v>
      </c>
      <c r="H936" t="s">
        <v>141</v>
      </c>
      <c r="I936" t="s">
        <v>142</v>
      </c>
      <c r="J936" t="s">
        <v>143</v>
      </c>
      <c r="K936" t="s">
        <v>144</v>
      </c>
      <c r="L936" t="s">
        <v>183</v>
      </c>
      <c r="M936" t="s">
        <v>186</v>
      </c>
      <c r="N936">
        <v>2</v>
      </c>
      <c r="O936" s="4">
        <v>1300</v>
      </c>
      <c r="P936" s="4">
        <v>2100</v>
      </c>
      <c r="Q936" s="7">
        <v>0.15</v>
      </c>
      <c r="R936" t="s">
        <v>220</v>
      </c>
      <c r="S936">
        <v>3</v>
      </c>
      <c r="T936">
        <v>4200</v>
      </c>
      <c r="U936">
        <v>630</v>
      </c>
      <c r="V936">
        <v>3570</v>
      </c>
      <c r="W936">
        <v>2600</v>
      </c>
      <c r="X936">
        <v>970</v>
      </c>
      <c r="Y936" s="8">
        <v>0.27170868347338933</v>
      </c>
      <c r="Z936" t="s">
        <v>2995</v>
      </c>
      <c r="AA936" t="str">
        <f>IF(AND(SalesCleanTable[[#This Row],[Discount %]]&gt;0, SalesCleanTable[[#This Row],[Profit]]&lt;0), "Discount loss", "Safe")</f>
        <v>Safe</v>
      </c>
      <c r="AB936" s="25">
        <f>(SalesCleanTable[[#This Row],[Unit Price]] - SalesCleanTable[[#This Row],[Unit Cost]]) / SalesCleanTable[[#This Row],[Unit Price]]</f>
        <v>0.38095238095238093</v>
      </c>
      <c r="AC936" t="str">
        <f>IF(SalesCleanTable[[#This Row],[Discount %]] &gt; SalesCleanTable[[#This Row],[Max Allowed Discount]], "Discount loss", "Safe")</f>
        <v>Safe</v>
      </c>
      <c r="AD936" s="4">
        <f>SalesCleanTable[[#This Row],[Unit Price]] - SalesCleanTable[[#This Row],[Unit Cost]]</f>
        <v>800</v>
      </c>
      <c r="AE936" s="41">
        <f>(SalesCleanTable[[#This Row],[Unit Price]] - SalesCleanTable[[#This Row],[Unit Cost]]) / SalesCleanTable[[#This Row],[Unit Price]]</f>
        <v>0.38095238095238093</v>
      </c>
    </row>
    <row r="937" spans="1:31">
      <c r="A937" t="s">
        <v>1123</v>
      </c>
      <c r="B937" s="6">
        <v>45839</v>
      </c>
      <c r="C937" t="s">
        <v>95</v>
      </c>
      <c r="D937" t="s">
        <v>96</v>
      </c>
      <c r="E937" t="s">
        <v>92</v>
      </c>
      <c r="F937" t="s">
        <v>97</v>
      </c>
      <c r="G937" t="s">
        <v>98</v>
      </c>
      <c r="H937" t="s">
        <v>139</v>
      </c>
      <c r="I937" t="s">
        <v>140</v>
      </c>
      <c r="J937" t="s">
        <v>137</v>
      </c>
      <c r="K937" t="s">
        <v>138</v>
      </c>
      <c r="L937" t="s">
        <v>170</v>
      </c>
      <c r="M937" t="s">
        <v>171</v>
      </c>
      <c r="N937">
        <v>2</v>
      </c>
      <c r="O937" s="4">
        <v>18000</v>
      </c>
      <c r="P937" s="4">
        <v>24500</v>
      </c>
      <c r="Q937" s="7">
        <v>0.05</v>
      </c>
      <c r="R937" t="s">
        <v>181</v>
      </c>
      <c r="S937">
        <v>5</v>
      </c>
      <c r="T937">
        <v>49000</v>
      </c>
      <c r="U937">
        <v>2450</v>
      </c>
      <c r="V937">
        <v>46550</v>
      </c>
      <c r="W937">
        <v>36000</v>
      </c>
      <c r="X937">
        <v>10550</v>
      </c>
      <c r="Y937" s="8">
        <v>0.22663802363050484</v>
      </c>
      <c r="Z937" t="s">
        <v>2995</v>
      </c>
      <c r="AA937" t="str">
        <f>IF(AND(SalesCleanTable[[#This Row],[Discount %]]&gt;0, SalesCleanTable[[#This Row],[Profit]]&lt;0), "Discount loss", "Safe")</f>
        <v>Safe</v>
      </c>
      <c r="AB937" s="25">
        <f>(SalesCleanTable[[#This Row],[Unit Price]] - SalesCleanTable[[#This Row],[Unit Cost]]) / SalesCleanTable[[#This Row],[Unit Price]]</f>
        <v>0.26530612244897961</v>
      </c>
      <c r="AC937" t="str">
        <f>IF(SalesCleanTable[[#This Row],[Discount %]] &gt; SalesCleanTable[[#This Row],[Max Allowed Discount]], "Discount loss", "Safe")</f>
        <v>Safe</v>
      </c>
      <c r="AD937" s="4">
        <f>SalesCleanTable[[#This Row],[Unit Price]] - SalesCleanTable[[#This Row],[Unit Cost]]</f>
        <v>6500</v>
      </c>
      <c r="AE937" s="41">
        <f>(SalesCleanTable[[#This Row],[Unit Price]] - SalesCleanTable[[#This Row],[Unit Cost]]) / SalesCleanTable[[#This Row],[Unit Price]]</f>
        <v>0.26530612244897961</v>
      </c>
    </row>
    <row r="938" spans="1:31">
      <c r="A938" t="s">
        <v>1124</v>
      </c>
      <c r="B938" s="6">
        <v>45702</v>
      </c>
      <c r="C938" t="s">
        <v>112</v>
      </c>
      <c r="D938" t="s">
        <v>113</v>
      </c>
      <c r="E938" t="s">
        <v>109</v>
      </c>
      <c r="F938" t="s">
        <v>114</v>
      </c>
      <c r="G938" t="s">
        <v>115</v>
      </c>
      <c r="H938" t="s">
        <v>135</v>
      </c>
      <c r="I938" t="s">
        <v>136</v>
      </c>
      <c r="J938" t="s">
        <v>137</v>
      </c>
      <c r="K938" t="s">
        <v>138</v>
      </c>
      <c r="L938" t="s">
        <v>166</v>
      </c>
      <c r="M938" t="s">
        <v>171</v>
      </c>
      <c r="N938">
        <v>2</v>
      </c>
      <c r="O938" s="4">
        <v>1300</v>
      </c>
      <c r="P938" s="4">
        <v>2100</v>
      </c>
      <c r="Q938" s="7">
        <v>0</v>
      </c>
      <c r="R938" t="s">
        <v>235</v>
      </c>
      <c r="S938">
        <v>3</v>
      </c>
      <c r="T938">
        <v>4200</v>
      </c>
      <c r="U938">
        <v>0</v>
      </c>
      <c r="V938">
        <v>4200</v>
      </c>
      <c r="W938">
        <v>2600</v>
      </c>
      <c r="X938">
        <v>1600</v>
      </c>
      <c r="Y938" s="8">
        <v>0.38095238095238093</v>
      </c>
      <c r="Z938" t="s">
        <v>2995</v>
      </c>
      <c r="AA938" t="str">
        <f>IF(AND(SalesCleanTable[[#This Row],[Discount %]]&gt;0, SalesCleanTable[[#This Row],[Profit]]&lt;0), "Discount loss", "Safe")</f>
        <v>Safe</v>
      </c>
      <c r="AB938" s="25">
        <f>(SalesCleanTable[[#This Row],[Unit Price]] - SalesCleanTable[[#This Row],[Unit Cost]]) / SalesCleanTable[[#This Row],[Unit Price]]</f>
        <v>0.38095238095238093</v>
      </c>
      <c r="AC938" t="str">
        <f>IF(SalesCleanTable[[#This Row],[Discount %]] &gt; SalesCleanTable[[#This Row],[Max Allowed Discount]], "Discount loss", "Safe")</f>
        <v>Safe</v>
      </c>
      <c r="AD938" s="4">
        <f>SalesCleanTable[[#This Row],[Unit Price]] - SalesCleanTable[[#This Row],[Unit Cost]]</f>
        <v>800</v>
      </c>
      <c r="AE938" s="41">
        <f>(SalesCleanTable[[#This Row],[Unit Price]] - SalesCleanTable[[#This Row],[Unit Cost]]) / SalesCleanTable[[#This Row],[Unit Price]]</f>
        <v>0.38095238095238093</v>
      </c>
    </row>
    <row r="939" spans="1:31">
      <c r="A939" t="s">
        <v>1125</v>
      </c>
      <c r="B939" s="6">
        <v>45701</v>
      </c>
      <c r="C939" t="s">
        <v>82</v>
      </c>
      <c r="D939" t="s">
        <v>83</v>
      </c>
      <c r="E939" t="s">
        <v>75</v>
      </c>
      <c r="F939" t="s">
        <v>84</v>
      </c>
      <c r="G939" t="s">
        <v>85</v>
      </c>
      <c r="H939" t="s">
        <v>139</v>
      </c>
      <c r="I939" t="s">
        <v>140</v>
      </c>
      <c r="J939" t="s">
        <v>137</v>
      </c>
      <c r="K939" t="s">
        <v>138</v>
      </c>
      <c r="L939" t="s">
        <v>170</v>
      </c>
      <c r="M939" t="s">
        <v>186</v>
      </c>
      <c r="N939">
        <v>3</v>
      </c>
      <c r="O939" s="4">
        <v>600</v>
      </c>
      <c r="P939" s="4">
        <v>950</v>
      </c>
      <c r="Q939" s="7">
        <v>0.15</v>
      </c>
      <c r="R939" t="s">
        <v>204</v>
      </c>
      <c r="S939">
        <v>12</v>
      </c>
      <c r="T939">
        <v>2850</v>
      </c>
      <c r="U939">
        <v>427.5</v>
      </c>
      <c r="V939">
        <v>2422.5</v>
      </c>
      <c r="W939">
        <v>1800</v>
      </c>
      <c r="X939">
        <v>622.5</v>
      </c>
      <c r="Y939" s="8">
        <v>0.25696594427244585</v>
      </c>
      <c r="Z939" t="s">
        <v>2996</v>
      </c>
      <c r="AA939" t="str">
        <f>IF(AND(SalesCleanTable[[#This Row],[Discount %]]&gt;0, SalesCleanTable[[#This Row],[Profit]]&lt;0), "Discount loss", "Safe")</f>
        <v>Safe</v>
      </c>
      <c r="AB939" s="25">
        <f>(SalesCleanTable[[#This Row],[Unit Price]] - SalesCleanTable[[#This Row],[Unit Cost]]) / SalesCleanTable[[#This Row],[Unit Price]]</f>
        <v>0.36842105263157893</v>
      </c>
      <c r="AC939" t="str">
        <f>IF(SalesCleanTable[[#This Row],[Discount %]] &gt; SalesCleanTable[[#This Row],[Max Allowed Discount]], "Discount loss", "Safe")</f>
        <v>Safe</v>
      </c>
      <c r="AD939" s="4">
        <f>SalesCleanTable[[#This Row],[Unit Price]] - SalesCleanTable[[#This Row],[Unit Cost]]</f>
        <v>350</v>
      </c>
      <c r="AE939" s="41">
        <f>(SalesCleanTable[[#This Row],[Unit Price]] - SalesCleanTable[[#This Row],[Unit Cost]]) / SalesCleanTable[[#This Row],[Unit Price]]</f>
        <v>0.36842105263157893</v>
      </c>
    </row>
    <row r="940" spans="1:31">
      <c r="A940" t="s">
        <v>1126</v>
      </c>
      <c r="B940" s="6">
        <v>45912</v>
      </c>
      <c r="C940" t="s">
        <v>57</v>
      </c>
      <c r="D940" t="s">
        <v>58</v>
      </c>
      <c r="E940" t="s">
        <v>59</v>
      </c>
      <c r="F940" t="s">
        <v>60</v>
      </c>
      <c r="G940" t="s">
        <v>61</v>
      </c>
      <c r="H940" t="s">
        <v>153</v>
      </c>
      <c r="I940" t="s">
        <v>154</v>
      </c>
      <c r="J940" t="s">
        <v>155</v>
      </c>
      <c r="K940" t="s">
        <v>131</v>
      </c>
      <c r="L940" t="s">
        <v>166</v>
      </c>
      <c r="M940" t="s">
        <v>171</v>
      </c>
      <c r="N940">
        <v>6</v>
      </c>
      <c r="O940" s="4">
        <v>2400</v>
      </c>
      <c r="P940" s="4">
        <v>3400</v>
      </c>
      <c r="Q940" s="7">
        <v>0.1</v>
      </c>
      <c r="R940" t="s">
        <v>173</v>
      </c>
      <c r="S940">
        <v>1</v>
      </c>
      <c r="T940">
        <v>20400</v>
      </c>
      <c r="U940">
        <v>2040</v>
      </c>
      <c r="V940">
        <v>18360</v>
      </c>
      <c r="W940">
        <v>14400</v>
      </c>
      <c r="X940">
        <v>3960</v>
      </c>
      <c r="Y940" s="8">
        <v>0.21568627450980393</v>
      </c>
      <c r="Z940" t="s">
        <v>2996</v>
      </c>
      <c r="AA940" t="str">
        <f>IF(AND(SalesCleanTable[[#This Row],[Discount %]]&gt;0, SalesCleanTable[[#This Row],[Profit]]&lt;0), "Discount loss", "Safe")</f>
        <v>Safe</v>
      </c>
      <c r="AB940" s="25">
        <f>(SalesCleanTable[[#This Row],[Unit Price]] - SalesCleanTable[[#This Row],[Unit Cost]]) / SalesCleanTable[[#This Row],[Unit Price]]</f>
        <v>0.29411764705882354</v>
      </c>
      <c r="AC940" t="str">
        <f>IF(SalesCleanTable[[#This Row],[Discount %]] &gt; SalesCleanTable[[#This Row],[Max Allowed Discount]], "Discount loss", "Safe")</f>
        <v>Safe</v>
      </c>
      <c r="AD940" s="4">
        <f>SalesCleanTable[[#This Row],[Unit Price]] - SalesCleanTable[[#This Row],[Unit Cost]]</f>
        <v>1000</v>
      </c>
      <c r="AE940" s="41">
        <f>(SalesCleanTable[[#This Row],[Unit Price]] - SalesCleanTable[[#This Row],[Unit Cost]]) / SalesCleanTable[[#This Row],[Unit Price]]</f>
        <v>0.29411764705882354</v>
      </c>
    </row>
    <row r="941" spans="1:31">
      <c r="A941" t="s">
        <v>1127</v>
      </c>
      <c r="B941" s="6">
        <v>46017</v>
      </c>
      <c r="C941" t="s">
        <v>57</v>
      </c>
      <c r="D941" t="s">
        <v>58</v>
      </c>
      <c r="E941" t="s">
        <v>59</v>
      </c>
      <c r="F941" t="s">
        <v>60</v>
      </c>
      <c r="G941" t="s">
        <v>61</v>
      </c>
      <c r="H941" t="s">
        <v>135</v>
      </c>
      <c r="I941" t="s">
        <v>136</v>
      </c>
      <c r="J941" t="s">
        <v>137</v>
      </c>
      <c r="K941" t="s">
        <v>138</v>
      </c>
      <c r="L941" t="s">
        <v>170</v>
      </c>
      <c r="M941" t="s">
        <v>171</v>
      </c>
      <c r="N941">
        <v>10</v>
      </c>
      <c r="O941" s="4">
        <v>2400</v>
      </c>
      <c r="P941" s="4">
        <v>3400</v>
      </c>
      <c r="Q941" s="7">
        <v>0.1</v>
      </c>
      <c r="R941" t="s">
        <v>173</v>
      </c>
      <c r="S941">
        <v>11</v>
      </c>
      <c r="T941">
        <v>34000</v>
      </c>
      <c r="U941">
        <v>3400</v>
      </c>
      <c r="V941">
        <v>30600</v>
      </c>
      <c r="W941">
        <v>24000</v>
      </c>
      <c r="X941">
        <v>6600</v>
      </c>
      <c r="Y941" s="8">
        <v>0.21568627450980393</v>
      </c>
      <c r="Z941" t="s">
        <v>2996</v>
      </c>
      <c r="AA941" t="str">
        <f>IF(AND(SalesCleanTable[[#This Row],[Discount %]]&gt;0, SalesCleanTable[[#This Row],[Profit]]&lt;0), "Discount loss", "Safe")</f>
        <v>Safe</v>
      </c>
      <c r="AB941" s="25">
        <f>(SalesCleanTable[[#This Row],[Unit Price]] - SalesCleanTable[[#This Row],[Unit Cost]]) / SalesCleanTable[[#This Row],[Unit Price]]</f>
        <v>0.29411764705882354</v>
      </c>
      <c r="AC941" t="str">
        <f>IF(SalesCleanTable[[#This Row],[Discount %]] &gt; SalesCleanTable[[#This Row],[Max Allowed Discount]], "Discount loss", "Safe")</f>
        <v>Safe</v>
      </c>
      <c r="AD941" s="4">
        <f>SalesCleanTable[[#This Row],[Unit Price]] - SalesCleanTable[[#This Row],[Unit Cost]]</f>
        <v>1000</v>
      </c>
      <c r="AE941" s="41">
        <f>(SalesCleanTable[[#This Row],[Unit Price]] - SalesCleanTable[[#This Row],[Unit Cost]]) / SalesCleanTable[[#This Row],[Unit Price]]</f>
        <v>0.29411764705882354</v>
      </c>
    </row>
    <row r="942" spans="1:31">
      <c r="A942" t="s">
        <v>1128</v>
      </c>
      <c r="B942" s="6">
        <v>45968</v>
      </c>
      <c r="C942" t="s">
        <v>53</v>
      </c>
      <c r="D942" t="s">
        <v>54</v>
      </c>
      <c r="E942" t="s">
        <v>38</v>
      </c>
      <c r="F942" t="s">
        <v>55</v>
      </c>
      <c r="G942" t="s">
        <v>56</v>
      </c>
      <c r="H942" t="s">
        <v>133</v>
      </c>
      <c r="I942" t="s">
        <v>134</v>
      </c>
      <c r="J942" t="s">
        <v>130</v>
      </c>
      <c r="K942" t="s">
        <v>131</v>
      </c>
      <c r="L942" t="s">
        <v>183</v>
      </c>
      <c r="M942" t="s">
        <v>177</v>
      </c>
      <c r="N942">
        <v>8</v>
      </c>
      <c r="O942" s="4">
        <v>330</v>
      </c>
      <c r="P942" s="4">
        <v>550</v>
      </c>
      <c r="Q942" s="7">
        <v>0.1</v>
      </c>
      <c r="R942" t="s">
        <v>175</v>
      </c>
      <c r="S942">
        <v>14</v>
      </c>
      <c r="T942">
        <v>4400</v>
      </c>
      <c r="U942">
        <v>440</v>
      </c>
      <c r="V942">
        <v>3960</v>
      </c>
      <c r="W942">
        <v>2640</v>
      </c>
      <c r="X942">
        <v>1320</v>
      </c>
      <c r="Y942" s="8">
        <v>0.33333333333333331</v>
      </c>
      <c r="Z942" t="s">
        <v>2996</v>
      </c>
      <c r="AA942" t="str">
        <f>IF(AND(SalesCleanTable[[#This Row],[Discount %]]&gt;0, SalesCleanTable[[#This Row],[Profit]]&lt;0), "Discount loss", "Safe")</f>
        <v>Safe</v>
      </c>
      <c r="AB942" s="25">
        <f>(SalesCleanTable[[#This Row],[Unit Price]] - SalesCleanTable[[#This Row],[Unit Cost]]) / SalesCleanTable[[#This Row],[Unit Price]]</f>
        <v>0.4</v>
      </c>
      <c r="AC942" t="str">
        <f>IF(SalesCleanTable[[#This Row],[Discount %]] &gt; SalesCleanTable[[#This Row],[Max Allowed Discount]], "Discount loss", "Safe")</f>
        <v>Safe</v>
      </c>
      <c r="AD942" s="4">
        <f>SalesCleanTable[[#This Row],[Unit Price]] - SalesCleanTable[[#This Row],[Unit Cost]]</f>
        <v>220</v>
      </c>
      <c r="AE942" s="41">
        <f>(SalesCleanTable[[#This Row],[Unit Price]] - SalesCleanTable[[#This Row],[Unit Cost]]) / SalesCleanTable[[#This Row],[Unit Price]]</f>
        <v>0.4</v>
      </c>
    </row>
    <row r="943" spans="1:31">
      <c r="A943" t="s">
        <v>1129</v>
      </c>
      <c r="B943" s="6">
        <v>45838</v>
      </c>
      <c r="C943" t="s">
        <v>112</v>
      </c>
      <c r="D943" t="s">
        <v>113</v>
      </c>
      <c r="E943" t="s">
        <v>109</v>
      </c>
      <c r="F943" t="s">
        <v>114</v>
      </c>
      <c r="G943" t="s">
        <v>115</v>
      </c>
      <c r="H943" t="s">
        <v>135</v>
      </c>
      <c r="I943" t="s">
        <v>136</v>
      </c>
      <c r="J943" t="s">
        <v>137</v>
      </c>
      <c r="K943" t="s">
        <v>138</v>
      </c>
      <c r="L943" t="s">
        <v>166</v>
      </c>
      <c r="M943" t="s">
        <v>171</v>
      </c>
      <c r="N943">
        <v>2</v>
      </c>
      <c r="O943" s="4">
        <v>1300</v>
      </c>
      <c r="P943" s="4">
        <v>2100</v>
      </c>
      <c r="Q943" s="7">
        <v>0.05</v>
      </c>
      <c r="R943" t="s">
        <v>235</v>
      </c>
      <c r="S943">
        <v>14</v>
      </c>
      <c r="T943">
        <v>4200</v>
      </c>
      <c r="U943">
        <v>210</v>
      </c>
      <c r="V943">
        <v>3990</v>
      </c>
      <c r="W943">
        <v>2600</v>
      </c>
      <c r="X943">
        <v>1390</v>
      </c>
      <c r="Y943" s="8">
        <v>0.34837092731829572</v>
      </c>
      <c r="Z943" t="s">
        <v>2995</v>
      </c>
      <c r="AA943" t="str">
        <f>IF(AND(SalesCleanTable[[#This Row],[Discount %]]&gt;0, SalesCleanTable[[#This Row],[Profit]]&lt;0), "Discount loss", "Safe")</f>
        <v>Safe</v>
      </c>
      <c r="AB943" s="25">
        <f>(SalesCleanTable[[#This Row],[Unit Price]] - SalesCleanTable[[#This Row],[Unit Cost]]) / SalesCleanTable[[#This Row],[Unit Price]]</f>
        <v>0.38095238095238093</v>
      </c>
      <c r="AC943" t="str">
        <f>IF(SalesCleanTable[[#This Row],[Discount %]] &gt; SalesCleanTable[[#This Row],[Max Allowed Discount]], "Discount loss", "Safe")</f>
        <v>Safe</v>
      </c>
      <c r="AD943" s="4">
        <f>SalesCleanTable[[#This Row],[Unit Price]] - SalesCleanTable[[#This Row],[Unit Cost]]</f>
        <v>800</v>
      </c>
      <c r="AE943" s="41">
        <f>(SalesCleanTable[[#This Row],[Unit Price]] - SalesCleanTable[[#This Row],[Unit Cost]]) / SalesCleanTable[[#This Row],[Unit Price]]</f>
        <v>0.38095238095238093</v>
      </c>
    </row>
    <row r="944" spans="1:31">
      <c r="A944" t="s">
        <v>1130</v>
      </c>
      <c r="B944" s="6">
        <v>45718</v>
      </c>
      <c r="C944" t="s">
        <v>45</v>
      </c>
      <c r="D944" t="s">
        <v>46</v>
      </c>
      <c r="E944" t="s">
        <v>38</v>
      </c>
      <c r="F944" t="s">
        <v>47</v>
      </c>
      <c r="G944" t="s">
        <v>48</v>
      </c>
      <c r="H944" t="s">
        <v>139</v>
      </c>
      <c r="I944" t="s">
        <v>140</v>
      </c>
      <c r="J944" t="s">
        <v>137</v>
      </c>
      <c r="K944" t="s">
        <v>138</v>
      </c>
      <c r="L944" t="s">
        <v>183</v>
      </c>
      <c r="M944" t="s">
        <v>186</v>
      </c>
      <c r="N944">
        <v>2</v>
      </c>
      <c r="O944" s="4">
        <v>230</v>
      </c>
      <c r="P944" s="4">
        <v>400</v>
      </c>
      <c r="Q944" s="7">
        <v>0</v>
      </c>
      <c r="R944" t="s">
        <v>175</v>
      </c>
      <c r="S944">
        <v>11</v>
      </c>
      <c r="T944">
        <v>800</v>
      </c>
      <c r="U944">
        <v>0</v>
      </c>
      <c r="V944">
        <v>800</v>
      </c>
      <c r="W944">
        <v>460</v>
      </c>
      <c r="X944">
        <v>340</v>
      </c>
      <c r="Y944" s="8">
        <v>0.42499999999999999</v>
      </c>
      <c r="Z944" t="s">
        <v>2995</v>
      </c>
      <c r="AA944" t="str">
        <f>IF(AND(SalesCleanTable[[#This Row],[Discount %]]&gt;0, SalesCleanTable[[#This Row],[Profit]]&lt;0), "Discount loss", "Safe")</f>
        <v>Safe</v>
      </c>
      <c r="AB944" s="25">
        <f>(SalesCleanTable[[#This Row],[Unit Price]] - SalesCleanTable[[#This Row],[Unit Cost]]) / SalesCleanTable[[#This Row],[Unit Price]]</f>
        <v>0.42499999999999999</v>
      </c>
      <c r="AC944" t="str">
        <f>IF(SalesCleanTable[[#This Row],[Discount %]] &gt; SalesCleanTable[[#This Row],[Max Allowed Discount]], "Discount loss", "Safe")</f>
        <v>Safe</v>
      </c>
      <c r="AD944" s="4">
        <f>SalesCleanTable[[#This Row],[Unit Price]] - SalesCleanTable[[#This Row],[Unit Cost]]</f>
        <v>170</v>
      </c>
      <c r="AE944" s="41">
        <f>(SalesCleanTable[[#This Row],[Unit Price]] - SalesCleanTable[[#This Row],[Unit Cost]]) / SalesCleanTable[[#This Row],[Unit Price]]</f>
        <v>0.42499999999999999</v>
      </c>
    </row>
    <row r="945" spans="1:31">
      <c r="A945" t="s">
        <v>1131</v>
      </c>
      <c r="B945" s="6">
        <v>45676</v>
      </c>
      <c r="C945" t="s">
        <v>112</v>
      </c>
      <c r="D945" t="s">
        <v>113</v>
      </c>
      <c r="E945" t="s">
        <v>109</v>
      </c>
      <c r="F945" t="s">
        <v>114</v>
      </c>
      <c r="G945" t="s">
        <v>115</v>
      </c>
      <c r="H945" t="s">
        <v>149</v>
      </c>
      <c r="I945" t="s">
        <v>150</v>
      </c>
      <c r="J945" t="s">
        <v>151</v>
      </c>
      <c r="K945" t="s">
        <v>152</v>
      </c>
      <c r="L945" t="s">
        <v>166</v>
      </c>
      <c r="M945" t="s">
        <v>186</v>
      </c>
      <c r="N945">
        <v>5</v>
      </c>
      <c r="O945" s="4">
        <v>1300</v>
      </c>
      <c r="P945" s="4">
        <v>2100</v>
      </c>
      <c r="Q945" s="7">
        <v>0</v>
      </c>
      <c r="R945" t="s">
        <v>220</v>
      </c>
      <c r="S945">
        <v>6</v>
      </c>
      <c r="T945">
        <v>10500</v>
      </c>
      <c r="U945">
        <v>0</v>
      </c>
      <c r="V945">
        <v>10500</v>
      </c>
      <c r="W945">
        <v>6500</v>
      </c>
      <c r="X945">
        <v>4000</v>
      </c>
      <c r="Y945" s="8">
        <v>0.38095238095238093</v>
      </c>
      <c r="Z945" t="s">
        <v>2995</v>
      </c>
      <c r="AA945" t="str">
        <f>IF(AND(SalesCleanTable[[#This Row],[Discount %]]&gt;0, SalesCleanTable[[#This Row],[Profit]]&lt;0), "Discount loss", "Safe")</f>
        <v>Safe</v>
      </c>
      <c r="AB945" s="25">
        <f>(SalesCleanTable[[#This Row],[Unit Price]] - SalesCleanTable[[#This Row],[Unit Cost]]) / SalesCleanTable[[#This Row],[Unit Price]]</f>
        <v>0.38095238095238093</v>
      </c>
      <c r="AC945" t="str">
        <f>IF(SalesCleanTable[[#This Row],[Discount %]] &gt; SalesCleanTable[[#This Row],[Max Allowed Discount]], "Discount loss", "Safe")</f>
        <v>Safe</v>
      </c>
      <c r="AD945" s="4">
        <f>SalesCleanTable[[#This Row],[Unit Price]] - SalesCleanTable[[#This Row],[Unit Cost]]</f>
        <v>800</v>
      </c>
      <c r="AE945" s="41">
        <f>(SalesCleanTable[[#This Row],[Unit Price]] - SalesCleanTable[[#This Row],[Unit Cost]]) / SalesCleanTable[[#This Row],[Unit Price]]</f>
        <v>0.38095238095238093</v>
      </c>
    </row>
    <row r="946" spans="1:31">
      <c r="A946" t="s">
        <v>1132</v>
      </c>
      <c r="B946" s="6">
        <v>45837</v>
      </c>
      <c r="C946" t="s">
        <v>103</v>
      </c>
      <c r="D946" t="s">
        <v>104</v>
      </c>
      <c r="E946" t="s">
        <v>92</v>
      </c>
      <c r="F946" t="s">
        <v>105</v>
      </c>
      <c r="G946" t="s">
        <v>106</v>
      </c>
      <c r="H946" t="s">
        <v>133</v>
      </c>
      <c r="I946" t="s">
        <v>134</v>
      </c>
      <c r="J946" t="s">
        <v>130</v>
      </c>
      <c r="K946" t="s">
        <v>131</v>
      </c>
      <c r="L946" t="s">
        <v>166</v>
      </c>
      <c r="M946" t="s">
        <v>177</v>
      </c>
      <c r="N946">
        <v>2</v>
      </c>
      <c r="O946" s="4">
        <v>1500</v>
      </c>
      <c r="P946" s="4">
        <v>2500</v>
      </c>
      <c r="Q946" s="7">
        <v>0</v>
      </c>
      <c r="R946" t="s">
        <v>215</v>
      </c>
      <c r="S946">
        <v>3</v>
      </c>
      <c r="T946">
        <v>5000</v>
      </c>
      <c r="U946">
        <v>0</v>
      </c>
      <c r="V946">
        <v>5000</v>
      </c>
      <c r="W946">
        <v>3000</v>
      </c>
      <c r="X946">
        <v>2000</v>
      </c>
      <c r="Y946" s="8">
        <v>0.4</v>
      </c>
      <c r="Z946" t="s">
        <v>2996</v>
      </c>
      <c r="AA946" t="str">
        <f>IF(AND(SalesCleanTable[[#This Row],[Discount %]]&gt;0, SalesCleanTable[[#This Row],[Profit]]&lt;0), "Discount loss", "Safe")</f>
        <v>Safe</v>
      </c>
      <c r="AB946" s="25">
        <f>(SalesCleanTable[[#This Row],[Unit Price]] - SalesCleanTable[[#This Row],[Unit Cost]]) / SalesCleanTable[[#This Row],[Unit Price]]</f>
        <v>0.4</v>
      </c>
      <c r="AC946" t="str">
        <f>IF(SalesCleanTable[[#This Row],[Discount %]] &gt; SalesCleanTable[[#This Row],[Max Allowed Discount]], "Discount loss", "Safe")</f>
        <v>Safe</v>
      </c>
      <c r="AD946" s="4">
        <f>SalesCleanTable[[#This Row],[Unit Price]] - SalesCleanTable[[#This Row],[Unit Cost]]</f>
        <v>1000</v>
      </c>
      <c r="AE946" s="41">
        <f>(SalesCleanTable[[#This Row],[Unit Price]] - SalesCleanTable[[#This Row],[Unit Cost]]) / SalesCleanTable[[#This Row],[Unit Price]]</f>
        <v>0.4</v>
      </c>
    </row>
    <row r="947" spans="1:31">
      <c r="A947" t="s">
        <v>1133</v>
      </c>
      <c r="B947" s="6">
        <v>45907</v>
      </c>
      <c r="C947" t="s">
        <v>24</v>
      </c>
      <c r="D947" t="s">
        <v>25</v>
      </c>
      <c r="E947" t="s">
        <v>26</v>
      </c>
      <c r="F947" t="s">
        <v>27</v>
      </c>
      <c r="G947" t="s">
        <v>28</v>
      </c>
      <c r="H947" t="s">
        <v>145</v>
      </c>
      <c r="I947" t="s">
        <v>146</v>
      </c>
      <c r="J947" t="s">
        <v>147</v>
      </c>
      <c r="K947" t="s">
        <v>148</v>
      </c>
      <c r="L947" t="s">
        <v>166</v>
      </c>
      <c r="M947" t="s">
        <v>186</v>
      </c>
      <c r="N947">
        <v>2</v>
      </c>
      <c r="O947" s="4">
        <v>14500</v>
      </c>
      <c r="P947" s="4">
        <v>17500</v>
      </c>
      <c r="Q947" s="7">
        <v>0.05</v>
      </c>
      <c r="R947" t="s">
        <v>197</v>
      </c>
      <c r="S947">
        <v>9</v>
      </c>
      <c r="T947">
        <v>35000</v>
      </c>
      <c r="U947">
        <v>1750</v>
      </c>
      <c r="V947">
        <v>33250</v>
      </c>
      <c r="W947">
        <v>29000</v>
      </c>
      <c r="X947">
        <v>4250</v>
      </c>
      <c r="Y947" s="8">
        <v>0.12781954887218044</v>
      </c>
      <c r="Z947" t="s">
        <v>2995</v>
      </c>
      <c r="AA947" t="str">
        <f>IF(AND(SalesCleanTable[[#This Row],[Discount %]]&gt;0, SalesCleanTable[[#This Row],[Profit]]&lt;0), "Discount loss", "Safe")</f>
        <v>Safe</v>
      </c>
      <c r="AB947" s="25">
        <f>(SalesCleanTable[[#This Row],[Unit Price]] - SalesCleanTable[[#This Row],[Unit Cost]]) / SalesCleanTable[[#This Row],[Unit Price]]</f>
        <v>0.17142857142857143</v>
      </c>
      <c r="AC947" t="str">
        <f>IF(SalesCleanTable[[#This Row],[Discount %]] &gt; SalesCleanTable[[#This Row],[Max Allowed Discount]], "Discount loss", "Safe")</f>
        <v>Safe</v>
      </c>
      <c r="AD947" s="4">
        <f>SalesCleanTable[[#This Row],[Unit Price]] - SalesCleanTable[[#This Row],[Unit Cost]]</f>
        <v>3000</v>
      </c>
      <c r="AE947" s="41">
        <f>(SalesCleanTable[[#This Row],[Unit Price]] - SalesCleanTable[[#This Row],[Unit Cost]]) / SalesCleanTable[[#This Row],[Unit Price]]</f>
        <v>0.17142857142857143</v>
      </c>
    </row>
    <row r="948" spans="1:31">
      <c r="A948" t="s">
        <v>1134</v>
      </c>
      <c r="B948" s="6">
        <v>45713</v>
      </c>
      <c r="C948" t="s">
        <v>120</v>
      </c>
      <c r="D948" t="s">
        <v>121</v>
      </c>
      <c r="E948" t="s">
        <v>109</v>
      </c>
      <c r="F948" t="s">
        <v>93</v>
      </c>
      <c r="G948" t="s">
        <v>122</v>
      </c>
      <c r="H948" t="s">
        <v>141</v>
      </c>
      <c r="I948" t="s">
        <v>142</v>
      </c>
      <c r="J948" t="s">
        <v>143</v>
      </c>
      <c r="K948" t="s">
        <v>144</v>
      </c>
      <c r="L948" t="s">
        <v>183</v>
      </c>
      <c r="M948" t="s">
        <v>177</v>
      </c>
      <c r="N948">
        <v>2</v>
      </c>
      <c r="O948" s="4">
        <v>1700</v>
      </c>
      <c r="P948" s="4">
        <v>2800</v>
      </c>
      <c r="Q948" s="7">
        <v>0.05</v>
      </c>
      <c r="R948" t="s">
        <v>184</v>
      </c>
      <c r="S948">
        <v>4</v>
      </c>
      <c r="T948">
        <v>5600</v>
      </c>
      <c r="U948">
        <v>280</v>
      </c>
      <c r="V948">
        <v>5320</v>
      </c>
      <c r="W948">
        <v>3400</v>
      </c>
      <c r="X948">
        <v>1920</v>
      </c>
      <c r="Y948" s="8">
        <v>0.36090225563909772</v>
      </c>
      <c r="Z948" t="s">
        <v>2997</v>
      </c>
      <c r="AA948" t="str">
        <f>IF(AND(SalesCleanTable[[#This Row],[Discount %]]&gt;0, SalesCleanTable[[#This Row],[Profit]]&lt;0), "Discount loss", "Safe")</f>
        <v>Safe</v>
      </c>
      <c r="AB948" s="25">
        <f>(SalesCleanTable[[#This Row],[Unit Price]] - SalesCleanTable[[#This Row],[Unit Cost]]) / SalesCleanTable[[#This Row],[Unit Price]]</f>
        <v>0.39285714285714285</v>
      </c>
      <c r="AC948" t="str">
        <f>IF(SalesCleanTable[[#This Row],[Discount %]] &gt; SalesCleanTable[[#This Row],[Max Allowed Discount]], "Discount loss", "Safe")</f>
        <v>Safe</v>
      </c>
      <c r="AD948" s="4">
        <f>SalesCleanTable[[#This Row],[Unit Price]] - SalesCleanTable[[#This Row],[Unit Cost]]</f>
        <v>1100</v>
      </c>
      <c r="AE948" s="41">
        <f>(SalesCleanTable[[#This Row],[Unit Price]] - SalesCleanTable[[#This Row],[Unit Cost]]) / SalesCleanTable[[#This Row],[Unit Price]]</f>
        <v>0.39285714285714285</v>
      </c>
    </row>
    <row r="949" spans="1:31">
      <c r="A949" t="s">
        <v>1135</v>
      </c>
      <c r="B949" s="6">
        <v>45803</v>
      </c>
      <c r="C949" t="s">
        <v>24</v>
      </c>
      <c r="D949" t="s">
        <v>25</v>
      </c>
      <c r="E949" t="s">
        <v>26</v>
      </c>
      <c r="F949" t="s">
        <v>27</v>
      </c>
      <c r="G949" t="s">
        <v>28</v>
      </c>
      <c r="H949" t="s">
        <v>135</v>
      </c>
      <c r="I949" t="s">
        <v>136</v>
      </c>
      <c r="J949" t="s">
        <v>137</v>
      </c>
      <c r="K949" t="s">
        <v>138</v>
      </c>
      <c r="L949" t="s">
        <v>166</v>
      </c>
      <c r="M949" t="s">
        <v>177</v>
      </c>
      <c r="N949">
        <v>4</v>
      </c>
      <c r="O949" s="4">
        <v>14500</v>
      </c>
      <c r="P949" s="4">
        <v>17500</v>
      </c>
      <c r="Q949" s="7">
        <v>0.15</v>
      </c>
      <c r="R949" t="s">
        <v>194</v>
      </c>
      <c r="S949">
        <v>11</v>
      </c>
      <c r="T949">
        <v>70000</v>
      </c>
      <c r="U949">
        <v>10500</v>
      </c>
      <c r="V949">
        <v>59500</v>
      </c>
      <c r="W949">
        <v>58000</v>
      </c>
      <c r="X949">
        <v>1500</v>
      </c>
      <c r="Y949" s="8">
        <v>2.5210084033613446E-2</v>
      </c>
      <c r="Z949" t="s">
        <v>2995</v>
      </c>
      <c r="AA949" t="str">
        <f>IF(AND(SalesCleanTable[[#This Row],[Discount %]]&gt;0, SalesCleanTable[[#This Row],[Profit]]&lt;0), "Discount loss", "Safe")</f>
        <v>Safe</v>
      </c>
      <c r="AB949" s="25">
        <f>(SalesCleanTable[[#This Row],[Unit Price]] - SalesCleanTable[[#This Row],[Unit Cost]]) / SalesCleanTable[[#This Row],[Unit Price]]</f>
        <v>0.17142857142857143</v>
      </c>
      <c r="AC949" t="str">
        <f>IF(SalesCleanTable[[#This Row],[Discount %]] &gt; SalesCleanTable[[#This Row],[Max Allowed Discount]], "Discount loss", "Safe")</f>
        <v>Safe</v>
      </c>
      <c r="AD949" s="4">
        <f>SalesCleanTable[[#This Row],[Unit Price]] - SalesCleanTable[[#This Row],[Unit Cost]]</f>
        <v>3000</v>
      </c>
      <c r="AE949" s="41">
        <f>(SalesCleanTable[[#This Row],[Unit Price]] - SalesCleanTable[[#This Row],[Unit Cost]]) / SalesCleanTable[[#This Row],[Unit Price]]</f>
        <v>0.17142857142857143</v>
      </c>
    </row>
    <row r="950" spans="1:31">
      <c r="A950" t="s">
        <v>1136</v>
      </c>
      <c r="B950" s="6">
        <v>45718</v>
      </c>
      <c r="C950" t="s">
        <v>53</v>
      </c>
      <c r="D950" t="s">
        <v>54</v>
      </c>
      <c r="E950" t="s">
        <v>38</v>
      </c>
      <c r="F950" t="s">
        <v>55</v>
      </c>
      <c r="G950" t="s">
        <v>56</v>
      </c>
      <c r="H950" t="s">
        <v>139</v>
      </c>
      <c r="I950" t="s">
        <v>140</v>
      </c>
      <c r="J950" t="s">
        <v>137</v>
      </c>
      <c r="K950" t="s">
        <v>138</v>
      </c>
      <c r="L950" t="s">
        <v>166</v>
      </c>
      <c r="M950" t="s">
        <v>171</v>
      </c>
      <c r="N950">
        <v>5</v>
      </c>
      <c r="O950" s="4">
        <v>330</v>
      </c>
      <c r="P950" s="4">
        <v>550</v>
      </c>
      <c r="Q950" s="7">
        <v>0.1</v>
      </c>
      <c r="R950" t="s">
        <v>175</v>
      </c>
      <c r="S950">
        <v>9</v>
      </c>
      <c r="T950">
        <v>2750</v>
      </c>
      <c r="U950">
        <v>275</v>
      </c>
      <c r="V950">
        <v>2475</v>
      </c>
      <c r="W950">
        <v>1650</v>
      </c>
      <c r="X950">
        <v>825</v>
      </c>
      <c r="Y950" s="8">
        <v>0.33333333333333331</v>
      </c>
      <c r="Z950" t="s">
        <v>2996</v>
      </c>
      <c r="AA950" t="str">
        <f>IF(AND(SalesCleanTable[[#This Row],[Discount %]]&gt;0, SalesCleanTable[[#This Row],[Profit]]&lt;0), "Discount loss", "Safe")</f>
        <v>Safe</v>
      </c>
      <c r="AB950" s="25">
        <f>(SalesCleanTable[[#This Row],[Unit Price]] - SalesCleanTable[[#This Row],[Unit Cost]]) / SalesCleanTable[[#This Row],[Unit Price]]</f>
        <v>0.4</v>
      </c>
      <c r="AC950" t="str">
        <f>IF(SalesCleanTable[[#This Row],[Discount %]] &gt; SalesCleanTable[[#This Row],[Max Allowed Discount]], "Discount loss", "Safe")</f>
        <v>Safe</v>
      </c>
      <c r="AD950" s="4">
        <f>SalesCleanTable[[#This Row],[Unit Price]] - SalesCleanTable[[#This Row],[Unit Cost]]</f>
        <v>220</v>
      </c>
      <c r="AE950" s="41">
        <f>(SalesCleanTable[[#This Row],[Unit Price]] - SalesCleanTable[[#This Row],[Unit Cost]]) / SalesCleanTable[[#This Row],[Unit Price]]</f>
        <v>0.4</v>
      </c>
    </row>
    <row r="951" spans="1:31">
      <c r="A951" t="s">
        <v>1137</v>
      </c>
      <c r="B951" s="6">
        <v>45857</v>
      </c>
      <c r="C951" t="s">
        <v>32</v>
      </c>
      <c r="D951" t="s">
        <v>33</v>
      </c>
      <c r="E951" t="s">
        <v>26</v>
      </c>
      <c r="F951" t="s">
        <v>34</v>
      </c>
      <c r="G951" t="s">
        <v>35</v>
      </c>
      <c r="H951" t="s">
        <v>153</v>
      </c>
      <c r="I951" t="s">
        <v>154</v>
      </c>
      <c r="J951" t="s">
        <v>155</v>
      </c>
      <c r="K951" t="s">
        <v>131</v>
      </c>
      <c r="L951" t="s">
        <v>166</v>
      </c>
      <c r="M951" t="s">
        <v>177</v>
      </c>
      <c r="N951">
        <v>5</v>
      </c>
      <c r="O951" s="4">
        <v>7800</v>
      </c>
      <c r="P951" s="4">
        <v>9800</v>
      </c>
      <c r="Q951" s="7">
        <v>0</v>
      </c>
      <c r="R951" t="s">
        <v>173</v>
      </c>
      <c r="S951">
        <v>4</v>
      </c>
      <c r="T951">
        <v>49000</v>
      </c>
      <c r="U951">
        <v>0</v>
      </c>
      <c r="V951">
        <v>49000</v>
      </c>
      <c r="W951">
        <v>39000</v>
      </c>
      <c r="X951">
        <v>10000</v>
      </c>
      <c r="Y951" s="8">
        <v>0.20408163265306123</v>
      </c>
      <c r="Z951" t="s">
        <v>2995</v>
      </c>
      <c r="AA951" t="str">
        <f>IF(AND(SalesCleanTable[[#This Row],[Discount %]]&gt;0, SalesCleanTable[[#This Row],[Profit]]&lt;0), "Discount loss", "Safe")</f>
        <v>Safe</v>
      </c>
      <c r="AB951" s="25">
        <f>(SalesCleanTable[[#This Row],[Unit Price]] - SalesCleanTable[[#This Row],[Unit Cost]]) / SalesCleanTable[[#This Row],[Unit Price]]</f>
        <v>0.20408163265306123</v>
      </c>
      <c r="AC951" t="str">
        <f>IF(SalesCleanTable[[#This Row],[Discount %]] &gt; SalesCleanTable[[#This Row],[Max Allowed Discount]], "Discount loss", "Safe")</f>
        <v>Safe</v>
      </c>
      <c r="AD951" s="4">
        <f>SalesCleanTable[[#This Row],[Unit Price]] - SalesCleanTable[[#This Row],[Unit Cost]]</f>
        <v>2000</v>
      </c>
      <c r="AE951" s="41">
        <f>(SalesCleanTable[[#This Row],[Unit Price]] - SalesCleanTable[[#This Row],[Unit Cost]]) / SalesCleanTable[[#This Row],[Unit Price]]</f>
        <v>0.20408163265306123</v>
      </c>
    </row>
    <row r="952" spans="1:31">
      <c r="A952" t="s">
        <v>1138</v>
      </c>
      <c r="B952" s="6">
        <v>45833</v>
      </c>
      <c r="C952" t="s">
        <v>53</v>
      </c>
      <c r="D952" t="s">
        <v>54</v>
      </c>
      <c r="E952" t="s">
        <v>38</v>
      </c>
      <c r="F952" t="s">
        <v>55</v>
      </c>
      <c r="G952" t="s">
        <v>56</v>
      </c>
      <c r="H952" t="s">
        <v>139</v>
      </c>
      <c r="I952" t="s">
        <v>140</v>
      </c>
      <c r="J952" t="s">
        <v>137</v>
      </c>
      <c r="K952" t="s">
        <v>138</v>
      </c>
      <c r="L952" t="s">
        <v>166</v>
      </c>
      <c r="M952" t="s">
        <v>177</v>
      </c>
      <c r="N952">
        <v>1</v>
      </c>
      <c r="O952" s="4">
        <v>330</v>
      </c>
      <c r="P952" s="4">
        <v>550</v>
      </c>
      <c r="Q952" s="7">
        <v>0.05</v>
      </c>
      <c r="R952" t="s">
        <v>175</v>
      </c>
      <c r="S952">
        <v>4</v>
      </c>
      <c r="T952">
        <v>550</v>
      </c>
      <c r="U952">
        <v>27.5</v>
      </c>
      <c r="V952">
        <v>522.5</v>
      </c>
      <c r="W952">
        <v>330</v>
      </c>
      <c r="X952">
        <v>192.5</v>
      </c>
      <c r="Y952" s="8">
        <v>0.36842105263157893</v>
      </c>
      <c r="Z952" t="s">
        <v>2996</v>
      </c>
      <c r="AA952" t="str">
        <f>IF(AND(SalesCleanTable[[#This Row],[Discount %]]&gt;0, SalesCleanTable[[#This Row],[Profit]]&lt;0), "Discount loss", "Safe")</f>
        <v>Safe</v>
      </c>
      <c r="AB952" s="25">
        <f>(SalesCleanTable[[#This Row],[Unit Price]] - SalesCleanTable[[#This Row],[Unit Cost]]) / SalesCleanTable[[#This Row],[Unit Price]]</f>
        <v>0.4</v>
      </c>
      <c r="AC952" t="str">
        <f>IF(SalesCleanTable[[#This Row],[Discount %]] &gt; SalesCleanTable[[#This Row],[Max Allowed Discount]], "Discount loss", "Safe")</f>
        <v>Safe</v>
      </c>
      <c r="AD952" s="4">
        <f>SalesCleanTable[[#This Row],[Unit Price]] - SalesCleanTable[[#This Row],[Unit Cost]]</f>
        <v>220</v>
      </c>
      <c r="AE952" s="41">
        <f>(SalesCleanTable[[#This Row],[Unit Price]] - SalesCleanTable[[#This Row],[Unit Cost]]) / SalesCleanTable[[#This Row],[Unit Price]]</f>
        <v>0.4</v>
      </c>
    </row>
    <row r="953" spans="1:31">
      <c r="A953" t="s">
        <v>1139</v>
      </c>
      <c r="B953" s="6">
        <v>45919</v>
      </c>
      <c r="C953" t="s">
        <v>36</v>
      </c>
      <c r="D953" t="s">
        <v>37</v>
      </c>
      <c r="E953" t="s">
        <v>38</v>
      </c>
      <c r="F953" t="s">
        <v>39</v>
      </c>
      <c r="G953" t="s">
        <v>40</v>
      </c>
      <c r="H953" t="s">
        <v>135</v>
      </c>
      <c r="I953" t="s">
        <v>136</v>
      </c>
      <c r="J953" t="s">
        <v>137</v>
      </c>
      <c r="K953" t="s">
        <v>138</v>
      </c>
      <c r="L953" t="s">
        <v>183</v>
      </c>
      <c r="M953" t="s">
        <v>171</v>
      </c>
      <c r="N953">
        <v>1</v>
      </c>
      <c r="O953" s="4">
        <v>1650</v>
      </c>
      <c r="P953" s="4">
        <v>2200</v>
      </c>
      <c r="Q953" s="7">
        <v>0</v>
      </c>
      <c r="R953" t="s">
        <v>175</v>
      </c>
      <c r="S953">
        <v>4</v>
      </c>
      <c r="T953">
        <v>2200</v>
      </c>
      <c r="U953">
        <v>0</v>
      </c>
      <c r="V953">
        <v>2200</v>
      </c>
      <c r="W953">
        <v>1650</v>
      </c>
      <c r="X953">
        <v>550</v>
      </c>
      <c r="Y953" s="8">
        <v>0.25</v>
      </c>
      <c r="Z953" t="s">
        <v>2995</v>
      </c>
      <c r="AA953" t="str">
        <f>IF(AND(SalesCleanTable[[#This Row],[Discount %]]&gt;0, SalesCleanTable[[#This Row],[Profit]]&lt;0), "Discount loss", "Safe")</f>
        <v>Safe</v>
      </c>
      <c r="AB953" s="25">
        <f>(SalesCleanTable[[#This Row],[Unit Price]] - SalesCleanTable[[#This Row],[Unit Cost]]) / SalesCleanTable[[#This Row],[Unit Price]]</f>
        <v>0.25</v>
      </c>
      <c r="AC953" t="str">
        <f>IF(SalesCleanTable[[#This Row],[Discount %]] &gt; SalesCleanTable[[#This Row],[Max Allowed Discount]], "Discount loss", "Safe")</f>
        <v>Safe</v>
      </c>
      <c r="AD953" s="4">
        <f>SalesCleanTable[[#This Row],[Unit Price]] - SalesCleanTable[[#This Row],[Unit Cost]]</f>
        <v>550</v>
      </c>
      <c r="AE953" s="41">
        <f>(SalesCleanTable[[#This Row],[Unit Price]] - SalesCleanTable[[#This Row],[Unit Cost]]) / SalesCleanTable[[#This Row],[Unit Price]]</f>
        <v>0.25</v>
      </c>
    </row>
    <row r="954" spans="1:31">
      <c r="A954" t="s">
        <v>1140</v>
      </c>
      <c r="B954" s="6">
        <v>45710</v>
      </c>
      <c r="C954" t="s">
        <v>82</v>
      </c>
      <c r="D954" t="s">
        <v>83</v>
      </c>
      <c r="E954" t="s">
        <v>75</v>
      </c>
      <c r="F954" t="s">
        <v>84</v>
      </c>
      <c r="G954" t="s">
        <v>85</v>
      </c>
      <c r="H954" t="s">
        <v>139</v>
      </c>
      <c r="I954" t="s">
        <v>140</v>
      </c>
      <c r="J954" t="s">
        <v>137</v>
      </c>
      <c r="K954" t="s">
        <v>138</v>
      </c>
      <c r="L954" t="s">
        <v>183</v>
      </c>
      <c r="M954" t="s">
        <v>171</v>
      </c>
      <c r="N954">
        <v>1</v>
      </c>
      <c r="O954" s="4">
        <v>600</v>
      </c>
      <c r="P954" s="4">
        <v>950</v>
      </c>
      <c r="Q954" s="7">
        <v>0.2</v>
      </c>
      <c r="R954" t="s">
        <v>187</v>
      </c>
      <c r="S954">
        <v>2</v>
      </c>
      <c r="T954">
        <v>950</v>
      </c>
      <c r="U954">
        <v>190</v>
      </c>
      <c r="V954">
        <v>760</v>
      </c>
      <c r="W954">
        <v>600</v>
      </c>
      <c r="X954">
        <v>160</v>
      </c>
      <c r="Y954" s="8">
        <v>0.21052631578947367</v>
      </c>
      <c r="Z954" t="s">
        <v>2996</v>
      </c>
      <c r="AA954" t="str">
        <f>IF(AND(SalesCleanTable[[#This Row],[Discount %]]&gt;0, SalesCleanTable[[#This Row],[Profit]]&lt;0), "Discount loss", "Safe")</f>
        <v>Safe</v>
      </c>
      <c r="AB954" s="25">
        <f>(SalesCleanTable[[#This Row],[Unit Price]] - SalesCleanTable[[#This Row],[Unit Cost]]) / SalesCleanTable[[#This Row],[Unit Price]]</f>
        <v>0.36842105263157893</v>
      </c>
      <c r="AC954" t="str">
        <f>IF(SalesCleanTable[[#This Row],[Discount %]] &gt; SalesCleanTable[[#This Row],[Max Allowed Discount]], "Discount loss", "Safe")</f>
        <v>Safe</v>
      </c>
      <c r="AD954" s="4">
        <f>SalesCleanTable[[#This Row],[Unit Price]] - SalesCleanTable[[#This Row],[Unit Cost]]</f>
        <v>350</v>
      </c>
      <c r="AE954" s="41">
        <f>(SalesCleanTable[[#This Row],[Unit Price]] - SalesCleanTable[[#This Row],[Unit Cost]]) / SalesCleanTable[[#This Row],[Unit Price]]</f>
        <v>0.36842105263157893</v>
      </c>
    </row>
    <row r="955" spans="1:31">
      <c r="A955" t="s">
        <v>1141</v>
      </c>
      <c r="B955" s="6">
        <v>45677</v>
      </c>
      <c r="C955" t="s">
        <v>45</v>
      </c>
      <c r="D955" t="s">
        <v>46</v>
      </c>
      <c r="E955" t="s">
        <v>38</v>
      </c>
      <c r="F955" t="s">
        <v>47</v>
      </c>
      <c r="G955" t="s">
        <v>48</v>
      </c>
      <c r="H955" t="s">
        <v>133</v>
      </c>
      <c r="I955" t="s">
        <v>134</v>
      </c>
      <c r="J955" t="s">
        <v>130</v>
      </c>
      <c r="K955" t="s">
        <v>131</v>
      </c>
      <c r="L955" t="s">
        <v>166</v>
      </c>
      <c r="M955" t="s">
        <v>171</v>
      </c>
      <c r="N955">
        <v>1</v>
      </c>
      <c r="O955" s="4">
        <v>230</v>
      </c>
      <c r="P955" s="4">
        <v>400</v>
      </c>
      <c r="Q955" s="7">
        <v>0</v>
      </c>
      <c r="R955" t="s">
        <v>175</v>
      </c>
      <c r="S955">
        <v>7</v>
      </c>
      <c r="T955">
        <v>400</v>
      </c>
      <c r="U955">
        <v>0</v>
      </c>
      <c r="V955">
        <v>400</v>
      </c>
      <c r="W955">
        <v>230</v>
      </c>
      <c r="X955">
        <v>170</v>
      </c>
      <c r="Y955" s="8">
        <v>0.42499999999999999</v>
      </c>
      <c r="Z955" t="s">
        <v>2995</v>
      </c>
      <c r="AA955" t="str">
        <f>IF(AND(SalesCleanTable[[#This Row],[Discount %]]&gt;0, SalesCleanTable[[#This Row],[Profit]]&lt;0), "Discount loss", "Safe")</f>
        <v>Safe</v>
      </c>
      <c r="AB955" s="25">
        <f>(SalesCleanTable[[#This Row],[Unit Price]] - SalesCleanTable[[#This Row],[Unit Cost]]) / SalesCleanTable[[#This Row],[Unit Price]]</f>
        <v>0.42499999999999999</v>
      </c>
      <c r="AC955" t="str">
        <f>IF(SalesCleanTable[[#This Row],[Discount %]] &gt; SalesCleanTable[[#This Row],[Max Allowed Discount]], "Discount loss", "Safe")</f>
        <v>Safe</v>
      </c>
      <c r="AD955" s="4">
        <f>SalesCleanTable[[#This Row],[Unit Price]] - SalesCleanTable[[#This Row],[Unit Cost]]</f>
        <v>170</v>
      </c>
      <c r="AE955" s="41">
        <f>(SalesCleanTable[[#This Row],[Unit Price]] - SalesCleanTable[[#This Row],[Unit Cost]]) / SalesCleanTable[[#This Row],[Unit Price]]</f>
        <v>0.42499999999999999</v>
      </c>
    </row>
    <row r="956" spans="1:31">
      <c r="A956" t="s">
        <v>1142</v>
      </c>
      <c r="B956" s="6">
        <v>46016</v>
      </c>
      <c r="C956" t="s">
        <v>73</v>
      </c>
      <c r="D956" t="s">
        <v>74</v>
      </c>
      <c r="E956" t="s">
        <v>75</v>
      </c>
      <c r="F956" t="s">
        <v>76</v>
      </c>
      <c r="G956" t="s">
        <v>77</v>
      </c>
      <c r="H956" t="s">
        <v>133</v>
      </c>
      <c r="I956" t="s">
        <v>134</v>
      </c>
      <c r="J956" t="s">
        <v>130</v>
      </c>
      <c r="K956" t="s">
        <v>131</v>
      </c>
      <c r="L956" t="s">
        <v>166</v>
      </c>
      <c r="M956" t="s">
        <v>171</v>
      </c>
      <c r="N956">
        <v>2</v>
      </c>
      <c r="O956" s="4">
        <v>3500</v>
      </c>
      <c r="P956" s="4">
        <v>5200</v>
      </c>
      <c r="Q956" s="7">
        <v>0.05</v>
      </c>
      <c r="R956" t="s">
        <v>208</v>
      </c>
      <c r="S956">
        <v>2</v>
      </c>
      <c r="T956">
        <v>10400</v>
      </c>
      <c r="U956">
        <v>520</v>
      </c>
      <c r="V956">
        <v>9880</v>
      </c>
      <c r="W956">
        <v>7000</v>
      </c>
      <c r="X956">
        <v>2880</v>
      </c>
      <c r="Y956" s="8">
        <v>0.291497975708502</v>
      </c>
      <c r="Z956" t="s">
        <v>2996</v>
      </c>
      <c r="AA956" t="str">
        <f>IF(AND(SalesCleanTable[[#This Row],[Discount %]]&gt;0, SalesCleanTable[[#This Row],[Profit]]&lt;0), "Discount loss", "Safe")</f>
        <v>Safe</v>
      </c>
      <c r="AB956" s="25">
        <f>(SalesCleanTable[[#This Row],[Unit Price]] - SalesCleanTable[[#This Row],[Unit Cost]]) / SalesCleanTable[[#This Row],[Unit Price]]</f>
        <v>0.32692307692307693</v>
      </c>
      <c r="AC956" t="str">
        <f>IF(SalesCleanTable[[#This Row],[Discount %]] &gt; SalesCleanTable[[#This Row],[Max Allowed Discount]], "Discount loss", "Safe")</f>
        <v>Safe</v>
      </c>
      <c r="AD956" s="4">
        <f>SalesCleanTable[[#This Row],[Unit Price]] - SalesCleanTable[[#This Row],[Unit Cost]]</f>
        <v>1700</v>
      </c>
      <c r="AE956" s="41">
        <f>(SalesCleanTable[[#This Row],[Unit Price]] - SalesCleanTable[[#This Row],[Unit Cost]]) / SalesCleanTable[[#This Row],[Unit Price]]</f>
        <v>0.32692307692307693</v>
      </c>
    </row>
    <row r="957" spans="1:31">
      <c r="A957" t="s">
        <v>1143</v>
      </c>
      <c r="B957" s="6">
        <v>45801</v>
      </c>
      <c r="C957" t="s">
        <v>112</v>
      </c>
      <c r="D957" t="s">
        <v>113</v>
      </c>
      <c r="E957" t="s">
        <v>109</v>
      </c>
      <c r="F957" t="s">
        <v>114</v>
      </c>
      <c r="G957" t="s">
        <v>115</v>
      </c>
      <c r="H957" t="s">
        <v>145</v>
      </c>
      <c r="I957" t="s">
        <v>146</v>
      </c>
      <c r="J957" t="s">
        <v>147</v>
      </c>
      <c r="K957" t="s">
        <v>148</v>
      </c>
      <c r="L957" t="s">
        <v>166</v>
      </c>
      <c r="M957" t="s">
        <v>177</v>
      </c>
      <c r="N957">
        <v>2</v>
      </c>
      <c r="O957" s="4">
        <v>1300</v>
      </c>
      <c r="P957" s="4">
        <v>2100</v>
      </c>
      <c r="Q957" s="7">
        <v>0.15</v>
      </c>
      <c r="R957" t="s">
        <v>184</v>
      </c>
      <c r="S957">
        <v>12</v>
      </c>
      <c r="T957">
        <v>4200</v>
      </c>
      <c r="U957">
        <v>630</v>
      </c>
      <c r="V957">
        <v>3570</v>
      </c>
      <c r="W957">
        <v>2600</v>
      </c>
      <c r="X957">
        <v>970</v>
      </c>
      <c r="Y957" s="8">
        <v>0.27170868347338933</v>
      </c>
      <c r="Z957" t="s">
        <v>2995</v>
      </c>
      <c r="AA957" t="str">
        <f>IF(AND(SalesCleanTable[[#This Row],[Discount %]]&gt;0, SalesCleanTable[[#This Row],[Profit]]&lt;0), "Discount loss", "Safe")</f>
        <v>Safe</v>
      </c>
      <c r="AB957" s="25">
        <f>(SalesCleanTable[[#This Row],[Unit Price]] - SalesCleanTable[[#This Row],[Unit Cost]]) / SalesCleanTable[[#This Row],[Unit Price]]</f>
        <v>0.38095238095238093</v>
      </c>
      <c r="AC957" t="str">
        <f>IF(SalesCleanTable[[#This Row],[Discount %]] &gt; SalesCleanTable[[#This Row],[Max Allowed Discount]], "Discount loss", "Safe")</f>
        <v>Safe</v>
      </c>
      <c r="AD957" s="4">
        <f>SalesCleanTable[[#This Row],[Unit Price]] - SalesCleanTable[[#This Row],[Unit Cost]]</f>
        <v>800</v>
      </c>
      <c r="AE957" s="41">
        <f>(SalesCleanTable[[#This Row],[Unit Price]] - SalesCleanTable[[#This Row],[Unit Cost]]) / SalesCleanTable[[#This Row],[Unit Price]]</f>
        <v>0.38095238095238093</v>
      </c>
    </row>
    <row r="958" spans="1:31">
      <c r="A958" t="s">
        <v>1144</v>
      </c>
      <c r="B958" s="6">
        <v>45804</v>
      </c>
      <c r="C958" t="s">
        <v>53</v>
      </c>
      <c r="D958" t="s">
        <v>54</v>
      </c>
      <c r="E958" t="s">
        <v>38</v>
      </c>
      <c r="F958" t="s">
        <v>55</v>
      </c>
      <c r="G958" t="s">
        <v>56</v>
      </c>
      <c r="H958" t="s">
        <v>149</v>
      </c>
      <c r="I958" t="s">
        <v>150</v>
      </c>
      <c r="J958" t="s">
        <v>151</v>
      </c>
      <c r="K958" t="s">
        <v>152</v>
      </c>
      <c r="L958" t="s">
        <v>170</v>
      </c>
      <c r="M958" t="s">
        <v>186</v>
      </c>
      <c r="N958">
        <v>1</v>
      </c>
      <c r="O958" s="4">
        <v>330</v>
      </c>
      <c r="P958" s="4">
        <v>550</v>
      </c>
      <c r="Q958" s="7">
        <v>0</v>
      </c>
      <c r="R958" t="s">
        <v>175</v>
      </c>
      <c r="S958">
        <v>2</v>
      </c>
      <c r="T958">
        <v>550</v>
      </c>
      <c r="U958">
        <v>0</v>
      </c>
      <c r="V958">
        <v>550</v>
      </c>
      <c r="W958">
        <v>330</v>
      </c>
      <c r="X958">
        <v>220</v>
      </c>
      <c r="Y958" s="8">
        <v>0.4</v>
      </c>
      <c r="Z958" t="s">
        <v>2996</v>
      </c>
      <c r="AA958" t="str">
        <f>IF(AND(SalesCleanTable[[#This Row],[Discount %]]&gt;0, SalesCleanTable[[#This Row],[Profit]]&lt;0), "Discount loss", "Safe")</f>
        <v>Safe</v>
      </c>
      <c r="AB958" s="25">
        <f>(SalesCleanTable[[#This Row],[Unit Price]] - SalesCleanTable[[#This Row],[Unit Cost]]) / SalesCleanTable[[#This Row],[Unit Price]]</f>
        <v>0.4</v>
      </c>
      <c r="AC958" t="str">
        <f>IF(SalesCleanTable[[#This Row],[Discount %]] &gt; SalesCleanTable[[#This Row],[Max Allowed Discount]], "Discount loss", "Safe")</f>
        <v>Safe</v>
      </c>
      <c r="AD958" s="4">
        <f>SalesCleanTable[[#This Row],[Unit Price]] - SalesCleanTable[[#This Row],[Unit Cost]]</f>
        <v>220</v>
      </c>
      <c r="AE958" s="41">
        <f>(SalesCleanTable[[#This Row],[Unit Price]] - SalesCleanTable[[#This Row],[Unit Cost]]) / SalesCleanTable[[#This Row],[Unit Price]]</f>
        <v>0.4</v>
      </c>
    </row>
    <row r="959" spans="1:31">
      <c r="A959" t="s">
        <v>1145</v>
      </c>
      <c r="B959" s="6">
        <v>45664</v>
      </c>
      <c r="C959" t="s">
        <v>78</v>
      </c>
      <c r="D959" t="s">
        <v>79</v>
      </c>
      <c r="E959" t="s">
        <v>75</v>
      </c>
      <c r="F959" t="s">
        <v>80</v>
      </c>
      <c r="G959" t="s">
        <v>81</v>
      </c>
      <c r="H959" t="s">
        <v>145</v>
      </c>
      <c r="I959" t="s">
        <v>146</v>
      </c>
      <c r="J959" t="s">
        <v>147</v>
      </c>
      <c r="K959" t="s">
        <v>148</v>
      </c>
      <c r="L959" t="s">
        <v>183</v>
      </c>
      <c r="M959" t="s">
        <v>171</v>
      </c>
      <c r="N959">
        <v>1</v>
      </c>
      <c r="O959" s="4">
        <v>1200</v>
      </c>
      <c r="P959" s="4">
        <v>1900</v>
      </c>
      <c r="Q959" s="7">
        <v>0.05</v>
      </c>
      <c r="R959" t="s">
        <v>204</v>
      </c>
      <c r="S959">
        <v>9</v>
      </c>
      <c r="T959">
        <v>1900</v>
      </c>
      <c r="U959">
        <v>95</v>
      </c>
      <c r="V959">
        <v>1805</v>
      </c>
      <c r="W959">
        <v>1200</v>
      </c>
      <c r="X959">
        <v>605</v>
      </c>
      <c r="Y959" s="8">
        <v>0.33518005540166207</v>
      </c>
      <c r="Z959" t="s">
        <v>2996</v>
      </c>
      <c r="AA959" t="str">
        <f>IF(AND(SalesCleanTable[[#This Row],[Discount %]]&gt;0, SalesCleanTable[[#This Row],[Profit]]&lt;0), "Discount loss", "Safe")</f>
        <v>Safe</v>
      </c>
      <c r="AB959" s="25">
        <f>(SalesCleanTable[[#This Row],[Unit Price]] - SalesCleanTable[[#This Row],[Unit Cost]]) / SalesCleanTable[[#This Row],[Unit Price]]</f>
        <v>0.36842105263157893</v>
      </c>
      <c r="AC959" t="str">
        <f>IF(SalesCleanTable[[#This Row],[Discount %]] &gt; SalesCleanTable[[#This Row],[Max Allowed Discount]], "Discount loss", "Safe")</f>
        <v>Safe</v>
      </c>
      <c r="AD959" s="4">
        <f>SalesCleanTable[[#This Row],[Unit Price]] - SalesCleanTable[[#This Row],[Unit Cost]]</f>
        <v>700</v>
      </c>
      <c r="AE959" s="41">
        <f>(SalesCleanTable[[#This Row],[Unit Price]] - SalesCleanTable[[#This Row],[Unit Cost]]) / SalesCleanTable[[#This Row],[Unit Price]]</f>
        <v>0.36842105263157893</v>
      </c>
    </row>
    <row r="960" spans="1:31">
      <c r="A960" t="s">
        <v>1146</v>
      </c>
      <c r="B960" s="6">
        <v>45779</v>
      </c>
      <c r="C960" t="s">
        <v>78</v>
      </c>
      <c r="D960" t="s">
        <v>79</v>
      </c>
      <c r="E960" t="s">
        <v>75</v>
      </c>
      <c r="F960" t="s">
        <v>80</v>
      </c>
      <c r="G960" t="s">
        <v>81</v>
      </c>
      <c r="H960" t="s">
        <v>133</v>
      </c>
      <c r="I960" t="s">
        <v>134</v>
      </c>
      <c r="J960" t="s">
        <v>130</v>
      </c>
      <c r="K960" t="s">
        <v>131</v>
      </c>
      <c r="L960" t="s">
        <v>166</v>
      </c>
      <c r="M960" t="s">
        <v>171</v>
      </c>
      <c r="N960">
        <v>2</v>
      </c>
      <c r="O960" s="4">
        <v>1200</v>
      </c>
      <c r="P960" s="4">
        <v>1900</v>
      </c>
      <c r="Q960" s="7">
        <v>0.15</v>
      </c>
      <c r="R960" t="s">
        <v>187</v>
      </c>
      <c r="S960">
        <v>1</v>
      </c>
      <c r="T960">
        <v>3800</v>
      </c>
      <c r="U960">
        <v>570</v>
      </c>
      <c r="V960">
        <v>3230</v>
      </c>
      <c r="W960">
        <v>2400</v>
      </c>
      <c r="X960">
        <v>830</v>
      </c>
      <c r="Y960" s="8">
        <v>0.25696594427244585</v>
      </c>
      <c r="Z960" t="s">
        <v>2996</v>
      </c>
      <c r="AA960" t="str">
        <f>IF(AND(SalesCleanTable[[#This Row],[Discount %]]&gt;0, SalesCleanTable[[#This Row],[Profit]]&lt;0), "Discount loss", "Safe")</f>
        <v>Safe</v>
      </c>
      <c r="AB960" s="25">
        <f>(SalesCleanTable[[#This Row],[Unit Price]] - SalesCleanTable[[#This Row],[Unit Cost]]) / SalesCleanTable[[#This Row],[Unit Price]]</f>
        <v>0.36842105263157893</v>
      </c>
      <c r="AC960" t="str">
        <f>IF(SalesCleanTable[[#This Row],[Discount %]] &gt; SalesCleanTable[[#This Row],[Max Allowed Discount]], "Discount loss", "Safe")</f>
        <v>Safe</v>
      </c>
      <c r="AD960" s="4">
        <f>SalesCleanTable[[#This Row],[Unit Price]] - SalesCleanTable[[#This Row],[Unit Cost]]</f>
        <v>700</v>
      </c>
      <c r="AE960" s="41">
        <f>(SalesCleanTable[[#This Row],[Unit Price]] - SalesCleanTable[[#This Row],[Unit Cost]]) / SalesCleanTable[[#This Row],[Unit Price]]</f>
        <v>0.36842105263157893</v>
      </c>
    </row>
    <row r="961" spans="1:31">
      <c r="A961" t="s">
        <v>1147</v>
      </c>
      <c r="B961" s="6">
        <v>45993</v>
      </c>
      <c r="C961" t="s">
        <v>95</v>
      </c>
      <c r="D961" t="s">
        <v>96</v>
      </c>
      <c r="E961" t="s">
        <v>92</v>
      </c>
      <c r="F961" t="s">
        <v>97</v>
      </c>
      <c r="G961" t="s">
        <v>98</v>
      </c>
      <c r="H961" t="s">
        <v>133</v>
      </c>
      <c r="I961" t="s">
        <v>134</v>
      </c>
      <c r="J961" t="s">
        <v>130</v>
      </c>
      <c r="K961" t="s">
        <v>131</v>
      </c>
      <c r="L961" t="s">
        <v>170</v>
      </c>
      <c r="M961" t="s">
        <v>171</v>
      </c>
      <c r="N961">
        <v>2</v>
      </c>
      <c r="O961" s="4">
        <v>18000</v>
      </c>
      <c r="P961" s="4">
        <v>24500</v>
      </c>
      <c r="Q961" s="7">
        <v>0</v>
      </c>
      <c r="R961" t="s">
        <v>217</v>
      </c>
      <c r="S961">
        <v>12</v>
      </c>
      <c r="T961">
        <v>49000</v>
      </c>
      <c r="U961">
        <v>0</v>
      </c>
      <c r="V961">
        <v>49000</v>
      </c>
      <c r="W961">
        <v>36000</v>
      </c>
      <c r="X961">
        <v>13000</v>
      </c>
      <c r="Y961" s="8">
        <v>0.26530612244897961</v>
      </c>
      <c r="Z961" t="s">
        <v>2995</v>
      </c>
      <c r="AA961" t="str">
        <f>IF(AND(SalesCleanTable[[#This Row],[Discount %]]&gt;0, SalesCleanTable[[#This Row],[Profit]]&lt;0), "Discount loss", "Safe")</f>
        <v>Safe</v>
      </c>
      <c r="AB961" s="25">
        <f>(SalesCleanTable[[#This Row],[Unit Price]] - SalesCleanTable[[#This Row],[Unit Cost]]) / SalesCleanTable[[#This Row],[Unit Price]]</f>
        <v>0.26530612244897961</v>
      </c>
      <c r="AC961" t="str">
        <f>IF(SalesCleanTable[[#This Row],[Discount %]] &gt; SalesCleanTable[[#This Row],[Max Allowed Discount]], "Discount loss", "Safe")</f>
        <v>Safe</v>
      </c>
      <c r="AD961" s="4">
        <f>SalesCleanTable[[#This Row],[Unit Price]] - SalesCleanTable[[#This Row],[Unit Cost]]</f>
        <v>6500</v>
      </c>
      <c r="AE961" s="41">
        <f>(SalesCleanTable[[#This Row],[Unit Price]] - SalesCleanTable[[#This Row],[Unit Cost]]) / SalesCleanTable[[#This Row],[Unit Price]]</f>
        <v>0.26530612244897961</v>
      </c>
    </row>
    <row r="962" spans="1:31">
      <c r="A962" t="s">
        <v>1148</v>
      </c>
      <c r="B962" s="6">
        <v>45761</v>
      </c>
      <c r="C962" t="s">
        <v>57</v>
      </c>
      <c r="D962" t="s">
        <v>58</v>
      </c>
      <c r="E962" t="s">
        <v>59</v>
      </c>
      <c r="F962" t="s">
        <v>60</v>
      </c>
      <c r="G962" t="s">
        <v>61</v>
      </c>
      <c r="H962" t="s">
        <v>133</v>
      </c>
      <c r="I962" t="s">
        <v>134</v>
      </c>
      <c r="J962" t="s">
        <v>130</v>
      </c>
      <c r="K962" t="s">
        <v>131</v>
      </c>
      <c r="L962" t="s">
        <v>183</v>
      </c>
      <c r="M962" t="s">
        <v>171</v>
      </c>
      <c r="N962">
        <v>1</v>
      </c>
      <c r="O962" s="4">
        <v>2400</v>
      </c>
      <c r="P962" s="4">
        <v>3400</v>
      </c>
      <c r="Q962" s="7">
        <v>0.05</v>
      </c>
      <c r="R962" t="s">
        <v>173</v>
      </c>
      <c r="S962">
        <v>6</v>
      </c>
      <c r="T962">
        <v>3400</v>
      </c>
      <c r="U962">
        <v>170</v>
      </c>
      <c r="V962">
        <v>3230</v>
      </c>
      <c r="W962">
        <v>2400</v>
      </c>
      <c r="X962">
        <v>830</v>
      </c>
      <c r="Y962" s="8">
        <v>0.25696594427244585</v>
      </c>
      <c r="Z962" t="s">
        <v>2996</v>
      </c>
      <c r="AA962" t="str">
        <f>IF(AND(SalesCleanTable[[#This Row],[Discount %]]&gt;0, SalesCleanTable[[#This Row],[Profit]]&lt;0), "Discount loss", "Safe")</f>
        <v>Safe</v>
      </c>
      <c r="AB962" s="25">
        <f>(SalesCleanTable[[#This Row],[Unit Price]] - SalesCleanTable[[#This Row],[Unit Cost]]) / SalesCleanTable[[#This Row],[Unit Price]]</f>
        <v>0.29411764705882354</v>
      </c>
      <c r="AC962" t="str">
        <f>IF(SalesCleanTable[[#This Row],[Discount %]] &gt; SalesCleanTable[[#This Row],[Max Allowed Discount]], "Discount loss", "Safe")</f>
        <v>Safe</v>
      </c>
      <c r="AD962" s="4">
        <f>SalesCleanTable[[#This Row],[Unit Price]] - SalesCleanTable[[#This Row],[Unit Cost]]</f>
        <v>1000</v>
      </c>
      <c r="AE962" s="41">
        <f>(SalesCleanTable[[#This Row],[Unit Price]] - SalesCleanTable[[#This Row],[Unit Cost]]) / SalesCleanTable[[#This Row],[Unit Price]]</f>
        <v>0.29411764705882354</v>
      </c>
    </row>
    <row r="963" spans="1:31">
      <c r="A963" t="s">
        <v>1149</v>
      </c>
      <c r="B963" s="6">
        <v>45887</v>
      </c>
      <c r="C963" t="s">
        <v>73</v>
      </c>
      <c r="D963" t="s">
        <v>74</v>
      </c>
      <c r="E963" t="s">
        <v>75</v>
      </c>
      <c r="F963" t="s">
        <v>76</v>
      </c>
      <c r="G963" t="s">
        <v>77</v>
      </c>
      <c r="H963" t="s">
        <v>128</v>
      </c>
      <c r="I963" t="s">
        <v>129</v>
      </c>
      <c r="J963" t="s">
        <v>130</v>
      </c>
      <c r="K963" t="s">
        <v>131</v>
      </c>
      <c r="L963" t="s">
        <v>166</v>
      </c>
      <c r="M963" t="s">
        <v>171</v>
      </c>
      <c r="N963">
        <v>2</v>
      </c>
      <c r="O963" s="4">
        <v>3500</v>
      </c>
      <c r="P963" s="4">
        <v>5200</v>
      </c>
      <c r="Q963" s="7">
        <v>0.05</v>
      </c>
      <c r="R963" t="s">
        <v>187</v>
      </c>
      <c r="S963">
        <v>3</v>
      </c>
      <c r="T963">
        <v>10400</v>
      </c>
      <c r="U963">
        <v>520</v>
      </c>
      <c r="V963">
        <v>9880</v>
      </c>
      <c r="W963">
        <v>7000</v>
      </c>
      <c r="X963">
        <v>2880</v>
      </c>
      <c r="Y963" s="8">
        <v>0.291497975708502</v>
      </c>
      <c r="Z963" t="s">
        <v>2996</v>
      </c>
      <c r="AA963" t="str">
        <f>IF(AND(SalesCleanTable[[#This Row],[Discount %]]&gt;0, SalesCleanTable[[#This Row],[Profit]]&lt;0), "Discount loss", "Safe")</f>
        <v>Safe</v>
      </c>
      <c r="AB963" s="25">
        <f>(SalesCleanTable[[#This Row],[Unit Price]] - SalesCleanTable[[#This Row],[Unit Cost]]) / SalesCleanTable[[#This Row],[Unit Price]]</f>
        <v>0.32692307692307693</v>
      </c>
      <c r="AC963" t="str">
        <f>IF(SalesCleanTable[[#This Row],[Discount %]] &gt; SalesCleanTable[[#This Row],[Max Allowed Discount]], "Discount loss", "Safe")</f>
        <v>Safe</v>
      </c>
      <c r="AD963" s="4">
        <f>SalesCleanTable[[#This Row],[Unit Price]] - SalesCleanTable[[#This Row],[Unit Cost]]</f>
        <v>1700</v>
      </c>
      <c r="AE963" s="41">
        <f>(SalesCleanTable[[#This Row],[Unit Price]] - SalesCleanTable[[#This Row],[Unit Cost]]) / SalesCleanTable[[#This Row],[Unit Price]]</f>
        <v>0.32692307692307693</v>
      </c>
    </row>
    <row r="964" spans="1:31">
      <c r="A964" t="s">
        <v>1150</v>
      </c>
      <c r="B964" s="6">
        <v>46014</v>
      </c>
      <c r="C964" t="s">
        <v>116</v>
      </c>
      <c r="D964" t="s">
        <v>117</v>
      </c>
      <c r="E964" t="s">
        <v>109</v>
      </c>
      <c r="F964" t="s">
        <v>118</v>
      </c>
      <c r="G964" t="s">
        <v>119</v>
      </c>
      <c r="H964" t="s">
        <v>135</v>
      </c>
      <c r="I964" t="s">
        <v>136</v>
      </c>
      <c r="J964" t="s">
        <v>137</v>
      </c>
      <c r="K964" t="s">
        <v>138</v>
      </c>
      <c r="L964" t="s">
        <v>170</v>
      </c>
      <c r="M964" t="s">
        <v>177</v>
      </c>
      <c r="N964">
        <v>8</v>
      </c>
      <c r="O964" s="4">
        <v>2800</v>
      </c>
      <c r="P964" s="4">
        <v>4200</v>
      </c>
      <c r="Q964" s="7">
        <v>0</v>
      </c>
      <c r="R964" t="s">
        <v>220</v>
      </c>
      <c r="S964">
        <v>8</v>
      </c>
      <c r="T964">
        <v>33600</v>
      </c>
      <c r="U964">
        <v>0</v>
      </c>
      <c r="V964">
        <v>33600</v>
      </c>
      <c r="W964">
        <v>22400</v>
      </c>
      <c r="X964">
        <v>11200</v>
      </c>
      <c r="Y964" s="8">
        <v>0.33333333333333331</v>
      </c>
      <c r="Z964" t="s">
        <v>2995</v>
      </c>
      <c r="AA964" t="str">
        <f>IF(AND(SalesCleanTable[[#This Row],[Discount %]]&gt;0, SalesCleanTable[[#This Row],[Profit]]&lt;0), "Discount loss", "Safe")</f>
        <v>Safe</v>
      </c>
      <c r="AB964" s="25">
        <f>(SalesCleanTable[[#This Row],[Unit Price]] - SalesCleanTable[[#This Row],[Unit Cost]]) / SalesCleanTable[[#This Row],[Unit Price]]</f>
        <v>0.33333333333333331</v>
      </c>
      <c r="AC964" t="str">
        <f>IF(SalesCleanTable[[#This Row],[Discount %]] &gt; SalesCleanTable[[#This Row],[Max Allowed Discount]], "Discount loss", "Safe")</f>
        <v>Safe</v>
      </c>
      <c r="AD964" s="4">
        <f>SalesCleanTable[[#This Row],[Unit Price]] - SalesCleanTable[[#This Row],[Unit Cost]]</f>
        <v>1400</v>
      </c>
      <c r="AE964" s="41">
        <f>(SalesCleanTable[[#This Row],[Unit Price]] - SalesCleanTable[[#This Row],[Unit Cost]]) / SalesCleanTable[[#This Row],[Unit Price]]</f>
        <v>0.33333333333333331</v>
      </c>
    </row>
    <row r="965" spans="1:31">
      <c r="A965" t="s">
        <v>1151</v>
      </c>
      <c r="B965" s="6">
        <v>45920</v>
      </c>
      <c r="C965" t="s">
        <v>116</v>
      </c>
      <c r="D965" t="s">
        <v>117</v>
      </c>
      <c r="E965" t="s">
        <v>109</v>
      </c>
      <c r="F965" t="s">
        <v>118</v>
      </c>
      <c r="G965" t="s">
        <v>119</v>
      </c>
      <c r="H965" t="s">
        <v>133</v>
      </c>
      <c r="I965" t="s">
        <v>134</v>
      </c>
      <c r="J965" t="s">
        <v>130</v>
      </c>
      <c r="K965" t="s">
        <v>131</v>
      </c>
      <c r="L965" t="s">
        <v>183</v>
      </c>
      <c r="M965" t="s">
        <v>186</v>
      </c>
      <c r="N965">
        <v>4</v>
      </c>
      <c r="O965" s="4">
        <v>2800</v>
      </c>
      <c r="P965" s="4">
        <v>4200</v>
      </c>
      <c r="Q965" s="7">
        <v>0.05</v>
      </c>
      <c r="R965" t="s">
        <v>220</v>
      </c>
      <c r="S965">
        <v>4</v>
      </c>
      <c r="T965">
        <v>16800</v>
      </c>
      <c r="U965">
        <v>840</v>
      </c>
      <c r="V965">
        <v>15960</v>
      </c>
      <c r="W965">
        <v>11200</v>
      </c>
      <c r="X965">
        <v>4760</v>
      </c>
      <c r="Y965" s="8">
        <v>0.2982456140350877</v>
      </c>
      <c r="Z965" t="s">
        <v>2995</v>
      </c>
      <c r="AA965" t="str">
        <f>IF(AND(SalesCleanTable[[#This Row],[Discount %]]&gt;0, SalesCleanTable[[#This Row],[Profit]]&lt;0), "Discount loss", "Safe")</f>
        <v>Safe</v>
      </c>
      <c r="AB965" s="25">
        <f>(SalesCleanTable[[#This Row],[Unit Price]] - SalesCleanTable[[#This Row],[Unit Cost]]) / SalesCleanTable[[#This Row],[Unit Price]]</f>
        <v>0.33333333333333331</v>
      </c>
      <c r="AC965" t="str">
        <f>IF(SalesCleanTable[[#This Row],[Discount %]] &gt; SalesCleanTable[[#This Row],[Max Allowed Discount]], "Discount loss", "Safe")</f>
        <v>Safe</v>
      </c>
      <c r="AD965" s="4">
        <f>SalesCleanTable[[#This Row],[Unit Price]] - SalesCleanTable[[#This Row],[Unit Cost]]</f>
        <v>1400</v>
      </c>
      <c r="AE965" s="41">
        <f>(SalesCleanTable[[#This Row],[Unit Price]] - SalesCleanTable[[#This Row],[Unit Cost]]) / SalesCleanTable[[#This Row],[Unit Price]]</f>
        <v>0.33333333333333331</v>
      </c>
    </row>
    <row r="966" spans="1:31">
      <c r="A966" t="s">
        <v>1152</v>
      </c>
      <c r="B966" s="6">
        <v>45739</v>
      </c>
      <c r="C966" t="s">
        <v>62</v>
      </c>
      <c r="D966" t="s">
        <v>63</v>
      </c>
      <c r="E966" t="s">
        <v>59</v>
      </c>
      <c r="F966" t="s">
        <v>64</v>
      </c>
      <c r="G966" t="s">
        <v>65</v>
      </c>
      <c r="H966" t="s">
        <v>139</v>
      </c>
      <c r="I966" t="s">
        <v>140</v>
      </c>
      <c r="J966" t="s">
        <v>137</v>
      </c>
      <c r="K966" t="s">
        <v>138</v>
      </c>
      <c r="L966" t="s">
        <v>166</v>
      </c>
      <c r="M966" t="s">
        <v>186</v>
      </c>
      <c r="N966">
        <v>1</v>
      </c>
      <c r="O966" s="4">
        <v>3200</v>
      </c>
      <c r="P966" s="4">
        <v>4500</v>
      </c>
      <c r="Q966" s="7">
        <v>0.2</v>
      </c>
      <c r="R966" t="s">
        <v>173</v>
      </c>
      <c r="S966">
        <v>9</v>
      </c>
      <c r="T966">
        <v>4500</v>
      </c>
      <c r="U966">
        <v>900</v>
      </c>
      <c r="V966">
        <v>3600</v>
      </c>
      <c r="W966">
        <v>3200</v>
      </c>
      <c r="X966">
        <v>400</v>
      </c>
      <c r="Y966" s="8">
        <v>0.1111111111111111</v>
      </c>
      <c r="Z966" t="s">
        <v>2996</v>
      </c>
      <c r="AA966" t="str">
        <f>IF(AND(SalesCleanTable[[#This Row],[Discount %]]&gt;0, SalesCleanTable[[#This Row],[Profit]]&lt;0), "Discount loss", "Safe")</f>
        <v>Safe</v>
      </c>
      <c r="AB966" s="25">
        <f>(SalesCleanTable[[#This Row],[Unit Price]] - SalesCleanTable[[#This Row],[Unit Cost]]) / SalesCleanTable[[#This Row],[Unit Price]]</f>
        <v>0.28888888888888886</v>
      </c>
      <c r="AC966" t="str">
        <f>IF(SalesCleanTable[[#This Row],[Discount %]] &gt; SalesCleanTable[[#This Row],[Max Allowed Discount]], "Discount loss", "Safe")</f>
        <v>Safe</v>
      </c>
      <c r="AD966" s="4">
        <f>SalesCleanTable[[#This Row],[Unit Price]] - SalesCleanTable[[#This Row],[Unit Cost]]</f>
        <v>1300</v>
      </c>
      <c r="AE966" s="41">
        <f>(SalesCleanTable[[#This Row],[Unit Price]] - SalesCleanTable[[#This Row],[Unit Cost]]) / SalesCleanTable[[#This Row],[Unit Price]]</f>
        <v>0.28888888888888886</v>
      </c>
    </row>
    <row r="967" spans="1:31">
      <c r="A967" t="s">
        <v>1153</v>
      </c>
      <c r="B967" s="6">
        <v>45770</v>
      </c>
      <c r="C967" t="s">
        <v>45</v>
      </c>
      <c r="D967" t="s">
        <v>46</v>
      </c>
      <c r="E967" t="s">
        <v>38</v>
      </c>
      <c r="F967" t="s">
        <v>47</v>
      </c>
      <c r="G967" t="s">
        <v>48</v>
      </c>
      <c r="H967" t="s">
        <v>135</v>
      </c>
      <c r="I967" t="s">
        <v>136</v>
      </c>
      <c r="J967" t="s">
        <v>137</v>
      </c>
      <c r="K967" t="s">
        <v>138</v>
      </c>
      <c r="L967" t="s">
        <v>166</v>
      </c>
      <c r="M967" t="s">
        <v>167</v>
      </c>
      <c r="N967">
        <v>1</v>
      </c>
      <c r="O967" s="4">
        <v>230</v>
      </c>
      <c r="P967" s="4">
        <v>400</v>
      </c>
      <c r="Q967" s="7">
        <v>0</v>
      </c>
      <c r="R967" t="s">
        <v>168</v>
      </c>
      <c r="S967">
        <v>3</v>
      </c>
      <c r="T967">
        <v>400</v>
      </c>
      <c r="U967">
        <v>0</v>
      </c>
      <c r="V967">
        <v>400</v>
      </c>
      <c r="W967">
        <v>230</v>
      </c>
      <c r="X967">
        <v>170</v>
      </c>
      <c r="Y967" s="8">
        <v>0.42499999999999999</v>
      </c>
      <c r="Z967" t="s">
        <v>2995</v>
      </c>
      <c r="AA967" t="str">
        <f>IF(AND(SalesCleanTable[[#This Row],[Discount %]]&gt;0, SalesCleanTable[[#This Row],[Profit]]&lt;0), "Discount loss", "Safe")</f>
        <v>Safe</v>
      </c>
      <c r="AB967" s="25">
        <f>(SalesCleanTable[[#This Row],[Unit Price]] - SalesCleanTable[[#This Row],[Unit Cost]]) / SalesCleanTable[[#This Row],[Unit Price]]</f>
        <v>0.42499999999999999</v>
      </c>
      <c r="AC967" t="str">
        <f>IF(SalesCleanTable[[#This Row],[Discount %]] &gt; SalesCleanTable[[#This Row],[Max Allowed Discount]], "Discount loss", "Safe")</f>
        <v>Safe</v>
      </c>
      <c r="AD967" s="4">
        <f>SalesCleanTable[[#This Row],[Unit Price]] - SalesCleanTable[[#This Row],[Unit Cost]]</f>
        <v>170</v>
      </c>
      <c r="AE967" s="41">
        <f>(SalesCleanTable[[#This Row],[Unit Price]] - SalesCleanTable[[#This Row],[Unit Cost]]) / SalesCleanTable[[#This Row],[Unit Price]]</f>
        <v>0.42499999999999999</v>
      </c>
    </row>
    <row r="968" spans="1:31">
      <c r="A968" t="s">
        <v>1154</v>
      </c>
      <c r="B968" s="6">
        <v>45800</v>
      </c>
      <c r="C968" t="s">
        <v>112</v>
      </c>
      <c r="D968" t="s">
        <v>113</v>
      </c>
      <c r="E968" t="s">
        <v>109</v>
      </c>
      <c r="F968" t="s">
        <v>114</v>
      </c>
      <c r="G968" t="s">
        <v>115</v>
      </c>
      <c r="H968" t="s">
        <v>135</v>
      </c>
      <c r="I968" t="s">
        <v>136</v>
      </c>
      <c r="J968" t="s">
        <v>137</v>
      </c>
      <c r="K968" t="s">
        <v>138</v>
      </c>
      <c r="L968" t="s">
        <v>166</v>
      </c>
      <c r="M968" t="s">
        <v>171</v>
      </c>
      <c r="N968">
        <v>-1</v>
      </c>
      <c r="O968" s="4">
        <v>1300</v>
      </c>
      <c r="P968" s="4">
        <v>2100</v>
      </c>
      <c r="Q968" s="7">
        <v>0.1</v>
      </c>
      <c r="R968" t="s">
        <v>184</v>
      </c>
      <c r="S968">
        <v>2</v>
      </c>
      <c r="T968">
        <v>-2100</v>
      </c>
      <c r="U968">
        <v>-210</v>
      </c>
      <c r="V968">
        <v>-1890</v>
      </c>
      <c r="W968">
        <v>-1300</v>
      </c>
      <c r="X968">
        <v>-590</v>
      </c>
      <c r="Y968" s="8">
        <v>0.31216931216931215</v>
      </c>
      <c r="Z968" t="s">
        <v>2995</v>
      </c>
      <c r="AA968" t="str">
        <f>IF(AND(SalesCleanTable[[#This Row],[Discount %]]&gt;0, SalesCleanTable[[#This Row],[Profit]]&lt;0), "Discount loss", "Safe")</f>
        <v>Discount loss</v>
      </c>
      <c r="AB968" s="25">
        <f>(SalesCleanTable[[#This Row],[Unit Price]] - SalesCleanTable[[#This Row],[Unit Cost]]) / SalesCleanTable[[#This Row],[Unit Price]]</f>
        <v>0.38095238095238093</v>
      </c>
      <c r="AC968" t="str">
        <f>IF(SalesCleanTable[[#This Row],[Discount %]] &gt; SalesCleanTable[[#This Row],[Max Allowed Discount]], "Discount loss", "Safe")</f>
        <v>Safe</v>
      </c>
      <c r="AD968" s="4">
        <f>SalesCleanTable[[#This Row],[Unit Price]] - SalesCleanTable[[#This Row],[Unit Cost]]</f>
        <v>800</v>
      </c>
      <c r="AE968" s="41">
        <f>(SalesCleanTable[[#This Row],[Unit Price]] - SalesCleanTable[[#This Row],[Unit Cost]]) / SalesCleanTable[[#This Row],[Unit Price]]</f>
        <v>0.38095238095238093</v>
      </c>
    </row>
    <row r="969" spans="1:31">
      <c r="A969" t="s">
        <v>1155</v>
      </c>
      <c r="B969" s="6">
        <v>45981</v>
      </c>
      <c r="C969" t="s">
        <v>69</v>
      </c>
      <c r="D969" t="s">
        <v>70</v>
      </c>
      <c r="E969" t="s">
        <v>59</v>
      </c>
      <c r="F969" t="s">
        <v>71</v>
      </c>
      <c r="G969" t="s">
        <v>72</v>
      </c>
      <c r="H969" t="s">
        <v>135</v>
      </c>
      <c r="I969" t="s">
        <v>136</v>
      </c>
      <c r="J969" t="s">
        <v>137</v>
      </c>
      <c r="K969" t="s">
        <v>138</v>
      </c>
      <c r="L969" t="s">
        <v>166</v>
      </c>
      <c r="M969" t="s">
        <v>171</v>
      </c>
      <c r="N969">
        <v>1</v>
      </c>
      <c r="O969" s="4">
        <v>1700</v>
      </c>
      <c r="P969" s="4">
        <v>2600</v>
      </c>
      <c r="Q969" s="7">
        <v>0.1</v>
      </c>
      <c r="R969" t="s">
        <v>204</v>
      </c>
      <c r="S969">
        <v>10</v>
      </c>
      <c r="T969">
        <v>2600</v>
      </c>
      <c r="U969">
        <v>260</v>
      </c>
      <c r="V969">
        <v>2340</v>
      </c>
      <c r="W969">
        <v>1700</v>
      </c>
      <c r="X969">
        <v>640</v>
      </c>
      <c r="Y969" s="8">
        <v>0.27350427350427353</v>
      </c>
      <c r="Z969" t="s">
        <v>2997</v>
      </c>
      <c r="AA969" t="str">
        <f>IF(AND(SalesCleanTable[[#This Row],[Discount %]]&gt;0, SalesCleanTable[[#This Row],[Profit]]&lt;0), "Discount loss", "Safe")</f>
        <v>Safe</v>
      </c>
      <c r="AB969" s="25">
        <f>(SalesCleanTable[[#This Row],[Unit Price]] - SalesCleanTable[[#This Row],[Unit Cost]]) / SalesCleanTable[[#This Row],[Unit Price]]</f>
        <v>0.34615384615384615</v>
      </c>
      <c r="AC969" t="str">
        <f>IF(SalesCleanTable[[#This Row],[Discount %]] &gt; SalesCleanTable[[#This Row],[Max Allowed Discount]], "Discount loss", "Safe")</f>
        <v>Safe</v>
      </c>
      <c r="AD969" s="4">
        <f>SalesCleanTable[[#This Row],[Unit Price]] - SalesCleanTable[[#This Row],[Unit Cost]]</f>
        <v>900</v>
      </c>
      <c r="AE969" s="41">
        <f>(SalesCleanTable[[#This Row],[Unit Price]] - SalesCleanTable[[#This Row],[Unit Cost]]) / SalesCleanTable[[#This Row],[Unit Price]]</f>
        <v>0.34615384615384615</v>
      </c>
    </row>
    <row r="970" spans="1:31">
      <c r="A970" t="s">
        <v>1156</v>
      </c>
      <c r="B970" s="6">
        <v>45687</v>
      </c>
      <c r="C970" t="s">
        <v>73</v>
      </c>
      <c r="D970" t="s">
        <v>74</v>
      </c>
      <c r="E970" t="s">
        <v>75</v>
      </c>
      <c r="F970" t="s">
        <v>76</v>
      </c>
      <c r="G970" t="s">
        <v>77</v>
      </c>
      <c r="H970" t="s">
        <v>128</v>
      </c>
      <c r="I970" t="s">
        <v>129</v>
      </c>
      <c r="J970" t="s">
        <v>130</v>
      </c>
      <c r="K970" t="s">
        <v>131</v>
      </c>
      <c r="L970" t="s">
        <v>166</v>
      </c>
      <c r="M970" t="s">
        <v>167</v>
      </c>
      <c r="N970">
        <v>2</v>
      </c>
      <c r="O970" s="4">
        <v>3500</v>
      </c>
      <c r="P970" s="4">
        <v>5200</v>
      </c>
      <c r="Q970" s="7">
        <v>0.1</v>
      </c>
      <c r="R970" t="s">
        <v>187</v>
      </c>
      <c r="S970">
        <v>9</v>
      </c>
      <c r="T970">
        <v>10400</v>
      </c>
      <c r="U970">
        <v>1040</v>
      </c>
      <c r="V970">
        <v>9360</v>
      </c>
      <c r="W970">
        <v>7000</v>
      </c>
      <c r="X970">
        <v>2360</v>
      </c>
      <c r="Y970" s="8">
        <v>0.25213675213675213</v>
      </c>
      <c r="Z970" t="s">
        <v>2996</v>
      </c>
      <c r="AA970" t="str">
        <f>IF(AND(SalesCleanTable[[#This Row],[Discount %]]&gt;0, SalesCleanTable[[#This Row],[Profit]]&lt;0), "Discount loss", "Safe")</f>
        <v>Safe</v>
      </c>
      <c r="AB970" s="25">
        <f>(SalesCleanTable[[#This Row],[Unit Price]] - SalesCleanTable[[#This Row],[Unit Cost]]) / SalesCleanTable[[#This Row],[Unit Price]]</f>
        <v>0.32692307692307693</v>
      </c>
      <c r="AC970" t="str">
        <f>IF(SalesCleanTable[[#This Row],[Discount %]] &gt; SalesCleanTable[[#This Row],[Max Allowed Discount]], "Discount loss", "Safe")</f>
        <v>Safe</v>
      </c>
      <c r="AD970" s="4">
        <f>SalesCleanTable[[#This Row],[Unit Price]] - SalesCleanTable[[#This Row],[Unit Cost]]</f>
        <v>1700</v>
      </c>
      <c r="AE970" s="41">
        <f>(SalesCleanTable[[#This Row],[Unit Price]] - SalesCleanTable[[#This Row],[Unit Cost]]) / SalesCleanTable[[#This Row],[Unit Price]]</f>
        <v>0.32692307692307693</v>
      </c>
    </row>
    <row r="971" spans="1:31">
      <c r="A971" t="s">
        <v>1157</v>
      </c>
      <c r="B971" s="6">
        <v>45956</v>
      </c>
      <c r="C971" t="s">
        <v>32</v>
      </c>
      <c r="D971" t="s">
        <v>33</v>
      </c>
      <c r="E971" t="s">
        <v>26</v>
      </c>
      <c r="F971" t="s">
        <v>34</v>
      </c>
      <c r="G971" t="s">
        <v>35</v>
      </c>
      <c r="H971" t="s">
        <v>145</v>
      </c>
      <c r="I971" t="s">
        <v>146</v>
      </c>
      <c r="J971" t="s">
        <v>147</v>
      </c>
      <c r="K971" t="s">
        <v>148</v>
      </c>
      <c r="L971" t="s">
        <v>183</v>
      </c>
      <c r="M971" t="s">
        <v>171</v>
      </c>
      <c r="N971">
        <v>2</v>
      </c>
      <c r="O971" s="4">
        <v>7800</v>
      </c>
      <c r="P971" s="4">
        <v>9800</v>
      </c>
      <c r="Q971" s="7">
        <v>0.1</v>
      </c>
      <c r="R971" t="s">
        <v>173</v>
      </c>
      <c r="S971">
        <v>4</v>
      </c>
      <c r="T971">
        <v>19600</v>
      </c>
      <c r="U971">
        <v>1960</v>
      </c>
      <c r="V971">
        <v>17640</v>
      </c>
      <c r="W971">
        <v>15600</v>
      </c>
      <c r="X971">
        <v>2040</v>
      </c>
      <c r="Y971" s="8">
        <v>0.11564625850340136</v>
      </c>
      <c r="Z971" t="s">
        <v>2995</v>
      </c>
      <c r="AA971" t="str">
        <f>IF(AND(SalesCleanTable[[#This Row],[Discount %]]&gt;0, SalesCleanTable[[#This Row],[Profit]]&lt;0), "Discount loss", "Safe")</f>
        <v>Safe</v>
      </c>
      <c r="AB971" s="25">
        <f>(SalesCleanTable[[#This Row],[Unit Price]] - SalesCleanTable[[#This Row],[Unit Cost]]) / SalesCleanTable[[#This Row],[Unit Price]]</f>
        <v>0.20408163265306123</v>
      </c>
      <c r="AC971" t="str">
        <f>IF(SalesCleanTable[[#This Row],[Discount %]] &gt; SalesCleanTable[[#This Row],[Max Allowed Discount]], "Discount loss", "Safe")</f>
        <v>Safe</v>
      </c>
      <c r="AD971" s="4">
        <f>SalesCleanTable[[#This Row],[Unit Price]] - SalesCleanTable[[#This Row],[Unit Cost]]</f>
        <v>2000</v>
      </c>
      <c r="AE971" s="41">
        <f>(SalesCleanTable[[#This Row],[Unit Price]] - SalesCleanTable[[#This Row],[Unit Cost]]) / SalesCleanTable[[#This Row],[Unit Price]]</f>
        <v>0.20408163265306123</v>
      </c>
    </row>
    <row r="972" spans="1:31">
      <c r="A972" t="s">
        <v>1158</v>
      </c>
      <c r="B972" s="6">
        <v>45770</v>
      </c>
      <c r="C972" t="s">
        <v>45</v>
      </c>
      <c r="D972" t="s">
        <v>46</v>
      </c>
      <c r="E972" t="s">
        <v>38</v>
      </c>
      <c r="F972" t="s">
        <v>47</v>
      </c>
      <c r="G972" t="s">
        <v>48</v>
      </c>
      <c r="H972" t="s">
        <v>133</v>
      </c>
      <c r="I972" t="s">
        <v>134</v>
      </c>
      <c r="J972" t="s">
        <v>130</v>
      </c>
      <c r="K972" t="s">
        <v>131</v>
      </c>
      <c r="L972" t="s">
        <v>166</v>
      </c>
      <c r="M972" t="s">
        <v>186</v>
      </c>
      <c r="N972">
        <v>3</v>
      </c>
      <c r="O972" s="4">
        <v>230</v>
      </c>
      <c r="P972" s="4">
        <v>400</v>
      </c>
      <c r="Q972" s="7">
        <v>0.15</v>
      </c>
      <c r="R972" t="s">
        <v>168</v>
      </c>
      <c r="S972">
        <v>12</v>
      </c>
      <c r="T972">
        <v>1200</v>
      </c>
      <c r="U972">
        <v>180</v>
      </c>
      <c r="V972">
        <v>1020</v>
      </c>
      <c r="W972">
        <v>690</v>
      </c>
      <c r="X972">
        <v>330</v>
      </c>
      <c r="Y972" s="8">
        <v>0.3235294117647059</v>
      </c>
      <c r="Z972" t="s">
        <v>2995</v>
      </c>
      <c r="AA972" t="str">
        <f>IF(AND(SalesCleanTable[[#This Row],[Discount %]]&gt;0, SalesCleanTable[[#This Row],[Profit]]&lt;0), "Discount loss", "Safe")</f>
        <v>Safe</v>
      </c>
      <c r="AB972" s="25">
        <f>(SalesCleanTable[[#This Row],[Unit Price]] - SalesCleanTable[[#This Row],[Unit Cost]]) / SalesCleanTable[[#This Row],[Unit Price]]</f>
        <v>0.42499999999999999</v>
      </c>
      <c r="AC972" t="str">
        <f>IF(SalesCleanTable[[#This Row],[Discount %]] &gt; SalesCleanTable[[#This Row],[Max Allowed Discount]], "Discount loss", "Safe")</f>
        <v>Safe</v>
      </c>
      <c r="AD972" s="4">
        <f>SalesCleanTable[[#This Row],[Unit Price]] - SalesCleanTable[[#This Row],[Unit Cost]]</f>
        <v>170</v>
      </c>
      <c r="AE972" s="41">
        <f>(SalesCleanTable[[#This Row],[Unit Price]] - SalesCleanTable[[#This Row],[Unit Cost]]) / SalesCleanTable[[#This Row],[Unit Price]]</f>
        <v>0.42499999999999999</v>
      </c>
    </row>
    <row r="973" spans="1:31">
      <c r="A973" t="s">
        <v>1159</v>
      </c>
      <c r="B973" s="6">
        <v>45733</v>
      </c>
      <c r="C973" t="s">
        <v>107</v>
      </c>
      <c r="D973" t="s">
        <v>108</v>
      </c>
      <c r="E973" t="s">
        <v>109</v>
      </c>
      <c r="F973" t="s">
        <v>110</v>
      </c>
      <c r="G973" t="s">
        <v>111</v>
      </c>
      <c r="H973" t="s">
        <v>128</v>
      </c>
      <c r="I973" t="s">
        <v>129</v>
      </c>
      <c r="J973" t="s">
        <v>130</v>
      </c>
      <c r="K973" t="s">
        <v>131</v>
      </c>
      <c r="L973" t="s">
        <v>183</v>
      </c>
      <c r="M973" t="s">
        <v>177</v>
      </c>
      <c r="N973">
        <v>1</v>
      </c>
      <c r="O973" s="4">
        <v>5200</v>
      </c>
      <c r="P973" s="4">
        <v>7000</v>
      </c>
      <c r="Q973" s="7">
        <v>0.05</v>
      </c>
      <c r="R973" t="s">
        <v>220</v>
      </c>
      <c r="S973">
        <v>12</v>
      </c>
      <c r="T973">
        <v>7000</v>
      </c>
      <c r="U973">
        <v>350</v>
      </c>
      <c r="V973">
        <v>6650</v>
      </c>
      <c r="W973">
        <v>5200</v>
      </c>
      <c r="X973">
        <v>1450</v>
      </c>
      <c r="Y973" s="8">
        <v>0.21804511278195488</v>
      </c>
      <c r="Z973" t="s">
        <v>2997</v>
      </c>
      <c r="AA973" t="str">
        <f>IF(AND(SalesCleanTable[[#This Row],[Discount %]]&gt;0, SalesCleanTable[[#This Row],[Profit]]&lt;0), "Discount loss", "Safe")</f>
        <v>Safe</v>
      </c>
      <c r="AB973" s="25">
        <f>(SalesCleanTable[[#This Row],[Unit Price]] - SalesCleanTable[[#This Row],[Unit Cost]]) / SalesCleanTable[[#This Row],[Unit Price]]</f>
        <v>0.25714285714285712</v>
      </c>
      <c r="AC973" t="str">
        <f>IF(SalesCleanTable[[#This Row],[Discount %]] &gt; SalesCleanTable[[#This Row],[Max Allowed Discount]], "Discount loss", "Safe")</f>
        <v>Safe</v>
      </c>
      <c r="AD973" s="4">
        <f>SalesCleanTable[[#This Row],[Unit Price]] - SalesCleanTable[[#This Row],[Unit Cost]]</f>
        <v>1800</v>
      </c>
      <c r="AE973" s="41">
        <f>(SalesCleanTable[[#This Row],[Unit Price]] - SalesCleanTable[[#This Row],[Unit Cost]]) / SalesCleanTable[[#This Row],[Unit Price]]</f>
        <v>0.25714285714285712</v>
      </c>
    </row>
    <row r="974" spans="1:31">
      <c r="A974" t="s">
        <v>1160</v>
      </c>
      <c r="B974" s="6">
        <v>45802</v>
      </c>
      <c r="C974" t="s">
        <v>24</v>
      </c>
      <c r="D974" t="s">
        <v>25</v>
      </c>
      <c r="E974" t="s">
        <v>26</v>
      </c>
      <c r="F974" t="s">
        <v>27</v>
      </c>
      <c r="G974" t="s">
        <v>28</v>
      </c>
      <c r="H974" t="s">
        <v>133</v>
      </c>
      <c r="I974" t="s">
        <v>134</v>
      </c>
      <c r="J974" t="s">
        <v>130</v>
      </c>
      <c r="K974" t="s">
        <v>131</v>
      </c>
      <c r="L974" t="s">
        <v>183</v>
      </c>
      <c r="M974" t="s">
        <v>177</v>
      </c>
      <c r="N974">
        <v>1</v>
      </c>
      <c r="O974" s="4">
        <v>14500</v>
      </c>
      <c r="P974" s="4">
        <v>17500</v>
      </c>
      <c r="Q974" s="7">
        <v>0.05</v>
      </c>
      <c r="R974" t="s">
        <v>197</v>
      </c>
      <c r="S974">
        <v>7</v>
      </c>
      <c r="T974">
        <v>17500</v>
      </c>
      <c r="U974">
        <v>875</v>
      </c>
      <c r="V974">
        <v>16625</v>
      </c>
      <c r="W974">
        <v>14500</v>
      </c>
      <c r="X974">
        <v>2125</v>
      </c>
      <c r="Y974" s="8">
        <v>0.12781954887218044</v>
      </c>
      <c r="Z974" t="s">
        <v>2995</v>
      </c>
      <c r="AA974" t="str">
        <f>IF(AND(SalesCleanTable[[#This Row],[Discount %]]&gt;0, SalesCleanTable[[#This Row],[Profit]]&lt;0), "Discount loss", "Safe")</f>
        <v>Safe</v>
      </c>
      <c r="AB974" s="25">
        <f>(SalesCleanTable[[#This Row],[Unit Price]] - SalesCleanTable[[#This Row],[Unit Cost]]) / SalesCleanTable[[#This Row],[Unit Price]]</f>
        <v>0.17142857142857143</v>
      </c>
      <c r="AC974" t="str">
        <f>IF(SalesCleanTable[[#This Row],[Discount %]] &gt; SalesCleanTable[[#This Row],[Max Allowed Discount]], "Discount loss", "Safe")</f>
        <v>Safe</v>
      </c>
      <c r="AD974" s="4">
        <f>SalesCleanTable[[#This Row],[Unit Price]] - SalesCleanTable[[#This Row],[Unit Cost]]</f>
        <v>3000</v>
      </c>
      <c r="AE974" s="41">
        <f>(SalesCleanTable[[#This Row],[Unit Price]] - SalesCleanTable[[#This Row],[Unit Cost]]) / SalesCleanTable[[#This Row],[Unit Price]]</f>
        <v>0.17142857142857143</v>
      </c>
    </row>
    <row r="975" spans="1:31">
      <c r="A975" t="s">
        <v>1161</v>
      </c>
      <c r="B975" s="6">
        <v>45988</v>
      </c>
      <c r="C975" t="s">
        <v>116</v>
      </c>
      <c r="D975" t="s">
        <v>117</v>
      </c>
      <c r="E975" t="s">
        <v>109</v>
      </c>
      <c r="F975" t="s">
        <v>118</v>
      </c>
      <c r="G975" t="s">
        <v>119</v>
      </c>
      <c r="H975" t="s">
        <v>128</v>
      </c>
      <c r="I975" t="s">
        <v>129</v>
      </c>
      <c r="J975" t="s">
        <v>130</v>
      </c>
      <c r="K975" t="s">
        <v>131</v>
      </c>
      <c r="L975" t="s">
        <v>183</v>
      </c>
      <c r="M975" t="s">
        <v>171</v>
      </c>
      <c r="N975">
        <v>3</v>
      </c>
      <c r="O975" s="4">
        <v>2800</v>
      </c>
      <c r="P975" s="4">
        <v>4200</v>
      </c>
      <c r="Q975" s="7">
        <v>0.1</v>
      </c>
      <c r="R975" t="s">
        <v>220</v>
      </c>
      <c r="S975">
        <v>7</v>
      </c>
      <c r="T975">
        <v>12600</v>
      </c>
      <c r="U975">
        <v>1260</v>
      </c>
      <c r="V975">
        <v>11340</v>
      </c>
      <c r="W975">
        <v>8400</v>
      </c>
      <c r="X975">
        <v>2940</v>
      </c>
      <c r="Y975" s="8">
        <v>0.25925925925925924</v>
      </c>
      <c r="Z975" t="s">
        <v>2995</v>
      </c>
      <c r="AA975" t="str">
        <f>IF(AND(SalesCleanTable[[#This Row],[Discount %]]&gt;0, SalesCleanTable[[#This Row],[Profit]]&lt;0), "Discount loss", "Safe")</f>
        <v>Safe</v>
      </c>
      <c r="AB975" s="25">
        <f>(SalesCleanTable[[#This Row],[Unit Price]] - SalesCleanTable[[#This Row],[Unit Cost]]) / SalesCleanTable[[#This Row],[Unit Price]]</f>
        <v>0.33333333333333331</v>
      </c>
      <c r="AC975" t="str">
        <f>IF(SalesCleanTable[[#This Row],[Discount %]] &gt; SalesCleanTable[[#This Row],[Max Allowed Discount]], "Discount loss", "Safe")</f>
        <v>Safe</v>
      </c>
      <c r="AD975" s="4">
        <f>SalesCleanTable[[#This Row],[Unit Price]] - SalesCleanTable[[#This Row],[Unit Cost]]</f>
        <v>1400</v>
      </c>
      <c r="AE975" s="41">
        <f>(SalesCleanTable[[#This Row],[Unit Price]] - SalesCleanTable[[#This Row],[Unit Cost]]) / SalesCleanTable[[#This Row],[Unit Price]]</f>
        <v>0.33333333333333331</v>
      </c>
    </row>
    <row r="976" spans="1:31">
      <c r="A976" t="s">
        <v>1162</v>
      </c>
      <c r="B976" s="6">
        <v>45664</v>
      </c>
      <c r="C976" t="s">
        <v>86</v>
      </c>
      <c r="D976" t="s">
        <v>87</v>
      </c>
      <c r="E976" t="s">
        <v>75</v>
      </c>
      <c r="F976" t="s">
        <v>88</v>
      </c>
      <c r="G976" t="s">
        <v>89</v>
      </c>
      <c r="H976" t="s">
        <v>141</v>
      </c>
      <c r="I976" t="s">
        <v>142</v>
      </c>
      <c r="J976" t="s">
        <v>143</v>
      </c>
      <c r="K976" t="s">
        <v>144</v>
      </c>
      <c r="L976" t="s">
        <v>166</v>
      </c>
      <c r="M976" t="s">
        <v>177</v>
      </c>
      <c r="N976">
        <v>-1</v>
      </c>
      <c r="O976" s="4">
        <v>8500</v>
      </c>
      <c r="P976" s="4">
        <v>12500</v>
      </c>
      <c r="Q976" s="7">
        <v>0.1</v>
      </c>
      <c r="R976" t="s">
        <v>204</v>
      </c>
      <c r="S976">
        <v>10</v>
      </c>
      <c r="T976">
        <v>-12500</v>
      </c>
      <c r="U976">
        <v>-1250</v>
      </c>
      <c r="V976">
        <v>-11250</v>
      </c>
      <c r="W976">
        <v>-8500</v>
      </c>
      <c r="X976">
        <v>-2750</v>
      </c>
      <c r="Y976" s="8">
        <v>0.24444444444444444</v>
      </c>
      <c r="Z976" t="s">
        <v>2997</v>
      </c>
      <c r="AA976" t="str">
        <f>IF(AND(SalesCleanTable[[#This Row],[Discount %]]&gt;0, SalesCleanTable[[#This Row],[Profit]]&lt;0), "Discount loss", "Safe")</f>
        <v>Discount loss</v>
      </c>
      <c r="AB976" s="25">
        <f>(SalesCleanTable[[#This Row],[Unit Price]] - SalesCleanTable[[#This Row],[Unit Cost]]) / SalesCleanTable[[#This Row],[Unit Price]]</f>
        <v>0.32</v>
      </c>
      <c r="AC976" t="str">
        <f>IF(SalesCleanTable[[#This Row],[Discount %]] &gt; SalesCleanTable[[#This Row],[Max Allowed Discount]], "Discount loss", "Safe")</f>
        <v>Safe</v>
      </c>
      <c r="AD976" s="4">
        <f>SalesCleanTable[[#This Row],[Unit Price]] - SalesCleanTable[[#This Row],[Unit Cost]]</f>
        <v>4000</v>
      </c>
      <c r="AE976" s="41">
        <f>(SalesCleanTable[[#This Row],[Unit Price]] - SalesCleanTable[[#This Row],[Unit Cost]]) / SalesCleanTable[[#This Row],[Unit Price]]</f>
        <v>0.32</v>
      </c>
    </row>
    <row r="977" spans="1:31">
      <c r="A977" t="s">
        <v>1163</v>
      </c>
      <c r="B977" s="6">
        <v>45712</v>
      </c>
      <c r="C977" t="s">
        <v>62</v>
      </c>
      <c r="D977" t="s">
        <v>63</v>
      </c>
      <c r="E977" t="s">
        <v>59</v>
      </c>
      <c r="F977" t="s">
        <v>64</v>
      </c>
      <c r="G977" t="s">
        <v>65</v>
      </c>
      <c r="H977" t="s">
        <v>149</v>
      </c>
      <c r="I977" t="s">
        <v>150</v>
      </c>
      <c r="J977" t="s">
        <v>151</v>
      </c>
      <c r="K977" t="s">
        <v>152</v>
      </c>
      <c r="L977" t="s">
        <v>166</v>
      </c>
      <c r="M977" t="s">
        <v>171</v>
      </c>
      <c r="N977">
        <v>5</v>
      </c>
      <c r="O977" s="4">
        <v>3200</v>
      </c>
      <c r="P977" s="4">
        <v>4500</v>
      </c>
      <c r="Q977" s="7">
        <v>0</v>
      </c>
      <c r="R977" t="s">
        <v>204</v>
      </c>
      <c r="S977">
        <v>14</v>
      </c>
      <c r="T977">
        <v>22500</v>
      </c>
      <c r="U977">
        <v>0</v>
      </c>
      <c r="V977">
        <v>22500</v>
      </c>
      <c r="W977">
        <v>16000</v>
      </c>
      <c r="X977">
        <v>6500</v>
      </c>
      <c r="Y977" s="8">
        <v>0.28888888888888886</v>
      </c>
      <c r="Z977" t="s">
        <v>2996</v>
      </c>
      <c r="AA977" t="str">
        <f>IF(AND(SalesCleanTable[[#This Row],[Discount %]]&gt;0, SalesCleanTable[[#This Row],[Profit]]&lt;0), "Discount loss", "Safe")</f>
        <v>Safe</v>
      </c>
      <c r="AB977" s="25">
        <f>(SalesCleanTable[[#This Row],[Unit Price]] - SalesCleanTable[[#This Row],[Unit Cost]]) / SalesCleanTable[[#This Row],[Unit Price]]</f>
        <v>0.28888888888888886</v>
      </c>
      <c r="AC977" t="str">
        <f>IF(SalesCleanTable[[#This Row],[Discount %]] &gt; SalesCleanTable[[#This Row],[Max Allowed Discount]], "Discount loss", "Safe")</f>
        <v>Safe</v>
      </c>
      <c r="AD977" s="4">
        <f>SalesCleanTable[[#This Row],[Unit Price]] - SalesCleanTable[[#This Row],[Unit Cost]]</f>
        <v>1300</v>
      </c>
      <c r="AE977" s="41">
        <f>(SalesCleanTable[[#This Row],[Unit Price]] - SalesCleanTable[[#This Row],[Unit Cost]]) / SalesCleanTable[[#This Row],[Unit Price]]</f>
        <v>0.28888888888888886</v>
      </c>
    </row>
    <row r="978" spans="1:31">
      <c r="A978" t="s">
        <v>1164</v>
      </c>
      <c r="B978" s="6">
        <v>45827</v>
      </c>
      <c r="C978" t="s">
        <v>53</v>
      </c>
      <c r="D978" t="s">
        <v>54</v>
      </c>
      <c r="E978" t="s">
        <v>38</v>
      </c>
      <c r="F978" t="s">
        <v>55</v>
      </c>
      <c r="G978" t="s">
        <v>56</v>
      </c>
      <c r="H978" t="s">
        <v>133</v>
      </c>
      <c r="I978" t="s">
        <v>134</v>
      </c>
      <c r="J978" t="s">
        <v>130</v>
      </c>
      <c r="K978" t="s">
        <v>131</v>
      </c>
      <c r="L978" t="s">
        <v>166</v>
      </c>
      <c r="M978" t="s">
        <v>177</v>
      </c>
      <c r="N978">
        <v>3</v>
      </c>
      <c r="O978" s="4">
        <v>330</v>
      </c>
      <c r="P978" s="4">
        <v>550</v>
      </c>
      <c r="Q978" s="7">
        <v>0</v>
      </c>
      <c r="R978" t="s">
        <v>178</v>
      </c>
      <c r="S978">
        <v>2</v>
      </c>
      <c r="T978">
        <v>1650</v>
      </c>
      <c r="U978">
        <v>0</v>
      </c>
      <c r="V978">
        <v>1650</v>
      </c>
      <c r="W978">
        <v>990</v>
      </c>
      <c r="X978">
        <v>660</v>
      </c>
      <c r="Y978" s="8">
        <v>0.4</v>
      </c>
      <c r="Z978" t="s">
        <v>2996</v>
      </c>
      <c r="AA978" t="str">
        <f>IF(AND(SalesCleanTable[[#This Row],[Discount %]]&gt;0, SalesCleanTable[[#This Row],[Profit]]&lt;0), "Discount loss", "Safe")</f>
        <v>Safe</v>
      </c>
      <c r="AB978" s="25">
        <f>(SalesCleanTable[[#This Row],[Unit Price]] - SalesCleanTable[[#This Row],[Unit Cost]]) / SalesCleanTable[[#This Row],[Unit Price]]</f>
        <v>0.4</v>
      </c>
      <c r="AC978" t="str">
        <f>IF(SalesCleanTable[[#This Row],[Discount %]] &gt; SalesCleanTable[[#This Row],[Max Allowed Discount]], "Discount loss", "Safe")</f>
        <v>Safe</v>
      </c>
      <c r="AD978" s="4">
        <f>SalesCleanTable[[#This Row],[Unit Price]] - SalesCleanTable[[#This Row],[Unit Cost]]</f>
        <v>220</v>
      </c>
      <c r="AE978" s="41">
        <f>(SalesCleanTable[[#This Row],[Unit Price]] - SalesCleanTable[[#This Row],[Unit Cost]]) / SalesCleanTable[[#This Row],[Unit Price]]</f>
        <v>0.4</v>
      </c>
    </row>
    <row r="979" spans="1:31">
      <c r="A979" t="s">
        <v>1165</v>
      </c>
      <c r="B979" s="6">
        <v>45710</v>
      </c>
      <c r="C979" t="s">
        <v>57</v>
      </c>
      <c r="D979" t="s">
        <v>58</v>
      </c>
      <c r="E979" t="s">
        <v>59</v>
      </c>
      <c r="F979" t="s">
        <v>60</v>
      </c>
      <c r="G979" t="s">
        <v>61</v>
      </c>
      <c r="H979" t="s">
        <v>149</v>
      </c>
      <c r="I979" t="s">
        <v>150</v>
      </c>
      <c r="J979" t="s">
        <v>151</v>
      </c>
      <c r="K979" t="s">
        <v>152</v>
      </c>
      <c r="L979" t="s">
        <v>166</v>
      </c>
      <c r="M979" t="s">
        <v>186</v>
      </c>
      <c r="N979">
        <v>1</v>
      </c>
      <c r="O979" s="4">
        <v>2400</v>
      </c>
      <c r="P979" s="4">
        <v>3400</v>
      </c>
      <c r="Q979" s="7">
        <v>0.15</v>
      </c>
      <c r="R979" t="s">
        <v>192</v>
      </c>
      <c r="S979">
        <v>6</v>
      </c>
      <c r="T979">
        <v>3400</v>
      </c>
      <c r="U979">
        <v>510</v>
      </c>
      <c r="V979">
        <v>2890</v>
      </c>
      <c r="W979">
        <v>2400</v>
      </c>
      <c r="X979">
        <v>490</v>
      </c>
      <c r="Y979" s="8">
        <v>0.16955017301038061</v>
      </c>
      <c r="Z979" t="s">
        <v>2996</v>
      </c>
      <c r="AA979" t="str">
        <f>IF(AND(SalesCleanTable[[#This Row],[Discount %]]&gt;0, SalesCleanTable[[#This Row],[Profit]]&lt;0), "Discount loss", "Safe")</f>
        <v>Safe</v>
      </c>
      <c r="AB979" s="25">
        <f>(SalesCleanTable[[#This Row],[Unit Price]] - SalesCleanTable[[#This Row],[Unit Cost]]) / SalesCleanTable[[#This Row],[Unit Price]]</f>
        <v>0.29411764705882354</v>
      </c>
      <c r="AC979" t="str">
        <f>IF(SalesCleanTable[[#This Row],[Discount %]] &gt; SalesCleanTable[[#This Row],[Max Allowed Discount]], "Discount loss", "Safe")</f>
        <v>Safe</v>
      </c>
      <c r="AD979" s="4">
        <f>SalesCleanTable[[#This Row],[Unit Price]] - SalesCleanTable[[#This Row],[Unit Cost]]</f>
        <v>1000</v>
      </c>
      <c r="AE979" s="41">
        <f>(SalesCleanTable[[#This Row],[Unit Price]] - SalesCleanTable[[#This Row],[Unit Cost]]) / SalesCleanTable[[#This Row],[Unit Price]]</f>
        <v>0.29411764705882354</v>
      </c>
    </row>
    <row r="980" spans="1:31">
      <c r="A980" t="s">
        <v>1166</v>
      </c>
      <c r="B980" s="6">
        <v>45773</v>
      </c>
      <c r="C980" t="s">
        <v>112</v>
      </c>
      <c r="D980" t="s">
        <v>113</v>
      </c>
      <c r="E980" t="s">
        <v>109</v>
      </c>
      <c r="F980" t="s">
        <v>114</v>
      </c>
      <c r="G980" t="s">
        <v>115</v>
      </c>
      <c r="H980" t="s">
        <v>141</v>
      </c>
      <c r="I980" t="s">
        <v>142</v>
      </c>
      <c r="J980" t="s">
        <v>143</v>
      </c>
      <c r="K980" t="s">
        <v>144</v>
      </c>
      <c r="L980" t="s">
        <v>183</v>
      </c>
      <c r="M980" t="s">
        <v>186</v>
      </c>
      <c r="N980">
        <v>4</v>
      </c>
      <c r="O980" s="4">
        <v>1300</v>
      </c>
      <c r="P980" s="4">
        <v>2100</v>
      </c>
      <c r="Q980" s="7">
        <v>0.1</v>
      </c>
      <c r="R980" t="s">
        <v>235</v>
      </c>
      <c r="S980">
        <v>4</v>
      </c>
      <c r="T980">
        <v>8400</v>
      </c>
      <c r="U980">
        <v>840</v>
      </c>
      <c r="V980">
        <v>7560</v>
      </c>
      <c r="W980">
        <v>5200</v>
      </c>
      <c r="X980">
        <v>2360</v>
      </c>
      <c r="Y980" s="8">
        <v>0.31216931216931215</v>
      </c>
      <c r="Z980" t="s">
        <v>2995</v>
      </c>
      <c r="AA980" t="str">
        <f>IF(AND(SalesCleanTable[[#This Row],[Discount %]]&gt;0, SalesCleanTable[[#This Row],[Profit]]&lt;0), "Discount loss", "Safe")</f>
        <v>Safe</v>
      </c>
      <c r="AB980" s="25">
        <f>(SalesCleanTable[[#This Row],[Unit Price]] - SalesCleanTable[[#This Row],[Unit Cost]]) / SalesCleanTable[[#This Row],[Unit Price]]</f>
        <v>0.38095238095238093</v>
      </c>
      <c r="AC980" t="str">
        <f>IF(SalesCleanTable[[#This Row],[Discount %]] &gt; SalesCleanTable[[#This Row],[Max Allowed Discount]], "Discount loss", "Safe")</f>
        <v>Safe</v>
      </c>
      <c r="AD980" s="4">
        <f>SalesCleanTable[[#This Row],[Unit Price]] - SalesCleanTable[[#This Row],[Unit Cost]]</f>
        <v>800</v>
      </c>
      <c r="AE980" s="41">
        <f>(SalesCleanTable[[#This Row],[Unit Price]] - SalesCleanTable[[#This Row],[Unit Cost]]) / SalesCleanTable[[#This Row],[Unit Price]]</f>
        <v>0.38095238095238093</v>
      </c>
    </row>
    <row r="981" spans="1:31">
      <c r="A981" t="s">
        <v>1167</v>
      </c>
      <c r="B981" s="6">
        <v>45802</v>
      </c>
      <c r="C981" t="s">
        <v>45</v>
      </c>
      <c r="D981" t="s">
        <v>46</v>
      </c>
      <c r="E981" t="s">
        <v>38</v>
      </c>
      <c r="F981" t="s">
        <v>47</v>
      </c>
      <c r="G981" t="s">
        <v>48</v>
      </c>
      <c r="H981" t="s">
        <v>141</v>
      </c>
      <c r="I981" t="s">
        <v>142</v>
      </c>
      <c r="J981" t="s">
        <v>143</v>
      </c>
      <c r="K981" t="s">
        <v>144</v>
      </c>
      <c r="L981" t="s">
        <v>183</v>
      </c>
      <c r="M981" t="s">
        <v>171</v>
      </c>
      <c r="N981">
        <v>1</v>
      </c>
      <c r="O981" s="4">
        <v>230</v>
      </c>
      <c r="P981" s="4">
        <v>400</v>
      </c>
      <c r="Q981" s="7">
        <v>0.2</v>
      </c>
      <c r="R981" t="s">
        <v>168</v>
      </c>
      <c r="S981">
        <v>3</v>
      </c>
      <c r="T981">
        <v>400</v>
      </c>
      <c r="U981">
        <v>80</v>
      </c>
      <c r="V981">
        <v>320</v>
      </c>
      <c r="W981">
        <v>230</v>
      </c>
      <c r="X981">
        <v>90</v>
      </c>
      <c r="Y981" s="8">
        <v>0.28125</v>
      </c>
      <c r="Z981" t="s">
        <v>2995</v>
      </c>
      <c r="AA981" t="str">
        <f>IF(AND(SalesCleanTable[[#This Row],[Discount %]]&gt;0, SalesCleanTable[[#This Row],[Profit]]&lt;0), "Discount loss", "Safe")</f>
        <v>Safe</v>
      </c>
      <c r="AB981" s="25">
        <f>(SalesCleanTable[[#This Row],[Unit Price]] - SalesCleanTable[[#This Row],[Unit Cost]]) / SalesCleanTable[[#This Row],[Unit Price]]</f>
        <v>0.42499999999999999</v>
      </c>
      <c r="AC981" t="str">
        <f>IF(SalesCleanTable[[#This Row],[Discount %]] &gt; SalesCleanTable[[#This Row],[Max Allowed Discount]], "Discount loss", "Safe")</f>
        <v>Safe</v>
      </c>
      <c r="AD981" s="4">
        <f>SalesCleanTable[[#This Row],[Unit Price]] - SalesCleanTable[[#This Row],[Unit Cost]]</f>
        <v>170</v>
      </c>
      <c r="AE981" s="41">
        <f>(SalesCleanTable[[#This Row],[Unit Price]] - SalesCleanTable[[#This Row],[Unit Cost]]) / SalesCleanTable[[#This Row],[Unit Price]]</f>
        <v>0.42499999999999999</v>
      </c>
    </row>
    <row r="982" spans="1:31">
      <c r="A982" t="s">
        <v>1168</v>
      </c>
      <c r="B982" s="6">
        <v>45929</v>
      </c>
      <c r="C982" t="s">
        <v>45</v>
      </c>
      <c r="D982" t="s">
        <v>46</v>
      </c>
      <c r="E982" t="s">
        <v>38</v>
      </c>
      <c r="F982" t="s">
        <v>47</v>
      </c>
      <c r="G982" t="s">
        <v>48</v>
      </c>
      <c r="H982" t="s">
        <v>133</v>
      </c>
      <c r="I982" t="s">
        <v>134</v>
      </c>
      <c r="J982" t="s">
        <v>130</v>
      </c>
      <c r="K982" t="s">
        <v>131</v>
      </c>
      <c r="L982" t="s">
        <v>183</v>
      </c>
      <c r="M982" t="s">
        <v>171</v>
      </c>
      <c r="N982">
        <v>2</v>
      </c>
      <c r="O982" s="4">
        <v>230</v>
      </c>
      <c r="P982" s="4">
        <v>400</v>
      </c>
      <c r="Q982" s="7">
        <v>0.15</v>
      </c>
      <c r="R982" t="s">
        <v>175</v>
      </c>
      <c r="S982">
        <v>6</v>
      </c>
      <c r="T982">
        <v>800</v>
      </c>
      <c r="U982">
        <v>120</v>
      </c>
      <c r="V982">
        <v>680</v>
      </c>
      <c r="W982">
        <v>460</v>
      </c>
      <c r="X982">
        <v>220</v>
      </c>
      <c r="Y982" s="8">
        <v>0.3235294117647059</v>
      </c>
      <c r="Z982" t="s">
        <v>2995</v>
      </c>
      <c r="AA982" t="str">
        <f>IF(AND(SalesCleanTable[[#This Row],[Discount %]]&gt;0, SalesCleanTable[[#This Row],[Profit]]&lt;0), "Discount loss", "Safe")</f>
        <v>Safe</v>
      </c>
      <c r="AB982" s="25">
        <f>(SalesCleanTable[[#This Row],[Unit Price]] - SalesCleanTable[[#This Row],[Unit Cost]]) / SalesCleanTable[[#This Row],[Unit Price]]</f>
        <v>0.42499999999999999</v>
      </c>
      <c r="AC982" t="str">
        <f>IF(SalesCleanTable[[#This Row],[Discount %]] &gt; SalesCleanTable[[#This Row],[Max Allowed Discount]], "Discount loss", "Safe")</f>
        <v>Safe</v>
      </c>
      <c r="AD982" s="4">
        <f>SalesCleanTable[[#This Row],[Unit Price]] - SalesCleanTable[[#This Row],[Unit Cost]]</f>
        <v>170</v>
      </c>
      <c r="AE982" s="41">
        <f>(SalesCleanTable[[#This Row],[Unit Price]] - SalesCleanTable[[#This Row],[Unit Cost]]) / SalesCleanTable[[#This Row],[Unit Price]]</f>
        <v>0.42499999999999999</v>
      </c>
    </row>
    <row r="983" spans="1:31">
      <c r="A983" t="s">
        <v>1169</v>
      </c>
      <c r="B983" s="6">
        <v>45796</v>
      </c>
      <c r="C983" t="s">
        <v>112</v>
      </c>
      <c r="D983" t="s">
        <v>113</v>
      </c>
      <c r="E983" t="s">
        <v>109</v>
      </c>
      <c r="F983" t="s">
        <v>114</v>
      </c>
      <c r="G983" t="s">
        <v>115</v>
      </c>
      <c r="H983" t="s">
        <v>141</v>
      </c>
      <c r="I983" t="s">
        <v>142</v>
      </c>
      <c r="J983" t="s">
        <v>143</v>
      </c>
      <c r="K983" t="s">
        <v>144</v>
      </c>
      <c r="L983" t="s">
        <v>183</v>
      </c>
      <c r="M983" t="s">
        <v>177</v>
      </c>
      <c r="N983">
        <v>8</v>
      </c>
      <c r="O983" s="4">
        <v>1300</v>
      </c>
      <c r="P983" s="4">
        <v>2100</v>
      </c>
      <c r="Q983" s="7">
        <v>0.15</v>
      </c>
      <c r="R983" t="s">
        <v>235</v>
      </c>
      <c r="S983">
        <v>14</v>
      </c>
      <c r="T983">
        <v>16800</v>
      </c>
      <c r="U983">
        <v>2520</v>
      </c>
      <c r="V983">
        <v>14280</v>
      </c>
      <c r="W983">
        <v>10400</v>
      </c>
      <c r="X983">
        <v>3880</v>
      </c>
      <c r="Y983" s="8">
        <v>0.27170868347338933</v>
      </c>
      <c r="Z983" t="s">
        <v>2995</v>
      </c>
      <c r="AA983" t="str">
        <f>IF(AND(SalesCleanTable[[#This Row],[Discount %]]&gt;0, SalesCleanTable[[#This Row],[Profit]]&lt;0), "Discount loss", "Safe")</f>
        <v>Safe</v>
      </c>
      <c r="AB983" s="25">
        <f>(SalesCleanTable[[#This Row],[Unit Price]] - SalesCleanTable[[#This Row],[Unit Cost]]) / SalesCleanTable[[#This Row],[Unit Price]]</f>
        <v>0.38095238095238093</v>
      </c>
      <c r="AC983" t="str">
        <f>IF(SalesCleanTable[[#This Row],[Discount %]] &gt; SalesCleanTable[[#This Row],[Max Allowed Discount]], "Discount loss", "Safe")</f>
        <v>Safe</v>
      </c>
      <c r="AD983" s="4">
        <f>SalesCleanTable[[#This Row],[Unit Price]] - SalesCleanTable[[#This Row],[Unit Cost]]</f>
        <v>800</v>
      </c>
      <c r="AE983" s="41">
        <f>(SalesCleanTable[[#This Row],[Unit Price]] - SalesCleanTable[[#This Row],[Unit Cost]]) / SalesCleanTable[[#This Row],[Unit Price]]</f>
        <v>0.38095238095238093</v>
      </c>
    </row>
    <row r="984" spans="1:31">
      <c r="A984" t="s">
        <v>1170</v>
      </c>
      <c r="B984" s="6">
        <v>45734</v>
      </c>
      <c r="C984" t="s">
        <v>90</v>
      </c>
      <c r="D984" t="s">
        <v>91</v>
      </c>
      <c r="E984" t="s">
        <v>92</v>
      </c>
      <c r="F984" t="s">
        <v>93</v>
      </c>
      <c r="G984" t="s">
        <v>94</v>
      </c>
      <c r="H984" t="s">
        <v>133</v>
      </c>
      <c r="I984" t="s">
        <v>134</v>
      </c>
      <c r="J984" t="s">
        <v>130</v>
      </c>
      <c r="K984" t="s">
        <v>131</v>
      </c>
      <c r="L984" t="s">
        <v>183</v>
      </c>
      <c r="M984" t="s">
        <v>171</v>
      </c>
      <c r="N984">
        <v>1</v>
      </c>
      <c r="O984" s="4">
        <v>7500</v>
      </c>
      <c r="P984" s="4">
        <v>10500</v>
      </c>
      <c r="Q984" s="7">
        <v>0.15</v>
      </c>
      <c r="R984" t="s">
        <v>181</v>
      </c>
      <c r="S984">
        <v>2</v>
      </c>
      <c r="T984">
        <v>10500</v>
      </c>
      <c r="U984">
        <v>1575</v>
      </c>
      <c r="V984">
        <v>8925</v>
      </c>
      <c r="W984">
        <v>7500</v>
      </c>
      <c r="X984">
        <v>1425</v>
      </c>
      <c r="Y984" s="8">
        <v>0.15966386554621848</v>
      </c>
      <c r="Z984" t="s">
        <v>2996</v>
      </c>
      <c r="AA984" t="str">
        <f>IF(AND(SalesCleanTable[[#This Row],[Discount %]]&gt;0, SalesCleanTable[[#This Row],[Profit]]&lt;0), "Discount loss", "Safe")</f>
        <v>Safe</v>
      </c>
      <c r="AB984" s="25">
        <f>(SalesCleanTable[[#This Row],[Unit Price]] - SalesCleanTable[[#This Row],[Unit Cost]]) / SalesCleanTable[[#This Row],[Unit Price]]</f>
        <v>0.2857142857142857</v>
      </c>
      <c r="AC984" t="str">
        <f>IF(SalesCleanTable[[#This Row],[Discount %]] &gt; SalesCleanTable[[#This Row],[Max Allowed Discount]], "Discount loss", "Safe")</f>
        <v>Safe</v>
      </c>
      <c r="AD984" s="4">
        <f>SalesCleanTable[[#This Row],[Unit Price]] - SalesCleanTable[[#This Row],[Unit Cost]]</f>
        <v>3000</v>
      </c>
      <c r="AE984" s="41">
        <f>(SalesCleanTable[[#This Row],[Unit Price]] - SalesCleanTable[[#This Row],[Unit Cost]]) / SalesCleanTable[[#This Row],[Unit Price]]</f>
        <v>0.2857142857142857</v>
      </c>
    </row>
    <row r="985" spans="1:31">
      <c r="A985" t="s">
        <v>1171</v>
      </c>
      <c r="B985" s="6">
        <v>45800</v>
      </c>
      <c r="C985" t="s">
        <v>32</v>
      </c>
      <c r="D985" t="s">
        <v>33</v>
      </c>
      <c r="E985" t="s">
        <v>26</v>
      </c>
      <c r="F985" t="s">
        <v>34</v>
      </c>
      <c r="G985" t="s">
        <v>35</v>
      </c>
      <c r="H985" t="s">
        <v>135</v>
      </c>
      <c r="I985" t="s">
        <v>136</v>
      </c>
      <c r="J985" t="s">
        <v>137</v>
      </c>
      <c r="K985" t="s">
        <v>138</v>
      </c>
      <c r="L985" t="s">
        <v>166</v>
      </c>
      <c r="M985" t="s">
        <v>186</v>
      </c>
      <c r="N985">
        <v>1</v>
      </c>
      <c r="O985" s="4">
        <v>7800</v>
      </c>
      <c r="P985" s="4">
        <v>9800</v>
      </c>
      <c r="Q985" s="7">
        <v>0.1</v>
      </c>
      <c r="R985" t="s">
        <v>194</v>
      </c>
      <c r="S985">
        <v>12</v>
      </c>
      <c r="T985">
        <v>9800</v>
      </c>
      <c r="U985">
        <v>980</v>
      </c>
      <c r="V985">
        <v>8820</v>
      </c>
      <c r="W985">
        <v>7800</v>
      </c>
      <c r="X985">
        <v>1020</v>
      </c>
      <c r="Y985" s="8">
        <v>0.11564625850340136</v>
      </c>
      <c r="Z985" t="s">
        <v>2995</v>
      </c>
      <c r="AA985" t="str">
        <f>IF(AND(SalesCleanTable[[#This Row],[Discount %]]&gt;0, SalesCleanTable[[#This Row],[Profit]]&lt;0), "Discount loss", "Safe")</f>
        <v>Safe</v>
      </c>
      <c r="AB985" s="25">
        <f>(SalesCleanTable[[#This Row],[Unit Price]] - SalesCleanTable[[#This Row],[Unit Cost]]) / SalesCleanTable[[#This Row],[Unit Price]]</f>
        <v>0.20408163265306123</v>
      </c>
      <c r="AC985" t="str">
        <f>IF(SalesCleanTable[[#This Row],[Discount %]] &gt; SalesCleanTable[[#This Row],[Max Allowed Discount]], "Discount loss", "Safe")</f>
        <v>Safe</v>
      </c>
      <c r="AD985" s="4">
        <f>SalesCleanTable[[#This Row],[Unit Price]] - SalesCleanTable[[#This Row],[Unit Cost]]</f>
        <v>2000</v>
      </c>
      <c r="AE985" s="41">
        <f>(SalesCleanTable[[#This Row],[Unit Price]] - SalesCleanTable[[#This Row],[Unit Cost]]) / SalesCleanTable[[#This Row],[Unit Price]]</f>
        <v>0.20408163265306123</v>
      </c>
    </row>
    <row r="986" spans="1:31">
      <c r="A986" t="s">
        <v>1172</v>
      </c>
      <c r="B986" s="6">
        <v>45966</v>
      </c>
      <c r="C986" t="s">
        <v>95</v>
      </c>
      <c r="D986" t="s">
        <v>96</v>
      </c>
      <c r="E986" t="s">
        <v>92</v>
      </c>
      <c r="F986" t="s">
        <v>97</v>
      </c>
      <c r="G986" t="s">
        <v>98</v>
      </c>
      <c r="H986" t="s">
        <v>135</v>
      </c>
      <c r="I986" t="s">
        <v>136</v>
      </c>
      <c r="J986" t="s">
        <v>137</v>
      </c>
      <c r="K986" t="s">
        <v>138</v>
      </c>
      <c r="L986" t="s">
        <v>166</v>
      </c>
      <c r="M986" t="s">
        <v>186</v>
      </c>
      <c r="N986">
        <v>5</v>
      </c>
      <c r="O986" s="4">
        <v>18000</v>
      </c>
      <c r="P986" s="4">
        <v>24500</v>
      </c>
      <c r="Q986" s="7">
        <v>0.1</v>
      </c>
      <c r="R986" t="s">
        <v>217</v>
      </c>
      <c r="S986">
        <v>9</v>
      </c>
      <c r="T986">
        <v>122500</v>
      </c>
      <c r="U986">
        <v>12250</v>
      </c>
      <c r="V986">
        <v>110250</v>
      </c>
      <c r="W986">
        <v>90000</v>
      </c>
      <c r="X986">
        <v>20250</v>
      </c>
      <c r="Y986" s="8">
        <v>0.18367346938775511</v>
      </c>
      <c r="Z986" t="s">
        <v>2995</v>
      </c>
      <c r="AA986" t="str">
        <f>IF(AND(SalesCleanTable[[#This Row],[Discount %]]&gt;0, SalesCleanTable[[#This Row],[Profit]]&lt;0), "Discount loss", "Safe")</f>
        <v>Safe</v>
      </c>
      <c r="AB986" s="25">
        <f>(SalesCleanTable[[#This Row],[Unit Price]] - SalesCleanTable[[#This Row],[Unit Cost]]) / SalesCleanTable[[#This Row],[Unit Price]]</f>
        <v>0.26530612244897961</v>
      </c>
      <c r="AC986" t="str">
        <f>IF(SalesCleanTable[[#This Row],[Discount %]] &gt; SalesCleanTable[[#This Row],[Max Allowed Discount]], "Discount loss", "Safe")</f>
        <v>Safe</v>
      </c>
      <c r="AD986" s="4">
        <f>SalesCleanTable[[#This Row],[Unit Price]] - SalesCleanTable[[#This Row],[Unit Cost]]</f>
        <v>6500</v>
      </c>
      <c r="AE986" s="41">
        <f>(SalesCleanTable[[#This Row],[Unit Price]] - SalesCleanTable[[#This Row],[Unit Cost]]) / SalesCleanTable[[#This Row],[Unit Price]]</f>
        <v>0.26530612244897961</v>
      </c>
    </row>
    <row r="987" spans="1:31">
      <c r="A987" t="s">
        <v>1173</v>
      </c>
      <c r="B987" s="6">
        <v>45930</v>
      </c>
      <c r="C987" t="s">
        <v>57</v>
      </c>
      <c r="D987" t="s">
        <v>58</v>
      </c>
      <c r="E987" t="s">
        <v>59</v>
      </c>
      <c r="F987" t="s">
        <v>60</v>
      </c>
      <c r="G987" t="s">
        <v>61</v>
      </c>
      <c r="H987" t="s">
        <v>133</v>
      </c>
      <c r="I987" t="s">
        <v>134</v>
      </c>
      <c r="J987" t="s">
        <v>130</v>
      </c>
      <c r="K987" t="s">
        <v>131</v>
      </c>
      <c r="L987" t="s">
        <v>166</v>
      </c>
      <c r="M987" t="s">
        <v>171</v>
      </c>
      <c r="N987">
        <v>1</v>
      </c>
      <c r="O987" s="4">
        <v>2400</v>
      </c>
      <c r="P987" s="4">
        <v>3400</v>
      </c>
      <c r="Q987" s="7">
        <v>0.1</v>
      </c>
      <c r="R987" t="s">
        <v>173</v>
      </c>
      <c r="S987">
        <v>4</v>
      </c>
      <c r="T987">
        <v>3400</v>
      </c>
      <c r="U987">
        <v>340</v>
      </c>
      <c r="V987">
        <v>3060</v>
      </c>
      <c r="W987">
        <v>2400</v>
      </c>
      <c r="X987">
        <v>660</v>
      </c>
      <c r="Y987" s="8">
        <v>0.21568627450980393</v>
      </c>
      <c r="Z987" t="s">
        <v>2996</v>
      </c>
      <c r="AA987" t="str">
        <f>IF(AND(SalesCleanTable[[#This Row],[Discount %]]&gt;0, SalesCleanTable[[#This Row],[Profit]]&lt;0), "Discount loss", "Safe")</f>
        <v>Safe</v>
      </c>
      <c r="AB987" s="25">
        <f>(SalesCleanTable[[#This Row],[Unit Price]] - SalesCleanTable[[#This Row],[Unit Cost]]) / SalesCleanTable[[#This Row],[Unit Price]]</f>
        <v>0.29411764705882354</v>
      </c>
      <c r="AC987" t="str">
        <f>IF(SalesCleanTable[[#This Row],[Discount %]] &gt; SalesCleanTable[[#This Row],[Max Allowed Discount]], "Discount loss", "Safe")</f>
        <v>Safe</v>
      </c>
      <c r="AD987" s="4">
        <f>SalesCleanTable[[#This Row],[Unit Price]] - SalesCleanTable[[#This Row],[Unit Cost]]</f>
        <v>1000</v>
      </c>
      <c r="AE987" s="41">
        <f>(SalesCleanTable[[#This Row],[Unit Price]] - SalesCleanTable[[#This Row],[Unit Cost]]) / SalesCleanTable[[#This Row],[Unit Price]]</f>
        <v>0.29411764705882354</v>
      </c>
    </row>
    <row r="988" spans="1:31">
      <c r="A988" t="s">
        <v>1174</v>
      </c>
      <c r="B988" s="6">
        <v>45778</v>
      </c>
      <c r="C988" t="s">
        <v>49</v>
      </c>
      <c r="D988" t="s">
        <v>50</v>
      </c>
      <c r="E988" t="s">
        <v>38</v>
      </c>
      <c r="F988" t="s">
        <v>51</v>
      </c>
      <c r="G988" t="s">
        <v>52</v>
      </c>
      <c r="H988" t="s">
        <v>133</v>
      </c>
      <c r="I988" t="s">
        <v>134</v>
      </c>
      <c r="J988" t="s">
        <v>130</v>
      </c>
      <c r="K988" t="s">
        <v>131</v>
      </c>
      <c r="L988" t="s">
        <v>166</v>
      </c>
      <c r="M988" t="s">
        <v>177</v>
      </c>
      <c r="N988">
        <v>5</v>
      </c>
      <c r="O988" s="4">
        <v>550</v>
      </c>
      <c r="P988" s="4">
        <v>850</v>
      </c>
      <c r="Q988" s="7">
        <v>0.05</v>
      </c>
      <c r="R988" t="s">
        <v>178</v>
      </c>
      <c r="S988">
        <v>1</v>
      </c>
      <c r="T988">
        <v>4250</v>
      </c>
      <c r="U988">
        <v>212.5</v>
      </c>
      <c r="V988">
        <v>4037.5</v>
      </c>
      <c r="W988">
        <v>2750</v>
      </c>
      <c r="X988">
        <v>1287.5</v>
      </c>
      <c r="Y988" s="8">
        <v>0.31888544891640869</v>
      </c>
      <c r="Z988" t="s">
        <v>2996</v>
      </c>
      <c r="AA988" t="str">
        <f>IF(AND(SalesCleanTable[[#This Row],[Discount %]]&gt;0, SalesCleanTable[[#This Row],[Profit]]&lt;0), "Discount loss", "Safe")</f>
        <v>Safe</v>
      </c>
      <c r="AB988" s="25">
        <f>(SalesCleanTable[[#This Row],[Unit Price]] - SalesCleanTable[[#This Row],[Unit Cost]]) / SalesCleanTable[[#This Row],[Unit Price]]</f>
        <v>0.35294117647058826</v>
      </c>
      <c r="AC988" t="str">
        <f>IF(SalesCleanTable[[#This Row],[Discount %]] &gt; SalesCleanTable[[#This Row],[Max Allowed Discount]], "Discount loss", "Safe")</f>
        <v>Safe</v>
      </c>
      <c r="AD988" s="4">
        <f>SalesCleanTable[[#This Row],[Unit Price]] - SalesCleanTable[[#This Row],[Unit Cost]]</f>
        <v>300</v>
      </c>
      <c r="AE988" s="41">
        <f>(SalesCleanTable[[#This Row],[Unit Price]] - SalesCleanTable[[#This Row],[Unit Cost]]) / SalesCleanTable[[#This Row],[Unit Price]]</f>
        <v>0.35294117647058826</v>
      </c>
    </row>
    <row r="989" spans="1:31">
      <c r="A989" t="s">
        <v>1175</v>
      </c>
      <c r="B989" s="6">
        <v>45842</v>
      </c>
      <c r="C989" t="s">
        <v>103</v>
      </c>
      <c r="D989" t="s">
        <v>104</v>
      </c>
      <c r="E989" t="s">
        <v>92</v>
      </c>
      <c r="F989" t="s">
        <v>105</v>
      </c>
      <c r="G989" t="s">
        <v>106</v>
      </c>
      <c r="H989" t="s">
        <v>149</v>
      </c>
      <c r="I989" t="s">
        <v>150</v>
      </c>
      <c r="J989" t="s">
        <v>151</v>
      </c>
      <c r="K989" t="s">
        <v>152</v>
      </c>
      <c r="L989" t="s">
        <v>166</v>
      </c>
      <c r="M989" t="s">
        <v>171</v>
      </c>
      <c r="N989">
        <v>5</v>
      </c>
      <c r="O989" s="4">
        <v>1500</v>
      </c>
      <c r="P989" s="4">
        <v>2500</v>
      </c>
      <c r="Q989" s="7">
        <v>0</v>
      </c>
      <c r="R989" t="s">
        <v>217</v>
      </c>
      <c r="S989">
        <v>4</v>
      </c>
      <c r="T989">
        <v>12500</v>
      </c>
      <c r="U989">
        <v>0</v>
      </c>
      <c r="V989">
        <v>12500</v>
      </c>
      <c r="W989">
        <v>7500</v>
      </c>
      <c r="X989">
        <v>5000</v>
      </c>
      <c r="Y989" s="8">
        <v>0.4</v>
      </c>
      <c r="Z989" t="s">
        <v>2996</v>
      </c>
      <c r="AA989" t="str">
        <f>IF(AND(SalesCleanTable[[#This Row],[Discount %]]&gt;0, SalesCleanTable[[#This Row],[Profit]]&lt;0), "Discount loss", "Safe")</f>
        <v>Safe</v>
      </c>
      <c r="AB989" s="25">
        <f>(SalesCleanTable[[#This Row],[Unit Price]] - SalesCleanTable[[#This Row],[Unit Cost]]) / SalesCleanTable[[#This Row],[Unit Price]]</f>
        <v>0.4</v>
      </c>
      <c r="AC989" t="str">
        <f>IF(SalesCleanTable[[#This Row],[Discount %]] &gt; SalesCleanTable[[#This Row],[Max Allowed Discount]], "Discount loss", "Safe")</f>
        <v>Safe</v>
      </c>
      <c r="AD989" s="4">
        <f>SalesCleanTable[[#This Row],[Unit Price]] - SalesCleanTable[[#This Row],[Unit Cost]]</f>
        <v>1000</v>
      </c>
      <c r="AE989" s="41">
        <f>(SalesCleanTable[[#This Row],[Unit Price]] - SalesCleanTable[[#This Row],[Unit Cost]]) / SalesCleanTable[[#This Row],[Unit Price]]</f>
        <v>0.4</v>
      </c>
    </row>
    <row r="990" spans="1:31">
      <c r="A990" t="s">
        <v>1176</v>
      </c>
      <c r="B990" s="6">
        <v>45772</v>
      </c>
      <c r="C990" t="s">
        <v>29</v>
      </c>
      <c r="D990" t="s">
        <v>30</v>
      </c>
      <c r="E990" t="s">
        <v>26</v>
      </c>
      <c r="F990" t="s">
        <v>27</v>
      </c>
      <c r="G990" t="s">
        <v>31</v>
      </c>
      <c r="H990" t="s">
        <v>128</v>
      </c>
      <c r="I990" t="s">
        <v>129</v>
      </c>
      <c r="J990" t="s">
        <v>130</v>
      </c>
      <c r="K990" t="s">
        <v>131</v>
      </c>
      <c r="L990" t="s">
        <v>166</v>
      </c>
      <c r="M990" t="s">
        <v>177</v>
      </c>
      <c r="N990">
        <v>8</v>
      </c>
      <c r="O990" s="4">
        <v>6200</v>
      </c>
      <c r="P990" s="4">
        <v>7900</v>
      </c>
      <c r="Q990" s="7">
        <v>0.1</v>
      </c>
      <c r="R990" t="s">
        <v>194</v>
      </c>
      <c r="S990">
        <v>6</v>
      </c>
      <c r="T990">
        <v>63200</v>
      </c>
      <c r="U990">
        <v>6320</v>
      </c>
      <c r="V990">
        <v>56880</v>
      </c>
      <c r="W990">
        <v>49600</v>
      </c>
      <c r="X990">
        <v>7280</v>
      </c>
      <c r="Y990" s="8">
        <v>0.12798874824191281</v>
      </c>
      <c r="Z990" t="s">
        <v>2996</v>
      </c>
      <c r="AA990" t="str">
        <f>IF(AND(SalesCleanTable[[#This Row],[Discount %]]&gt;0, SalesCleanTable[[#This Row],[Profit]]&lt;0), "Discount loss", "Safe")</f>
        <v>Safe</v>
      </c>
      <c r="AB990" s="25">
        <f>(SalesCleanTable[[#This Row],[Unit Price]] - SalesCleanTable[[#This Row],[Unit Cost]]) / SalesCleanTable[[#This Row],[Unit Price]]</f>
        <v>0.21518987341772153</v>
      </c>
      <c r="AC990" t="str">
        <f>IF(SalesCleanTable[[#This Row],[Discount %]] &gt; SalesCleanTable[[#This Row],[Max Allowed Discount]], "Discount loss", "Safe")</f>
        <v>Safe</v>
      </c>
      <c r="AD990" s="4">
        <f>SalesCleanTable[[#This Row],[Unit Price]] - SalesCleanTable[[#This Row],[Unit Cost]]</f>
        <v>1700</v>
      </c>
      <c r="AE990" s="41">
        <f>(SalesCleanTable[[#This Row],[Unit Price]] - SalesCleanTable[[#This Row],[Unit Cost]]) / SalesCleanTable[[#This Row],[Unit Price]]</f>
        <v>0.21518987341772153</v>
      </c>
    </row>
    <row r="991" spans="1:31">
      <c r="A991" t="s">
        <v>1177</v>
      </c>
      <c r="B991" s="6">
        <v>45712</v>
      </c>
      <c r="C991" t="s">
        <v>78</v>
      </c>
      <c r="D991" t="s">
        <v>79</v>
      </c>
      <c r="E991" t="s">
        <v>75</v>
      </c>
      <c r="F991" t="s">
        <v>80</v>
      </c>
      <c r="G991" t="s">
        <v>81</v>
      </c>
      <c r="H991" t="s">
        <v>128</v>
      </c>
      <c r="I991" t="s">
        <v>129</v>
      </c>
      <c r="J991" t="s">
        <v>130</v>
      </c>
      <c r="K991" t="s">
        <v>131</v>
      </c>
      <c r="L991" t="s">
        <v>166</v>
      </c>
      <c r="M991" t="s">
        <v>186</v>
      </c>
      <c r="N991">
        <v>5</v>
      </c>
      <c r="O991" s="4">
        <v>1200</v>
      </c>
      <c r="P991" s="4">
        <v>1900</v>
      </c>
      <c r="Q991" s="7">
        <v>0.15</v>
      </c>
      <c r="R991" t="s">
        <v>187</v>
      </c>
      <c r="S991">
        <v>4</v>
      </c>
      <c r="T991">
        <v>9500</v>
      </c>
      <c r="U991">
        <v>1425</v>
      </c>
      <c r="V991">
        <v>8075</v>
      </c>
      <c r="W991">
        <v>6000</v>
      </c>
      <c r="X991">
        <v>2075</v>
      </c>
      <c r="Y991" s="8">
        <v>0.25696594427244585</v>
      </c>
      <c r="Z991" t="s">
        <v>2996</v>
      </c>
      <c r="AA991" t="str">
        <f>IF(AND(SalesCleanTable[[#This Row],[Discount %]]&gt;0, SalesCleanTable[[#This Row],[Profit]]&lt;0), "Discount loss", "Safe")</f>
        <v>Safe</v>
      </c>
      <c r="AB991" s="25">
        <f>(SalesCleanTable[[#This Row],[Unit Price]] - SalesCleanTable[[#This Row],[Unit Cost]]) / SalesCleanTable[[#This Row],[Unit Price]]</f>
        <v>0.36842105263157893</v>
      </c>
      <c r="AC991" t="str">
        <f>IF(SalesCleanTable[[#This Row],[Discount %]] &gt; SalesCleanTable[[#This Row],[Max Allowed Discount]], "Discount loss", "Safe")</f>
        <v>Safe</v>
      </c>
      <c r="AD991" s="4">
        <f>SalesCleanTable[[#This Row],[Unit Price]] - SalesCleanTable[[#This Row],[Unit Cost]]</f>
        <v>700</v>
      </c>
      <c r="AE991" s="41">
        <f>(SalesCleanTable[[#This Row],[Unit Price]] - SalesCleanTable[[#This Row],[Unit Cost]]) / SalesCleanTable[[#This Row],[Unit Price]]</f>
        <v>0.36842105263157893</v>
      </c>
    </row>
    <row r="992" spans="1:31">
      <c r="A992" t="s">
        <v>1178</v>
      </c>
      <c r="B992" s="6">
        <v>45949</v>
      </c>
      <c r="C992" t="s">
        <v>99</v>
      </c>
      <c r="D992" t="s">
        <v>100</v>
      </c>
      <c r="E992" t="s">
        <v>92</v>
      </c>
      <c r="F992" t="s">
        <v>101</v>
      </c>
      <c r="G992" t="s">
        <v>102</v>
      </c>
      <c r="H992" t="s">
        <v>135</v>
      </c>
      <c r="I992" t="s">
        <v>136</v>
      </c>
      <c r="J992" t="s">
        <v>137</v>
      </c>
      <c r="K992" t="s">
        <v>138</v>
      </c>
      <c r="L992" t="s">
        <v>166</v>
      </c>
      <c r="M992" t="s">
        <v>171</v>
      </c>
      <c r="N992">
        <v>4</v>
      </c>
      <c r="O992" s="4">
        <v>12500</v>
      </c>
      <c r="P992" s="4">
        <v>18500</v>
      </c>
      <c r="Q992" s="7">
        <v>0.05</v>
      </c>
      <c r="R992" t="s">
        <v>217</v>
      </c>
      <c r="S992">
        <v>8</v>
      </c>
      <c r="T992">
        <v>74000</v>
      </c>
      <c r="U992">
        <v>3700</v>
      </c>
      <c r="V992">
        <v>70300</v>
      </c>
      <c r="W992">
        <v>50000</v>
      </c>
      <c r="X992">
        <v>20300</v>
      </c>
      <c r="Y992" s="8">
        <v>0.28876244665718348</v>
      </c>
      <c r="Z992" t="s">
        <v>2995</v>
      </c>
      <c r="AA992" t="str">
        <f>IF(AND(SalesCleanTable[[#This Row],[Discount %]]&gt;0, SalesCleanTable[[#This Row],[Profit]]&lt;0), "Discount loss", "Safe")</f>
        <v>Safe</v>
      </c>
      <c r="AB992" s="25">
        <f>(SalesCleanTable[[#This Row],[Unit Price]] - SalesCleanTable[[#This Row],[Unit Cost]]) / SalesCleanTable[[#This Row],[Unit Price]]</f>
        <v>0.32432432432432434</v>
      </c>
      <c r="AC992" t="str">
        <f>IF(SalesCleanTable[[#This Row],[Discount %]] &gt; SalesCleanTable[[#This Row],[Max Allowed Discount]], "Discount loss", "Safe")</f>
        <v>Safe</v>
      </c>
      <c r="AD992" s="4">
        <f>SalesCleanTable[[#This Row],[Unit Price]] - SalesCleanTable[[#This Row],[Unit Cost]]</f>
        <v>6000</v>
      </c>
      <c r="AE992" s="41">
        <f>(SalesCleanTable[[#This Row],[Unit Price]] - SalesCleanTable[[#This Row],[Unit Cost]]) / SalesCleanTable[[#This Row],[Unit Price]]</f>
        <v>0.32432432432432434</v>
      </c>
    </row>
    <row r="993" spans="1:31">
      <c r="A993" t="s">
        <v>1179</v>
      </c>
      <c r="B993" s="6">
        <v>45830</v>
      </c>
      <c r="C993" t="s">
        <v>53</v>
      </c>
      <c r="D993" t="s">
        <v>54</v>
      </c>
      <c r="E993" t="s">
        <v>38</v>
      </c>
      <c r="F993" t="s">
        <v>55</v>
      </c>
      <c r="G993" t="s">
        <v>56</v>
      </c>
      <c r="H993" t="s">
        <v>141</v>
      </c>
      <c r="I993" t="s">
        <v>142</v>
      </c>
      <c r="J993" t="s">
        <v>143</v>
      </c>
      <c r="K993" t="s">
        <v>144</v>
      </c>
      <c r="L993" t="s">
        <v>166</v>
      </c>
      <c r="M993" t="s">
        <v>171</v>
      </c>
      <c r="N993">
        <v>1</v>
      </c>
      <c r="O993" s="4">
        <v>330</v>
      </c>
      <c r="P993" s="4">
        <v>550</v>
      </c>
      <c r="Q993" s="7">
        <v>0</v>
      </c>
      <c r="R993" t="s">
        <v>168</v>
      </c>
      <c r="S993">
        <v>13</v>
      </c>
      <c r="T993">
        <v>550</v>
      </c>
      <c r="U993">
        <v>0</v>
      </c>
      <c r="V993">
        <v>550</v>
      </c>
      <c r="W993">
        <v>330</v>
      </c>
      <c r="X993">
        <v>220</v>
      </c>
      <c r="Y993" s="8">
        <v>0.4</v>
      </c>
      <c r="Z993" t="s">
        <v>2996</v>
      </c>
      <c r="AA993" t="str">
        <f>IF(AND(SalesCleanTable[[#This Row],[Discount %]]&gt;0, SalesCleanTable[[#This Row],[Profit]]&lt;0), "Discount loss", "Safe")</f>
        <v>Safe</v>
      </c>
      <c r="AB993" s="25">
        <f>(SalesCleanTable[[#This Row],[Unit Price]] - SalesCleanTable[[#This Row],[Unit Cost]]) / SalesCleanTable[[#This Row],[Unit Price]]</f>
        <v>0.4</v>
      </c>
      <c r="AC993" t="str">
        <f>IF(SalesCleanTable[[#This Row],[Discount %]] &gt; SalesCleanTable[[#This Row],[Max Allowed Discount]], "Discount loss", "Safe")</f>
        <v>Safe</v>
      </c>
      <c r="AD993" s="4">
        <f>SalesCleanTable[[#This Row],[Unit Price]] - SalesCleanTable[[#This Row],[Unit Cost]]</f>
        <v>220</v>
      </c>
      <c r="AE993" s="41">
        <f>(SalesCleanTable[[#This Row],[Unit Price]] - SalesCleanTable[[#This Row],[Unit Cost]]) / SalesCleanTable[[#This Row],[Unit Price]]</f>
        <v>0.4</v>
      </c>
    </row>
    <row r="994" spans="1:31">
      <c r="A994" t="s">
        <v>1180</v>
      </c>
      <c r="B994" s="6">
        <v>45740</v>
      </c>
      <c r="C994" t="s">
        <v>24</v>
      </c>
      <c r="D994" t="s">
        <v>25</v>
      </c>
      <c r="E994" t="s">
        <v>26</v>
      </c>
      <c r="F994" t="s">
        <v>27</v>
      </c>
      <c r="G994" t="s">
        <v>28</v>
      </c>
      <c r="H994" t="s">
        <v>149</v>
      </c>
      <c r="I994" t="s">
        <v>150</v>
      </c>
      <c r="J994" t="s">
        <v>151</v>
      </c>
      <c r="K994" t="s">
        <v>152</v>
      </c>
      <c r="L994" t="s">
        <v>166</v>
      </c>
      <c r="M994" t="s">
        <v>171</v>
      </c>
      <c r="N994">
        <v>4</v>
      </c>
      <c r="O994" s="4">
        <v>14500</v>
      </c>
      <c r="P994" s="4">
        <v>17500</v>
      </c>
      <c r="Q994" s="7">
        <v>0.15</v>
      </c>
      <c r="R994" t="s">
        <v>173</v>
      </c>
      <c r="S994">
        <v>9</v>
      </c>
      <c r="T994">
        <v>70000</v>
      </c>
      <c r="U994">
        <v>10500</v>
      </c>
      <c r="V994">
        <v>59500</v>
      </c>
      <c r="W994">
        <v>58000</v>
      </c>
      <c r="X994">
        <v>1500</v>
      </c>
      <c r="Y994" s="8">
        <v>2.5210084033613446E-2</v>
      </c>
      <c r="Z994" t="s">
        <v>2995</v>
      </c>
      <c r="AA994" t="str">
        <f>IF(AND(SalesCleanTable[[#This Row],[Discount %]]&gt;0, SalesCleanTable[[#This Row],[Profit]]&lt;0), "Discount loss", "Safe")</f>
        <v>Safe</v>
      </c>
      <c r="AB994" s="25">
        <f>(SalesCleanTable[[#This Row],[Unit Price]] - SalesCleanTable[[#This Row],[Unit Cost]]) / SalesCleanTable[[#This Row],[Unit Price]]</f>
        <v>0.17142857142857143</v>
      </c>
      <c r="AC994" t="str">
        <f>IF(SalesCleanTable[[#This Row],[Discount %]] &gt; SalesCleanTable[[#This Row],[Max Allowed Discount]], "Discount loss", "Safe")</f>
        <v>Safe</v>
      </c>
      <c r="AD994" s="4">
        <f>SalesCleanTable[[#This Row],[Unit Price]] - SalesCleanTable[[#This Row],[Unit Cost]]</f>
        <v>3000</v>
      </c>
      <c r="AE994" s="41">
        <f>(SalesCleanTable[[#This Row],[Unit Price]] - SalesCleanTable[[#This Row],[Unit Cost]]) / SalesCleanTable[[#This Row],[Unit Price]]</f>
        <v>0.17142857142857143</v>
      </c>
    </row>
    <row r="995" spans="1:31">
      <c r="A995" t="s">
        <v>1181</v>
      </c>
      <c r="B995" s="6">
        <v>45774</v>
      </c>
      <c r="C995" t="s">
        <v>53</v>
      </c>
      <c r="D995" t="s">
        <v>54</v>
      </c>
      <c r="E995" t="s">
        <v>38</v>
      </c>
      <c r="F995" t="s">
        <v>55</v>
      </c>
      <c r="G995" t="s">
        <v>56</v>
      </c>
      <c r="H995" t="s">
        <v>133</v>
      </c>
      <c r="I995" t="s">
        <v>134</v>
      </c>
      <c r="J995" t="s">
        <v>130</v>
      </c>
      <c r="K995" t="s">
        <v>131</v>
      </c>
      <c r="L995" t="s">
        <v>170</v>
      </c>
      <c r="M995" t="s">
        <v>177</v>
      </c>
      <c r="N995">
        <v>10</v>
      </c>
      <c r="O995" s="4">
        <v>330</v>
      </c>
      <c r="P995" s="4">
        <v>550</v>
      </c>
      <c r="Q995" s="7">
        <v>0.05</v>
      </c>
      <c r="R995" t="s">
        <v>178</v>
      </c>
      <c r="S995">
        <v>7</v>
      </c>
      <c r="T995">
        <v>5500</v>
      </c>
      <c r="U995">
        <v>275</v>
      </c>
      <c r="V995">
        <v>5225</v>
      </c>
      <c r="W995">
        <v>3300</v>
      </c>
      <c r="X995">
        <v>1925</v>
      </c>
      <c r="Y995" s="8">
        <v>0.36842105263157893</v>
      </c>
      <c r="Z995" t="s">
        <v>2996</v>
      </c>
      <c r="AA995" t="str">
        <f>IF(AND(SalesCleanTable[[#This Row],[Discount %]]&gt;0, SalesCleanTable[[#This Row],[Profit]]&lt;0), "Discount loss", "Safe")</f>
        <v>Safe</v>
      </c>
      <c r="AB995" s="25">
        <f>(SalesCleanTable[[#This Row],[Unit Price]] - SalesCleanTable[[#This Row],[Unit Cost]]) / SalesCleanTable[[#This Row],[Unit Price]]</f>
        <v>0.4</v>
      </c>
      <c r="AC995" t="str">
        <f>IF(SalesCleanTable[[#This Row],[Discount %]] &gt; SalesCleanTable[[#This Row],[Max Allowed Discount]], "Discount loss", "Safe")</f>
        <v>Safe</v>
      </c>
      <c r="AD995" s="4">
        <f>SalesCleanTable[[#This Row],[Unit Price]] - SalesCleanTable[[#This Row],[Unit Cost]]</f>
        <v>220</v>
      </c>
      <c r="AE995" s="41">
        <f>(SalesCleanTable[[#This Row],[Unit Price]] - SalesCleanTable[[#This Row],[Unit Cost]]) / SalesCleanTable[[#This Row],[Unit Price]]</f>
        <v>0.4</v>
      </c>
    </row>
    <row r="996" spans="1:31">
      <c r="A996" t="s">
        <v>1182</v>
      </c>
      <c r="B996" s="6">
        <v>45770</v>
      </c>
      <c r="C996" t="s">
        <v>49</v>
      </c>
      <c r="D996" t="s">
        <v>50</v>
      </c>
      <c r="E996" t="s">
        <v>38</v>
      </c>
      <c r="F996" t="s">
        <v>51</v>
      </c>
      <c r="G996" t="s">
        <v>52</v>
      </c>
      <c r="H996" t="s">
        <v>149</v>
      </c>
      <c r="I996" t="s">
        <v>150</v>
      </c>
      <c r="J996" t="s">
        <v>151</v>
      </c>
      <c r="K996" t="s">
        <v>152</v>
      </c>
      <c r="L996" t="s">
        <v>166</v>
      </c>
      <c r="M996" t="s">
        <v>171</v>
      </c>
      <c r="N996">
        <v>10</v>
      </c>
      <c r="O996" s="4">
        <v>550</v>
      </c>
      <c r="P996" s="4">
        <v>850</v>
      </c>
      <c r="Q996" s="7">
        <v>0.1</v>
      </c>
      <c r="R996" t="s">
        <v>175</v>
      </c>
      <c r="S996">
        <v>6</v>
      </c>
      <c r="T996">
        <v>8500</v>
      </c>
      <c r="U996">
        <v>850</v>
      </c>
      <c r="V996">
        <v>7650</v>
      </c>
      <c r="W996">
        <v>5500</v>
      </c>
      <c r="X996">
        <v>2150</v>
      </c>
      <c r="Y996" s="8">
        <v>0.28104575163398693</v>
      </c>
      <c r="Z996" t="s">
        <v>2996</v>
      </c>
      <c r="AA996" t="str">
        <f>IF(AND(SalesCleanTable[[#This Row],[Discount %]]&gt;0, SalesCleanTable[[#This Row],[Profit]]&lt;0), "Discount loss", "Safe")</f>
        <v>Safe</v>
      </c>
      <c r="AB996" s="25">
        <f>(SalesCleanTable[[#This Row],[Unit Price]] - SalesCleanTable[[#This Row],[Unit Cost]]) / SalesCleanTable[[#This Row],[Unit Price]]</f>
        <v>0.35294117647058826</v>
      </c>
      <c r="AC996" t="str">
        <f>IF(SalesCleanTable[[#This Row],[Discount %]] &gt; SalesCleanTable[[#This Row],[Max Allowed Discount]], "Discount loss", "Safe")</f>
        <v>Safe</v>
      </c>
      <c r="AD996" s="4">
        <f>SalesCleanTable[[#This Row],[Unit Price]] - SalesCleanTable[[#This Row],[Unit Cost]]</f>
        <v>300</v>
      </c>
      <c r="AE996" s="41">
        <f>(SalesCleanTable[[#This Row],[Unit Price]] - SalesCleanTable[[#This Row],[Unit Cost]]) / SalesCleanTable[[#This Row],[Unit Price]]</f>
        <v>0.35294117647058826</v>
      </c>
    </row>
    <row r="997" spans="1:31">
      <c r="A997" t="s">
        <v>1183</v>
      </c>
      <c r="B997" s="6">
        <v>45865</v>
      </c>
      <c r="C997" t="s">
        <v>99</v>
      </c>
      <c r="D997" t="s">
        <v>100</v>
      </c>
      <c r="E997" t="s">
        <v>92</v>
      </c>
      <c r="F997" t="s">
        <v>101</v>
      </c>
      <c r="G997" t="s">
        <v>102</v>
      </c>
      <c r="H997" t="s">
        <v>133</v>
      </c>
      <c r="I997" t="s">
        <v>134</v>
      </c>
      <c r="J997" t="s">
        <v>130</v>
      </c>
      <c r="K997" t="s">
        <v>131</v>
      </c>
      <c r="L997" t="s">
        <v>166</v>
      </c>
      <c r="M997" t="s">
        <v>177</v>
      </c>
      <c r="N997">
        <v>5</v>
      </c>
      <c r="O997" s="4">
        <v>12500</v>
      </c>
      <c r="P997" s="4">
        <v>18500</v>
      </c>
      <c r="Q997" s="7">
        <v>0.1</v>
      </c>
      <c r="R997" t="s">
        <v>181</v>
      </c>
      <c r="S997">
        <v>6</v>
      </c>
      <c r="T997">
        <v>92500</v>
      </c>
      <c r="U997">
        <v>9250</v>
      </c>
      <c r="V997">
        <v>83250</v>
      </c>
      <c r="W997">
        <v>62500</v>
      </c>
      <c r="X997">
        <v>20750</v>
      </c>
      <c r="Y997" s="8">
        <v>0.24924924924924924</v>
      </c>
      <c r="Z997" t="s">
        <v>2995</v>
      </c>
      <c r="AA997" t="str">
        <f>IF(AND(SalesCleanTable[[#This Row],[Discount %]]&gt;0, SalesCleanTable[[#This Row],[Profit]]&lt;0), "Discount loss", "Safe")</f>
        <v>Safe</v>
      </c>
      <c r="AB997" s="25">
        <f>(SalesCleanTable[[#This Row],[Unit Price]] - SalesCleanTable[[#This Row],[Unit Cost]]) / SalesCleanTable[[#This Row],[Unit Price]]</f>
        <v>0.32432432432432434</v>
      </c>
      <c r="AC997" t="str">
        <f>IF(SalesCleanTable[[#This Row],[Discount %]] &gt; SalesCleanTable[[#This Row],[Max Allowed Discount]], "Discount loss", "Safe")</f>
        <v>Safe</v>
      </c>
      <c r="AD997" s="4">
        <f>SalesCleanTable[[#This Row],[Unit Price]] - SalesCleanTable[[#This Row],[Unit Cost]]</f>
        <v>6000</v>
      </c>
      <c r="AE997" s="41">
        <f>(SalesCleanTable[[#This Row],[Unit Price]] - SalesCleanTable[[#This Row],[Unit Cost]]) / SalesCleanTable[[#This Row],[Unit Price]]</f>
        <v>0.32432432432432434</v>
      </c>
    </row>
    <row r="998" spans="1:31">
      <c r="A998" t="s">
        <v>1184</v>
      </c>
      <c r="B998" s="6">
        <v>45829</v>
      </c>
      <c r="C998" t="s">
        <v>24</v>
      </c>
      <c r="D998" t="s">
        <v>25</v>
      </c>
      <c r="E998" t="s">
        <v>26</v>
      </c>
      <c r="F998" t="s">
        <v>27</v>
      </c>
      <c r="G998" t="s">
        <v>28</v>
      </c>
      <c r="H998" t="s">
        <v>135</v>
      </c>
      <c r="I998" t="s">
        <v>136</v>
      </c>
      <c r="J998" t="s">
        <v>137</v>
      </c>
      <c r="K998" t="s">
        <v>138</v>
      </c>
      <c r="L998" t="s">
        <v>183</v>
      </c>
      <c r="M998" t="s">
        <v>171</v>
      </c>
      <c r="N998">
        <v>3</v>
      </c>
      <c r="O998" s="4">
        <v>14500</v>
      </c>
      <c r="P998" s="4">
        <v>17500</v>
      </c>
      <c r="Q998" s="7">
        <v>0</v>
      </c>
      <c r="R998" t="s">
        <v>194</v>
      </c>
      <c r="S998">
        <v>4</v>
      </c>
      <c r="T998">
        <v>52500</v>
      </c>
      <c r="U998">
        <v>0</v>
      </c>
      <c r="V998">
        <v>52500</v>
      </c>
      <c r="W998">
        <v>43500</v>
      </c>
      <c r="X998">
        <v>9000</v>
      </c>
      <c r="Y998" s="8">
        <v>0.17142857142857143</v>
      </c>
      <c r="Z998" t="s">
        <v>2995</v>
      </c>
      <c r="AA998" t="str">
        <f>IF(AND(SalesCleanTable[[#This Row],[Discount %]]&gt;0, SalesCleanTable[[#This Row],[Profit]]&lt;0), "Discount loss", "Safe")</f>
        <v>Safe</v>
      </c>
      <c r="AB998" s="25">
        <f>(SalesCleanTable[[#This Row],[Unit Price]] - SalesCleanTable[[#This Row],[Unit Cost]]) / SalesCleanTable[[#This Row],[Unit Price]]</f>
        <v>0.17142857142857143</v>
      </c>
      <c r="AC998" t="str">
        <f>IF(SalesCleanTable[[#This Row],[Discount %]] &gt; SalesCleanTable[[#This Row],[Max Allowed Discount]], "Discount loss", "Safe")</f>
        <v>Safe</v>
      </c>
      <c r="AD998" s="4">
        <f>SalesCleanTable[[#This Row],[Unit Price]] - SalesCleanTable[[#This Row],[Unit Cost]]</f>
        <v>3000</v>
      </c>
      <c r="AE998" s="41">
        <f>(SalesCleanTable[[#This Row],[Unit Price]] - SalesCleanTable[[#This Row],[Unit Cost]]) / SalesCleanTable[[#This Row],[Unit Price]]</f>
        <v>0.17142857142857143</v>
      </c>
    </row>
    <row r="999" spans="1:31">
      <c r="A999" t="s">
        <v>1185</v>
      </c>
      <c r="B999" s="6">
        <v>45984</v>
      </c>
      <c r="C999" t="s">
        <v>112</v>
      </c>
      <c r="D999" t="s">
        <v>113</v>
      </c>
      <c r="E999" t="s">
        <v>109</v>
      </c>
      <c r="F999" t="s">
        <v>114</v>
      </c>
      <c r="G999" t="s">
        <v>115</v>
      </c>
      <c r="H999" t="s">
        <v>133</v>
      </c>
      <c r="I999" t="s">
        <v>134</v>
      </c>
      <c r="J999" t="s">
        <v>130</v>
      </c>
      <c r="K999" t="s">
        <v>131</v>
      </c>
      <c r="L999" t="s">
        <v>166</v>
      </c>
      <c r="M999" t="s">
        <v>171</v>
      </c>
      <c r="N999">
        <v>1</v>
      </c>
      <c r="O999" s="4">
        <v>1300</v>
      </c>
      <c r="P999" s="4">
        <v>2100</v>
      </c>
      <c r="Q999" s="7">
        <v>0.1</v>
      </c>
      <c r="R999" t="s">
        <v>220</v>
      </c>
      <c r="S999">
        <v>1</v>
      </c>
      <c r="T999">
        <v>2100</v>
      </c>
      <c r="U999">
        <v>210</v>
      </c>
      <c r="V999">
        <v>1890</v>
      </c>
      <c r="W999">
        <v>1300</v>
      </c>
      <c r="X999">
        <v>590</v>
      </c>
      <c r="Y999" s="8">
        <v>0.31216931216931215</v>
      </c>
      <c r="Z999" t="s">
        <v>2995</v>
      </c>
      <c r="AA999" t="str">
        <f>IF(AND(SalesCleanTable[[#This Row],[Discount %]]&gt;0, SalesCleanTable[[#This Row],[Profit]]&lt;0), "Discount loss", "Safe")</f>
        <v>Safe</v>
      </c>
      <c r="AB999" s="25">
        <f>(SalesCleanTable[[#This Row],[Unit Price]] - SalesCleanTable[[#This Row],[Unit Cost]]) / SalesCleanTable[[#This Row],[Unit Price]]</f>
        <v>0.38095238095238093</v>
      </c>
      <c r="AC999" t="str">
        <f>IF(SalesCleanTable[[#This Row],[Discount %]] &gt; SalesCleanTable[[#This Row],[Max Allowed Discount]], "Discount loss", "Safe")</f>
        <v>Safe</v>
      </c>
      <c r="AD999" s="4">
        <f>SalesCleanTable[[#This Row],[Unit Price]] - SalesCleanTable[[#This Row],[Unit Cost]]</f>
        <v>800</v>
      </c>
      <c r="AE999" s="41">
        <f>(SalesCleanTable[[#This Row],[Unit Price]] - SalesCleanTable[[#This Row],[Unit Cost]]) / SalesCleanTable[[#This Row],[Unit Price]]</f>
        <v>0.38095238095238093</v>
      </c>
    </row>
    <row r="1000" spans="1:31">
      <c r="A1000" t="s">
        <v>1186</v>
      </c>
      <c r="B1000" s="6">
        <v>45705</v>
      </c>
      <c r="C1000" t="s">
        <v>112</v>
      </c>
      <c r="D1000" t="s">
        <v>113</v>
      </c>
      <c r="E1000" t="s">
        <v>109</v>
      </c>
      <c r="F1000" t="s">
        <v>114</v>
      </c>
      <c r="G1000" t="s">
        <v>115</v>
      </c>
      <c r="H1000" t="s">
        <v>128</v>
      </c>
      <c r="I1000" t="s">
        <v>129</v>
      </c>
      <c r="J1000" t="s">
        <v>130</v>
      </c>
      <c r="K1000" t="s">
        <v>131</v>
      </c>
      <c r="L1000" t="s">
        <v>166</v>
      </c>
      <c r="M1000" t="s">
        <v>177</v>
      </c>
      <c r="N1000">
        <v>2</v>
      </c>
      <c r="O1000" s="4">
        <v>1300</v>
      </c>
      <c r="P1000" s="4">
        <v>2100</v>
      </c>
      <c r="Q1000" s="7">
        <v>0</v>
      </c>
      <c r="R1000" t="s">
        <v>220</v>
      </c>
      <c r="S1000">
        <v>12</v>
      </c>
      <c r="T1000">
        <v>4200</v>
      </c>
      <c r="U1000">
        <v>0</v>
      </c>
      <c r="V1000">
        <v>4200</v>
      </c>
      <c r="W1000">
        <v>2600</v>
      </c>
      <c r="X1000">
        <v>1600</v>
      </c>
      <c r="Y1000" s="8">
        <v>0.38095238095238093</v>
      </c>
      <c r="Z1000" t="s">
        <v>2995</v>
      </c>
      <c r="AA1000" t="str">
        <f>IF(AND(SalesCleanTable[[#This Row],[Discount %]]&gt;0, SalesCleanTable[[#This Row],[Profit]]&lt;0), "Discount loss", "Safe")</f>
        <v>Safe</v>
      </c>
      <c r="AB1000" s="25">
        <f>(SalesCleanTable[[#This Row],[Unit Price]] - SalesCleanTable[[#This Row],[Unit Cost]]) / SalesCleanTable[[#This Row],[Unit Price]]</f>
        <v>0.38095238095238093</v>
      </c>
      <c r="AC1000" t="str">
        <f>IF(SalesCleanTable[[#This Row],[Discount %]] &gt; SalesCleanTable[[#This Row],[Max Allowed Discount]], "Discount loss", "Safe")</f>
        <v>Safe</v>
      </c>
      <c r="AD1000" s="4">
        <f>SalesCleanTable[[#This Row],[Unit Price]] - SalesCleanTable[[#This Row],[Unit Cost]]</f>
        <v>800</v>
      </c>
      <c r="AE1000" s="41">
        <f>(SalesCleanTable[[#This Row],[Unit Price]] - SalesCleanTable[[#This Row],[Unit Cost]]) / SalesCleanTable[[#This Row],[Unit Price]]</f>
        <v>0.38095238095238093</v>
      </c>
    </row>
    <row r="1001" spans="1:31">
      <c r="A1001" t="s">
        <v>1187</v>
      </c>
      <c r="B1001" s="6">
        <v>45724</v>
      </c>
      <c r="C1001" t="s">
        <v>82</v>
      </c>
      <c r="D1001" t="s">
        <v>83</v>
      </c>
      <c r="E1001" t="s">
        <v>75</v>
      </c>
      <c r="F1001" t="s">
        <v>84</v>
      </c>
      <c r="G1001" t="s">
        <v>85</v>
      </c>
      <c r="H1001" t="s">
        <v>128</v>
      </c>
      <c r="I1001" t="s">
        <v>129</v>
      </c>
      <c r="J1001" t="s">
        <v>130</v>
      </c>
      <c r="K1001" t="s">
        <v>131</v>
      </c>
      <c r="L1001" t="s">
        <v>166</v>
      </c>
      <c r="M1001" t="s">
        <v>171</v>
      </c>
      <c r="N1001">
        <v>2</v>
      </c>
      <c r="O1001" s="4">
        <v>600</v>
      </c>
      <c r="P1001" s="4">
        <v>950</v>
      </c>
      <c r="Q1001" s="7">
        <v>0.1</v>
      </c>
      <c r="R1001" t="s">
        <v>187</v>
      </c>
      <c r="S1001">
        <v>1</v>
      </c>
      <c r="T1001">
        <v>1900</v>
      </c>
      <c r="U1001">
        <v>190</v>
      </c>
      <c r="V1001">
        <v>1710</v>
      </c>
      <c r="W1001">
        <v>1200</v>
      </c>
      <c r="X1001">
        <v>510</v>
      </c>
      <c r="Y1001" s="8">
        <v>0.2982456140350877</v>
      </c>
      <c r="Z1001" t="s">
        <v>2996</v>
      </c>
      <c r="AA1001" t="str">
        <f>IF(AND(SalesCleanTable[[#This Row],[Discount %]]&gt;0, SalesCleanTable[[#This Row],[Profit]]&lt;0), "Discount loss", "Safe")</f>
        <v>Safe</v>
      </c>
      <c r="AB1001" s="25">
        <f>(SalesCleanTable[[#This Row],[Unit Price]] - SalesCleanTable[[#This Row],[Unit Cost]]) / SalesCleanTable[[#This Row],[Unit Price]]</f>
        <v>0.36842105263157893</v>
      </c>
      <c r="AC1001" t="str">
        <f>IF(SalesCleanTable[[#This Row],[Discount %]] &gt; SalesCleanTable[[#This Row],[Max Allowed Discount]], "Discount loss", "Safe")</f>
        <v>Safe</v>
      </c>
      <c r="AD1001" s="4">
        <f>SalesCleanTable[[#This Row],[Unit Price]] - SalesCleanTable[[#This Row],[Unit Cost]]</f>
        <v>350</v>
      </c>
      <c r="AE1001" s="41">
        <f>(SalesCleanTable[[#This Row],[Unit Price]] - SalesCleanTable[[#This Row],[Unit Cost]]) / SalesCleanTable[[#This Row],[Unit Price]]</f>
        <v>0.36842105263157893</v>
      </c>
    </row>
    <row r="1002" spans="1:31">
      <c r="A1002" t="s">
        <v>1188</v>
      </c>
      <c r="B1002" s="6">
        <v>45853</v>
      </c>
      <c r="C1002" t="s">
        <v>53</v>
      </c>
      <c r="D1002" t="s">
        <v>54</v>
      </c>
      <c r="E1002" t="s">
        <v>38</v>
      </c>
      <c r="F1002" t="s">
        <v>55</v>
      </c>
      <c r="G1002" t="s">
        <v>56</v>
      </c>
      <c r="H1002" t="s">
        <v>149</v>
      </c>
      <c r="I1002" t="s">
        <v>150</v>
      </c>
      <c r="J1002" t="s">
        <v>151</v>
      </c>
      <c r="K1002" t="s">
        <v>152</v>
      </c>
      <c r="L1002" t="s">
        <v>183</v>
      </c>
      <c r="M1002" t="s">
        <v>177</v>
      </c>
      <c r="N1002">
        <v>1</v>
      </c>
      <c r="O1002" s="4">
        <v>330</v>
      </c>
      <c r="P1002" s="4">
        <v>550</v>
      </c>
      <c r="Q1002" s="7">
        <v>0</v>
      </c>
      <c r="R1002" t="s">
        <v>168</v>
      </c>
      <c r="S1002">
        <v>2</v>
      </c>
      <c r="T1002">
        <v>550</v>
      </c>
      <c r="U1002">
        <v>0</v>
      </c>
      <c r="V1002">
        <v>550</v>
      </c>
      <c r="W1002">
        <v>330</v>
      </c>
      <c r="X1002">
        <v>220</v>
      </c>
      <c r="Y1002" s="8">
        <v>0.4</v>
      </c>
      <c r="Z1002" t="s">
        <v>2996</v>
      </c>
      <c r="AA1002" t="str">
        <f>IF(AND(SalesCleanTable[[#This Row],[Discount %]]&gt;0, SalesCleanTable[[#This Row],[Profit]]&lt;0), "Discount loss", "Safe")</f>
        <v>Safe</v>
      </c>
      <c r="AB1002" s="25">
        <f>(SalesCleanTable[[#This Row],[Unit Price]] - SalesCleanTable[[#This Row],[Unit Cost]]) / SalesCleanTable[[#This Row],[Unit Price]]</f>
        <v>0.4</v>
      </c>
      <c r="AC1002" t="str">
        <f>IF(SalesCleanTable[[#This Row],[Discount %]] &gt; SalesCleanTable[[#This Row],[Max Allowed Discount]], "Discount loss", "Safe")</f>
        <v>Safe</v>
      </c>
      <c r="AD1002" s="4">
        <f>SalesCleanTable[[#This Row],[Unit Price]] - SalesCleanTable[[#This Row],[Unit Cost]]</f>
        <v>220</v>
      </c>
      <c r="AE1002" s="41">
        <f>(SalesCleanTable[[#This Row],[Unit Price]] - SalesCleanTable[[#This Row],[Unit Cost]]) / SalesCleanTable[[#This Row],[Unit Price]]</f>
        <v>0.4</v>
      </c>
    </row>
    <row r="1003" spans="1:31">
      <c r="A1003" t="s">
        <v>1189</v>
      </c>
      <c r="B1003" s="6">
        <v>45776</v>
      </c>
      <c r="C1003" t="s">
        <v>103</v>
      </c>
      <c r="D1003" t="s">
        <v>104</v>
      </c>
      <c r="E1003" t="s">
        <v>92</v>
      </c>
      <c r="F1003" t="s">
        <v>105</v>
      </c>
      <c r="G1003" t="s">
        <v>106</v>
      </c>
      <c r="H1003" t="s">
        <v>145</v>
      </c>
      <c r="I1003" t="s">
        <v>146</v>
      </c>
      <c r="J1003" t="s">
        <v>147</v>
      </c>
      <c r="K1003" t="s">
        <v>148</v>
      </c>
      <c r="L1003" t="s">
        <v>166</v>
      </c>
      <c r="M1003" t="s">
        <v>171</v>
      </c>
      <c r="N1003">
        <v>4</v>
      </c>
      <c r="O1003" s="4">
        <v>1500</v>
      </c>
      <c r="P1003" s="4">
        <v>2500</v>
      </c>
      <c r="Q1003" s="7">
        <v>0.1</v>
      </c>
      <c r="R1003" t="s">
        <v>215</v>
      </c>
      <c r="S1003">
        <v>12</v>
      </c>
      <c r="T1003">
        <v>10000</v>
      </c>
      <c r="U1003">
        <v>1000</v>
      </c>
      <c r="V1003">
        <v>9000</v>
      </c>
      <c r="W1003">
        <v>6000</v>
      </c>
      <c r="X1003">
        <v>3000</v>
      </c>
      <c r="Y1003" s="8">
        <v>0.33333333333333331</v>
      </c>
      <c r="Z1003" t="s">
        <v>2996</v>
      </c>
      <c r="AA1003" t="str">
        <f>IF(AND(SalesCleanTable[[#This Row],[Discount %]]&gt;0, SalesCleanTable[[#This Row],[Profit]]&lt;0), "Discount loss", "Safe")</f>
        <v>Safe</v>
      </c>
      <c r="AB1003" s="25">
        <f>(SalesCleanTable[[#This Row],[Unit Price]] - SalesCleanTable[[#This Row],[Unit Cost]]) / SalesCleanTable[[#This Row],[Unit Price]]</f>
        <v>0.4</v>
      </c>
      <c r="AC1003" t="str">
        <f>IF(SalesCleanTable[[#This Row],[Discount %]] &gt; SalesCleanTable[[#This Row],[Max Allowed Discount]], "Discount loss", "Safe")</f>
        <v>Safe</v>
      </c>
      <c r="AD1003" s="4">
        <f>SalesCleanTable[[#This Row],[Unit Price]] - SalesCleanTable[[#This Row],[Unit Cost]]</f>
        <v>1000</v>
      </c>
      <c r="AE1003" s="41">
        <f>(SalesCleanTable[[#This Row],[Unit Price]] - SalesCleanTable[[#This Row],[Unit Cost]]) / SalesCleanTable[[#This Row],[Unit Price]]</f>
        <v>0.4</v>
      </c>
    </row>
    <row r="1004" spans="1:31">
      <c r="A1004" t="s">
        <v>1190</v>
      </c>
      <c r="B1004" s="6">
        <v>45925</v>
      </c>
      <c r="C1004" t="s">
        <v>112</v>
      </c>
      <c r="D1004" t="s">
        <v>113</v>
      </c>
      <c r="E1004" t="s">
        <v>109</v>
      </c>
      <c r="F1004" t="s">
        <v>114</v>
      </c>
      <c r="G1004" t="s">
        <v>115</v>
      </c>
      <c r="H1004" t="s">
        <v>135</v>
      </c>
      <c r="I1004" t="s">
        <v>136</v>
      </c>
      <c r="J1004" t="s">
        <v>137</v>
      </c>
      <c r="K1004" t="s">
        <v>138</v>
      </c>
      <c r="L1004" t="s">
        <v>166</v>
      </c>
      <c r="M1004" t="s">
        <v>171</v>
      </c>
      <c r="N1004">
        <v>5</v>
      </c>
      <c r="O1004" s="4">
        <v>1300</v>
      </c>
      <c r="P1004" s="4">
        <v>2100</v>
      </c>
      <c r="Q1004" s="7">
        <v>0.05</v>
      </c>
      <c r="R1004" t="s">
        <v>220</v>
      </c>
      <c r="S1004">
        <v>1</v>
      </c>
      <c r="T1004">
        <v>10500</v>
      </c>
      <c r="U1004">
        <v>525</v>
      </c>
      <c r="V1004">
        <v>9975</v>
      </c>
      <c r="W1004">
        <v>6500</v>
      </c>
      <c r="X1004">
        <v>3475</v>
      </c>
      <c r="Y1004" s="8">
        <v>0.34837092731829572</v>
      </c>
      <c r="Z1004" t="s">
        <v>2995</v>
      </c>
      <c r="AA1004" t="str">
        <f>IF(AND(SalesCleanTable[[#This Row],[Discount %]]&gt;0, SalesCleanTable[[#This Row],[Profit]]&lt;0), "Discount loss", "Safe")</f>
        <v>Safe</v>
      </c>
      <c r="AB1004" s="25">
        <f>(SalesCleanTable[[#This Row],[Unit Price]] - SalesCleanTable[[#This Row],[Unit Cost]]) / SalesCleanTable[[#This Row],[Unit Price]]</f>
        <v>0.38095238095238093</v>
      </c>
      <c r="AC1004" t="str">
        <f>IF(SalesCleanTable[[#This Row],[Discount %]] &gt; SalesCleanTable[[#This Row],[Max Allowed Discount]], "Discount loss", "Safe")</f>
        <v>Safe</v>
      </c>
      <c r="AD1004" s="4">
        <f>SalesCleanTable[[#This Row],[Unit Price]] - SalesCleanTable[[#This Row],[Unit Cost]]</f>
        <v>800</v>
      </c>
      <c r="AE1004" s="41">
        <f>(SalesCleanTable[[#This Row],[Unit Price]] - SalesCleanTable[[#This Row],[Unit Cost]]) / SalesCleanTable[[#This Row],[Unit Price]]</f>
        <v>0.38095238095238093</v>
      </c>
    </row>
    <row r="1005" spans="1:31">
      <c r="A1005" t="s">
        <v>1191</v>
      </c>
      <c r="B1005" s="6">
        <v>46007</v>
      </c>
      <c r="C1005" t="s">
        <v>49</v>
      </c>
      <c r="D1005" t="s">
        <v>50</v>
      </c>
      <c r="E1005" t="s">
        <v>38</v>
      </c>
      <c r="F1005" t="s">
        <v>51</v>
      </c>
      <c r="G1005" t="s">
        <v>52</v>
      </c>
      <c r="H1005" t="s">
        <v>133</v>
      </c>
      <c r="I1005" t="s">
        <v>134</v>
      </c>
      <c r="J1005" t="s">
        <v>130</v>
      </c>
      <c r="K1005" t="s">
        <v>131</v>
      </c>
      <c r="L1005" t="s">
        <v>166</v>
      </c>
      <c r="M1005" t="s">
        <v>171</v>
      </c>
      <c r="N1005">
        <v>3</v>
      </c>
      <c r="O1005" s="4">
        <v>550</v>
      </c>
      <c r="P1005" s="4">
        <v>850</v>
      </c>
      <c r="Q1005" s="7">
        <v>0</v>
      </c>
      <c r="R1005" t="s">
        <v>175</v>
      </c>
      <c r="S1005">
        <v>2</v>
      </c>
      <c r="T1005">
        <v>2550</v>
      </c>
      <c r="U1005">
        <v>0</v>
      </c>
      <c r="V1005">
        <v>2550</v>
      </c>
      <c r="W1005">
        <v>1650</v>
      </c>
      <c r="X1005">
        <v>900</v>
      </c>
      <c r="Y1005" s="8">
        <v>0.35294117647058826</v>
      </c>
      <c r="Z1005" t="s">
        <v>2996</v>
      </c>
      <c r="AA1005" t="str">
        <f>IF(AND(SalesCleanTable[[#This Row],[Discount %]]&gt;0, SalesCleanTable[[#This Row],[Profit]]&lt;0), "Discount loss", "Safe")</f>
        <v>Safe</v>
      </c>
      <c r="AB1005" s="25">
        <f>(SalesCleanTable[[#This Row],[Unit Price]] - SalesCleanTable[[#This Row],[Unit Cost]]) / SalesCleanTable[[#This Row],[Unit Price]]</f>
        <v>0.35294117647058826</v>
      </c>
      <c r="AC1005" t="str">
        <f>IF(SalesCleanTable[[#This Row],[Discount %]] &gt; SalesCleanTable[[#This Row],[Max Allowed Discount]], "Discount loss", "Safe")</f>
        <v>Safe</v>
      </c>
      <c r="AD1005" s="4">
        <f>SalesCleanTable[[#This Row],[Unit Price]] - SalesCleanTable[[#This Row],[Unit Cost]]</f>
        <v>300</v>
      </c>
      <c r="AE1005" s="41">
        <f>(SalesCleanTable[[#This Row],[Unit Price]] - SalesCleanTable[[#This Row],[Unit Cost]]) / SalesCleanTable[[#This Row],[Unit Price]]</f>
        <v>0.35294117647058826</v>
      </c>
    </row>
    <row r="1006" spans="1:31">
      <c r="A1006" t="s">
        <v>1192</v>
      </c>
      <c r="B1006" s="6">
        <v>45731</v>
      </c>
      <c r="C1006" t="s">
        <v>90</v>
      </c>
      <c r="D1006" t="s">
        <v>91</v>
      </c>
      <c r="E1006" t="s">
        <v>92</v>
      </c>
      <c r="F1006" t="s">
        <v>93</v>
      </c>
      <c r="G1006" t="s">
        <v>94</v>
      </c>
      <c r="H1006" t="s">
        <v>135</v>
      </c>
      <c r="I1006" t="s">
        <v>136</v>
      </c>
      <c r="J1006" t="s">
        <v>137</v>
      </c>
      <c r="K1006" t="s">
        <v>138</v>
      </c>
      <c r="L1006" t="s">
        <v>183</v>
      </c>
      <c r="M1006" t="s">
        <v>186</v>
      </c>
      <c r="N1006">
        <v>6</v>
      </c>
      <c r="O1006" s="4">
        <v>7500</v>
      </c>
      <c r="P1006" s="4">
        <v>10500</v>
      </c>
      <c r="Q1006" s="7">
        <v>0.2</v>
      </c>
      <c r="R1006" t="s">
        <v>217</v>
      </c>
      <c r="S1006">
        <v>6</v>
      </c>
      <c r="T1006">
        <v>63000</v>
      </c>
      <c r="U1006">
        <v>12600</v>
      </c>
      <c r="V1006">
        <v>50400</v>
      </c>
      <c r="W1006">
        <v>45000</v>
      </c>
      <c r="X1006">
        <v>5400</v>
      </c>
      <c r="Y1006" s="8">
        <v>0.10714285714285714</v>
      </c>
      <c r="Z1006" t="s">
        <v>2996</v>
      </c>
      <c r="AA1006" t="str">
        <f>IF(AND(SalesCleanTable[[#This Row],[Discount %]]&gt;0, SalesCleanTable[[#This Row],[Profit]]&lt;0), "Discount loss", "Safe")</f>
        <v>Safe</v>
      </c>
      <c r="AB1006" s="25">
        <f>(SalesCleanTable[[#This Row],[Unit Price]] - SalesCleanTable[[#This Row],[Unit Cost]]) / SalesCleanTable[[#This Row],[Unit Price]]</f>
        <v>0.2857142857142857</v>
      </c>
      <c r="AC1006" t="str">
        <f>IF(SalesCleanTable[[#This Row],[Discount %]] &gt; SalesCleanTable[[#This Row],[Max Allowed Discount]], "Discount loss", "Safe")</f>
        <v>Safe</v>
      </c>
      <c r="AD1006" s="4">
        <f>SalesCleanTable[[#This Row],[Unit Price]] - SalesCleanTable[[#This Row],[Unit Cost]]</f>
        <v>3000</v>
      </c>
      <c r="AE1006" s="41">
        <f>(SalesCleanTable[[#This Row],[Unit Price]] - SalesCleanTable[[#This Row],[Unit Cost]]) / SalesCleanTable[[#This Row],[Unit Price]]</f>
        <v>0.2857142857142857</v>
      </c>
    </row>
    <row r="1007" spans="1:31">
      <c r="A1007" t="s">
        <v>1193</v>
      </c>
      <c r="B1007" s="6">
        <v>45809</v>
      </c>
      <c r="C1007" t="s">
        <v>36</v>
      </c>
      <c r="D1007" t="s">
        <v>37</v>
      </c>
      <c r="E1007" t="s">
        <v>38</v>
      </c>
      <c r="F1007" t="s">
        <v>39</v>
      </c>
      <c r="G1007" t="s">
        <v>40</v>
      </c>
      <c r="H1007" t="s">
        <v>135</v>
      </c>
      <c r="I1007" t="s">
        <v>136</v>
      </c>
      <c r="J1007" t="s">
        <v>137</v>
      </c>
      <c r="K1007" t="s">
        <v>138</v>
      </c>
      <c r="L1007" t="s">
        <v>166</v>
      </c>
      <c r="M1007" t="s">
        <v>171</v>
      </c>
      <c r="N1007">
        <v>2</v>
      </c>
      <c r="O1007" s="4">
        <v>1650</v>
      </c>
      <c r="P1007" s="4">
        <v>2200</v>
      </c>
      <c r="Q1007" s="7">
        <v>0</v>
      </c>
      <c r="R1007" t="s">
        <v>175</v>
      </c>
      <c r="S1007">
        <v>8</v>
      </c>
      <c r="T1007">
        <v>4400</v>
      </c>
      <c r="U1007">
        <v>0</v>
      </c>
      <c r="V1007">
        <v>4400</v>
      </c>
      <c r="W1007">
        <v>3300</v>
      </c>
      <c r="X1007">
        <v>1100</v>
      </c>
      <c r="Y1007" s="8">
        <v>0.25</v>
      </c>
      <c r="Z1007" t="s">
        <v>2995</v>
      </c>
      <c r="AA1007" t="str">
        <f>IF(AND(SalesCleanTable[[#This Row],[Discount %]]&gt;0, SalesCleanTable[[#This Row],[Profit]]&lt;0), "Discount loss", "Safe")</f>
        <v>Safe</v>
      </c>
      <c r="AB1007" s="25">
        <f>(SalesCleanTable[[#This Row],[Unit Price]] - SalesCleanTable[[#This Row],[Unit Cost]]) / SalesCleanTable[[#This Row],[Unit Price]]</f>
        <v>0.25</v>
      </c>
      <c r="AC1007" t="str">
        <f>IF(SalesCleanTable[[#This Row],[Discount %]] &gt; SalesCleanTable[[#This Row],[Max Allowed Discount]], "Discount loss", "Safe")</f>
        <v>Safe</v>
      </c>
      <c r="AD1007" s="4">
        <f>SalesCleanTable[[#This Row],[Unit Price]] - SalesCleanTable[[#This Row],[Unit Cost]]</f>
        <v>550</v>
      </c>
      <c r="AE1007" s="41">
        <f>(SalesCleanTable[[#This Row],[Unit Price]] - SalesCleanTable[[#This Row],[Unit Cost]]) / SalesCleanTable[[#This Row],[Unit Price]]</f>
        <v>0.25</v>
      </c>
    </row>
    <row r="1008" spans="1:31">
      <c r="A1008" t="s">
        <v>1194</v>
      </c>
      <c r="B1008" s="6">
        <v>45884</v>
      </c>
      <c r="C1008" t="s">
        <v>78</v>
      </c>
      <c r="D1008" t="s">
        <v>79</v>
      </c>
      <c r="E1008" t="s">
        <v>75</v>
      </c>
      <c r="F1008" t="s">
        <v>80</v>
      </c>
      <c r="G1008" t="s">
        <v>81</v>
      </c>
      <c r="H1008" t="s">
        <v>133</v>
      </c>
      <c r="I1008" t="s">
        <v>134</v>
      </c>
      <c r="J1008" t="s">
        <v>130</v>
      </c>
      <c r="K1008" t="s">
        <v>131</v>
      </c>
      <c r="L1008" t="s">
        <v>166</v>
      </c>
      <c r="M1008" t="s">
        <v>171</v>
      </c>
      <c r="N1008">
        <v>1</v>
      </c>
      <c r="O1008" s="4">
        <v>1200</v>
      </c>
      <c r="P1008" s="4">
        <v>1900</v>
      </c>
      <c r="Q1008" s="7">
        <v>0.1</v>
      </c>
      <c r="R1008" t="s">
        <v>208</v>
      </c>
      <c r="S1008">
        <v>7</v>
      </c>
      <c r="T1008">
        <v>1900</v>
      </c>
      <c r="U1008">
        <v>190</v>
      </c>
      <c r="V1008">
        <v>1710</v>
      </c>
      <c r="W1008">
        <v>1200</v>
      </c>
      <c r="X1008">
        <v>510</v>
      </c>
      <c r="Y1008" s="8">
        <v>0.2982456140350877</v>
      </c>
      <c r="Z1008" t="s">
        <v>2996</v>
      </c>
      <c r="AA1008" t="str">
        <f>IF(AND(SalesCleanTable[[#This Row],[Discount %]]&gt;0, SalesCleanTable[[#This Row],[Profit]]&lt;0), "Discount loss", "Safe")</f>
        <v>Safe</v>
      </c>
      <c r="AB1008" s="25">
        <f>(SalesCleanTable[[#This Row],[Unit Price]] - SalesCleanTable[[#This Row],[Unit Cost]]) / SalesCleanTable[[#This Row],[Unit Price]]</f>
        <v>0.36842105263157893</v>
      </c>
      <c r="AC1008" t="str">
        <f>IF(SalesCleanTable[[#This Row],[Discount %]] &gt; SalesCleanTable[[#This Row],[Max Allowed Discount]], "Discount loss", "Safe")</f>
        <v>Safe</v>
      </c>
      <c r="AD1008" s="4">
        <f>SalesCleanTable[[#This Row],[Unit Price]] - SalesCleanTable[[#This Row],[Unit Cost]]</f>
        <v>700</v>
      </c>
      <c r="AE1008" s="41">
        <f>(SalesCleanTable[[#This Row],[Unit Price]] - SalesCleanTable[[#This Row],[Unit Cost]]) / SalesCleanTable[[#This Row],[Unit Price]]</f>
        <v>0.36842105263157893</v>
      </c>
    </row>
    <row r="1009" spans="1:31">
      <c r="A1009" t="s">
        <v>1195</v>
      </c>
      <c r="B1009" s="6">
        <v>46006</v>
      </c>
      <c r="C1009" t="s">
        <v>32</v>
      </c>
      <c r="D1009" t="s">
        <v>33</v>
      </c>
      <c r="E1009" t="s">
        <v>26</v>
      </c>
      <c r="F1009" t="s">
        <v>34</v>
      </c>
      <c r="G1009" t="s">
        <v>35</v>
      </c>
      <c r="H1009" t="s">
        <v>135</v>
      </c>
      <c r="I1009" t="s">
        <v>136</v>
      </c>
      <c r="J1009" t="s">
        <v>137</v>
      </c>
      <c r="K1009" t="s">
        <v>138</v>
      </c>
      <c r="L1009" t="s">
        <v>166</v>
      </c>
      <c r="M1009" t="s">
        <v>171</v>
      </c>
      <c r="N1009">
        <v>5</v>
      </c>
      <c r="O1009" s="4">
        <v>7800</v>
      </c>
      <c r="P1009" s="4">
        <v>9800</v>
      </c>
      <c r="Q1009" s="7">
        <v>0.2</v>
      </c>
      <c r="R1009" t="s">
        <v>173</v>
      </c>
      <c r="S1009">
        <v>8</v>
      </c>
      <c r="T1009">
        <v>49000</v>
      </c>
      <c r="U1009">
        <v>9800</v>
      </c>
      <c r="V1009">
        <v>39200</v>
      </c>
      <c r="W1009">
        <v>39000</v>
      </c>
      <c r="X1009">
        <v>200</v>
      </c>
      <c r="Y1009" s="8">
        <v>5.1020408163265302E-3</v>
      </c>
      <c r="Z1009" t="s">
        <v>2995</v>
      </c>
      <c r="AA1009" t="str">
        <f>IF(AND(SalesCleanTable[[#This Row],[Discount %]]&gt;0, SalesCleanTable[[#This Row],[Profit]]&lt;0), "Discount loss", "Safe")</f>
        <v>Safe</v>
      </c>
      <c r="AB1009" s="25">
        <f>(SalesCleanTable[[#This Row],[Unit Price]] - SalesCleanTable[[#This Row],[Unit Cost]]) / SalesCleanTable[[#This Row],[Unit Price]]</f>
        <v>0.20408163265306123</v>
      </c>
      <c r="AC1009" t="str">
        <f>IF(SalesCleanTable[[#This Row],[Discount %]] &gt; SalesCleanTable[[#This Row],[Max Allowed Discount]], "Discount loss", "Safe")</f>
        <v>Safe</v>
      </c>
      <c r="AD1009" s="4">
        <f>SalesCleanTable[[#This Row],[Unit Price]] - SalesCleanTable[[#This Row],[Unit Cost]]</f>
        <v>2000</v>
      </c>
      <c r="AE1009" s="41">
        <f>(SalesCleanTable[[#This Row],[Unit Price]] - SalesCleanTable[[#This Row],[Unit Cost]]) / SalesCleanTable[[#This Row],[Unit Price]]</f>
        <v>0.20408163265306123</v>
      </c>
    </row>
    <row r="1010" spans="1:31">
      <c r="A1010" t="s">
        <v>1196</v>
      </c>
      <c r="B1010" s="6">
        <v>46007</v>
      </c>
      <c r="C1010" t="s">
        <v>24</v>
      </c>
      <c r="D1010" t="s">
        <v>25</v>
      </c>
      <c r="E1010" t="s">
        <v>26</v>
      </c>
      <c r="F1010" t="s">
        <v>27</v>
      </c>
      <c r="G1010" t="s">
        <v>28</v>
      </c>
      <c r="H1010" t="s">
        <v>153</v>
      </c>
      <c r="I1010" t="s">
        <v>154</v>
      </c>
      <c r="J1010" t="s">
        <v>155</v>
      </c>
      <c r="K1010" t="s">
        <v>131</v>
      </c>
      <c r="L1010" t="s">
        <v>183</v>
      </c>
      <c r="M1010" t="s">
        <v>171</v>
      </c>
      <c r="N1010">
        <v>1</v>
      </c>
      <c r="O1010" s="4">
        <v>14500</v>
      </c>
      <c r="P1010" s="4">
        <v>17500</v>
      </c>
      <c r="Q1010" s="7">
        <v>0.15</v>
      </c>
      <c r="R1010" t="s">
        <v>197</v>
      </c>
      <c r="S1010">
        <v>14</v>
      </c>
      <c r="T1010">
        <v>17500</v>
      </c>
      <c r="U1010">
        <v>2625</v>
      </c>
      <c r="V1010">
        <v>14875</v>
      </c>
      <c r="W1010">
        <v>14500</v>
      </c>
      <c r="X1010">
        <v>375</v>
      </c>
      <c r="Y1010" s="8">
        <v>2.5210084033613446E-2</v>
      </c>
      <c r="Z1010" t="s">
        <v>2995</v>
      </c>
      <c r="AA1010" t="str">
        <f>IF(AND(SalesCleanTable[[#This Row],[Discount %]]&gt;0, SalesCleanTable[[#This Row],[Profit]]&lt;0), "Discount loss", "Safe")</f>
        <v>Safe</v>
      </c>
      <c r="AB1010" s="25">
        <f>(SalesCleanTable[[#This Row],[Unit Price]] - SalesCleanTable[[#This Row],[Unit Cost]]) / SalesCleanTable[[#This Row],[Unit Price]]</f>
        <v>0.17142857142857143</v>
      </c>
      <c r="AC1010" t="str">
        <f>IF(SalesCleanTable[[#This Row],[Discount %]] &gt; SalesCleanTable[[#This Row],[Max Allowed Discount]], "Discount loss", "Safe")</f>
        <v>Safe</v>
      </c>
      <c r="AD1010" s="4">
        <f>SalesCleanTable[[#This Row],[Unit Price]] - SalesCleanTable[[#This Row],[Unit Cost]]</f>
        <v>3000</v>
      </c>
      <c r="AE1010" s="41">
        <f>(SalesCleanTable[[#This Row],[Unit Price]] - SalesCleanTable[[#This Row],[Unit Cost]]) / SalesCleanTable[[#This Row],[Unit Price]]</f>
        <v>0.17142857142857143</v>
      </c>
    </row>
    <row r="1011" spans="1:31">
      <c r="A1011" t="s">
        <v>1197</v>
      </c>
      <c r="B1011" s="6">
        <v>45850</v>
      </c>
      <c r="C1011" t="s">
        <v>36</v>
      </c>
      <c r="D1011" t="s">
        <v>37</v>
      </c>
      <c r="E1011" t="s">
        <v>38</v>
      </c>
      <c r="F1011" t="s">
        <v>39</v>
      </c>
      <c r="G1011" t="s">
        <v>40</v>
      </c>
      <c r="H1011" t="s">
        <v>135</v>
      </c>
      <c r="I1011" t="s">
        <v>136</v>
      </c>
      <c r="J1011" t="s">
        <v>137</v>
      </c>
      <c r="K1011" t="s">
        <v>138</v>
      </c>
      <c r="L1011" t="s">
        <v>166</v>
      </c>
      <c r="M1011" t="s">
        <v>177</v>
      </c>
      <c r="N1011">
        <v>1</v>
      </c>
      <c r="O1011" s="4">
        <v>1650</v>
      </c>
      <c r="P1011" s="4">
        <v>2200</v>
      </c>
      <c r="Q1011" s="7">
        <v>0.05</v>
      </c>
      <c r="R1011" t="s">
        <v>175</v>
      </c>
      <c r="S1011">
        <v>8</v>
      </c>
      <c r="T1011">
        <v>2200</v>
      </c>
      <c r="U1011">
        <v>110</v>
      </c>
      <c r="V1011">
        <v>2090</v>
      </c>
      <c r="W1011">
        <v>1650</v>
      </c>
      <c r="X1011">
        <v>440</v>
      </c>
      <c r="Y1011" s="8">
        <v>0.21052631578947367</v>
      </c>
      <c r="Z1011" t="s">
        <v>2995</v>
      </c>
      <c r="AA1011" t="str">
        <f>IF(AND(SalesCleanTable[[#This Row],[Discount %]]&gt;0, SalesCleanTable[[#This Row],[Profit]]&lt;0), "Discount loss", "Safe")</f>
        <v>Safe</v>
      </c>
      <c r="AB1011" s="25">
        <f>(SalesCleanTable[[#This Row],[Unit Price]] - SalesCleanTable[[#This Row],[Unit Cost]]) / SalesCleanTable[[#This Row],[Unit Price]]</f>
        <v>0.25</v>
      </c>
      <c r="AC1011" t="str">
        <f>IF(SalesCleanTable[[#This Row],[Discount %]] &gt; SalesCleanTable[[#This Row],[Max Allowed Discount]], "Discount loss", "Safe")</f>
        <v>Safe</v>
      </c>
      <c r="AD1011" s="4">
        <f>SalesCleanTable[[#This Row],[Unit Price]] - SalesCleanTable[[#This Row],[Unit Cost]]</f>
        <v>550</v>
      </c>
      <c r="AE1011" s="41">
        <f>(SalesCleanTable[[#This Row],[Unit Price]] - SalesCleanTable[[#This Row],[Unit Cost]]) / SalesCleanTable[[#This Row],[Unit Price]]</f>
        <v>0.25</v>
      </c>
    </row>
    <row r="1012" spans="1:31">
      <c r="A1012" t="s">
        <v>1198</v>
      </c>
      <c r="B1012" s="6">
        <v>45896</v>
      </c>
      <c r="C1012" t="s">
        <v>32</v>
      </c>
      <c r="D1012" t="s">
        <v>33</v>
      </c>
      <c r="E1012" t="s">
        <v>26</v>
      </c>
      <c r="F1012" t="s">
        <v>34</v>
      </c>
      <c r="G1012" t="s">
        <v>35</v>
      </c>
      <c r="H1012" t="s">
        <v>133</v>
      </c>
      <c r="I1012" t="s">
        <v>134</v>
      </c>
      <c r="J1012" t="s">
        <v>130</v>
      </c>
      <c r="K1012" t="s">
        <v>131</v>
      </c>
      <c r="L1012" t="s">
        <v>166</v>
      </c>
      <c r="M1012" t="s">
        <v>186</v>
      </c>
      <c r="N1012">
        <v>1</v>
      </c>
      <c r="O1012" s="4">
        <v>7800</v>
      </c>
      <c r="P1012" s="4">
        <v>9800</v>
      </c>
      <c r="Q1012" s="7">
        <v>0.2</v>
      </c>
      <c r="R1012" t="s">
        <v>194</v>
      </c>
      <c r="S1012">
        <v>6</v>
      </c>
      <c r="T1012">
        <v>9800</v>
      </c>
      <c r="U1012">
        <v>1960</v>
      </c>
      <c r="V1012">
        <v>7840</v>
      </c>
      <c r="W1012">
        <v>7800</v>
      </c>
      <c r="X1012">
        <v>40</v>
      </c>
      <c r="Y1012" s="8">
        <v>5.1020408163265302E-3</v>
      </c>
      <c r="Z1012" t="s">
        <v>2995</v>
      </c>
      <c r="AA1012" t="str">
        <f>IF(AND(SalesCleanTable[[#This Row],[Discount %]]&gt;0, SalesCleanTable[[#This Row],[Profit]]&lt;0), "Discount loss", "Safe")</f>
        <v>Safe</v>
      </c>
      <c r="AB1012" s="25">
        <f>(SalesCleanTable[[#This Row],[Unit Price]] - SalesCleanTable[[#This Row],[Unit Cost]]) / SalesCleanTable[[#This Row],[Unit Price]]</f>
        <v>0.20408163265306123</v>
      </c>
      <c r="AC1012" t="str">
        <f>IF(SalesCleanTable[[#This Row],[Discount %]] &gt; SalesCleanTable[[#This Row],[Max Allowed Discount]], "Discount loss", "Safe")</f>
        <v>Safe</v>
      </c>
      <c r="AD1012" s="4">
        <f>SalesCleanTable[[#This Row],[Unit Price]] - SalesCleanTable[[#This Row],[Unit Cost]]</f>
        <v>2000</v>
      </c>
      <c r="AE1012" s="41">
        <f>(SalesCleanTable[[#This Row],[Unit Price]] - SalesCleanTable[[#This Row],[Unit Cost]]) / SalesCleanTable[[#This Row],[Unit Price]]</f>
        <v>0.20408163265306123</v>
      </c>
    </row>
    <row r="1013" spans="1:31">
      <c r="A1013" t="s">
        <v>1199</v>
      </c>
      <c r="B1013" s="6">
        <v>45833</v>
      </c>
      <c r="C1013" t="s">
        <v>120</v>
      </c>
      <c r="D1013" t="s">
        <v>121</v>
      </c>
      <c r="E1013" t="s">
        <v>109</v>
      </c>
      <c r="F1013" t="s">
        <v>93</v>
      </c>
      <c r="G1013" t="s">
        <v>122</v>
      </c>
      <c r="H1013" t="s">
        <v>139</v>
      </c>
      <c r="I1013" t="s">
        <v>140</v>
      </c>
      <c r="J1013" t="s">
        <v>137</v>
      </c>
      <c r="K1013" t="s">
        <v>138</v>
      </c>
      <c r="L1013" t="s">
        <v>166</v>
      </c>
      <c r="M1013" t="s">
        <v>177</v>
      </c>
      <c r="N1013">
        <v>4</v>
      </c>
      <c r="O1013" s="4">
        <v>1700</v>
      </c>
      <c r="P1013" s="4">
        <v>2800</v>
      </c>
      <c r="Q1013" s="7">
        <v>0.15</v>
      </c>
      <c r="R1013" t="s">
        <v>235</v>
      </c>
      <c r="S1013">
        <v>8</v>
      </c>
      <c r="T1013">
        <v>11200</v>
      </c>
      <c r="U1013">
        <v>1680</v>
      </c>
      <c r="V1013">
        <v>9520</v>
      </c>
      <c r="W1013">
        <v>6800</v>
      </c>
      <c r="X1013">
        <v>2720</v>
      </c>
      <c r="Y1013" s="8">
        <v>0.2857142857142857</v>
      </c>
      <c r="Z1013" t="s">
        <v>2997</v>
      </c>
      <c r="AA1013" t="str">
        <f>IF(AND(SalesCleanTable[[#This Row],[Discount %]]&gt;0, SalesCleanTable[[#This Row],[Profit]]&lt;0), "Discount loss", "Safe")</f>
        <v>Safe</v>
      </c>
      <c r="AB1013" s="25">
        <f>(SalesCleanTable[[#This Row],[Unit Price]] - SalesCleanTable[[#This Row],[Unit Cost]]) / SalesCleanTable[[#This Row],[Unit Price]]</f>
        <v>0.39285714285714285</v>
      </c>
      <c r="AC1013" t="str">
        <f>IF(SalesCleanTable[[#This Row],[Discount %]] &gt; SalesCleanTable[[#This Row],[Max Allowed Discount]], "Discount loss", "Safe")</f>
        <v>Safe</v>
      </c>
      <c r="AD1013" s="4">
        <f>SalesCleanTable[[#This Row],[Unit Price]] - SalesCleanTable[[#This Row],[Unit Cost]]</f>
        <v>1100</v>
      </c>
      <c r="AE1013" s="41">
        <f>(SalesCleanTable[[#This Row],[Unit Price]] - SalesCleanTable[[#This Row],[Unit Cost]]) / SalesCleanTable[[#This Row],[Unit Price]]</f>
        <v>0.39285714285714285</v>
      </c>
    </row>
    <row r="1014" spans="1:31">
      <c r="A1014" t="s">
        <v>1200</v>
      </c>
      <c r="B1014" s="6">
        <v>45767</v>
      </c>
      <c r="C1014" t="s">
        <v>45</v>
      </c>
      <c r="D1014" t="s">
        <v>46</v>
      </c>
      <c r="E1014" t="s">
        <v>38</v>
      </c>
      <c r="F1014" t="s">
        <v>47</v>
      </c>
      <c r="G1014" t="s">
        <v>48</v>
      </c>
      <c r="H1014" t="s">
        <v>128</v>
      </c>
      <c r="I1014" t="s">
        <v>129</v>
      </c>
      <c r="J1014" t="s">
        <v>130</v>
      </c>
      <c r="K1014" t="s">
        <v>131</v>
      </c>
      <c r="L1014" t="s">
        <v>170</v>
      </c>
      <c r="M1014" t="s">
        <v>186</v>
      </c>
      <c r="N1014">
        <v>3</v>
      </c>
      <c r="O1014" s="4">
        <v>230</v>
      </c>
      <c r="P1014" s="4">
        <v>400</v>
      </c>
      <c r="Q1014" s="7">
        <v>0.05</v>
      </c>
      <c r="R1014" t="s">
        <v>175</v>
      </c>
      <c r="S1014">
        <v>8</v>
      </c>
      <c r="T1014">
        <v>1200</v>
      </c>
      <c r="U1014">
        <v>60</v>
      </c>
      <c r="V1014">
        <v>1140</v>
      </c>
      <c r="W1014">
        <v>690</v>
      </c>
      <c r="X1014">
        <v>450</v>
      </c>
      <c r="Y1014" s="8">
        <v>0.39473684210526316</v>
      </c>
      <c r="Z1014" t="s">
        <v>2995</v>
      </c>
      <c r="AA1014" t="str">
        <f>IF(AND(SalesCleanTable[[#This Row],[Discount %]]&gt;0, SalesCleanTable[[#This Row],[Profit]]&lt;0), "Discount loss", "Safe")</f>
        <v>Safe</v>
      </c>
      <c r="AB1014" s="25">
        <f>(SalesCleanTable[[#This Row],[Unit Price]] - SalesCleanTable[[#This Row],[Unit Cost]]) / SalesCleanTable[[#This Row],[Unit Price]]</f>
        <v>0.42499999999999999</v>
      </c>
      <c r="AC1014" t="str">
        <f>IF(SalesCleanTable[[#This Row],[Discount %]] &gt; SalesCleanTable[[#This Row],[Max Allowed Discount]], "Discount loss", "Safe")</f>
        <v>Safe</v>
      </c>
      <c r="AD1014" s="4">
        <f>SalesCleanTable[[#This Row],[Unit Price]] - SalesCleanTable[[#This Row],[Unit Cost]]</f>
        <v>170</v>
      </c>
      <c r="AE1014" s="41">
        <f>(SalesCleanTable[[#This Row],[Unit Price]] - SalesCleanTable[[#This Row],[Unit Cost]]) / SalesCleanTable[[#This Row],[Unit Price]]</f>
        <v>0.42499999999999999</v>
      </c>
    </row>
    <row r="1015" spans="1:31">
      <c r="A1015" t="s">
        <v>1201</v>
      </c>
      <c r="B1015" s="6">
        <v>45766</v>
      </c>
      <c r="C1015" t="s">
        <v>103</v>
      </c>
      <c r="D1015" t="s">
        <v>104</v>
      </c>
      <c r="E1015" t="s">
        <v>92</v>
      </c>
      <c r="F1015" t="s">
        <v>105</v>
      </c>
      <c r="G1015" t="s">
        <v>106</v>
      </c>
      <c r="H1015" t="s">
        <v>153</v>
      </c>
      <c r="I1015" t="s">
        <v>154</v>
      </c>
      <c r="J1015" t="s">
        <v>155</v>
      </c>
      <c r="K1015" t="s">
        <v>131</v>
      </c>
      <c r="L1015" t="s">
        <v>183</v>
      </c>
      <c r="M1015" t="s">
        <v>177</v>
      </c>
      <c r="N1015">
        <v>4</v>
      </c>
      <c r="O1015" s="4">
        <v>1500</v>
      </c>
      <c r="P1015" s="4">
        <v>2500</v>
      </c>
      <c r="Q1015" s="7">
        <v>0</v>
      </c>
      <c r="R1015" t="s">
        <v>181</v>
      </c>
      <c r="S1015">
        <v>5</v>
      </c>
      <c r="T1015">
        <v>10000</v>
      </c>
      <c r="U1015">
        <v>0</v>
      </c>
      <c r="V1015">
        <v>10000</v>
      </c>
      <c r="W1015">
        <v>6000</v>
      </c>
      <c r="X1015">
        <v>4000</v>
      </c>
      <c r="Y1015" s="8">
        <v>0.4</v>
      </c>
      <c r="Z1015" t="s">
        <v>2996</v>
      </c>
      <c r="AA1015" t="str">
        <f>IF(AND(SalesCleanTable[[#This Row],[Discount %]]&gt;0, SalesCleanTable[[#This Row],[Profit]]&lt;0), "Discount loss", "Safe")</f>
        <v>Safe</v>
      </c>
      <c r="AB1015" s="25">
        <f>(SalesCleanTable[[#This Row],[Unit Price]] - SalesCleanTable[[#This Row],[Unit Cost]]) / SalesCleanTable[[#This Row],[Unit Price]]</f>
        <v>0.4</v>
      </c>
      <c r="AC1015" t="str">
        <f>IF(SalesCleanTable[[#This Row],[Discount %]] &gt; SalesCleanTable[[#This Row],[Max Allowed Discount]], "Discount loss", "Safe")</f>
        <v>Safe</v>
      </c>
      <c r="AD1015" s="4">
        <f>SalesCleanTable[[#This Row],[Unit Price]] - SalesCleanTable[[#This Row],[Unit Cost]]</f>
        <v>1000</v>
      </c>
      <c r="AE1015" s="41">
        <f>(SalesCleanTable[[#This Row],[Unit Price]] - SalesCleanTable[[#This Row],[Unit Cost]]) / SalesCleanTable[[#This Row],[Unit Price]]</f>
        <v>0.4</v>
      </c>
    </row>
    <row r="1016" spans="1:31">
      <c r="A1016" t="s">
        <v>1202</v>
      </c>
      <c r="B1016" s="6">
        <v>45810</v>
      </c>
      <c r="C1016" t="s">
        <v>103</v>
      </c>
      <c r="D1016" t="s">
        <v>104</v>
      </c>
      <c r="E1016" t="s">
        <v>92</v>
      </c>
      <c r="F1016" t="s">
        <v>105</v>
      </c>
      <c r="G1016" t="s">
        <v>106</v>
      </c>
      <c r="H1016" t="s">
        <v>139</v>
      </c>
      <c r="I1016" t="s">
        <v>140</v>
      </c>
      <c r="J1016" t="s">
        <v>137</v>
      </c>
      <c r="K1016" t="s">
        <v>138</v>
      </c>
      <c r="L1016" t="s">
        <v>183</v>
      </c>
      <c r="M1016" t="s">
        <v>177</v>
      </c>
      <c r="N1016">
        <v>2</v>
      </c>
      <c r="O1016" s="4">
        <v>1500</v>
      </c>
      <c r="P1016" s="4">
        <v>2500</v>
      </c>
      <c r="Q1016" s="7">
        <v>0</v>
      </c>
      <c r="R1016" t="s">
        <v>181</v>
      </c>
      <c r="S1016">
        <v>2</v>
      </c>
      <c r="T1016">
        <v>5000</v>
      </c>
      <c r="U1016">
        <v>0</v>
      </c>
      <c r="V1016">
        <v>5000</v>
      </c>
      <c r="W1016">
        <v>3000</v>
      </c>
      <c r="X1016">
        <v>2000</v>
      </c>
      <c r="Y1016" s="8">
        <v>0.4</v>
      </c>
      <c r="Z1016" t="s">
        <v>2996</v>
      </c>
      <c r="AA1016" t="str">
        <f>IF(AND(SalesCleanTable[[#This Row],[Discount %]]&gt;0, SalesCleanTable[[#This Row],[Profit]]&lt;0), "Discount loss", "Safe")</f>
        <v>Safe</v>
      </c>
      <c r="AB1016" s="25">
        <f>(SalesCleanTable[[#This Row],[Unit Price]] - SalesCleanTable[[#This Row],[Unit Cost]]) / SalesCleanTable[[#This Row],[Unit Price]]</f>
        <v>0.4</v>
      </c>
      <c r="AC1016" t="str">
        <f>IF(SalesCleanTable[[#This Row],[Discount %]] &gt; SalesCleanTable[[#This Row],[Max Allowed Discount]], "Discount loss", "Safe")</f>
        <v>Safe</v>
      </c>
      <c r="AD1016" s="4">
        <f>SalesCleanTable[[#This Row],[Unit Price]] - SalesCleanTable[[#This Row],[Unit Cost]]</f>
        <v>1000</v>
      </c>
      <c r="AE1016" s="41">
        <f>(SalesCleanTable[[#This Row],[Unit Price]] - SalesCleanTable[[#This Row],[Unit Cost]]) / SalesCleanTable[[#This Row],[Unit Price]]</f>
        <v>0.4</v>
      </c>
    </row>
    <row r="1017" spans="1:31">
      <c r="A1017" t="s">
        <v>1203</v>
      </c>
      <c r="B1017" s="6">
        <v>45877</v>
      </c>
      <c r="C1017" t="s">
        <v>45</v>
      </c>
      <c r="D1017" t="s">
        <v>46</v>
      </c>
      <c r="E1017" t="s">
        <v>38</v>
      </c>
      <c r="F1017" t="s">
        <v>47</v>
      </c>
      <c r="G1017" t="s">
        <v>48</v>
      </c>
      <c r="H1017" t="s">
        <v>145</v>
      </c>
      <c r="I1017" t="s">
        <v>146</v>
      </c>
      <c r="J1017" t="s">
        <v>147</v>
      </c>
      <c r="K1017" t="s">
        <v>148</v>
      </c>
      <c r="L1017" t="s">
        <v>166</v>
      </c>
      <c r="M1017" t="s">
        <v>186</v>
      </c>
      <c r="N1017">
        <v>1</v>
      </c>
      <c r="O1017" s="4">
        <v>230</v>
      </c>
      <c r="P1017" s="4">
        <v>400</v>
      </c>
      <c r="Q1017" s="7">
        <v>0.05</v>
      </c>
      <c r="R1017" t="s">
        <v>168</v>
      </c>
      <c r="S1017">
        <v>13</v>
      </c>
      <c r="T1017">
        <v>400</v>
      </c>
      <c r="U1017">
        <v>20</v>
      </c>
      <c r="V1017">
        <v>380</v>
      </c>
      <c r="W1017">
        <v>230</v>
      </c>
      <c r="X1017">
        <v>150</v>
      </c>
      <c r="Y1017" s="8">
        <v>0.39473684210526316</v>
      </c>
      <c r="Z1017" t="s">
        <v>2995</v>
      </c>
      <c r="AA1017" t="str">
        <f>IF(AND(SalesCleanTable[[#This Row],[Discount %]]&gt;0, SalesCleanTable[[#This Row],[Profit]]&lt;0), "Discount loss", "Safe")</f>
        <v>Safe</v>
      </c>
      <c r="AB1017" s="25">
        <f>(SalesCleanTable[[#This Row],[Unit Price]] - SalesCleanTable[[#This Row],[Unit Cost]]) / SalesCleanTable[[#This Row],[Unit Price]]</f>
        <v>0.42499999999999999</v>
      </c>
      <c r="AC1017" t="str">
        <f>IF(SalesCleanTable[[#This Row],[Discount %]] &gt; SalesCleanTable[[#This Row],[Max Allowed Discount]], "Discount loss", "Safe")</f>
        <v>Safe</v>
      </c>
      <c r="AD1017" s="4">
        <f>SalesCleanTable[[#This Row],[Unit Price]] - SalesCleanTable[[#This Row],[Unit Cost]]</f>
        <v>170</v>
      </c>
      <c r="AE1017" s="41">
        <f>(SalesCleanTable[[#This Row],[Unit Price]] - SalesCleanTable[[#This Row],[Unit Cost]]) / SalesCleanTable[[#This Row],[Unit Price]]</f>
        <v>0.42499999999999999</v>
      </c>
    </row>
    <row r="1018" spans="1:31">
      <c r="A1018" t="s">
        <v>1204</v>
      </c>
      <c r="B1018" s="6">
        <v>46014</v>
      </c>
      <c r="C1018" t="s">
        <v>53</v>
      </c>
      <c r="D1018" t="s">
        <v>54</v>
      </c>
      <c r="E1018" t="s">
        <v>38</v>
      </c>
      <c r="F1018" t="s">
        <v>55</v>
      </c>
      <c r="G1018" t="s">
        <v>56</v>
      </c>
      <c r="H1018" t="s">
        <v>149</v>
      </c>
      <c r="I1018" t="s">
        <v>150</v>
      </c>
      <c r="J1018" t="s">
        <v>151</v>
      </c>
      <c r="K1018" t="s">
        <v>152</v>
      </c>
      <c r="L1018" t="s">
        <v>166</v>
      </c>
      <c r="M1018" t="s">
        <v>171</v>
      </c>
      <c r="N1018">
        <v>3</v>
      </c>
      <c r="O1018" s="4">
        <v>330</v>
      </c>
      <c r="P1018" s="4">
        <v>550</v>
      </c>
      <c r="Q1018" s="7">
        <v>0.15</v>
      </c>
      <c r="R1018" t="s">
        <v>178</v>
      </c>
      <c r="S1018">
        <v>2</v>
      </c>
      <c r="T1018">
        <v>1650</v>
      </c>
      <c r="U1018">
        <v>247.5</v>
      </c>
      <c r="V1018">
        <v>1402.5</v>
      </c>
      <c r="W1018">
        <v>990</v>
      </c>
      <c r="X1018">
        <v>412.5</v>
      </c>
      <c r="Y1018" s="8">
        <v>0.29411764705882354</v>
      </c>
      <c r="Z1018" t="s">
        <v>2996</v>
      </c>
      <c r="AA1018" t="str">
        <f>IF(AND(SalesCleanTable[[#This Row],[Discount %]]&gt;0, SalesCleanTable[[#This Row],[Profit]]&lt;0), "Discount loss", "Safe")</f>
        <v>Safe</v>
      </c>
      <c r="AB1018" s="25">
        <f>(SalesCleanTable[[#This Row],[Unit Price]] - SalesCleanTable[[#This Row],[Unit Cost]]) / SalesCleanTable[[#This Row],[Unit Price]]</f>
        <v>0.4</v>
      </c>
      <c r="AC1018" t="str">
        <f>IF(SalesCleanTable[[#This Row],[Discount %]] &gt; SalesCleanTable[[#This Row],[Max Allowed Discount]], "Discount loss", "Safe")</f>
        <v>Safe</v>
      </c>
      <c r="AD1018" s="4">
        <f>SalesCleanTable[[#This Row],[Unit Price]] - SalesCleanTable[[#This Row],[Unit Cost]]</f>
        <v>220</v>
      </c>
      <c r="AE1018" s="41">
        <f>(SalesCleanTable[[#This Row],[Unit Price]] - SalesCleanTable[[#This Row],[Unit Cost]]) / SalesCleanTable[[#This Row],[Unit Price]]</f>
        <v>0.4</v>
      </c>
    </row>
    <row r="1019" spans="1:31">
      <c r="A1019" t="s">
        <v>1205</v>
      </c>
      <c r="B1019" s="6">
        <v>45954</v>
      </c>
      <c r="C1019" t="s">
        <v>73</v>
      </c>
      <c r="D1019" t="s">
        <v>74</v>
      </c>
      <c r="E1019" t="s">
        <v>75</v>
      </c>
      <c r="F1019" t="s">
        <v>76</v>
      </c>
      <c r="G1019" t="s">
        <v>77</v>
      </c>
      <c r="H1019" t="s">
        <v>135</v>
      </c>
      <c r="I1019" t="s">
        <v>136</v>
      </c>
      <c r="J1019" t="s">
        <v>137</v>
      </c>
      <c r="K1019" t="s">
        <v>138</v>
      </c>
      <c r="L1019" t="s">
        <v>183</v>
      </c>
      <c r="M1019" t="s">
        <v>171</v>
      </c>
      <c r="N1019">
        <v>10</v>
      </c>
      <c r="O1019" s="4">
        <v>3500</v>
      </c>
      <c r="P1019" s="4">
        <v>5200</v>
      </c>
      <c r="Q1019" s="7">
        <v>0.2</v>
      </c>
      <c r="R1019" t="s">
        <v>208</v>
      </c>
      <c r="S1019">
        <v>1</v>
      </c>
      <c r="T1019">
        <v>52000</v>
      </c>
      <c r="U1019">
        <v>10400</v>
      </c>
      <c r="V1019">
        <v>41600</v>
      </c>
      <c r="W1019">
        <v>35000</v>
      </c>
      <c r="X1019">
        <v>6600</v>
      </c>
      <c r="Y1019" s="8">
        <v>0.15865384615384615</v>
      </c>
      <c r="Z1019" t="s">
        <v>2996</v>
      </c>
      <c r="AA1019" t="str">
        <f>IF(AND(SalesCleanTable[[#This Row],[Discount %]]&gt;0, SalesCleanTable[[#This Row],[Profit]]&lt;0), "Discount loss", "Safe")</f>
        <v>Safe</v>
      </c>
      <c r="AB1019" s="25">
        <f>(SalesCleanTable[[#This Row],[Unit Price]] - SalesCleanTable[[#This Row],[Unit Cost]]) / SalesCleanTable[[#This Row],[Unit Price]]</f>
        <v>0.32692307692307693</v>
      </c>
      <c r="AC1019" t="str">
        <f>IF(SalesCleanTable[[#This Row],[Discount %]] &gt; SalesCleanTable[[#This Row],[Max Allowed Discount]], "Discount loss", "Safe")</f>
        <v>Safe</v>
      </c>
      <c r="AD1019" s="4">
        <f>SalesCleanTable[[#This Row],[Unit Price]] - SalesCleanTable[[#This Row],[Unit Cost]]</f>
        <v>1700</v>
      </c>
      <c r="AE1019" s="41">
        <f>(SalesCleanTable[[#This Row],[Unit Price]] - SalesCleanTable[[#This Row],[Unit Cost]]) / SalesCleanTable[[#This Row],[Unit Price]]</f>
        <v>0.32692307692307693</v>
      </c>
    </row>
    <row r="1020" spans="1:31">
      <c r="A1020" t="s">
        <v>1206</v>
      </c>
      <c r="B1020" s="6">
        <v>45892</v>
      </c>
      <c r="C1020" t="s">
        <v>112</v>
      </c>
      <c r="D1020" t="s">
        <v>113</v>
      </c>
      <c r="E1020" t="s">
        <v>109</v>
      </c>
      <c r="F1020" t="s">
        <v>114</v>
      </c>
      <c r="G1020" t="s">
        <v>115</v>
      </c>
      <c r="H1020" t="s">
        <v>139</v>
      </c>
      <c r="I1020" t="s">
        <v>140</v>
      </c>
      <c r="J1020" t="s">
        <v>137</v>
      </c>
      <c r="K1020" t="s">
        <v>138</v>
      </c>
      <c r="L1020" t="s">
        <v>183</v>
      </c>
      <c r="M1020" t="s">
        <v>167</v>
      </c>
      <c r="N1020">
        <v>2</v>
      </c>
      <c r="O1020" s="4">
        <v>1300</v>
      </c>
      <c r="P1020" s="4">
        <v>2100</v>
      </c>
      <c r="Q1020" s="7">
        <v>0.15</v>
      </c>
      <c r="R1020" t="s">
        <v>184</v>
      </c>
      <c r="S1020">
        <v>1</v>
      </c>
      <c r="T1020">
        <v>4200</v>
      </c>
      <c r="U1020">
        <v>630</v>
      </c>
      <c r="V1020">
        <v>3570</v>
      </c>
      <c r="W1020">
        <v>2600</v>
      </c>
      <c r="X1020">
        <v>970</v>
      </c>
      <c r="Y1020" s="8">
        <v>0.27170868347338933</v>
      </c>
      <c r="Z1020" t="s">
        <v>2995</v>
      </c>
      <c r="AA1020" t="str">
        <f>IF(AND(SalesCleanTable[[#This Row],[Discount %]]&gt;0, SalesCleanTable[[#This Row],[Profit]]&lt;0), "Discount loss", "Safe")</f>
        <v>Safe</v>
      </c>
      <c r="AB1020" s="25">
        <f>(SalesCleanTable[[#This Row],[Unit Price]] - SalesCleanTable[[#This Row],[Unit Cost]]) / SalesCleanTable[[#This Row],[Unit Price]]</f>
        <v>0.38095238095238093</v>
      </c>
      <c r="AC1020" t="str">
        <f>IF(SalesCleanTable[[#This Row],[Discount %]] &gt; SalesCleanTable[[#This Row],[Max Allowed Discount]], "Discount loss", "Safe")</f>
        <v>Safe</v>
      </c>
      <c r="AD1020" s="4">
        <f>SalesCleanTable[[#This Row],[Unit Price]] - SalesCleanTable[[#This Row],[Unit Cost]]</f>
        <v>800</v>
      </c>
      <c r="AE1020" s="41">
        <f>(SalesCleanTable[[#This Row],[Unit Price]] - SalesCleanTable[[#This Row],[Unit Cost]]) / SalesCleanTable[[#This Row],[Unit Price]]</f>
        <v>0.38095238095238093</v>
      </c>
    </row>
    <row r="1021" spans="1:31">
      <c r="A1021" t="s">
        <v>1207</v>
      </c>
      <c r="B1021" s="6">
        <v>45722</v>
      </c>
      <c r="C1021" t="s">
        <v>73</v>
      </c>
      <c r="D1021" t="s">
        <v>74</v>
      </c>
      <c r="E1021" t="s">
        <v>75</v>
      </c>
      <c r="F1021" t="s">
        <v>76</v>
      </c>
      <c r="G1021" t="s">
        <v>77</v>
      </c>
      <c r="H1021" t="s">
        <v>141</v>
      </c>
      <c r="I1021" t="s">
        <v>142</v>
      </c>
      <c r="J1021" t="s">
        <v>143</v>
      </c>
      <c r="K1021" t="s">
        <v>144</v>
      </c>
      <c r="L1021" t="s">
        <v>183</v>
      </c>
      <c r="M1021" t="s">
        <v>177</v>
      </c>
      <c r="N1021">
        <v>3</v>
      </c>
      <c r="O1021" s="4">
        <v>3500</v>
      </c>
      <c r="P1021" s="4">
        <v>5200</v>
      </c>
      <c r="Q1021" s="7">
        <v>0</v>
      </c>
      <c r="R1021" t="s">
        <v>204</v>
      </c>
      <c r="S1021">
        <v>9</v>
      </c>
      <c r="T1021">
        <v>15600</v>
      </c>
      <c r="U1021">
        <v>0</v>
      </c>
      <c r="V1021">
        <v>15600</v>
      </c>
      <c r="W1021">
        <v>10500</v>
      </c>
      <c r="X1021">
        <v>5100</v>
      </c>
      <c r="Y1021" s="8">
        <v>0.32692307692307693</v>
      </c>
      <c r="Z1021" t="s">
        <v>2996</v>
      </c>
      <c r="AA1021" t="str">
        <f>IF(AND(SalesCleanTable[[#This Row],[Discount %]]&gt;0, SalesCleanTable[[#This Row],[Profit]]&lt;0), "Discount loss", "Safe")</f>
        <v>Safe</v>
      </c>
      <c r="AB1021" s="25">
        <f>(SalesCleanTable[[#This Row],[Unit Price]] - SalesCleanTable[[#This Row],[Unit Cost]]) / SalesCleanTable[[#This Row],[Unit Price]]</f>
        <v>0.32692307692307693</v>
      </c>
      <c r="AC1021" t="str">
        <f>IF(SalesCleanTable[[#This Row],[Discount %]] &gt; SalesCleanTable[[#This Row],[Max Allowed Discount]], "Discount loss", "Safe")</f>
        <v>Safe</v>
      </c>
      <c r="AD1021" s="4">
        <f>SalesCleanTable[[#This Row],[Unit Price]] - SalesCleanTable[[#This Row],[Unit Cost]]</f>
        <v>1700</v>
      </c>
      <c r="AE1021" s="41">
        <f>(SalesCleanTable[[#This Row],[Unit Price]] - SalesCleanTable[[#This Row],[Unit Cost]]) / SalesCleanTable[[#This Row],[Unit Price]]</f>
        <v>0.32692307692307693</v>
      </c>
    </row>
    <row r="1022" spans="1:31">
      <c r="A1022" t="s">
        <v>1208</v>
      </c>
      <c r="B1022" s="6">
        <v>45965</v>
      </c>
      <c r="C1022" t="s">
        <v>49</v>
      </c>
      <c r="D1022" t="s">
        <v>50</v>
      </c>
      <c r="E1022" t="s">
        <v>38</v>
      </c>
      <c r="F1022" t="s">
        <v>51</v>
      </c>
      <c r="G1022" t="s">
        <v>52</v>
      </c>
      <c r="H1022" t="s">
        <v>135</v>
      </c>
      <c r="I1022" t="s">
        <v>136</v>
      </c>
      <c r="J1022" t="s">
        <v>137</v>
      </c>
      <c r="K1022" t="s">
        <v>138</v>
      </c>
      <c r="L1022" t="s">
        <v>166</v>
      </c>
      <c r="M1022" t="s">
        <v>177</v>
      </c>
      <c r="N1022">
        <v>8</v>
      </c>
      <c r="O1022" s="4">
        <v>550</v>
      </c>
      <c r="P1022" s="4">
        <v>850</v>
      </c>
      <c r="Q1022" s="7">
        <v>0.2</v>
      </c>
      <c r="R1022" t="s">
        <v>175</v>
      </c>
      <c r="S1022">
        <v>1</v>
      </c>
      <c r="T1022">
        <v>6800</v>
      </c>
      <c r="U1022">
        <v>1360</v>
      </c>
      <c r="V1022">
        <v>5440</v>
      </c>
      <c r="W1022">
        <v>4400</v>
      </c>
      <c r="X1022">
        <v>1040</v>
      </c>
      <c r="Y1022" s="8">
        <v>0.19117647058823528</v>
      </c>
      <c r="Z1022" t="s">
        <v>2996</v>
      </c>
      <c r="AA1022" t="str">
        <f>IF(AND(SalesCleanTable[[#This Row],[Discount %]]&gt;0, SalesCleanTable[[#This Row],[Profit]]&lt;0), "Discount loss", "Safe")</f>
        <v>Safe</v>
      </c>
      <c r="AB1022" s="25">
        <f>(SalesCleanTable[[#This Row],[Unit Price]] - SalesCleanTable[[#This Row],[Unit Cost]]) / SalesCleanTable[[#This Row],[Unit Price]]</f>
        <v>0.35294117647058826</v>
      </c>
      <c r="AC1022" t="str">
        <f>IF(SalesCleanTable[[#This Row],[Discount %]] &gt; SalesCleanTable[[#This Row],[Max Allowed Discount]], "Discount loss", "Safe")</f>
        <v>Safe</v>
      </c>
      <c r="AD1022" s="4">
        <f>SalesCleanTable[[#This Row],[Unit Price]] - SalesCleanTable[[#This Row],[Unit Cost]]</f>
        <v>300</v>
      </c>
      <c r="AE1022" s="41">
        <f>(SalesCleanTable[[#This Row],[Unit Price]] - SalesCleanTable[[#This Row],[Unit Cost]]) / SalesCleanTable[[#This Row],[Unit Price]]</f>
        <v>0.35294117647058826</v>
      </c>
    </row>
    <row r="1023" spans="1:31">
      <c r="A1023" t="s">
        <v>1209</v>
      </c>
      <c r="B1023" s="6">
        <v>45815</v>
      </c>
      <c r="C1023" t="s">
        <v>57</v>
      </c>
      <c r="D1023" t="s">
        <v>58</v>
      </c>
      <c r="E1023" t="s">
        <v>59</v>
      </c>
      <c r="F1023" t="s">
        <v>60</v>
      </c>
      <c r="G1023" t="s">
        <v>61</v>
      </c>
      <c r="H1023" t="s">
        <v>149</v>
      </c>
      <c r="I1023" t="s">
        <v>150</v>
      </c>
      <c r="J1023" t="s">
        <v>151</v>
      </c>
      <c r="K1023" t="s">
        <v>152</v>
      </c>
      <c r="L1023" t="s">
        <v>166</v>
      </c>
      <c r="M1023" t="s">
        <v>186</v>
      </c>
      <c r="N1023">
        <v>4</v>
      </c>
      <c r="O1023" s="4">
        <v>2400</v>
      </c>
      <c r="P1023" s="4">
        <v>3400</v>
      </c>
      <c r="Q1023" s="7">
        <v>0.1</v>
      </c>
      <c r="R1023" t="s">
        <v>204</v>
      </c>
      <c r="S1023">
        <v>14</v>
      </c>
      <c r="T1023">
        <v>13600</v>
      </c>
      <c r="U1023">
        <v>1360</v>
      </c>
      <c r="V1023">
        <v>12240</v>
      </c>
      <c r="W1023">
        <v>9600</v>
      </c>
      <c r="X1023">
        <v>2640</v>
      </c>
      <c r="Y1023" s="8">
        <v>0.21568627450980393</v>
      </c>
      <c r="Z1023" t="s">
        <v>2996</v>
      </c>
      <c r="AA1023" t="str">
        <f>IF(AND(SalesCleanTable[[#This Row],[Discount %]]&gt;0, SalesCleanTable[[#This Row],[Profit]]&lt;0), "Discount loss", "Safe")</f>
        <v>Safe</v>
      </c>
      <c r="AB1023" s="25">
        <f>(SalesCleanTable[[#This Row],[Unit Price]] - SalesCleanTable[[#This Row],[Unit Cost]]) / SalesCleanTable[[#This Row],[Unit Price]]</f>
        <v>0.29411764705882354</v>
      </c>
      <c r="AC1023" t="str">
        <f>IF(SalesCleanTable[[#This Row],[Discount %]] &gt; SalesCleanTable[[#This Row],[Max Allowed Discount]], "Discount loss", "Safe")</f>
        <v>Safe</v>
      </c>
      <c r="AD1023" s="4">
        <f>SalesCleanTable[[#This Row],[Unit Price]] - SalesCleanTable[[#This Row],[Unit Cost]]</f>
        <v>1000</v>
      </c>
      <c r="AE1023" s="41">
        <f>(SalesCleanTable[[#This Row],[Unit Price]] - SalesCleanTable[[#This Row],[Unit Cost]]) / SalesCleanTable[[#This Row],[Unit Price]]</f>
        <v>0.29411764705882354</v>
      </c>
    </row>
    <row r="1024" spans="1:31">
      <c r="A1024" t="s">
        <v>1210</v>
      </c>
      <c r="B1024" s="6">
        <v>45925</v>
      </c>
      <c r="C1024" t="s">
        <v>116</v>
      </c>
      <c r="D1024" t="s">
        <v>117</v>
      </c>
      <c r="E1024" t="s">
        <v>109</v>
      </c>
      <c r="F1024" t="s">
        <v>118</v>
      </c>
      <c r="G1024" t="s">
        <v>119</v>
      </c>
      <c r="H1024" t="s">
        <v>135</v>
      </c>
      <c r="I1024" t="s">
        <v>136</v>
      </c>
      <c r="J1024" t="s">
        <v>137</v>
      </c>
      <c r="K1024" t="s">
        <v>138</v>
      </c>
      <c r="L1024" t="s">
        <v>166</v>
      </c>
      <c r="M1024" t="s">
        <v>171</v>
      </c>
      <c r="N1024">
        <v>8</v>
      </c>
      <c r="O1024" s="4">
        <v>2800</v>
      </c>
      <c r="P1024" s="4">
        <v>4200</v>
      </c>
      <c r="Q1024" s="7">
        <v>0.05</v>
      </c>
      <c r="R1024" t="s">
        <v>235</v>
      </c>
      <c r="S1024">
        <v>9</v>
      </c>
      <c r="T1024">
        <v>33600</v>
      </c>
      <c r="U1024">
        <v>1680</v>
      </c>
      <c r="V1024">
        <v>31920</v>
      </c>
      <c r="W1024">
        <v>22400</v>
      </c>
      <c r="X1024">
        <v>9520</v>
      </c>
      <c r="Y1024" s="8">
        <v>0.2982456140350877</v>
      </c>
      <c r="Z1024" t="s">
        <v>2995</v>
      </c>
      <c r="AA1024" t="str">
        <f>IF(AND(SalesCleanTable[[#This Row],[Discount %]]&gt;0, SalesCleanTable[[#This Row],[Profit]]&lt;0), "Discount loss", "Safe")</f>
        <v>Safe</v>
      </c>
      <c r="AB1024" s="25">
        <f>(SalesCleanTable[[#This Row],[Unit Price]] - SalesCleanTable[[#This Row],[Unit Cost]]) / SalesCleanTable[[#This Row],[Unit Price]]</f>
        <v>0.33333333333333331</v>
      </c>
      <c r="AC1024" t="str">
        <f>IF(SalesCleanTable[[#This Row],[Discount %]] &gt; SalesCleanTable[[#This Row],[Max Allowed Discount]], "Discount loss", "Safe")</f>
        <v>Safe</v>
      </c>
      <c r="AD1024" s="4">
        <f>SalesCleanTable[[#This Row],[Unit Price]] - SalesCleanTable[[#This Row],[Unit Cost]]</f>
        <v>1400</v>
      </c>
      <c r="AE1024" s="41">
        <f>(SalesCleanTable[[#This Row],[Unit Price]] - SalesCleanTable[[#This Row],[Unit Cost]]) / SalesCleanTable[[#This Row],[Unit Price]]</f>
        <v>0.33333333333333331</v>
      </c>
    </row>
    <row r="1025" spans="1:31">
      <c r="A1025" t="s">
        <v>1211</v>
      </c>
      <c r="B1025" s="6">
        <v>45803</v>
      </c>
      <c r="C1025" t="s">
        <v>103</v>
      </c>
      <c r="D1025" t="s">
        <v>104</v>
      </c>
      <c r="E1025" t="s">
        <v>92</v>
      </c>
      <c r="F1025" t="s">
        <v>105</v>
      </c>
      <c r="G1025" t="s">
        <v>106</v>
      </c>
      <c r="H1025" t="s">
        <v>141</v>
      </c>
      <c r="I1025" t="s">
        <v>142</v>
      </c>
      <c r="J1025" t="s">
        <v>143</v>
      </c>
      <c r="K1025" t="s">
        <v>144</v>
      </c>
      <c r="L1025" t="s">
        <v>183</v>
      </c>
      <c r="M1025" t="s">
        <v>171</v>
      </c>
      <c r="N1025">
        <v>2</v>
      </c>
      <c r="O1025" s="4">
        <v>1500</v>
      </c>
      <c r="P1025" s="4">
        <v>2500</v>
      </c>
      <c r="Q1025" s="7">
        <v>0</v>
      </c>
      <c r="R1025" t="s">
        <v>181</v>
      </c>
      <c r="S1025">
        <v>2</v>
      </c>
      <c r="T1025">
        <v>5000</v>
      </c>
      <c r="U1025">
        <v>0</v>
      </c>
      <c r="V1025">
        <v>5000</v>
      </c>
      <c r="W1025">
        <v>3000</v>
      </c>
      <c r="X1025">
        <v>2000</v>
      </c>
      <c r="Y1025" s="8">
        <v>0.4</v>
      </c>
      <c r="Z1025" t="s">
        <v>2996</v>
      </c>
      <c r="AA1025" t="str">
        <f>IF(AND(SalesCleanTable[[#This Row],[Discount %]]&gt;0, SalesCleanTable[[#This Row],[Profit]]&lt;0), "Discount loss", "Safe")</f>
        <v>Safe</v>
      </c>
      <c r="AB1025" s="25">
        <f>(SalesCleanTable[[#This Row],[Unit Price]] - SalesCleanTable[[#This Row],[Unit Cost]]) / SalesCleanTable[[#This Row],[Unit Price]]</f>
        <v>0.4</v>
      </c>
      <c r="AC1025" t="str">
        <f>IF(SalesCleanTable[[#This Row],[Discount %]] &gt; SalesCleanTable[[#This Row],[Max Allowed Discount]], "Discount loss", "Safe")</f>
        <v>Safe</v>
      </c>
      <c r="AD1025" s="4">
        <f>SalesCleanTable[[#This Row],[Unit Price]] - SalesCleanTable[[#This Row],[Unit Cost]]</f>
        <v>1000</v>
      </c>
      <c r="AE1025" s="41">
        <f>(SalesCleanTable[[#This Row],[Unit Price]] - SalesCleanTable[[#This Row],[Unit Cost]]) / SalesCleanTable[[#This Row],[Unit Price]]</f>
        <v>0.4</v>
      </c>
    </row>
    <row r="1026" spans="1:31">
      <c r="A1026" t="s">
        <v>1212</v>
      </c>
      <c r="B1026" s="6">
        <v>45711</v>
      </c>
      <c r="C1026" t="s">
        <v>29</v>
      </c>
      <c r="D1026" t="s">
        <v>30</v>
      </c>
      <c r="E1026" t="s">
        <v>26</v>
      </c>
      <c r="F1026" t="s">
        <v>27</v>
      </c>
      <c r="G1026" t="s">
        <v>31</v>
      </c>
      <c r="H1026" t="s">
        <v>128</v>
      </c>
      <c r="I1026" t="s">
        <v>129</v>
      </c>
      <c r="J1026" t="s">
        <v>130</v>
      </c>
      <c r="K1026" t="s">
        <v>131</v>
      </c>
      <c r="L1026" t="s">
        <v>183</v>
      </c>
      <c r="M1026" t="s">
        <v>171</v>
      </c>
      <c r="N1026">
        <v>8</v>
      </c>
      <c r="O1026" s="4">
        <v>6200</v>
      </c>
      <c r="P1026" s="4">
        <v>7900</v>
      </c>
      <c r="Q1026" s="7">
        <v>0</v>
      </c>
      <c r="R1026" t="s">
        <v>173</v>
      </c>
      <c r="S1026">
        <v>2</v>
      </c>
      <c r="T1026">
        <v>63200</v>
      </c>
      <c r="U1026">
        <v>0</v>
      </c>
      <c r="V1026">
        <v>63200</v>
      </c>
      <c r="W1026">
        <v>49600</v>
      </c>
      <c r="X1026">
        <v>13600</v>
      </c>
      <c r="Y1026" s="8">
        <v>0.21518987341772153</v>
      </c>
      <c r="Z1026" t="s">
        <v>2996</v>
      </c>
      <c r="AA1026" t="str">
        <f>IF(AND(SalesCleanTable[[#This Row],[Discount %]]&gt;0, SalesCleanTable[[#This Row],[Profit]]&lt;0), "Discount loss", "Safe")</f>
        <v>Safe</v>
      </c>
      <c r="AB1026" s="25">
        <f>(SalesCleanTable[[#This Row],[Unit Price]] - SalesCleanTable[[#This Row],[Unit Cost]]) / SalesCleanTable[[#This Row],[Unit Price]]</f>
        <v>0.21518987341772153</v>
      </c>
      <c r="AC1026" t="str">
        <f>IF(SalesCleanTable[[#This Row],[Discount %]] &gt; SalesCleanTable[[#This Row],[Max Allowed Discount]], "Discount loss", "Safe")</f>
        <v>Safe</v>
      </c>
      <c r="AD1026" s="4">
        <f>SalesCleanTable[[#This Row],[Unit Price]] - SalesCleanTable[[#This Row],[Unit Cost]]</f>
        <v>1700</v>
      </c>
      <c r="AE1026" s="41">
        <f>(SalesCleanTable[[#This Row],[Unit Price]] - SalesCleanTable[[#This Row],[Unit Cost]]) / SalesCleanTable[[#This Row],[Unit Price]]</f>
        <v>0.21518987341772153</v>
      </c>
    </row>
    <row r="1027" spans="1:31">
      <c r="A1027" t="s">
        <v>1213</v>
      </c>
      <c r="B1027" s="6">
        <v>45915</v>
      </c>
      <c r="C1027" t="s">
        <v>66</v>
      </c>
      <c r="D1027" t="s">
        <v>67</v>
      </c>
      <c r="E1027" t="s">
        <v>59</v>
      </c>
      <c r="F1027" t="s">
        <v>60</v>
      </c>
      <c r="G1027" t="s">
        <v>68</v>
      </c>
      <c r="H1027" t="s">
        <v>128</v>
      </c>
      <c r="I1027" t="s">
        <v>129</v>
      </c>
      <c r="J1027" t="s">
        <v>130</v>
      </c>
      <c r="K1027" t="s">
        <v>131</v>
      </c>
      <c r="L1027" t="s">
        <v>166</v>
      </c>
      <c r="M1027" t="s">
        <v>186</v>
      </c>
      <c r="N1027">
        <v>2</v>
      </c>
      <c r="O1027" s="4">
        <v>2800</v>
      </c>
      <c r="P1027" s="4">
        <v>3900</v>
      </c>
      <c r="Q1027" s="7">
        <v>0.05</v>
      </c>
      <c r="R1027" t="s">
        <v>204</v>
      </c>
      <c r="S1027">
        <v>2</v>
      </c>
      <c r="T1027">
        <v>7800</v>
      </c>
      <c r="U1027">
        <v>390</v>
      </c>
      <c r="V1027">
        <v>7410</v>
      </c>
      <c r="W1027">
        <v>5600</v>
      </c>
      <c r="X1027">
        <v>1810</v>
      </c>
      <c r="Y1027" s="8">
        <v>0.24426450742240216</v>
      </c>
      <c r="Z1027" t="s">
        <v>2996</v>
      </c>
      <c r="AA1027" t="str">
        <f>IF(AND(SalesCleanTable[[#This Row],[Discount %]]&gt;0, SalesCleanTable[[#This Row],[Profit]]&lt;0), "Discount loss", "Safe")</f>
        <v>Safe</v>
      </c>
      <c r="AB1027" s="25">
        <f>(SalesCleanTable[[#This Row],[Unit Price]] - SalesCleanTable[[#This Row],[Unit Cost]]) / SalesCleanTable[[#This Row],[Unit Price]]</f>
        <v>0.28205128205128205</v>
      </c>
      <c r="AC1027" t="str">
        <f>IF(SalesCleanTable[[#This Row],[Discount %]] &gt; SalesCleanTable[[#This Row],[Max Allowed Discount]], "Discount loss", "Safe")</f>
        <v>Safe</v>
      </c>
      <c r="AD1027" s="4">
        <f>SalesCleanTable[[#This Row],[Unit Price]] - SalesCleanTable[[#This Row],[Unit Cost]]</f>
        <v>1100</v>
      </c>
      <c r="AE1027" s="41">
        <f>(SalesCleanTable[[#This Row],[Unit Price]] - SalesCleanTable[[#This Row],[Unit Cost]]) / SalesCleanTable[[#This Row],[Unit Price]]</f>
        <v>0.28205128205128205</v>
      </c>
    </row>
    <row r="1028" spans="1:31">
      <c r="A1028" t="s">
        <v>1214</v>
      </c>
      <c r="B1028" s="6">
        <v>45898</v>
      </c>
      <c r="C1028" t="s">
        <v>112</v>
      </c>
      <c r="D1028" t="s">
        <v>113</v>
      </c>
      <c r="E1028" t="s">
        <v>109</v>
      </c>
      <c r="F1028" t="s">
        <v>114</v>
      </c>
      <c r="G1028" t="s">
        <v>115</v>
      </c>
      <c r="H1028" t="s">
        <v>135</v>
      </c>
      <c r="I1028" t="s">
        <v>136</v>
      </c>
      <c r="J1028" t="s">
        <v>137</v>
      </c>
      <c r="K1028" t="s">
        <v>138</v>
      </c>
      <c r="L1028" t="s">
        <v>183</v>
      </c>
      <c r="M1028" t="s">
        <v>171</v>
      </c>
      <c r="N1028">
        <v>-1</v>
      </c>
      <c r="O1028" s="4">
        <v>1300</v>
      </c>
      <c r="P1028" s="4">
        <v>2100</v>
      </c>
      <c r="Q1028" s="7">
        <v>0.05</v>
      </c>
      <c r="R1028" t="s">
        <v>184</v>
      </c>
      <c r="S1028">
        <v>7</v>
      </c>
      <c r="T1028">
        <v>-2100</v>
      </c>
      <c r="U1028">
        <v>-105</v>
      </c>
      <c r="V1028">
        <v>-1995</v>
      </c>
      <c r="W1028">
        <v>-1300</v>
      </c>
      <c r="X1028">
        <v>-695</v>
      </c>
      <c r="Y1028" s="8">
        <v>0.34837092731829572</v>
      </c>
      <c r="Z1028" t="s">
        <v>2995</v>
      </c>
      <c r="AA1028" t="str">
        <f>IF(AND(SalesCleanTable[[#This Row],[Discount %]]&gt;0, SalesCleanTable[[#This Row],[Profit]]&lt;0), "Discount loss", "Safe")</f>
        <v>Discount loss</v>
      </c>
      <c r="AB1028" s="25">
        <f>(SalesCleanTable[[#This Row],[Unit Price]] - SalesCleanTable[[#This Row],[Unit Cost]]) / SalesCleanTable[[#This Row],[Unit Price]]</f>
        <v>0.38095238095238093</v>
      </c>
      <c r="AC1028" t="str">
        <f>IF(SalesCleanTable[[#This Row],[Discount %]] &gt; SalesCleanTable[[#This Row],[Max Allowed Discount]], "Discount loss", "Safe")</f>
        <v>Safe</v>
      </c>
      <c r="AD1028" s="4">
        <f>SalesCleanTable[[#This Row],[Unit Price]] - SalesCleanTable[[#This Row],[Unit Cost]]</f>
        <v>800</v>
      </c>
      <c r="AE1028" s="41">
        <f>(SalesCleanTable[[#This Row],[Unit Price]] - SalesCleanTable[[#This Row],[Unit Cost]]) / SalesCleanTable[[#This Row],[Unit Price]]</f>
        <v>0.38095238095238093</v>
      </c>
    </row>
    <row r="1029" spans="1:31">
      <c r="A1029" t="s">
        <v>1215</v>
      </c>
      <c r="B1029" s="6">
        <v>45772</v>
      </c>
      <c r="C1029" t="s">
        <v>57</v>
      </c>
      <c r="D1029" t="s">
        <v>58</v>
      </c>
      <c r="E1029" t="s">
        <v>59</v>
      </c>
      <c r="F1029" t="s">
        <v>60</v>
      </c>
      <c r="G1029" t="s">
        <v>61</v>
      </c>
      <c r="H1029" t="s">
        <v>135</v>
      </c>
      <c r="I1029" t="s">
        <v>136</v>
      </c>
      <c r="J1029" t="s">
        <v>137</v>
      </c>
      <c r="K1029" t="s">
        <v>138</v>
      </c>
      <c r="L1029" t="s">
        <v>183</v>
      </c>
      <c r="M1029" t="s">
        <v>171</v>
      </c>
      <c r="N1029">
        <v>-1</v>
      </c>
      <c r="O1029" s="4">
        <v>2400</v>
      </c>
      <c r="P1029" s="4">
        <v>3400</v>
      </c>
      <c r="Q1029" s="7">
        <v>0.05</v>
      </c>
      <c r="R1029" t="s">
        <v>173</v>
      </c>
      <c r="S1029">
        <v>4</v>
      </c>
      <c r="T1029">
        <v>-3400</v>
      </c>
      <c r="U1029">
        <v>-170</v>
      </c>
      <c r="V1029">
        <v>-3230</v>
      </c>
      <c r="W1029">
        <v>-2400</v>
      </c>
      <c r="X1029">
        <v>-830</v>
      </c>
      <c r="Y1029" s="8">
        <v>0.25696594427244585</v>
      </c>
      <c r="Z1029" t="s">
        <v>2996</v>
      </c>
      <c r="AA1029" t="str">
        <f>IF(AND(SalesCleanTable[[#This Row],[Discount %]]&gt;0, SalesCleanTable[[#This Row],[Profit]]&lt;0), "Discount loss", "Safe")</f>
        <v>Discount loss</v>
      </c>
      <c r="AB1029" s="25">
        <f>(SalesCleanTable[[#This Row],[Unit Price]] - SalesCleanTable[[#This Row],[Unit Cost]]) / SalesCleanTable[[#This Row],[Unit Price]]</f>
        <v>0.29411764705882354</v>
      </c>
      <c r="AC1029" t="str">
        <f>IF(SalesCleanTable[[#This Row],[Discount %]] &gt; SalesCleanTable[[#This Row],[Max Allowed Discount]], "Discount loss", "Safe")</f>
        <v>Safe</v>
      </c>
      <c r="AD1029" s="4">
        <f>SalesCleanTable[[#This Row],[Unit Price]] - SalesCleanTable[[#This Row],[Unit Cost]]</f>
        <v>1000</v>
      </c>
      <c r="AE1029" s="41">
        <f>(SalesCleanTable[[#This Row],[Unit Price]] - SalesCleanTable[[#This Row],[Unit Cost]]) / SalesCleanTable[[#This Row],[Unit Price]]</f>
        <v>0.29411764705882354</v>
      </c>
    </row>
    <row r="1030" spans="1:31">
      <c r="A1030" t="s">
        <v>1216</v>
      </c>
      <c r="B1030" s="6">
        <v>45674</v>
      </c>
      <c r="C1030" t="s">
        <v>24</v>
      </c>
      <c r="D1030" t="s">
        <v>25</v>
      </c>
      <c r="E1030" t="s">
        <v>26</v>
      </c>
      <c r="F1030" t="s">
        <v>27</v>
      </c>
      <c r="G1030" t="s">
        <v>28</v>
      </c>
      <c r="H1030" t="s">
        <v>133</v>
      </c>
      <c r="I1030" t="s">
        <v>134</v>
      </c>
      <c r="J1030" t="s">
        <v>130</v>
      </c>
      <c r="K1030" t="s">
        <v>131</v>
      </c>
      <c r="L1030" t="s">
        <v>183</v>
      </c>
      <c r="M1030" t="s">
        <v>171</v>
      </c>
      <c r="N1030">
        <v>2</v>
      </c>
      <c r="O1030" s="4">
        <v>14500</v>
      </c>
      <c r="P1030" s="4">
        <v>17500</v>
      </c>
      <c r="Q1030" s="7">
        <v>0.15</v>
      </c>
      <c r="R1030" t="s">
        <v>194</v>
      </c>
      <c r="S1030">
        <v>3</v>
      </c>
      <c r="T1030">
        <v>35000</v>
      </c>
      <c r="U1030">
        <v>5250</v>
      </c>
      <c r="V1030">
        <v>29750</v>
      </c>
      <c r="W1030">
        <v>29000</v>
      </c>
      <c r="X1030">
        <v>750</v>
      </c>
      <c r="Y1030" s="8">
        <v>2.5210084033613446E-2</v>
      </c>
      <c r="Z1030" t="s">
        <v>2995</v>
      </c>
      <c r="AA1030" t="str">
        <f>IF(AND(SalesCleanTable[[#This Row],[Discount %]]&gt;0, SalesCleanTable[[#This Row],[Profit]]&lt;0), "Discount loss", "Safe")</f>
        <v>Safe</v>
      </c>
      <c r="AB1030" s="25">
        <f>(SalesCleanTable[[#This Row],[Unit Price]] - SalesCleanTable[[#This Row],[Unit Cost]]) / SalesCleanTable[[#This Row],[Unit Price]]</f>
        <v>0.17142857142857143</v>
      </c>
      <c r="AC1030" t="str">
        <f>IF(SalesCleanTable[[#This Row],[Discount %]] &gt; SalesCleanTable[[#This Row],[Max Allowed Discount]], "Discount loss", "Safe")</f>
        <v>Safe</v>
      </c>
      <c r="AD1030" s="4">
        <f>SalesCleanTable[[#This Row],[Unit Price]] - SalesCleanTable[[#This Row],[Unit Cost]]</f>
        <v>3000</v>
      </c>
      <c r="AE1030" s="41">
        <f>(SalesCleanTable[[#This Row],[Unit Price]] - SalesCleanTable[[#This Row],[Unit Cost]]) / SalesCleanTable[[#This Row],[Unit Price]]</f>
        <v>0.17142857142857143</v>
      </c>
    </row>
    <row r="1031" spans="1:31">
      <c r="A1031" t="s">
        <v>1217</v>
      </c>
      <c r="B1031" s="6">
        <v>45878</v>
      </c>
      <c r="C1031" t="s">
        <v>41</v>
      </c>
      <c r="D1031" t="s">
        <v>42</v>
      </c>
      <c r="E1031" t="s">
        <v>26</v>
      </c>
      <c r="F1031" t="s">
        <v>43</v>
      </c>
      <c r="G1031" t="s">
        <v>44</v>
      </c>
      <c r="H1031" t="s">
        <v>153</v>
      </c>
      <c r="I1031" t="s">
        <v>154</v>
      </c>
      <c r="J1031" t="s">
        <v>155</v>
      </c>
      <c r="K1031" t="s">
        <v>131</v>
      </c>
      <c r="L1031" t="s">
        <v>183</v>
      </c>
      <c r="M1031" t="s">
        <v>171</v>
      </c>
      <c r="N1031">
        <v>1</v>
      </c>
      <c r="O1031" s="4">
        <v>850</v>
      </c>
      <c r="P1031" s="4">
        <v>1300</v>
      </c>
      <c r="Q1031" s="7">
        <v>0.1</v>
      </c>
      <c r="R1031" t="s">
        <v>173</v>
      </c>
      <c r="S1031">
        <v>7</v>
      </c>
      <c r="T1031">
        <v>1300</v>
      </c>
      <c r="U1031">
        <v>130</v>
      </c>
      <c r="V1031">
        <v>1170</v>
      </c>
      <c r="W1031">
        <v>850</v>
      </c>
      <c r="X1031">
        <v>320</v>
      </c>
      <c r="Y1031" s="8">
        <v>0.27350427350427353</v>
      </c>
      <c r="Z1031" t="s">
        <v>2995</v>
      </c>
      <c r="AA1031" t="str">
        <f>IF(AND(SalesCleanTable[[#This Row],[Discount %]]&gt;0, SalesCleanTable[[#This Row],[Profit]]&lt;0), "Discount loss", "Safe")</f>
        <v>Safe</v>
      </c>
      <c r="AB1031" s="25">
        <f>(SalesCleanTable[[#This Row],[Unit Price]] - SalesCleanTable[[#This Row],[Unit Cost]]) / SalesCleanTable[[#This Row],[Unit Price]]</f>
        <v>0.34615384615384615</v>
      </c>
      <c r="AC1031" t="str">
        <f>IF(SalesCleanTable[[#This Row],[Discount %]] &gt; SalesCleanTable[[#This Row],[Max Allowed Discount]], "Discount loss", "Safe")</f>
        <v>Safe</v>
      </c>
      <c r="AD1031" s="4">
        <f>SalesCleanTable[[#This Row],[Unit Price]] - SalesCleanTable[[#This Row],[Unit Cost]]</f>
        <v>450</v>
      </c>
      <c r="AE1031" s="41">
        <f>(SalesCleanTable[[#This Row],[Unit Price]] - SalesCleanTable[[#This Row],[Unit Cost]]) / SalesCleanTable[[#This Row],[Unit Price]]</f>
        <v>0.34615384615384615</v>
      </c>
    </row>
    <row r="1032" spans="1:31">
      <c r="A1032" t="s">
        <v>1218</v>
      </c>
      <c r="B1032" s="6">
        <v>45983</v>
      </c>
      <c r="C1032" t="s">
        <v>49</v>
      </c>
      <c r="D1032" t="s">
        <v>50</v>
      </c>
      <c r="E1032" t="s">
        <v>38</v>
      </c>
      <c r="F1032" t="s">
        <v>51</v>
      </c>
      <c r="G1032" t="s">
        <v>52</v>
      </c>
      <c r="H1032" t="s">
        <v>145</v>
      </c>
      <c r="I1032" t="s">
        <v>146</v>
      </c>
      <c r="J1032" t="s">
        <v>147</v>
      </c>
      <c r="K1032" t="s">
        <v>148</v>
      </c>
      <c r="L1032" t="s">
        <v>166</v>
      </c>
      <c r="M1032" t="s">
        <v>167</v>
      </c>
      <c r="N1032">
        <v>2</v>
      </c>
      <c r="O1032" s="4">
        <v>550</v>
      </c>
      <c r="P1032" s="4">
        <v>850</v>
      </c>
      <c r="Q1032" s="7">
        <v>0.05</v>
      </c>
      <c r="R1032" t="s">
        <v>168</v>
      </c>
      <c r="S1032">
        <v>13</v>
      </c>
      <c r="T1032">
        <v>1700</v>
      </c>
      <c r="U1032">
        <v>85</v>
      </c>
      <c r="V1032">
        <v>1615</v>
      </c>
      <c r="W1032">
        <v>1100</v>
      </c>
      <c r="X1032">
        <v>515</v>
      </c>
      <c r="Y1032" s="8">
        <v>0.31888544891640869</v>
      </c>
      <c r="Z1032" t="s">
        <v>2996</v>
      </c>
      <c r="AA1032" t="str">
        <f>IF(AND(SalesCleanTable[[#This Row],[Discount %]]&gt;0, SalesCleanTable[[#This Row],[Profit]]&lt;0), "Discount loss", "Safe")</f>
        <v>Safe</v>
      </c>
      <c r="AB1032" s="25">
        <f>(SalesCleanTable[[#This Row],[Unit Price]] - SalesCleanTable[[#This Row],[Unit Cost]]) / SalesCleanTable[[#This Row],[Unit Price]]</f>
        <v>0.35294117647058826</v>
      </c>
      <c r="AC1032" t="str">
        <f>IF(SalesCleanTable[[#This Row],[Discount %]] &gt; SalesCleanTable[[#This Row],[Max Allowed Discount]], "Discount loss", "Safe")</f>
        <v>Safe</v>
      </c>
      <c r="AD1032" s="4">
        <f>SalesCleanTable[[#This Row],[Unit Price]] - SalesCleanTable[[#This Row],[Unit Cost]]</f>
        <v>300</v>
      </c>
      <c r="AE1032" s="41">
        <f>(SalesCleanTable[[#This Row],[Unit Price]] - SalesCleanTable[[#This Row],[Unit Cost]]) / SalesCleanTable[[#This Row],[Unit Price]]</f>
        <v>0.35294117647058826</v>
      </c>
    </row>
    <row r="1033" spans="1:31">
      <c r="A1033" t="s">
        <v>1219</v>
      </c>
      <c r="B1033" s="6">
        <v>45718</v>
      </c>
      <c r="C1033" t="s">
        <v>73</v>
      </c>
      <c r="D1033" t="s">
        <v>74</v>
      </c>
      <c r="E1033" t="s">
        <v>75</v>
      </c>
      <c r="F1033" t="s">
        <v>76</v>
      </c>
      <c r="G1033" t="s">
        <v>77</v>
      </c>
      <c r="H1033" t="s">
        <v>145</v>
      </c>
      <c r="I1033" t="s">
        <v>146</v>
      </c>
      <c r="J1033" t="s">
        <v>147</v>
      </c>
      <c r="K1033" t="s">
        <v>148</v>
      </c>
      <c r="L1033" t="s">
        <v>166</v>
      </c>
      <c r="M1033" t="s">
        <v>171</v>
      </c>
      <c r="N1033">
        <v>5</v>
      </c>
      <c r="O1033" s="4">
        <v>3500</v>
      </c>
      <c r="P1033" s="4">
        <v>5200</v>
      </c>
      <c r="Q1033" s="7">
        <v>0.1</v>
      </c>
      <c r="R1033" t="s">
        <v>208</v>
      </c>
      <c r="S1033">
        <v>4</v>
      </c>
      <c r="T1033">
        <v>26000</v>
      </c>
      <c r="U1033">
        <v>2600</v>
      </c>
      <c r="V1033">
        <v>23400</v>
      </c>
      <c r="W1033">
        <v>17500</v>
      </c>
      <c r="X1033">
        <v>5900</v>
      </c>
      <c r="Y1033" s="8">
        <v>0.25213675213675213</v>
      </c>
      <c r="Z1033" t="s">
        <v>2996</v>
      </c>
      <c r="AA1033" t="str">
        <f>IF(AND(SalesCleanTable[[#This Row],[Discount %]]&gt;0, SalesCleanTable[[#This Row],[Profit]]&lt;0), "Discount loss", "Safe")</f>
        <v>Safe</v>
      </c>
      <c r="AB1033" s="25">
        <f>(SalesCleanTable[[#This Row],[Unit Price]] - SalesCleanTable[[#This Row],[Unit Cost]]) / SalesCleanTable[[#This Row],[Unit Price]]</f>
        <v>0.32692307692307693</v>
      </c>
      <c r="AC1033" t="str">
        <f>IF(SalesCleanTable[[#This Row],[Discount %]] &gt; SalesCleanTable[[#This Row],[Max Allowed Discount]], "Discount loss", "Safe")</f>
        <v>Safe</v>
      </c>
      <c r="AD1033" s="4">
        <f>SalesCleanTable[[#This Row],[Unit Price]] - SalesCleanTable[[#This Row],[Unit Cost]]</f>
        <v>1700</v>
      </c>
      <c r="AE1033" s="41">
        <f>(SalesCleanTable[[#This Row],[Unit Price]] - SalesCleanTable[[#This Row],[Unit Cost]]) / SalesCleanTable[[#This Row],[Unit Price]]</f>
        <v>0.32692307692307693</v>
      </c>
    </row>
    <row r="1034" spans="1:31">
      <c r="A1034" t="s">
        <v>1220</v>
      </c>
      <c r="B1034" s="6">
        <v>45671</v>
      </c>
      <c r="C1034" t="s">
        <v>53</v>
      </c>
      <c r="D1034" t="s">
        <v>54</v>
      </c>
      <c r="E1034" t="s">
        <v>38</v>
      </c>
      <c r="F1034" t="s">
        <v>55</v>
      </c>
      <c r="G1034" t="s">
        <v>56</v>
      </c>
      <c r="H1034" t="s">
        <v>141</v>
      </c>
      <c r="I1034" t="s">
        <v>142</v>
      </c>
      <c r="J1034" t="s">
        <v>143</v>
      </c>
      <c r="K1034" t="s">
        <v>144</v>
      </c>
      <c r="L1034" t="s">
        <v>183</v>
      </c>
      <c r="M1034" t="s">
        <v>171</v>
      </c>
      <c r="N1034">
        <v>3</v>
      </c>
      <c r="O1034" s="4">
        <v>330</v>
      </c>
      <c r="P1034" s="4">
        <v>550</v>
      </c>
      <c r="Q1034" s="7">
        <v>0</v>
      </c>
      <c r="R1034" t="s">
        <v>178</v>
      </c>
      <c r="S1034">
        <v>10</v>
      </c>
      <c r="T1034">
        <v>1650</v>
      </c>
      <c r="U1034">
        <v>0</v>
      </c>
      <c r="V1034">
        <v>1650</v>
      </c>
      <c r="W1034">
        <v>990</v>
      </c>
      <c r="X1034">
        <v>660</v>
      </c>
      <c r="Y1034" s="8">
        <v>0.4</v>
      </c>
      <c r="Z1034" t="s">
        <v>2996</v>
      </c>
      <c r="AA1034" t="str">
        <f>IF(AND(SalesCleanTable[[#This Row],[Discount %]]&gt;0, SalesCleanTable[[#This Row],[Profit]]&lt;0), "Discount loss", "Safe")</f>
        <v>Safe</v>
      </c>
      <c r="AB1034" s="25">
        <f>(SalesCleanTable[[#This Row],[Unit Price]] - SalesCleanTable[[#This Row],[Unit Cost]]) / SalesCleanTable[[#This Row],[Unit Price]]</f>
        <v>0.4</v>
      </c>
      <c r="AC1034" t="str">
        <f>IF(SalesCleanTable[[#This Row],[Discount %]] &gt; SalesCleanTable[[#This Row],[Max Allowed Discount]], "Discount loss", "Safe")</f>
        <v>Safe</v>
      </c>
      <c r="AD1034" s="4">
        <f>SalesCleanTable[[#This Row],[Unit Price]] - SalesCleanTable[[#This Row],[Unit Cost]]</f>
        <v>220</v>
      </c>
      <c r="AE1034" s="41">
        <f>(SalesCleanTable[[#This Row],[Unit Price]] - SalesCleanTable[[#This Row],[Unit Cost]]) / SalesCleanTable[[#This Row],[Unit Price]]</f>
        <v>0.4</v>
      </c>
    </row>
    <row r="1035" spans="1:31">
      <c r="A1035" t="s">
        <v>1221</v>
      </c>
      <c r="B1035" s="6">
        <v>45724</v>
      </c>
      <c r="C1035" t="s">
        <v>116</v>
      </c>
      <c r="D1035" t="s">
        <v>117</v>
      </c>
      <c r="E1035" t="s">
        <v>109</v>
      </c>
      <c r="F1035" t="s">
        <v>118</v>
      </c>
      <c r="G1035" t="s">
        <v>119</v>
      </c>
      <c r="H1035" t="s">
        <v>141</v>
      </c>
      <c r="I1035" t="s">
        <v>142</v>
      </c>
      <c r="J1035" t="s">
        <v>143</v>
      </c>
      <c r="K1035" t="s">
        <v>144</v>
      </c>
      <c r="L1035" t="s">
        <v>183</v>
      </c>
      <c r="M1035" t="s">
        <v>167</v>
      </c>
      <c r="N1035">
        <v>5</v>
      </c>
      <c r="O1035" s="4">
        <v>2800</v>
      </c>
      <c r="P1035" s="4">
        <v>4200</v>
      </c>
      <c r="Q1035" s="7">
        <v>0</v>
      </c>
      <c r="R1035" t="s">
        <v>235</v>
      </c>
      <c r="S1035">
        <v>9</v>
      </c>
      <c r="T1035">
        <v>21000</v>
      </c>
      <c r="U1035">
        <v>0</v>
      </c>
      <c r="V1035">
        <v>21000</v>
      </c>
      <c r="W1035">
        <v>14000</v>
      </c>
      <c r="X1035">
        <v>7000</v>
      </c>
      <c r="Y1035" s="8">
        <v>0.33333333333333331</v>
      </c>
      <c r="Z1035" t="s">
        <v>2995</v>
      </c>
      <c r="AA1035" t="str">
        <f>IF(AND(SalesCleanTable[[#This Row],[Discount %]]&gt;0, SalesCleanTable[[#This Row],[Profit]]&lt;0), "Discount loss", "Safe")</f>
        <v>Safe</v>
      </c>
      <c r="AB1035" s="25">
        <f>(SalesCleanTable[[#This Row],[Unit Price]] - SalesCleanTable[[#This Row],[Unit Cost]]) / SalesCleanTable[[#This Row],[Unit Price]]</f>
        <v>0.33333333333333331</v>
      </c>
      <c r="AC1035" t="str">
        <f>IF(SalesCleanTable[[#This Row],[Discount %]] &gt; SalesCleanTable[[#This Row],[Max Allowed Discount]], "Discount loss", "Safe")</f>
        <v>Safe</v>
      </c>
      <c r="AD1035" s="4">
        <f>SalesCleanTable[[#This Row],[Unit Price]] - SalesCleanTable[[#This Row],[Unit Cost]]</f>
        <v>1400</v>
      </c>
      <c r="AE1035" s="41">
        <f>(SalesCleanTable[[#This Row],[Unit Price]] - SalesCleanTable[[#This Row],[Unit Cost]]) / SalesCleanTable[[#This Row],[Unit Price]]</f>
        <v>0.33333333333333331</v>
      </c>
    </row>
    <row r="1036" spans="1:31">
      <c r="A1036" t="s">
        <v>1222</v>
      </c>
      <c r="B1036" s="6">
        <v>45851</v>
      </c>
      <c r="C1036" t="s">
        <v>90</v>
      </c>
      <c r="D1036" t="s">
        <v>91</v>
      </c>
      <c r="E1036" t="s">
        <v>92</v>
      </c>
      <c r="F1036" t="s">
        <v>93</v>
      </c>
      <c r="G1036" t="s">
        <v>94</v>
      </c>
      <c r="H1036" t="s">
        <v>141</v>
      </c>
      <c r="I1036" t="s">
        <v>142</v>
      </c>
      <c r="J1036" t="s">
        <v>143</v>
      </c>
      <c r="K1036" t="s">
        <v>144</v>
      </c>
      <c r="L1036" t="s">
        <v>183</v>
      </c>
      <c r="M1036" t="s">
        <v>171</v>
      </c>
      <c r="N1036">
        <v>2</v>
      </c>
      <c r="O1036" s="4">
        <v>7500</v>
      </c>
      <c r="P1036" s="4">
        <v>10500</v>
      </c>
      <c r="Q1036" s="7">
        <v>0.25</v>
      </c>
      <c r="R1036" t="s">
        <v>215</v>
      </c>
      <c r="S1036">
        <v>14</v>
      </c>
      <c r="T1036">
        <v>21000</v>
      </c>
      <c r="U1036">
        <v>5250</v>
      </c>
      <c r="V1036">
        <v>15750</v>
      </c>
      <c r="W1036">
        <v>15000</v>
      </c>
      <c r="X1036">
        <v>750</v>
      </c>
      <c r="Y1036" s="8">
        <v>4.7619047619047616E-2</v>
      </c>
      <c r="Z1036" t="s">
        <v>2996</v>
      </c>
      <c r="AA1036" t="str">
        <f>IF(AND(SalesCleanTable[[#This Row],[Discount %]]&gt;0, SalesCleanTable[[#This Row],[Profit]]&lt;0), "Discount loss", "Safe")</f>
        <v>Safe</v>
      </c>
      <c r="AB1036" s="25">
        <f>(SalesCleanTable[[#This Row],[Unit Price]] - SalesCleanTable[[#This Row],[Unit Cost]]) / SalesCleanTable[[#This Row],[Unit Price]]</f>
        <v>0.2857142857142857</v>
      </c>
      <c r="AC1036" t="str">
        <f>IF(SalesCleanTable[[#This Row],[Discount %]] &gt; SalesCleanTable[[#This Row],[Max Allowed Discount]], "Discount loss", "Safe")</f>
        <v>Safe</v>
      </c>
      <c r="AD1036" s="4">
        <f>SalesCleanTable[[#This Row],[Unit Price]] - SalesCleanTable[[#This Row],[Unit Cost]]</f>
        <v>3000</v>
      </c>
      <c r="AE1036" s="41">
        <f>(SalesCleanTable[[#This Row],[Unit Price]] - SalesCleanTable[[#This Row],[Unit Cost]]) / SalesCleanTable[[#This Row],[Unit Price]]</f>
        <v>0.2857142857142857</v>
      </c>
    </row>
    <row r="1037" spans="1:31">
      <c r="A1037" t="s">
        <v>1223</v>
      </c>
      <c r="B1037" s="6">
        <v>45893</v>
      </c>
      <c r="C1037" t="s">
        <v>112</v>
      </c>
      <c r="D1037" t="s">
        <v>113</v>
      </c>
      <c r="E1037" t="s">
        <v>109</v>
      </c>
      <c r="F1037" t="s">
        <v>114</v>
      </c>
      <c r="G1037" t="s">
        <v>115</v>
      </c>
      <c r="H1037" t="s">
        <v>128</v>
      </c>
      <c r="I1037" t="s">
        <v>129</v>
      </c>
      <c r="J1037" t="s">
        <v>130</v>
      </c>
      <c r="K1037" t="s">
        <v>131</v>
      </c>
      <c r="L1037" t="s">
        <v>166</v>
      </c>
      <c r="M1037" t="s">
        <v>177</v>
      </c>
      <c r="N1037">
        <v>1</v>
      </c>
      <c r="O1037" s="4">
        <v>1300</v>
      </c>
      <c r="P1037" s="4">
        <v>2100</v>
      </c>
      <c r="Q1037" s="7">
        <v>0</v>
      </c>
      <c r="R1037" t="s">
        <v>220</v>
      </c>
      <c r="S1037">
        <v>14</v>
      </c>
      <c r="T1037">
        <v>2100</v>
      </c>
      <c r="U1037">
        <v>0</v>
      </c>
      <c r="V1037">
        <v>2100</v>
      </c>
      <c r="W1037">
        <v>1300</v>
      </c>
      <c r="X1037">
        <v>800</v>
      </c>
      <c r="Y1037" s="8">
        <v>0.38095238095238093</v>
      </c>
      <c r="Z1037" t="s">
        <v>2995</v>
      </c>
      <c r="AA1037" t="str">
        <f>IF(AND(SalesCleanTable[[#This Row],[Discount %]]&gt;0, SalesCleanTable[[#This Row],[Profit]]&lt;0), "Discount loss", "Safe")</f>
        <v>Safe</v>
      </c>
      <c r="AB1037" s="25">
        <f>(SalesCleanTable[[#This Row],[Unit Price]] - SalesCleanTable[[#This Row],[Unit Cost]]) / SalesCleanTable[[#This Row],[Unit Price]]</f>
        <v>0.38095238095238093</v>
      </c>
      <c r="AC1037" t="str">
        <f>IF(SalesCleanTable[[#This Row],[Discount %]] &gt; SalesCleanTable[[#This Row],[Max Allowed Discount]], "Discount loss", "Safe")</f>
        <v>Safe</v>
      </c>
      <c r="AD1037" s="4">
        <f>SalesCleanTable[[#This Row],[Unit Price]] - SalesCleanTable[[#This Row],[Unit Cost]]</f>
        <v>800</v>
      </c>
      <c r="AE1037" s="41">
        <f>(SalesCleanTable[[#This Row],[Unit Price]] - SalesCleanTable[[#This Row],[Unit Cost]]) / SalesCleanTable[[#This Row],[Unit Price]]</f>
        <v>0.38095238095238093</v>
      </c>
    </row>
    <row r="1038" spans="1:31">
      <c r="A1038" t="s">
        <v>1224</v>
      </c>
      <c r="B1038" s="6">
        <v>45709</v>
      </c>
      <c r="C1038" t="s">
        <v>53</v>
      </c>
      <c r="D1038" t="s">
        <v>54</v>
      </c>
      <c r="E1038" t="s">
        <v>38</v>
      </c>
      <c r="F1038" t="s">
        <v>55</v>
      </c>
      <c r="G1038" t="s">
        <v>56</v>
      </c>
      <c r="H1038" t="s">
        <v>128</v>
      </c>
      <c r="I1038" t="s">
        <v>129</v>
      </c>
      <c r="J1038" t="s">
        <v>130</v>
      </c>
      <c r="K1038" t="s">
        <v>131</v>
      </c>
      <c r="L1038" t="s">
        <v>166</v>
      </c>
      <c r="M1038" t="s">
        <v>171</v>
      </c>
      <c r="N1038">
        <v>1</v>
      </c>
      <c r="O1038" s="4">
        <v>330</v>
      </c>
      <c r="P1038" s="4">
        <v>550</v>
      </c>
      <c r="Q1038" s="7">
        <v>0.2</v>
      </c>
      <c r="R1038" t="s">
        <v>175</v>
      </c>
      <c r="S1038">
        <v>6</v>
      </c>
      <c r="T1038">
        <v>550</v>
      </c>
      <c r="U1038">
        <v>110</v>
      </c>
      <c r="V1038">
        <v>440</v>
      </c>
      <c r="W1038">
        <v>330</v>
      </c>
      <c r="X1038">
        <v>110</v>
      </c>
      <c r="Y1038" s="8">
        <v>0.25</v>
      </c>
      <c r="Z1038" t="s">
        <v>2996</v>
      </c>
      <c r="AA1038" t="str">
        <f>IF(AND(SalesCleanTable[[#This Row],[Discount %]]&gt;0, SalesCleanTable[[#This Row],[Profit]]&lt;0), "Discount loss", "Safe")</f>
        <v>Safe</v>
      </c>
      <c r="AB1038" s="25">
        <f>(SalesCleanTable[[#This Row],[Unit Price]] - SalesCleanTable[[#This Row],[Unit Cost]]) / SalesCleanTable[[#This Row],[Unit Price]]</f>
        <v>0.4</v>
      </c>
      <c r="AC1038" t="str">
        <f>IF(SalesCleanTable[[#This Row],[Discount %]] &gt; SalesCleanTable[[#This Row],[Max Allowed Discount]], "Discount loss", "Safe")</f>
        <v>Safe</v>
      </c>
      <c r="AD1038" s="4">
        <f>SalesCleanTable[[#This Row],[Unit Price]] - SalesCleanTable[[#This Row],[Unit Cost]]</f>
        <v>220</v>
      </c>
      <c r="AE1038" s="41">
        <f>(SalesCleanTable[[#This Row],[Unit Price]] - SalesCleanTable[[#This Row],[Unit Cost]]) / SalesCleanTable[[#This Row],[Unit Price]]</f>
        <v>0.4</v>
      </c>
    </row>
    <row r="1039" spans="1:31">
      <c r="A1039" t="s">
        <v>1225</v>
      </c>
      <c r="B1039" s="6">
        <v>45888</v>
      </c>
      <c r="C1039" t="s">
        <v>95</v>
      </c>
      <c r="D1039" t="s">
        <v>96</v>
      </c>
      <c r="E1039" t="s">
        <v>92</v>
      </c>
      <c r="F1039" t="s">
        <v>97</v>
      </c>
      <c r="G1039" t="s">
        <v>98</v>
      </c>
      <c r="H1039" t="s">
        <v>133</v>
      </c>
      <c r="I1039" t="s">
        <v>134</v>
      </c>
      <c r="J1039" t="s">
        <v>130</v>
      </c>
      <c r="K1039" t="s">
        <v>131</v>
      </c>
      <c r="L1039" t="s">
        <v>166</v>
      </c>
      <c r="M1039" t="s">
        <v>171</v>
      </c>
      <c r="N1039">
        <v>1</v>
      </c>
      <c r="O1039" s="4">
        <v>18000</v>
      </c>
      <c r="P1039" s="4">
        <v>24500</v>
      </c>
      <c r="Q1039" s="7">
        <v>0</v>
      </c>
      <c r="R1039" t="s">
        <v>181</v>
      </c>
      <c r="S1039">
        <v>2</v>
      </c>
      <c r="T1039">
        <v>24500</v>
      </c>
      <c r="U1039">
        <v>0</v>
      </c>
      <c r="V1039">
        <v>24500</v>
      </c>
      <c r="W1039">
        <v>18000</v>
      </c>
      <c r="X1039">
        <v>6500</v>
      </c>
      <c r="Y1039" s="8">
        <v>0.26530612244897961</v>
      </c>
      <c r="Z1039" t="s">
        <v>2995</v>
      </c>
      <c r="AA1039" t="str">
        <f>IF(AND(SalesCleanTable[[#This Row],[Discount %]]&gt;0, SalesCleanTable[[#This Row],[Profit]]&lt;0), "Discount loss", "Safe")</f>
        <v>Safe</v>
      </c>
      <c r="AB1039" s="25">
        <f>(SalesCleanTable[[#This Row],[Unit Price]] - SalesCleanTable[[#This Row],[Unit Cost]]) / SalesCleanTable[[#This Row],[Unit Price]]</f>
        <v>0.26530612244897961</v>
      </c>
      <c r="AC1039" t="str">
        <f>IF(SalesCleanTable[[#This Row],[Discount %]] &gt; SalesCleanTable[[#This Row],[Max Allowed Discount]], "Discount loss", "Safe")</f>
        <v>Safe</v>
      </c>
      <c r="AD1039" s="4">
        <f>SalesCleanTable[[#This Row],[Unit Price]] - SalesCleanTable[[#This Row],[Unit Cost]]</f>
        <v>6500</v>
      </c>
      <c r="AE1039" s="41">
        <f>(SalesCleanTable[[#This Row],[Unit Price]] - SalesCleanTable[[#This Row],[Unit Cost]]) / SalesCleanTable[[#This Row],[Unit Price]]</f>
        <v>0.26530612244897961</v>
      </c>
    </row>
    <row r="1040" spans="1:31">
      <c r="A1040" t="s">
        <v>1226</v>
      </c>
      <c r="B1040" s="6">
        <v>45835</v>
      </c>
      <c r="C1040" t="s">
        <v>53</v>
      </c>
      <c r="D1040" t="s">
        <v>54</v>
      </c>
      <c r="E1040" t="s">
        <v>38</v>
      </c>
      <c r="F1040" t="s">
        <v>55</v>
      </c>
      <c r="G1040" t="s">
        <v>56</v>
      </c>
      <c r="H1040" t="s">
        <v>141</v>
      </c>
      <c r="I1040" t="s">
        <v>142</v>
      </c>
      <c r="J1040" t="s">
        <v>143</v>
      </c>
      <c r="K1040" t="s">
        <v>144</v>
      </c>
      <c r="L1040" t="s">
        <v>183</v>
      </c>
      <c r="M1040" t="s">
        <v>171</v>
      </c>
      <c r="N1040">
        <v>3</v>
      </c>
      <c r="O1040" s="4">
        <v>330</v>
      </c>
      <c r="P1040" s="4">
        <v>550</v>
      </c>
      <c r="Q1040" s="7">
        <v>0</v>
      </c>
      <c r="R1040" t="s">
        <v>178</v>
      </c>
      <c r="S1040">
        <v>10</v>
      </c>
      <c r="T1040">
        <v>1650</v>
      </c>
      <c r="U1040">
        <v>0</v>
      </c>
      <c r="V1040">
        <v>1650</v>
      </c>
      <c r="W1040">
        <v>990</v>
      </c>
      <c r="X1040">
        <v>660</v>
      </c>
      <c r="Y1040" s="8">
        <v>0.4</v>
      </c>
      <c r="Z1040" t="s">
        <v>2996</v>
      </c>
      <c r="AA1040" t="str">
        <f>IF(AND(SalesCleanTable[[#This Row],[Discount %]]&gt;0, SalesCleanTable[[#This Row],[Profit]]&lt;0), "Discount loss", "Safe")</f>
        <v>Safe</v>
      </c>
      <c r="AB1040" s="25">
        <f>(SalesCleanTable[[#This Row],[Unit Price]] - SalesCleanTable[[#This Row],[Unit Cost]]) / SalesCleanTable[[#This Row],[Unit Price]]</f>
        <v>0.4</v>
      </c>
      <c r="AC1040" t="str">
        <f>IF(SalesCleanTable[[#This Row],[Discount %]] &gt; SalesCleanTable[[#This Row],[Max Allowed Discount]], "Discount loss", "Safe")</f>
        <v>Safe</v>
      </c>
      <c r="AD1040" s="4">
        <f>SalesCleanTable[[#This Row],[Unit Price]] - SalesCleanTable[[#This Row],[Unit Cost]]</f>
        <v>220</v>
      </c>
      <c r="AE1040" s="41">
        <f>(SalesCleanTable[[#This Row],[Unit Price]] - SalesCleanTable[[#This Row],[Unit Cost]]) / SalesCleanTable[[#This Row],[Unit Price]]</f>
        <v>0.4</v>
      </c>
    </row>
    <row r="1041" spans="1:31">
      <c r="A1041" t="s">
        <v>1227</v>
      </c>
      <c r="B1041" s="6">
        <v>45669</v>
      </c>
      <c r="C1041" t="s">
        <v>57</v>
      </c>
      <c r="D1041" t="s">
        <v>58</v>
      </c>
      <c r="E1041" t="s">
        <v>59</v>
      </c>
      <c r="F1041" t="s">
        <v>60</v>
      </c>
      <c r="G1041" t="s">
        <v>61</v>
      </c>
      <c r="H1041" t="s">
        <v>145</v>
      </c>
      <c r="I1041" t="s">
        <v>146</v>
      </c>
      <c r="J1041" t="s">
        <v>147</v>
      </c>
      <c r="K1041" t="s">
        <v>148</v>
      </c>
      <c r="L1041" t="s">
        <v>183</v>
      </c>
      <c r="M1041" t="s">
        <v>177</v>
      </c>
      <c r="N1041">
        <v>1</v>
      </c>
      <c r="O1041" s="4">
        <v>2400</v>
      </c>
      <c r="P1041" s="4">
        <v>3400</v>
      </c>
      <c r="Q1041" s="7">
        <v>0.05</v>
      </c>
      <c r="R1041" t="s">
        <v>192</v>
      </c>
      <c r="S1041">
        <v>4</v>
      </c>
      <c r="T1041">
        <v>3400</v>
      </c>
      <c r="U1041">
        <v>170</v>
      </c>
      <c r="V1041">
        <v>3230</v>
      </c>
      <c r="W1041">
        <v>2400</v>
      </c>
      <c r="X1041">
        <v>830</v>
      </c>
      <c r="Y1041" s="8">
        <v>0.25696594427244585</v>
      </c>
      <c r="Z1041" t="s">
        <v>2996</v>
      </c>
      <c r="AA1041" t="str">
        <f>IF(AND(SalesCleanTable[[#This Row],[Discount %]]&gt;0, SalesCleanTable[[#This Row],[Profit]]&lt;0), "Discount loss", "Safe")</f>
        <v>Safe</v>
      </c>
      <c r="AB1041" s="25">
        <f>(SalesCleanTable[[#This Row],[Unit Price]] - SalesCleanTable[[#This Row],[Unit Cost]]) / SalesCleanTable[[#This Row],[Unit Price]]</f>
        <v>0.29411764705882354</v>
      </c>
      <c r="AC1041" t="str">
        <f>IF(SalesCleanTable[[#This Row],[Discount %]] &gt; SalesCleanTable[[#This Row],[Max Allowed Discount]], "Discount loss", "Safe")</f>
        <v>Safe</v>
      </c>
      <c r="AD1041" s="4">
        <f>SalesCleanTable[[#This Row],[Unit Price]] - SalesCleanTable[[#This Row],[Unit Cost]]</f>
        <v>1000</v>
      </c>
      <c r="AE1041" s="41">
        <f>(SalesCleanTable[[#This Row],[Unit Price]] - SalesCleanTable[[#This Row],[Unit Cost]]) / SalesCleanTable[[#This Row],[Unit Price]]</f>
        <v>0.29411764705882354</v>
      </c>
    </row>
    <row r="1042" spans="1:31">
      <c r="A1042" t="s">
        <v>1228</v>
      </c>
      <c r="B1042" s="6">
        <v>46012</v>
      </c>
      <c r="C1042" t="s">
        <v>112</v>
      </c>
      <c r="D1042" t="s">
        <v>113</v>
      </c>
      <c r="E1042" t="s">
        <v>109</v>
      </c>
      <c r="F1042" t="s">
        <v>114</v>
      </c>
      <c r="G1042" t="s">
        <v>115</v>
      </c>
      <c r="H1042" t="s">
        <v>135</v>
      </c>
      <c r="I1042" t="s">
        <v>136</v>
      </c>
      <c r="J1042" t="s">
        <v>137</v>
      </c>
      <c r="K1042" t="s">
        <v>138</v>
      </c>
      <c r="L1042" t="s">
        <v>166</v>
      </c>
      <c r="M1042" t="s">
        <v>171</v>
      </c>
      <c r="N1042">
        <v>3</v>
      </c>
      <c r="O1042" s="4">
        <v>1300</v>
      </c>
      <c r="P1042" s="4">
        <v>2100</v>
      </c>
      <c r="Q1042" s="7">
        <v>0.2</v>
      </c>
      <c r="R1042" t="s">
        <v>220</v>
      </c>
      <c r="S1042">
        <v>8</v>
      </c>
      <c r="T1042">
        <v>6300</v>
      </c>
      <c r="U1042">
        <v>1260</v>
      </c>
      <c r="V1042">
        <v>5040</v>
      </c>
      <c r="W1042">
        <v>3900</v>
      </c>
      <c r="X1042">
        <v>1140</v>
      </c>
      <c r="Y1042" s="8">
        <v>0.22619047619047619</v>
      </c>
      <c r="Z1042" t="s">
        <v>2995</v>
      </c>
      <c r="AA1042" t="str">
        <f>IF(AND(SalesCleanTable[[#This Row],[Discount %]]&gt;0, SalesCleanTable[[#This Row],[Profit]]&lt;0), "Discount loss", "Safe")</f>
        <v>Safe</v>
      </c>
      <c r="AB1042" s="25">
        <f>(SalesCleanTable[[#This Row],[Unit Price]] - SalesCleanTable[[#This Row],[Unit Cost]]) / SalesCleanTable[[#This Row],[Unit Price]]</f>
        <v>0.38095238095238093</v>
      </c>
      <c r="AC1042" t="str">
        <f>IF(SalesCleanTable[[#This Row],[Discount %]] &gt; SalesCleanTable[[#This Row],[Max Allowed Discount]], "Discount loss", "Safe")</f>
        <v>Safe</v>
      </c>
      <c r="AD1042" s="4">
        <f>SalesCleanTable[[#This Row],[Unit Price]] - SalesCleanTable[[#This Row],[Unit Cost]]</f>
        <v>800</v>
      </c>
      <c r="AE1042" s="41">
        <f>(SalesCleanTable[[#This Row],[Unit Price]] - SalesCleanTable[[#This Row],[Unit Cost]]) / SalesCleanTable[[#This Row],[Unit Price]]</f>
        <v>0.38095238095238093</v>
      </c>
    </row>
    <row r="1043" spans="1:31">
      <c r="A1043" t="s">
        <v>1229</v>
      </c>
      <c r="B1043" s="6">
        <v>45911</v>
      </c>
      <c r="C1043" t="s">
        <v>53</v>
      </c>
      <c r="D1043" t="s">
        <v>54</v>
      </c>
      <c r="E1043" t="s">
        <v>38</v>
      </c>
      <c r="F1043" t="s">
        <v>55</v>
      </c>
      <c r="G1043" t="s">
        <v>56</v>
      </c>
      <c r="H1043" t="s">
        <v>153</v>
      </c>
      <c r="I1043" t="s">
        <v>154</v>
      </c>
      <c r="J1043" t="s">
        <v>155</v>
      </c>
      <c r="K1043" t="s">
        <v>131</v>
      </c>
      <c r="L1043" t="s">
        <v>166</v>
      </c>
      <c r="M1043" t="s">
        <v>171</v>
      </c>
      <c r="N1043">
        <v>8</v>
      </c>
      <c r="O1043" s="4">
        <v>330</v>
      </c>
      <c r="P1043" s="4">
        <v>550</v>
      </c>
      <c r="Q1043" s="7">
        <v>0</v>
      </c>
      <c r="R1043" t="s">
        <v>168</v>
      </c>
      <c r="S1043">
        <v>5</v>
      </c>
      <c r="T1043">
        <v>4400</v>
      </c>
      <c r="U1043">
        <v>0</v>
      </c>
      <c r="V1043">
        <v>4400</v>
      </c>
      <c r="W1043">
        <v>2640</v>
      </c>
      <c r="X1043">
        <v>1760</v>
      </c>
      <c r="Y1043" s="8">
        <v>0.4</v>
      </c>
      <c r="Z1043" t="s">
        <v>2996</v>
      </c>
      <c r="AA1043" t="str">
        <f>IF(AND(SalesCleanTable[[#This Row],[Discount %]]&gt;0, SalesCleanTable[[#This Row],[Profit]]&lt;0), "Discount loss", "Safe")</f>
        <v>Safe</v>
      </c>
      <c r="AB1043" s="25">
        <f>(SalesCleanTable[[#This Row],[Unit Price]] - SalesCleanTable[[#This Row],[Unit Cost]]) / SalesCleanTable[[#This Row],[Unit Price]]</f>
        <v>0.4</v>
      </c>
      <c r="AC1043" t="str">
        <f>IF(SalesCleanTable[[#This Row],[Discount %]] &gt; SalesCleanTable[[#This Row],[Max Allowed Discount]], "Discount loss", "Safe")</f>
        <v>Safe</v>
      </c>
      <c r="AD1043" s="4">
        <f>SalesCleanTable[[#This Row],[Unit Price]] - SalesCleanTable[[#This Row],[Unit Cost]]</f>
        <v>220</v>
      </c>
      <c r="AE1043" s="41">
        <f>(SalesCleanTable[[#This Row],[Unit Price]] - SalesCleanTable[[#This Row],[Unit Cost]]) / SalesCleanTable[[#This Row],[Unit Price]]</f>
        <v>0.4</v>
      </c>
    </row>
    <row r="1044" spans="1:31">
      <c r="A1044" t="s">
        <v>1230</v>
      </c>
      <c r="B1044" s="6">
        <v>45710</v>
      </c>
      <c r="C1044" t="s">
        <v>66</v>
      </c>
      <c r="D1044" t="s">
        <v>67</v>
      </c>
      <c r="E1044" t="s">
        <v>59</v>
      </c>
      <c r="F1044" t="s">
        <v>60</v>
      </c>
      <c r="G1044" t="s">
        <v>68</v>
      </c>
      <c r="H1044" t="s">
        <v>145</v>
      </c>
      <c r="I1044" t="s">
        <v>146</v>
      </c>
      <c r="J1044" t="s">
        <v>147</v>
      </c>
      <c r="K1044" t="s">
        <v>148</v>
      </c>
      <c r="L1044" t="s">
        <v>170</v>
      </c>
      <c r="M1044" t="s">
        <v>186</v>
      </c>
      <c r="N1044">
        <v>2</v>
      </c>
      <c r="O1044" s="4">
        <v>2800</v>
      </c>
      <c r="P1044" s="4">
        <v>3900</v>
      </c>
      <c r="Q1044" s="7">
        <v>0.15</v>
      </c>
      <c r="R1044" t="s">
        <v>204</v>
      </c>
      <c r="S1044">
        <v>7</v>
      </c>
      <c r="T1044">
        <v>7800</v>
      </c>
      <c r="U1044">
        <v>1170</v>
      </c>
      <c r="V1044">
        <v>6630</v>
      </c>
      <c r="W1044">
        <v>5600</v>
      </c>
      <c r="X1044">
        <v>1030</v>
      </c>
      <c r="Y1044" s="8">
        <v>0.15535444947209653</v>
      </c>
      <c r="Z1044" t="s">
        <v>2996</v>
      </c>
      <c r="AA1044" t="str">
        <f>IF(AND(SalesCleanTable[[#This Row],[Discount %]]&gt;0, SalesCleanTable[[#This Row],[Profit]]&lt;0), "Discount loss", "Safe")</f>
        <v>Safe</v>
      </c>
      <c r="AB1044" s="25">
        <f>(SalesCleanTable[[#This Row],[Unit Price]] - SalesCleanTable[[#This Row],[Unit Cost]]) / SalesCleanTable[[#This Row],[Unit Price]]</f>
        <v>0.28205128205128205</v>
      </c>
      <c r="AC1044" t="str">
        <f>IF(SalesCleanTable[[#This Row],[Discount %]] &gt; SalesCleanTable[[#This Row],[Max Allowed Discount]], "Discount loss", "Safe")</f>
        <v>Safe</v>
      </c>
      <c r="AD1044" s="4">
        <f>SalesCleanTable[[#This Row],[Unit Price]] - SalesCleanTable[[#This Row],[Unit Cost]]</f>
        <v>1100</v>
      </c>
      <c r="AE1044" s="41">
        <f>(SalesCleanTable[[#This Row],[Unit Price]] - SalesCleanTable[[#This Row],[Unit Cost]]) / SalesCleanTable[[#This Row],[Unit Price]]</f>
        <v>0.28205128205128205</v>
      </c>
    </row>
    <row r="1045" spans="1:31">
      <c r="A1045" t="s">
        <v>1231</v>
      </c>
      <c r="B1045" s="6">
        <v>45797</v>
      </c>
      <c r="C1045" t="s">
        <v>95</v>
      </c>
      <c r="D1045" t="s">
        <v>96</v>
      </c>
      <c r="E1045" t="s">
        <v>92</v>
      </c>
      <c r="F1045" t="s">
        <v>97</v>
      </c>
      <c r="G1045" t="s">
        <v>98</v>
      </c>
      <c r="H1045" t="s">
        <v>141</v>
      </c>
      <c r="I1045" t="s">
        <v>142</v>
      </c>
      <c r="J1045" t="s">
        <v>143</v>
      </c>
      <c r="K1045" t="s">
        <v>144</v>
      </c>
      <c r="L1045" t="s">
        <v>166</v>
      </c>
      <c r="M1045" t="s">
        <v>186</v>
      </c>
      <c r="N1045">
        <v>3</v>
      </c>
      <c r="O1045" s="4">
        <v>18000</v>
      </c>
      <c r="P1045" s="4">
        <v>24500</v>
      </c>
      <c r="Q1045" s="7">
        <v>0.05</v>
      </c>
      <c r="R1045" t="s">
        <v>215</v>
      </c>
      <c r="S1045">
        <v>14</v>
      </c>
      <c r="T1045">
        <v>73500</v>
      </c>
      <c r="U1045">
        <v>3675</v>
      </c>
      <c r="V1045">
        <v>69825</v>
      </c>
      <c r="W1045">
        <v>54000</v>
      </c>
      <c r="X1045">
        <v>15825</v>
      </c>
      <c r="Y1045" s="8">
        <v>0.22663802363050484</v>
      </c>
      <c r="Z1045" t="s">
        <v>2995</v>
      </c>
      <c r="AA1045" t="str">
        <f>IF(AND(SalesCleanTable[[#This Row],[Discount %]]&gt;0, SalesCleanTable[[#This Row],[Profit]]&lt;0), "Discount loss", "Safe")</f>
        <v>Safe</v>
      </c>
      <c r="AB1045" s="25">
        <f>(SalesCleanTable[[#This Row],[Unit Price]] - SalesCleanTable[[#This Row],[Unit Cost]]) / SalesCleanTable[[#This Row],[Unit Price]]</f>
        <v>0.26530612244897961</v>
      </c>
      <c r="AC1045" t="str">
        <f>IF(SalesCleanTable[[#This Row],[Discount %]] &gt; SalesCleanTable[[#This Row],[Max Allowed Discount]], "Discount loss", "Safe")</f>
        <v>Safe</v>
      </c>
      <c r="AD1045" s="4">
        <f>SalesCleanTable[[#This Row],[Unit Price]] - SalesCleanTable[[#This Row],[Unit Cost]]</f>
        <v>6500</v>
      </c>
      <c r="AE1045" s="41">
        <f>(SalesCleanTable[[#This Row],[Unit Price]] - SalesCleanTable[[#This Row],[Unit Cost]]) / SalesCleanTable[[#This Row],[Unit Price]]</f>
        <v>0.26530612244897961</v>
      </c>
    </row>
    <row r="1046" spans="1:31">
      <c r="A1046" t="s">
        <v>1232</v>
      </c>
      <c r="B1046" s="6">
        <v>45743</v>
      </c>
      <c r="C1046" t="s">
        <v>103</v>
      </c>
      <c r="D1046" t="s">
        <v>104</v>
      </c>
      <c r="E1046" t="s">
        <v>92</v>
      </c>
      <c r="F1046" t="s">
        <v>105</v>
      </c>
      <c r="G1046" t="s">
        <v>106</v>
      </c>
      <c r="H1046" t="s">
        <v>153</v>
      </c>
      <c r="I1046" t="s">
        <v>154</v>
      </c>
      <c r="J1046" t="s">
        <v>155</v>
      </c>
      <c r="K1046" t="s">
        <v>131</v>
      </c>
      <c r="L1046" t="s">
        <v>183</v>
      </c>
      <c r="M1046" t="s">
        <v>171</v>
      </c>
      <c r="N1046">
        <v>2</v>
      </c>
      <c r="O1046" s="4">
        <v>1500</v>
      </c>
      <c r="P1046" s="4">
        <v>2500</v>
      </c>
      <c r="Q1046" s="7">
        <v>0.05</v>
      </c>
      <c r="R1046" t="s">
        <v>215</v>
      </c>
      <c r="S1046">
        <v>6</v>
      </c>
      <c r="T1046">
        <v>5000</v>
      </c>
      <c r="U1046">
        <v>250</v>
      </c>
      <c r="V1046">
        <v>4750</v>
      </c>
      <c r="W1046">
        <v>3000</v>
      </c>
      <c r="X1046">
        <v>1750</v>
      </c>
      <c r="Y1046" s="8">
        <v>0.36842105263157893</v>
      </c>
      <c r="Z1046" t="s">
        <v>2996</v>
      </c>
      <c r="AA1046" t="str">
        <f>IF(AND(SalesCleanTable[[#This Row],[Discount %]]&gt;0, SalesCleanTable[[#This Row],[Profit]]&lt;0), "Discount loss", "Safe")</f>
        <v>Safe</v>
      </c>
      <c r="AB1046" s="25">
        <f>(SalesCleanTable[[#This Row],[Unit Price]] - SalesCleanTable[[#This Row],[Unit Cost]]) / SalesCleanTable[[#This Row],[Unit Price]]</f>
        <v>0.4</v>
      </c>
      <c r="AC1046" t="str">
        <f>IF(SalesCleanTable[[#This Row],[Discount %]] &gt; SalesCleanTable[[#This Row],[Max Allowed Discount]], "Discount loss", "Safe")</f>
        <v>Safe</v>
      </c>
      <c r="AD1046" s="4">
        <f>SalesCleanTable[[#This Row],[Unit Price]] - SalesCleanTable[[#This Row],[Unit Cost]]</f>
        <v>1000</v>
      </c>
      <c r="AE1046" s="41">
        <f>(SalesCleanTable[[#This Row],[Unit Price]] - SalesCleanTable[[#This Row],[Unit Cost]]) / SalesCleanTable[[#This Row],[Unit Price]]</f>
        <v>0.4</v>
      </c>
    </row>
    <row r="1047" spans="1:31">
      <c r="A1047" t="s">
        <v>1233</v>
      </c>
      <c r="B1047" s="6">
        <v>45716</v>
      </c>
      <c r="C1047" t="s">
        <v>36</v>
      </c>
      <c r="D1047" t="s">
        <v>37</v>
      </c>
      <c r="E1047" t="s">
        <v>38</v>
      </c>
      <c r="F1047" t="s">
        <v>39</v>
      </c>
      <c r="G1047" t="s">
        <v>40</v>
      </c>
      <c r="H1047" t="s">
        <v>135</v>
      </c>
      <c r="I1047" t="s">
        <v>136</v>
      </c>
      <c r="J1047" t="s">
        <v>137</v>
      </c>
      <c r="K1047" t="s">
        <v>138</v>
      </c>
      <c r="L1047" t="s">
        <v>166</v>
      </c>
      <c r="M1047" t="s">
        <v>171</v>
      </c>
      <c r="N1047">
        <v>5</v>
      </c>
      <c r="O1047" s="4">
        <v>1650</v>
      </c>
      <c r="P1047" s="4">
        <v>2200</v>
      </c>
      <c r="Q1047" s="7">
        <v>0.05</v>
      </c>
      <c r="R1047" t="s">
        <v>175</v>
      </c>
      <c r="S1047">
        <v>3</v>
      </c>
      <c r="T1047">
        <v>11000</v>
      </c>
      <c r="U1047">
        <v>550</v>
      </c>
      <c r="V1047">
        <v>10450</v>
      </c>
      <c r="W1047">
        <v>8250</v>
      </c>
      <c r="X1047">
        <v>2200</v>
      </c>
      <c r="Y1047" s="8">
        <v>0.21052631578947367</v>
      </c>
      <c r="Z1047" t="s">
        <v>2995</v>
      </c>
      <c r="AA1047" t="str">
        <f>IF(AND(SalesCleanTable[[#This Row],[Discount %]]&gt;0, SalesCleanTable[[#This Row],[Profit]]&lt;0), "Discount loss", "Safe")</f>
        <v>Safe</v>
      </c>
      <c r="AB1047" s="25">
        <f>(SalesCleanTable[[#This Row],[Unit Price]] - SalesCleanTable[[#This Row],[Unit Cost]]) / SalesCleanTable[[#This Row],[Unit Price]]</f>
        <v>0.25</v>
      </c>
      <c r="AC1047" t="str">
        <f>IF(SalesCleanTable[[#This Row],[Discount %]] &gt; SalesCleanTable[[#This Row],[Max Allowed Discount]], "Discount loss", "Safe")</f>
        <v>Safe</v>
      </c>
      <c r="AD1047" s="4">
        <f>SalesCleanTable[[#This Row],[Unit Price]] - SalesCleanTable[[#This Row],[Unit Cost]]</f>
        <v>550</v>
      </c>
      <c r="AE1047" s="41">
        <f>(SalesCleanTable[[#This Row],[Unit Price]] - SalesCleanTable[[#This Row],[Unit Cost]]) / SalesCleanTable[[#This Row],[Unit Price]]</f>
        <v>0.25</v>
      </c>
    </row>
    <row r="1048" spans="1:31">
      <c r="A1048" t="s">
        <v>1234</v>
      </c>
      <c r="B1048" s="6">
        <v>45720</v>
      </c>
      <c r="C1048" t="s">
        <v>24</v>
      </c>
      <c r="D1048" t="s">
        <v>25</v>
      </c>
      <c r="E1048" t="s">
        <v>26</v>
      </c>
      <c r="F1048" t="s">
        <v>27</v>
      </c>
      <c r="G1048" t="s">
        <v>28</v>
      </c>
      <c r="H1048" t="s">
        <v>141</v>
      </c>
      <c r="I1048" t="s">
        <v>142</v>
      </c>
      <c r="J1048" t="s">
        <v>143</v>
      </c>
      <c r="K1048" t="s">
        <v>144</v>
      </c>
      <c r="L1048" t="s">
        <v>166</v>
      </c>
      <c r="M1048" t="s">
        <v>186</v>
      </c>
      <c r="N1048">
        <v>4</v>
      </c>
      <c r="O1048" s="4">
        <v>14500</v>
      </c>
      <c r="P1048" s="4">
        <v>17500</v>
      </c>
      <c r="Q1048" s="7">
        <v>0</v>
      </c>
      <c r="R1048" t="s">
        <v>197</v>
      </c>
      <c r="S1048">
        <v>9</v>
      </c>
      <c r="T1048">
        <v>70000</v>
      </c>
      <c r="U1048">
        <v>0</v>
      </c>
      <c r="V1048">
        <v>70000</v>
      </c>
      <c r="W1048">
        <v>58000</v>
      </c>
      <c r="X1048">
        <v>12000</v>
      </c>
      <c r="Y1048" s="8">
        <v>0.17142857142857143</v>
      </c>
      <c r="Z1048" t="s">
        <v>2995</v>
      </c>
      <c r="AA1048" t="str">
        <f>IF(AND(SalesCleanTable[[#This Row],[Discount %]]&gt;0, SalesCleanTable[[#This Row],[Profit]]&lt;0), "Discount loss", "Safe")</f>
        <v>Safe</v>
      </c>
      <c r="AB1048" s="25">
        <f>(SalesCleanTable[[#This Row],[Unit Price]] - SalesCleanTable[[#This Row],[Unit Cost]]) / SalesCleanTable[[#This Row],[Unit Price]]</f>
        <v>0.17142857142857143</v>
      </c>
      <c r="AC1048" t="str">
        <f>IF(SalesCleanTable[[#This Row],[Discount %]] &gt; SalesCleanTable[[#This Row],[Max Allowed Discount]], "Discount loss", "Safe")</f>
        <v>Safe</v>
      </c>
      <c r="AD1048" s="4">
        <f>SalesCleanTable[[#This Row],[Unit Price]] - SalesCleanTable[[#This Row],[Unit Cost]]</f>
        <v>3000</v>
      </c>
      <c r="AE1048" s="41">
        <f>(SalesCleanTable[[#This Row],[Unit Price]] - SalesCleanTable[[#This Row],[Unit Cost]]) / SalesCleanTable[[#This Row],[Unit Price]]</f>
        <v>0.17142857142857143</v>
      </c>
    </row>
    <row r="1049" spans="1:31">
      <c r="A1049" t="s">
        <v>1235</v>
      </c>
      <c r="B1049" s="6">
        <v>45803</v>
      </c>
      <c r="C1049" t="s">
        <v>69</v>
      </c>
      <c r="D1049" t="s">
        <v>70</v>
      </c>
      <c r="E1049" t="s">
        <v>59</v>
      </c>
      <c r="F1049" t="s">
        <v>71</v>
      </c>
      <c r="G1049" t="s">
        <v>72</v>
      </c>
      <c r="H1049" t="s">
        <v>139</v>
      </c>
      <c r="I1049" t="s">
        <v>140</v>
      </c>
      <c r="J1049" t="s">
        <v>137</v>
      </c>
      <c r="K1049" t="s">
        <v>138</v>
      </c>
      <c r="L1049" t="s">
        <v>183</v>
      </c>
      <c r="M1049" t="s">
        <v>171</v>
      </c>
      <c r="N1049">
        <v>1</v>
      </c>
      <c r="O1049" s="4">
        <v>1700</v>
      </c>
      <c r="P1049" s="4">
        <v>2600</v>
      </c>
      <c r="Q1049" s="7">
        <v>0</v>
      </c>
      <c r="R1049" t="s">
        <v>173</v>
      </c>
      <c r="S1049">
        <v>2</v>
      </c>
      <c r="T1049">
        <v>2600</v>
      </c>
      <c r="U1049">
        <v>0</v>
      </c>
      <c r="V1049">
        <v>2600</v>
      </c>
      <c r="W1049">
        <v>1700</v>
      </c>
      <c r="X1049">
        <v>900</v>
      </c>
      <c r="Y1049" s="8">
        <v>0.34615384615384615</v>
      </c>
      <c r="Z1049" t="s">
        <v>2997</v>
      </c>
      <c r="AA1049" t="str">
        <f>IF(AND(SalesCleanTable[[#This Row],[Discount %]]&gt;0, SalesCleanTable[[#This Row],[Profit]]&lt;0), "Discount loss", "Safe")</f>
        <v>Safe</v>
      </c>
      <c r="AB1049" s="25">
        <f>(SalesCleanTable[[#This Row],[Unit Price]] - SalesCleanTable[[#This Row],[Unit Cost]]) / SalesCleanTable[[#This Row],[Unit Price]]</f>
        <v>0.34615384615384615</v>
      </c>
      <c r="AC1049" t="str">
        <f>IF(SalesCleanTable[[#This Row],[Discount %]] &gt; SalesCleanTable[[#This Row],[Max Allowed Discount]], "Discount loss", "Safe")</f>
        <v>Safe</v>
      </c>
      <c r="AD1049" s="4">
        <f>SalesCleanTable[[#This Row],[Unit Price]] - SalesCleanTable[[#This Row],[Unit Cost]]</f>
        <v>900</v>
      </c>
      <c r="AE1049" s="41">
        <f>(SalesCleanTable[[#This Row],[Unit Price]] - SalesCleanTable[[#This Row],[Unit Cost]]) / SalesCleanTable[[#This Row],[Unit Price]]</f>
        <v>0.34615384615384615</v>
      </c>
    </row>
    <row r="1050" spans="1:31">
      <c r="A1050" t="s">
        <v>1236</v>
      </c>
      <c r="B1050" s="6">
        <v>45988</v>
      </c>
      <c r="C1050" t="s">
        <v>53</v>
      </c>
      <c r="D1050" t="s">
        <v>54</v>
      </c>
      <c r="E1050" t="s">
        <v>38</v>
      </c>
      <c r="F1050" t="s">
        <v>55</v>
      </c>
      <c r="G1050" t="s">
        <v>56</v>
      </c>
      <c r="H1050" t="s">
        <v>145</v>
      </c>
      <c r="I1050" t="s">
        <v>146</v>
      </c>
      <c r="J1050" t="s">
        <v>147</v>
      </c>
      <c r="K1050" t="s">
        <v>148</v>
      </c>
      <c r="L1050" t="s">
        <v>166</v>
      </c>
      <c r="M1050" t="s">
        <v>171</v>
      </c>
      <c r="N1050">
        <v>2</v>
      </c>
      <c r="O1050" s="4">
        <v>330</v>
      </c>
      <c r="P1050" s="4">
        <v>550</v>
      </c>
      <c r="Q1050" s="7">
        <v>0.05</v>
      </c>
      <c r="R1050" t="s">
        <v>175</v>
      </c>
      <c r="S1050">
        <v>1</v>
      </c>
      <c r="T1050">
        <v>1100</v>
      </c>
      <c r="U1050">
        <v>55</v>
      </c>
      <c r="V1050">
        <v>1045</v>
      </c>
      <c r="W1050">
        <v>660</v>
      </c>
      <c r="X1050">
        <v>385</v>
      </c>
      <c r="Y1050" s="8">
        <v>0.36842105263157893</v>
      </c>
      <c r="Z1050" t="s">
        <v>2996</v>
      </c>
      <c r="AA1050" t="str">
        <f>IF(AND(SalesCleanTable[[#This Row],[Discount %]]&gt;0, SalesCleanTable[[#This Row],[Profit]]&lt;0), "Discount loss", "Safe")</f>
        <v>Safe</v>
      </c>
      <c r="AB1050" s="25">
        <f>(SalesCleanTable[[#This Row],[Unit Price]] - SalesCleanTable[[#This Row],[Unit Cost]]) / SalesCleanTable[[#This Row],[Unit Price]]</f>
        <v>0.4</v>
      </c>
      <c r="AC1050" t="str">
        <f>IF(SalesCleanTable[[#This Row],[Discount %]] &gt; SalesCleanTable[[#This Row],[Max Allowed Discount]], "Discount loss", "Safe")</f>
        <v>Safe</v>
      </c>
      <c r="AD1050" s="4">
        <f>SalesCleanTable[[#This Row],[Unit Price]] - SalesCleanTable[[#This Row],[Unit Cost]]</f>
        <v>220</v>
      </c>
      <c r="AE1050" s="41">
        <f>(SalesCleanTable[[#This Row],[Unit Price]] - SalesCleanTable[[#This Row],[Unit Cost]]) / SalesCleanTable[[#This Row],[Unit Price]]</f>
        <v>0.4</v>
      </c>
    </row>
    <row r="1051" spans="1:31">
      <c r="A1051" t="s">
        <v>1237</v>
      </c>
      <c r="B1051" s="6">
        <v>45873</v>
      </c>
      <c r="C1051" t="s">
        <v>32</v>
      </c>
      <c r="D1051" t="s">
        <v>33</v>
      </c>
      <c r="E1051" t="s">
        <v>26</v>
      </c>
      <c r="F1051" t="s">
        <v>34</v>
      </c>
      <c r="G1051" t="s">
        <v>35</v>
      </c>
      <c r="H1051" t="s">
        <v>139</v>
      </c>
      <c r="I1051" t="s">
        <v>140</v>
      </c>
      <c r="J1051" t="s">
        <v>137</v>
      </c>
      <c r="K1051" t="s">
        <v>138</v>
      </c>
      <c r="L1051" t="s">
        <v>166</v>
      </c>
      <c r="M1051" t="s">
        <v>177</v>
      </c>
      <c r="N1051">
        <v>3</v>
      </c>
      <c r="O1051" s="4">
        <v>7800</v>
      </c>
      <c r="P1051" s="4">
        <v>9800</v>
      </c>
      <c r="Q1051" s="7">
        <v>0.1</v>
      </c>
      <c r="R1051" t="s">
        <v>197</v>
      </c>
      <c r="S1051">
        <v>11</v>
      </c>
      <c r="T1051">
        <v>29400</v>
      </c>
      <c r="U1051">
        <v>2940</v>
      </c>
      <c r="V1051">
        <v>26460</v>
      </c>
      <c r="W1051">
        <v>23400</v>
      </c>
      <c r="X1051">
        <v>3060</v>
      </c>
      <c r="Y1051" s="8">
        <v>0.11564625850340136</v>
      </c>
      <c r="Z1051" t="s">
        <v>2995</v>
      </c>
      <c r="AA1051" t="str">
        <f>IF(AND(SalesCleanTable[[#This Row],[Discount %]]&gt;0, SalesCleanTable[[#This Row],[Profit]]&lt;0), "Discount loss", "Safe")</f>
        <v>Safe</v>
      </c>
      <c r="AB1051" s="25">
        <f>(SalesCleanTable[[#This Row],[Unit Price]] - SalesCleanTable[[#This Row],[Unit Cost]]) / SalesCleanTable[[#This Row],[Unit Price]]</f>
        <v>0.20408163265306123</v>
      </c>
      <c r="AC1051" t="str">
        <f>IF(SalesCleanTable[[#This Row],[Discount %]] &gt; SalesCleanTable[[#This Row],[Max Allowed Discount]], "Discount loss", "Safe")</f>
        <v>Safe</v>
      </c>
      <c r="AD1051" s="4">
        <f>SalesCleanTable[[#This Row],[Unit Price]] - SalesCleanTable[[#This Row],[Unit Cost]]</f>
        <v>2000</v>
      </c>
      <c r="AE1051" s="41">
        <f>(SalesCleanTable[[#This Row],[Unit Price]] - SalesCleanTable[[#This Row],[Unit Cost]]) / SalesCleanTable[[#This Row],[Unit Price]]</f>
        <v>0.20408163265306123</v>
      </c>
    </row>
    <row r="1052" spans="1:31">
      <c r="A1052" t="s">
        <v>1238</v>
      </c>
      <c r="B1052" s="6">
        <v>45952</v>
      </c>
      <c r="C1052" t="s">
        <v>120</v>
      </c>
      <c r="D1052" t="s">
        <v>121</v>
      </c>
      <c r="E1052" t="s">
        <v>109</v>
      </c>
      <c r="F1052" t="s">
        <v>93</v>
      </c>
      <c r="G1052" t="s">
        <v>122</v>
      </c>
      <c r="H1052" t="s">
        <v>149</v>
      </c>
      <c r="I1052" t="s">
        <v>150</v>
      </c>
      <c r="J1052" t="s">
        <v>151</v>
      </c>
      <c r="K1052" t="s">
        <v>152</v>
      </c>
      <c r="L1052" t="s">
        <v>166</v>
      </c>
      <c r="M1052" t="s">
        <v>171</v>
      </c>
      <c r="N1052">
        <v>2</v>
      </c>
      <c r="O1052" s="4">
        <v>1700</v>
      </c>
      <c r="P1052" s="4">
        <v>2800</v>
      </c>
      <c r="Q1052" s="7">
        <v>0.25</v>
      </c>
      <c r="R1052" t="s">
        <v>184</v>
      </c>
      <c r="S1052">
        <v>1</v>
      </c>
      <c r="T1052">
        <v>5600</v>
      </c>
      <c r="U1052">
        <v>1400</v>
      </c>
      <c r="V1052">
        <v>4200</v>
      </c>
      <c r="W1052">
        <v>3400</v>
      </c>
      <c r="X1052">
        <v>800</v>
      </c>
      <c r="Y1052" s="8">
        <v>0.19047619047619047</v>
      </c>
      <c r="Z1052" t="s">
        <v>2997</v>
      </c>
      <c r="AA1052" t="str">
        <f>IF(AND(SalesCleanTable[[#This Row],[Discount %]]&gt;0, SalesCleanTable[[#This Row],[Profit]]&lt;0), "Discount loss", "Safe")</f>
        <v>Safe</v>
      </c>
      <c r="AB1052" s="25">
        <f>(SalesCleanTable[[#This Row],[Unit Price]] - SalesCleanTable[[#This Row],[Unit Cost]]) / SalesCleanTable[[#This Row],[Unit Price]]</f>
        <v>0.39285714285714285</v>
      </c>
      <c r="AC1052" t="str">
        <f>IF(SalesCleanTable[[#This Row],[Discount %]] &gt; SalesCleanTable[[#This Row],[Max Allowed Discount]], "Discount loss", "Safe")</f>
        <v>Safe</v>
      </c>
      <c r="AD1052" s="4">
        <f>SalesCleanTable[[#This Row],[Unit Price]] - SalesCleanTable[[#This Row],[Unit Cost]]</f>
        <v>1100</v>
      </c>
      <c r="AE1052" s="41">
        <f>(SalesCleanTable[[#This Row],[Unit Price]] - SalesCleanTable[[#This Row],[Unit Cost]]) / SalesCleanTable[[#This Row],[Unit Price]]</f>
        <v>0.39285714285714285</v>
      </c>
    </row>
    <row r="1053" spans="1:31">
      <c r="A1053" t="s">
        <v>1239</v>
      </c>
      <c r="B1053" s="6">
        <v>45666</v>
      </c>
      <c r="C1053" t="s">
        <v>29</v>
      </c>
      <c r="D1053" t="s">
        <v>30</v>
      </c>
      <c r="E1053" t="s">
        <v>26</v>
      </c>
      <c r="F1053" t="s">
        <v>27</v>
      </c>
      <c r="G1053" t="s">
        <v>31</v>
      </c>
      <c r="H1053" t="s">
        <v>128</v>
      </c>
      <c r="I1053" t="s">
        <v>129</v>
      </c>
      <c r="J1053" t="s">
        <v>130</v>
      </c>
      <c r="K1053" t="s">
        <v>131</v>
      </c>
      <c r="L1053" t="s">
        <v>166</v>
      </c>
      <c r="M1053" t="s">
        <v>171</v>
      </c>
      <c r="N1053">
        <v>5</v>
      </c>
      <c r="O1053" s="4">
        <v>6200</v>
      </c>
      <c r="P1053" s="4">
        <v>7900</v>
      </c>
      <c r="Q1053" s="7">
        <v>0.1</v>
      </c>
      <c r="R1053" t="s">
        <v>194</v>
      </c>
      <c r="S1053">
        <v>2</v>
      </c>
      <c r="T1053">
        <v>39500</v>
      </c>
      <c r="U1053">
        <v>3950</v>
      </c>
      <c r="V1053">
        <v>35550</v>
      </c>
      <c r="W1053">
        <v>31000</v>
      </c>
      <c r="X1053">
        <v>4550</v>
      </c>
      <c r="Y1053" s="8">
        <v>0.12798874824191281</v>
      </c>
      <c r="Z1053" t="s">
        <v>2996</v>
      </c>
      <c r="AA1053" t="str">
        <f>IF(AND(SalesCleanTable[[#This Row],[Discount %]]&gt;0, SalesCleanTable[[#This Row],[Profit]]&lt;0), "Discount loss", "Safe")</f>
        <v>Safe</v>
      </c>
      <c r="AB1053" s="25">
        <f>(SalesCleanTable[[#This Row],[Unit Price]] - SalesCleanTable[[#This Row],[Unit Cost]]) / SalesCleanTable[[#This Row],[Unit Price]]</f>
        <v>0.21518987341772153</v>
      </c>
      <c r="AC1053" t="str">
        <f>IF(SalesCleanTable[[#This Row],[Discount %]] &gt; SalesCleanTable[[#This Row],[Max Allowed Discount]], "Discount loss", "Safe")</f>
        <v>Safe</v>
      </c>
      <c r="AD1053" s="4">
        <f>SalesCleanTable[[#This Row],[Unit Price]] - SalesCleanTable[[#This Row],[Unit Cost]]</f>
        <v>1700</v>
      </c>
      <c r="AE1053" s="41">
        <f>(SalesCleanTable[[#This Row],[Unit Price]] - SalesCleanTable[[#This Row],[Unit Cost]]) / SalesCleanTable[[#This Row],[Unit Price]]</f>
        <v>0.21518987341772153</v>
      </c>
    </row>
    <row r="1054" spans="1:31">
      <c r="A1054" t="s">
        <v>1240</v>
      </c>
      <c r="B1054" s="6">
        <v>45818</v>
      </c>
      <c r="C1054" t="s">
        <v>53</v>
      </c>
      <c r="D1054" t="s">
        <v>54</v>
      </c>
      <c r="E1054" t="s">
        <v>38</v>
      </c>
      <c r="F1054" t="s">
        <v>55</v>
      </c>
      <c r="G1054" t="s">
        <v>56</v>
      </c>
      <c r="H1054" t="s">
        <v>128</v>
      </c>
      <c r="I1054" t="s">
        <v>129</v>
      </c>
      <c r="J1054" t="s">
        <v>130</v>
      </c>
      <c r="K1054" t="s">
        <v>131</v>
      </c>
      <c r="L1054" t="s">
        <v>166</v>
      </c>
      <c r="M1054" t="s">
        <v>171</v>
      </c>
      <c r="N1054">
        <v>2</v>
      </c>
      <c r="O1054" s="4">
        <v>330</v>
      </c>
      <c r="P1054" s="4">
        <v>550</v>
      </c>
      <c r="Q1054" s="7">
        <v>0.2</v>
      </c>
      <c r="R1054" t="s">
        <v>178</v>
      </c>
      <c r="S1054">
        <v>14</v>
      </c>
      <c r="T1054">
        <v>1100</v>
      </c>
      <c r="U1054">
        <v>220</v>
      </c>
      <c r="V1054">
        <v>880</v>
      </c>
      <c r="W1054">
        <v>660</v>
      </c>
      <c r="X1054">
        <v>220</v>
      </c>
      <c r="Y1054" s="8">
        <v>0.25</v>
      </c>
      <c r="Z1054" t="s">
        <v>2996</v>
      </c>
      <c r="AA1054" t="str">
        <f>IF(AND(SalesCleanTable[[#This Row],[Discount %]]&gt;0, SalesCleanTable[[#This Row],[Profit]]&lt;0), "Discount loss", "Safe")</f>
        <v>Safe</v>
      </c>
      <c r="AB1054" s="25">
        <f>(SalesCleanTable[[#This Row],[Unit Price]] - SalesCleanTable[[#This Row],[Unit Cost]]) / SalesCleanTable[[#This Row],[Unit Price]]</f>
        <v>0.4</v>
      </c>
      <c r="AC1054" t="str">
        <f>IF(SalesCleanTable[[#This Row],[Discount %]] &gt; SalesCleanTable[[#This Row],[Max Allowed Discount]], "Discount loss", "Safe")</f>
        <v>Safe</v>
      </c>
      <c r="AD1054" s="4">
        <f>SalesCleanTable[[#This Row],[Unit Price]] - SalesCleanTable[[#This Row],[Unit Cost]]</f>
        <v>220</v>
      </c>
      <c r="AE1054" s="41">
        <f>(SalesCleanTable[[#This Row],[Unit Price]] - SalesCleanTable[[#This Row],[Unit Cost]]) / SalesCleanTable[[#This Row],[Unit Price]]</f>
        <v>0.4</v>
      </c>
    </row>
    <row r="1055" spans="1:31">
      <c r="A1055" t="s">
        <v>1241</v>
      </c>
      <c r="B1055" s="6">
        <v>45974</v>
      </c>
      <c r="C1055" t="s">
        <v>32</v>
      </c>
      <c r="D1055" t="s">
        <v>33</v>
      </c>
      <c r="E1055" t="s">
        <v>26</v>
      </c>
      <c r="F1055" t="s">
        <v>34</v>
      </c>
      <c r="G1055" t="s">
        <v>35</v>
      </c>
      <c r="H1055" t="s">
        <v>133</v>
      </c>
      <c r="I1055" t="s">
        <v>134</v>
      </c>
      <c r="J1055" t="s">
        <v>130</v>
      </c>
      <c r="K1055" t="s">
        <v>131</v>
      </c>
      <c r="L1055" t="s">
        <v>170</v>
      </c>
      <c r="M1055" t="s">
        <v>171</v>
      </c>
      <c r="N1055">
        <v>5</v>
      </c>
      <c r="O1055" s="4">
        <v>7800</v>
      </c>
      <c r="P1055" s="4">
        <v>9800</v>
      </c>
      <c r="Q1055" s="7">
        <v>0</v>
      </c>
      <c r="R1055" t="s">
        <v>173</v>
      </c>
      <c r="S1055">
        <v>7</v>
      </c>
      <c r="T1055">
        <v>49000</v>
      </c>
      <c r="U1055">
        <v>0</v>
      </c>
      <c r="V1055">
        <v>49000</v>
      </c>
      <c r="W1055">
        <v>39000</v>
      </c>
      <c r="X1055">
        <v>10000</v>
      </c>
      <c r="Y1055" s="8">
        <v>0.20408163265306123</v>
      </c>
      <c r="Z1055" t="s">
        <v>2995</v>
      </c>
      <c r="AA1055" t="str">
        <f>IF(AND(SalesCleanTable[[#This Row],[Discount %]]&gt;0, SalesCleanTable[[#This Row],[Profit]]&lt;0), "Discount loss", "Safe")</f>
        <v>Safe</v>
      </c>
      <c r="AB1055" s="25">
        <f>(SalesCleanTable[[#This Row],[Unit Price]] - SalesCleanTable[[#This Row],[Unit Cost]]) / SalesCleanTable[[#This Row],[Unit Price]]</f>
        <v>0.20408163265306123</v>
      </c>
      <c r="AC1055" t="str">
        <f>IF(SalesCleanTable[[#This Row],[Discount %]] &gt; SalesCleanTable[[#This Row],[Max Allowed Discount]], "Discount loss", "Safe")</f>
        <v>Safe</v>
      </c>
      <c r="AD1055" s="4">
        <f>SalesCleanTable[[#This Row],[Unit Price]] - SalesCleanTable[[#This Row],[Unit Cost]]</f>
        <v>2000</v>
      </c>
      <c r="AE1055" s="41">
        <f>(SalesCleanTable[[#This Row],[Unit Price]] - SalesCleanTable[[#This Row],[Unit Cost]]) / SalesCleanTable[[#This Row],[Unit Price]]</f>
        <v>0.20408163265306123</v>
      </c>
    </row>
    <row r="1056" spans="1:31">
      <c r="A1056" t="s">
        <v>1242</v>
      </c>
      <c r="B1056" s="6">
        <v>45703</v>
      </c>
      <c r="C1056" t="s">
        <v>36</v>
      </c>
      <c r="D1056" t="s">
        <v>37</v>
      </c>
      <c r="E1056" t="s">
        <v>38</v>
      </c>
      <c r="F1056" t="s">
        <v>39</v>
      </c>
      <c r="G1056" t="s">
        <v>40</v>
      </c>
      <c r="H1056" t="s">
        <v>149</v>
      </c>
      <c r="I1056" t="s">
        <v>150</v>
      </c>
      <c r="J1056" t="s">
        <v>151</v>
      </c>
      <c r="K1056" t="s">
        <v>152</v>
      </c>
      <c r="L1056" t="s">
        <v>170</v>
      </c>
      <c r="M1056" t="s">
        <v>171</v>
      </c>
      <c r="N1056">
        <v>2</v>
      </c>
      <c r="O1056" s="4">
        <v>1650</v>
      </c>
      <c r="P1056" s="4">
        <v>2200</v>
      </c>
      <c r="Q1056" s="7">
        <v>0.15</v>
      </c>
      <c r="R1056" t="s">
        <v>178</v>
      </c>
      <c r="S1056">
        <v>5</v>
      </c>
      <c r="T1056">
        <v>4400</v>
      </c>
      <c r="U1056">
        <v>660</v>
      </c>
      <c r="V1056">
        <v>3740</v>
      </c>
      <c r="W1056">
        <v>3300</v>
      </c>
      <c r="X1056">
        <v>440</v>
      </c>
      <c r="Y1056" s="8">
        <v>0.11764705882352941</v>
      </c>
      <c r="Z1056" t="s">
        <v>2995</v>
      </c>
      <c r="AA1056" t="str">
        <f>IF(AND(SalesCleanTable[[#This Row],[Discount %]]&gt;0, SalesCleanTable[[#This Row],[Profit]]&lt;0), "Discount loss", "Safe")</f>
        <v>Safe</v>
      </c>
      <c r="AB1056" s="25">
        <f>(SalesCleanTable[[#This Row],[Unit Price]] - SalesCleanTable[[#This Row],[Unit Cost]]) / SalesCleanTable[[#This Row],[Unit Price]]</f>
        <v>0.25</v>
      </c>
      <c r="AC1056" t="str">
        <f>IF(SalesCleanTable[[#This Row],[Discount %]] &gt; SalesCleanTable[[#This Row],[Max Allowed Discount]], "Discount loss", "Safe")</f>
        <v>Safe</v>
      </c>
      <c r="AD1056" s="4">
        <f>SalesCleanTable[[#This Row],[Unit Price]] - SalesCleanTable[[#This Row],[Unit Cost]]</f>
        <v>550</v>
      </c>
      <c r="AE1056" s="41">
        <f>(SalesCleanTable[[#This Row],[Unit Price]] - SalesCleanTable[[#This Row],[Unit Cost]]) / SalesCleanTable[[#This Row],[Unit Price]]</f>
        <v>0.25</v>
      </c>
    </row>
    <row r="1057" spans="1:31">
      <c r="A1057" t="s">
        <v>1243</v>
      </c>
      <c r="B1057" s="6">
        <v>45680</v>
      </c>
      <c r="C1057" t="s">
        <v>32</v>
      </c>
      <c r="D1057" t="s">
        <v>33</v>
      </c>
      <c r="E1057" t="s">
        <v>26</v>
      </c>
      <c r="F1057" t="s">
        <v>34</v>
      </c>
      <c r="G1057" t="s">
        <v>35</v>
      </c>
      <c r="H1057" t="s">
        <v>153</v>
      </c>
      <c r="I1057" t="s">
        <v>154</v>
      </c>
      <c r="J1057" t="s">
        <v>155</v>
      </c>
      <c r="K1057" t="s">
        <v>131</v>
      </c>
      <c r="L1057" t="s">
        <v>183</v>
      </c>
      <c r="M1057" t="s">
        <v>171</v>
      </c>
      <c r="N1057">
        <v>1</v>
      </c>
      <c r="O1057" s="4">
        <v>7800</v>
      </c>
      <c r="P1057" s="4">
        <v>9800</v>
      </c>
      <c r="Q1057" s="7">
        <v>0.05</v>
      </c>
      <c r="R1057" t="s">
        <v>194</v>
      </c>
      <c r="S1057">
        <v>12</v>
      </c>
      <c r="T1057">
        <v>9800</v>
      </c>
      <c r="U1057">
        <v>490</v>
      </c>
      <c r="V1057">
        <v>9310</v>
      </c>
      <c r="W1057">
        <v>7800</v>
      </c>
      <c r="X1057">
        <v>1510</v>
      </c>
      <c r="Y1057" s="8">
        <v>0.16219119226638024</v>
      </c>
      <c r="Z1057" t="s">
        <v>2995</v>
      </c>
      <c r="AA1057" t="str">
        <f>IF(AND(SalesCleanTable[[#This Row],[Discount %]]&gt;0, SalesCleanTable[[#This Row],[Profit]]&lt;0), "Discount loss", "Safe")</f>
        <v>Safe</v>
      </c>
      <c r="AB1057" s="25">
        <f>(SalesCleanTable[[#This Row],[Unit Price]] - SalesCleanTable[[#This Row],[Unit Cost]]) / SalesCleanTable[[#This Row],[Unit Price]]</f>
        <v>0.20408163265306123</v>
      </c>
      <c r="AC1057" t="str">
        <f>IF(SalesCleanTable[[#This Row],[Discount %]] &gt; SalesCleanTable[[#This Row],[Max Allowed Discount]], "Discount loss", "Safe")</f>
        <v>Safe</v>
      </c>
      <c r="AD1057" s="4">
        <f>SalesCleanTable[[#This Row],[Unit Price]] - SalesCleanTable[[#This Row],[Unit Cost]]</f>
        <v>2000</v>
      </c>
      <c r="AE1057" s="41">
        <f>(SalesCleanTable[[#This Row],[Unit Price]] - SalesCleanTable[[#This Row],[Unit Cost]]) / SalesCleanTable[[#This Row],[Unit Price]]</f>
        <v>0.20408163265306123</v>
      </c>
    </row>
    <row r="1058" spans="1:31">
      <c r="A1058" t="s">
        <v>1244</v>
      </c>
      <c r="B1058" s="6">
        <v>45728</v>
      </c>
      <c r="C1058" t="s">
        <v>66</v>
      </c>
      <c r="D1058" t="s">
        <v>67</v>
      </c>
      <c r="E1058" t="s">
        <v>59</v>
      </c>
      <c r="F1058" t="s">
        <v>60</v>
      </c>
      <c r="G1058" t="s">
        <v>68</v>
      </c>
      <c r="H1058" t="s">
        <v>128</v>
      </c>
      <c r="I1058" t="s">
        <v>129</v>
      </c>
      <c r="J1058" t="s">
        <v>130</v>
      </c>
      <c r="K1058" t="s">
        <v>131</v>
      </c>
      <c r="L1058" t="s">
        <v>183</v>
      </c>
      <c r="M1058" t="s">
        <v>171</v>
      </c>
      <c r="N1058">
        <v>2</v>
      </c>
      <c r="O1058" s="4">
        <v>2800</v>
      </c>
      <c r="P1058" s="4">
        <v>3900</v>
      </c>
      <c r="Q1058" s="7">
        <v>0</v>
      </c>
      <c r="R1058" t="s">
        <v>204</v>
      </c>
      <c r="S1058">
        <v>11</v>
      </c>
      <c r="T1058">
        <v>7800</v>
      </c>
      <c r="U1058">
        <v>0</v>
      </c>
      <c r="V1058">
        <v>7800</v>
      </c>
      <c r="W1058">
        <v>5600</v>
      </c>
      <c r="X1058">
        <v>2200</v>
      </c>
      <c r="Y1058" s="8">
        <v>0.28205128205128205</v>
      </c>
      <c r="Z1058" t="s">
        <v>2996</v>
      </c>
      <c r="AA1058" t="str">
        <f>IF(AND(SalesCleanTable[[#This Row],[Discount %]]&gt;0, SalesCleanTable[[#This Row],[Profit]]&lt;0), "Discount loss", "Safe")</f>
        <v>Safe</v>
      </c>
      <c r="AB1058" s="25">
        <f>(SalesCleanTable[[#This Row],[Unit Price]] - SalesCleanTable[[#This Row],[Unit Cost]]) / SalesCleanTable[[#This Row],[Unit Price]]</f>
        <v>0.28205128205128205</v>
      </c>
      <c r="AC1058" t="str">
        <f>IF(SalesCleanTable[[#This Row],[Discount %]] &gt; SalesCleanTable[[#This Row],[Max Allowed Discount]], "Discount loss", "Safe")</f>
        <v>Safe</v>
      </c>
      <c r="AD1058" s="4">
        <f>SalesCleanTable[[#This Row],[Unit Price]] - SalesCleanTable[[#This Row],[Unit Cost]]</f>
        <v>1100</v>
      </c>
      <c r="AE1058" s="41">
        <f>(SalesCleanTable[[#This Row],[Unit Price]] - SalesCleanTable[[#This Row],[Unit Cost]]) / SalesCleanTable[[#This Row],[Unit Price]]</f>
        <v>0.28205128205128205</v>
      </c>
    </row>
    <row r="1059" spans="1:31">
      <c r="A1059" t="s">
        <v>1245</v>
      </c>
      <c r="B1059" s="6">
        <v>45720</v>
      </c>
      <c r="C1059" t="s">
        <v>57</v>
      </c>
      <c r="D1059" t="s">
        <v>58</v>
      </c>
      <c r="E1059" t="s">
        <v>59</v>
      </c>
      <c r="F1059" t="s">
        <v>60</v>
      </c>
      <c r="G1059" t="s">
        <v>61</v>
      </c>
      <c r="H1059" t="s">
        <v>133</v>
      </c>
      <c r="I1059" t="s">
        <v>134</v>
      </c>
      <c r="J1059" t="s">
        <v>130</v>
      </c>
      <c r="K1059" t="s">
        <v>131</v>
      </c>
      <c r="L1059" t="s">
        <v>166</v>
      </c>
      <c r="M1059" t="s">
        <v>171</v>
      </c>
      <c r="N1059">
        <v>3</v>
      </c>
      <c r="O1059" s="4">
        <v>2400</v>
      </c>
      <c r="P1059" s="4">
        <v>3400</v>
      </c>
      <c r="Q1059" s="7">
        <v>0.05</v>
      </c>
      <c r="R1059" t="s">
        <v>204</v>
      </c>
      <c r="S1059">
        <v>4</v>
      </c>
      <c r="T1059">
        <v>10200</v>
      </c>
      <c r="U1059">
        <v>510</v>
      </c>
      <c r="V1059">
        <v>9690</v>
      </c>
      <c r="W1059">
        <v>7200</v>
      </c>
      <c r="X1059">
        <v>2490</v>
      </c>
      <c r="Y1059" s="8">
        <v>0.25696594427244585</v>
      </c>
      <c r="Z1059" t="s">
        <v>2996</v>
      </c>
      <c r="AA1059" t="str">
        <f>IF(AND(SalesCleanTable[[#This Row],[Discount %]]&gt;0, SalesCleanTable[[#This Row],[Profit]]&lt;0), "Discount loss", "Safe")</f>
        <v>Safe</v>
      </c>
      <c r="AB1059" s="25">
        <f>(SalesCleanTable[[#This Row],[Unit Price]] - SalesCleanTable[[#This Row],[Unit Cost]]) / SalesCleanTable[[#This Row],[Unit Price]]</f>
        <v>0.29411764705882354</v>
      </c>
      <c r="AC1059" t="str">
        <f>IF(SalesCleanTable[[#This Row],[Discount %]] &gt; SalesCleanTable[[#This Row],[Max Allowed Discount]], "Discount loss", "Safe")</f>
        <v>Safe</v>
      </c>
      <c r="AD1059" s="4">
        <f>SalesCleanTable[[#This Row],[Unit Price]] - SalesCleanTable[[#This Row],[Unit Cost]]</f>
        <v>1000</v>
      </c>
      <c r="AE1059" s="41">
        <f>(SalesCleanTable[[#This Row],[Unit Price]] - SalesCleanTable[[#This Row],[Unit Cost]]) / SalesCleanTable[[#This Row],[Unit Price]]</f>
        <v>0.29411764705882354</v>
      </c>
    </row>
    <row r="1060" spans="1:31">
      <c r="A1060" t="s">
        <v>1246</v>
      </c>
      <c r="B1060" s="6">
        <v>45809</v>
      </c>
      <c r="C1060" t="s">
        <v>82</v>
      </c>
      <c r="D1060" t="s">
        <v>83</v>
      </c>
      <c r="E1060" t="s">
        <v>75</v>
      </c>
      <c r="F1060" t="s">
        <v>84</v>
      </c>
      <c r="G1060" t="s">
        <v>85</v>
      </c>
      <c r="H1060" t="s">
        <v>135</v>
      </c>
      <c r="I1060" t="s">
        <v>136</v>
      </c>
      <c r="J1060" t="s">
        <v>137</v>
      </c>
      <c r="K1060" t="s">
        <v>138</v>
      </c>
      <c r="L1060" t="s">
        <v>183</v>
      </c>
      <c r="M1060" t="s">
        <v>171</v>
      </c>
      <c r="N1060">
        <v>5</v>
      </c>
      <c r="O1060" s="4">
        <v>600</v>
      </c>
      <c r="P1060" s="4">
        <v>950</v>
      </c>
      <c r="Q1060" s="7">
        <v>0</v>
      </c>
      <c r="R1060" t="s">
        <v>204</v>
      </c>
      <c r="S1060">
        <v>2</v>
      </c>
      <c r="T1060">
        <v>4750</v>
      </c>
      <c r="U1060">
        <v>0</v>
      </c>
      <c r="V1060">
        <v>4750</v>
      </c>
      <c r="W1060">
        <v>3000</v>
      </c>
      <c r="X1060">
        <v>1750</v>
      </c>
      <c r="Y1060" s="8">
        <v>0.36842105263157893</v>
      </c>
      <c r="Z1060" t="s">
        <v>2996</v>
      </c>
      <c r="AA1060" t="str">
        <f>IF(AND(SalesCleanTable[[#This Row],[Discount %]]&gt;0, SalesCleanTable[[#This Row],[Profit]]&lt;0), "Discount loss", "Safe")</f>
        <v>Safe</v>
      </c>
      <c r="AB1060" s="25">
        <f>(SalesCleanTable[[#This Row],[Unit Price]] - SalesCleanTable[[#This Row],[Unit Cost]]) / SalesCleanTable[[#This Row],[Unit Price]]</f>
        <v>0.36842105263157893</v>
      </c>
      <c r="AC1060" t="str">
        <f>IF(SalesCleanTable[[#This Row],[Discount %]] &gt; SalesCleanTable[[#This Row],[Max Allowed Discount]], "Discount loss", "Safe")</f>
        <v>Safe</v>
      </c>
      <c r="AD1060" s="4">
        <f>SalesCleanTable[[#This Row],[Unit Price]] - SalesCleanTable[[#This Row],[Unit Cost]]</f>
        <v>350</v>
      </c>
      <c r="AE1060" s="41">
        <f>(SalesCleanTable[[#This Row],[Unit Price]] - SalesCleanTable[[#This Row],[Unit Cost]]) / SalesCleanTable[[#This Row],[Unit Price]]</f>
        <v>0.36842105263157893</v>
      </c>
    </row>
    <row r="1061" spans="1:31">
      <c r="A1061" t="s">
        <v>1247</v>
      </c>
      <c r="B1061" s="6">
        <v>45911</v>
      </c>
      <c r="C1061" t="s">
        <v>29</v>
      </c>
      <c r="D1061" t="s">
        <v>30</v>
      </c>
      <c r="E1061" t="s">
        <v>26</v>
      </c>
      <c r="F1061" t="s">
        <v>27</v>
      </c>
      <c r="G1061" t="s">
        <v>31</v>
      </c>
      <c r="H1061" t="s">
        <v>128</v>
      </c>
      <c r="I1061" t="s">
        <v>129</v>
      </c>
      <c r="J1061" t="s">
        <v>130</v>
      </c>
      <c r="K1061" t="s">
        <v>131</v>
      </c>
      <c r="L1061" t="s">
        <v>166</v>
      </c>
      <c r="M1061" t="s">
        <v>177</v>
      </c>
      <c r="N1061">
        <v>1</v>
      </c>
      <c r="O1061" s="4">
        <v>6200</v>
      </c>
      <c r="P1061" s="4">
        <v>7900</v>
      </c>
      <c r="Q1061" s="7">
        <v>0.15</v>
      </c>
      <c r="R1061" t="s">
        <v>197</v>
      </c>
      <c r="S1061">
        <v>14</v>
      </c>
      <c r="T1061">
        <v>7900</v>
      </c>
      <c r="U1061">
        <v>1185</v>
      </c>
      <c r="V1061">
        <v>6715</v>
      </c>
      <c r="W1061">
        <v>6200</v>
      </c>
      <c r="X1061">
        <v>515</v>
      </c>
      <c r="Y1061" s="8">
        <v>7.6693968726731204E-2</v>
      </c>
      <c r="Z1061" t="s">
        <v>2996</v>
      </c>
      <c r="AA1061" t="str">
        <f>IF(AND(SalesCleanTable[[#This Row],[Discount %]]&gt;0, SalesCleanTable[[#This Row],[Profit]]&lt;0), "Discount loss", "Safe")</f>
        <v>Safe</v>
      </c>
      <c r="AB1061" s="25">
        <f>(SalesCleanTable[[#This Row],[Unit Price]] - SalesCleanTable[[#This Row],[Unit Cost]]) / SalesCleanTable[[#This Row],[Unit Price]]</f>
        <v>0.21518987341772153</v>
      </c>
      <c r="AC1061" t="str">
        <f>IF(SalesCleanTable[[#This Row],[Discount %]] &gt; SalesCleanTable[[#This Row],[Max Allowed Discount]], "Discount loss", "Safe")</f>
        <v>Safe</v>
      </c>
      <c r="AD1061" s="4">
        <f>SalesCleanTable[[#This Row],[Unit Price]] - SalesCleanTable[[#This Row],[Unit Cost]]</f>
        <v>1700</v>
      </c>
      <c r="AE1061" s="41">
        <f>(SalesCleanTable[[#This Row],[Unit Price]] - SalesCleanTable[[#This Row],[Unit Cost]]) / SalesCleanTable[[#This Row],[Unit Price]]</f>
        <v>0.21518987341772153</v>
      </c>
    </row>
    <row r="1062" spans="1:31">
      <c r="A1062" t="s">
        <v>1248</v>
      </c>
      <c r="B1062" s="6">
        <v>45928</v>
      </c>
      <c r="C1062" t="s">
        <v>57</v>
      </c>
      <c r="D1062" t="s">
        <v>58</v>
      </c>
      <c r="E1062" t="s">
        <v>59</v>
      </c>
      <c r="F1062" t="s">
        <v>60</v>
      </c>
      <c r="G1062" t="s">
        <v>61</v>
      </c>
      <c r="H1062" t="s">
        <v>135</v>
      </c>
      <c r="I1062" t="s">
        <v>136</v>
      </c>
      <c r="J1062" t="s">
        <v>137</v>
      </c>
      <c r="K1062" t="s">
        <v>138</v>
      </c>
      <c r="L1062" t="s">
        <v>183</v>
      </c>
      <c r="M1062" t="s">
        <v>171</v>
      </c>
      <c r="N1062">
        <v>8</v>
      </c>
      <c r="O1062" s="4">
        <v>2400</v>
      </c>
      <c r="P1062" s="4">
        <v>3400</v>
      </c>
      <c r="Q1062" s="7">
        <v>0.1</v>
      </c>
      <c r="R1062" t="s">
        <v>192</v>
      </c>
      <c r="S1062">
        <v>3</v>
      </c>
      <c r="T1062">
        <v>27200</v>
      </c>
      <c r="U1062">
        <v>2720</v>
      </c>
      <c r="V1062">
        <v>24480</v>
      </c>
      <c r="W1062">
        <v>19200</v>
      </c>
      <c r="X1062">
        <v>5280</v>
      </c>
      <c r="Y1062" s="8">
        <v>0.21568627450980393</v>
      </c>
      <c r="Z1062" t="s">
        <v>2996</v>
      </c>
      <c r="AA1062" t="str">
        <f>IF(AND(SalesCleanTable[[#This Row],[Discount %]]&gt;0, SalesCleanTable[[#This Row],[Profit]]&lt;0), "Discount loss", "Safe")</f>
        <v>Safe</v>
      </c>
      <c r="AB1062" s="25">
        <f>(SalesCleanTable[[#This Row],[Unit Price]] - SalesCleanTable[[#This Row],[Unit Cost]]) / SalesCleanTable[[#This Row],[Unit Price]]</f>
        <v>0.29411764705882354</v>
      </c>
      <c r="AC1062" t="str">
        <f>IF(SalesCleanTable[[#This Row],[Discount %]] &gt; SalesCleanTable[[#This Row],[Max Allowed Discount]], "Discount loss", "Safe")</f>
        <v>Safe</v>
      </c>
      <c r="AD1062" s="4">
        <f>SalesCleanTable[[#This Row],[Unit Price]] - SalesCleanTable[[#This Row],[Unit Cost]]</f>
        <v>1000</v>
      </c>
      <c r="AE1062" s="41">
        <f>(SalesCleanTable[[#This Row],[Unit Price]] - SalesCleanTable[[#This Row],[Unit Cost]]) / SalesCleanTable[[#This Row],[Unit Price]]</f>
        <v>0.29411764705882354</v>
      </c>
    </row>
    <row r="1063" spans="1:31">
      <c r="A1063" t="s">
        <v>1249</v>
      </c>
      <c r="B1063" s="6">
        <v>45844</v>
      </c>
      <c r="C1063" t="s">
        <v>49</v>
      </c>
      <c r="D1063" t="s">
        <v>50</v>
      </c>
      <c r="E1063" t="s">
        <v>38</v>
      </c>
      <c r="F1063" t="s">
        <v>51</v>
      </c>
      <c r="G1063" t="s">
        <v>52</v>
      </c>
      <c r="H1063" t="s">
        <v>139</v>
      </c>
      <c r="I1063" t="s">
        <v>140</v>
      </c>
      <c r="J1063" t="s">
        <v>137</v>
      </c>
      <c r="K1063" t="s">
        <v>138</v>
      </c>
      <c r="L1063" t="s">
        <v>166</v>
      </c>
      <c r="M1063" t="s">
        <v>177</v>
      </c>
      <c r="N1063">
        <v>3</v>
      </c>
      <c r="O1063" s="4">
        <v>550</v>
      </c>
      <c r="P1063" s="4">
        <v>850</v>
      </c>
      <c r="Q1063" s="7">
        <v>0</v>
      </c>
      <c r="R1063" t="s">
        <v>175</v>
      </c>
      <c r="S1063">
        <v>3</v>
      </c>
      <c r="T1063">
        <v>2550</v>
      </c>
      <c r="U1063">
        <v>0</v>
      </c>
      <c r="V1063">
        <v>2550</v>
      </c>
      <c r="W1063">
        <v>1650</v>
      </c>
      <c r="X1063">
        <v>900</v>
      </c>
      <c r="Y1063" s="8">
        <v>0.35294117647058826</v>
      </c>
      <c r="Z1063" t="s">
        <v>2996</v>
      </c>
      <c r="AA1063" t="str">
        <f>IF(AND(SalesCleanTable[[#This Row],[Discount %]]&gt;0, SalesCleanTable[[#This Row],[Profit]]&lt;0), "Discount loss", "Safe")</f>
        <v>Safe</v>
      </c>
      <c r="AB1063" s="25">
        <f>(SalesCleanTable[[#This Row],[Unit Price]] - SalesCleanTable[[#This Row],[Unit Cost]]) / SalesCleanTable[[#This Row],[Unit Price]]</f>
        <v>0.35294117647058826</v>
      </c>
      <c r="AC1063" t="str">
        <f>IF(SalesCleanTable[[#This Row],[Discount %]] &gt; SalesCleanTable[[#This Row],[Max Allowed Discount]], "Discount loss", "Safe")</f>
        <v>Safe</v>
      </c>
      <c r="AD1063" s="4">
        <f>SalesCleanTable[[#This Row],[Unit Price]] - SalesCleanTable[[#This Row],[Unit Cost]]</f>
        <v>300</v>
      </c>
      <c r="AE1063" s="41">
        <f>(SalesCleanTable[[#This Row],[Unit Price]] - SalesCleanTable[[#This Row],[Unit Cost]]) / SalesCleanTable[[#This Row],[Unit Price]]</f>
        <v>0.35294117647058826</v>
      </c>
    </row>
    <row r="1064" spans="1:31">
      <c r="A1064" t="s">
        <v>1250</v>
      </c>
      <c r="B1064" s="6">
        <v>45953</v>
      </c>
      <c r="C1064" t="s">
        <v>78</v>
      </c>
      <c r="D1064" t="s">
        <v>79</v>
      </c>
      <c r="E1064" t="s">
        <v>75</v>
      </c>
      <c r="F1064" t="s">
        <v>80</v>
      </c>
      <c r="G1064" t="s">
        <v>81</v>
      </c>
      <c r="H1064" t="s">
        <v>133</v>
      </c>
      <c r="I1064" t="s">
        <v>134</v>
      </c>
      <c r="J1064" t="s">
        <v>130</v>
      </c>
      <c r="K1064" t="s">
        <v>131</v>
      </c>
      <c r="L1064" t="s">
        <v>166</v>
      </c>
      <c r="M1064" t="s">
        <v>171</v>
      </c>
      <c r="N1064">
        <v>6</v>
      </c>
      <c r="O1064" s="4">
        <v>1200</v>
      </c>
      <c r="P1064" s="4">
        <v>1900</v>
      </c>
      <c r="Q1064" s="7">
        <v>0.1</v>
      </c>
      <c r="R1064" t="s">
        <v>187</v>
      </c>
      <c r="S1064">
        <v>5</v>
      </c>
      <c r="T1064">
        <v>11400</v>
      </c>
      <c r="U1064">
        <v>1140</v>
      </c>
      <c r="V1064">
        <v>10260</v>
      </c>
      <c r="W1064">
        <v>7200</v>
      </c>
      <c r="X1064">
        <v>3060</v>
      </c>
      <c r="Y1064" s="8">
        <v>0.2982456140350877</v>
      </c>
      <c r="Z1064" t="s">
        <v>2996</v>
      </c>
      <c r="AA1064" t="str">
        <f>IF(AND(SalesCleanTable[[#This Row],[Discount %]]&gt;0, SalesCleanTable[[#This Row],[Profit]]&lt;0), "Discount loss", "Safe")</f>
        <v>Safe</v>
      </c>
      <c r="AB1064" s="25">
        <f>(SalesCleanTable[[#This Row],[Unit Price]] - SalesCleanTable[[#This Row],[Unit Cost]]) / SalesCleanTable[[#This Row],[Unit Price]]</f>
        <v>0.36842105263157893</v>
      </c>
      <c r="AC1064" t="str">
        <f>IF(SalesCleanTable[[#This Row],[Discount %]] &gt; SalesCleanTable[[#This Row],[Max Allowed Discount]], "Discount loss", "Safe")</f>
        <v>Safe</v>
      </c>
      <c r="AD1064" s="4">
        <f>SalesCleanTable[[#This Row],[Unit Price]] - SalesCleanTable[[#This Row],[Unit Cost]]</f>
        <v>700</v>
      </c>
      <c r="AE1064" s="41">
        <f>(SalesCleanTable[[#This Row],[Unit Price]] - SalesCleanTable[[#This Row],[Unit Cost]]) / SalesCleanTable[[#This Row],[Unit Price]]</f>
        <v>0.36842105263157893</v>
      </c>
    </row>
    <row r="1065" spans="1:31">
      <c r="A1065" t="s">
        <v>1251</v>
      </c>
      <c r="B1065" s="6">
        <v>45996</v>
      </c>
      <c r="C1065" t="s">
        <v>57</v>
      </c>
      <c r="D1065" t="s">
        <v>58</v>
      </c>
      <c r="E1065" t="s">
        <v>59</v>
      </c>
      <c r="F1065" t="s">
        <v>60</v>
      </c>
      <c r="G1065" t="s">
        <v>61</v>
      </c>
      <c r="H1065" t="s">
        <v>135</v>
      </c>
      <c r="I1065" t="s">
        <v>136</v>
      </c>
      <c r="J1065" t="s">
        <v>137</v>
      </c>
      <c r="K1065" t="s">
        <v>138</v>
      </c>
      <c r="L1065" t="s">
        <v>166</v>
      </c>
      <c r="M1065" t="s">
        <v>167</v>
      </c>
      <c r="N1065">
        <v>1</v>
      </c>
      <c r="O1065" s="4">
        <v>2400</v>
      </c>
      <c r="P1065" s="4">
        <v>3400</v>
      </c>
      <c r="Q1065" s="7">
        <v>0.1</v>
      </c>
      <c r="R1065" t="s">
        <v>204</v>
      </c>
      <c r="S1065">
        <v>9</v>
      </c>
      <c r="T1065">
        <v>3400</v>
      </c>
      <c r="U1065">
        <v>340</v>
      </c>
      <c r="V1065">
        <v>3060</v>
      </c>
      <c r="W1065">
        <v>2400</v>
      </c>
      <c r="X1065">
        <v>660</v>
      </c>
      <c r="Y1065" s="8">
        <v>0.21568627450980393</v>
      </c>
      <c r="Z1065" t="s">
        <v>2996</v>
      </c>
      <c r="AA1065" t="str">
        <f>IF(AND(SalesCleanTable[[#This Row],[Discount %]]&gt;0, SalesCleanTable[[#This Row],[Profit]]&lt;0), "Discount loss", "Safe")</f>
        <v>Safe</v>
      </c>
      <c r="AB1065" s="25">
        <f>(SalesCleanTable[[#This Row],[Unit Price]] - SalesCleanTable[[#This Row],[Unit Cost]]) / SalesCleanTable[[#This Row],[Unit Price]]</f>
        <v>0.29411764705882354</v>
      </c>
      <c r="AC1065" t="str">
        <f>IF(SalesCleanTable[[#This Row],[Discount %]] &gt; SalesCleanTable[[#This Row],[Max Allowed Discount]], "Discount loss", "Safe")</f>
        <v>Safe</v>
      </c>
      <c r="AD1065" s="4">
        <f>SalesCleanTable[[#This Row],[Unit Price]] - SalesCleanTable[[#This Row],[Unit Cost]]</f>
        <v>1000</v>
      </c>
      <c r="AE1065" s="41">
        <f>(SalesCleanTable[[#This Row],[Unit Price]] - SalesCleanTable[[#This Row],[Unit Cost]]) / SalesCleanTable[[#This Row],[Unit Price]]</f>
        <v>0.29411764705882354</v>
      </c>
    </row>
    <row r="1066" spans="1:31">
      <c r="A1066" t="s">
        <v>1252</v>
      </c>
      <c r="B1066" s="6">
        <v>45828</v>
      </c>
      <c r="C1066" t="s">
        <v>24</v>
      </c>
      <c r="D1066" t="s">
        <v>25</v>
      </c>
      <c r="E1066" t="s">
        <v>26</v>
      </c>
      <c r="F1066" t="s">
        <v>27</v>
      </c>
      <c r="G1066" t="s">
        <v>28</v>
      </c>
      <c r="H1066" t="s">
        <v>135</v>
      </c>
      <c r="I1066" t="s">
        <v>136</v>
      </c>
      <c r="J1066" t="s">
        <v>137</v>
      </c>
      <c r="K1066" t="s">
        <v>138</v>
      </c>
      <c r="L1066" t="s">
        <v>183</v>
      </c>
      <c r="M1066" t="s">
        <v>186</v>
      </c>
      <c r="N1066">
        <v>1</v>
      </c>
      <c r="O1066" s="4">
        <v>14500</v>
      </c>
      <c r="P1066" s="4">
        <v>17500</v>
      </c>
      <c r="Q1066" s="7">
        <v>0.1</v>
      </c>
      <c r="R1066" t="s">
        <v>194</v>
      </c>
      <c r="S1066">
        <v>4</v>
      </c>
      <c r="T1066">
        <v>17500</v>
      </c>
      <c r="U1066">
        <v>1750</v>
      </c>
      <c r="V1066">
        <v>15750</v>
      </c>
      <c r="W1066">
        <v>14500</v>
      </c>
      <c r="X1066">
        <v>1250</v>
      </c>
      <c r="Y1066" s="8">
        <v>7.9365079365079361E-2</v>
      </c>
      <c r="Z1066" t="s">
        <v>2995</v>
      </c>
      <c r="AA1066" t="str">
        <f>IF(AND(SalesCleanTable[[#This Row],[Discount %]]&gt;0, SalesCleanTable[[#This Row],[Profit]]&lt;0), "Discount loss", "Safe")</f>
        <v>Safe</v>
      </c>
      <c r="AB1066" s="25">
        <f>(SalesCleanTable[[#This Row],[Unit Price]] - SalesCleanTable[[#This Row],[Unit Cost]]) / SalesCleanTable[[#This Row],[Unit Price]]</f>
        <v>0.17142857142857143</v>
      </c>
      <c r="AC1066" t="str">
        <f>IF(SalesCleanTable[[#This Row],[Discount %]] &gt; SalesCleanTable[[#This Row],[Max Allowed Discount]], "Discount loss", "Safe")</f>
        <v>Safe</v>
      </c>
      <c r="AD1066" s="4">
        <f>SalesCleanTable[[#This Row],[Unit Price]] - SalesCleanTable[[#This Row],[Unit Cost]]</f>
        <v>3000</v>
      </c>
      <c r="AE1066" s="41">
        <f>(SalesCleanTable[[#This Row],[Unit Price]] - SalesCleanTable[[#This Row],[Unit Cost]]) / SalesCleanTable[[#This Row],[Unit Price]]</f>
        <v>0.17142857142857143</v>
      </c>
    </row>
    <row r="1067" spans="1:31">
      <c r="A1067" t="s">
        <v>1253</v>
      </c>
      <c r="B1067" s="6">
        <v>45962</v>
      </c>
      <c r="C1067" t="s">
        <v>45</v>
      </c>
      <c r="D1067" t="s">
        <v>46</v>
      </c>
      <c r="E1067" t="s">
        <v>38</v>
      </c>
      <c r="F1067" t="s">
        <v>47</v>
      </c>
      <c r="G1067" t="s">
        <v>48</v>
      </c>
      <c r="H1067" t="s">
        <v>141</v>
      </c>
      <c r="I1067" t="s">
        <v>142</v>
      </c>
      <c r="J1067" t="s">
        <v>143</v>
      </c>
      <c r="K1067" t="s">
        <v>144</v>
      </c>
      <c r="L1067" t="s">
        <v>166</v>
      </c>
      <c r="M1067" t="s">
        <v>167</v>
      </c>
      <c r="N1067">
        <v>3</v>
      </c>
      <c r="O1067" s="4">
        <v>230</v>
      </c>
      <c r="P1067" s="4">
        <v>400</v>
      </c>
      <c r="Q1067" s="7">
        <v>0</v>
      </c>
      <c r="R1067" t="s">
        <v>178</v>
      </c>
      <c r="S1067">
        <v>4</v>
      </c>
      <c r="T1067">
        <v>1200</v>
      </c>
      <c r="U1067">
        <v>0</v>
      </c>
      <c r="V1067">
        <v>1200</v>
      </c>
      <c r="W1067">
        <v>690</v>
      </c>
      <c r="X1067">
        <v>510</v>
      </c>
      <c r="Y1067" s="8">
        <v>0.42499999999999999</v>
      </c>
      <c r="Z1067" t="s">
        <v>2995</v>
      </c>
      <c r="AA1067" t="str">
        <f>IF(AND(SalesCleanTable[[#This Row],[Discount %]]&gt;0, SalesCleanTable[[#This Row],[Profit]]&lt;0), "Discount loss", "Safe")</f>
        <v>Safe</v>
      </c>
      <c r="AB1067" s="25">
        <f>(SalesCleanTable[[#This Row],[Unit Price]] - SalesCleanTable[[#This Row],[Unit Cost]]) / SalesCleanTable[[#This Row],[Unit Price]]</f>
        <v>0.42499999999999999</v>
      </c>
      <c r="AC1067" t="str">
        <f>IF(SalesCleanTable[[#This Row],[Discount %]] &gt; SalesCleanTable[[#This Row],[Max Allowed Discount]], "Discount loss", "Safe")</f>
        <v>Safe</v>
      </c>
      <c r="AD1067" s="4">
        <f>SalesCleanTable[[#This Row],[Unit Price]] - SalesCleanTable[[#This Row],[Unit Cost]]</f>
        <v>170</v>
      </c>
      <c r="AE1067" s="41">
        <f>(SalesCleanTable[[#This Row],[Unit Price]] - SalesCleanTable[[#This Row],[Unit Cost]]) / SalesCleanTable[[#This Row],[Unit Price]]</f>
        <v>0.42499999999999999</v>
      </c>
    </row>
    <row r="1068" spans="1:31">
      <c r="A1068" t="s">
        <v>1254</v>
      </c>
      <c r="B1068" s="6">
        <v>45676</v>
      </c>
      <c r="C1068" t="s">
        <v>66</v>
      </c>
      <c r="D1068" t="s">
        <v>67</v>
      </c>
      <c r="E1068" t="s">
        <v>59</v>
      </c>
      <c r="F1068" t="s">
        <v>60</v>
      </c>
      <c r="G1068" t="s">
        <v>68</v>
      </c>
      <c r="H1068" t="s">
        <v>133</v>
      </c>
      <c r="I1068" t="s">
        <v>134</v>
      </c>
      <c r="J1068" t="s">
        <v>130</v>
      </c>
      <c r="K1068" t="s">
        <v>131</v>
      </c>
      <c r="L1068" t="s">
        <v>183</v>
      </c>
      <c r="M1068" t="s">
        <v>171</v>
      </c>
      <c r="N1068">
        <v>3</v>
      </c>
      <c r="O1068" s="4">
        <v>2800</v>
      </c>
      <c r="P1068" s="4">
        <v>3900</v>
      </c>
      <c r="Q1068" s="7">
        <v>0</v>
      </c>
      <c r="R1068" t="s">
        <v>204</v>
      </c>
      <c r="S1068">
        <v>7</v>
      </c>
      <c r="T1068">
        <v>11700</v>
      </c>
      <c r="U1068">
        <v>0</v>
      </c>
      <c r="V1068">
        <v>11700</v>
      </c>
      <c r="W1068">
        <v>8400</v>
      </c>
      <c r="X1068">
        <v>3300</v>
      </c>
      <c r="Y1068" s="8">
        <v>0.28205128205128205</v>
      </c>
      <c r="Z1068" t="s">
        <v>2996</v>
      </c>
      <c r="AA1068" t="str">
        <f>IF(AND(SalesCleanTable[[#This Row],[Discount %]]&gt;0, SalesCleanTable[[#This Row],[Profit]]&lt;0), "Discount loss", "Safe")</f>
        <v>Safe</v>
      </c>
      <c r="AB1068" s="25">
        <f>(SalesCleanTable[[#This Row],[Unit Price]] - SalesCleanTable[[#This Row],[Unit Cost]]) / SalesCleanTable[[#This Row],[Unit Price]]</f>
        <v>0.28205128205128205</v>
      </c>
      <c r="AC1068" t="str">
        <f>IF(SalesCleanTable[[#This Row],[Discount %]] &gt; SalesCleanTable[[#This Row],[Max Allowed Discount]], "Discount loss", "Safe")</f>
        <v>Safe</v>
      </c>
      <c r="AD1068" s="4">
        <f>SalesCleanTable[[#This Row],[Unit Price]] - SalesCleanTable[[#This Row],[Unit Cost]]</f>
        <v>1100</v>
      </c>
      <c r="AE1068" s="41">
        <f>(SalesCleanTable[[#This Row],[Unit Price]] - SalesCleanTable[[#This Row],[Unit Cost]]) / SalesCleanTable[[#This Row],[Unit Price]]</f>
        <v>0.28205128205128205</v>
      </c>
    </row>
    <row r="1069" spans="1:31">
      <c r="A1069" t="s">
        <v>1255</v>
      </c>
      <c r="B1069" s="6">
        <v>45770</v>
      </c>
      <c r="C1069" t="s">
        <v>82</v>
      </c>
      <c r="D1069" t="s">
        <v>83</v>
      </c>
      <c r="E1069" t="s">
        <v>75</v>
      </c>
      <c r="F1069" t="s">
        <v>84</v>
      </c>
      <c r="G1069" t="s">
        <v>85</v>
      </c>
      <c r="H1069" t="s">
        <v>149</v>
      </c>
      <c r="I1069" t="s">
        <v>150</v>
      </c>
      <c r="J1069" t="s">
        <v>151</v>
      </c>
      <c r="K1069" t="s">
        <v>152</v>
      </c>
      <c r="L1069" t="s">
        <v>183</v>
      </c>
      <c r="M1069" t="s">
        <v>186</v>
      </c>
      <c r="N1069">
        <v>2</v>
      </c>
      <c r="O1069" s="4">
        <v>600</v>
      </c>
      <c r="P1069" s="4">
        <v>950</v>
      </c>
      <c r="Q1069" s="7">
        <v>0</v>
      </c>
      <c r="R1069" t="s">
        <v>208</v>
      </c>
      <c r="S1069">
        <v>12</v>
      </c>
      <c r="T1069">
        <v>1900</v>
      </c>
      <c r="U1069">
        <v>0</v>
      </c>
      <c r="V1069">
        <v>1900</v>
      </c>
      <c r="W1069">
        <v>1200</v>
      </c>
      <c r="X1069">
        <v>700</v>
      </c>
      <c r="Y1069" s="8">
        <v>0.36842105263157893</v>
      </c>
      <c r="Z1069" t="s">
        <v>2996</v>
      </c>
      <c r="AA1069" t="str">
        <f>IF(AND(SalesCleanTable[[#This Row],[Discount %]]&gt;0, SalesCleanTable[[#This Row],[Profit]]&lt;0), "Discount loss", "Safe")</f>
        <v>Safe</v>
      </c>
      <c r="AB1069" s="25">
        <f>(SalesCleanTable[[#This Row],[Unit Price]] - SalesCleanTable[[#This Row],[Unit Cost]]) / SalesCleanTable[[#This Row],[Unit Price]]</f>
        <v>0.36842105263157893</v>
      </c>
      <c r="AC1069" t="str">
        <f>IF(SalesCleanTable[[#This Row],[Discount %]] &gt; SalesCleanTable[[#This Row],[Max Allowed Discount]], "Discount loss", "Safe")</f>
        <v>Safe</v>
      </c>
      <c r="AD1069" s="4">
        <f>SalesCleanTable[[#This Row],[Unit Price]] - SalesCleanTable[[#This Row],[Unit Cost]]</f>
        <v>350</v>
      </c>
      <c r="AE1069" s="41">
        <f>(SalesCleanTable[[#This Row],[Unit Price]] - SalesCleanTable[[#This Row],[Unit Cost]]) / SalesCleanTable[[#This Row],[Unit Price]]</f>
        <v>0.36842105263157893</v>
      </c>
    </row>
    <row r="1070" spans="1:31">
      <c r="A1070" t="s">
        <v>1256</v>
      </c>
      <c r="B1070" s="6">
        <v>45659</v>
      </c>
      <c r="C1070" t="s">
        <v>29</v>
      </c>
      <c r="D1070" t="s">
        <v>30</v>
      </c>
      <c r="E1070" t="s">
        <v>26</v>
      </c>
      <c r="F1070" t="s">
        <v>27</v>
      </c>
      <c r="G1070" t="s">
        <v>31</v>
      </c>
      <c r="H1070" t="s">
        <v>139</v>
      </c>
      <c r="I1070" t="s">
        <v>140</v>
      </c>
      <c r="J1070" t="s">
        <v>137</v>
      </c>
      <c r="K1070" t="s">
        <v>138</v>
      </c>
      <c r="L1070" t="s">
        <v>166</v>
      </c>
      <c r="M1070" t="s">
        <v>171</v>
      </c>
      <c r="N1070">
        <v>4</v>
      </c>
      <c r="O1070" s="4">
        <v>6200</v>
      </c>
      <c r="P1070" s="4">
        <v>7900</v>
      </c>
      <c r="Q1070" s="7">
        <v>0.05</v>
      </c>
      <c r="R1070" t="s">
        <v>197</v>
      </c>
      <c r="S1070">
        <v>3</v>
      </c>
      <c r="T1070">
        <v>31600</v>
      </c>
      <c r="U1070">
        <v>1580</v>
      </c>
      <c r="V1070">
        <v>30020</v>
      </c>
      <c r="W1070">
        <v>24800</v>
      </c>
      <c r="X1070">
        <v>5220</v>
      </c>
      <c r="Y1070" s="8">
        <v>0.17388407728181213</v>
      </c>
      <c r="Z1070" t="s">
        <v>2996</v>
      </c>
      <c r="AA1070" t="str">
        <f>IF(AND(SalesCleanTable[[#This Row],[Discount %]]&gt;0, SalesCleanTable[[#This Row],[Profit]]&lt;0), "Discount loss", "Safe")</f>
        <v>Safe</v>
      </c>
      <c r="AB1070" s="25">
        <f>(SalesCleanTable[[#This Row],[Unit Price]] - SalesCleanTable[[#This Row],[Unit Cost]]) / SalesCleanTable[[#This Row],[Unit Price]]</f>
        <v>0.21518987341772153</v>
      </c>
      <c r="AC1070" t="str">
        <f>IF(SalesCleanTable[[#This Row],[Discount %]] &gt; SalesCleanTable[[#This Row],[Max Allowed Discount]], "Discount loss", "Safe")</f>
        <v>Safe</v>
      </c>
      <c r="AD1070" s="4">
        <f>SalesCleanTable[[#This Row],[Unit Price]] - SalesCleanTable[[#This Row],[Unit Cost]]</f>
        <v>1700</v>
      </c>
      <c r="AE1070" s="41">
        <f>(SalesCleanTable[[#This Row],[Unit Price]] - SalesCleanTable[[#This Row],[Unit Cost]]) / SalesCleanTable[[#This Row],[Unit Price]]</f>
        <v>0.21518987341772153</v>
      </c>
    </row>
    <row r="1071" spans="1:31">
      <c r="A1071" t="s">
        <v>1257</v>
      </c>
      <c r="B1071" s="6">
        <v>45693</v>
      </c>
      <c r="C1071" t="s">
        <v>36</v>
      </c>
      <c r="D1071" t="s">
        <v>37</v>
      </c>
      <c r="E1071" t="s">
        <v>38</v>
      </c>
      <c r="F1071" t="s">
        <v>39</v>
      </c>
      <c r="G1071" t="s">
        <v>40</v>
      </c>
      <c r="H1071" t="s">
        <v>135</v>
      </c>
      <c r="I1071" t="s">
        <v>136</v>
      </c>
      <c r="J1071" t="s">
        <v>137</v>
      </c>
      <c r="K1071" t="s">
        <v>138</v>
      </c>
      <c r="L1071" t="s">
        <v>183</v>
      </c>
      <c r="M1071" t="s">
        <v>186</v>
      </c>
      <c r="N1071">
        <v>2</v>
      </c>
      <c r="O1071" s="4">
        <v>1650</v>
      </c>
      <c r="P1071" s="4">
        <v>2200</v>
      </c>
      <c r="Q1071" s="7">
        <v>0.2</v>
      </c>
      <c r="R1071" t="s">
        <v>178</v>
      </c>
      <c r="S1071">
        <v>3</v>
      </c>
      <c r="T1071">
        <v>4400</v>
      </c>
      <c r="U1071">
        <v>880</v>
      </c>
      <c r="V1071">
        <v>3520</v>
      </c>
      <c r="W1071">
        <v>3300</v>
      </c>
      <c r="X1071">
        <v>220</v>
      </c>
      <c r="Y1071" s="8">
        <v>6.25E-2</v>
      </c>
      <c r="Z1071" t="s">
        <v>2995</v>
      </c>
      <c r="AA1071" t="str">
        <f>IF(AND(SalesCleanTable[[#This Row],[Discount %]]&gt;0, SalesCleanTable[[#This Row],[Profit]]&lt;0), "Discount loss", "Safe")</f>
        <v>Safe</v>
      </c>
      <c r="AB1071" s="25">
        <f>(SalesCleanTable[[#This Row],[Unit Price]] - SalesCleanTable[[#This Row],[Unit Cost]]) / SalesCleanTable[[#This Row],[Unit Price]]</f>
        <v>0.25</v>
      </c>
      <c r="AC1071" t="str">
        <f>IF(SalesCleanTable[[#This Row],[Discount %]] &gt; SalesCleanTable[[#This Row],[Max Allowed Discount]], "Discount loss", "Safe")</f>
        <v>Safe</v>
      </c>
      <c r="AD1071" s="4">
        <f>SalesCleanTable[[#This Row],[Unit Price]] - SalesCleanTable[[#This Row],[Unit Cost]]</f>
        <v>550</v>
      </c>
      <c r="AE1071" s="41">
        <f>(SalesCleanTable[[#This Row],[Unit Price]] - SalesCleanTable[[#This Row],[Unit Cost]]) / SalesCleanTable[[#This Row],[Unit Price]]</f>
        <v>0.25</v>
      </c>
    </row>
    <row r="1072" spans="1:31">
      <c r="A1072" t="s">
        <v>1258</v>
      </c>
      <c r="B1072" s="6">
        <v>45697</v>
      </c>
      <c r="C1072" t="s">
        <v>36</v>
      </c>
      <c r="D1072" t="s">
        <v>37</v>
      </c>
      <c r="E1072" t="s">
        <v>38</v>
      </c>
      <c r="F1072" t="s">
        <v>39</v>
      </c>
      <c r="G1072" t="s">
        <v>40</v>
      </c>
      <c r="H1072" t="s">
        <v>145</v>
      </c>
      <c r="I1072" t="s">
        <v>146</v>
      </c>
      <c r="J1072" t="s">
        <v>147</v>
      </c>
      <c r="K1072" t="s">
        <v>148</v>
      </c>
      <c r="L1072" t="s">
        <v>166</v>
      </c>
      <c r="M1072" t="s">
        <v>177</v>
      </c>
      <c r="N1072">
        <v>1</v>
      </c>
      <c r="O1072" s="4">
        <v>1650</v>
      </c>
      <c r="P1072" s="4">
        <v>2200</v>
      </c>
      <c r="Q1072" s="7">
        <v>0.05</v>
      </c>
      <c r="R1072" t="s">
        <v>178</v>
      </c>
      <c r="S1072">
        <v>8</v>
      </c>
      <c r="T1072">
        <v>2200</v>
      </c>
      <c r="U1072">
        <v>110</v>
      </c>
      <c r="V1072">
        <v>2090</v>
      </c>
      <c r="W1072">
        <v>1650</v>
      </c>
      <c r="X1072">
        <v>440</v>
      </c>
      <c r="Y1072" s="8">
        <v>0.21052631578947367</v>
      </c>
      <c r="Z1072" t="s">
        <v>2995</v>
      </c>
      <c r="AA1072" t="str">
        <f>IF(AND(SalesCleanTable[[#This Row],[Discount %]]&gt;0, SalesCleanTable[[#This Row],[Profit]]&lt;0), "Discount loss", "Safe")</f>
        <v>Safe</v>
      </c>
      <c r="AB1072" s="25">
        <f>(SalesCleanTable[[#This Row],[Unit Price]] - SalesCleanTable[[#This Row],[Unit Cost]]) / SalesCleanTable[[#This Row],[Unit Price]]</f>
        <v>0.25</v>
      </c>
      <c r="AC1072" t="str">
        <f>IF(SalesCleanTable[[#This Row],[Discount %]] &gt; SalesCleanTable[[#This Row],[Max Allowed Discount]], "Discount loss", "Safe")</f>
        <v>Safe</v>
      </c>
      <c r="AD1072" s="4">
        <f>SalesCleanTable[[#This Row],[Unit Price]] - SalesCleanTable[[#This Row],[Unit Cost]]</f>
        <v>550</v>
      </c>
      <c r="AE1072" s="41">
        <f>(SalesCleanTable[[#This Row],[Unit Price]] - SalesCleanTable[[#This Row],[Unit Cost]]) / SalesCleanTable[[#This Row],[Unit Price]]</f>
        <v>0.25</v>
      </c>
    </row>
    <row r="1073" spans="1:31">
      <c r="A1073" t="s">
        <v>1259</v>
      </c>
      <c r="B1073" s="6">
        <v>45666</v>
      </c>
      <c r="C1073" t="s">
        <v>62</v>
      </c>
      <c r="D1073" t="s">
        <v>63</v>
      </c>
      <c r="E1073" t="s">
        <v>59</v>
      </c>
      <c r="F1073" t="s">
        <v>64</v>
      </c>
      <c r="G1073" t="s">
        <v>65</v>
      </c>
      <c r="H1073" t="s">
        <v>153</v>
      </c>
      <c r="I1073" t="s">
        <v>154</v>
      </c>
      <c r="J1073" t="s">
        <v>155</v>
      </c>
      <c r="K1073" t="s">
        <v>131</v>
      </c>
      <c r="L1073" t="s">
        <v>166</v>
      </c>
      <c r="M1073" t="s">
        <v>177</v>
      </c>
      <c r="N1073">
        <v>5</v>
      </c>
      <c r="O1073" s="4">
        <v>3200</v>
      </c>
      <c r="P1073" s="4">
        <v>4500</v>
      </c>
      <c r="Q1073" s="7">
        <v>0.05</v>
      </c>
      <c r="R1073" t="s">
        <v>192</v>
      </c>
      <c r="S1073">
        <v>2</v>
      </c>
      <c r="T1073">
        <v>22500</v>
      </c>
      <c r="U1073">
        <v>1125</v>
      </c>
      <c r="V1073">
        <v>21375</v>
      </c>
      <c r="W1073">
        <v>16000</v>
      </c>
      <c r="X1073">
        <v>5375</v>
      </c>
      <c r="Y1073" s="8">
        <v>0.25146198830409355</v>
      </c>
      <c r="Z1073" t="s">
        <v>2996</v>
      </c>
      <c r="AA1073" t="str">
        <f>IF(AND(SalesCleanTable[[#This Row],[Discount %]]&gt;0, SalesCleanTable[[#This Row],[Profit]]&lt;0), "Discount loss", "Safe")</f>
        <v>Safe</v>
      </c>
      <c r="AB1073" s="25">
        <f>(SalesCleanTable[[#This Row],[Unit Price]] - SalesCleanTable[[#This Row],[Unit Cost]]) / SalesCleanTable[[#This Row],[Unit Price]]</f>
        <v>0.28888888888888886</v>
      </c>
      <c r="AC1073" t="str">
        <f>IF(SalesCleanTable[[#This Row],[Discount %]] &gt; SalesCleanTable[[#This Row],[Max Allowed Discount]], "Discount loss", "Safe")</f>
        <v>Safe</v>
      </c>
      <c r="AD1073" s="4">
        <f>SalesCleanTable[[#This Row],[Unit Price]] - SalesCleanTable[[#This Row],[Unit Cost]]</f>
        <v>1300</v>
      </c>
      <c r="AE1073" s="41">
        <f>(SalesCleanTable[[#This Row],[Unit Price]] - SalesCleanTable[[#This Row],[Unit Cost]]) / SalesCleanTable[[#This Row],[Unit Price]]</f>
        <v>0.28888888888888886</v>
      </c>
    </row>
    <row r="1074" spans="1:31">
      <c r="A1074" t="s">
        <v>1260</v>
      </c>
      <c r="B1074" s="6">
        <v>45829</v>
      </c>
      <c r="C1074" t="s">
        <v>53</v>
      </c>
      <c r="D1074" t="s">
        <v>54</v>
      </c>
      <c r="E1074" t="s">
        <v>38</v>
      </c>
      <c r="F1074" t="s">
        <v>55</v>
      </c>
      <c r="G1074" t="s">
        <v>56</v>
      </c>
      <c r="H1074" t="s">
        <v>145</v>
      </c>
      <c r="I1074" t="s">
        <v>146</v>
      </c>
      <c r="J1074" t="s">
        <v>147</v>
      </c>
      <c r="K1074" t="s">
        <v>148</v>
      </c>
      <c r="L1074" t="s">
        <v>166</v>
      </c>
      <c r="M1074" t="s">
        <v>186</v>
      </c>
      <c r="N1074">
        <v>10</v>
      </c>
      <c r="O1074" s="4">
        <v>330</v>
      </c>
      <c r="P1074" s="4">
        <v>550</v>
      </c>
      <c r="Q1074" s="7">
        <v>0</v>
      </c>
      <c r="R1074" t="s">
        <v>178</v>
      </c>
      <c r="S1074">
        <v>14</v>
      </c>
      <c r="T1074">
        <v>5500</v>
      </c>
      <c r="U1074">
        <v>0</v>
      </c>
      <c r="V1074">
        <v>5500</v>
      </c>
      <c r="W1074">
        <v>3300</v>
      </c>
      <c r="X1074">
        <v>2200</v>
      </c>
      <c r="Y1074" s="8">
        <v>0.4</v>
      </c>
      <c r="Z1074" t="s">
        <v>2996</v>
      </c>
      <c r="AA1074" t="str">
        <f>IF(AND(SalesCleanTable[[#This Row],[Discount %]]&gt;0, SalesCleanTable[[#This Row],[Profit]]&lt;0), "Discount loss", "Safe")</f>
        <v>Safe</v>
      </c>
      <c r="AB1074" s="25">
        <f>(SalesCleanTable[[#This Row],[Unit Price]] - SalesCleanTable[[#This Row],[Unit Cost]]) / SalesCleanTable[[#This Row],[Unit Price]]</f>
        <v>0.4</v>
      </c>
      <c r="AC1074" t="str">
        <f>IF(SalesCleanTable[[#This Row],[Discount %]] &gt; SalesCleanTable[[#This Row],[Max Allowed Discount]], "Discount loss", "Safe")</f>
        <v>Safe</v>
      </c>
      <c r="AD1074" s="4">
        <f>SalesCleanTable[[#This Row],[Unit Price]] - SalesCleanTable[[#This Row],[Unit Cost]]</f>
        <v>220</v>
      </c>
      <c r="AE1074" s="41">
        <f>(SalesCleanTable[[#This Row],[Unit Price]] - SalesCleanTable[[#This Row],[Unit Cost]]) / SalesCleanTable[[#This Row],[Unit Price]]</f>
        <v>0.4</v>
      </c>
    </row>
    <row r="1075" spans="1:31">
      <c r="A1075" t="s">
        <v>1261</v>
      </c>
      <c r="B1075" s="6">
        <v>46021</v>
      </c>
      <c r="C1075" t="s">
        <v>45</v>
      </c>
      <c r="D1075" t="s">
        <v>46</v>
      </c>
      <c r="E1075" t="s">
        <v>38</v>
      </c>
      <c r="F1075" t="s">
        <v>47</v>
      </c>
      <c r="G1075" t="s">
        <v>48</v>
      </c>
      <c r="H1075" t="s">
        <v>139</v>
      </c>
      <c r="I1075" t="s">
        <v>140</v>
      </c>
      <c r="J1075" t="s">
        <v>137</v>
      </c>
      <c r="K1075" t="s">
        <v>138</v>
      </c>
      <c r="L1075" t="s">
        <v>183</v>
      </c>
      <c r="M1075" t="s">
        <v>186</v>
      </c>
      <c r="N1075">
        <v>4</v>
      </c>
      <c r="O1075" s="4">
        <v>230</v>
      </c>
      <c r="P1075" s="4">
        <v>400</v>
      </c>
      <c r="Q1075" s="7">
        <v>0.15</v>
      </c>
      <c r="R1075" t="s">
        <v>175</v>
      </c>
      <c r="S1075">
        <v>11</v>
      </c>
      <c r="T1075">
        <v>1600</v>
      </c>
      <c r="U1075">
        <v>240</v>
      </c>
      <c r="V1075">
        <v>1360</v>
      </c>
      <c r="W1075">
        <v>920</v>
      </c>
      <c r="X1075">
        <v>440</v>
      </c>
      <c r="Y1075" s="8">
        <v>0.3235294117647059</v>
      </c>
      <c r="Z1075" t="s">
        <v>2995</v>
      </c>
      <c r="AA1075" t="str">
        <f>IF(AND(SalesCleanTable[[#This Row],[Discount %]]&gt;0, SalesCleanTable[[#This Row],[Profit]]&lt;0), "Discount loss", "Safe")</f>
        <v>Safe</v>
      </c>
      <c r="AB1075" s="25">
        <f>(SalesCleanTable[[#This Row],[Unit Price]] - SalesCleanTable[[#This Row],[Unit Cost]]) / SalesCleanTable[[#This Row],[Unit Price]]</f>
        <v>0.42499999999999999</v>
      </c>
      <c r="AC1075" t="str">
        <f>IF(SalesCleanTable[[#This Row],[Discount %]] &gt; SalesCleanTable[[#This Row],[Max Allowed Discount]], "Discount loss", "Safe")</f>
        <v>Safe</v>
      </c>
      <c r="AD1075" s="4">
        <f>SalesCleanTable[[#This Row],[Unit Price]] - SalesCleanTable[[#This Row],[Unit Cost]]</f>
        <v>170</v>
      </c>
      <c r="AE1075" s="41">
        <f>(SalesCleanTable[[#This Row],[Unit Price]] - SalesCleanTable[[#This Row],[Unit Cost]]) / SalesCleanTable[[#This Row],[Unit Price]]</f>
        <v>0.42499999999999999</v>
      </c>
    </row>
    <row r="1076" spans="1:31">
      <c r="A1076" t="s">
        <v>1262</v>
      </c>
      <c r="B1076" s="6">
        <v>45985</v>
      </c>
      <c r="C1076" t="s">
        <v>24</v>
      </c>
      <c r="D1076" t="s">
        <v>25</v>
      </c>
      <c r="E1076" t="s">
        <v>26</v>
      </c>
      <c r="F1076" t="s">
        <v>27</v>
      </c>
      <c r="G1076" t="s">
        <v>28</v>
      </c>
      <c r="H1076" t="s">
        <v>153</v>
      </c>
      <c r="I1076" t="s">
        <v>154</v>
      </c>
      <c r="J1076" t="s">
        <v>155</v>
      </c>
      <c r="K1076" t="s">
        <v>131</v>
      </c>
      <c r="L1076" t="s">
        <v>166</v>
      </c>
      <c r="M1076" t="s">
        <v>186</v>
      </c>
      <c r="N1076">
        <v>5</v>
      </c>
      <c r="O1076" s="4">
        <v>14500</v>
      </c>
      <c r="P1076" s="4">
        <v>17500</v>
      </c>
      <c r="Q1076" s="7">
        <v>0.1</v>
      </c>
      <c r="R1076" t="s">
        <v>197</v>
      </c>
      <c r="S1076">
        <v>10</v>
      </c>
      <c r="T1076">
        <v>87500</v>
      </c>
      <c r="U1076">
        <v>8750</v>
      </c>
      <c r="V1076">
        <v>78750</v>
      </c>
      <c r="W1076">
        <v>72500</v>
      </c>
      <c r="X1076">
        <v>6250</v>
      </c>
      <c r="Y1076" s="8">
        <v>7.9365079365079361E-2</v>
      </c>
      <c r="Z1076" t="s">
        <v>2995</v>
      </c>
      <c r="AA1076" t="str">
        <f>IF(AND(SalesCleanTable[[#This Row],[Discount %]]&gt;0, SalesCleanTable[[#This Row],[Profit]]&lt;0), "Discount loss", "Safe")</f>
        <v>Safe</v>
      </c>
      <c r="AB1076" s="25">
        <f>(SalesCleanTable[[#This Row],[Unit Price]] - SalesCleanTable[[#This Row],[Unit Cost]]) / SalesCleanTable[[#This Row],[Unit Price]]</f>
        <v>0.17142857142857143</v>
      </c>
      <c r="AC1076" t="str">
        <f>IF(SalesCleanTable[[#This Row],[Discount %]] &gt; SalesCleanTable[[#This Row],[Max Allowed Discount]], "Discount loss", "Safe")</f>
        <v>Safe</v>
      </c>
      <c r="AD1076" s="4">
        <f>SalesCleanTable[[#This Row],[Unit Price]] - SalesCleanTable[[#This Row],[Unit Cost]]</f>
        <v>3000</v>
      </c>
      <c r="AE1076" s="41">
        <f>(SalesCleanTable[[#This Row],[Unit Price]] - SalesCleanTable[[#This Row],[Unit Cost]]) / SalesCleanTable[[#This Row],[Unit Price]]</f>
        <v>0.17142857142857143</v>
      </c>
    </row>
    <row r="1077" spans="1:31">
      <c r="A1077" t="s">
        <v>1263</v>
      </c>
      <c r="B1077" s="6">
        <v>45878</v>
      </c>
      <c r="C1077" t="s">
        <v>49</v>
      </c>
      <c r="D1077" t="s">
        <v>50</v>
      </c>
      <c r="E1077" t="s">
        <v>38</v>
      </c>
      <c r="F1077" t="s">
        <v>51</v>
      </c>
      <c r="G1077" t="s">
        <v>52</v>
      </c>
      <c r="H1077" t="s">
        <v>145</v>
      </c>
      <c r="I1077" t="s">
        <v>146</v>
      </c>
      <c r="J1077" t="s">
        <v>147</v>
      </c>
      <c r="K1077" t="s">
        <v>148</v>
      </c>
      <c r="L1077" t="s">
        <v>183</v>
      </c>
      <c r="M1077" t="s">
        <v>171</v>
      </c>
      <c r="N1077">
        <v>1</v>
      </c>
      <c r="O1077" s="4">
        <v>550</v>
      </c>
      <c r="P1077" s="4">
        <v>850</v>
      </c>
      <c r="Q1077" s="7">
        <v>0.2</v>
      </c>
      <c r="R1077" t="s">
        <v>168</v>
      </c>
      <c r="S1077">
        <v>11</v>
      </c>
      <c r="T1077">
        <v>850</v>
      </c>
      <c r="U1077">
        <v>170</v>
      </c>
      <c r="V1077">
        <v>680</v>
      </c>
      <c r="W1077">
        <v>550</v>
      </c>
      <c r="X1077">
        <v>130</v>
      </c>
      <c r="Y1077" s="8">
        <v>0.19117647058823528</v>
      </c>
      <c r="Z1077" t="s">
        <v>2996</v>
      </c>
      <c r="AA1077" t="str">
        <f>IF(AND(SalesCleanTable[[#This Row],[Discount %]]&gt;0, SalesCleanTable[[#This Row],[Profit]]&lt;0), "Discount loss", "Safe")</f>
        <v>Safe</v>
      </c>
      <c r="AB1077" s="25">
        <f>(SalesCleanTable[[#This Row],[Unit Price]] - SalesCleanTable[[#This Row],[Unit Cost]]) / SalesCleanTable[[#This Row],[Unit Price]]</f>
        <v>0.35294117647058826</v>
      </c>
      <c r="AC1077" t="str">
        <f>IF(SalesCleanTable[[#This Row],[Discount %]] &gt; SalesCleanTable[[#This Row],[Max Allowed Discount]], "Discount loss", "Safe")</f>
        <v>Safe</v>
      </c>
      <c r="AD1077" s="4">
        <f>SalesCleanTable[[#This Row],[Unit Price]] - SalesCleanTable[[#This Row],[Unit Cost]]</f>
        <v>300</v>
      </c>
      <c r="AE1077" s="41">
        <f>(SalesCleanTable[[#This Row],[Unit Price]] - SalesCleanTable[[#This Row],[Unit Cost]]) / SalesCleanTable[[#This Row],[Unit Price]]</f>
        <v>0.35294117647058826</v>
      </c>
    </row>
    <row r="1078" spans="1:31">
      <c r="A1078" t="s">
        <v>1264</v>
      </c>
      <c r="B1078" s="6">
        <v>45888</v>
      </c>
      <c r="C1078" t="s">
        <v>120</v>
      </c>
      <c r="D1078" t="s">
        <v>121</v>
      </c>
      <c r="E1078" t="s">
        <v>109</v>
      </c>
      <c r="F1078" t="s">
        <v>93</v>
      </c>
      <c r="G1078" t="s">
        <v>122</v>
      </c>
      <c r="H1078" t="s">
        <v>149</v>
      </c>
      <c r="I1078" t="s">
        <v>150</v>
      </c>
      <c r="J1078" t="s">
        <v>151</v>
      </c>
      <c r="K1078" t="s">
        <v>152</v>
      </c>
      <c r="L1078" t="s">
        <v>166</v>
      </c>
      <c r="M1078" t="s">
        <v>186</v>
      </c>
      <c r="N1078">
        <v>1</v>
      </c>
      <c r="O1078" s="4">
        <v>1700</v>
      </c>
      <c r="P1078" s="4">
        <v>2800</v>
      </c>
      <c r="Q1078" s="7">
        <v>0.25</v>
      </c>
      <c r="R1078" t="s">
        <v>184</v>
      </c>
      <c r="S1078">
        <v>7</v>
      </c>
      <c r="T1078">
        <v>2800</v>
      </c>
      <c r="U1078">
        <v>700</v>
      </c>
      <c r="V1078">
        <v>2100</v>
      </c>
      <c r="W1078">
        <v>1700</v>
      </c>
      <c r="X1078">
        <v>400</v>
      </c>
      <c r="Y1078" s="8">
        <v>0.19047619047619047</v>
      </c>
      <c r="Z1078" t="s">
        <v>2997</v>
      </c>
      <c r="AA1078" t="str">
        <f>IF(AND(SalesCleanTable[[#This Row],[Discount %]]&gt;0, SalesCleanTable[[#This Row],[Profit]]&lt;0), "Discount loss", "Safe")</f>
        <v>Safe</v>
      </c>
      <c r="AB1078" s="25">
        <f>(SalesCleanTable[[#This Row],[Unit Price]] - SalesCleanTable[[#This Row],[Unit Cost]]) / SalesCleanTable[[#This Row],[Unit Price]]</f>
        <v>0.39285714285714285</v>
      </c>
      <c r="AC1078" t="str">
        <f>IF(SalesCleanTable[[#This Row],[Discount %]] &gt; SalesCleanTable[[#This Row],[Max Allowed Discount]], "Discount loss", "Safe")</f>
        <v>Safe</v>
      </c>
      <c r="AD1078" s="4">
        <f>SalesCleanTable[[#This Row],[Unit Price]] - SalesCleanTable[[#This Row],[Unit Cost]]</f>
        <v>1100</v>
      </c>
      <c r="AE1078" s="41">
        <f>(SalesCleanTable[[#This Row],[Unit Price]] - SalesCleanTable[[#This Row],[Unit Cost]]) / SalesCleanTable[[#This Row],[Unit Price]]</f>
        <v>0.39285714285714285</v>
      </c>
    </row>
    <row r="1079" spans="1:31">
      <c r="A1079" t="s">
        <v>1265</v>
      </c>
      <c r="B1079" s="6">
        <v>45799</v>
      </c>
      <c r="C1079" t="s">
        <v>45</v>
      </c>
      <c r="D1079" t="s">
        <v>46</v>
      </c>
      <c r="E1079" t="s">
        <v>38</v>
      </c>
      <c r="F1079" t="s">
        <v>47</v>
      </c>
      <c r="G1079" t="s">
        <v>48</v>
      </c>
      <c r="H1079" t="s">
        <v>128</v>
      </c>
      <c r="I1079" t="s">
        <v>129</v>
      </c>
      <c r="J1079" t="s">
        <v>130</v>
      </c>
      <c r="K1079" t="s">
        <v>131</v>
      </c>
      <c r="L1079" t="s">
        <v>183</v>
      </c>
      <c r="M1079" t="s">
        <v>186</v>
      </c>
      <c r="N1079">
        <v>3</v>
      </c>
      <c r="O1079" s="4">
        <v>230</v>
      </c>
      <c r="P1079" s="4">
        <v>400</v>
      </c>
      <c r="Q1079" s="7">
        <v>0.05</v>
      </c>
      <c r="R1079" t="s">
        <v>175</v>
      </c>
      <c r="S1079">
        <v>10</v>
      </c>
      <c r="T1079">
        <v>1200</v>
      </c>
      <c r="U1079">
        <v>60</v>
      </c>
      <c r="V1079">
        <v>1140</v>
      </c>
      <c r="W1079">
        <v>690</v>
      </c>
      <c r="X1079">
        <v>450</v>
      </c>
      <c r="Y1079" s="8">
        <v>0.39473684210526316</v>
      </c>
      <c r="Z1079" t="s">
        <v>2995</v>
      </c>
      <c r="AA1079" t="str">
        <f>IF(AND(SalesCleanTable[[#This Row],[Discount %]]&gt;0, SalesCleanTable[[#This Row],[Profit]]&lt;0), "Discount loss", "Safe")</f>
        <v>Safe</v>
      </c>
      <c r="AB1079" s="25">
        <f>(SalesCleanTable[[#This Row],[Unit Price]] - SalesCleanTable[[#This Row],[Unit Cost]]) / SalesCleanTable[[#This Row],[Unit Price]]</f>
        <v>0.42499999999999999</v>
      </c>
      <c r="AC1079" t="str">
        <f>IF(SalesCleanTable[[#This Row],[Discount %]] &gt; SalesCleanTable[[#This Row],[Max Allowed Discount]], "Discount loss", "Safe")</f>
        <v>Safe</v>
      </c>
      <c r="AD1079" s="4">
        <f>SalesCleanTable[[#This Row],[Unit Price]] - SalesCleanTable[[#This Row],[Unit Cost]]</f>
        <v>170</v>
      </c>
      <c r="AE1079" s="41">
        <f>(SalesCleanTable[[#This Row],[Unit Price]] - SalesCleanTable[[#This Row],[Unit Cost]]) / SalesCleanTable[[#This Row],[Unit Price]]</f>
        <v>0.42499999999999999</v>
      </c>
    </row>
    <row r="1080" spans="1:31">
      <c r="A1080" t="s">
        <v>1266</v>
      </c>
      <c r="B1080" s="6">
        <v>45835</v>
      </c>
      <c r="C1080" t="s">
        <v>45</v>
      </c>
      <c r="D1080" t="s">
        <v>46</v>
      </c>
      <c r="E1080" t="s">
        <v>38</v>
      </c>
      <c r="F1080" t="s">
        <v>47</v>
      </c>
      <c r="G1080" t="s">
        <v>48</v>
      </c>
      <c r="H1080" t="s">
        <v>153</v>
      </c>
      <c r="I1080" t="s">
        <v>154</v>
      </c>
      <c r="J1080" t="s">
        <v>155</v>
      </c>
      <c r="K1080" t="s">
        <v>131</v>
      </c>
      <c r="L1080" t="s">
        <v>166</v>
      </c>
      <c r="M1080" t="s">
        <v>177</v>
      </c>
      <c r="N1080">
        <v>3</v>
      </c>
      <c r="O1080" s="4">
        <v>230</v>
      </c>
      <c r="P1080" s="4">
        <v>400</v>
      </c>
      <c r="Q1080" s="7">
        <v>0.1</v>
      </c>
      <c r="R1080" t="s">
        <v>175</v>
      </c>
      <c r="S1080">
        <v>10</v>
      </c>
      <c r="T1080">
        <v>1200</v>
      </c>
      <c r="U1080">
        <v>120</v>
      </c>
      <c r="V1080">
        <v>1080</v>
      </c>
      <c r="W1080">
        <v>690</v>
      </c>
      <c r="X1080">
        <v>390</v>
      </c>
      <c r="Y1080" s="8">
        <v>0.3611111111111111</v>
      </c>
      <c r="Z1080" t="s">
        <v>2995</v>
      </c>
      <c r="AA1080" t="str">
        <f>IF(AND(SalesCleanTable[[#This Row],[Discount %]]&gt;0, SalesCleanTable[[#This Row],[Profit]]&lt;0), "Discount loss", "Safe")</f>
        <v>Safe</v>
      </c>
      <c r="AB1080" s="25">
        <f>(SalesCleanTable[[#This Row],[Unit Price]] - SalesCleanTable[[#This Row],[Unit Cost]]) / SalesCleanTable[[#This Row],[Unit Price]]</f>
        <v>0.42499999999999999</v>
      </c>
      <c r="AC1080" t="str">
        <f>IF(SalesCleanTable[[#This Row],[Discount %]] &gt; SalesCleanTable[[#This Row],[Max Allowed Discount]], "Discount loss", "Safe")</f>
        <v>Safe</v>
      </c>
      <c r="AD1080" s="4">
        <f>SalesCleanTable[[#This Row],[Unit Price]] - SalesCleanTable[[#This Row],[Unit Cost]]</f>
        <v>170</v>
      </c>
      <c r="AE1080" s="41">
        <f>(SalesCleanTable[[#This Row],[Unit Price]] - SalesCleanTable[[#This Row],[Unit Cost]]) / SalesCleanTable[[#This Row],[Unit Price]]</f>
        <v>0.42499999999999999</v>
      </c>
    </row>
    <row r="1081" spans="1:31">
      <c r="A1081" t="s">
        <v>1267</v>
      </c>
      <c r="B1081" s="6">
        <v>45741</v>
      </c>
      <c r="C1081" t="s">
        <v>45</v>
      </c>
      <c r="D1081" t="s">
        <v>46</v>
      </c>
      <c r="E1081" t="s">
        <v>38</v>
      </c>
      <c r="F1081" t="s">
        <v>47</v>
      </c>
      <c r="G1081" t="s">
        <v>48</v>
      </c>
      <c r="H1081" t="s">
        <v>135</v>
      </c>
      <c r="I1081" t="s">
        <v>136</v>
      </c>
      <c r="J1081" t="s">
        <v>137</v>
      </c>
      <c r="K1081" t="s">
        <v>138</v>
      </c>
      <c r="L1081" t="s">
        <v>166</v>
      </c>
      <c r="M1081" t="s">
        <v>167</v>
      </c>
      <c r="N1081">
        <v>5</v>
      </c>
      <c r="O1081" s="4">
        <v>230</v>
      </c>
      <c r="P1081" s="4">
        <v>400</v>
      </c>
      <c r="Q1081" s="7">
        <v>0</v>
      </c>
      <c r="R1081" t="s">
        <v>168</v>
      </c>
      <c r="S1081">
        <v>2</v>
      </c>
      <c r="T1081">
        <v>2000</v>
      </c>
      <c r="U1081">
        <v>0</v>
      </c>
      <c r="V1081">
        <v>2000</v>
      </c>
      <c r="W1081">
        <v>1150</v>
      </c>
      <c r="X1081">
        <v>850</v>
      </c>
      <c r="Y1081" s="8">
        <v>0.42499999999999999</v>
      </c>
      <c r="Z1081" t="s">
        <v>2995</v>
      </c>
      <c r="AA1081" t="str">
        <f>IF(AND(SalesCleanTable[[#This Row],[Discount %]]&gt;0, SalesCleanTable[[#This Row],[Profit]]&lt;0), "Discount loss", "Safe")</f>
        <v>Safe</v>
      </c>
      <c r="AB1081" s="25">
        <f>(SalesCleanTable[[#This Row],[Unit Price]] - SalesCleanTable[[#This Row],[Unit Cost]]) / SalesCleanTable[[#This Row],[Unit Price]]</f>
        <v>0.42499999999999999</v>
      </c>
      <c r="AC1081" t="str">
        <f>IF(SalesCleanTable[[#This Row],[Discount %]] &gt; SalesCleanTable[[#This Row],[Max Allowed Discount]], "Discount loss", "Safe")</f>
        <v>Safe</v>
      </c>
      <c r="AD1081" s="4">
        <f>SalesCleanTable[[#This Row],[Unit Price]] - SalesCleanTable[[#This Row],[Unit Cost]]</f>
        <v>170</v>
      </c>
      <c r="AE1081" s="41">
        <f>(SalesCleanTable[[#This Row],[Unit Price]] - SalesCleanTable[[#This Row],[Unit Cost]]) / SalesCleanTable[[#This Row],[Unit Price]]</f>
        <v>0.42499999999999999</v>
      </c>
    </row>
    <row r="1082" spans="1:31">
      <c r="A1082" t="s">
        <v>1268</v>
      </c>
      <c r="B1082" s="6">
        <v>45814</v>
      </c>
      <c r="C1082" t="s">
        <v>24</v>
      </c>
      <c r="D1082" t="s">
        <v>25</v>
      </c>
      <c r="E1082" t="s">
        <v>26</v>
      </c>
      <c r="F1082" t="s">
        <v>27</v>
      </c>
      <c r="G1082" t="s">
        <v>28</v>
      </c>
      <c r="H1082" t="s">
        <v>135</v>
      </c>
      <c r="I1082" t="s">
        <v>136</v>
      </c>
      <c r="J1082" t="s">
        <v>137</v>
      </c>
      <c r="K1082" t="s">
        <v>138</v>
      </c>
      <c r="L1082" t="s">
        <v>166</v>
      </c>
      <c r="M1082" t="s">
        <v>171</v>
      </c>
      <c r="N1082">
        <v>5</v>
      </c>
      <c r="O1082" s="4">
        <v>14500</v>
      </c>
      <c r="P1082" s="4">
        <v>17500</v>
      </c>
      <c r="Q1082" s="7">
        <v>0</v>
      </c>
      <c r="R1082" t="s">
        <v>173</v>
      </c>
      <c r="S1082">
        <v>11</v>
      </c>
      <c r="T1082">
        <v>87500</v>
      </c>
      <c r="U1082">
        <v>0</v>
      </c>
      <c r="V1082">
        <v>87500</v>
      </c>
      <c r="W1082">
        <v>72500</v>
      </c>
      <c r="X1082">
        <v>15000</v>
      </c>
      <c r="Y1082" s="8">
        <v>0.17142857142857143</v>
      </c>
      <c r="Z1082" t="s">
        <v>2995</v>
      </c>
      <c r="AA1082" t="str">
        <f>IF(AND(SalesCleanTable[[#This Row],[Discount %]]&gt;0, SalesCleanTable[[#This Row],[Profit]]&lt;0), "Discount loss", "Safe")</f>
        <v>Safe</v>
      </c>
      <c r="AB1082" s="25">
        <f>(SalesCleanTable[[#This Row],[Unit Price]] - SalesCleanTable[[#This Row],[Unit Cost]]) / SalesCleanTable[[#This Row],[Unit Price]]</f>
        <v>0.17142857142857143</v>
      </c>
      <c r="AC1082" t="str">
        <f>IF(SalesCleanTable[[#This Row],[Discount %]] &gt; SalesCleanTable[[#This Row],[Max Allowed Discount]], "Discount loss", "Safe")</f>
        <v>Safe</v>
      </c>
      <c r="AD1082" s="4">
        <f>SalesCleanTable[[#This Row],[Unit Price]] - SalesCleanTable[[#This Row],[Unit Cost]]</f>
        <v>3000</v>
      </c>
      <c r="AE1082" s="41">
        <f>(SalesCleanTable[[#This Row],[Unit Price]] - SalesCleanTable[[#This Row],[Unit Cost]]) / SalesCleanTable[[#This Row],[Unit Price]]</f>
        <v>0.17142857142857143</v>
      </c>
    </row>
    <row r="1083" spans="1:31">
      <c r="A1083" t="s">
        <v>1269</v>
      </c>
      <c r="B1083" s="6">
        <v>45945</v>
      </c>
      <c r="C1083" t="s">
        <v>36</v>
      </c>
      <c r="D1083" t="s">
        <v>37</v>
      </c>
      <c r="E1083" t="s">
        <v>38</v>
      </c>
      <c r="F1083" t="s">
        <v>39</v>
      </c>
      <c r="G1083" t="s">
        <v>40</v>
      </c>
      <c r="H1083" t="s">
        <v>128</v>
      </c>
      <c r="I1083" t="s">
        <v>129</v>
      </c>
      <c r="J1083" t="s">
        <v>130</v>
      </c>
      <c r="K1083" t="s">
        <v>131</v>
      </c>
      <c r="L1083" t="s">
        <v>166</v>
      </c>
      <c r="M1083" t="s">
        <v>171</v>
      </c>
      <c r="N1083">
        <v>2</v>
      </c>
      <c r="O1083" s="4">
        <v>1650</v>
      </c>
      <c r="P1083" s="4">
        <v>2200</v>
      </c>
      <c r="Q1083" s="7">
        <v>0.2</v>
      </c>
      <c r="R1083" t="s">
        <v>178</v>
      </c>
      <c r="S1083">
        <v>5</v>
      </c>
      <c r="T1083">
        <v>4400</v>
      </c>
      <c r="U1083">
        <v>880</v>
      </c>
      <c r="V1083">
        <v>3520</v>
      </c>
      <c r="W1083">
        <v>3300</v>
      </c>
      <c r="X1083">
        <v>220</v>
      </c>
      <c r="Y1083" s="8">
        <v>6.25E-2</v>
      </c>
      <c r="Z1083" t="s">
        <v>2995</v>
      </c>
      <c r="AA1083" t="str">
        <f>IF(AND(SalesCleanTable[[#This Row],[Discount %]]&gt;0, SalesCleanTable[[#This Row],[Profit]]&lt;0), "Discount loss", "Safe")</f>
        <v>Safe</v>
      </c>
      <c r="AB1083" s="25">
        <f>(SalesCleanTable[[#This Row],[Unit Price]] - SalesCleanTable[[#This Row],[Unit Cost]]) / SalesCleanTable[[#This Row],[Unit Price]]</f>
        <v>0.25</v>
      </c>
      <c r="AC1083" t="str">
        <f>IF(SalesCleanTable[[#This Row],[Discount %]] &gt; SalesCleanTable[[#This Row],[Max Allowed Discount]], "Discount loss", "Safe")</f>
        <v>Safe</v>
      </c>
      <c r="AD1083" s="4">
        <f>SalesCleanTable[[#This Row],[Unit Price]] - SalesCleanTable[[#This Row],[Unit Cost]]</f>
        <v>550</v>
      </c>
      <c r="AE1083" s="41">
        <f>(SalesCleanTable[[#This Row],[Unit Price]] - SalesCleanTable[[#This Row],[Unit Cost]]) / SalesCleanTable[[#This Row],[Unit Price]]</f>
        <v>0.25</v>
      </c>
    </row>
    <row r="1084" spans="1:31">
      <c r="A1084" t="s">
        <v>1270</v>
      </c>
      <c r="B1084" s="6">
        <v>45900</v>
      </c>
      <c r="C1084" t="s">
        <v>112</v>
      </c>
      <c r="D1084" t="s">
        <v>113</v>
      </c>
      <c r="E1084" t="s">
        <v>109</v>
      </c>
      <c r="F1084" t="s">
        <v>114</v>
      </c>
      <c r="G1084" t="s">
        <v>115</v>
      </c>
      <c r="H1084" t="s">
        <v>135</v>
      </c>
      <c r="I1084" t="s">
        <v>136</v>
      </c>
      <c r="J1084" t="s">
        <v>137</v>
      </c>
      <c r="K1084" t="s">
        <v>138</v>
      </c>
      <c r="L1084" t="s">
        <v>166</v>
      </c>
      <c r="M1084" t="s">
        <v>171</v>
      </c>
      <c r="N1084">
        <v>4</v>
      </c>
      <c r="O1084" s="4">
        <v>1300</v>
      </c>
      <c r="P1084" s="4">
        <v>2100</v>
      </c>
      <c r="Q1084" s="7">
        <v>0.05</v>
      </c>
      <c r="R1084" t="s">
        <v>220</v>
      </c>
      <c r="S1084">
        <v>5</v>
      </c>
      <c r="T1084">
        <v>8400</v>
      </c>
      <c r="U1084">
        <v>420</v>
      </c>
      <c r="V1084">
        <v>7980</v>
      </c>
      <c r="W1084">
        <v>5200</v>
      </c>
      <c r="X1084">
        <v>2780</v>
      </c>
      <c r="Y1084" s="8">
        <v>0.34837092731829572</v>
      </c>
      <c r="Z1084" t="s">
        <v>2995</v>
      </c>
      <c r="AA1084" t="str">
        <f>IF(AND(SalesCleanTable[[#This Row],[Discount %]]&gt;0, SalesCleanTable[[#This Row],[Profit]]&lt;0), "Discount loss", "Safe")</f>
        <v>Safe</v>
      </c>
      <c r="AB1084" s="25">
        <f>(SalesCleanTable[[#This Row],[Unit Price]] - SalesCleanTable[[#This Row],[Unit Cost]]) / SalesCleanTable[[#This Row],[Unit Price]]</f>
        <v>0.38095238095238093</v>
      </c>
      <c r="AC1084" t="str">
        <f>IF(SalesCleanTable[[#This Row],[Discount %]] &gt; SalesCleanTable[[#This Row],[Max Allowed Discount]], "Discount loss", "Safe")</f>
        <v>Safe</v>
      </c>
      <c r="AD1084" s="4">
        <f>SalesCleanTable[[#This Row],[Unit Price]] - SalesCleanTable[[#This Row],[Unit Cost]]</f>
        <v>800</v>
      </c>
      <c r="AE1084" s="41">
        <f>(SalesCleanTable[[#This Row],[Unit Price]] - SalesCleanTable[[#This Row],[Unit Cost]]) / SalesCleanTable[[#This Row],[Unit Price]]</f>
        <v>0.38095238095238093</v>
      </c>
    </row>
    <row r="1085" spans="1:31">
      <c r="A1085" t="s">
        <v>1271</v>
      </c>
      <c r="B1085" s="6">
        <v>45746</v>
      </c>
      <c r="C1085" t="s">
        <v>62</v>
      </c>
      <c r="D1085" t="s">
        <v>63</v>
      </c>
      <c r="E1085" t="s">
        <v>59</v>
      </c>
      <c r="F1085" t="s">
        <v>64</v>
      </c>
      <c r="G1085" t="s">
        <v>65</v>
      </c>
      <c r="H1085" t="s">
        <v>141</v>
      </c>
      <c r="I1085" t="s">
        <v>142</v>
      </c>
      <c r="J1085" t="s">
        <v>143</v>
      </c>
      <c r="K1085" t="s">
        <v>144</v>
      </c>
      <c r="L1085" t="s">
        <v>183</v>
      </c>
      <c r="M1085" t="s">
        <v>177</v>
      </c>
      <c r="N1085">
        <v>2</v>
      </c>
      <c r="O1085" s="4">
        <v>3200</v>
      </c>
      <c r="P1085" s="4">
        <v>4500</v>
      </c>
      <c r="Q1085" s="7">
        <v>0.1</v>
      </c>
      <c r="R1085" t="s">
        <v>192</v>
      </c>
      <c r="S1085">
        <v>7</v>
      </c>
      <c r="T1085">
        <v>9000</v>
      </c>
      <c r="U1085">
        <v>900</v>
      </c>
      <c r="V1085">
        <v>8100</v>
      </c>
      <c r="W1085">
        <v>6400</v>
      </c>
      <c r="X1085">
        <v>1700</v>
      </c>
      <c r="Y1085" s="8">
        <v>0.20987654320987653</v>
      </c>
      <c r="Z1085" t="s">
        <v>2996</v>
      </c>
      <c r="AA1085" t="str">
        <f>IF(AND(SalesCleanTable[[#This Row],[Discount %]]&gt;0, SalesCleanTable[[#This Row],[Profit]]&lt;0), "Discount loss", "Safe")</f>
        <v>Safe</v>
      </c>
      <c r="AB1085" s="25">
        <f>(SalesCleanTable[[#This Row],[Unit Price]] - SalesCleanTable[[#This Row],[Unit Cost]]) / SalesCleanTable[[#This Row],[Unit Price]]</f>
        <v>0.28888888888888886</v>
      </c>
      <c r="AC1085" t="str">
        <f>IF(SalesCleanTable[[#This Row],[Discount %]] &gt; SalesCleanTable[[#This Row],[Max Allowed Discount]], "Discount loss", "Safe")</f>
        <v>Safe</v>
      </c>
      <c r="AD1085" s="4">
        <f>SalesCleanTable[[#This Row],[Unit Price]] - SalesCleanTable[[#This Row],[Unit Cost]]</f>
        <v>1300</v>
      </c>
      <c r="AE1085" s="41">
        <f>(SalesCleanTable[[#This Row],[Unit Price]] - SalesCleanTable[[#This Row],[Unit Cost]]) / SalesCleanTable[[#This Row],[Unit Price]]</f>
        <v>0.28888888888888886</v>
      </c>
    </row>
    <row r="1086" spans="1:31">
      <c r="A1086" t="s">
        <v>1272</v>
      </c>
      <c r="B1086" s="6">
        <v>45812</v>
      </c>
      <c r="C1086" t="s">
        <v>45</v>
      </c>
      <c r="D1086" t="s">
        <v>46</v>
      </c>
      <c r="E1086" t="s">
        <v>38</v>
      </c>
      <c r="F1086" t="s">
        <v>47</v>
      </c>
      <c r="G1086" t="s">
        <v>48</v>
      </c>
      <c r="H1086" t="s">
        <v>135</v>
      </c>
      <c r="I1086" t="s">
        <v>136</v>
      </c>
      <c r="J1086" t="s">
        <v>137</v>
      </c>
      <c r="K1086" t="s">
        <v>138</v>
      </c>
      <c r="L1086" t="s">
        <v>166</v>
      </c>
      <c r="M1086" t="s">
        <v>171</v>
      </c>
      <c r="N1086">
        <v>8</v>
      </c>
      <c r="O1086" s="4">
        <v>230</v>
      </c>
      <c r="P1086" s="4">
        <v>400</v>
      </c>
      <c r="Q1086" s="7">
        <v>0.05</v>
      </c>
      <c r="R1086" t="s">
        <v>175</v>
      </c>
      <c r="S1086">
        <v>2</v>
      </c>
      <c r="T1086">
        <v>3200</v>
      </c>
      <c r="U1086">
        <v>160</v>
      </c>
      <c r="V1086">
        <v>3040</v>
      </c>
      <c r="W1086">
        <v>1840</v>
      </c>
      <c r="X1086">
        <v>1200</v>
      </c>
      <c r="Y1086" s="8">
        <v>0.39473684210526316</v>
      </c>
      <c r="Z1086" t="s">
        <v>2995</v>
      </c>
      <c r="AA1086" t="str">
        <f>IF(AND(SalesCleanTable[[#This Row],[Discount %]]&gt;0, SalesCleanTable[[#This Row],[Profit]]&lt;0), "Discount loss", "Safe")</f>
        <v>Safe</v>
      </c>
      <c r="AB1086" s="25">
        <f>(SalesCleanTable[[#This Row],[Unit Price]] - SalesCleanTable[[#This Row],[Unit Cost]]) / SalesCleanTable[[#This Row],[Unit Price]]</f>
        <v>0.42499999999999999</v>
      </c>
      <c r="AC1086" t="str">
        <f>IF(SalesCleanTable[[#This Row],[Discount %]] &gt; SalesCleanTable[[#This Row],[Max Allowed Discount]], "Discount loss", "Safe")</f>
        <v>Safe</v>
      </c>
      <c r="AD1086" s="4">
        <f>SalesCleanTable[[#This Row],[Unit Price]] - SalesCleanTable[[#This Row],[Unit Cost]]</f>
        <v>170</v>
      </c>
      <c r="AE1086" s="41">
        <f>(SalesCleanTable[[#This Row],[Unit Price]] - SalesCleanTable[[#This Row],[Unit Cost]]) / SalesCleanTable[[#This Row],[Unit Price]]</f>
        <v>0.42499999999999999</v>
      </c>
    </row>
    <row r="1087" spans="1:31">
      <c r="A1087" t="s">
        <v>1273</v>
      </c>
      <c r="B1087" s="6">
        <v>45884</v>
      </c>
      <c r="C1087" t="s">
        <v>82</v>
      </c>
      <c r="D1087" t="s">
        <v>83</v>
      </c>
      <c r="E1087" t="s">
        <v>75</v>
      </c>
      <c r="F1087" t="s">
        <v>84</v>
      </c>
      <c r="G1087" t="s">
        <v>85</v>
      </c>
      <c r="H1087" t="s">
        <v>139</v>
      </c>
      <c r="I1087" t="s">
        <v>140</v>
      </c>
      <c r="J1087" t="s">
        <v>137</v>
      </c>
      <c r="K1087" t="s">
        <v>138</v>
      </c>
      <c r="L1087" t="s">
        <v>166</v>
      </c>
      <c r="M1087" t="s">
        <v>186</v>
      </c>
      <c r="N1087">
        <v>4</v>
      </c>
      <c r="O1087" s="4">
        <v>600</v>
      </c>
      <c r="P1087" s="4">
        <v>950</v>
      </c>
      <c r="Q1087" s="7">
        <v>0.05</v>
      </c>
      <c r="R1087" t="s">
        <v>208</v>
      </c>
      <c r="S1087">
        <v>8</v>
      </c>
      <c r="T1087">
        <v>3800</v>
      </c>
      <c r="U1087">
        <v>190</v>
      </c>
      <c r="V1087">
        <v>3610</v>
      </c>
      <c r="W1087">
        <v>2400</v>
      </c>
      <c r="X1087">
        <v>1210</v>
      </c>
      <c r="Y1087" s="8">
        <v>0.33518005540166207</v>
      </c>
      <c r="Z1087" t="s">
        <v>2996</v>
      </c>
      <c r="AA1087" t="str">
        <f>IF(AND(SalesCleanTable[[#This Row],[Discount %]]&gt;0, SalesCleanTable[[#This Row],[Profit]]&lt;0), "Discount loss", "Safe")</f>
        <v>Safe</v>
      </c>
      <c r="AB1087" s="25">
        <f>(SalesCleanTable[[#This Row],[Unit Price]] - SalesCleanTable[[#This Row],[Unit Cost]]) / SalesCleanTable[[#This Row],[Unit Price]]</f>
        <v>0.36842105263157893</v>
      </c>
      <c r="AC1087" t="str">
        <f>IF(SalesCleanTable[[#This Row],[Discount %]] &gt; SalesCleanTable[[#This Row],[Max Allowed Discount]], "Discount loss", "Safe")</f>
        <v>Safe</v>
      </c>
      <c r="AD1087" s="4">
        <f>SalesCleanTable[[#This Row],[Unit Price]] - SalesCleanTable[[#This Row],[Unit Cost]]</f>
        <v>350</v>
      </c>
      <c r="AE1087" s="41">
        <f>(SalesCleanTable[[#This Row],[Unit Price]] - SalesCleanTable[[#This Row],[Unit Cost]]) / SalesCleanTable[[#This Row],[Unit Price]]</f>
        <v>0.36842105263157893</v>
      </c>
    </row>
    <row r="1088" spans="1:31">
      <c r="A1088" t="s">
        <v>1274</v>
      </c>
      <c r="B1088" s="6">
        <v>45944</v>
      </c>
      <c r="C1088" t="s">
        <v>24</v>
      </c>
      <c r="D1088" t="s">
        <v>25</v>
      </c>
      <c r="E1088" t="s">
        <v>26</v>
      </c>
      <c r="F1088" t="s">
        <v>27</v>
      </c>
      <c r="G1088" t="s">
        <v>28</v>
      </c>
      <c r="H1088" t="s">
        <v>145</v>
      </c>
      <c r="I1088" t="s">
        <v>146</v>
      </c>
      <c r="J1088" t="s">
        <v>147</v>
      </c>
      <c r="K1088" t="s">
        <v>148</v>
      </c>
      <c r="L1088" t="s">
        <v>183</v>
      </c>
      <c r="M1088" t="s">
        <v>171</v>
      </c>
      <c r="N1088">
        <v>1</v>
      </c>
      <c r="O1088" s="4">
        <v>14500</v>
      </c>
      <c r="P1088" s="4">
        <v>17500</v>
      </c>
      <c r="Q1088" s="7">
        <v>0</v>
      </c>
      <c r="R1088" t="s">
        <v>173</v>
      </c>
      <c r="S1088">
        <v>9</v>
      </c>
      <c r="T1088">
        <v>17500</v>
      </c>
      <c r="U1088">
        <v>0</v>
      </c>
      <c r="V1088">
        <v>17500</v>
      </c>
      <c r="W1088">
        <v>14500</v>
      </c>
      <c r="X1088">
        <v>3000</v>
      </c>
      <c r="Y1088" s="8">
        <v>0.17142857142857143</v>
      </c>
      <c r="Z1088" t="s">
        <v>2995</v>
      </c>
      <c r="AA1088" t="str">
        <f>IF(AND(SalesCleanTable[[#This Row],[Discount %]]&gt;0, SalesCleanTable[[#This Row],[Profit]]&lt;0), "Discount loss", "Safe")</f>
        <v>Safe</v>
      </c>
      <c r="AB1088" s="25">
        <f>(SalesCleanTable[[#This Row],[Unit Price]] - SalesCleanTable[[#This Row],[Unit Cost]]) / SalesCleanTable[[#This Row],[Unit Price]]</f>
        <v>0.17142857142857143</v>
      </c>
      <c r="AC1088" t="str">
        <f>IF(SalesCleanTable[[#This Row],[Discount %]] &gt; SalesCleanTable[[#This Row],[Max Allowed Discount]], "Discount loss", "Safe")</f>
        <v>Safe</v>
      </c>
      <c r="AD1088" s="4">
        <f>SalesCleanTable[[#This Row],[Unit Price]] - SalesCleanTable[[#This Row],[Unit Cost]]</f>
        <v>3000</v>
      </c>
      <c r="AE1088" s="41">
        <f>(SalesCleanTable[[#This Row],[Unit Price]] - SalesCleanTable[[#This Row],[Unit Cost]]) / SalesCleanTable[[#This Row],[Unit Price]]</f>
        <v>0.17142857142857143</v>
      </c>
    </row>
    <row r="1089" spans="1:31">
      <c r="A1089" t="s">
        <v>1275</v>
      </c>
      <c r="B1089" s="6">
        <v>45975</v>
      </c>
      <c r="C1089" t="s">
        <v>62</v>
      </c>
      <c r="D1089" t="s">
        <v>63</v>
      </c>
      <c r="E1089" t="s">
        <v>59</v>
      </c>
      <c r="F1089" t="s">
        <v>64</v>
      </c>
      <c r="G1089" t="s">
        <v>65</v>
      </c>
      <c r="H1089" t="s">
        <v>139</v>
      </c>
      <c r="I1089" t="s">
        <v>140</v>
      </c>
      <c r="J1089" t="s">
        <v>137</v>
      </c>
      <c r="K1089" t="s">
        <v>138</v>
      </c>
      <c r="L1089" t="s">
        <v>166</v>
      </c>
      <c r="M1089" t="s">
        <v>186</v>
      </c>
      <c r="N1089">
        <v>2</v>
      </c>
      <c r="O1089" s="4">
        <v>3200</v>
      </c>
      <c r="P1089" s="4">
        <v>4500</v>
      </c>
      <c r="Q1089" s="7">
        <v>0.1</v>
      </c>
      <c r="R1089" t="s">
        <v>192</v>
      </c>
      <c r="S1089">
        <v>8</v>
      </c>
      <c r="T1089">
        <v>9000</v>
      </c>
      <c r="U1089">
        <v>900</v>
      </c>
      <c r="V1089">
        <v>8100</v>
      </c>
      <c r="W1089">
        <v>6400</v>
      </c>
      <c r="X1089">
        <v>1700</v>
      </c>
      <c r="Y1089" s="8">
        <v>0.20987654320987653</v>
      </c>
      <c r="Z1089" t="s">
        <v>2996</v>
      </c>
      <c r="AA1089" t="str">
        <f>IF(AND(SalesCleanTable[[#This Row],[Discount %]]&gt;0, SalesCleanTable[[#This Row],[Profit]]&lt;0), "Discount loss", "Safe")</f>
        <v>Safe</v>
      </c>
      <c r="AB1089" s="25">
        <f>(SalesCleanTable[[#This Row],[Unit Price]] - SalesCleanTable[[#This Row],[Unit Cost]]) / SalesCleanTable[[#This Row],[Unit Price]]</f>
        <v>0.28888888888888886</v>
      </c>
      <c r="AC1089" t="str">
        <f>IF(SalesCleanTable[[#This Row],[Discount %]] &gt; SalesCleanTable[[#This Row],[Max Allowed Discount]], "Discount loss", "Safe")</f>
        <v>Safe</v>
      </c>
      <c r="AD1089" s="4">
        <f>SalesCleanTable[[#This Row],[Unit Price]] - SalesCleanTable[[#This Row],[Unit Cost]]</f>
        <v>1300</v>
      </c>
      <c r="AE1089" s="41">
        <f>(SalesCleanTable[[#This Row],[Unit Price]] - SalesCleanTable[[#This Row],[Unit Cost]]) / SalesCleanTable[[#This Row],[Unit Price]]</f>
        <v>0.28888888888888886</v>
      </c>
    </row>
    <row r="1090" spans="1:31">
      <c r="A1090" t="s">
        <v>1276</v>
      </c>
      <c r="B1090" s="6">
        <v>45923</v>
      </c>
      <c r="C1090" t="s">
        <v>53</v>
      </c>
      <c r="D1090" t="s">
        <v>54</v>
      </c>
      <c r="E1090" t="s">
        <v>38</v>
      </c>
      <c r="F1090" t="s">
        <v>55</v>
      </c>
      <c r="G1090" t="s">
        <v>56</v>
      </c>
      <c r="H1090" t="s">
        <v>128</v>
      </c>
      <c r="I1090" t="s">
        <v>129</v>
      </c>
      <c r="J1090" t="s">
        <v>130</v>
      </c>
      <c r="K1090" t="s">
        <v>131</v>
      </c>
      <c r="L1090" t="s">
        <v>183</v>
      </c>
      <c r="M1090" t="s">
        <v>186</v>
      </c>
      <c r="N1090">
        <v>1</v>
      </c>
      <c r="O1090" s="4">
        <v>330</v>
      </c>
      <c r="P1090" s="4">
        <v>550</v>
      </c>
      <c r="Q1090" s="7">
        <v>0.15</v>
      </c>
      <c r="R1090" t="s">
        <v>178</v>
      </c>
      <c r="S1090">
        <v>14</v>
      </c>
      <c r="T1090">
        <v>550</v>
      </c>
      <c r="U1090">
        <v>82.5</v>
      </c>
      <c r="V1090">
        <v>467.5</v>
      </c>
      <c r="W1090">
        <v>330</v>
      </c>
      <c r="X1090">
        <v>137.5</v>
      </c>
      <c r="Y1090" s="8">
        <v>0.29411764705882354</v>
      </c>
      <c r="Z1090" t="s">
        <v>2996</v>
      </c>
      <c r="AA1090" t="str">
        <f>IF(AND(SalesCleanTable[[#This Row],[Discount %]]&gt;0, SalesCleanTable[[#This Row],[Profit]]&lt;0), "Discount loss", "Safe")</f>
        <v>Safe</v>
      </c>
      <c r="AB1090" s="25">
        <f>(SalesCleanTable[[#This Row],[Unit Price]] - SalesCleanTable[[#This Row],[Unit Cost]]) / SalesCleanTable[[#This Row],[Unit Price]]</f>
        <v>0.4</v>
      </c>
      <c r="AC1090" t="str">
        <f>IF(SalesCleanTable[[#This Row],[Discount %]] &gt; SalesCleanTable[[#This Row],[Max Allowed Discount]], "Discount loss", "Safe")</f>
        <v>Safe</v>
      </c>
      <c r="AD1090" s="4">
        <f>SalesCleanTable[[#This Row],[Unit Price]] - SalesCleanTable[[#This Row],[Unit Cost]]</f>
        <v>220</v>
      </c>
      <c r="AE1090" s="41">
        <f>(SalesCleanTable[[#This Row],[Unit Price]] - SalesCleanTable[[#This Row],[Unit Cost]]) / SalesCleanTable[[#This Row],[Unit Price]]</f>
        <v>0.4</v>
      </c>
    </row>
    <row r="1091" spans="1:31">
      <c r="A1091" t="s">
        <v>1277</v>
      </c>
      <c r="B1091" s="6">
        <v>45904</v>
      </c>
      <c r="C1091" t="s">
        <v>82</v>
      </c>
      <c r="D1091" t="s">
        <v>83</v>
      </c>
      <c r="E1091" t="s">
        <v>75</v>
      </c>
      <c r="F1091" t="s">
        <v>84</v>
      </c>
      <c r="G1091" t="s">
        <v>85</v>
      </c>
      <c r="H1091" t="s">
        <v>149</v>
      </c>
      <c r="I1091" t="s">
        <v>150</v>
      </c>
      <c r="J1091" t="s">
        <v>151</v>
      </c>
      <c r="K1091" t="s">
        <v>152</v>
      </c>
      <c r="L1091" t="s">
        <v>166</v>
      </c>
      <c r="M1091" t="s">
        <v>171</v>
      </c>
      <c r="N1091">
        <v>1</v>
      </c>
      <c r="O1091" s="4">
        <v>600</v>
      </c>
      <c r="P1091" s="4">
        <v>950</v>
      </c>
      <c r="Q1091" s="7">
        <v>0.1</v>
      </c>
      <c r="R1091" t="s">
        <v>204</v>
      </c>
      <c r="S1091">
        <v>4</v>
      </c>
      <c r="T1091">
        <v>950</v>
      </c>
      <c r="U1091">
        <v>95</v>
      </c>
      <c r="V1091">
        <v>855</v>
      </c>
      <c r="W1091">
        <v>600</v>
      </c>
      <c r="X1091">
        <v>255</v>
      </c>
      <c r="Y1091" s="8">
        <v>0.2982456140350877</v>
      </c>
      <c r="Z1091" t="s">
        <v>2996</v>
      </c>
      <c r="AA1091" t="str">
        <f>IF(AND(SalesCleanTable[[#This Row],[Discount %]]&gt;0, SalesCleanTable[[#This Row],[Profit]]&lt;0), "Discount loss", "Safe")</f>
        <v>Safe</v>
      </c>
      <c r="AB1091" s="25">
        <f>(SalesCleanTable[[#This Row],[Unit Price]] - SalesCleanTable[[#This Row],[Unit Cost]]) / SalesCleanTable[[#This Row],[Unit Price]]</f>
        <v>0.36842105263157893</v>
      </c>
      <c r="AC1091" t="str">
        <f>IF(SalesCleanTable[[#This Row],[Discount %]] &gt; SalesCleanTable[[#This Row],[Max Allowed Discount]], "Discount loss", "Safe")</f>
        <v>Safe</v>
      </c>
      <c r="AD1091" s="4">
        <f>SalesCleanTable[[#This Row],[Unit Price]] - SalesCleanTable[[#This Row],[Unit Cost]]</f>
        <v>350</v>
      </c>
      <c r="AE1091" s="41">
        <f>(SalesCleanTable[[#This Row],[Unit Price]] - SalesCleanTable[[#This Row],[Unit Cost]]) / SalesCleanTable[[#This Row],[Unit Price]]</f>
        <v>0.36842105263157893</v>
      </c>
    </row>
    <row r="1092" spans="1:31">
      <c r="A1092" t="s">
        <v>1278</v>
      </c>
      <c r="B1092" s="6">
        <v>45945</v>
      </c>
      <c r="C1092" t="s">
        <v>82</v>
      </c>
      <c r="D1092" t="s">
        <v>83</v>
      </c>
      <c r="E1092" t="s">
        <v>75</v>
      </c>
      <c r="F1092" t="s">
        <v>84</v>
      </c>
      <c r="G1092" t="s">
        <v>85</v>
      </c>
      <c r="H1092" t="s">
        <v>139</v>
      </c>
      <c r="I1092" t="s">
        <v>140</v>
      </c>
      <c r="J1092" t="s">
        <v>137</v>
      </c>
      <c r="K1092" t="s">
        <v>138</v>
      </c>
      <c r="L1092" t="s">
        <v>183</v>
      </c>
      <c r="M1092" t="s">
        <v>167</v>
      </c>
      <c r="N1092">
        <v>2</v>
      </c>
      <c r="O1092" s="4">
        <v>600</v>
      </c>
      <c r="P1092" s="4">
        <v>950</v>
      </c>
      <c r="Q1092" s="7">
        <v>0.1</v>
      </c>
      <c r="R1092" t="s">
        <v>208</v>
      </c>
      <c r="S1092">
        <v>12</v>
      </c>
      <c r="T1092">
        <v>1900</v>
      </c>
      <c r="U1092">
        <v>190</v>
      </c>
      <c r="V1092">
        <v>1710</v>
      </c>
      <c r="W1092">
        <v>1200</v>
      </c>
      <c r="X1092">
        <v>510</v>
      </c>
      <c r="Y1092" s="8">
        <v>0.2982456140350877</v>
      </c>
      <c r="Z1092" t="s">
        <v>2996</v>
      </c>
      <c r="AA1092" t="str">
        <f>IF(AND(SalesCleanTable[[#This Row],[Discount %]]&gt;0, SalesCleanTable[[#This Row],[Profit]]&lt;0), "Discount loss", "Safe")</f>
        <v>Safe</v>
      </c>
      <c r="AB1092" s="25">
        <f>(SalesCleanTable[[#This Row],[Unit Price]] - SalesCleanTable[[#This Row],[Unit Cost]]) / SalesCleanTable[[#This Row],[Unit Price]]</f>
        <v>0.36842105263157893</v>
      </c>
      <c r="AC1092" t="str">
        <f>IF(SalesCleanTable[[#This Row],[Discount %]] &gt; SalesCleanTable[[#This Row],[Max Allowed Discount]], "Discount loss", "Safe")</f>
        <v>Safe</v>
      </c>
      <c r="AD1092" s="4">
        <f>SalesCleanTable[[#This Row],[Unit Price]] - SalesCleanTable[[#This Row],[Unit Cost]]</f>
        <v>350</v>
      </c>
      <c r="AE1092" s="41">
        <f>(SalesCleanTable[[#This Row],[Unit Price]] - SalesCleanTable[[#This Row],[Unit Cost]]) / SalesCleanTable[[#This Row],[Unit Price]]</f>
        <v>0.36842105263157893</v>
      </c>
    </row>
    <row r="1093" spans="1:31">
      <c r="A1093" t="s">
        <v>1279</v>
      </c>
      <c r="B1093" s="6">
        <v>45661</v>
      </c>
      <c r="C1093" t="s">
        <v>95</v>
      </c>
      <c r="D1093" t="s">
        <v>96</v>
      </c>
      <c r="E1093" t="s">
        <v>92</v>
      </c>
      <c r="F1093" t="s">
        <v>97</v>
      </c>
      <c r="G1093" t="s">
        <v>98</v>
      </c>
      <c r="H1093" t="s">
        <v>141</v>
      </c>
      <c r="I1093" t="s">
        <v>142</v>
      </c>
      <c r="J1093" t="s">
        <v>143</v>
      </c>
      <c r="K1093" t="s">
        <v>144</v>
      </c>
      <c r="L1093" t="s">
        <v>166</v>
      </c>
      <c r="M1093" t="s">
        <v>171</v>
      </c>
      <c r="N1093">
        <v>1</v>
      </c>
      <c r="O1093" s="4">
        <v>18000</v>
      </c>
      <c r="P1093" s="4">
        <v>24500</v>
      </c>
      <c r="Q1093" s="7">
        <v>0</v>
      </c>
      <c r="R1093" t="s">
        <v>215</v>
      </c>
      <c r="S1093">
        <v>2</v>
      </c>
      <c r="T1093">
        <v>24500</v>
      </c>
      <c r="U1093">
        <v>0</v>
      </c>
      <c r="V1093">
        <v>24500</v>
      </c>
      <c r="W1093">
        <v>18000</v>
      </c>
      <c r="X1093">
        <v>6500</v>
      </c>
      <c r="Y1093" s="8">
        <v>0.26530612244897961</v>
      </c>
      <c r="Z1093" t="s">
        <v>2995</v>
      </c>
      <c r="AA1093" t="str">
        <f>IF(AND(SalesCleanTable[[#This Row],[Discount %]]&gt;0, SalesCleanTable[[#This Row],[Profit]]&lt;0), "Discount loss", "Safe")</f>
        <v>Safe</v>
      </c>
      <c r="AB1093" s="25">
        <f>(SalesCleanTable[[#This Row],[Unit Price]] - SalesCleanTable[[#This Row],[Unit Cost]]) / SalesCleanTable[[#This Row],[Unit Price]]</f>
        <v>0.26530612244897961</v>
      </c>
      <c r="AC1093" t="str">
        <f>IF(SalesCleanTable[[#This Row],[Discount %]] &gt; SalesCleanTable[[#This Row],[Max Allowed Discount]], "Discount loss", "Safe")</f>
        <v>Safe</v>
      </c>
      <c r="AD1093" s="4">
        <f>SalesCleanTable[[#This Row],[Unit Price]] - SalesCleanTable[[#This Row],[Unit Cost]]</f>
        <v>6500</v>
      </c>
      <c r="AE1093" s="41">
        <f>(SalesCleanTable[[#This Row],[Unit Price]] - SalesCleanTable[[#This Row],[Unit Cost]]) / SalesCleanTable[[#This Row],[Unit Price]]</f>
        <v>0.26530612244897961</v>
      </c>
    </row>
    <row r="1094" spans="1:31">
      <c r="A1094" t="s">
        <v>1280</v>
      </c>
      <c r="B1094" s="6">
        <v>45711</v>
      </c>
      <c r="C1094" t="s">
        <v>53</v>
      </c>
      <c r="D1094" t="s">
        <v>54</v>
      </c>
      <c r="E1094" t="s">
        <v>38</v>
      </c>
      <c r="F1094" t="s">
        <v>55</v>
      </c>
      <c r="G1094" t="s">
        <v>56</v>
      </c>
      <c r="H1094" t="s">
        <v>149</v>
      </c>
      <c r="I1094" t="s">
        <v>150</v>
      </c>
      <c r="J1094" t="s">
        <v>151</v>
      </c>
      <c r="K1094" t="s">
        <v>152</v>
      </c>
      <c r="L1094" t="s">
        <v>166</v>
      </c>
      <c r="M1094" t="s">
        <v>186</v>
      </c>
      <c r="N1094">
        <v>2</v>
      </c>
      <c r="O1094" s="4">
        <v>330</v>
      </c>
      <c r="P1094" s="4">
        <v>550</v>
      </c>
      <c r="Q1094" s="7">
        <v>0</v>
      </c>
      <c r="R1094" t="s">
        <v>178</v>
      </c>
      <c r="S1094">
        <v>14</v>
      </c>
      <c r="T1094">
        <v>1100</v>
      </c>
      <c r="U1094">
        <v>0</v>
      </c>
      <c r="V1094">
        <v>1100</v>
      </c>
      <c r="W1094">
        <v>660</v>
      </c>
      <c r="X1094">
        <v>440</v>
      </c>
      <c r="Y1094" s="8">
        <v>0.4</v>
      </c>
      <c r="Z1094" t="s">
        <v>2996</v>
      </c>
      <c r="AA1094" t="str">
        <f>IF(AND(SalesCleanTable[[#This Row],[Discount %]]&gt;0, SalesCleanTable[[#This Row],[Profit]]&lt;0), "Discount loss", "Safe")</f>
        <v>Safe</v>
      </c>
      <c r="AB1094" s="25">
        <f>(SalesCleanTable[[#This Row],[Unit Price]] - SalesCleanTable[[#This Row],[Unit Cost]]) / SalesCleanTable[[#This Row],[Unit Price]]</f>
        <v>0.4</v>
      </c>
      <c r="AC1094" t="str">
        <f>IF(SalesCleanTable[[#This Row],[Discount %]] &gt; SalesCleanTable[[#This Row],[Max Allowed Discount]], "Discount loss", "Safe")</f>
        <v>Safe</v>
      </c>
      <c r="AD1094" s="4">
        <f>SalesCleanTable[[#This Row],[Unit Price]] - SalesCleanTable[[#This Row],[Unit Cost]]</f>
        <v>220</v>
      </c>
      <c r="AE1094" s="41">
        <f>(SalesCleanTable[[#This Row],[Unit Price]] - SalesCleanTable[[#This Row],[Unit Cost]]) / SalesCleanTable[[#This Row],[Unit Price]]</f>
        <v>0.4</v>
      </c>
    </row>
    <row r="1095" spans="1:31">
      <c r="A1095" t="s">
        <v>1281</v>
      </c>
      <c r="B1095" s="6">
        <v>45937</v>
      </c>
      <c r="C1095" t="s">
        <v>41</v>
      </c>
      <c r="D1095" t="s">
        <v>42</v>
      </c>
      <c r="E1095" t="s">
        <v>26</v>
      </c>
      <c r="F1095" t="s">
        <v>43</v>
      </c>
      <c r="G1095" t="s">
        <v>44</v>
      </c>
      <c r="H1095" t="s">
        <v>141</v>
      </c>
      <c r="I1095" t="s">
        <v>142</v>
      </c>
      <c r="J1095" t="s">
        <v>143</v>
      </c>
      <c r="K1095" t="s">
        <v>144</v>
      </c>
      <c r="L1095" t="s">
        <v>166</v>
      </c>
      <c r="M1095" t="s">
        <v>177</v>
      </c>
      <c r="N1095">
        <v>2</v>
      </c>
      <c r="O1095" s="4">
        <v>850</v>
      </c>
      <c r="P1095" s="4">
        <v>1300</v>
      </c>
      <c r="Q1095" s="7">
        <v>0.1</v>
      </c>
      <c r="R1095" t="s">
        <v>197</v>
      </c>
      <c r="S1095">
        <v>3</v>
      </c>
      <c r="T1095">
        <v>2600</v>
      </c>
      <c r="U1095">
        <v>260</v>
      </c>
      <c r="V1095">
        <v>2340</v>
      </c>
      <c r="W1095">
        <v>1700</v>
      </c>
      <c r="X1095">
        <v>640</v>
      </c>
      <c r="Y1095" s="8">
        <v>0.27350427350427353</v>
      </c>
      <c r="Z1095" t="s">
        <v>2995</v>
      </c>
      <c r="AA1095" t="str">
        <f>IF(AND(SalesCleanTable[[#This Row],[Discount %]]&gt;0, SalesCleanTable[[#This Row],[Profit]]&lt;0), "Discount loss", "Safe")</f>
        <v>Safe</v>
      </c>
      <c r="AB1095" s="25">
        <f>(SalesCleanTable[[#This Row],[Unit Price]] - SalesCleanTable[[#This Row],[Unit Cost]]) / SalesCleanTable[[#This Row],[Unit Price]]</f>
        <v>0.34615384615384615</v>
      </c>
      <c r="AC1095" t="str">
        <f>IF(SalesCleanTable[[#This Row],[Discount %]] &gt; SalesCleanTable[[#This Row],[Max Allowed Discount]], "Discount loss", "Safe")</f>
        <v>Safe</v>
      </c>
      <c r="AD1095" s="4">
        <f>SalesCleanTable[[#This Row],[Unit Price]] - SalesCleanTable[[#This Row],[Unit Cost]]</f>
        <v>450</v>
      </c>
      <c r="AE1095" s="41">
        <f>(SalesCleanTable[[#This Row],[Unit Price]] - SalesCleanTable[[#This Row],[Unit Cost]]) / SalesCleanTable[[#This Row],[Unit Price]]</f>
        <v>0.34615384615384615</v>
      </c>
    </row>
    <row r="1096" spans="1:31">
      <c r="A1096" t="s">
        <v>1282</v>
      </c>
      <c r="B1096" s="6">
        <v>45994</v>
      </c>
      <c r="C1096" t="s">
        <v>41</v>
      </c>
      <c r="D1096" t="s">
        <v>42</v>
      </c>
      <c r="E1096" t="s">
        <v>26</v>
      </c>
      <c r="F1096" t="s">
        <v>43</v>
      </c>
      <c r="G1096" t="s">
        <v>44</v>
      </c>
      <c r="H1096" t="s">
        <v>139</v>
      </c>
      <c r="I1096" t="s">
        <v>140</v>
      </c>
      <c r="J1096" t="s">
        <v>137</v>
      </c>
      <c r="K1096" t="s">
        <v>138</v>
      </c>
      <c r="L1096" t="s">
        <v>166</v>
      </c>
      <c r="M1096" t="s">
        <v>167</v>
      </c>
      <c r="N1096">
        <v>4</v>
      </c>
      <c r="O1096" s="4">
        <v>850</v>
      </c>
      <c r="P1096" s="4">
        <v>1300</v>
      </c>
      <c r="Q1096" s="7">
        <v>0</v>
      </c>
      <c r="R1096" t="s">
        <v>197</v>
      </c>
      <c r="S1096">
        <v>10</v>
      </c>
      <c r="T1096">
        <v>5200</v>
      </c>
      <c r="U1096">
        <v>0</v>
      </c>
      <c r="V1096">
        <v>5200</v>
      </c>
      <c r="W1096">
        <v>3400</v>
      </c>
      <c r="X1096">
        <v>1800</v>
      </c>
      <c r="Y1096" s="8">
        <v>0.34615384615384615</v>
      </c>
      <c r="Z1096" t="s">
        <v>2995</v>
      </c>
      <c r="AA1096" t="str">
        <f>IF(AND(SalesCleanTable[[#This Row],[Discount %]]&gt;0, SalesCleanTable[[#This Row],[Profit]]&lt;0), "Discount loss", "Safe")</f>
        <v>Safe</v>
      </c>
      <c r="AB1096" s="25">
        <f>(SalesCleanTable[[#This Row],[Unit Price]] - SalesCleanTable[[#This Row],[Unit Cost]]) / SalesCleanTable[[#This Row],[Unit Price]]</f>
        <v>0.34615384615384615</v>
      </c>
      <c r="AC1096" t="str">
        <f>IF(SalesCleanTable[[#This Row],[Discount %]] &gt; SalesCleanTable[[#This Row],[Max Allowed Discount]], "Discount loss", "Safe")</f>
        <v>Safe</v>
      </c>
      <c r="AD1096" s="4">
        <f>SalesCleanTable[[#This Row],[Unit Price]] - SalesCleanTable[[#This Row],[Unit Cost]]</f>
        <v>450</v>
      </c>
      <c r="AE1096" s="41">
        <f>(SalesCleanTable[[#This Row],[Unit Price]] - SalesCleanTable[[#This Row],[Unit Cost]]) / SalesCleanTable[[#This Row],[Unit Price]]</f>
        <v>0.34615384615384615</v>
      </c>
    </row>
    <row r="1097" spans="1:31">
      <c r="A1097" t="s">
        <v>1283</v>
      </c>
      <c r="B1097" s="6">
        <v>45999</v>
      </c>
      <c r="C1097" t="s">
        <v>45</v>
      </c>
      <c r="D1097" t="s">
        <v>46</v>
      </c>
      <c r="E1097" t="s">
        <v>38</v>
      </c>
      <c r="F1097" t="s">
        <v>47</v>
      </c>
      <c r="G1097" t="s">
        <v>48</v>
      </c>
      <c r="H1097" t="s">
        <v>135</v>
      </c>
      <c r="I1097" t="s">
        <v>136</v>
      </c>
      <c r="J1097" t="s">
        <v>137</v>
      </c>
      <c r="K1097" t="s">
        <v>138</v>
      </c>
      <c r="L1097" t="s">
        <v>183</v>
      </c>
      <c r="M1097" t="s">
        <v>177</v>
      </c>
      <c r="N1097">
        <v>5</v>
      </c>
      <c r="O1097" s="4">
        <v>230</v>
      </c>
      <c r="P1097" s="4">
        <v>400</v>
      </c>
      <c r="Q1097" s="7">
        <v>0.05</v>
      </c>
      <c r="R1097" t="s">
        <v>175</v>
      </c>
      <c r="S1097">
        <v>8</v>
      </c>
      <c r="T1097">
        <v>2000</v>
      </c>
      <c r="U1097">
        <v>100</v>
      </c>
      <c r="V1097">
        <v>1900</v>
      </c>
      <c r="W1097">
        <v>1150</v>
      </c>
      <c r="X1097">
        <v>750</v>
      </c>
      <c r="Y1097" s="8">
        <v>0.39473684210526316</v>
      </c>
      <c r="Z1097" t="s">
        <v>2995</v>
      </c>
      <c r="AA1097" t="str">
        <f>IF(AND(SalesCleanTable[[#This Row],[Discount %]]&gt;0, SalesCleanTable[[#This Row],[Profit]]&lt;0), "Discount loss", "Safe")</f>
        <v>Safe</v>
      </c>
      <c r="AB1097" s="25">
        <f>(SalesCleanTable[[#This Row],[Unit Price]] - SalesCleanTable[[#This Row],[Unit Cost]]) / SalesCleanTable[[#This Row],[Unit Price]]</f>
        <v>0.42499999999999999</v>
      </c>
      <c r="AC1097" t="str">
        <f>IF(SalesCleanTable[[#This Row],[Discount %]] &gt; SalesCleanTable[[#This Row],[Max Allowed Discount]], "Discount loss", "Safe")</f>
        <v>Safe</v>
      </c>
      <c r="AD1097" s="4">
        <f>SalesCleanTable[[#This Row],[Unit Price]] - SalesCleanTable[[#This Row],[Unit Cost]]</f>
        <v>170</v>
      </c>
      <c r="AE1097" s="41">
        <f>(SalesCleanTable[[#This Row],[Unit Price]] - SalesCleanTable[[#This Row],[Unit Cost]]) / SalesCleanTable[[#This Row],[Unit Price]]</f>
        <v>0.42499999999999999</v>
      </c>
    </row>
    <row r="1098" spans="1:31">
      <c r="A1098" t="s">
        <v>1284</v>
      </c>
      <c r="B1098" s="6">
        <v>45857</v>
      </c>
      <c r="C1098" t="s">
        <v>24</v>
      </c>
      <c r="D1098" t="s">
        <v>25</v>
      </c>
      <c r="E1098" t="s">
        <v>26</v>
      </c>
      <c r="F1098" t="s">
        <v>27</v>
      </c>
      <c r="G1098" t="s">
        <v>28</v>
      </c>
      <c r="H1098" t="s">
        <v>135</v>
      </c>
      <c r="I1098" t="s">
        <v>136</v>
      </c>
      <c r="J1098" t="s">
        <v>137</v>
      </c>
      <c r="K1098" t="s">
        <v>138</v>
      </c>
      <c r="L1098" t="s">
        <v>183</v>
      </c>
      <c r="M1098" t="s">
        <v>177</v>
      </c>
      <c r="N1098">
        <v>3</v>
      </c>
      <c r="O1098" s="4">
        <v>14500</v>
      </c>
      <c r="P1098" s="4">
        <v>17500</v>
      </c>
      <c r="Q1098" s="7">
        <v>0.15</v>
      </c>
      <c r="R1098" t="s">
        <v>194</v>
      </c>
      <c r="S1098">
        <v>3</v>
      </c>
      <c r="T1098">
        <v>52500</v>
      </c>
      <c r="U1098">
        <v>7875</v>
      </c>
      <c r="V1098">
        <v>44625</v>
      </c>
      <c r="W1098">
        <v>43500</v>
      </c>
      <c r="X1098">
        <v>1125</v>
      </c>
      <c r="Y1098" s="8">
        <v>2.5210084033613446E-2</v>
      </c>
      <c r="Z1098" t="s">
        <v>2995</v>
      </c>
      <c r="AA1098" t="str">
        <f>IF(AND(SalesCleanTable[[#This Row],[Discount %]]&gt;0, SalesCleanTable[[#This Row],[Profit]]&lt;0), "Discount loss", "Safe")</f>
        <v>Safe</v>
      </c>
      <c r="AB1098" s="25">
        <f>(SalesCleanTable[[#This Row],[Unit Price]] - SalesCleanTable[[#This Row],[Unit Cost]]) / SalesCleanTable[[#This Row],[Unit Price]]</f>
        <v>0.17142857142857143</v>
      </c>
      <c r="AC1098" t="str">
        <f>IF(SalesCleanTable[[#This Row],[Discount %]] &gt; SalesCleanTable[[#This Row],[Max Allowed Discount]], "Discount loss", "Safe")</f>
        <v>Safe</v>
      </c>
      <c r="AD1098" s="4">
        <f>SalesCleanTable[[#This Row],[Unit Price]] - SalesCleanTable[[#This Row],[Unit Cost]]</f>
        <v>3000</v>
      </c>
      <c r="AE1098" s="41">
        <f>(SalesCleanTable[[#This Row],[Unit Price]] - SalesCleanTable[[#This Row],[Unit Cost]]) / SalesCleanTable[[#This Row],[Unit Price]]</f>
        <v>0.17142857142857143</v>
      </c>
    </row>
    <row r="1099" spans="1:31">
      <c r="A1099" t="s">
        <v>1285</v>
      </c>
      <c r="B1099" s="6">
        <v>45892</v>
      </c>
      <c r="C1099" t="s">
        <v>45</v>
      </c>
      <c r="D1099" t="s">
        <v>46</v>
      </c>
      <c r="E1099" t="s">
        <v>38</v>
      </c>
      <c r="F1099" t="s">
        <v>47</v>
      </c>
      <c r="G1099" t="s">
        <v>48</v>
      </c>
      <c r="H1099" t="s">
        <v>153</v>
      </c>
      <c r="I1099" t="s">
        <v>154</v>
      </c>
      <c r="J1099" t="s">
        <v>155</v>
      </c>
      <c r="K1099" t="s">
        <v>131</v>
      </c>
      <c r="L1099" t="s">
        <v>166</v>
      </c>
      <c r="M1099" t="s">
        <v>186</v>
      </c>
      <c r="N1099">
        <v>2</v>
      </c>
      <c r="O1099" s="4">
        <v>230</v>
      </c>
      <c r="P1099" s="4">
        <v>400</v>
      </c>
      <c r="Q1099" s="7">
        <v>0.15</v>
      </c>
      <c r="R1099" t="s">
        <v>168</v>
      </c>
      <c r="S1099">
        <v>9</v>
      </c>
      <c r="T1099">
        <v>800</v>
      </c>
      <c r="U1099">
        <v>120</v>
      </c>
      <c r="V1099">
        <v>680</v>
      </c>
      <c r="W1099">
        <v>460</v>
      </c>
      <c r="X1099">
        <v>220</v>
      </c>
      <c r="Y1099" s="8">
        <v>0.3235294117647059</v>
      </c>
      <c r="Z1099" t="s">
        <v>2995</v>
      </c>
      <c r="AA1099" t="str">
        <f>IF(AND(SalesCleanTable[[#This Row],[Discount %]]&gt;0, SalesCleanTable[[#This Row],[Profit]]&lt;0), "Discount loss", "Safe")</f>
        <v>Safe</v>
      </c>
      <c r="AB1099" s="25">
        <f>(SalesCleanTable[[#This Row],[Unit Price]] - SalesCleanTable[[#This Row],[Unit Cost]]) / SalesCleanTable[[#This Row],[Unit Price]]</f>
        <v>0.42499999999999999</v>
      </c>
      <c r="AC1099" t="str">
        <f>IF(SalesCleanTable[[#This Row],[Discount %]] &gt; SalesCleanTable[[#This Row],[Max Allowed Discount]], "Discount loss", "Safe")</f>
        <v>Safe</v>
      </c>
      <c r="AD1099" s="4">
        <f>SalesCleanTable[[#This Row],[Unit Price]] - SalesCleanTable[[#This Row],[Unit Cost]]</f>
        <v>170</v>
      </c>
      <c r="AE1099" s="41">
        <f>(SalesCleanTable[[#This Row],[Unit Price]] - SalesCleanTable[[#This Row],[Unit Cost]]) / SalesCleanTable[[#This Row],[Unit Price]]</f>
        <v>0.42499999999999999</v>
      </c>
    </row>
    <row r="1100" spans="1:31">
      <c r="A1100" t="s">
        <v>1286</v>
      </c>
      <c r="B1100" s="6">
        <v>45690</v>
      </c>
      <c r="C1100" t="s">
        <v>36</v>
      </c>
      <c r="D1100" t="s">
        <v>37</v>
      </c>
      <c r="E1100" t="s">
        <v>38</v>
      </c>
      <c r="F1100" t="s">
        <v>39</v>
      </c>
      <c r="G1100" t="s">
        <v>40</v>
      </c>
      <c r="H1100" t="s">
        <v>133</v>
      </c>
      <c r="I1100" t="s">
        <v>134</v>
      </c>
      <c r="J1100" t="s">
        <v>130</v>
      </c>
      <c r="K1100" t="s">
        <v>131</v>
      </c>
      <c r="L1100" t="s">
        <v>166</v>
      </c>
      <c r="M1100" t="s">
        <v>171</v>
      </c>
      <c r="N1100">
        <v>4</v>
      </c>
      <c r="O1100" s="4">
        <v>1650</v>
      </c>
      <c r="P1100" s="4">
        <v>2200</v>
      </c>
      <c r="Q1100" s="7">
        <v>0.1</v>
      </c>
      <c r="R1100" t="s">
        <v>178</v>
      </c>
      <c r="S1100">
        <v>5</v>
      </c>
      <c r="T1100">
        <v>8800</v>
      </c>
      <c r="U1100">
        <v>880</v>
      </c>
      <c r="V1100">
        <v>7920</v>
      </c>
      <c r="W1100">
        <v>6600</v>
      </c>
      <c r="X1100">
        <v>1320</v>
      </c>
      <c r="Y1100" s="8">
        <v>0.16666666666666666</v>
      </c>
      <c r="Z1100" t="s">
        <v>2995</v>
      </c>
      <c r="AA1100" t="str">
        <f>IF(AND(SalesCleanTable[[#This Row],[Discount %]]&gt;0, SalesCleanTable[[#This Row],[Profit]]&lt;0), "Discount loss", "Safe")</f>
        <v>Safe</v>
      </c>
      <c r="AB1100" s="25">
        <f>(SalesCleanTable[[#This Row],[Unit Price]] - SalesCleanTable[[#This Row],[Unit Cost]]) / SalesCleanTable[[#This Row],[Unit Price]]</f>
        <v>0.25</v>
      </c>
      <c r="AC1100" t="str">
        <f>IF(SalesCleanTable[[#This Row],[Discount %]] &gt; SalesCleanTable[[#This Row],[Max Allowed Discount]], "Discount loss", "Safe")</f>
        <v>Safe</v>
      </c>
      <c r="AD1100" s="4">
        <f>SalesCleanTable[[#This Row],[Unit Price]] - SalesCleanTable[[#This Row],[Unit Cost]]</f>
        <v>550</v>
      </c>
      <c r="AE1100" s="41">
        <f>(SalesCleanTable[[#This Row],[Unit Price]] - SalesCleanTable[[#This Row],[Unit Cost]]) / SalesCleanTable[[#This Row],[Unit Price]]</f>
        <v>0.25</v>
      </c>
    </row>
    <row r="1101" spans="1:31">
      <c r="A1101" t="s">
        <v>1287</v>
      </c>
      <c r="B1101" s="6">
        <v>45995</v>
      </c>
      <c r="C1101" t="s">
        <v>45</v>
      </c>
      <c r="D1101" t="s">
        <v>46</v>
      </c>
      <c r="E1101" t="s">
        <v>38</v>
      </c>
      <c r="F1101" t="s">
        <v>47</v>
      </c>
      <c r="G1101" t="s">
        <v>48</v>
      </c>
      <c r="H1101" t="s">
        <v>135</v>
      </c>
      <c r="I1101" t="s">
        <v>136</v>
      </c>
      <c r="J1101" t="s">
        <v>137</v>
      </c>
      <c r="K1101" t="s">
        <v>138</v>
      </c>
      <c r="L1101" t="s">
        <v>166</v>
      </c>
      <c r="M1101" t="s">
        <v>186</v>
      </c>
      <c r="N1101">
        <v>6</v>
      </c>
      <c r="O1101" s="4">
        <v>230</v>
      </c>
      <c r="P1101" s="4">
        <v>400</v>
      </c>
      <c r="Q1101" s="7">
        <v>0.1</v>
      </c>
      <c r="R1101" t="s">
        <v>168</v>
      </c>
      <c r="S1101">
        <v>3</v>
      </c>
      <c r="T1101">
        <v>2400</v>
      </c>
      <c r="U1101">
        <v>240</v>
      </c>
      <c r="V1101">
        <v>2160</v>
      </c>
      <c r="W1101">
        <v>1380</v>
      </c>
      <c r="X1101">
        <v>780</v>
      </c>
      <c r="Y1101" s="8">
        <v>0.3611111111111111</v>
      </c>
      <c r="Z1101" t="s">
        <v>2995</v>
      </c>
      <c r="AA1101" t="str">
        <f>IF(AND(SalesCleanTable[[#This Row],[Discount %]]&gt;0, SalesCleanTable[[#This Row],[Profit]]&lt;0), "Discount loss", "Safe")</f>
        <v>Safe</v>
      </c>
      <c r="AB1101" s="25">
        <f>(SalesCleanTable[[#This Row],[Unit Price]] - SalesCleanTable[[#This Row],[Unit Cost]]) / SalesCleanTable[[#This Row],[Unit Price]]</f>
        <v>0.42499999999999999</v>
      </c>
      <c r="AC1101" t="str">
        <f>IF(SalesCleanTable[[#This Row],[Discount %]] &gt; SalesCleanTable[[#This Row],[Max Allowed Discount]], "Discount loss", "Safe")</f>
        <v>Safe</v>
      </c>
      <c r="AD1101" s="4">
        <f>SalesCleanTable[[#This Row],[Unit Price]] - SalesCleanTable[[#This Row],[Unit Cost]]</f>
        <v>170</v>
      </c>
      <c r="AE1101" s="41">
        <f>(SalesCleanTable[[#This Row],[Unit Price]] - SalesCleanTable[[#This Row],[Unit Cost]]) / SalesCleanTable[[#This Row],[Unit Price]]</f>
        <v>0.42499999999999999</v>
      </c>
    </row>
    <row r="1102" spans="1:31">
      <c r="A1102" t="s">
        <v>1288</v>
      </c>
      <c r="B1102" s="6">
        <v>45917</v>
      </c>
      <c r="C1102" t="s">
        <v>90</v>
      </c>
      <c r="D1102" t="s">
        <v>91</v>
      </c>
      <c r="E1102" t="s">
        <v>92</v>
      </c>
      <c r="F1102" t="s">
        <v>93</v>
      </c>
      <c r="G1102" t="s">
        <v>94</v>
      </c>
      <c r="H1102" t="s">
        <v>139</v>
      </c>
      <c r="I1102" t="s">
        <v>140</v>
      </c>
      <c r="J1102" t="s">
        <v>137</v>
      </c>
      <c r="K1102" t="s">
        <v>138</v>
      </c>
      <c r="L1102" t="s">
        <v>170</v>
      </c>
      <c r="M1102" t="s">
        <v>186</v>
      </c>
      <c r="N1102">
        <v>1</v>
      </c>
      <c r="O1102" s="4">
        <v>7500</v>
      </c>
      <c r="P1102" s="4">
        <v>10500</v>
      </c>
      <c r="Q1102" s="7">
        <v>0.1</v>
      </c>
      <c r="R1102" t="s">
        <v>215</v>
      </c>
      <c r="S1102">
        <v>14</v>
      </c>
      <c r="T1102">
        <v>10500</v>
      </c>
      <c r="U1102">
        <v>1050</v>
      </c>
      <c r="V1102">
        <v>9450</v>
      </c>
      <c r="W1102">
        <v>7500</v>
      </c>
      <c r="X1102">
        <v>1950</v>
      </c>
      <c r="Y1102" s="8">
        <v>0.20634920634920634</v>
      </c>
      <c r="Z1102" t="s">
        <v>2996</v>
      </c>
      <c r="AA1102" t="str">
        <f>IF(AND(SalesCleanTable[[#This Row],[Discount %]]&gt;0, SalesCleanTable[[#This Row],[Profit]]&lt;0), "Discount loss", "Safe")</f>
        <v>Safe</v>
      </c>
      <c r="AB1102" s="25">
        <f>(SalesCleanTable[[#This Row],[Unit Price]] - SalesCleanTable[[#This Row],[Unit Cost]]) / SalesCleanTable[[#This Row],[Unit Price]]</f>
        <v>0.2857142857142857</v>
      </c>
      <c r="AC1102" t="str">
        <f>IF(SalesCleanTable[[#This Row],[Discount %]] &gt; SalesCleanTable[[#This Row],[Max Allowed Discount]], "Discount loss", "Safe")</f>
        <v>Safe</v>
      </c>
      <c r="AD1102" s="4">
        <f>SalesCleanTable[[#This Row],[Unit Price]] - SalesCleanTable[[#This Row],[Unit Cost]]</f>
        <v>3000</v>
      </c>
      <c r="AE1102" s="41">
        <f>(SalesCleanTable[[#This Row],[Unit Price]] - SalesCleanTable[[#This Row],[Unit Cost]]) / SalesCleanTable[[#This Row],[Unit Price]]</f>
        <v>0.2857142857142857</v>
      </c>
    </row>
    <row r="1103" spans="1:31">
      <c r="A1103" t="s">
        <v>1289</v>
      </c>
      <c r="B1103" s="6">
        <v>45681</v>
      </c>
      <c r="C1103" t="s">
        <v>24</v>
      </c>
      <c r="D1103" t="s">
        <v>25</v>
      </c>
      <c r="E1103" t="s">
        <v>26</v>
      </c>
      <c r="F1103" t="s">
        <v>27</v>
      </c>
      <c r="G1103" t="s">
        <v>28</v>
      </c>
      <c r="H1103" t="s">
        <v>145</v>
      </c>
      <c r="I1103" t="s">
        <v>146</v>
      </c>
      <c r="J1103" t="s">
        <v>147</v>
      </c>
      <c r="K1103" t="s">
        <v>148</v>
      </c>
      <c r="L1103" t="s">
        <v>166</v>
      </c>
      <c r="M1103" t="s">
        <v>171</v>
      </c>
      <c r="N1103">
        <v>2</v>
      </c>
      <c r="O1103" s="4">
        <v>14500</v>
      </c>
      <c r="P1103" s="4">
        <v>17500</v>
      </c>
      <c r="Q1103" s="7">
        <v>0.1</v>
      </c>
      <c r="R1103" t="s">
        <v>194</v>
      </c>
      <c r="S1103">
        <v>13</v>
      </c>
      <c r="T1103">
        <v>35000</v>
      </c>
      <c r="U1103">
        <v>3500</v>
      </c>
      <c r="V1103">
        <v>31500</v>
      </c>
      <c r="W1103">
        <v>29000</v>
      </c>
      <c r="X1103">
        <v>2500</v>
      </c>
      <c r="Y1103" s="8">
        <v>7.9365079365079361E-2</v>
      </c>
      <c r="Z1103" t="s">
        <v>2995</v>
      </c>
      <c r="AA1103" t="str">
        <f>IF(AND(SalesCleanTable[[#This Row],[Discount %]]&gt;0, SalesCleanTable[[#This Row],[Profit]]&lt;0), "Discount loss", "Safe")</f>
        <v>Safe</v>
      </c>
      <c r="AB1103" s="25">
        <f>(SalesCleanTable[[#This Row],[Unit Price]] - SalesCleanTable[[#This Row],[Unit Cost]]) / SalesCleanTable[[#This Row],[Unit Price]]</f>
        <v>0.17142857142857143</v>
      </c>
      <c r="AC1103" t="str">
        <f>IF(SalesCleanTable[[#This Row],[Discount %]] &gt; SalesCleanTable[[#This Row],[Max Allowed Discount]], "Discount loss", "Safe")</f>
        <v>Safe</v>
      </c>
      <c r="AD1103" s="4">
        <f>SalesCleanTable[[#This Row],[Unit Price]] - SalesCleanTable[[#This Row],[Unit Cost]]</f>
        <v>3000</v>
      </c>
      <c r="AE1103" s="41">
        <f>(SalesCleanTable[[#This Row],[Unit Price]] - SalesCleanTable[[#This Row],[Unit Cost]]) / SalesCleanTable[[#This Row],[Unit Price]]</f>
        <v>0.17142857142857143</v>
      </c>
    </row>
    <row r="1104" spans="1:31">
      <c r="A1104" t="s">
        <v>1290</v>
      </c>
      <c r="B1104" s="6">
        <v>45779</v>
      </c>
      <c r="C1104" t="s">
        <v>32</v>
      </c>
      <c r="D1104" t="s">
        <v>33</v>
      </c>
      <c r="E1104" t="s">
        <v>26</v>
      </c>
      <c r="F1104" t="s">
        <v>34</v>
      </c>
      <c r="G1104" t="s">
        <v>35</v>
      </c>
      <c r="H1104" t="s">
        <v>149</v>
      </c>
      <c r="I1104" t="s">
        <v>150</v>
      </c>
      <c r="J1104" t="s">
        <v>151</v>
      </c>
      <c r="K1104" t="s">
        <v>152</v>
      </c>
      <c r="L1104" t="s">
        <v>170</v>
      </c>
      <c r="M1104" t="s">
        <v>171</v>
      </c>
      <c r="N1104">
        <v>4</v>
      </c>
      <c r="O1104" s="4">
        <v>7800</v>
      </c>
      <c r="P1104" s="4">
        <v>9800</v>
      </c>
      <c r="Q1104" s="7">
        <v>0.05</v>
      </c>
      <c r="R1104" t="s">
        <v>197</v>
      </c>
      <c r="S1104">
        <v>10</v>
      </c>
      <c r="T1104">
        <v>39200</v>
      </c>
      <c r="U1104">
        <v>1960</v>
      </c>
      <c r="V1104">
        <v>37240</v>
      </c>
      <c r="W1104">
        <v>31200</v>
      </c>
      <c r="X1104">
        <v>6040</v>
      </c>
      <c r="Y1104" s="8">
        <v>0.16219119226638024</v>
      </c>
      <c r="Z1104" t="s">
        <v>2995</v>
      </c>
      <c r="AA1104" t="str">
        <f>IF(AND(SalesCleanTable[[#This Row],[Discount %]]&gt;0, SalesCleanTable[[#This Row],[Profit]]&lt;0), "Discount loss", "Safe")</f>
        <v>Safe</v>
      </c>
      <c r="AB1104" s="25">
        <f>(SalesCleanTable[[#This Row],[Unit Price]] - SalesCleanTable[[#This Row],[Unit Cost]]) / SalesCleanTable[[#This Row],[Unit Price]]</f>
        <v>0.20408163265306123</v>
      </c>
      <c r="AC1104" t="str">
        <f>IF(SalesCleanTable[[#This Row],[Discount %]] &gt; SalesCleanTable[[#This Row],[Max Allowed Discount]], "Discount loss", "Safe")</f>
        <v>Safe</v>
      </c>
      <c r="AD1104" s="4">
        <f>SalesCleanTable[[#This Row],[Unit Price]] - SalesCleanTable[[#This Row],[Unit Cost]]</f>
        <v>2000</v>
      </c>
      <c r="AE1104" s="41">
        <f>(SalesCleanTable[[#This Row],[Unit Price]] - SalesCleanTable[[#This Row],[Unit Cost]]) / SalesCleanTable[[#This Row],[Unit Price]]</f>
        <v>0.20408163265306123</v>
      </c>
    </row>
    <row r="1105" spans="1:31">
      <c r="A1105" t="s">
        <v>1291</v>
      </c>
      <c r="B1105" s="6">
        <v>45677</v>
      </c>
      <c r="C1105" t="s">
        <v>103</v>
      </c>
      <c r="D1105" t="s">
        <v>104</v>
      </c>
      <c r="E1105" t="s">
        <v>92</v>
      </c>
      <c r="F1105" t="s">
        <v>105</v>
      </c>
      <c r="G1105" t="s">
        <v>106</v>
      </c>
      <c r="H1105" t="s">
        <v>128</v>
      </c>
      <c r="I1105" t="s">
        <v>129</v>
      </c>
      <c r="J1105" t="s">
        <v>130</v>
      </c>
      <c r="K1105" t="s">
        <v>131</v>
      </c>
      <c r="L1105" t="s">
        <v>183</v>
      </c>
      <c r="M1105" t="s">
        <v>171</v>
      </c>
      <c r="N1105">
        <v>4</v>
      </c>
      <c r="O1105" s="4">
        <v>1500</v>
      </c>
      <c r="P1105" s="4">
        <v>2500</v>
      </c>
      <c r="Q1105" s="7">
        <v>0.1</v>
      </c>
      <c r="R1105" t="s">
        <v>217</v>
      </c>
      <c r="S1105">
        <v>2</v>
      </c>
      <c r="T1105">
        <v>10000</v>
      </c>
      <c r="U1105">
        <v>1000</v>
      </c>
      <c r="V1105">
        <v>9000</v>
      </c>
      <c r="W1105">
        <v>6000</v>
      </c>
      <c r="X1105">
        <v>3000</v>
      </c>
      <c r="Y1105" s="8">
        <v>0.33333333333333331</v>
      </c>
      <c r="Z1105" t="s">
        <v>2996</v>
      </c>
      <c r="AA1105" t="str">
        <f>IF(AND(SalesCleanTable[[#This Row],[Discount %]]&gt;0, SalesCleanTable[[#This Row],[Profit]]&lt;0), "Discount loss", "Safe")</f>
        <v>Safe</v>
      </c>
      <c r="AB1105" s="25">
        <f>(SalesCleanTable[[#This Row],[Unit Price]] - SalesCleanTable[[#This Row],[Unit Cost]]) / SalesCleanTable[[#This Row],[Unit Price]]</f>
        <v>0.4</v>
      </c>
      <c r="AC1105" t="str">
        <f>IF(SalesCleanTable[[#This Row],[Discount %]] &gt; SalesCleanTable[[#This Row],[Max Allowed Discount]], "Discount loss", "Safe")</f>
        <v>Safe</v>
      </c>
      <c r="AD1105" s="4">
        <f>SalesCleanTable[[#This Row],[Unit Price]] - SalesCleanTable[[#This Row],[Unit Cost]]</f>
        <v>1000</v>
      </c>
      <c r="AE1105" s="41">
        <f>(SalesCleanTable[[#This Row],[Unit Price]] - SalesCleanTable[[#This Row],[Unit Cost]]) / SalesCleanTable[[#This Row],[Unit Price]]</f>
        <v>0.4</v>
      </c>
    </row>
    <row r="1106" spans="1:31">
      <c r="A1106" t="s">
        <v>1292</v>
      </c>
      <c r="B1106" s="6">
        <v>45851</v>
      </c>
      <c r="C1106" t="s">
        <v>32</v>
      </c>
      <c r="D1106" t="s">
        <v>33</v>
      </c>
      <c r="E1106" t="s">
        <v>26</v>
      </c>
      <c r="F1106" t="s">
        <v>34</v>
      </c>
      <c r="G1106" t="s">
        <v>35</v>
      </c>
      <c r="H1106" t="s">
        <v>141</v>
      </c>
      <c r="I1106" t="s">
        <v>142</v>
      </c>
      <c r="J1106" t="s">
        <v>143</v>
      </c>
      <c r="K1106" t="s">
        <v>144</v>
      </c>
      <c r="L1106" t="s">
        <v>166</v>
      </c>
      <c r="M1106" t="s">
        <v>171</v>
      </c>
      <c r="N1106">
        <v>3</v>
      </c>
      <c r="O1106" s="4">
        <v>7800</v>
      </c>
      <c r="P1106" s="4">
        <v>9800</v>
      </c>
      <c r="Q1106" s="7">
        <v>0</v>
      </c>
      <c r="R1106" t="s">
        <v>197</v>
      </c>
      <c r="S1106">
        <v>4</v>
      </c>
      <c r="T1106">
        <v>29400</v>
      </c>
      <c r="U1106">
        <v>0</v>
      </c>
      <c r="V1106">
        <v>29400</v>
      </c>
      <c r="W1106">
        <v>23400</v>
      </c>
      <c r="X1106">
        <v>6000</v>
      </c>
      <c r="Y1106" s="8">
        <v>0.20408163265306123</v>
      </c>
      <c r="Z1106" t="s">
        <v>2995</v>
      </c>
      <c r="AA1106" t="str">
        <f>IF(AND(SalesCleanTable[[#This Row],[Discount %]]&gt;0, SalesCleanTable[[#This Row],[Profit]]&lt;0), "Discount loss", "Safe")</f>
        <v>Safe</v>
      </c>
      <c r="AB1106" s="25">
        <f>(SalesCleanTable[[#This Row],[Unit Price]] - SalesCleanTable[[#This Row],[Unit Cost]]) / SalesCleanTable[[#This Row],[Unit Price]]</f>
        <v>0.20408163265306123</v>
      </c>
      <c r="AC1106" t="str">
        <f>IF(SalesCleanTable[[#This Row],[Discount %]] &gt; SalesCleanTable[[#This Row],[Max Allowed Discount]], "Discount loss", "Safe")</f>
        <v>Safe</v>
      </c>
      <c r="AD1106" s="4">
        <f>SalesCleanTable[[#This Row],[Unit Price]] - SalesCleanTable[[#This Row],[Unit Cost]]</f>
        <v>2000</v>
      </c>
      <c r="AE1106" s="41">
        <f>(SalesCleanTable[[#This Row],[Unit Price]] - SalesCleanTable[[#This Row],[Unit Cost]]) / SalesCleanTable[[#This Row],[Unit Price]]</f>
        <v>0.20408163265306123</v>
      </c>
    </row>
    <row r="1107" spans="1:31">
      <c r="A1107" t="s">
        <v>1293</v>
      </c>
      <c r="B1107" s="6">
        <v>45880</v>
      </c>
      <c r="C1107" t="s">
        <v>95</v>
      </c>
      <c r="D1107" t="s">
        <v>96</v>
      </c>
      <c r="E1107" t="s">
        <v>92</v>
      </c>
      <c r="F1107" t="s">
        <v>97</v>
      </c>
      <c r="G1107" t="s">
        <v>98</v>
      </c>
      <c r="H1107" t="s">
        <v>145</v>
      </c>
      <c r="I1107" t="s">
        <v>146</v>
      </c>
      <c r="J1107" t="s">
        <v>147</v>
      </c>
      <c r="K1107" t="s">
        <v>148</v>
      </c>
      <c r="L1107" t="s">
        <v>183</v>
      </c>
      <c r="M1107" t="s">
        <v>171</v>
      </c>
      <c r="N1107">
        <v>1</v>
      </c>
      <c r="O1107" s="4">
        <v>18000</v>
      </c>
      <c r="P1107" s="4">
        <v>24500</v>
      </c>
      <c r="Q1107" s="7">
        <v>0.1</v>
      </c>
      <c r="R1107" t="s">
        <v>181</v>
      </c>
      <c r="S1107">
        <v>1</v>
      </c>
      <c r="T1107">
        <v>24500</v>
      </c>
      <c r="U1107">
        <v>2450</v>
      </c>
      <c r="V1107">
        <v>22050</v>
      </c>
      <c r="W1107">
        <v>18000</v>
      </c>
      <c r="X1107">
        <v>4050</v>
      </c>
      <c r="Y1107" s="8">
        <v>0.18367346938775511</v>
      </c>
      <c r="Z1107" t="s">
        <v>2995</v>
      </c>
      <c r="AA1107" t="str">
        <f>IF(AND(SalesCleanTable[[#This Row],[Discount %]]&gt;0, SalesCleanTable[[#This Row],[Profit]]&lt;0), "Discount loss", "Safe")</f>
        <v>Safe</v>
      </c>
      <c r="AB1107" s="25">
        <f>(SalesCleanTable[[#This Row],[Unit Price]] - SalesCleanTable[[#This Row],[Unit Cost]]) / SalesCleanTable[[#This Row],[Unit Price]]</f>
        <v>0.26530612244897961</v>
      </c>
      <c r="AC1107" t="str">
        <f>IF(SalesCleanTable[[#This Row],[Discount %]] &gt; SalesCleanTable[[#This Row],[Max Allowed Discount]], "Discount loss", "Safe")</f>
        <v>Safe</v>
      </c>
      <c r="AD1107" s="4">
        <f>SalesCleanTable[[#This Row],[Unit Price]] - SalesCleanTable[[#This Row],[Unit Cost]]</f>
        <v>6500</v>
      </c>
      <c r="AE1107" s="41">
        <f>(SalesCleanTable[[#This Row],[Unit Price]] - SalesCleanTable[[#This Row],[Unit Cost]]) / SalesCleanTable[[#This Row],[Unit Price]]</f>
        <v>0.26530612244897961</v>
      </c>
    </row>
    <row r="1108" spans="1:31">
      <c r="A1108" t="s">
        <v>1294</v>
      </c>
      <c r="B1108" s="6">
        <v>45660</v>
      </c>
      <c r="C1108" t="s">
        <v>49</v>
      </c>
      <c r="D1108" t="s">
        <v>50</v>
      </c>
      <c r="E1108" t="s">
        <v>38</v>
      </c>
      <c r="F1108" t="s">
        <v>51</v>
      </c>
      <c r="G1108" t="s">
        <v>52</v>
      </c>
      <c r="H1108" t="s">
        <v>135</v>
      </c>
      <c r="I1108" t="s">
        <v>136</v>
      </c>
      <c r="J1108" t="s">
        <v>137</v>
      </c>
      <c r="K1108" t="s">
        <v>138</v>
      </c>
      <c r="L1108" t="s">
        <v>166</v>
      </c>
      <c r="M1108" t="s">
        <v>171</v>
      </c>
      <c r="N1108">
        <v>3</v>
      </c>
      <c r="O1108" s="4">
        <v>550</v>
      </c>
      <c r="P1108" s="4">
        <v>850</v>
      </c>
      <c r="Q1108" s="7">
        <v>0</v>
      </c>
      <c r="R1108" t="s">
        <v>168</v>
      </c>
      <c r="S1108">
        <v>11</v>
      </c>
      <c r="T1108">
        <v>2550</v>
      </c>
      <c r="U1108">
        <v>0</v>
      </c>
      <c r="V1108">
        <v>2550</v>
      </c>
      <c r="W1108">
        <v>1650</v>
      </c>
      <c r="X1108">
        <v>900</v>
      </c>
      <c r="Y1108" s="8">
        <v>0.35294117647058826</v>
      </c>
      <c r="Z1108" t="s">
        <v>2996</v>
      </c>
      <c r="AA1108" t="str">
        <f>IF(AND(SalesCleanTable[[#This Row],[Discount %]]&gt;0, SalesCleanTable[[#This Row],[Profit]]&lt;0), "Discount loss", "Safe")</f>
        <v>Safe</v>
      </c>
      <c r="AB1108" s="25">
        <f>(SalesCleanTable[[#This Row],[Unit Price]] - SalesCleanTable[[#This Row],[Unit Cost]]) / SalesCleanTable[[#This Row],[Unit Price]]</f>
        <v>0.35294117647058826</v>
      </c>
      <c r="AC1108" t="str">
        <f>IF(SalesCleanTable[[#This Row],[Discount %]] &gt; SalesCleanTable[[#This Row],[Max Allowed Discount]], "Discount loss", "Safe")</f>
        <v>Safe</v>
      </c>
      <c r="AD1108" s="4">
        <f>SalesCleanTable[[#This Row],[Unit Price]] - SalesCleanTable[[#This Row],[Unit Cost]]</f>
        <v>300</v>
      </c>
      <c r="AE1108" s="41">
        <f>(SalesCleanTable[[#This Row],[Unit Price]] - SalesCleanTable[[#This Row],[Unit Cost]]) / SalesCleanTable[[#This Row],[Unit Price]]</f>
        <v>0.35294117647058826</v>
      </c>
    </row>
    <row r="1109" spans="1:31">
      <c r="A1109" t="s">
        <v>1295</v>
      </c>
      <c r="B1109" s="6">
        <v>45755</v>
      </c>
      <c r="C1109" t="s">
        <v>99</v>
      </c>
      <c r="D1109" t="s">
        <v>100</v>
      </c>
      <c r="E1109" t="s">
        <v>92</v>
      </c>
      <c r="F1109" t="s">
        <v>101</v>
      </c>
      <c r="G1109" t="s">
        <v>102</v>
      </c>
      <c r="H1109" t="s">
        <v>139</v>
      </c>
      <c r="I1109" t="s">
        <v>140</v>
      </c>
      <c r="J1109" t="s">
        <v>137</v>
      </c>
      <c r="K1109" t="s">
        <v>138</v>
      </c>
      <c r="L1109" t="s">
        <v>183</v>
      </c>
      <c r="M1109" t="s">
        <v>171</v>
      </c>
      <c r="N1109">
        <v>3</v>
      </c>
      <c r="O1109" s="4">
        <v>12500</v>
      </c>
      <c r="P1109" s="4">
        <v>18500</v>
      </c>
      <c r="Q1109" s="7">
        <v>0.05</v>
      </c>
      <c r="R1109" t="s">
        <v>181</v>
      </c>
      <c r="S1109">
        <v>13</v>
      </c>
      <c r="T1109">
        <v>55500</v>
      </c>
      <c r="U1109">
        <v>2775</v>
      </c>
      <c r="V1109">
        <v>52725</v>
      </c>
      <c r="W1109">
        <v>37500</v>
      </c>
      <c r="X1109">
        <v>15225</v>
      </c>
      <c r="Y1109" s="8">
        <v>0.28876244665718348</v>
      </c>
      <c r="Z1109" t="s">
        <v>2995</v>
      </c>
      <c r="AA1109" t="str">
        <f>IF(AND(SalesCleanTable[[#This Row],[Discount %]]&gt;0, SalesCleanTable[[#This Row],[Profit]]&lt;0), "Discount loss", "Safe")</f>
        <v>Safe</v>
      </c>
      <c r="AB1109" s="25">
        <f>(SalesCleanTable[[#This Row],[Unit Price]] - SalesCleanTable[[#This Row],[Unit Cost]]) / SalesCleanTable[[#This Row],[Unit Price]]</f>
        <v>0.32432432432432434</v>
      </c>
      <c r="AC1109" t="str">
        <f>IF(SalesCleanTable[[#This Row],[Discount %]] &gt; SalesCleanTable[[#This Row],[Max Allowed Discount]], "Discount loss", "Safe")</f>
        <v>Safe</v>
      </c>
      <c r="AD1109" s="4">
        <f>SalesCleanTable[[#This Row],[Unit Price]] - SalesCleanTable[[#This Row],[Unit Cost]]</f>
        <v>6000</v>
      </c>
      <c r="AE1109" s="41">
        <f>(SalesCleanTable[[#This Row],[Unit Price]] - SalesCleanTable[[#This Row],[Unit Cost]]) / SalesCleanTable[[#This Row],[Unit Price]]</f>
        <v>0.32432432432432434</v>
      </c>
    </row>
    <row r="1110" spans="1:31">
      <c r="A1110" t="s">
        <v>1296</v>
      </c>
      <c r="B1110" s="6">
        <v>45876</v>
      </c>
      <c r="C1110" t="s">
        <v>73</v>
      </c>
      <c r="D1110" t="s">
        <v>74</v>
      </c>
      <c r="E1110" t="s">
        <v>75</v>
      </c>
      <c r="F1110" t="s">
        <v>76</v>
      </c>
      <c r="G1110" t="s">
        <v>77</v>
      </c>
      <c r="H1110" t="s">
        <v>149</v>
      </c>
      <c r="I1110" t="s">
        <v>150</v>
      </c>
      <c r="J1110" t="s">
        <v>151</v>
      </c>
      <c r="K1110" t="s">
        <v>152</v>
      </c>
      <c r="L1110" t="s">
        <v>166</v>
      </c>
      <c r="M1110" t="s">
        <v>177</v>
      </c>
      <c r="N1110">
        <v>3</v>
      </c>
      <c r="O1110" s="4">
        <v>3500</v>
      </c>
      <c r="P1110" s="4">
        <v>5200</v>
      </c>
      <c r="Q1110" s="7">
        <v>0</v>
      </c>
      <c r="R1110" t="s">
        <v>208</v>
      </c>
      <c r="S1110">
        <v>4</v>
      </c>
      <c r="T1110">
        <v>15600</v>
      </c>
      <c r="U1110">
        <v>0</v>
      </c>
      <c r="V1110">
        <v>15600</v>
      </c>
      <c r="W1110">
        <v>10500</v>
      </c>
      <c r="X1110">
        <v>5100</v>
      </c>
      <c r="Y1110" s="8">
        <v>0.32692307692307693</v>
      </c>
      <c r="Z1110" t="s">
        <v>2996</v>
      </c>
      <c r="AA1110" t="str">
        <f>IF(AND(SalesCleanTable[[#This Row],[Discount %]]&gt;0, SalesCleanTable[[#This Row],[Profit]]&lt;0), "Discount loss", "Safe")</f>
        <v>Safe</v>
      </c>
      <c r="AB1110" s="25">
        <f>(SalesCleanTable[[#This Row],[Unit Price]] - SalesCleanTable[[#This Row],[Unit Cost]]) / SalesCleanTable[[#This Row],[Unit Price]]</f>
        <v>0.32692307692307693</v>
      </c>
      <c r="AC1110" t="str">
        <f>IF(SalesCleanTable[[#This Row],[Discount %]] &gt; SalesCleanTable[[#This Row],[Max Allowed Discount]], "Discount loss", "Safe")</f>
        <v>Safe</v>
      </c>
      <c r="AD1110" s="4">
        <f>SalesCleanTable[[#This Row],[Unit Price]] - SalesCleanTable[[#This Row],[Unit Cost]]</f>
        <v>1700</v>
      </c>
      <c r="AE1110" s="41">
        <f>(SalesCleanTable[[#This Row],[Unit Price]] - SalesCleanTable[[#This Row],[Unit Cost]]) / SalesCleanTable[[#This Row],[Unit Price]]</f>
        <v>0.32692307692307693</v>
      </c>
    </row>
    <row r="1111" spans="1:31">
      <c r="A1111" t="s">
        <v>1297</v>
      </c>
      <c r="B1111" s="6">
        <v>45934</v>
      </c>
      <c r="C1111" t="s">
        <v>45</v>
      </c>
      <c r="D1111" t="s">
        <v>46</v>
      </c>
      <c r="E1111" t="s">
        <v>38</v>
      </c>
      <c r="F1111" t="s">
        <v>47</v>
      </c>
      <c r="G1111" t="s">
        <v>48</v>
      </c>
      <c r="H1111" t="s">
        <v>133</v>
      </c>
      <c r="I1111" t="s">
        <v>134</v>
      </c>
      <c r="J1111" t="s">
        <v>130</v>
      </c>
      <c r="K1111" t="s">
        <v>131</v>
      </c>
      <c r="L1111" t="s">
        <v>166</v>
      </c>
      <c r="M1111" t="s">
        <v>171</v>
      </c>
      <c r="N1111">
        <v>8</v>
      </c>
      <c r="O1111" s="4">
        <v>230</v>
      </c>
      <c r="P1111" s="4">
        <v>400</v>
      </c>
      <c r="Q1111" s="7">
        <v>0.2</v>
      </c>
      <c r="R1111" t="s">
        <v>178</v>
      </c>
      <c r="S1111">
        <v>14</v>
      </c>
      <c r="T1111">
        <v>3200</v>
      </c>
      <c r="U1111">
        <v>640</v>
      </c>
      <c r="V1111">
        <v>2560</v>
      </c>
      <c r="W1111">
        <v>1840</v>
      </c>
      <c r="X1111">
        <v>720</v>
      </c>
      <c r="Y1111" s="8">
        <v>0.28125</v>
      </c>
      <c r="Z1111" t="s">
        <v>2995</v>
      </c>
      <c r="AA1111" t="str">
        <f>IF(AND(SalesCleanTable[[#This Row],[Discount %]]&gt;0, SalesCleanTable[[#This Row],[Profit]]&lt;0), "Discount loss", "Safe")</f>
        <v>Safe</v>
      </c>
      <c r="AB1111" s="25">
        <f>(SalesCleanTable[[#This Row],[Unit Price]] - SalesCleanTable[[#This Row],[Unit Cost]]) / SalesCleanTable[[#This Row],[Unit Price]]</f>
        <v>0.42499999999999999</v>
      </c>
      <c r="AC1111" t="str">
        <f>IF(SalesCleanTable[[#This Row],[Discount %]] &gt; SalesCleanTable[[#This Row],[Max Allowed Discount]], "Discount loss", "Safe")</f>
        <v>Safe</v>
      </c>
      <c r="AD1111" s="4">
        <f>SalesCleanTable[[#This Row],[Unit Price]] - SalesCleanTable[[#This Row],[Unit Cost]]</f>
        <v>170</v>
      </c>
      <c r="AE1111" s="41">
        <f>(SalesCleanTable[[#This Row],[Unit Price]] - SalesCleanTable[[#This Row],[Unit Cost]]) / SalesCleanTable[[#This Row],[Unit Price]]</f>
        <v>0.42499999999999999</v>
      </c>
    </row>
    <row r="1112" spans="1:31">
      <c r="A1112" t="s">
        <v>1298</v>
      </c>
      <c r="B1112" s="6">
        <v>45805</v>
      </c>
      <c r="C1112" t="s">
        <v>29</v>
      </c>
      <c r="D1112" t="s">
        <v>30</v>
      </c>
      <c r="E1112" t="s">
        <v>26</v>
      </c>
      <c r="F1112" t="s">
        <v>27</v>
      </c>
      <c r="G1112" t="s">
        <v>31</v>
      </c>
      <c r="H1112" t="s">
        <v>139</v>
      </c>
      <c r="I1112" t="s">
        <v>140</v>
      </c>
      <c r="J1112" t="s">
        <v>137</v>
      </c>
      <c r="K1112" t="s">
        <v>138</v>
      </c>
      <c r="L1112" t="s">
        <v>166</v>
      </c>
      <c r="M1112" t="s">
        <v>186</v>
      </c>
      <c r="N1112">
        <v>5</v>
      </c>
      <c r="O1112" s="4">
        <v>6200</v>
      </c>
      <c r="P1112" s="4">
        <v>7900</v>
      </c>
      <c r="Q1112" s="7">
        <v>0.2</v>
      </c>
      <c r="R1112" t="s">
        <v>197</v>
      </c>
      <c r="S1112">
        <v>9</v>
      </c>
      <c r="T1112">
        <v>39500</v>
      </c>
      <c r="U1112">
        <v>7900</v>
      </c>
      <c r="V1112">
        <v>31600</v>
      </c>
      <c r="W1112">
        <v>31000</v>
      </c>
      <c r="X1112">
        <v>600</v>
      </c>
      <c r="Y1112" s="8">
        <v>1.8987341772151899E-2</v>
      </c>
      <c r="Z1112" t="s">
        <v>2996</v>
      </c>
      <c r="AA1112" t="str">
        <f>IF(AND(SalesCleanTable[[#This Row],[Discount %]]&gt;0, SalesCleanTable[[#This Row],[Profit]]&lt;0), "Discount loss", "Safe")</f>
        <v>Safe</v>
      </c>
      <c r="AB1112" s="25">
        <f>(SalesCleanTable[[#This Row],[Unit Price]] - SalesCleanTable[[#This Row],[Unit Cost]]) / SalesCleanTable[[#This Row],[Unit Price]]</f>
        <v>0.21518987341772153</v>
      </c>
      <c r="AC1112" t="str">
        <f>IF(SalesCleanTable[[#This Row],[Discount %]] &gt; SalesCleanTable[[#This Row],[Max Allowed Discount]], "Discount loss", "Safe")</f>
        <v>Safe</v>
      </c>
      <c r="AD1112" s="4">
        <f>SalesCleanTable[[#This Row],[Unit Price]] - SalesCleanTable[[#This Row],[Unit Cost]]</f>
        <v>1700</v>
      </c>
      <c r="AE1112" s="41">
        <f>(SalesCleanTable[[#This Row],[Unit Price]] - SalesCleanTable[[#This Row],[Unit Cost]]) / SalesCleanTable[[#This Row],[Unit Price]]</f>
        <v>0.21518987341772153</v>
      </c>
    </row>
    <row r="1113" spans="1:31">
      <c r="A1113" t="s">
        <v>1299</v>
      </c>
      <c r="B1113" s="6">
        <v>45714</v>
      </c>
      <c r="C1113" t="s">
        <v>66</v>
      </c>
      <c r="D1113" t="s">
        <v>67</v>
      </c>
      <c r="E1113" t="s">
        <v>59</v>
      </c>
      <c r="F1113" t="s">
        <v>60</v>
      </c>
      <c r="G1113" t="s">
        <v>68</v>
      </c>
      <c r="H1113" t="s">
        <v>153</v>
      </c>
      <c r="I1113" t="s">
        <v>154</v>
      </c>
      <c r="J1113" t="s">
        <v>155</v>
      </c>
      <c r="K1113" t="s">
        <v>131</v>
      </c>
      <c r="L1113" t="s">
        <v>166</v>
      </c>
      <c r="M1113" t="s">
        <v>186</v>
      </c>
      <c r="N1113">
        <v>10</v>
      </c>
      <c r="O1113" s="4">
        <v>2800</v>
      </c>
      <c r="P1113" s="4">
        <v>3900</v>
      </c>
      <c r="Q1113" s="7">
        <v>0.1</v>
      </c>
      <c r="R1113" t="s">
        <v>192</v>
      </c>
      <c r="S1113">
        <v>6</v>
      </c>
      <c r="T1113">
        <v>39000</v>
      </c>
      <c r="U1113">
        <v>3900</v>
      </c>
      <c r="V1113">
        <v>35100</v>
      </c>
      <c r="W1113">
        <v>28000</v>
      </c>
      <c r="X1113">
        <v>7100</v>
      </c>
      <c r="Y1113" s="8">
        <v>0.20227920227920229</v>
      </c>
      <c r="Z1113" t="s">
        <v>2996</v>
      </c>
      <c r="AA1113" t="str">
        <f>IF(AND(SalesCleanTable[[#This Row],[Discount %]]&gt;0, SalesCleanTable[[#This Row],[Profit]]&lt;0), "Discount loss", "Safe")</f>
        <v>Safe</v>
      </c>
      <c r="AB1113" s="25">
        <f>(SalesCleanTable[[#This Row],[Unit Price]] - SalesCleanTable[[#This Row],[Unit Cost]]) / SalesCleanTable[[#This Row],[Unit Price]]</f>
        <v>0.28205128205128205</v>
      </c>
      <c r="AC1113" t="str">
        <f>IF(SalesCleanTable[[#This Row],[Discount %]] &gt; SalesCleanTable[[#This Row],[Max Allowed Discount]], "Discount loss", "Safe")</f>
        <v>Safe</v>
      </c>
      <c r="AD1113" s="4">
        <f>SalesCleanTable[[#This Row],[Unit Price]] - SalesCleanTable[[#This Row],[Unit Cost]]</f>
        <v>1100</v>
      </c>
      <c r="AE1113" s="41">
        <f>(SalesCleanTable[[#This Row],[Unit Price]] - SalesCleanTable[[#This Row],[Unit Cost]]) / SalesCleanTable[[#This Row],[Unit Price]]</f>
        <v>0.28205128205128205</v>
      </c>
    </row>
    <row r="1114" spans="1:31">
      <c r="A1114" t="s">
        <v>1300</v>
      </c>
      <c r="B1114" s="6">
        <v>45688</v>
      </c>
      <c r="C1114" t="s">
        <v>32</v>
      </c>
      <c r="D1114" t="s">
        <v>33</v>
      </c>
      <c r="E1114" t="s">
        <v>26</v>
      </c>
      <c r="F1114" t="s">
        <v>34</v>
      </c>
      <c r="G1114" t="s">
        <v>35</v>
      </c>
      <c r="H1114" t="s">
        <v>139</v>
      </c>
      <c r="I1114" t="s">
        <v>140</v>
      </c>
      <c r="J1114" t="s">
        <v>137</v>
      </c>
      <c r="K1114" t="s">
        <v>138</v>
      </c>
      <c r="L1114" t="s">
        <v>183</v>
      </c>
      <c r="M1114" t="s">
        <v>171</v>
      </c>
      <c r="N1114">
        <v>4</v>
      </c>
      <c r="O1114" s="4">
        <v>7800</v>
      </c>
      <c r="P1114" s="4">
        <v>9800</v>
      </c>
      <c r="Q1114" s="7">
        <v>0.2</v>
      </c>
      <c r="R1114" t="s">
        <v>197</v>
      </c>
      <c r="S1114">
        <v>8</v>
      </c>
      <c r="T1114">
        <v>39200</v>
      </c>
      <c r="U1114">
        <v>7840</v>
      </c>
      <c r="V1114">
        <v>31360</v>
      </c>
      <c r="W1114">
        <v>31200</v>
      </c>
      <c r="X1114">
        <v>160</v>
      </c>
      <c r="Y1114" s="8">
        <v>5.1020408163265302E-3</v>
      </c>
      <c r="Z1114" t="s">
        <v>2995</v>
      </c>
      <c r="AA1114" t="str">
        <f>IF(AND(SalesCleanTable[[#This Row],[Discount %]]&gt;0, SalesCleanTable[[#This Row],[Profit]]&lt;0), "Discount loss", "Safe")</f>
        <v>Safe</v>
      </c>
      <c r="AB1114" s="25">
        <f>(SalesCleanTable[[#This Row],[Unit Price]] - SalesCleanTable[[#This Row],[Unit Cost]]) / SalesCleanTable[[#This Row],[Unit Price]]</f>
        <v>0.20408163265306123</v>
      </c>
      <c r="AC1114" t="str">
        <f>IF(SalesCleanTable[[#This Row],[Discount %]] &gt; SalesCleanTable[[#This Row],[Max Allowed Discount]], "Discount loss", "Safe")</f>
        <v>Safe</v>
      </c>
      <c r="AD1114" s="4">
        <f>SalesCleanTable[[#This Row],[Unit Price]] - SalesCleanTable[[#This Row],[Unit Cost]]</f>
        <v>2000</v>
      </c>
      <c r="AE1114" s="41">
        <f>(SalesCleanTable[[#This Row],[Unit Price]] - SalesCleanTable[[#This Row],[Unit Cost]]) / SalesCleanTable[[#This Row],[Unit Price]]</f>
        <v>0.20408163265306123</v>
      </c>
    </row>
    <row r="1115" spans="1:31">
      <c r="A1115" t="s">
        <v>1301</v>
      </c>
      <c r="B1115" s="6">
        <v>45946</v>
      </c>
      <c r="C1115" t="s">
        <v>107</v>
      </c>
      <c r="D1115" t="s">
        <v>108</v>
      </c>
      <c r="E1115" t="s">
        <v>109</v>
      </c>
      <c r="F1115" t="s">
        <v>110</v>
      </c>
      <c r="G1115" t="s">
        <v>111</v>
      </c>
      <c r="H1115" t="s">
        <v>145</v>
      </c>
      <c r="I1115" t="s">
        <v>146</v>
      </c>
      <c r="J1115" t="s">
        <v>147</v>
      </c>
      <c r="K1115" t="s">
        <v>148</v>
      </c>
      <c r="L1115" t="s">
        <v>170</v>
      </c>
      <c r="M1115" t="s">
        <v>171</v>
      </c>
      <c r="N1115">
        <v>4</v>
      </c>
      <c r="O1115" s="4">
        <v>5200</v>
      </c>
      <c r="P1115" s="4">
        <v>7000</v>
      </c>
      <c r="Q1115" s="7">
        <v>0</v>
      </c>
      <c r="R1115" t="s">
        <v>184</v>
      </c>
      <c r="S1115">
        <v>12</v>
      </c>
      <c r="T1115">
        <v>28000</v>
      </c>
      <c r="U1115">
        <v>0</v>
      </c>
      <c r="V1115">
        <v>28000</v>
      </c>
      <c r="W1115">
        <v>20800</v>
      </c>
      <c r="X1115">
        <v>7200</v>
      </c>
      <c r="Y1115" s="8">
        <v>0.25714285714285712</v>
      </c>
      <c r="Z1115" t="s">
        <v>2997</v>
      </c>
      <c r="AA1115" t="str">
        <f>IF(AND(SalesCleanTable[[#This Row],[Discount %]]&gt;0, SalesCleanTable[[#This Row],[Profit]]&lt;0), "Discount loss", "Safe")</f>
        <v>Safe</v>
      </c>
      <c r="AB1115" s="25">
        <f>(SalesCleanTable[[#This Row],[Unit Price]] - SalesCleanTable[[#This Row],[Unit Cost]]) / SalesCleanTable[[#This Row],[Unit Price]]</f>
        <v>0.25714285714285712</v>
      </c>
      <c r="AC1115" t="str">
        <f>IF(SalesCleanTable[[#This Row],[Discount %]] &gt; SalesCleanTable[[#This Row],[Max Allowed Discount]], "Discount loss", "Safe")</f>
        <v>Safe</v>
      </c>
      <c r="AD1115" s="4">
        <f>SalesCleanTable[[#This Row],[Unit Price]] - SalesCleanTable[[#This Row],[Unit Cost]]</f>
        <v>1800</v>
      </c>
      <c r="AE1115" s="41">
        <f>(SalesCleanTable[[#This Row],[Unit Price]] - SalesCleanTable[[#This Row],[Unit Cost]]) / SalesCleanTable[[#This Row],[Unit Price]]</f>
        <v>0.25714285714285712</v>
      </c>
    </row>
    <row r="1116" spans="1:31">
      <c r="A1116" t="s">
        <v>1302</v>
      </c>
      <c r="B1116" s="6">
        <v>45699</v>
      </c>
      <c r="C1116" t="s">
        <v>103</v>
      </c>
      <c r="D1116" t="s">
        <v>104</v>
      </c>
      <c r="E1116" t="s">
        <v>92</v>
      </c>
      <c r="F1116" t="s">
        <v>105</v>
      </c>
      <c r="G1116" t="s">
        <v>106</v>
      </c>
      <c r="H1116" t="s">
        <v>139</v>
      </c>
      <c r="I1116" t="s">
        <v>140</v>
      </c>
      <c r="J1116" t="s">
        <v>137</v>
      </c>
      <c r="K1116" t="s">
        <v>138</v>
      </c>
      <c r="L1116" t="s">
        <v>166</v>
      </c>
      <c r="M1116" t="s">
        <v>186</v>
      </c>
      <c r="N1116">
        <v>1</v>
      </c>
      <c r="O1116" s="4">
        <v>1500</v>
      </c>
      <c r="P1116" s="4">
        <v>2500</v>
      </c>
      <c r="Q1116" s="7">
        <v>0.1</v>
      </c>
      <c r="R1116" t="s">
        <v>181</v>
      </c>
      <c r="S1116">
        <v>11</v>
      </c>
      <c r="T1116">
        <v>2500</v>
      </c>
      <c r="U1116">
        <v>250</v>
      </c>
      <c r="V1116">
        <v>2250</v>
      </c>
      <c r="W1116">
        <v>1500</v>
      </c>
      <c r="X1116">
        <v>750</v>
      </c>
      <c r="Y1116" s="8">
        <v>0.33333333333333331</v>
      </c>
      <c r="Z1116" t="s">
        <v>2996</v>
      </c>
      <c r="AA1116" t="str">
        <f>IF(AND(SalesCleanTable[[#This Row],[Discount %]]&gt;0, SalesCleanTable[[#This Row],[Profit]]&lt;0), "Discount loss", "Safe")</f>
        <v>Safe</v>
      </c>
      <c r="AB1116" s="25">
        <f>(SalesCleanTable[[#This Row],[Unit Price]] - SalesCleanTable[[#This Row],[Unit Cost]]) / SalesCleanTable[[#This Row],[Unit Price]]</f>
        <v>0.4</v>
      </c>
      <c r="AC1116" t="str">
        <f>IF(SalesCleanTable[[#This Row],[Discount %]] &gt; SalesCleanTable[[#This Row],[Max Allowed Discount]], "Discount loss", "Safe")</f>
        <v>Safe</v>
      </c>
      <c r="AD1116" s="4">
        <f>SalesCleanTable[[#This Row],[Unit Price]] - SalesCleanTable[[#This Row],[Unit Cost]]</f>
        <v>1000</v>
      </c>
      <c r="AE1116" s="41">
        <f>(SalesCleanTable[[#This Row],[Unit Price]] - SalesCleanTable[[#This Row],[Unit Cost]]) / SalesCleanTable[[#This Row],[Unit Price]]</f>
        <v>0.4</v>
      </c>
    </row>
    <row r="1117" spans="1:31">
      <c r="A1117" t="s">
        <v>1303</v>
      </c>
      <c r="B1117" s="6">
        <v>45902</v>
      </c>
      <c r="C1117" t="s">
        <v>45</v>
      </c>
      <c r="D1117" t="s">
        <v>46</v>
      </c>
      <c r="E1117" t="s">
        <v>38</v>
      </c>
      <c r="F1117" t="s">
        <v>47</v>
      </c>
      <c r="G1117" t="s">
        <v>48</v>
      </c>
      <c r="H1117" t="s">
        <v>149</v>
      </c>
      <c r="I1117" t="s">
        <v>150</v>
      </c>
      <c r="J1117" t="s">
        <v>151</v>
      </c>
      <c r="K1117" t="s">
        <v>152</v>
      </c>
      <c r="L1117" t="s">
        <v>166</v>
      </c>
      <c r="M1117" t="s">
        <v>171</v>
      </c>
      <c r="N1117">
        <v>10</v>
      </c>
      <c r="O1117" s="4">
        <v>230</v>
      </c>
      <c r="P1117" s="4">
        <v>400</v>
      </c>
      <c r="Q1117" s="7">
        <v>0</v>
      </c>
      <c r="R1117" t="s">
        <v>178</v>
      </c>
      <c r="S1117">
        <v>9</v>
      </c>
      <c r="T1117">
        <v>4000</v>
      </c>
      <c r="U1117">
        <v>0</v>
      </c>
      <c r="V1117">
        <v>4000</v>
      </c>
      <c r="W1117">
        <v>2300</v>
      </c>
      <c r="X1117">
        <v>1700</v>
      </c>
      <c r="Y1117" s="8">
        <v>0.42499999999999999</v>
      </c>
      <c r="Z1117" t="s">
        <v>2995</v>
      </c>
      <c r="AA1117" t="str">
        <f>IF(AND(SalesCleanTable[[#This Row],[Discount %]]&gt;0, SalesCleanTable[[#This Row],[Profit]]&lt;0), "Discount loss", "Safe")</f>
        <v>Safe</v>
      </c>
      <c r="AB1117" s="25">
        <f>(SalesCleanTable[[#This Row],[Unit Price]] - SalesCleanTable[[#This Row],[Unit Cost]]) / SalesCleanTable[[#This Row],[Unit Price]]</f>
        <v>0.42499999999999999</v>
      </c>
      <c r="AC1117" t="str">
        <f>IF(SalesCleanTable[[#This Row],[Discount %]] &gt; SalesCleanTable[[#This Row],[Max Allowed Discount]], "Discount loss", "Safe")</f>
        <v>Safe</v>
      </c>
      <c r="AD1117" s="4">
        <f>SalesCleanTable[[#This Row],[Unit Price]] - SalesCleanTable[[#This Row],[Unit Cost]]</f>
        <v>170</v>
      </c>
      <c r="AE1117" s="41">
        <f>(SalesCleanTable[[#This Row],[Unit Price]] - SalesCleanTable[[#This Row],[Unit Cost]]) / SalesCleanTable[[#This Row],[Unit Price]]</f>
        <v>0.42499999999999999</v>
      </c>
    </row>
    <row r="1118" spans="1:31">
      <c r="A1118" t="s">
        <v>1304</v>
      </c>
      <c r="B1118" s="6">
        <v>45852</v>
      </c>
      <c r="C1118" t="s">
        <v>78</v>
      </c>
      <c r="D1118" t="s">
        <v>79</v>
      </c>
      <c r="E1118" t="s">
        <v>75</v>
      </c>
      <c r="F1118" t="s">
        <v>80</v>
      </c>
      <c r="G1118" t="s">
        <v>81</v>
      </c>
      <c r="H1118" t="s">
        <v>145</v>
      </c>
      <c r="I1118" t="s">
        <v>146</v>
      </c>
      <c r="J1118" t="s">
        <v>147</v>
      </c>
      <c r="K1118" t="s">
        <v>148</v>
      </c>
      <c r="L1118" t="s">
        <v>183</v>
      </c>
      <c r="M1118" t="s">
        <v>171</v>
      </c>
      <c r="N1118">
        <v>3</v>
      </c>
      <c r="O1118" s="4">
        <v>1200</v>
      </c>
      <c r="P1118" s="4">
        <v>1900</v>
      </c>
      <c r="Q1118" s="7">
        <v>0</v>
      </c>
      <c r="R1118" t="s">
        <v>208</v>
      </c>
      <c r="S1118">
        <v>12</v>
      </c>
      <c r="T1118">
        <v>5700</v>
      </c>
      <c r="U1118">
        <v>0</v>
      </c>
      <c r="V1118">
        <v>5700</v>
      </c>
      <c r="W1118">
        <v>3600</v>
      </c>
      <c r="X1118">
        <v>2100</v>
      </c>
      <c r="Y1118" s="8">
        <v>0.36842105263157893</v>
      </c>
      <c r="Z1118" t="s">
        <v>2996</v>
      </c>
      <c r="AA1118" t="str">
        <f>IF(AND(SalesCleanTable[[#This Row],[Discount %]]&gt;0, SalesCleanTable[[#This Row],[Profit]]&lt;0), "Discount loss", "Safe")</f>
        <v>Safe</v>
      </c>
      <c r="AB1118" s="25">
        <f>(SalesCleanTable[[#This Row],[Unit Price]] - SalesCleanTable[[#This Row],[Unit Cost]]) / SalesCleanTable[[#This Row],[Unit Price]]</f>
        <v>0.36842105263157893</v>
      </c>
      <c r="AC1118" t="str">
        <f>IF(SalesCleanTable[[#This Row],[Discount %]] &gt; SalesCleanTable[[#This Row],[Max Allowed Discount]], "Discount loss", "Safe")</f>
        <v>Safe</v>
      </c>
      <c r="AD1118" s="4">
        <f>SalesCleanTable[[#This Row],[Unit Price]] - SalesCleanTable[[#This Row],[Unit Cost]]</f>
        <v>700</v>
      </c>
      <c r="AE1118" s="41">
        <f>(SalesCleanTable[[#This Row],[Unit Price]] - SalesCleanTable[[#This Row],[Unit Cost]]) / SalesCleanTable[[#This Row],[Unit Price]]</f>
        <v>0.36842105263157893</v>
      </c>
    </row>
    <row r="1119" spans="1:31">
      <c r="A1119" t="s">
        <v>1305</v>
      </c>
      <c r="B1119" s="6">
        <v>45728</v>
      </c>
      <c r="C1119" t="s">
        <v>32</v>
      </c>
      <c r="D1119" t="s">
        <v>33</v>
      </c>
      <c r="E1119" t="s">
        <v>26</v>
      </c>
      <c r="F1119" t="s">
        <v>34</v>
      </c>
      <c r="G1119" t="s">
        <v>35</v>
      </c>
      <c r="H1119" t="s">
        <v>128</v>
      </c>
      <c r="I1119" t="s">
        <v>129</v>
      </c>
      <c r="J1119" t="s">
        <v>130</v>
      </c>
      <c r="K1119" t="s">
        <v>131</v>
      </c>
      <c r="L1119" t="s">
        <v>166</v>
      </c>
      <c r="M1119" t="s">
        <v>186</v>
      </c>
      <c r="N1119">
        <v>3</v>
      </c>
      <c r="O1119" s="4">
        <v>7800</v>
      </c>
      <c r="P1119" s="4">
        <v>9800</v>
      </c>
      <c r="Q1119" s="7">
        <v>0.15</v>
      </c>
      <c r="R1119" t="s">
        <v>197</v>
      </c>
      <c r="S1119">
        <v>4</v>
      </c>
      <c r="T1119">
        <v>29400</v>
      </c>
      <c r="U1119">
        <v>4410</v>
      </c>
      <c r="V1119">
        <v>24990</v>
      </c>
      <c r="W1119">
        <v>23400</v>
      </c>
      <c r="X1119">
        <v>1590</v>
      </c>
      <c r="Y1119" s="8">
        <v>6.3625450180072027E-2</v>
      </c>
      <c r="Z1119" t="s">
        <v>2995</v>
      </c>
      <c r="AA1119" t="str">
        <f>IF(AND(SalesCleanTable[[#This Row],[Discount %]]&gt;0, SalesCleanTable[[#This Row],[Profit]]&lt;0), "Discount loss", "Safe")</f>
        <v>Safe</v>
      </c>
      <c r="AB1119" s="25">
        <f>(SalesCleanTable[[#This Row],[Unit Price]] - SalesCleanTable[[#This Row],[Unit Cost]]) / SalesCleanTable[[#This Row],[Unit Price]]</f>
        <v>0.20408163265306123</v>
      </c>
      <c r="AC1119" t="str">
        <f>IF(SalesCleanTable[[#This Row],[Discount %]] &gt; SalesCleanTable[[#This Row],[Max Allowed Discount]], "Discount loss", "Safe")</f>
        <v>Safe</v>
      </c>
      <c r="AD1119" s="4">
        <f>SalesCleanTable[[#This Row],[Unit Price]] - SalesCleanTable[[#This Row],[Unit Cost]]</f>
        <v>2000</v>
      </c>
      <c r="AE1119" s="41">
        <f>(SalesCleanTable[[#This Row],[Unit Price]] - SalesCleanTable[[#This Row],[Unit Cost]]) / SalesCleanTable[[#This Row],[Unit Price]]</f>
        <v>0.20408163265306123</v>
      </c>
    </row>
    <row r="1120" spans="1:31">
      <c r="A1120" t="s">
        <v>1306</v>
      </c>
      <c r="B1120" s="6">
        <v>45959</v>
      </c>
      <c r="C1120" t="s">
        <v>24</v>
      </c>
      <c r="D1120" t="s">
        <v>25</v>
      </c>
      <c r="E1120" t="s">
        <v>26</v>
      </c>
      <c r="F1120" t="s">
        <v>27</v>
      </c>
      <c r="G1120" t="s">
        <v>28</v>
      </c>
      <c r="H1120" t="s">
        <v>135</v>
      </c>
      <c r="I1120" t="s">
        <v>136</v>
      </c>
      <c r="J1120" t="s">
        <v>137</v>
      </c>
      <c r="K1120" t="s">
        <v>138</v>
      </c>
      <c r="L1120" t="s">
        <v>166</v>
      </c>
      <c r="M1120" t="s">
        <v>177</v>
      </c>
      <c r="N1120">
        <v>4</v>
      </c>
      <c r="O1120" s="4">
        <v>14500</v>
      </c>
      <c r="P1120" s="4">
        <v>17500</v>
      </c>
      <c r="Q1120" s="7">
        <v>0.15</v>
      </c>
      <c r="R1120" t="s">
        <v>197</v>
      </c>
      <c r="S1120">
        <v>14</v>
      </c>
      <c r="T1120">
        <v>70000</v>
      </c>
      <c r="U1120">
        <v>10500</v>
      </c>
      <c r="V1120">
        <v>59500</v>
      </c>
      <c r="W1120">
        <v>58000</v>
      </c>
      <c r="X1120">
        <v>1500</v>
      </c>
      <c r="Y1120" s="8">
        <v>2.5210084033613446E-2</v>
      </c>
      <c r="Z1120" t="s">
        <v>2995</v>
      </c>
      <c r="AA1120" t="str">
        <f>IF(AND(SalesCleanTable[[#This Row],[Discount %]]&gt;0, SalesCleanTable[[#This Row],[Profit]]&lt;0), "Discount loss", "Safe")</f>
        <v>Safe</v>
      </c>
      <c r="AB1120" s="25">
        <f>(SalesCleanTable[[#This Row],[Unit Price]] - SalesCleanTable[[#This Row],[Unit Cost]]) / SalesCleanTable[[#This Row],[Unit Price]]</f>
        <v>0.17142857142857143</v>
      </c>
      <c r="AC1120" t="str">
        <f>IF(SalesCleanTable[[#This Row],[Discount %]] &gt; SalesCleanTable[[#This Row],[Max Allowed Discount]], "Discount loss", "Safe")</f>
        <v>Safe</v>
      </c>
      <c r="AD1120" s="4">
        <f>SalesCleanTable[[#This Row],[Unit Price]] - SalesCleanTable[[#This Row],[Unit Cost]]</f>
        <v>3000</v>
      </c>
      <c r="AE1120" s="41">
        <f>(SalesCleanTable[[#This Row],[Unit Price]] - SalesCleanTable[[#This Row],[Unit Cost]]) / SalesCleanTable[[#This Row],[Unit Price]]</f>
        <v>0.17142857142857143</v>
      </c>
    </row>
    <row r="1121" spans="1:31">
      <c r="A1121" t="s">
        <v>1307</v>
      </c>
      <c r="B1121" s="6">
        <v>45687</v>
      </c>
      <c r="C1121" t="s">
        <v>29</v>
      </c>
      <c r="D1121" t="s">
        <v>30</v>
      </c>
      <c r="E1121" t="s">
        <v>26</v>
      </c>
      <c r="F1121" t="s">
        <v>27</v>
      </c>
      <c r="G1121" t="s">
        <v>31</v>
      </c>
      <c r="H1121" t="s">
        <v>128</v>
      </c>
      <c r="I1121" t="s">
        <v>129</v>
      </c>
      <c r="J1121" t="s">
        <v>130</v>
      </c>
      <c r="K1121" t="s">
        <v>131</v>
      </c>
      <c r="L1121" t="s">
        <v>166</v>
      </c>
      <c r="M1121" t="s">
        <v>171</v>
      </c>
      <c r="N1121">
        <v>1</v>
      </c>
      <c r="O1121" s="4">
        <v>6200</v>
      </c>
      <c r="P1121" s="4">
        <v>7900</v>
      </c>
      <c r="Q1121" s="7">
        <v>0</v>
      </c>
      <c r="R1121" t="s">
        <v>197</v>
      </c>
      <c r="S1121">
        <v>5</v>
      </c>
      <c r="T1121">
        <v>7900</v>
      </c>
      <c r="U1121">
        <v>0</v>
      </c>
      <c r="V1121">
        <v>7900</v>
      </c>
      <c r="W1121">
        <v>6200</v>
      </c>
      <c r="X1121">
        <v>1700</v>
      </c>
      <c r="Y1121" s="8">
        <v>0.21518987341772153</v>
      </c>
      <c r="Z1121" t="s">
        <v>2996</v>
      </c>
      <c r="AA1121" t="str">
        <f>IF(AND(SalesCleanTable[[#This Row],[Discount %]]&gt;0, SalesCleanTable[[#This Row],[Profit]]&lt;0), "Discount loss", "Safe")</f>
        <v>Safe</v>
      </c>
      <c r="AB1121" s="25">
        <f>(SalesCleanTable[[#This Row],[Unit Price]] - SalesCleanTable[[#This Row],[Unit Cost]]) / SalesCleanTable[[#This Row],[Unit Price]]</f>
        <v>0.21518987341772153</v>
      </c>
      <c r="AC1121" t="str">
        <f>IF(SalesCleanTable[[#This Row],[Discount %]] &gt; SalesCleanTable[[#This Row],[Max Allowed Discount]], "Discount loss", "Safe")</f>
        <v>Safe</v>
      </c>
      <c r="AD1121" s="4">
        <f>SalesCleanTable[[#This Row],[Unit Price]] - SalesCleanTable[[#This Row],[Unit Cost]]</f>
        <v>1700</v>
      </c>
      <c r="AE1121" s="41">
        <f>(SalesCleanTable[[#This Row],[Unit Price]] - SalesCleanTable[[#This Row],[Unit Cost]]) / SalesCleanTable[[#This Row],[Unit Price]]</f>
        <v>0.21518987341772153</v>
      </c>
    </row>
    <row r="1122" spans="1:31">
      <c r="A1122" t="s">
        <v>1308</v>
      </c>
      <c r="B1122" s="6">
        <v>45861</v>
      </c>
      <c r="C1122" t="s">
        <v>53</v>
      </c>
      <c r="D1122" t="s">
        <v>54</v>
      </c>
      <c r="E1122" t="s">
        <v>38</v>
      </c>
      <c r="F1122" t="s">
        <v>55</v>
      </c>
      <c r="G1122" t="s">
        <v>56</v>
      </c>
      <c r="H1122" t="s">
        <v>128</v>
      </c>
      <c r="I1122" t="s">
        <v>129</v>
      </c>
      <c r="J1122" t="s">
        <v>130</v>
      </c>
      <c r="K1122" t="s">
        <v>131</v>
      </c>
      <c r="L1122" t="s">
        <v>166</v>
      </c>
      <c r="M1122" t="s">
        <v>186</v>
      </c>
      <c r="N1122">
        <v>1</v>
      </c>
      <c r="O1122" s="4">
        <v>330</v>
      </c>
      <c r="P1122" s="4">
        <v>550</v>
      </c>
      <c r="Q1122" s="7">
        <v>0</v>
      </c>
      <c r="R1122" t="s">
        <v>168</v>
      </c>
      <c r="S1122">
        <v>14</v>
      </c>
      <c r="T1122">
        <v>550</v>
      </c>
      <c r="U1122">
        <v>0</v>
      </c>
      <c r="V1122">
        <v>550</v>
      </c>
      <c r="W1122">
        <v>330</v>
      </c>
      <c r="X1122">
        <v>220</v>
      </c>
      <c r="Y1122" s="8">
        <v>0.4</v>
      </c>
      <c r="Z1122" t="s">
        <v>2996</v>
      </c>
      <c r="AA1122" t="str">
        <f>IF(AND(SalesCleanTable[[#This Row],[Discount %]]&gt;0, SalesCleanTable[[#This Row],[Profit]]&lt;0), "Discount loss", "Safe")</f>
        <v>Safe</v>
      </c>
      <c r="AB1122" s="25">
        <f>(SalesCleanTable[[#This Row],[Unit Price]] - SalesCleanTable[[#This Row],[Unit Cost]]) / SalesCleanTable[[#This Row],[Unit Price]]</f>
        <v>0.4</v>
      </c>
      <c r="AC1122" t="str">
        <f>IF(SalesCleanTable[[#This Row],[Discount %]] &gt; SalesCleanTable[[#This Row],[Max Allowed Discount]], "Discount loss", "Safe")</f>
        <v>Safe</v>
      </c>
      <c r="AD1122" s="4">
        <f>SalesCleanTable[[#This Row],[Unit Price]] - SalesCleanTable[[#This Row],[Unit Cost]]</f>
        <v>220</v>
      </c>
      <c r="AE1122" s="41">
        <f>(SalesCleanTable[[#This Row],[Unit Price]] - SalesCleanTable[[#This Row],[Unit Cost]]) / SalesCleanTable[[#This Row],[Unit Price]]</f>
        <v>0.4</v>
      </c>
    </row>
    <row r="1123" spans="1:31">
      <c r="A1123" t="s">
        <v>1309</v>
      </c>
      <c r="B1123" s="6">
        <v>45770</v>
      </c>
      <c r="C1123" t="s">
        <v>53</v>
      </c>
      <c r="D1123" t="s">
        <v>54</v>
      </c>
      <c r="E1123" t="s">
        <v>38</v>
      </c>
      <c r="F1123" t="s">
        <v>55</v>
      </c>
      <c r="G1123" t="s">
        <v>56</v>
      </c>
      <c r="H1123" t="s">
        <v>135</v>
      </c>
      <c r="I1123" t="s">
        <v>136</v>
      </c>
      <c r="J1123" t="s">
        <v>137</v>
      </c>
      <c r="K1123" t="s">
        <v>138</v>
      </c>
      <c r="L1123" t="s">
        <v>183</v>
      </c>
      <c r="M1123" t="s">
        <v>167</v>
      </c>
      <c r="N1123">
        <v>2</v>
      </c>
      <c r="O1123" s="4">
        <v>330</v>
      </c>
      <c r="P1123" s="4">
        <v>550</v>
      </c>
      <c r="Q1123" s="7">
        <v>0.1</v>
      </c>
      <c r="R1123" t="s">
        <v>175</v>
      </c>
      <c r="S1123">
        <v>6</v>
      </c>
      <c r="T1123">
        <v>1100</v>
      </c>
      <c r="U1123">
        <v>110</v>
      </c>
      <c r="V1123">
        <v>990</v>
      </c>
      <c r="W1123">
        <v>660</v>
      </c>
      <c r="X1123">
        <v>330</v>
      </c>
      <c r="Y1123" s="8">
        <v>0.33333333333333331</v>
      </c>
      <c r="Z1123" t="s">
        <v>2996</v>
      </c>
      <c r="AA1123" t="str">
        <f>IF(AND(SalesCleanTable[[#This Row],[Discount %]]&gt;0, SalesCleanTable[[#This Row],[Profit]]&lt;0), "Discount loss", "Safe")</f>
        <v>Safe</v>
      </c>
      <c r="AB1123" s="25">
        <f>(SalesCleanTable[[#This Row],[Unit Price]] - SalesCleanTable[[#This Row],[Unit Cost]]) / SalesCleanTable[[#This Row],[Unit Price]]</f>
        <v>0.4</v>
      </c>
      <c r="AC1123" t="str">
        <f>IF(SalesCleanTable[[#This Row],[Discount %]] &gt; SalesCleanTable[[#This Row],[Max Allowed Discount]], "Discount loss", "Safe")</f>
        <v>Safe</v>
      </c>
      <c r="AD1123" s="4">
        <f>SalesCleanTable[[#This Row],[Unit Price]] - SalesCleanTable[[#This Row],[Unit Cost]]</f>
        <v>220</v>
      </c>
      <c r="AE1123" s="41">
        <f>(SalesCleanTable[[#This Row],[Unit Price]] - SalesCleanTable[[#This Row],[Unit Cost]]) / SalesCleanTable[[#This Row],[Unit Price]]</f>
        <v>0.4</v>
      </c>
    </row>
    <row r="1124" spans="1:31">
      <c r="A1124" t="s">
        <v>1310</v>
      </c>
      <c r="B1124" s="6">
        <v>45915</v>
      </c>
      <c r="C1124" t="s">
        <v>32</v>
      </c>
      <c r="D1124" t="s">
        <v>33</v>
      </c>
      <c r="E1124" t="s">
        <v>26</v>
      </c>
      <c r="F1124" t="s">
        <v>34</v>
      </c>
      <c r="G1124" t="s">
        <v>35</v>
      </c>
      <c r="H1124" t="s">
        <v>135</v>
      </c>
      <c r="I1124" t="s">
        <v>136</v>
      </c>
      <c r="J1124" t="s">
        <v>137</v>
      </c>
      <c r="K1124" t="s">
        <v>138</v>
      </c>
      <c r="L1124" t="s">
        <v>166</v>
      </c>
      <c r="M1124" t="s">
        <v>177</v>
      </c>
      <c r="N1124">
        <v>2</v>
      </c>
      <c r="O1124" s="4">
        <v>7800</v>
      </c>
      <c r="P1124" s="4">
        <v>9800</v>
      </c>
      <c r="Q1124" s="7">
        <v>0.2</v>
      </c>
      <c r="R1124" t="s">
        <v>197</v>
      </c>
      <c r="S1124">
        <v>14</v>
      </c>
      <c r="T1124">
        <v>19600</v>
      </c>
      <c r="U1124">
        <v>3920</v>
      </c>
      <c r="V1124">
        <v>15680</v>
      </c>
      <c r="W1124">
        <v>15600</v>
      </c>
      <c r="X1124">
        <v>80</v>
      </c>
      <c r="Y1124" s="8">
        <v>5.1020408163265302E-3</v>
      </c>
      <c r="Z1124" t="s">
        <v>2995</v>
      </c>
      <c r="AA1124" t="str">
        <f>IF(AND(SalesCleanTable[[#This Row],[Discount %]]&gt;0, SalesCleanTable[[#This Row],[Profit]]&lt;0), "Discount loss", "Safe")</f>
        <v>Safe</v>
      </c>
      <c r="AB1124" s="25">
        <f>(SalesCleanTable[[#This Row],[Unit Price]] - SalesCleanTable[[#This Row],[Unit Cost]]) / SalesCleanTable[[#This Row],[Unit Price]]</f>
        <v>0.20408163265306123</v>
      </c>
      <c r="AC1124" t="str">
        <f>IF(SalesCleanTable[[#This Row],[Discount %]] &gt; SalesCleanTable[[#This Row],[Max Allowed Discount]], "Discount loss", "Safe")</f>
        <v>Safe</v>
      </c>
      <c r="AD1124" s="4">
        <f>SalesCleanTable[[#This Row],[Unit Price]] - SalesCleanTable[[#This Row],[Unit Cost]]</f>
        <v>2000</v>
      </c>
      <c r="AE1124" s="41">
        <f>(SalesCleanTable[[#This Row],[Unit Price]] - SalesCleanTable[[#This Row],[Unit Cost]]) / SalesCleanTable[[#This Row],[Unit Price]]</f>
        <v>0.20408163265306123</v>
      </c>
    </row>
    <row r="1125" spans="1:31">
      <c r="A1125" t="s">
        <v>1311</v>
      </c>
      <c r="B1125" s="6">
        <v>45776</v>
      </c>
      <c r="C1125" t="s">
        <v>45</v>
      </c>
      <c r="D1125" t="s">
        <v>46</v>
      </c>
      <c r="E1125" t="s">
        <v>38</v>
      </c>
      <c r="F1125" t="s">
        <v>47</v>
      </c>
      <c r="G1125" t="s">
        <v>48</v>
      </c>
      <c r="H1125" t="s">
        <v>139</v>
      </c>
      <c r="I1125" t="s">
        <v>140</v>
      </c>
      <c r="J1125" t="s">
        <v>137</v>
      </c>
      <c r="K1125" t="s">
        <v>138</v>
      </c>
      <c r="L1125" t="s">
        <v>183</v>
      </c>
      <c r="M1125" t="s">
        <v>177</v>
      </c>
      <c r="N1125">
        <v>1</v>
      </c>
      <c r="O1125" s="4">
        <v>230</v>
      </c>
      <c r="P1125" s="4">
        <v>400</v>
      </c>
      <c r="Q1125" s="7">
        <v>0.1</v>
      </c>
      <c r="R1125" t="s">
        <v>178</v>
      </c>
      <c r="S1125">
        <v>12</v>
      </c>
      <c r="T1125">
        <v>400</v>
      </c>
      <c r="U1125">
        <v>40</v>
      </c>
      <c r="V1125">
        <v>360</v>
      </c>
      <c r="W1125">
        <v>230</v>
      </c>
      <c r="X1125">
        <v>130</v>
      </c>
      <c r="Y1125" s="8">
        <v>0.3611111111111111</v>
      </c>
      <c r="Z1125" t="s">
        <v>2995</v>
      </c>
      <c r="AA1125" t="str">
        <f>IF(AND(SalesCleanTable[[#This Row],[Discount %]]&gt;0, SalesCleanTable[[#This Row],[Profit]]&lt;0), "Discount loss", "Safe")</f>
        <v>Safe</v>
      </c>
      <c r="AB1125" s="25">
        <f>(SalesCleanTable[[#This Row],[Unit Price]] - SalesCleanTable[[#This Row],[Unit Cost]]) / SalesCleanTable[[#This Row],[Unit Price]]</f>
        <v>0.42499999999999999</v>
      </c>
      <c r="AC1125" t="str">
        <f>IF(SalesCleanTable[[#This Row],[Discount %]] &gt; SalesCleanTable[[#This Row],[Max Allowed Discount]], "Discount loss", "Safe")</f>
        <v>Safe</v>
      </c>
      <c r="AD1125" s="4">
        <f>SalesCleanTable[[#This Row],[Unit Price]] - SalesCleanTable[[#This Row],[Unit Cost]]</f>
        <v>170</v>
      </c>
      <c r="AE1125" s="41">
        <f>(SalesCleanTable[[#This Row],[Unit Price]] - SalesCleanTable[[#This Row],[Unit Cost]]) / SalesCleanTable[[#This Row],[Unit Price]]</f>
        <v>0.42499999999999999</v>
      </c>
    </row>
    <row r="1126" spans="1:31">
      <c r="A1126" t="s">
        <v>1312</v>
      </c>
      <c r="B1126" s="6">
        <v>45890</v>
      </c>
      <c r="C1126" t="s">
        <v>116</v>
      </c>
      <c r="D1126" t="s">
        <v>117</v>
      </c>
      <c r="E1126" t="s">
        <v>109</v>
      </c>
      <c r="F1126" t="s">
        <v>118</v>
      </c>
      <c r="G1126" t="s">
        <v>119</v>
      </c>
      <c r="H1126" t="s">
        <v>128</v>
      </c>
      <c r="I1126" t="s">
        <v>129</v>
      </c>
      <c r="J1126" t="s">
        <v>130</v>
      </c>
      <c r="K1126" t="s">
        <v>131</v>
      </c>
      <c r="L1126" t="s">
        <v>183</v>
      </c>
      <c r="M1126" t="s">
        <v>167</v>
      </c>
      <c r="N1126">
        <v>5</v>
      </c>
      <c r="O1126" s="4">
        <v>2800</v>
      </c>
      <c r="P1126" s="4">
        <v>4200</v>
      </c>
      <c r="Q1126" s="7">
        <v>0</v>
      </c>
      <c r="R1126" t="s">
        <v>235</v>
      </c>
      <c r="S1126">
        <v>1</v>
      </c>
      <c r="T1126">
        <v>21000</v>
      </c>
      <c r="U1126">
        <v>0</v>
      </c>
      <c r="V1126">
        <v>21000</v>
      </c>
      <c r="W1126">
        <v>14000</v>
      </c>
      <c r="X1126">
        <v>7000</v>
      </c>
      <c r="Y1126" s="8">
        <v>0.33333333333333331</v>
      </c>
      <c r="Z1126" t="s">
        <v>2995</v>
      </c>
      <c r="AA1126" t="str">
        <f>IF(AND(SalesCleanTable[[#This Row],[Discount %]]&gt;0, SalesCleanTable[[#This Row],[Profit]]&lt;0), "Discount loss", "Safe")</f>
        <v>Safe</v>
      </c>
      <c r="AB1126" s="25">
        <f>(SalesCleanTable[[#This Row],[Unit Price]] - SalesCleanTable[[#This Row],[Unit Cost]]) / SalesCleanTable[[#This Row],[Unit Price]]</f>
        <v>0.33333333333333331</v>
      </c>
      <c r="AC1126" t="str">
        <f>IF(SalesCleanTable[[#This Row],[Discount %]] &gt; SalesCleanTable[[#This Row],[Max Allowed Discount]], "Discount loss", "Safe")</f>
        <v>Safe</v>
      </c>
      <c r="AD1126" s="4">
        <f>SalesCleanTable[[#This Row],[Unit Price]] - SalesCleanTable[[#This Row],[Unit Cost]]</f>
        <v>1400</v>
      </c>
      <c r="AE1126" s="41">
        <f>(SalesCleanTable[[#This Row],[Unit Price]] - SalesCleanTable[[#This Row],[Unit Cost]]) / SalesCleanTable[[#This Row],[Unit Price]]</f>
        <v>0.33333333333333331</v>
      </c>
    </row>
    <row r="1127" spans="1:31">
      <c r="A1127" t="s">
        <v>1313</v>
      </c>
      <c r="B1127" s="6">
        <v>45970</v>
      </c>
      <c r="C1127" t="s">
        <v>49</v>
      </c>
      <c r="D1127" t="s">
        <v>50</v>
      </c>
      <c r="E1127" t="s">
        <v>38</v>
      </c>
      <c r="F1127" t="s">
        <v>51</v>
      </c>
      <c r="G1127" t="s">
        <v>52</v>
      </c>
      <c r="H1127" t="s">
        <v>128</v>
      </c>
      <c r="I1127" t="s">
        <v>129</v>
      </c>
      <c r="J1127" t="s">
        <v>130</v>
      </c>
      <c r="K1127" t="s">
        <v>131</v>
      </c>
      <c r="L1127" t="s">
        <v>166</v>
      </c>
      <c r="M1127" t="s">
        <v>186</v>
      </c>
      <c r="N1127">
        <v>2</v>
      </c>
      <c r="O1127" s="4">
        <v>550</v>
      </c>
      <c r="P1127" s="4">
        <v>850</v>
      </c>
      <c r="Q1127" s="7">
        <v>0.05</v>
      </c>
      <c r="R1127" t="s">
        <v>168</v>
      </c>
      <c r="S1127">
        <v>7</v>
      </c>
      <c r="T1127">
        <v>1700</v>
      </c>
      <c r="U1127">
        <v>85</v>
      </c>
      <c r="V1127">
        <v>1615</v>
      </c>
      <c r="W1127">
        <v>1100</v>
      </c>
      <c r="X1127">
        <v>515</v>
      </c>
      <c r="Y1127" s="8">
        <v>0.31888544891640869</v>
      </c>
      <c r="Z1127" t="s">
        <v>2996</v>
      </c>
      <c r="AA1127" t="str">
        <f>IF(AND(SalesCleanTable[[#This Row],[Discount %]]&gt;0, SalesCleanTable[[#This Row],[Profit]]&lt;0), "Discount loss", "Safe")</f>
        <v>Safe</v>
      </c>
      <c r="AB1127" s="25">
        <f>(SalesCleanTable[[#This Row],[Unit Price]] - SalesCleanTable[[#This Row],[Unit Cost]]) / SalesCleanTable[[#This Row],[Unit Price]]</f>
        <v>0.35294117647058826</v>
      </c>
      <c r="AC1127" t="str">
        <f>IF(SalesCleanTable[[#This Row],[Discount %]] &gt; SalesCleanTable[[#This Row],[Max Allowed Discount]], "Discount loss", "Safe")</f>
        <v>Safe</v>
      </c>
      <c r="AD1127" s="4">
        <f>SalesCleanTable[[#This Row],[Unit Price]] - SalesCleanTable[[#This Row],[Unit Cost]]</f>
        <v>300</v>
      </c>
      <c r="AE1127" s="41">
        <f>(SalesCleanTable[[#This Row],[Unit Price]] - SalesCleanTable[[#This Row],[Unit Cost]]) / SalesCleanTable[[#This Row],[Unit Price]]</f>
        <v>0.35294117647058826</v>
      </c>
    </row>
    <row r="1128" spans="1:31">
      <c r="A1128" t="s">
        <v>1314</v>
      </c>
      <c r="B1128" s="6">
        <v>45996</v>
      </c>
      <c r="C1128" t="s">
        <v>45</v>
      </c>
      <c r="D1128" t="s">
        <v>46</v>
      </c>
      <c r="E1128" t="s">
        <v>38</v>
      </c>
      <c r="F1128" t="s">
        <v>47</v>
      </c>
      <c r="G1128" t="s">
        <v>48</v>
      </c>
      <c r="H1128" t="s">
        <v>139</v>
      </c>
      <c r="I1128" t="s">
        <v>140</v>
      </c>
      <c r="J1128" t="s">
        <v>137</v>
      </c>
      <c r="K1128" t="s">
        <v>138</v>
      </c>
      <c r="L1128" t="s">
        <v>183</v>
      </c>
      <c r="M1128" t="s">
        <v>171</v>
      </c>
      <c r="N1128">
        <v>2</v>
      </c>
      <c r="O1128" s="4">
        <v>230</v>
      </c>
      <c r="P1128" s="4">
        <v>400</v>
      </c>
      <c r="Q1128" s="7">
        <v>0</v>
      </c>
      <c r="R1128" t="s">
        <v>175</v>
      </c>
      <c r="S1128">
        <v>13</v>
      </c>
      <c r="T1128">
        <v>800</v>
      </c>
      <c r="U1128">
        <v>0</v>
      </c>
      <c r="V1128">
        <v>800</v>
      </c>
      <c r="W1128">
        <v>460</v>
      </c>
      <c r="X1128">
        <v>340</v>
      </c>
      <c r="Y1128" s="8">
        <v>0.42499999999999999</v>
      </c>
      <c r="Z1128" t="s">
        <v>2995</v>
      </c>
      <c r="AA1128" t="str">
        <f>IF(AND(SalesCleanTable[[#This Row],[Discount %]]&gt;0, SalesCleanTable[[#This Row],[Profit]]&lt;0), "Discount loss", "Safe")</f>
        <v>Safe</v>
      </c>
      <c r="AB1128" s="25">
        <f>(SalesCleanTable[[#This Row],[Unit Price]] - SalesCleanTable[[#This Row],[Unit Cost]]) / SalesCleanTable[[#This Row],[Unit Price]]</f>
        <v>0.42499999999999999</v>
      </c>
      <c r="AC1128" t="str">
        <f>IF(SalesCleanTable[[#This Row],[Discount %]] &gt; SalesCleanTable[[#This Row],[Max Allowed Discount]], "Discount loss", "Safe")</f>
        <v>Safe</v>
      </c>
      <c r="AD1128" s="4">
        <f>SalesCleanTable[[#This Row],[Unit Price]] - SalesCleanTable[[#This Row],[Unit Cost]]</f>
        <v>170</v>
      </c>
      <c r="AE1128" s="41">
        <f>(SalesCleanTable[[#This Row],[Unit Price]] - SalesCleanTable[[#This Row],[Unit Cost]]) / SalesCleanTable[[#This Row],[Unit Price]]</f>
        <v>0.42499999999999999</v>
      </c>
    </row>
    <row r="1129" spans="1:31">
      <c r="A1129" t="s">
        <v>1315</v>
      </c>
      <c r="B1129" s="6">
        <v>45768</v>
      </c>
      <c r="C1129" t="s">
        <v>86</v>
      </c>
      <c r="D1129" t="s">
        <v>87</v>
      </c>
      <c r="E1129" t="s">
        <v>75</v>
      </c>
      <c r="F1129" t="s">
        <v>88</v>
      </c>
      <c r="G1129" t="s">
        <v>89</v>
      </c>
      <c r="H1129" t="s">
        <v>135</v>
      </c>
      <c r="I1129" t="s">
        <v>136</v>
      </c>
      <c r="J1129" t="s">
        <v>137</v>
      </c>
      <c r="K1129" t="s">
        <v>138</v>
      </c>
      <c r="L1129" t="s">
        <v>166</v>
      </c>
      <c r="M1129" t="s">
        <v>171</v>
      </c>
      <c r="N1129">
        <v>5</v>
      </c>
      <c r="O1129" s="4">
        <v>8500</v>
      </c>
      <c r="P1129" s="4">
        <v>12500</v>
      </c>
      <c r="Q1129" s="7">
        <v>0.15</v>
      </c>
      <c r="R1129" t="s">
        <v>204</v>
      </c>
      <c r="S1129">
        <v>13</v>
      </c>
      <c r="T1129">
        <v>62500</v>
      </c>
      <c r="U1129">
        <v>9375</v>
      </c>
      <c r="V1129">
        <v>53125</v>
      </c>
      <c r="W1129">
        <v>42500</v>
      </c>
      <c r="X1129">
        <v>10625</v>
      </c>
      <c r="Y1129" s="8">
        <v>0.2</v>
      </c>
      <c r="Z1129" t="s">
        <v>2997</v>
      </c>
      <c r="AA1129" t="str">
        <f>IF(AND(SalesCleanTable[[#This Row],[Discount %]]&gt;0, SalesCleanTable[[#This Row],[Profit]]&lt;0), "Discount loss", "Safe")</f>
        <v>Safe</v>
      </c>
      <c r="AB1129" s="25">
        <f>(SalesCleanTable[[#This Row],[Unit Price]] - SalesCleanTable[[#This Row],[Unit Cost]]) / SalesCleanTable[[#This Row],[Unit Price]]</f>
        <v>0.32</v>
      </c>
      <c r="AC1129" t="str">
        <f>IF(SalesCleanTable[[#This Row],[Discount %]] &gt; SalesCleanTable[[#This Row],[Max Allowed Discount]], "Discount loss", "Safe")</f>
        <v>Safe</v>
      </c>
      <c r="AD1129" s="4">
        <f>SalesCleanTable[[#This Row],[Unit Price]] - SalesCleanTable[[#This Row],[Unit Cost]]</f>
        <v>4000</v>
      </c>
      <c r="AE1129" s="41">
        <f>(SalesCleanTable[[#This Row],[Unit Price]] - SalesCleanTable[[#This Row],[Unit Cost]]) / SalesCleanTable[[#This Row],[Unit Price]]</f>
        <v>0.32</v>
      </c>
    </row>
    <row r="1130" spans="1:31">
      <c r="A1130" t="s">
        <v>1316</v>
      </c>
      <c r="B1130" s="6">
        <v>45713</v>
      </c>
      <c r="C1130" t="s">
        <v>62</v>
      </c>
      <c r="D1130" t="s">
        <v>63</v>
      </c>
      <c r="E1130" t="s">
        <v>59</v>
      </c>
      <c r="F1130" t="s">
        <v>64</v>
      </c>
      <c r="G1130" t="s">
        <v>65</v>
      </c>
      <c r="H1130" t="s">
        <v>153</v>
      </c>
      <c r="I1130" t="s">
        <v>154</v>
      </c>
      <c r="J1130" t="s">
        <v>155</v>
      </c>
      <c r="K1130" t="s">
        <v>131</v>
      </c>
      <c r="L1130" t="s">
        <v>170</v>
      </c>
      <c r="M1130" t="s">
        <v>171</v>
      </c>
      <c r="N1130">
        <v>8</v>
      </c>
      <c r="O1130" s="4">
        <v>3200</v>
      </c>
      <c r="P1130" s="4">
        <v>4500</v>
      </c>
      <c r="Q1130" s="7">
        <v>0</v>
      </c>
      <c r="R1130" t="s">
        <v>204</v>
      </c>
      <c r="S1130">
        <v>10</v>
      </c>
      <c r="T1130">
        <v>36000</v>
      </c>
      <c r="U1130">
        <v>0</v>
      </c>
      <c r="V1130">
        <v>36000</v>
      </c>
      <c r="W1130">
        <v>25600</v>
      </c>
      <c r="X1130">
        <v>10400</v>
      </c>
      <c r="Y1130" s="8">
        <v>0.28888888888888886</v>
      </c>
      <c r="Z1130" t="s">
        <v>2996</v>
      </c>
      <c r="AA1130" t="str">
        <f>IF(AND(SalesCleanTable[[#This Row],[Discount %]]&gt;0, SalesCleanTable[[#This Row],[Profit]]&lt;0), "Discount loss", "Safe")</f>
        <v>Safe</v>
      </c>
      <c r="AB1130" s="25">
        <f>(SalesCleanTable[[#This Row],[Unit Price]] - SalesCleanTable[[#This Row],[Unit Cost]]) / SalesCleanTable[[#This Row],[Unit Price]]</f>
        <v>0.28888888888888886</v>
      </c>
      <c r="AC1130" t="str">
        <f>IF(SalesCleanTable[[#This Row],[Discount %]] &gt; SalesCleanTable[[#This Row],[Max Allowed Discount]], "Discount loss", "Safe")</f>
        <v>Safe</v>
      </c>
      <c r="AD1130" s="4">
        <f>SalesCleanTable[[#This Row],[Unit Price]] - SalesCleanTable[[#This Row],[Unit Cost]]</f>
        <v>1300</v>
      </c>
      <c r="AE1130" s="41">
        <f>(SalesCleanTable[[#This Row],[Unit Price]] - SalesCleanTable[[#This Row],[Unit Cost]]) / SalesCleanTable[[#This Row],[Unit Price]]</f>
        <v>0.28888888888888886</v>
      </c>
    </row>
    <row r="1131" spans="1:31">
      <c r="A1131" t="s">
        <v>1317</v>
      </c>
      <c r="B1131" s="6">
        <v>45923</v>
      </c>
      <c r="C1131" t="s">
        <v>41</v>
      </c>
      <c r="D1131" t="s">
        <v>42</v>
      </c>
      <c r="E1131" t="s">
        <v>26</v>
      </c>
      <c r="F1131" t="s">
        <v>43</v>
      </c>
      <c r="G1131" t="s">
        <v>44</v>
      </c>
      <c r="H1131" t="s">
        <v>153</v>
      </c>
      <c r="I1131" t="s">
        <v>154</v>
      </c>
      <c r="J1131" t="s">
        <v>155</v>
      </c>
      <c r="K1131" t="s">
        <v>131</v>
      </c>
      <c r="L1131" t="s">
        <v>166</v>
      </c>
      <c r="M1131" t="s">
        <v>171</v>
      </c>
      <c r="N1131">
        <v>2</v>
      </c>
      <c r="O1131" s="4">
        <v>850</v>
      </c>
      <c r="P1131" s="4">
        <v>1300</v>
      </c>
      <c r="Q1131" s="7">
        <v>0.2</v>
      </c>
      <c r="R1131" t="s">
        <v>194</v>
      </c>
      <c r="S1131">
        <v>13</v>
      </c>
      <c r="T1131">
        <v>2600</v>
      </c>
      <c r="U1131">
        <v>520</v>
      </c>
      <c r="V1131">
        <v>2080</v>
      </c>
      <c r="W1131">
        <v>1700</v>
      </c>
      <c r="X1131">
        <v>380</v>
      </c>
      <c r="Y1131" s="8">
        <v>0.18269230769230768</v>
      </c>
      <c r="Z1131" t="s">
        <v>2995</v>
      </c>
      <c r="AA1131" t="str">
        <f>IF(AND(SalesCleanTable[[#This Row],[Discount %]]&gt;0, SalesCleanTable[[#This Row],[Profit]]&lt;0), "Discount loss", "Safe")</f>
        <v>Safe</v>
      </c>
      <c r="AB1131" s="25">
        <f>(SalesCleanTable[[#This Row],[Unit Price]] - SalesCleanTable[[#This Row],[Unit Cost]]) / SalesCleanTable[[#This Row],[Unit Price]]</f>
        <v>0.34615384615384615</v>
      </c>
      <c r="AC1131" t="str">
        <f>IF(SalesCleanTable[[#This Row],[Discount %]] &gt; SalesCleanTable[[#This Row],[Max Allowed Discount]], "Discount loss", "Safe")</f>
        <v>Safe</v>
      </c>
      <c r="AD1131" s="4">
        <f>SalesCleanTable[[#This Row],[Unit Price]] - SalesCleanTable[[#This Row],[Unit Cost]]</f>
        <v>450</v>
      </c>
      <c r="AE1131" s="41">
        <f>(SalesCleanTable[[#This Row],[Unit Price]] - SalesCleanTable[[#This Row],[Unit Cost]]) / SalesCleanTable[[#This Row],[Unit Price]]</f>
        <v>0.34615384615384615</v>
      </c>
    </row>
    <row r="1132" spans="1:31">
      <c r="A1132" t="s">
        <v>1318</v>
      </c>
      <c r="B1132" s="6">
        <v>45798</v>
      </c>
      <c r="C1132" t="s">
        <v>29</v>
      </c>
      <c r="D1132" t="s">
        <v>30</v>
      </c>
      <c r="E1132" t="s">
        <v>26</v>
      </c>
      <c r="F1132" t="s">
        <v>27</v>
      </c>
      <c r="G1132" t="s">
        <v>31</v>
      </c>
      <c r="H1132" t="s">
        <v>135</v>
      </c>
      <c r="I1132" t="s">
        <v>136</v>
      </c>
      <c r="J1132" t="s">
        <v>137</v>
      </c>
      <c r="K1132" t="s">
        <v>138</v>
      </c>
      <c r="L1132" t="s">
        <v>166</v>
      </c>
      <c r="M1132" t="s">
        <v>171</v>
      </c>
      <c r="N1132">
        <v>3</v>
      </c>
      <c r="O1132" s="4">
        <v>6200</v>
      </c>
      <c r="P1132" s="4">
        <v>7900</v>
      </c>
      <c r="Q1132" s="7">
        <v>0.05</v>
      </c>
      <c r="R1132" t="s">
        <v>194</v>
      </c>
      <c r="S1132">
        <v>5</v>
      </c>
      <c r="T1132">
        <v>23700</v>
      </c>
      <c r="U1132">
        <v>1185</v>
      </c>
      <c r="V1132">
        <v>22515</v>
      </c>
      <c r="W1132">
        <v>18600</v>
      </c>
      <c r="X1132">
        <v>3915</v>
      </c>
      <c r="Y1132" s="8">
        <v>0.17388407728181213</v>
      </c>
      <c r="Z1132" t="s">
        <v>2996</v>
      </c>
      <c r="AA1132" t="str">
        <f>IF(AND(SalesCleanTable[[#This Row],[Discount %]]&gt;0, SalesCleanTable[[#This Row],[Profit]]&lt;0), "Discount loss", "Safe")</f>
        <v>Safe</v>
      </c>
      <c r="AB1132" s="25">
        <f>(SalesCleanTable[[#This Row],[Unit Price]] - SalesCleanTable[[#This Row],[Unit Cost]]) / SalesCleanTable[[#This Row],[Unit Price]]</f>
        <v>0.21518987341772153</v>
      </c>
      <c r="AC1132" t="str">
        <f>IF(SalesCleanTable[[#This Row],[Discount %]] &gt; SalesCleanTable[[#This Row],[Max Allowed Discount]], "Discount loss", "Safe")</f>
        <v>Safe</v>
      </c>
      <c r="AD1132" s="4">
        <f>SalesCleanTable[[#This Row],[Unit Price]] - SalesCleanTable[[#This Row],[Unit Cost]]</f>
        <v>1700</v>
      </c>
      <c r="AE1132" s="41">
        <f>(SalesCleanTable[[#This Row],[Unit Price]] - SalesCleanTable[[#This Row],[Unit Cost]]) / SalesCleanTable[[#This Row],[Unit Price]]</f>
        <v>0.21518987341772153</v>
      </c>
    </row>
    <row r="1133" spans="1:31">
      <c r="A1133" t="s">
        <v>1319</v>
      </c>
      <c r="B1133" s="6">
        <v>45992</v>
      </c>
      <c r="C1133" t="s">
        <v>95</v>
      </c>
      <c r="D1133" t="s">
        <v>96</v>
      </c>
      <c r="E1133" t="s">
        <v>92</v>
      </c>
      <c r="F1133" t="s">
        <v>97</v>
      </c>
      <c r="G1133" t="s">
        <v>98</v>
      </c>
      <c r="H1133" t="s">
        <v>141</v>
      </c>
      <c r="I1133" t="s">
        <v>142</v>
      </c>
      <c r="J1133" t="s">
        <v>143</v>
      </c>
      <c r="K1133" t="s">
        <v>144</v>
      </c>
      <c r="L1133" t="s">
        <v>166</v>
      </c>
      <c r="M1133" t="s">
        <v>167</v>
      </c>
      <c r="N1133">
        <v>1</v>
      </c>
      <c r="O1133" s="4">
        <v>18000</v>
      </c>
      <c r="P1133" s="4">
        <v>24500</v>
      </c>
      <c r="Q1133" s="7">
        <v>0.1</v>
      </c>
      <c r="R1133" t="s">
        <v>181</v>
      </c>
      <c r="S1133">
        <v>8</v>
      </c>
      <c r="T1133">
        <v>24500</v>
      </c>
      <c r="U1133">
        <v>2450</v>
      </c>
      <c r="V1133">
        <v>22050</v>
      </c>
      <c r="W1133">
        <v>18000</v>
      </c>
      <c r="X1133">
        <v>4050</v>
      </c>
      <c r="Y1133" s="8">
        <v>0.18367346938775511</v>
      </c>
      <c r="Z1133" t="s">
        <v>2995</v>
      </c>
      <c r="AA1133" t="str">
        <f>IF(AND(SalesCleanTable[[#This Row],[Discount %]]&gt;0, SalesCleanTable[[#This Row],[Profit]]&lt;0), "Discount loss", "Safe")</f>
        <v>Safe</v>
      </c>
      <c r="AB1133" s="25">
        <f>(SalesCleanTable[[#This Row],[Unit Price]] - SalesCleanTable[[#This Row],[Unit Cost]]) / SalesCleanTable[[#This Row],[Unit Price]]</f>
        <v>0.26530612244897961</v>
      </c>
      <c r="AC1133" t="str">
        <f>IF(SalesCleanTable[[#This Row],[Discount %]] &gt; SalesCleanTable[[#This Row],[Max Allowed Discount]], "Discount loss", "Safe")</f>
        <v>Safe</v>
      </c>
      <c r="AD1133" s="4">
        <f>SalesCleanTable[[#This Row],[Unit Price]] - SalesCleanTable[[#This Row],[Unit Cost]]</f>
        <v>6500</v>
      </c>
      <c r="AE1133" s="41">
        <f>(SalesCleanTable[[#This Row],[Unit Price]] - SalesCleanTable[[#This Row],[Unit Cost]]) / SalesCleanTable[[#This Row],[Unit Price]]</f>
        <v>0.26530612244897961</v>
      </c>
    </row>
    <row r="1134" spans="1:31">
      <c r="A1134" t="s">
        <v>1320</v>
      </c>
      <c r="B1134" s="6">
        <v>45883</v>
      </c>
      <c r="C1134" t="s">
        <v>24</v>
      </c>
      <c r="D1134" t="s">
        <v>25</v>
      </c>
      <c r="E1134" t="s">
        <v>26</v>
      </c>
      <c r="F1134" t="s">
        <v>27</v>
      </c>
      <c r="G1134" t="s">
        <v>28</v>
      </c>
      <c r="H1134" t="s">
        <v>128</v>
      </c>
      <c r="I1134" t="s">
        <v>129</v>
      </c>
      <c r="J1134" t="s">
        <v>130</v>
      </c>
      <c r="K1134" t="s">
        <v>131</v>
      </c>
      <c r="L1134" t="s">
        <v>166</v>
      </c>
      <c r="M1134" t="s">
        <v>186</v>
      </c>
      <c r="N1134">
        <v>2</v>
      </c>
      <c r="O1134" s="4">
        <v>14500</v>
      </c>
      <c r="P1134" s="4">
        <v>17500</v>
      </c>
      <c r="Q1134" s="7">
        <v>0.1</v>
      </c>
      <c r="R1134" t="s">
        <v>173</v>
      </c>
      <c r="S1134">
        <v>2</v>
      </c>
      <c r="T1134">
        <v>35000</v>
      </c>
      <c r="U1134">
        <v>3500</v>
      </c>
      <c r="V1134">
        <v>31500</v>
      </c>
      <c r="W1134">
        <v>29000</v>
      </c>
      <c r="X1134">
        <v>2500</v>
      </c>
      <c r="Y1134" s="8">
        <v>7.9365079365079361E-2</v>
      </c>
      <c r="Z1134" t="s">
        <v>2995</v>
      </c>
      <c r="AA1134" t="str">
        <f>IF(AND(SalesCleanTable[[#This Row],[Discount %]]&gt;0, SalesCleanTable[[#This Row],[Profit]]&lt;0), "Discount loss", "Safe")</f>
        <v>Safe</v>
      </c>
      <c r="AB1134" s="25">
        <f>(SalesCleanTable[[#This Row],[Unit Price]] - SalesCleanTable[[#This Row],[Unit Cost]]) / SalesCleanTable[[#This Row],[Unit Price]]</f>
        <v>0.17142857142857143</v>
      </c>
      <c r="AC1134" t="str">
        <f>IF(SalesCleanTable[[#This Row],[Discount %]] &gt; SalesCleanTable[[#This Row],[Max Allowed Discount]], "Discount loss", "Safe")</f>
        <v>Safe</v>
      </c>
      <c r="AD1134" s="4">
        <f>SalesCleanTable[[#This Row],[Unit Price]] - SalesCleanTable[[#This Row],[Unit Cost]]</f>
        <v>3000</v>
      </c>
      <c r="AE1134" s="41">
        <f>(SalesCleanTable[[#This Row],[Unit Price]] - SalesCleanTable[[#This Row],[Unit Cost]]) / SalesCleanTable[[#This Row],[Unit Price]]</f>
        <v>0.17142857142857143</v>
      </c>
    </row>
    <row r="1135" spans="1:31">
      <c r="A1135" t="s">
        <v>1321</v>
      </c>
      <c r="B1135" s="6">
        <v>45970</v>
      </c>
      <c r="C1135" t="s">
        <v>62</v>
      </c>
      <c r="D1135" t="s">
        <v>63</v>
      </c>
      <c r="E1135" t="s">
        <v>59</v>
      </c>
      <c r="F1135" t="s">
        <v>64</v>
      </c>
      <c r="G1135" t="s">
        <v>65</v>
      </c>
      <c r="H1135" t="s">
        <v>153</v>
      </c>
      <c r="I1135" t="s">
        <v>154</v>
      </c>
      <c r="J1135" t="s">
        <v>155</v>
      </c>
      <c r="K1135" t="s">
        <v>131</v>
      </c>
      <c r="L1135" t="s">
        <v>183</v>
      </c>
      <c r="M1135" t="s">
        <v>167</v>
      </c>
      <c r="N1135">
        <v>2</v>
      </c>
      <c r="O1135" s="4">
        <v>3200</v>
      </c>
      <c r="P1135" s="4">
        <v>4500</v>
      </c>
      <c r="Q1135" s="7">
        <v>0</v>
      </c>
      <c r="R1135" t="s">
        <v>204</v>
      </c>
      <c r="S1135">
        <v>3</v>
      </c>
      <c r="T1135">
        <v>9000</v>
      </c>
      <c r="U1135">
        <v>0</v>
      </c>
      <c r="V1135">
        <v>9000</v>
      </c>
      <c r="W1135">
        <v>6400</v>
      </c>
      <c r="X1135">
        <v>2600</v>
      </c>
      <c r="Y1135" s="8">
        <v>0.28888888888888886</v>
      </c>
      <c r="Z1135" t="s">
        <v>2996</v>
      </c>
      <c r="AA1135" t="str">
        <f>IF(AND(SalesCleanTable[[#This Row],[Discount %]]&gt;0, SalesCleanTable[[#This Row],[Profit]]&lt;0), "Discount loss", "Safe")</f>
        <v>Safe</v>
      </c>
      <c r="AB1135" s="25">
        <f>(SalesCleanTable[[#This Row],[Unit Price]] - SalesCleanTable[[#This Row],[Unit Cost]]) / SalesCleanTable[[#This Row],[Unit Price]]</f>
        <v>0.28888888888888886</v>
      </c>
      <c r="AC1135" t="str">
        <f>IF(SalesCleanTable[[#This Row],[Discount %]] &gt; SalesCleanTable[[#This Row],[Max Allowed Discount]], "Discount loss", "Safe")</f>
        <v>Safe</v>
      </c>
      <c r="AD1135" s="4">
        <f>SalesCleanTable[[#This Row],[Unit Price]] - SalesCleanTable[[#This Row],[Unit Cost]]</f>
        <v>1300</v>
      </c>
      <c r="AE1135" s="41">
        <f>(SalesCleanTable[[#This Row],[Unit Price]] - SalesCleanTable[[#This Row],[Unit Cost]]) / SalesCleanTable[[#This Row],[Unit Price]]</f>
        <v>0.28888888888888886</v>
      </c>
    </row>
    <row r="1136" spans="1:31">
      <c r="A1136" t="s">
        <v>1322</v>
      </c>
      <c r="B1136" s="6">
        <v>45747</v>
      </c>
      <c r="C1136" t="s">
        <v>32</v>
      </c>
      <c r="D1136" t="s">
        <v>33</v>
      </c>
      <c r="E1136" t="s">
        <v>26</v>
      </c>
      <c r="F1136" t="s">
        <v>34</v>
      </c>
      <c r="G1136" t="s">
        <v>35</v>
      </c>
      <c r="H1136" t="s">
        <v>141</v>
      </c>
      <c r="I1136" t="s">
        <v>142</v>
      </c>
      <c r="J1136" t="s">
        <v>143</v>
      </c>
      <c r="K1136" t="s">
        <v>144</v>
      </c>
      <c r="L1136" t="s">
        <v>166</v>
      </c>
      <c r="M1136" t="s">
        <v>171</v>
      </c>
      <c r="N1136">
        <v>1</v>
      </c>
      <c r="O1136" s="4">
        <v>7800</v>
      </c>
      <c r="P1136" s="4">
        <v>9800</v>
      </c>
      <c r="Q1136" s="7">
        <v>0</v>
      </c>
      <c r="R1136" t="s">
        <v>194</v>
      </c>
      <c r="S1136">
        <v>10</v>
      </c>
      <c r="T1136">
        <v>9800</v>
      </c>
      <c r="U1136">
        <v>0</v>
      </c>
      <c r="V1136">
        <v>9800</v>
      </c>
      <c r="W1136">
        <v>7800</v>
      </c>
      <c r="X1136">
        <v>2000</v>
      </c>
      <c r="Y1136" s="8">
        <v>0.20408163265306123</v>
      </c>
      <c r="Z1136" t="s">
        <v>2995</v>
      </c>
      <c r="AA1136" t="str">
        <f>IF(AND(SalesCleanTable[[#This Row],[Discount %]]&gt;0, SalesCleanTable[[#This Row],[Profit]]&lt;0), "Discount loss", "Safe")</f>
        <v>Safe</v>
      </c>
      <c r="AB1136" s="25">
        <f>(SalesCleanTable[[#This Row],[Unit Price]] - SalesCleanTable[[#This Row],[Unit Cost]]) / SalesCleanTable[[#This Row],[Unit Price]]</f>
        <v>0.20408163265306123</v>
      </c>
      <c r="AC1136" t="str">
        <f>IF(SalesCleanTable[[#This Row],[Discount %]] &gt; SalesCleanTable[[#This Row],[Max Allowed Discount]], "Discount loss", "Safe")</f>
        <v>Safe</v>
      </c>
      <c r="AD1136" s="4">
        <f>SalesCleanTable[[#This Row],[Unit Price]] - SalesCleanTable[[#This Row],[Unit Cost]]</f>
        <v>2000</v>
      </c>
      <c r="AE1136" s="41">
        <f>(SalesCleanTable[[#This Row],[Unit Price]] - SalesCleanTable[[#This Row],[Unit Cost]]) / SalesCleanTable[[#This Row],[Unit Price]]</f>
        <v>0.20408163265306123</v>
      </c>
    </row>
    <row r="1137" spans="1:31">
      <c r="A1137" t="s">
        <v>1323</v>
      </c>
      <c r="B1137" s="6">
        <v>45941</v>
      </c>
      <c r="C1137" t="s">
        <v>82</v>
      </c>
      <c r="D1137" t="s">
        <v>83</v>
      </c>
      <c r="E1137" t="s">
        <v>75</v>
      </c>
      <c r="F1137" t="s">
        <v>84</v>
      </c>
      <c r="G1137" t="s">
        <v>85</v>
      </c>
      <c r="H1137" t="s">
        <v>128</v>
      </c>
      <c r="I1137" t="s">
        <v>129</v>
      </c>
      <c r="J1137" t="s">
        <v>130</v>
      </c>
      <c r="K1137" t="s">
        <v>131</v>
      </c>
      <c r="L1137" t="s">
        <v>166</v>
      </c>
      <c r="M1137" t="s">
        <v>171</v>
      </c>
      <c r="N1137">
        <v>4</v>
      </c>
      <c r="O1137" s="4">
        <v>600</v>
      </c>
      <c r="P1137" s="4">
        <v>950</v>
      </c>
      <c r="Q1137" s="7">
        <v>0</v>
      </c>
      <c r="R1137" t="s">
        <v>208</v>
      </c>
      <c r="S1137">
        <v>9</v>
      </c>
      <c r="T1137">
        <v>3800</v>
      </c>
      <c r="U1137">
        <v>0</v>
      </c>
      <c r="V1137">
        <v>3800</v>
      </c>
      <c r="W1137">
        <v>2400</v>
      </c>
      <c r="X1137">
        <v>1400</v>
      </c>
      <c r="Y1137" s="8">
        <v>0.36842105263157893</v>
      </c>
      <c r="Z1137" t="s">
        <v>2996</v>
      </c>
      <c r="AA1137" t="str">
        <f>IF(AND(SalesCleanTable[[#This Row],[Discount %]]&gt;0, SalesCleanTable[[#This Row],[Profit]]&lt;0), "Discount loss", "Safe")</f>
        <v>Safe</v>
      </c>
      <c r="AB1137" s="25">
        <f>(SalesCleanTable[[#This Row],[Unit Price]] - SalesCleanTable[[#This Row],[Unit Cost]]) / SalesCleanTable[[#This Row],[Unit Price]]</f>
        <v>0.36842105263157893</v>
      </c>
      <c r="AC1137" t="str">
        <f>IF(SalesCleanTable[[#This Row],[Discount %]] &gt; SalesCleanTable[[#This Row],[Max Allowed Discount]], "Discount loss", "Safe")</f>
        <v>Safe</v>
      </c>
      <c r="AD1137" s="4">
        <f>SalesCleanTable[[#This Row],[Unit Price]] - SalesCleanTable[[#This Row],[Unit Cost]]</f>
        <v>350</v>
      </c>
      <c r="AE1137" s="41">
        <f>(SalesCleanTable[[#This Row],[Unit Price]] - SalesCleanTable[[#This Row],[Unit Cost]]) / SalesCleanTable[[#This Row],[Unit Price]]</f>
        <v>0.36842105263157893</v>
      </c>
    </row>
    <row r="1138" spans="1:31">
      <c r="A1138" t="s">
        <v>1324</v>
      </c>
      <c r="B1138" s="6">
        <v>45965</v>
      </c>
      <c r="C1138" t="s">
        <v>41</v>
      </c>
      <c r="D1138" t="s">
        <v>42</v>
      </c>
      <c r="E1138" t="s">
        <v>26</v>
      </c>
      <c r="F1138" t="s">
        <v>43</v>
      </c>
      <c r="G1138" t="s">
        <v>44</v>
      </c>
      <c r="H1138" t="s">
        <v>128</v>
      </c>
      <c r="I1138" t="s">
        <v>129</v>
      </c>
      <c r="J1138" t="s">
        <v>130</v>
      </c>
      <c r="K1138" t="s">
        <v>131</v>
      </c>
      <c r="L1138" t="s">
        <v>166</v>
      </c>
      <c r="M1138" t="s">
        <v>167</v>
      </c>
      <c r="N1138">
        <v>3</v>
      </c>
      <c r="O1138" s="4">
        <v>850</v>
      </c>
      <c r="P1138" s="4">
        <v>1300</v>
      </c>
      <c r="Q1138" s="7">
        <v>0</v>
      </c>
      <c r="R1138" t="s">
        <v>173</v>
      </c>
      <c r="S1138">
        <v>6</v>
      </c>
      <c r="T1138">
        <v>3900</v>
      </c>
      <c r="U1138">
        <v>0</v>
      </c>
      <c r="V1138">
        <v>3900</v>
      </c>
      <c r="W1138">
        <v>2550</v>
      </c>
      <c r="X1138">
        <v>1350</v>
      </c>
      <c r="Y1138" s="8">
        <v>0.34615384615384615</v>
      </c>
      <c r="Z1138" t="s">
        <v>2995</v>
      </c>
      <c r="AA1138" t="str">
        <f>IF(AND(SalesCleanTable[[#This Row],[Discount %]]&gt;0, SalesCleanTable[[#This Row],[Profit]]&lt;0), "Discount loss", "Safe")</f>
        <v>Safe</v>
      </c>
      <c r="AB1138" s="25">
        <f>(SalesCleanTable[[#This Row],[Unit Price]] - SalesCleanTable[[#This Row],[Unit Cost]]) / SalesCleanTable[[#This Row],[Unit Price]]</f>
        <v>0.34615384615384615</v>
      </c>
      <c r="AC1138" t="str">
        <f>IF(SalesCleanTable[[#This Row],[Discount %]] &gt; SalesCleanTable[[#This Row],[Max Allowed Discount]], "Discount loss", "Safe")</f>
        <v>Safe</v>
      </c>
      <c r="AD1138" s="4">
        <f>SalesCleanTable[[#This Row],[Unit Price]] - SalesCleanTable[[#This Row],[Unit Cost]]</f>
        <v>450</v>
      </c>
      <c r="AE1138" s="41">
        <f>(SalesCleanTable[[#This Row],[Unit Price]] - SalesCleanTable[[#This Row],[Unit Cost]]) / SalesCleanTable[[#This Row],[Unit Price]]</f>
        <v>0.34615384615384615</v>
      </c>
    </row>
    <row r="1139" spans="1:31">
      <c r="A1139" t="s">
        <v>1325</v>
      </c>
      <c r="B1139" s="6">
        <v>46006</v>
      </c>
      <c r="C1139" t="s">
        <v>49</v>
      </c>
      <c r="D1139" t="s">
        <v>50</v>
      </c>
      <c r="E1139" t="s">
        <v>38</v>
      </c>
      <c r="F1139" t="s">
        <v>51</v>
      </c>
      <c r="G1139" t="s">
        <v>52</v>
      </c>
      <c r="H1139" t="s">
        <v>141</v>
      </c>
      <c r="I1139" t="s">
        <v>142</v>
      </c>
      <c r="J1139" t="s">
        <v>143</v>
      </c>
      <c r="K1139" t="s">
        <v>144</v>
      </c>
      <c r="L1139" t="s">
        <v>166</v>
      </c>
      <c r="M1139" t="s">
        <v>171</v>
      </c>
      <c r="N1139">
        <v>6</v>
      </c>
      <c r="O1139" s="4">
        <v>550</v>
      </c>
      <c r="P1139" s="4">
        <v>850</v>
      </c>
      <c r="Q1139" s="7">
        <v>0</v>
      </c>
      <c r="R1139" t="s">
        <v>175</v>
      </c>
      <c r="S1139">
        <v>7</v>
      </c>
      <c r="T1139">
        <v>5100</v>
      </c>
      <c r="U1139">
        <v>0</v>
      </c>
      <c r="V1139">
        <v>5100</v>
      </c>
      <c r="W1139">
        <v>3300</v>
      </c>
      <c r="X1139">
        <v>1800</v>
      </c>
      <c r="Y1139" s="8">
        <v>0.35294117647058826</v>
      </c>
      <c r="Z1139" t="s">
        <v>2996</v>
      </c>
      <c r="AA1139" t="str">
        <f>IF(AND(SalesCleanTable[[#This Row],[Discount %]]&gt;0, SalesCleanTable[[#This Row],[Profit]]&lt;0), "Discount loss", "Safe")</f>
        <v>Safe</v>
      </c>
      <c r="AB1139" s="25">
        <f>(SalesCleanTable[[#This Row],[Unit Price]] - SalesCleanTable[[#This Row],[Unit Cost]]) / SalesCleanTable[[#This Row],[Unit Price]]</f>
        <v>0.35294117647058826</v>
      </c>
      <c r="AC1139" t="str">
        <f>IF(SalesCleanTable[[#This Row],[Discount %]] &gt; SalesCleanTable[[#This Row],[Max Allowed Discount]], "Discount loss", "Safe")</f>
        <v>Safe</v>
      </c>
      <c r="AD1139" s="4">
        <f>SalesCleanTable[[#This Row],[Unit Price]] - SalesCleanTable[[#This Row],[Unit Cost]]</f>
        <v>300</v>
      </c>
      <c r="AE1139" s="41">
        <f>(SalesCleanTable[[#This Row],[Unit Price]] - SalesCleanTable[[#This Row],[Unit Cost]]) / SalesCleanTable[[#This Row],[Unit Price]]</f>
        <v>0.35294117647058826</v>
      </c>
    </row>
    <row r="1140" spans="1:31">
      <c r="A1140" t="s">
        <v>1326</v>
      </c>
      <c r="B1140" s="6">
        <v>45849</v>
      </c>
      <c r="C1140" t="s">
        <v>53</v>
      </c>
      <c r="D1140" t="s">
        <v>54</v>
      </c>
      <c r="E1140" t="s">
        <v>38</v>
      </c>
      <c r="F1140" t="s">
        <v>55</v>
      </c>
      <c r="G1140" t="s">
        <v>56</v>
      </c>
      <c r="H1140" t="s">
        <v>153</v>
      </c>
      <c r="I1140" t="s">
        <v>154</v>
      </c>
      <c r="J1140" t="s">
        <v>155</v>
      </c>
      <c r="K1140" t="s">
        <v>131</v>
      </c>
      <c r="L1140" t="s">
        <v>166</v>
      </c>
      <c r="M1140" t="s">
        <v>171</v>
      </c>
      <c r="N1140">
        <v>3</v>
      </c>
      <c r="O1140" s="4">
        <v>330</v>
      </c>
      <c r="P1140" s="4">
        <v>550</v>
      </c>
      <c r="Q1140" s="7">
        <v>0</v>
      </c>
      <c r="R1140" t="s">
        <v>168</v>
      </c>
      <c r="S1140">
        <v>1</v>
      </c>
      <c r="T1140">
        <v>1650</v>
      </c>
      <c r="U1140">
        <v>0</v>
      </c>
      <c r="V1140">
        <v>1650</v>
      </c>
      <c r="W1140">
        <v>990</v>
      </c>
      <c r="X1140">
        <v>660</v>
      </c>
      <c r="Y1140" s="8">
        <v>0.4</v>
      </c>
      <c r="Z1140" t="s">
        <v>2996</v>
      </c>
      <c r="AA1140" t="str">
        <f>IF(AND(SalesCleanTable[[#This Row],[Discount %]]&gt;0, SalesCleanTable[[#This Row],[Profit]]&lt;0), "Discount loss", "Safe")</f>
        <v>Safe</v>
      </c>
      <c r="AB1140" s="25">
        <f>(SalesCleanTable[[#This Row],[Unit Price]] - SalesCleanTable[[#This Row],[Unit Cost]]) / SalesCleanTable[[#This Row],[Unit Price]]</f>
        <v>0.4</v>
      </c>
      <c r="AC1140" t="str">
        <f>IF(SalesCleanTable[[#This Row],[Discount %]] &gt; SalesCleanTable[[#This Row],[Max Allowed Discount]], "Discount loss", "Safe")</f>
        <v>Safe</v>
      </c>
      <c r="AD1140" s="4">
        <f>SalesCleanTable[[#This Row],[Unit Price]] - SalesCleanTable[[#This Row],[Unit Cost]]</f>
        <v>220</v>
      </c>
      <c r="AE1140" s="41">
        <f>(SalesCleanTable[[#This Row],[Unit Price]] - SalesCleanTable[[#This Row],[Unit Cost]]) / SalesCleanTable[[#This Row],[Unit Price]]</f>
        <v>0.4</v>
      </c>
    </row>
    <row r="1141" spans="1:31">
      <c r="A1141" t="s">
        <v>1327</v>
      </c>
      <c r="B1141" s="6">
        <v>45766</v>
      </c>
      <c r="C1141" t="s">
        <v>95</v>
      </c>
      <c r="D1141" t="s">
        <v>96</v>
      </c>
      <c r="E1141" t="s">
        <v>92</v>
      </c>
      <c r="F1141" t="s">
        <v>97</v>
      </c>
      <c r="G1141" t="s">
        <v>98</v>
      </c>
      <c r="H1141" t="s">
        <v>139</v>
      </c>
      <c r="I1141" t="s">
        <v>140</v>
      </c>
      <c r="J1141" t="s">
        <v>137</v>
      </c>
      <c r="K1141" t="s">
        <v>138</v>
      </c>
      <c r="L1141" t="s">
        <v>183</v>
      </c>
      <c r="M1141" t="s">
        <v>186</v>
      </c>
      <c r="N1141">
        <v>5</v>
      </c>
      <c r="O1141" s="4">
        <v>18000</v>
      </c>
      <c r="P1141" s="4">
        <v>24500</v>
      </c>
      <c r="Q1141" s="7">
        <v>0.05</v>
      </c>
      <c r="R1141" t="s">
        <v>181</v>
      </c>
      <c r="S1141">
        <v>7</v>
      </c>
      <c r="T1141">
        <v>122500</v>
      </c>
      <c r="U1141">
        <v>6125</v>
      </c>
      <c r="V1141">
        <v>116375</v>
      </c>
      <c r="W1141">
        <v>90000</v>
      </c>
      <c r="X1141">
        <v>26375</v>
      </c>
      <c r="Y1141" s="8">
        <v>0.22663802363050484</v>
      </c>
      <c r="Z1141" t="s">
        <v>2995</v>
      </c>
      <c r="AA1141" t="str">
        <f>IF(AND(SalesCleanTable[[#This Row],[Discount %]]&gt;0, SalesCleanTable[[#This Row],[Profit]]&lt;0), "Discount loss", "Safe")</f>
        <v>Safe</v>
      </c>
      <c r="AB1141" s="25">
        <f>(SalesCleanTable[[#This Row],[Unit Price]] - SalesCleanTable[[#This Row],[Unit Cost]]) / SalesCleanTable[[#This Row],[Unit Price]]</f>
        <v>0.26530612244897961</v>
      </c>
      <c r="AC1141" t="str">
        <f>IF(SalesCleanTable[[#This Row],[Discount %]] &gt; SalesCleanTable[[#This Row],[Max Allowed Discount]], "Discount loss", "Safe")</f>
        <v>Safe</v>
      </c>
      <c r="AD1141" s="4">
        <f>SalesCleanTable[[#This Row],[Unit Price]] - SalesCleanTable[[#This Row],[Unit Cost]]</f>
        <v>6500</v>
      </c>
      <c r="AE1141" s="41">
        <f>(SalesCleanTable[[#This Row],[Unit Price]] - SalesCleanTable[[#This Row],[Unit Cost]]) / SalesCleanTable[[#This Row],[Unit Price]]</f>
        <v>0.26530612244897961</v>
      </c>
    </row>
    <row r="1142" spans="1:31">
      <c r="A1142" t="s">
        <v>1328</v>
      </c>
      <c r="B1142" s="6">
        <v>45674</v>
      </c>
      <c r="C1142" t="s">
        <v>78</v>
      </c>
      <c r="D1142" t="s">
        <v>79</v>
      </c>
      <c r="E1142" t="s">
        <v>75</v>
      </c>
      <c r="F1142" t="s">
        <v>80</v>
      </c>
      <c r="G1142" t="s">
        <v>81</v>
      </c>
      <c r="H1142" t="s">
        <v>133</v>
      </c>
      <c r="I1142" t="s">
        <v>134</v>
      </c>
      <c r="J1142" t="s">
        <v>130</v>
      </c>
      <c r="K1142" t="s">
        <v>131</v>
      </c>
      <c r="L1142" t="s">
        <v>170</v>
      </c>
      <c r="M1142" t="s">
        <v>171</v>
      </c>
      <c r="N1142">
        <v>4</v>
      </c>
      <c r="O1142" s="4">
        <v>1200</v>
      </c>
      <c r="P1142" s="4">
        <v>1900</v>
      </c>
      <c r="Q1142" s="7">
        <v>0.1</v>
      </c>
      <c r="R1142" t="s">
        <v>187</v>
      </c>
      <c r="S1142">
        <v>10</v>
      </c>
      <c r="T1142">
        <v>7600</v>
      </c>
      <c r="U1142">
        <v>760</v>
      </c>
      <c r="V1142">
        <v>6840</v>
      </c>
      <c r="W1142">
        <v>4800</v>
      </c>
      <c r="X1142">
        <v>2040</v>
      </c>
      <c r="Y1142" s="8">
        <v>0.2982456140350877</v>
      </c>
      <c r="Z1142" t="s">
        <v>2996</v>
      </c>
      <c r="AA1142" t="str">
        <f>IF(AND(SalesCleanTable[[#This Row],[Discount %]]&gt;0, SalesCleanTable[[#This Row],[Profit]]&lt;0), "Discount loss", "Safe")</f>
        <v>Safe</v>
      </c>
      <c r="AB1142" s="25">
        <f>(SalesCleanTable[[#This Row],[Unit Price]] - SalesCleanTable[[#This Row],[Unit Cost]]) / SalesCleanTable[[#This Row],[Unit Price]]</f>
        <v>0.36842105263157893</v>
      </c>
      <c r="AC1142" t="str">
        <f>IF(SalesCleanTable[[#This Row],[Discount %]] &gt; SalesCleanTable[[#This Row],[Max Allowed Discount]], "Discount loss", "Safe")</f>
        <v>Safe</v>
      </c>
      <c r="AD1142" s="4">
        <f>SalesCleanTable[[#This Row],[Unit Price]] - SalesCleanTable[[#This Row],[Unit Cost]]</f>
        <v>700</v>
      </c>
      <c r="AE1142" s="41">
        <f>(SalesCleanTable[[#This Row],[Unit Price]] - SalesCleanTable[[#This Row],[Unit Cost]]) / SalesCleanTable[[#This Row],[Unit Price]]</f>
        <v>0.36842105263157893</v>
      </c>
    </row>
    <row r="1143" spans="1:31">
      <c r="A1143" t="s">
        <v>1329</v>
      </c>
      <c r="B1143" s="6">
        <v>45952</v>
      </c>
      <c r="C1143" t="s">
        <v>73</v>
      </c>
      <c r="D1143" t="s">
        <v>74</v>
      </c>
      <c r="E1143" t="s">
        <v>75</v>
      </c>
      <c r="F1143" t="s">
        <v>76</v>
      </c>
      <c r="G1143" t="s">
        <v>77</v>
      </c>
      <c r="H1143" t="s">
        <v>145</v>
      </c>
      <c r="I1143" t="s">
        <v>146</v>
      </c>
      <c r="J1143" t="s">
        <v>147</v>
      </c>
      <c r="K1143" t="s">
        <v>148</v>
      </c>
      <c r="L1143" t="s">
        <v>183</v>
      </c>
      <c r="M1143" t="s">
        <v>171</v>
      </c>
      <c r="N1143">
        <v>3</v>
      </c>
      <c r="O1143" s="4">
        <v>3500</v>
      </c>
      <c r="P1143" s="4">
        <v>5200</v>
      </c>
      <c r="Q1143" s="7">
        <v>0</v>
      </c>
      <c r="R1143" t="s">
        <v>204</v>
      </c>
      <c r="S1143">
        <v>8</v>
      </c>
      <c r="T1143">
        <v>15600</v>
      </c>
      <c r="U1143">
        <v>0</v>
      </c>
      <c r="V1143">
        <v>15600</v>
      </c>
      <c r="W1143">
        <v>10500</v>
      </c>
      <c r="X1143">
        <v>5100</v>
      </c>
      <c r="Y1143" s="8">
        <v>0.32692307692307693</v>
      </c>
      <c r="Z1143" t="s">
        <v>2996</v>
      </c>
      <c r="AA1143" t="str">
        <f>IF(AND(SalesCleanTable[[#This Row],[Discount %]]&gt;0, SalesCleanTable[[#This Row],[Profit]]&lt;0), "Discount loss", "Safe")</f>
        <v>Safe</v>
      </c>
      <c r="AB1143" s="25">
        <f>(SalesCleanTable[[#This Row],[Unit Price]] - SalesCleanTable[[#This Row],[Unit Cost]]) / SalesCleanTable[[#This Row],[Unit Price]]</f>
        <v>0.32692307692307693</v>
      </c>
      <c r="AC1143" t="str">
        <f>IF(SalesCleanTable[[#This Row],[Discount %]] &gt; SalesCleanTable[[#This Row],[Max Allowed Discount]], "Discount loss", "Safe")</f>
        <v>Safe</v>
      </c>
      <c r="AD1143" s="4">
        <f>SalesCleanTable[[#This Row],[Unit Price]] - SalesCleanTable[[#This Row],[Unit Cost]]</f>
        <v>1700</v>
      </c>
      <c r="AE1143" s="41">
        <f>(SalesCleanTable[[#This Row],[Unit Price]] - SalesCleanTable[[#This Row],[Unit Cost]]) / SalesCleanTable[[#This Row],[Unit Price]]</f>
        <v>0.32692307692307693</v>
      </c>
    </row>
    <row r="1144" spans="1:31">
      <c r="A1144" t="s">
        <v>1330</v>
      </c>
      <c r="B1144" s="6">
        <v>45924</v>
      </c>
      <c r="C1144" t="s">
        <v>53</v>
      </c>
      <c r="D1144" t="s">
        <v>54</v>
      </c>
      <c r="E1144" t="s">
        <v>38</v>
      </c>
      <c r="F1144" t="s">
        <v>55</v>
      </c>
      <c r="G1144" t="s">
        <v>56</v>
      </c>
      <c r="H1144" t="s">
        <v>135</v>
      </c>
      <c r="I1144" t="s">
        <v>136</v>
      </c>
      <c r="J1144" t="s">
        <v>137</v>
      </c>
      <c r="K1144" t="s">
        <v>138</v>
      </c>
      <c r="L1144" t="s">
        <v>166</v>
      </c>
      <c r="M1144" t="s">
        <v>167</v>
      </c>
      <c r="N1144">
        <v>5</v>
      </c>
      <c r="O1144" s="4">
        <v>330</v>
      </c>
      <c r="P1144" s="4">
        <v>550</v>
      </c>
      <c r="Q1144" s="7">
        <v>0</v>
      </c>
      <c r="R1144" t="s">
        <v>175</v>
      </c>
      <c r="S1144">
        <v>4</v>
      </c>
      <c r="T1144">
        <v>2750</v>
      </c>
      <c r="U1144">
        <v>0</v>
      </c>
      <c r="V1144">
        <v>2750</v>
      </c>
      <c r="W1144">
        <v>1650</v>
      </c>
      <c r="X1144">
        <v>1100</v>
      </c>
      <c r="Y1144" s="8">
        <v>0.4</v>
      </c>
      <c r="Z1144" t="s">
        <v>2996</v>
      </c>
      <c r="AA1144" t="str">
        <f>IF(AND(SalesCleanTable[[#This Row],[Discount %]]&gt;0, SalesCleanTable[[#This Row],[Profit]]&lt;0), "Discount loss", "Safe")</f>
        <v>Safe</v>
      </c>
      <c r="AB1144" s="25">
        <f>(SalesCleanTable[[#This Row],[Unit Price]] - SalesCleanTable[[#This Row],[Unit Cost]]) / SalesCleanTable[[#This Row],[Unit Price]]</f>
        <v>0.4</v>
      </c>
      <c r="AC1144" t="str">
        <f>IF(SalesCleanTable[[#This Row],[Discount %]] &gt; SalesCleanTable[[#This Row],[Max Allowed Discount]], "Discount loss", "Safe")</f>
        <v>Safe</v>
      </c>
      <c r="AD1144" s="4">
        <f>SalesCleanTable[[#This Row],[Unit Price]] - SalesCleanTable[[#This Row],[Unit Cost]]</f>
        <v>220</v>
      </c>
      <c r="AE1144" s="41">
        <f>(SalesCleanTable[[#This Row],[Unit Price]] - SalesCleanTable[[#This Row],[Unit Cost]]) / SalesCleanTable[[#This Row],[Unit Price]]</f>
        <v>0.4</v>
      </c>
    </row>
    <row r="1145" spans="1:31">
      <c r="A1145" t="s">
        <v>1331</v>
      </c>
      <c r="B1145" s="6">
        <v>45717</v>
      </c>
      <c r="C1145" t="s">
        <v>82</v>
      </c>
      <c r="D1145" t="s">
        <v>83</v>
      </c>
      <c r="E1145" t="s">
        <v>75</v>
      </c>
      <c r="F1145" t="s">
        <v>84</v>
      </c>
      <c r="G1145" t="s">
        <v>85</v>
      </c>
      <c r="H1145" t="s">
        <v>135</v>
      </c>
      <c r="I1145" t="s">
        <v>136</v>
      </c>
      <c r="J1145" t="s">
        <v>137</v>
      </c>
      <c r="K1145" t="s">
        <v>138</v>
      </c>
      <c r="L1145" t="s">
        <v>166</v>
      </c>
      <c r="M1145" t="s">
        <v>171</v>
      </c>
      <c r="N1145">
        <v>8</v>
      </c>
      <c r="O1145" s="4">
        <v>600</v>
      </c>
      <c r="P1145" s="4">
        <v>950</v>
      </c>
      <c r="Q1145" s="7">
        <v>0.05</v>
      </c>
      <c r="R1145" t="s">
        <v>187</v>
      </c>
      <c r="S1145">
        <v>6</v>
      </c>
      <c r="T1145">
        <v>7600</v>
      </c>
      <c r="U1145">
        <v>380</v>
      </c>
      <c r="V1145">
        <v>7220</v>
      </c>
      <c r="W1145">
        <v>4800</v>
      </c>
      <c r="X1145">
        <v>2420</v>
      </c>
      <c r="Y1145" s="8">
        <v>0.33518005540166207</v>
      </c>
      <c r="Z1145" t="s">
        <v>2996</v>
      </c>
      <c r="AA1145" t="str">
        <f>IF(AND(SalesCleanTable[[#This Row],[Discount %]]&gt;0, SalesCleanTable[[#This Row],[Profit]]&lt;0), "Discount loss", "Safe")</f>
        <v>Safe</v>
      </c>
      <c r="AB1145" s="25">
        <f>(SalesCleanTable[[#This Row],[Unit Price]] - SalesCleanTable[[#This Row],[Unit Cost]]) / SalesCleanTable[[#This Row],[Unit Price]]</f>
        <v>0.36842105263157893</v>
      </c>
      <c r="AC1145" t="str">
        <f>IF(SalesCleanTable[[#This Row],[Discount %]] &gt; SalesCleanTable[[#This Row],[Max Allowed Discount]], "Discount loss", "Safe")</f>
        <v>Safe</v>
      </c>
      <c r="AD1145" s="4">
        <f>SalesCleanTable[[#This Row],[Unit Price]] - SalesCleanTable[[#This Row],[Unit Cost]]</f>
        <v>350</v>
      </c>
      <c r="AE1145" s="41">
        <f>(SalesCleanTable[[#This Row],[Unit Price]] - SalesCleanTable[[#This Row],[Unit Cost]]) / SalesCleanTable[[#This Row],[Unit Price]]</f>
        <v>0.36842105263157893</v>
      </c>
    </row>
    <row r="1146" spans="1:31">
      <c r="A1146" t="s">
        <v>1332</v>
      </c>
      <c r="B1146" s="6">
        <v>45967</v>
      </c>
      <c r="C1146" t="s">
        <v>41</v>
      </c>
      <c r="D1146" t="s">
        <v>42</v>
      </c>
      <c r="E1146" t="s">
        <v>26</v>
      </c>
      <c r="F1146" t="s">
        <v>43</v>
      </c>
      <c r="G1146" t="s">
        <v>44</v>
      </c>
      <c r="H1146" t="s">
        <v>145</v>
      </c>
      <c r="I1146" t="s">
        <v>146</v>
      </c>
      <c r="J1146" t="s">
        <v>147</v>
      </c>
      <c r="K1146" t="s">
        <v>148</v>
      </c>
      <c r="L1146" t="s">
        <v>170</v>
      </c>
      <c r="M1146" t="s">
        <v>171</v>
      </c>
      <c r="N1146">
        <v>2</v>
      </c>
      <c r="O1146" s="4">
        <v>850</v>
      </c>
      <c r="P1146" s="4">
        <v>1300</v>
      </c>
      <c r="Q1146" s="7">
        <v>0.15</v>
      </c>
      <c r="R1146" t="s">
        <v>197</v>
      </c>
      <c r="S1146">
        <v>13</v>
      </c>
      <c r="T1146">
        <v>2600</v>
      </c>
      <c r="U1146">
        <v>390</v>
      </c>
      <c r="V1146">
        <v>2210</v>
      </c>
      <c r="W1146">
        <v>1700</v>
      </c>
      <c r="X1146">
        <v>510</v>
      </c>
      <c r="Y1146" s="8">
        <v>0.23076923076923078</v>
      </c>
      <c r="Z1146" t="s">
        <v>2995</v>
      </c>
      <c r="AA1146" t="str">
        <f>IF(AND(SalesCleanTable[[#This Row],[Discount %]]&gt;0, SalesCleanTable[[#This Row],[Profit]]&lt;0), "Discount loss", "Safe")</f>
        <v>Safe</v>
      </c>
      <c r="AB1146" s="25">
        <f>(SalesCleanTable[[#This Row],[Unit Price]] - SalesCleanTable[[#This Row],[Unit Cost]]) / SalesCleanTable[[#This Row],[Unit Price]]</f>
        <v>0.34615384615384615</v>
      </c>
      <c r="AC1146" t="str">
        <f>IF(SalesCleanTable[[#This Row],[Discount %]] &gt; SalesCleanTable[[#This Row],[Max Allowed Discount]], "Discount loss", "Safe")</f>
        <v>Safe</v>
      </c>
      <c r="AD1146" s="4">
        <f>SalesCleanTable[[#This Row],[Unit Price]] - SalesCleanTable[[#This Row],[Unit Cost]]</f>
        <v>450</v>
      </c>
      <c r="AE1146" s="41">
        <f>(SalesCleanTable[[#This Row],[Unit Price]] - SalesCleanTable[[#This Row],[Unit Cost]]) / SalesCleanTable[[#This Row],[Unit Price]]</f>
        <v>0.34615384615384615</v>
      </c>
    </row>
    <row r="1147" spans="1:31">
      <c r="A1147" t="s">
        <v>1333</v>
      </c>
      <c r="B1147" s="6">
        <v>46003</v>
      </c>
      <c r="C1147" t="s">
        <v>66</v>
      </c>
      <c r="D1147" t="s">
        <v>67</v>
      </c>
      <c r="E1147" t="s">
        <v>59</v>
      </c>
      <c r="F1147" t="s">
        <v>60</v>
      </c>
      <c r="G1147" t="s">
        <v>68</v>
      </c>
      <c r="H1147" t="s">
        <v>128</v>
      </c>
      <c r="I1147" t="s">
        <v>129</v>
      </c>
      <c r="J1147" t="s">
        <v>130</v>
      </c>
      <c r="K1147" t="s">
        <v>131</v>
      </c>
      <c r="L1147" t="s">
        <v>166</v>
      </c>
      <c r="M1147" t="s">
        <v>177</v>
      </c>
      <c r="N1147">
        <v>2</v>
      </c>
      <c r="O1147" s="4">
        <v>2800</v>
      </c>
      <c r="P1147" s="4">
        <v>3900</v>
      </c>
      <c r="Q1147" s="7">
        <v>0</v>
      </c>
      <c r="R1147" t="s">
        <v>204</v>
      </c>
      <c r="S1147">
        <v>9</v>
      </c>
      <c r="T1147">
        <v>7800</v>
      </c>
      <c r="U1147">
        <v>0</v>
      </c>
      <c r="V1147">
        <v>7800</v>
      </c>
      <c r="W1147">
        <v>5600</v>
      </c>
      <c r="X1147">
        <v>2200</v>
      </c>
      <c r="Y1147" s="8">
        <v>0.28205128205128205</v>
      </c>
      <c r="Z1147" t="s">
        <v>2996</v>
      </c>
      <c r="AA1147" t="str">
        <f>IF(AND(SalesCleanTable[[#This Row],[Discount %]]&gt;0, SalesCleanTable[[#This Row],[Profit]]&lt;0), "Discount loss", "Safe")</f>
        <v>Safe</v>
      </c>
      <c r="AB1147" s="25">
        <f>(SalesCleanTable[[#This Row],[Unit Price]] - SalesCleanTable[[#This Row],[Unit Cost]]) / SalesCleanTable[[#This Row],[Unit Price]]</f>
        <v>0.28205128205128205</v>
      </c>
      <c r="AC1147" t="str">
        <f>IF(SalesCleanTable[[#This Row],[Discount %]] &gt; SalesCleanTable[[#This Row],[Max Allowed Discount]], "Discount loss", "Safe")</f>
        <v>Safe</v>
      </c>
      <c r="AD1147" s="4">
        <f>SalesCleanTable[[#This Row],[Unit Price]] - SalesCleanTable[[#This Row],[Unit Cost]]</f>
        <v>1100</v>
      </c>
      <c r="AE1147" s="41">
        <f>(SalesCleanTable[[#This Row],[Unit Price]] - SalesCleanTable[[#This Row],[Unit Cost]]) / SalesCleanTable[[#This Row],[Unit Price]]</f>
        <v>0.28205128205128205</v>
      </c>
    </row>
    <row r="1148" spans="1:31">
      <c r="A1148" t="s">
        <v>1334</v>
      </c>
      <c r="B1148" s="6">
        <v>45952</v>
      </c>
      <c r="C1148" t="s">
        <v>53</v>
      </c>
      <c r="D1148" t="s">
        <v>54</v>
      </c>
      <c r="E1148" t="s">
        <v>38</v>
      </c>
      <c r="F1148" t="s">
        <v>55</v>
      </c>
      <c r="G1148" t="s">
        <v>56</v>
      </c>
      <c r="H1148" t="s">
        <v>149</v>
      </c>
      <c r="I1148" t="s">
        <v>150</v>
      </c>
      <c r="J1148" t="s">
        <v>151</v>
      </c>
      <c r="K1148" t="s">
        <v>152</v>
      </c>
      <c r="L1148" t="s">
        <v>166</v>
      </c>
      <c r="M1148" t="s">
        <v>177</v>
      </c>
      <c r="N1148">
        <v>1</v>
      </c>
      <c r="O1148" s="4">
        <v>330</v>
      </c>
      <c r="P1148" s="4">
        <v>550</v>
      </c>
      <c r="Q1148" s="7">
        <v>0</v>
      </c>
      <c r="R1148" t="s">
        <v>175</v>
      </c>
      <c r="S1148">
        <v>5</v>
      </c>
      <c r="T1148">
        <v>550</v>
      </c>
      <c r="U1148">
        <v>0</v>
      </c>
      <c r="V1148">
        <v>550</v>
      </c>
      <c r="W1148">
        <v>330</v>
      </c>
      <c r="X1148">
        <v>220</v>
      </c>
      <c r="Y1148" s="8">
        <v>0.4</v>
      </c>
      <c r="Z1148" t="s">
        <v>2996</v>
      </c>
      <c r="AA1148" t="str">
        <f>IF(AND(SalesCleanTable[[#This Row],[Discount %]]&gt;0, SalesCleanTable[[#This Row],[Profit]]&lt;0), "Discount loss", "Safe")</f>
        <v>Safe</v>
      </c>
      <c r="AB1148" s="25">
        <f>(SalesCleanTable[[#This Row],[Unit Price]] - SalesCleanTable[[#This Row],[Unit Cost]]) / SalesCleanTable[[#This Row],[Unit Price]]</f>
        <v>0.4</v>
      </c>
      <c r="AC1148" t="str">
        <f>IF(SalesCleanTable[[#This Row],[Discount %]] &gt; SalesCleanTable[[#This Row],[Max Allowed Discount]], "Discount loss", "Safe")</f>
        <v>Safe</v>
      </c>
      <c r="AD1148" s="4">
        <f>SalesCleanTable[[#This Row],[Unit Price]] - SalesCleanTable[[#This Row],[Unit Cost]]</f>
        <v>220</v>
      </c>
      <c r="AE1148" s="41">
        <f>(SalesCleanTable[[#This Row],[Unit Price]] - SalesCleanTable[[#This Row],[Unit Cost]]) / SalesCleanTable[[#This Row],[Unit Price]]</f>
        <v>0.4</v>
      </c>
    </row>
    <row r="1149" spans="1:31">
      <c r="A1149" t="s">
        <v>1335</v>
      </c>
      <c r="B1149" s="6">
        <v>46022</v>
      </c>
      <c r="C1149" t="s">
        <v>112</v>
      </c>
      <c r="D1149" t="s">
        <v>113</v>
      </c>
      <c r="E1149" t="s">
        <v>109</v>
      </c>
      <c r="F1149" t="s">
        <v>114</v>
      </c>
      <c r="G1149" t="s">
        <v>115</v>
      </c>
      <c r="H1149" t="s">
        <v>145</v>
      </c>
      <c r="I1149" t="s">
        <v>146</v>
      </c>
      <c r="J1149" t="s">
        <v>147</v>
      </c>
      <c r="K1149" t="s">
        <v>148</v>
      </c>
      <c r="L1149" t="s">
        <v>166</v>
      </c>
      <c r="M1149" t="s">
        <v>171</v>
      </c>
      <c r="N1149">
        <v>1</v>
      </c>
      <c r="O1149" s="4">
        <v>1300</v>
      </c>
      <c r="P1149" s="4">
        <v>2100</v>
      </c>
      <c r="Q1149" s="7">
        <v>0</v>
      </c>
      <c r="R1149" t="s">
        <v>235</v>
      </c>
      <c r="S1149">
        <v>3</v>
      </c>
      <c r="T1149">
        <v>2100</v>
      </c>
      <c r="U1149">
        <v>0</v>
      </c>
      <c r="V1149">
        <v>2100</v>
      </c>
      <c r="W1149">
        <v>1300</v>
      </c>
      <c r="X1149">
        <v>800</v>
      </c>
      <c r="Y1149" s="8">
        <v>0.38095238095238093</v>
      </c>
      <c r="Z1149" t="s">
        <v>2995</v>
      </c>
      <c r="AA1149" t="str">
        <f>IF(AND(SalesCleanTable[[#This Row],[Discount %]]&gt;0, SalesCleanTable[[#This Row],[Profit]]&lt;0), "Discount loss", "Safe")</f>
        <v>Safe</v>
      </c>
      <c r="AB1149" s="25">
        <f>(SalesCleanTable[[#This Row],[Unit Price]] - SalesCleanTable[[#This Row],[Unit Cost]]) / SalesCleanTable[[#This Row],[Unit Price]]</f>
        <v>0.38095238095238093</v>
      </c>
      <c r="AC1149" t="str">
        <f>IF(SalesCleanTable[[#This Row],[Discount %]] &gt; SalesCleanTable[[#This Row],[Max Allowed Discount]], "Discount loss", "Safe")</f>
        <v>Safe</v>
      </c>
      <c r="AD1149" s="4">
        <f>SalesCleanTable[[#This Row],[Unit Price]] - SalesCleanTable[[#This Row],[Unit Cost]]</f>
        <v>800</v>
      </c>
      <c r="AE1149" s="41">
        <f>(SalesCleanTable[[#This Row],[Unit Price]] - SalesCleanTable[[#This Row],[Unit Cost]]) / SalesCleanTable[[#This Row],[Unit Price]]</f>
        <v>0.38095238095238093</v>
      </c>
    </row>
    <row r="1150" spans="1:31">
      <c r="A1150" t="s">
        <v>1336</v>
      </c>
      <c r="B1150" s="6">
        <v>45929</v>
      </c>
      <c r="C1150" t="s">
        <v>112</v>
      </c>
      <c r="D1150" t="s">
        <v>113</v>
      </c>
      <c r="E1150" t="s">
        <v>109</v>
      </c>
      <c r="F1150" t="s">
        <v>114</v>
      </c>
      <c r="G1150" t="s">
        <v>115</v>
      </c>
      <c r="H1150" t="s">
        <v>149</v>
      </c>
      <c r="I1150" t="s">
        <v>150</v>
      </c>
      <c r="J1150" t="s">
        <v>151</v>
      </c>
      <c r="K1150" t="s">
        <v>152</v>
      </c>
      <c r="L1150" t="s">
        <v>166</v>
      </c>
      <c r="M1150" t="s">
        <v>171</v>
      </c>
      <c r="N1150">
        <v>2</v>
      </c>
      <c r="O1150" s="4">
        <v>1300</v>
      </c>
      <c r="P1150" s="4">
        <v>2100</v>
      </c>
      <c r="Q1150" s="7">
        <v>0.05</v>
      </c>
      <c r="R1150" t="s">
        <v>235</v>
      </c>
      <c r="S1150">
        <v>6</v>
      </c>
      <c r="T1150">
        <v>4200</v>
      </c>
      <c r="U1150">
        <v>210</v>
      </c>
      <c r="V1150">
        <v>3990</v>
      </c>
      <c r="W1150">
        <v>2600</v>
      </c>
      <c r="X1150">
        <v>1390</v>
      </c>
      <c r="Y1150" s="8">
        <v>0.34837092731829572</v>
      </c>
      <c r="Z1150" t="s">
        <v>2995</v>
      </c>
      <c r="AA1150" t="str">
        <f>IF(AND(SalesCleanTable[[#This Row],[Discount %]]&gt;0, SalesCleanTable[[#This Row],[Profit]]&lt;0), "Discount loss", "Safe")</f>
        <v>Safe</v>
      </c>
      <c r="AB1150" s="25">
        <f>(SalesCleanTable[[#This Row],[Unit Price]] - SalesCleanTable[[#This Row],[Unit Cost]]) / SalesCleanTable[[#This Row],[Unit Price]]</f>
        <v>0.38095238095238093</v>
      </c>
      <c r="AC1150" t="str">
        <f>IF(SalesCleanTable[[#This Row],[Discount %]] &gt; SalesCleanTable[[#This Row],[Max Allowed Discount]], "Discount loss", "Safe")</f>
        <v>Safe</v>
      </c>
      <c r="AD1150" s="4">
        <f>SalesCleanTable[[#This Row],[Unit Price]] - SalesCleanTable[[#This Row],[Unit Cost]]</f>
        <v>800</v>
      </c>
      <c r="AE1150" s="41">
        <f>(SalesCleanTable[[#This Row],[Unit Price]] - SalesCleanTable[[#This Row],[Unit Cost]]) / SalesCleanTable[[#This Row],[Unit Price]]</f>
        <v>0.38095238095238093</v>
      </c>
    </row>
    <row r="1151" spans="1:31">
      <c r="A1151" t="s">
        <v>1337</v>
      </c>
      <c r="B1151" s="6">
        <v>45830</v>
      </c>
      <c r="C1151" t="s">
        <v>66</v>
      </c>
      <c r="D1151" t="s">
        <v>67</v>
      </c>
      <c r="E1151" t="s">
        <v>59</v>
      </c>
      <c r="F1151" t="s">
        <v>60</v>
      </c>
      <c r="G1151" t="s">
        <v>68</v>
      </c>
      <c r="H1151" t="s">
        <v>141</v>
      </c>
      <c r="I1151" t="s">
        <v>142</v>
      </c>
      <c r="J1151" t="s">
        <v>143</v>
      </c>
      <c r="K1151" t="s">
        <v>144</v>
      </c>
      <c r="L1151" t="s">
        <v>183</v>
      </c>
      <c r="M1151" t="s">
        <v>186</v>
      </c>
      <c r="N1151">
        <v>10</v>
      </c>
      <c r="O1151" s="4">
        <v>2800</v>
      </c>
      <c r="P1151" s="4">
        <v>3900</v>
      </c>
      <c r="Q1151" s="7">
        <v>0</v>
      </c>
      <c r="R1151" t="s">
        <v>204</v>
      </c>
      <c r="S1151">
        <v>7</v>
      </c>
      <c r="T1151">
        <v>39000</v>
      </c>
      <c r="U1151">
        <v>0</v>
      </c>
      <c r="V1151">
        <v>39000</v>
      </c>
      <c r="W1151">
        <v>28000</v>
      </c>
      <c r="X1151">
        <v>11000</v>
      </c>
      <c r="Y1151" s="8">
        <v>0.28205128205128205</v>
      </c>
      <c r="Z1151" t="s">
        <v>2996</v>
      </c>
      <c r="AA1151" t="str">
        <f>IF(AND(SalesCleanTable[[#This Row],[Discount %]]&gt;0, SalesCleanTable[[#This Row],[Profit]]&lt;0), "Discount loss", "Safe")</f>
        <v>Safe</v>
      </c>
      <c r="AB1151" s="25">
        <f>(SalesCleanTable[[#This Row],[Unit Price]] - SalesCleanTable[[#This Row],[Unit Cost]]) / SalesCleanTable[[#This Row],[Unit Price]]</f>
        <v>0.28205128205128205</v>
      </c>
      <c r="AC1151" t="str">
        <f>IF(SalesCleanTable[[#This Row],[Discount %]] &gt; SalesCleanTable[[#This Row],[Max Allowed Discount]], "Discount loss", "Safe")</f>
        <v>Safe</v>
      </c>
      <c r="AD1151" s="4">
        <f>SalesCleanTable[[#This Row],[Unit Price]] - SalesCleanTable[[#This Row],[Unit Cost]]</f>
        <v>1100</v>
      </c>
      <c r="AE1151" s="41">
        <f>(SalesCleanTable[[#This Row],[Unit Price]] - SalesCleanTable[[#This Row],[Unit Cost]]) / SalesCleanTable[[#This Row],[Unit Price]]</f>
        <v>0.28205128205128205</v>
      </c>
    </row>
    <row r="1152" spans="1:31">
      <c r="A1152" t="s">
        <v>1338</v>
      </c>
      <c r="B1152" s="6">
        <v>45881</v>
      </c>
      <c r="C1152" t="s">
        <v>45</v>
      </c>
      <c r="D1152" t="s">
        <v>46</v>
      </c>
      <c r="E1152" t="s">
        <v>38</v>
      </c>
      <c r="F1152" t="s">
        <v>47</v>
      </c>
      <c r="G1152" t="s">
        <v>48</v>
      </c>
      <c r="H1152" t="s">
        <v>139</v>
      </c>
      <c r="I1152" t="s">
        <v>140</v>
      </c>
      <c r="J1152" t="s">
        <v>137</v>
      </c>
      <c r="K1152" t="s">
        <v>138</v>
      </c>
      <c r="L1152" t="s">
        <v>183</v>
      </c>
      <c r="M1152" t="s">
        <v>171</v>
      </c>
      <c r="N1152">
        <v>1</v>
      </c>
      <c r="O1152" s="4">
        <v>230</v>
      </c>
      <c r="P1152" s="4">
        <v>400</v>
      </c>
      <c r="Q1152" s="7">
        <v>0</v>
      </c>
      <c r="R1152" t="s">
        <v>168</v>
      </c>
      <c r="S1152">
        <v>2</v>
      </c>
      <c r="T1152">
        <v>400</v>
      </c>
      <c r="U1152">
        <v>0</v>
      </c>
      <c r="V1152">
        <v>400</v>
      </c>
      <c r="W1152">
        <v>230</v>
      </c>
      <c r="X1152">
        <v>170</v>
      </c>
      <c r="Y1152" s="8">
        <v>0.42499999999999999</v>
      </c>
      <c r="Z1152" t="s">
        <v>2995</v>
      </c>
      <c r="AA1152" t="str">
        <f>IF(AND(SalesCleanTable[[#This Row],[Discount %]]&gt;0, SalesCleanTable[[#This Row],[Profit]]&lt;0), "Discount loss", "Safe")</f>
        <v>Safe</v>
      </c>
      <c r="AB1152" s="25">
        <f>(SalesCleanTable[[#This Row],[Unit Price]] - SalesCleanTable[[#This Row],[Unit Cost]]) / SalesCleanTable[[#This Row],[Unit Price]]</f>
        <v>0.42499999999999999</v>
      </c>
      <c r="AC1152" t="str">
        <f>IF(SalesCleanTable[[#This Row],[Discount %]] &gt; SalesCleanTable[[#This Row],[Max Allowed Discount]], "Discount loss", "Safe")</f>
        <v>Safe</v>
      </c>
      <c r="AD1152" s="4">
        <f>SalesCleanTable[[#This Row],[Unit Price]] - SalesCleanTable[[#This Row],[Unit Cost]]</f>
        <v>170</v>
      </c>
      <c r="AE1152" s="41">
        <f>(SalesCleanTable[[#This Row],[Unit Price]] - SalesCleanTable[[#This Row],[Unit Cost]]) / SalesCleanTable[[#This Row],[Unit Price]]</f>
        <v>0.42499999999999999</v>
      </c>
    </row>
    <row r="1153" spans="1:31">
      <c r="A1153" t="s">
        <v>1339</v>
      </c>
      <c r="B1153" s="6">
        <v>45661</v>
      </c>
      <c r="C1153" t="s">
        <v>66</v>
      </c>
      <c r="D1153" t="s">
        <v>67</v>
      </c>
      <c r="E1153" t="s">
        <v>59</v>
      </c>
      <c r="F1153" t="s">
        <v>60</v>
      </c>
      <c r="G1153" t="s">
        <v>68</v>
      </c>
      <c r="H1153" t="s">
        <v>135</v>
      </c>
      <c r="I1153" t="s">
        <v>136</v>
      </c>
      <c r="J1153" t="s">
        <v>137</v>
      </c>
      <c r="K1153" t="s">
        <v>138</v>
      </c>
      <c r="L1153" t="s">
        <v>166</v>
      </c>
      <c r="M1153" t="s">
        <v>186</v>
      </c>
      <c r="N1153">
        <v>3</v>
      </c>
      <c r="O1153" s="4">
        <v>2800</v>
      </c>
      <c r="P1153" s="4">
        <v>3900</v>
      </c>
      <c r="Q1153" s="7">
        <v>0.05</v>
      </c>
      <c r="R1153" t="s">
        <v>173</v>
      </c>
      <c r="S1153">
        <v>5</v>
      </c>
      <c r="T1153">
        <v>11700</v>
      </c>
      <c r="U1153">
        <v>585</v>
      </c>
      <c r="V1153">
        <v>11115</v>
      </c>
      <c r="W1153">
        <v>8400</v>
      </c>
      <c r="X1153">
        <v>2715</v>
      </c>
      <c r="Y1153" s="8">
        <v>0.24426450742240216</v>
      </c>
      <c r="Z1153" t="s">
        <v>2996</v>
      </c>
      <c r="AA1153" t="str">
        <f>IF(AND(SalesCleanTable[[#This Row],[Discount %]]&gt;0, SalesCleanTable[[#This Row],[Profit]]&lt;0), "Discount loss", "Safe")</f>
        <v>Safe</v>
      </c>
      <c r="AB1153" s="25">
        <f>(SalesCleanTable[[#This Row],[Unit Price]] - SalesCleanTable[[#This Row],[Unit Cost]]) / SalesCleanTable[[#This Row],[Unit Price]]</f>
        <v>0.28205128205128205</v>
      </c>
      <c r="AC1153" t="str">
        <f>IF(SalesCleanTable[[#This Row],[Discount %]] &gt; SalesCleanTable[[#This Row],[Max Allowed Discount]], "Discount loss", "Safe")</f>
        <v>Safe</v>
      </c>
      <c r="AD1153" s="4">
        <f>SalesCleanTable[[#This Row],[Unit Price]] - SalesCleanTable[[#This Row],[Unit Cost]]</f>
        <v>1100</v>
      </c>
      <c r="AE1153" s="41">
        <f>(SalesCleanTable[[#This Row],[Unit Price]] - SalesCleanTable[[#This Row],[Unit Cost]]) / SalesCleanTable[[#This Row],[Unit Price]]</f>
        <v>0.28205128205128205</v>
      </c>
    </row>
    <row r="1154" spans="1:31">
      <c r="A1154" t="s">
        <v>1340</v>
      </c>
      <c r="B1154" s="6">
        <v>45707</v>
      </c>
      <c r="C1154" t="s">
        <v>41</v>
      </c>
      <c r="D1154" t="s">
        <v>42</v>
      </c>
      <c r="E1154" t="s">
        <v>26</v>
      </c>
      <c r="F1154" t="s">
        <v>43</v>
      </c>
      <c r="G1154" t="s">
        <v>44</v>
      </c>
      <c r="H1154" t="s">
        <v>139</v>
      </c>
      <c r="I1154" t="s">
        <v>140</v>
      </c>
      <c r="J1154" t="s">
        <v>137</v>
      </c>
      <c r="K1154" t="s">
        <v>138</v>
      </c>
      <c r="L1154" t="s">
        <v>166</v>
      </c>
      <c r="M1154" t="s">
        <v>186</v>
      </c>
      <c r="N1154">
        <v>1</v>
      </c>
      <c r="O1154" s="4">
        <v>850</v>
      </c>
      <c r="P1154" s="4">
        <v>1300</v>
      </c>
      <c r="Q1154" s="7">
        <v>0.05</v>
      </c>
      <c r="R1154" t="s">
        <v>194</v>
      </c>
      <c r="S1154">
        <v>5</v>
      </c>
      <c r="T1154">
        <v>1300</v>
      </c>
      <c r="U1154">
        <v>65</v>
      </c>
      <c r="V1154">
        <v>1235</v>
      </c>
      <c r="W1154">
        <v>850</v>
      </c>
      <c r="X1154">
        <v>385</v>
      </c>
      <c r="Y1154" s="8">
        <v>0.31174089068825911</v>
      </c>
      <c r="Z1154" t="s">
        <v>2995</v>
      </c>
      <c r="AA1154" t="str">
        <f>IF(AND(SalesCleanTable[[#This Row],[Discount %]]&gt;0, SalesCleanTable[[#This Row],[Profit]]&lt;0), "Discount loss", "Safe")</f>
        <v>Safe</v>
      </c>
      <c r="AB1154" s="25">
        <f>(SalesCleanTable[[#This Row],[Unit Price]] - SalesCleanTable[[#This Row],[Unit Cost]]) / SalesCleanTable[[#This Row],[Unit Price]]</f>
        <v>0.34615384615384615</v>
      </c>
      <c r="AC1154" t="str">
        <f>IF(SalesCleanTable[[#This Row],[Discount %]] &gt; SalesCleanTable[[#This Row],[Max Allowed Discount]], "Discount loss", "Safe")</f>
        <v>Safe</v>
      </c>
      <c r="AD1154" s="4">
        <f>SalesCleanTable[[#This Row],[Unit Price]] - SalesCleanTable[[#This Row],[Unit Cost]]</f>
        <v>450</v>
      </c>
      <c r="AE1154" s="41">
        <f>(SalesCleanTable[[#This Row],[Unit Price]] - SalesCleanTable[[#This Row],[Unit Cost]]) / SalesCleanTable[[#This Row],[Unit Price]]</f>
        <v>0.34615384615384615</v>
      </c>
    </row>
    <row r="1155" spans="1:31">
      <c r="A1155" t="s">
        <v>1341</v>
      </c>
      <c r="B1155" s="6">
        <v>45821</v>
      </c>
      <c r="C1155" t="s">
        <v>86</v>
      </c>
      <c r="D1155" t="s">
        <v>87</v>
      </c>
      <c r="E1155" t="s">
        <v>75</v>
      </c>
      <c r="F1155" t="s">
        <v>88</v>
      </c>
      <c r="G1155" t="s">
        <v>89</v>
      </c>
      <c r="H1155" t="s">
        <v>153</v>
      </c>
      <c r="I1155" t="s">
        <v>154</v>
      </c>
      <c r="J1155" t="s">
        <v>155</v>
      </c>
      <c r="K1155" t="s">
        <v>131</v>
      </c>
      <c r="L1155" t="s">
        <v>183</v>
      </c>
      <c r="M1155" t="s">
        <v>171</v>
      </c>
      <c r="N1155">
        <v>1</v>
      </c>
      <c r="O1155" s="4">
        <v>8500</v>
      </c>
      <c r="P1155" s="4">
        <v>12500</v>
      </c>
      <c r="Q1155" s="7">
        <v>0.25</v>
      </c>
      <c r="R1155" t="s">
        <v>208</v>
      </c>
      <c r="S1155">
        <v>9</v>
      </c>
      <c r="T1155">
        <v>12500</v>
      </c>
      <c r="U1155">
        <v>3125</v>
      </c>
      <c r="V1155">
        <v>9375</v>
      </c>
      <c r="W1155">
        <v>8500</v>
      </c>
      <c r="X1155">
        <v>875</v>
      </c>
      <c r="Y1155" s="8">
        <v>9.3333333333333338E-2</v>
      </c>
      <c r="Z1155" t="s">
        <v>2997</v>
      </c>
      <c r="AA1155" t="str">
        <f>IF(AND(SalesCleanTable[[#This Row],[Discount %]]&gt;0, SalesCleanTable[[#This Row],[Profit]]&lt;0), "Discount loss", "Safe")</f>
        <v>Safe</v>
      </c>
      <c r="AB1155" s="25">
        <f>(SalesCleanTable[[#This Row],[Unit Price]] - SalesCleanTable[[#This Row],[Unit Cost]]) / SalesCleanTable[[#This Row],[Unit Price]]</f>
        <v>0.32</v>
      </c>
      <c r="AC1155" t="str">
        <f>IF(SalesCleanTable[[#This Row],[Discount %]] &gt; SalesCleanTable[[#This Row],[Max Allowed Discount]], "Discount loss", "Safe")</f>
        <v>Safe</v>
      </c>
      <c r="AD1155" s="4">
        <f>SalesCleanTable[[#This Row],[Unit Price]] - SalesCleanTable[[#This Row],[Unit Cost]]</f>
        <v>4000</v>
      </c>
      <c r="AE1155" s="41">
        <f>(SalesCleanTable[[#This Row],[Unit Price]] - SalesCleanTable[[#This Row],[Unit Cost]]) / SalesCleanTable[[#This Row],[Unit Price]]</f>
        <v>0.32</v>
      </c>
    </row>
    <row r="1156" spans="1:31">
      <c r="A1156" t="s">
        <v>1342</v>
      </c>
      <c r="B1156" s="6">
        <v>45973</v>
      </c>
      <c r="C1156" t="s">
        <v>45</v>
      </c>
      <c r="D1156" t="s">
        <v>46</v>
      </c>
      <c r="E1156" t="s">
        <v>38</v>
      </c>
      <c r="F1156" t="s">
        <v>47</v>
      </c>
      <c r="G1156" t="s">
        <v>48</v>
      </c>
      <c r="H1156" t="s">
        <v>135</v>
      </c>
      <c r="I1156" t="s">
        <v>136</v>
      </c>
      <c r="J1156" t="s">
        <v>137</v>
      </c>
      <c r="K1156" t="s">
        <v>138</v>
      </c>
      <c r="L1156" t="s">
        <v>166</v>
      </c>
      <c r="M1156" t="s">
        <v>167</v>
      </c>
      <c r="N1156">
        <v>1</v>
      </c>
      <c r="O1156" s="4">
        <v>230</v>
      </c>
      <c r="P1156" s="4">
        <v>400</v>
      </c>
      <c r="Q1156" s="7">
        <v>0</v>
      </c>
      <c r="R1156" t="s">
        <v>178</v>
      </c>
      <c r="S1156">
        <v>5</v>
      </c>
      <c r="T1156">
        <v>400</v>
      </c>
      <c r="U1156">
        <v>0</v>
      </c>
      <c r="V1156">
        <v>400</v>
      </c>
      <c r="W1156">
        <v>230</v>
      </c>
      <c r="X1156">
        <v>170</v>
      </c>
      <c r="Y1156" s="8">
        <v>0.42499999999999999</v>
      </c>
      <c r="Z1156" t="s">
        <v>2995</v>
      </c>
      <c r="AA1156" t="str">
        <f>IF(AND(SalesCleanTable[[#This Row],[Discount %]]&gt;0, SalesCleanTable[[#This Row],[Profit]]&lt;0), "Discount loss", "Safe")</f>
        <v>Safe</v>
      </c>
      <c r="AB1156" s="25">
        <f>(SalesCleanTable[[#This Row],[Unit Price]] - SalesCleanTable[[#This Row],[Unit Cost]]) / SalesCleanTable[[#This Row],[Unit Price]]</f>
        <v>0.42499999999999999</v>
      </c>
      <c r="AC1156" t="str">
        <f>IF(SalesCleanTable[[#This Row],[Discount %]] &gt; SalesCleanTable[[#This Row],[Max Allowed Discount]], "Discount loss", "Safe")</f>
        <v>Safe</v>
      </c>
      <c r="AD1156" s="4">
        <f>SalesCleanTable[[#This Row],[Unit Price]] - SalesCleanTable[[#This Row],[Unit Cost]]</f>
        <v>170</v>
      </c>
      <c r="AE1156" s="41">
        <f>(SalesCleanTable[[#This Row],[Unit Price]] - SalesCleanTable[[#This Row],[Unit Cost]]) / SalesCleanTable[[#This Row],[Unit Price]]</f>
        <v>0.42499999999999999</v>
      </c>
    </row>
    <row r="1157" spans="1:31">
      <c r="A1157" t="s">
        <v>1343</v>
      </c>
      <c r="B1157" s="6">
        <v>45790</v>
      </c>
      <c r="C1157" t="s">
        <v>120</v>
      </c>
      <c r="D1157" t="s">
        <v>121</v>
      </c>
      <c r="E1157" t="s">
        <v>109</v>
      </c>
      <c r="F1157" t="s">
        <v>93</v>
      </c>
      <c r="G1157" t="s">
        <v>122</v>
      </c>
      <c r="H1157" t="s">
        <v>145</v>
      </c>
      <c r="I1157" t="s">
        <v>146</v>
      </c>
      <c r="J1157" t="s">
        <v>147</v>
      </c>
      <c r="K1157" t="s">
        <v>148</v>
      </c>
      <c r="L1157" t="s">
        <v>166</v>
      </c>
      <c r="M1157" t="s">
        <v>167</v>
      </c>
      <c r="N1157">
        <v>8</v>
      </c>
      <c r="O1157" s="4">
        <v>1700</v>
      </c>
      <c r="P1157" s="4">
        <v>2800</v>
      </c>
      <c r="Q1157" s="7">
        <v>0.2</v>
      </c>
      <c r="R1157" t="s">
        <v>184</v>
      </c>
      <c r="S1157">
        <v>13</v>
      </c>
      <c r="T1157">
        <v>22400</v>
      </c>
      <c r="U1157">
        <v>4480</v>
      </c>
      <c r="V1157">
        <v>17920</v>
      </c>
      <c r="W1157">
        <v>13600</v>
      </c>
      <c r="X1157">
        <v>4320</v>
      </c>
      <c r="Y1157" s="8">
        <v>0.24107142857142858</v>
      </c>
      <c r="Z1157" t="s">
        <v>2997</v>
      </c>
      <c r="AA1157" t="str">
        <f>IF(AND(SalesCleanTable[[#This Row],[Discount %]]&gt;0, SalesCleanTable[[#This Row],[Profit]]&lt;0), "Discount loss", "Safe")</f>
        <v>Safe</v>
      </c>
      <c r="AB1157" s="25">
        <f>(SalesCleanTable[[#This Row],[Unit Price]] - SalesCleanTable[[#This Row],[Unit Cost]]) / SalesCleanTable[[#This Row],[Unit Price]]</f>
        <v>0.39285714285714285</v>
      </c>
      <c r="AC1157" t="str">
        <f>IF(SalesCleanTable[[#This Row],[Discount %]] &gt; SalesCleanTable[[#This Row],[Max Allowed Discount]], "Discount loss", "Safe")</f>
        <v>Safe</v>
      </c>
      <c r="AD1157" s="4">
        <f>SalesCleanTable[[#This Row],[Unit Price]] - SalesCleanTable[[#This Row],[Unit Cost]]</f>
        <v>1100</v>
      </c>
      <c r="AE1157" s="41">
        <f>(SalesCleanTable[[#This Row],[Unit Price]] - SalesCleanTable[[#This Row],[Unit Cost]]) / SalesCleanTable[[#This Row],[Unit Price]]</f>
        <v>0.39285714285714285</v>
      </c>
    </row>
    <row r="1158" spans="1:31">
      <c r="A1158" t="s">
        <v>1344</v>
      </c>
      <c r="B1158" s="6">
        <v>45964</v>
      </c>
      <c r="C1158" t="s">
        <v>107</v>
      </c>
      <c r="D1158" t="s">
        <v>108</v>
      </c>
      <c r="E1158" t="s">
        <v>109</v>
      </c>
      <c r="F1158" t="s">
        <v>110</v>
      </c>
      <c r="G1158" t="s">
        <v>111</v>
      </c>
      <c r="H1158" t="s">
        <v>153</v>
      </c>
      <c r="I1158" t="s">
        <v>154</v>
      </c>
      <c r="J1158" t="s">
        <v>155</v>
      </c>
      <c r="K1158" t="s">
        <v>131</v>
      </c>
      <c r="L1158" t="s">
        <v>166</v>
      </c>
      <c r="M1158" t="s">
        <v>171</v>
      </c>
      <c r="N1158">
        <v>3</v>
      </c>
      <c r="O1158" s="4">
        <v>5200</v>
      </c>
      <c r="P1158" s="4">
        <v>7000</v>
      </c>
      <c r="Q1158" s="7">
        <v>0.2</v>
      </c>
      <c r="R1158" t="s">
        <v>235</v>
      </c>
      <c r="S1158">
        <v>6</v>
      </c>
      <c r="T1158">
        <v>21000</v>
      </c>
      <c r="U1158">
        <v>4200</v>
      </c>
      <c r="V1158">
        <v>16800</v>
      </c>
      <c r="W1158">
        <v>15600</v>
      </c>
      <c r="X1158">
        <v>1200</v>
      </c>
      <c r="Y1158" s="8">
        <v>7.1428571428571425E-2</v>
      </c>
      <c r="Z1158" t="s">
        <v>2997</v>
      </c>
      <c r="AA1158" t="str">
        <f>IF(AND(SalesCleanTable[[#This Row],[Discount %]]&gt;0, SalesCleanTable[[#This Row],[Profit]]&lt;0), "Discount loss", "Safe")</f>
        <v>Safe</v>
      </c>
      <c r="AB1158" s="25">
        <f>(SalesCleanTable[[#This Row],[Unit Price]] - SalesCleanTable[[#This Row],[Unit Cost]]) / SalesCleanTable[[#This Row],[Unit Price]]</f>
        <v>0.25714285714285712</v>
      </c>
      <c r="AC1158" t="str">
        <f>IF(SalesCleanTable[[#This Row],[Discount %]] &gt; SalesCleanTable[[#This Row],[Max Allowed Discount]], "Discount loss", "Safe")</f>
        <v>Safe</v>
      </c>
      <c r="AD1158" s="4">
        <f>SalesCleanTable[[#This Row],[Unit Price]] - SalesCleanTable[[#This Row],[Unit Cost]]</f>
        <v>1800</v>
      </c>
      <c r="AE1158" s="41">
        <f>(SalesCleanTable[[#This Row],[Unit Price]] - SalesCleanTable[[#This Row],[Unit Cost]]) / SalesCleanTable[[#This Row],[Unit Price]]</f>
        <v>0.25714285714285712</v>
      </c>
    </row>
    <row r="1159" spans="1:31">
      <c r="A1159" t="s">
        <v>1345</v>
      </c>
      <c r="B1159" s="6">
        <v>45950</v>
      </c>
      <c r="C1159" t="s">
        <v>53</v>
      </c>
      <c r="D1159" t="s">
        <v>54</v>
      </c>
      <c r="E1159" t="s">
        <v>38</v>
      </c>
      <c r="F1159" t="s">
        <v>55</v>
      </c>
      <c r="G1159" t="s">
        <v>56</v>
      </c>
      <c r="H1159" t="s">
        <v>135</v>
      </c>
      <c r="I1159" t="s">
        <v>136</v>
      </c>
      <c r="J1159" t="s">
        <v>137</v>
      </c>
      <c r="K1159" t="s">
        <v>138</v>
      </c>
      <c r="L1159" t="s">
        <v>183</v>
      </c>
      <c r="M1159" t="s">
        <v>171</v>
      </c>
      <c r="N1159">
        <v>1</v>
      </c>
      <c r="O1159" s="4">
        <v>330</v>
      </c>
      <c r="P1159" s="4">
        <v>550</v>
      </c>
      <c r="Q1159" s="7">
        <v>0.05</v>
      </c>
      <c r="R1159" t="s">
        <v>178</v>
      </c>
      <c r="S1159">
        <v>8</v>
      </c>
      <c r="T1159">
        <v>550</v>
      </c>
      <c r="U1159">
        <v>27.5</v>
      </c>
      <c r="V1159">
        <v>522.5</v>
      </c>
      <c r="W1159">
        <v>330</v>
      </c>
      <c r="X1159">
        <v>192.5</v>
      </c>
      <c r="Y1159" s="8">
        <v>0.36842105263157893</v>
      </c>
      <c r="Z1159" t="s">
        <v>2996</v>
      </c>
      <c r="AA1159" t="str">
        <f>IF(AND(SalesCleanTable[[#This Row],[Discount %]]&gt;0, SalesCleanTable[[#This Row],[Profit]]&lt;0), "Discount loss", "Safe")</f>
        <v>Safe</v>
      </c>
      <c r="AB1159" s="25">
        <f>(SalesCleanTable[[#This Row],[Unit Price]] - SalesCleanTable[[#This Row],[Unit Cost]]) / SalesCleanTable[[#This Row],[Unit Price]]</f>
        <v>0.4</v>
      </c>
      <c r="AC1159" t="str">
        <f>IF(SalesCleanTable[[#This Row],[Discount %]] &gt; SalesCleanTable[[#This Row],[Max Allowed Discount]], "Discount loss", "Safe")</f>
        <v>Safe</v>
      </c>
      <c r="AD1159" s="4">
        <f>SalesCleanTable[[#This Row],[Unit Price]] - SalesCleanTable[[#This Row],[Unit Cost]]</f>
        <v>220</v>
      </c>
      <c r="AE1159" s="41">
        <f>(SalesCleanTable[[#This Row],[Unit Price]] - SalesCleanTable[[#This Row],[Unit Cost]]) / SalesCleanTable[[#This Row],[Unit Price]]</f>
        <v>0.4</v>
      </c>
    </row>
    <row r="1160" spans="1:31">
      <c r="A1160" t="s">
        <v>1346</v>
      </c>
      <c r="B1160" s="6">
        <v>45910</v>
      </c>
      <c r="C1160" t="s">
        <v>41</v>
      </c>
      <c r="D1160" t="s">
        <v>42</v>
      </c>
      <c r="E1160" t="s">
        <v>26</v>
      </c>
      <c r="F1160" t="s">
        <v>43</v>
      </c>
      <c r="G1160" t="s">
        <v>44</v>
      </c>
      <c r="H1160" t="s">
        <v>149</v>
      </c>
      <c r="I1160" t="s">
        <v>150</v>
      </c>
      <c r="J1160" t="s">
        <v>151</v>
      </c>
      <c r="K1160" t="s">
        <v>152</v>
      </c>
      <c r="L1160" t="s">
        <v>166</v>
      </c>
      <c r="M1160" t="s">
        <v>186</v>
      </c>
      <c r="N1160">
        <v>10</v>
      </c>
      <c r="O1160" s="4">
        <v>850</v>
      </c>
      <c r="P1160" s="4">
        <v>1300</v>
      </c>
      <c r="Q1160" s="7">
        <v>0.1</v>
      </c>
      <c r="R1160" t="s">
        <v>197</v>
      </c>
      <c r="S1160">
        <v>12</v>
      </c>
      <c r="T1160">
        <v>13000</v>
      </c>
      <c r="U1160">
        <v>1300</v>
      </c>
      <c r="V1160">
        <v>11700</v>
      </c>
      <c r="W1160">
        <v>8500</v>
      </c>
      <c r="X1160">
        <v>3200</v>
      </c>
      <c r="Y1160" s="8">
        <v>0.27350427350427353</v>
      </c>
      <c r="Z1160" t="s">
        <v>2995</v>
      </c>
      <c r="AA1160" t="str">
        <f>IF(AND(SalesCleanTable[[#This Row],[Discount %]]&gt;0, SalesCleanTable[[#This Row],[Profit]]&lt;0), "Discount loss", "Safe")</f>
        <v>Safe</v>
      </c>
      <c r="AB1160" s="25">
        <f>(SalesCleanTable[[#This Row],[Unit Price]] - SalesCleanTable[[#This Row],[Unit Cost]]) / SalesCleanTable[[#This Row],[Unit Price]]</f>
        <v>0.34615384615384615</v>
      </c>
      <c r="AC1160" t="str">
        <f>IF(SalesCleanTable[[#This Row],[Discount %]] &gt; SalesCleanTable[[#This Row],[Max Allowed Discount]], "Discount loss", "Safe")</f>
        <v>Safe</v>
      </c>
      <c r="AD1160" s="4">
        <f>SalesCleanTable[[#This Row],[Unit Price]] - SalesCleanTable[[#This Row],[Unit Cost]]</f>
        <v>450</v>
      </c>
      <c r="AE1160" s="41">
        <f>(SalesCleanTable[[#This Row],[Unit Price]] - SalesCleanTable[[#This Row],[Unit Cost]]) / SalesCleanTable[[#This Row],[Unit Price]]</f>
        <v>0.34615384615384615</v>
      </c>
    </row>
    <row r="1161" spans="1:31">
      <c r="A1161" t="s">
        <v>1347</v>
      </c>
      <c r="B1161" s="6">
        <v>45696</v>
      </c>
      <c r="C1161" t="s">
        <v>45</v>
      </c>
      <c r="D1161" t="s">
        <v>46</v>
      </c>
      <c r="E1161" t="s">
        <v>38</v>
      </c>
      <c r="F1161" t="s">
        <v>47</v>
      </c>
      <c r="G1161" t="s">
        <v>48</v>
      </c>
      <c r="H1161" t="s">
        <v>139</v>
      </c>
      <c r="I1161" t="s">
        <v>140</v>
      </c>
      <c r="J1161" t="s">
        <v>137</v>
      </c>
      <c r="K1161" t="s">
        <v>138</v>
      </c>
      <c r="L1161" t="s">
        <v>166</v>
      </c>
      <c r="M1161" t="s">
        <v>171</v>
      </c>
      <c r="N1161">
        <v>2</v>
      </c>
      <c r="O1161" s="4">
        <v>230</v>
      </c>
      <c r="P1161" s="4">
        <v>400</v>
      </c>
      <c r="Q1161" s="7">
        <v>0.1</v>
      </c>
      <c r="R1161" t="s">
        <v>168</v>
      </c>
      <c r="S1161">
        <v>12</v>
      </c>
      <c r="T1161">
        <v>800</v>
      </c>
      <c r="U1161">
        <v>80</v>
      </c>
      <c r="V1161">
        <v>720</v>
      </c>
      <c r="W1161">
        <v>460</v>
      </c>
      <c r="X1161">
        <v>260</v>
      </c>
      <c r="Y1161" s="8">
        <v>0.3611111111111111</v>
      </c>
      <c r="Z1161" t="s">
        <v>2995</v>
      </c>
      <c r="AA1161" t="str">
        <f>IF(AND(SalesCleanTable[[#This Row],[Discount %]]&gt;0, SalesCleanTable[[#This Row],[Profit]]&lt;0), "Discount loss", "Safe")</f>
        <v>Safe</v>
      </c>
      <c r="AB1161" s="25">
        <f>(SalesCleanTable[[#This Row],[Unit Price]] - SalesCleanTable[[#This Row],[Unit Cost]]) / SalesCleanTable[[#This Row],[Unit Price]]</f>
        <v>0.42499999999999999</v>
      </c>
      <c r="AC1161" t="str">
        <f>IF(SalesCleanTable[[#This Row],[Discount %]] &gt; SalesCleanTable[[#This Row],[Max Allowed Discount]], "Discount loss", "Safe")</f>
        <v>Safe</v>
      </c>
      <c r="AD1161" s="4">
        <f>SalesCleanTable[[#This Row],[Unit Price]] - SalesCleanTable[[#This Row],[Unit Cost]]</f>
        <v>170</v>
      </c>
      <c r="AE1161" s="41">
        <f>(SalesCleanTable[[#This Row],[Unit Price]] - SalesCleanTable[[#This Row],[Unit Cost]]) / SalesCleanTable[[#This Row],[Unit Price]]</f>
        <v>0.42499999999999999</v>
      </c>
    </row>
    <row r="1162" spans="1:31">
      <c r="A1162" t="s">
        <v>1348</v>
      </c>
      <c r="B1162" s="6">
        <v>45677</v>
      </c>
      <c r="C1162" t="s">
        <v>53</v>
      </c>
      <c r="D1162" t="s">
        <v>54</v>
      </c>
      <c r="E1162" t="s">
        <v>38</v>
      </c>
      <c r="F1162" t="s">
        <v>55</v>
      </c>
      <c r="G1162" t="s">
        <v>56</v>
      </c>
      <c r="H1162" t="s">
        <v>153</v>
      </c>
      <c r="I1162" t="s">
        <v>154</v>
      </c>
      <c r="J1162" t="s">
        <v>155</v>
      </c>
      <c r="K1162" t="s">
        <v>131</v>
      </c>
      <c r="L1162" t="s">
        <v>183</v>
      </c>
      <c r="M1162" t="s">
        <v>171</v>
      </c>
      <c r="N1162">
        <v>5</v>
      </c>
      <c r="O1162" s="4">
        <v>330</v>
      </c>
      <c r="P1162" s="4">
        <v>550</v>
      </c>
      <c r="Q1162" s="7">
        <v>0.05</v>
      </c>
      <c r="R1162" t="s">
        <v>168</v>
      </c>
      <c r="S1162">
        <v>1</v>
      </c>
      <c r="T1162">
        <v>2750</v>
      </c>
      <c r="U1162">
        <v>137.5</v>
      </c>
      <c r="V1162">
        <v>2612.5</v>
      </c>
      <c r="W1162">
        <v>1650</v>
      </c>
      <c r="X1162">
        <v>962.5</v>
      </c>
      <c r="Y1162" s="8">
        <v>0.36842105263157893</v>
      </c>
      <c r="Z1162" t="s">
        <v>2996</v>
      </c>
      <c r="AA1162" t="str">
        <f>IF(AND(SalesCleanTable[[#This Row],[Discount %]]&gt;0, SalesCleanTable[[#This Row],[Profit]]&lt;0), "Discount loss", "Safe")</f>
        <v>Safe</v>
      </c>
      <c r="AB1162" s="25">
        <f>(SalesCleanTable[[#This Row],[Unit Price]] - SalesCleanTable[[#This Row],[Unit Cost]]) / SalesCleanTable[[#This Row],[Unit Price]]</f>
        <v>0.4</v>
      </c>
      <c r="AC1162" t="str">
        <f>IF(SalesCleanTable[[#This Row],[Discount %]] &gt; SalesCleanTable[[#This Row],[Max Allowed Discount]], "Discount loss", "Safe")</f>
        <v>Safe</v>
      </c>
      <c r="AD1162" s="4">
        <f>SalesCleanTable[[#This Row],[Unit Price]] - SalesCleanTable[[#This Row],[Unit Cost]]</f>
        <v>220</v>
      </c>
      <c r="AE1162" s="41">
        <f>(SalesCleanTable[[#This Row],[Unit Price]] - SalesCleanTable[[#This Row],[Unit Cost]]) / SalesCleanTable[[#This Row],[Unit Price]]</f>
        <v>0.4</v>
      </c>
    </row>
    <row r="1163" spans="1:31">
      <c r="A1163" t="s">
        <v>1349</v>
      </c>
      <c r="B1163" s="6">
        <v>45979</v>
      </c>
      <c r="C1163" t="s">
        <v>24</v>
      </c>
      <c r="D1163" t="s">
        <v>25</v>
      </c>
      <c r="E1163" t="s">
        <v>26</v>
      </c>
      <c r="F1163" t="s">
        <v>27</v>
      </c>
      <c r="G1163" t="s">
        <v>28</v>
      </c>
      <c r="H1163" t="s">
        <v>128</v>
      </c>
      <c r="I1163" t="s">
        <v>129</v>
      </c>
      <c r="J1163" t="s">
        <v>130</v>
      </c>
      <c r="K1163" t="s">
        <v>131</v>
      </c>
      <c r="L1163" t="s">
        <v>183</v>
      </c>
      <c r="M1163" t="s">
        <v>167</v>
      </c>
      <c r="N1163">
        <v>2</v>
      </c>
      <c r="O1163" s="4">
        <v>14500</v>
      </c>
      <c r="P1163" s="4">
        <v>17500</v>
      </c>
      <c r="Q1163" s="7">
        <v>0.2</v>
      </c>
      <c r="R1163" t="s">
        <v>197</v>
      </c>
      <c r="S1163">
        <v>8</v>
      </c>
      <c r="T1163">
        <v>35000</v>
      </c>
      <c r="U1163">
        <v>7000</v>
      </c>
      <c r="V1163">
        <v>28000</v>
      </c>
      <c r="W1163">
        <v>29000</v>
      </c>
      <c r="X1163">
        <v>-1000</v>
      </c>
      <c r="Y1163" s="8">
        <v>-3.5714285714285712E-2</v>
      </c>
      <c r="Z1163" t="s">
        <v>2995</v>
      </c>
      <c r="AA1163" t="str">
        <f>IF(AND(SalesCleanTable[[#This Row],[Discount %]]&gt;0, SalesCleanTable[[#This Row],[Profit]]&lt;0), "Discount loss", "Safe")</f>
        <v>Discount loss</v>
      </c>
      <c r="AB1163" s="25">
        <f>(SalesCleanTable[[#This Row],[Unit Price]] - SalesCleanTable[[#This Row],[Unit Cost]]) / SalesCleanTable[[#This Row],[Unit Price]]</f>
        <v>0.17142857142857143</v>
      </c>
      <c r="AC1163" t="str">
        <f>IF(SalesCleanTable[[#This Row],[Discount %]] &gt; SalesCleanTable[[#This Row],[Max Allowed Discount]], "Discount loss", "Safe")</f>
        <v>Discount loss</v>
      </c>
      <c r="AD1163" s="4">
        <f>SalesCleanTable[[#This Row],[Unit Price]] - SalesCleanTable[[#This Row],[Unit Cost]]</f>
        <v>3000</v>
      </c>
      <c r="AE1163" s="41">
        <f>(SalesCleanTable[[#This Row],[Unit Price]] - SalesCleanTable[[#This Row],[Unit Cost]]) / SalesCleanTable[[#This Row],[Unit Price]]</f>
        <v>0.17142857142857143</v>
      </c>
    </row>
    <row r="1164" spans="1:31">
      <c r="A1164" t="s">
        <v>1350</v>
      </c>
      <c r="B1164" s="6">
        <v>45912</v>
      </c>
      <c r="C1164" t="s">
        <v>45</v>
      </c>
      <c r="D1164" t="s">
        <v>46</v>
      </c>
      <c r="E1164" t="s">
        <v>38</v>
      </c>
      <c r="F1164" t="s">
        <v>47</v>
      </c>
      <c r="G1164" t="s">
        <v>48</v>
      </c>
      <c r="H1164" t="s">
        <v>133</v>
      </c>
      <c r="I1164" t="s">
        <v>134</v>
      </c>
      <c r="J1164" t="s">
        <v>130</v>
      </c>
      <c r="K1164" t="s">
        <v>131</v>
      </c>
      <c r="L1164" t="s">
        <v>183</v>
      </c>
      <c r="M1164" t="s">
        <v>171</v>
      </c>
      <c r="N1164">
        <v>6</v>
      </c>
      <c r="O1164" s="4">
        <v>230</v>
      </c>
      <c r="P1164" s="4">
        <v>400</v>
      </c>
      <c r="Q1164" s="7">
        <v>0.2</v>
      </c>
      <c r="R1164" t="s">
        <v>178</v>
      </c>
      <c r="S1164">
        <v>7</v>
      </c>
      <c r="T1164">
        <v>2400</v>
      </c>
      <c r="U1164">
        <v>480</v>
      </c>
      <c r="V1164">
        <v>1920</v>
      </c>
      <c r="W1164">
        <v>1380</v>
      </c>
      <c r="X1164">
        <v>540</v>
      </c>
      <c r="Y1164" s="8">
        <v>0.28125</v>
      </c>
      <c r="Z1164" t="s">
        <v>2995</v>
      </c>
      <c r="AA1164" t="str">
        <f>IF(AND(SalesCleanTable[[#This Row],[Discount %]]&gt;0, SalesCleanTable[[#This Row],[Profit]]&lt;0), "Discount loss", "Safe")</f>
        <v>Safe</v>
      </c>
      <c r="AB1164" s="25">
        <f>(SalesCleanTable[[#This Row],[Unit Price]] - SalesCleanTable[[#This Row],[Unit Cost]]) / SalesCleanTable[[#This Row],[Unit Price]]</f>
        <v>0.42499999999999999</v>
      </c>
      <c r="AC1164" t="str">
        <f>IF(SalesCleanTable[[#This Row],[Discount %]] &gt; SalesCleanTable[[#This Row],[Max Allowed Discount]], "Discount loss", "Safe")</f>
        <v>Safe</v>
      </c>
      <c r="AD1164" s="4">
        <f>SalesCleanTable[[#This Row],[Unit Price]] - SalesCleanTable[[#This Row],[Unit Cost]]</f>
        <v>170</v>
      </c>
      <c r="AE1164" s="41">
        <f>(SalesCleanTable[[#This Row],[Unit Price]] - SalesCleanTable[[#This Row],[Unit Cost]]) / SalesCleanTable[[#This Row],[Unit Price]]</f>
        <v>0.42499999999999999</v>
      </c>
    </row>
    <row r="1165" spans="1:31">
      <c r="A1165" t="s">
        <v>1351</v>
      </c>
      <c r="B1165" s="6">
        <v>45943</v>
      </c>
      <c r="C1165" t="s">
        <v>69</v>
      </c>
      <c r="D1165" t="s">
        <v>70</v>
      </c>
      <c r="E1165" t="s">
        <v>59</v>
      </c>
      <c r="F1165" t="s">
        <v>71</v>
      </c>
      <c r="G1165" t="s">
        <v>72</v>
      </c>
      <c r="H1165" t="s">
        <v>145</v>
      </c>
      <c r="I1165" t="s">
        <v>146</v>
      </c>
      <c r="J1165" t="s">
        <v>147</v>
      </c>
      <c r="K1165" t="s">
        <v>148</v>
      </c>
      <c r="L1165" t="s">
        <v>183</v>
      </c>
      <c r="M1165" t="s">
        <v>171</v>
      </c>
      <c r="N1165">
        <v>1</v>
      </c>
      <c r="O1165" s="4">
        <v>1700</v>
      </c>
      <c r="P1165" s="4">
        <v>2600</v>
      </c>
      <c r="Q1165" s="7">
        <v>0.1</v>
      </c>
      <c r="R1165" t="s">
        <v>192</v>
      </c>
      <c r="S1165">
        <v>11</v>
      </c>
      <c r="T1165">
        <v>2600</v>
      </c>
      <c r="U1165">
        <v>260</v>
      </c>
      <c r="V1165">
        <v>2340</v>
      </c>
      <c r="W1165">
        <v>1700</v>
      </c>
      <c r="X1165">
        <v>640</v>
      </c>
      <c r="Y1165" s="8">
        <v>0.27350427350427353</v>
      </c>
      <c r="Z1165" t="s">
        <v>2997</v>
      </c>
      <c r="AA1165" t="str">
        <f>IF(AND(SalesCleanTable[[#This Row],[Discount %]]&gt;0, SalesCleanTable[[#This Row],[Profit]]&lt;0), "Discount loss", "Safe")</f>
        <v>Safe</v>
      </c>
      <c r="AB1165" s="25">
        <f>(SalesCleanTable[[#This Row],[Unit Price]] - SalesCleanTable[[#This Row],[Unit Cost]]) / SalesCleanTable[[#This Row],[Unit Price]]</f>
        <v>0.34615384615384615</v>
      </c>
      <c r="AC1165" t="str">
        <f>IF(SalesCleanTable[[#This Row],[Discount %]] &gt; SalesCleanTable[[#This Row],[Max Allowed Discount]], "Discount loss", "Safe")</f>
        <v>Safe</v>
      </c>
      <c r="AD1165" s="4">
        <f>SalesCleanTable[[#This Row],[Unit Price]] - SalesCleanTable[[#This Row],[Unit Cost]]</f>
        <v>900</v>
      </c>
      <c r="AE1165" s="41">
        <f>(SalesCleanTable[[#This Row],[Unit Price]] - SalesCleanTable[[#This Row],[Unit Cost]]) / SalesCleanTable[[#This Row],[Unit Price]]</f>
        <v>0.34615384615384615</v>
      </c>
    </row>
    <row r="1166" spans="1:31">
      <c r="A1166" t="s">
        <v>1352</v>
      </c>
      <c r="B1166" s="6">
        <v>45929</v>
      </c>
      <c r="C1166" t="s">
        <v>78</v>
      </c>
      <c r="D1166" t="s">
        <v>79</v>
      </c>
      <c r="E1166" t="s">
        <v>75</v>
      </c>
      <c r="F1166" t="s">
        <v>80</v>
      </c>
      <c r="G1166" t="s">
        <v>81</v>
      </c>
      <c r="H1166" t="s">
        <v>133</v>
      </c>
      <c r="I1166" t="s">
        <v>134</v>
      </c>
      <c r="J1166" t="s">
        <v>130</v>
      </c>
      <c r="K1166" t="s">
        <v>131</v>
      </c>
      <c r="L1166" t="s">
        <v>166</v>
      </c>
      <c r="M1166" t="s">
        <v>186</v>
      </c>
      <c r="N1166">
        <v>2</v>
      </c>
      <c r="O1166" s="4">
        <v>1200</v>
      </c>
      <c r="P1166" s="4">
        <v>1900</v>
      </c>
      <c r="Q1166" s="7">
        <v>0</v>
      </c>
      <c r="R1166" t="s">
        <v>204</v>
      </c>
      <c r="S1166">
        <v>7</v>
      </c>
      <c r="T1166">
        <v>3800</v>
      </c>
      <c r="U1166">
        <v>0</v>
      </c>
      <c r="V1166">
        <v>3800</v>
      </c>
      <c r="W1166">
        <v>2400</v>
      </c>
      <c r="X1166">
        <v>1400</v>
      </c>
      <c r="Y1166" s="8">
        <v>0.36842105263157893</v>
      </c>
      <c r="Z1166" t="s">
        <v>2996</v>
      </c>
      <c r="AA1166" t="str">
        <f>IF(AND(SalesCleanTable[[#This Row],[Discount %]]&gt;0, SalesCleanTable[[#This Row],[Profit]]&lt;0), "Discount loss", "Safe")</f>
        <v>Safe</v>
      </c>
      <c r="AB1166" s="25">
        <f>(SalesCleanTable[[#This Row],[Unit Price]] - SalesCleanTable[[#This Row],[Unit Cost]]) / SalesCleanTable[[#This Row],[Unit Price]]</f>
        <v>0.36842105263157893</v>
      </c>
      <c r="AC1166" t="str">
        <f>IF(SalesCleanTable[[#This Row],[Discount %]] &gt; SalesCleanTable[[#This Row],[Max Allowed Discount]], "Discount loss", "Safe")</f>
        <v>Safe</v>
      </c>
      <c r="AD1166" s="4">
        <f>SalesCleanTable[[#This Row],[Unit Price]] - SalesCleanTable[[#This Row],[Unit Cost]]</f>
        <v>700</v>
      </c>
      <c r="AE1166" s="41">
        <f>(SalesCleanTable[[#This Row],[Unit Price]] - SalesCleanTable[[#This Row],[Unit Cost]]) / SalesCleanTable[[#This Row],[Unit Price]]</f>
        <v>0.36842105263157893</v>
      </c>
    </row>
    <row r="1167" spans="1:31">
      <c r="A1167" t="s">
        <v>1353</v>
      </c>
      <c r="B1167" s="6">
        <v>45936</v>
      </c>
      <c r="C1167" t="s">
        <v>53</v>
      </c>
      <c r="D1167" t="s">
        <v>54</v>
      </c>
      <c r="E1167" t="s">
        <v>38</v>
      </c>
      <c r="F1167" t="s">
        <v>55</v>
      </c>
      <c r="G1167" t="s">
        <v>56</v>
      </c>
      <c r="H1167" t="s">
        <v>128</v>
      </c>
      <c r="I1167" t="s">
        <v>129</v>
      </c>
      <c r="J1167" t="s">
        <v>130</v>
      </c>
      <c r="K1167" t="s">
        <v>131</v>
      </c>
      <c r="L1167" t="s">
        <v>183</v>
      </c>
      <c r="M1167" t="s">
        <v>167</v>
      </c>
      <c r="N1167">
        <v>1</v>
      </c>
      <c r="O1167" s="4">
        <v>330</v>
      </c>
      <c r="P1167" s="4">
        <v>550</v>
      </c>
      <c r="Q1167" s="7">
        <v>0.15</v>
      </c>
      <c r="R1167" t="s">
        <v>175</v>
      </c>
      <c r="S1167">
        <v>6</v>
      </c>
      <c r="T1167">
        <v>550</v>
      </c>
      <c r="U1167">
        <v>82.5</v>
      </c>
      <c r="V1167">
        <v>467.5</v>
      </c>
      <c r="W1167">
        <v>330</v>
      </c>
      <c r="X1167">
        <v>137.5</v>
      </c>
      <c r="Y1167" s="8">
        <v>0.29411764705882354</v>
      </c>
      <c r="Z1167" t="s">
        <v>2996</v>
      </c>
      <c r="AA1167" t="str">
        <f>IF(AND(SalesCleanTable[[#This Row],[Discount %]]&gt;0, SalesCleanTable[[#This Row],[Profit]]&lt;0), "Discount loss", "Safe")</f>
        <v>Safe</v>
      </c>
      <c r="AB1167" s="25">
        <f>(SalesCleanTable[[#This Row],[Unit Price]] - SalesCleanTable[[#This Row],[Unit Cost]]) / SalesCleanTable[[#This Row],[Unit Price]]</f>
        <v>0.4</v>
      </c>
      <c r="AC1167" t="str">
        <f>IF(SalesCleanTable[[#This Row],[Discount %]] &gt; SalesCleanTable[[#This Row],[Max Allowed Discount]], "Discount loss", "Safe")</f>
        <v>Safe</v>
      </c>
      <c r="AD1167" s="4">
        <f>SalesCleanTable[[#This Row],[Unit Price]] - SalesCleanTable[[#This Row],[Unit Cost]]</f>
        <v>220</v>
      </c>
      <c r="AE1167" s="41">
        <f>(SalesCleanTable[[#This Row],[Unit Price]] - SalesCleanTable[[#This Row],[Unit Cost]]) / SalesCleanTable[[#This Row],[Unit Price]]</f>
        <v>0.4</v>
      </c>
    </row>
    <row r="1168" spans="1:31">
      <c r="A1168" t="s">
        <v>1354</v>
      </c>
      <c r="B1168" s="6">
        <v>45875</v>
      </c>
      <c r="C1168" t="s">
        <v>32</v>
      </c>
      <c r="D1168" t="s">
        <v>33</v>
      </c>
      <c r="E1168" t="s">
        <v>26</v>
      </c>
      <c r="F1168" t="s">
        <v>34</v>
      </c>
      <c r="G1168" t="s">
        <v>35</v>
      </c>
      <c r="H1168" t="s">
        <v>139</v>
      </c>
      <c r="I1168" t="s">
        <v>140</v>
      </c>
      <c r="J1168" t="s">
        <v>137</v>
      </c>
      <c r="K1168" t="s">
        <v>138</v>
      </c>
      <c r="L1168" t="s">
        <v>183</v>
      </c>
      <c r="M1168" t="s">
        <v>171</v>
      </c>
      <c r="N1168">
        <v>2</v>
      </c>
      <c r="O1168" s="4">
        <v>7800</v>
      </c>
      <c r="P1168" s="4">
        <v>9800</v>
      </c>
      <c r="Q1168" s="7">
        <v>0</v>
      </c>
      <c r="R1168" t="s">
        <v>194</v>
      </c>
      <c r="S1168">
        <v>14</v>
      </c>
      <c r="T1168">
        <v>19600</v>
      </c>
      <c r="U1168">
        <v>0</v>
      </c>
      <c r="V1168">
        <v>19600</v>
      </c>
      <c r="W1168">
        <v>15600</v>
      </c>
      <c r="X1168">
        <v>4000</v>
      </c>
      <c r="Y1168" s="8">
        <v>0.20408163265306123</v>
      </c>
      <c r="Z1168" t="s">
        <v>2995</v>
      </c>
      <c r="AA1168" t="str">
        <f>IF(AND(SalesCleanTable[[#This Row],[Discount %]]&gt;0, SalesCleanTable[[#This Row],[Profit]]&lt;0), "Discount loss", "Safe")</f>
        <v>Safe</v>
      </c>
      <c r="AB1168" s="25">
        <f>(SalesCleanTable[[#This Row],[Unit Price]] - SalesCleanTable[[#This Row],[Unit Cost]]) / SalesCleanTable[[#This Row],[Unit Price]]</f>
        <v>0.20408163265306123</v>
      </c>
      <c r="AC1168" t="str">
        <f>IF(SalesCleanTable[[#This Row],[Discount %]] &gt; SalesCleanTable[[#This Row],[Max Allowed Discount]], "Discount loss", "Safe")</f>
        <v>Safe</v>
      </c>
      <c r="AD1168" s="4">
        <f>SalesCleanTable[[#This Row],[Unit Price]] - SalesCleanTable[[#This Row],[Unit Cost]]</f>
        <v>2000</v>
      </c>
      <c r="AE1168" s="41">
        <f>(SalesCleanTable[[#This Row],[Unit Price]] - SalesCleanTable[[#This Row],[Unit Cost]]) / SalesCleanTable[[#This Row],[Unit Price]]</f>
        <v>0.20408163265306123</v>
      </c>
    </row>
    <row r="1169" spans="1:31">
      <c r="A1169" t="s">
        <v>1355</v>
      </c>
      <c r="B1169" s="6">
        <v>45908</v>
      </c>
      <c r="C1169" t="s">
        <v>66</v>
      </c>
      <c r="D1169" t="s">
        <v>67</v>
      </c>
      <c r="E1169" t="s">
        <v>59</v>
      </c>
      <c r="F1169" t="s">
        <v>60</v>
      </c>
      <c r="G1169" t="s">
        <v>68</v>
      </c>
      <c r="H1169" t="s">
        <v>141</v>
      </c>
      <c r="I1169" t="s">
        <v>142</v>
      </c>
      <c r="J1169" t="s">
        <v>143</v>
      </c>
      <c r="K1169" t="s">
        <v>144</v>
      </c>
      <c r="L1169" t="s">
        <v>166</v>
      </c>
      <c r="M1169" t="s">
        <v>171</v>
      </c>
      <c r="N1169">
        <v>1</v>
      </c>
      <c r="O1169" s="4">
        <v>2800</v>
      </c>
      <c r="P1169" s="4">
        <v>3900</v>
      </c>
      <c r="Q1169" s="7">
        <v>0</v>
      </c>
      <c r="R1169" t="s">
        <v>204</v>
      </c>
      <c r="S1169">
        <v>1</v>
      </c>
      <c r="T1169">
        <v>3900</v>
      </c>
      <c r="U1169">
        <v>0</v>
      </c>
      <c r="V1169">
        <v>3900</v>
      </c>
      <c r="W1169">
        <v>2800</v>
      </c>
      <c r="X1169">
        <v>1100</v>
      </c>
      <c r="Y1169" s="8">
        <v>0.28205128205128205</v>
      </c>
      <c r="Z1169" t="s">
        <v>2996</v>
      </c>
      <c r="AA1169" t="str">
        <f>IF(AND(SalesCleanTable[[#This Row],[Discount %]]&gt;0, SalesCleanTable[[#This Row],[Profit]]&lt;0), "Discount loss", "Safe")</f>
        <v>Safe</v>
      </c>
      <c r="AB1169" s="25">
        <f>(SalesCleanTable[[#This Row],[Unit Price]] - SalesCleanTable[[#This Row],[Unit Cost]]) / SalesCleanTable[[#This Row],[Unit Price]]</f>
        <v>0.28205128205128205</v>
      </c>
      <c r="AC1169" t="str">
        <f>IF(SalesCleanTable[[#This Row],[Discount %]] &gt; SalesCleanTable[[#This Row],[Max Allowed Discount]], "Discount loss", "Safe")</f>
        <v>Safe</v>
      </c>
      <c r="AD1169" s="4">
        <f>SalesCleanTable[[#This Row],[Unit Price]] - SalesCleanTable[[#This Row],[Unit Cost]]</f>
        <v>1100</v>
      </c>
      <c r="AE1169" s="41">
        <f>(SalesCleanTable[[#This Row],[Unit Price]] - SalesCleanTable[[#This Row],[Unit Cost]]) / SalesCleanTable[[#This Row],[Unit Price]]</f>
        <v>0.28205128205128205</v>
      </c>
    </row>
    <row r="1170" spans="1:31">
      <c r="A1170" t="s">
        <v>1356</v>
      </c>
      <c r="B1170" s="6">
        <v>45823</v>
      </c>
      <c r="C1170" t="s">
        <v>41</v>
      </c>
      <c r="D1170" t="s">
        <v>42</v>
      </c>
      <c r="E1170" t="s">
        <v>26</v>
      </c>
      <c r="F1170" t="s">
        <v>43</v>
      </c>
      <c r="G1170" t="s">
        <v>44</v>
      </c>
      <c r="H1170" t="s">
        <v>135</v>
      </c>
      <c r="I1170" t="s">
        <v>136</v>
      </c>
      <c r="J1170" t="s">
        <v>137</v>
      </c>
      <c r="K1170" t="s">
        <v>138</v>
      </c>
      <c r="L1170" t="s">
        <v>166</v>
      </c>
      <c r="M1170" t="s">
        <v>171</v>
      </c>
      <c r="N1170">
        <v>2</v>
      </c>
      <c r="O1170" s="4">
        <v>850</v>
      </c>
      <c r="P1170" s="4">
        <v>1300</v>
      </c>
      <c r="Q1170" s="7">
        <v>0.05</v>
      </c>
      <c r="R1170" t="s">
        <v>194</v>
      </c>
      <c r="S1170">
        <v>8</v>
      </c>
      <c r="T1170">
        <v>2600</v>
      </c>
      <c r="U1170">
        <v>130</v>
      </c>
      <c r="V1170">
        <v>2470</v>
      </c>
      <c r="W1170">
        <v>1700</v>
      </c>
      <c r="X1170">
        <v>770</v>
      </c>
      <c r="Y1170" s="8">
        <v>0.31174089068825911</v>
      </c>
      <c r="Z1170" t="s">
        <v>2995</v>
      </c>
      <c r="AA1170" t="str">
        <f>IF(AND(SalesCleanTable[[#This Row],[Discount %]]&gt;0, SalesCleanTable[[#This Row],[Profit]]&lt;0), "Discount loss", "Safe")</f>
        <v>Safe</v>
      </c>
      <c r="AB1170" s="25">
        <f>(SalesCleanTable[[#This Row],[Unit Price]] - SalesCleanTable[[#This Row],[Unit Cost]]) / SalesCleanTable[[#This Row],[Unit Price]]</f>
        <v>0.34615384615384615</v>
      </c>
      <c r="AC1170" t="str">
        <f>IF(SalesCleanTable[[#This Row],[Discount %]] &gt; SalesCleanTable[[#This Row],[Max Allowed Discount]], "Discount loss", "Safe")</f>
        <v>Safe</v>
      </c>
      <c r="AD1170" s="4">
        <f>SalesCleanTable[[#This Row],[Unit Price]] - SalesCleanTable[[#This Row],[Unit Cost]]</f>
        <v>450</v>
      </c>
      <c r="AE1170" s="41">
        <f>(SalesCleanTable[[#This Row],[Unit Price]] - SalesCleanTable[[#This Row],[Unit Cost]]) / SalesCleanTable[[#This Row],[Unit Price]]</f>
        <v>0.34615384615384615</v>
      </c>
    </row>
    <row r="1171" spans="1:31">
      <c r="A1171" t="s">
        <v>1357</v>
      </c>
      <c r="B1171" s="6">
        <v>45831</v>
      </c>
      <c r="C1171" t="s">
        <v>73</v>
      </c>
      <c r="D1171" t="s">
        <v>74</v>
      </c>
      <c r="E1171" t="s">
        <v>75</v>
      </c>
      <c r="F1171" t="s">
        <v>76</v>
      </c>
      <c r="G1171" t="s">
        <v>77</v>
      </c>
      <c r="H1171" t="s">
        <v>128</v>
      </c>
      <c r="I1171" t="s">
        <v>129</v>
      </c>
      <c r="J1171" t="s">
        <v>130</v>
      </c>
      <c r="K1171" t="s">
        <v>131</v>
      </c>
      <c r="L1171" t="s">
        <v>183</v>
      </c>
      <c r="M1171" t="s">
        <v>171</v>
      </c>
      <c r="N1171">
        <v>2</v>
      </c>
      <c r="O1171" s="4">
        <v>3500</v>
      </c>
      <c r="P1171" s="4">
        <v>5200</v>
      </c>
      <c r="Q1171" s="7">
        <v>0</v>
      </c>
      <c r="R1171" t="s">
        <v>204</v>
      </c>
      <c r="S1171">
        <v>2</v>
      </c>
      <c r="T1171">
        <v>10400</v>
      </c>
      <c r="U1171">
        <v>0</v>
      </c>
      <c r="V1171">
        <v>10400</v>
      </c>
      <c r="W1171">
        <v>7000</v>
      </c>
      <c r="X1171">
        <v>3400</v>
      </c>
      <c r="Y1171" s="8">
        <v>0.32692307692307693</v>
      </c>
      <c r="Z1171" t="s">
        <v>2996</v>
      </c>
      <c r="AA1171" t="str">
        <f>IF(AND(SalesCleanTable[[#This Row],[Discount %]]&gt;0, SalesCleanTable[[#This Row],[Profit]]&lt;0), "Discount loss", "Safe")</f>
        <v>Safe</v>
      </c>
      <c r="AB1171" s="25">
        <f>(SalesCleanTable[[#This Row],[Unit Price]] - SalesCleanTable[[#This Row],[Unit Cost]]) / SalesCleanTable[[#This Row],[Unit Price]]</f>
        <v>0.32692307692307693</v>
      </c>
      <c r="AC1171" t="str">
        <f>IF(SalesCleanTable[[#This Row],[Discount %]] &gt; SalesCleanTable[[#This Row],[Max Allowed Discount]], "Discount loss", "Safe")</f>
        <v>Safe</v>
      </c>
      <c r="AD1171" s="4">
        <f>SalesCleanTable[[#This Row],[Unit Price]] - SalesCleanTable[[#This Row],[Unit Cost]]</f>
        <v>1700</v>
      </c>
      <c r="AE1171" s="41">
        <f>(SalesCleanTable[[#This Row],[Unit Price]] - SalesCleanTable[[#This Row],[Unit Cost]]) / SalesCleanTable[[#This Row],[Unit Price]]</f>
        <v>0.32692307692307693</v>
      </c>
    </row>
    <row r="1172" spans="1:31">
      <c r="A1172" t="s">
        <v>1358</v>
      </c>
      <c r="B1172" s="6">
        <v>45972</v>
      </c>
      <c r="C1172" t="s">
        <v>69</v>
      </c>
      <c r="D1172" t="s">
        <v>70</v>
      </c>
      <c r="E1172" t="s">
        <v>59</v>
      </c>
      <c r="F1172" t="s">
        <v>71</v>
      </c>
      <c r="G1172" t="s">
        <v>72</v>
      </c>
      <c r="H1172" t="s">
        <v>128</v>
      </c>
      <c r="I1172" t="s">
        <v>129</v>
      </c>
      <c r="J1172" t="s">
        <v>130</v>
      </c>
      <c r="K1172" t="s">
        <v>131</v>
      </c>
      <c r="L1172" t="s">
        <v>166</v>
      </c>
      <c r="M1172" t="s">
        <v>186</v>
      </c>
      <c r="N1172">
        <v>3</v>
      </c>
      <c r="O1172" s="4">
        <v>1700</v>
      </c>
      <c r="P1172" s="4">
        <v>2600</v>
      </c>
      <c r="Q1172" s="7">
        <v>0.2</v>
      </c>
      <c r="R1172" t="s">
        <v>173</v>
      </c>
      <c r="S1172">
        <v>6</v>
      </c>
      <c r="T1172">
        <v>7800</v>
      </c>
      <c r="U1172">
        <v>1560</v>
      </c>
      <c r="V1172">
        <v>6240</v>
      </c>
      <c r="W1172">
        <v>5100</v>
      </c>
      <c r="X1172">
        <v>1140</v>
      </c>
      <c r="Y1172" s="8">
        <v>0.18269230769230768</v>
      </c>
      <c r="Z1172" t="s">
        <v>2997</v>
      </c>
      <c r="AA1172" t="str">
        <f>IF(AND(SalesCleanTable[[#This Row],[Discount %]]&gt;0, SalesCleanTable[[#This Row],[Profit]]&lt;0), "Discount loss", "Safe")</f>
        <v>Safe</v>
      </c>
      <c r="AB1172" s="25">
        <f>(SalesCleanTable[[#This Row],[Unit Price]] - SalesCleanTable[[#This Row],[Unit Cost]]) / SalesCleanTable[[#This Row],[Unit Price]]</f>
        <v>0.34615384615384615</v>
      </c>
      <c r="AC1172" t="str">
        <f>IF(SalesCleanTable[[#This Row],[Discount %]] &gt; SalesCleanTable[[#This Row],[Max Allowed Discount]], "Discount loss", "Safe")</f>
        <v>Safe</v>
      </c>
      <c r="AD1172" s="4">
        <f>SalesCleanTable[[#This Row],[Unit Price]] - SalesCleanTable[[#This Row],[Unit Cost]]</f>
        <v>900</v>
      </c>
      <c r="AE1172" s="41">
        <f>(SalesCleanTable[[#This Row],[Unit Price]] - SalesCleanTable[[#This Row],[Unit Cost]]) / SalesCleanTable[[#This Row],[Unit Price]]</f>
        <v>0.34615384615384615</v>
      </c>
    </row>
    <row r="1173" spans="1:31">
      <c r="A1173" t="s">
        <v>1359</v>
      </c>
      <c r="B1173" s="6">
        <v>45941</v>
      </c>
      <c r="C1173" t="s">
        <v>29</v>
      </c>
      <c r="D1173" t="s">
        <v>30</v>
      </c>
      <c r="E1173" t="s">
        <v>26</v>
      </c>
      <c r="F1173" t="s">
        <v>27</v>
      </c>
      <c r="G1173" t="s">
        <v>31</v>
      </c>
      <c r="H1173" t="s">
        <v>128</v>
      </c>
      <c r="I1173" t="s">
        <v>129</v>
      </c>
      <c r="J1173" t="s">
        <v>130</v>
      </c>
      <c r="K1173" t="s">
        <v>131</v>
      </c>
      <c r="L1173" t="s">
        <v>170</v>
      </c>
      <c r="M1173" t="s">
        <v>171</v>
      </c>
      <c r="N1173">
        <v>1</v>
      </c>
      <c r="O1173" s="4">
        <v>6200</v>
      </c>
      <c r="P1173" s="4">
        <v>7900</v>
      </c>
      <c r="Q1173" s="7">
        <v>0.05</v>
      </c>
      <c r="R1173" t="s">
        <v>194</v>
      </c>
      <c r="S1173">
        <v>14</v>
      </c>
      <c r="T1173">
        <v>7900</v>
      </c>
      <c r="U1173">
        <v>395</v>
      </c>
      <c r="V1173">
        <v>7505</v>
      </c>
      <c r="W1173">
        <v>6200</v>
      </c>
      <c r="X1173">
        <v>1305</v>
      </c>
      <c r="Y1173" s="8">
        <v>0.17388407728181213</v>
      </c>
      <c r="Z1173" t="s">
        <v>2996</v>
      </c>
      <c r="AA1173" t="str">
        <f>IF(AND(SalesCleanTable[[#This Row],[Discount %]]&gt;0, SalesCleanTable[[#This Row],[Profit]]&lt;0), "Discount loss", "Safe")</f>
        <v>Safe</v>
      </c>
      <c r="AB1173" s="25">
        <f>(SalesCleanTable[[#This Row],[Unit Price]] - SalesCleanTable[[#This Row],[Unit Cost]]) / SalesCleanTable[[#This Row],[Unit Price]]</f>
        <v>0.21518987341772153</v>
      </c>
      <c r="AC1173" t="str">
        <f>IF(SalesCleanTable[[#This Row],[Discount %]] &gt; SalesCleanTable[[#This Row],[Max Allowed Discount]], "Discount loss", "Safe")</f>
        <v>Safe</v>
      </c>
      <c r="AD1173" s="4">
        <f>SalesCleanTable[[#This Row],[Unit Price]] - SalesCleanTable[[#This Row],[Unit Cost]]</f>
        <v>1700</v>
      </c>
      <c r="AE1173" s="41">
        <f>(SalesCleanTable[[#This Row],[Unit Price]] - SalesCleanTable[[#This Row],[Unit Cost]]) / SalesCleanTable[[#This Row],[Unit Price]]</f>
        <v>0.21518987341772153</v>
      </c>
    </row>
    <row r="1174" spans="1:31">
      <c r="A1174" t="s">
        <v>1360</v>
      </c>
      <c r="B1174" s="6">
        <v>45806</v>
      </c>
      <c r="C1174" t="s">
        <v>95</v>
      </c>
      <c r="D1174" t="s">
        <v>96</v>
      </c>
      <c r="E1174" t="s">
        <v>92</v>
      </c>
      <c r="F1174" t="s">
        <v>97</v>
      </c>
      <c r="G1174" t="s">
        <v>98</v>
      </c>
      <c r="H1174" t="s">
        <v>149</v>
      </c>
      <c r="I1174" t="s">
        <v>150</v>
      </c>
      <c r="J1174" t="s">
        <v>151</v>
      </c>
      <c r="K1174" t="s">
        <v>152</v>
      </c>
      <c r="L1174" t="s">
        <v>183</v>
      </c>
      <c r="M1174" t="s">
        <v>171</v>
      </c>
      <c r="N1174">
        <v>2</v>
      </c>
      <c r="O1174" s="4">
        <v>18000</v>
      </c>
      <c r="P1174" s="4">
        <v>24500</v>
      </c>
      <c r="Q1174" s="7">
        <v>0</v>
      </c>
      <c r="R1174" t="s">
        <v>181</v>
      </c>
      <c r="S1174">
        <v>14</v>
      </c>
      <c r="T1174">
        <v>49000</v>
      </c>
      <c r="U1174">
        <v>0</v>
      </c>
      <c r="V1174">
        <v>49000</v>
      </c>
      <c r="W1174">
        <v>36000</v>
      </c>
      <c r="X1174">
        <v>13000</v>
      </c>
      <c r="Y1174" s="8">
        <v>0.26530612244897961</v>
      </c>
      <c r="Z1174" t="s">
        <v>2995</v>
      </c>
      <c r="AA1174" t="str">
        <f>IF(AND(SalesCleanTable[[#This Row],[Discount %]]&gt;0, SalesCleanTable[[#This Row],[Profit]]&lt;0), "Discount loss", "Safe")</f>
        <v>Safe</v>
      </c>
      <c r="AB1174" s="25">
        <f>(SalesCleanTable[[#This Row],[Unit Price]] - SalesCleanTable[[#This Row],[Unit Cost]]) / SalesCleanTable[[#This Row],[Unit Price]]</f>
        <v>0.26530612244897961</v>
      </c>
      <c r="AC1174" t="str">
        <f>IF(SalesCleanTable[[#This Row],[Discount %]] &gt; SalesCleanTable[[#This Row],[Max Allowed Discount]], "Discount loss", "Safe")</f>
        <v>Safe</v>
      </c>
      <c r="AD1174" s="4">
        <f>SalesCleanTable[[#This Row],[Unit Price]] - SalesCleanTable[[#This Row],[Unit Cost]]</f>
        <v>6500</v>
      </c>
      <c r="AE1174" s="41">
        <f>(SalesCleanTable[[#This Row],[Unit Price]] - SalesCleanTable[[#This Row],[Unit Cost]]) / SalesCleanTable[[#This Row],[Unit Price]]</f>
        <v>0.26530612244897961</v>
      </c>
    </row>
    <row r="1175" spans="1:31">
      <c r="A1175" t="s">
        <v>1361</v>
      </c>
      <c r="B1175" s="6">
        <v>45927</v>
      </c>
      <c r="C1175" t="s">
        <v>32</v>
      </c>
      <c r="D1175" t="s">
        <v>33</v>
      </c>
      <c r="E1175" t="s">
        <v>26</v>
      </c>
      <c r="F1175" t="s">
        <v>34</v>
      </c>
      <c r="G1175" t="s">
        <v>35</v>
      </c>
      <c r="H1175" t="s">
        <v>135</v>
      </c>
      <c r="I1175" t="s">
        <v>136</v>
      </c>
      <c r="J1175" t="s">
        <v>137</v>
      </c>
      <c r="K1175" t="s">
        <v>138</v>
      </c>
      <c r="L1175" t="s">
        <v>166</v>
      </c>
      <c r="M1175" t="s">
        <v>167</v>
      </c>
      <c r="N1175">
        <v>3</v>
      </c>
      <c r="O1175" s="4">
        <v>7800</v>
      </c>
      <c r="P1175" s="4">
        <v>9800</v>
      </c>
      <c r="Q1175" s="7">
        <v>0</v>
      </c>
      <c r="R1175" t="s">
        <v>173</v>
      </c>
      <c r="S1175">
        <v>4</v>
      </c>
      <c r="T1175">
        <v>29400</v>
      </c>
      <c r="U1175">
        <v>0</v>
      </c>
      <c r="V1175">
        <v>29400</v>
      </c>
      <c r="W1175">
        <v>23400</v>
      </c>
      <c r="X1175">
        <v>6000</v>
      </c>
      <c r="Y1175" s="8">
        <v>0.20408163265306123</v>
      </c>
      <c r="Z1175" t="s">
        <v>2995</v>
      </c>
      <c r="AA1175" t="str">
        <f>IF(AND(SalesCleanTable[[#This Row],[Discount %]]&gt;0, SalesCleanTable[[#This Row],[Profit]]&lt;0), "Discount loss", "Safe")</f>
        <v>Safe</v>
      </c>
      <c r="AB1175" s="25">
        <f>(SalesCleanTable[[#This Row],[Unit Price]] - SalesCleanTable[[#This Row],[Unit Cost]]) / SalesCleanTable[[#This Row],[Unit Price]]</f>
        <v>0.20408163265306123</v>
      </c>
      <c r="AC1175" t="str">
        <f>IF(SalesCleanTable[[#This Row],[Discount %]] &gt; SalesCleanTable[[#This Row],[Max Allowed Discount]], "Discount loss", "Safe")</f>
        <v>Safe</v>
      </c>
      <c r="AD1175" s="4">
        <f>SalesCleanTable[[#This Row],[Unit Price]] - SalesCleanTable[[#This Row],[Unit Cost]]</f>
        <v>2000</v>
      </c>
      <c r="AE1175" s="41">
        <f>(SalesCleanTable[[#This Row],[Unit Price]] - SalesCleanTable[[#This Row],[Unit Cost]]) / SalesCleanTable[[#This Row],[Unit Price]]</f>
        <v>0.20408163265306123</v>
      </c>
    </row>
    <row r="1176" spans="1:31">
      <c r="A1176" t="s">
        <v>1362</v>
      </c>
      <c r="B1176" s="6">
        <v>45721</v>
      </c>
      <c r="C1176" t="s">
        <v>95</v>
      </c>
      <c r="D1176" t="s">
        <v>96</v>
      </c>
      <c r="E1176" t="s">
        <v>92</v>
      </c>
      <c r="F1176" t="s">
        <v>97</v>
      </c>
      <c r="G1176" t="s">
        <v>98</v>
      </c>
      <c r="H1176" t="s">
        <v>135</v>
      </c>
      <c r="I1176" t="s">
        <v>136</v>
      </c>
      <c r="J1176" t="s">
        <v>137</v>
      </c>
      <c r="K1176" t="s">
        <v>138</v>
      </c>
      <c r="L1176" t="s">
        <v>183</v>
      </c>
      <c r="M1176" t="s">
        <v>171</v>
      </c>
      <c r="N1176">
        <v>2</v>
      </c>
      <c r="O1176" s="4">
        <v>18000</v>
      </c>
      <c r="P1176" s="4">
        <v>24500</v>
      </c>
      <c r="Q1176" s="7">
        <v>0.15</v>
      </c>
      <c r="R1176" t="s">
        <v>181</v>
      </c>
      <c r="S1176">
        <v>2</v>
      </c>
      <c r="T1176">
        <v>49000</v>
      </c>
      <c r="U1176">
        <v>7350</v>
      </c>
      <c r="V1176">
        <v>41650</v>
      </c>
      <c r="W1176">
        <v>36000</v>
      </c>
      <c r="X1176">
        <v>5650</v>
      </c>
      <c r="Y1176" s="8">
        <v>0.13565426170468187</v>
      </c>
      <c r="Z1176" t="s">
        <v>2995</v>
      </c>
      <c r="AA1176" t="str">
        <f>IF(AND(SalesCleanTable[[#This Row],[Discount %]]&gt;0, SalesCleanTable[[#This Row],[Profit]]&lt;0), "Discount loss", "Safe")</f>
        <v>Safe</v>
      </c>
      <c r="AB1176" s="25">
        <f>(SalesCleanTable[[#This Row],[Unit Price]] - SalesCleanTable[[#This Row],[Unit Cost]]) / SalesCleanTable[[#This Row],[Unit Price]]</f>
        <v>0.26530612244897961</v>
      </c>
      <c r="AC1176" t="str">
        <f>IF(SalesCleanTable[[#This Row],[Discount %]] &gt; SalesCleanTable[[#This Row],[Max Allowed Discount]], "Discount loss", "Safe")</f>
        <v>Safe</v>
      </c>
      <c r="AD1176" s="4">
        <f>SalesCleanTable[[#This Row],[Unit Price]] - SalesCleanTable[[#This Row],[Unit Cost]]</f>
        <v>6500</v>
      </c>
      <c r="AE1176" s="41">
        <f>(SalesCleanTable[[#This Row],[Unit Price]] - SalesCleanTable[[#This Row],[Unit Cost]]) / SalesCleanTable[[#This Row],[Unit Price]]</f>
        <v>0.26530612244897961</v>
      </c>
    </row>
    <row r="1177" spans="1:31">
      <c r="A1177" t="s">
        <v>1363</v>
      </c>
      <c r="B1177" s="6">
        <v>46018</v>
      </c>
      <c r="C1177" t="s">
        <v>86</v>
      </c>
      <c r="D1177" t="s">
        <v>87</v>
      </c>
      <c r="E1177" t="s">
        <v>75</v>
      </c>
      <c r="F1177" t="s">
        <v>88</v>
      </c>
      <c r="G1177" t="s">
        <v>89</v>
      </c>
      <c r="H1177" t="s">
        <v>135</v>
      </c>
      <c r="I1177" t="s">
        <v>136</v>
      </c>
      <c r="J1177" t="s">
        <v>137</v>
      </c>
      <c r="K1177" t="s">
        <v>138</v>
      </c>
      <c r="L1177" t="s">
        <v>183</v>
      </c>
      <c r="M1177" t="s">
        <v>177</v>
      </c>
      <c r="N1177">
        <v>1</v>
      </c>
      <c r="O1177" s="4">
        <v>8500</v>
      </c>
      <c r="P1177" s="4">
        <v>12500</v>
      </c>
      <c r="Q1177" s="7">
        <v>0.25</v>
      </c>
      <c r="R1177" t="s">
        <v>204</v>
      </c>
      <c r="S1177">
        <v>10</v>
      </c>
      <c r="T1177">
        <v>12500</v>
      </c>
      <c r="U1177">
        <v>3125</v>
      </c>
      <c r="V1177">
        <v>9375</v>
      </c>
      <c r="W1177">
        <v>8500</v>
      </c>
      <c r="X1177">
        <v>875</v>
      </c>
      <c r="Y1177" s="8">
        <v>9.3333333333333338E-2</v>
      </c>
      <c r="Z1177" t="s">
        <v>2997</v>
      </c>
      <c r="AA1177" t="str">
        <f>IF(AND(SalesCleanTable[[#This Row],[Discount %]]&gt;0, SalesCleanTable[[#This Row],[Profit]]&lt;0), "Discount loss", "Safe")</f>
        <v>Safe</v>
      </c>
      <c r="AB1177" s="25">
        <f>(SalesCleanTable[[#This Row],[Unit Price]] - SalesCleanTable[[#This Row],[Unit Cost]]) / SalesCleanTable[[#This Row],[Unit Price]]</f>
        <v>0.32</v>
      </c>
      <c r="AC1177" t="str">
        <f>IF(SalesCleanTable[[#This Row],[Discount %]] &gt; SalesCleanTable[[#This Row],[Max Allowed Discount]], "Discount loss", "Safe")</f>
        <v>Safe</v>
      </c>
      <c r="AD1177" s="4">
        <f>SalesCleanTable[[#This Row],[Unit Price]] - SalesCleanTable[[#This Row],[Unit Cost]]</f>
        <v>4000</v>
      </c>
      <c r="AE1177" s="41">
        <f>(SalesCleanTable[[#This Row],[Unit Price]] - SalesCleanTable[[#This Row],[Unit Cost]]) / SalesCleanTable[[#This Row],[Unit Price]]</f>
        <v>0.32</v>
      </c>
    </row>
    <row r="1178" spans="1:31">
      <c r="A1178" t="s">
        <v>1364</v>
      </c>
      <c r="B1178" s="6">
        <v>45757</v>
      </c>
      <c r="C1178" t="s">
        <v>99</v>
      </c>
      <c r="D1178" t="s">
        <v>100</v>
      </c>
      <c r="E1178" t="s">
        <v>92</v>
      </c>
      <c r="F1178" t="s">
        <v>101</v>
      </c>
      <c r="G1178" t="s">
        <v>102</v>
      </c>
      <c r="H1178" t="s">
        <v>149</v>
      </c>
      <c r="I1178" t="s">
        <v>150</v>
      </c>
      <c r="J1178" t="s">
        <v>151</v>
      </c>
      <c r="K1178" t="s">
        <v>152</v>
      </c>
      <c r="L1178" t="s">
        <v>183</v>
      </c>
      <c r="M1178" t="s">
        <v>167</v>
      </c>
      <c r="N1178">
        <v>5</v>
      </c>
      <c r="O1178" s="4">
        <v>12500</v>
      </c>
      <c r="P1178" s="4">
        <v>18500</v>
      </c>
      <c r="Q1178" s="7">
        <v>0.05</v>
      </c>
      <c r="R1178" t="s">
        <v>217</v>
      </c>
      <c r="S1178">
        <v>4</v>
      </c>
      <c r="T1178">
        <v>92500</v>
      </c>
      <c r="U1178">
        <v>4625</v>
      </c>
      <c r="V1178">
        <v>87875</v>
      </c>
      <c r="W1178">
        <v>62500</v>
      </c>
      <c r="X1178">
        <v>25375</v>
      </c>
      <c r="Y1178" s="8">
        <v>0.28876244665718348</v>
      </c>
      <c r="Z1178" t="s">
        <v>2995</v>
      </c>
      <c r="AA1178" t="str">
        <f>IF(AND(SalesCleanTable[[#This Row],[Discount %]]&gt;0, SalesCleanTable[[#This Row],[Profit]]&lt;0), "Discount loss", "Safe")</f>
        <v>Safe</v>
      </c>
      <c r="AB1178" s="25">
        <f>(SalesCleanTable[[#This Row],[Unit Price]] - SalesCleanTable[[#This Row],[Unit Cost]]) / SalesCleanTable[[#This Row],[Unit Price]]</f>
        <v>0.32432432432432434</v>
      </c>
      <c r="AC1178" t="str">
        <f>IF(SalesCleanTable[[#This Row],[Discount %]] &gt; SalesCleanTable[[#This Row],[Max Allowed Discount]], "Discount loss", "Safe")</f>
        <v>Safe</v>
      </c>
      <c r="AD1178" s="4">
        <f>SalesCleanTable[[#This Row],[Unit Price]] - SalesCleanTable[[#This Row],[Unit Cost]]</f>
        <v>6000</v>
      </c>
      <c r="AE1178" s="41">
        <f>(SalesCleanTable[[#This Row],[Unit Price]] - SalesCleanTable[[#This Row],[Unit Cost]]) / SalesCleanTable[[#This Row],[Unit Price]]</f>
        <v>0.32432432432432434</v>
      </c>
    </row>
    <row r="1179" spans="1:31">
      <c r="A1179" t="s">
        <v>1365</v>
      </c>
      <c r="B1179" s="6">
        <v>45993</v>
      </c>
      <c r="C1179" t="s">
        <v>66</v>
      </c>
      <c r="D1179" t="s">
        <v>67</v>
      </c>
      <c r="E1179" t="s">
        <v>59</v>
      </c>
      <c r="F1179" t="s">
        <v>60</v>
      </c>
      <c r="G1179" t="s">
        <v>68</v>
      </c>
      <c r="H1179" t="s">
        <v>135</v>
      </c>
      <c r="I1179" t="s">
        <v>136</v>
      </c>
      <c r="J1179" t="s">
        <v>137</v>
      </c>
      <c r="K1179" t="s">
        <v>138</v>
      </c>
      <c r="L1179" t="s">
        <v>166</v>
      </c>
      <c r="M1179" t="s">
        <v>167</v>
      </c>
      <c r="N1179">
        <v>2</v>
      </c>
      <c r="O1179" s="4">
        <v>2800</v>
      </c>
      <c r="P1179" s="4">
        <v>3900</v>
      </c>
      <c r="Q1179" s="7">
        <v>0</v>
      </c>
      <c r="R1179" t="s">
        <v>204</v>
      </c>
      <c r="S1179">
        <v>12</v>
      </c>
      <c r="T1179">
        <v>7800</v>
      </c>
      <c r="U1179">
        <v>0</v>
      </c>
      <c r="V1179">
        <v>7800</v>
      </c>
      <c r="W1179">
        <v>5600</v>
      </c>
      <c r="X1179">
        <v>2200</v>
      </c>
      <c r="Y1179" s="8">
        <v>0.28205128205128205</v>
      </c>
      <c r="Z1179" t="s">
        <v>2996</v>
      </c>
      <c r="AA1179" t="str">
        <f>IF(AND(SalesCleanTable[[#This Row],[Discount %]]&gt;0, SalesCleanTable[[#This Row],[Profit]]&lt;0), "Discount loss", "Safe")</f>
        <v>Safe</v>
      </c>
      <c r="AB1179" s="25">
        <f>(SalesCleanTable[[#This Row],[Unit Price]] - SalesCleanTable[[#This Row],[Unit Cost]]) / SalesCleanTable[[#This Row],[Unit Price]]</f>
        <v>0.28205128205128205</v>
      </c>
      <c r="AC1179" t="str">
        <f>IF(SalesCleanTable[[#This Row],[Discount %]] &gt; SalesCleanTable[[#This Row],[Max Allowed Discount]], "Discount loss", "Safe")</f>
        <v>Safe</v>
      </c>
      <c r="AD1179" s="4">
        <f>SalesCleanTable[[#This Row],[Unit Price]] - SalesCleanTable[[#This Row],[Unit Cost]]</f>
        <v>1100</v>
      </c>
      <c r="AE1179" s="41">
        <f>(SalesCleanTable[[#This Row],[Unit Price]] - SalesCleanTable[[#This Row],[Unit Cost]]) / SalesCleanTable[[#This Row],[Unit Price]]</f>
        <v>0.28205128205128205</v>
      </c>
    </row>
    <row r="1180" spans="1:31">
      <c r="A1180" t="s">
        <v>1366</v>
      </c>
      <c r="B1180" s="6">
        <v>45783</v>
      </c>
      <c r="C1180" t="s">
        <v>49</v>
      </c>
      <c r="D1180" t="s">
        <v>50</v>
      </c>
      <c r="E1180" t="s">
        <v>38</v>
      </c>
      <c r="F1180" t="s">
        <v>51</v>
      </c>
      <c r="G1180" t="s">
        <v>52</v>
      </c>
      <c r="H1180" t="s">
        <v>153</v>
      </c>
      <c r="I1180" t="s">
        <v>154</v>
      </c>
      <c r="J1180" t="s">
        <v>155</v>
      </c>
      <c r="K1180" t="s">
        <v>131</v>
      </c>
      <c r="L1180" t="s">
        <v>183</v>
      </c>
      <c r="M1180" t="s">
        <v>171</v>
      </c>
      <c r="N1180">
        <v>4</v>
      </c>
      <c r="O1180" s="4">
        <v>550</v>
      </c>
      <c r="P1180" s="4">
        <v>850</v>
      </c>
      <c r="Q1180" s="7">
        <v>0.2</v>
      </c>
      <c r="R1180" t="s">
        <v>175</v>
      </c>
      <c r="S1180">
        <v>4</v>
      </c>
      <c r="T1180">
        <v>3400</v>
      </c>
      <c r="U1180">
        <v>680</v>
      </c>
      <c r="V1180">
        <v>2720</v>
      </c>
      <c r="W1180">
        <v>2200</v>
      </c>
      <c r="X1180">
        <v>520</v>
      </c>
      <c r="Y1180" s="8">
        <v>0.19117647058823528</v>
      </c>
      <c r="Z1180" t="s">
        <v>2996</v>
      </c>
      <c r="AA1180" t="str">
        <f>IF(AND(SalesCleanTable[[#This Row],[Discount %]]&gt;0, SalesCleanTable[[#This Row],[Profit]]&lt;0), "Discount loss", "Safe")</f>
        <v>Safe</v>
      </c>
      <c r="AB1180" s="25">
        <f>(SalesCleanTable[[#This Row],[Unit Price]] - SalesCleanTable[[#This Row],[Unit Cost]]) / SalesCleanTable[[#This Row],[Unit Price]]</f>
        <v>0.35294117647058826</v>
      </c>
      <c r="AC1180" t="str">
        <f>IF(SalesCleanTable[[#This Row],[Discount %]] &gt; SalesCleanTable[[#This Row],[Max Allowed Discount]], "Discount loss", "Safe")</f>
        <v>Safe</v>
      </c>
      <c r="AD1180" s="4">
        <f>SalesCleanTable[[#This Row],[Unit Price]] - SalesCleanTable[[#This Row],[Unit Cost]]</f>
        <v>300</v>
      </c>
      <c r="AE1180" s="41">
        <f>(SalesCleanTable[[#This Row],[Unit Price]] - SalesCleanTable[[#This Row],[Unit Cost]]) / SalesCleanTable[[#This Row],[Unit Price]]</f>
        <v>0.35294117647058826</v>
      </c>
    </row>
    <row r="1181" spans="1:31">
      <c r="A1181" t="s">
        <v>1367</v>
      </c>
      <c r="B1181" s="6">
        <v>45670</v>
      </c>
      <c r="C1181" t="s">
        <v>49</v>
      </c>
      <c r="D1181" t="s">
        <v>50</v>
      </c>
      <c r="E1181" t="s">
        <v>38</v>
      </c>
      <c r="F1181" t="s">
        <v>51</v>
      </c>
      <c r="G1181" t="s">
        <v>52</v>
      </c>
      <c r="H1181" t="s">
        <v>133</v>
      </c>
      <c r="I1181" t="s">
        <v>134</v>
      </c>
      <c r="J1181" t="s">
        <v>130</v>
      </c>
      <c r="K1181" t="s">
        <v>131</v>
      </c>
      <c r="L1181" t="s">
        <v>183</v>
      </c>
      <c r="M1181" t="s">
        <v>186</v>
      </c>
      <c r="N1181">
        <v>2</v>
      </c>
      <c r="O1181" s="4">
        <v>550</v>
      </c>
      <c r="P1181" s="4">
        <v>850</v>
      </c>
      <c r="Q1181" s="7">
        <v>0.1</v>
      </c>
      <c r="R1181" t="s">
        <v>168</v>
      </c>
      <c r="S1181">
        <v>2</v>
      </c>
      <c r="T1181">
        <v>1700</v>
      </c>
      <c r="U1181">
        <v>170</v>
      </c>
      <c r="V1181">
        <v>1530</v>
      </c>
      <c r="W1181">
        <v>1100</v>
      </c>
      <c r="X1181">
        <v>430</v>
      </c>
      <c r="Y1181" s="8">
        <v>0.28104575163398693</v>
      </c>
      <c r="Z1181" t="s">
        <v>2996</v>
      </c>
      <c r="AA1181" t="str">
        <f>IF(AND(SalesCleanTable[[#This Row],[Discount %]]&gt;0, SalesCleanTable[[#This Row],[Profit]]&lt;0), "Discount loss", "Safe")</f>
        <v>Safe</v>
      </c>
      <c r="AB1181" s="25">
        <f>(SalesCleanTable[[#This Row],[Unit Price]] - SalesCleanTable[[#This Row],[Unit Cost]]) / SalesCleanTable[[#This Row],[Unit Price]]</f>
        <v>0.35294117647058826</v>
      </c>
      <c r="AC1181" t="str">
        <f>IF(SalesCleanTable[[#This Row],[Discount %]] &gt; SalesCleanTable[[#This Row],[Max Allowed Discount]], "Discount loss", "Safe")</f>
        <v>Safe</v>
      </c>
      <c r="AD1181" s="4">
        <f>SalesCleanTable[[#This Row],[Unit Price]] - SalesCleanTable[[#This Row],[Unit Cost]]</f>
        <v>300</v>
      </c>
      <c r="AE1181" s="41">
        <f>(SalesCleanTable[[#This Row],[Unit Price]] - SalesCleanTable[[#This Row],[Unit Cost]]) / SalesCleanTable[[#This Row],[Unit Price]]</f>
        <v>0.35294117647058826</v>
      </c>
    </row>
    <row r="1182" spans="1:31">
      <c r="A1182" t="s">
        <v>1368</v>
      </c>
      <c r="B1182" s="6">
        <v>45744</v>
      </c>
      <c r="C1182" t="s">
        <v>41</v>
      </c>
      <c r="D1182" t="s">
        <v>42</v>
      </c>
      <c r="E1182" t="s">
        <v>26</v>
      </c>
      <c r="F1182" t="s">
        <v>43</v>
      </c>
      <c r="G1182" t="s">
        <v>44</v>
      </c>
      <c r="H1182" t="s">
        <v>153</v>
      </c>
      <c r="I1182" t="s">
        <v>154</v>
      </c>
      <c r="J1182" t="s">
        <v>155</v>
      </c>
      <c r="K1182" t="s">
        <v>131</v>
      </c>
      <c r="L1182" t="s">
        <v>166</v>
      </c>
      <c r="M1182" t="s">
        <v>171</v>
      </c>
      <c r="N1182">
        <v>3</v>
      </c>
      <c r="O1182" s="4">
        <v>850</v>
      </c>
      <c r="P1182" s="4">
        <v>1300</v>
      </c>
      <c r="Q1182" s="7">
        <v>0</v>
      </c>
      <c r="R1182" t="s">
        <v>173</v>
      </c>
      <c r="S1182">
        <v>12</v>
      </c>
      <c r="T1182">
        <v>3900</v>
      </c>
      <c r="U1182">
        <v>0</v>
      </c>
      <c r="V1182">
        <v>3900</v>
      </c>
      <c r="W1182">
        <v>2550</v>
      </c>
      <c r="X1182">
        <v>1350</v>
      </c>
      <c r="Y1182" s="8">
        <v>0.34615384615384615</v>
      </c>
      <c r="Z1182" t="s">
        <v>2995</v>
      </c>
      <c r="AA1182" t="str">
        <f>IF(AND(SalesCleanTable[[#This Row],[Discount %]]&gt;0, SalesCleanTable[[#This Row],[Profit]]&lt;0), "Discount loss", "Safe")</f>
        <v>Safe</v>
      </c>
      <c r="AB1182" s="25">
        <f>(SalesCleanTable[[#This Row],[Unit Price]] - SalesCleanTable[[#This Row],[Unit Cost]]) / SalesCleanTable[[#This Row],[Unit Price]]</f>
        <v>0.34615384615384615</v>
      </c>
      <c r="AC1182" t="str">
        <f>IF(SalesCleanTable[[#This Row],[Discount %]] &gt; SalesCleanTable[[#This Row],[Max Allowed Discount]], "Discount loss", "Safe")</f>
        <v>Safe</v>
      </c>
      <c r="AD1182" s="4">
        <f>SalesCleanTable[[#This Row],[Unit Price]] - SalesCleanTable[[#This Row],[Unit Cost]]</f>
        <v>450</v>
      </c>
      <c r="AE1182" s="41">
        <f>(SalesCleanTable[[#This Row],[Unit Price]] - SalesCleanTable[[#This Row],[Unit Cost]]) / SalesCleanTable[[#This Row],[Unit Price]]</f>
        <v>0.34615384615384615</v>
      </c>
    </row>
    <row r="1183" spans="1:31">
      <c r="A1183" t="s">
        <v>1369</v>
      </c>
      <c r="B1183" s="6">
        <v>45777</v>
      </c>
      <c r="C1183" t="s">
        <v>29</v>
      </c>
      <c r="D1183" t="s">
        <v>30</v>
      </c>
      <c r="E1183" t="s">
        <v>26</v>
      </c>
      <c r="F1183" t="s">
        <v>27</v>
      </c>
      <c r="G1183" t="s">
        <v>31</v>
      </c>
      <c r="H1183" t="s">
        <v>139</v>
      </c>
      <c r="I1183" t="s">
        <v>140</v>
      </c>
      <c r="J1183" t="s">
        <v>137</v>
      </c>
      <c r="K1183" t="s">
        <v>138</v>
      </c>
      <c r="L1183" t="s">
        <v>183</v>
      </c>
      <c r="M1183" t="s">
        <v>177</v>
      </c>
      <c r="N1183">
        <v>2</v>
      </c>
      <c r="O1183" s="4">
        <v>6200</v>
      </c>
      <c r="P1183" s="4">
        <v>7900</v>
      </c>
      <c r="Q1183" s="7">
        <v>0.1</v>
      </c>
      <c r="R1183" t="s">
        <v>173</v>
      </c>
      <c r="S1183">
        <v>10</v>
      </c>
      <c r="T1183">
        <v>15800</v>
      </c>
      <c r="U1183">
        <v>1580</v>
      </c>
      <c r="V1183">
        <v>14220</v>
      </c>
      <c r="W1183">
        <v>12400</v>
      </c>
      <c r="X1183">
        <v>1820</v>
      </c>
      <c r="Y1183" s="8">
        <v>0.12798874824191281</v>
      </c>
      <c r="Z1183" t="s">
        <v>2996</v>
      </c>
      <c r="AA1183" t="str">
        <f>IF(AND(SalesCleanTable[[#This Row],[Discount %]]&gt;0, SalesCleanTable[[#This Row],[Profit]]&lt;0), "Discount loss", "Safe")</f>
        <v>Safe</v>
      </c>
      <c r="AB1183" s="25">
        <f>(SalesCleanTable[[#This Row],[Unit Price]] - SalesCleanTable[[#This Row],[Unit Cost]]) / SalesCleanTable[[#This Row],[Unit Price]]</f>
        <v>0.21518987341772153</v>
      </c>
      <c r="AC1183" t="str">
        <f>IF(SalesCleanTable[[#This Row],[Discount %]] &gt; SalesCleanTable[[#This Row],[Max Allowed Discount]], "Discount loss", "Safe")</f>
        <v>Safe</v>
      </c>
      <c r="AD1183" s="4">
        <f>SalesCleanTable[[#This Row],[Unit Price]] - SalesCleanTable[[#This Row],[Unit Cost]]</f>
        <v>1700</v>
      </c>
      <c r="AE1183" s="41">
        <f>(SalesCleanTable[[#This Row],[Unit Price]] - SalesCleanTable[[#This Row],[Unit Cost]]) / SalesCleanTable[[#This Row],[Unit Price]]</f>
        <v>0.21518987341772153</v>
      </c>
    </row>
    <row r="1184" spans="1:31">
      <c r="A1184" t="s">
        <v>1370</v>
      </c>
      <c r="B1184" s="6">
        <v>45660</v>
      </c>
      <c r="C1184" t="s">
        <v>45</v>
      </c>
      <c r="D1184" t="s">
        <v>46</v>
      </c>
      <c r="E1184" t="s">
        <v>38</v>
      </c>
      <c r="F1184" t="s">
        <v>47</v>
      </c>
      <c r="G1184" t="s">
        <v>48</v>
      </c>
      <c r="H1184" t="s">
        <v>133</v>
      </c>
      <c r="I1184" t="s">
        <v>134</v>
      </c>
      <c r="J1184" t="s">
        <v>130</v>
      </c>
      <c r="K1184" t="s">
        <v>131</v>
      </c>
      <c r="L1184" t="s">
        <v>166</v>
      </c>
      <c r="M1184" t="s">
        <v>171</v>
      </c>
      <c r="N1184">
        <v>3</v>
      </c>
      <c r="O1184" s="4">
        <v>230</v>
      </c>
      <c r="P1184" s="4">
        <v>400</v>
      </c>
      <c r="Q1184" s="7">
        <v>0.05</v>
      </c>
      <c r="R1184" t="s">
        <v>178</v>
      </c>
      <c r="S1184">
        <v>6</v>
      </c>
      <c r="T1184">
        <v>1200</v>
      </c>
      <c r="U1184">
        <v>60</v>
      </c>
      <c r="V1184">
        <v>1140</v>
      </c>
      <c r="W1184">
        <v>690</v>
      </c>
      <c r="X1184">
        <v>450</v>
      </c>
      <c r="Y1184" s="8">
        <v>0.39473684210526316</v>
      </c>
      <c r="Z1184" t="s">
        <v>2995</v>
      </c>
      <c r="AA1184" t="str">
        <f>IF(AND(SalesCleanTable[[#This Row],[Discount %]]&gt;0, SalesCleanTable[[#This Row],[Profit]]&lt;0), "Discount loss", "Safe")</f>
        <v>Safe</v>
      </c>
      <c r="AB1184" s="25">
        <f>(SalesCleanTable[[#This Row],[Unit Price]] - SalesCleanTable[[#This Row],[Unit Cost]]) / SalesCleanTable[[#This Row],[Unit Price]]</f>
        <v>0.42499999999999999</v>
      </c>
      <c r="AC1184" t="str">
        <f>IF(SalesCleanTable[[#This Row],[Discount %]] &gt; SalesCleanTable[[#This Row],[Max Allowed Discount]], "Discount loss", "Safe")</f>
        <v>Safe</v>
      </c>
      <c r="AD1184" s="4">
        <f>SalesCleanTable[[#This Row],[Unit Price]] - SalesCleanTable[[#This Row],[Unit Cost]]</f>
        <v>170</v>
      </c>
      <c r="AE1184" s="41">
        <f>(SalesCleanTable[[#This Row],[Unit Price]] - SalesCleanTable[[#This Row],[Unit Cost]]) / SalesCleanTable[[#This Row],[Unit Price]]</f>
        <v>0.42499999999999999</v>
      </c>
    </row>
    <row r="1185" spans="1:31">
      <c r="A1185" t="s">
        <v>1371</v>
      </c>
      <c r="B1185" s="6">
        <v>45905</v>
      </c>
      <c r="C1185" t="s">
        <v>57</v>
      </c>
      <c r="D1185" t="s">
        <v>58</v>
      </c>
      <c r="E1185" t="s">
        <v>59</v>
      </c>
      <c r="F1185" t="s">
        <v>60</v>
      </c>
      <c r="G1185" t="s">
        <v>61</v>
      </c>
      <c r="H1185" t="s">
        <v>149</v>
      </c>
      <c r="I1185" t="s">
        <v>150</v>
      </c>
      <c r="J1185" t="s">
        <v>151</v>
      </c>
      <c r="K1185" t="s">
        <v>152</v>
      </c>
      <c r="L1185" t="s">
        <v>166</v>
      </c>
      <c r="M1185" t="s">
        <v>171</v>
      </c>
      <c r="N1185">
        <v>10</v>
      </c>
      <c r="O1185" s="4">
        <v>2400</v>
      </c>
      <c r="P1185" s="4">
        <v>3400</v>
      </c>
      <c r="Q1185" s="7">
        <v>0</v>
      </c>
      <c r="R1185" t="s">
        <v>204</v>
      </c>
      <c r="S1185">
        <v>3</v>
      </c>
      <c r="T1185">
        <v>34000</v>
      </c>
      <c r="U1185">
        <v>0</v>
      </c>
      <c r="V1185">
        <v>34000</v>
      </c>
      <c r="W1185">
        <v>24000</v>
      </c>
      <c r="X1185">
        <v>10000</v>
      </c>
      <c r="Y1185" s="8">
        <v>0.29411764705882354</v>
      </c>
      <c r="Z1185" t="s">
        <v>2996</v>
      </c>
      <c r="AA1185" t="str">
        <f>IF(AND(SalesCleanTable[[#This Row],[Discount %]]&gt;0, SalesCleanTable[[#This Row],[Profit]]&lt;0), "Discount loss", "Safe")</f>
        <v>Safe</v>
      </c>
      <c r="AB1185" s="25">
        <f>(SalesCleanTable[[#This Row],[Unit Price]] - SalesCleanTable[[#This Row],[Unit Cost]]) / SalesCleanTable[[#This Row],[Unit Price]]</f>
        <v>0.29411764705882354</v>
      </c>
      <c r="AC1185" t="str">
        <f>IF(SalesCleanTable[[#This Row],[Discount %]] &gt; SalesCleanTable[[#This Row],[Max Allowed Discount]], "Discount loss", "Safe")</f>
        <v>Safe</v>
      </c>
      <c r="AD1185" s="4">
        <f>SalesCleanTable[[#This Row],[Unit Price]] - SalesCleanTable[[#This Row],[Unit Cost]]</f>
        <v>1000</v>
      </c>
      <c r="AE1185" s="41">
        <f>(SalesCleanTable[[#This Row],[Unit Price]] - SalesCleanTable[[#This Row],[Unit Cost]]) / SalesCleanTable[[#This Row],[Unit Price]]</f>
        <v>0.29411764705882354</v>
      </c>
    </row>
    <row r="1186" spans="1:31">
      <c r="A1186" t="s">
        <v>1372</v>
      </c>
      <c r="B1186" s="6">
        <v>45740</v>
      </c>
      <c r="C1186" t="s">
        <v>57</v>
      </c>
      <c r="D1186" t="s">
        <v>58</v>
      </c>
      <c r="E1186" t="s">
        <v>59</v>
      </c>
      <c r="F1186" t="s">
        <v>60</v>
      </c>
      <c r="G1186" t="s">
        <v>61</v>
      </c>
      <c r="H1186" t="s">
        <v>128</v>
      </c>
      <c r="I1186" t="s">
        <v>129</v>
      </c>
      <c r="J1186" t="s">
        <v>130</v>
      </c>
      <c r="K1186" t="s">
        <v>131</v>
      </c>
      <c r="L1186" t="s">
        <v>166</v>
      </c>
      <c r="M1186" t="s">
        <v>171</v>
      </c>
      <c r="N1186">
        <v>1</v>
      </c>
      <c r="O1186" s="4">
        <v>2400</v>
      </c>
      <c r="P1186" s="4">
        <v>3400</v>
      </c>
      <c r="Q1186" s="7">
        <v>0.15</v>
      </c>
      <c r="R1186" t="s">
        <v>204</v>
      </c>
      <c r="S1186">
        <v>3</v>
      </c>
      <c r="T1186">
        <v>3400</v>
      </c>
      <c r="U1186">
        <v>510</v>
      </c>
      <c r="V1186">
        <v>2890</v>
      </c>
      <c r="W1186">
        <v>2400</v>
      </c>
      <c r="X1186">
        <v>490</v>
      </c>
      <c r="Y1186" s="8">
        <v>0.16955017301038061</v>
      </c>
      <c r="Z1186" t="s">
        <v>2996</v>
      </c>
      <c r="AA1186" t="str">
        <f>IF(AND(SalesCleanTable[[#This Row],[Discount %]]&gt;0, SalesCleanTable[[#This Row],[Profit]]&lt;0), "Discount loss", "Safe")</f>
        <v>Safe</v>
      </c>
      <c r="AB1186" s="25">
        <f>(SalesCleanTable[[#This Row],[Unit Price]] - SalesCleanTable[[#This Row],[Unit Cost]]) / SalesCleanTable[[#This Row],[Unit Price]]</f>
        <v>0.29411764705882354</v>
      </c>
      <c r="AC1186" t="str">
        <f>IF(SalesCleanTable[[#This Row],[Discount %]] &gt; SalesCleanTable[[#This Row],[Max Allowed Discount]], "Discount loss", "Safe")</f>
        <v>Safe</v>
      </c>
      <c r="AD1186" s="4">
        <f>SalesCleanTable[[#This Row],[Unit Price]] - SalesCleanTable[[#This Row],[Unit Cost]]</f>
        <v>1000</v>
      </c>
      <c r="AE1186" s="41">
        <f>(SalesCleanTable[[#This Row],[Unit Price]] - SalesCleanTable[[#This Row],[Unit Cost]]) / SalesCleanTable[[#This Row],[Unit Price]]</f>
        <v>0.29411764705882354</v>
      </c>
    </row>
    <row r="1187" spans="1:31">
      <c r="A1187" t="s">
        <v>1373</v>
      </c>
      <c r="B1187" s="6">
        <v>45926</v>
      </c>
      <c r="C1187" t="s">
        <v>53</v>
      </c>
      <c r="D1187" t="s">
        <v>54</v>
      </c>
      <c r="E1187" t="s">
        <v>38</v>
      </c>
      <c r="F1187" t="s">
        <v>55</v>
      </c>
      <c r="G1187" t="s">
        <v>56</v>
      </c>
      <c r="H1187" t="s">
        <v>145</v>
      </c>
      <c r="I1187" t="s">
        <v>146</v>
      </c>
      <c r="J1187" t="s">
        <v>147</v>
      </c>
      <c r="K1187" t="s">
        <v>148</v>
      </c>
      <c r="L1187" t="s">
        <v>166</v>
      </c>
      <c r="M1187" t="s">
        <v>186</v>
      </c>
      <c r="N1187">
        <v>3</v>
      </c>
      <c r="O1187" s="4">
        <v>330</v>
      </c>
      <c r="P1187" s="4">
        <v>550</v>
      </c>
      <c r="Q1187" s="7">
        <v>0.05</v>
      </c>
      <c r="R1187" t="s">
        <v>175</v>
      </c>
      <c r="S1187">
        <v>12</v>
      </c>
      <c r="T1187">
        <v>1650</v>
      </c>
      <c r="U1187">
        <v>82.5</v>
      </c>
      <c r="V1187">
        <v>1567.5</v>
      </c>
      <c r="W1187">
        <v>990</v>
      </c>
      <c r="X1187">
        <v>577.5</v>
      </c>
      <c r="Y1187" s="8">
        <v>0.36842105263157893</v>
      </c>
      <c r="Z1187" t="s">
        <v>2996</v>
      </c>
      <c r="AA1187" t="str">
        <f>IF(AND(SalesCleanTable[[#This Row],[Discount %]]&gt;0, SalesCleanTable[[#This Row],[Profit]]&lt;0), "Discount loss", "Safe")</f>
        <v>Safe</v>
      </c>
      <c r="AB1187" s="25">
        <f>(SalesCleanTable[[#This Row],[Unit Price]] - SalesCleanTable[[#This Row],[Unit Cost]]) / SalesCleanTable[[#This Row],[Unit Price]]</f>
        <v>0.4</v>
      </c>
      <c r="AC1187" t="str">
        <f>IF(SalesCleanTable[[#This Row],[Discount %]] &gt; SalesCleanTable[[#This Row],[Max Allowed Discount]], "Discount loss", "Safe")</f>
        <v>Safe</v>
      </c>
      <c r="AD1187" s="4">
        <f>SalesCleanTable[[#This Row],[Unit Price]] - SalesCleanTable[[#This Row],[Unit Cost]]</f>
        <v>220</v>
      </c>
      <c r="AE1187" s="41">
        <f>(SalesCleanTable[[#This Row],[Unit Price]] - SalesCleanTable[[#This Row],[Unit Cost]]) / SalesCleanTable[[#This Row],[Unit Price]]</f>
        <v>0.4</v>
      </c>
    </row>
    <row r="1188" spans="1:31">
      <c r="A1188" t="s">
        <v>1374</v>
      </c>
      <c r="B1188" s="6">
        <v>46004</v>
      </c>
      <c r="C1188" t="s">
        <v>45</v>
      </c>
      <c r="D1188" t="s">
        <v>46</v>
      </c>
      <c r="E1188" t="s">
        <v>38</v>
      </c>
      <c r="F1188" t="s">
        <v>47</v>
      </c>
      <c r="G1188" t="s">
        <v>48</v>
      </c>
      <c r="H1188" t="s">
        <v>135</v>
      </c>
      <c r="I1188" t="s">
        <v>136</v>
      </c>
      <c r="J1188" t="s">
        <v>137</v>
      </c>
      <c r="K1188" t="s">
        <v>138</v>
      </c>
      <c r="L1188" t="s">
        <v>166</v>
      </c>
      <c r="M1188" t="s">
        <v>167</v>
      </c>
      <c r="N1188">
        <v>6</v>
      </c>
      <c r="O1188" s="4">
        <v>230</v>
      </c>
      <c r="P1188" s="4">
        <v>400</v>
      </c>
      <c r="Q1188" s="7">
        <v>0.1</v>
      </c>
      <c r="R1188" t="s">
        <v>168</v>
      </c>
      <c r="S1188">
        <v>4</v>
      </c>
      <c r="T1188">
        <v>2400</v>
      </c>
      <c r="U1188">
        <v>240</v>
      </c>
      <c r="V1188">
        <v>2160</v>
      </c>
      <c r="W1188">
        <v>1380</v>
      </c>
      <c r="X1188">
        <v>780</v>
      </c>
      <c r="Y1188" s="8">
        <v>0.3611111111111111</v>
      </c>
      <c r="Z1188" t="s">
        <v>2995</v>
      </c>
      <c r="AA1188" t="str">
        <f>IF(AND(SalesCleanTable[[#This Row],[Discount %]]&gt;0, SalesCleanTable[[#This Row],[Profit]]&lt;0), "Discount loss", "Safe")</f>
        <v>Safe</v>
      </c>
      <c r="AB1188" s="25">
        <f>(SalesCleanTable[[#This Row],[Unit Price]] - SalesCleanTable[[#This Row],[Unit Cost]]) / SalesCleanTable[[#This Row],[Unit Price]]</f>
        <v>0.42499999999999999</v>
      </c>
      <c r="AC1188" t="str">
        <f>IF(SalesCleanTable[[#This Row],[Discount %]] &gt; SalesCleanTable[[#This Row],[Max Allowed Discount]], "Discount loss", "Safe")</f>
        <v>Safe</v>
      </c>
      <c r="AD1188" s="4">
        <f>SalesCleanTable[[#This Row],[Unit Price]] - SalesCleanTable[[#This Row],[Unit Cost]]</f>
        <v>170</v>
      </c>
      <c r="AE1188" s="41">
        <f>(SalesCleanTable[[#This Row],[Unit Price]] - SalesCleanTable[[#This Row],[Unit Cost]]) / SalesCleanTable[[#This Row],[Unit Price]]</f>
        <v>0.42499999999999999</v>
      </c>
    </row>
    <row r="1189" spans="1:31">
      <c r="A1189" t="s">
        <v>1375</v>
      </c>
      <c r="B1189" s="6">
        <v>45848</v>
      </c>
      <c r="C1189" t="s">
        <v>57</v>
      </c>
      <c r="D1189" t="s">
        <v>58</v>
      </c>
      <c r="E1189" t="s">
        <v>59</v>
      </c>
      <c r="F1189" t="s">
        <v>60</v>
      </c>
      <c r="G1189" t="s">
        <v>61</v>
      </c>
      <c r="H1189" t="s">
        <v>135</v>
      </c>
      <c r="I1189" t="s">
        <v>136</v>
      </c>
      <c r="J1189" t="s">
        <v>137</v>
      </c>
      <c r="K1189" t="s">
        <v>138</v>
      </c>
      <c r="L1189" t="s">
        <v>170</v>
      </c>
      <c r="M1189" t="s">
        <v>171</v>
      </c>
      <c r="N1189">
        <v>2</v>
      </c>
      <c r="O1189" s="4">
        <v>2400</v>
      </c>
      <c r="P1189" s="4">
        <v>3400</v>
      </c>
      <c r="Q1189" s="7">
        <v>0.2</v>
      </c>
      <c r="R1189" t="s">
        <v>192</v>
      </c>
      <c r="S1189">
        <v>3</v>
      </c>
      <c r="T1189">
        <v>6800</v>
      </c>
      <c r="U1189">
        <v>1360</v>
      </c>
      <c r="V1189">
        <v>5440</v>
      </c>
      <c r="W1189">
        <v>4800</v>
      </c>
      <c r="X1189">
        <v>640</v>
      </c>
      <c r="Y1189" s="8">
        <v>0.11764705882352941</v>
      </c>
      <c r="Z1189" t="s">
        <v>2996</v>
      </c>
      <c r="AA1189" t="str">
        <f>IF(AND(SalesCleanTable[[#This Row],[Discount %]]&gt;0, SalesCleanTable[[#This Row],[Profit]]&lt;0), "Discount loss", "Safe")</f>
        <v>Safe</v>
      </c>
      <c r="AB1189" s="25">
        <f>(SalesCleanTable[[#This Row],[Unit Price]] - SalesCleanTable[[#This Row],[Unit Cost]]) / SalesCleanTable[[#This Row],[Unit Price]]</f>
        <v>0.29411764705882354</v>
      </c>
      <c r="AC1189" t="str">
        <f>IF(SalesCleanTable[[#This Row],[Discount %]] &gt; SalesCleanTable[[#This Row],[Max Allowed Discount]], "Discount loss", "Safe")</f>
        <v>Safe</v>
      </c>
      <c r="AD1189" s="4">
        <f>SalesCleanTable[[#This Row],[Unit Price]] - SalesCleanTable[[#This Row],[Unit Cost]]</f>
        <v>1000</v>
      </c>
      <c r="AE1189" s="41">
        <f>(SalesCleanTable[[#This Row],[Unit Price]] - SalesCleanTable[[#This Row],[Unit Cost]]) / SalesCleanTable[[#This Row],[Unit Price]]</f>
        <v>0.29411764705882354</v>
      </c>
    </row>
    <row r="1190" spans="1:31">
      <c r="A1190" t="s">
        <v>1376</v>
      </c>
      <c r="B1190" s="6">
        <v>45900</v>
      </c>
      <c r="C1190" t="s">
        <v>24</v>
      </c>
      <c r="D1190" t="s">
        <v>25</v>
      </c>
      <c r="E1190" t="s">
        <v>26</v>
      </c>
      <c r="F1190" t="s">
        <v>27</v>
      </c>
      <c r="G1190" t="s">
        <v>28</v>
      </c>
      <c r="H1190" t="s">
        <v>135</v>
      </c>
      <c r="I1190" t="s">
        <v>136</v>
      </c>
      <c r="J1190" t="s">
        <v>137</v>
      </c>
      <c r="K1190" t="s">
        <v>138</v>
      </c>
      <c r="L1190" t="s">
        <v>170</v>
      </c>
      <c r="M1190" t="s">
        <v>167</v>
      </c>
      <c r="N1190">
        <v>1</v>
      </c>
      <c r="O1190" s="4">
        <v>14500</v>
      </c>
      <c r="P1190" s="4">
        <v>17500</v>
      </c>
      <c r="Q1190" s="7">
        <v>0</v>
      </c>
      <c r="R1190" t="s">
        <v>197</v>
      </c>
      <c r="S1190">
        <v>4</v>
      </c>
      <c r="T1190">
        <v>17500</v>
      </c>
      <c r="U1190">
        <v>0</v>
      </c>
      <c r="V1190">
        <v>17500</v>
      </c>
      <c r="W1190">
        <v>14500</v>
      </c>
      <c r="X1190">
        <v>3000</v>
      </c>
      <c r="Y1190" s="8">
        <v>0.17142857142857143</v>
      </c>
      <c r="Z1190" t="s">
        <v>2995</v>
      </c>
      <c r="AA1190" t="str">
        <f>IF(AND(SalesCleanTable[[#This Row],[Discount %]]&gt;0, SalesCleanTable[[#This Row],[Profit]]&lt;0), "Discount loss", "Safe")</f>
        <v>Safe</v>
      </c>
      <c r="AB1190" s="25">
        <f>(SalesCleanTable[[#This Row],[Unit Price]] - SalesCleanTable[[#This Row],[Unit Cost]]) / SalesCleanTable[[#This Row],[Unit Price]]</f>
        <v>0.17142857142857143</v>
      </c>
      <c r="AC1190" t="str">
        <f>IF(SalesCleanTable[[#This Row],[Discount %]] &gt; SalesCleanTable[[#This Row],[Max Allowed Discount]], "Discount loss", "Safe")</f>
        <v>Safe</v>
      </c>
      <c r="AD1190" s="4">
        <f>SalesCleanTable[[#This Row],[Unit Price]] - SalesCleanTable[[#This Row],[Unit Cost]]</f>
        <v>3000</v>
      </c>
      <c r="AE1190" s="41">
        <f>(SalesCleanTable[[#This Row],[Unit Price]] - SalesCleanTable[[#This Row],[Unit Cost]]) / SalesCleanTable[[#This Row],[Unit Price]]</f>
        <v>0.17142857142857143</v>
      </c>
    </row>
    <row r="1191" spans="1:31">
      <c r="A1191" t="s">
        <v>1377</v>
      </c>
      <c r="B1191" s="6">
        <v>45933</v>
      </c>
      <c r="C1191" t="s">
        <v>53</v>
      </c>
      <c r="D1191" t="s">
        <v>54</v>
      </c>
      <c r="E1191" t="s">
        <v>38</v>
      </c>
      <c r="F1191" t="s">
        <v>55</v>
      </c>
      <c r="G1191" t="s">
        <v>56</v>
      </c>
      <c r="H1191" t="s">
        <v>128</v>
      </c>
      <c r="I1191" t="s">
        <v>129</v>
      </c>
      <c r="J1191" t="s">
        <v>130</v>
      </c>
      <c r="K1191" t="s">
        <v>131</v>
      </c>
      <c r="L1191" t="s">
        <v>166</v>
      </c>
      <c r="M1191" t="s">
        <v>171</v>
      </c>
      <c r="N1191">
        <v>3</v>
      </c>
      <c r="O1191" s="4">
        <v>330</v>
      </c>
      <c r="P1191" s="4">
        <v>550</v>
      </c>
      <c r="Q1191" s="7">
        <v>0.1</v>
      </c>
      <c r="R1191" t="s">
        <v>178</v>
      </c>
      <c r="S1191">
        <v>6</v>
      </c>
      <c r="T1191">
        <v>1650</v>
      </c>
      <c r="U1191">
        <v>165</v>
      </c>
      <c r="V1191">
        <v>1485</v>
      </c>
      <c r="W1191">
        <v>990</v>
      </c>
      <c r="X1191">
        <v>495</v>
      </c>
      <c r="Y1191" s="8">
        <v>0.33333333333333331</v>
      </c>
      <c r="Z1191" t="s">
        <v>2996</v>
      </c>
      <c r="AA1191" t="str">
        <f>IF(AND(SalesCleanTable[[#This Row],[Discount %]]&gt;0, SalesCleanTable[[#This Row],[Profit]]&lt;0), "Discount loss", "Safe")</f>
        <v>Safe</v>
      </c>
      <c r="AB1191" s="25">
        <f>(SalesCleanTable[[#This Row],[Unit Price]] - SalesCleanTable[[#This Row],[Unit Cost]]) / SalesCleanTable[[#This Row],[Unit Price]]</f>
        <v>0.4</v>
      </c>
      <c r="AC1191" t="str">
        <f>IF(SalesCleanTable[[#This Row],[Discount %]] &gt; SalesCleanTable[[#This Row],[Max Allowed Discount]], "Discount loss", "Safe")</f>
        <v>Safe</v>
      </c>
      <c r="AD1191" s="4">
        <f>SalesCleanTable[[#This Row],[Unit Price]] - SalesCleanTable[[#This Row],[Unit Cost]]</f>
        <v>220</v>
      </c>
      <c r="AE1191" s="41">
        <f>(SalesCleanTable[[#This Row],[Unit Price]] - SalesCleanTable[[#This Row],[Unit Cost]]) / SalesCleanTable[[#This Row],[Unit Price]]</f>
        <v>0.4</v>
      </c>
    </row>
    <row r="1192" spans="1:31">
      <c r="A1192" t="s">
        <v>1378</v>
      </c>
      <c r="B1192" s="6">
        <v>45756</v>
      </c>
      <c r="C1192" t="s">
        <v>45</v>
      </c>
      <c r="D1192" t="s">
        <v>46</v>
      </c>
      <c r="E1192" t="s">
        <v>38</v>
      </c>
      <c r="F1192" t="s">
        <v>47</v>
      </c>
      <c r="G1192" t="s">
        <v>48</v>
      </c>
      <c r="H1192" t="s">
        <v>149</v>
      </c>
      <c r="I1192" t="s">
        <v>150</v>
      </c>
      <c r="J1192" t="s">
        <v>151</v>
      </c>
      <c r="K1192" t="s">
        <v>152</v>
      </c>
      <c r="L1192" t="s">
        <v>166</v>
      </c>
      <c r="M1192" t="s">
        <v>171</v>
      </c>
      <c r="N1192">
        <v>6</v>
      </c>
      <c r="O1192" s="4">
        <v>230</v>
      </c>
      <c r="P1192" s="4">
        <v>400</v>
      </c>
      <c r="Q1192" s="7">
        <v>0.1</v>
      </c>
      <c r="R1192" t="s">
        <v>175</v>
      </c>
      <c r="S1192">
        <v>5</v>
      </c>
      <c r="T1192">
        <v>2400</v>
      </c>
      <c r="U1192">
        <v>240</v>
      </c>
      <c r="V1192">
        <v>2160</v>
      </c>
      <c r="W1192">
        <v>1380</v>
      </c>
      <c r="X1192">
        <v>780</v>
      </c>
      <c r="Y1192" s="8">
        <v>0.3611111111111111</v>
      </c>
      <c r="Z1192" t="s">
        <v>2995</v>
      </c>
      <c r="AA1192" t="str">
        <f>IF(AND(SalesCleanTable[[#This Row],[Discount %]]&gt;0, SalesCleanTable[[#This Row],[Profit]]&lt;0), "Discount loss", "Safe")</f>
        <v>Safe</v>
      </c>
      <c r="AB1192" s="25">
        <f>(SalesCleanTable[[#This Row],[Unit Price]] - SalesCleanTable[[#This Row],[Unit Cost]]) / SalesCleanTable[[#This Row],[Unit Price]]</f>
        <v>0.42499999999999999</v>
      </c>
      <c r="AC1192" t="str">
        <f>IF(SalesCleanTable[[#This Row],[Discount %]] &gt; SalesCleanTable[[#This Row],[Max Allowed Discount]], "Discount loss", "Safe")</f>
        <v>Safe</v>
      </c>
      <c r="AD1192" s="4">
        <f>SalesCleanTable[[#This Row],[Unit Price]] - SalesCleanTable[[#This Row],[Unit Cost]]</f>
        <v>170</v>
      </c>
      <c r="AE1192" s="41">
        <f>(SalesCleanTable[[#This Row],[Unit Price]] - SalesCleanTable[[#This Row],[Unit Cost]]) / SalesCleanTable[[#This Row],[Unit Price]]</f>
        <v>0.42499999999999999</v>
      </c>
    </row>
    <row r="1193" spans="1:31">
      <c r="A1193" t="s">
        <v>1379</v>
      </c>
      <c r="B1193" s="6">
        <v>45986</v>
      </c>
      <c r="C1193" t="s">
        <v>78</v>
      </c>
      <c r="D1193" t="s">
        <v>79</v>
      </c>
      <c r="E1193" t="s">
        <v>75</v>
      </c>
      <c r="F1193" t="s">
        <v>80</v>
      </c>
      <c r="G1193" t="s">
        <v>81</v>
      </c>
      <c r="H1193" t="s">
        <v>128</v>
      </c>
      <c r="I1193" t="s">
        <v>129</v>
      </c>
      <c r="J1193" t="s">
        <v>130</v>
      </c>
      <c r="K1193" t="s">
        <v>131</v>
      </c>
      <c r="L1193" t="s">
        <v>166</v>
      </c>
      <c r="M1193" t="s">
        <v>167</v>
      </c>
      <c r="N1193">
        <v>1</v>
      </c>
      <c r="O1193" s="4">
        <v>1200</v>
      </c>
      <c r="P1193" s="4">
        <v>1900</v>
      </c>
      <c r="Q1193" s="7">
        <v>0.1</v>
      </c>
      <c r="R1193" t="s">
        <v>187</v>
      </c>
      <c r="S1193">
        <v>3</v>
      </c>
      <c r="T1193">
        <v>1900</v>
      </c>
      <c r="U1193">
        <v>190</v>
      </c>
      <c r="V1193">
        <v>1710</v>
      </c>
      <c r="W1193">
        <v>1200</v>
      </c>
      <c r="X1193">
        <v>510</v>
      </c>
      <c r="Y1193" s="8">
        <v>0.2982456140350877</v>
      </c>
      <c r="Z1193" t="s">
        <v>2996</v>
      </c>
      <c r="AA1193" t="str">
        <f>IF(AND(SalesCleanTable[[#This Row],[Discount %]]&gt;0, SalesCleanTable[[#This Row],[Profit]]&lt;0), "Discount loss", "Safe")</f>
        <v>Safe</v>
      </c>
      <c r="AB1193" s="25">
        <f>(SalesCleanTable[[#This Row],[Unit Price]] - SalesCleanTable[[#This Row],[Unit Cost]]) / SalesCleanTable[[#This Row],[Unit Price]]</f>
        <v>0.36842105263157893</v>
      </c>
      <c r="AC1193" t="str">
        <f>IF(SalesCleanTable[[#This Row],[Discount %]] &gt; SalesCleanTable[[#This Row],[Max Allowed Discount]], "Discount loss", "Safe")</f>
        <v>Safe</v>
      </c>
      <c r="AD1193" s="4">
        <f>SalesCleanTable[[#This Row],[Unit Price]] - SalesCleanTable[[#This Row],[Unit Cost]]</f>
        <v>700</v>
      </c>
      <c r="AE1193" s="41">
        <f>(SalesCleanTable[[#This Row],[Unit Price]] - SalesCleanTable[[#This Row],[Unit Cost]]) / SalesCleanTable[[#This Row],[Unit Price]]</f>
        <v>0.36842105263157893</v>
      </c>
    </row>
    <row r="1194" spans="1:31">
      <c r="A1194" t="s">
        <v>1380</v>
      </c>
      <c r="B1194" s="6">
        <v>45958</v>
      </c>
      <c r="C1194" t="s">
        <v>78</v>
      </c>
      <c r="D1194" t="s">
        <v>79</v>
      </c>
      <c r="E1194" t="s">
        <v>75</v>
      </c>
      <c r="F1194" t="s">
        <v>80</v>
      </c>
      <c r="G1194" t="s">
        <v>81</v>
      </c>
      <c r="H1194" t="s">
        <v>135</v>
      </c>
      <c r="I1194" t="s">
        <v>136</v>
      </c>
      <c r="J1194" t="s">
        <v>137</v>
      </c>
      <c r="K1194" t="s">
        <v>138</v>
      </c>
      <c r="L1194" t="s">
        <v>183</v>
      </c>
      <c r="M1194" t="s">
        <v>171</v>
      </c>
      <c r="N1194">
        <v>3</v>
      </c>
      <c r="O1194" s="4">
        <v>1200</v>
      </c>
      <c r="P1194" s="4">
        <v>1900</v>
      </c>
      <c r="Q1194" s="7">
        <v>0.15</v>
      </c>
      <c r="R1194" t="s">
        <v>204</v>
      </c>
      <c r="S1194">
        <v>14</v>
      </c>
      <c r="T1194">
        <v>5700</v>
      </c>
      <c r="U1194">
        <v>855</v>
      </c>
      <c r="V1194">
        <v>4845</v>
      </c>
      <c r="W1194">
        <v>3600</v>
      </c>
      <c r="X1194">
        <v>1245</v>
      </c>
      <c r="Y1194" s="8">
        <v>0.25696594427244585</v>
      </c>
      <c r="Z1194" t="s">
        <v>2996</v>
      </c>
      <c r="AA1194" t="str">
        <f>IF(AND(SalesCleanTable[[#This Row],[Discount %]]&gt;0, SalesCleanTable[[#This Row],[Profit]]&lt;0), "Discount loss", "Safe")</f>
        <v>Safe</v>
      </c>
      <c r="AB1194" s="25">
        <f>(SalesCleanTable[[#This Row],[Unit Price]] - SalesCleanTable[[#This Row],[Unit Cost]]) / SalesCleanTable[[#This Row],[Unit Price]]</f>
        <v>0.36842105263157893</v>
      </c>
      <c r="AC1194" t="str">
        <f>IF(SalesCleanTable[[#This Row],[Discount %]] &gt; SalesCleanTable[[#This Row],[Max Allowed Discount]], "Discount loss", "Safe")</f>
        <v>Safe</v>
      </c>
      <c r="AD1194" s="4">
        <f>SalesCleanTable[[#This Row],[Unit Price]] - SalesCleanTable[[#This Row],[Unit Cost]]</f>
        <v>700</v>
      </c>
      <c r="AE1194" s="41">
        <f>(SalesCleanTable[[#This Row],[Unit Price]] - SalesCleanTable[[#This Row],[Unit Cost]]) / SalesCleanTable[[#This Row],[Unit Price]]</f>
        <v>0.36842105263157893</v>
      </c>
    </row>
    <row r="1195" spans="1:31">
      <c r="A1195" t="s">
        <v>1381</v>
      </c>
      <c r="B1195" s="6">
        <v>45900</v>
      </c>
      <c r="C1195" t="s">
        <v>41</v>
      </c>
      <c r="D1195" t="s">
        <v>42</v>
      </c>
      <c r="E1195" t="s">
        <v>26</v>
      </c>
      <c r="F1195" t="s">
        <v>43</v>
      </c>
      <c r="G1195" t="s">
        <v>44</v>
      </c>
      <c r="H1195" t="s">
        <v>128</v>
      </c>
      <c r="I1195" t="s">
        <v>129</v>
      </c>
      <c r="J1195" t="s">
        <v>130</v>
      </c>
      <c r="K1195" t="s">
        <v>131</v>
      </c>
      <c r="L1195" t="s">
        <v>170</v>
      </c>
      <c r="M1195" t="s">
        <v>171</v>
      </c>
      <c r="N1195">
        <v>2</v>
      </c>
      <c r="O1195" s="4">
        <v>850</v>
      </c>
      <c r="P1195" s="4">
        <v>1300</v>
      </c>
      <c r="Q1195" s="7">
        <v>0</v>
      </c>
      <c r="R1195" t="s">
        <v>197</v>
      </c>
      <c r="S1195">
        <v>3</v>
      </c>
      <c r="T1195">
        <v>2600</v>
      </c>
      <c r="U1195">
        <v>0</v>
      </c>
      <c r="V1195">
        <v>2600</v>
      </c>
      <c r="W1195">
        <v>1700</v>
      </c>
      <c r="X1195">
        <v>900</v>
      </c>
      <c r="Y1195" s="8">
        <v>0.34615384615384615</v>
      </c>
      <c r="Z1195" t="s">
        <v>2995</v>
      </c>
      <c r="AA1195" t="str">
        <f>IF(AND(SalesCleanTable[[#This Row],[Discount %]]&gt;0, SalesCleanTable[[#This Row],[Profit]]&lt;0), "Discount loss", "Safe")</f>
        <v>Safe</v>
      </c>
      <c r="AB1195" s="25">
        <f>(SalesCleanTable[[#This Row],[Unit Price]] - SalesCleanTable[[#This Row],[Unit Cost]]) / SalesCleanTable[[#This Row],[Unit Price]]</f>
        <v>0.34615384615384615</v>
      </c>
      <c r="AC1195" t="str">
        <f>IF(SalesCleanTable[[#This Row],[Discount %]] &gt; SalesCleanTable[[#This Row],[Max Allowed Discount]], "Discount loss", "Safe")</f>
        <v>Safe</v>
      </c>
      <c r="AD1195" s="4">
        <f>SalesCleanTable[[#This Row],[Unit Price]] - SalesCleanTable[[#This Row],[Unit Cost]]</f>
        <v>450</v>
      </c>
      <c r="AE1195" s="41">
        <f>(SalesCleanTable[[#This Row],[Unit Price]] - SalesCleanTable[[#This Row],[Unit Cost]]) / SalesCleanTable[[#This Row],[Unit Price]]</f>
        <v>0.34615384615384615</v>
      </c>
    </row>
    <row r="1196" spans="1:31">
      <c r="A1196" t="s">
        <v>1382</v>
      </c>
      <c r="B1196" s="6">
        <v>45658</v>
      </c>
      <c r="C1196" t="s">
        <v>45</v>
      </c>
      <c r="D1196" t="s">
        <v>46</v>
      </c>
      <c r="E1196" t="s">
        <v>38</v>
      </c>
      <c r="F1196" t="s">
        <v>47</v>
      </c>
      <c r="G1196" t="s">
        <v>48</v>
      </c>
      <c r="H1196" t="s">
        <v>149</v>
      </c>
      <c r="I1196" t="s">
        <v>150</v>
      </c>
      <c r="J1196" t="s">
        <v>151</v>
      </c>
      <c r="K1196" t="s">
        <v>152</v>
      </c>
      <c r="L1196" t="s">
        <v>166</v>
      </c>
      <c r="M1196" t="s">
        <v>171</v>
      </c>
      <c r="N1196">
        <v>1</v>
      </c>
      <c r="O1196" s="4">
        <v>230</v>
      </c>
      <c r="P1196" s="4">
        <v>400</v>
      </c>
      <c r="Q1196" s="7">
        <v>0.05</v>
      </c>
      <c r="R1196" t="s">
        <v>175</v>
      </c>
      <c r="S1196">
        <v>5</v>
      </c>
      <c r="T1196">
        <v>400</v>
      </c>
      <c r="U1196">
        <v>20</v>
      </c>
      <c r="V1196">
        <v>380</v>
      </c>
      <c r="W1196">
        <v>230</v>
      </c>
      <c r="X1196">
        <v>150</v>
      </c>
      <c r="Y1196" s="8">
        <v>0.39473684210526316</v>
      </c>
      <c r="Z1196" t="s">
        <v>2995</v>
      </c>
      <c r="AA1196" t="str">
        <f>IF(AND(SalesCleanTable[[#This Row],[Discount %]]&gt;0, SalesCleanTable[[#This Row],[Profit]]&lt;0), "Discount loss", "Safe")</f>
        <v>Safe</v>
      </c>
      <c r="AB1196" s="25">
        <f>(SalesCleanTable[[#This Row],[Unit Price]] - SalesCleanTable[[#This Row],[Unit Cost]]) / SalesCleanTable[[#This Row],[Unit Price]]</f>
        <v>0.42499999999999999</v>
      </c>
      <c r="AC1196" t="str">
        <f>IF(SalesCleanTable[[#This Row],[Discount %]] &gt; SalesCleanTable[[#This Row],[Max Allowed Discount]], "Discount loss", "Safe")</f>
        <v>Safe</v>
      </c>
      <c r="AD1196" s="4">
        <f>SalesCleanTable[[#This Row],[Unit Price]] - SalesCleanTable[[#This Row],[Unit Cost]]</f>
        <v>170</v>
      </c>
      <c r="AE1196" s="41">
        <f>(SalesCleanTable[[#This Row],[Unit Price]] - SalesCleanTable[[#This Row],[Unit Cost]]) / SalesCleanTable[[#This Row],[Unit Price]]</f>
        <v>0.42499999999999999</v>
      </c>
    </row>
    <row r="1197" spans="1:31">
      <c r="A1197" t="s">
        <v>1383</v>
      </c>
      <c r="B1197" s="6">
        <v>45718</v>
      </c>
      <c r="C1197" t="s">
        <v>41</v>
      </c>
      <c r="D1197" t="s">
        <v>42</v>
      </c>
      <c r="E1197" t="s">
        <v>26</v>
      </c>
      <c r="F1197" t="s">
        <v>43</v>
      </c>
      <c r="G1197" t="s">
        <v>44</v>
      </c>
      <c r="H1197" t="s">
        <v>135</v>
      </c>
      <c r="I1197" t="s">
        <v>136</v>
      </c>
      <c r="J1197" t="s">
        <v>137</v>
      </c>
      <c r="K1197" t="s">
        <v>138</v>
      </c>
      <c r="L1197" t="s">
        <v>166</v>
      </c>
      <c r="M1197" t="s">
        <v>171</v>
      </c>
      <c r="N1197">
        <v>5</v>
      </c>
      <c r="O1197" s="4">
        <v>850</v>
      </c>
      <c r="P1197" s="4">
        <v>1300</v>
      </c>
      <c r="Q1197" s="7">
        <v>0.1</v>
      </c>
      <c r="R1197" t="s">
        <v>194</v>
      </c>
      <c r="S1197">
        <v>9</v>
      </c>
      <c r="T1197">
        <v>6500</v>
      </c>
      <c r="U1197">
        <v>650</v>
      </c>
      <c r="V1197">
        <v>5850</v>
      </c>
      <c r="W1197">
        <v>4250</v>
      </c>
      <c r="X1197">
        <v>1600</v>
      </c>
      <c r="Y1197" s="8">
        <v>0.27350427350427353</v>
      </c>
      <c r="Z1197" t="s">
        <v>2995</v>
      </c>
      <c r="AA1197" t="str">
        <f>IF(AND(SalesCleanTable[[#This Row],[Discount %]]&gt;0, SalesCleanTable[[#This Row],[Profit]]&lt;0), "Discount loss", "Safe")</f>
        <v>Safe</v>
      </c>
      <c r="AB1197" s="25">
        <f>(SalesCleanTable[[#This Row],[Unit Price]] - SalesCleanTable[[#This Row],[Unit Cost]]) / SalesCleanTable[[#This Row],[Unit Price]]</f>
        <v>0.34615384615384615</v>
      </c>
      <c r="AC1197" t="str">
        <f>IF(SalesCleanTable[[#This Row],[Discount %]] &gt; SalesCleanTable[[#This Row],[Max Allowed Discount]], "Discount loss", "Safe")</f>
        <v>Safe</v>
      </c>
      <c r="AD1197" s="4">
        <f>SalesCleanTable[[#This Row],[Unit Price]] - SalesCleanTable[[#This Row],[Unit Cost]]</f>
        <v>450</v>
      </c>
      <c r="AE1197" s="41">
        <f>(SalesCleanTable[[#This Row],[Unit Price]] - SalesCleanTable[[#This Row],[Unit Cost]]) / SalesCleanTable[[#This Row],[Unit Price]]</f>
        <v>0.34615384615384615</v>
      </c>
    </row>
    <row r="1198" spans="1:31">
      <c r="A1198" t="s">
        <v>1384</v>
      </c>
      <c r="B1198" s="6">
        <v>45967</v>
      </c>
      <c r="C1198" t="s">
        <v>99</v>
      </c>
      <c r="D1198" t="s">
        <v>100</v>
      </c>
      <c r="E1198" t="s">
        <v>92</v>
      </c>
      <c r="F1198" t="s">
        <v>101</v>
      </c>
      <c r="G1198" t="s">
        <v>102</v>
      </c>
      <c r="H1198" t="s">
        <v>153</v>
      </c>
      <c r="I1198" t="s">
        <v>154</v>
      </c>
      <c r="J1198" t="s">
        <v>155</v>
      </c>
      <c r="K1198" t="s">
        <v>131</v>
      </c>
      <c r="L1198" t="s">
        <v>183</v>
      </c>
      <c r="M1198" t="s">
        <v>171</v>
      </c>
      <c r="N1198">
        <v>8</v>
      </c>
      <c r="O1198" s="4">
        <v>12500</v>
      </c>
      <c r="P1198" s="4">
        <v>18500</v>
      </c>
      <c r="Q1198" s="7">
        <v>0.15</v>
      </c>
      <c r="R1198" t="s">
        <v>215</v>
      </c>
      <c r="S1198">
        <v>8</v>
      </c>
      <c r="T1198">
        <v>148000</v>
      </c>
      <c r="U1198">
        <v>22200</v>
      </c>
      <c r="V1198">
        <v>125800</v>
      </c>
      <c r="W1198">
        <v>100000</v>
      </c>
      <c r="X1198">
        <v>25800</v>
      </c>
      <c r="Y1198" s="8">
        <v>0.20508744038155802</v>
      </c>
      <c r="Z1198" t="s">
        <v>2995</v>
      </c>
      <c r="AA1198" t="str">
        <f>IF(AND(SalesCleanTable[[#This Row],[Discount %]]&gt;0, SalesCleanTable[[#This Row],[Profit]]&lt;0), "Discount loss", "Safe")</f>
        <v>Safe</v>
      </c>
      <c r="AB1198" s="25">
        <f>(SalesCleanTable[[#This Row],[Unit Price]] - SalesCleanTable[[#This Row],[Unit Cost]]) / SalesCleanTable[[#This Row],[Unit Price]]</f>
        <v>0.32432432432432434</v>
      </c>
      <c r="AC1198" t="str">
        <f>IF(SalesCleanTable[[#This Row],[Discount %]] &gt; SalesCleanTable[[#This Row],[Max Allowed Discount]], "Discount loss", "Safe")</f>
        <v>Safe</v>
      </c>
      <c r="AD1198" s="4">
        <f>SalesCleanTable[[#This Row],[Unit Price]] - SalesCleanTable[[#This Row],[Unit Cost]]</f>
        <v>6000</v>
      </c>
      <c r="AE1198" s="41">
        <f>(SalesCleanTable[[#This Row],[Unit Price]] - SalesCleanTable[[#This Row],[Unit Cost]]) / SalesCleanTable[[#This Row],[Unit Price]]</f>
        <v>0.32432432432432434</v>
      </c>
    </row>
    <row r="1199" spans="1:31">
      <c r="A1199" t="s">
        <v>1385</v>
      </c>
      <c r="B1199" s="6">
        <v>45786</v>
      </c>
      <c r="C1199" t="s">
        <v>78</v>
      </c>
      <c r="D1199" t="s">
        <v>79</v>
      </c>
      <c r="E1199" t="s">
        <v>75</v>
      </c>
      <c r="F1199" t="s">
        <v>80</v>
      </c>
      <c r="G1199" t="s">
        <v>81</v>
      </c>
      <c r="H1199" t="s">
        <v>139</v>
      </c>
      <c r="I1199" t="s">
        <v>140</v>
      </c>
      <c r="J1199" t="s">
        <v>137</v>
      </c>
      <c r="K1199" t="s">
        <v>138</v>
      </c>
      <c r="L1199" t="s">
        <v>166</v>
      </c>
      <c r="M1199" t="s">
        <v>186</v>
      </c>
      <c r="N1199">
        <v>2</v>
      </c>
      <c r="O1199" s="4">
        <v>1200</v>
      </c>
      <c r="P1199" s="4">
        <v>1900</v>
      </c>
      <c r="Q1199" s="7">
        <v>0.05</v>
      </c>
      <c r="R1199" t="s">
        <v>208</v>
      </c>
      <c r="S1199">
        <v>13</v>
      </c>
      <c r="T1199">
        <v>3800</v>
      </c>
      <c r="U1199">
        <v>190</v>
      </c>
      <c r="V1199">
        <v>3610</v>
      </c>
      <c r="W1199">
        <v>2400</v>
      </c>
      <c r="X1199">
        <v>1210</v>
      </c>
      <c r="Y1199" s="8">
        <v>0.33518005540166207</v>
      </c>
      <c r="Z1199" t="s">
        <v>2996</v>
      </c>
      <c r="AA1199" t="str">
        <f>IF(AND(SalesCleanTable[[#This Row],[Discount %]]&gt;0, SalesCleanTable[[#This Row],[Profit]]&lt;0), "Discount loss", "Safe")</f>
        <v>Safe</v>
      </c>
      <c r="AB1199" s="25">
        <f>(SalesCleanTable[[#This Row],[Unit Price]] - SalesCleanTable[[#This Row],[Unit Cost]]) / SalesCleanTable[[#This Row],[Unit Price]]</f>
        <v>0.36842105263157893</v>
      </c>
      <c r="AC1199" t="str">
        <f>IF(SalesCleanTable[[#This Row],[Discount %]] &gt; SalesCleanTable[[#This Row],[Max Allowed Discount]], "Discount loss", "Safe")</f>
        <v>Safe</v>
      </c>
      <c r="AD1199" s="4">
        <f>SalesCleanTable[[#This Row],[Unit Price]] - SalesCleanTable[[#This Row],[Unit Cost]]</f>
        <v>700</v>
      </c>
      <c r="AE1199" s="41">
        <f>(SalesCleanTable[[#This Row],[Unit Price]] - SalesCleanTable[[#This Row],[Unit Cost]]) / SalesCleanTable[[#This Row],[Unit Price]]</f>
        <v>0.36842105263157893</v>
      </c>
    </row>
    <row r="1200" spans="1:31">
      <c r="A1200" t="s">
        <v>1386</v>
      </c>
      <c r="B1200" s="6">
        <v>45875</v>
      </c>
      <c r="C1200" t="s">
        <v>41</v>
      </c>
      <c r="D1200" t="s">
        <v>42</v>
      </c>
      <c r="E1200" t="s">
        <v>26</v>
      </c>
      <c r="F1200" t="s">
        <v>43</v>
      </c>
      <c r="G1200" t="s">
        <v>44</v>
      </c>
      <c r="H1200" t="s">
        <v>139</v>
      </c>
      <c r="I1200" t="s">
        <v>140</v>
      </c>
      <c r="J1200" t="s">
        <v>137</v>
      </c>
      <c r="K1200" t="s">
        <v>138</v>
      </c>
      <c r="L1200" t="s">
        <v>166</v>
      </c>
      <c r="M1200" t="s">
        <v>177</v>
      </c>
      <c r="N1200">
        <v>10</v>
      </c>
      <c r="O1200" s="4">
        <v>850</v>
      </c>
      <c r="P1200" s="4">
        <v>1300</v>
      </c>
      <c r="Q1200" s="7">
        <v>0.2</v>
      </c>
      <c r="R1200" t="s">
        <v>173</v>
      </c>
      <c r="S1200">
        <v>1</v>
      </c>
      <c r="T1200">
        <v>13000</v>
      </c>
      <c r="U1200">
        <v>2600</v>
      </c>
      <c r="V1200">
        <v>10400</v>
      </c>
      <c r="W1200">
        <v>8500</v>
      </c>
      <c r="X1200">
        <v>1900</v>
      </c>
      <c r="Y1200" s="8">
        <v>0.18269230769230768</v>
      </c>
      <c r="Z1200" t="s">
        <v>2995</v>
      </c>
      <c r="AA1200" t="str">
        <f>IF(AND(SalesCleanTable[[#This Row],[Discount %]]&gt;0, SalesCleanTable[[#This Row],[Profit]]&lt;0), "Discount loss", "Safe")</f>
        <v>Safe</v>
      </c>
      <c r="AB1200" s="25">
        <f>(SalesCleanTable[[#This Row],[Unit Price]] - SalesCleanTable[[#This Row],[Unit Cost]]) / SalesCleanTable[[#This Row],[Unit Price]]</f>
        <v>0.34615384615384615</v>
      </c>
      <c r="AC1200" t="str">
        <f>IF(SalesCleanTable[[#This Row],[Discount %]] &gt; SalesCleanTable[[#This Row],[Max Allowed Discount]], "Discount loss", "Safe")</f>
        <v>Safe</v>
      </c>
      <c r="AD1200" s="4">
        <f>SalesCleanTable[[#This Row],[Unit Price]] - SalesCleanTable[[#This Row],[Unit Cost]]</f>
        <v>450</v>
      </c>
      <c r="AE1200" s="41">
        <f>(SalesCleanTable[[#This Row],[Unit Price]] - SalesCleanTable[[#This Row],[Unit Cost]]) / SalesCleanTable[[#This Row],[Unit Price]]</f>
        <v>0.34615384615384615</v>
      </c>
    </row>
    <row r="1201" spans="1:31">
      <c r="A1201" t="s">
        <v>1387</v>
      </c>
      <c r="B1201" s="6">
        <v>45842</v>
      </c>
      <c r="C1201" t="s">
        <v>57</v>
      </c>
      <c r="D1201" t="s">
        <v>58</v>
      </c>
      <c r="E1201" t="s">
        <v>59</v>
      </c>
      <c r="F1201" t="s">
        <v>60</v>
      </c>
      <c r="G1201" t="s">
        <v>61</v>
      </c>
      <c r="H1201" t="s">
        <v>128</v>
      </c>
      <c r="I1201" t="s">
        <v>129</v>
      </c>
      <c r="J1201" t="s">
        <v>130</v>
      </c>
      <c r="K1201" t="s">
        <v>131</v>
      </c>
      <c r="L1201" t="s">
        <v>166</v>
      </c>
      <c r="M1201" t="s">
        <v>167</v>
      </c>
      <c r="N1201">
        <v>2</v>
      </c>
      <c r="O1201" s="4">
        <v>2400</v>
      </c>
      <c r="P1201" s="4">
        <v>3400</v>
      </c>
      <c r="Q1201" s="7">
        <v>0</v>
      </c>
      <c r="R1201" t="s">
        <v>192</v>
      </c>
      <c r="S1201">
        <v>10</v>
      </c>
      <c r="T1201">
        <v>6800</v>
      </c>
      <c r="U1201">
        <v>0</v>
      </c>
      <c r="V1201">
        <v>6800</v>
      </c>
      <c r="W1201">
        <v>4800</v>
      </c>
      <c r="X1201">
        <v>2000</v>
      </c>
      <c r="Y1201" s="8">
        <v>0.29411764705882354</v>
      </c>
      <c r="Z1201" t="s">
        <v>2996</v>
      </c>
      <c r="AA1201" t="str">
        <f>IF(AND(SalesCleanTable[[#This Row],[Discount %]]&gt;0, SalesCleanTable[[#This Row],[Profit]]&lt;0), "Discount loss", "Safe")</f>
        <v>Safe</v>
      </c>
      <c r="AB1201" s="25">
        <f>(SalesCleanTable[[#This Row],[Unit Price]] - SalesCleanTable[[#This Row],[Unit Cost]]) / SalesCleanTable[[#This Row],[Unit Price]]</f>
        <v>0.29411764705882354</v>
      </c>
      <c r="AC1201" t="str">
        <f>IF(SalesCleanTable[[#This Row],[Discount %]] &gt; SalesCleanTable[[#This Row],[Max Allowed Discount]], "Discount loss", "Safe")</f>
        <v>Safe</v>
      </c>
      <c r="AD1201" s="4">
        <f>SalesCleanTable[[#This Row],[Unit Price]] - SalesCleanTable[[#This Row],[Unit Cost]]</f>
        <v>1000</v>
      </c>
      <c r="AE1201" s="41">
        <f>(SalesCleanTable[[#This Row],[Unit Price]] - SalesCleanTable[[#This Row],[Unit Cost]]) / SalesCleanTable[[#This Row],[Unit Price]]</f>
        <v>0.29411764705882354</v>
      </c>
    </row>
    <row r="1202" spans="1:31">
      <c r="A1202" t="s">
        <v>1388</v>
      </c>
      <c r="B1202" s="6">
        <v>45989</v>
      </c>
      <c r="C1202" t="s">
        <v>45</v>
      </c>
      <c r="D1202" t="s">
        <v>46</v>
      </c>
      <c r="E1202" t="s">
        <v>38</v>
      </c>
      <c r="F1202" t="s">
        <v>47</v>
      </c>
      <c r="G1202" t="s">
        <v>48</v>
      </c>
      <c r="H1202" t="s">
        <v>139</v>
      </c>
      <c r="I1202" t="s">
        <v>140</v>
      </c>
      <c r="J1202" t="s">
        <v>137</v>
      </c>
      <c r="K1202" t="s">
        <v>138</v>
      </c>
      <c r="L1202" t="s">
        <v>166</v>
      </c>
      <c r="M1202" t="s">
        <v>171</v>
      </c>
      <c r="N1202">
        <v>1</v>
      </c>
      <c r="O1202" s="4">
        <v>230</v>
      </c>
      <c r="P1202" s="4">
        <v>400</v>
      </c>
      <c r="Q1202" s="7">
        <v>0.1</v>
      </c>
      <c r="R1202" t="s">
        <v>168</v>
      </c>
      <c r="S1202">
        <v>14</v>
      </c>
      <c r="T1202">
        <v>400</v>
      </c>
      <c r="U1202">
        <v>40</v>
      </c>
      <c r="V1202">
        <v>360</v>
      </c>
      <c r="W1202">
        <v>230</v>
      </c>
      <c r="X1202">
        <v>130</v>
      </c>
      <c r="Y1202" s="8">
        <v>0.3611111111111111</v>
      </c>
      <c r="Z1202" t="s">
        <v>2995</v>
      </c>
      <c r="AA1202" t="str">
        <f>IF(AND(SalesCleanTable[[#This Row],[Discount %]]&gt;0, SalesCleanTable[[#This Row],[Profit]]&lt;0), "Discount loss", "Safe")</f>
        <v>Safe</v>
      </c>
      <c r="AB1202" s="25">
        <f>(SalesCleanTable[[#This Row],[Unit Price]] - SalesCleanTable[[#This Row],[Unit Cost]]) / SalesCleanTable[[#This Row],[Unit Price]]</f>
        <v>0.42499999999999999</v>
      </c>
      <c r="AC1202" t="str">
        <f>IF(SalesCleanTable[[#This Row],[Discount %]] &gt; SalesCleanTable[[#This Row],[Max Allowed Discount]], "Discount loss", "Safe")</f>
        <v>Safe</v>
      </c>
      <c r="AD1202" s="4">
        <f>SalesCleanTable[[#This Row],[Unit Price]] - SalesCleanTable[[#This Row],[Unit Cost]]</f>
        <v>170</v>
      </c>
      <c r="AE1202" s="41">
        <f>(SalesCleanTable[[#This Row],[Unit Price]] - SalesCleanTable[[#This Row],[Unit Cost]]) / SalesCleanTable[[#This Row],[Unit Price]]</f>
        <v>0.42499999999999999</v>
      </c>
    </row>
    <row r="1203" spans="1:31">
      <c r="A1203" t="s">
        <v>1389</v>
      </c>
      <c r="B1203" s="6">
        <v>45899</v>
      </c>
      <c r="C1203" t="s">
        <v>120</v>
      </c>
      <c r="D1203" t="s">
        <v>121</v>
      </c>
      <c r="E1203" t="s">
        <v>109</v>
      </c>
      <c r="F1203" t="s">
        <v>93</v>
      </c>
      <c r="G1203" t="s">
        <v>122</v>
      </c>
      <c r="H1203" t="s">
        <v>141</v>
      </c>
      <c r="I1203" t="s">
        <v>142</v>
      </c>
      <c r="J1203" t="s">
        <v>143</v>
      </c>
      <c r="K1203" t="s">
        <v>144</v>
      </c>
      <c r="L1203" t="s">
        <v>183</v>
      </c>
      <c r="M1203" t="s">
        <v>171</v>
      </c>
      <c r="N1203">
        <v>3</v>
      </c>
      <c r="O1203" s="4">
        <v>1700</v>
      </c>
      <c r="P1203" s="4">
        <v>2800</v>
      </c>
      <c r="Q1203" s="7">
        <v>0.15</v>
      </c>
      <c r="R1203" t="s">
        <v>235</v>
      </c>
      <c r="S1203">
        <v>1</v>
      </c>
      <c r="T1203">
        <v>8400</v>
      </c>
      <c r="U1203">
        <v>1260</v>
      </c>
      <c r="V1203">
        <v>7140</v>
      </c>
      <c r="W1203">
        <v>5100</v>
      </c>
      <c r="X1203">
        <v>2040</v>
      </c>
      <c r="Y1203" s="8">
        <v>0.2857142857142857</v>
      </c>
      <c r="Z1203" t="s">
        <v>2997</v>
      </c>
      <c r="AA1203" t="str">
        <f>IF(AND(SalesCleanTable[[#This Row],[Discount %]]&gt;0, SalesCleanTable[[#This Row],[Profit]]&lt;0), "Discount loss", "Safe")</f>
        <v>Safe</v>
      </c>
      <c r="AB1203" s="25">
        <f>(SalesCleanTable[[#This Row],[Unit Price]] - SalesCleanTable[[#This Row],[Unit Cost]]) / SalesCleanTable[[#This Row],[Unit Price]]</f>
        <v>0.39285714285714285</v>
      </c>
      <c r="AC1203" t="str">
        <f>IF(SalesCleanTable[[#This Row],[Discount %]] &gt; SalesCleanTable[[#This Row],[Max Allowed Discount]], "Discount loss", "Safe")</f>
        <v>Safe</v>
      </c>
      <c r="AD1203" s="4">
        <f>SalesCleanTable[[#This Row],[Unit Price]] - SalesCleanTable[[#This Row],[Unit Cost]]</f>
        <v>1100</v>
      </c>
      <c r="AE1203" s="41">
        <f>(SalesCleanTable[[#This Row],[Unit Price]] - SalesCleanTable[[#This Row],[Unit Cost]]) / SalesCleanTable[[#This Row],[Unit Price]]</f>
        <v>0.39285714285714285</v>
      </c>
    </row>
    <row r="1204" spans="1:31">
      <c r="A1204" t="s">
        <v>1390</v>
      </c>
      <c r="B1204" s="6">
        <v>45971</v>
      </c>
      <c r="C1204" t="s">
        <v>107</v>
      </c>
      <c r="D1204" t="s">
        <v>108</v>
      </c>
      <c r="E1204" t="s">
        <v>109</v>
      </c>
      <c r="F1204" t="s">
        <v>110</v>
      </c>
      <c r="G1204" t="s">
        <v>111</v>
      </c>
      <c r="H1204" t="s">
        <v>133</v>
      </c>
      <c r="I1204" t="s">
        <v>134</v>
      </c>
      <c r="J1204" t="s">
        <v>130</v>
      </c>
      <c r="K1204" t="s">
        <v>131</v>
      </c>
      <c r="L1204" t="s">
        <v>166</v>
      </c>
      <c r="M1204" t="s">
        <v>186</v>
      </c>
      <c r="N1204">
        <v>4</v>
      </c>
      <c r="O1204" s="4">
        <v>5200</v>
      </c>
      <c r="P1204" s="4">
        <v>7000</v>
      </c>
      <c r="Q1204" s="7">
        <v>0.25</v>
      </c>
      <c r="R1204" t="s">
        <v>235</v>
      </c>
      <c r="S1204">
        <v>1</v>
      </c>
      <c r="T1204">
        <v>28000</v>
      </c>
      <c r="U1204">
        <v>7000</v>
      </c>
      <c r="V1204">
        <v>21000</v>
      </c>
      <c r="W1204">
        <v>20800</v>
      </c>
      <c r="X1204">
        <v>200</v>
      </c>
      <c r="Y1204" s="8">
        <v>9.5238095238095247E-3</v>
      </c>
      <c r="Z1204" t="s">
        <v>2997</v>
      </c>
      <c r="AA1204" t="str">
        <f>IF(AND(SalesCleanTable[[#This Row],[Discount %]]&gt;0, SalesCleanTable[[#This Row],[Profit]]&lt;0), "Discount loss", "Safe")</f>
        <v>Safe</v>
      </c>
      <c r="AB1204" s="25">
        <f>(SalesCleanTable[[#This Row],[Unit Price]] - SalesCleanTable[[#This Row],[Unit Cost]]) / SalesCleanTable[[#This Row],[Unit Price]]</f>
        <v>0.25714285714285712</v>
      </c>
      <c r="AC1204" t="str">
        <f>IF(SalesCleanTable[[#This Row],[Discount %]] &gt; SalesCleanTable[[#This Row],[Max Allowed Discount]], "Discount loss", "Safe")</f>
        <v>Safe</v>
      </c>
      <c r="AD1204" s="4">
        <f>SalesCleanTable[[#This Row],[Unit Price]] - SalesCleanTable[[#This Row],[Unit Cost]]</f>
        <v>1800</v>
      </c>
      <c r="AE1204" s="41">
        <f>(SalesCleanTable[[#This Row],[Unit Price]] - SalesCleanTable[[#This Row],[Unit Cost]]) / SalesCleanTable[[#This Row],[Unit Price]]</f>
        <v>0.25714285714285712</v>
      </c>
    </row>
    <row r="1205" spans="1:31">
      <c r="A1205" t="s">
        <v>1391</v>
      </c>
      <c r="B1205" s="6">
        <v>46021</v>
      </c>
      <c r="C1205" t="s">
        <v>29</v>
      </c>
      <c r="D1205" t="s">
        <v>30</v>
      </c>
      <c r="E1205" t="s">
        <v>26</v>
      </c>
      <c r="F1205" t="s">
        <v>27</v>
      </c>
      <c r="G1205" t="s">
        <v>31</v>
      </c>
      <c r="H1205" t="s">
        <v>128</v>
      </c>
      <c r="I1205" t="s">
        <v>129</v>
      </c>
      <c r="J1205" t="s">
        <v>130</v>
      </c>
      <c r="K1205" t="s">
        <v>131</v>
      </c>
      <c r="L1205" t="s">
        <v>166</v>
      </c>
      <c r="M1205" t="s">
        <v>171</v>
      </c>
      <c r="N1205">
        <v>3</v>
      </c>
      <c r="O1205" s="4">
        <v>6200</v>
      </c>
      <c r="P1205" s="4">
        <v>7900</v>
      </c>
      <c r="Q1205" s="7">
        <v>0.2</v>
      </c>
      <c r="R1205" t="s">
        <v>197</v>
      </c>
      <c r="S1205">
        <v>6</v>
      </c>
      <c r="T1205">
        <v>23700</v>
      </c>
      <c r="U1205">
        <v>4740</v>
      </c>
      <c r="V1205">
        <v>18960</v>
      </c>
      <c r="W1205">
        <v>18600</v>
      </c>
      <c r="X1205">
        <v>360</v>
      </c>
      <c r="Y1205" s="8">
        <v>1.8987341772151899E-2</v>
      </c>
      <c r="Z1205" t="s">
        <v>2996</v>
      </c>
      <c r="AA1205" t="str">
        <f>IF(AND(SalesCleanTable[[#This Row],[Discount %]]&gt;0, SalesCleanTable[[#This Row],[Profit]]&lt;0), "Discount loss", "Safe")</f>
        <v>Safe</v>
      </c>
      <c r="AB1205" s="25">
        <f>(SalesCleanTable[[#This Row],[Unit Price]] - SalesCleanTable[[#This Row],[Unit Cost]]) / SalesCleanTable[[#This Row],[Unit Price]]</f>
        <v>0.21518987341772153</v>
      </c>
      <c r="AC1205" t="str">
        <f>IF(SalesCleanTable[[#This Row],[Discount %]] &gt; SalesCleanTable[[#This Row],[Max Allowed Discount]], "Discount loss", "Safe")</f>
        <v>Safe</v>
      </c>
      <c r="AD1205" s="4">
        <f>SalesCleanTable[[#This Row],[Unit Price]] - SalesCleanTable[[#This Row],[Unit Cost]]</f>
        <v>1700</v>
      </c>
      <c r="AE1205" s="41">
        <f>(SalesCleanTable[[#This Row],[Unit Price]] - SalesCleanTable[[#This Row],[Unit Cost]]) / SalesCleanTable[[#This Row],[Unit Price]]</f>
        <v>0.21518987341772153</v>
      </c>
    </row>
    <row r="1206" spans="1:31">
      <c r="A1206" t="s">
        <v>1392</v>
      </c>
      <c r="B1206" s="6">
        <v>45820</v>
      </c>
      <c r="C1206" t="s">
        <v>107</v>
      </c>
      <c r="D1206" t="s">
        <v>108</v>
      </c>
      <c r="E1206" t="s">
        <v>109</v>
      </c>
      <c r="F1206" t="s">
        <v>110</v>
      </c>
      <c r="G1206" t="s">
        <v>111</v>
      </c>
      <c r="H1206" t="s">
        <v>133</v>
      </c>
      <c r="I1206" t="s">
        <v>134</v>
      </c>
      <c r="J1206" t="s">
        <v>130</v>
      </c>
      <c r="K1206" t="s">
        <v>131</v>
      </c>
      <c r="L1206" t="s">
        <v>166</v>
      </c>
      <c r="M1206" t="s">
        <v>177</v>
      </c>
      <c r="N1206">
        <v>10</v>
      </c>
      <c r="O1206" s="4">
        <v>5200</v>
      </c>
      <c r="P1206" s="4">
        <v>7000</v>
      </c>
      <c r="Q1206" s="7">
        <v>0.2</v>
      </c>
      <c r="R1206" t="s">
        <v>184</v>
      </c>
      <c r="S1206">
        <v>7</v>
      </c>
      <c r="T1206">
        <v>70000</v>
      </c>
      <c r="U1206">
        <v>14000</v>
      </c>
      <c r="V1206">
        <v>56000</v>
      </c>
      <c r="W1206">
        <v>52000</v>
      </c>
      <c r="X1206">
        <v>4000</v>
      </c>
      <c r="Y1206" s="8">
        <v>7.1428571428571425E-2</v>
      </c>
      <c r="Z1206" t="s">
        <v>2997</v>
      </c>
      <c r="AA1206" t="str">
        <f>IF(AND(SalesCleanTable[[#This Row],[Discount %]]&gt;0, SalesCleanTable[[#This Row],[Profit]]&lt;0), "Discount loss", "Safe")</f>
        <v>Safe</v>
      </c>
      <c r="AB1206" s="25">
        <f>(SalesCleanTable[[#This Row],[Unit Price]] - SalesCleanTable[[#This Row],[Unit Cost]]) / SalesCleanTable[[#This Row],[Unit Price]]</f>
        <v>0.25714285714285712</v>
      </c>
      <c r="AC1206" t="str">
        <f>IF(SalesCleanTable[[#This Row],[Discount %]] &gt; SalesCleanTable[[#This Row],[Max Allowed Discount]], "Discount loss", "Safe")</f>
        <v>Safe</v>
      </c>
      <c r="AD1206" s="4">
        <f>SalesCleanTable[[#This Row],[Unit Price]] - SalesCleanTable[[#This Row],[Unit Cost]]</f>
        <v>1800</v>
      </c>
      <c r="AE1206" s="41">
        <f>(SalesCleanTable[[#This Row],[Unit Price]] - SalesCleanTable[[#This Row],[Unit Cost]]) / SalesCleanTable[[#This Row],[Unit Price]]</f>
        <v>0.25714285714285712</v>
      </c>
    </row>
    <row r="1207" spans="1:31">
      <c r="A1207" t="s">
        <v>1393</v>
      </c>
      <c r="B1207" s="6">
        <v>45999</v>
      </c>
      <c r="C1207" t="s">
        <v>78</v>
      </c>
      <c r="D1207" t="s">
        <v>79</v>
      </c>
      <c r="E1207" t="s">
        <v>75</v>
      </c>
      <c r="F1207" t="s">
        <v>80</v>
      </c>
      <c r="G1207" t="s">
        <v>81</v>
      </c>
      <c r="H1207" t="s">
        <v>128</v>
      </c>
      <c r="I1207" t="s">
        <v>129</v>
      </c>
      <c r="J1207" t="s">
        <v>130</v>
      </c>
      <c r="K1207" t="s">
        <v>131</v>
      </c>
      <c r="L1207" t="s">
        <v>183</v>
      </c>
      <c r="M1207" t="s">
        <v>177</v>
      </c>
      <c r="N1207">
        <v>5</v>
      </c>
      <c r="O1207" s="4">
        <v>1200</v>
      </c>
      <c r="P1207" s="4">
        <v>1900</v>
      </c>
      <c r="Q1207" s="7">
        <v>0.05</v>
      </c>
      <c r="R1207" t="s">
        <v>208</v>
      </c>
      <c r="S1207">
        <v>1</v>
      </c>
      <c r="T1207">
        <v>9500</v>
      </c>
      <c r="U1207">
        <v>475</v>
      </c>
      <c r="V1207">
        <v>9025</v>
      </c>
      <c r="W1207">
        <v>6000</v>
      </c>
      <c r="X1207">
        <v>3025</v>
      </c>
      <c r="Y1207" s="8">
        <v>0.33518005540166207</v>
      </c>
      <c r="Z1207" t="s">
        <v>2996</v>
      </c>
      <c r="AA1207" t="str">
        <f>IF(AND(SalesCleanTable[[#This Row],[Discount %]]&gt;0, SalesCleanTable[[#This Row],[Profit]]&lt;0), "Discount loss", "Safe")</f>
        <v>Safe</v>
      </c>
      <c r="AB1207" s="25">
        <f>(SalesCleanTable[[#This Row],[Unit Price]] - SalesCleanTable[[#This Row],[Unit Cost]]) / SalesCleanTable[[#This Row],[Unit Price]]</f>
        <v>0.36842105263157893</v>
      </c>
      <c r="AC1207" t="str">
        <f>IF(SalesCleanTable[[#This Row],[Discount %]] &gt; SalesCleanTable[[#This Row],[Max Allowed Discount]], "Discount loss", "Safe")</f>
        <v>Safe</v>
      </c>
      <c r="AD1207" s="4">
        <f>SalesCleanTable[[#This Row],[Unit Price]] - SalesCleanTable[[#This Row],[Unit Cost]]</f>
        <v>700</v>
      </c>
      <c r="AE1207" s="41">
        <f>(SalesCleanTable[[#This Row],[Unit Price]] - SalesCleanTable[[#This Row],[Unit Cost]]) / SalesCleanTable[[#This Row],[Unit Price]]</f>
        <v>0.36842105263157893</v>
      </c>
    </row>
    <row r="1208" spans="1:31">
      <c r="A1208" t="s">
        <v>1394</v>
      </c>
      <c r="B1208" s="6">
        <v>45759</v>
      </c>
      <c r="C1208" t="s">
        <v>78</v>
      </c>
      <c r="D1208" t="s">
        <v>79</v>
      </c>
      <c r="E1208" t="s">
        <v>75</v>
      </c>
      <c r="F1208" t="s">
        <v>80</v>
      </c>
      <c r="G1208" t="s">
        <v>81</v>
      </c>
      <c r="H1208" t="s">
        <v>135</v>
      </c>
      <c r="I1208" t="s">
        <v>136</v>
      </c>
      <c r="J1208" t="s">
        <v>137</v>
      </c>
      <c r="K1208" t="s">
        <v>138</v>
      </c>
      <c r="L1208" t="s">
        <v>170</v>
      </c>
      <c r="M1208" t="s">
        <v>167</v>
      </c>
      <c r="N1208">
        <v>3</v>
      </c>
      <c r="O1208" s="4">
        <v>1200</v>
      </c>
      <c r="P1208" s="4">
        <v>1900</v>
      </c>
      <c r="Q1208" s="7">
        <v>0.15</v>
      </c>
      <c r="R1208" t="s">
        <v>204</v>
      </c>
      <c r="S1208">
        <v>6</v>
      </c>
      <c r="T1208">
        <v>5700</v>
      </c>
      <c r="U1208">
        <v>855</v>
      </c>
      <c r="V1208">
        <v>4845</v>
      </c>
      <c r="W1208">
        <v>3600</v>
      </c>
      <c r="X1208">
        <v>1245</v>
      </c>
      <c r="Y1208" s="8">
        <v>0.25696594427244585</v>
      </c>
      <c r="Z1208" t="s">
        <v>2996</v>
      </c>
      <c r="AA1208" t="str">
        <f>IF(AND(SalesCleanTable[[#This Row],[Discount %]]&gt;0, SalesCleanTable[[#This Row],[Profit]]&lt;0), "Discount loss", "Safe")</f>
        <v>Safe</v>
      </c>
      <c r="AB1208" s="25">
        <f>(SalesCleanTable[[#This Row],[Unit Price]] - SalesCleanTable[[#This Row],[Unit Cost]]) / SalesCleanTable[[#This Row],[Unit Price]]</f>
        <v>0.36842105263157893</v>
      </c>
      <c r="AC1208" t="str">
        <f>IF(SalesCleanTable[[#This Row],[Discount %]] &gt; SalesCleanTable[[#This Row],[Max Allowed Discount]], "Discount loss", "Safe")</f>
        <v>Safe</v>
      </c>
      <c r="AD1208" s="4">
        <f>SalesCleanTable[[#This Row],[Unit Price]] - SalesCleanTable[[#This Row],[Unit Cost]]</f>
        <v>700</v>
      </c>
      <c r="AE1208" s="41">
        <f>(SalesCleanTable[[#This Row],[Unit Price]] - SalesCleanTable[[#This Row],[Unit Cost]]) / SalesCleanTable[[#This Row],[Unit Price]]</f>
        <v>0.36842105263157893</v>
      </c>
    </row>
    <row r="1209" spans="1:31">
      <c r="A1209" t="s">
        <v>1395</v>
      </c>
      <c r="B1209" s="6">
        <v>45896</v>
      </c>
      <c r="C1209" t="s">
        <v>62</v>
      </c>
      <c r="D1209" t="s">
        <v>63</v>
      </c>
      <c r="E1209" t="s">
        <v>59</v>
      </c>
      <c r="F1209" t="s">
        <v>64</v>
      </c>
      <c r="G1209" t="s">
        <v>65</v>
      </c>
      <c r="H1209" t="s">
        <v>145</v>
      </c>
      <c r="I1209" t="s">
        <v>146</v>
      </c>
      <c r="J1209" t="s">
        <v>147</v>
      </c>
      <c r="K1209" t="s">
        <v>148</v>
      </c>
      <c r="L1209" t="s">
        <v>166</v>
      </c>
      <c r="M1209" t="s">
        <v>177</v>
      </c>
      <c r="N1209">
        <v>3</v>
      </c>
      <c r="O1209" s="4">
        <v>3200</v>
      </c>
      <c r="P1209" s="4">
        <v>4500</v>
      </c>
      <c r="Q1209" s="7">
        <v>0.05</v>
      </c>
      <c r="R1209" t="s">
        <v>173</v>
      </c>
      <c r="S1209">
        <v>2</v>
      </c>
      <c r="T1209">
        <v>13500</v>
      </c>
      <c r="U1209">
        <v>675</v>
      </c>
      <c r="V1209">
        <v>12825</v>
      </c>
      <c r="W1209">
        <v>9600</v>
      </c>
      <c r="X1209">
        <v>3225</v>
      </c>
      <c r="Y1209" s="8">
        <v>0.25146198830409355</v>
      </c>
      <c r="Z1209" t="s">
        <v>2996</v>
      </c>
      <c r="AA1209" t="str">
        <f>IF(AND(SalesCleanTable[[#This Row],[Discount %]]&gt;0, SalesCleanTable[[#This Row],[Profit]]&lt;0), "Discount loss", "Safe")</f>
        <v>Safe</v>
      </c>
      <c r="AB1209" s="25">
        <f>(SalesCleanTable[[#This Row],[Unit Price]] - SalesCleanTable[[#This Row],[Unit Cost]]) / SalesCleanTable[[#This Row],[Unit Price]]</f>
        <v>0.28888888888888886</v>
      </c>
      <c r="AC1209" t="str">
        <f>IF(SalesCleanTable[[#This Row],[Discount %]] &gt; SalesCleanTable[[#This Row],[Max Allowed Discount]], "Discount loss", "Safe")</f>
        <v>Safe</v>
      </c>
      <c r="AD1209" s="4">
        <f>SalesCleanTable[[#This Row],[Unit Price]] - SalesCleanTable[[#This Row],[Unit Cost]]</f>
        <v>1300</v>
      </c>
      <c r="AE1209" s="41">
        <f>(SalesCleanTable[[#This Row],[Unit Price]] - SalesCleanTable[[#This Row],[Unit Cost]]) / SalesCleanTable[[#This Row],[Unit Price]]</f>
        <v>0.28888888888888886</v>
      </c>
    </row>
    <row r="1210" spans="1:31">
      <c r="A1210" t="s">
        <v>1396</v>
      </c>
      <c r="B1210" s="6">
        <v>45960</v>
      </c>
      <c r="C1210" t="s">
        <v>73</v>
      </c>
      <c r="D1210" t="s">
        <v>74</v>
      </c>
      <c r="E1210" t="s">
        <v>75</v>
      </c>
      <c r="F1210" t="s">
        <v>76</v>
      </c>
      <c r="G1210" t="s">
        <v>77</v>
      </c>
      <c r="H1210" t="s">
        <v>128</v>
      </c>
      <c r="I1210" t="s">
        <v>129</v>
      </c>
      <c r="J1210" t="s">
        <v>130</v>
      </c>
      <c r="K1210" t="s">
        <v>131</v>
      </c>
      <c r="L1210" t="s">
        <v>183</v>
      </c>
      <c r="M1210" t="s">
        <v>186</v>
      </c>
      <c r="N1210">
        <v>1</v>
      </c>
      <c r="O1210" s="4">
        <v>3500</v>
      </c>
      <c r="P1210" s="4">
        <v>5200</v>
      </c>
      <c r="Q1210" s="7">
        <v>0</v>
      </c>
      <c r="R1210" t="s">
        <v>204</v>
      </c>
      <c r="S1210">
        <v>4</v>
      </c>
      <c r="T1210">
        <v>5200</v>
      </c>
      <c r="U1210">
        <v>0</v>
      </c>
      <c r="V1210">
        <v>5200</v>
      </c>
      <c r="W1210">
        <v>3500</v>
      </c>
      <c r="X1210">
        <v>1700</v>
      </c>
      <c r="Y1210" s="8">
        <v>0.32692307692307693</v>
      </c>
      <c r="Z1210" t="s">
        <v>2996</v>
      </c>
      <c r="AA1210" t="str">
        <f>IF(AND(SalesCleanTable[[#This Row],[Discount %]]&gt;0, SalesCleanTable[[#This Row],[Profit]]&lt;0), "Discount loss", "Safe")</f>
        <v>Safe</v>
      </c>
      <c r="AB1210" s="25">
        <f>(SalesCleanTable[[#This Row],[Unit Price]] - SalesCleanTable[[#This Row],[Unit Cost]]) / SalesCleanTable[[#This Row],[Unit Price]]</f>
        <v>0.32692307692307693</v>
      </c>
      <c r="AC1210" t="str">
        <f>IF(SalesCleanTable[[#This Row],[Discount %]] &gt; SalesCleanTable[[#This Row],[Max Allowed Discount]], "Discount loss", "Safe")</f>
        <v>Safe</v>
      </c>
      <c r="AD1210" s="4">
        <f>SalesCleanTable[[#This Row],[Unit Price]] - SalesCleanTable[[#This Row],[Unit Cost]]</f>
        <v>1700</v>
      </c>
      <c r="AE1210" s="41">
        <f>(SalesCleanTable[[#This Row],[Unit Price]] - SalesCleanTable[[#This Row],[Unit Cost]]) / SalesCleanTable[[#This Row],[Unit Price]]</f>
        <v>0.32692307692307693</v>
      </c>
    </row>
    <row r="1211" spans="1:31">
      <c r="A1211" t="s">
        <v>1397</v>
      </c>
      <c r="B1211" s="6">
        <v>46006</v>
      </c>
      <c r="C1211" t="s">
        <v>78</v>
      </c>
      <c r="D1211" t="s">
        <v>79</v>
      </c>
      <c r="E1211" t="s">
        <v>75</v>
      </c>
      <c r="F1211" t="s">
        <v>80</v>
      </c>
      <c r="G1211" t="s">
        <v>81</v>
      </c>
      <c r="H1211" t="s">
        <v>149</v>
      </c>
      <c r="I1211" t="s">
        <v>150</v>
      </c>
      <c r="J1211" t="s">
        <v>151</v>
      </c>
      <c r="K1211" t="s">
        <v>152</v>
      </c>
      <c r="L1211" t="s">
        <v>166</v>
      </c>
      <c r="M1211" t="s">
        <v>177</v>
      </c>
      <c r="N1211">
        <v>1</v>
      </c>
      <c r="O1211" s="4">
        <v>1200</v>
      </c>
      <c r="P1211" s="4">
        <v>1900</v>
      </c>
      <c r="Q1211" s="7">
        <v>0.1</v>
      </c>
      <c r="R1211" t="s">
        <v>204</v>
      </c>
      <c r="S1211">
        <v>5</v>
      </c>
      <c r="T1211">
        <v>1900</v>
      </c>
      <c r="U1211">
        <v>190</v>
      </c>
      <c r="V1211">
        <v>1710</v>
      </c>
      <c r="W1211">
        <v>1200</v>
      </c>
      <c r="X1211">
        <v>510</v>
      </c>
      <c r="Y1211" s="8">
        <v>0.2982456140350877</v>
      </c>
      <c r="Z1211" t="s">
        <v>2996</v>
      </c>
      <c r="AA1211" t="str">
        <f>IF(AND(SalesCleanTable[[#This Row],[Discount %]]&gt;0, SalesCleanTable[[#This Row],[Profit]]&lt;0), "Discount loss", "Safe")</f>
        <v>Safe</v>
      </c>
      <c r="AB1211" s="25">
        <f>(SalesCleanTable[[#This Row],[Unit Price]] - SalesCleanTable[[#This Row],[Unit Cost]]) / SalesCleanTable[[#This Row],[Unit Price]]</f>
        <v>0.36842105263157893</v>
      </c>
      <c r="AC1211" t="str">
        <f>IF(SalesCleanTable[[#This Row],[Discount %]] &gt; SalesCleanTable[[#This Row],[Max Allowed Discount]], "Discount loss", "Safe")</f>
        <v>Safe</v>
      </c>
      <c r="AD1211" s="4">
        <f>SalesCleanTable[[#This Row],[Unit Price]] - SalesCleanTable[[#This Row],[Unit Cost]]</f>
        <v>700</v>
      </c>
      <c r="AE1211" s="41">
        <f>(SalesCleanTable[[#This Row],[Unit Price]] - SalesCleanTable[[#This Row],[Unit Cost]]) / SalesCleanTable[[#This Row],[Unit Price]]</f>
        <v>0.36842105263157893</v>
      </c>
    </row>
    <row r="1212" spans="1:31">
      <c r="A1212" t="s">
        <v>1398</v>
      </c>
      <c r="B1212" s="6">
        <v>45729</v>
      </c>
      <c r="C1212" t="s">
        <v>62</v>
      </c>
      <c r="D1212" t="s">
        <v>63</v>
      </c>
      <c r="E1212" t="s">
        <v>59</v>
      </c>
      <c r="F1212" t="s">
        <v>64</v>
      </c>
      <c r="G1212" t="s">
        <v>65</v>
      </c>
      <c r="H1212" t="s">
        <v>135</v>
      </c>
      <c r="I1212" t="s">
        <v>136</v>
      </c>
      <c r="J1212" t="s">
        <v>137</v>
      </c>
      <c r="K1212" t="s">
        <v>138</v>
      </c>
      <c r="L1212" t="s">
        <v>166</v>
      </c>
      <c r="M1212" t="s">
        <v>171</v>
      </c>
      <c r="N1212">
        <v>5</v>
      </c>
      <c r="O1212" s="4">
        <v>3200</v>
      </c>
      <c r="P1212" s="4">
        <v>4500</v>
      </c>
      <c r="Q1212" s="7">
        <v>0</v>
      </c>
      <c r="R1212" t="s">
        <v>204</v>
      </c>
      <c r="S1212">
        <v>12</v>
      </c>
      <c r="T1212">
        <v>22500</v>
      </c>
      <c r="U1212">
        <v>0</v>
      </c>
      <c r="V1212">
        <v>22500</v>
      </c>
      <c r="W1212">
        <v>16000</v>
      </c>
      <c r="X1212">
        <v>6500</v>
      </c>
      <c r="Y1212" s="8">
        <v>0.28888888888888886</v>
      </c>
      <c r="Z1212" t="s">
        <v>2996</v>
      </c>
      <c r="AA1212" t="str">
        <f>IF(AND(SalesCleanTable[[#This Row],[Discount %]]&gt;0, SalesCleanTable[[#This Row],[Profit]]&lt;0), "Discount loss", "Safe")</f>
        <v>Safe</v>
      </c>
      <c r="AB1212" s="25">
        <f>(SalesCleanTable[[#This Row],[Unit Price]] - SalesCleanTable[[#This Row],[Unit Cost]]) / SalesCleanTable[[#This Row],[Unit Price]]</f>
        <v>0.28888888888888886</v>
      </c>
      <c r="AC1212" t="str">
        <f>IF(SalesCleanTable[[#This Row],[Discount %]] &gt; SalesCleanTable[[#This Row],[Max Allowed Discount]], "Discount loss", "Safe")</f>
        <v>Safe</v>
      </c>
      <c r="AD1212" s="4">
        <f>SalesCleanTable[[#This Row],[Unit Price]] - SalesCleanTable[[#This Row],[Unit Cost]]</f>
        <v>1300</v>
      </c>
      <c r="AE1212" s="41">
        <f>(SalesCleanTable[[#This Row],[Unit Price]] - SalesCleanTable[[#This Row],[Unit Cost]]) / SalesCleanTable[[#This Row],[Unit Price]]</f>
        <v>0.28888888888888886</v>
      </c>
    </row>
    <row r="1213" spans="1:31">
      <c r="A1213" t="s">
        <v>1399</v>
      </c>
      <c r="B1213" s="6">
        <v>45705</v>
      </c>
      <c r="C1213" t="s">
        <v>53</v>
      </c>
      <c r="D1213" t="s">
        <v>54</v>
      </c>
      <c r="E1213" t="s">
        <v>38</v>
      </c>
      <c r="F1213" t="s">
        <v>55</v>
      </c>
      <c r="G1213" t="s">
        <v>56</v>
      </c>
      <c r="H1213" t="s">
        <v>139</v>
      </c>
      <c r="I1213" t="s">
        <v>140</v>
      </c>
      <c r="J1213" t="s">
        <v>137</v>
      </c>
      <c r="K1213" t="s">
        <v>138</v>
      </c>
      <c r="L1213" t="s">
        <v>166</v>
      </c>
      <c r="M1213" t="s">
        <v>171</v>
      </c>
      <c r="N1213">
        <v>2</v>
      </c>
      <c r="O1213" s="4">
        <v>330</v>
      </c>
      <c r="P1213" s="4">
        <v>550</v>
      </c>
      <c r="Q1213" s="7">
        <v>0.1</v>
      </c>
      <c r="R1213" t="s">
        <v>178</v>
      </c>
      <c r="S1213">
        <v>1</v>
      </c>
      <c r="T1213">
        <v>1100</v>
      </c>
      <c r="U1213">
        <v>110</v>
      </c>
      <c r="V1213">
        <v>990</v>
      </c>
      <c r="W1213">
        <v>660</v>
      </c>
      <c r="X1213">
        <v>330</v>
      </c>
      <c r="Y1213" s="8">
        <v>0.33333333333333331</v>
      </c>
      <c r="Z1213" t="s">
        <v>2996</v>
      </c>
      <c r="AA1213" t="str">
        <f>IF(AND(SalesCleanTable[[#This Row],[Discount %]]&gt;0, SalesCleanTable[[#This Row],[Profit]]&lt;0), "Discount loss", "Safe")</f>
        <v>Safe</v>
      </c>
      <c r="AB1213" s="25">
        <f>(SalesCleanTable[[#This Row],[Unit Price]] - SalesCleanTable[[#This Row],[Unit Cost]]) / SalesCleanTable[[#This Row],[Unit Price]]</f>
        <v>0.4</v>
      </c>
      <c r="AC1213" t="str">
        <f>IF(SalesCleanTable[[#This Row],[Discount %]] &gt; SalesCleanTable[[#This Row],[Max Allowed Discount]], "Discount loss", "Safe")</f>
        <v>Safe</v>
      </c>
      <c r="AD1213" s="4">
        <f>SalesCleanTable[[#This Row],[Unit Price]] - SalesCleanTable[[#This Row],[Unit Cost]]</f>
        <v>220</v>
      </c>
      <c r="AE1213" s="41">
        <f>(SalesCleanTable[[#This Row],[Unit Price]] - SalesCleanTable[[#This Row],[Unit Cost]]) / SalesCleanTable[[#This Row],[Unit Price]]</f>
        <v>0.4</v>
      </c>
    </row>
    <row r="1214" spans="1:31">
      <c r="A1214" t="s">
        <v>1400</v>
      </c>
      <c r="B1214" s="6">
        <v>45957</v>
      </c>
      <c r="C1214" t="s">
        <v>49</v>
      </c>
      <c r="D1214" t="s">
        <v>50</v>
      </c>
      <c r="E1214" t="s">
        <v>38</v>
      </c>
      <c r="F1214" t="s">
        <v>51</v>
      </c>
      <c r="G1214" t="s">
        <v>52</v>
      </c>
      <c r="H1214" t="s">
        <v>139</v>
      </c>
      <c r="I1214" t="s">
        <v>140</v>
      </c>
      <c r="J1214" t="s">
        <v>137</v>
      </c>
      <c r="K1214" t="s">
        <v>138</v>
      </c>
      <c r="L1214" t="s">
        <v>166</v>
      </c>
      <c r="M1214" t="s">
        <v>171</v>
      </c>
      <c r="N1214">
        <v>1</v>
      </c>
      <c r="O1214" s="4">
        <v>550</v>
      </c>
      <c r="P1214" s="4">
        <v>850</v>
      </c>
      <c r="Q1214" s="7">
        <v>0.1</v>
      </c>
      <c r="R1214" t="s">
        <v>175</v>
      </c>
      <c r="S1214">
        <v>4</v>
      </c>
      <c r="T1214">
        <v>850</v>
      </c>
      <c r="U1214">
        <v>85</v>
      </c>
      <c r="V1214">
        <v>765</v>
      </c>
      <c r="W1214">
        <v>550</v>
      </c>
      <c r="X1214">
        <v>215</v>
      </c>
      <c r="Y1214" s="8">
        <v>0.28104575163398693</v>
      </c>
      <c r="Z1214" t="s">
        <v>2996</v>
      </c>
      <c r="AA1214" t="str">
        <f>IF(AND(SalesCleanTable[[#This Row],[Discount %]]&gt;0, SalesCleanTable[[#This Row],[Profit]]&lt;0), "Discount loss", "Safe")</f>
        <v>Safe</v>
      </c>
      <c r="AB1214" s="25">
        <f>(SalesCleanTable[[#This Row],[Unit Price]] - SalesCleanTable[[#This Row],[Unit Cost]]) / SalesCleanTable[[#This Row],[Unit Price]]</f>
        <v>0.35294117647058826</v>
      </c>
      <c r="AC1214" t="str">
        <f>IF(SalesCleanTable[[#This Row],[Discount %]] &gt; SalesCleanTable[[#This Row],[Max Allowed Discount]], "Discount loss", "Safe")</f>
        <v>Safe</v>
      </c>
      <c r="AD1214" s="4">
        <f>SalesCleanTable[[#This Row],[Unit Price]] - SalesCleanTable[[#This Row],[Unit Cost]]</f>
        <v>300</v>
      </c>
      <c r="AE1214" s="41">
        <f>(SalesCleanTable[[#This Row],[Unit Price]] - SalesCleanTable[[#This Row],[Unit Cost]]) / SalesCleanTable[[#This Row],[Unit Price]]</f>
        <v>0.35294117647058826</v>
      </c>
    </row>
    <row r="1215" spans="1:31">
      <c r="A1215" t="s">
        <v>1401</v>
      </c>
      <c r="B1215" s="6">
        <v>45915</v>
      </c>
      <c r="C1215" t="s">
        <v>62</v>
      </c>
      <c r="D1215" t="s">
        <v>63</v>
      </c>
      <c r="E1215" t="s">
        <v>59</v>
      </c>
      <c r="F1215" t="s">
        <v>64</v>
      </c>
      <c r="G1215" t="s">
        <v>65</v>
      </c>
      <c r="H1215" t="s">
        <v>145</v>
      </c>
      <c r="I1215" t="s">
        <v>146</v>
      </c>
      <c r="J1215" t="s">
        <v>147</v>
      </c>
      <c r="K1215" t="s">
        <v>148</v>
      </c>
      <c r="L1215" t="s">
        <v>166</v>
      </c>
      <c r="M1215" t="s">
        <v>167</v>
      </c>
      <c r="N1215">
        <v>2</v>
      </c>
      <c r="O1215" s="4">
        <v>3200</v>
      </c>
      <c r="P1215" s="4">
        <v>4500</v>
      </c>
      <c r="Q1215" s="7">
        <v>0.05</v>
      </c>
      <c r="R1215" t="s">
        <v>204</v>
      </c>
      <c r="S1215">
        <v>1</v>
      </c>
      <c r="T1215">
        <v>9000</v>
      </c>
      <c r="U1215">
        <v>450</v>
      </c>
      <c r="V1215">
        <v>8550</v>
      </c>
      <c r="W1215">
        <v>6400</v>
      </c>
      <c r="X1215">
        <v>2150</v>
      </c>
      <c r="Y1215" s="8">
        <v>0.25146198830409355</v>
      </c>
      <c r="Z1215" t="s">
        <v>2996</v>
      </c>
      <c r="AA1215" t="str">
        <f>IF(AND(SalesCleanTable[[#This Row],[Discount %]]&gt;0, SalesCleanTable[[#This Row],[Profit]]&lt;0), "Discount loss", "Safe")</f>
        <v>Safe</v>
      </c>
      <c r="AB1215" s="25">
        <f>(SalesCleanTable[[#This Row],[Unit Price]] - SalesCleanTable[[#This Row],[Unit Cost]]) / SalesCleanTable[[#This Row],[Unit Price]]</f>
        <v>0.28888888888888886</v>
      </c>
      <c r="AC1215" t="str">
        <f>IF(SalesCleanTable[[#This Row],[Discount %]] &gt; SalesCleanTable[[#This Row],[Max Allowed Discount]], "Discount loss", "Safe")</f>
        <v>Safe</v>
      </c>
      <c r="AD1215" s="4">
        <f>SalesCleanTable[[#This Row],[Unit Price]] - SalesCleanTable[[#This Row],[Unit Cost]]</f>
        <v>1300</v>
      </c>
      <c r="AE1215" s="41">
        <f>(SalesCleanTable[[#This Row],[Unit Price]] - SalesCleanTable[[#This Row],[Unit Cost]]) / SalesCleanTable[[#This Row],[Unit Price]]</f>
        <v>0.28888888888888886</v>
      </c>
    </row>
    <row r="1216" spans="1:31">
      <c r="A1216" t="s">
        <v>1402</v>
      </c>
      <c r="B1216" s="6">
        <v>45922</v>
      </c>
      <c r="C1216" t="s">
        <v>78</v>
      </c>
      <c r="D1216" t="s">
        <v>79</v>
      </c>
      <c r="E1216" t="s">
        <v>75</v>
      </c>
      <c r="F1216" t="s">
        <v>80</v>
      </c>
      <c r="G1216" t="s">
        <v>81</v>
      </c>
      <c r="H1216" t="s">
        <v>133</v>
      </c>
      <c r="I1216" t="s">
        <v>134</v>
      </c>
      <c r="J1216" t="s">
        <v>130</v>
      </c>
      <c r="K1216" t="s">
        <v>131</v>
      </c>
      <c r="L1216" t="s">
        <v>166</v>
      </c>
      <c r="M1216" t="s">
        <v>186</v>
      </c>
      <c r="N1216">
        <v>1</v>
      </c>
      <c r="O1216" s="4">
        <v>1200</v>
      </c>
      <c r="P1216" s="4">
        <v>1900</v>
      </c>
      <c r="Q1216" s="7">
        <v>0.1</v>
      </c>
      <c r="R1216" t="s">
        <v>204</v>
      </c>
      <c r="S1216">
        <v>1</v>
      </c>
      <c r="T1216">
        <v>1900</v>
      </c>
      <c r="U1216">
        <v>190</v>
      </c>
      <c r="V1216">
        <v>1710</v>
      </c>
      <c r="W1216">
        <v>1200</v>
      </c>
      <c r="X1216">
        <v>510</v>
      </c>
      <c r="Y1216" s="8">
        <v>0.2982456140350877</v>
      </c>
      <c r="Z1216" t="s">
        <v>2996</v>
      </c>
      <c r="AA1216" t="str">
        <f>IF(AND(SalesCleanTable[[#This Row],[Discount %]]&gt;0, SalesCleanTable[[#This Row],[Profit]]&lt;0), "Discount loss", "Safe")</f>
        <v>Safe</v>
      </c>
      <c r="AB1216" s="25">
        <f>(SalesCleanTable[[#This Row],[Unit Price]] - SalesCleanTable[[#This Row],[Unit Cost]]) / SalesCleanTable[[#This Row],[Unit Price]]</f>
        <v>0.36842105263157893</v>
      </c>
      <c r="AC1216" t="str">
        <f>IF(SalesCleanTable[[#This Row],[Discount %]] &gt; SalesCleanTable[[#This Row],[Max Allowed Discount]], "Discount loss", "Safe")</f>
        <v>Safe</v>
      </c>
      <c r="AD1216" s="4">
        <f>SalesCleanTable[[#This Row],[Unit Price]] - SalesCleanTable[[#This Row],[Unit Cost]]</f>
        <v>700</v>
      </c>
      <c r="AE1216" s="41">
        <f>(SalesCleanTable[[#This Row],[Unit Price]] - SalesCleanTable[[#This Row],[Unit Cost]]) / SalesCleanTable[[#This Row],[Unit Price]]</f>
        <v>0.36842105263157893</v>
      </c>
    </row>
    <row r="1217" spans="1:31">
      <c r="A1217" t="s">
        <v>1403</v>
      </c>
      <c r="B1217" s="6">
        <v>45711</v>
      </c>
      <c r="C1217" t="s">
        <v>73</v>
      </c>
      <c r="D1217" t="s">
        <v>74</v>
      </c>
      <c r="E1217" t="s">
        <v>75</v>
      </c>
      <c r="F1217" t="s">
        <v>76</v>
      </c>
      <c r="G1217" t="s">
        <v>77</v>
      </c>
      <c r="H1217" t="s">
        <v>149</v>
      </c>
      <c r="I1217" t="s">
        <v>150</v>
      </c>
      <c r="J1217" t="s">
        <v>151</v>
      </c>
      <c r="K1217" t="s">
        <v>152</v>
      </c>
      <c r="L1217" t="s">
        <v>166</v>
      </c>
      <c r="M1217" t="s">
        <v>171</v>
      </c>
      <c r="N1217">
        <v>1</v>
      </c>
      <c r="O1217" s="4">
        <v>3500</v>
      </c>
      <c r="P1217" s="4">
        <v>5200</v>
      </c>
      <c r="Q1217" s="7">
        <v>0.05</v>
      </c>
      <c r="R1217" t="s">
        <v>187</v>
      </c>
      <c r="S1217">
        <v>3</v>
      </c>
      <c r="T1217">
        <v>5200</v>
      </c>
      <c r="U1217">
        <v>260</v>
      </c>
      <c r="V1217">
        <v>4940</v>
      </c>
      <c r="W1217">
        <v>3500</v>
      </c>
      <c r="X1217">
        <v>1440</v>
      </c>
      <c r="Y1217" s="8">
        <v>0.291497975708502</v>
      </c>
      <c r="Z1217" t="s">
        <v>2996</v>
      </c>
      <c r="AA1217" t="str">
        <f>IF(AND(SalesCleanTable[[#This Row],[Discount %]]&gt;0, SalesCleanTable[[#This Row],[Profit]]&lt;0), "Discount loss", "Safe")</f>
        <v>Safe</v>
      </c>
      <c r="AB1217" s="25">
        <f>(SalesCleanTable[[#This Row],[Unit Price]] - SalesCleanTable[[#This Row],[Unit Cost]]) / SalesCleanTable[[#This Row],[Unit Price]]</f>
        <v>0.32692307692307693</v>
      </c>
      <c r="AC1217" t="str">
        <f>IF(SalesCleanTable[[#This Row],[Discount %]] &gt; SalesCleanTable[[#This Row],[Max Allowed Discount]], "Discount loss", "Safe")</f>
        <v>Safe</v>
      </c>
      <c r="AD1217" s="4">
        <f>SalesCleanTable[[#This Row],[Unit Price]] - SalesCleanTable[[#This Row],[Unit Cost]]</f>
        <v>1700</v>
      </c>
      <c r="AE1217" s="41">
        <f>(SalesCleanTable[[#This Row],[Unit Price]] - SalesCleanTable[[#This Row],[Unit Cost]]) / SalesCleanTable[[#This Row],[Unit Price]]</f>
        <v>0.32692307692307693</v>
      </c>
    </row>
    <row r="1218" spans="1:31">
      <c r="A1218" t="s">
        <v>1404</v>
      </c>
      <c r="B1218" s="6">
        <v>45814</v>
      </c>
      <c r="C1218" t="s">
        <v>36</v>
      </c>
      <c r="D1218" t="s">
        <v>37</v>
      </c>
      <c r="E1218" t="s">
        <v>38</v>
      </c>
      <c r="F1218" t="s">
        <v>39</v>
      </c>
      <c r="G1218" t="s">
        <v>40</v>
      </c>
      <c r="H1218" t="s">
        <v>139</v>
      </c>
      <c r="I1218" t="s">
        <v>140</v>
      </c>
      <c r="J1218" t="s">
        <v>137</v>
      </c>
      <c r="K1218" t="s">
        <v>138</v>
      </c>
      <c r="L1218" t="s">
        <v>183</v>
      </c>
      <c r="M1218" t="s">
        <v>171</v>
      </c>
      <c r="N1218">
        <v>4</v>
      </c>
      <c r="O1218" s="4">
        <v>1650</v>
      </c>
      <c r="P1218" s="4">
        <v>2200</v>
      </c>
      <c r="Q1218" s="7">
        <v>0.05</v>
      </c>
      <c r="R1218" t="s">
        <v>168</v>
      </c>
      <c r="S1218">
        <v>7</v>
      </c>
      <c r="T1218">
        <v>8800</v>
      </c>
      <c r="U1218">
        <v>440</v>
      </c>
      <c r="V1218">
        <v>8360</v>
      </c>
      <c r="W1218">
        <v>6600</v>
      </c>
      <c r="X1218">
        <v>1760</v>
      </c>
      <c r="Y1218" s="8">
        <v>0.21052631578947367</v>
      </c>
      <c r="Z1218" t="s">
        <v>2995</v>
      </c>
      <c r="AA1218" t="str">
        <f>IF(AND(SalesCleanTable[[#This Row],[Discount %]]&gt;0, SalesCleanTable[[#This Row],[Profit]]&lt;0), "Discount loss", "Safe")</f>
        <v>Safe</v>
      </c>
      <c r="AB1218" s="25">
        <f>(SalesCleanTable[[#This Row],[Unit Price]] - SalesCleanTable[[#This Row],[Unit Cost]]) / SalesCleanTable[[#This Row],[Unit Price]]</f>
        <v>0.25</v>
      </c>
      <c r="AC1218" t="str">
        <f>IF(SalesCleanTable[[#This Row],[Discount %]] &gt; SalesCleanTable[[#This Row],[Max Allowed Discount]], "Discount loss", "Safe")</f>
        <v>Safe</v>
      </c>
      <c r="AD1218" s="4">
        <f>SalesCleanTable[[#This Row],[Unit Price]] - SalesCleanTable[[#This Row],[Unit Cost]]</f>
        <v>550</v>
      </c>
      <c r="AE1218" s="41">
        <f>(SalesCleanTable[[#This Row],[Unit Price]] - SalesCleanTable[[#This Row],[Unit Cost]]) / SalesCleanTable[[#This Row],[Unit Price]]</f>
        <v>0.25</v>
      </c>
    </row>
    <row r="1219" spans="1:31">
      <c r="A1219" t="s">
        <v>1405</v>
      </c>
      <c r="B1219" s="6">
        <v>45900</v>
      </c>
      <c r="C1219" t="s">
        <v>99</v>
      </c>
      <c r="D1219" t="s">
        <v>100</v>
      </c>
      <c r="E1219" t="s">
        <v>92</v>
      </c>
      <c r="F1219" t="s">
        <v>101</v>
      </c>
      <c r="G1219" t="s">
        <v>102</v>
      </c>
      <c r="H1219" t="s">
        <v>135</v>
      </c>
      <c r="I1219" t="s">
        <v>136</v>
      </c>
      <c r="J1219" t="s">
        <v>137</v>
      </c>
      <c r="K1219" t="s">
        <v>138</v>
      </c>
      <c r="L1219" t="s">
        <v>183</v>
      </c>
      <c r="M1219" t="s">
        <v>167</v>
      </c>
      <c r="N1219">
        <v>2</v>
      </c>
      <c r="O1219" s="4">
        <v>12500</v>
      </c>
      <c r="P1219" s="4">
        <v>18500</v>
      </c>
      <c r="Q1219" s="7">
        <v>0.05</v>
      </c>
      <c r="R1219" t="s">
        <v>181</v>
      </c>
      <c r="S1219">
        <v>13</v>
      </c>
      <c r="T1219">
        <v>37000</v>
      </c>
      <c r="U1219">
        <v>1850</v>
      </c>
      <c r="V1219">
        <v>35150</v>
      </c>
      <c r="W1219">
        <v>25000</v>
      </c>
      <c r="X1219">
        <v>10150</v>
      </c>
      <c r="Y1219" s="8">
        <v>0.28876244665718348</v>
      </c>
      <c r="Z1219" t="s">
        <v>2995</v>
      </c>
      <c r="AA1219" t="str">
        <f>IF(AND(SalesCleanTable[[#This Row],[Discount %]]&gt;0, SalesCleanTable[[#This Row],[Profit]]&lt;0), "Discount loss", "Safe")</f>
        <v>Safe</v>
      </c>
      <c r="AB1219" s="25">
        <f>(SalesCleanTable[[#This Row],[Unit Price]] - SalesCleanTable[[#This Row],[Unit Cost]]) / SalesCleanTable[[#This Row],[Unit Price]]</f>
        <v>0.32432432432432434</v>
      </c>
      <c r="AC1219" t="str">
        <f>IF(SalesCleanTable[[#This Row],[Discount %]] &gt; SalesCleanTable[[#This Row],[Max Allowed Discount]], "Discount loss", "Safe")</f>
        <v>Safe</v>
      </c>
      <c r="AD1219" s="4">
        <f>SalesCleanTable[[#This Row],[Unit Price]] - SalesCleanTable[[#This Row],[Unit Cost]]</f>
        <v>6000</v>
      </c>
      <c r="AE1219" s="41">
        <f>(SalesCleanTable[[#This Row],[Unit Price]] - SalesCleanTable[[#This Row],[Unit Cost]]) / SalesCleanTable[[#This Row],[Unit Price]]</f>
        <v>0.32432432432432434</v>
      </c>
    </row>
    <row r="1220" spans="1:31">
      <c r="A1220" t="s">
        <v>1406</v>
      </c>
      <c r="B1220" s="6">
        <v>45917</v>
      </c>
      <c r="C1220" t="s">
        <v>32</v>
      </c>
      <c r="D1220" t="s">
        <v>33</v>
      </c>
      <c r="E1220" t="s">
        <v>26</v>
      </c>
      <c r="F1220" t="s">
        <v>34</v>
      </c>
      <c r="G1220" t="s">
        <v>35</v>
      </c>
      <c r="H1220" t="s">
        <v>135</v>
      </c>
      <c r="I1220" t="s">
        <v>136</v>
      </c>
      <c r="J1220" t="s">
        <v>137</v>
      </c>
      <c r="K1220" t="s">
        <v>138</v>
      </c>
      <c r="L1220" t="s">
        <v>183</v>
      </c>
      <c r="M1220" t="s">
        <v>177</v>
      </c>
      <c r="N1220">
        <v>2</v>
      </c>
      <c r="O1220" s="4">
        <v>7800</v>
      </c>
      <c r="P1220" s="4">
        <v>9800</v>
      </c>
      <c r="Q1220" s="7">
        <v>0.1</v>
      </c>
      <c r="R1220" t="s">
        <v>197</v>
      </c>
      <c r="S1220">
        <v>5</v>
      </c>
      <c r="T1220">
        <v>19600</v>
      </c>
      <c r="U1220">
        <v>1960</v>
      </c>
      <c r="V1220">
        <v>17640</v>
      </c>
      <c r="W1220">
        <v>15600</v>
      </c>
      <c r="X1220">
        <v>2040</v>
      </c>
      <c r="Y1220" s="8">
        <v>0.11564625850340136</v>
      </c>
      <c r="Z1220" t="s">
        <v>2995</v>
      </c>
      <c r="AA1220" t="str">
        <f>IF(AND(SalesCleanTable[[#This Row],[Discount %]]&gt;0, SalesCleanTable[[#This Row],[Profit]]&lt;0), "Discount loss", "Safe")</f>
        <v>Safe</v>
      </c>
      <c r="AB1220" s="25">
        <f>(SalesCleanTable[[#This Row],[Unit Price]] - SalesCleanTable[[#This Row],[Unit Cost]]) / SalesCleanTable[[#This Row],[Unit Price]]</f>
        <v>0.20408163265306123</v>
      </c>
      <c r="AC1220" t="str">
        <f>IF(SalesCleanTable[[#This Row],[Discount %]] &gt; SalesCleanTable[[#This Row],[Max Allowed Discount]], "Discount loss", "Safe")</f>
        <v>Safe</v>
      </c>
      <c r="AD1220" s="4">
        <f>SalesCleanTable[[#This Row],[Unit Price]] - SalesCleanTable[[#This Row],[Unit Cost]]</f>
        <v>2000</v>
      </c>
      <c r="AE1220" s="41">
        <f>(SalesCleanTable[[#This Row],[Unit Price]] - SalesCleanTable[[#This Row],[Unit Cost]]) / SalesCleanTable[[#This Row],[Unit Price]]</f>
        <v>0.20408163265306123</v>
      </c>
    </row>
    <row r="1221" spans="1:31">
      <c r="A1221" t="s">
        <v>1407</v>
      </c>
      <c r="B1221" s="6">
        <v>46015</v>
      </c>
      <c r="C1221" t="s">
        <v>112</v>
      </c>
      <c r="D1221" t="s">
        <v>113</v>
      </c>
      <c r="E1221" t="s">
        <v>109</v>
      </c>
      <c r="F1221" t="s">
        <v>114</v>
      </c>
      <c r="G1221" t="s">
        <v>115</v>
      </c>
      <c r="H1221" t="s">
        <v>133</v>
      </c>
      <c r="I1221" t="s">
        <v>134</v>
      </c>
      <c r="J1221" t="s">
        <v>130</v>
      </c>
      <c r="K1221" t="s">
        <v>131</v>
      </c>
      <c r="L1221" t="s">
        <v>166</v>
      </c>
      <c r="M1221" t="s">
        <v>186</v>
      </c>
      <c r="N1221">
        <v>10</v>
      </c>
      <c r="O1221" s="4">
        <v>1300</v>
      </c>
      <c r="P1221" s="4">
        <v>2100</v>
      </c>
      <c r="Q1221" s="7">
        <v>0.1</v>
      </c>
      <c r="R1221" t="s">
        <v>235</v>
      </c>
      <c r="S1221">
        <v>2</v>
      </c>
      <c r="T1221">
        <v>21000</v>
      </c>
      <c r="U1221">
        <v>2100</v>
      </c>
      <c r="V1221">
        <v>18900</v>
      </c>
      <c r="W1221">
        <v>13000</v>
      </c>
      <c r="X1221">
        <v>5900</v>
      </c>
      <c r="Y1221" s="8">
        <v>0.31216931216931215</v>
      </c>
      <c r="Z1221" t="s">
        <v>2995</v>
      </c>
      <c r="AA1221" t="str">
        <f>IF(AND(SalesCleanTable[[#This Row],[Discount %]]&gt;0, SalesCleanTable[[#This Row],[Profit]]&lt;0), "Discount loss", "Safe")</f>
        <v>Safe</v>
      </c>
      <c r="AB1221" s="25">
        <f>(SalesCleanTable[[#This Row],[Unit Price]] - SalesCleanTable[[#This Row],[Unit Cost]]) / SalesCleanTable[[#This Row],[Unit Price]]</f>
        <v>0.38095238095238093</v>
      </c>
      <c r="AC1221" t="str">
        <f>IF(SalesCleanTable[[#This Row],[Discount %]] &gt; SalesCleanTable[[#This Row],[Max Allowed Discount]], "Discount loss", "Safe")</f>
        <v>Safe</v>
      </c>
      <c r="AD1221" s="4">
        <f>SalesCleanTable[[#This Row],[Unit Price]] - SalesCleanTable[[#This Row],[Unit Cost]]</f>
        <v>800</v>
      </c>
      <c r="AE1221" s="41">
        <f>(SalesCleanTable[[#This Row],[Unit Price]] - SalesCleanTable[[#This Row],[Unit Cost]]) / SalesCleanTable[[#This Row],[Unit Price]]</f>
        <v>0.38095238095238093</v>
      </c>
    </row>
    <row r="1222" spans="1:31">
      <c r="A1222" t="s">
        <v>1408</v>
      </c>
      <c r="B1222" s="6">
        <v>45730</v>
      </c>
      <c r="C1222" t="s">
        <v>95</v>
      </c>
      <c r="D1222" t="s">
        <v>96</v>
      </c>
      <c r="E1222" t="s">
        <v>92</v>
      </c>
      <c r="F1222" t="s">
        <v>97</v>
      </c>
      <c r="G1222" t="s">
        <v>98</v>
      </c>
      <c r="H1222" t="s">
        <v>139</v>
      </c>
      <c r="I1222" t="s">
        <v>140</v>
      </c>
      <c r="J1222" t="s">
        <v>137</v>
      </c>
      <c r="K1222" t="s">
        <v>138</v>
      </c>
      <c r="L1222" t="s">
        <v>166</v>
      </c>
      <c r="M1222" t="s">
        <v>171</v>
      </c>
      <c r="N1222">
        <v>1</v>
      </c>
      <c r="O1222" s="4">
        <v>18000</v>
      </c>
      <c r="P1222" s="4">
        <v>24500</v>
      </c>
      <c r="Q1222" s="7">
        <v>0</v>
      </c>
      <c r="R1222" t="s">
        <v>217</v>
      </c>
      <c r="S1222">
        <v>5</v>
      </c>
      <c r="T1222">
        <v>24500</v>
      </c>
      <c r="U1222">
        <v>0</v>
      </c>
      <c r="V1222">
        <v>24500</v>
      </c>
      <c r="W1222">
        <v>18000</v>
      </c>
      <c r="X1222">
        <v>6500</v>
      </c>
      <c r="Y1222" s="8">
        <v>0.26530612244897961</v>
      </c>
      <c r="Z1222" t="s">
        <v>2995</v>
      </c>
      <c r="AA1222" t="str">
        <f>IF(AND(SalesCleanTable[[#This Row],[Discount %]]&gt;0, SalesCleanTable[[#This Row],[Profit]]&lt;0), "Discount loss", "Safe")</f>
        <v>Safe</v>
      </c>
      <c r="AB1222" s="25">
        <f>(SalesCleanTable[[#This Row],[Unit Price]] - SalesCleanTable[[#This Row],[Unit Cost]]) / SalesCleanTable[[#This Row],[Unit Price]]</f>
        <v>0.26530612244897961</v>
      </c>
      <c r="AC1222" t="str">
        <f>IF(SalesCleanTable[[#This Row],[Discount %]] &gt; SalesCleanTable[[#This Row],[Max Allowed Discount]], "Discount loss", "Safe")</f>
        <v>Safe</v>
      </c>
      <c r="AD1222" s="4">
        <f>SalesCleanTable[[#This Row],[Unit Price]] - SalesCleanTable[[#This Row],[Unit Cost]]</f>
        <v>6500</v>
      </c>
      <c r="AE1222" s="41">
        <f>(SalesCleanTable[[#This Row],[Unit Price]] - SalesCleanTable[[#This Row],[Unit Cost]]) / SalesCleanTable[[#This Row],[Unit Price]]</f>
        <v>0.26530612244897961</v>
      </c>
    </row>
    <row r="1223" spans="1:31">
      <c r="A1223" t="s">
        <v>1409</v>
      </c>
      <c r="B1223" s="6">
        <v>45778</v>
      </c>
      <c r="C1223" t="s">
        <v>103</v>
      </c>
      <c r="D1223" t="s">
        <v>104</v>
      </c>
      <c r="E1223" t="s">
        <v>92</v>
      </c>
      <c r="F1223" t="s">
        <v>105</v>
      </c>
      <c r="G1223" t="s">
        <v>106</v>
      </c>
      <c r="H1223" t="s">
        <v>135</v>
      </c>
      <c r="I1223" t="s">
        <v>136</v>
      </c>
      <c r="J1223" t="s">
        <v>137</v>
      </c>
      <c r="K1223" t="s">
        <v>138</v>
      </c>
      <c r="L1223" t="s">
        <v>166</v>
      </c>
      <c r="M1223" t="s">
        <v>171</v>
      </c>
      <c r="N1223">
        <v>4</v>
      </c>
      <c r="O1223" s="4">
        <v>1500</v>
      </c>
      <c r="P1223" s="4">
        <v>2500</v>
      </c>
      <c r="Q1223" s="7">
        <v>0</v>
      </c>
      <c r="R1223" t="s">
        <v>181</v>
      </c>
      <c r="S1223">
        <v>8</v>
      </c>
      <c r="T1223">
        <v>10000</v>
      </c>
      <c r="U1223">
        <v>0</v>
      </c>
      <c r="V1223">
        <v>10000</v>
      </c>
      <c r="W1223">
        <v>6000</v>
      </c>
      <c r="X1223">
        <v>4000</v>
      </c>
      <c r="Y1223" s="8">
        <v>0.4</v>
      </c>
      <c r="Z1223" t="s">
        <v>2996</v>
      </c>
      <c r="AA1223" t="str">
        <f>IF(AND(SalesCleanTable[[#This Row],[Discount %]]&gt;0, SalesCleanTable[[#This Row],[Profit]]&lt;0), "Discount loss", "Safe")</f>
        <v>Safe</v>
      </c>
      <c r="AB1223" s="25">
        <f>(SalesCleanTable[[#This Row],[Unit Price]] - SalesCleanTable[[#This Row],[Unit Cost]]) / SalesCleanTable[[#This Row],[Unit Price]]</f>
        <v>0.4</v>
      </c>
      <c r="AC1223" t="str">
        <f>IF(SalesCleanTable[[#This Row],[Discount %]] &gt; SalesCleanTable[[#This Row],[Max Allowed Discount]], "Discount loss", "Safe")</f>
        <v>Safe</v>
      </c>
      <c r="AD1223" s="4">
        <f>SalesCleanTable[[#This Row],[Unit Price]] - SalesCleanTable[[#This Row],[Unit Cost]]</f>
        <v>1000</v>
      </c>
      <c r="AE1223" s="41">
        <f>(SalesCleanTable[[#This Row],[Unit Price]] - SalesCleanTable[[#This Row],[Unit Cost]]) / SalesCleanTable[[#This Row],[Unit Price]]</f>
        <v>0.4</v>
      </c>
    </row>
    <row r="1224" spans="1:31">
      <c r="A1224" t="s">
        <v>1410</v>
      </c>
      <c r="B1224" s="6">
        <v>45709</v>
      </c>
      <c r="C1224" t="s">
        <v>53</v>
      </c>
      <c r="D1224" t="s">
        <v>54</v>
      </c>
      <c r="E1224" t="s">
        <v>38</v>
      </c>
      <c r="F1224" t="s">
        <v>55</v>
      </c>
      <c r="G1224" t="s">
        <v>56</v>
      </c>
      <c r="H1224" t="s">
        <v>141</v>
      </c>
      <c r="I1224" t="s">
        <v>142</v>
      </c>
      <c r="J1224" t="s">
        <v>143</v>
      </c>
      <c r="K1224" t="s">
        <v>144</v>
      </c>
      <c r="L1224" t="s">
        <v>183</v>
      </c>
      <c r="M1224" t="s">
        <v>171</v>
      </c>
      <c r="N1224">
        <v>4</v>
      </c>
      <c r="O1224" s="4">
        <v>330</v>
      </c>
      <c r="P1224" s="4">
        <v>550</v>
      </c>
      <c r="Q1224" s="7">
        <v>0.15</v>
      </c>
      <c r="R1224" t="s">
        <v>168</v>
      </c>
      <c r="S1224">
        <v>4</v>
      </c>
      <c r="T1224">
        <v>2200</v>
      </c>
      <c r="U1224">
        <v>330</v>
      </c>
      <c r="V1224">
        <v>1870</v>
      </c>
      <c r="W1224">
        <v>1320</v>
      </c>
      <c r="X1224">
        <v>550</v>
      </c>
      <c r="Y1224" s="8">
        <v>0.29411764705882354</v>
      </c>
      <c r="Z1224" t="s">
        <v>2996</v>
      </c>
      <c r="AA1224" t="str">
        <f>IF(AND(SalesCleanTable[[#This Row],[Discount %]]&gt;0, SalesCleanTable[[#This Row],[Profit]]&lt;0), "Discount loss", "Safe")</f>
        <v>Safe</v>
      </c>
      <c r="AB1224" s="25">
        <f>(SalesCleanTable[[#This Row],[Unit Price]] - SalesCleanTable[[#This Row],[Unit Cost]]) / SalesCleanTable[[#This Row],[Unit Price]]</f>
        <v>0.4</v>
      </c>
      <c r="AC1224" t="str">
        <f>IF(SalesCleanTable[[#This Row],[Discount %]] &gt; SalesCleanTable[[#This Row],[Max Allowed Discount]], "Discount loss", "Safe")</f>
        <v>Safe</v>
      </c>
      <c r="AD1224" s="4">
        <f>SalesCleanTable[[#This Row],[Unit Price]] - SalesCleanTable[[#This Row],[Unit Cost]]</f>
        <v>220</v>
      </c>
      <c r="AE1224" s="41">
        <f>(SalesCleanTable[[#This Row],[Unit Price]] - SalesCleanTable[[#This Row],[Unit Cost]]) / SalesCleanTable[[#This Row],[Unit Price]]</f>
        <v>0.4</v>
      </c>
    </row>
    <row r="1225" spans="1:31">
      <c r="A1225" t="s">
        <v>1411</v>
      </c>
      <c r="B1225" s="6">
        <v>45707</v>
      </c>
      <c r="C1225" t="s">
        <v>49</v>
      </c>
      <c r="D1225" t="s">
        <v>50</v>
      </c>
      <c r="E1225" t="s">
        <v>38</v>
      </c>
      <c r="F1225" t="s">
        <v>51</v>
      </c>
      <c r="G1225" t="s">
        <v>52</v>
      </c>
      <c r="H1225" t="s">
        <v>135</v>
      </c>
      <c r="I1225" t="s">
        <v>136</v>
      </c>
      <c r="J1225" t="s">
        <v>137</v>
      </c>
      <c r="K1225" t="s">
        <v>138</v>
      </c>
      <c r="L1225" t="s">
        <v>166</v>
      </c>
      <c r="M1225" t="s">
        <v>167</v>
      </c>
      <c r="N1225">
        <v>8</v>
      </c>
      <c r="O1225" s="4">
        <v>550</v>
      </c>
      <c r="P1225" s="4">
        <v>850</v>
      </c>
      <c r="Q1225" s="7">
        <v>0.05</v>
      </c>
      <c r="R1225" t="s">
        <v>168</v>
      </c>
      <c r="S1225">
        <v>12</v>
      </c>
      <c r="T1225">
        <v>6800</v>
      </c>
      <c r="U1225">
        <v>340</v>
      </c>
      <c r="V1225">
        <v>6460</v>
      </c>
      <c r="W1225">
        <v>4400</v>
      </c>
      <c r="X1225">
        <v>2060</v>
      </c>
      <c r="Y1225" s="8">
        <v>0.31888544891640869</v>
      </c>
      <c r="Z1225" t="s">
        <v>2996</v>
      </c>
      <c r="AA1225" t="str">
        <f>IF(AND(SalesCleanTable[[#This Row],[Discount %]]&gt;0, SalesCleanTable[[#This Row],[Profit]]&lt;0), "Discount loss", "Safe")</f>
        <v>Safe</v>
      </c>
      <c r="AB1225" s="25">
        <f>(SalesCleanTable[[#This Row],[Unit Price]] - SalesCleanTable[[#This Row],[Unit Cost]]) / SalesCleanTable[[#This Row],[Unit Price]]</f>
        <v>0.35294117647058826</v>
      </c>
      <c r="AC1225" t="str">
        <f>IF(SalesCleanTable[[#This Row],[Discount %]] &gt; SalesCleanTable[[#This Row],[Max Allowed Discount]], "Discount loss", "Safe")</f>
        <v>Safe</v>
      </c>
      <c r="AD1225" s="4">
        <f>SalesCleanTable[[#This Row],[Unit Price]] - SalesCleanTable[[#This Row],[Unit Cost]]</f>
        <v>300</v>
      </c>
      <c r="AE1225" s="41">
        <f>(SalesCleanTable[[#This Row],[Unit Price]] - SalesCleanTable[[#This Row],[Unit Cost]]) / SalesCleanTable[[#This Row],[Unit Price]]</f>
        <v>0.35294117647058826</v>
      </c>
    </row>
    <row r="1226" spans="1:31">
      <c r="A1226" t="s">
        <v>1412</v>
      </c>
      <c r="B1226" s="6">
        <v>45963</v>
      </c>
      <c r="C1226" t="s">
        <v>49</v>
      </c>
      <c r="D1226" t="s">
        <v>50</v>
      </c>
      <c r="E1226" t="s">
        <v>38</v>
      </c>
      <c r="F1226" t="s">
        <v>51</v>
      </c>
      <c r="G1226" t="s">
        <v>52</v>
      </c>
      <c r="H1226" t="s">
        <v>128</v>
      </c>
      <c r="I1226" t="s">
        <v>129</v>
      </c>
      <c r="J1226" t="s">
        <v>130</v>
      </c>
      <c r="K1226" t="s">
        <v>131</v>
      </c>
      <c r="L1226" t="s">
        <v>183</v>
      </c>
      <c r="M1226" t="s">
        <v>167</v>
      </c>
      <c r="N1226">
        <v>3</v>
      </c>
      <c r="O1226" s="4">
        <v>550</v>
      </c>
      <c r="P1226" s="4">
        <v>850</v>
      </c>
      <c r="Q1226" s="7">
        <v>0.1</v>
      </c>
      <c r="R1226" t="s">
        <v>168</v>
      </c>
      <c r="S1226">
        <v>3</v>
      </c>
      <c r="T1226">
        <v>2550</v>
      </c>
      <c r="U1226">
        <v>255</v>
      </c>
      <c r="V1226">
        <v>2295</v>
      </c>
      <c r="W1226">
        <v>1650</v>
      </c>
      <c r="X1226">
        <v>645</v>
      </c>
      <c r="Y1226" s="8">
        <v>0.28104575163398693</v>
      </c>
      <c r="Z1226" t="s">
        <v>2996</v>
      </c>
      <c r="AA1226" t="str">
        <f>IF(AND(SalesCleanTable[[#This Row],[Discount %]]&gt;0, SalesCleanTable[[#This Row],[Profit]]&lt;0), "Discount loss", "Safe")</f>
        <v>Safe</v>
      </c>
      <c r="AB1226" s="25">
        <f>(SalesCleanTable[[#This Row],[Unit Price]] - SalesCleanTable[[#This Row],[Unit Cost]]) / SalesCleanTable[[#This Row],[Unit Price]]</f>
        <v>0.35294117647058826</v>
      </c>
      <c r="AC1226" t="str">
        <f>IF(SalesCleanTable[[#This Row],[Discount %]] &gt; SalesCleanTable[[#This Row],[Max Allowed Discount]], "Discount loss", "Safe")</f>
        <v>Safe</v>
      </c>
      <c r="AD1226" s="4">
        <f>SalesCleanTable[[#This Row],[Unit Price]] - SalesCleanTable[[#This Row],[Unit Cost]]</f>
        <v>300</v>
      </c>
      <c r="AE1226" s="41">
        <f>(SalesCleanTable[[#This Row],[Unit Price]] - SalesCleanTable[[#This Row],[Unit Cost]]) / SalesCleanTable[[#This Row],[Unit Price]]</f>
        <v>0.35294117647058826</v>
      </c>
    </row>
    <row r="1227" spans="1:31">
      <c r="A1227" t="s">
        <v>1413</v>
      </c>
      <c r="B1227" s="6">
        <v>45846</v>
      </c>
      <c r="C1227" t="s">
        <v>49</v>
      </c>
      <c r="D1227" t="s">
        <v>50</v>
      </c>
      <c r="E1227" t="s">
        <v>38</v>
      </c>
      <c r="F1227" t="s">
        <v>51</v>
      </c>
      <c r="G1227" t="s">
        <v>52</v>
      </c>
      <c r="H1227" t="s">
        <v>139</v>
      </c>
      <c r="I1227" t="s">
        <v>140</v>
      </c>
      <c r="J1227" t="s">
        <v>137</v>
      </c>
      <c r="K1227" t="s">
        <v>138</v>
      </c>
      <c r="L1227" t="s">
        <v>166</v>
      </c>
      <c r="M1227" t="s">
        <v>177</v>
      </c>
      <c r="N1227">
        <v>1</v>
      </c>
      <c r="O1227" s="4">
        <v>550</v>
      </c>
      <c r="P1227" s="4">
        <v>850</v>
      </c>
      <c r="Q1227" s="7">
        <v>0.1</v>
      </c>
      <c r="R1227" t="s">
        <v>178</v>
      </c>
      <c r="S1227">
        <v>3</v>
      </c>
      <c r="T1227">
        <v>850</v>
      </c>
      <c r="U1227">
        <v>85</v>
      </c>
      <c r="V1227">
        <v>765</v>
      </c>
      <c r="W1227">
        <v>550</v>
      </c>
      <c r="X1227">
        <v>215</v>
      </c>
      <c r="Y1227" s="8">
        <v>0.28104575163398693</v>
      </c>
      <c r="Z1227" t="s">
        <v>2996</v>
      </c>
      <c r="AA1227" t="str">
        <f>IF(AND(SalesCleanTable[[#This Row],[Discount %]]&gt;0, SalesCleanTable[[#This Row],[Profit]]&lt;0), "Discount loss", "Safe")</f>
        <v>Safe</v>
      </c>
      <c r="AB1227" s="25">
        <f>(SalesCleanTable[[#This Row],[Unit Price]] - SalesCleanTable[[#This Row],[Unit Cost]]) / SalesCleanTable[[#This Row],[Unit Price]]</f>
        <v>0.35294117647058826</v>
      </c>
      <c r="AC1227" t="str">
        <f>IF(SalesCleanTable[[#This Row],[Discount %]] &gt; SalesCleanTable[[#This Row],[Max Allowed Discount]], "Discount loss", "Safe")</f>
        <v>Safe</v>
      </c>
      <c r="AD1227" s="4">
        <f>SalesCleanTable[[#This Row],[Unit Price]] - SalesCleanTable[[#This Row],[Unit Cost]]</f>
        <v>300</v>
      </c>
      <c r="AE1227" s="41">
        <f>(SalesCleanTable[[#This Row],[Unit Price]] - SalesCleanTable[[#This Row],[Unit Cost]]) / SalesCleanTable[[#This Row],[Unit Price]]</f>
        <v>0.35294117647058826</v>
      </c>
    </row>
    <row r="1228" spans="1:31">
      <c r="A1228" t="s">
        <v>1414</v>
      </c>
      <c r="B1228" s="6">
        <v>45680</v>
      </c>
      <c r="C1228" t="s">
        <v>41</v>
      </c>
      <c r="D1228" t="s">
        <v>42</v>
      </c>
      <c r="E1228" t="s">
        <v>26</v>
      </c>
      <c r="F1228" t="s">
        <v>43</v>
      </c>
      <c r="G1228" t="s">
        <v>44</v>
      </c>
      <c r="H1228" t="s">
        <v>135</v>
      </c>
      <c r="I1228" t="s">
        <v>136</v>
      </c>
      <c r="J1228" t="s">
        <v>137</v>
      </c>
      <c r="K1228" t="s">
        <v>138</v>
      </c>
      <c r="L1228" t="s">
        <v>166</v>
      </c>
      <c r="M1228" t="s">
        <v>167</v>
      </c>
      <c r="N1228">
        <v>2</v>
      </c>
      <c r="O1228" s="4">
        <v>850</v>
      </c>
      <c r="P1228" s="4">
        <v>1300</v>
      </c>
      <c r="Q1228" s="7">
        <v>0.1</v>
      </c>
      <c r="R1228" t="s">
        <v>194</v>
      </c>
      <c r="S1228">
        <v>11</v>
      </c>
      <c r="T1228">
        <v>2600</v>
      </c>
      <c r="U1228">
        <v>260</v>
      </c>
      <c r="V1228">
        <v>2340</v>
      </c>
      <c r="W1228">
        <v>1700</v>
      </c>
      <c r="X1228">
        <v>640</v>
      </c>
      <c r="Y1228" s="8">
        <v>0.27350427350427353</v>
      </c>
      <c r="Z1228" t="s">
        <v>2995</v>
      </c>
      <c r="AA1228" t="str">
        <f>IF(AND(SalesCleanTable[[#This Row],[Discount %]]&gt;0, SalesCleanTable[[#This Row],[Profit]]&lt;0), "Discount loss", "Safe")</f>
        <v>Safe</v>
      </c>
      <c r="AB1228" s="25">
        <f>(SalesCleanTable[[#This Row],[Unit Price]] - SalesCleanTable[[#This Row],[Unit Cost]]) / SalesCleanTable[[#This Row],[Unit Price]]</f>
        <v>0.34615384615384615</v>
      </c>
      <c r="AC1228" t="str">
        <f>IF(SalesCleanTable[[#This Row],[Discount %]] &gt; SalesCleanTable[[#This Row],[Max Allowed Discount]], "Discount loss", "Safe")</f>
        <v>Safe</v>
      </c>
      <c r="AD1228" s="4">
        <f>SalesCleanTable[[#This Row],[Unit Price]] - SalesCleanTable[[#This Row],[Unit Cost]]</f>
        <v>450</v>
      </c>
      <c r="AE1228" s="41">
        <f>(SalesCleanTable[[#This Row],[Unit Price]] - SalesCleanTable[[#This Row],[Unit Cost]]) / SalesCleanTable[[#This Row],[Unit Price]]</f>
        <v>0.34615384615384615</v>
      </c>
    </row>
    <row r="1229" spans="1:31">
      <c r="A1229" t="s">
        <v>1415</v>
      </c>
      <c r="B1229" s="6">
        <v>45675</v>
      </c>
      <c r="C1229" t="s">
        <v>41</v>
      </c>
      <c r="D1229" t="s">
        <v>42</v>
      </c>
      <c r="E1229" t="s">
        <v>26</v>
      </c>
      <c r="F1229" t="s">
        <v>43</v>
      </c>
      <c r="G1229" t="s">
        <v>44</v>
      </c>
      <c r="H1229" t="s">
        <v>153</v>
      </c>
      <c r="I1229" t="s">
        <v>154</v>
      </c>
      <c r="J1229" t="s">
        <v>155</v>
      </c>
      <c r="K1229" t="s">
        <v>131</v>
      </c>
      <c r="L1229" t="s">
        <v>166</v>
      </c>
      <c r="M1229" t="s">
        <v>177</v>
      </c>
      <c r="N1229">
        <v>1</v>
      </c>
      <c r="O1229" s="4">
        <v>850</v>
      </c>
      <c r="P1229" s="4">
        <v>1300</v>
      </c>
      <c r="Q1229" s="7">
        <v>0.05</v>
      </c>
      <c r="R1229" t="s">
        <v>197</v>
      </c>
      <c r="S1229">
        <v>6</v>
      </c>
      <c r="T1229">
        <v>1300</v>
      </c>
      <c r="U1229">
        <v>65</v>
      </c>
      <c r="V1229">
        <v>1235</v>
      </c>
      <c r="W1229">
        <v>850</v>
      </c>
      <c r="X1229">
        <v>385</v>
      </c>
      <c r="Y1229" s="8">
        <v>0.31174089068825911</v>
      </c>
      <c r="Z1229" t="s">
        <v>2995</v>
      </c>
      <c r="AA1229" t="str">
        <f>IF(AND(SalesCleanTable[[#This Row],[Discount %]]&gt;0, SalesCleanTable[[#This Row],[Profit]]&lt;0), "Discount loss", "Safe")</f>
        <v>Safe</v>
      </c>
      <c r="AB1229" s="25">
        <f>(SalesCleanTable[[#This Row],[Unit Price]] - SalesCleanTable[[#This Row],[Unit Cost]]) / SalesCleanTable[[#This Row],[Unit Price]]</f>
        <v>0.34615384615384615</v>
      </c>
      <c r="AC1229" t="str">
        <f>IF(SalesCleanTable[[#This Row],[Discount %]] &gt; SalesCleanTable[[#This Row],[Max Allowed Discount]], "Discount loss", "Safe")</f>
        <v>Safe</v>
      </c>
      <c r="AD1229" s="4">
        <f>SalesCleanTable[[#This Row],[Unit Price]] - SalesCleanTable[[#This Row],[Unit Cost]]</f>
        <v>450</v>
      </c>
      <c r="AE1229" s="41">
        <f>(SalesCleanTable[[#This Row],[Unit Price]] - SalesCleanTable[[#This Row],[Unit Cost]]) / SalesCleanTable[[#This Row],[Unit Price]]</f>
        <v>0.34615384615384615</v>
      </c>
    </row>
    <row r="1230" spans="1:31">
      <c r="A1230" t="s">
        <v>1416</v>
      </c>
      <c r="B1230" s="6">
        <v>45709</v>
      </c>
      <c r="C1230" t="s">
        <v>78</v>
      </c>
      <c r="D1230" t="s">
        <v>79</v>
      </c>
      <c r="E1230" t="s">
        <v>75</v>
      </c>
      <c r="F1230" t="s">
        <v>80</v>
      </c>
      <c r="G1230" t="s">
        <v>81</v>
      </c>
      <c r="H1230" t="s">
        <v>135</v>
      </c>
      <c r="I1230" t="s">
        <v>136</v>
      </c>
      <c r="J1230" t="s">
        <v>137</v>
      </c>
      <c r="K1230" t="s">
        <v>138</v>
      </c>
      <c r="L1230" t="s">
        <v>166</v>
      </c>
      <c r="M1230" t="s">
        <v>186</v>
      </c>
      <c r="N1230">
        <v>-2</v>
      </c>
      <c r="O1230" s="4">
        <v>1200</v>
      </c>
      <c r="P1230" s="4">
        <v>1900</v>
      </c>
      <c r="Q1230" s="7">
        <v>0</v>
      </c>
      <c r="R1230" t="s">
        <v>204</v>
      </c>
      <c r="S1230">
        <v>8</v>
      </c>
      <c r="T1230">
        <v>-3800</v>
      </c>
      <c r="U1230">
        <v>0</v>
      </c>
      <c r="V1230">
        <v>-3800</v>
      </c>
      <c r="W1230">
        <v>-2400</v>
      </c>
      <c r="X1230">
        <v>-1400</v>
      </c>
      <c r="Y1230" s="8">
        <v>0.36842105263157893</v>
      </c>
      <c r="Z1230" t="s">
        <v>2996</v>
      </c>
      <c r="AA1230" t="str">
        <f>IF(AND(SalesCleanTable[[#This Row],[Discount %]]&gt;0, SalesCleanTable[[#This Row],[Profit]]&lt;0), "Discount loss", "Safe")</f>
        <v>Safe</v>
      </c>
      <c r="AB1230" s="25">
        <f>(SalesCleanTable[[#This Row],[Unit Price]] - SalesCleanTable[[#This Row],[Unit Cost]]) / SalesCleanTable[[#This Row],[Unit Price]]</f>
        <v>0.36842105263157893</v>
      </c>
      <c r="AC1230" t="str">
        <f>IF(SalesCleanTable[[#This Row],[Discount %]] &gt; SalesCleanTable[[#This Row],[Max Allowed Discount]], "Discount loss", "Safe")</f>
        <v>Safe</v>
      </c>
      <c r="AD1230" s="4">
        <f>SalesCleanTable[[#This Row],[Unit Price]] - SalesCleanTable[[#This Row],[Unit Cost]]</f>
        <v>700</v>
      </c>
      <c r="AE1230" s="41">
        <f>(SalesCleanTable[[#This Row],[Unit Price]] - SalesCleanTable[[#This Row],[Unit Cost]]) / SalesCleanTable[[#This Row],[Unit Price]]</f>
        <v>0.36842105263157893</v>
      </c>
    </row>
    <row r="1231" spans="1:31">
      <c r="A1231" t="s">
        <v>1417</v>
      </c>
      <c r="B1231" s="6">
        <v>46001</v>
      </c>
      <c r="C1231" t="s">
        <v>49</v>
      </c>
      <c r="D1231" t="s">
        <v>50</v>
      </c>
      <c r="E1231" t="s">
        <v>38</v>
      </c>
      <c r="F1231" t="s">
        <v>51</v>
      </c>
      <c r="G1231" t="s">
        <v>52</v>
      </c>
      <c r="H1231" t="s">
        <v>145</v>
      </c>
      <c r="I1231" t="s">
        <v>146</v>
      </c>
      <c r="J1231" t="s">
        <v>147</v>
      </c>
      <c r="K1231" t="s">
        <v>148</v>
      </c>
      <c r="L1231" t="s">
        <v>183</v>
      </c>
      <c r="M1231" t="s">
        <v>171</v>
      </c>
      <c r="N1231">
        <v>2</v>
      </c>
      <c r="O1231" s="4">
        <v>550</v>
      </c>
      <c r="P1231" s="4">
        <v>850</v>
      </c>
      <c r="Q1231" s="7">
        <v>0</v>
      </c>
      <c r="R1231" t="s">
        <v>175</v>
      </c>
      <c r="S1231">
        <v>9</v>
      </c>
      <c r="T1231">
        <v>1700</v>
      </c>
      <c r="U1231">
        <v>0</v>
      </c>
      <c r="V1231">
        <v>1700</v>
      </c>
      <c r="W1231">
        <v>1100</v>
      </c>
      <c r="X1231">
        <v>600</v>
      </c>
      <c r="Y1231" s="8">
        <v>0.35294117647058826</v>
      </c>
      <c r="Z1231" t="s">
        <v>2996</v>
      </c>
      <c r="AA1231" t="str">
        <f>IF(AND(SalesCleanTable[[#This Row],[Discount %]]&gt;0, SalesCleanTable[[#This Row],[Profit]]&lt;0), "Discount loss", "Safe")</f>
        <v>Safe</v>
      </c>
      <c r="AB1231" s="25">
        <f>(SalesCleanTable[[#This Row],[Unit Price]] - SalesCleanTable[[#This Row],[Unit Cost]]) / SalesCleanTable[[#This Row],[Unit Price]]</f>
        <v>0.35294117647058826</v>
      </c>
      <c r="AC1231" t="str">
        <f>IF(SalesCleanTable[[#This Row],[Discount %]] &gt; SalesCleanTable[[#This Row],[Max Allowed Discount]], "Discount loss", "Safe")</f>
        <v>Safe</v>
      </c>
      <c r="AD1231" s="4">
        <f>SalesCleanTable[[#This Row],[Unit Price]] - SalesCleanTable[[#This Row],[Unit Cost]]</f>
        <v>300</v>
      </c>
      <c r="AE1231" s="41">
        <f>(SalesCleanTable[[#This Row],[Unit Price]] - SalesCleanTable[[#This Row],[Unit Cost]]) / SalesCleanTable[[#This Row],[Unit Price]]</f>
        <v>0.35294117647058826</v>
      </c>
    </row>
    <row r="1232" spans="1:31">
      <c r="A1232" t="s">
        <v>1418</v>
      </c>
      <c r="B1232" s="6">
        <v>45900</v>
      </c>
      <c r="C1232" t="s">
        <v>82</v>
      </c>
      <c r="D1232" t="s">
        <v>83</v>
      </c>
      <c r="E1232" t="s">
        <v>75</v>
      </c>
      <c r="F1232" t="s">
        <v>84</v>
      </c>
      <c r="G1232" t="s">
        <v>85</v>
      </c>
      <c r="H1232" t="s">
        <v>149</v>
      </c>
      <c r="I1232" t="s">
        <v>150</v>
      </c>
      <c r="J1232" t="s">
        <v>151</v>
      </c>
      <c r="K1232" t="s">
        <v>152</v>
      </c>
      <c r="L1232" t="s">
        <v>166</v>
      </c>
      <c r="M1232" t="s">
        <v>186</v>
      </c>
      <c r="N1232">
        <v>10</v>
      </c>
      <c r="O1232" s="4">
        <v>600</v>
      </c>
      <c r="P1232" s="4">
        <v>950</v>
      </c>
      <c r="Q1232" s="7">
        <v>0</v>
      </c>
      <c r="R1232" t="s">
        <v>208</v>
      </c>
      <c r="S1232">
        <v>14</v>
      </c>
      <c r="T1232">
        <v>9500</v>
      </c>
      <c r="U1232">
        <v>0</v>
      </c>
      <c r="V1232">
        <v>9500</v>
      </c>
      <c r="W1232">
        <v>6000</v>
      </c>
      <c r="X1232">
        <v>3500</v>
      </c>
      <c r="Y1232" s="8">
        <v>0.36842105263157893</v>
      </c>
      <c r="Z1232" t="s">
        <v>2996</v>
      </c>
      <c r="AA1232" t="str">
        <f>IF(AND(SalesCleanTable[[#This Row],[Discount %]]&gt;0, SalesCleanTable[[#This Row],[Profit]]&lt;0), "Discount loss", "Safe")</f>
        <v>Safe</v>
      </c>
      <c r="AB1232" s="25">
        <f>(SalesCleanTable[[#This Row],[Unit Price]] - SalesCleanTable[[#This Row],[Unit Cost]]) / SalesCleanTable[[#This Row],[Unit Price]]</f>
        <v>0.36842105263157893</v>
      </c>
      <c r="AC1232" t="str">
        <f>IF(SalesCleanTable[[#This Row],[Discount %]] &gt; SalesCleanTable[[#This Row],[Max Allowed Discount]], "Discount loss", "Safe")</f>
        <v>Safe</v>
      </c>
      <c r="AD1232" s="4">
        <f>SalesCleanTable[[#This Row],[Unit Price]] - SalesCleanTable[[#This Row],[Unit Cost]]</f>
        <v>350</v>
      </c>
      <c r="AE1232" s="41">
        <f>(SalesCleanTable[[#This Row],[Unit Price]] - SalesCleanTable[[#This Row],[Unit Cost]]) / SalesCleanTable[[#This Row],[Unit Price]]</f>
        <v>0.36842105263157893</v>
      </c>
    </row>
    <row r="1233" spans="1:31">
      <c r="A1233" t="s">
        <v>1419</v>
      </c>
      <c r="B1233" s="6">
        <v>45734</v>
      </c>
      <c r="C1233" t="s">
        <v>24</v>
      </c>
      <c r="D1233" t="s">
        <v>25</v>
      </c>
      <c r="E1233" t="s">
        <v>26</v>
      </c>
      <c r="F1233" t="s">
        <v>27</v>
      </c>
      <c r="G1233" t="s">
        <v>28</v>
      </c>
      <c r="H1233" t="s">
        <v>153</v>
      </c>
      <c r="I1233" t="s">
        <v>154</v>
      </c>
      <c r="J1233" t="s">
        <v>155</v>
      </c>
      <c r="K1233" t="s">
        <v>131</v>
      </c>
      <c r="L1233" t="s">
        <v>166</v>
      </c>
      <c r="M1233" t="s">
        <v>171</v>
      </c>
      <c r="N1233">
        <v>4</v>
      </c>
      <c r="O1233" s="4">
        <v>14500</v>
      </c>
      <c r="P1233" s="4">
        <v>17500</v>
      </c>
      <c r="Q1233" s="7">
        <v>0</v>
      </c>
      <c r="R1233" t="s">
        <v>194</v>
      </c>
      <c r="S1233">
        <v>7</v>
      </c>
      <c r="T1233">
        <v>70000</v>
      </c>
      <c r="U1233">
        <v>0</v>
      </c>
      <c r="V1233">
        <v>70000</v>
      </c>
      <c r="W1233">
        <v>58000</v>
      </c>
      <c r="X1233">
        <v>12000</v>
      </c>
      <c r="Y1233" s="8">
        <v>0.17142857142857143</v>
      </c>
      <c r="Z1233" t="s">
        <v>2995</v>
      </c>
      <c r="AA1233" t="str">
        <f>IF(AND(SalesCleanTable[[#This Row],[Discount %]]&gt;0, SalesCleanTable[[#This Row],[Profit]]&lt;0), "Discount loss", "Safe")</f>
        <v>Safe</v>
      </c>
      <c r="AB1233" s="25">
        <f>(SalesCleanTable[[#This Row],[Unit Price]] - SalesCleanTable[[#This Row],[Unit Cost]]) / SalesCleanTable[[#This Row],[Unit Price]]</f>
        <v>0.17142857142857143</v>
      </c>
      <c r="AC1233" t="str">
        <f>IF(SalesCleanTable[[#This Row],[Discount %]] &gt; SalesCleanTable[[#This Row],[Max Allowed Discount]], "Discount loss", "Safe")</f>
        <v>Safe</v>
      </c>
      <c r="AD1233" s="4">
        <f>SalesCleanTable[[#This Row],[Unit Price]] - SalesCleanTable[[#This Row],[Unit Cost]]</f>
        <v>3000</v>
      </c>
      <c r="AE1233" s="41">
        <f>(SalesCleanTable[[#This Row],[Unit Price]] - SalesCleanTable[[#This Row],[Unit Cost]]) / SalesCleanTable[[#This Row],[Unit Price]]</f>
        <v>0.17142857142857143</v>
      </c>
    </row>
    <row r="1234" spans="1:31">
      <c r="A1234" t="s">
        <v>1420</v>
      </c>
      <c r="B1234" s="6">
        <v>45802</v>
      </c>
      <c r="C1234" t="s">
        <v>24</v>
      </c>
      <c r="D1234" t="s">
        <v>25</v>
      </c>
      <c r="E1234" t="s">
        <v>26</v>
      </c>
      <c r="F1234" t="s">
        <v>27</v>
      </c>
      <c r="G1234" t="s">
        <v>28</v>
      </c>
      <c r="H1234" t="s">
        <v>149</v>
      </c>
      <c r="I1234" t="s">
        <v>150</v>
      </c>
      <c r="J1234" t="s">
        <v>151</v>
      </c>
      <c r="K1234" t="s">
        <v>152</v>
      </c>
      <c r="L1234" t="s">
        <v>183</v>
      </c>
      <c r="M1234" t="s">
        <v>186</v>
      </c>
      <c r="N1234">
        <v>2</v>
      </c>
      <c r="O1234" s="4">
        <v>14500</v>
      </c>
      <c r="P1234" s="4">
        <v>17500</v>
      </c>
      <c r="Q1234" s="7">
        <v>0</v>
      </c>
      <c r="R1234" t="s">
        <v>194</v>
      </c>
      <c r="S1234">
        <v>6</v>
      </c>
      <c r="T1234">
        <v>35000</v>
      </c>
      <c r="U1234">
        <v>0</v>
      </c>
      <c r="V1234">
        <v>35000</v>
      </c>
      <c r="W1234">
        <v>29000</v>
      </c>
      <c r="X1234">
        <v>6000</v>
      </c>
      <c r="Y1234" s="8">
        <v>0.17142857142857143</v>
      </c>
      <c r="Z1234" t="s">
        <v>2995</v>
      </c>
      <c r="AA1234" t="str">
        <f>IF(AND(SalesCleanTable[[#This Row],[Discount %]]&gt;0, SalesCleanTable[[#This Row],[Profit]]&lt;0), "Discount loss", "Safe")</f>
        <v>Safe</v>
      </c>
      <c r="AB1234" s="25">
        <f>(SalesCleanTable[[#This Row],[Unit Price]] - SalesCleanTable[[#This Row],[Unit Cost]]) / SalesCleanTable[[#This Row],[Unit Price]]</f>
        <v>0.17142857142857143</v>
      </c>
      <c r="AC1234" t="str">
        <f>IF(SalesCleanTable[[#This Row],[Discount %]] &gt; SalesCleanTable[[#This Row],[Max Allowed Discount]], "Discount loss", "Safe")</f>
        <v>Safe</v>
      </c>
      <c r="AD1234" s="4">
        <f>SalesCleanTable[[#This Row],[Unit Price]] - SalesCleanTable[[#This Row],[Unit Cost]]</f>
        <v>3000</v>
      </c>
      <c r="AE1234" s="41">
        <f>(SalesCleanTable[[#This Row],[Unit Price]] - SalesCleanTable[[#This Row],[Unit Cost]]) / SalesCleanTable[[#This Row],[Unit Price]]</f>
        <v>0.17142857142857143</v>
      </c>
    </row>
    <row r="1235" spans="1:31">
      <c r="A1235" t="s">
        <v>1421</v>
      </c>
      <c r="B1235" s="6">
        <v>45670</v>
      </c>
      <c r="C1235" t="s">
        <v>62</v>
      </c>
      <c r="D1235" t="s">
        <v>63</v>
      </c>
      <c r="E1235" t="s">
        <v>59</v>
      </c>
      <c r="F1235" t="s">
        <v>64</v>
      </c>
      <c r="G1235" t="s">
        <v>65</v>
      </c>
      <c r="H1235" t="s">
        <v>133</v>
      </c>
      <c r="I1235" t="s">
        <v>134</v>
      </c>
      <c r="J1235" t="s">
        <v>130</v>
      </c>
      <c r="K1235" t="s">
        <v>131</v>
      </c>
      <c r="L1235" t="s">
        <v>166</v>
      </c>
      <c r="M1235" t="s">
        <v>171</v>
      </c>
      <c r="N1235">
        <v>2</v>
      </c>
      <c r="O1235" s="4">
        <v>3200</v>
      </c>
      <c r="P1235" s="4">
        <v>4500</v>
      </c>
      <c r="Q1235" s="7">
        <v>0</v>
      </c>
      <c r="R1235" t="s">
        <v>173</v>
      </c>
      <c r="S1235">
        <v>2</v>
      </c>
      <c r="T1235">
        <v>9000</v>
      </c>
      <c r="U1235">
        <v>0</v>
      </c>
      <c r="V1235">
        <v>9000</v>
      </c>
      <c r="W1235">
        <v>6400</v>
      </c>
      <c r="X1235">
        <v>2600</v>
      </c>
      <c r="Y1235" s="8">
        <v>0.28888888888888886</v>
      </c>
      <c r="Z1235" t="s">
        <v>2996</v>
      </c>
      <c r="AA1235" t="str">
        <f>IF(AND(SalesCleanTable[[#This Row],[Discount %]]&gt;0, SalesCleanTable[[#This Row],[Profit]]&lt;0), "Discount loss", "Safe")</f>
        <v>Safe</v>
      </c>
      <c r="AB1235" s="25">
        <f>(SalesCleanTable[[#This Row],[Unit Price]] - SalesCleanTable[[#This Row],[Unit Cost]]) / SalesCleanTable[[#This Row],[Unit Price]]</f>
        <v>0.28888888888888886</v>
      </c>
      <c r="AC1235" t="str">
        <f>IF(SalesCleanTable[[#This Row],[Discount %]] &gt; SalesCleanTable[[#This Row],[Max Allowed Discount]], "Discount loss", "Safe")</f>
        <v>Safe</v>
      </c>
      <c r="AD1235" s="4">
        <f>SalesCleanTable[[#This Row],[Unit Price]] - SalesCleanTable[[#This Row],[Unit Cost]]</f>
        <v>1300</v>
      </c>
      <c r="AE1235" s="41">
        <f>(SalesCleanTable[[#This Row],[Unit Price]] - SalesCleanTable[[#This Row],[Unit Cost]]) / SalesCleanTable[[#This Row],[Unit Price]]</f>
        <v>0.28888888888888886</v>
      </c>
    </row>
    <row r="1236" spans="1:31">
      <c r="A1236" t="s">
        <v>1422</v>
      </c>
      <c r="B1236" s="6">
        <v>45676</v>
      </c>
      <c r="C1236" t="s">
        <v>57</v>
      </c>
      <c r="D1236" t="s">
        <v>58</v>
      </c>
      <c r="E1236" t="s">
        <v>59</v>
      </c>
      <c r="F1236" t="s">
        <v>60</v>
      </c>
      <c r="G1236" t="s">
        <v>61</v>
      </c>
      <c r="H1236" t="s">
        <v>135</v>
      </c>
      <c r="I1236" t="s">
        <v>136</v>
      </c>
      <c r="J1236" t="s">
        <v>137</v>
      </c>
      <c r="K1236" t="s">
        <v>138</v>
      </c>
      <c r="L1236" t="s">
        <v>166</v>
      </c>
      <c r="M1236" t="s">
        <v>177</v>
      </c>
      <c r="N1236">
        <v>1</v>
      </c>
      <c r="O1236" s="4">
        <v>2400</v>
      </c>
      <c r="P1236" s="4">
        <v>3400</v>
      </c>
      <c r="Q1236" s="7">
        <v>0.05</v>
      </c>
      <c r="R1236" t="s">
        <v>204</v>
      </c>
      <c r="S1236">
        <v>7</v>
      </c>
      <c r="T1236">
        <v>3400</v>
      </c>
      <c r="U1236">
        <v>170</v>
      </c>
      <c r="V1236">
        <v>3230</v>
      </c>
      <c r="W1236">
        <v>2400</v>
      </c>
      <c r="X1236">
        <v>830</v>
      </c>
      <c r="Y1236" s="8">
        <v>0.25696594427244585</v>
      </c>
      <c r="Z1236" t="s">
        <v>2996</v>
      </c>
      <c r="AA1236" t="str">
        <f>IF(AND(SalesCleanTable[[#This Row],[Discount %]]&gt;0, SalesCleanTable[[#This Row],[Profit]]&lt;0), "Discount loss", "Safe")</f>
        <v>Safe</v>
      </c>
      <c r="AB1236" s="25">
        <f>(SalesCleanTable[[#This Row],[Unit Price]] - SalesCleanTable[[#This Row],[Unit Cost]]) / SalesCleanTable[[#This Row],[Unit Price]]</f>
        <v>0.29411764705882354</v>
      </c>
      <c r="AC1236" t="str">
        <f>IF(SalesCleanTable[[#This Row],[Discount %]] &gt; SalesCleanTable[[#This Row],[Max Allowed Discount]], "Discount loss", "Safe")</f>
        <v>Safe</v>
      </c>
      <c r="AD1236" s="4">
        <f>SalesCleanTable[[#This Row],[Unit Price]] - SalesCleanTable[[#This Row],[Unit Cost]]</f>
        <v>1000</v>
      </c>
      <c r="AE1236" s="41">
        <f>(SalesCleanTable[[#This Row],[Unit Price]] - SalesCleanTable[[#This Row],[Unit Cost]]) / SalesCleanTable[[#This Row],[Unit Price]]</f>
        <v>0.29411764705882354</v>
      </c>
    </row>
    <row r="1237" spans="1:31">
      <c r="A1237" t="s">
        <v>1423</v>
      </c>
      <c r="B1237" s="6">
        <v>45834</v>
      </c>
      <c r="C1237" t="s">
        <v>116</v>
      </c>
      <c r="D1237" t="s">
        <v>117</v>
      </c>
      <c r="E1237" t="s">
        <v>109</v>
      </c>
      <c r="F1237" t="s">
        <v>118</v>
      </c>
      <c r="G1237" t="s">
        <v>119</v>
      </c>
      <c r="H1237" t="s">
        <v>141</v>
      </c>
      <c r="I1237" t="s">
        <v>142</v>
      </c>
      <c r="J1237" t="s">
        <v>143</v>
      </c>
      <c r="K1237" t="s">
        <v>144</v>
      </c>
      <c r="L1237" t="s">
        <v>183</v>
      </c>
      <c r="M1237" t="s">
        <v>171</v>
      </c>
      <c r="N1237">
        <v>2</v>
      </c>
      <c r="O1237" s="4">
        <v>2800</v>
      </c>
      <c r="P1237" s="4">
        <v>4200</v>
      </c>
      <c r="Q1237" s="7">
        <v>0.15</v>
      </c>
      <c r="R1237" t="s">
        <v>184</v>
      </c>
      <c r="S1237">
        <v>10</v>
      </c>
      <c r="T1237">
        <v>8400</v>
      </c>
      <c r="U1237">
        <v>1260</v>
      </c>
      <c r="V1237">
        <v>7140</v>
      </c>
      <c r="W1237">
        <v>5600</v>
      </c>
      <c r="X1237">
        <v>1540</v>
      </c>
      <c r="Y1237" s="8">
        <v>0.21568627450980393</v>
      </c>
      <c r="Z1237" t="s">
        <v>2995</v>
      </c>
      <c r="AA1237" t="str">
        <f>IF(AND(SalesCleanTable[[#This Row],[Discount %]]&gt;0, SalesCleanTable[[#This Row],[Profit]]&lt;0), "Discount loss", "Safe")</f>
        <v>Safe</v>
      </c>
      <c r="AB1237" s="25">
        <f>(SalesCleanTable[[#This Row],[Unit Price]] - SalesCleanTable[[#This Row],[Unit Cost]]) / SalesCleanTable[[#This Row],[Unit Price]]</f>
        <v>0.33333333333333331</v>
      </c>
      <c r="AC1237" t="str">
        <f>IF(SalesCleanTable[[#This Row],[Discount %]] &gt; SalesCleanTable[[#This Row],[Max Allowed Discount]], "Discount loss", "Safe")</f>
        <v>Safe</v>
      </c>
      <c r="AD1237" s="4">
        <f>SalesCleanTable[[#This Row],[Unit Price]] - SalesCleanTable[[#This Row],[Unit Cost]]</f>
        <v>1400</v>
      </c>
      <c r="AE1237" s="41">
        <f>(SalesCleanTable[[#This Row],[Unit Price]] - SalesCleanTable[[#This Row],[Unit Cost]]) / SalesCleanTable[[#This Row],[Unit Price]]</f>
        <v>0.33333333333333331</v>
      </c>
    </row>
    <row r="1238" spans="1:31">
      <c r="A1238" t="s">
        <v>1424</v>
      </c>
      <c r="B1238" s="6">
        <v>45697</v>
      </c>
      <c r="C1238" t="s">
        <v>45</v>
      </c>
      <c r="D1238" t="s">
        <v>46</v>
      </c>
      <c r="E1238" t="s">
        <v>38</v>
      </c>
      <c r="F1238" t="s">
        <v>47</v>
      </c>
      <c r="G1238" t="s">
        <v>48</v>
      </c>
      <c r="H1238" t="s">
        <v>128</v>
      </c>
      <c r="I1238" t="s">
        <v>129</v>
      </c>
      <c r="J1238" t="s">
        <v>130</v>
      </c>
      <c r="K1238" t="s">
        <v>131</v>
      </c>
      <c r="L1238" t="s">
        <v>183</v>
      </c>
      <c r="M1238" t="s">
        <v>177</v>
      </c>
      <c r="N1238">
        <v>3</v>
      </c>
      <c r="O1238" s="4">
        <v>230</v>
      </c>
      <c r="P1238" s="4">
        <v>400</v>
      </c>
      <c r="Q1238" s="7">
        <v>0.1</v>
      </c>
      <c r="R1238" t="s">
        <v>168</v>
      </c>
      <c r="S1238">
        <v>12</v>
      </c>
      <c r="T1238">
        <v>1200</v>
      </c>
      <c r="U1238">
        <v>120</v>
      </c>
      <c r="V1238">
        <v>1080</v>
      </c>
      <c r="W1238">
        <v>690</v>
      </c>
      <c r="X1238">
        <v>390</v>
      </c>
      <c r="Y1238" s="8">
        <v>0.3611111111111111</v>
      </c>
      <c r="Z1238" t="s">
        <v>2995</v>
      </c>
      <c r="AA1238" t="str">
        <f>IF(AND(SalesCleanTable[[#This Row],[Discount %]]&gt;0, SalesCleanTable[[#This Row],[Profit]]&lt;0), "Discount loss", "Safe")</f>
        <v>Safe</v>
      </c>
      <c r="AB1238" s="25">
        <f>(SalesCleanTable[[#This Row],[Unit Price]] - SalesCleanTable[[#This Row],[Unit Cost]]) / SalesCleanTable[[#This Row],[Unit Price]]</f>
        <v>0.42499999999999999</v>
      </c>
      <c r="AC1238" t="str">
        <f>IF(SalesCleanTable[[#This Row],[Discount %]] &gt; SalesCleanTable[[#This Row],[Max Allowed Discount]], "Discount loss", "Safe")</f>
        <v>Safe</v>
      </c>
      <c r="AD1238" s="4">
        <f>SalesCleanTable[[#This Row],[Unit Price]] - SalesCleanTable[[#This Row],[Unit Cost]]</f>
        <v>170</v>
      </c>
      <c r="AE1238" s="41">
        <f>(SalesCleanTable[[#This Row],[Unit Price]] - SalesCleanTable[[#This Row],[Unit Cost]]) / SalesCleanTable[[#This Row],[Unit Price]]</f>
        <v>0.42499999999999999</v>
      </c>
    </row>
    <row r="1239" spans="1:31">
      <c r="A1239" t="s">
        <v>1425</v>
      </c>
      <c r="B1239" s="6">
        <v>45984</v>
      </c>
      <c r="C1239" t="s">
        <v>82</v>
      </c>
      <c r="D1239" t="s">
        <v>83</v>
      </c>
      <c r="E1239" t="s">
        <v>75</v>
      </c>
      <c r="F1239" t="s">
        <v>84</v>
      </c>
      <c r="G1239" t="s">
        <v>85</v>
      </c>
      <c r="H1239" t="s">
        <v>135</v>
      </c>
      <c r="I1239" t="s">
        <v>136</v>
      </c>
      <c r="J1239" t="s">
        <v>137</v>
      </c>
      <c r="K1239" t="s">
        <v>138</v>
      </c>
      <c r="L1239" t="s">
        <v>166</v>
      </c>
      <c r="M1239" t="s">
        <v>171</v>
      </c>
      <c r="N1239">
        <v>1</v>
      </c>
      <c r="O1239" s="4">
        <v>600</v>
      </c>
      <c r="P1239" s="4">
        <v>950</v>
      </c>
      <c r="Q1239" s="7">
        <v>0.2</v>
      </c>
      <c r="R1239" t="s">
        <v>187</v>
      </c>
      <c r="S1239">
        <v>14</v>
      </c>
      <c r="T1239">
        <v>950</v>
      </c>
      <c r="U1239">
        <v>190</v>
      </c>
      <c r="V1239">
        <v>760</v>
      </c>
      <c r="W1239">
        <v>600</v>
      </c>
      <c r="X1239">
        <v>160</v>
      </c>
      <c r="Y1239" s="8">
        <v>0.21052631578947367</v>
      </c>
      <c r="Z1239" t="s">
        <v>2996</v>
      </c>
      <c r="AA1239" t="str">
        <f>IF(AND(SalesCleanTable[[#This Row],[Discount %]]&gt;0, SalesCleanTable[[#This Row],[Profit]]&lt;0), "Discount loss", "Safe")</f>
        <v>Safe</v>
      </c>
      <c r="AB1239" s="25">
        <f>(SalesCleanTable[[#This Row],[Unit Price]] - SalesCleanTable[[#This Row],[Unit Cost]]) / SalesCleanTable[[#This Row],[Unit Price]]</f>
        <v>0.36842105263157893</v>
      </c>
      <c r="AC1239" t="str">
        <f>IF(SalesCleanTable[[#This Row],[Discount %]] &gt; SalesCleanTable[[#This Row],[Max Allowed Discount]], "Discount loss", "Safe")</f>
        <v>Safe</v>
      </c>
      <c r="AD1239" s="4">
        <f>SalesCleanTable[[#This Row],[Unit Price]] - SalesCleanTable[[#This Row],[Unit Cost]]</f>
        <v>350</v>
      </c>
      <c r="AE1239" s="41">
        <f>(SalesCleanTable[[#This Row],[Unit Price]] - SalesCleanTable[[#This Row],[Unit Cost]]) / SalesCleanTable[[#This Row],[Unit Price]]</f>
        <v>0.36842105263157893</v>
      </c>
    </row>
    <row r="1240" spans="1:31">
      <c r="A1240" t="s">
        <v>1426</v>
      </c>
      <c r="B1240" s="6">
        <v>45717</v>
      </c>
      <c r="C1240" t="s">
        <v>95</v>
      </c>
      <c r="D1240" t="s">
        <v>96</v>
      </c>
      <c r="E1240" t="s">
        <v>92</v>
      </c>
      <c r="F1240" t="s">
        <v>97</v>
      </c>
      <c r="G1240" t="s">
        <v>98</v>
      </c>
      <c r="H1240" t="s">
        <v>139</v>
      </c>
      <c r="I1240" t="s">
        <v>140</v>
      </c>
      <c r="J1240" t="s">
        <v>137</v>
      </c>
      <c r="K1240" t="s">
        <v>138</v>
      </c>
      <c r="L1240" t="s">
        <v>166</v>
      </c>
      <c r="M1240" t="s">
        <v>171</v>
      </c>
      <c r="N1240">
        <v>10</v>
      </c>
      <c r="O1240" s="4">
        <v>18000</v>
      </c>
      <c r="P1240" s="4">
        <v>24500</v>
      </c>
      <c r="Q1240" s="7">
        <v>0.1</v>
      </c>
      <c r="R1240" t="s">
        <v>215</v>
      </c>
      <c r="S1240">
        <v>13</v>
      </c>
      <c r="T1240">
        <v>245000</v>
      </c>
      <c r="U1240">
        <v>24500</v>
      </c>
      <c r="V1240">
        <v>220500</v>
      </c>
      <c r="W1240">
        <v>180000</v>
      </c>
      <c r="X1240">
        <v>40500</v>
      </c>
      <c r="Y1240" s="8">
        <v>0.18367346938775511</v>
      </c>
      <c r="Z1240" t="s">
        <v>2995</v>
      </c>
      <c r="AA1240" t="str">
        <f>IF(AND(SalesCleanTable[[#This Row],[Discount %]]&gt;0, SalesCleanTable[[#This Row],[Profit]]&lt;0), "Discount loss", "Safe")</f>
        <v>Safe</v>
      </c>
      <c r="AB1240" s="25">
        <f>(SalesCleanTable[[#This Row],[Unit Price]] - SalesCleanTable[[#This Row],[Unit Cost]]) / SalesCleanTable[[#This Row],[Unit Price]]</f>
        <v>0.26530612244897961</v>
      </c>
      <c r="AC1240" t="str">
        <f>IF(SalesCleanTable[[#This Row],[Discount %]] &gt; SalesCleanTable[[#This Row],[Max Allowed Discount]], "Discount loss", "Safe")</f>
        <v>Safe</v>
      </c>
      <c r="AD1240" s="4">
        <f>SalesCleanTable[[#This Row],[Unit Price]] - SalesCleanTable[[#This Row],[Unit Cost]]</f>
        <v>6500</v>
      </c>
      <c r="AE1240" s="41">
        <f>(SalesCleanTable[[#This Row],[Unit Price]] - SalesCleanTable[[#This Row],[Unit Cost]]) / SalesCleanTable[[#This Row],[Unit Price]]</f>
        <v>0.26530612244897961</v>
      </c>
    </row>
    <row r="1241" spans="1:31">
      <c r="A1241" t="s">
        <v>1427</v>
      </c>
      <c r="B1241" s="6">
        <v>45951</v>
      </c>
      <c r="C1241" t="s">
        <v>53</v>
      </c>
      <c r="D1241" t="s">
        <v>54</v>
      </c>
      <c r="E1241" t="s">
        <v>38</v>
      </c>
      <c r="F1241" t="s">
        <v>55</v>
      </c>
      <c r="G1241" t="s">
        <v>56</v>
      </c>
      <c r="H1241" t="s">
        <v>145</v>
      </c>
      <c r="I1241" t="s">
        <v>146</v>
      </c>
      <c r="J1241" t="s">
        <v>147</v>
      </c>
      <c r="K1241" t="s">
        <v>148</v>
      </c>
      <c r="L1241" t="s">
        <v>183</v>
      </c>
      <c r="M1241" t="s">
        <v>167</v>
      </c>
      <c r="N1241">
        <v>2</v>
      </c>
      <c r="O1241" s="4">
        <v>330</v>
      </c>
      <c r="P1241" s="4">
        <v>550</v>
      </c>
      <c r="Q1241" s="7">
        <v>0.1</v>
      </c>
      <c r="R1241" t="s">
        <v>168</v>
      </c>
      <c r="S1241">
        <v>1</v>
      </c>
      <c r="T1241">
        <v>1100</v>
      </c>
      <c r="U1241">
        <v>110</v>
      </c>
      <c r="V1241">
        <v>990</v>
      </c>
      <c r="W1241">
        <v>660</v>
      </c>
      <c r="X1241">
        <v>330</v>
      </c>
      <c r="Y1241" s="8">
        <v>0.33333333333333331</v>
      </c>
      <c r="Z1241" t="s">
        <v>2996</v>
      </c>
      <c r="AA1241" t="str">
        <f>IF(AND(SalesCleanTable[[#This Row],[Discount %]]&gt;0, SalesCleanTable[[#This Row],[Profit]]&lt;0), "Discount loss", "Safe")</f>
        <v>Safe</v>
      </c>
      <c r="AB1241" s="25">
        <f>(SalesCleanTable[[#This Row],[Unit Price]] - SalesCleanTable[[#This Row],[Unit Cost]]) / SalesCleanTable[[#This Row],[Unit Price]]</f>
        <v>0.4</v>
      </c>
      <c r="AC1241" t="str">
        <f>IF(SalesCleanTable[[#This Row],[Discount %]] &gt; SalesCleanTable[[#This Row],[Max Allowed Discount]], "Discount loss", "Safe")</f>
        <v>Safe</v>
      </c>
      <c r="AD1241" s="4">
        <f>SalesCleanTable[[#This Row],[Unit Price]] - SalesCleanTable[[#This Row],[Unit Cost]]</f>
        <v>220</v>
      </c>
      <c r="AE1241" s="41">
        <f>(SalesCleanTable[[#This Row],[Unit Price]] - SalesCleanTable[[#This Row],[Unit Cost]]) / SalesCleanTable[[#This Row],[Unit Price]]</f>
        <v>0.4</v>
      </c>
    </row>
    <row r="1242" spans="1:31">
      <c r="A1242" t="s">
        <v>1428</v>
      </c>
      <c r="B1242" s="6">
        <v>45750</v>
      </c>
      <c r="C1242" t="s">
        <v>78</v>
      </c>
      <c r="D1242" t="s">
        <v>79</v>
      </c>
      <c r="E1242" t="s">
        <v>75</v>
      </c>
      <c r="F1242" t="s">
        <v>80</v>
      </c>
      <c r="G1242" t="s">
        <v>81</v>
      </c>
      <c r="H1242" t="s">
        <v>135</v>
      </c>
      <c r="I1242" t="s">
        <v>136</v>
      </c>
      <c r="J1242" t="s">
        <v>137</v>
      </c>
      <c r="K1242" t="s">
        <v>138</v>
      </c>
      <c r="L1242" t="s">
        <v>166</v>
      </c>
      <c r="M1242" t="s">
        <v>177</v>
      </c>
      <c r="N1242">
        <v>2</v>
      </c>
      <c r="O1242" s="4">
        <v>1200</v>
      </c>
      <c r="P1242" s="4">
        <v>1900</v>
      </c>
      <c r="Q1242" s="7">
        <v>0</v>
      </c>
      <c r="R1242" t="s">
        <v>208</v>
      </c>
      <c r="S1242">
        <v>8</v>
      </c>
      <c r="T1242">
        <v>3800</v>
      </c>
      <c r="U1242">
        <v>0</v>
      </c>
      <c r="V1242">
        <v>3800</v>
      </c>
      <c r="W1242">
        <v>2400</v>
      </c>
      <c r="X1242">
        <v>1400</v>
      </c>
      <c r="Y1242" s="8">
        <v>0.36842105263157893</v>
      </c>
      <c r="Z1242" t="s">
        <v>2996</v>
      </c>
      <c r="AA1242" t="str">
        <f>IF(AND(SalesCleanTable[[#This Row],[Discount %]]&gt;0, SalesCleanTable[[#This Row],[Profit]]&lt;0), "Discount loss", "Safe")</f>
        <v>Safe</v>
      </c>
      <c r="AB1242" s="25">
        <f>(SalesCleanTable[[#This Row],[Unit Price]] - SalesCleanTable[[#This Row],[Unit Cost]]) / SalesCleanTable[[#This Row],[Unit Price]]</f>
        <v>0.36842105263157893</v>
      </c>
      <c r="AC1242" t="str">
        <f>IF(SalesCleanTable[[#This Row],[Discount %]] &gt; SalesCleanTable[[#This Row],[Max Allowed Discount]], "Discount loss", "Safe")</f>
        <v>Safe</v>
      </c>
      <c r="AD1242" s="4">
        <f>SalesCleanTable[[#This Row],[Unit Price]] - SalesCleanTable[[#This Row],[Unit Cost]]</f>
        <v>700</v>
      </c>
      <c r="AE1242" s="41">
        <f>(SalesCleanTable[[#This Row],[Unit Price]] - SalesCleanTable[[#This Row],[Unit Cost]]) / SalesCleanTable[[#This Row],[Unit Price]]</f>
        <v>0.36842105263157893</v>
      </c>
    </row>
    <row r="1243" spans="1:31">
      <c r="A1243" t="s">
        <v>1429</v>
      </c>
      <c r="B1243" s="6">
        <v>45983</v>
      </c>
      <c r="C1243" t="s">
        <v>45</v>
      </c>
      <c r="D1243" t="s">
        <v>46</v>
      </c>
      <c r="E1243" t="s">
        <v>38</v>
      </c>
      <c r="F1243" t="s">
        <v>47</v>
      </c>
      <c r="G1243" t="s">
        <v>48</v>
      </c>
      <c r="H1243" t="s">
        <v>133</v>
      </c>
      <c r="I1243" t="s">
        <v>134</v>
      </c>
      <c r="J1243" t="s">
        <v>130</v>
      </c>
      <c r="K1243" t="s">
        <v>131</v>
      </c>
      <c r="L1243" t="s">
        <v>166</v>
      </c>
      <c r="M1243" t="s">
        <v>167</v>
      </c>
      <c r="N1243">
        <v>1</v>
      </c>
      <c r="O1243" s="4">
        <v>230</v>
      </c>
      <c r="P1243" s="4">
        <v>400</v>
      </c>
      <c r="Q1243" s="7">
        <v>0.05</v>
      </c>
      <c r="R1243" t="s">
        <v>168</v>
      </c>
      <c r="S1243">
        <v>10</v>
      </c>
      <c r="T1243">
        <v>400</v>
      </c>
      <c r="U1243">
        <v>20</v>
      </c>
      <c r="V1243">
        <v>380</v>
      </c>
      <c r="W1243">
        <v>230</v>
      </c>
      <c r="X1243">
        <v>150</v>
      </c>
      <c r="Y1243" s="8">
        <v>0.39473684210526316</v>
      </c>
      <c r="Z1243" t="s">
        <v>2995</v>
      </c>
      <c r="AA1243" t="str">
        <f>IF(AND(SalesCleanTable[[#This Row],[Discount %]]&gt;0, SalesCleanTable[[#This Row],[Profit]]&lt;0), "Discount loss", "Safe")</f>
        <v>Safe</v>
      </c>
      <c r="AB1243" s="25">
        <f>(SalesCleanTable[[#This Row],[Unit Price]] - SalesCleanTable[[#This Row],[Unit Cost]]) / SalesCleanTable[[#This Row],[Unit Price]]</f>
        <v>0.42499999999999999</v>
      </c>
      <c r="AC1243" t="str">
        <f>IF(SalesCleanTable[[#This Row],[Discount %]] &gt; SalesCleanTable[[#This Row],[Max Allowed Discount]], "Discount loss", "Safe")</f>
        <v>Safe</v>
      </c>
      <c r="AD1243" s="4">
        <f>SalesCleanTable[[#This Row],[Unit Price]] - SalesCleanTable[[#This Row],[Unit Cost]]</f>
        <v>170</v>
      </c>
      <c r="AE1243" s="41">
        <f>(SalesCleanTable[[#This Row],[Unit Price]] - SalesCleanTable[[#This Row],[Unit Cost]]) / SalesCleanTable[[#This Row],[Unit Price]]</f>
        <v>0.42499999999999999</v>
      </c>
    </row>
    <row r="1244" spans="1:31">
      <c r="A1244" t="s">
        <v>1430</v>
      </c>
      <c r="B1244" s="6">
        <v>45959</v>
      </c>
      <c r="C1244" t="s">
        <v>53</v>
      </c>
      <c r="D1244" t="s">
        <v>54</v>
      </c>
      <c r="E1244" t="s">
        <v>38</v>
      </c>
      <c r="F1244" t="s">
        <v>55</v>
      </c>
      <c r="G1244" t="s">
        <v>56</v>
      </c>
      <c r="H1244" t="s">
        <v>139</v>
      </c>
      <c r="I1244" t="s">
        <v>140</v>
      </c>
      <c r="J1244" t="s">
        <v>137</v>
      </c>
      <c r="K1244" t="s">
        <v>138</v>
      </c>
      <c r="L1244" t="s">
        <v>166</v>
      </c>
      <c r="M1244" t="s">
        <v>186</v>
      </c>
      <c r="N1244">
        <v>3</v>
      </c>
      <c r="O1244" s="4">
        <v>330</v>
      </c>
      <c r="P1244" s="4">
        <v>550</v>
      </c>
      <c r="Q1244" s="7">
        <v>0.05</v>
      </c>
      <c r="R1244" t="s">
        <v>175</v>
      </c>
      <c r="S1244">
        <v>6</v>
      </c>
      <c r="T1244">
        <v>1650</v>
      </c>
      <c r="U1244">
        <v>82.5</v>
      </c>
      <c r="V1244">
        <v>1567.5</v>
      </c>
      <c r="W1244">
        <v>990</v>
      </c>
      <c r="X1244">
        <v>577.5</v>
      </c>
      <c r="Y1244" s="8">
        <v>0.36842105263157893</v>
      </c>
      <c r="Z1244" t="s">
        <v>2996</v>
      </c>
      <c r="AA1244" t="str">
        <f>IF(AND(SalesCleanTable[[#This Row],[Discount %]]&gt;0, SalesCleanTable[[#This Row],[Profit]]&lt;0), "Discount loss", "Safe")</f>
        <v>Safe</v>
      </c>
      <c r="AB1244" s="25">
        <f>(SalesCleanTable[[#This Row],[Unit Price]] - SalesCleanTable[[#This Row],[Unit Cost]]) / SalesCleanTable[[#This Row],[Unit Price]]</f>
        <v>0.4</v>
      </c>
      <c r="AC1244" t="str">
        <f>IF(SalesCleanTable[[#This Row],[Discount %]] &gt; SalesCleanTable[[#This Row],[Max Allowed Discount]], "Discount loss", "Safe")</f>
        <v>Safe</v>
      </c>
      <c r="AD1244" s="4">
        <f>SalesCleanTable[[#This Row],[Unit Price]] - SalesCleanTable[[#This Row],[Unit Cost]]</f>
        <v>220</v>
      </c>
      <c r="AE1244" s="41">
        <f>(SalesCleanTable[[#This Row],[Unit Price]] - SalesCleanTable[[#This Row],[Unit Cost]]) / SalesCleanTable[[#This Row],[Unit Price]]</f>
        <v>0.4</v>
      </c>
    </row>
    <row r="1245" spans="1:31">
      <c r="A1245" t="s">
        <v>1431</v>
      </c>
      <c r="B1245" s="6">
        <v>45735</v>
      </c>
      <c r="C1245" t="s">
        <v>53</v>
      </c>
      <c r="D1245" t="s">
        <v>54</v>
      </c>
      <c r="E1245" t="s">
        <v>38</v>
      </c>
      <c r="F1245" t="s">
        <v>55</v>
      </c>
      <c r="G1245" t="s">
        <v>56</v>
      </c>
      <c r="H1245" t="s">
        <v>145</v>
      </c>
      <c r="I1245" t="s">
        <v>146</v>
      </c>
      <c r="J1245" t="s">
        <v>147</v>
      </c>
      <c r="K1245" t="s">
        <v>148</v>
      </c>
      <c r="L1245" t="s">
        <v>183</v>
      </c>
      <c r="M1245" t="s">
        <v>167</v>
      </c>
      <c r="N1245">
        <v>1</v>
      </c>
      <c r="O1245" s="4">
        <v>330</v>
      </c>
      <c r="P1245" s="4">
        <v>550</v>
      </c>
      <c r="Q1245" s="7">
        <v>0.1</v>
      </c>
      <c r="R1245" t="s">
        <v>178</v>
      </c>
      <c r="S1245">
        <v>11</v>
      </c>
      <c r="T1245">
        <v>550</v>
      </c>
      <c r="U1245">
        <v>55</v>
      </c>
      <c r="V1245">
        <v>495</v>
      </c>
      <c r="W1245">
        <v>330</v>
      </c>
      <c r="X1245">
        <v>165</v>
      </c>
      <c r="Y1245" s="8">
        <v>0.33333333333333331</v>
      </c>
      <c r="Z1245" t="s">
        <v>2996</v>
      </c>
      <c r="AA1245" t="str">
        <f>IF(AND(SalesCleanTable[[#This Row],[Discount %]]&gt;0, SalesCleanTable[[#This Row],[Profit]]&lt;0), "Discount loss", "Safe")</f>
        <v>Safe</v>
      </c>
      <c r="AB1245" s="25">
        <f>(SalesCleanTable[[#This Row],[Unit Price]] - SalesCleanTable[[#This Row],[Unit Cost]]) / SalesCleanTable[[#This Row],[Unit Price]]</f>
        <v>0.4</v>
      </c>
      <c r="AC1245" t="str">
        <f>IF(SalesCleanTable[[#This Row],[Discount %]] &gt; SalesCleanTable[[#This Row],[Max Allowed Discount]], "Discount loss", "Safe")</f>
        <v>Safe</v>
      </c>
      <c r="AD1245" s="4">
        <f>SalesCleanTable[[#This Row],[Unit Price]] - SalesCleanTable[[#This Row],[Unit Cost]]</f>
        <v>220</v>
      </c>
      <c r="AE1245" s="41">
        <f>(SalesCleanTable[[#This Row],[Unit Price]] - SalesCleanTable[[#This Row],[Unit Cost]]) / SalesCleanTable[[#This Row],[Unit Price]]</f>
        <v>0.4</v>
      </c>
    </row>
    <row r="1246" spans="1:31">
      <c r="A1246" t="s">
        <v>1432</v>
      </c>
      <c r="B1246" s="6">
        <v>45698</v>
      </c>
      <c r="C1246" t="s">
        <v>73</v>
      </c>
      <c r="D1246" t="s">
        <v>74</v>
      </c>
      <c r="E1246" t="s">
        <v>75</v>
      </c>
      <c r="F1246" t="s">
        <v>76</v>
      </c>
      <c r="G1246" t="s">
        <v>77</v>
      </c>
      <c r="H1246" t="s">
        <v>139</v>
      </c>
      <c r="I1246" t="s">
        <v>140</v>
      </c>
      <c r="J1246" t="s">
        <v>137</v>
      </c>
      <c r="K1246" t="s">
        <v>138</v>
      </c>
      <c r="L1246" t="s">
        <v>170</v>
      </c>
      <c r="M1246" t="s">
        <v>186</v>
      </c>
      <c r="N1246">
        <v>2</v>
      </c>
      <c r="O1246" s="4">
        <v>3500</v>
      </c>
      <c r="P1246" s="4">
        <v>5200</v>
      </c>
      <c r="Q1246" s="7">
        <v>0</v>
      </c>
      <c r="R1246" t="s">
        <v>208</v>
      </c>
      <c r="S1246">
        <v>13</v>
      </c>
      <c r="T1246">
        <v>10400</v>
      </c>
      <c r="U1246">
        <v>0</v>
      </c>
      <c r="V1246">
        <v>10400</v>
      </c>
      <c r="W1246">
        <v>7000</v>
      </c>
      <c r="X1246">
        <v>3400</v>
      </c>
      <c r="Y1246" s="8">
        <v>0.32692307692307693</v>
      </c>
      <c r="Z1246" t="s">
        <v>2996</v>
      </c>
      <c r="AA1246" t="str">
        <f>IF(AND(SalesCleanTable[[#This Row],[Discount %]]&gt;0, SalesCleanTable[[#This Row],[Profit]]&lt;0), "Discount loss", "Safe")</f>
        <v>Safe</v>
      </c>
      <c r="AB1246" s="25">
        <f>(SalesCleanTable[[#This Row],[Unit Price]] - SalesCleanTable[[#This Row],[Unit Cost]]) / SalesCleanTable[[#This Row],[Unit Price]]</f>
        <v>0.32692307692307693</v>
      </c>
      <c r="AC1246" t="str">
        <f>IF(SalesCleanTable[[#This Row],[Discount %]] &gt; SalesCleanTable[[#This Row],[Max Allowed Discount]], "Discount loss", "Safe")</f>
        <v>Safe</v>
      </c>
      <c r="AD1246" s="4">
        <f>SalesCleanTable[[#This Row],[Unit Price]] - SalesCleanTable[[#This Row],[Unit Cost]]</f>
        <v>1700</v>
      </c>
      <c r="AE1246" s="41">
        <f>(SalesCleanTable[[#This Row],[Unit Price]] - SalesCleanTable[[#This Row],[Unit Cost]]) / SalesCleanTable[[#This Row],[Unit Price]]</f>
        <v>0.32692307692307693</v>
      </c>
    </row>
    <row r="1247" spans="1:31">
      <c r="A1247" t="s">
        <v>1433</v>
      </c>
      <c r="B1247" s="6">
        <v>46003</v>
      </c>
      <c r="C1247" t="s">
        <v>53</v>
      </c>
      <c r="D1247" t="s">
        <v>54</v>
      </c>
      <c r="E1247" t="s">
        <v>38</v>
      </c>
      <c r="F1247" t="s">
        <v>55</v>
      </c>
      <c r="G1247" t="s">
        <v>56</v>
      </c>
      <c r="H1247" t="s">
        <v>133</v>
      </c>
      <c r="I1247" t="s">
        <v>134</v>
      </c>
      <c r="J1247" t="s">
        <v>130</v>
      </c>
      <c r="K1247" t="s">
        <v>131</v>
      </c>
      <c r="L1247" t="s">
        <v>166</v>
      </c>
      <c r="M1247" t="s">
        <v>186</v>
      </c>
      <c r="N1247">
        <v>3</v>
      </c>
      <c r="O1247" s="4">
        <v>330</v>
      </c>
      <c r="P1247" s="4">
        <v>550</v>
      </c>
      <c r="Q1247" s="7">
        <v>0.1</v>
      </c>
      <c r="R1247" t="s">
        <v>178</v>
      </c>
      <c r="S1247">
        <v>13</v>
      </c>
      <c r="T1247">
        <v>1650</v>
      </c>
      <c r="U1247">
        <v>165</v>
      </c>
      <c r="V1247">
        <v>1485</v>
      </c>
      <c r="W1247">
        <v>990</v>
      </c>
      <c r="X1247">
        <v>495</v>
      </c>
      <c r="Y1247" s="8">
        <v>0.33333333333333331</v>
      </c>
      <c r="Z1247" t="s">
        <v>2996</v>
      </c>
      <c r="AA1247" t="str">
        <f>IF(AND(SalesCleanTable[[#This Row],[Discount %]]&gt;0, SalesCleanTable[[#This Row],[Profit]]&lt;0), "Discount loss", "Safe")</f>
        <v>Safe</v>
      </c>
      <c r="AB1247" s="25">
        <f>(SalesCleanTable[[#This Row],[Unit Price]] - SalesCleanTable[[#This Row],[Unit Cost]]) / SalesCleanTable[[#This Row],[Unit Price]]</f>
        <v>0.4</v>
      </c>
      <c r="AC1247" t="str">
        <f>IF(SalesCleanTable[[#This Row],[Discount %]] &gt; SalesCleanTable[[#This Row],[Max Allowed Discount]], "Discount loss", "Safe")</f>
        <v>Safe</v>
      </c>
      <c r="AD1247" s="4">
        <f>SalesCleanTable[[#This Row],[Unit Price]] - SalesCleanTable[[#This Row],[Unit Cost]]</f>
        <v>220</v>
      </c>
      <c r="AE1247" s="41">
        <f>(SalesCleanTable[[#This Row],[Unit Price]] - SalesCleanTable[[#This Row],[Unit Cost]]) / SalesCleanTable[[#This Row],[Unit Price]]</f>
        <v>0.4</v>
      </c>
    </row>
    <row r="1248" spans="1:31">
      <c r="A1248" t="s">
        <v>1434</v>
      </c>
      <c r="B1248" s="6">
        <v>45942</v>
      </c>
      <c r="C1248" t="s">
        <v>82</v>
      </c>
      <c r="D1248" t="s">
        <v>83</v>
      </c>
      <c r="E1248" t="s">
        <v>75</v>
      </c>
      <c r="F1248" t="s">
        <v>84</v>
      </c>
      <c r="G1248" t="s">
        <v>85</v>
      </c>
      <c r="H1248" t="s">
        <v>153</v>
      </c>
      <c r="I1248" t="s">
        <v>154</v>
      </c>
      <c r="J1248" t="s">
        <v>155</v>
      </c>
      <c r="K1248" t="s">
        <v>131</v>
      </c>
      <c r="L1248" t="s">
        <v>166</v>
      </c>
      <c r="M1248" t="s">
        <v>171</v>
      </c>
      <c r="N1248">
        <v>2</v>
      </c>
      <c r="O1248" s="4">
        <v>600</v>
      </c>
      <c r="P1248" s="4">
        <v>950</v>
      </c>
      <c r="Q1248" s="7">
        <v>0.05</v>
      </c>
      <c r="R1248" t="s">
        <v>187</v>
      </c>
      <c r="S1248">
        <v>2</v>
      </c>
      <c r="T1248">
        <v>1900</v>
      </c>
      <c r="U1248">
        <v>95</v>
      </c>
      <c r="V1248">
        <v>1805</v>
      </c>
      <c r="W1248">
        <v>1200</v>
      </c>
      <c r="X1248">
        <v>605</v>
      </c>
      <c r="Y1248" s="8">
        <v>0.33518005540166207</v>
      </c>
      <c r="Z1248" t="s">
        <v>2996</v>
      </c>
      <c r="AA1248" t="str">
        <f>IF(AND(SalesCleanTable[[#This Row],[Discount %]]&gt;0, SalesCleanTable[[#This Row],[Profit]]&lt;0), "Discount loss", "Safe")</f>
        <v>Safe</v>
      </c>
      <c r="AB1248" s="25">
        <f>(SalesCleanTable[[#This Row],[Unit Price]] - SalesCleanTable[[#This Row],[Unit Cost]]) / SalesCleanTable[[#This Row],[Unit Price]]</f>
        <v>0.36842105263157893</v>
      </c>
      <c r="AC1248" t="str">
        <f>IF(SalesCleanTable[[#This Row],[Discount %]] &gt; SalesCleanTable[[#This Row],[Max Allowed Discount]], "Discount loss", "Safe")</f>
        <v>Safe</v>
      </c>
      <c r="AD1248" s="4">
        <f>SalesCleanTable[[#This Row],[Unit Price]] - SalesCleanTable[[#This Row],[Unit Cost]]</f>
        <v>350</v>
      </c>
      <c r="AE1248" s="41">
        <f>(SalesCleanTable[[#This Row],[Unit Price]] - SalesCleanTable[[#This Row],[Unit Cost]]) / SalesCleanTable[[#This Row],[Unit Price]]</f>
        <v>0.36842105263157893</v>
      </c>
    </row>
    <row r="1249" spans="1:31">
      <c r="A1249" t="s">
        <v>1435</v>
      </c>
      <c r="B1249" s="6">
        <v>45766</v>
      </c>
      <c r="C1249" t="s">
        <v>120</v>
      </c>
      <c r="D1249" t="s">
        <v>121</v>
      </c>
      <c r="E1249" t="s">
        <v>109</v>
      </c>
      <c r="F1249" t="s">
        <v>93</v>
      </c>
      <c r="G1249" t="s">
        <v>122</v>
      </c>
      <c r="H1249" t="s">
        <v>139</v>
      </c>
      <c r="I1249" t="s">
        <v>140</v>
      </c>
      <c r="J1249" t="s">
        <v>137</v>
      </c>
      <c r="K1249" t="s">
        <v>138</v>
      </c>
      <c r="L1249" t="s">
        <v>183</v>
      </c>
      <c r="M1249" t="s">
        <v>171</v>
      </c>
      <c r="N1249">
        <v>1</v>
      </c>
      <c r="O1249" s="4">
        <v>1700</v>
      </c>
      <c r="P1249" s="4">
        <v>2800</v>
      </c>
      <c r="Q1249" s="7">
        <v>0.05</v>
      </c>
      <c r="R1249" t="s">
        <v>220</v>
      </c>
      <c r="S1249">
        <v>9</v>
      </c>
      <c r="T1249">
        <v>2800</v>
      </c>
      <c r="U1249">
        <v>140</v>
      </c>
      <c r="V1249">
        <v>2660</v>
      </c>
      <c r="W1249">
        <v>1700</v>
      </c>
      <c r="X1249">
        <v>960</v>
      </c>
      <c r="Y1249" s="8">
        <v>0.36090225563909772</v>
      </c>
      <c r="Z1249" t="s">
        <v>2997</v>
      </c>
      <c r="AA1249" t="str">
        <f>IF(AND(SalesCleanTable[[#This Row],[Discount %]]&gt;0, SalesCleanTable[[#This Row],[Profit]]&lt;0), "Discount loss", "Safe")</f>
        <v>Safe</v>
      </c>
      <c r="AB1249" s="25">
        <f>(SalesCleanTable[[#This Row],[Unit Price]] - SalesCleanTable[[#This Row],[Unit Cost]]) / SalesCleanTable[[#This Row],[Unit Price]]</f>
        <v>0.39285714285714285</v>
      </c>
      <c r="AC1249" t="str">
        <f>IF(SalesCleanTable[[#This Row],[Discount %]] &gt; SalesCleanTable[[#This Row],[Max Allowed Discount]], "Discount loss", "Safe")</f>
        <v>Safe</v>
      </c>
      <c r="AD1249" s="4">
        <f>SalesCleanTable[[#This Row],[Unit Price]] - SalesCleanTable[[#This Row],[Unit Cost]]</f>
        <v>1100</v>
      </c>
      <c r="AE1249" s="41">
        <f>(SalesCleanTable[[#This Row],[Unit Price]] - SalesCleanTable[[#This Row],[Unit Cost]]) / SalesCleanTable[[#This Row],[Unit Price]]</f>
        <v>0.39285714285714285</v>
      </c>
    </row>
    <row r="1250" spans="1:31">
      <c r="A1250" t="s">
        <v>1436</v>
      </c>
      <c r="B1250" s="6">
        <v>45769</v>
      </c>
      <c r="C1250" t="s">
        <v>49</v>
      </c>
      <c r="D1250" t="s">
        <v>50</v>
      </c>
      <c r="E1250" t="s">
        <v>38</v>
      </c>
      <c r="F1250" t="s">
        <v>51</v>
      </c>
      <c r="G1250" t="s">
        <v>52</v>
      </c>
      <c r="H1250" t="s">
        <v>139</v>
      </c>
      <c r="I1250" t="s">
        <v>140</v>
      </c>
      <c r="J1250" t="s">
        <v>137</v>
      </c>
      <c r="K1250" t="s">
        <v>138</v>
      </c>
      <c r="L1250" t="s">
        <v>166</v>
      </c>
      <c r="M1250" t="s">
        <v>171</v>
      </c>
      <c r="N1250">
        <v>2</v>
      </c>
      <c r="O1250" s="4">
        <v>550</v>
      </c>
      <c r="P1250" s="4">
        <v>850</v>
      </c>
      <c r="Q1250" s="7">
        <v>0.05</v>
      </c>
      <c r="R1250" t="s">
        <v>168</v>
      </c>
      <c r="S1250">
        <v>13</v>
      </c>
      <c r="T1250">
        <v>1700</v>
      </c>
      <c r="U1250">
        <v>85</v>
      </c>
      <c r="V1250">
        <v>1615</v>
      </c>
      <c r="W1250">
        <v>1100</v>
      </c>
      <c r="X1250">
        <v>515</v>
      </c>
      <c r="Y1250" s="8">
        <v>0.31888544891640869</v>
      </c>
      <c r="Z1250" t="s">
        <v>2996</v>
      </c>
      <c r="AA1250" t="str">
        <f>IF(AND(SalesCleanTable[[#This Row],[Discount %]]&gt;0, SalesCleanTable[[#This Row],[Profit]]&lt;0), "Discount loss", "Safe")</f>
        <v>Safe</v>
      </c>
      <c r="AB1250" s="25">
        <f>(SalesCleanTable[[#This Row],[Unit Price]] - SalesCleanTable[[#This Row],[Unit Cost]]) / SalesCleanTable[[#This Row],[Unit Price]]</f>
        <v>0.35294117647058826</v>
      </c>
      <c r="AC1250" t="str">
        <f>IF(SalesCleanTable[[#This Row],[Discount %]] &gt; SalesCleanTable[[#This Row],[Max Allowed Discount]], "Discount loss", "Safe")</f>
        <v>Safe</v>
      </c>
      <c r="AD1250" s="4">
        <f>SalesCleanTable[[#This Row],[Unit Price]] - SalesCleanTable[[#This Row],[Unit Cost]]</f>
        <v>300</v>
      </c>
      <c r="AE1250" s="41">
        <f>(SalesCleanTable[[#This Row],[Unit Price]] - SalesCleanTable[[#This Row],[Unit Cost]]) / SalesCleanTable[[#This Row],[Unit Price]]</f>
        <v>0.35294117647058826</v>
      </c>
    </row>
    <row r="1251" spans="1:31">
      <c r="A1251" t="s">
        <v>1437</v>
      </c>
      <c r="B1251" s="6">
        <v>45915</v>
      </c>
      <c r="C1251" t="s">
        <v>57</v>
      </c>
      <c r="D1251" t="s">
        <v>58</v>
      </c>
      <c r="E1251" t="s">
        <v>59</v>
      </c>
      <c r="F1251" t="s">
        <v>60</v>
      </c>
      <c r="G1251" t="s">
        <v>61</v>
      </c>
      <c r="H1251" t="s">
        <v>135</v>
      </c>
      <c r="I1251" t="s">
        <v>136</v>
      </c>
      <c r="J1251" t="s">
        <v>137</v>
      </c>
      <c r="K1251" t="s">
        <v>138</v>
      </c>
      <c r="L1251" t="s">
        <v>166</v>
      </c>
      <c r="M1251" t="s">
        <v>171</v>
      </c>
      <c r="N1251">
        <v>5</v>
      </c>
      <c r="O1251" s="4">
        <v>2400</v>
      </c>
      <c r="P1251" s="4">
        <v>3400</v>
      </c>
      <c r="Q1251" s="7">
        <v>0.05</v>
      </c>
      <c r="R1251" t="s">
        <v>204</v>
      </c>
      <c r="S1251">
        <v>3</v>
      </c>
      <c r="T1251">
        <v>17000</v>
      </c>
      <c r="U1251">
        <v>850</v>
      </c>
      <c r="V1251">
        <v>16150</v>
      </c>
      <c r="W1251">
        <v>12000</v>
      </c>
      <c r="X1251">
        <v>4150</v>
      </c>
      <c r="Y1251" s="8">
        <v>0.25696594427244585</v>
      </c>
      <c r="Z1251" t="s">
        <v>2996</v>
      </c>
      <c r="AA1251" t="str">
        <f>IF(AND(SalesCleanTable[[#This Row],[Discount %]]&gt;0, SalesCleanTable[[#This Row],[Profit]]&lt;0), "Discount loss", "Safe")</f>
        <v>Safe</v>
      </c>
      <c r="AB1251" s="25">
        <f>(SalesCleanTable[[#This Row],[Unit Price]] - SalesCleanTable[[#This Row],[Unit Cost]]) / SalesCleanTable[[#This Row],[Unit Price]]</f>
        <v>0.29411764705882354</v>
      </c>
      <c r="AC1251" t="str">
        <f>IF(SalesCleanTable[[#This Row],[Discount %]] &gt; SalesCleanTable[[#This Row],[Max Allowed Discount]], "Discount loss", "Safe")</f>
        <v>Safe</v>
      </c>
      <c r="AD1251" s="4">
        <f>SalesCleanTable[[#This Row],[Unit Price]] - SalesCleanTable[[#This Row],[Unit Cost]]</f>
        <v>1000</v>
      </c>
      <c r="AE1251" s="41">
        <f>(SalesCleanTable[[#This Row],[Unit Price]] - SalesCleanTable[[#This Row],[Unit Cost]]) / SalesCleanTable[[#This Row],[Unit Price]]</f>
        <v>0.29411764705882354</v>
      </c>
    </row>
    <row r="1252" spans="1:31">
      <c r="A1252" t="s">
        <v>1438</v>
      </c>
      <c r="B1252" s="6">
        <v>45748</v>
      </c>
      <c r="C1252" t="s">
        <v>49</v>
      </c>
      <c r="D1252" t="s">
        <v>50</v>
      </c>
      <c r="E1252" t="s">
        <v>38</v>
      </c>
      <c r="F1252" t="s">
        <v>51</v>
      </c>
      <c r="G1252" t="s">
        <v>52</v>
      </c>
      <c r="H1252" t="s">
        <v>128</v>
      </c>
      <c r="I1252" t="s">
        <v>129</v>
      </c>
      <c r="J1252" t="s">
        <v>130</v>
      </c>
      <c r="K1252" t="s">
        <v>131</v>
      </c>
      <c r="L1252" t="s">
        <v>183</v>
      </c>
      <c r="M1252" t="s">
        <v>171</v>
      </c>
      <c r="N1252">
        <v>5</v>
      </c>
      <c r="O1252" s="4">
        <v>550</v>
      </c>
      <c r="P1252" s="4">
        <v>850</v>
      </c>
      <c r="Q1252" s="7">
        <v>0.1</v>
      </c>
      <c r="R1252" t="s">
        <v>178</v>
      </c>
      <c r="S1252">
        <v>7</v>
      </c>
      <c r="T1252">
        <v>4250</v>
      </c>
      <c r="U1252">
        <v>425</v>
      </c>
      <c r="V1252">
        <v>3825</v>
      </c>
      <c r="W1252">
        <v>2750</v>
      </c>
      <c r="X1252">
        <v>1075</v>
      </c>
      <c r="Y1252" s="8">
        <v>0.28104575163398693</v>
      </c>
      <c r="Z1252" t="s">
        <v>2996</v>
      </c>
      <c r="AA1252" t="str">
        <f>IF(AND(SalesCleanTable[[#This Row],[Discount %]]&gt;0, SalesCleanTable[[#This Row],[Profit]]&lt;0), "Discount loss", "Safe")</f>
        <v>Safe</v>
      </c>
      <c r="AB1252" s="25">
        <f>(SalesCleanTable[[#This Row],[Unit Price]] - SalesCleanTable[[#This Row],[Unit Cost]]) / SalesCleanTable[[#This Row],[Unit Price]]</f>
        <v>0.35294117647058826</v>
      </c>
      <c r="AC1252" t="str">
        <f>IF(SalesCleanTable[[#This Row],[Discount %]] &gt; SalesCleanTable[[#This Row],[Max Allowed Discount]], "Discount loss", "Safe")</f>
        <v>Safe</v>
      </c>
      <c r="AD1252" s="4">
        <f>SalesCleanTable[[#This Row],[Unit Price]] - SalesCleanTable[[#This Row],[Unit Cost]]</f>
        <v>300</v>
      </c>
      <c r="AE1252" s="41">
        <f>(SalesCleanTable[[#This Row],[Unit Price]] - SalesCleanTable[[#This Row],[Unit Cost]]) / SalesCleanTable[[#This Row],[Unit Price]]</f>
        <v>0.35294117647058826</v>
      </c>
    </row>
    <row r="1253" spans="1:31">
      <c r="A1253" t="s">
        <v>1439</v>
      </c>
      <c r="B1253" s="6">
        <v>45872</v>
      </c>
      <c r="C1253" t="s">
        <v>116</v>
      </c>
      <c r="D1253" t="s">
        <v>117</v>
      </c>
      <c r="E1253" t="s">
        <v>109</v>
      </c>
      <c r="F1253" t="s">
        <v>118</v>
      </c>
      <c r="G1253" t="s">
        <v>119</v>
      </c>
      <c r="H1253" t="s">
        <v>135</v>
      </c>
      <c r="I1253" t="s">
        <v>136</v>
      </c>
      <c r="J1253" t="s">
        <v>137</v>
      </c>
      <c r="K1253" t="s">
        <v>138</v>
      </c>
      <c r="L1253" t="s">
        <v>166</v>
      </c>
      <c r="M1253" t="s">
        <v>171</v>
      </c>
      <c r="N1253">
        <v>3</v>
      </c>
      <c r="O1253" s="4">
        <v>2800</v>
      </c>
      <c r="P1253" s="4">
        <v>4200</v>
      </c>
      <c r="Q1253" s="7">
        <v>0.1</v>
      </c>
      <c r="R1253" t="s">
        <v>235</v>
      </c>
      <c r="S1253">
        <v>10</v>
      </c>
      <c r="T1253">
        <v>12600</v>
      </c>
      <c r="U1253">
        <v>1260</v>
      </c>
      <c r="V1253">
        <v>11340</v>
      </c>
      <c r="W1253">
        <v>8400</v>
      </c>
      <c r="X1253">
        <v>2940</v>
      </c>
      <c r="Y1253" s="8">
        <v>0.25925925925925924</v>
      </c>
      <c r="Z1253" t="s">
        <v>2995</v>
      </c>
      <c r="AA1253" t="str">
        <f>IF(AND(SalesCleanTable[[#This Row],[Discount %]]&gt;0, SalesCleanTable[[#This Row],[Profit]]&lt;0), "Discount loss", "Safe")</f>
        <v>Safe</v>
      </c>
      <c r="AB1253" s="25">
        <f>(SalesCleanTable[[#This Row],[Unit Price]] - SalesCleanTable[[#This Row],[Unit Cost]]) / SalesCleanTable[[#This Row],[Unit Price]]</f>
        <v>0.33333333333333331</v>
      </c>
      <c r="AC1253" t="str">
        <f>IF(SalesCleanTable[[#This Row],[Discount %]] &gt; SalesCleanTable[[#This Row],[Max Allowed Discount]], "Discount loss", "Safe")</f>
        <v>Safe</v>
      </c>
      <c r="AD1253" s="4">
        <f>SalesCleanTable[[#This Row],[Unit Price]] - SalesCleanTable[[#This Row],[Unit Cost]]</f>
        <v>1400</v>
      </c>
      <c r="AE1253" s="41">
        <f>(SalesCleanTable[[#This Row],[Unit Price]] - SalesCleanTable[[#This Row],[Unit Cost]]) / SalesCleanTable[[#This Row],[Unit Price]]</f>
        <v>0.33333333333333331</v>
      </c>
    </row>
    <row r="1254" spans="1:31">
      <c r="A1254" t="s">
        <v>1440</v>
      </c>
      <c r="B1254" s="6">
        <v>45867</v>
      </c>
      <c r="C1254" t="s">
        <v>112</v>
      </c>
      <c r="D1254" t="s">
        <v>113</v>
      </c>
      <c r="E1254" t="s">
        <v>109</v>
      </c>
      <c r="F1254" t="s">
        <v>114</v>
      </c>
      <c r="G1254" t="s">
        <v>115</v>
      </c>
      <c r="H1254" t="s">
        <v>135</v>
      </c>
      <c r="I1254" t="s">
        <v>136</v>
      </c>
      <c r="J1254" t="s">
        <v>137</v>
      </c>
      <c r="K1254" t="s">
        <v>138</v>
      </c>
      <c r="L1254" t="s">
        <v>166</v>
      </c>
      <c r="M1254" t="s">
        <v>177</v>
      </c>
      <c r="N1254">
        <v>2</v>
      </c>
      <c r="O1254" s="4">
        <v>1300</v>
      </c>
      <c r="P1254" s="4">
        <v>2100</v>
      </c>
      <c r="Q1254" s="7">
        <v>0.1</v>
      </c>
      <c r="R1254" t="s">
        <v>220</v>
      </c>
      <c r="S1254">
        <v>1</v>
      </c>
      <c r="T1254">
        <v>4200</v>
      </c>
      <c r="U1254">
        <v>420</v>
      </c>
      <c r="V1254">
        <v>3780</v>
      </c>
      <c r="W1254">
        <v>2600</v>
      </c>
      <c r="X1254">
        <v>1180</v>
      </c>
      <c r="Y1254" s="8">
        <v>0.31216931216931215</v>
      </c>
      <c r="Z1254" t="s">
        <v>2995</v>
      </c>
      <c r="AA1254" t="str">
        <f>IF(AND(SalesCleanTable[[#This Row],[Discount %]]&gt;0, SalesCleanTable[[#This Row],[Profit]]&lt;0), "Discount loss", "Safe")</f>
        <v>Safe</v>
      </c>
      <c r="AB1254" s="25">
        <f>(SalesCleanTable[[#This Row],[Unit Price]] - SalesCleanTable[[#This Row],[Unit Cost]]) / SalesCleanTable[[#This Row],[Unit Price]]</f>
        <v>0.38095238095238093</v>
      </c>
      <c r="AC1254" t="str">
        <f>IF(SalesCleanTable[[#This Row],[Discount %]] &gt; SalesCleanTable[[#This Row],[Max Allowed Discount]], "Discount loss", "Safe")</f>
        <v>Safe</v>
      </c>
      <c r="AD1254" s="4">
        <f>SalesCleanTable[[#This Row],[Unit Price]] - SalesCleanTable[[#This Row],[Unit Cost]]</f>
        <v>800</v>
      </c>
      <c r="AE1254" s="41">
        <f>(SalesCleanTable[[#This Row],[Unit Price]] - SalesCleanTable[[#This Row],[Unit Cost]]) / SalesCleanTable[[#This Row],[Unit Price]]</f>
        <v>0.38095238095238093</v>
      </c>
    </row>
    <row r="1255" spans="1:31">
      <c r="A1255" t="s">
        <v>1441</v>
      </c>
      <c r="B1255" s="6">
        <v>45992</v>
      </c>
      <c r="C1255" t="s">
        <v>49</v>
      </c>
      <c r="D1255" t="s">
        <v>50</v>
      </c>
      <c r="E1255" t="s">
        <v>38</v>
      </c>
      <c r="F1255" t="s">
        <v>51</v>
      </c>
      <c r="G1255" t="s">
        <v>52</v>
      </c>
      <c r="H1255" t="s">
        <v>139</v>
      </c>
      <c r="I1255" t="s">
        <v>140</v>
      </c>
      <c r="J1255" t="s">
        <v>137</v>
      </c>
      <c r="K1255" t="s">
        <v>138</v>
      </c>
      <c r="L1255" t="s">
        <v>166</v>
      </c>
      <c r="M1255" t="s">
        <v>171</v>
      </c>
      <c r="N1255">
        <v>1</v>
      </c>
      <c r="O1255" s="4">
        <v>550</v>
      </c>
      <c r="P1255" s="4">
        <v>850</v>
      </c>
      <c r="Q1255" s="7">
        <v>0.15</v>
      </c>
      <c r="R1255" t="s">
        <v>178</v>
      </c>
      <c r="S1255">
        <v>3</v>
      </c>
      <c r="T1255">
        <v>850</v>
      </c>
      <c r="U1255">
        <v>127.5</v>
      </c>
      <c r="V1255">
        <v>722.5</v>
      </c>
      <c r="W1255">
        <v>550</v>
      </c>
      <c r="X1255">
        <v>172.5</v>
      </c>
      <c r="Y1255" s="8">
        <v>0.23875432525951557</v>
      </c>
      <c r="Z1255" t="s">
        <v>2996</v>
      </c>
      <c r="AA1255" t="str">
        <f>IF(AND(SalesCleanTable[[#This Row],[Discount %]]&gt;0, SalesCleanTable[[#This Row],[Profit]]&lt;0), "Discount loss", "Safe")</f>
        <v>Safe</v>
      </c>
      <c r="AB1255" s="25">
        <f>(SalesCleanTable[[#This Row],[Unit Price]] - SalesCleanTable[[#This Row],[Unit Cost]]) / SalesCleanTable[[#This Row],[Unit Price]]</f>
        <v>0.35294117647058826</v>
      </c>
      <c r="AC1255" t="str">
        <f>IF(SalesCleanTable[[#This Row],[Discount %]] &gt; SalesCleanTable[[#This Row],[Max Allowed Discount]], "Discount loss", "Safe")</f>
        <v>Safe</v>
      </c>
      <c r="AD1255" s="4">
        <f>SalesCleanTable[[#This Row],[Unit Price]] - SalesCleanTable[[#This Row],[Unit Cost]]</f>
        <v>300</v>
      </c>
      <c r="AE1255" s="41">
        <f>(SalesCleanTable[[#This Row],[Unit Price]] - SalesCleanTable[[#This Row],[Unit Cost]]) / SalesCleanTable[[#This Row],[Unit Price]]</f>
        <v>0.35294117647058826</v>
      </c>
    </row>
    <row r="1256" spans="1:31">
      <c r="A1256" t="s">
        <v>1442</v>
      </c>
      <c r="B1256" s="6">
        <v>46022</v>
      </c>
      <c r="C1256" t="s">
        <v>112</v>
      </c>
      <c r="D1256" t="s">
        <v>113</v>
      </c>
      <c r="E1256" t="s">
        <v>109</v>
      </c>
      <c r="F1256" t="s">
        <v>114</v>
      </c>
      <c r="G1256" t="s">
        <v>115</v>
      </c>
      <c r="H1256" t="s">
        <v>135</v>
      </c>
      <c r="I1256" t="s">
        <v>136</v>
      </c>
      <c r="J1256" t="s">
        <v>137</v>
      </c>
      <c r="K1256" t="s">
        <v>138</v>
      </c>
      <c r="L1256" t="s">
        <v>166</v>
      </c>
      <c r="M1256" t="s">
        <v>186</v>
      </c>
      <c r="N1256">
        <v>2</v>
      </c>
      <c r="O1256" s="4">
        <v>1300</v>
      </c>
      <c r="P1256" s="4">
        <v>2100</v>
      </c>
      <c r="Q1256" s="7">
        <v>0.15</v>
      </c>
      <c r="R1256" t="s">
        <v>235</v>
      </c>
      <c r="S1256">
        <v>11</v>
      </c>
      <c r="T1256">
        <v>4200</v>
      </c>
      <c r="U1256">
        <v>630</v>
      </c>
      <c r="V1256">
        <v>3570</v>
      </c>
      <c r="W1256">
        <v>2600</v>
      </c>
      <c r="X1256">
        <v>970</v>
      </c>
      <c r="Y1256" s="8">
        <v>0.27170868347338933</v>
      </c>
      <c r="Z1256" t="s">
        <v>2995</v>
      </c>
      <c r="AA1256" t="str">
        <f>IF(AND(SalesCleanTable[[#This Row],[Discount %]]&gt;0, SalesCleanTable[[#This Row],[Profit]]&lt;0), "Discount loss", "Safe")</f>
        <v>Safe</v>
      </c>
      <c r="AB1256" s="25">
        <f>(SalesCleanTable[[#This Row],[Unit Price]] - SalesCleanTable[[#This Row],[Unit Cost]]) / SalesCleanTable[[#This Row],[Unit Price]]</f>
        <v>0.38095238095238093</v>
      </c>
      <c r="AC1256" t="str">
        <f>IF(SalesCleanTable[[#This Row],[Discount %]] &gt; SalesCleanTable[[#This Row],[Max Allowed Discount]], "Discount loss", "Safe")</f>
        <v>Safe</v>
      </c>
      <c r="AD1256" s="4">
        <f>SalesCleanTable[[#This Row],[Unit Price]] - SalesCleanTable[[#This Row],[Unit Cost]]</f>
        <v>800</v>
      </c>
      <c r="AE1256" s="41">
        <f>(SalesCleanTable[[#This Row],[Unit Price]] - SalesCleanTable[[#This Row],[Unit Cost]]) / SalesCleanTable[[#This Row],[Unit Price]]</f>
        <v>0.38095238095238093</v>
      </c>
    </row>
    <row r="1257" spans="1:31">
      <c r="A1257" t="s">
        <v>1443</v>
      </c>
      <c r="B1257" s="6">
        <v>45781</v>
      </c>
      <c r="C1257" t="s">
        <v>95</v>
      </c>
      <c r="D1257" t="s">
        <v>96</v>
      </c>
      <c r="E1257" t="s">
        <v>92</v>
      </c>
      <c r="F1257" t="s">
        <v>97</v>
      </c>
      <c r="G1257" t="s">
        <v>98</v>
      </c>
      <c r="H1257" t="s">
        <v>153</v>
      </c>
      <c r="I1257" t="s">
        <v>154</v>
      </c>
      <c r="J1257" t="s">
        <v>155</v>
      </c>
      <c r="K1257" t="s">
        <v>131</v>
      </c>
      <c r="L1257" t="s">
        <v>183</v>
      </c>
      <c r="M1257" t="s">
        <v>186</v>
      </c>
      <c r="N1257">
        <v>3</v>
      </c>
      <c r="O1257" s="4">
        <v>18000</v>
      </c>
      <c r="P1257" s="4">
        <v>24500</v>
      </c>
      <c r="Q1257" s="7">
        <v>0</v>
      </c>
      <c r="R1257" t="s">
        <v>181</v>
      </c>
      <c r="S1257">
        <v>4</v>
      </c>
      <c r="T1257">
        <v>73500</v>
      </c>
      <c r="U1257">
        <v>0</v>
      </c>
      <c r="V1257">
        <v>73500</v>
      </c>
      <c r="W1257">
        <v>54000</v>
      </c>
      <c r="X1257">
        <v>19500</v>
      </c>
      <c r="Y1257" s="8">
        <v>0.26530612244897961</v>
      </c>
      <c r="Z1257" t="s">
        <v>2995</v>
      </c>
      <c r="AA1257" t="str">
        <f>IF(AND(SalesCleanTable[[#This Row],[Discount %]]&gt;0, SalesCleanTable[[#This Row],[Profit]]&lt;0), "Discount loss", "Safe")</f>
        <v>Safe</v>
      </c>
      <c r="AB1257" s="25">
        <f>(SalesCleanTable[[#This Row],[Unit Price]] - SalesCleanTable[[#This Row],[Unit Cost]]) / SalesCleanTable[[#This Row],[Unit Price]]</f>
        <v>0.26530612244897961</v>
      </c>
      <c r="AC1257" t="str">
        <f>IF(SalesCleanTable[[#This Row],[Discount %]] &gt; SalesCleanTable[[#This Row],[Max Allowed Discount]], "Discount loss", "Safe")</f>
        <v>Safe</v>
      </c>
      <c r="AD1257" s="4">
        <f>SalesCleanTable[[#This Row],[Unit Price]] - SalesCleanTable[[#This Row],[Unit Cost]]</f>
        <v>6500</v>
      </c>
      <c r="AE1257" s="41">
        <f>(SalesCleanTable[[#This Row],[Unit Price]] - SalesCleanTable[[#This Row],[Unit Cost]]) / SalesCleanTable[[#This Row],[Unit Price]]</f>
        <v>0.26530612244897961</v>
      </c>
    </row>
    <row r="1258" spans="1:31">
      <c r="A1258" t="s">
        <v>1444</v>
      </c>
      <c r="B1258" s="6">
        <v>45693</v>
      </c>
      <c r="C1258" t="s">
        <v>24</v>
      </c>
      <c r="D1258" t="s">
        <v>25</v>
      </c>
      <c r="E1258" t="s">
        <v>26</v>
      </c>
      <c r="F1258" t="s">
        <v>27</v>
      </c>
      <c r="G1258" t="s">
        <v>28</v>
      </c>
      <c r="H1258" t="s">
        <v>128</v>
      </c>
      <c r="I1258" t="s">
        <v>129</v>
      </c>
      <c r="J1258" t="s">
        <v>130</v>
      </c>
      <c r="K1258" t="s">
        <v>131</v>
      </c>
      <c r="L1258" t="s">
        <v>170</v>
      </c>
      <c r="M1258" t="s">
        <v>171</v>
      </c>
      <c r="N1258">
        <v>4</v>
      </c>
      <c r="O1258" s="4">
        <v>14500</v>
      </c>
      <c r="P1258" s="4">
        <v>17500</v>
      </c>
      <c r="Q1258" s="7">
        <v>0.15</v>
      </c>
      <c r="R1258" t="s">
        <v>197</v>
      </c>
      <c r="S1258">
        <v>13</v>
      </c>
      <c r="T1258">
        <v>70000</v>
      </c>
      <c r="U1258">
        <v>10500</v>
      </c>
      <c r="V1258">
        <v>59500</v>
      </c>
      <c r="W1258">
        <v>58000</v>
      </c>
      <c r="X1258">
        <v>1500</v>
      </c>
      <c r="Y1258" s="8">
        <v>2.5210084033613446E-2</v>
      </c>
      <c r="Z1258" t="s">
        <v>2995</v>
      </c>
      <c r="AA1258" t="str">
        <f>IF(AND(SalesCleanTable[[#This Row],[Discount %]]&gt;0, SalesCleanTable[[#This Row],[Profit]]&lt;0), "Discount loss", "Safe")</f>
        <v>Safe</v>
      </c>
      <c r="AB1258" s="25">
        <f>(SalesCleanTable[[#This Row],[Unit Price]] - SalesCleanTable[[#This Row],[Unit Cost]]) / SalesCleanTable[[#This Row],[Unit Price]]</f>
        <v>0.17142857142857143</v>
      </c>
      <c r="AC1258" t="str">
        <f>IF(SalesCleanTable[[#This Row],[Discount %]] &gt; SalesCleanTable[[#This Row],[Max Allowed Discount]], "Discount loss", "Safe")</f>
        <v>Safe</v>
      </c>
      <c r="AD1258" s="4">
        <f>SalesCleanTable[[#This Row],[Unit Price]] - SalesCleanTable[[#This Row],[Unit Cost]]</f>
        <v>3000</v>
      </c>
      <c r="AE1258" s="41">
        <f>(SalesCleanTable[[#This Row],[Unit Price]] - SalesCleanTable[[#This Row],[Unit Cost]]) / SalesCleanTable[[#This Row],[Unit Price]]</f>
        <v>0.17142857142857143</v>
      </c>
    </row>
    <row r="1259" spans="1:31">
      <c r="A1259" t="s">
        <v>1445</v>
      </c>
      <c r="B1259" s="6">
        <v>45791</v>
      </c>
      <c r="C1259" t="s">
        <v>103</v>
      </c>
      <c r="D1259" t="s">
        <v>104</v>
      </c>
      <c r="E1259" t="s">
        <v>92</v>
      </c>
      <c r="F1259" t="s">
        <v>105</v>
      </c>
      <c r="G1259" t="s">
        <v>106</v>
      </c>
      <c r="H1259" t="s">
        <v>139</v>
      </c>
      <c r="I1259" t="s">
        <v>140</v>
      </c>
      <c r="J1259" t="s">
        <v>137</v>
      </c>
      <c r="K1259" t="s">
        <v>138</v>
      </c>
      <c r="L1259" t="s">
        <v>170</v>
      </c>
      <c r="M1259" t="s">
        <v>171</v>
      </c>
      <c r="N1259">
        <v>4</v>
      </c>
      <c r="O1259" s="4">
        <v>1500</v>
      </c>
      <c r="P1259" s="4">
        <v>2500</v>
      </c>
      <c r="Q1259" s="7">
        <v>0.1</v>
      </c>
      <c r="R1259" t="s">
        <v>217</v>
      </c>
      <c r="S1259">
        <v>8</v>
      </c>
      <c r="T1259">
        <v>10000</v>
      </c>
      <c r="U1259">
        <v>1000</v>
      </c>
      <c r="V1259">
        <v>9000</v>
      </c>
      <c r="W1259">
        <v>6000</v>
      </c>
      <c r="X1259">
        <v>3000</v>
      </c>
      <c r="Y1259" s="8">
        <v>0.33333333333333331</v>
      </c>
      <c r="Z1259" t="s">
        <v>2996</v>
      </c>
      <c r="AA1259" t="str">
        <f>IF(AND(SalesCleanTable[[#This Row],[Discount %]]&gt;0, SalesCleanTable[[#This Row],[Profit]]&lt;0), "Discount loss", "Safe")</f>
        <v>Safe</v>
      </c>
      <c r="AB1259" s="25">
        <f>(SalesCleanTable[[#This Row],[Unit Price]] - SalesCleanTable[[#This Row],[Unit Cost]]) / SalesCleanTable[[#This Row],[Unit Price]]</f>
        <v>0.4</v>
      </c>
      <c r="AC1259" t="str">
        <f>IF(SalesCleanTable[[#This Row],[Discount %]] &gt; SalesCleanTable[[#This Row],[Max Allowed Discount]], "Discount loss", "Safe")</f>
        <v>Safe</v>
      </c>
      <c r="AD1259" s="4">
        <f>SalesCleanTable[[#This Row],[Unit Price]] - SalesCleanTable[[#This Row],[Unit Cost]]</f>
        <v>1000</v>
      </c>
      <c r="AE1259" s="41">
        <f>(SalesCleanTable[[#This Row],[Unit Price]] - SalesCleanTable[[#This Row],[Unit Cost]]) / SalesCleanTable[[#This Row],[Unit Price]]</f>
        <v>0.4</v>
      </c>
    </row>
    <row r="1260" spans="1:31">
      <c r="A1260" t="s">
        <v>1446</v>
      </c>
      <c r="B1260" s="6">
        <v>45688</v>
      </c>
      <c r="C1260" t="s">
        <v>45</v>
      </c>
      <c r="D1260" t="s">
        <v>46</v>
      </c>
      <c r="E1260" t="s">
        <v>38</v>
      </c>
      <c r="F1260" t="s">
        <v>47</v>
      </c>
      <c r="G1260" t="s">
        <v>48</v>
      </c>
      <c r="H1260" t="s">
        <v>135</v>
      </c>
      <c r="I1260" t="s">
        <v>136</v>
      </c>
      <c r="J1260" t="s">
        <v>137</v>
      </c>
      <c r="K1260" t="s">
        <v>138</v>
      </c>
      <c r="L1260" t="s">
        <v>166</v>
      </c>
      <c r="M1260" t="s">
        <v>171</v>
      </c>
      <c r="N1260">
        <v>5</v>
      </c>
      <c r="O1260" s="4">
        <v>230</v>
      </c>
      <c r="P1260" s="4">
        <v>400</v>
      </c>
      <c r="Q1260" s="7">
        <v>0.1</v>
      </c>
      <c r="R1260" t="s">
        <v>168</v>
      </c>
      <c r="S1260">
        <v>11</v>
      </c>
      <c r="T1260">
        <v>2000</v>
      </c>
      <c r="U1260">
        <v>200</v>
      </c>
      <c r="V1260">
        <v>1800</v>
      </c>
      <c r="W1260">
        <v>1150</v>
      </c>
      <c r="X1260">
        <v>650</v>
      </c>
      <c r="Y1260" s="8">
        <v>0.3611111111111111</v>
      </c>
      <c r="Z1260" t="s">
        <v>2995</v>
      </c>
      <c r="AA1260" t="str">
        <f>IF(AND(SalesCleanTable[[#This Row],[Discount %]]&gt;0, SalesCleanTable[[#This Row],[Profit]]&lt;0), "Discount loss", "Safe")</f>
        <v>Safe</v>
      </c>
      <c r="AB1260" s="25">
        <f>(SalesCleanTable[[#This Row],[Unit Price]] - SalesCleanTable[[#This Row],[Unit Cost]]) / SalesCleanTable[[#This Row],[Unit Price]]</f>
        <v>0.42499999999999999</v>
      </c>
      <c r="AC1260" t="str">
        <f>IF(SalesCleanTable[[#This Row],[Discount %]] &gt; SalesCleanTable[[#This Row],[Max Allowed Discount]], "Discount loss", "Safe")</f>
        <v>Safe</v>
      </c>
      <c r="AD1260" s="4">
        <f>SalesCleanTable[[#This Row],[Unit Price]] - SalesCleanTable[[#This Row],[Unit Cost]]</f>
        <v>170</v>
      </c>
      <c r="AE1260" s="41">
        <f>(SalesCleanTable[[#This Row],[Unit Price]] - SalesCleanTable[[#This Row],[Unit Cost]]) / SalesCleanTable[[#This Row],[Unit Price]]</f>
        <v>0.42499999999999999</v>
      </c>
    </row>
    <row r="1261" spans="1:31">
      <c r="A1261" t="s">
        <v>1447</v>
      </c>
      <c r="B1261" s="6">
        <v>45877</v>
      </c>
      <c r="C1261" t="s">
        <v>95</v>
      </c>
      <c r="D1261" t="s">
        <v>96</v>
      </c>
      <c r="E1261" t="s">
        <v>92</v>
      </c>
      <c r="F1261" t="s">
        <v>97</v>
      </c>
      <c r="G1261" t="s">
        <v>98</v>
      </c>
      <c r="H1261" t="s">
        <v>128</v>
      </c>
      <c r="I1261" t="s">
        <v>129</v>
      </c>
      <c r="J1261" t="s">
        <v>130</v>
      </c>
      <c r="K1261" t="s">
        <v>131</v>
      </c>
      <c r="L1261" t="s">
        <v>166</v>
      </c>
      <c r="M1261" t="s">
        <v>171</v>
      </c>
      <c r="N1261">
        <v>5</v>
      </c>
      <c r="O1261" s="4">
        <v>18000</v>
      </c>
      <c r="P1261" s="4">
        <v>24500</v>
      </c>
      <c r="Q1261" s="7">
        <v>0.1</v>
      </c>
      <c r="R1261" t="s">
        <v>215</v>
      </c>
      <c r="S1261">
        <v>3</v>
      </c>
      <c r="T1261">
        <v>122500</v>
      </c>
      <c r="U1261">
        <v>12250</v>
      </c>
      <c r="V1261">
        <v>110250</v>
      </c>
      <c r="W1261">
        <v>90000</v>
      </c>
      <c r="X1261">
        <v>20250</v>
      </c>
      <c r="Y1261" s="8">
        <v>0.18367346938775511</v>
      </c>
      <c r="Z1261" t="s">
        <v>2995</v>
      </c>
      <c r="AA1261" t="str">
        <f>IF(AND(SalesCleanTable[[#This Row],[Discount %]]&gt;0, SalesCleanTable[[#This Row],[Profit]]&lt;0), "Discount loss", "Safe")</f>
        <v>Safe</v>
      </c>
      <c r="AB1261" s="25">
        <f>(SalesCleanTable[[#This Row],[Unit Price]] - SalesCleanTable[[#This Row],[Unit Cost]]) / SalesCleanTable[[#This Row],[Unit Price]]</f>
        <v>0.26530612244897961</v>
      </c>
      <c r="AC1261" t="str">
        <f>IF(SalesCleanTable[[#This Row],[Discount %]] &gt; SalesCleanTable[[#This Row],[Max Allowed Discount]], "Discount loss", "Safe")</f>
        <v>Safe</v>
      </c>
      <c r="AD1261" s="4">
        <f>SalesCleanTable[[#This Row],[Unit Price]] - SalesCleanTable[[#This Row],[Unit Cost]]</f>
        <v>6500</v>
      </c>
      <c r="AE1261" s="41">
        <f>(SalesCleanTable[[#This Row],[Unit Price]] - SalesCleanTable[[#This Row],[Unit Cost]]) / SalesCleanTable[[#This Row],[Unit Price]]</f>
        <v>0.26530612244897961</v>
      </c>
    </row>
    <row r="1262" spans="1:31">
      <c r="A1262" t="s">
        <v>1448</v>
      </c>
      <c r="B1262" s="6">
        <v>45994</v>
      </c>
      <c r="C1262" t="s">
        <v>45</v>
      </c>
      <c r="D1262" t="s">
        <v>46</v>
      </c>
      <c r="E1262" t="s">
        <v>38</v>
      </c>
      <c r="F1262" t="s">
        <v>47</v>
      </c>
      <c r="G1262" t="s">
        <v>48</v>
      </c>
      <c r="H1262" t="s">
        <v>149</v>
      </c>
      <c r="I1262" t="s">
        <v>150</v>
      </c>
      <c r="J1262" t="s">
        <v>151</v>
      </c>
      <c r="K1262" t="s">
        <v>152</v>
      </c>
      <c r="L1262" t="s">
        <v>166</v>
      </c>
      <c r="M1262" t="s">
        <v>171</v>
      </c>
      <c r="N1262">
        <v>5</v>
      </c>
      <c r="O1262" s="4">
        <v>230</v>
      </c>
      <c r="P1262" s="4">
        <v>400</v>
      </c>
      <c r="Q1262" s="7">
        <v>0</v>
      </c>
      <c r="R1262" t="s">
        <v>178</v>
      </c>
      <c r="S1262">
        <v>8</v>
      </c>
      <c r="T1262">
        <v>2000</v>
      </c>
      <c r="U1262">
        <v>0</v>
      </c>
      <c r="V1262">
        <v>2000</v>
      </c>
      <c r="W1262">
        <v>1150</v>
      </c>
      <c r="X1262">
        <v>850</v>
      </c>
      <c r="Y1262" s="8">
        <v>0.42499999999999999</v>
      </c>
      <c r="Z1262" t="s">
        <v>2995</v>
      </c>
      <c r="AA1262" t="str">
        <f>IF(AND(SalesCleanTable[[#This Row],[Discount %]]&gt;0, SalesCleanTable[[#This Row],[Profit]]&lt;0), "Discount loss", "Safe")</f>
        <v>Safe</v>
      </c>
      <c r="AB1262" s="25">
        <f>(SalesCleanTable[[#This Row],[Unit Price]] - SalesCleanTable[[#This Row],[Unit Cost]]) / SalesCleanTable[[#This Row],[Unit Price]]</f>
        <v>0.42499999999999999</v>
      </c>
      <c r="AC1262" t="str">
        <f>IF(SalesCleanTable[[#This Row],[Discount %]] &gt; SalesCleanTable[[#This Row],[Max Allowed Discount]], "Discount loss", "Safe")</f>
        <v>Safe</v>
      </c>
      <c r="AD1262" s="4">
        <f>SalesCleanTable[[#This Row],[Unit Price]] - SalesCleanTable[[#This Row],[Unit Cost]]</f>
        <v>170</v>
      </c>
      <c r="AE1262" s="41">
        <f>(SalesCleanTable[[#This Row],[Unit Price]] - SalesCleanTable[[#This Row],[Unit Cost]]) / SalesCleanTable[[#This Row],[Unit Price]]</f>
        <v>0.42499999999999999</v>
      </c>
    </row>
    <row r="1263" spans="1:31">
      <c r="A1263" t="s">
        <v>1449</v>
      </c>
      <c r="B1263" s="6">
        <v>45909</v>
      </c>
      <c r="C1263" t="s">
        <v>82</v>
      </c>
      <c r="D1263" t="s">
        <v>83</v>
      </c>
      <c r="E1263" t="s">
        <v>75</v>
      </c>
      <c r="F1263" t="s">
        <v>84</v>
      </c>
      <c r="G1263" t="s">
        <v>85</v>
      </c>
      <c r="H1263" t="s">
        <v>145</v>
      </c>
      <c r="I1263" t="s">
        <v>146</v>
      </c>
      <c r="J1263" t="s">
        <v>147</v>
      </c>
      <c r="K1263" t="s">
        <v>148</v>
      </c>
      <c r="L1263" t="s">
        <v>166</v>
      </c>
      <c r="M1263" t="s">
        <v>186</v>
      </c>
      <c r="N1263">
        <v>2</v>
      </c>
      <c r="O1263" s="4">
        <v>600</v>
      </c>
      <c r="P1263" s="4">
        <v>950</v>
      </c>
      <c r="Q1263" s="7">
        <v>0.1</v>
      </c>
      <c r="R1263" t="s">
        <v>208</v>
      </c>
      <c r="S1263">
        <v>10</v>
      </c>
      <c r="T1263">
        <v>1900</v>
      </c>
      <c r="U1263">
        <v>190</v>
      </c>
      <c r="V1263">
        <v>1710</v>
      </c>
      <c r="W1263">
        <v>1200</v>
      </c>
      <c r="X1263">
        <v>510</v>
      </c>
      <c r="Y1263" s="8">
        <v>0.2982456140350877</v>
      </c>
      <c r="Z1263" t="s">
        <v>2996</v>
      </c>
      <c r="AA1263" t="str">
        <f>IF(AND(SalesCleanTable[[#This Row],[Discount %]]&gt;0, SalesCleanTable[[#This Row],[Profit]]&lt;0), "Discount loss", "Safe")</f>
        <v>Safe</v>
      </c>
      <c r="AB1263" s="25">
        <f>(SalesCleanTable[[#This Row],[Unit Price]] - SalesCleanTable[[#This Row],[Unit Cost]]) / SalesCleanTable[[#This Row],[Unit Price]]</f>
        <v>0.36842105263157893</v>
      </c>
      <c r="AC1263" t="str">
        <f>IF(SalesCleanTable[[#This Row],[Discount %]] &gt; SalesCleanTable[[#This Row],[Max Allowed Discount]], "Discount loss", "Safe")</f>
        <v>Safe</v>
      </c>
      <c r="AD1263" s="4">
        <f>SalesCleanTable[[#This Row],[Unit Price]] - SalesCleanTable[[#This Row],[Unit Cost]]</f>
        <v>350</v>
      </c>
      <c r="AE1263" s="41">
        <f>(SalesCleanTable[[#This Row],[Unit Price]] - SalesCleanTable[[#This Row],[Unit Cost]]) / SalesCleanTable[[#This Row],[Unit Price]]</f>
        <v>0.36842105263157893</v>
      </c>
    </row>
    <row r="1264" spans="1:31">
      <c r="A1264" t="s">
        <v>1450</v>
      </c>
      <c r="B1264" s="6">
        <v>45676</v>
      </c>
      <c r="C1264" t="s">
        <v>86</v>
      </c>
      <c r="D1264" t="s">
        <v>87</v>
      </c>
      <c r="E1264" t="s">
        <v>75</v>
      </c>
      <c r="F1264" t="s">
        <v>88</v>
      </c>
      <c r="G1264" t="s">
        <v>89</v>
      </c>
      <c r="H1264" t="s">
        <v>133</v>
      </c>
      <c r="I1264" t="s">
        <v>134</v>
      </c>
      <c r="J1264" t="s">
        <v>130</v>
      </c>
      <c r="K1264" t="s">
        <v>131</v>
      </c>
      <c r="L1264" t="s">
        <v>166</v>
      </c>
      <c r="M1264" t="s">
        <v>186</v>
      </c>
      <c r="N1264">
        <v>2</v>
      </c>
      <c r="O1264" s="4">
        <v>8500</v>
      </c>
      <c r="P1264" s="4">
        <v>12500</v>
      </c>
      <c r="Q1264" s="7">
        <v>0.05</v>
      </c>
      <c r="R1264" t="s">
        <v>208</v>
      </c>
      <c r="S1264">
        <v>5</v>
      </c>
      <c r="T1264">
        <v>25000</v>
      </c>
      <c r="U1264">
        <v>1250</v>
      </c>
      <c r="V1264">
        <v>23750</v>
      </c>
      <c r="W1264">
        <v>17000</v>
      </c>
      <c r="X1264">
        <v>6750</v>
      </c>
      <c r="Y1264" s="8">
        <v>0.28421052631578947</v>
      </c>
      <c r="Z1264" t="s">
        <v>2997</v>
      </c>
      <c r="AA1264" t="str">
        <f>IF(AND(SalesCleanTable[[#This Row],[Discount %]]&gt;0, SalesCleanTable[[#This Row],[Profit]]&lt;0), "Discount loss", "Safe")</f>
        <v>Safe</v>
      </c>
      <c r="AB1264" s="25">
        <f>(SalesCleanTable[[#This Row],[Unit Price]] - SalesCleanTable[[#This Row],[Unit Cost]]) / SalesCleanTable[[#This Row],[Unit Price]]</f>
        <v>0.32</v>
      </c>
      <c r="AC1264" t="str">
        <f>IF(SalesCleanTable[[#This Row],[Discount %]] &gt; SalesCleanTable[[#This Row],[Max Allowed Discount]], "Discount loss", "Safe")</f>
        <v>Safe</v>
      </c>
      <c r="AD1264" s="4">
        <f>SalesCleanTable[[#This Row],[Unit Price]] - SalesCleanTable[[#This Row],[Unit Cost]]</f>
        <v>4000</v>
      </c>
      <c r="AE1264" s="41">
        <f>(SalesCleanTable[[#This Row],[Unit Price]] - SalesCleanTable[[#This Row],[Unit Cost]]) / SalesCleanTable[[#This Row],[Unit Price]]</f>
        <v>0.32</v>
      </c>
    </row>
    <row r="1265" spans="1:31">
      <c r="A1265" t="s">
        <v>1451</v>
      </c>
      <c r="B1265" s="6">
        <v>45739</v>
      </c>
      <c r="C1265" t="s">
        <v>62</v>
      </c>
      <c r="D1265" t="s">
        <v>63</v>
      </c>
      <c r="E1265" t="s">
        <v>59</v>
      </c>
      <c r="F1265" t="s">
        <v>64</v>
      </c>
      <c r="G1265" t="s">
        <v>65</v>
      </c>
      <c r="H1265" t="s">
        <v>135</v>
      </c>
      <c r="I1265" t="s">
        <v>136</v>
      </c>
      <c r="J1265" t="s">
        <v>137</v>
      </c>
      <c r="K1265" t="s">
        <v>138</v>
      </c>
      <c r="L1265" t="s">
        <v>166</v>
      </c>
      <c r="M1265" t="s">
        <v>171</v>
      </c>
      <c r="N1265">
        <v>4</v>
      </c>
      <c r="O1265" s="4">
        <v>3200</v>
      </c>
      <c r="P1265" s="4">
        <v>4500</v>
      </c>
      <c r="Q1265" s="7">
        <v>0.1</v>
      </c>
      <c r="R1265" t="s">
        <v>192</v>
      </c>
      <c r="S1265">
        <v>3</v>
      </c>
      <c r="T1265">
        <v>18000</v>
      </c>
      <c r="U1265">
        <v>1800</v>
      </c>
      <c r="V1265">
        <v>16200</v>
      </c>
      <c r="W1265">
        <v>12800</v>
      </c>
      <c r="X1265">
        <v>3400</v>
      </c>
      <c r="Y1265" s="8">
        <v>0.20987654320987653</v>
      </c>
      <c r="Z1265" t="s">
        <v>2996</v>
      </c>
      <c r="AA1265" t="str">
        <f>IF(AND(SalesCleanTable[[#This Row],[Discount %]]&gt;0, SalesCleanTable[[#This Row],[Profit]]&lt;0), "Discount loss", "Safe")</f>
        <v>Safe</v>
      </c>
      <c r="AB1265" s="25">
        <f>(SalesCleanTable[[#This Row],[Unit Price]] - SalesCleanTable[[#This Row],[Unit Cost]]) / SalesCleanTable[[#This Row],[Unit Price]]</f>
        <v>0.28888888888888886</v>
      </c>
      <c r="AC1265" t="str">
        <f>IF(SalesCleanTable[[#This Row],[Discount %]] &gt; SalesCleanTable[[#This Row],[Max Allowed Discount]], "Discount loss", "Safe")</f>
        <v>Safe</v>
      </c>
      <c r="AD1265" s="4">
        <f>SalesCleanTable[[#This Row],[Unit Price]] - SalesCleanTable[[#This Row],[Unit Cost]]</f>
        <v>1300</v>
      </c>
      <c r="AE1265" s="41">
        <f>(SalesCleanTable[[#This Row],[Unit Price]] - SalesCleanTable[[#This Row],[Unit Cost]]) / SalesCleanTable[[#This Row],[Unit Price]]</f>
        <v>0.28888888888888886</v>
      </c>
    </row>
    <row r="1266" spans="1:31">
      <c r="A1266" t="s">
        <v>1452</v>
      </c>
      <c r="B1266" s="6">
        <v>45854</v>
      </c>
      <c r="C1266" t="s">
        <v>41</v>
      </c>
      <c r="D1266" t="s">
        <v>42</v>
      </c>
      <c r="E1266" t="s">
        <v>26</v>
      </c>
      <c r="F1266" t="s">
        <v>43</v>
      </c>
      <c r="G1266" t="s">
        <v>44</v>
      </c>
      <c r="H1266" t="s">
        <v>133</v>
      </c>
      <c r="I1266" t="s">
        <v>134</v>
      </c>
      <c r="J1266" t="s">
        <v>130</v>
      </c>
      <c r="K1266" t="s">
        <v>131</v>
      </c>
      <c r="L1266" t="s">
        <v>166</v>
      </c>
      <c r="M1266" t="s">
        <v>177</v>
      </c>
      <c r="N1266">
        <v>5</v>
      </c>
      <c r="O1266" s="4">
        <v>850</v>
      </c>
      <c r="P1266" s="4">
        <v>1300</v>
      </c>
      <c r="Q1266" s="7">
        <v>0.1</v>
      </c>
      <c r="R1266" t="s">
        <v>194</v>
      </c>
      <c r="S1266">
        <v>12</v>
      </c>
      <c r="T1266">
        <v>6500</v>
      </c>
      <c r="U1266">
        <v>650</v>
      </c>
      <c r="V1266">
        <v>5850</v>
      </c>
      <c r="W1266">
        <v>4250</v>
      </c>
      <c r="X1266">
        <v>1600</v>
      </c>
      <c r="Y1266" s="8">
        <v>0.27350427350427353</v>
      </c>
      <c r="Z1266" t="s">
        <v>2995</v>
      </c>
      <c r="AA1266" t="str">
        <f>IF(AND(SalesCleanTable[[#This Row],[Discount %]]&gt;0, SalesCleanTable[[#This Row],[Profit]]&lt;0), "Discount loss", "Safe")</f>
        <v>Safe</v>
      </c>
      <c r="AB1266" s="25">
        <f>(SalesCleanTable[[#This Row],[Unit Price]] - SalesCleanTable[[#This Row],[Unit Cost]]) / SalesCleanTable[[#This Row],[Unit Price]]</f>
        <v>0.34615384615384615</v>
      </c>
      <c r="AC1266" t="str">
        <f>IF(SalesCleanTable[[#This Row],[Discount %]] &gt; SalesCleanTable[[#This Row],[Max Allowed Discount]], "Discount loss", "Safe")</f>
        <v>Safe</v>
      </c>
      <c r="AD1266" s="4">
        <f>SalesCleanTable[[#This Row],[Unit Price]] - SalesCleanTable[[#This Row],[Unit Cost]]</f>
        <v>450</v>
      </c>
      <c r="AE1266" s="41">
        <f>(SalesCleanTable[[#This Row],[Unit Price]] - SalesCleanTable[[#This Row],[Unit Cost]]) / SalesCleanTable[[#This Row],[Unit Price]]</f>
        <v>0.34615384615384615</v>
      </c>
    </row>
    <row r="1267" spans="1:31">
      <c r="A1267" t="s">
        <v>1453</v>
      </c>
      <c r="B1267" s="6">
        <v>45922</v>
      </c>
      <c r="C1267" t="s">
        <v>49</v>
      </c>
      <c r="D1267" t="s">
        <v>50</v>
      </c>
      <c r="E1267" t="s">
        <v>38</v>
      </c>
      <c r="F1267" t="s">
        <v>51</v>
      </c>
      <c r="G1267" t="s">
        <v>52</v>
      </c>
      <c r="H1267" t="s">
        <v>141</v>
      </c>
      <c r="I1267" t="s">
        <v>142</v>
      </c>
      <c r="J1267" t="s">
        <v>143</v>
      </c>
      <c r="K1267" t="s">
        <v>144</v>
      </c>
      <c r="L1267" t="s">
        <v>166</v>
      </c>
      <c r="M1267" t="s">
        <v>171</v>
      </c>
      <c r="N1267">
        <v>1</v>
      </c>
      <c r="O1267" s="4">
        <v>550</v>
      </c>
      <c r="P1267" s="4">
        <v>850</v>
      </c>
      <c r="Q1267" s="7">
        <v>0.05</v>
      </c>
      <c r="R1267" t="s">
        <v>175</v>
      </c>
      <c r="S1267">
        <v>9</v>
      </c>
      <c r="T1267">
        <v>850</v>
      </c>
      <c r="U1267">
        <v>42.5</v>
      </c>
      <c r="V1267">
        <v>807.5</v>
      </c>
      <c r="W1267">
        <v>550</v>
      </c>
      <c r="X1267">
        <v>257.5</v>
      </c>
      <c r="Y1267" s="8">
        <v>0.31888544891640869</v>
      </c>
      <c r="Z1267" t="s">
        <v>2996</v>
      </c>
      <c r="AA1267" t="str">
        <f>IF(AND(SalesCleanTable[[#This Row],[Discount %]]&gt;0, SalesCleanTable[[#This Row],[Profit]]&lt;0), "Discount loss", "Safe")</f>
        <v>Safe</v>
      </c>
      <c r="AB1267" s="25">
        <f>(SalesCleanTable[[#This Row],[Unit Price]] - SalesCleanTable[[#This Row],[Unit Cost]]) / SalesCleanTable[[#This Row],[Unit Price]]</f>
        <v>0.35294117647058826</v>
      </c>
      <c r="AC1267" t="str">
        <f>IF(SalesCleanTable[[#This Row],[Discount %]] &gt; SalesCleanTable[[#This Row],[Max Allowed Discount]], "Discount loss", "Safe")</f>
        <v>Safe</v>
      </c>
      <c r="AD1267" s="4">
        <f>SalesCleanTable[[#This Row],[Unit Price]] - SalesCleanTable[[#This Row],[Unit Cost]]</f>
        <v>300</v>
      </c>
      <c r="AE1267" s="41">
        <f>(SalesCleanTable[[#This Row],[Unit Price]] - SalesCleanTable[[#This Row],[Unit Cost]]) / SalesCleanTable[[#This Row],[Unit Price]]</f>
        <v>0.35294117647058826</v>
      </c>
    </row>
    <row r="1268" spans="1:31">
      <c r="A1268" t="s">
        <v>1454</v>
      </c>
      <c r="B1268" s="6">
        <v>45906</v>
      </c>
      <c r="C1268" t="s">
        <v>78</v>
      </c>
      <c r="D1268" t="s">
        <v>79</v>
      </c>
      <c r="E1268" t="s">
        <v>75</v>
      </c>
      <c r="F1268" t="s">
        <v>80</v>
      </c>
      <c r="G1268" t="s">
        <v>81</v>
      </c>
      <c r="H1268" t="s">
        <v>149</v>
      </c>
      <c r="I1268" t="s">
        <v>150</v>
      </c>
      <c r="J1268" t="s">
        <v>151</v>
      </c>
      <c r="K1268" t="s">
        <v>152</v>
      </c>
      <c r="L1268" t="s">
        <v>166</v>
      </c>
      <c r="M1268" t="s">
        <v>171</v>
      </c>
      <c r="N1268">
        <v>3</v>
      </c>
      <c r="O1268" s="4">
        <v>1200</v>
      </c>
      <c r="P1268" s="4">
        <v>1900</v>
      </c>
      <c r="Q1268" s="7">
        <v>0.05</v>
      </c>
      <c r="R1268" t="s">
        <v>187</v>
      </c>
      <c r="S1268">
        <v>6</v>
      </c>
      <c r="T1268">
        <v>5700</v>
      </c>
      <c r="U1268">
        <v>285</v>
      </c>
      <c r="V1268">
        <v>5415</v>
      </c>
      <c r="W1268">
        <v>3600</v>
      </c>
      <c r="X1268">
        <v>1815</v>
      </c>
      <c r="Y1268" s="8">
        <v>0.33518005540166207</v>
      </c>
      <c r="Z1268" t="s">
        <v>2996</v>
      </c>
      <c r="AA1268" t="str">
        <f>IF(AND(SalesCleanTable[[#This Row],[Discount %]]&gt;0, SalesCleanTable[[#This Row],[Profit]]&lt;0), "Discount loss", "Safe")</f>
        <v>Safe</v>
      </c>
      <c r="AB1268" s="25">
        <f>(SalesCleanTable[[#This Row],[Unit Price]] - SalesCleanTable[[#This Row],[Unit Cost]]) / SalesCleanTable[[#This Row],[Unit Price]]</f>
        <v>0.36842105263157893</v>
      </c>
      <c r="AC1268" t="str">
        <f>IF(SalesCleanTable[[#This Row],[Discount %]] &gt; SalesCleanTable[[#This Row],[Max Allowed Discount]], "Discount loss", "Safe")</f>
        <v>Safe</v>
      </c>
      <c r="AD1268" s="4">
        <f>SalesCleanTable[[#This Row],[Unit Price]] - SalesCleanTable[[#This Row],[Unit Cost]]</f>
        <v>700</v>
      </c>
      <c r="AE1268" s="41">
        <f>(SalesCleanTable[[#This Row],[Unit Price]] - SalesCleanTable[[#This Row],[Unit Cost]]) / SalesCleanTable[[#This Row],[Unit Price]]</f>
        <v>0.36842105263157893</v>
      </c>
    </row>
    <row r="1269" spans="1:31">
      <c r="A1269" t="s">
        <v>1455</v>
      </c>
      <c r="B1269" s="6">
        <v>45763</v>
      </c>
      <c r="C1269" t="s">
        <v>41</v>
      </c>
      <c r="D1269" t="s">
        <v>42</v>
      </c>
      <c r="E1269" t="s">
        <v>26</v>
      </c>
      <c r="F1269" t="s">
        <v>43</v>
      </c>
      <c r="G1269" t="s">
        <v>44</v>
      </c>
      <c r="H1269" t="s">
        <v>135</v>
      </c>
      <c r="I1269" t="s">
        <v>136</v>
      </c>
      <c r="J1269" t="s">
        <v>137</v>
      </c>
      <c r="K1269" t="s">
        <v>138</v>
      </c>
      <c r="L1269" t="s">
        <v>183</v>
      </c>
      <c r="M1269" t="s">
        <v>186</v>
      </c>
      <c r="N1269">
        <v>5</v>
      </c>
      <c r="O1269" s="4">
        <v>850</v>
      </c>
      <c r="P1269" s="4">
        <v>1300</v>
      </c>
      <c r="Q1269" s="7">
        <v>0.15</v>
      </c>
      <c r="R1269" t="s">
        <v>194</v>
      </c>
      <c r="S1269">
        <v>10</v>
      </c>
      <c r="T1269">
        <v>6500</v>
      </c>
      <c r="U1269">
        <v>975</v>
      </c>
      <c r="V1269">
        <v>5525</v>
      </c>
      <c r="W1269">
        <v>4250</v>
      </c>
      <c r="X1269">
        <v>1275</v>
      </c>
      <c r="Y1269" s="8">
        <v>0.23076923076923078</v>
      </c>
      <c r="Z1269" t="s">
        <v>2995</v>
      </c>
      <c r="AA1269" t="str">
        <f>IF(AND(SalesCleanTable[[#This Row],[Discount %]]&gt;0, SalesCleanTable[[#This Row],[Profit]]&lt;0), "Discount loss", "Safe")</f>
        <v>Safe</v>
      </c>
      <c r="AB1269" s="25">
        <f>(SalesCleanTable[[#This Row],[Unit Price]] - SalesCleanTable[[#This Row],[Unit Cost]]) / SalesCleanTable[[#This Row],[Unit Price]]</f>
        <v>0.34615384615384615</v>
      </c>
      <c r="AC1269" t="str">
        <f>IF(SalesCleanTable[[#This Row],[Discount %]] &gt; SalesCleanTable[[#This Row],[Max Allowed Discount]], "Discount loss", "Safe")</f>
        <v>Safe</v>
      </c>
      <c r="AD1269" s="4">
        <f>SalesCleanTable[[#This Row],[Unit Price]] - SalesCleanTable[[#This Row],[Unit Cost]]</f>
        <v>450</v>
      </c>
      <c r="AE1269" s="41">
        <f>(SalesCleanTable[[#This Row],[Unit Price]] - SalesCleanTable[[#This Row],[Unit Cost]]) / SalesCleanTable[[#This Row],[Unit Price]]</f>
        <v>0.34615384615384615</v>
      </c>
    </row>
    <row r="1270" spans="1:31">
      <c r="A1270" t="s">
        <v>1456</v>
      </c>
      <c r="B1270" s="6">
        <v>45664</v>
      </c>
      <c r="C1270" t="s">
        <v>99</v>
      </c>
      <c r="D1270" t="s">
        <v>100</v>
      </c>
      <c r="E1270" t="s">
        <v>92</v>
      </c>
      <c r="F1270" t="s">
        <v>101</v>
      </c>
      <c r="G1270" t="s">
        <v>102</v>
      </c>
      <c r="H1270" t="s">
        <v>149</v>
      </c>
      <c r="I1270" t="s">
        <v>150</v>
      </c>
      <c r="J1270" t="s">
        <v>151</v>
      </c>
      <c r="K1270" t="s">
        <v>152</v>
      </c>
      <c r="L1270" t="s">
        <v>166</v>
      </c>
      <c r="M1270" t="s">
        <v>167</v>
      </c>
      <c r="N1270">
        <v>5</v>
      </c>
      <c r="O1270" s="4">
        <v>12500</v>
      </c>
      <c r="P1270" s="4">
        <v>18500</v>
      </c>
      <c r="Q1270" s="7">
        <v>0.05</v>
      </c>
      <c r="R1270" t="s">
        <v>215</v>
      </c>
      <c r="S1270">
        <v>1</v>
      </c>
      <c r="T1270">
        <v>92500</v>
      </c>
      <c r="U1270">
        <v>4625</v>
      </c>
      <c r="V1270">
        <v>87875</v>
      </c>
      <c r="W1270">
        <v>62500</v>
      </c>
      <c r="X1270">
        <v>25375</v>
      </c>
      <c r="Y1270" s="8">
        <v>0.28876244665718348</v>
      </c>
      <c r="Z1270" t="s">
        <v>2995</v>
      </c>
      <c r="AA1270" t="str">
        <f>IF(AND(SalesCleanTable[[#This Row],[Discount %]]&gt;0, SalesCleanTable[[#This Row],[Profit]]&lt;0), "Discount loss", "Safe")</f>
        <v>Safe</v>
      </c>
      <c r="AB1270" s="25">
        <f>(SalesCleanTable[[#This Row],[Unit Price]] - SalesCleanTable[[#This Row],[Unit Cost]]) / SalesCleanTable[[#This Row],[Unit Price]]</f>
        <v>0.32432432432432434</v>
      </c>
      <c r="AC1270" t="str">
        <f>IF(SalesCleanTable[[#This Row],[Discount %]] &gt; SalesCleanTable[[#This Row],[Max Allowed Discount]], "Discount loss", "Safe")</f>
        <v>Safe</v>
      </c>
      <c r="AD1270" s="4">
        <f>SalesCleanTable[[#This Row],[Unit Price]] - SalesCleanTable[[#This Row],[Unit Cost]]</f>
        <v>6000</v>
      </c>
      <c r="AE1270" s="41">
        <f>(SalesCleanTable[[#This Row],[Unit Price]] - SalesCleanTable[[#This Row],[Unit Cost]]) / SalesCleanTable[[#This Row],[Unit Price]]</f>
        <v>0.32432432432432434</v>
      </c>
    </row>
    <row r="1271" spans="1:31">
      <c r="A1271" t="s">
        <v>1457</v>
      </c>
      <c r="B1271" s="6">
        <v>45708</v>
      </c>
      <c r="C1271" t="s">
        <v>112</v>
      </c>
      <c r="D1271" t="s">
        <v>113</v>
      </c>
      <c r="E1271" t="s">
        <v>109</v>
      </c>
      <c r="F1271" t="s">
        <v>114</v>
      </c>
      <c r="G1271" t="s">
        <v>115</v>
      </c>
      <c r="H1271" t="s">
        <v>139</v>
      </c>
      <c r="I1271" t="s">
        <v>140</v>
      </c>
      <c r="J1271" t="s">
        <v>137</v>
      </c>
      <c r="K1271" t="s">
        <v>138</v>
      </c>
      <c r="L1271" t="s">
        <v>183</v>
      </c>
      <c r="M1271" t="s">
        <v>171</v>
      </c>
      <c r="N1271">
        <v>2</v>
      </c>
      <c r="O1271" s="4">
        <v>1300</v>
      </c>
      <c r="P1271" s="4">
        <v>2100</v>
      </c>
      <c r="Q1271" s="7">
        <v>0.2</v>
      </c>
      <c r="R1271" t="s">
        <v>235</v>
      </c>
      <c r="S1271">
        <v>13</v>
      </c>
      <c r="T1271">
        <v>4200</v>
      </c>
      <c r="U1271">
        <v>840</v>
      </c>
      <c r="V1271">
        <v>3360</v>
      </c>
      <c r="W1271">
        <v>2600</v>
      </c>
      <c r="X1271">
        <v>760</v>
      </c>
      <c r="Y1271" s="8">
        <v>0.22619047619047619</v>
      </c>
      <c r="Z1271" t="s">
        <v>2995</v>
      </c>
      <c r="AA1271" t="str">
        <f>IF(AND(SalesCleanTable[[#This Row],[Discount %]]&gt;0, SalesCleanTable[[#This Row],[Profit]]&lt;0), "Discount loss", "Safe")</f>
        <v>Safe</v>
      </c>
      <c r="AB1271" s="25">
        <f>(SalesCleanTable[[#This Row],[Unit Price]] - SalesCleanTable[[#This Row],[Unit Cost]]) / SalesCleanTable[[#This Row],[Unit Price]]</f>
        <v>0.38095238095238093</v>
      </c>
      <c r="AC1271" t="str">
        <f>IF(SalesCleanTable[[#This Row],[Discount %]] &gt; SalesCleanTable[[#This Row],[Max Allowed Discount]], "Discount loss", "Safe")</f>
        <v>Safe</v>
      </c>
      <c r="AD1271" s="4">
        <f>SalesCleanTable[[#This Row],[Unit Price]] - SalesCleanTable[[#This Row],[Unit Cost]]</f>
        <v>800</v>
      </c>
      <c r="AE1271" s="41">
        <f>(SalesCleanTable[[#This Row],[Unit Price]] - SalesCleanTable[[#This Row],[Unit Cost]]) / SalesCleanTable[[#This Row],[Unit Price]]</f>
        <v>0.38095238095238093</v>
      </c>
    </row>
    <row r="1272" spans="1:31">
      <c r="A1272" t="s">
        <v>1458</v>
      </c>
      <c r="B1272" s="6">
        <v>45948</v>
      </c>
      <c r="C1272" t="s">
        <v>57</v>
      </c>
      <c r="D1272" t="s">
        <v>58</v>
      </c>
      <c r="E1272" t="s">
        <v>59</v>
      </c>
      <c r="F1272" t="s">
        <v>60</v>
      </c>
      <c r="G1272" t="s">
        <v>61</v>
      </c>
      <c r="H1272" t="s">
        <v>133</v>
      </c>
      <c r="I1272" t="s">
        <v>134</v>
      </c>
      <c r="J1272" t="s">
        <v>130</v>
      </c>
      <c r="K1272" t="s">
        <v>131</v>
      </c>
      <c r="L1272" t="s">
        <v>170</v>
      </c>
      <c r="M1272" t="s">
        <v>171</v>
      </c>
      <c r="N1272">
        <v>5</v>
      </c>
      <c r="O1272" s="4">
        <v>2400</v>
      </c>
      <c r="P1272" s="4">
        <v>3400</v>
      </c>
      <c r="Q1272" s="7">
        <v>0</v>
      </c>
      <c r="R1272" t="s">
        <v>192</v>
      </c>
      <c r="S1272">
        <v>12</v>
      </c>
      <c r="T1272">
        <v>17000</v>
      </c>
      <c r="U1272">
        <v>0</v>
      </c>
      <c r="V1272">
        <v>17000</v>
      </c>
      <c r="W1272">
        <v>12000</v>
      </c>
      <c r="X1272">
        <v>5000</v>
      </c>
      <c r="Y1272" s="8">
        <v>0.29411764705882354</v>
      </c>
      <c r="Z1272" t="s">
        <v>2996</v>
      </c>
      <c r="AA1272" t="str">
        <f>IF(AND(SalesCleanTable[[#This Row],[Discount %]]&gt;0, SalesCleanTable[[#This Row],[Profit]]&lt;0), "Discount loss", "Safe")</f>
        <v>Safe</v>
      </c>
      <c r="AB1272" s="25">
        <f>(SalesCleanTable[[#This Row],[Unit Price]] - SalesCleanTable[[#This Row],[Unit Cost]]) / SalesCleanTable[[#This Row],[Unit Price]]</f>
        <v>0.29411764705882354</v>
      </c>
      <c r="AC1272" t="str">
        <f>IF(SalesCleanTable[[#This Row],[Discount %]] &gt; SalesCleanTable[[#This Row],[Max Allowed Discount]], "Discount loss", "Safe")</f>
        <v>Safe</v>
      </c>
      <c r="AD1272" s="4">
        <f>SalesCleanTable[[#This Row],[Unit Price]] - SalesCleanTable[[#This Row],[Unit Cost]]</f>
        <v>1000</v>
      </c>
      <c r="AE1272" s="41">
        <f>(SalesCleanTable[[#This Row],[Unit Price]] - SalesCleanTable[[#This Row],[Unit Cost]]) / SalesCleanTable[[#This Row],[Unit Price]]</f>
        <v>0.29411764705882354</v>
      </c>
    </row>
    <row r="1273" spans="1:31">
      <c r="A1273" t="s">
        <v>1459</v>
      </c>
      <c r="B1273" s="6">
        <v>45748</v>
      </c>
      <c r="C1273" t="s">
        <v>24</v>
      </c>
      <c r="D1273" t="s">
        <v>25</v>
      </c>
      <c r="E1273" t="s">
        <v>26</v>
      </c>
      <c r="F1273" t="s">
        <v>27</v>
      </c>
      <c r="G1273" t="s">
        <v>28</v>
      </c>
      <c r="H1273" t="s">
        <v>141</v>
      </c>
      <c r="I1273" t="s">
        <v>142</v>
      </c>
      <c r="J1273" t="s">
        <v>143</v>
      </c>
      <c r="K1273" t="s">
        <v>144</v>
      </c>
      <c r="L1273" t="s">
        <v>166</v>
      </c>
      <c r="M1273" t="s">
        <v>171</v>
      </c>
      <c r="N1273">
        <v>3</v>
      </c>
      <c r="O1273" s="4">
        <v>14500</v>
      </c>
      <c r="P1273" s="4">
        <v>17500</v>
      </c>
      <c r="Q1273" s="7">
        <v>0</v>
      </c>
      <c r="R1273" t="s">
        <v>197</v>
      </c>
      <c r="S1273">
        <v>3</v>
      </c>
      <c r="T1273">
        <v>52500</v>
      </c>
      <c r="U1273">
        <v>0</v>
      </c>
      <c r="V1273">
        <v>52500</v>
      </c>
      <c r="W1273">
        <v>43500</v>
      </c>
      <c r="X1273">
        <v>9000</v>
      </c>
      <c r="Y1273" s="8">
        <v>0.17142857142857143</v>
      </c>
      <c r="Z1273" t="s">
        <v>2995</v>
      </c>
      <c r="AA1273" t="str">
        <f>IF(AND(SalesCleanTable[[#This Row],[Discount %]]&gt;0, SalesCleanTable[[#This Row],[Profit]]&lt;0), "Discount loss", "Safe")</f>
        <v>Safe</v>
      </c>
      <c r="AB1273" s="25">
        <f>(SalesCleanTable[[#This Row],[Unit Price]] - SalesCleanTable[[#This Row],[Unit Cost]]) / SalesCleanTable[[#This Row],[Unit Price]]</f>
        <v>0.17142857142857143</v>
      </c>
      <c r="AC1273" t="str">
        <f>IF(SalesCleanTable[[#This Row],[Discount %]] &gt; SalesCleanTable[[#This Row],[Max Allowed Discount]], "Discount loss", "Safe")</f>
        <v>Safe</v>
      </c>
      <c r="AD1273" s="4">
        <f>SalesCleanTable[[#This Row],[Unit Price]] - SalesCleanTable[[#This Row],[Unit Cost]]</f>
        <v>3000</v>
      </c>
      <c r="AE1273" s="41">
        <f>(SalesCleanTable[[#This Row],[Unit Price]] - SalesCleanTable[[#This Row],[Unit Cost]]) / SalesCleanTable[[#This Row],[Unit Price]]</f>
        <v>0.17142857142857143</v>
      </c>
    </row>
    <row r="1274" spans="1:31">
      <c r="A1274" t="s">
        <v>1460</v>
      </c>
      <c r="B1274" s="6">
        <v>45689</v>
      </c>
      <c r="C1274" t="s">
        <v>41</v>
      </c>
      <c r="D1274" t="s">
        <v>42</v>
      </c>
      <c r="E1274" t="s">
        <v>26</v>
      </c>
      <c r="F1274" t="s">
        <v>43</v>
      </c>
      <c r="G1274" t="s">
        <v>44</v>
      </c>
      <c r="H1274" t="s">
        <v>133</v>
      </c>
      <c r="I1274" t="s">
        <v>134</v>
      </c>
      <c r="J1274" t="s">
        <v>130</v>
      </c>
      <c r="K1274" t="s">
        <v>131</v>
      </c>
      <c r="L1274" t="s">
        <v>166</v>
      </c>
      <c r="M1274" t="s">
        <v>171</v>
      </c>
      <c r="N1274">
        <v>4</v>
      </c>
      <c r="O1274" s="4">
        <v>850</v>
      </c>
      <c r="P1274" s="4">
        <v>1300</v>
      </c>
      <c r="Q1274" s="7">
        <v>0.05</v>
      </c>
      <c r="R1274" t="s">
        <v>197</v>
      </c>
      <c r="S1274">
        <v>6</v>
      </c>
      <c r="T1274">
        <v>5200</v>
      </c>
      <c r="U1274">
        <v>260</v>
      </c>
      <c r="V1274">
        <v>4940</v>
      </c>
      <c r="W1274">
        <v>3400</v>
      </c>
      <c r="X1274">
        <v>1540</v>
      </c>
      <c r="Y1274" s="8">
        <v>0.31174089068825911</v>
      </c>
      <c r="Z1274" t="s">
        <v>2995</v>
      </c>
      <c r="AA1274" t="str">
        <f>IF(AND(SalesCleanTable[[#This Row],[Discount %]]&gt;0, SalesCleanTable[[#This Row],[Profit]]&lt;0), "Discount loss", "Safe")</f>
        <v>Safe</v>
      </c>
      <c r="AB1274" s="25">
        <f>(SalesCleanTable[[#This Row],[Unit Price]] - SalesCleanTable[[#This Row],[Unit Cost]]) / SalesCleanTable[[#This Row],[Unit Price]]</f>
        <v>0.34615384615384615</v>
      </c>
      <c r="AC1274" t="str">
        <f>IF(SalesCleanTable[[#This Row],[Discount %]] &gt; SalesCleanTable[[#This Row],[Max Allowed Discount]], "Discount loss", "Safe")</f>
        <v>Safe</v>
      </c>
      <c r="AD1274" s="4">
        <f>SalesCleanTable[[#This Row],[Unit Price]] - SalesCleanTable[[#This Row],[Unit Cost]]</f>
        <v>450</v>
      </c>
      <c r="AE1274" s="41">
        <f>(SalesCleanTable[[#This Row],[Unit Price]] - SalesCleanTable[[#This Row],[Unit Cost]]) / SalesCleanTable[[#This Row],[Unit Price]]</f>
        <v>0.34615384615384615</v>
      </c>
    </row>
    <row r="1275" spans="1:31">
      <c r="A1275" t="s">
        <v>1461</v>
      </c>
      <c r="B1275" s="6">
        <v>45695</v>
      </c>
      <c r="C1275" t="s">
        <v>41</v>
      </c>
      <c r="D1275" t="s">
        <v>42</v>
      </c>
      <c r="E1275" t="s">
        <v>26</v>
      </c>
      <c r="F1275" t="s">
        <v>43</v>
      </c>
      <c r="G1275" t="s">
        <v>44</v>
      </c>
      <c r="H1275" t="s">
        <v>128</v>
      </c>
      <c r="I1275" t="s">
        <v>129</v>
      </c>
      <c r="J1275" t="s">
        <v>130</v>
      </c>
      <c r="K1275" t="s">
        <v>131</v>
      </c>
      <c r="L1275" t="s">
        <v>166</v>
      </c>
      <c r="M1275" t="s">
        <v>167</v>
      </c>
      <c r="N1275">
        <v>1</v>
      </c>
      <c r="O1275" s="4">
        <v>850</v>
      </c>
      <c r="P1275" s="4">
        <v>1300</v>
      </c>
      <c r="Q1275" s="7">
        <v>0</v>
      </c>
      <c r="R1275" t="s">
        <v>194</v>
      </c>
      <c r="S1275">
        <v>5</v>
      </c>
      <c r="T1275">
        <v>1300</v>
      </c>
      <c r="U1275">
        <v>0</v>
      </c>
      <c r="V1275">
        <v>1300</v>
      </c>
      <c r="W1275">
        <v>850</v>
      </c>
      <c r="X1275">
        <v>450</v>
      </c>
      <c r="Y1275" s="8">
        <v>0.34615384615384615</v>
      </c>
      <c r="Z1275" t="s">
        <v>2995</v>
      </c>
      <c r="AA1275" t="str">
        <f>IF(AND(SalesCleanTable[[#This Row],[Discount %]]&gt;0, SalesCleanTable[[#This Row],[Profit]]&lt;0), "Discount loss", "Safe")</f>
        <v>Safe</v>
      </c>
      <c r="AB1275" s="25">
        <f>(SalesCleanTable[[#This Row],[Unit Price]] - SalesCleanTable[[#This Row],[Unit Cost]]) / SalesCleanTable[[#This Row],[Unit Price]]</f>
        <v>0.34615384615384615</v>
      </c>
      <c r="AC1275" t="str">
        <f>IF(SalesCleanTable[[#This Row],[Discount %]] &gt; SalesCleanTable[[#This Row],[Max Allowed Discount]], "Discount loss", "Safe")</f>
        <v>Safe</v>
      </c>
      <c r="AD1275" s="4">
        <f>SalesCleanTable[[#This Row],[Unit Price]] - SalesCleanTable[[#This Row],[Unit Cost]]</f>
        <v>450</v>
      </c>
      <c r="AE1275" s="41">
        <f>(SalesCleanTable[[#This Row],[Unit Price]] - SalesCleanTable[[#This Row],[Unit Cost]]) / SalesCleanTable[[#This Row],[Unit Price]]</f>
        <v>0.34615384615384615</v>
      </c>
    </row>
    <row r="1276" spans="1:31">
      <c r="A1276" t="s">
        <v>1462</v>
      </c>
      <c r="B1276" s="6">
        <v>45955</v>
      </c>
      <c r="C1276" t="s">
        <v>53</v>
      </c>
      <c r="D1276" t="s">
        <v>54</v>
      </c>
      <c r="E1276" t="s">
        <v>38</v>
      </c>
      <c r="F1276" t="s">
        <v>55</v>
      </c>
      <c r="G1276" t="s">
        <v>56</v>
      </c>
      <c r="H1276" t="s">
        <v>149</v>
      </c>
      <c r="I1276" t="s">
        <v>150</v>
      </c>
      <c r="J1276" t="s">
        <v>151</v>
      </c>
      <c r="K1276" t="s">
        <v>152</v>
      </c>
      <c r="L1276" t="s">
        <v>183</v>
      </c>
      <c r="M1276" t="s">
        <v>171</v>
      </c>
      <c r="N1276">
        <v>4</v>
      </c>
      <c r="O1276" s="4">
        <v>330</v>
      </c>
      <c r="P1276" s="4">
        <v>550</v>
      </c>
      <c r="Q1276" s="7">
        <v>0.05</v>
      </c>
      <c r="R1276" t="s">
        <v>168</v>
      </c>
      <c r="S1276">
        <v>10</v>
      </c>
      <c r="T1276">
        <v>2200</v>
      </c>
      <c r="U1276">
        <v>110</v>
      </c>
      <c r="V1276">
        <v>2090</v>
      </c>
      <c r="W1276">
        <v>1320</v>
      </c>
      <c r="X1276">
        <v>770</v>
      </c>
      <c r="Y1276" s="8">
        <v>0.36842105263157893</v>
      </c>
      <c r="Z1276" t="s">
        <v>2996</v>
      </c>
      <c r="AA1276" t="str">
        <f>IF(AND(SalesCleanTable[[#This Row],[Discount %]]&gt;0, SalesCleanTable[[#This Row],[Profit]]&lt;0), "Discount loss", "Safe")</f>
        <v>Safe</v>
      </c>
      <c r="AB1276" s="25">
        <f>(SalesCleanTable[[#This Row],[Unit Price]] - SalesCleanTable[[#This Row],[Unit Cost]]) / SalesCleanTable[[#This Row],[Unit Price]]</f>
        <v>0.4</v>
      </c>
      <c r="AC1276" t="str">
        <f>IF(SalesCleanTable[[#This Row],[Discount %]] &gt; SalesCleanTable[[#This Row],[Max Allowed Discount]], "Discount loss", "Safe")</f>
        <v>Safe</v>
      </c>
      <c r="AD1276" s="4">
        <f>SalesCleanTable[[#This Row],[Unit Price]] - SalesCleanTable[[#This Row],[Unit Cost]]</f>
        <v>220</v>
      </c>
      <c r="AE1276" s="41">
        <f>(SalesCleanTable[[#This Row],[Unit Price]] - SalesCleanTable[[#This Row],[Unit Cost]]) / SalesCleanTable[[#This Row],[Unit Price]]</f>
        <v>0.4</v>
      </c>
    </row>
    <row r="1277" spans="1:31">
      <c r="A1277" t="s">
        <v>1463</v>
      </c>
      <c r="B1277" s="6">
        <v>45658</v>
      </c>
      <c r="C1277" t="s">
        <v>41</v>
      </c>
      <c r="D1277" t="s">
        <v>42</v>
      </c>
      <c r="E1277" t="s">
        <v>26</v>
      </c>
      <c r="F1277" t="s">
        <v>43</v>
      </c>
      <c r="G1277" t="s">
        <v>44</v>
      </c>
      <c r="H1277" t="s">
        <v>135</v>
      </c>
      <c r="I1277" t="s">
        <v>136</v>
      </c>
      <c r="J1277" t="s">
        <v>137</v>
      </c>
      <c r="K1277" t="s">
        <v>138</v>
      </c>
      <c r="L1277" t="s">
        <v>166</v>
      </c>
      <c r="M1277" t="s">
        <v>186</v>
      </c>
      <c r="N1277">
        <v>2</v>
      </c>
      <c r="O1277" s="4">
        <v>850</v>
      </c>
      <c r="P1277" s="4">
        <v>1300</v>
      </c>
      <c r="Q1277" s="7">
        <v>0.1</v>
      </c>
      <c r="R1277" t="s">
        <v>194</v>
      </c>
      <c r="S1277">
        <v>11</v>
      </c>
      <c r="T1277">
        <v>2600</v>
      </c>
      <c r="U1277">
        <v>260</v>
      </c>
      <c r="V1277">
        <v>2340</v>
      </c>
      <c r="W1277">
        <v>1700</v>
      </c>
      <c r="X1277">
        <v>640</v>
      </c>
      <c r="Y1277" s="8">
        <v>0.27350427350427353</v>
      </c>
      <c r="Z1277" t="s">
        <v>2995</v>
      </c>
      <c r="AA1277" t="str">
        <f>IF(AND(SalesCleanTable[[#This Row],[Discount %]]&gt;0, SalesCleanTable[[#This Row],[Profit]]&lt;0), "Discount loss", "Safe")</f>
        <v>Safe</v>
      </c>
      <c r="AB1277" s="25">
        <f>(SalesCleanTable[[#This Row],[Unit Price]] - SalesCleanTable[[#This Row],[Unit Cost]]) / SalesCleanTable[[#This Row],[Unit Price]]</f>
        <v>0.34615384615384615</v>
      </c>
      <c r="AC1277" t="str">
        <f>IF(SalesCleanTable[[#This Row],[Discount %]] &gt; SalesCleanTable[[#This Row],[Max Allowed Discount]], "Discount loss", "Safe")</f>
        <v>Safe</v>
      </c>
      <c r="AD1277" s="4">
        <f>SalesCleanTable[[#This Row],[Unit Price]] - SalesCleanTable[[#This Row],[Unit Cost]]</f>
        <v>450</v>
      </c>
      <c r="AE1277" s="41">
        <f>(SalesCleanTable[[#This Row],[Unit Price]] - SalesCleanTable[[#This Row],[Unit Cost]]) / SalesCleanTable[[#This Row],[Unit Price]]</f>
        <v>0.34615384615384615</v>
      </c>
    </row>
    <row r="1278" spans="1:31">
      <c r="A1278" t="s">
        <v>1464</v>
      </c>
      <c r="B1278" s="6">
        <v>45930</v>
      </c>
      <c r="C1278" t="s">
        <v>41</v>
      </c>
      <c r="D1278" t="s">
        <v>42</v>
      </c>
      <c r="E1278" t="s">
        <v>26</v>
      </c>
      <c r="F1278" t="s">
        <v>43</v>
      </c>
      <c r="G1278" t="s">
        <v>44</v>
      </c>
      <c r="H1278" t="s">
        <v>135</v>
      </c>
      <c r="I1278" t="s">
        <v>136</v>
      </c>
      <c r="J1278" t="s">
        <v>137</v>
      </c>
      <c r="K1278" t="s">
        <v>138</v>
      </c>
      <c r="L1278" t="s">
        <v>166</v>
      </c>
      <c r="M1278" t="s">
        <v>171</v>
      </c>
      <c r="N1278">
        <v>-2</v>
      </c>
      <c r="O1278" s="4">
        <v>850</v>
      </c>
      <c r="P1278" s="4">
        <v>1300</v>
      </c>
      <c r="Q1278" s="7">
        <v>0.05</v>
      </c>
      <c r="R1278" t="s">
        <v>197</v>
      </c>
      <c r="S1278">
        <v>8</v>
      </c>
      <c r="T1278">
        <v>-2600</v>
      </c>
      <c r="U1278">
        <v>-130</v>
      </c>
      <c r="V1278">
        <v>-2470</v>
      </c>
      <c r="W1278">
        <v>-1700</v>
      </c>
      <c r="X1278">
        <v>-770</v>
      </c>
      <c r="Y1278" s="8">
        <v>0.31174089068825911</v>
      </c>
      <c r="Z1278" t="s">
        <v>2995</v>
      </c>
      <c r="AA1278" t="str">
        <f>IF(AND(SalesCleanTable[[#This Row],[Discount %]]&gt;0, SalesCleanTable[[#This Row],[Profit]]&lt;0), "Discount loss", "Safe")</f>
        <v>Discount loss</v>
      </c>
      <c r="AB1278" s="25">
        <f>(SalesCleanTable[[#This Row],[Unit Price]] - SalesCleanTable[[#This Row],[Unit Cost]]) / SalesCleanTable[[#This Row],[Unit Price]]</f>
        <v>0.34615384615384615</v>
      </c>
      <c r="AC1278" t="str">
        <f>IF(SalesCleanTable[[#This Row],[Discount %]] &gt; SalesCleanTable[[#This Row],[Max Allowed Discount]], "Discount loss", "Safe")</f>
        <v>Safe</v>
      </c>
      <c r="AD1278" s="4">
        <f>SalesCleanTable[[#This Row],[Unit Price]] - SalesCleanTable[[#This Row],[Unit Cost]]</f>
        <v>450</v>
      </c>
      <c r="AE1278" s="41">
        <f>(SalesCleanTable[[#This Row],[Unit Price]] - SalesCleanTable[[#This Row],[Unit Cost]]) / SalesCleanTable[[#This Row],[Unit Price]]</f>
        <v>0.34615384615384615</v>
      </c>
    </row>
    <row r="1279" spans="1:31">
      <c r="A1279" t="s">
        <v>1465</v>
      </c>
      <c r="B1279" s="6">
        <v>45898</v>
      </c>
      <c r="C1279" t="s">
        <v>53</v>
      </c>
      <c r="D1279" t="s">
        <v>54</v>
      </c>
      <c r="E1279" t="s">
        <v>38</v>
      </c>
      <c r="F1279" t="s">
        <v>55</v>
      </c>
      <c r="G1279" t="s">
        <v>56</v>
      </c>
      <c r="H1279" t="s">
        <v>133</v>
      </c>
      <c r="I1279" t="s">
        <v>134</v>
      </c>
      <c r="J1279" t="s">
        <v>130</v>
      </c>
      <c r="K1279" t="s">
        <v>131</v>
      </c>
      <c r="L1279" t="s">
        <v>166</v>
      </c>
      <c r="M1279" t="s">
        <v>171</v>
      </c>
      <c r="N1279">
        <v>4</v>
      </c>
      <c r="O1279" s="4">
        <v>330</v>
      </c>
      <c r="P1279" s="4">
        <v>550</v>
      </c>
      <c r="Q1279" s="7">
        <v>0.1</v>
      </c>
      <c r="R1279" t="s">
        <v>175</v>
      </c>
      <c r="S1279">
        <v>11</v>
      </c>
      <c r="T1279">
        <v>2200</v>
      </c>
      <c r="U1279">
        <v>220</v>
      </c>
      <c r="V1279">
        <v>1980</v>
      </c>
      <c r="W1279">
        <v>1320</v>
      </c>
      <c r="X1279">
        <v>660</v>
      </c>
      <c r="Y1279" s="8">
        <v>0.33333333333333331</v>
      </c>
      <c r="Z1279" t="s">
        <v>2996</v>
      </c>
      <c r="AA1279" t="str">
        <f>IF(AND(SalesCleanTable[[#This Row],[Discount %]]&gt;0, SalesCleanTable[[#This Row],[Profit]]&lt;0), "Discount loss", "Safe")</f>
        <v>Safe</v>
      </c>
      <c r="AB1279" s="25">
        <f>(SalesCleanTable[[#This Row],[Unit Price]] - SalesCleanTable[[#This Row],[Unit Cost]]) / SalesCleanTable[[#This Row],[Unit Price]]</f>
        <v>0.4</v>
      </c>
      <c r="AC1279" t="str">
        <f>IF(SalesCleanTable[[#This Row],[Discount %]] &gt; SalesCleanTable[[#This Row],[Max Allowed Discount]], "Discount loss", "Safe")</f>
        <v>Safe</v>
      </c>
      <c r="AD1279" s="4">
        <f>SalesCleanTable[[#This Row],[Unit Price]] - SalesCleanTable[[#This Row],[Unit Cost]]</f>
        <v>220</v>
      </c>
      <c r="AE1279" s="41">
        <f>(SalesCleanTable[[#This Row],[Unit Price]] - SalesCleanTable[[#This Row],[Unit Cost]]) / SalesCleanTable[[#This Row],[Unit Price]]</f>
        <v>0.4</v>
      </c>
    </row>
    <row r="1280" spans="1:31">
      <c r="A1280" t="s">
        <v>1466</v>
      </c>
      <c r="B1280" s="6">
        <v>45751</v>
      </c>
      <c r="C1280" t="s">
        <v>36</v>
      </c>
      <c r="D1280" t="s">
        <v>37</v>
      </c>
      <c r="E1280" t="s">
        <v>38</v>
      </c>
      <c r="F1280" t="s">
        <v>39</v>
      </c>
      <c r="G1280" t="s">
        <v>40</v>
      </c>
      <c r="H1280" t="s">
        <v>128</v>
      </c>
      <c r="I1280" t="s">
        <v>129</v>
      </c>
      <c r="J1280" t="s">
        <v>130</v>
      </c>
      <c r="K1280" t="s">
        <v>131</v>
      </c>
      <c r="L1280" t="s">
        <v>166</v>
      </c>
      <c r="M1280" t="s">
        <v>171</v>
      </c>
      <c r="N1280">
        <v>2</v>
      </c>
      <c r="O1280" s="4">
        <v>1650</v>
      </c>
      <c r="P1280" s="4">
        <v>2200</v>
      </c>
      <c r="Q1280" s="7">
        <v>0.05</v>
      </c>
      <c r="R1280" t="s">
        <v>175</v>
      </c>
      <c r="S1280">
        <v>2</v>
      </c>
      <c r="T1280">
        <v>4400</v>
      </c>
      <c r="U1280">
        <v>220</v>
      </c>
      <c r="V1280">
        <v>4180</v>
      </c>
      <c r="W1280">
        <v>3300</v>
      </c>
      <c r="X1280">
        <v>880</v>
      </c>
      <c r="Y1280" s="8">
        <v>0.21052631578947367</v>
      </c>
      <c r="Z1280" t="s">
        <v>2995</v>
      </c>
      <c r="AA1280" t="str">
        <f>IF(AND(SalesCleanTable[[#This Row],[Discount %]]&gt;0, SalesCleanTable[[#This Row],[Profit]]&lt;0), "Discount loss", "Safe")</f>
        <v>Safe</v>
      </c>
      <c r="AB1280" s="25">
        <f>(SalesCleanTable[[#This Row],[Unit Price]] - SalesCleanTable[[#This Row],[Unit Cost]]) / SalesCleanTable[[#This Row],[Unit Price]]</f>
        <v>0.25</v>
      </c>
      <c r="AC1280" t="str">
        <f>IF(SalesCleanTable[[#This Row],[Discount %]] &gt; SalesCleanTable[[#This Row],[Max Allowed Discount]], "Discount loss", "Safe")</f>
        <v>Safe</v>
      </c>
      <c r="AD1280" s="4">
        <f>SalesCleanTable[[#This Row],[Unit Price]] - SalesCleanTable[[#This Row],[Unit Cost]]</f>
        <v>550</v>
      </c>
      <c r="AE1280" s="41">
        <f>(SalesCleanTable[[#This Row],[Unit Price]] - SalesCleanTable[[#This Row],[Unit Cost]]) / SalesCleanTable[[#This Row],[Unit Price]]</f>
        <v>0.25</v>
      </c>
    </row>
    <row r="1281" spans="1:31">
      <c r="A1281" t="s">
        <v>1467</v>
      </c>
      <c r="B1281" s="6">
        <v>45970</v>
      </c>
      <c r="C1281" t="s">
        <v>41</v>
      </c>
      <c r="D1281" t="s">
        <v>42</v>
      </c>
      <c r="E1281" t="s">
        <v>26</v>
      </c>
      <c r="F1281" t="s">
        <v>43</v>
      </c>
      <c r="G1281" t="s">
        <v>44</v>
      </c>
      <c r="H1281" t="s">
        <v>141</v>
      </c>
      <c r="I1281" t="s">
        <v>142</v>
      </c>
      <c r="J1281" t="s">
        <v>143</v>
      </c>
      <c r="K1281" t="s">
        <v>144</v>
      </c>
      <c r="L1281" t="s">
        <v>166</v>
      </c>
      <c r="M1281" t="s">
        <v>177</v>
      </c>
      <c r="N1281">
        <v>2</v>
      </c>
      <c r="O1281" s="4">
        <v>850</v>
      </c>
      <c r="P1281" s="4">
        <v>1300</v>
      </c>
      <c r="Q1281" s="7">
        <v>0</v>
      </c>
      <c r="R1281" t="s">
        <v>197</v>
      </c>
      <c r="S1281">
        <v>10</v>
      </c>
      <c r="T1281">
        <v>2600</v>
      </c>
      <c r="U1281">
        <v>0</v>
      </c>
      <c r="V1281">
        <v>2600</v>
      </c>
      <c r="W1281">
        <v>1700</v>
      </c>
      <c r="X1281">
        <v>900</v>
      </c>
      <c r="Y1281" s="8">
        <v>0.34615384615384615</v>
      </c>
      <c r="Z1281" t="s">
        <v>2995</v>
      </c>
      <c r="AA1281" t="str">
        <f>IF(AND(SalesCleanTable[[#This Row],[Discount %]]&gt;0, SalesCleanTable[[#This Row],[Profit]]&lt;0), "Discount loss", "Safe")</f>
        <v>Safe</v>
      </c>
      <c r="AB1281" s="25">
        <f>(SalesCleanTable[[#This Row],[Unit Price]] - SalesCleanTable[[#This Row],[Unit Cost]]) / SalesCleanTable[[#This Row],[Unit Price]]</f>
        <v>0.34615384615384615</v>
      </c>
      <c r="AC1281" t="str">
        <f>IF(SalesCleanTable[[#This Row],[Discount %]] &gt; SalesCleanTable[[#This Row],[Max Allowed Discount]], "Discount loss", "Safe")</f>
        <v>Safe</v>
      </c>
      <c r="AD1281" s="4">
        <f>SalesCleanTable[[#This Row],[Unit Price]] - SalesCleanTable[[#This Row],[Unit Cost]]</f>
        <v>450</v>
      </c>
      <c r="AE1281" s="41">
        <f>(SalesCleanTable[[#This Row],[Unit Price]] - SalesCleanTable[[#This Row],[Unit Cost]]) / SalesCleanTable[[#This Row],[Unit Price]]</f>
        <v>0.34615384615384615</v>
      </c>
    </row>
    <row r="1282" spans="1:31">
      <c r="A1282" t="s">
        <v>1468</v>
      </c>
      <c r="B1282" s="6">
        <v>45824</v>
      </c>
      <c r="C1282" t="s">
        <v>116</v>
      </c>
      <c r="D1282" t="s">
        <v>117</v>
      </c>
      <c r="E1282" t="s">
        <v>109</v>
      </c>
      <c r="F1282" t="s">
        <v>118</v>
      </c>
      <c r="G1282" t="s">
        <v>119</v>
      </c>
      <c r="H1282" t="s">
        <v>153</v>
      </c>
      <c r="I1282" t="s">
        <v>154</v>
      </c>
      <c r="J1282" t="s">
        <v>155</v>
      </c>
      <c r="K1282" t="s">
        <v>131</v>
      </c>
      <c r="L1282" t="s">
        <v>183</v>
      </c>
      <c r="M1282" t="s">
        <v>167</v>
      </c>
      <c r="N1282">
        <v>4</v>
      </c>
      <c r="O1282" s="4">
        <v>2800</v>
      </c>
      <c r="P1282" s="4">
        <v>4200</v>
      </c>
      <c r="Q1282" s="7">
        <v>0.15</v>
      </c>
      <c r="R1282" t="s">
        <v>220</v>
      </c>
      <c r="S1282">
        <v>8</v>
      </c>
      <c r="T1282">
        <v>16800</v>
      </c>
      <c r="U1282">
        <v>2520</v>
      </c>
      <c r="V1282">
        <v>14280</v>
      </c>
      <c r="W1282">
        <v>11200</v>
      </c>
      <c r="X1282">
        <v>3080</v>
      </c>
      <c r="Y1282" s="8">
        <v>0.21568627450980393</v>
      </c>
      <c r="Z1282" t="s">
        <v>2995</v>
      </c>
      <c r="AA1282" t="str">
        <f>IF(AND(SalesCleanTable[[#This Row],[Discount %]]&gt;0, SalesCleanTable[[#This Row],[Profit]]&lt;0), "Discount loss", "Safe")</f>
        <v>Safe</v>
      </c>
      <c r="AB1282" s="25">
        <f>(SalesCleanTable[[#This Row],[Unit Price]] - SalesCleanTable[[#This Row],[Unit Cost]]) / SalesCleanTable[[#This Row],[Unit Price]]</f>
        <v>0.33333333333333331</v>
      </c>
      <c r="AC1282" t="str">
        <f>IF(SalesCleanTable[[#This Row],[Discount %]] &gt; SalesCleanTable[[#This Row],[Max Allowed Discount]], "Discount loss", "Safe")</f>
        <v>Safe</v>
      </c>
      <c r="AD1282" s="4">
        <f>SalesCleanTable[[#This Row],[Unit Price]] - SalesCleanTable[[#This Row],[Unit Cost]]</f>
        <v>1400</v>
      </c>
      <c r="AE1282" s="41">
        <f>(SalesCleanTable[[#This Row],[Unit Price]] - SalesCleanTable[[#This Row],[Unit Cost]]) / SalesCleanTable[[#This Row],[Unit Price]]</f>
        <v>0.33333333333333331</v>
      </c>
    </row>
    <row r="1283" spans="1:31">
      <c r="A1283" t="s">
        <v>1469</v>
      </c>
      <c r="B1283" s="6">
        <v>45813</v>
      </c>
      <c r="C1283" t="s">
        <v>49</v>
      </c>
      <c r="D1283" t="s">
        <v>50</v>
      </c>
      <c r="E1283" t="s">
        <v>38</v>
      </c>
      <c r="F1283" t="s">
        <v>51</v>
      </c>
      <c r="G1283" t="s">
        <v>52</v>
      </c>
      <c r="H1283" t="s">
        <v>135</v>
      </c>
      <c r="I1283" t="s">
        <v>136</v>
      </c>
      <c r="J1283" t="s">
        <v>137</v>
      </c>
      <c r="K1283" t="s">
        <v>138</v>
      </c>
      <c r="L1283" t="s">
        <v>166</v>
      </c>
      <c r="M1283" t="s">
        <v>167</v>
      </c>
      <c r="N1283">
        <v>4</v>
      </c>
      <c r="O1283" s="4">
        <v>550</v>
      </c>
      <c r="P1283" s="4">
        <v>850</v>
      </c>
      <c r="Q1283" s="7">
        <v>0.15</v>
      </c>
      <c r="R1283" t="s">
        <v>168</v>
      </c>
      <c r="S1283">
        <v>7</v>
      </c>
      <c r="T1283">
        <v>3400</v>
      </c>
      <c r="U1283">
        <v>510</v>
      </c>
      <c r="V1283">
        <v>2890</v>
      </c>
      <c r="W1283">
        <v>2200</v>
      </c>
      <c r="X1283">
        <v>690</v>
      </c>
      <c r="Y1283" s="8">
        <v>0.23875432525951557</v>
      </c>
      <c r="Z1283" t="s">
        <v>2996</v>
      </c>
      <c r="AA1283" t="str">
        <f>IF(AND(SalesCleanTable[[#This Row],[Discount %]]&gt;0, SalesCleanTable[[#This Row],[Profit]]&lt;0), "Discount loss", "Safe")</f>
        <v>Safe</v>
      </c>
      <c r="AB1283" s="25">
        <f>(SalesCleanTable[[#This Row],[Unit Price]] - SalesCleanTable[[#This Row],[Unit Cost]]) / SalesCleanTable[[#This Row],[Unit Price]]</f>
        <v>0.35294117647058826</v>
      </c>
      <c r="AC1283" t="str">
        <f>IF(SalesCleanTable[[#This Row],[Discount %]] &gt; SalesCleanTable[[#This Row],[Max Allowed Discount]], "Discount loss", "Safe")</f>
        <v>Safe</v>
      </c>
      <c r="AD1283" s="4">
        <f>SalesCleanTable[[#This Row],[Unit Price]] - SalesCleanTable[[#This Row],[Unit Cost]]</f>
        <v>300</v>
      </c>
      <c r="AE1283" s="41">
        <f>(SalesCleanTable[[#This Row],[Unit Price]] - SalesCleanTable[[#This Row],[Unit Cost]]) / SalesCleanTable[[#This Row],[Unit Price]]</f>
        <v>0.35294117647058826</v>
      </c>
    </row>
    <row r="1284" spans="1:31">
      <c r="A1284" t="s">
        <v>1470</v>
      </c>
      <c r="B1284" s="6">
        <v>45660</v>
      </c>
      <c r="C1284" t="s">
        <v>86</v>
      </c>
      <c r="D1284" t="s">
        <v>87</v>
      </c>
      <c r="E1284" t="s">
        <v>75</v>
      </c>
      <c r="F1284" t="s">
        <v>88</v>
      </c>
      <c r="G1284" t="s">
        <v>89</v>
      </c>
      <c r="H1284" t="s">
        <v>135</v>
      </c>
      <c r="I1284" t="s">
        <v>136</v>
      </c>
      <c r="J1284" t="s">
        <v>137</v>
      </c>
      <c r="K1284" t="s">
        <v>138</v>
      </c>
      <c r="L1284" t="s">
        <v>183</v>
      </c>
      <c r="M1284" t="s">
        <v>171</v>
      </c>
      <c r="N1284">
        <v>8</v>
      </c>
      <c r="O1284" s="4">
        <v>8500</v>
      </c>
      <c r="P1284" s="4">
        <v>12500</v>
      </c>
      <c r="Q1284" s="7">
        <v>0.1</v>
      </c>
      <c r="R1284" t="s">
        <v>208</v>
      </c>
      <c r="S1284">
        <v>1</v>
      </c>
      <c r="T1284">
        <v>100000</v>
      </c>
      <c r="U1284">
        <v>10000</v>
      </c>
      <c r="V1284">
        <v>90000</v>
      </c>
      <c r="W1284">
        <v>68000</v>
      </c>
      <c r="X1284">
        <v>22000</v>
      </c>
      <c r="Y1284" s="8">
        <v>0.24444444444444444</v>
      </c>
      <c r="Z1284" t="s">
        <v>2997</v>
      </c>
      <c r="AA1284" t="str">
        <f>IF(AND(SalesCleanTable[[#This Row],[Discount %]]&gt;0, SalesCleanTable[[#This Row],[Profit]]&lt;0), "Discount loss", "Safe")</f>
        <v>Safe</v>
      </c>
      <c r="AB1284" s="25">
        <f>(SalesCleanTable[[#This Row],[Unit Price]] - SalesCleanTable[[#This Row],[Unit Cost]]) / SalesCleanTable[[#This Row],[Unit Price]]</f>
        <v>0.32</v>
      </c>
      <c r="AC1284" t="str">
        <f>IF(SalesCleanTable[[#This Row],[Discount %]] &gt; SalesCleanTable[[#This Row],[Max Allowed Discount]], "Discount loss", "Safe")</f>
        <v>Safe</v>
      </c>
      <c r="AD1284" s="4">
        <f>SalesCleanTable[[#This Row],[Unit Price]] - SalesCleanTable[[#This Row],[Unit Cost]]</f>
        <v>4000</v>
      </c>
      <c r="AE1284" s="41">
        <f>(SalesCleanTable[[#This Row],[Unit Price]] - SalesCleanTable[[#This Row],[Unit Cost]]) / SalesCleanTable[[#This Row],[Unit Price]]</f>
        <v>0.32</v>
      </c>
    </row>
    <row r="1285" spans="1:31">
      <c r="A1285" t="s">
        <v>1471</v>
      </c>
      <c r="B1285" s="6">
        <v>45761</v>
      </c>
      <c r="C1285" t="s">
        <v>41</v>
      </c>
      <c r="D1285" t="s">
        <v>42</v>
      </c>
      <c r="E1285" t="s">
        <v>26</v>
      </c>
      <c r="F1285" t="s">
        <v>43</v>
      </c>
      <c r="G1285" t="s">
        <v>44</v>
      </c>
      <c r="H1285" t="s">
        <v>145</v>
      </c>
      <c r="I1285" t="s">
        <v>146</v>
      </c>
      <c r="J1285" t="s">
        <v>147</v>
      </c>
      <c r="K1285" t="s">
        <v>148</v>
      </c>
      <c r="L1285" t="s">
        <v>166</v>
      </c>
      <c r="M1285" t="s">
        <v>171</v>
      </c>
      <c r="N1285">
        <v>2</v>
      </c>
      <c r="O1285" s="4">
        <v>850</v>
      </c>
      <c r="P1285" s="4">
        <v>1300</v>
      </c>
      <c r="Q1285" s="7">
        <v>0.05</v>
      </c>
      <c r="R1285" t="s">
        <v>194</v>
      </c>
      <c r="S1285">
        <v>9</v>
      </c>
      <c r="T1285">
        <v>2600</v>
      </c>
      <c r="U1285">
        <v>130</v>
      </c>
      <c r="V1285">
        <v>2470</v>
      </c>
      <c r="W1285">
        <v>1700</v>
      </c>
      <c r="X1285">
        <v>770</v>
      </c>
      <c r="Y1285" s="8">
        <v>0.31174089068825911</v>
      </c>
      <c r="Z1285" t="s">
        <v>2995</v>
      </c>
      <c r="AA1285" t="str">
        <f>IF(AND(SalesCleanTable[[#This Row],[Discount %]]&gt;0, SalesCleanTable[[#This Row],[Profit]]&lt;0), "Discount loss", "Safe")</f>
        <v>Safe</v>
      </c>
      <c r="AB1285" s="25">
        <f>(SalesCleanTable[[#This Row],[Unit Price]] - SalesCleanTable[[#This Row],[Unit Cost]]) / SalesCleanTable[[#This Row],[Unit Price]]</f>
        <v>0.34615384615384615</v>
      </c>
      <c r="AC1285" t="str">
        <f>IF(SalesCleanTable[[#This Row],[Discount %]] &gt; SalesCleanTable[[#This Row],[Max Allowed Discount]], "Discount loss", "Safe")</f>
        <v>Safe</v>
      </c>
      <c r="AD1285" s="4">
        <f>SalesCleanTable[[#This Row],[Unit Price]] - SalesCleanTable[[#This Row],[Unit Cost]]</f>
        <v>450</v>
      </c>
      <c r="AE1285" s="41">
        <f>(SalesCleanTable[[#This Row],[Unit Price]] - SalesCleanTable[[#This Row],[Unit Cost]]) / SalesCleanTable[[#This Row],[Unit Price]]</f>
        <v>0.34615384615384615</v>
      </c>
    </row>
    <row r="1286" spans="1:31">
      <c r="A1286" t="s">
        <v>1472</v>
      </c>
      <c r="B1286" s="6">
        <v>45760</v>
      </c>
      <c r="C1286" t="s">
        <v>95</v>
      </c>
      <c r="D1286" t="s">
        <v>96</v>
      </c>
      <c r="E1286" t="s">
        <v>92</v>
      </c>
      <c r="F1286" t="s">
        <v>97</v>
      </c>
      <c r="G1286" t="s">
        <v>98</v>
      </c>
      <c r="H1286" t="s">
        <v>141</v>
      </c>
      <c r="I1286" t="s">
        <v>142</v>
      </c>
      <c r="J1286" t="s">
        <v>143</v>
      </c>
      <c r="K1286" t="s">
        <v>144</v>
      </c>
      <c r="L1286" t="s">
        <v>166</v>
      </c>
      <c r="M1286" t="s">
        <v>177</v>
      </c>
      <c r="N1286">
        <v>2</v>
      </c>
      <c r="O1286" s="4">
        <v>18000</v>
      </c>
      <c r="P1286" s="4">
        <v>24500</v>
      </c>
      <c r="Q1286" s="7">
        <v>0</v>
      </c>
      <c r="R1286" t="s">
        <v>215</v>
      </c>
      <c r="S1286">
        <v>8</v>
      </c>
      <c r="T1286">
        <v>49000</v>
      </c>
      <c r="U1286">
        <v>0</v>
      </c>
      <c r="V1286">
        <v>49000</v>
      </c>
      <c r="W1286">
        <v>36000</v>
      </c>
      <c r="X1286">
        <v>13000</v>
      </c>
      <c r="Y1286" s="8">
        <v>0.26530612244897961</v>
      </c>
      <c r="Z1286" t="s">
        <v>2995</v>
      </c>
      <c r="AA1286" t="str">
        <f>IF(AND(SalesCleanTable[[#This Row],[Discount %]]&gt;0, SalesCleanTable[[#This Row],[Profit]]&lt;0), "Discount loss", "Safe")</f>
        <v>Safe</v>
      </c>
      <c r="AB1286" s="25">
        <f>(SalesCleanTable[[#This Row],[Unit Price]] - SalesCleanTable[[#This Row],[Unit Cost]]) / SalesCleanTable[[#This Row],[Unit Price]]</f>
        <v>0.26530612244897961</v>
      </c>
      <c r="AC1286" t="str">
        <f>IF(SalesCleanTable[[#This Row],[Discount %]] &gt; SalesCleanTable[[#This Row],[Max Allowed Discount]], "Discount loss", "Safe")</f>
        <v>Safe</v>
      </c>
      <c r="AD1286" s="4">
        <f>SalesCleanTable[[#This Row],[Unit Price]] - SalesCleanTable[[#This Row],[Unit Cost]]</f>
        <v>6500</v>
      </c>
      <c r="AE1286" s="41">
        <f>(SalesCleanTable[[#This Row],[Unit Price]] - SalesCleanTable[[#This Row],[Unit Cost]]) / SalesCleanTable[[#This Row],[Unit Price]]</f>
        <v>0.26530612244897961</v>
      </c>
    </row>
    <row r="1287" spans="1:31">
      <c r="A1287" t="s">
        <v>1473</v>
      </c>
      <c r="B1287" s="6">
        <v>45961</v>
      </c>
      <c r="C1287" t="s">
        <v>53</v>
      </c>
      <c r="D1287" t="s">
        <v>54</v>
      </c>
      <c r="E1287" t="s">
        <v>38</v>
      </c>
      <c r="F1287" t="s">
        <v>55</v>
      </c>
      <c r="G1287" t="s">
        <v>56</v>
      </c>
      <c r="H1287" t="s">
        <v>153</v>
      </c>
      <c r="I1287" t="s">
        <v>154</v>
      </c>
      <c r="J1287" t="s">
        <v>155</v>
      </c>
      <c r="K1287" t="s">
        <v>131</v>
      </c>
      <c r="L1287" t="s">
        <v>183</v>
      </c>
      <c r="M1287" t="s">
        <v>171</v>
      </c>
      <c r="N1287">
        <v>1</v>
      </c>
      <c r="O1287" s="4">
        <v>330</v>
      </c>
      <c r="P1287" s="4">
        <v>550</v>
      </c>
      <c r="Q1287" s="7">
        <v>0.1</v>
      </c>
      <c r="R1287" t="s">
        <v>175</v>
      </c>
      <c r="S1287">
        <v>4</v>
      </c>
      <c r="T1287">
        <v>550</v>
      </c>
      <c r="U1287">
        <v>55</v>
      </c>
      <c r="V1287">
        <v>495</v>
      </c>
      <c r="W1287">
        <v>330</v>
      </c>
      <c r="X1287">
        <v>165</v>
      </c>
      <c r="Y1287" s="8">
        <v>0.33333333333333331</v>
      </c>
      <c r="Z1287" t="s">
        <v>2996</v>
      </c>
      <c r="AA1287" t="str">
        <f>IF(AND(SalesCleanTable[[#This Row],[Discount %]]&gt;0, SalesCleanTable[[#This Row],[Profit]]&lt;0), "Discount loss", "Safe")</f>
        <v>Safe</v>
      </c>
      <c r="AB1287" s="25">
        <f>(SalesCleanTable[[#This Row],[Unit Price]] - SalesCleanTable[[#This Row],[Unit Cost]]) / SalesCleanTable[[#This Row],[Unit Price]]</f>
        <v>0.4</v>
      </c>
      <c r="AC1287" t="str">
        <f>IF(SalesCleanTable[[#This Row],[Discount %]] &gt; SalesCleanTable[[#This Row],[Max Allowed Discount]], "Discount loss", "Safe")</f>
        <v>Safe</v>
      </c>
      <c r="AD1287" s="4">
        <f>SalesCleanTable[[#This Row],[Unit Price]] - SalesCleanTable[[#This Row],[Unit Cost]]</f>
        <v>220</v>
      </c>
      <c r="AE1287" s="41">
        <f>(SalesCleanTable[[#This Row],[Unit Price]] - SalesCleanTable[[#This Row],[Unit Cost]]) / SalesCleanTable[[#This Row],[Unit Price]]</f>
        <v>0.4</v>
      </c>
    </row>
    <row r="1288" spans="1:31">
      <c r="A1288" t="s">
        <v>1474</v>
      </c>
      <c r="B1288" s="6">
        <v>45968</v>
      </c>
      <c r="C1288" t="s">
        <v>66</v>
      </c>
      <c r="D1288" t="s">
        <v>67</v>
      </c>
      <c r="E1288" t="s">
        <v>59</v>
      </c>
      <c r="F1288" t="s">
        <v>60</v>
      </c>
      <c r="G1288" t="s">
        <v>68</v>
      </c>
      <c r="H1288" t="s">
        <v>128</v>
      </c>
      <c r="I1288" t="s">
        <v>129</v>
      </c>
      <c r="J1288" t="s">
        <v>130</v>
      </c>
      <c r="K1288" t="s">
        <v>131</v>
      </c>
      <c r="L1288" t="s">
        <v>166</v>
      </c>
      <c r="M1288" t="s">
        <v>186</v>
      </c>
      <c r="N1288">
        <v>1</v>
      </c>
      <c r="O1288" s="4">
        <v>2800</v>
      </c>
      <c r="P1288" s="4">
        <v>3900</v>
      </c>
      <c r="Q1288" s="7">
        <v>0.05</v>
      </c>
      <c r="R1288" t="s">
        <v>204</v>
      </c>
      <c r="S1288">
        <v>2</v>
      </c>
      <c r="T1288">
        <v>3900</v>
      </c>
      <c r="U1288">
        <v>195</v>
      </c>
      <c r="V1288">
        <v>3705</v>
      </c>
      <c r="W1288">
        <v>2800</v>
      </c>
      <c r="X1288">
        <v>905</v>
      </c>
      <c r="Y1288" s="8">
        <v>0.24426450742240216</v>
      </c>
      <c r="Z1288" t="s">
        <v>2996</v>
      </c>
      <c r="AA1288" t="str">
        <f>IF(AND(SalesCleanTable[[#This Row],[Discount %]]&gt;0, SalesCleanTable[[#This Row],[Profit]]&lt;0), "Discount loss", "Safe")</f>
        <v>Safe</v>
      </c>
      <c r="AB1288" s="25">
        <f>(SalesCleanTable[[#This Row],[Unit Price]] - SalesCleanTable[[#This Row],[Unit Cost]]) / SalesCleanTable[[#This Row],[Unit Price]]</f>
        <v>0.28205128205128205</v>
      </c>
      <c r="AC1288" t="str">
        <f>IF(SalesCleanTable[[#This Row],[Discount %]] &gt; SalesCleanTable[[#This Row],[Max Allowed Discount]], "Discount loss", "Safe")</f>
        <v>Safe</v>
      </c>
      <c r="AD1288" s="4">
        <f>SalesCleanTable[[#This Row],[Unit Price]] - SalesCleanTable[[#This Row],[Unit Cost]]</f>
        <v>1100</v>
      </c>
      <c r="AE1288" s="41">
        <f>(SalesCleanTable[[#This Row],[Unit Price]] - SalesCleanTable[[#This Row],[Unit Cost]]) / SalesCleanTable[[#This Row],[Unit Price]]</f>
        <v>0.28205128205128205</v>
      </c>
    </row>
    <row r="1289" spans="1:31">
      <c r="A1289" t="s">
        <v>1475</v>
      </c>
      <c r="B1289" s="6">
        <v>45695</v>
      </c>
      <c r="C1289" t="s">
        <v>45</v>
      </c>
      <c r="D1289" t="s">
        <v>46</v>
      </c>
      <c r="E1289" t="s">
        <v>38</v>
      </c>
      <c r="F1289" t="s">
        <v>47</v>
      </c>
      <c r="G1289" t="s">
        <v>48</v>
      </c>
      <c r="H1289" t="s">
        <v>145</v>
      </c>
      <c r="I1289" t="s">
        <v>146</v>
      </c>
      <c r="J1289" t="s">
        <v>147</v>
      </c>
      <c r="K1289" t="s">
        <v>148</v>
      </c>
      <c r="L1289" t="s">
        <v>166</v>
      </c>
      <c r="M1289" t="s">
        <v>167</v>
      </c>
      <c r="N1289">
        <v>2</v>
      </c>
      <c r="O1289" s="4">
        <v>230</v>
      </c>
      <c r="P1289" s="4">
        <v>400</v>
      </c>
      <c r="Q1289" s="7">
        <v>0</v>
      </c>
      <c r="R1289" t="s">
        <v>178</v>
      </c>
      <c r="S1289">
        <v>9</v>
      </c>
      <c r="T1289">
        <v>800</v>
      </c>
      <c r="U1289">
        <v>0</v>
      </c>
      <c r="V1289">
        <v>800</v>
      </c>
      <c r="W1289">
        <v>460</v>
      </c>
      <c r="X1289">
        <v>340</v>
      </c>
      <c r="Y1289" s="8">
        <v>0.42499999999999999</v>
      </c>
      <c r="Z1289" t="s">
        <v>2995</v>
      </c>
      <c r="AA1289" t="str">
        <f>IF(AND(SalesCleanTable[[#This Row],[Discount %]]&gt;0, SalesCleanTable[[#This Row],[Profit]]&lt;0), "Discount loss", "Safe")</f>
        <v>Safe</v>
      </c>
      <c r="AB1289" s="25">
        <f>(SalesCleanTable[[#This Row],[Unit Price]] - SalesCleanTable[[#This Row],[Unit Cost]]) / SalesCleanTable[[#This Row],[Unit Price]]</f>
        <v>0.42499999999999999</v>
      </c>
      <c r="AC1289" t="str">
        <f>IF(SalesCleanTable[[#This Row],[Discount %]] &gt; SalesCleanTable[[#This Row],[Max Allowed Discount]], "Discount loss", "Safe")</f>
        <v>Safe</v>
      </c>
      <c r="AD1289" s="4">
        <f>SalesCleanTable[[#This Row],[Unit Price]] - SalesCleanTable[[#This Row],[Unit Cost]]</f>
        <v>170</v>
      </c>
      <c r="AE1289" s="41">
        <f>(SalesCleanTable[[#This Row],[Unit Price]] - SalesCleanTable[[#This Row],[Unit Cost]]) / SalesCleanTable[[#This Row],[Unit Price]]</f>
        <v>0.42499999999999999</v>
      </c>
    </row>
    <row r="1290" spans="1:31">
      <c r="A1290" t="s">
        <v>1476</v>
      </c>
      <c r="B1290" s="6">
        <v>45783</v>
      </c>
      <c r="C1290" t="s">
        <v>45</v>
      </c>
      <c r="D1290" t="s">
        <v>46</v>
      </c>
      <c r="E1290" t="s">
        <v>38</v>
      </c>
      <c r="F1290" t="s">
        <v>47</v>
      </c>
      <c r="G1290" t="s">
        <v>48</v>
      </c>
      <c r="H1290" t="s">
        <v>139</v>
      </c>
      <c r="I1290" t="s">
        <v>140</v>
      </c>
      <c r="J1290" t="s">
        <v>137</v>
      </c>
      <c r="K1290" t="s">
        <v>138</v>
      </c>
      <c r="L1290" t="s">
        <v>183</v>
      </c>
      <c r="M1290" t="s">
        <v>171</v>
      </c>
      <c r="N1290">
        <v>4</v>
      </c>
      <c r="O1290" s="4">
        <v>230</v>
      </c>
      <c r="P1290" s="4">
        <v>400</v>
      </c>
      <c r="Q1290" s="7">
        <v>0.1</v>
      </c>
      <c r="R1290" t="s">
        <v>178</v>
      </c>
      <c r="S1290">
        <v>13</v>
      </c>
      <c r="T1290">
        <v>1600</v>
      </c>
      <c r="U1290">
        <v>160</v>
      </c>
      <c r="V1290">
        <v>1440</v>
      </c>
      <c r="W1290">
        <v>920</v>
      </c>
      <c r="X1290">
        <v>520</v>
      </c>
      <c r="Y1290" s="8">
        <v>0.3611111111111111</v>
      </c>
      <c r="Z1290" t="s">
        <v>2995</v>
      </c>
      <c r="AA1290" t="str">
        <f>IF(AND(SalesCleanTable[[#This Row],[Discount %]]&gt;0, SalesCleanTable[[#This Row],[Profit]]&lt;0), "Discount loss", "Safe")</f>
        <v>Safe</v>
      </c>
      <c r="AB1290" s="25">
        <f>(SalesCleanTable[[#This Row],[Unit Price]] - SalesCleanTable[[#This Row],[Unit Cost]]) / SalesCleanTable[[#This Row],[Unit Price]]</f>
        <v>0.42499999999999999</v>
      </c>
      <c r="AC1290" t="str">
        <f>IF(SalesCleanTable[[#This Row],[Discount %]] &gt; SalesCleanTable[[#This Row],[Max Allowed Discount]], "Discount loss", "Safe")</f>
        <v>Safe</v>
      </c>
      <c r="AD1290" s="4">
        <f>SalesCleanTable[[#This Row],[Unit Price]] - SalesCleanTable[[#This Row],[Unit Cost]]</f>
        <v>170</v>
      </c>
      <c r="AE1290" s="41">
        <f>(SalesCleanTable[[#This Row],[Unit Price]] - SalesCleanTable[[#This Row],[Unit Cost]]) / SalesCleanTable[[#This Row],[Unit Price]]</f>
        <v>0.42499999999999999</v>
      </c>
    </row>
    <row r="1291" spans="1:31">
      <c r="A1291" t="s">
        <v>1477</v>
      </c>
      <c r="B1291" s="6">
        <v>46016</v>
      </c>
      <c r="C1291" t="s">
        <v>82</v>
      </c>
      <c r="D1291" t="s">
        <v>83</v>
      </c>
      <c r="E1291" t="s">
        <v>75</v>
      </c>
      <c r="F1291" t="s">
        <v>84</v>
      </c>
      <c r="G1291" t="s">
        <v>85</v>
      </c>
      <c r="H1291" t="s">
        <v>135</v>
      </c>
      <c r="I1291" t="s">
        <v>136</v>
      </c>
      <c r="J1291" t="s">
        <v>137</v>
      </c>
      <c r="K1291" t="s">
        <v>138</v>
      </c>
      <c r="L1291" t="s">
        <v>166</v>
      </c>
      <c r="M1291" t="s">
        <v>171</v>
      </c>
      <c r="N1291">
        <v>5</v>
      </c>
      <c r="O1291" s="4">
        <v>600</v>
      </c>
      <c r="P1291" s="4">
        <v>950</v>
      </c>
      <c r="Q1291" s="7">
        <v>0.15</v>
      </c>
      <c r="R1291" t="s">
        <v>187</v>
      </c>
      <c r="S1291">
        <v>6</v>
      </c>
      <c r="T1291">
        <v>4750</v>
      </c>
      <c r="U1291">
        <v>712.5</v>
      </c>
      <c r="V1291">
        <v>4037.5</v>
      </c>
      <c r="W1291">
        <v>3000</v>
      </c>
      <c r="X1291">
        <v>1037.5</v>
      </c>
      <c r="Y1291" s="8">
        <v>0.25696594427244585</v>
      </c>
      <c r="Z1291" t="s">
        <v>2996</v>
      </c>
      <c r="AA1291" t="str">
        <f>IF(AND(SalesCleanTable[[#This Row],[Discount %]]&gt;0, SalesCleanTable[[#This Row],[Profit]]&lt;0), "Discount loss", "Safe")</f>
        <v>Safe</v>
      </c>
      <c r="AB1291" s="25">
        <f>(SalesCleanTable[[#This Row],[Unit Price]] - SalesCleanTable[[#This Row],[Unit Cost]]) / SalesCleanTable[[#This Row],[Unit Price]]</f>
        <v>0.36842105263157893</v>
      </c>
      <c r="AC1291" t="str">
        <f>IF(SalesCleanTable[[#This Row],[Discount %]] &gt; SalesCleanTable[[#This Row],[Max Allowed Discount]], "Discount loss", "Safe")</f>
        <v>Safe</v>
      </c>
      <c r="AD1291" s="4">
        <f>SalesCleanTable[[#This Row],[Unit Price]] - SalesCleanTable[[#This Row],[Unit Cost]]</f>
        <v>350</v>
      </c>
      <c r="AE1291" s="41">
        <f>(SalesCleanTable[[#This Row],[Unit Price]] - SalesCleanTable[[#This Row],[Unit Cost]]) / SalesCleanTable[[#This Row],[Unit Price]]</f>
        <v>0.36842105263157893</v>
      </c>
    </row>
    <row r="1292" spans="1:31">
      <c r="A1292" t="s">
        <v>1478</v>
      </c>
      <c r="B1292" s="6">
        <v>45893</v>
      </c>
      <c r="C1292" t="s">
        <v>49</v>
      </c>
      <c r="D1292" t="s">
        <v>50</v>
      </c>
      <c r="E1292" t="s">
        <v>38</v>
      </c>
      <c r="F1292" t="s">
        <v>51</v>
      </c>
      <c r="G1292" t="s">
        <v>52</v>
      </c>
      <c r="H1292" t="s">
        <v>133</v>
      </c>
      <c r="I1292" t="s">
        <v>134</v>
      </c>
      <c r="J1292" t="s">
        <v>130</v>
      </c>
      <c r="K1292" t="s">
        <v>131</v>
      </c>
      <c r="L1292" t="s">
        <v>183</v>
      </c>
      <c r="M1292" t="s">
        <v>171</v>
      </c>
      <c r="N1292">
        <v>10</v>
      </c>
      <c r="O1292" s="4">
        <v>550</v>
      </c>
      <c r="P1292" s="4">
        <v>850</v>
      </c>
      <c r="Q1292" s="7">
        <v>0</v>
      </c>
      <c r="R1292" t="s">
        <v>178</v>
      </c>
      <c r="S1292">
        <v>2</v>
      </c>
      <c r="T1292">
        <v>8500</v>
      </c>
      <c r="U1292">
        <v>0</v>
      </c>
      <c r="V1292">
        <v>8500</v>
      </c>
      <c r="W1292">
        <v>5500</v>
      </c>
      <c r="X1292">
        <v>3000</v>
      </c>
      <c r="Y1292" s="8">
        <v>0.35294117647058826</v>
      </c>
      <c r="Z1292" t="s">
        <v>2996</v>
      </c>
      <c r="AA1292" t="str">
        <f>IF(AND(SalesCleanTable[[#This Row],[Discount %]]&gt;0, SalesCleanTable[[#This Row],[Profit]]&lt;0), "Discount loss", "Safe")</f>
        <v>Safe</v>
      </c>
      <c r="AB1292" s="25">
        <f>(SalesCleanTable[[#This Row],[Unit Price]] - SalesCleanTable[[#This Row],[Unit Cost]]) / SalesCleanTable[[#This Row],[Unit Price]]</f>
        <v>0.35294117647058826</v>
      </c>
      <c r="AC1292" t="str">
        <f>IF(SalesCleanTable[[#This Row],[Discount %]] &gt; SalesCleanTable[[#This Row],[Max Allowed Discount]], "Discount loss", "Safe")</f>
        <v>Safe</v>
      </c>
      <c r="AD1292" s="4">
        <f>SalesCleanTable[[#This Row],[Unit Price]] - SalesCleanTable[[#This Row],[Unit Cost]]</f>
        <v>300</v>
      </c>
      <c r="AE1292" s="41">
        <f>(SalesCleanTable[[#This Row],[Unit Price]] - SalesCleanTable[[#This Row],[Unit Cost]]) / SalesCleanTable[[#This Row],[Unit Price]]</f>
        <v>0.35294117647058826</v>
      </c>
    </row>
    <row r="1293" spans="1:31">
      <c r="A1293" t="s">
        <v>1479</v>
      </c>
      <c r="B1293" s="6">
        <v>45876</v>
      </c>
      <c r="C1293" t="s">
        <v>49</v>
      </c>
      <c r="D1293" t="s">
        <v>50</v>
      </c>
      <c r="E1293" t="s">
        <v>38</v>
      </c>
      <c r="F1293" t="s">
        <v>51</v>
      </c>
      <c r="G1293" t="s">
        <v>52</v>
      </c>
      <c r="H1293" t="s">
        <v>139</v>
      </c>
      <c r="I1293" t="s">
        <v>140</v>
      </c>
      <c r="J1293" t="s">
        <v>137</v>
      </c>
      <c r="K1293" t="s">
        <v>138</v>
      </c>
      <c r="L1293" t="s">
        <v>183</v>
      </c>
      <c r="M1293" t="s">
        <v>186</v>
      </c>
      <c r="N1293">
        <v>1</v>
      </c>
      <c r="O1293" s="4">
        <v>550</v>
      </c>
      <c r="P1293" s="4">
        <v>850</v>
      </c>
      <c r="Q1293" s="7">
        <v>0.05</v>
      </c>
      <c r="R1293" t="s">
        <v>178</v>
      </c>
      <c r="S1293">
        <v>10</v>
      </c>
      <c r="T1293">
        <v>850</v>
      </c>
      <c r="U1293">
        <v>42.5</v>
      </c>
      <c r="V1293">
        <v>807.5</v>
      </c>
      <c r="W1293">
        <v>550</v>
      </c>
      <c r="X1293">
        <v>257.5</v>
      </c>
      <c r="Y1293" s="8">
        <v>0.31888544891640869</v>
      </c>
      <c r="Z1293" t="s">
        <v>2996</v>
      </c>
      <c r="AA1293" t="str">
        <f>IF(AND(SalesCleanTable[[#This Row],[Discount %]]&gt;0, SalesCleanTable[[#This Row],[Profit]]&lt;0), "Discount loss", "Safe")</f>
        <v>Safe</v>
      </c>
      <c r="AB1293" s="25">
        <f>(SalesCleanTable[[#This Row],[Unit Price]] - SalesCleanTable[[#This Row],[Unit Cost]]) / SalesCleanTable[[#This Row],[Unit Price]]</f>
        <v>0.35294117647058826</v>
      </c>
      <c r="AC1293" t="str">
        <f>IF(SalesCleanTable[[#This Row],[Discount %]] &gt; SalesCleanTable[[#This Row],[Max Allowed Discount]], "Discount loss", "Safe")</f>
        <v>Safe</v>
      </c>
      <c r="AD1293" s="4">
        <f>SalesCleanTable[[#This Row],[Unit Price]] - SalesCleanTable[[#This Row],[Unit Cost]]</f>
        <v>300</v>
      </c>
      <c r="AE1293" s="41">
        <f>(SalesCleanTable[[#This Row],[Unit Price]] - SalesCleanTable[[#This Row],[Unit Cost]]) / SalesCleanTable[[#This Row],[Unit Price]]</f>
        <v>0.35294117647058826</v>
      </c>
    </row>
    <row r="1294" spans="1:31">
      <c r="A1294" t="s">
        <v>1480</v>
      </c>
      <c r="B1294" s="6">
        <v>45674</v>
      </c>
      <c r="C1294" t="s">
        <v>116</v>
      </c>
      <c r="D1294" t="s">
        <v>117</v>
      </c>
      <c r="E1294" t="s">
        <v>109</v>
      </c>
      <c r="F1294" t="s">
        <v>118</v>
      </c>
      <c r="G1294" t="s">
        <v>119</v>
      </c>
      <c r="H1294" t="s">
        <v>149</v>
      </c>
      <c r="I1294" t="s">
        <v>150</v>
      </c>
      <c r="J1294" t="s">
        <v>151</v>
      </c>
      <c r="K1294" t="s">
        <v>152</v>
      </c>
      <c r="L1294" t="s">
        <v>166</v>
      </c>
      <c r="M1294" t="s">
        <v>186</v>
      </c>
      <c r="N1294">
        <v>2</v>
      </c>
      <c r="O1294" s="4">
        <v>2800</v>
      </c>
      <c r="P1294" s="4">
        <v>4200</v>
      </c>
      <c r="Q1294" s="7">
        <v>0.05</v>
      </c>
      <c r="R1294" t="s">
        <v>235</v>
      </c>
      <c r="S1294">
        <v>12</v>
      </c>
      <c r="T1294">
        <v>8400</v>
      </c>
      <c r="U1294">
        <v>420</v>
      </c>
      <c r="V1294">
        <v>7980</v>
      </c>
      <c r="W1294">
        <v>5600</v>
      </c>
      <c r="X1294">
        <v>2380</v>
      </c>
      <c r="Y1294" s="8">
        <v>0.2982456140350877</v>
      </c>
      <c r="Z1294" t="s">
        <v>2995</v>
      </c>
      <c r="AA1294" t="str">
        <f>IF(AND(SalesCleanTable[[#This Row],[Discount %]]&gt;0, SalesCleanTable[[#This Row],[Profit]]&lt;0), "Discount loss", "Safe")</f>
        <v>Safe</v>
      </c>
      <c r="AB1294" s="25">
        <f>(SalesCleanTable[[#This Row],[Unit Price]] - SalesCleanTable[[#This Row],[Unit Cost]]) / SalesCleanTable[[#This Row],[Unit Price]]</f>
        <v>0.33333333333333331</v>
      </c>
      <c r="AC1294" t="str">
        <f>IF(SalesCleanTable[[#This Row],[Discount %]] &gt; SalesCleanTable[[#This Row],[Max Allowed Discount]], "Discount loss", "Safe")</f>
        <v>Safe</v>
      </c>
      <c r="AD1294" s="4">
        <f>SalesCleanTable[[#This Row],[Unit Price]] - SalesCleanTable[[#This Row],[Unit Cost]]</f>
        <v>1400</v>
      </c>
      <c r="AE1294" s="41">
        <f>(SalesCleanTable[[#This Row],[Unit Price]] - SalesCleanTable[[#This Row],[Unit Cost]]) / SalesCleanTable[[#This Row],[Unit Price]]</f>
        <v>0.33333333333333331</v>
      </c>
    </row>
    <row r="1295" spans="1:31">
      <c r="A1295" t="s">
        <v>1481</v>
      </c>
      <c r="B1295" s="6">
        <v>45705</v>
      </c>
      <c r="C1295" t="s">
        <v>116</v>
      </c>
      <c r="D1295" t="s">
        <v>117</v>
      </c>
      <c r="E1295" t="s">
        <v>109</v>
      </c>
      <c r="F1295" t="s">
        <v>118</v>
      </c>
      <c r="G1295" t="s">
        <v>119</v>
      </c>
      <c r="H1295" t="s">
        <v>145</v>
      </c>
      <c r="I1295" t="s">
        <v>146</v>
      </c>
      <c r="J1295" t="s">
        <v>147</v>
      </c>
      <c r="K1295" t="s">
        <v>148</v>
      </c>
      <c r="L1295" t="s">
        <v>183</v>
      </c>
      <c r="M1295" t="s">
        <v>177</v>
      </c>
      <c r="N1295">
        <v>3</v>
      </c>
      <c r="O1295" s="4">
        <v>2800</v>
      </c>
      <c r="P1295" s="4">
        <v>4200</v>
      </c>
      <c r="Q1295" s="7">
        <v>0.15</v>
      </c>
      <c r="R1295" t="s">
        <v>220</v>
      </c>
      <c r="S1295">
        <v>10</v>
      </c>
      <c r="T1295">
        <v>12600</v>
      </c>
      <c r="U1295">
        <v>1890</v>
      </c>
      <c r="V1295">
        <v>10710</v>
      </c>
      <c r="W1295">
        <v>8400</v>
      </c>
      <c r="X1295">
        <v>2310</v>
      </c>
      <c r="Y1295" s="8">
        <v>0.21568627450980393</v>
      </c>
      <c r="Z1295" t="s">
        <v>2995</v>
      </c>
      <c r="AA1295" t="str">
        <f>IF(AND(SalesCleanTable[[#This Row],[Discount %]]&gt;0, SalesCleanTable[[#This Row],[Profit]]&lt;0), "Discount loss", "Safe")</f>
        <v>Safe</v>
      </c>
      <c r="AB1295" s="25">
        <f>(SalesCleanTable[[#This Row],[Unit Price]] - SalesCleanTable[[#This Row],[Unit Cost]]) / SalesCleanTable[[#This Row],[Unit Price]]</f>
        <v>0.33333333333333331</v>
      </c>
      <c r="AC1295" t="str">
        <f>IF(SalesCleanTable[[#This Row],[Discount %]] &gt; SalesCleanTable[[#This Row],[Max Allowed Discount]], "Discount loss", "Safe")</f>
        <v>Safe</v>
      </c>
      <c r="AD1295" s="4">
        <f>SalesCleanTable[[#This Row],[Unit Price]] - SalesCleanTable[[#This Row],[Unit Cost]]</f>
        <v>1400</v>
      </c>
      <c r="AE1295" s="41">
        <f>(SalesCleanTable[[#This Row],[Unit Price]] - SalesCleanTable[[#This Row],[Unit Cost]]) / SalesCleanTable[[#This Row],[Unit Price]]</f>
        <v>0.33333333333333331</v>
      </c>
    </row>
    <row r="1296" spans="1:31">
      <c r="A1296" t="s">
        <v>1482</v>
      </c>
      <c r="B1296" s="6">
        <v>45755</v>
      </c>
      <c r="C1296" t="s">
        <v>82</v>
      </c>
      <c r="D1296" t="s">
        <v>83</v>
      </c>
      <c r="E1296" t="s">
        <v>75</v>
      </c>
      <c r="F1296" t="s">
        <v>84</v>
      </c>
      <c r="G1296" t="s">
        <v>85</v>
      </c>
      <c r="H1296" t="s">
        <v>145</v>
      </c>
      <c r="I1296" t="s">
        <v>146</v>
      </c>
      <c r="J1296" t="s">
        <v>147</v>
      </c>
      <c r="K1296" t="s">
        <v>148</v>
      </c>
      <c r="L1296" t="s">
        <v>166</v>
      </c>
      <c r="M1296" t="s">
        <v>171</v>
      </c>
      <c r="N1296">
        <v>2</v>
      </c>
      <c r="O1296" s="4">
        <v>600</v>
      </c>
      <c r="P1296" s="4">
        <v>950</v>
      </c>
      <c r="Q1296" s="7">
        <v>0</v>
      </c>
      <c r="R1296" t="s">
        <v>204</v>
      </c>
      <c r="S1296">
        <v>3</v>
      </c>
      <c r="T1296">
        <v>1900</v>
      </c>
      <c r="U1296">
        <v>0</v>
      </c>
      <c r="V1296">
        <v>1900</v>
      </c>
      <c r="W1296">
        <v>1200</v>
      </c>
      <c r="X1296">
        <v>700</v>
      </c>
      <c r="Y1296" s="8">
        <v>0.36842105263157893</v>
      </c>
      <c r="Z1296" t="s">
        <v>2996</v>
      </c>
      <c r="AA1296" t="str">
        <f>IF(AND(SalesCleanTable[[#This Row],[Discount %]]&gt;0, SalesCleanTable[[#This Row],[Profit]]&lt;0), "Discount loss", "Safe")</f>
        <v>Safe</v>
      </c>
      <c r="AB1296" s="25">
        <f>(SalesCleanTable[[#This Row],[Unit Price]] - SalesCleanTable[[#This Row],[Unit Cost]]) / SalesCleanTable[[#This Row],[Unit Price]]</f>
        <v>0.36842105263157893</v>
      </c>
      <c r="AC1296" t="str">
        <f>IF(SalesCleanTable[[#This Row],[Discount %]] &gt; SalesCleanTable[[#This Row],[Max Allowed Discount]], "Discount loss", "Safe")</f>
        <v>Safe</v>
      </c>
      <c r="AD1296" s="4">
        <f>SalesCleanTable[[#This Row],[Unit Price]] - SalesCleanTable[[#This Row],[Unit Cost]]</f>
        <v>350</v>
      </c>
      <c r="AE1296" s="41">
        <f>(SalesCleanTable[[#This Row],[Unit Price]] - SalesCleanTable[[#This Row],[Unit Cost]]) / SalesCleanTable[[#This Row],[Unit Price]]</f>
        <v>0.36842105263157893</v>
      </c>
    </row>
    <row r="1297" spans="1:31">
      <c r="A1297" t="s">
        <v>1483</v>
      </c>
      <c r="B1297" s="6">
        <v>45695</v>
      </c>
      <c r="C1297" t="s">
        <v>36</v>
      </c>
      <c r="D1297" t="s">
        <v>37</v>
      </c>
      <c r="E1297" t="s">
        <v>38</v>
      </c>
      <c r="F1297" t="s">
        <v>39</v>
      </c>
      <c r="G1297" t="s">
        <v>40</v>
      </c>
      <c r="H1297" t="s">
        <v>139</v>
      </c>
      <c r="I1297" t="s">
        <v>140</v>
      </c>
      <c r="J1297" t="s">
        <v>137</v>
      </c>
      <c r="K1297" t="s">
        <v>138</v>
      </c>
      <c r="L1297" t="s">
        <v>183</v>
      </c>
      <c r="M1297" t="s">
        <v>171</v>
      </c>
      <c r="N1297">
        <v>2</v>
      </c>
      <c r="O1297" s="4">
        <v>1650</v>
      </c>
      <c r="P1297" s="4">
        <v>2200</v>
      </c>
      <c r="Q1297" s="7">
        <v>0.15</v>
      </c>
      <c r="R1297" t="s">
        <v>178</v>
      </c>
      <c r="S1297">
        <v>7</v>
      </c>
      <c r="T1297">
        <v>4400</v>
      </c>
      <c r="U1297">
        <v>660</v>
      </c>
      <c r="V1297">
        <v>3740</v>
      </c>
      <c r="W1297">
        <v>3300</v>
      </c>
      <c r="X1297">
        <v>440</v>
      </c>
      <c r="Y1297" s="8">
        <v>0.11764705882352941</v>
      </c>
      <c r="Z1297" t="s">
        <v>2995</v>
      </c>
      <c r="AA1297" t="str">
        <f>IF(AND(SalesCleanTable[[#This Row],[Discount %]]&gt;0, SalesCleanTable[[#This Row],[Profit]]&lt;0), "Discount loss", "Safe")</f>
        <v>Safe</v>
      </c>
      <c r="AB1297" s="25">
        <f>(SalesCleanTable[[#This Row],[Unit Price]] - SalesCleanTable[[#This Row],[Unit Cost]]) / SalesCleanTable[[#This Row],[Unit Price]]</f>
        <v>0.25</v>
      </c>
      <c r="AC1297" t="str">
        <f>IF(SalesCleanTable[[#This Row],[Discount %]] &gt; SalesCleanTable[[#This Row],[Max Allowed Discount]], "Discount loss", "Safe")</f>
        <v>Safe</v>
      </c>
      <c r="AD1297" s="4">
        <f>SalesCleanTable[[#This Row],[Unit Price]] - SalesCleanTable[[#This Row],[Unit Cost]]</f>
        <v>550</v>
      </c>
      <c r="AE1297" s="41">
        <f>(SalesCleanTable[[#This Row],[Unit Price]] - SalesCleanTable[[#This Row],[Unit Cost]]) / SalesCleanTable[[#This Row],[Unit Price]]</f>
        <v>0.25</v>
      </c>
    </row>
    <row r="1298" spans="1:31">
      <c r="A1298" t="s">
        <v>1484</v>
      </c>
      <c r="B1298" s="6">
        <v>45661</v>
      </c>
      <c r="C1298" t="s">
        <v>73</v>
      </c>
      <c r="D1298" t="s">
        <v>74</v>
      </c>
      <c r="E1298" t="s">
        <v>75</v>
      </c>
      <c r="F1298" t="s">
        <v>76</v>
      </c>
      <c r="G1298" t="s">
        <v>77</v>
      </c>
      <c r="H1298" t="s">
        <v>135</v>
      </c>
      <c r="I1298" t="s">
        <v>136</v>
      </c>
      <c r="J1298" t="s">
        <v>137</v>
      </c>
      <c r="K1298" t="s">
        <v>138</v>
      </c>
      <c r="L1298" t="s">
        <v>166</v>
      </c>
      <c r="M1298" t="s">
        <v>171</v>
      </c>
      <c r="N1298">
        <v>1</v>
      </c>
      <c r="O1298" s="4">
        <v>3500</v>
      </c>
      <c r="P1298" s="4">
        <v>5200</v>
      </c>
      <c r="Q1298" s="7">
        <v>0.05</v>
      </c>
      <c r="R1298" t="s">
        <v>204</v>
      </c>
      <c r="S1298">
        <v>11</v>
      </c>
      <c r="T1298">
        <v>5200</v>
      </c>
      <c r="U1298">
        <v>260</v>
      </c>
      <c r="V1298">
        <v>4940</v>
      </c>
      <c r="W1298">
        <v>3500</v>
      </c>
      <c r="X1298">
        <v>1440</v>
      </c>
      <c r="Y1298" s="8">
        <v>0.291497975708502</v>
      </c>
      <c r="Z1298" t="s">
        <v>2996</v>
      </c>
      <c r="AA1298" t="str">
        <f>IF(AND(SalesCleanTable[[#This Row],[Discount %]]&gt;0, SalesCleanTable[[#This Row],[Profit]]&lt;0), "Discount loss", "Safe")</f>
        <v>Safe</v>
      </c>
      <c r="AB1298" s="25">
        <f>(SalesCleanTable[[#This Row],[Unit Price]] - SalesCleanTable[[#This Row],[Unit Cost]]) / SalesCleanTable[[#This Row],[Unit Price]]</f>
        <v>0.32692307692307693</v>
      </c>
      <c r="AC1298" t="str">
        <f>IF(SalesCleanTable[[#This Row],[Discount %]] &gt; SalesCleanTable[[#This Row],[Max Allowed Discount]], "Discount loss", "Safe")</f>
        <v>Safe</v>
      </c>
      <c r="AD1298" s="4">
        <f>SalesCleanTable[[#This Row],[Unit Price]] - SalesCleanTable[[#This Row],[Unit Cost]]</f>
        <v>1700</v>
      </c>
      <c r="AE1298" s="41">
        <f>(SalesCleanTable[[#This Row],[Unit Price]] - SalesCleanTable[[#This Row],[Unit Cost]]) / SalesCleanTable[[#This Row],[Unit Price]]</f>
        <v>0.32692307692307693</v>
      </c>
    </row>
    <row r="1299" spans="1:31">
      <c r="A1299" t="s">
        <v>1485</v>
      </c>
      <c r="B1299" s="6">
        <v>45930</v>
      </c>
      <c r="C1299" t="s">
        <v>53</v>
      </c>
      <c r="D1299" t="s">
        <v>54</v>
      </c>
      <c r="E1299" t="s">
        <v>38</v>
      </c>
      <c r="F1299" t="s">
        <v>55</v>
      </c>
      <c r="G1299" t="s">
        <v>56</v>
      </c>
      <c r="H1299" t="s">
        <v>141</v>
      </c>
      <c r="I1299" t="s">
        <v>142</v>
      </c>
      <c r="J1299" t="s">
        <v>143</v>
      </c>
      <c r="K1299" t="s">
        <v>144</v>
      </c>
      <c r="L1299" t="s">
        <v>166</v>
      </c>
      <c r="M1299" t="s">
        <v>171</v>
      </c>
      <c r="N1299">
        <v>4</v>
      </c>
      <c r="O1299" s="4">
        <v>330</v>
      </c>
      <c r="P1299" s="4">
        <v>550</v>
      </c>
      <c r="Q1299" s="7">
        <v>0.1</v>
      </c>
      <c r="R1299" t="s">
        <v>168</v>
      </c>
      <c r="S1299">
        <v>3</v>
      </c>
      <c r="T1299">
        <v>2200</v>
      </c>
      <c r="U1299">
        <v>220</v>
      </c>
      <c r="V1299">
        <v>1980</v>
      </c>
      <c r="W1299">
        <v>1320</v>
      </c>
      <c r="X1299">
        <v>660</v>
      </c>
      <c r="Y1299" s="8">
        <v>0.33333333333333331</v>
      </c>
      <c r="Z1299" t="s">
        <v>2996</v>
      </c>
      <c r="AA1299" t="str">
        <f>IF(AND(SalesCleanTable[[#This Row],[Discount %]]&gt;0, SalesCleanTable[[#This Row],[Profit]]&lt;0), "Discount loss", "Safe")</f>
        <v>Safe</v>
      </c>
      <c r="AB1299" s="25">
        <f>(SalesCleanTable[[#This Row],[Unit Price]] - SalesCleanTable[[#This Row],[Unit Cost]]) / SalesCleanTable[[#This Row],[Unit Price]]</f>
        <v>0.4</v>
      </c>
      <c r="AC1299" t="str">
        <f>IF(SalesCleanTable[[#This Row],[Discount %]] &gt; SalesCleanTable[[#This Row],[Max Allowed Discount]], "Discount loss", "Safe")</f>
        <v>Safe</v>
      </c>
      <c r="AD1299" s="4">
        <f>SalesCleanTable[[#This Row],[Unit Price]] - SalesCleanTable[[#This Row],[Unit Cost]]</f>
        <v>220</v>
      </c>
      <c r="AE1299" s="41">
        <f>(SalesCleanTable[[#This Row],[Unit Price]] - SalesCleanTable[[#This Row],[Unit Cost]]) / SalesCleanTable[[#This Row],[Unit Price]]</f>
        <v>0.4</v>
      </c>
    </row>
    <row r="1300" spans="1:31">
      <c r="A1300" t="s">
        <v>1486</v>
      </c>
      <c r="B1300" s="6">
        <v>45733</v>
      </c>
      <c r="C1300" t="s">
        <v>41</v>
      </c>
      <c r="D1300" t="s">
        <v>42</v>
      </c>
      <c r="E1300" t="s">
        <v>26</v>
      </c>
      <c r="F1300" t="s">
        <v>43</v>
      </c>
      <c r="G1300" t="s">
        <v>44</v>
      </c>
      <c r="H1300" t="s">
        <v>133</v>
      </c>
      <c r="I1300" t="s">
        <v>134</v>
      </c>
      <c r="J1300" t="s">
        <v>130</v>
      </c>
      <c r="K1300" t="s">
        <v>131</v>
      </c>
      <c r="L1300" t="s">
        <v>183</v>
      </c>
      <c r="M1300" t="s">
        <v>171</v>
      </c>
      <c r="N1300">
        <v>1</v>
      </c>
      <c r="O1300" s="4">
        <v>850</v>
      </c>
      <c r="P1300" s="4">
        <v>1300</v>
      </c>
      <c r="Q1300" s="7">
        <v>0.1</v>
      </c>
      <c r="R1300" t="s">
        <v>173</v>
      </c>
      <c r="S1300">
        <v>6</v>
      </c>
      <c r="T1300">
        <v>1300</v>
      </c>
      <c r="U1300">
        <v>130</v>
      </c>
      <c r="V1300">
        <v>1170</v>
      </c>
      <c r="W1300">
        <v>850</v>
      </c>
      <c r="X1300">
        <v>320</v>
      </c>
      <c r="Y1300" s="8">
        <v>0.27350427350427353</v>
      </c>
      <c r="Z1300" t="s">
        <v>2995</v>
      </c>
      <c r="AA1300" t="str">
        <f>IF(AND(SalesCleanTable[[#This Row],[Discount %]]&gt;0, SalesCleanTable[[#This Row],[Profit]]&lt;0), "Discount loss", "Safe")</f>
        <v>Safe</v>
      </c>
      <c r="AB1300" s="25">
        <f>(SalesCleanTable[[#This Row],[Unit Price]] - SalesCleanTable[[#This Row],[Unit Cost]]) / SalesCleanTable[[#This Row],[Unit Price]]</f>
        <v>0.34615384615384615</v>
      </c>
      <c r="AC1300" t="str">
        <f>IF(SalesCleanTable[[#This Row],[Discount %]] &gt; SalesCleanTable[[#This Row],[Max Allowed Discount]], "Discount loss", "Safe")</f>
        <v>Safe</v>
      </c>
      <c r="AD1300" s="4">
        <f>SalesCleanTable[[#This Row],[Unit Price]] - SalesCleanTable[[#This Row],[Unit Cost]]</f>
        <v>450</v>
      </c>
      <c r="AE1300" s="41">
        <f>(SalesCleanTable[[#This Row],[Unit Price]] - SalesCleanTable[[#This Row],[Unit Cost]]) / SalesCleanTable[[#This Row],[Unit Price]]</f>
        <v>0.34615384615384615</v>
      </c>
    </row>
    <row r="1301" spans="1:31">
      <c r="A1301" t="s">
        <v>1487</v>
      </c>
      <c r="B1301" s="6">
        <v>45825</v>
      </c>
      <c r="C1301" t="s">
        <v>103</v>
      </c>
      <c r="D1301" t="s">
        <v>104</v>
      </c>
      <c r="E1301" t="s">
        <v>92</v>
      </c>
      <c r="F1301" t="s">
        <v>105</v>
      </c>
      <c r="G1301" t="s">
        <v>106</v>
      </c>
      <c r="H1301" t="s">
        <v>153</v>
      </c>
      <c r="I1301" t="s">
        <v>154</v>
      </c>
      <c r="J1301" t="s">
        <v>155</v>
      </c>
      <c r="K1301" t="s">
        <v>131</v>
      </c>
      <c r="L1301" t="s">
        <v>166</v>
      </c>
      <c r="M1301" t="s">
        <v>171</v>
      </c>
      <c r="N1301">
        <v>4</v>
      </c>
      <c r="O1301" s="4">
        <v>1500</v>
      </c>
      <c r="P1301" s="4">
        <v>2500</v>
      </c>
      <c r="Q1301" s="7">
        <v>0</v>
      </c>
      <c r="R1301" t="s">
        <v>181</v>
      </c>
      <c r="S1301">
        <v>4</v>
      </c>
      <c r="T1301">
        <v>10000</v>
      </c>
      <c r="U1301">
        <v>0</v>
      </c>
      <c r="V1301">
        <v>10000</v>
      </c>
      <c r="W1301">
        <v>6000</v>
      </c>
      <c r="X1301">
        <v>4000</v>
      </c>
      <c r="Y1301" s="8">
        <v>0.4</v>
      </c>
      <c r="Z1301" t="s">
        <v>2996</v>
      </c>
      <c r="AA1301" t="str">
        <f>IF(AND(SalesCleanTable[[#This Row],[Discount %]]&gt;0, SalesCleanTable[[#This Row],[Profit]]&lt;0), "Discount loss", "Safe")</f>
        <v>Safe</v>
      </c>
      <c r="AB1301" s="25">
        <f>(SalesCleanTable[[#This Row],[Unit Price]] - SalesCleanTable[[#This Row],[Unit Cost]]) / SalesCleanTable[[#This Row],[Unit Price]]</f>
        <v>0.4</v>
      </c>
      <c r="AC1301" t="str">
        <f>IF(SalesCleanTable[[#This Row],[Discount %]] &gt; SalesCleanTable[[#This Row],[Max Allowed Discount]], "Discount loss", "Safe")</f>
        <v>Safe</v>
      </c>
      <c r="AD1301" s="4">
        <f>SalesCleanTable[[#This Row],[Unit Price]] - SalesCleanTable[[#This Row],[Unit Cost]]</f>
        <v>1000</v>
      </c>
      <c r="AE1301" s="41">
        <f>(SalesCleanTable[[#This Row],[Unit Price]] - SalesCleanTable[[#This Row],[Unit Cost]]) / SalesCleanTable[[#This Row],[Unit Price]]</f>
        <v>0.4</v>
      </c>
    </row>
    <row r="1302" spans="1:31">
      <c r="A1302" t="s">
        <v>1488</v>
      </c>
      <c r="B1302" s="6">
        <v>45671</v>
      </c>
      <c r="C1302" t="s">
        <v>32</v>
      </c>
      <c r="D1302" t="s">
        <v>33</v>
      </c>
      <c r="E1302" t="s">
        <v>26</v>
      </c>
      <c r="F1302" t="s">
        <v>34</v>
      </c>
      <c r="G1302" t="s">
        <v>35</v>
      </c>
      <c r="H1302" t="s">
        <v>149</v>
      </c>
      <c r="I1302" t="s">
        <v>150</v>
      </c>
      <c r="J1302" t="s">
        <v>151</v>
      </c>
      <c r="K1302" t="s">
        <v>152</v>
      </c>
      <c r="L1302" t="s">
        <v>166</v>
      </c>
      <c r="M1302" t="s">
        <v>186</v>
      </c>
      <c r="N1302">
        <v>2</v>
      </c>
      <c r="O1302" s="4">
        <v>7800</v>
      </c>
      <c r="P1302" s="4">
        <v>9800</v>
      </c>
      <c r="Q1302" s="7">
        <v>0.15</v>
      </c>
      <c r="R1302" t="s">
        <v>173</v>
      </c>
      <c r="S1302">
        <v>14</v>
      </c>
      <c r="T1302">
        <v>19600</v>
      </c>
      <c r="U1302">
        <v>2940</v>
      </c>
      <c r="V1302">
        <v>16660</v>
      </c>
      <c r="W1302">
        <v>15600</v>
      </c>
      <c r="X1302">
        <v>1060</v>
      </c>
      <c r="Y1302" s="8">
        <v>6.3625450180072027E-2</v>
      </c>
      <c r="Z1302" t="s">
        <v>2995</v>
      </c>
      <c r="AA1302" t="str">
        <f>IF(AND(SalesCleanTable[[#This Row],[Discount %]]&gt;0, SalesCleanTable[[#This Row],[Profit]]&lt;0), "Discount loss", "Safe")</f>
        <v>Safe</v>
      </c>
      <c r="AB1302" s="25">
        <f>(SalesCleanTable[[#This Row],[Unit Price]] - SalesCleanTable[[#This Row],[Unit Cost]]) / SalesCleanTable[[#This Row],[Unit Price]]</f>
        <v>0.20408163265306123</v>
      </c>
      <c r="AC1302" t="str">
        <f>IF(SalesCleanTable[[#This Row],[Discount %]] &gt; SalesCleanTable[[#This Row],[Max Allowed Discount]], "Discount loss", "Safe")</f>
        <v>Safe</v>
      </c>
      <c r="AD1302" s="4">
        <f>SalesCleanTable[[#This Row],[Unit Price]] - SalesCleanTable[[#This Row],[Unit Cost]]</f>
        <v>2000</v>
      </c>
      <c r="AE1302" s="41">
        <f>(SalesCleanTable[[#This Row],[Unit Price]] - SalesCleanTable[[#This Row],[Unit Cost]]) / SalesCleanTable[[#This Row],[Unit Price]]</f>
        <v>0.20408163265306123</v>
      </c>
    </row>
    <row r="1303" spans="1:31">
      <c r="A1303" t="s">
        <v>1489</v>
      </c>
      <c r="B1303" s="6">
        <v>45852</v>
      </c>
      <c r="C1303" t="s">
        <v>24</v>
      </c>
      <c r="D1303" t="s">
        <v>25</v>
      </c>
      <c r="E1303" t="s">
        <v>26</v>
      </c>
      <c r="F1303" t="s">
        <v>27</v>
      </c>
      <c r="G1303" t="s">
        <v>28</v>
      </c>
      <c r="H1303" t="s">
        <v>135</v>
      </c>
      <c r="I1303" t="s">
        <v>136</v>
      </c>
      <c r="J1303" t="s">
        <v>137</v>
      </c>
      <c r="K1303" t="s">
        <v>138</v>
      </c>
      <c r="L1303" t="s">
        <v>183</v>
      </c>
      <c r="M1303" t="s">
        <v>177</v>
      </c>
      <c r="N1303">
        <v>1</v>
      </c>
      <c r="O1303" s="4">
        <v>14500</v>
      </c>
      <c r="P1303" s="4">
        <v>17500</v>
      </c>
      <c r="Q1303" s="7">
        <v>0.15</v>
      </c>
      <c r="R1303" t="s">
        <v>197</v>
      </c>
      <c r="S1303">
        <v>9</v>
      </c>
      <c r="T1303">
        <v>17500</v>
      </c>
      <c r="U1303">
        <v>2625</v>
      </c>
      <c r="V1303">
        <v>14875</v>
      </c>
      <c r="W1303">
        <v>14500</v>
      </c>
      <c r="X1303">
        <v>375</v>
      </c>
      <c r="Y1303" s="8">
        <v>2.5210084033613446E-2</v>
      </c>
      <c r="Z1303" t="s">
        <v>2995</v>
      </c>
      <c r="AA1303" t="str">
        <f>IF(AND(SalesCleanTable[[#This Row],[Discount %]]&gt;0, SalesCleanTable[[#This Row],[Profit]]&lt;0), "Discount loss", "Safe")</f>
        <v>Safe</v>
      </c>
      <c r="AB1303" s="25">
        <f>(SalesCleanTable[[#This Row],[Unit Price]] - SalesCleanTable[[#This Row],[Unit Cost]]) / SalesCleanTable[[#This Row],[Unit Price]]</f>
        <v>0.17142857142857143</v>
      </c>
      <c r="AC1303" t="str">
        <f>IF(SalesCleanTable[[#This Row],[Discount %]] &gt; SalesCleanTable[[#This Row],[Max Allowed Discount]], "Discount loss", "Safe")</f>
        <v>Safe</v>
      </c>
      <c r="AD1303" s="4">
        <f>SalesCleanTable[[#This Row],[Unit Price]] - SalesCleanTable[[#This Row],[Unit Cost]]</f>
        <v>3000</v>
      </c>
      <c r="AE1303" s="41">
        <f>(SalesCleanTable[[#This Row],[Unit Price]] - SalesCleanTable[[#This Row],[Unit Cost]]) / SalesCleanTable[[#This Row],[Unit Price]]</f>
        <v>0.17142857142857143</v>
      </c>
    </row>
    <row r="1304" spans="1:31">
      <c r="A1304" t="s">
        <v>1490</v>
      </c>
      <c r="B1304" s="6">
        <v>45922</v>
      </c>
      <c r="C1304" t="s">
        <v>32</v>
      </c>
      <c r="D1304" t="s">
        <v>33</v>
      </c>
      <c r="E1304" t="s">
        <v>26</v>
      </c>
      <c r="F1304" t="s">
        <v>34</v>
      </c>
      <c r="G1304" t="s">
        <v>35</v>
      </c>
      <c r="H1304" t="s">
        <v>145</v>
      </c>
      <c r="I1304" t="s">
        <v>146</v>
      </c>
      <c r="J1304" t="s">
        <v>147</v>
      </c>
      <c r="K1304" t="s">
        <v>148</v>
      </c>
      <c r="L1304" t="s">
        <v>183</v>
      </c>
      <c r="M1304" t="s">
        <v>171</v>
      </c>
      <c r="N1304">
        <v>1</v>
      </c>
      <c r="O1304" s="4">
        <v>7800</v>
      </c>
      <c r="P1304" s="4">
        <v>9800</v>
      </c>
      <c r="Q1304" s="7">
        <v>0.05</v>
      </c>
      <c r="R1304" t="s">
        <v>194</v>
      </c>
      <c r="S1304">
        <v>7</v>
      </c>
      <c r="T1304">
        <v>9800</v>
      </c>
      <c r="U1304">
        <v>490</v>
      </c>
      <c r="V1304">
        <v>9310</v>
      </c>
      <c r="W1304">
        <v>7800</v>
      </c>
      <c r="X1304">
        <v>1510</v>
      </c>
      <c r="Y1304" s="8">
        <v>0.16219119226638024</v>
      </c>
      <c r="Z1304" t="s">
        <v>2995</v>
      </c>
      <c r="AA1304" t="str">
        <f>IF(AND(SalesCleanTable[[#This Row],[Discount %]]&gt;0, SalesCleanTable[[#This Row],[Profit]]&lt;0), "Discount loss", "Safe")</f>
        <v>Safe</v>
      </c>
      <c r="AB1304" s="25">
        <f>(SalesCleanTable[[#This Row],[Unit Price]] - SalesCleanTable[[#This Row],[Unit Cost]]) / SalesCleanTable[[#This Row],[Unit Price]]</f>
        <v>0.20408163265306123</v>
      </c>
      <c r="AC1304" t="str">
        <f>IF(SalesCleanTable[[#This Row],[Discount %]] &gt; SalesCleanTable[[#This Row],[Max Allowed Discount]], "Discount loss", "Safe")</f>
        <v>Safe</v>
      </c>
      <c r="AD1304" s="4">
        <f>SalesCleanTable[[#This Row],[Unit Price]] - SalesCleanTable[[#This Row],[Unit Cost]]</f>
        <v>2000</v>
      </c>
      <c r="AE1304" s="41">
        <f>(SalesCleanTable[[#This Row],[Unit Price]] - SalesCleanTable[[#This Row],[Unit Cost]]) / SalesCleanTable[[#This Row],[Unit Price]]</f>
        <v>0.20408163265306123</v>
      </c>
    </row>
    <row r="1305" spans="1:31">
      <c r="A1305" t="s">
        <v>1491</v>
      </c>
      <c r="B1305" s="6">
        <v>45704</v>
      </c>
      <c r="C1305" t="s">
        <v>95</v>
      </c>
      <c r="D1305" t="s">
        <v>96</v>
      </c>
      <c r="E1305" t="s">
        <v>92</v>
      </c>
      <c r="F1305" t="s">
        <v>97</v>
      </c>
      <c r="G1305" t="s">
        <v>98</v>
      </c>
      <c r="H1305" t="s">
        <v>135</v>
      </c>
      <c r="I1305" t="s">
        <v>136</v>
      </c>
      <c r="J1305" t="s">
        <v>137</v>
      </c>
      <c r="K1305" t="s">
        <v>138</v>
      </c>
      <c r="L1305" t="s">
        <v>166</v>
      </c>
      <c r="M1305" t="s">
        <v>177</v>
      </c>
      <c r="N1305">
        <v>2</v>
      </c>
      <c r="O1305" s="4">
        <v>18000</v>
      </c>
      <c r="P1305" s="4">
        <v>24500</v>
      </c>
      <c r="Q1305" s="7">
        <v>0</v>
      </c>
      <c r="R1305" t="s">
        <v>217</v>
      </c>
      <c r="S1305">
        <v>7</v>
      </c>
      <c r="T1305">
        <v>49000</v>
      </c>
      <c r="U1305">
        <v>0</v>
      </c>
      <c r="V1305">
        <v>49000</v>
      </c>
      <c r="W1305">
        <v>36000</v>
      </c>
      <c r="X1305">
        <v>13000</v>
      </c>
      <c r="Y1305" s="8">
        <v>0.26530612244897961</v>
      </c>
      <c r="Z1305" t="s">
        <v>2995</v>
      </c>
      <c r="AA1305" t="str">
        <f>IF(AND(SalesCleanTable[[#This Row],[Discount %]]&gt;0, SalesCleanTable[[#This Row],[Profit]]&lt;0), "Discount loss", "Safe")</f>
        <v>Safe</v>
      </c>
      <c r="AB1305" s="25">
        <f>(SalesCleanTable[[#This Row],[Unit Price]] - SalesCleanTable[[#This Row],[Unit Cost]]) / SalesCleanTable[[#This Row],[Unit Price]]</f>
        <v>0.26530612244897961</v>
      </c>
      <c r="AC1305" t="str">
        <f>IF(SalesCleanTable[[#This Row],[Discount %]] &gt; SalesCleanTable[[#This Row],[Max Allowed Discount]], "Discount loss", "Safe")</f>
        <v>Safe</v>
      </c>
      <c r="AD1305" s="4">
        <f>SalesCleanTable[[#This Row],[Unit Price]] - SalesCleanTable[[#This Row],[Unit Cost]]</f>
        <v>6500</v>
      </c>
      <c r="AE1305" s="41">
        <f>(SalesCleanTable[[#This Row],[Unit Price]] - SalesCleanTable[[#This Row],[Unit Cost]]) / SalesCleanTable[[#This Row],[Unit Price]]</f>
        <v>0.26530612244897961</v>
      </c>
    </row>
    <row r="1306" spans="1:31">
      <c r="A1306" t="s">
        <v>1492</v>
      </c>
      <c r="B1306" s="6">
        <v>45709</v>
      </c>
      <c r="C1306" t="s">
        <v>45</v>
      </c>
      <c r="D1306" t="s">
        <v>46</v>
      </c>
      <c r="E1306" t="s">
        <v>38</v>
      </c>
      <c r="F1306" t="s">
        <v>47</v>
      </c>
      <c r="G1306" t="s">
        <v>48</v>
      </c>
      <c r="H1306" t="s">
        <v>153</v>
      </c>
      <c r="I1306" t="s">
        <v>154</v>
      </c>
      <c r="J1306" t="s">
        <v>155</v>
      </c>
      <c r="K1306" t="s">
        <v>131</v>
      </c>
      <c r="L1306" t="s">
        <v>183</v>
      </c>
      <c r="M1306" t="s">
        <v>167</v>
      </c>
      <c r="N1306">
        <v>5</v>
      </c>
      <c r="O1306" s="4">
        <v>230</v>
      </c>
      <c r="P1306" s="4">
        <v>400</v>
      </c>
      <c r="Q1306" s="7">
        <v>0.05</v>
      </c>
      <c r="R1306" t="s">
        <v>168</v>
      </c>
      <c r="S1306">
        <v>2</v>
      </c>
      <c r="T1306">
        <v>2000</v>
      </c>
      <c r="U1306">
        <v>100</v>
      </c>
      <c r="V1306">
        <v>1900</v>
      </c>
      <c r="W1306">
        <v>1150</v>
      </c>
      <c r="X1306">
        <v>750</v>
      </c>
      <c r="Y1306" s="8">
        <v>0.39473684210526316</v>
      </c>
      <c r="Z1306" t="s">
        <v>2995</v>
      </c>
      <c r="AA1306" t="str">
        <f>IF(AND(SalesCleanTable[[#This Row],[Discount %]]&gt;0, SalesCleanTable[[#This Row],[Profit]]&lt;0), "Discount loss", "Safe")</f>
        <v>Safe</v>
      </c>
      <c r="AB1306" s="25">
        <f>(SalesCleanTable[[#This Row],[Unit Price]] - SalesCleanTable[[#This Row],[Unit Cost]]) / SalesCleanTable[[#This Row],[Unit Price]]</f>
        <v>0.42499999999999999</v>
      </c>
      <c r="AC1306" t="str">
        <f>IF(SalesCleanTable[[#This Row],[Discount %]] &gt; SalesCleanTable[[#This Row],[Max Allowed Discount]], "Discount loss", "Safe")</f>
        <v>Safe</v>
      </c>
      <c r="AD1306" s="4">
        <f>SalesCleanTable[[#This Row],[Unit Price]] - SalesCleanTable[[#This Row],[Unit Cost]]</f>
        <v>170</v>
      </c>
      <c r="AE1306" s="41">
        <f>(SalesCleanTable[[#This Row],[Unit Price]] - SalesCleanTable[[#This Row],[Unit Cost]]) / SalesCleanTable[[#This Row],[Unit Price]]</f>
        <v>0.42499999999999999</v>
      </c>
    </row>
    <row r="1307" spans="1:31">
      <c r="A1307" t="s">
        <v>1493</v>
      </c>
      <c r="B1307" s="6">
        <v>45857</v>
      </c>
      <c r="C1307" t="s">
        <v>103</v>
      </c>
      <c r="D1307" t="s">
        <v>104</v>
      </c>
      <c r="E1307" t="s">
        <v>92</v>
      </c>
      <c r="F1307" t="s">
        <v>105</v>
      </c>
      <c r="G1307" t="s">
        <v>106</v>
      </c>
      <c r="H1307" t="s">
        <v>128</v>
      </c>
      <c r="I1307" t="s">
        <v>129</v>
      </c>
      <c r="J1307" t="s">
        <v>130</v>
      </c>
      <c r="K1307" t="s">
        <v>131</v>
      </c>
      <c r="L1307" t="s">
        <v>183</v>
      </c>
      <c r="M1307" t="s">
        <v>177</v>
      </c>
      <c r="N1307">
        <v>8</v>
      </c>
      <c r="O1307" s="4">
        <v>1500</v>
      </c>
      <c r="P1307" s="4">
        <v>2500</v>
      </c>
      <c r="Q1307" s="7">
        <v>0.1</v>
      </c>
      <c r="R1307" t="s">
        <v>181</v>
      </c>
      <c r="S1307">
        <v>3</v>
      </c>
      <c r="T1307">
        <v>20000</v>
      </c>
      <c r="U1307">
        <v>2000</v>
      </c>
      <c r="V1307">
        <v>18000</v>
      </c>
      <c r="W1307">
        <v>12000</v>
      </c>
      <c r="X1307">
        <v>6000</v>
      </c>
      <c r="Y1307" s="8">
        <v>0.33333333333333331</v>
      </c>
      <c r="Z1307" t="s">
        <v>2996</v>
      </c>
      <c r="AA1307" t="str">
        <f>IF(AND(SalesCleanTable[[#This Row],[Discount %]]&gt;0, SalesCleanTable[[#This Row],[Profit]]&lt;0), "Discount loss", "Safe")</f>
        <v>Safe</v>
      </c>
      <c r="AB1307" s="25">
        <f>(SalesCleanTable[[#This Row],[Unit Price]] - SalesCleanTable[[#This Row],[Unit Cost]]) / SalesCleanTable[[#This Row],[Unit Price]]</f>
        <v>0.4</v>
      </c>
      <c r="AC1307" t="str">
        <f>IF(SalesCleanTable[[#This Row],[Discount %]] &gt; SalesCleanTable[[#This Row],[Max Allowed Discount]], "Discount loss", "Safe")</f>
        <v>Safe</v>
      </c>
      <c r="AD1307" s="4">
        <f>SalesCleanTable[[#This Row],[Unit Price]] - SalesCleanTable[[#This Row],[Unit Cost]]</f>
        <v>1000</v>
      </c>
      <c r="AE1307" s="41">
        <f>(SalesCleanTable[[#This Row],[Unit Price]] - SalesCleanTable[[#This Row],[Unit Cost]]) / SalesCleanTable[[#This Row],[Unit Price]]</f>
        <v>0.4</v>
      </c>
    </row>
    <row r="1308" spans="1:31">
      <c r="A1308" t="s">
        <v>1494</v>
      </c>
      <c r="B1308" s="6">
        <v>45723</v>
      </c>
      <c r="C1308" t="s">
        <v>57</v>
      </c>
      <c r="D1308" t="s">
        <v>58</v>
      </c>
      <c r="E1308" t="s">
        <v>59</v>
      </c>
      <c r="F1308" t="s">
        <v>60</v>
      </c>
      <c r="G1308" t="s">
        <v>61</v>
      </c>
      <c r="H1308" t="s">
        <v>133</v>
      </c>
      <c r="I1308" t="s">
        <v>134</v>
      </c>
      <c r="J1308" t="s">
        <v>130</v>
      </c>
      <c r="K1308" t="s">
        <v>131</v>
      </c>
      <c r="L1308" t="s">
        <v>183</v>
      </c>
      <c r="M1308" t="s">
        <v>167</v>
      </c>
      <c r="N1308">
        <v>2</v>
      </c>
      <c r="O1308" s="4">
        <v>2400</v>
      </c>
      <c r="P1308" s="4">
        <v>3400</v>
      </c>
      <c r="Q1308" s="7">
        <v>0</v>
      </c>
      <c r="R1308" t="s">
        <v>173</v>
      </c>
      <c r="S1308">
        <v>11</v>
      </c>
      <c r="T1308">
        <v>6800</v>
      </c>
      <c r="U1308">
        <v>0</v>
      </c>
      <c r="V1308">
        <v>6800</v>
      </c>
      <c r="W1308">
        <v>4800</v>
      </c>
      <c r="X1308">
        <v>2000</v>
      </c>
      <c r="Y1308" s="8">
        <v>0.29411764705882354</v>
      </c>
      <c r="Z1308" t="s">
        <v>2996</v>
      </c>
      <c r="AA1308" t="str">
        <f>IF(AND(SalesCleanTable[[#This Row],[Discount %]]&gt;0, SalesCleanTable[[#This Row],[Profit]]&lt;0), "Discount loss", "Safe")</f>
        <v>Safe</v>
      </c>
      <c r="AB1308" s="25">
        <f>(SalesCleanTable[[#This Row],[Unit Price]] - SalesCleanTable[[#This Row],[Unit Cost]]) / SalesCleanTable[[#This Row],[Unit Price]]</f>
        <v>0.29411764705882354</v>
      </c>
      <c r="AC1308" t="str">
        <f>IF(SalesCleanTable[[#This Row],[Discount %]] &gt; SalesCleanTable[[#This Row],[Max Allowed Discount]], "Discount loss", "Safe")</f>
        <v>Safe</v>
      </c>
      <c r="AD1308" s="4">
        <f>SalesCleanTable[[#This Row],[Unit Price]] - SalesCleanTable[[#This Row],[Unit Cost]]</f>
        <v>1000</v>
      </c>
      <c r="AE1308" s="41">
        <f>(SalesCleanTable[[#This Row],[Unit Price]] - SalesCleanTable[[#This Row],[Unit Cost]]) / SalesCleanTable[[#This Row],[Unit Price]]</f>
        <v>0.29411764705882354</v>
      </c>
    </row>
    <row r="1309" spans="1:31">
      <c r="A1309" t="s">
        <v>1495</v>
      </c>
      <c r="B1309" s="6">
        <v>45974</v>
      </c>
      <c r="C1309" t="s">
        <v>49</v>
      </c>
      <c r="D1309" t="s">
        <v>50</v>
      </c>
      <c r="E1309" t="s">
        <v>38</v>
      </c>
      <c r="F1309" t="s">
        <v>51</v>
      </c>
      <c r="G1309" t="s">
        <v>52</v>
      </c>
      <c r="H1309" t="s">
        <v>133</v>
      </c>
      <c r="I1309" t="s">
        <v>134</v>
      </c>
      <c r="J1309" t="s">
        <v>130</v>
      </c>
      <c r="K1309" t="s">
        <v>131</v>
      </c>
      <c r="L1309" t="s">
        <v>170</v>
      </c>
      <c r="M1309" t="s">
        <v>171</v>
      </c>
      <c r="N1309">
        <v>1</v>
      </c>
      <c r="O1309" s="4">
        <v>550</v>
      </c>
      <c r="P1309" s="4">
        <v>850</v>
      </c>
      <c r="Q1309" s="7">
        <v>0.2</v>
      </c>
      <c r="R1309" t="s">
        <v>168</v>
      </c>
      <c r="S1309">
        <v>3</v>
      </c>
      <c r="T1309">
        <v>850</v>
      </c>
      <c r="U1309">
        <v>170</v>
      </c>
      <c r="V1309">
        <v>680</v>
      </c>
      <c r="W1309">
        <v>550</v>
      </c>
      <c r="X1309">
        <v>130</v>
      </c>
      <c r="Y1309" s="8">
        <v>0.19117647058823528</v>
      </c>
      <c r="Z1309" t="s">
        <v>2996</v>
      </c>
      <c r="AA1309" t="str">
        <f>IF(AND(SalesCleanTable[[#This Row],[Discount %]]&gt;0, SalesCleanTable[[#This Row],[Profit]]&lt;0), "Discount loss", "Safe")</f>
        <v>Safe</v>
      </c>
      <c r="AB1309" s="25">
        <f>(SalesCleanTable[[#This Row],[Unit Price]] - SalesCleanTable[[#This Row],[Unit Cost]]) / SalesCleanTable[[#This Row],[Unit Price]]</f>
        <v>0.35294117647058826</v>
      </c>
      <c r="AC1309" t="str">
        <f>IF(SalesCleanTable[[#This Row],[Discount %]] &gt; SalesCleanTable[[#This Row],[Max Allowed Discount]], "Discount loss", "Safe")</f>
        <v>Safe</v>
      </c>
      <c r="AD1309" s="4">
        <f>SalesCleanTable[[#This Row],[Unit Price]] - SalesCleanTable[[#This Row],[Unit Cost]]</f>
        <v>300</v>
      </c>
      <c r="AE1309" s="41">
        <f>(SalesCleanTable[[#This Row],[Unit Price]] - SalesCleanTable[[#This Row],[Unit Cost]]) / SalesCleanTable[[#This Row],[Unit Price]]</f>
        <v>0.35294117647058826</v>
      </c>
    </row>
    <row r="1310" spans="1:31">
      <c r="A1310" t="s">
        <v>1496</v>
      </c>
      <c r="B1310" s="6">
        <v>45714</v>
      </c>
      <c r="C1310" t="s">
        <v>95</v>
      </c>
      <c r="D1310" t="s">
        <v>96</v>
      </c>
      <c r="E1310" t="s">
        <v>92</v>
      </c>
      <c r="F1310" t="s">
        <v>97</v>
      </c>
      <c r="G1310" t="s">
        <v>98</v>
      </c>
      <c r="H1310" t="s">
        <v>128</v>
      </c>
      <c r="I1310" t="s">
        <v>129</v>
      </c>
      <c r="J1310" t="s">
        <v>130</v>
      </c>
      <c r="K1310" t="s">
        <v>131</v>
      </c>
      <c r="L1310" t="s">
        <v>166</v>
      </c>
      <c r="M1310" t="s">
        <v>171</v>
      </c>
      <c r="N1310">
        <v>1</v>
      </c>
      <c r="O1310" s="4">
        <v>18000</v>
      </c>
      <c r="P1310" s="4">
        <v>24500</v>
      </c>
      <c r="Q1310" s="7">
        <v>0.05</v>
      </c>
      <c r="R1310" t="s">
        <v>215</v>
      </c>
      <c r="S1310">
        <v>6</v>
      </c>
      <c r="T1310">
        <v>24500</v>
      </c>
      <c r="U1310">
        <v>1225</v>
      </c>
      <c r="V1310">
        <v>23275</v>
      </c>
      <c r="W1310">
        <v>18000</v>
      </c>
      <c r="X1310">
        <v>5275</v>
      </c>
      <c r="Y1310" s="8">
        <v>0.22663802363050484</v>
      </c>
      <c r="Z1310" t="s">
        <v>2995</v>
      </c>
      <c r="AA1310" t="str">
        <f>IF(AND(SalesCleanTable[[#This Row],[Discount %]]&gt;0, SalesCleanTable[[#This Row],[Profit]]&lt;0), "Discount loss", "Safe")</f>
        <v>Safe</v>
      </c>
      <c r="AB1310" s="25">
        <f>(SalesCleanTable[[#This Row],[Unit Price]] - SalesCleanTable[[#This Row],[Unit Cost]]) / SalesCleanTable[[#This Row],[Unit Price]]</f>
        <v>0.26530612244897961</v>
      </c>
      <c r="AC1310" t="str">
        <f>IF(SalesCleanTable[[#This Row],[Discount %]] &gt; SalesCleanTable[[#This Row],[Max Allowed Discount]], "Discount loss", "Safe")</f>
        <v>Safe</v>
      </c>
      <c r="AD1310" s="4">
        <f>SalesCleanTable[[#This Row],[Unit Price]] - SalesCleanTable[[#This Row],[Unit Cost]]</f>
        <v>6500</v>
      </c>
      <c r="AE1310" s="41">
        <f>(SalesCleanTable[[#This Row],[Unit Price]] - SalesCleanTable[[#This Row],[Unit Cost]]) / SalesCleanTable[[#This Row],[Unit Price]]</f>
        <v>0.26530612244897961</v>
      </c>
    </row>
    <row r="1311" spans="1:31">
      <c r="A1311" t="s">
        <v>1497</v>
      </c>
      <c r="B1311" s="6">
        <v>45671</v>
      </c>
      <c r="C1311" t="s">
        <v>45</v>
      </c>
      <c r="D1311" t="s">
        <v>46</v>
      </c>
      <c r="E1311" t="s">
        <v>38</v>
      </c>
      <c r="F1311" t="s">
        <v>47</v>
      </c>
      <c r="G1311" t="s">
        <v>48</v>
      </c>
      <c r="H1311" t="s">
        <v>149</v>
      </c>
      <c r="I1311" t="s">
        <v>150</v>
      </c>
      <c r="J1311" t="s">
        <v>151</v>
      </c>
      <c r="K1311" t="s">
        <v>152</v>
      </c>
      <c r="L1311" t="s">
        <v>183</v>
      </c>
      <c r="M1311" t="s">
        <v>177</v>
      </c>
      <c r="N1311">
        <v>1</v>
      </c>
      <c r="O1311" s="4">
        <v>230</v>
      </c>
      <c r="P1311" s="4">
        <v>400</v>
      </c>
      <c r="Q1311" s="7">
        <v>0.15</v>
      </c>
      <c r="R1311" t="s">
        <v>175</v>
      </c>
      <c r="S1311">
        <v>13</v>
      </c>
      <c r="T1311">
        <v>400</v>
      </c>
      <c r="U1311">
        <v>60</v>
      </c>
      <c r="V1311">
        <v>340</v>
      </c>
      <c r="W1311">
        <v>230</v>
      </c>
      <c r="X1311">
        <v>110</v>
      </c>
      <c r="Y1311" s="8">
        <v>0.3235294117647059</v>
      </c>
      <c r="Z1311" t="s">
        <v>2995</v>
      </c>
      <c r="AA1311" t="str">
        <f>IF(AND(SalesCleanTable[[#This Row],[Discount %]]&gt;0, SalesCleanTable[[#This Row],[Profit]]&lt;0), "Discount loss", "Safe")</f>
        <v>Safe</v>
      </c>
      <c r="AB1311" s="25">
        <f>(SalesCleanTable[[#This Row],[Unit Price]] - SalesCleanTable[[#This Row],[Unit Cost]]) / SalesCleanTable[[#This Row],[Unit Price]]</f>
        <v>0.42499999999999999</v>
      </c>
      <c r="AC1311" t="str">
        <f>IF(SalesCleanTable[[#This Row],[Discount %]] &gt; SalesCleanTable[[#This Row],[Max Allowed Discount]], "Discount loss", "Safe")</f>
        <v>Safe</v>
      </c>
      <c r="AD1311" s="4">
        <f>SalesCleanTable[[#This Row],[Unit Price]] - SalesCleanTable[[#This Row],[Unit Cost]]</f>
        <v>170</v>
      </c>
      <c r="AE1311" s="41">
        <f>(SalesCleanTable[[#This Row],[Unit Price]] - SalesCleanTable[[#This Row],[Unit Cost]]) / SalesCleanTable[[#This Row],[Unit Price]]</f>
        <v>0.42499999999999999</v>
      </c>
    </row>
    <row r="1312" spans="1:31">
      <c r="A1312" t="s">
        <v>1498</v>
      </c>
      <c r="B1312" s="6">
        <v>45926</v>
      </c>
      <c r="C1312" t="s">
        <v>36</v>
      </c>
      <c r="D1312" t="s">
        <v>37</v>
      </c>
      <c r="E1312" t="s">
        <v>38</v>
      </c>
      <c r="F1312" t="s">
        <v>39</v>
      </c>
      <c r="G1312" t="s">
        <v>40</v>
      </c>
      <c r="H1312" t="s">
        <v>128</v>
      </c>
      <c r="I1312" t="s">
        <v>129</v>
      </c>
      <c r="J1312" t="s">
        <v>130</v>
      </c>
      <c r="K1312" t="s">
        <v>131</v>
      </c>
      <c r="L1312" t="s">
        <v>166</v>
      </c>
      <c r="M1312" t="s">
        <v>177</v>
      </c>
      <c r="N1312">
        <v>2</v>
      </c>
      <c r="O1312" s="4">
        <v>1650</v>
      </c>
      <c r="P1312" s="4">
        <v>2200</v>
      </c>
      <c r="Q1312" s="7">
        <v>0</v>
      </c>
      <c r="R1312" t="s">
        <v>175</v>
      </c>
      <c r="S1312">
        <v>8</v>
      </c>
      <c r="T1312">
        <v>4400</v>
      </c>
      <c r="U1312">
        <v>0</v>
      </c>
      <c r="V1312">
        <v>4400</v>
      </c>
      <c r="W1312">
        <v>3300</v>
      </c>
      <c r="X1312">
        <v>1100</v>
      </c>
      <c r="Y1312" s="8">
        <v>0.25</v>
      </c>
      <c r="Z1312" t="s">
        <v>2995</v>
      </c>
      <c r="AA1312" t="str">
        <f>IF(AND(SalesCleanTable[[#This Row],[Discount %]]&gt;0, SalesCleanTable[[#This Row],[Profit]]&lt;0), "Discount loss", "Safe")</f>
        <v>Safe</v>
      </c>
      <c r="AB1312" s="25">
        <f>(SalesCleanTable[[#This Row],[Unit Price]] - SalesCleanTable[[#This Row],[Unit Cost]]) / SalesCleanTable[[#This Row],[Unit Price]]</f>
        <v>0.25</v>
      </c>
      <c r="AC1312" t="str">
        <f>IF(SalesCleanTable[[#This Row],[Discount %]] &gt; SalesCleanTable[[#This Row],[Max Allowed Discount]], "Discount loss", "Safe")</f>
        <v>Safe</v>
      </c>
      <c r="AD1312" s="4">
        <f>SalesCleanTable[[#This Row],[Unit Price]] - SalesCleanTable[[#This Row],[Unit Cost]]</f>
        <v>550</v>
      </c>
      <c r="AE1312" s="41">
        <f>(SalesCleanTable[[#This Row],[Unit Price]] - SalesCleanTable[[#This Row],[Unit Cost]]) / SalesCleanTable[[#This Row],[Unit Price]]</f>
        <v>0.25</v>
      </c>
    </row>
    <row r="1313" spans="1:31">
      <c r="A1313" t="s">
        <v>1499</v>
      </c>
      <c r="B1313" s="6">
        <v>45932</v>
      </c>
      <c r="C1313" t="s">
        <v>53</v>
      </c>
      <c r="D1313" t="s">
        <v>54</v>
      </c>
      <c r="E1313" t="s">
        <v>38</v>
      </c>
      <c r="F1313" t="s">
        <v>55</v>
      </c>
      <c r="G1313" t="s">
        <v>56</v>
      </c>
      <c r="H1313" t="s">
        <v>149</v>
      </c>
      <c r="I1313" t="s">
        <v>150</v>
      </c>
      <c r="J1313" t="s">
        <v>151</v>
      </c>
      <c r="K1313" t="s">
        <v>152</v>
      </c>
      <c r="L1313" t="s">
        <v>166</v>
      </c>
      <c r="M1313" t="s">
        <v>171</v>
      </c>
      <c r="N1313">
        <v>5</v>
      </c>
      <c r="O1313" s="4">
        <v>330</v>
      </c>
      <c r="P1313" s="4">
        <v>550</v>
      </c>
      <c r="Q1313" s="7">
        <v>0</v>
      </c>
      <c r="R1313" t="s">
        <v>175</v>
      </c>
      <c r="S1313">
        <v>3</v>
      </c>
      <c r="T1313">
        <v>2750</v>
      </c>
      <c r="U1313">
        <v>0</v>
      </c>
      <c r="V1313">
        <v>2750</v>
      </c>
      <c r="W1313">
        <v>1650</v>
      </c>
      <c r="X1313">
        <v>1100</v>
      </c>
      <c r="Y1313" s="8">
        <v>0.4</v>
      </c>
      <c r="Z1313" t="s">
        <v>2996</v>
      </c>
      <c r="AA1313" t="str">
        <f>IF(AND(SalesCleanTable[[#This Row],[Discount %]]&gt;0, SalesCleanTable[[#This Row],[Profit]]&lt;0), "Discount loss", "Safe")</f>
        <v>Safe</v>
      </c>
      <c r="AB1313" s="25">
        <f>(SalesCleanTable[[#This Row],[Unit Price]] - SalesCleanTable[[#This Row],[Unit Cost]]) / SalesCleanTable[[#This Row],[Unit Price]]</f>
        <v>0.4</v>
      </c>
      <c r="AC1313" t="str">
        <f>IF(SalesCleanTable[[#This Row],[Discount %]] &gt; SalesCleanTable[[#This Row],[Max Allowed Discount]], "Discount loss", "Safe")</f>
        <v>Safe</v>
      </c>
      <c r="AD1313" s="4">
        <f>SalesCleanTable[[#This Row],[Unit Price]] - SalesCleanTable[[#This Row],[Unit Cost]]</f>
        <v>220</v>
      </c>
      <c r="AE1313" s="41">
        <f>(SalesCleanTable[[#This Row],[Unit Price]] - SalesCleanTable[[#This Row],[Unit Cost]]) / SalesCleanTable[[#This Row],[Unit Price]]</f>
        <v>0.4</v>
      </c>
    </row>
    <row r="1314" spans="1:31">
      <c r="A1314" t="s">
        <v>1500</v>
      </c>
      <c r="B1314" s="6">
        <v>45934</v>
      </c>
      <c r="C1314" t="s">
        <v>49</v>
      </c>
      <c r="D1314" t="s">
        <v>50</v>
      </c>
      <c r="E1314" t="s">
        <v>38</v>
      </c>
      <c r="F1314" t="s">
        <v>51</v>
      </c>
      <c r="G1314" t="s">
        <v>52</v>
      </c>
      <c r="H1314" t="s">
        <v>141</v>
      </c>
      <c r="I1314" t="s">
        <v>142</v>
      </c>
      <c r="J1314" t="s">
        <v>143</v>
      </c>
      <c r="K1314" t="s">
        <v>144</v>
      </c>
      <c r="L1314" t="s">
        <v>183</v>
      </c>
      <c r="M1314" t="s">
        <v>171</v>
      </c>
      <c r="N1314">
        <v>4</v>
      </c>
      <c r="O1314" s="4">
        <v>550</v>
      </c>
      <c r="P1314" s="4">
        <v>850</v>
      </c>
      <c r="Q1314" s="7">
        <v>0.05</v>
      </c>
      <c r="R1314" t="s">
        <v>178</v>
      </c>
      <c r="S1314">
        <v>3</v>
      </c>
      <c r="T1314">
        <v>3400</v>
      </c>
      <c r="U1314">
        <v>170</v>
      </c>
      <c r="V1314">
        <v>3230</v>
      </c>
      <c r="W1314">
        <v>2200</v>
      </c>
      <c r="X1314">
        <v>1030</v>
      </c>
      <c r="Y1314" s="8">
        <v>0.31888544891640869</v>
      </c>
      <c r="Z1314" t="s">
        <v>2996</v>
      </c>
      <c r="AA1314" t="str">
        <f>IF(AND(SalesCleanTable[[#This Row],[Discount %]]&gt;0, SalesCleanTable[[#This Row],[Profit]]&lt;0), "Discount loss", "Safe")</f>
        <v>Safe</v>
      </c>
      <c r="AB1314" s="25">
        <f>(SalesCleanTable[[#This Row],[Unit Price]] - SalesCleanTable[[#This Row],[Unit Cost]]) / SalesCleanTable[[#This Row],[Unit Price]]</f>
        <v>0.35294117647058826</v>
      </c>
      <c r="AC1314" t="str">
        <f>IF(SalesCleanTable[[#This Row],[Discount %]] &gt; SalesCleanTable[[#This Row],[Max Allowed Discount]], "Discount loss", "Safe")</f>
        <v>Safe</v>
      </c>
      <c r="AD1314" s="4">
        <f>SalesCleanTable[[#This Row],[Unit Price]] - SalesCleanTable[[#This Row],[Unit Cost]]</f>
        <v>300</v>
      </c>
      <c r="AE1314" s="41">
        <f>(SalesCleanTable[[#This Row],[Unit Price]] - SalesCleanTable[[#This Row],[Unit Cost]]) / SalesCleanTable[[#This Row],[Unit Price]]</f>
        <v>0.35294117647058826</v>
      </c>
    </row>
    <row r="1315" spans="1:31">
      <c r="A1315" t="s">
        <v>1501</v>
      </c>
      <c r="B1315" s="6">
        <v>45724</v>
      </c>
      <c r="C1315" t="s">
        <v>95</v>
      </c>
      <c r="D1315" t="s">
        <v>96</v>
      </c>
      <c r="E1315" t="s">
        <v>92</v>
      </c>
      <c r="F1315" t="s">
        <v>97</v>
      </c>
      <c r="G1315" t="s">
        <v>98</v>
      </c>
      <c r="H1315" t="s">
        <v>133</v>
      </c>
      <c r="I1315" t="s">
        <v>134</v>
      </c>
      <c r="J1315" t="s">
        <v>130</v>
      </c>
      <c r="K1315" t="s">
        <v>131</v>
      </c>
      <c r="L1315" t="s">
        <v>183</v>
      </c>
      <c r="M1315" t="s">
        <v>167</v>
      </c>
      <c r="N1315">
        <v>4</v>
      </c>
      <c r="O1315" s="4">
        <v>18000</v>
      </c>
      <c r="P1315" s="4">
        <v>24500</v>
      </c>
      <c r="Q1315" s="7">
        <v>0.1</v>
      </c>
      <c r="R1315" t="s">
        <v>215</v>
      </c>
      <c r="S1315">
        <v>2</v>
      </c>
      <c r="T1315">
        <v>98000</v>
      </c>
      <c r="U1315">
        <v>9800</v>
      </c>
      <c r="V1315">
        <v>88200</v>
      </c>
      <c r="W1315">
        <v>72000</v>
      </c>
      <c r="X1315">
        <v>16200</v>
      </c>
      <c r="Y1315" s="8">
        <v>0.18367346938775511</v>
      </c>
      <c r="Z1315" t="s">
        <v>2995</v>
      </c>
      <c r="AA1315" t="str">
        <f>IF(AND(SalesCleanTable[[#This Row],[Discount %]]&gt;0, SalesCleanTable[[#This Row],[Profit]]&lt;0), "Discount loss", "Safe")</f>
        <v>Safe</v>
      </c>
      <c r="AB1315" s="25">
        <f>(SalesCleanTable[[#This Row],[Unit Price]] - SalesCleanTable[[#This Row],[Unit Cost]]) / SalesCleanTable[[#This Row],[Unit Price]]</f>
        <v>0.26530612244897961</v>
      </c>
      <c r="AC1315" t="str">
        <f>IF(SalesCleanTable[[#This Row],[Discount %]] &gt; SalesCleanTable[[#This Row],[Max Allowed Discount]], "Discount loss", "Safe")</f>
        <v>Safe</v>
      </c>
      <c r="AD1315" s="4">
        <f>SalesCleanTable[[#This Row],[Unit Price]] - SalesCleanTable[[#This Row],[Unit Cost]]</f>
        <v>6500</v>
      </c>
      <c r="AE1315" s="41">
        <f>(SalesCleanTable[[#This Row],[Unit Price]] - SalesCleanTable[[#This Row],[Unit Cost]]) / SalesCleanTable[[#This Row],[Unit Price]]</f>
        <v>0.26530612244897961</v>
      </c>
    </row>
    <row r="1316" spans="1:31">
      <c r="A1316" t="s">
        <v>1502</v>
      </c>
      <c r="B1316" s="6">
        <v>45786</v>
      </c>
      <c r="C1316" t="s">
        <v>36</v>
      </c>
      <c r="D1316" t="s">
        <v>37</v>
      </c>
      <c r="E1316" t="s">
        <v>38</v>
      </c>
      <c r="F1316" t="s">
        <v>39</v>
      </c>
      <c r="G1316" t="s">
        <v>40</v>
      </c>
      <c r="H1316" t="s">
        <v>141</v>
      </c>
      <c r="I1316" t="s">
        <v>142</v>
      </c>
      <c r="J1316" t="s">
        <v>143</v>
      </c>
      <c r="K1316" t="s">
        <v>144</v>
      </c>
      <c r="L1316" t="s">
        <v>183</v>
      </c>
      <c r="M1316" t="s">
        <v>186</v>
      </c>
      <c r="N1316">
        <v>2</v>
      </c>
      <c r="O1316" s="4">
        <v>1650</v>
      </c>
      <c r="P1316" s="4">
        <v>2200</v>
      </c>
      <c r="Q1316" s="7">
        <v>0.2</v>
      </c>
      <c r="R1316" t="s">
        <v>168</v>
      </c>
      <c r="S1316">
        <v>5</v>
      </c>
      <c r="T1316">
        <v>4400</v>
      </c>
      <c r="U1316">
        <v>880</v>
      </c>
      <c r="V1316">
        <v>3520</v>
      </c>
      <c r="W1316">
        <v>3300</v>
      </c>
      <c r="X1316">
        <v>220</v>
      </c>
      <c r="Y1316" s="8">
        <v>6.25E-2</v>
      </c>
      <c r="Z1316" t="s">
        <v>2995</v>
      </c>
      <c r="AA1316" t="str">
        <f>IF(AND(SalesCleanTable[[#This Row],[Discount %]]&gt;0, SalesCleanTable[[#This Row],[Profit]]&lt;0), "Discount loss", "Safe")</f>
        <v>Safe</v>
      </c>
      <c r="AB1316" s="25">
        <f>(SalesCleanTable[[#This Row],[Unit Price]] - SalesCleanTable[[#This Row],[Unit Cost]]) / SalesCleanTable[[#This Row],[Unit Price]]</f>
        <v>0.25</v>
      </c>
      <c r="AC1316" t="str">
        <f>IF(SalesCleanTable[[#This Row],[Discount %]] &gt; SalesCleanTable[[#This Row],[Max Allowed Discount]], "Discount loss", "Safe")</f>
        <v>Safe</v>
      </c>
      <c r="AD1316" s="4">
        <f>SalesCleanTable[[#This Row],[Unit Price]] - SalesCleanTable[[#This Row],[Unit Cost]]</f>
        <v>550</v>
      </c>
      <c r="AE1316" s="41">
        <f>(SalesCleanTable[[#This Row],[Unit Price]] - SalesCleanTable[[#This Row],[Unit Cost]]) / SalesCleanTable[[#This Row],[Unit Price]]</f>
        <v>0.25</v>
      </c>
    </row>
    <row r="1317" spans="1:31">
      <c r="A1317" t="s">
        <v>1503</v>
      </c>
      <c r="B1317" s="6">
        <v>45725</v>
      </c>
      <c r="C1317" t="s">
        <v>45</v>
      </c>
      <c r="D1317" t="s">
        <v>46</v>
      </c>
      <c r="E1317" t="s">
        <v>38</v>
      </c>
      <c r="F1317" t="s">
        <v>47</v>
      </c>
      <c r="G1317" t="s">
        <v>48</v>
      </c>
      <c r="H1317" t="s">
        <v>135</v>
      </c>
      <c r="I1317" t="s">
        <v>136</v>
      </c>
      <c r="J1317" t="s">
        <v>137</v>
      </c>
      <c r="K1317" t="s">
        <v>138</v>
      </c>
      <c r="L1317" t="s">
        <v>183</v>
      </c>
      <c r="M1317" t="s">
        <v>171</v>
      </c>
      <c r="N1317">
        <v>1</v>
      </c>
      <c r="O1317" s="4">
        <v>230</v>
      </c>
      <c r="P1317" s="4">
        <v>400</v>
      </c>
      <c r="Q1317" s="7">
        <v>0.1</v>
      </c>
      <c r="R1317" t="s">
        <v>175</v>
      </c>
      <c r="S1317">
        <v>11</v>
      </c>
      <c r="T1317">
        <v>400</v>
      </c>
      <c r="U1317">
        <v>40</v>
      </c>
      <c r="V1317">
        <v>360</v>
      </c>
      <c r="W1317">
        <v>230</v>
      </c>
      <c r="X1317">
        <v>130</v>
      </c>
      <c r="Y1317" s="8">
        <v>0.3611111111111111</v>
      </c>
      <c r="Z1317" t="s">
        <v>2995</v>
      </c>
      <c r="AA1317" t="str">
        <f>IF(AND(SalesCleanTable[[#This Row],[Discount %]]&gt;0, SalesCleanTable[[#This Row],[Profit]]&lt;0), "Discount loss", "Safe")</f>
        <v>Safe</v>
      </c>
      <c r="AB1317" s="25">
        <f>(SalesCleanTable[[#This Row],[Unit Price]] - SalesCleanTable[[#This Row],[Unit Cost]]) / SalesCleanTable[[#This Row],[Unit Price]]</f>
        <v>0.42499999999999999</v>
      </c>
      <c r="AC1317" t="str">
        <f>IF(SalesCleanTable[[#This Row],[Discount %]] &gt; SalesCleanTable[[#This Row],[Max Allowed Discount]], "Discount loss", "Safe")</f>
        <v>Safe</v>
      </c>
      <c r="AD1317" s="4">
        <f>SalesCleanTable[[#This Row],[Unit Price]] - SalesCleanTable[[#This Row],[Unit Cost]]</f>
        <v>170</v>
      </c>
      <c r="AE1317" s="41">
        <f>(SalesCleanTable[[#This Row],[Unit Price]] - SalesCleanTable[[#This Row],[Unit Cost]]) / SalesCleanTable[[#This Row],[Unit Price]]</f>
        <v>0.42499999999999999</v>
      </c>
    </row>
    <row r="1318" spans="1:31">
      <c r="A1318" t="s">
        <v>1504</v>
      </c>
      <c r="B1318" s="6">
        <v>45759</v>
      </c>
      <c r="C1318" t="s">
        <v>116</v>
      </c>
      <c r="D1318" t="s">
        <v>117</v>
      </c>
      <c r="E1318" t="s">
        <v>109</v>
      </c>
      <c r="F1318" t="s">
        <v>118</v>
      </c>
      <c r="G1318" t="s">
        <v>119</v>
      </c>
      <c r="H1318" t="s">
        <v>128</v>
      </c>
      <c r="I1318" t="s">
        <v>129</v>
      </c>
      <c r="J1318" t="s">
        <v>130</v>
      </c>
      <c r="K1318" t="s">
        <v>131</v>
      </c>
      <c r="L1318" t="s">
        <v>166</v>
      </c>
      <c r="M1318" t="s">
        <v>186</v>
      </c>
      <c r="N1318">
        <v>3</v>
      </c>
      <c r="O1318" s="4">
        <v>2800</v>
      </c>
      <c r="P1318" s="4">
        <v>4200</v>
      </c>
      <c r="Q1318" s="7">
        <v>0.15</v>
      </c>
      <c r="R1318" t="s">
        <v>235</v>
      </c>
      <c r="S1318">
        <v>10</v>
      </c>
      <c r="T1318">
        <v>12600</v>
      </c>
      <c r="U1318">
        <v>1890</v>
      </c>
      <c r="V1318">
        <v>10710</v>
      </c>
      <c r="W1318">
        <v>8400</v>
      </c>
      <c r="X1318">
        <v>2310</v>
      </c>
      <c r="Y1318" s="8">
        <v>0.21568627450980393</v>
      </c>
      <c r="Z1318" t="s">
        <v>2995</v>
      </c>
      <c r="AA1318" t="str">
        <f>IF(AND(SalesCleanTable[[#This Row],[Discount %]]&gt;0, SalesCleanTable[[#This Row],[Profit]]&lt;0), "Discount loss", "Safe")</f>
        <v>Safe</v>
      </c>
      <c r="AB1318" s="25">
        <f>(SalesCleanTable[[#This Row],[Unit Price]] - SalesCleanTable[[#This Row],[Unit Cost]]) / SalesCleanTable[[#This Row],[Unit Price]]</f>
        <v>0.33333333333333331</v>
      </c>
      <c r="AC1318" t="str">
        <f>IF(SalesCleanTable[[#This Row],[Discount %]] &gt; SalesCleanTable[[#This Row],[Max Allowed Discount]], "Discount loss", "Safe")</f>
        <v>Safe</v>
      </c>
      <c r="AD1318" s="4">
        <f>SalesCleanTable[[#This Row],[Unit Price]] - SalesCleanTable[[#This Row],[Unit Cost]]</f>
        <v>1400</v>
      </c>
      <c r="AE1318" s="41">
        <f>(SalesCleanTable[[#This Row],[Unit Price]] - SalesCleanTable[[#This Row],[Unit Cost]]) / SalesCleanTable[[#This Row],[Unit Price]]</f>
        <v>0.33333333333333331</v>
      </c>
    </row>
    <row r="1319" spans="1:31">
      <c r="A1319" t="s">
        <v>1505</v>
      </c>
      <c r="B1319" s="6">
        <v>45834</v>
      </c>
      <c r="C1319" t="s">
        <v>36</v>
      </c>
      <c r="D1319" t="s">
        <v>37</v>
      </c>
      <c r="E1319" t="s">
        <v>38</v>
      </c>
      <c r="F1319" t="s">
        <v>39</v>
      </c>
      <c r="G1319" t="s">
        <v>40</v>
      </c>
      <c r="H1319" t="s">
        <v>149</v>
      </c>
      <c r="I1319" t="s">
        <v>150</v>
      </c>
      <c r="J1319" t="s">
        <v>151</v>
      </c>
      <c r="K1319" t="s">
        <v>152</v>
      </c>
      <c r="L1319" t="s">
        <v>170</v>
      </c>
      <c r="M1319" t="s">
        <v>186</v>
      </c>
      <c r="N1319">
        <v>10</v>
      </c>
      <c r="O1319" s="4">
        <v>1650</v>
      </c>
      <c r="P1319" s="4">
        <v>2200</v>
      </c>
      <c r="Q1319" s="7">
        <v>0.05</v>
      </c>
      <c r="R1319" t="s">
        <v>175</v>
      </c>
      <c r="S1319">
        <v>9</v>
      </c>
      <c r="T1319">
        <v>22000</v>
      </c>
      <c r="U1319">
        <v>1100</v>
      </c>
      <c r="V1319">
        <v>20900</v>
      </c>
      <c r="W1319">
        <v>16500</v>
      </c>
      <c r="X1319">
        <v>4400</v>
      </c>
      <c r="Y1319" s="8">
        <v>0.21052631578947367</v>
      </c>
      <c r="Z1319" t="s">
        <v>2995</v>
      </c>
      <c r="AA1319" t="str">
        <f>IF(AND(SalesCleanTable[[#This Row],[Discount %]]&gt;0, SalesCleanTable[[#This Row],[Profit]]&lt;0), "Discount loss", "Safe")</f>
        <v>Safe</v>
      </c>
      <c r="AB1319" s="25">
        <f>(SalesCleanTable[[#This Row],[Unit Price]] - SalesCleanTable[[#This Row],[Unit Cost]]) / SalesCleanTable[[#This Row],[Unit Price]]</f>
        <v>0.25</v>
      </c>
      <c r="AC1319" t="str">
        <f>IF(SalesCleanTable[[#This Row],[Discount %]] &gt; SalesCleanTable[[#This Row],[Max Allowed Discount]], "Discount loss", "Safe")</f>
        <v>Safe</v>
      </c>
      <c r="AD1319" s="4">
        <f>SalesCleanTable[[#This Row],[Unit Price]] - SalesCleanTable[[#This Row],[Unit Cost]]</f>
        <v>550</v>
      </c>
      <c r="AE1319" s="41">
        <f>(SalesCleanTable[[#This Row],[Unit Price]] - SalesCleanTable[[#This Row],[Unit Cost]]) / SalesCleanTable[[#This Row],[Unit Price]]</f>
        <v>0.25</v>
      </c>
    </row>
    <row r="1320" spans="1:31">
      <c r="A1320" t="s">
        <v>1506</v>
      </c>
      <c r="B1320" s="6">
        <v>45801</v>
      </c>
      <c r="C1320" t="s">
        <v>78</v>
      </c>
      <c r="D1320" t="s">
        <v>79</v>
      </c>
      <c r="E1320" t="s">
        <v>75</v>
      </c>
      <c r="F1320" t="s">
        <v>80</v>
      </c>
      <c r="G1320" t="s">
        <v>81</v>
      </c>
      <c r="H1320" t="s">
        <v>139</v>
      </c>
      <c r="I1320" t="s">
        <v>140</v>
      </c>
      <c r="J1320" t="s">
        <v>137</v>
      </c>
      <c r="K1320" t="s">
        <v>138</v>
      </c>
      <c r="L1320" t="s">
        <v>166</v>
      </c>
      <c r="M1320" t="s">
        <v>186</v>
      </c>
      <c r="N1320">
        <v>2</v>
      </c>
      <c r="O1320" s="4">
        <v>1200</v>
      </c>
      <c r="P1320" s="4">
        <v>1900</v>
      </c>
      <c r="Q1320" s="7">
        <v>0.2</v>
      </c>
      <c r="R1320" t="s">
        <v>208</v>
      </c>
      <c r="S1320">
        <v>13</v>
      </c>
      <c r="T1320">
        <v>3800</v>
      </c>
      <c r="U1320">
        <v>760</v>
      </c>
      <c r="V1320">
        <v>3040</v>
      </c>
      <c r="W1320">
        <v>2400</v>
      </c>
      <c r="X1320">
        <v>640</v>
      </c>
      <c r="Y1320" s="8">
        <v>0.21052631578947367</v>
      </c>
      <c r="Z1320" t="s">
        <v>2996</v>
      </c>
      <c r="AA1320" t="str">
        <f>IF(AND(SalesCleanTable[[#This Row],[Discount %]]&gt;0, SalesCleanTable[[#This Row],[Profit]]&lt;0), "Discount loss", "Safe")</f>
        <v>Safe</v>
      </c>
      <c r="AB1320" s="25">
        <f>(SalesCleanTable[[#This Row],[Unit Price]] - SalesCleanTable[[#This Row],[Unit Cost]]) / SalesCleanTable[[#This Row],[Unit Price]]</f>
        <v>0.36842105263157893</v>
      </c>
      <c r="AC1320" t="str">
        <f>IF(SalesCleanTable[[#This Row],[Discount %]] &gt; SalesCleanTable[[#This Row],[Max Allowed Discount]], "Discount loss", "Safe")</f>
        <v>Safe</v>
      </c>
      <c r="AD1320" s="4">
        <f>SalesCleanTable[[#This Row],[Unit Price]] - SalesCleanTable[[#This Row],[Unit Cost]]</f>
        <v>700</v>
      </c>
      <c r="AE1320" s="41">
        <f>(SalesCleanTable[[#This Row],[Unit Price]] - SalesCleanTable[[#This Row],[Unit Cost]]) / SalesCleanTable[[#This Row],[Unit Price]]</f>
        <v>0.36842105263157893</v>
      </c>
    </row>
    <row r="1321" spans="1:31">
      <c r="A1321" t="s">
        <v>1507</v>
      </c>
      <c r="B1321" s="6">
        <v>45997</v>
      </c>
      <c r="C1321" t="s">
        <v>32</v>
      </c>
      <c r="D1321" t="s">
        <v>33</v>
      </c>
      <c r="E1321" t="s">
        <v>26</v>
      </c>
      <c r="F1321" t="s">
        <v>34</v>
      </c>
      <c r="G1321" t="s">
        <v>35</v>
      </c>
      <c r="H1321" t="s">
        <v>149</v>
      </c>
      <c r="I1321" t="s">
        <v>150</v>
      </c>
      <c r="J1321" t="s">
        <v>151</v>
      </c>
      <c r="K1321" t="s">
        <v>152</v>
      </c>
      <c r="L1321" t="s">
        <v>183</v>
      </c>
      <c r="M1321" t="s">
        <v>186</v>
      </c>
      <c r="N1321">
        <v>4</v>
      </c>
      <c r="O1321" s="4">
        <v>7800</v>
      </c>
      <c r="P1321" s="4">
        <v>9800</v>
      </c>
      <c r="Q1321" s="7">
        <v>0</v>
      </c>
      <c r="R1321" t="s">
        <v>197</v>
      </c>
      <c r="S1321">
        <v>9</v>
      </c>
      <c r="T1321">
        <v>39200</v>
      </c>
      <c r="U1321">
        <v>0</v>
      </c>
      <c r="V1321">
        <v>39200</v>
      </c>
      <c r="W1321">
        <v>31200</v>
      </c>
      <c r="X1321">
        <v>8000</v>
      </c>
      <c r="Y1321" s="8">
        <v>0.20408163265306123</v>
      </c>
      <c r="Z1321" t="s">
        <v>2995</v>
      </c>
      <c r="AA1321" t="str">
        <f>IF(AND(SalesCleanTable[[#This Row],[Discount %]]&gt;0, SalesCleanTable[[#This Row],[Profit]]&lt;0), "Discount loss", "Safe")</f>
        <v>Safe</v>
      </c>
      <c r="AB1321" s="25">
        <f>(SalesCleanTable[[#This Row],[Unit Price]] - SalesCleanTable[[#This Row],[Unit Cost]]) / SalesCleanTable[[#This Row],[Unit Price]]</f>
        <v>0.20408163265306123</v>
      </c>
      <c r="AC1321" t="str">
        <f>IF(SalesCleanTable[[#This Row],[Discount %]] &gt; SalesCleanTable[[#This Row],[Max Allowed Discount]], "Discount loss", "Safe")</f>
        <v>Safe</v>
      </c>
      <c r="AD1321" s="4">
        <f>SalesCleanTable[[#This Row],[Unit Price]] - SalesCleanTable[[#This Row],[Unit Cost]]</f>
        <v>2000</v>
      </c>
      <c r="AE1321" s="41">
        <f>(SalesCleanTable[[#This Row],[Unit Price]] - SalesCleanTable[[#This Row],[Unit Cost]]) / SalesCleanTable[[#This Row],[Unit Price]]</f>
        <v>0.20408163265306123</v>
      </c>
    </row>
    <row r="1322" spans="1:31">
      <c r="A1322" t="s">
        <v>1508</v>
      </c>
      <c r="B1322" s="6">
        <v>45774</v>
      </c>
      <c r="C1322" t="s">
        <v>116</v>
      </c>
      <c r="D1322" t="s">
        <v>117</v>
      </c>
      <c r="E1322" t="s">
        <v>109</v>
      </c>
      <c r="F1322" t="s">
        <v>118</v>
      </c>
      <c r="G1322" t="s">
        <v>119</v>
      </c>
      <c r="H1322" t="s">
        <v>149</v>
      </c>
      <c r="I1322" t="s">
        <v>150</v>
      </c>
      <c r="J1322" t="s">
        <v>151</v>
      </c>
      <c r="K1322" t="s">
        <v>152</v>
      </c>
      <c r="L1322" t="s">
        <v>166</v>
      </c>
      <c r="M1322" t="s">
        <v>186</v>
      </c>
      <c r="N1322">
        <v>1</v>
      </c>
      <c r="O1322" s="4">
        <v>2800</v>
      </c>
      <c r="P1322" s="4">
        <v>4200</v>
      </c>
      <c r="Q1322" s="7">
        <v>0.1</v>
      </c>
      <c r="R1322" t="s">
        <v>220</v>
      </c>
      <c r="S1322">
        <v>7</v>
      </c>
      <c r="T1322">
        <v>4200</v>
      </c>
      <c r="U1322">
        <v>420</v>
      </c>
      <c r="V1322">
        <v>3780</v>
      </c>
      <c r="W1322">
        <v>2800</v>
      </c>
      <c r="X1322">
        <v>980</v>
      </c>
      <c r="Y1322" s="8">
        <v>0.25925925925925924</v>
      </c>
      <c r="Z1322" t="s">
        <v>2995</v>
      </c>
      <c r="AA1322" t="str">
        <f>IF(AND(SalesCleanTable[[#This Row],[Discount %]]&gt;0, SalesCleanTable[[#This Row],[Profit]]&lt;0), "Discount loss", "Safe")</f>
        <v>Safe</v>
      </c>
      <c r="AB1322" s="25">
        <f>(SalesCleanTable[[#This Row],[Unit Price]] - SalesCleanTable[[#This Row],[Unit Cost]]) / SalesCleanTable[[#This Row],[Unit Price]]</f>
        <v>0.33333333333333331</v>
      </c>
      <c r="AC1322" t="str">
        <f>IF(SalesCleanTable[[#This Row],[Discount %]] &gt; SalesCleanTable[[#This Row],[Max Allowed Discount]], "Discount loss", "Safe")</f>
        <v>Safe</v>
      </c>
      <c r="AD1322" s="4">
        <f>SalesCleanTable[[#This Row],[Unit Price]] - SalesCleanTable[[#This Row],[Unit Cost]]</f>
        <v>1400</v>
      </c>
      <c r="AE1322" s="41">
        <f>(SalesCleanTable[[#This Row],[Unit Price]] - SalesCleanTable[[#This Row],[Unit Cost]]) / SalesCleanTable[[#This Row],[Unit Price]]</f>
        <v>0.33333333333333331</v>
      </c>
    </row>
    <row r="1323" spans="1:31">
      <c r="A1323" t="s">
        <v>1509</v>
      </c>
      <c r="B1323" s="6">
        <v>45700</v>
      </c>
      <c r="C1323" t="s">
        <v>116</v>
      </c>
      <c r="D1323" t="s">
        <v>117</v>
      </c>
      <c r="E1323" t="s">
        <v>109</v>
      </c>
      <c r="F1323" t="s">
        <v>118</v>
      </c>
      <c r="G1323" t="s">
        <v>119</v>
      </c>
      <c r="H1323" t="s">
        <v>153</v>
      </c>
      <c r="I1323" t="s">
        <v>154</v>
      </c>
      <c r="J1323" t="s">
        <v>155</v>
      </c>
      <c r="K1323" t="s">
        <v>131</v>
      </c>
      <c r="L1323" t="s">
        <v>183</v>
      </c>
      <c r="M1323" t="s">
        <v>186</v>
      </c>
      <c r="N1323">
        <v>1</v>
      </c>
      <c r="O1323" s="4">
        <v>2800</v>
      </c>
      <c r="P1323" s="4">
        <v>4200</v>
      </c>
      <c r="Q1323" s="7">
        <v>0.15</v>
      </c>
      <c r="R1323" t="s">
        <v>235</v>
      </c>
      <c r="S1323">
        <v>14</v>
      </c>
      <c r="T1323">
        <v>4200</v>
      </c>
      <c r="U1323">
        <v>630</v>
      </c>
      <c r="V1323">
        <v>3570</v>
      </c>
      <c r="W1323">
        <v>2800</v>
      </c>
      <c r="X1323">
        <v>770</v>
      </c>
      <c r="Y1323" s="8">
        <v>0.21568627450980393</v>
      </c>
      <c r="Z1323" t="s">
        <v>2995</v>
      </c>
      <c r="AA1323" t="str">
        <f>IF(AND(SalesCleanTable[[#This Row],[Discount %]]&gt;0, SalesCleanTable[[#This Row],[Profit]]&lt;0), "Discount loss", "Safe")</f>
        <v>Safe</v>
      </c>
      <c r="AB1323" s="25">
        <f>(SalesCleanTable[[#This Row],[Unit Price]] - SalesCleanTable[[#This Row],[Unit Cost]]) / SalesCleanTable[[#This Row],[Unit Price]]</f>
        <v>0.33333333333333331</v>
      </c>
      <c r="AC1323" t="str">
        <f>IF(SalesCleanTable[[#This Row],[Discount %]] &gt; SalesCleanTable[[#This Row],[Max Allowed Discount]], "Discount loss", "Safe")</f>
        <v>Safe</v>
      </c>
      <c r="AD1323" s="4">
        <f>SalesCleanTable[[#This Row],[Unit Price]] - SalesCleanTable[[#This Row],[Unit Cost]]</f>
        <v>1400</v>
      </c>
      <c r="AE1323" s="41">
        <f>(SalesCleanTable[[#This Row],[Unit Price]] - SalesCleanTable[[#This Row],[Unit Cost]]) / SalesCleanTable[[#This Row],[Unit Price]]</f>
        <v>0.33333333333333331</v>
      </c>
    </row>
    <row r="1324" spans="1:31">
      <c r="A1324" t="s">
        <v>1510</v>
      </c>
      <c r="B1324" s="6">
        <v>45666</v>
      </c>
      <c r="C1324" t="s">
        <v>41</v>
      </c>
      <c r="D1324" t="s">
        <v>42</v>
      </c>
      <c r="E1324" t="s">
        <v>26</v>
      </c>
      <c r="F1324" t="s">
        <v>43</v>
      </c>
      <c r="G1324" t="s">
        <v>44</v>
      </c>
      <c r="H1324" t="s">
        <v>145</v>
      </c>
      <c r="I1324" t="s">
        <v>146</v>
      </c>
      <c r="J1324" t="s">
        <v>147</v>
      </c>
      <c r="K1324" t="s">
        <v>148</v>
      </c>
      <c r="L1324" t="s">
        <v>166</v>
      </c>
      <c r="M1324" t="s">
        <v>171</v>
      </c>
      <c r="N1324">
        <v>3</v>
      </c>
      <c r="O1324" s="4">
        <v>850</v>
      </c>
      <c r="P1324" s="4">
        <v>1300</v>
      </c>
      <c r="Q1324" s="7">
        <v>0.15</v>
      </c>
      <c r="R1324" t="s">
        <v>197</v>
      </c>
      <c r="S1324">
        <v>13</v>
      </c>
      <c r="T1324">
        <v>3900</v>
      </c>
      <c r="U1324">
        <v>585</v>
      </c>
      <c r="V1324">
        <v>3315</v>
      </c>
      <c r="W1324">
        <v>2550</v>
      </c>
      <c r="X1324">
        <v>765</v>
      </c>
      <c r="Y1324" s="8">
        <v>0.23076923076923078</v>
      </c>
      <c r="Z1324" t="s">
        <v>2995</v>
      </c>
      <c r="AA1324" t="str">
        <f>IF(AND(SalesCleanTable[[#This Row],[Discount %]]&gt;0, SalesCleanTable[[#This Row],[Profit]]&lt;0), "Discount loss", "Safe")</f>
        <v>Safe</v>
      </c>
      <c r="AB1324" s="25">
        <f>(SalesCleanTable[[#This Row],[Unit Price]] - SalesCleanTable[[#This Row],[Unit Cost]]) / SalesCleanTable[[#This Row],[Unit Price]]</f>
        <v>0.34615384615384615</v>
      </c>
      <c r="AC1324" t="str">
        <f>IF(SalesCleanTable[[#This Row],[Discount %]] &gt; SalesCleanTable[[#This Row],[Max Allowed Discount]], "Discount loss", "Safe")</f>
        <v>Safe</v>
      </c>
      <c r="AD1324" s="4">
        <f>SalesCleanTable[[#This Row],[Unit Price]] - SalesCleanTable[[#This Row],[Unit Cost]]</f>
        <v>450</v>
      </c>
      <c r="AE1324" s="41">
        <f>(SalesCleanTable[[#This Row],[Unit Price]] - SalesCleanTable[[#This Row],[Unit Cost]]) / SalesCleanTable[[#This Row],[Unit Price]]</f>
        <v>0.34615384615384615</v>
      </c>
    </row>
    <row r="1325" spans="1:31">
      <c r="A1325" t="s">
        <v>1511</v>
      </c>
      <c r="B1325" s="6">
        <v>45934</v>
      </c>
      <c r="C1325" t="s">
        <v>41</v>
      </c>
      <c r="D1325" t="s">
        <v>42</v>
      </c>
      <c r="E1325" t="s">
        <v>26</v>
      </c>
      <c r="F1325" t="s">
        <v>43</v>
      </c>
      <c r="G1325" t="s">
        <v>44</v>
      </c>
      <c r="H1325" t="s">
        <v>153</v>
      </c>
      <c r="I1325" t="s">
        <v>154</v>
      </c>
      <c r="J1325" t="s">
        <v>155</v>
      </c>
      <c r="K1325" t="s">
        <v>131</v>
      </c>
      <c r="L1325" t="s">
        <v>166</v>
      </c>
      <c r="M1325" t="s">
        <v>177</v>
      </c>
      <c r="N1325">
        <v>3</v>
      </c>
      <c r="O1325" s="4">
        <v>850</v>
      </c>
      <c r="P1325" s="4">
        <v>1300</v>
      </c>
      <c r="Q1325" s="7">
        <v>0.05</v>
      </c>
      <c r="R1325" t="s">
        <v>173</v>
      </c>
      <c r="S1325">
        <v>14</v>
      </c>
      <c r="T1325">
        <v>3900</v>
      </c>
      <c r="U1325">
        <v>195</v>
      </c>
      <c r="V1325">
        <v>3705</v>
      </c>
      <c r="W1325">
        <v>2550</v>
      </c>
      <c r="X1325">
        <v>1155</v>
      </c>
      <c r="Y1325" s="8">
        <v>0.31174089068825911</v>
      </c>
      <c r="Z1325" t="s">
        <v>2995</v>
      </c>
      <c r="AA1325" t="str">
        <f>IF(AND(SalesCleanTable[[#This Row],[Discount %]]&gt;0, SalesCleanTable[[#This Row],[Profit]]&lt;0), "Discount loss", "Safe")</f>
        <v>Safe</v>
      </c>
      <c r="AB1325" s="25">
        <f>(SalesCleanTable[[#This Row],[Unit Price]] - SalesCleanTable[[#This Row],[Unit Cost]]) / SalesCleanTable[[#This Row],[Unit Price]]</f>
        <v>0.34615384615384615</v>
      </c>
      <c r="AC1325" t="str">
        <f>IF(SalesCleanTable[[#This Row],[Discount %]] &gt; SalesCleanTable[[#This Row],[Max Allowed Discount]], "Discount loss", "Safe")</f>
        <v>Safe</v>
      </c>
      <c r="AD1325" s="4">
        <f>SalesCleanTable[[#This Row],[Unit Price]] - SalesCleanTable[[#This Row],[Unit Cost]]</f>
        <v>450</v>
      </c>
      <c r="AE1325" s="41">
        <f>(SalesCleanTable[[#This Row],[Unit Price]] - SalesCleanTable[[#This Row],[Unit Cost]]) / SalesCleanTable[[#This Row],[Unit Price]]</f>
        <v>0.34615384615384615</v>
      </c>
    </row>
    <row r="1326" spans="1:31">
      <c r="A1326" t="s">
        <v>1512</v>
      </c>
      <c r="B1326" s="6">
        <v>45735</v>
      </c>
      <c r="C1326" t="s">
        <v>62</v>
      </c>
      <c r="D1326" t="s">
        <v>63</v>
      </c>
      <c r="E1326" t="s">
        <v>59</v>
      </c>
      <c r="F1326" t="s">
        <v>64</v>
      </c>
      <c r="G1326" t="s">
        <v>65</v>
      </c>
      <c r="H1326" t="s">
        <v>153</v>
      </c>
      <c r="I1326" t="s">
        <v>154</v>
      </c>
      <c r="J1326" t="s">
        <v>155</v>
      </c>
      <c r="K1326" t="s">
        <v>131</v>
      </c>
      <c r="L1326" t="s">
        <v>166</v>
      </c>
      <c r="M1326" t="s">
        <v>171</v>
      </c>
      <c r="N1326">
        <v>2</v>
      </c>
      <c r="O1326" s="4">
        <v>3200</v>
      </c>
      <c r="P1326" s="4">
        <v>4500</v>
      </c>
      <c r="Q1326" s="7">
        <v>0</v>
      </c>
      <c r="R1326" t="s">
        <v>204</v>
      </c>
      <c r="S1326">
        <v>5</v>
      </c>
      <c r="T1326">
        <v>9000</v>
      </c>
      <c r="U1326">
        <v>0</v>
      </c>
      <c r="V1326">
        <v>9000</v>
      </c>
      <c r="W1326">
        <v>6400</v>
      </c>
      <c r="X1326">
        <v>2600</v>
      </c>
      <c r="Y1326" s="8">
        <v>0.28888888888888886</v>
      </c>
      <c r="Z1326" t="s">
        <v>2996</v>
      </c>
      <c r="AA1326" t="str">
        <f>IF(AND(SalesCleanTable[[#This Row],[Discount %]]&gt;0, SalesCleanTable[[#This Row],[Profit]]&lt;0), "Discount loss", "Safe")</f>
        <v>Safe</v>
      </c>
      <c r="AB1326" s="25">
        <f>(SalesCleanTable[[#This Row],[Unit Price]] - SalesCleanTable[[#This Row],[Unit Cost]]) / SalesCleanTable[[#This Row],[Unit Price]]</f>
        <v>0.28888888888888886</v>
      </c>
      <c r="AC1326" t="str">
        <f>IF(SalesCleanTable[[#This Row],[Discount %]] &gt; SalesCleanTable[[#This Row],[Max Allowed Discount]], "Discount loss", "Safe")</f>
        <v>Safe</v>
      </c>
      <c r="AD1326" s="4">
        <f>SalesCleanTable[[#This Row],[Unit Price]] - SalesCleanTable[[#This Row],[Unit Cost]]</f>
        <v>1300</v>
      </c>
      <c r="AE1326" s="41">
        <f>(SalesCleanTable[[#This Row],[Unit Price]] - SalesCleanTable[[#This Row],[Unit Cost]]) / SalesCleanTable[[#This Row],[Unit Price]]</f>
        <v>0.28888888888888886</v>
      </c>
    </row>
    <row r="1327" spans="1:31">
      <c r="A1327" t="s">
        <v>1513</v>
      </c>
      <c r="B1327" s="6">
        <v>45925</v>
      </c>
      <c r="C1327" t="s">
        <v>116</v>
      </c>
      <c r="D1327" t="s">
        <v>117</v>
      </c>
      <c r="E1327" t="s">
        <v>109</v>
      </c>
      <c r="F1327" t="s">
        <v>118</v>
      </c>
      <c r="G1327" t="s">
        <v>119</v>
      </c>
      <c r="H1327" t="s">
        <v>149</v>
      </c>
      <c r="I1327" t="s">
        <v>150</v>
      </c>
      <c r="J1327" t="s">
        <v>151</v>
      </c>
      <c r="K1327" t="s">
        <v>152</v>
      </c>
      <c r="L1327" t="s">
        <v>170</v>
      </c>
      <c r="M1327" t="s">
        <v>177</v>
      </c>
      <c r="N1327">
        <v>2</v>
      </c>
      <c r="O1327" s="4">
        <v>2800</v>
      </c>
      <c r="P1327" s="4">
        <v>4200</v>
      </c>
      <c r="Q1327" s="7">
        <v>0</v>
      </c>
      <c r="R1327" t="s">
        <v>220</v>
      </c>
      <c r="S1327">
        <v>12</v>
      </c>
      <c r="T1327">
        <v>8400</v>
      </c>
      <c r="U1327">
        <v>0</v>
      </c>
      <c r="V1327">
        <v>8400</v>
      </c>
      <c r="W1327">
        <v>5600</v>
      </c>
      <c r="X1327">
        <v>2800</v>
      </c>
      <c r="Y1327" s="8">
        <v>0.33333333333333331</v>
      </c>
      <c r="Z1327" t="s">
        <v>2995</v>
      </c>
      <c r="AA1327" t="str">
        <f>IF(AND(SalesCleanTable[[#This Row],[Discount %]]&gt;0, SalesCleanTable[[#This Row],[Profit]]&lt;0), "Discount loss", "Safe")</f>
        <v>Safe</v>
      </c>
      <c r="AB1327" s="25">
        <f>(SalesCleanTable[[#This Row],[Unit Price]] - SalesCleanTable[[#This Row],[Unit Cost]]) / SalesCleanTable[[#This Row],[Unit Price]]</f>
        <v>0.33333333333333331</v>
      </c>
      <c r="AC1327" t="str">
        <f>IF(SalesCleanTable[[#This Row],[Discount %]] &gt; SalesCleanTable[[#This Row],[Max Allowed Discount]], "Discount loss", "Safe")</f>
        <v>Safe</v>
      </c>
      <c r="AD1327" s="4">
        <f>SalesCleanTable[[#This Row],[Unit Price]] - SalesCleanTable[[#This Row],[Unit Cost]]</f>
        <v>1400</v>
      </c>
      <c r="AE1327" s="41">
        <f>(SalesCleanTable[[#This Row],[Unit Price]] - SalesCleanTable[[#This Row],[Unit Cost]]) / SalesCleanTable[[#This Row],[Unit Price]]</f>
        <v>0.33333333333333331</v>
      </c>
    </row>
    <row r="1328" spans="1:31">
      <c r="A1328" t="s">
        <v>1514</v>
      </c>
      <c r="B1328" s="6">
        <v>45817</v>
      </c>
      <c r="C1328" t="s">
        <v>41</v>
      </c>
      <c r="D1328" t="s">
        <v>42</v>
      </c>
      <c r="E1328" t="s">
        <v>26</v>
      </c>
      <c r="F1328" t="s">
        <v>43</v>
      </c>
      <c r="G1328" t="s">
        <v>44</v>
      </c>
      <c r="H1328" t="s">
        <v>145</v>
      </c>
      <c r="I1328" t="s">
        <v>146</v>
      </c>
      <c r="J1328" t="s">
        <v>147</v>
      </c>
      <c r="K1328" t="s">
        <v>148</v>
      </c>
      <c r="L1328" t="s">
        <v>183</v>
      </c>
      <c r="M1328" t="s">
        <v>177</v>
      </c>
      <c r="N1328">
        <v>3</v>
      </c>
      <c r="O1328" s="4">
        <v>850</v>
      </c>
      <c r="P1328" s="4">
        <v>1300</v>
      </c>
      <c r="Q1328" s="7">
        <v>0</v>
      </c>
      <c r="R1328" t="s">
        <v>194</v>
      </c>
      <c r="S1328">
        <v>14</v>
      </c>
      <c r="T1328">
        <v>3900</v>
      </c>
      <c r="U1328">
        <v>0</v>
      </c>
      <c r="V1328">
        <v>3900</v>
      </c>
      <c r="W1328">
        <v>2550</v>
      </c>
      <c r="X1328">
        <v>1350</v>
      </c>
      <c r="Y1328" s="8">
        <v>0.34615384615384615</v>
      </c>
      <c r="Z1328" t="s">
        <v>2995</v>
      </c>
      <c r="AA1328" t="str">
        <f>IF(AND(SalesCleanTable[[#This Row],[Discount %]]&gt;0, SalesCleanTable[[#This Row],[Profit]]&lt;0), "Discount loss", "Safe")</f>
        <v>Safe</v>
      </c>
      <c r="AB1328" s="25">
        <f>(SalesCleanTable[[#This Row],[Unit Price]] - SalesCleanTable[[#This Row],[Unit Cost]]) / SalesCleanTable[[#This Row],[Unit Price]]</f>
        <v>0.34615384615384615</v>
      </c>
      <c r="AC1328" t="str">
        <f>IF(SalesCleanTable[[#This Row],[Discount %]] &gt; SalesCleanTable[[#This Row],[Max Allowed Discount]], "Discount loss", "Safe")</f>
        <v>Safe</v>
      </c>
      <c r="AD1328" s="4">
        <f>SalesCleanTable[[#This Row],[Unit Price]] - SalesCleanTable[[#This Row],[Unit Cost]]</f>
        <v>450</v>
      </c>
      <c r="AE1328" s="41">
        <f>(SalesCleanTable[[#This Row],[Unit Price]] - SalesCleanTable[[#This Row],[Unit Cost]]) / SalesCleanTable[[#This Row],[Unit Price]]</f>
        <v>0.34615384615384615</v>
      </c>
    </row>
    <row r="1329" spans="1:31">
      <c r="A1329" t="s">
        <v>1515</v>
      </c>
      <c r="B1329" s="6">
        <v>45782</v>
      </c>
      <c r="C1329" t="s">
        <v>49</v>
      </c>
      <c r="D1329" t="s">
        <v>50</v>
      </c>
      <c r="E1329" t="s">
        <v>38</v>
      </c>
      <c r="F1329" t="s">
        <v>51</v>
      </c>
      <c r="G1329" t="s">
        <v>52</v>
      </c>
      <c r="H1329" t="s">
        <v>133</v>
      </c>
      <c r="I1329" t="s">
        <v>134</v>
      </c>
      <c r="J1329" t="s">
        <v>130</v>
      </c>
      <c r="K1329" t="s">
        <v>131</v>
      </c>
      <c r="L1329" t="s">
        <v>166</v>
      </c>
      <c r="M1329" t="s">
        <v>186</v>
      </c>
      <c r="N1329">
        <v>2</v>
      </c>
      <c r="O1329" s="4">
        <v>550</v>
      </c>
      <c r="P1329" s="4">
        <v>850</v>
      </c>
      <c r="Q1329" s="7">
        <v>0.1</v>
      </c>
      <c r="R1329" t="s">
        <v>178</v>
      </c>
      <c r="S1329">
        <v>5</v>
      </c>
      <c r="T1329">
        <v>1700</v>
      </c>
      <c r="U1329">
        <v>170</v>
      </c>
      <c r="V1329">
        <v>1530</v>
      </c>
      <c r="W1329">
        <v>1100</v>
      </c>
      <c r="X1329">
        <v>430</v>
      </c>
      <c r="Y1329" s="8">
        <v>0.28104575163398693</v>
      </c>
      <c r="Z1329" t="s">
        <v>2996</v>
      </c>
      <c r="AA1329" t="str">
        <f>IF(AND(SalesCleanTable[[#This Row],[Discount %]]&gt;0, SalesCleanTable[[#This Row],[Profit]]&lt;0), "Discount loss", "Safe")</f>
        <v>Safe</v>
      </c>
      <c r="AB1329" s="25">
        <f>(SalesCleanTable[[#This Row],[Unit Price]] - SalesCleanTable[[#This Row],[Unit Cost]]) / SalesCleanTable[[#This Row],[Unit Price]]</f>
        <v>0.35294117647058826</v>
      </c>
      <c r="AC1329" t="str">
        <f>IF(SalesCleanTable[[#This Row],[Discount %]] &gt; SalesCleanTable[[#This Row],[Max Allowed Discount]], "Discount loss", "Safe")</f>
        <v>Safe</v>
      </c>
      <c r="AD1329" s="4">
        <f>SalesCleanTable[[#This Row],[Unit Price]] - SalesCleanTable[[#This Row],[Unit Cost]]</f>
        <v>300</v>
      </c>
      <c r="AE1329" s="41">
        <f>(SalesCleanTable[[#This Row],[Unit Price]] - SalesCleanTable[[#This Row],[Unit Cost]]) / SalesCleanTable[[#This Row],[Unit Price]]</f>
        <v>0.35294117647058826</v>
      </c>
    </row>
    <row r="1330" spans="1:31">
      <c r="A1330" t="s">
        <v>1516</v>
      </c>
      <c r="B1330" s="6">
        <v>45863</v>
      </c>
      <c r="C1330" t="s">
        <v>32</v>
      </c>
      <c r="D1330" t="s">
        <v>33</v>
      </c>
      <c r="E1330" t="s">
        <v>26</v>
      </c>
      <c r="F1330" t="s">
        <v>34</v>
      </c>
      <c r="G1330" t="s">
        <v>35</v>
      </c>
      <c r="H1330" t="s">
        <v>145</v>
      </c>
      <c r="I1330" t="s">
        <v>146</v>
      </c>
      <c r="J1330" t="s">
        <v>147</v>
      </c>
      <c r="K1330" t="s">
        <v>148</v>
      </c>
      <c r="L1330" t="s">
        <v>166</v>
      </c>
      <c r="M1330" t="s">
        <v>171</v>
      </c>
      <c r="N1330">
        <v>8</v>
      </c>
      <c r="O1330" s="4">
        <v>7800</v>
      </c>
      <c r="P1330" s="4">
        <v>9800</v>
      </c>
      <c r="Q1330" s="7">
        <v>0</v>
      </c>
      <c r="R1330" t="s">
        <v>194</v>
      </c>
      <c r="S1330">
        <v>1</v>
      </c>
      <c r="T1330">
        <v>78400</v>
      </c>
      <c r="U1330">
        <v>0</v>
      </c>
      <c r="V1330">
        <v>78400</v>
      </c>
      <c r="W1330">
        <v>62400</v>
      </c>
      <c r="X1330">
        <v>16000</v>
      </c>
      <c r="Y1330" s="8">
        <v>0.20408163265306123</v>
      </c>
      <c r="Z1330" t="s">
        <v>2995</v>
      </c>
      <c r="AA1330" t="str">
        <f>IF(AND(SalesCleanTable[[#This Row],[Discount %]]&gt;0, SalesCleanTable[[#This Row],[Profit]]&lt;0), "Discount loss", "Safe")</f>
        <v>Safe</v>
      </c>
      <c r="AB1330" s="25">
        <f>(SalesCleanTable[[#This Row],[Unit Price]] - SalesCleanTable[[#This Row],[Unit Cost]]) / SalesCleanTable[[#This Row],[Unit Price]]</f>
        <v>0.20408163265306123</v>
      </c>
      <c r="AC1330" t="str">
        <f>IF(SalesCleanTable[[#This Row],[Discount %]] &gt; SalesCleanTable[[#This Row],[Max Allowed Discount]], "Discount loss", "Safe")</f>
        <v>Safe</v>
      </c>
      <c r="AD1330" s="4">
        <f>SalesCleanTable[[#This Row],[Unit Price]] - SalesCleanTable[[#This Row],[Unit Cost]]</f>
        <v>2000</v>
      </c>
      <c r="AE1330" s="41">
        <f>(SalesCleanTable[[#This Row],[Unit Price]] - SalesCleanTable[[#This Row],[Unit Cost]]) / SalesCleanTable[[#This Row],[Unit Price]]</f>
        <v>0.20408163265306123</v>
      </c>
    </row>
    <row r="1331" spans="1:31">
      <c r="A1331" t="s">
        <v>1517</v>
      </c>
      <c r="B1331" s="6">
        <v>45924</v>
      </c>
      <c r="C1331" t="s">
        <v>45</v>
      </c>
      <c r="D1331" t="s">
        <v>46</v>
      </c>
      <c r="E1331" t="s">
        <v>38</v>
      </c>
      <c r="F1331" t="s">
        <v>47</v>
      </c>
      <c r="G1331" t="s">
        <v>48</v>
      </c>
      <c r="H1331" t="s">
        <v>128</v>
      </c>
      <c r="I1331" t="s">
        <v>129</v>
      </c>
      <c r="J1331" t="s">
        <v>130</v>
      </c>
      <c r="K1331" t="s">
        <v>131</v>
      </c>
      <c r="L1331" t="s">
        <v>183</v>
      </c>
      <c r="M1331" t="s">
        <v>167</v>
      </c>
      <c r="N1331">
        <v>3</v>
      </c>
      <c r="O1331" s="4">
        <v>230</v>
      </c>
      <c r="P1331" s="4">
        <v>400</v>
      </c>
      <c r="Q1331" s="7">
        <v>0.05</v>
      </c>
      <c r="R1331" t="s">
        <v>178</v>
      </c>
      <c r="S1331">
        <v>9</v>
      </c>
      <c r="T1331">
        <v>1200</v>
      </c>
      <c r="U1331">
        <v>60</v>
      </c>
      <c r="V1331">
        <v>1140</v>
      </c>
      <c r="W1331">
        <v>690</v>
      </c>
      <c r="X1331">
        <v>450</v>
      </c>
      <c r="Y1331" s="8">
        <v>0.39473684210526316</v>
      </c>
      <c r="Z1331" t="s">
        <v>2995</v>
      </c>
      <c r="AA1331" t="str">
        <f>IF(AND(SalesCleanTable[[#This Row],[Discount %]]&gt;0, SalesCleanTable[[#This Row],[Profit]]&lt;0), "Discount loss", "Safe")</f>
        <v>Safe</v>
      </c>
      <c r="AB1331" s="25">
        <f>(SalesCleanTable[[#This Row],[Unit Price]] - SalesCleanTable[[#This Row],[Unit Cost]]) / SalesCleanTable[[#This Row],[Unit Price]]</f>
        <v>0.42499999999999999</v>
      </c>
      <c r="AC1331" t="str">
        <f>IF(SalesCleanTable[[#This Row],[Discount %]] &gt; SalesCleanTable[[#This Row],[Max Allowed Discount]], "Discount loss", "Safe")</f>
        <v>Safe</v>
      </c>
      <c r="AD1331" s="4">
        <f>SalesCleanTable[[#This Row],[Unit Price]] - SalesCleanTable[[#This Row],[Unit Cost]]</f>
        <v>170</v>
      </c>
      <c r="AE1331" s="41">
        <f>(SalesCleanTable[[#This Row],[Unit Price]] - SalesCleanTable[[#This Row],[Unit Cost]]) / SalesCleanTable[[#This Row],[Unit Price]]</f>
        <v>0.42499999999999999</v>
      </c>
    </row>
    <row r="1332" spans="1:31">
      <c r="A1332" t="s">
        <v>1518</v>
      </c>
      <c r="B1332" s="6">
        <v>45890</v>
      </c>
      <c r="C1332" t="s">
        <v>36</v>
      </c>
      <c r="D1332" t="s">
        <v>37</v>
      </c>
      <c r="E1332" t="s">
        <v>38</v>
      </c>
      <c r="F1332" t="s">
        <v>39</v>
      </c>
      <c r="G1332" t="s">
        <v>40</v>
      </c>
      <c r="H1332" t="s">
        <v>149</v>
      </c>
      <c r="I1332" t="s">
        <v>150</v>
      </c>
      <c r="J1332" t="s">
        <v>151</v>
      </c>
      <c r="K1332" t="s">
        <v>152</v>
      </c>
      <c r="L1332" t="s">
        <v>183</v>
      </c>
      <c r="M1332" t="s">
        <v>171</v>
      </c>
      <c r="N1332">
        <v>4</v>
      </c>
      <c r="O1332" s="4">
        <v>1650</v>
      </c>
      <c r="P1332" s="4">
        <v>2200</v>
      </c>
      <c r="Q1332" s="7">
        <v>0.1</v>
      </c>
      <c r="R1332" t="s">
        <v>178</v>
      </c>
      <c r="S1332">
        <v>7</v>
      </c>
      <c r="T1332">
        <v>8800</v>
      </c>
      <c r="U1332">
        <v>880</v>
      </c>
      <c r="V1332">
        <v>7920</v>
      </c>
      <c r="W1332">
        <v>6600</v>
      </c>
      <c r="X1332">
        <v>1320</v>
      </c>
      <c r="Y1332" s="8">
        <v>0.16666666666666666</v>
      </c>
      <c r="Z1332" t="s">
        <v>2995</v>
      </c>
      <c r="AA1332" t="str">
        <f>IF(AND(SalesCleanTable[[#This Row],[Discount %]]&gt;0, SalesCleanTable[[#This Row],[Profit]]&lt;0), "Discount loss", "Safe")</f>
        <v>Safe</v>
      </c>
      <c r="AB1332" s="25">
        <f>(SalesCleanTable[[#This Row],[Unit Price]] - SalesCleanTable[[#This Row],[Unit Cost]]) / SalesCleanTable[[#This Row],[Unit Price]]</f>
        <v>0.25</v>
      </c>
      <c r="AC1332" t="str">
        <f>IF(SalesCleanTable[[#This Row],[Discount %]] &gt; SalesCleanTable[[#This Row],[Max Allowed Discount]], "Discount loss", "Safe")</f>
        <v>Safe</v>
      </c>
      <c r="AD1332" s="4">
        <f>SalesCleanTable[[#This Row],[Unit Price]] - SalesCleanTable[[#This Row],[Unit Cost]]</f>
        <v>550</v>
      </c>
      <c r="AE1332" s="41">
        <f>(SalesCleanTable[[#This Row],[Unit Price]] - SalesCleanTable[[#This Row],[Unit Cost]]) / SalesCleanTable[[#This Row],[Unit Price]]</f>
        <v>0.25</v>
      </c>
    </row>
    <row r="1333" spans="1:31">
      <c r="A1333" t="s">
        <v>1519</v>
      </c>
      <c r="B1333" s="6">
        <v>45788</v>
      </c>
      <c r="C1333" t="s">
        <v>32</v>
      </c>
      <c r="D1333" t="s">
        <v>33</v>
      </c>
      <c r="E1333" t="s">
        <v>26</v>
      </c>
      <c r="F1333" t="s">
        <v>34</v>
      </c>
      <c r="G1333" t="s">
        <v>35</v>
      </c>
      <c r="H1333" t="s">
        <v>139</v>
      </c>
      <c r="I1333" t="s">
        <v>140</v>
      </c>
      <c r="J1333" t="s">
        <v>137</v>
      </c>
      <c r="K1333" t="s">
        <v>138</v>
      </c>
      <c r="L1333" t="s">
        <v>183</v>
      </c>
      <c r="M1333" t="s">
        <v>171</v>
      </c>
      <c r="N1333">
        <v>3</v>
      </c>
      <c r="O1333" s="4">
        <v>7800</v>
      </c>
      <c r="P1333" s="4">
        <v>9800</v>
      </c>
      <c r="Q1333" s="7">
        <v>0.15</v>
      </c>
      <c r="R1333" t="s">
        <v>194</v>
      </c>
      <c r="S1333">
        <v>4</v>
      </c>
      <c r="T1333">
        <v>29400</v>
      </c>
      <c r="U1333">
        <v>4410</v>
      </c>
      <c r="V1333">
        <v>24990</v>
      </c>
      <c r="W1333">
        <v>23400</v>
      </c>
      <c r="X1333">
        <v>1590</v>
      </c>
      <c r="Y1333" s="8">
        <v>6.3625450180072027E-2</v>
      </c>
      <c r="Z1333" t="s">
        <v>2995</v>
      </c>
      <c r="AA1333" t="str">
        <f>IF(AND(SalesCleanTable[[#This Row],[Discount %]]&gt;0, SalesCleanTable[[#This Row],[Profit]]&lt;0), "Discount loss", "Safe")</f>
        <v>Safe</v>
      </c>
      <c r="AB1333" s="25">
        <f>(SalesCleanTable[[#This Row],[Unit Price]] - SalesCleanTable[[#This Row],[Unit Cost]]) / SalesCleanTable[[#This Row],[Unit Price]]</f>
        <v>0.20408163265306123</v>
      </c>
      <c r="AC1333" t="str">
        <f>IF(SalesCleanTable[[#This Row],[Discount %]] &gt; SalesCleanTable[[#This Row],[Max Allowed Discount]], "Discount loss", "Safe")</f>
        <v>Safe</v>
      </c>
      <c r="AD1333" s="4">
        <f>SalesCleanTable[[#This Row],[Unit Price]] - SalesCleanTable[[#This Row],[Unit Cost]]</f>
        <v>2000</v>
      </c>
      <c r="AE1333" s="41">
        <f>(SalesCleanTable[[#This Row],[Unit Price]] - SalesCleanTable[[#This Row],[Unit Cost]]) / SalesCleanTable[[#This Row],[Unit Price]]</f>
        <v>0.20408163265306123</v>
      </c>
    </row>
    <row r="1334" spans="1:31">
      <c r="A1334" t="s">
        <v>1520</v>
      </c>
      <c r="B1334" s="6">
        <v>45703</v>
      </c>
      <c r="C1334" t="s">
        <v>120</v>
      </c>
      <c r="D1334" t="s">
        <v>121</v>
      </c>
      <c r="E1334" t="s">
        <v>109</v>
      </c>
      <c r="F1334" t="s">
        <v>93</v>
      </c>
      <c r="G1334" t="s">
        <v>122</v>
      </c>
      <c r="H1334" t="s">
        <v>141</v>
      </c>
      <c r="I1334" t="s">
        <v>142</v>
      </c>
      <c r="J1334" t="s">
        <v>143</v>
      </c>
      <c r="K1334" t="s">
        <v>144</v>
      </c>
      <c r="L1334" t="s">
        <v>183</v>
      </c>
      <c r="M1334" t="s">
        <v>171</v>
      </c>
      <c r="N1334">
        <v>3</v>
      </c>
      <c r="O1334" s="4">
        <v>1700</v>
      </c>
      <c r="P1334" s="4">
        <v>2800</v>
      </c>
      <c r="Q1334" s="7">
        <v>0.1</v>
      </c>
      <c r="R1334" t="s">
        <v>184</v>
      </c>
      <c r="S1334">
        <v>7</v>
      </c>
      <c r="T1334">
        <v>8400</v>
      </c>
      <c r="U1334">
        <v>840</v>
      </c>
      <c r="V1334">
        <v>7560</v>
      </c>
      <c r="W1334">
        <v>5100</v>
      </c>
      <c r="X1334">
        <v>2460</v>
      </c>
      <c r="Y1334" s="8">
        <v>0.32539682539682541</v>
      </c>
      <c r="Z1334" t="s">
        <v>2997</v>
      </c>
      <c r="AA1334" t="str">
        <f>IF(AND(SalesCleanTable[[#This Row],[Discount %]]&gt;0, SalesCleanTable[[#This Row],[Profit]]&lt;0), "Discount loss", "Safe")</f>
        <v>Safe</v>
      </c>
      <c r="AB1334" s="25">
        <f>(SalesCleanTable[[#This Row],[Unit Price]] - SalesCleanTable[[#This Row],[Unit Cost]]) / SalesCleanTable[[#This Row],[Unit Price]]</f>
        <v>0.39285714285714285</v>
      </c>
      <c r="AC1334" t="str">
        <f>IF(SalesCleanTable[[#This Row],[Discount %]] &gt; SalesCleanTable[[#This Row],[Max Allowed Discount]], "Discount loss", "Safe")</f>
        <v>Safe</v>
      </c>
      <c r="AD1334" s="4">
        <f>SalesCleanTable[[#This Row],[Unit Price]] - SalesCleanTable[[#This Row],[Unit Cost]]</f>
        <v>1100</v>
      </c>
      <c r="AE1334" s="41">
        <f>(SalesCleanTable[[#This Row],[Unit Price]] - SalesCleanTable[[#This Row],[Unit Cost]]) / SalesCleanTable[[#This Row],[Unit Price]]</f>
        <v>0.39285714285714285</v>
      </c>
    </row>
    <row r="1335" spans="1:31">
      <c r="A1335" t="s">
        <v>1521</v>
      </c>
      <c r="B1335" s="6">
        <v>45984</v>
      </c>
      <c r="C1335" t="s">
        <v>32</v>
      </c>
      <c r="D1335" t="s">
        <v>33</v>
      </c>
      <c r="E1335" t="s">
        <v>26</v>
      </c>
      <c r="F1335" t="s">
        <v>34</v>
      </c>
      <c r="G1335" t="s">
        <v>35</v>
      </c>
      <c r="H1335" t="s">
        <v>145</v>
      </c>
      <c r="I1335" t="s">
        <v>146</v>
      </c>
      <c r="J1335" t="s">
        <v>147</v>
      </c>
      <c r="K1335" t="s">
        <v>148</v>
      </c>
      <c r="L1335" t="s">
        <v>183</v>
      </c>
      <c r="M1335" t="s">
        <v>171</v>
      </c>
      <c r="N1335">
        <v>5</v>
      </c>
      <c r="O1335" s="4">
        <v>7800</v>
      </c>
      <c r="P1335" s="4">
        <v>9800</v>
      </c>
      <c r="Q1335" s="7">
        <v>0.1</v>
      </c>
      <c r="R1335" t="s">
        <v>194</v>
      </c>
      <c r="S1335">
        <v>7</v>
      </c>
      <c r="T1335">
        <v>49000</v>
      </c>
      <c r="U1335">
        <v>4900</v>
      </c>
      <c r="V1335">
        <v>44100</v>
      </c>
      <c r="W1335">
        <v>39000</v>
      </c>
      <c r="X1335">
        <v>5100</v>
      </c>
      <c r="Y1335" s="8">
        <v>0.11564625850340136</v>
      </c>
      <c r="Z1335" t="s">
        <v>2995</v>
      </c>
      <c r="AA1335" t="str">
        <f>IF(AND(SalesCleanTable[[#This Row],[Discount %]]&gt;0, SalesCleanTable[[#This Row],[Profit]]&lt;0), "Discount loss", "Safe")</f>
        <v>Safe</v>
      </c>
      <c r="AB1335" s="25">
        <f>(SalesCleanTable[[#This Row],[Unit Price]] - SalesCleanTable[[#This Row],[Unit Cost]]) / SalesCleanTable[[#This Row],[Unit Price]]</f>
        <v>0.20408163265306123</v>
      </c>
      <c r="AC1335" t="str">
        <f>IF(SalesCleanTable[[#This Row],[Discount %]] &gt; SalesCleanTable[[#This Row],[Max Allowed Discount]], "Discount loss", "Safe")</f>
        <v>Safe</v>
      </c>
      <c r="AD1335" s="4">
        <f>SalesCleanTable[[#This Row],[Unit Price]] - SalesCleanTable[[#This Row],[Unit Cost]]</f>
        <v>2000</v>
      </c>
      <c r="AE1335" s="41">
        <f>(SalesCleanTable[[#This Row],[Unit Price]] - SalesCleanTable[[#This Row],[Unit Cost]]) / SalesCleanTable[[#This Row],[Unit Price]]</f>
        <v>0.20408163265306123</v>
      </c>
    </row>
    <row r="1336" spans="1:31">
      <c r="A1336" t="s">
        <v>1522</v>
      </c>
      <c r="B1336" s="6">
        <v>45786</v>
      </c>
      <c r="C1336" t="s">
        <v>116</v>
      </c>
      <c r="D1336" t="s">
        <v>117</v>
      </c>
      <c r="E1336" t="s">
        <v>109</v>
      </c>
      <c r="F1336" t="s">
        <v>118</v>
      </c>
      <c r="G1336" t="s">
        <v>119</v>
      </c>
      <c r="H1336" t="s">
        <v>128</v>
      </c>
      <c r="I1336" t="s">
        <v>129</v>
      </c>
      <c r="J1336" t="s">
        <v>130</v>
      </c>
      <c r="K1336" t="s">
        <v>131</v>
      </c>
      <c r="L1336" t="s">
        <v>166</v>
      </c>
      <c r="M1336" t="s">
        <v>186</v>
      </c>
      <c r="N1336">
        <v>1</v>
      </c>
      <c r="O1336" s="4">
        <v>2800</v>
      </c>
      <c r="P1336" s="4">
        <v>4200</v>
      </c>
      <c r="Q1336" s="7">
        <v>0.15</v>
      </c>
      <c r="R1336" t="s">
        <v>184</v>
      </c>
      <c r="S1336">
        <v>7</v>
      </c>
      <c r="T1336">
        <v>4200</v>
      </c>
      <c r="U1336">
        <v>630</v>
      </c>
      <c r="V1336">
        <v>3570</v>
      </c>
      <c r="W1336">
        <v>2800</v>
      </c>
      <c r="X1336">
        <v>770</v>
      </c>
      <c r="Y1336" s="8">
        <v>0.21568627450980393</v>
      </c>
      <c r="Z1336" t="s">
        <v>2995</v>
      </c>
      <c r="AA1336" t="str">
        <f>IF(AND(SalesCleanTable[[#This Row],[Discount %]]&gt;0, SalesCleanTable[[#This Row],[Profit]]&lt;0), "Discount loss", "Safe")</f>
        <v>Safe</v>
      </c>
      <c r="AB1336" s="25">
        <f>(SalesCleanTable[[#This Row],[Unit Price]] - SalesCleanTable[[#This Row],[Unit Cost]]) / SalesCleanTable[[#This Row],[Unit Price]]</f>
        <v>0.33333333333333331</v>
      </c>
      <c r="AC1336" t="str">
        <f>IF(SalesCleanTable[[#This Row],[Discount %]] &gt; SalesCleanTable[[#This Row],[Max Allowed Discount]], "Discount loss", "Safe")</f>
        <v>Safe</v>
      </c>
      <c r="AD1336" s="4">
        <f>SalesCleanTable[[#This Row],[Unit Price]] - SalesCleanTable[[#This Row],[Unit Cost]]</f>
        <v>1400</v>
      </c>
      <c r="AE1336" s="41">
        <f>(SalesCleanTable[[#This Row],[Unit Price]] - SalesCleanTable[[#This Row],[Unit Cost]]) / SalesCleanTable[[#This Row],[Unit Price]]</f>
        <v>0.33333333333333331</v>
      </c>
    </row>
    <row r="1337" spans="1:31">
      <c r="A1337" t="s">
        <v>1523</v>
      </c>
      <c r="B1337" s="6">
        <v>45711</v>
      </c>
      <c r="C1337" t="s">
        <v>120</v>
      </c>
      <c r="D1337" t="s">
        <v>121</v>
      </c>
      <c r="E1337" t="s">
        <v>109</v>
      </c>
      <c r="F1337" t="s">
        <v>93</v>
      </c>
      <c r="G1337" t="s">
        <v>122</v>
      </c>
      <c r="H1337" t="s">
        <v>149</v>
      </c>
      <c r="I1337" t="s">
        <v>150</v>
      </c>
      <c r="J1337" t="s">
        <v>151</v>
      </c>
      <c r="K1337" t="s">
        <v>152</v>
      </c>
      <c r="L1337" t="s">
        <v>166</v>
      </c>
      <c r="M1337" t="s">
        <v>171</v>
      </c>
      <c r="N1337">
        <v>3</v>
      </c>
      <c r="O1337" s="4">
        <v>1700</v>
      </c>
      <c r="P1337" s="4">
        <v>2800</v>
      </c>
      <c r="Q1337" s="7">
        <v>0.2</v>
      </c>
      <c r="R1337" t="s">
        <v>184</v>
      </c>
      <c r="S1337">
        <v>7</v>
      </c>
      <c r="T1337">
        <v>8400</v>
      </c>
      <c r="U1337">
        <v>1680</v>
      </c>
      <c r="V1337">
        <v>6720</v>
      </c>
      <c r="W1337">
        <v>5100</v>
      </c>
      <c r="X1337">
        <v>1620</v>
      </c>
      <c r="Y1337" s="8">
        <v>0.24107142857142858</v>
      </c>
      <c r="Z1337" t="s">
        <v>2997</v>
      </c>
      <c r="AA1337" t="str">
        <f>IF(AND(SalesCleanTable[[#This Row],[Discount %]]&gt;0, SalesCleanTable[[#This Row],[Profit]]&lt;0), "Discount loss", "Safe")</f>
        <v>Safe</v>
      </c>
      <c r="AB1337" s="25">
        <f>(SalesCleanTable[[#This Row],[Unit Price]] - SalesCleanTable[[#This Row],[Unit Cost]]) / SalesCleanTable[[#This Row],[Unit Price]]</f>
        <v>0.39285714285714285</v>
      </c>
      <c r="AC1337" t="str">
        <f>IF(SalesCleanTable[[#This Row],[Discount %]] &gt; SalesCleanTable[[#This Row],[Max Allowed Discount]], "Discount loss", "Safe")</f>
        <v>Safe</v>
      </c>
      <c r="AD1337" s="4">
        <f>SalesCleanTable[[#This Row],[Unit Price]] - SalesCleanTable[[#This Row],[Unit Cost]]</f>
        <v>1100</v>
      </c>
      <c r="AE1337" s="41">
        <f>(SalesCleanTable[[#This Row],[Unit Price]] - SalesCleanTable[[#This Row],[Unit Cost]]) / SalesCleanTable[[#This Row],[Unit Price]]</f>
        <v>0.39285714285714285</v>
      </c>
    </row>
    <row r="1338" spans="1:31">
      <c r="A1338" t="s">
        <v>1524</v>
      </c>
      <c r="B1338" s="6">
        <v>45713</v>
      </c>
      <c r="C1338" t="s">
        <v>66</v>
      </c>
      <c r="D1338" t="s">
        <v>67</v>
      </c>
      <c r="E1338" t="s">
        <v>59</v>
      </c>
      <c r="F1338" t="s">
        <v>60</v>
      </c>
      <c r="G1338" t="s">
        <v>68</v>
      </c>
      <c r="H1338" t="s">
        <v>145</v>
      </c>
      <c r="I1338" t="s">
        <v>146</v>
      </c>
      <c r="J1338" t="s">
        <v>147</v>
      </c>
      <c r="K1338" t="s">
        <v>148</v>
      </c>
      <c r="L1338" t="s">
        <v>166</v>
      </c>
      <c r="M1338" t="s">
        <v>171</v>
      </c>
      <c r="N1338">
        <v>8</v>
      </c>
      <c r="O1338" s="4">
        <v>2800</v>
      </c>
      <c r="P1338" s="4">
        <v>3900</v>
      </c>
      <c r="Q1338" s="7">
        <v>0.1</v>
      </c>
      <c r="R1338" t="s">
        <v>204</v>
      </c>
      <c r="S1338">
        <v>10</v>
      </c>
      <c r="T1338">
        <v>31200</v>
      </c>
      <c r="U1338">
        <v>3120</v>
      </c>
      <c r="V1338">
        <v>28080</v>
      </c>
      <c r="W1338">
        <v>22400</v>
      </c>
      <c r="X1338">
        <v>5680</v>
      </c>
      <c r="Y1338" s="8">
        <v>0.20227920227920229</v>
      </c>
      <c r="Z1338" t="s">
        <v>2996</v>
      </c>
      <c r="AA1338" t="str">
        <f>IF(AND(SalesCleanTable[[#This Row],[Discount %]]&gt;0, SalesCleanTable[[#This Row],[Profit]]&lt;0), "Discount loss", "Safe")</f>
        <v>Safe</v>
      </c>
      <c r="AB1338" s="25">
        <f>(SalesCleanTable[[#This Row],[Unit Price]] - SalesCleanTable[[#This Row],[Unit Cost]]) / SalesCleanTable[[#This Row],[Unit Price]]</f>
        <v>0.28205128205128205</v>
      </c>
      <c r="AC1338" t="str">
        <f>IF(SalesCleanTable[[#This Row],[Discount %]] &gt; SalesCleanTable[[#This Row],[Max Allowed Discount]], "Discount loss", "Safe")</f>
        <v>Safe</v>
      </c>
      <c r="AD1338" s="4">
        <f>SalesCleanTable[[#This Row],[Unit Price]] - SalesCleanTable[[#This Row],[Unit Cost]]</f>
        <v>1100</v>
      </c>
      <c r="AE1338" s="41">
        <f>(SalesCleanTable[[#This Row],[Unit Price]] - SalesCleanTable[[#This Row],[Unit Cost]]) / SalesCleanTable[[#This Row],[Unit Price]]</f>
        <v>0.28205128205128205</v>
      </c>
    </row>
    <row r="1339" spans="1:31">
      <c r="A1339" t="s">
        <v>1525</v>
      </c>
      <c r="B1339" s="6">
        <v>45967</v>
      </c>
      <c r="C1339" t="s">
        <v>53</v>
      </c>
      <c r="D1339" t="s">
        <v>54</v>
      </c>
      <c r="E1339" t="s">
        <v>38</v>
      </c>
      <c r="F1339" t="s">
        <v>55</v>
      </c>
      <c r="G1339" t="s">
        <v>56</v>
      </c>
      <c r="H1339" t="s">
        <v>135</v>
      </c>
      <c r="I1339" t="s">
        <v>136</v>
      </c>
      <c r="J1339" t="s">
        <v>137</v>
      </c>
      <c r="K1339" t="s">
        <v>138</v>
      </c>
      <c r="L1339" t="s">
        <v>183</v>
      </c>
      <c r="M1339" t="s">
        <v>171</v>
      </c>
      <c r="N1339">
        <v>4</v>
      </c>
      <c r="O1339" s="4">
        <v>330</v>
      </c>
      <c r="P1339" s="4">
        <v>550</v>
      </c>
      <c r="Q1339" s="7">
        <v>0.05</v>
      </c>
      <c r="R1339" t="s">
        <v>168</v>
      </c>
      <c r="S1339">
        <v>14</v>
      </c>
      <c r="T1339">
        <v>2200</v>
      </c>
      <c r="U1339">
        <v>110</v>
      </c>
      <c r="V1339">
        <v>2090</v>
      </c>
      <c r="W1339">
        <v>1320</v>
      </c>
      <c r="X1339">
        <v>770</v>
      </c>
      <c r="Y1339" s="8">
        <v>0.36842105263157893</v>
      </c>
      <c r="Z1339" t="s">
        <v>2996</v>
      </c>
      <c r="AA1339" t="str">
        <f>IF(AND(SalesCleanTable[[#This Row],[Discount %]]&gt;0, SalesCleanTable[[#This Row],[Profit]]&lt;0), "Discount loss", "Safe")</f>
        <v>Safe</v>
      </c>
      <c r="AB1339" s="25">
        <f>(SalesCleanTable[[#This Row],[Unit Price]] - SalesCleanTable[[#This Row],[Unit Cost]]) / SalesCleanTable[[#This Row],[Unit Price]]</f>
        <v>0.4</v>
      </c>
      <c r="AC1339" t="str">
        <f>IF(SalesCleanTable[[#This Row],[Discount %]] &gt; SalesCleanTable[[#This Row],[Max Allowed Discount]], "Discount loss", "Safe")</f>
        <v>Safe</v>
      </c>
      <c r="AD1339" s="4">
        <f>SalesCleanTable[[#This Row],[Unit Price]] - SalesCleanTable[[#This Row],[Unit Cost]]</f>
        <v>220</v>
      </c>
      <c r="AE1339" s="41">
        <f>(SalesCleanTable[[#This Row],[Unit Price]] - SalesCleanTable[[#This Row],[Unit Cost]]) / SalesCleanTable[[#This Row],[Unit Price]]</f>
        <v>0.4</v>
      </c>
    </row>
    <row r="1340" spans="1:31">
      <c r="A1340" t="s">
        <v>1526</v>
      </c>
      <c r="B1340" s="6">
        <v>45862</v>
      </c>
      <c r="C1340" t="s">
        <v>95</v>
      </c>
      <c r="D1340" t="s">
        <v>96</v>
      </c>
      <c r="E1340" t="s">
        <v>92</v>
      </c>
      <c r="F1340" t="s">
        <v>97</v>
      </c>
      <c r="G1340" t="s">
        <v>98</v>
      </c>
      <c r="H1340" t="s">
        <v>141</v>
      </c>
      <c r="I1340" t="s">
        <v>142</v>
      </c>
      <c r="J1340" t="s">
        <v>143</v>
      </c>
      <c r="K1340" t="s">
        <v>144</v>
      </c>
      <c r="L1340" t="s">
        <v>166</v>
      </c>
      <c r="M1340" t="s">
        <v>171</v>
      </c>
      <c r="N1340">
        <v>5</v>
      </c>
      <c r="O1340" s="4">
        <v>18000</v>
      </c>
      <c r="P1340" s="4">
        <v>24500</v>
      </c>
      <c r="Q1340" s="7">
        <v>0.1</v>
      </c>
      <c r="R1340" t="s">
        <v>181</v>
      </c>
      <c r="S1340">
        <v>11</v>
      </c>
      <c r="T1340">
        <v>122500</v>
      </c>
      <c r="U1340">
        <v>12250</v>
      </c>
      <c r="V1340">
        <v>110250</v>
      </c>
      <c r="W1340">
        <v>90000</v>
      </c>
      <c r="X1340">
        <v>20250</v>
      </c>
      <c r="Y1340" s="8">
        <v>0.18367346938775511</v>
      </c>
      <c r="Z1340" t="s">
        <v>2995</v>
      </c>
      <c r="AA1340" t="str">
        <f>IF(AND(SalesCleanTable[[#This Row],[Discount %]]&gt;0, SalesCleanTable[[#This Row],[Profit]]&lt;0), "Discount loss", "Safe")</f>
        <v>Safe</v>
      </c>
      <c r="AB1340" s="25">
        <f>(SalesCleanTable[[#This Row],[Unit Price]] - SalesCleanTable[[#This Row],[Unit Cost]]) / SalesCleanTable[[#This Row],[Unit Price]]</f>
        <v>0.26530612244897961</v>
      </c>
      <c r="AC1340" t="str">
        <f>IF(SalesCleanTable[[#This Row],[Discount %]] &gt; SalesCleanTable[[#This Row],[Max Allowed Discount]], "Discount loss", "Safe")</f>
        <v>Safe</v>
      </c>
      <c r="AD1340" s="4">
        <f>SalesCleanTable[[#This Row],[Unit Price]] - SalesCleanTable[[#This Row],[Unit Cost]]</f>
        <v>6500</v>
      </c>
      <c r="AE1340" s="41">
        <f>(SalesCleanTable[[#This Row],[Unit Price]] - SalesCleanTable[[#This Row],[Unit Cost]]) / SalesCleanTable[[#This Row],[Unit Price]]</f>
        <v>0.26530612244897961</v>
      </c>
    </row>
    <row r="1341" spans="1:31">
      <c r="A1341" t="s">
        <v>1527</v>
      </c>
      <c r="B1341" s="6">
        <v>45708</v>
      </c>
      <c r="C1341" t="s">
        <v>45</v>
      </c>
      <c r="D1341" t="s">
        <v>46</v>
      </c>
      <c r="E1341" t="s">
        <v>38</v>
      </c>
      <c r="F1341" t="s">
        <v>47</v>
      </c>
      <c r="G1341" t="s">
        <v>48</v>
      </c>
      <c r="H1341" t="s">
        <v>135</v>
      </c>
      <c r="I1341" t="s">
        <v>136</v>
      </c>
      <c r="J1341" t="s">
        <v>137</v>
      </c>
      <c r="K1341" t="s">
        <v>138</v>
      </c>
      <c r="L1341" t="s">
        <v>183</v>
      </c>
      <c r="M1341" t="s">
        <v>186</v>
      </c>
      <c r="N1341">
        <v>1</v>
      </c>
      <c r="O1341" s="4">
        <v>230</v>
      </c>
      <c r="P1341" s="4">
        <v>400</v>
      </c>
      <c r="Q1341" s="7">
        <v>0.05</v>
      </c>
      <c r="R1341" t="s">
        <v>168</v>
      </c>
      <c r="S1341">
        <v>6</v>
      </c>
      <c r="T1341">
        <v>400</v>
      </c>
      <c r="U1341">
        <v>20</v>
      </c>
      <c r="V1341">
        <v>380</v>
      </c>
      <c r="W1341">
        <v>230</v>
      </c>
      <c r="X1341">
        <v>150</v>
      </c>
      <c r="Y1341" s="8">
        <v>0.39473684210526316</v>
      </c>
      <c r="Z1341" t="s">
        <v>2995</v>
      </c>
      <c r="AA1341" t="str">
        <f>IF(AND(SalesCleanTable[[#This Row],[Discount %]]&gt;0, SalesCleanTable[[#This Row],[Profit]]&lt;0), "Discount loss", "Safe")</f>
        <v>Safe</v>
      </c>
      <c r="AB1341" s="25">
        <f>(SalesCleanTable[[#This Row],[Unit Price]] - SalesCleanTable[[#This Row],[Unit Cost]]) / SalesCleanTable[[#This Row],[Unit Price]]</f>
        <v>0.42499999999999999</v>
      </c>
      <c r="AC1341" t="str">
        <f>IF(SalesCleanTable[[#This Row],[Discount %]] &gt; SalesCleanTable[[#This Row],[Max Allowed Discount]], "Discount loss", "Safe")</f>
        <v>Safe</v>
      </c>
      <c r="AD1341" s="4">
        <f>SalesCleanTable[[#This Row],[Unit Price]] - SalesCleanTable[[#This Row],[Unit Cost]]</f>
        <v>170</v>
      </c>
      <c r="AE1341" s="41">
        <f>(SalesCleanTable[[#This Row],[Unit Price]] - SalesCleanTable[[#This Row],[Unit Cost]]) / SalesCleanTable[[#This Row],[Unit Price]]</f>
        <v>0.42499999999999999</v>
      </c>
    </row>
    <row r="1342" spans="1:31">
      <c r="A1342" t="s">
        <v>1528</v>
      </c>
      <c r="B1342" s="6">
        <v>45785</v>
      </c>
      <c r="C1342" t="s">
        <v>45</v>
      </c>
      <c r="D1342" t="s">
        <v>46</v>
      </c>
      <c r="E1342" t="s">
        <v>38</v>
      </c>
      <c r="F1342" t="s">
        <v>47</v>
      </c>
      <c r="G1342" t="s">
        <v>48</v>
      </c>
      <c r="H1342" t="s">
        <v>145</v>
      </c>
      <c r="I1342" t="s">
        <v>146</v>
      </c>
      <c r="J1342" t="s">
        <v>147</v>
      </c>
      <c r="K1342" t="s">
        <v>148</v>
      </c>
      <c r="L1342" t="s">
        <v>183</v>
      </c>
      <c r="M1342" t="s">
        <v>171</v>
      </c>
      <c r="N1342">
        <v>2</v>
      </c>
      <c r="O1342" s="4">
        <v>230</v>
      </c>
      <c r="P1342" s="4">
        <v>400</v>
      </c>
      <c r="Q1342" s="7">
        <v>0.1</v>
      </c>
      <c r="R1342" t="s">
        <v>178</v>
      </c>
      <c r="S1342">
        <v>4</v>
      </c>
      <c r="T1342">
        <v>800</v>
      </c>
      <c r="U1342">
        <v>80</v>
      </c>
      <c r="V1342">
        <v>720</v>
      </c>
      <c r="W1342">
        <v>460</v>
      </c>
      <c r="X1342">
        <v>260</v>
      </c>
      <c r="Y1342" s="8">
        <v>0.3611111111111111</v>
      </c>
      <c r="Z1342" t="s">
        <v>2995</v>
      </c>
      <c r="AA1342" t="str">
        <f>IF(AND(SalesCleanTable[[#This Row],[Discount %]]&gt;0, SalesCleanTable[[#This Row],[Profit]]&lt;0), "Discount loss", "Safe")</f>
        <v>Safe</v>
      </c>
      <c r="AB1342" s="25">
        <f>(SalesCleanTable[[#This Row],[Unit Price]] - SalesCleanTable[[#This Row],[Unit Cost]]) / SalesCleanTable[[#This Row],[Unit Price]]</f>
        <v>0.42499999999999999</v>
      </c>
      <c r="AC1342" t="str">
        <f>IF(SalesCleanTable[[#This Row],[Discount %]] &gt; SalesCleanTable[[#This Row],[Max Allowed Discount]], "Discount loss", "Safe")</f>
        <v>Safe</v>
      </c>
      <c r="AD1342" s="4">
        <f>SalesCleanTable[[#This Row],[Unit Price]] - SalesCleanTable[[#This Row],[Unit Cost]]</f>
        <v>170</v>
      </c>
      <c r="AE1342" s="41">
        <f>(SalesCleanTable[[#This Row],[Unit Price]] - SalesCleanTable[[#This Row],[Unit Cost]]) / SalesCleanTable[[#This Row],[Unit Price]]</f>
        <v>0.42499999999999999</v>
      </c>
    </row>
    <row r="1343" spans="1:31">
      <c r="A1343" t="s">
        <v>1529</v>
      </c>
      <c r="B1343" s="6">
        <v>45938</v>
      </c>
      <c r="C1343" t="s">
        <v>78</v>
      </c>
      <c r="D1343" t="s">
        <v>79</v>
      </c>
      <c r="E1343" t="s">
        <v>75</v>
      </c>
      <c r="F1343" t="s">
        <v>80</v>
      </c>
      <c r="G1343" t="s">
        <v>81</v>
      </c>
      <c r="H1343" t="s">
        <v>145</v>
      </c>
      <c r="I1343" t="s">
        <v>146</v>
      </c>
      <c r="J1343" t="s">
        <v>147</v>
      </c>
      <c r="K1343" t="s">
        <v>148</v>
      </c>
      <c r="L1343" t="s">
        <v>166</v>
      </c>
      <c r="M1343" t="s">
        <v>186</v>
      </c>
      <c r="N1343">
        <v>4</v>
      </c>
      <c r="O1343" s="4">
        <v>1200</v>
      </c>
      <c r="P1343" s="4">
        <v>1900</v>
      </c>
      <c r="Q1343" s="7">
        <v>0.15</v>
      </c>
      <c r="R1343" t="s">
        <v>187</v>
      </c>
      <c r="S1343">
        <v>6</v>
      </c>
      <c r="T1343">
        <v>7600</v>
      </c>
      <c r="U1343">
        <v>1140</v>
      </c>
      <c r="V1343">
        <v>6460</v>
      </c>
      <c r="W1343">
        <v>4800</v>
      </c>
      <c r="X1343">
        <v>1660</v>
      </c>
      <c r="Y1343" s="8">
        <v>0.25696594427244585</v>
      </c>
      <c r="Z1343" t="s">
        <v>2996</v>
      </c>
      <c r="AA1343" t="str">
        <f>IF(AND(SalesCleanTable[[#This Row],[Discount %]]&gt;0, SalesCleanTable[[#This Row],[Profit]]&lt;0), "Discount loss", "Safe")</f>
        <v>Safe</v>
      </c>
      <c r="AB1343" s="25">
        <f>(SalesCleanTable[[#This Row],[Unit Price]] - SalesCleanTable[[#This Row],[Unit Cost]]) / SalesCleanTable[[#This Row],[Unit Price]]</f>
        <v>0.36842105263157893</v>
      </c>
      <c r="AC1343" t="str">
        <f>IF(SalesCleanTable[[#This Row],[Discount %]] &gt; SalesCleanTable[[#This Row],[Max Allowed Discount]], "Discount loss", "Safe")</f>
        <v>Safe</v>
      </c>
      <c r="AD1343" s="4">
        <f>SalesCleanTable[[#This Row],[Unit Price]] - SalesCleanTable[[#This Row],[Unit Cost]]</f>
        <v>700</v>
      </c>
      <c r="AE1343" s="41">
        <f>(SalesCleanTable[[#This Row],[Unit Price]] - SalesCleanTable[[#This Row],[Unit Cost]]) / SalesCleanTable[[#This Row],[Unit Price]]</f>
        <v>0.36842105263157893</v>
      </c>
    </row>
    <row r="1344" spans="1:31">
      <c r="A1344" t="s">
        <v>1530</v>
      </c>
      <c r="B1344" s="6">
        <v>45933</v>
      </c>
      <c r="C1344" t="s">
        <v>82</v>
      </c>
      <c r="D1344" t="s">
        <v>83</v>
      </c>
      <c r="E1344" t="s">
        <v>75</v>
      </c>
      <c r="F1344" t="s">
        <v>84</v>
      </c>
      <c r="G1344" t="s">
        <v>85</v>
      </c>
      <c r="H1344" t="s">
        <v>149</v>
      </c>
      <c r="I1344" t="s">
        <v>150</v>
      </c>
      <c r="J1344" t="s">
        <v>151</v>
      </c>
      <c r="K1344" t="s">
        <v>152</v>
      </c>
      <c r="L1344" t="s">
        <v>166</v>
      </c>
      <c r="M1344" t="s">
        <v>171</v>
      </c>
      <c r="N1344">
        <v>2</v>
      </c>
      <c r="O1344" s="4">
        <v>600</v>
      </c>
      <c r="P1344" s="4">
        <v>950</v>
      </c>
      <c r="Q1344" s="7">
        <v>0.15</v>
      </c>
      <c r="R1344" t="s">
        <v>204</v>
      </c>
      <c r="S1344">
        <v>7</v>
      </c>
      <c r="T1344">
        <v>1900</v>
      </c>
      <c r="U1344">
        <v>285</v>
      </c>
      <c r="V1344">
        <v>1615</v>
      </c>
      <c r="W1344">
        <v>1200</v>
      </c>
      <c r="X1344">
        <v>415</v>
      </c>
      <c r="Y1344" s="8">
        <v>0.25696594427244585</v>
      </c>
      <c r="Z1344" t="s">
        <v>2996</v>
      </c>
      <c r="AA1344" t="str">
        <f>IF(AND(SalesCleanTable[[#This Row],[Discount %]]&gt;0, SalesCleanTable[[#This Row],[Profit]]&lt;0), "Discount loss", "Safe")</f>
        <v>Safe</v>
      </c>
      <c r="AB1344" s="25">
        <f>(SalesCleanTable[[#This Row],[Unit Price]] - SalesCleanTable[[#This Row],[Unit Cost]]) / SalesCleanTable[[#This Row],[Unit Price]]</f>
        <v>0.36842105263157893</v>
      </c>
      <c r="AC1344" t="str">
        <f>IF(SalesCleanTable[[#This Row],[Discount %]] &gt; SalesCleanTable[[#This Row],[Max Allowed Discount]], "Discount loss", "Safe")</f>
        <v>Safe</v>
      </c>
      <c r="AD1344" s="4">
        <f>SalesCleanTable[[#This Row],[Unit Price]] - SalesCleanTable[[#This Row],[Unit Cost]]</f>
        <v>350</v>
      </c>
      <c r="AE1344" s="41">
        <f>(SalesCleanTable[[#This Row],[Unit Price]] - SalesCleanTable[[#This Row],[Unit Cost]]) / SalesCleanTable[[#This Row],[Unit Price]]</f>
        <v>0.36842105263157893</v>
      </c>
    </row>
    <row r="1345" spans="1:31">
      <c r="A1345" t="s">
        <v>1531</v>
      </c>
      <c r="B1345" s="6">
        <v>45912</v>
      </c>
      <c r="C1345" t="s">
        <v>73</v>
      </c>
      <c r="D1345" t="s">
        <v>74</v>
      </c>
      <c r="E1345" t="s">
        <v>75</v>
      </c>
      <c r="F1345" t="s">
        <v>76</v>
      </c>
      <c r="G1345" t="s">
        <v>77</v>
      </c>
      <c r="H1345" t="s">
        <v>145</v>
      </c>
      <c r="I1345" t="s">
        <v>146</v>
      </c>
      <c r="J1345" t="s">
        <v>147</v>
      </c>
      <c r="K1345" t="s">
        <v>148</v>
      </c>
      <c r="L1345" t="s">
        <v>166</v>
      </c>
      <c r="M1345" t="s">
        <v>186</v>
      </c>
      <c r="N1345">
        <v>1</v>
      </c>
      <c r="O1345" s="4">
        <v>3500</v>
      </c>
      <c r="P1345" s="4">
        <v>5200</v>
      </c>
      <c r="Q1345" s="7">
        <v>0.15</v>
      </c>
      <c r="R1345" t="s">
        <v>208</v>
      </c>
      <c r="S1345">
        <v>6</v>
      </c>
      <c r="T1345">
        <v>5200</v>
      </c>
      <c r="U1345">
        <v>780</v>
      </c>
      <c r="V1345">
        <v>4420</v>
      </c>
      <c r="W1345">
        <v>3500</v>
      </c>
      <c r="X1345">
        <v>920</v>
      </c>
      <c r="Y1345" s="8">
        <v>0.20814479638009051</v>
      </c>
      <c r="Z1345" t="s">
        <v>2996</v>
      </c>
      <c r="AA1345" t="str">
        <f>IF(AND(SalesCleanTable[[#This Row],[Discount %]]&gt;0, SalesCleanTable[[#This Row],[Profit]]&lt;0), "Discount loss", "Safe")</f>
        <v>Safe</v>
      </c>
      <c r="AB1345" s="25">
        <f>(SalesCleanTable[[#This Row],[Unit Price]] - SalesCleanTable[[#This Row],[Unit Cost]]) / SalesCleanTable[[#This Row],[Unit Price]]</f>
        <v>0.32692307692307693</v>
      </c>
      <c r="AC1345" t="str">
        <f>IF(SalesCleanTable[[#This Row],[Discount %]] &gt; SalesCleanTable[[#This Row],[Max Allowed Discount]], "Discount loss", "Safe")</f>
        <v>Safe</v>
      </c>
      <c r="AD1345" s="4">
        <f>SalesCleanTable[[#This Row],[Unit Price]] - SalesCleanTable[[#This Row],[Unit Cost]]</f>
        <v>1700</v>
      </c>
      <c r="AE1345" s="41">
        <f>(SalesCleanTable[[#This Row],[Unit Price]] - SalesCleanTable[[#This Row],[Unit Cost]]) / SalesCleanTable[[#This Row],[Unit Price]]</f>
        <v>0.32692307692307693</v>
      </c>
    </row>
    <row r="1346" spans="1:31">
      <c r="A1346" t="s">
        <v>1532</v>
      </c>
      <c r="B1346" s="6">
        <v>45744</v>
      </c>
      <c r="C1346" t="s">
        <v>45</v>
      </c>
      <c r="D1346" t="s">
        <v>46</v>
      </c>
      <c r="E1346" t="s">
        <v>38</v>
      </c>
      <c r="F1346" t="s">
        <v>47</v>
      </c>
      <c r="G1346" t="s">
        <v>48</v>
      </c>
      <c r="H1346" t="s">
        <v>128</v>
      </c>
      <c r="I1346" t="s">
        <v>129</v>
      </c>
      <c r="J1346" t="s">
        <v>130</v>
      </c>
      <c r="K1346" t="s">
        <v>131</v>
      </c>
      <c r="L1346" t="s">
        <v>183</v>
      </c>
      <c r="M1346" t="s">
        <v>171</v>
      </c>
      <c r="N1346">
        <v>3</v>
      </c>
      <c r="O1346" s="4">
        <v>230</v>
      </c>
      <c r="P1346" s="4">
        <v>400</v>
      </c>
      <c r="Q1346" s="7">
        <v>0.15</v>
      </c>
      <c r="R1346" t="s">
        <v>168</v>
      </c>
      <c r="S1346">
        <v>9</v>
      </c>
      <c r="T1346">
        <v>1200</v>
      </c>
      <c r="U1346">
        <v>180</v>
      </c>
      <c r="V1346">
        <v>1020</v>
      </c>
      <c r="W1346">
        <v>690</v>
      </c>
      <c r="X1346">
        <v>330</v>
      </c>
      <c r="Y1346" s="8">
        <v>0.3235294117647059</v>
      </c>
      <c r="Z1346" t="s">
        <v>2995</v>
      </c>
      <c r="AA1346" t="str">
        <f>IF(AND(SalesCleanTable[[#This Row],[Discount %]]&gt;0, SalesCleanTable[[#This Row],[Profit]]&lt;0), "Discount loss", "Safe")</f>
        <v>Safe</v>
      </c>
      <c r="AB1346" s="25">
        <f>(SalesCleanTable[[#This Row],[Unit Price]] - SalesCleanTable[[#This Row],[Unit Cost]]) / SalesCleanTable[[#This Row],[Unit Price]]</f>
        <v>0.42499999999999999</v>
      </c>
      <c r="AC1346" t="str">
        <f>IF(SalesCleanTable[[#This Row],[Discount %]] &gt; SalesCleanTable[[#This Row],[Max Allowed Discount]], "Discount loss", "Safe")</f>
        <v>Safe</v>
      </c>
      <c r="AD1346" s="4">
        <f>SalesCleanTable[[#This Row],[Unit Price]] - SalesCleanTable[[#This Row],[Unit Cost]]</f>
        <v>170</v>
      </c>
      <c r="AE1346" s="41">
        <f>(SalesCleanTable[[#This Row],[Unit Price]] - SalesCleanTable[[#This Row],[Unit Cost]]) / SalesCleanTable[[#This Row],[Unit Price]]</f>
        <v>0.42499999999999999</v>
      </c>
    </row>
    <row r="1347" spans="1:31">
      <c r="A1347" t="s">
        <v>1533</v>
      </c>
      <c r="B1347" s="6">
        <v>45974</v>
      </c>
      <c r="C1347" t="s">
        <v>82</v>
      </c>
      <c r="D1347" t="s">
        <v>83</v>
      </c>
      <c r="E1347" t="s">
        <v>75</v>
      </c>
      <c r="F1347" t="s">
        <v>84</v>
      </c>
      <c r="G1347" t="s">
        <v>85</v>
      </c>
      <c r="H1347" t="s">
        <v>133</v>
      </c>
      <c r="I1347" t="s">
        <v>134</v>
      </c>
      <c r="J1347" t="s">
        <v>130</v>
      </c>
      <c r="K1347" t="s">
        <v>131</v>
      </c>
      <c r="L1347" t="s">
        <v>183</v>
      </c>
      <c r="M1347" t="s">
        <v>186</v>
      </c>
      <c r="N1347">
        <v>1</v>
      </c>
      <c r="O1347" s="4">
        <v>600</v>
      </c>
      <c r="P1347" s="4">
        <v>950</v>
      </c>
      <c r="Q1347" s="7">
        <v>0.1</v>
      </c>
      <c r="R1347" t="s">
        <v>208</v>
      </c>
      <c r="S1347">
        <v>3</v>
      </c>
      <c r="T1347">
        <v>950</v>
      </c>
      <c r="U1347">
        <v>95</v>
      </c>
      <c r="V1347">
        <v>855</v>
      </c>
      <c r="W1347">
        <v>600</v>
      </c>
      <c r="X1347">
        <v>255</v>
      </c>
      <c r="Y1347" s="8">
        <v>0.2982456140350877</v>
      </c>
      <c r="Z1347" t="s">
        <v>2996</v>
      </c>
      <c r="AA1347" t="str">
        <f>IF(AND(SalesCleanTable[[#This Row],[Discount %]]&gt;0, SalesCleanTable[[#This Row],[Profit]]&lt;0), "Discount loss", "Safe")</f>
        <v>Safe</v>
      </c>
      <c r="AB1347" s="25">
        <f>(SalesCleanTable[[#This Row],[Unit Price]] - SalesCleanTable[[#This Row],[Unit Cost]]) / SalesCleanTable[[#This Row],[Unit Price]]</f>
        <v>0.36842105263157893</v>
      </c>
      <c r="AC1347" t="str">
        <f>IF(SalesCleanTable[[#This Row],[Discount %]] &gt; SalesCleanTable[[#This Row],[Max Allowed Discount]], "Discount loss", "Safe")</f>
        <v>Safe</v>
      </c>
      <c r="AD1347" s="4">
        <f>SalesCleanTable[[#This Row],[Unit Price]] - SalesCleanTable[[#This Row],[Unit Cost]]</f>
        <v>350</v>
      </c>
      <c r="AE1347" s="41">
        <f>(SalesCleanTable[[#This Row],[Unit Price]] - SalesCleanTable[[#This Row],[Unit Cost]]) / SalesCleanTable[[#This Row],[Unit Price]]</f>
        <v>0.36842105263157893</v>
      </c>
    </row>
    <row r="1348" spans="1:31">
      <c r="A1348" t="s">
        <v>1534</v>
      </c>
      <c r="B1348" s="6">
        <v>45930</v>
      </c>
      <c r="C1348" t="s">
        <v>45</v>
      </c>
      <c r="D1348" t="s">
        <v>46</v>
      </c>
      <c r="E1348" t="s">
        <v>38</v>
      </c>
      <c r="F1348" t="s">
        <v>47</v>
      </c>
      <c r="G1348" t="s">
        <v>48</v>
      </c>
      <c r="H1348" t="s">
        <v>128</v>
      </c>
      <c r="I1348" t="s">
        <v>129</v>
      </c>
      <c r="J1348" t="s">
        <v>130</v>
      </c>
      <c r="K1348" t="s">
        <v>131</v>
      </c>
      <c r="L1348" t="s">
        <v>183</v>
      </c>
      <c r="M1348" t="s">
        <v>171</v>
      </c>
      <c r="N1348">
        <v>2</v>
      </c>
      <c r="O1348" s="4">
        <v>230</v>
      </c>
      <c r="P1348" s="4">
        <v>400</v>
      </c>
      <c r="Q1348" s="7">
        <v>0.15</v>
      </c>
      <c r="R1348" t="s">
        <v>175</v>
      </c>
      <c r="S1348">
        <v>10</v>
      </c>
      <c r="T1348">
        <v>800</v>
      </c>
      <c r="U1348">
        <v>120</v>
      </c>
      <c r="V1348">
        <v>680</v>
      </c>
      <c r="W1348">
        <v>460</v>
      </c>
      <c r="X1348">
        <v>220</v>
      </c>
      <c r="Y1348" s="8">
        <v>0.3235294117647059</v>
      </c>
      <c r="Z1348" t="s">
        <v>2995</v>
      </c>
      <c r="AA1348" t="str">
        <f>IF(AND(SalesCleanTable[[#This Row],[Discount %]]&gt;0, SalesCleanTable[[#This Row],[Profit]]&lt;0), "Discount loss", "Safe")</f>
        <v>Safe</v>
      </c>
      <c r="AB1348" s="25">
        <f>(SalesCleanTable[[#This Row],[Unit Price]] - SalesCleanTable[[#This Row],[Unit Cost]]) / SalesCleanTable[[#This Row],[Unit Price]]</f>
        <v>0.42499999999999999</v>
      </c>
      <c r="AC1348" t="str">
        <f>IF(SalesCleanTable[[#This Row],[Discount %]] &gt; SalesCleanTable[[#This Row],[Max Allowed Discount]], "Discount loss", "Safe")</f>
        <v>Safe</v>
      </c>
      <c r="AD1348" s="4">
        <f>SalesCleanTable[[#This Row],[Unit Price]] - SalesCleanTable[[#This Row],[Unit Cost]]</f>
        <v>170</v>
      </c>
      <c r="AE1348" s="41">
        <f>(SalesCleanTable[[#This Row],[Unit Price]] - SalesCleanTable[[#This Row],[Unit Cost]]) / SalesCleanTable[[#This Row],[Unit Price]]</f>
        <v>0.42499999999999999</v>
      </c>
    </row>
    <row r="1349" spans="1:31">
      <c r="A1349" t="s">
        <v>1535</v>
      </c>
      <c r="B1349" s="6">
        <v>45700</v>
      </c>
      <c r="C1349" t="s">
        <v>45</v>
      </c>
      <c r="D1349" t="s">
        <v>46</v>
      </c>
      <c r="E1349" t="s">
        <v>38</v>
      </c>
      <c r="F1349" t="s">
        <v>47</v>
      </c>
      <c r="G1349" t="s">
        <v>48</v>
      </c>
      <c r="H1349" t="s">
        <v>133</v>
      </c>
      <c r="I1349" t="s">
        <v>134</v>
      </c>
      <c r="J1349" t="s">
        <v>130</v>
      </c>
      <c r="K1349" t="s">
        <v>131</v>
      </c>
      <c r="L1349" t="s">
        <v>166</v>
      </c>
      <c r="M1349" t="s">
        <v>171</v>
      </c>
      <c r="N1349">
        <v>5</v>
      </c>
      <c r="O1349" s="4">
        <v>230</v>
      </c>
      <c r="P1349" s="4">
        <v>400</v>
      </c>
      <c r="Q1349" s="7">
        <v>0</v>
      </c>
      <c r="R1349" t="s">
        <v>178</v>
      </c>
      <c r="S1349">
        <v>8</v>
      </c>
      <c r="T1349">
        <v>2000</v>
      </c>
      <c r="U1349">
        <v>0</v>
      </c>
      <c r="V1349">
        <v>2000</v>
      </c>
      <c r="W1349">
        <v>1150</v>
      </c>
      <c r="X1349">
        <v>850</v>
      </c>
      <c r="Y1349" s="8">
        <v>0.42499999999999999</v>
      </c>
      <c r="Z1349" t="s">
        <v>2995</v>
      </c>
      <c r="AA1349" t="str">
        <f>IF(AND(SalesCleanTable[[#This Row],[Discount %]]&gt;0, SalesCleanTable[[#This Row],[Profit]]&lt;0), "Discount loss", "Safe")</f>
        <v>Safe</v>
      </c>
      <c r="AB1349" s="25">
        <f>(SalesCleanTable[[#This Row],[Unit Price]] - SalesCleanTable[[#This Row],[Unit Cost]]) / SalesCleanTable[[#This Row],[Unit Price]]</f>
        <v>0.42499999999999999</v>
      </c>
      <c r="AC1349" t="str">
        <f>IF(SalesCleanTable[[#This Row],[Discount %]] &gt; SalesCleanTable[[#This Row],[Max Allowed Discount]], "Discount loss", "Safe")</f>
        <v>Safe</v>
      </c>
      <c r="AD1349" s="4">
        <f>SalesCleanTable[[#This Row],[Unit Price]] - SalesCleanTable[[#This Row],[Unit Cost]]</f>
        <v>170</v>
      </c>
      <c r="AE1349" s="41">
        <f>(SalesCleanTable[[#This Row],[Unit Price]] - SalesCleanTable[[#This Row],[Unit Cost]]) / SalesCleanTable[[#This Row],[Unit Price]]</f>
        <v>0.42499999999999999</v>
      </c>
    </row>
    <row r="1350" spans="1:31">
      <c r="A1350" t="s">
        <v>1536</v>
      </c>
      <c r="B1350" s="6">
        <v>46013</v>
      </c>
      <c r="C1350" t="s">
        <v>116</v>
      </c>
      <c r="D1350" t="s">
        <v>117</v>
      </c>
      <c r="E1350" t="s">
        <v>109</v>
      </c>
      <c r="F1350" t="s">
        <v>118</v>
      </c>
      <c r="G1350" t="s">
        <v>119</v>
      </c>
      <c r="H1350" t="s">
        <v>133</v>
      </c>
      <c r="I1350" t="s">
        <v>134</v>
      </c>
      <c r="J1350" t="s">
        <v>130</v>
      </c>
      <c r="K1350" t="s">
        <v>131</v>
      </c>
      <c r="L1350" t="s">
        <v>166</v>
      </c>
      <c r="M1350" t="s">
        <v>177</v>
      </c>
      <c r="N1350">
        <v>2</v>
      </c>
      <c r="O1350" s="4">
        <v>2800</v>
      </c>
      <c r="P1350" s="4">
        <v>4200</v>
      </c>
      <c r="Q1350" s="7">
        <v>0.1</v>
      </c>
      <c r="R1350" t="s">
        <v>235</v>
      </c>
      <c r="S1350">
        <v>1</v>
      </c>
      <c r="T1350">
        <v>8400</v>
      </c>
      <c r="U1350">
        <v>840</v>
      </c>
      <c r="V1350">
        <v>7560</v>
      </c>
      <c r="W1350">
        <v>5600</v>
      </c>
      <c r="X1350">
        <v>1960</v>
      </c>
      <c r="Y1350" s="8">
        <v>0.25925925925925924</v>
      </c>
      <c r="Z1350" t="s">
        <v>2995</v>
      </c>
      <c r="AA1350" t="str">
        <f>IF(AND(SalesCleanTable[[#This Row],[Discount %]]&gt;0, SalesCleanTable[[#This Row],[Profit]]&lt;0), "Discount loss", "Safe")</f>
        <v>Safe</v>
      </c>
      <c r="AB1350" s="25">
        <f>(SalesCleanTable[[#This Row],[Unit Price]] - SalesCleanTable[[#This Row],[Unit Cost]]) / SalesCleanTable[[#This Row],[Unit Price]]</f>
        <v>0.33333333333333331</v>
      </c>
      <c r="AC1350" t="str">
        <f>IF(SalesCleanTable[[#This Row],[Discount %]] &gt; SalesCleanTable[[#This Row],[Max Allowed Discount]], "Discount loss", "Safe")</f>
        <v>Safe</v>
      </c>
      <c r="AD1350" s="4">
        <f>SalesCleanTable[[#This Row],[Unit Price]] - SalesCleanTable[[#This Row],[Unit Cost]]</f>
        <v>1400</v>
      </c>
      <c r="AE1350" s="41">
        <f>(SalesCleanTable[[#This Row],[Unit Price]] - SalesCleanTable[[#This Row],[Unit Cost]]) / SalesCleanTable[[#This Row],[Unit Price]]</f>
        <v>0.33333333333333331</v>
      </c>
    </row>
    <row r="1351" spans="1:31">
      <c r="A1351" t="s">
        <v>1537</v>
      </c>
      <c r="B1351" s="6">
        <v>45905</v>
      </c>
      <c r="C1351" t="s">
        <v>99</v>
      </c>
      <c r="D1351" t="s">
        <v>100</v>
      </c>
      <c r="E1351" t="s">
        <v>92</v>
      </c>
      <c r="F1351" t="s">
        <v>101</v>
      </c>
      <c r="G1351" t="s">
        <v>102</v>
      </c>
      <c r="H1351" t="s">
        <v>135</v>
      </c>
      <c r="I1351" t="s">
        <v>136</v>
      </c>
      <c r="J1351" t="s">
        <v>137</v>
      </c>
      <c r="K1351" t="s">
        <v>138</v>
      </c>
      <c r="L1351" t="s">
        <v>166</v>
      </c>
      <c r="M1351" t="s">
        <v>171</v>
      </c>
      <c r="N1351">
        <v>3</v>
      </c>
      <c r="O1351" s="4">
        <v>12500</v>
      </c>
      <c r="P1351" s="4">
        <v>18500</v>
      </c>
      <c r="Q1351" s="7">
        <v>0.1</v>
      </c>
      <c r="R1351" t="s">
        <v>215</v>
      </c>
      <c r="S1351">
        <v>7</v>
      </c>
      <c r="T1351">
        <v>55500</v>
      </c>
      <c r="U1351">
        <v>5550</v>
      </c>
      <c r="V1351">
        <v>49950</v>
      </c>
      <c r="W1351">
        <v>37500</v>
      </c>
      <c r="X1351">
        <v>12450</v>
      </c>
      <c r="Y1351" s="8">
        <v>0.24924924924924924</v>
      </c>
      <c r="Z1351" t="s">
        <v>2995</v>
      </c>
      <c r="AA1351" t="str">
        <f>IF(AND(SalesCleanTable[[#This Row],[Discount %]]&gt;0, SalesCleanTable[[#This Row],[Profit]]&lt;0), "Discount loss", "Safe")</f>
        <v>Safe</v>
      </c>
      <c r="AB1351" s="25">
        <f>(SalesCleanTable[[#This Row],[Unit Price]] - SalesCleanTable[[#This Row],[Unit Cost]]) / SalesCleanTable[[#This Row],[Unit Price]]</f>
        <v>0.32432432432432434</v>
      </c>
      <c r="AC1351" t="str">
        <f>IF(SalesCleanTable[[#This Row],[Discount %]] &gt; SalesCleanTable[[#This Row],[Max Allowed Discount]], "Discount loss", "Safe")</f>
        <v>Safe</v>
      </c>
      <c r="AD1351" s="4">
        <f>SalesCleanTable[[#This Row],[Unit Price]] - SalesCleanTable[[#This Row],[Unit Cost]]</f>
        <v>6000</v>
      </c>
      <c r="AE1351" s="41">
        <f>(SalesCleanTable[[#This Row],[Unit Price]] - SalesCleanTable[[#This Row],[Unit Cost]]) / SalesCleanTable[[#This Row],[Unit Price]]</f>
        <v>0.32432432432432434</v>
      </c>
    </row>
    <row r="1352" spans="1:31">
      <c r="A1352" t="s">
        <v>1538</v>
      </c>
      <c r="B1352" s="6">
        <v>45856</v>
      </c>
      <c r="C1352" t="s">
        <v>82</v>
      </c>
      <c r="D1352" t="s">
        <v>83</v>
      </c>
      <c r="E1352" t="s">
        <v>75</v>
      </c>
      <c r="F1352" t="s">
        <v>84</v>
      </c>
      <c r="G1352" t="s">
        <v>85</v>
      </c>
      <c r="H1352" t="s">
        <v>145</v>
      </c>
      <c r="I1352" t="s">
        <v>146</v>
      </c>
      <c r="J1352" t="s">
        <v>147</v>
      </c>
      <c r="K1352" t="s">
        <v>148</v>
      </c>
      <c r="L1352" t="s">
        <v>166</v>
      </c>
      <c r="M1352" t="s">
        <v>186</v>
      </c>
      <c r="N1352">
        <v>10</v>
      </c>
      <c r="O1352" s="4">
        <v>600</v>
      </c>
      <c r="P1352" s="4">
        <v>950</v>
      </c>
      <c r="Q1352" s="7">
        <v>0.15</v>
      </c>
      <c r="R1352" t="s">
        <v>187</v>
      </c>
      <c r="S1352">
        <v>6</v>
      </c>
      <c r="T1352">
        <v>9500</v>
      </c>
      <c r="U1352">
        <v>1425</v>
      </c>
      <c r="V1352">
        <v>8075</v>
      </c>
      <c r="W1352">
        <v>6000</v>
      </c>
      <c r="X1352">
        <v>2075</v>
      </c>
      <c r="Y1352" s="8">
        <v>0.25696594427244585</v>
      </c>
      <c r="Z1352" t="s">
        <v>2996</v>
      </c>
      <c r="AA1352" t="str">
        <f>IF(AND(SalesCleanTable[[#This Row],[Discount %]]&gt;0, SalesCleanTable[[#This Row],[Profit]]&lt;0), "Discount loss", "Safe")</f>
        <v>Safe</v>
      </c>
      <c r="AB1352" s="25">
        <f>(SalesCleanTable[[#This Row],[Unit Price]] - SalesCleanTable[[#This Row],[Unit Cost]]) / SalesCleanTable[[#This Row],[Unit Price]]</f>
        <v>0.36842105263157893</v>
      </c>
      <c r="AC1352" t="str">
        <f>IF(SalesCleanTable[[#This Row],[Discount %]] &gt; SalesCleanTable[[#This Row],[Max Allowed Discount]], "Discount loss", "Safe")</f>
        <v>Safe</v>
      </c>
      <c r="AD1352" s="4">
        <f>SalesCleanTable[[#This Row],[Unit Price]] - SalesCleanTable[[#This Row],[Unit Cost]]</f>
        <v>350</v>
      </c>
      <c r="AE1352" s="41">
        <f>(SalesCleanTable[[#This Row],[Unit Price]] - SalesCleanTable[[#This Row],[Unit Cost]]) / SalesCleanTable[[#This Row],[Unit Price]]</f>
        <v>0.36842105263157893</v>
      </c>
    </row>
    <row r="1353" spans="1:31">
      <c r="A1353" t="s">
        <v>1539</v>
      </c>
      <c r="B1353" s="6">
        <v>45697</v>
      </c>
      <c r="C1353" t="s">
        <v>116</v>
      </c>
      <c r="D1353" t="s">
        <v>117</v>
      </c>
      <c r="E1353" t="s">
        <v>109</v>
      </c>
      <c r="F1353" t="s">
        <v>118</v>
      </c>
      <c r="G1353" t="s">
        <v>119</v>
      </c>
      <c r="H1353" t="s">
        <v>128</v>
      </c>
      <c r="I1353" t="s">
        <v>129</v>
      </c>
      <c r="J1353" t="s">
        <v>130</v>
      </c>
      <c r="K1353" t="s">
        <v>131</v>
      </c>
      <c r="L1353" t="s">
        <v>166</v>
      </c>
      <c r="M1353" t="s">
        <v>171</v>
      </c>
      <c r="N1353">
        <v>5</v>
      </c>
      <c r="O1353" s="4">
        <v>2800</v>
      </c>
      <c r="P1353" s="4">
        <v>4200</v>
      </c>
      <c r="Q1353" s="7">
        <v>0.2</v>
      </c>
      <c r="R1353" t="s">
        <v>235</v>
      </c>
      <c r="S1353">
        <v>2</v>
      </c>
      <c r="T1353">
        <v>21000</v>
      </c>
      <c r="U1353">
        <v>4200</v>
      </c>
      <c r="V1353">
        <v>16800</v>
      </c>
      <c r="W1353">
        <v>14000</v>
      </c>
      <c r="X1353">
        <v>2800</v>
      </c>
      <c r="Y1353" s="8">
        <v>0.16666666666666666</v>
      </c>
      <c r="Z1353" t="s">
        <v>2995</v>
      </c>
      <c r="AA1353" t="str">
        <f>IF(AND(SalesCleanTable[[#This Row],[Discount %]]&gt;0, SalesCleanTable[[#This Row],[Profit]]&lt;0), "Discount loss", "Safe")</f>
        <v>Safe</v>
      </c>
      <c r="AB1353" s="25">
        <f>(SalesCleanTable[[#This Row],[Unit Price]] - SalesCleanTable[[#This Row],[Unit Cost]]) / SalesCleanTable[[#This Row],[Unit Price]]</f>
        <v>0.33333333333333331</v>
      </c>
      <c r="AC1353" t="str">
        <f>IF(SalesCleanTable[[#This Row],[Discount %]] &gt; SalesCleanTable[[#This Row],[Max Allowed Discount]], "Discount loss", "Safe")</f>
        <v>Safe</v>
      </c>
      <c r="AD1353" s="4">
        <f>SalesCleanTable[[#This Row],[Unit Price]] - SalesCleanTable[[#This Row],[Unit Cost]]</f>
        <v>1400</v>
      </c>
      <c r="AE1353" s="41">
        <f>(SalesCleanTable[[#This Row],[Unit Price]] - SalesCleanTable[[#This Row],[Unit Cost]]) / SalesCleanTable[[#This Row],[Unit Price]]</f>
        <v>0.33333333333333331</v>
      </c>
    </row>
    <row r="1354" spans="1:31">
      <c r="A1354" t="s">
        <v>1540</v>
      </c>
      <c r="B1354" s="6">
        <v>45917</v>
      </c>
      <c r="C1354" t="s">
        <v>82</v>
      </c>
      <c r="D1354" t="s">
        <v>83</v>
      </c>
      <c r="E1354" t="s">
        <v>75</v>
      </c>
      <c r="F1354" t="s">
        <v>84</v>
      </c>
      <c r="G1354" t="s">
        <v>85</v>
      </c>
      <c r="H1354" t="s">
        <v>139</v>
      </c>
      <c r="I1354" t="s">
        <v>140</v>
      </c>
      <c r="J1354" t="s">
        <v>137</v>
      </c>
      <c r="K1354" t="s">
        <v>138</v>
      </c>
      <c r="L1354" t="s">
        <v>166</v>
      </c>
      <c r="M1354" t="s">
        <v>186</v>
      </c>
      <c r="N1354">
        <v>1</v>
      </c>
      <c r="O1354" s="4">
        <v>600</v>
      </c>
      <c r="P1354" s="4">
        <v>950</v>
      </c>
      <c r="Q1354" s="7">
        <v>0.15</v>
      </c>
      <c r="R1354" t="s">
        <v>204</v>
      </c>
      <c r="S1354">
        <v>11</v>
      </c>
      <c r="T1354">
        <v>950</v>
      </c>
      <c r="U1354">
        <v>142.5</v>
      </c>
      <c r="V1354">
        <v>807.5</v>
      </c>
      <c r="W1354">
        <v>600</v>
      </c>
      <c r="X1354">
        <v>207.5</v>
      </c>
      <c r="Y1354" s="8">
        <v>0.25696594427244585</v>
      </c>
      <c r="Z1354" t="s">
        <v>2996</v>
      </c>
      <c r="AA1354" t="str">
        <f>IF(AND(SalesCleanTable[[#This Row],[Discount %]]&gt;0, SalesCleanTable[[#This Row],[Profit]]&lt;0), "Discount loss", "Safe")</f>
        <v>Safe</v>
      </c>
      <c r="AB1354" s="25">
        <f>(SalesCleanTable[[#This Row],[Unit Price]] - SalesCleanTable[[#This Row],[Unit Cost]]) / SalesCleanTable[[#This Row],[Unit Price]]</f>
        <v>0.36842105263157893</v>
      </c>
      <c r="AC1354" t="str">
        <f>IF(SalesCleanTable[[#This Row],[Discount %]] &gt; SalesCleanTable[[#This Row],[Max Allowed Discount]], "Discount loss", "Safe")</f>
        <v>Safe</v>
      </c>
      <c r="AD1354" s="4">
        <f>SalesCleanTable[[#This Row],[Unit Price]] - SalesCleanTable[[#This Row],[Unit Cost]]</f>
        <v>350</v>
      </c>
      <c r="AE1354" s="41">
        <f>(SalesCleanTable[[#This Row],[Unit Price]] - SalesCleanTable[[#This Row],[Unit Cost]]) / SalesCleanTable[[#This Row],[Unit Price]]</f>
        <v>0.36842105263157893</v>
      </c>
    </row>
    <row r="1355" spans="1:31">
      <c r="A1355" t="s">
        <v>1541</v>
      </c>
      <c r="B1355" s="6">
        <v>45772</v>
      </c>
      <c r="C1355" t="s">
        <v>53</v>
      </c>
      <c r="D1355" t="s">
        <v>54</v>
      </c>
      <c r="E1355" t="s">
        <v>38</v>
      </c>
      <c r="F1355" t="s">
        <v>55</v>
      </c>
      <c r="G1355" t="s">
        <v>56</v>
      </c>
      <c r="H1355" t="s">
        <v>139</v>
      </c>
      <c r="I1355" t="s">
        <v>140</v>
      </c>
      <c r="J1355" t="s">
        <v>137</v>
      </c>
      <c r="K1355" t="s">
        <v>138</v>
      </c>
      <c r="L1355" t="s">
        <v>166</v>
      </c>
      <c r="M1355" t="s">
        <v>186</v>
      </c>
      <c r="N1355">
        <v>1</v>
      </c>
      <c r="O1355" s="4">
        <v>330</v>
      </c>
      <c r="P1355" s="4">
        <v>550</v>
      </c>
      <c r="Q1355" s="7">
        <v>0.1</v>
      </c>
      <c r="R1355" t="s">
        <v>178</v>
      </c>
      <c r="S1355">
        <v>1</v>
      </c>
      <c r="T1355">
        <v>550</v>
      </c>
      <c r="U1355">
        <v>55</v>
      </c>
      <c r="V1355">
        <v>495</v>
      </c>
      <c r="W1355">
        <v>330</v>
      </c>
      <c r="X1355">
        <v>165</v>
      </c>
      <c r="Y1355" s="8">
        <v>0.33333333333333331</v>
      </c>
      <c r="Z1355" t="s">
        <v>2996</v>
      </c>
      <c r="AA1355" t="str">
        <f>IF(AND(SalesCleanTable[[#This Row],[Discount %]]&gt;0, SalesCleanTable[[#This Row],[Profit]]&lt;0), "Discount loss", "Safe")</f>
        <v>Safe</v>
      </c>
      <c r="AB1355" s="25">
        <f>(SalesCleanTable[[#This Row],[Unit Price]] - SalesCleanTable[[#This Row],[Unit Cost]]) / SalesCleanTable[[#This Row],[Unit Price]]</f>
        <v>0.4</v>
      </c>
      <c r="AC1355" t="str">
        <f>IF(SalesCleanTable[[#This Row],[Discount %]] &gt; SalesCleanTable[[#This Row],[Max Allowed Discount]], "Discount loss", "Safe")</f>
        <v>Safe</v>
      </c>
      <c r="AD1355" s="4">
        <f>SalesCleanTable[[#This Row],[Unit Price]] - SalesCleanTable[[#This Row],[Unit Cost]]</f>
        <v>220</v>
      </c>
      <c r="AE1355" s="41">
        <f>(SalesCleanTable[[#This Row],[Unit Price]] - SalesCleanTable[[#This Row],[Unit Cost]]) / SalesCleanTable[[#This Row],[Unit Price]]</f>
        <v>0.4</v>
      </c>
    </row>
    <row r="1356" spans="1:31">
      <c r="A1356" t="s">
        <v>1542</v>
      </c>
      <c r="B1356" s="6">
        <v>45944</v>
      </c>
      <c r="C1356" t="s">
        <v>78</v>
      </c>
      <c r="D1356" t="s">
        <v>79</v>
      </c>
      <c r="E1356" t="s">
        <v>75</v>
      </c>
      <c r="F1356" t="s">
        <v>80</v>
      </c>
      <c r="G1356" t="s">
        <v>81</v>
      </c>
      <c r="H1356" t="s">
        <v>149</v>
      </c>
      <c r="I1356" t="s">
        <v>150</v>
      </c>
      <c r="J1356" t="s">
        <v>151</v>
      </c>
      <c r="K1356" t="s">
        <v>152</v>
      </c>
      <c r="L1356" t="s">
        <v>166</v>
      </c>
      <c r="M1356" t="s">
        <v>186</v>
      </c>
      <c r="N1356">
        <v>3</v>
      </c>
      <c r="O1356" s="4">
        <v>1200</v>
      </c>
      <c r="P1356" s="4">
        <v>1900</v>
      </c>
      <c r="Q1356" s="7">
        <v>0.1</v>
      </c>
      <c r="R1356" t="s">
        <v>204</v>
      </c>
      <c r="S1356">
        <v>5</v>
      </c>
      <c r="T1356">
        <v>5700</v>
      </c>
      <c r="U1356">
        <v>570</v>
      </c>
      <c r="V1356">
        <v>5130</v>
      </c>
      <c r="W1356">
        <v>3600</v>
      </c>
      <c r="X1356">
        <v>1530</v>
      </c>
      <c r="Y1356" s="8">
        <v>0.2982456140350877</v>
      </c>
      <c r="Z1356" t="s">
        <v>2996</v>
      </c>
      <c r="AA1356" t="str">
        <f>IF(AND(SalesCleanTable[[#This Row],[Discount %]]&gt;0, SalesCleanTable[[#This Row],[Profit]]&lt;0), "Discount loss", "Safe")</f>
        <v>Safe</v>
      </c>
      <c r="AB1356" s="25">
        <f>(SalesCleanTable[[#This Row],[Unit Price]] - SalesCleanTable[[#This Row],[Unit Cost]]) / SalesCleanTable[[#This Row],[Unit Price]]</f>
        <v>0.36842105263157893</v>
      </c>
      <c r="AC1356" t="str">
        <f>IF(SalesCleanTable[[#This Row],[Discount %]] &gt; SalesCleanTable[[#This Row],[Max Allowed Discount]], "Discount loss", "Safe")</f>
        <v>Safe</v>
      </c>
      <c r="AD1356" s="4">
        <f>SalesCleanTable[[#This Row],[Unit Price]] - SalesCleanTable[[#This Row],[Unit Cost]]</f>
        <v>700</v>
      </c>
      <c r="AE1356" s="41">
        <f>(SalesCleanTable[[#This Row],[Unit Price]] - SalesCleanTable[[#This Row],[Unit Cost]]) / SalesCleanTable[[#This Row],[Unit Price]]</f>
        <v>0.36842105263157893</v>
      </c>
    </row>
    <row r="1357" spans="1:31">
      <c r="A1357" t="s">
        <v>1543</v>
      </c>
      <c r="B1357" s="6">
        <v>45672</v>
      </c>
      <c r="C1357" t="s">
        <v>82</v>
      </c>
      <c r="D1357" t="s">
        <v>83</v>
      </c>
      <c r="E1357" t="s">
        <v>75</v>
      </c>
      <c r="F1357" t="s">
        <v>84</v>
      </c>
      <c r="G1357" t="s">
        <v>85</v>
      </c>
      <c r="H1357" t="s">
        <v>139</v>
      </c>
      <c r="I1357" t="s">
        <v>140</v>
      </c>
      <c r="J1357" t="s">
        <v>137</v>
      </c>
      <c r="K1357" t="s">
        <v>138</v>
      </c>
      <c r="L1357" t="s">
        <v>170</v>
      </c>
      <c r="M1357" t="s">
        <v>167</v>
      </c>
      <c r="N1357">
        <v>4</v>
      </c>
      <c r="O1357" s="4">
        <v>600</v>
      </c>
      <c r="P1357" s="4">
        <v>950</v>
      </c>
      <c r="Q1357" s="7">
        <v>0.2</v>
      </c>
      <c r="R1357" t="s">
        <v>208</v>
      </c>
      <c r="S1357">
        <v>5</v>
      </c>
      <c r="T1357">
        <v>3800</v>
      </c>
      <c r="U1357">
        <v>760</v>
      </c>
      <c r="V1357">
        <v>3040</v>
      </c>
      <c r="W1357">
        <v>2400</v>
      </c>
      <c r="X1357">
        <v>640</v>
      </c>
      <c r="Y1357" s="8">
        <v>0.21052631578947367</v>
      </c>
      <c r="Z1357" t="s">
        <v>2996</v>
      </c>
      <c r="AA1357" t="str">
        <f>IF(AND(SalesCleanTable[[#This Row],[Discount %]]&gt;0, SalesCleanTable[[#This Row],[Profit]]&lt;0), "Discount loss", "Safe")</f>
        <v>Safe</v>
      </c>
      <c r="AB1357" s="25">
        <f>(SalesCleanTable[[#This Row],[Unit Price]] - SalesCleanTable[[#This Row],[Unit Cost]]) / SalesCleanTable[[#This Row],[Unit Price]]</f>
        <v>0.36842105263157893</v>
      </c>
      <c r="AC1357" t="str">
        <f>IF(SalesCleanTable[[#This Row],[Discount %]] &gt; SalesCleanTable[[#This Row],[Max Allowed Discount]], "Discount loss", "Safe")</f>
        <v>Safe</v>
      </c>
      <c r="AD1357" s="4">
        <f>SalesCleanTable[[#This Row],[Unit Price]] - SalesCleanTable[[#This Row],[Unit Cost]]</f>
        <v>350</v>
      </c>
      <c r="AE1357" s="41">
        <f>(SalesCleanTable[[#This Row],[Unit Price]] - SalesCleanTable[[#This Row],[Unit Cost]]) / SalesCleanTable[[#This Row],[Unit Price]]</f>
        <v>0.36842105263157893</v>
      </c>
    </row>
    <row r="1358" spans="1:31">
      <c r="A1358" t="s">
        <v>1544</v>
      </c>
      <c r="B1358" s="6">
        <v>46003</v>
      </c>
      <c r="C1358" t="s">
        <v>45</v>
      </c>
      <c r="D1358" t="s">
        <v>46</v>
      </c>
      <c r="E1358" t="s">
        <v>38</v>
      </c>
      <c r="F1358" t="s">
        <v>47</v>
      </c>
      <c r="G1358" t="s">
        <v>48</v>
      </c>
      <c r="H1358" t="s">
        <v>133</v>
      </c>
      <c r="I1358" t="s">
        <v>134</v>
      </c>
      <c r="J1358" t="s">
        <v>130</v>
      </c>
      <c r="K1358" t="s">
        <v>131</v>
      </c>
      <c r="L1358" t="s">
        <v>166</v>
      </c>
      <c r="M1358" t="s">
        <v>171</v>
      </c>
      <c r="N1358">
        <v>5</v>
      </c>
      <c r="O1358" s="4">
        <v>230</v>
      </c>
      <c r="P1358" s="4">
        <v>400</v>
      </c>
      <c r="Q1358" s="7">
        <v>0.05</v>
      </c>
      <c r="R1358" t="s">
        <v>168</v>
      </c>
      <c r="S1358">
        <v>10</v>
      </c>
      <c r="T1358">
        <v>2000</v>
      </c>
      <c r="U1358">
        <v>100</v>
      </c>
      <c r="V1358">
        <v>1900</v>
      </c>
      <c r="W1358">
        <v>1150</v>
      </c>
      <c r="X1358">
        <v>750</v>
      </c>
      <c r="Y1358" s="8">
        <v>0.39473684210526316</v>
      </c>
      <c r="Z1358" t="s">
        <v>2995</v>
      </c>
      <c r="AA1358" t="str">
        <f>IF(AND(SalesCleanTable[[#This Row],[Discount %]]&gt;0, SalesCleanTable[[#This Row],[Profit]]&lt;0), "Discount loss", "Safe")</f>
        <v>Safe</v>
      </c>
      <c r="AB1358" s="25">
        <f>(SalesCleanTable[[#This Row],[Unit Price]] - SalesCleanTable[[#This Row],[Unit Cost]]) / SalesCleanTable[[#This Row],[Unit Price]]</f>
        <v>0.42499999999999999</v>
      </c>
      <c r="AC1358" t="str">
        <f>IF(SalesCleanTable[[#This Row],[Discount %]] &gt; SalesCleanTable[[#This Row],[Max Allowed Discount]], "Discount loss", "Safe")</f>
        <v>Safe</v>
      </c>
      <c r="AD1358" s="4">
        <f>SalesCleanTable[[#This Row],[Unit Price]] - SalesCleanTable[[#This Row],[Unit Cost]]</f>
        <v>170</v>
      </c>
      <c r="AE1358" s="41">
        <f>(SalesCleanTable[[#This Row],[Unit Price]] - SalesCleanTable[[#This Row],[Unit Cost]]) / SalesCleanTable[[#This Row],[Unit Price]]</f>
        <v>0.42499999999999999</v>
      </c>
    </row>
    <row r="1359" spans="1:31">
      <c r="A1359" t="s">
        <v>1545</v>
      </c>
      <c r="B1359" s="6">
        <v>45661</v>
      </c>
      <c r="C1359" t="s">
        <v>116</v>
      </c>
      <c r="D1359" t="s">
        <v>117</v>
      </c>
      <c r="E1359" t="s">
        <v>109</v>
      </c>
      <c r="F1359" t="s">
        <v>118</v>
      </c>
      <c r="G1359" t="s">
        <v>119</v>
      </c>
      <c r="H1359" t="s">
        <v>128</v>
      </c>
      <c r="I1359" t="s">
        <v>129</v>
      </c>
      <c r="J1359" t="s">
        <v>130</v>
      </c>
      <c r="K1359" t="s">
        <v>131</v>
      </c>
      <c r="L1359" t="s">
        <v>183</v>
      </c>
      <c r="M1359" t="s">
        <v>177</v>
      </c>
      <c r="N1359">
        <v>4</v>
      </c>
      <c r="O1359" s="4">
        <v>2800</v>
      </c>
      <c r="P1359" s="4">
        <v>4200</v>
      </c>
      <c r="Q1359" s="7">
        <v>0.1</v>
      </c>
      <c r="R1359" t="s">
        <v>235</v>
      </c>
      <c r="S1359">
        <v>9</v>
      </c>
      <c r="T1359">
        <v>16800</v>
      </c>
      <c r="U1359">
        <v>1680</v>
      </c>
      <c r="V1359">
        <v>15120</v>
      </c>
      <c r="W1359">
        <v>11200</v>
      </c>
      <c r="X1359">
        <v>3920</v>
      </c>
      <c r="Y1359" s="8">
        <v>0.25925925925925924</v>
      </c>
      <c r="Z1359" t="s">
        <v>2995</v>
      </c>
      <c r="AA1359" t="str">
        <f>IF(AND(SalesCleanTable[[#This Row],[Discount %]]&gt;0, SalesCleanTable[[#This Row],[Profit]]&lt;0), "Discount loss", "Safe")</f>
        <v>Safe</v>
      </c>
      <c r="AB1359" s="25">
        <f>(SalesCleanTable[[#This Row],[Unit Price]] - SalesCleanTable[[#This Row],[Unit Cost]]) / SalesCleanTable[[#This Row],[Unit Price]]</f>
        <v>0.33333333333333331</v>
      </c>
      <c r="AC1359" t="str">
        <f>IF(SalesCleanTable[[#This Row],[Discount %]] &gt; SalesCleanTable[[#This Row],[Max Allowed Discount]], "Discount loss", "Safe")</f>
        <v>Safe</v>
      </c>
      <c r="AD1359" s="4">
        <f>SalesCleanTable[[#This Row],[Unit Price]] - SalesCleanTable[[#This Row],[Unit Cost]]</f>
        <v>1400</v>
      </c>
      <c r="AE1359" s="41">
        <f>(SalesCleanTable[[#This Row],[Unit Price]] - SalesCleanTable[[#This Row],[Unit Cost]]) / SalesCleanTable[[#This Row],[Unit Price]]</f>
        <v>0.33333333333333331</v>
      </c>
    </row>
    <row r="1360" spans="1:31">
      <c r="A1360" t="s">
        <v>1546</v>
      </c>
      <c r="B1360" s="6">
        <v>45740</v>
      </c>
      <c r="C1360" t="s">
        <v>82</v>
      </c>
      <c r="D1360" t="s">
        <v>83</v>
      </c>
      <c r="E1360" t="s">
        <v>75</v>
      </c>
      <c r="F1360" t="s">
        <v>84</v>
      </c>
      <c r="G1360" t="s">
        <v>85</v>
      </c>
      <c r="H1360" t="s">
        <v>135</v>
      </c>
      <c r="I1360" t="s">
        <v>136</v>
      </c>
      <c r="J1360" t="s">
        <v>137</v>
      </c>
      <c r="K1360" t="s">
        <v>138</v>
      </c>
      <c r="L1360" t="s">
        <v>166</v>
      </c>
      <c r="M1360" t="s">
        <v>177</v>
      </c>
      <c r="N1360">
        <v>3</v>
      </c>
      <c r="O1360" s="4">
        <v>600</v>
      </c>
      <c r="P1360" s="4">
        <v>950</v>
      </c>
      <c r="Q1360" s="7">
        <v>0.1</v>
      </c>
      <c r="R1360" t="s">
        <v>204</v>
      </c>
      <c r="S1360">
        <v>8</v>
      </c>
      <c r="T1360">
        <v>2850</v>
      </c>
      <c r="U1360">
        <v>285</v>
      </c>
      <c r="V1360">
        <v>2565</v>
      </c>
      <c r="W1360">
        <v>1800</v>
      </c>
      <c r="X1360">
        <v>765</v>
      </c>
      <c r="Y1360" s="8">
        <v>0.2982456140350877</v>
      </c>
      <c r="Z1360" t="s">
        <v>2996</v>
      </c>
      <c r="AA1360" t="str">
        <f>IF(AND(SalesCleanTable[[#This Row],[Discount %]]&gt;0, SalesCleanTable[[#This Row],[Profit]]&lt;0), "Discount loss", "Safe")</f>
        <v>Safe</v>
      </c>
      <c r="AB1360" s="25">
        <f>(SalesCleanTable[[#This Row],[Unit Price]] - SalesCleanTable[[#This Row],[Unit Cost]]) / SalesCleanTable[[#This Row],[Unit Price]]</f>
        <v>0.36842105263157893</v>
      </c>
      <c r="AC1360" t="str">
        <f>IF(SalesCleanTable[[#This Row],[Discount %]] &gt; SalesCleanTable[[#This Row],[Max Allowed Discount]], "Discount loss", "Safe")</f>
        <v>Safe</v>
      </c>
      <c r="AD1360" s="4">
        <f>SalesCleanTable[[#This Row],[Unit Price]] - SalesCleanTable[[#This Row],[Unit Cost]]</f>
        <v>350</v>
      </c>
      <c r="AE1360" s="41">
        <f>(SalesCleanTable[[#This Row],[Unit Price]] - SalesCleanTable[[#This Row],[Unit Cost]]) / SalesCleanTable[[#This Row],[Unit Price]]</f>
        <v>0.36842105263157893</v>
      </c>
    </row>
    <row r="1361" spans="1:31">
      <c r="A1361" t="s">
        <v>1547</v>
      </c>
      <c r="B1361" s="6">
        <v>45827</v>
      </c>
      <c r="C1361" t="s">
        <v>29</v>
      </c>
      <c r="D1361" t="s">
        <v>30</v>
      </c>
      <c r="E1361" t="s">
        <v>26</v>
      </c>
      <c r="F1361" t="s">
        <v>27</v>
      </c>
      <c r="G1361" t="s">
        <v>31</v>
      </c>
      <c r="H1361" t="s">
        <v>153</v>
      </c>
      <c r="I1361" t="s">
        <v>154</v>
      </c>
      <c r="J1361" t="s">
        <v>155</v>
      </c>
      <c r="K1361" t="s">
        <v>131</v>
      </c>
      <c r="L1361" t="s">
        <v>166</v>
      </c>
      <c r="M1361" t="s">
        <v>186</v>
      </c>
      <c r="N1361">
        <v>3</v>
      </c>
      <c r="O1361" s="4">
        <v>6200</v>
      </c>
      <c r="P1361" s="4">
        <v>7900</v>
      </c>
      <c r="Q1361" s="7">
        <v>0.2</v>
      </c>
      <c r="R1361" t="s">
        <v>173</v>
      </c>
      <c r="S1361">
        <v>8</v>
      </c>
      <c r="T1361">
        <v>23700</v>
      </c>
      <c r="U1361">
        <v>4740</v>
      </c>
      <c r="V1361">
        <v>18960</v>
      </c>
      <c r="W1361">
        <v>18600</v>
      </c>
      <c r="X1361">
        <v>360</v>
      </c>
      <c r="Y1361" s="8">
        <v>1.8987341772151899E-2</v>
      </c>
      <c r="Z1361" t="s">
        <v>2996</v>
      </c>
      <c r="AA1361" t="str">
        <f>IF(AND(SalesCleanTable[[#This Row],[Discount %]]&gt;0, SalesCleanTable[[#This Row],[Profit]]&lt;0), "Discount loss", "Safe")</f>
        <v>Safe</v>
      </c>
      <c r="AB1361" s="25">
        <f>(SalesCleanTable[[#This Row],[Unit Price]] - SalesCleanTable[[#This Row],[Unit Cost]]) / SalesCleanTable[[#This Row],[Unit Price]]</f>
        <v>0.21518987341772153</v>
      </c>
      <c r="AC1361" t="str">
        <f>IF(SalesCleanTable[[#This Row],[Discount %]] &gt; SalesCleanTable[[#This Row],[Max Allowed Discount]], "Discount loss", "Safe")</f>
        <v>Safe</v>
      </c>
      <c r="AD1361" s="4">
        <f>SalesCleanTable[[#This Row],[Unit Price]] - SalesCleanTable[[#This Row],[Unit Cost]]</f>
        <v>1700</v>
      </c>
      <c r="AE1361" s="41">
        <f>(SalesCleanTable[[#This Row],[Unit Price]] - SalesCleanTable[[#This Row],[Unit Cost]]) / SalesCleanTable[[#This Row],[Unit Price]]</f>
        <v>0.21518987341772153</v>
      </c>
    </row>
    <row r="1362" spans="1:31">
      <c r="A1362" t="s">
        <v>1548</v>
      </c>
      <c r="B1362" s="6">
        <v>45833</v>
      </c>
      <c r="C1362" t="s">
        <v>36</v>
      </c>
      <c r="D1362" t="s">
        <v>37</v>
      </c>
      <c r="E1362" t="s">
        <v>38</v>
      </c>
      <c r="F1362" t="s">
        <v>39</v>
      </c>
      <c r="G1362" t="s">
        <v>40</v>
      </c>
      <c r="H1362" t="s">
        <v>135</v>
      </c>
      <c r="I1362" t="s">
        <v>136</v>
      </c>
      <c r="J1362" t="s">
        <v>137</v>
      </c>
      <c r="K1362" t="s">
        <v>138</v>
      </c>
      <c r="L1362" t="s">
        <v>166</v>
      </c>
      <c r="M1362" t="s">
        <v>177</v>
      </c>
      <c r="N1362">
        <v>1</v>
      </c>
      <c r="O1362" s="4">
        <v>1650</v>
      </c>
      <c r="P1362" s="4">
        <v>2200</v>
      </c>
      <c r="Q1362" s="7">
        <v>0.05</v>
      </c>
      <c r="R1362" t="s">
        <v>175</v>
      </c>
      <c r="S1362">
        <v>7</v>
      </c>
      <c r="T1362">
        <v>2200</v>
      </c>
      <c r="U1362">
        <v>110</v>
      </c>
      <c r="V1362">
        <v>2090</v>
      </c>
      <c r="W1362">
        <v>1650</v>
      </c>
      <c r="X1362">
        <v>440</v>
      </c>
      <c r="Y1362" s="8">
        <v>0.21052631578947367</v>
      </c>
      <c r="Z1362" t="s">
        <v>2995</v>
      </c>
      <c r="AA1362" t="str">
        <f>IF(AND(SalesCleanTable[[#This Row],[Discount %]]&gt;0, SalesCleanTable[[#This Row],[Profit]]&lt;0), "Discount loss", "Safe")</f>
        <v>Safe</v>
      </c>
      <c r="AB1362" s="25">
        <f>(SalesCleanTable[[#This Row],[Unit Price]] - SalesCleanTable[[#This Row],[Unit Cost]]) / SalesCleanTable[[#This Row],[Unit Price]]</f>
        <v>0.25</v>
      </c>
      <c r="AC1362" t="str">
        <f>IF(SalesCleanTable[[#This Row],[Discount %]] &gt; SalesCleanTable[[#This Row],[Max Allowed Discount]], "Discount loss", "Safe")</f>
        <v>Safe</v>
      </c>
      <c r="AD1362" s="4">
        <f>SalesCleanTable[[#This Row],[Unit Price]] - SalesCleanTable[[#This Row],[Unit Cost]]</f>
        <v>550</v>
      </c>
      <c r="AE1362" s="41">
        <f>(SalesCleanTable[[#This Row],[Unit Price]] - SalesCleanTable[[#This Row],[Unit Cost]]) / SalesCleanTable[[#This Row],[Unit Price]]</f>
        <v>0.25</v>
      </c>
    </row>
    <row r="1363" spans="1:31">
      <c r="A1363" t="s">
        <v>1549</v>
      </c>
      <c r="B1363" s="6">
        <v>45837</v>
      </c>
      <c r="C1363" t="s">
        <v>116</v>
      </c>
      <c r="D1363" t="s">
        <v>117</v>
      </c>
      <c r="E1363" t="s">
        <v>109</v>
      </c>
      <c r="F1363" t="s">
        <v>118</v>
      </c>
      <c r="G1363" t="s">
        <v>119</v>
      </c>
      <c r="H1363" t="s">
        <v>141</v>
      </c>
      <c r="I1363" t="s">
        <v>142</v>
      </c>
      <c r="J1363" t="s">
        <v>143</v>
      </c>
      <c r="K1363" t="s">
        <v>144</v>
      </c>
      <c r="L1363" t="s">
        <v>166</v>
      </c>
      <c r="M1363" t="s">
        <v>177</v>
      </c>
      <c r="N1363">
        <v>2</v>
      </c>
      <c r="O1363" s="4">
        <v>2800</v>
      </c>
      <c r="P1363" s="4">
        <v>4200</v>
      </c>
      <c r="Q1363" s="7">
        <v>0.1</v>
      </c>
      <c r="R1363" t="s">
        <v>184</v>
      </c>
      <c r="S1363">
        <v>1</v>
      </c>
      <c r="T1363">
        <v>8400</v>
      </c>
      <c r="U1363">
        <v>840</v>
      </c>
      <c r="V1363">
        <v>7560</v>
      </c>
      <c r="W1363">
        <v>5600</v>
      </c>
      <c r="X1363">
        <v>1960</v>
      </c>
      <c r="Y1363" s="8">
        <v>0.25925925925925924</v>
      </c>
      <c r="Z1363" t="s">
        <v>2995</v>
      </c>
      <c r="AA1363" t="str">
        <f>IF(AND(SalesCleanTable[[#This Row],[Discount %]]&gt;0, SalesCleanTable[[#This Row],[Profit]]&lt;0), "Discount loss", "Safe")</f>
        <v>Safe</v>
      </c>
      <c r="AB1363" s="25">
        <f>(SalesCleanTable[[#This Row],[Unit Price]] - SalesCleanTable[[#This Row],[Unit Cost]]) / SalesCleanTable[[#This Row],[Unit Price]]</f>
        <v>0.33333333333333331</v>
      </c>
      <c r="AC1363" t="str">
        <f>IF(SalesCleanTable[[#This Row],[Discount %]] &gt; SalesCleanTable[[#This Row],[Max Allowed Discount]], "Discount loss", "Safe")</f>
        <v>Safe</v>
      </c>
      <c r="AD1363" s="4">
        <f>SalesCleanTable[[#This Row],[Unit Price]] - SalesCleanTable[[#This Row],[Unit Cost]]</f>
        <v>1400</v>
      </c>
      <c r="AE1363" s="41">
        <f>(SalesCleanTable[[#This Row],[Unit Price]] - SalesCleanTable[[#This Row],[Unit Cost]]) / SalesCleanTable[[#This Row],[Unit Price]]</f>
        <v>0.33333333333333331</v>
      </c>
    </row>
    <row r="1364" spans="1:31">
      <c r="A1364" t="s">
        <v>1550</v>
      </c>
      <c r="B1364" s="6">
        <v>45688</v>
      </c>
      <c r="C1364" t="s">
        <v>78</v>
      </c>
      <c r="D1364" t="s">
        <v>79</v>
      </c>
      <c r="E1364" t="s">
        <v>75</v>
      </c>
      <c r="F1364" t="s">
        <v>80</v>
      </c>
      <c r="G1364" t="s">
        <v>81</v>
      </c>
      <c r="H1364" t="s">
        <v>128</v>
      </c>
      <c r="I1364" t="s">
        <v>129</v>
      </c>
      <c r="J1364" t="s">
        <v>130</v>
      </c>
      <c r="K1364" t="s">
        <v>131</v>
      </c>
      <c r="L1364" t="s">
        <v>166</v>
      </c>
      <c r="M1364" t="s">
        <v>186</v>
      </c>
      <c r="N1364">
        <v>1</v>
      </c>
      <c r="O1364" s="4">
        <v>1200</v>
      </c>
      <c r="P1364" s="4">
        <v>1900</v>
      </c>
      <c r="Q1364" s="7">
        <v>0.2</v>
      </c>
      <c r="R1364" t="s">
        <v>208</v>
      </c>
      <c r="S1364">
        <v>1</v>
      </c>
      <c r="T1364">
        <v>1900</v>
      </c>
      <c r="U1364">
        <v>380</v>
      </c>
      <c r="V1364">
        <v>1520</v>
      </c>
      <c r="W1364">
        <v>1200</v>
      </c>
      <c r="X1364">
        <v>320</v>
      </c>
      <c r="Y1364" s="8">
        <v>0.21052631578947367</v>
      </c>
      <c r="Z1364" t="s">
        <v>2996</v>
      </c>
      <c r="AA1364" t="str">
        <f>IF(AND(SalesCleanTable[[#This Row],[Discount %]]&gt;0, SalesCleanTable[[#This Row],[Profit]]&lt;0), "Discount loss", "Safe")</f>
        <v>Safe</v>
      </c>
      <c r="AB1364" s="25">
        <f>(SalesCleanTable[[#This Row],[Unit Price]] - SalesCleanTable[[#This Row],[Unit Cost]]) / SalesCleanTable[[#This Row],[Unit Price]]</f>
        <v>0.36842105263157893</v>
      </c>
      <c r="AC1364" t="str">
        <f>IF(SalesCleanTable[[#This Row],[Discount %]] &gt; SalesCleanTable[[#This Row],[Max Allowed Discount]], "Discount loss", "Safe")</f>
        <v>Safe</v>
      </c>
      <c r="AD1364" s="4">
        <f>SalesCleanTable[[#This Row],[Unit Price]] - SalesCleanTable[[#This Row],[Unit Cost]]</f>
        <v>700</v>
      </c>
      <c r="AE1364" s="41">
        <f>(SalesCleanTable[[#This Row],[Unit Price]] - SalesCleanTable[[#This Row],[Unit Cost]]) / SalesCleanTable[[#This Row],[Unit Price]]</f>
        <v>0.36842105263157893</v>
      </c>
    </row>
    <row r="1365" spans="1:31">
      <c r="A1365" t="s">
        <v>1551</v>
      </c>
      <c r="B1365" s="6">
        <v>45948</v>
      </c>
      <c r="C1365" t="s">
        <v>62</v>
      </c>
      <c r="D1365" t="s">
        <v>63</v>
      </c>
      <c r="E1365" t="s">
        <v>59</v>
      </c>
      <c r="F1365" t="s">
        <v>64</v>
      </c>
      <c r="G1365" t="s">
        <v>65</v>
      </c>
      <c r="H1365" t="s">
        <v>149</v>
      </c>
      <c r="I1365" t="s">
        <v>150</v>
      </c>
      <c r="J1365" t="s">
        <v>151</v>
      </c>
      <c r="K1365" t="s">
        <v>152</v>
      </c>
      <c r="L1365" t="s">
        <v>183</v>
      </c>
      <c r="M1365" t="s">
        <v>177</v>
      </c>
      <c r="N1365">
        <v>8</v>
      </c>
      <c r="O1365" s="4">
        <v>3200</v>
      </c>
      <c r="P1365" s="4">
        <v>4500</v>
      </c>
      <c r="Q1365" s="7">
        <v>0</v>
      </c>
      <c r="R1365" t="s">
        <v>192</v>
      </c>
      <c r="S1365">
        <v>6</v>
      </c>
      <c r="T1365">
        <v>36000</v>
      </c>
      <c r="U1365">
        <v>0</v>
      </c>
      <c r="V1365">
        <v>36000</v>
      </c>
      <c r="W1365">
        <v>25600</v>
      </c>
      <c r="X1365">
        <v>10400</v>
      </c>
      <c r="Y1365" s="8">
        <v>0.28888888888888886</v>
      </c>
      <c r="Z1365" t="s">
        <v>2996</v>
      </c>
      <c r="AA1365" t="str">
        <f>IF(AND(SalesCleanTable[[#This Row],[Discount %]]&gt;0, SalesCleanTable[[#This Row],[Profit]]&lt;0), "Discount loss", "Safe")</f>
        <v>Safe</v>
      </c>
      <c r="AB1365" s="25">
        <f>(SalesCleanTable[[#This Row],[Unit Price]] - SalesCleanTable[[#This Row],[Unit Cost]]) / SalesCleanTable[[#This Row],[Unit Price]]</f>
        <v>0.28888888888888886</v>
      </c>
      <c r="AC1365" t="str">
        <f>IF(SalesCleanTable[[#This Row],[Discount %]] &gt; SalesCleanTable[[#This Row],[Max Allowed Discount]], "Discount loss", "Safe")</f>
        <v>Safe</v>
      </c>
      <c r="AD1365" s="4">
        <f>SalesCleanTable[[#This Row],[Unit Price]] - SalesCleanTable[[#This Row],[Unit Cost]]</f>
        <v>1300</v>
      </c>
      <c r="AE1365" s="41">
        <f>(SalesCleanTable[[#This Row],[Unit Price]] - SalesCleanTable[[#This Row],[Unit Cost]]) / SalesCleanTable[[#This Row],[Unit Price]]</f>
        <v>0.28888888888888886</v>
      </c>
    </row>
    <row r="1366" spans="1:31">
      <c r="A1366" t="s">
        <v>1552</v>
      </c>
      <c r="B1366" s="6">
        <v>46007</v>
      </c>
      <c r="C1366" t="s">
        <v>112</v>
      </c>
      <c r="D1366" t="s">
        <v>113</v>
      </c>
      <c r="E1366" t="s">
        <v>109</v>
      </c>
      <c r="F1366" t="s">
        <v>114</v>
      </c>
      <c r="G1366" t="s">
        <v>115</v>
      </c>
      <c r="H1366" t="s">
        <v>139</v>
      </c>
      <c r="I1366" t="s">
        <v>140</v>
      </c>
      <c r="J1366" t="s">
        <v>137</v>
      </c>
      <c r="K1366" t="s">
        <v>138</v>
      </c>
      <c r="L1366" t="s">
        <v>183</v>
      </c>
      <c r="M1366" t="s">
        <v>171</v>
      </c>
      <c r="N1366">
        <v>3</v>
      </c>
      <c r="O1366" s="4">
        <v>1300</v>
      </c>
      <c r="P1366" s="4">
        <v>2100</v>
      </c>
      <c r="Q1366" s="7">
        <v>0.15</v>
      </c>
      <c r="R1366" t="s">
        <v>235</v>
      </c>
      <c r="S1366">
        <v>9</v>
      </c>
      <c r="T1366">
        <v>6300</v>
      </c>
      <c r="U1366">
        <v>945</v>
      </c>
      <c r="V1366">
        <v>5355</v>
      </c>
      <c r="W1366">
        <v>3900</v>
      </c>
      <c r="X1366">
        <v>1455</v>
      </c>
      <c r="Y1366" s="8">
        <v>0.27170868347338933</v>
      </c>
      <c r="Z1366" t="s">
        <v>2995</v>
      </c>
      <c r="AA1366" t="str">
        <f>IF(AND(SalesCleanTable[[#This Row],[Discount %]]&gt;0, SalesCleanTable[[#This Row],[Profit]]&lt;0), "Discount loss", "Safe")</f>
        <v>Safe</v>
      </c>
      <c r="AB1366" s="25">
        <f>(SalesCleanTable[[#This Row],[Unit Price]] - SalesCleanTable[[#This Row],[Unit Cost]]) / SalesCleanTable[[#This Row],[Unit Price]]</f>
        <v>0.38095238095238093</v>
      </c>
      <c r="AC1366" t="str">
        <f>IF(SalesCleanTable[[#This Row],[Discount %]] &gt; SalesCleanTable[[#This Row],[Max Allowed Discount]], "Discount loss", "Safe")</f>
        <v>Safe</v>
      </c>
      <c r="AD1366" s="4">
        <f>SalesCleanTable[[#This Row],[Unit Price]] - SalesCleanTable[[#This Row],[Unit Cost]]</f>
        <v>800</v>
      </c>
      <c r="AE1366" s="41">
        <f>(SalesCleanTable[[#This Row],[Unit Price]] - SalesCleanTable[[#This Row],[Unit Cost]]) / SalesCleanTable[[#This Row],[Unit Price]]</f>
        <v>0.38095238095238093</v>
      </c>
    </row>
    <row r="1367" spans="1:31">
      <c r="A1367" t="s">
        <v>1553</v>
      </c>
      <c r="B1367" s="6">
        <v>45885</v>
      </c>
      <c r="C1367" t="s">
        <v>24</v>
      </c>
      <c r="D1367" t="s">
        <v>25</v>
      </c>
      <c r="E1367" t="s">
        <v>26</v>
      </c>
      <c r="F1367" t="s">
        <v>27</v>
      </c>
      <c r="G1367" t="s">
        <v>28</v>
      </c>
      <c r="H1367" t="s">
        <v>128</v>
      </c>
      <c r="I1367" t="s">
        <v>129</v>
      </c>
      <c r="J1367" t="s">
        <v>130</v>
      </c>
      <c r="K1367" t="s">
        <v>131</v>
      </c>
      <c r="L1367" t="s">
        <v>170</v>
      </c>
      <c r="M1367" t="s">
        <v>171</v>
      </c>
      <c r="N1367">
        <v>3</v>
      </c>
      <c r="O1367" s="4">
        <v>14500</v>
      </c>
      <c r="P1367" s="4">
        <v>17500</v>
      </c>
      <c r="Q1367" s="7">
        <v>0.2</v>
      </c>
      <c r="R1367" t="s">
        <v>194</v>
      </c>
      <c r="S1367">
        <v>5</v>
      </c>
      <c r="T1367">
        <v>52500</v>
      </c>
      <c r="U1367">
        <v>10500</v>
      </c>
      <c r="V1367">
        <v>42000</v>
      </c>
      <c r="W1367">
        <v>43500</v>
      </c>
      <c r="X1367">
        <v>-1500</v>
      </c>
      <c r="Y1367" s="8">
        <v>-3.5714285714285712E-2</v>
      </c>
      <c r="Z1367" t="s">
        <v>2995</v>
      </c>
      <c r="AA1367" t="str">
        <f>IF(AND(SalesCleanTable[[#This Row],[Discount %]]&gt;0, SalesCleanTable[[#This Row],[Profit]]&lt;0), "Discount loss", "Safe")</f>
        <v>Discount loss</v>
      </c>
      <c r="AB1367" s="25">
        <f>(SalesCleanTable[[#This Row],[Unit Price]] - SalesCleanTable[[#This Row],[Unit Cost]]) / SalesCleanTable[[#This Row],[Unit Price]]</f>
        <v>0.17142857142857143</v>
      </c>
      <c r="AC1367" t="str">
        <f>IF(SalesCleanTable[[#This Row],[Discount %]] &gt; SalesCleanTable[[#This Row],[Max Allowed Discount]], "Discount loss", "Safe")</f>
        <v>Discount loss</v>
      </c>
      <c r="AD1367" s="4">
        <f>SalesCleanTable[[#This Row],[Unit Price]] - SalesCleanTable[[#This Row],[Unit Cost]]</f>
        <v>3000</v>
      </c>
      <c r="AE1367" s="41">
        <f>(SalesCleanTable[[#This Row],[Unit Price]] - SalesCleanTable[[#This Row],[Unit Cost]]) / SalesCleanTable[[#This Row],[Unit Price]]</f>
        <v>0.17142857142857143</v>
      </c>
    </row>
    <row r="1368" spans="1:31">
      <c r="A1368" t="s">
        <v>1554</v>
      </c>
      <c r="B1368" s="6">
        <v>46007</v>
      </c>
      <c r="C1368" t="s">
        <v>36</v>
      </c>
      <c r="D1368" t="s">
        <v>37</v>
      </c>
      <c r="E1368" t="s">
        <v>38</v>
      </c>
      <c r="F1368" t="s">
        <v>39</v>
      </c>
      <c r="G1368" t="s">
        <v>40</v>
      </c>
      <c r="H1368" t="s">
        <v>139</v>
      </c>
      <c r="I1368" t="s">
        <v>140</v>
      </c>
      <c r="J1368" t="s">
        <v>137</v>
      </c>
      <c r="K1368" t="s">
        <v>138</v>
      </c>
      <c r="L1368" t="s">
        <v>183</v>
      </c>
      <c r="M1368" t="s">
        <v>171</v>
      </c>
      <c r="N1368">
        <v>6</v>
      </c>
      <c r="O1368" s="4">
        <v>1650</v>
      </c>
      <c r="P1368" s="4">
        <v>2200</v>
      </c>
      <c r="Q1368" s="7">
        <v>0.05</v>
      </c>
      <c r="R1368" t="s">
        <v>175</v>
      </c>
      <c r="S1368">
        <v>8</v>
      </c>
      <c r="T1368">
        <v>13200</v>
      </c>
      <c r="U1368">
        <v>660</v>
      </c>
      <c r="V1368">
        <v>12540</v>
      </c>
      <c r="W1368">
        <v>9900</v>
      </c>
      <c r="X1368">
        <v>2640</v>
      </c>
      <c r="Y1368" s="8">
        <v>0.21052631578947367</v>
      </c>
      <c r="Z1368" t="s">
        <v>2995</v>
      </c>
      <c r="AA1368" t="str">
        <f>IF(AND(SalesCleanTable[[#This Row],[Discount %]]&gt;0, SalesCleanTable[[#This Row],[Profit]]&lt;0), "Discount loss", "Safe")</f>
        <v>Safe</v>
      </c>
      <c r="AB1368" s="25">
        <f>(SalesCleanTable[[#This Row],[Unit Price]] - SalesCleanTable[[#This Row],[Unit Cost]]) / SalesCleanTable[[#This Row],[Unit Price]]</f>
        <v>0.25</v>
      </c>
      <c r="AC1368" t="str">
        <f>IF(SalesCleanTable[[#This Row],[Discount %]] &gt; SalesCleanTable[[#This Row],[Max Allowed Discount]], "Discount loss", "Safe")</f>
        <v>Safe</v>
      </c>
      <c r="AD1368" s="4">
        <f>SalesCleanTable[[#This Row],[Unit Price]] - SalesCleanTable[[#This Row],[Unit Cost]]</f>
        <v>550</v>
      </c>
      <c r="AE1368" s="41">
        <f>(SalesCleanTable[[#This Row],[Unit Price]] - SalesCleanTable[[#This Row],[Unit Cost]]) / SalesCleanTable[[#This Row],[Unit Price]]</f>
        <v>0.25</v>
      </c>
    </row>
    <row r="1369" spans="1:31">
      <c r="A1369" t="s">
        <v>1555</v>
      </c>
      <c r="B1369" s="6">
        <v>45938</v>
      </c>
      <c r="C1369" t="s">
        <v>99</v>
      </c>
      <c r="D1369" t="s">
        <v>100</v>
      </c>
      <c r="E1369" t="s">
        <v>92</v>
      </c>
      <c r="F1369" t="s">
        <v>101</v>
      </c>
      <c r="G1369" t="s">
        <v>102</v>
      </c>
      <c r="H1369" t="s">
        <v>145</v>
      </c>
      <c r="I1369" t="s">
        <v>146</v>
      </c>
      <c r="J1369" t="s">
        <v>147</v>
      </c>
      <c r="K1369" t="s">
        <v>148</v>
      </c>
      <c r="L1369" t="s">
        <v>166</v>
      </c>
      <c r="M1369" t="s">
        <v>167</v>
      </c>
      <c r="N1369">
        <v>8</v>
      </c>
      <c r="O1369" s="4">
        <v>12500</v>
      </c>
      <c r="P1369" s="4">
        <v>18500</v>
      </c>
      <c r="Q1369" s="7">
        <v>0.1</v>
      </c>
      <c r="R1369" t="s">
        <v>181</v>
      </c>
      <c r="S1369">
        <v>4</v>
      </c>
      <c r="T1369">
        <v>148000</v>
      </c>
      <c r="U1369">
        <v>14800</v>
      </c>
      <c r="V1369">
        <v>133200</v>
      </c>
      <c r="W1369">
        <v>100000</v>
      </c>
      <c r="X1369">
        <v>33200</v>
      </c>
      <c r="Y1369" s="8">
        <v>0.24924924924924924</v>
      </c>
      <c r="Z1369" t="s">
        <v>2995</v>
      </c>
      <c r="AA1369" t="str">
        <f>IF(AND(SalesCleanTable[[#This Row],[Discount %]]&gt;0, SalesCleanTable[[#This Row],[Profit]]&lt;0), "Discount loss", "Safe")</f>
        <v>Safe</v>
      </c>
      <c r="AB1369" s="25">
        <f>(SalesCleanTable[[#This Row],[Unit Price]] - SalesCleanTable[[#This Row],[Unit Cost]]) / SalesCleanTable[[#This Row],[Unit Price]]</f>
        <v>0.32432432432432434</v>
      </c>
      <c r="AC1369" t="str">
        <f>IF(SalesCleanTable[[#This Row],[Discount %]] &gt; SalesCleanTable[[#This Row],[Max Allowed Discount]], "Discount loss", "Safe")</f>
        <v>Safe</v>
      </c>
      <c r="AD1369" s="4">
        <f>SalesCleanTable[[#This Row],[Unit Price]] - SalesCleanTable[[#This Row],[Unit Cost]]</f>
        <v>6000</v>
      </c>
      <c r="AE1369" s="41">
        <f>(SalesCleanTable[[#This Row],[Unit Price]] - SalesCleanTable[[#This Row],[Unit Cost]]) / SalesCleanTable[[#This Row],[Unit Price]]</f>
        <v>0.32432432432432434</v>
      </c>
    </row>
    <row r="1370" spans="1:31">
      <c r="A1370" t="s">
        <v>1556</v>
      </c>
      <c r="B1370" s="6">
        <v>45909</v>
      </c>
      <c r="C1370" t="s">
        <v>36</v>
      </c>
      <c r="D1370" t="s">
        <v>37</v>
      </c>
      <c r="E1370" t="s">
        <v>38</v>
      </c>
      <c r="F1370" t="s">
        <v>39</v>
      </c>
      <c r="G1370" t="s">
        <v>40</v>
      </c>
      <c r="H1370" t="s">
        <v>135</v>
      </c>
      <c r="I1370" t="s">
        <v>136</v>
      </c>
      <c r="J1370" t="s">
        <v>137</v>
      </c>
      <c r="K1370" t="s">
        <v>138</v>
      </c>
      <c r="L1370" t="s">
        <v>170</v>
      </c>
      <c r="M1370" t="s">
        <v>171</v>
      </c>
      <c r="N1370">
        <v>2</v>
      </c>
      <c r="O1370" s="4">
        <v>1650</v>
      </c>
      <c r="P1370" s="4">
        <v>2200</v>
      </c>
      <c r="Q1370" s="7">
        <v>0.15</v>
      </c>
      <c r="R1370" t="s">
        <v>168</v>
      </c>
      <c r="S1370">
        <v>12</v>
      </c>
      <c r="T1370">
        <v>4400</v>
      </c>
      <c r="U1370">
        <v>660</v>
      </c>
      <c r="V1370">
        <v>3740</v>
      </c>
      <c r="W1370">
        <v>3300</v>
      </c>
      <c r="X1370">
        <v>440</v>
      </c>
      <c r="Y1370" s="8">
        <v>0.11764705882352941</v>
      </c>
      <c r="Z1370" t="s">
        <v>2995</v>
      </c>
      <c r="AA1370" t="str">
        <f>IF(AND(SalesCleanTable[[#This Row],[Discount %]]&gt;0, SalesCleanTable[[#This Row],[Profit]]&lt;0), "Discount loss", "Safe")</f>
        <v>Safe</v>
      </c>
      <c r="AB1370" s="25">
        <f>(SalesCleanTable[[#This Row],[Unit Price]] - SalesCleanTable[[#This Row],[Unit Cost]]) / SalesCleanTable[[#This Row],[Unit Price]]</f>
        <v>0.25</v>
      </c>
      <c r="AC1370" t="str">
        <f>IF(SalesCleanTable[[#This Row],[Discount %]] &gt; SalesCleanTable[[#This Row],[Max Allowed Discount]], "Discount loss", "Safe")</f>
        <v>Safe</v>
      </c>
      <c r="AD1370" s="4">
        <f>SalesCleanTable[[#This Row],[Unit Price]] - SalesCleanTable[[#This Row],[Unit Cost]]</f>
        <v>550</v>
      </c>
      <c r="AE1370" s="41">
        <f>(SalesCleanTable[[#This Row],[Unit Price]] - SalesCleanTable[[#This Row],[Unit Cost]]) / SalesCleanTable[[#This Row],[Unit Price]]</f>
        <v>0.25</v>
      </c>
    </row>
    <row r="1371" spans="1:31">
      <c r="A1371" t="s">
        <v>1557</v>
      </c>
      <c r="B1371" s="6">
        <v>45960</v>
      </c>
      <c r="C1371" t="s">
        <v>32</v>
      </c>
      <c r="D1371" t="s">
        <v>33</v>
      </c>
      <c r="E1371" t="s">
        <v>26</v>
      </c>
      <c r="F1371" t="s">
        <v>34</v>
      </c>
      <c r="G1371" t="s">
        <v>35</v>
      </c>
      <c r="H1371" t="s">
        <v>139</v>
      </c>
      <c r="I1371" t="s">
        <v>140</v>
      </c>
      <c r="J1371" t="s">
        <v>137</v>
      </c>
      <c r="K1371" t="s">
        <v>138</v>
      </c>
      <c r="L1371" t="s">
        <v>166</v>
      </c>
      <c r="M1371" t="s">
        <v>171</v>
      </c>
      <c r="N1371">
        <v>4</v>
      </c>
      <c r="O1371" s="4">
        <v>7800</v>
      </c>
      <c r="P1371" s="4">
        <v>9800</v>
      </c>
      <c r="Q1371" s="7">
        <v>0.05</v>
      </c>
      <c r="R1371" t="s">
        <v>173</v>
      </c>
      <c r="S1371">
        <v>9</v>
      </c>
      <c r="T1371">
        <v>39200</v>
      </c>
      <c r="U1371">
        <v>1960</v>
      </c>
      <c r="V1371">
        <v>37240</v>
      </c>
      <c r="W1371">
        <v>31200</v>
      </c>
      <c r="X1371">
        <v>6040</v>
      </c>
      <c r="Y1371" s="8">
        <v>0.16219119226638024</v>
      </c>
      <c r="Z1371" t="s">
        <v>2995</v>
      </c>
      <c r="AA1371" t="str">
        <f>IF(AND(SalesCleanTable[[#This Row],[Discount %]]&gt;0, SalesCleanTable[[#This Row],[Profit]]&lt;0), "Discount loss", "Safe")</f>
        <v>Safe</v>
      </c>
      <c r="AB1371" s="25">
        <f>(SalesCleanTable[[#This Row],[Unit Price]] - SalesCleanTable[[#This Row],[Unit Cost]]) / SalesCleanTable[[#This Row],[Unit Price]]</f>
        <v>0.20408163265306123</v>
      </c>
      <c r="AC1371" t="str">
        <f>IF(SalesCleanTable[[#This Row],[Discount %]] &gt; SalesCleanTable[[#This Row],[Max Allowed Discount]], "Discount loss", "Safe")</f>
        <v>Safe</v>
      </c>
      <c r="AD1371" s="4">
        <f>SalesCleanTable[[#This Row],[Unit Price]] - SalesCleanTable[[#This Row],[Unit Cost]]</f>
        <v>2000</v>
      </c>
      <c r="AE1371" s="41">
        <f>(SalesCleanTable[[#This Row],[Unit Price]] - SalesCleanTable[[#This Row],[Unit Cost]]) / SalesCleanTable[[#This Row],[Unit Price]]</f>
        <v>0.20408163265306123</v>
      </c>
    </row>
    <row r="1372" spans="1:31">
      <c r="A1372" t="s">
        <v>1558</v>
      </c>
      <c r="B1372" s="6">
        <v>45937</v>
      </c>
      <c r="C1372" t="s">
        <v>78</v>
      </c>
      <c r="D1372" t="s">
        <v>79</v>
      </c>
      <c r="E1372" t="s">
        <v>75</v>
      </c>
      <c r="F1372" t="s">
        <v>80</v>
      </c>
      <c r="G1372" t="s">
        <v>81</v>
      </c>
      <c r="H1372" t="s">
        <v>135</v>
      </c>
      <c r="I1372" t="s">
        <v>136</v>
      </c>
      <c r="J1372" t="s">
        <v>137</v>
      </c>
      <c r="K1372" t="s">
        <v>138</v>
      </c>
      <c r="L1372" t="s">
        <v>166</v>
      </c>
      <c r="M1372" t="s">
        <v>171</v>
      </c>
      <c r="N1372">
        <v>1</v>
      </c>
      <c r="O1372" s="4">
        <v>1200</v>
      </c>
      <c r="P1372" s="4">
        <v>1900</v>
      </c>
      <c r="Q1372" s="7">
        <v>0.1</v>
      </c>
      <c r="R1372" t="s">
        <v>208</v>
      </c>
      <c r="S1372">
        <v>7</v>
      </c>
      <c r="T1372">
        <v>1900</v>
      </c>
      <c r="U1372">
        <v>190</v>
      </c>
      <c r="V1372">
        <v>1710</v>
      </c>
      <c r="W1372">
        <v>1200</v>
      </c>
      <c r="X1372">
        <v>510</v>
      </c>
      <c r="Y1372" s="8">
        <v>0.2982456140350877</v>
      </c>
      <c r="Z1372" t="s">
        <v>2996</v>
      </c>
      <c r="AA1372" t="str">
        <f>IF(AND(SalesCleanTable[[#This Row],[Discount %]]&gt;0, SalesCleanTable[[#This Row],[Profit]]&lt;0), "Discount loss", "Safe")</f>
        <v>Safe</v>
      </c>
      <c r="AB1372" s="25">
        <f>(SalesCleanTable[[#This Row],[Unit Price]] - SalesCleanTable[[#This Row],[Unit Cost]]) / SalesCleanTable[[#This Row],[Unit Price]]</f>
        <v>0.36842105263157893</v>
      </c>
      <c r="AC1372" t="str">
        <f>IF(SalesCleanTable[[#This Row],[Discount %]] &gt; SalesCleanTable[[#This Row],[Max Allowed Discount]], "Discount loss", "Safe")</f>
        <v>Safe</v>
      </c>
      <c r="AD1372" s="4">
        <f>SalesCleanTable[[#This Row],[Unit Price]] - SalesCleanTable[[#This Row],[Unit Cost]]</f>
        <v>700</v>
      </c>
      <c r="AE1372" s="41">
        <f>(SalesCleanTable[[#This Row],[Unit Price]] - SalesCleanTable[[#This Row],[Unit Cost]]) / SalesCleanTable[[#This Row],[Unit Price]]</f>
        <v>0.36842105263157893</v>
      </c>
    </row>
    <row r="1373" spans="1:31">
      <c r="A1373" t="s">
        <v>1559</v>
      </c>
      <c r="B1373" s="6">
        <v>45909</v>
      </c>
      <c r="C1373" t="s">
        <v>24</v>
      </c>
      <c r="D1373" t="s">
        <v>25</v>
      </c>
      <c r="E1373" t="s">
        <v>26</v>
      </c>
      <c r="F1373" t="s">
        <v>27</v>
      </c>
      <c r="G1373" t="s">
        <v>28</v>
      </c>
      <c r="H1373" t="s">
        <v>128</v>
      </c>
      <c r="I1373" t="s">
        <v>129</v>
      </c>
      <c r="J1373" t="s">
        <v>130</v>
      </c>
      <c r="K1373" t="s">
        <v>131</v>
      </c>
      <c r="L1373" t="s">
        <v>166</v>
      </c>
      <c r="M1373" t="s">
        <v>171</v>
      </c>
      <c r="N1373">
        <v>3</v>
      </c>
      <c r="O1373" s="4">
        <v>14500</v>
      </c>
      <c r="P1373" s="4">
        <v>17500</v>
      </c>
      <c r="Q1373" s="7">
        <v>0.1</v>
      </c>
      <c r="R1373" t="s">
        <v>194</v>
      </c>
      <c r="S1373">
        <v>13</v>
      </c>
      <c r="T1373">
        <v>52500</v>
      </c>
      <c r="U1373">
        <v>5250</v>
      </c>
      <c r="V1373">
        <v>47250</v>
      </c>
      <c r="W1373">
        <v>43500</v>
      </c>
      <c r="X1373">
        <v>3750</v>
      </c>
      <c r="Y1373" s="8">
        <v>7.9365079365079361E-2</v>
      </c>
      <c r="Z1373" t="s">
        <v>2995</v>
      </c>
      <c r="AA1373" t="str">
        <f>IF(AND(SalesCleanTable[[#This Row],[Discount %]]&gt;0, SalesCleanTable[[#This Row],[Profit]]&lt;0), "Discount loss", "Safe")</f>
        <v>Safe</v>
      </c>
      <c r="AB1373" s="25">
        <f>(SalesCleanTable[[#This Row],[Unit Price]] - SalesCleanTable[[#This Row],[Unit Cost]]) / SalesCleanTable[[#This Row],[Unit Price]]</f>
        <v>0.17142857142857143</v>
      </c>
      <c r="AC1373" t="str">
        <f>IF(SalesCleanTable[[#This Row],[Discount %]] &gt; SalesCleanTable[[#This Row],[Max Allowed Discount]], "Discount loss", "Safe")</f>
        <v>Safe</v>
      </c>
      <c r="AD1373" s="4">
        <f>SalesCleanTable[[#This Row],[Unit Price]] - SalesCleanTable[[#This Row],[Unit Cost]]</f>
        <v>3000</v>
      </c>
      <c r="AE1373" s="41">
        <f>(SalesCleanTable[[#This Row],[Unit Price]] - SalesCleanTable[[#This Row],[Unit Cost]]) / SalesCleanTable[[#This Row],[Unit Price]]</f>
        <v>0.17142857142857143</v>
      </c>
    </row>
    <row r="1374" spans="1:31">
      <c r="A1374" t="s">
        <v>1560</v>
      </c>
      <c r="B1374" s="6">
        <v>45686</v>
      </c>
      <c r="C1374" t="s">
        <v>57</v>
      </c>
      <c r="D1374" t="s">
        <v>58</v>
      </c>
      <c r="E1374" t="s">
        <v>59</v>
      </c>
      <c r="F1374" t="s">
        <v>60</v>
      </c>
      <c r="G1374" t="s">
        <v>61</v>
      </c>
      <c r="H1374" t="s">
        <v>128</v>
      </c>
      <c r="I1374" t="s">
        <v>129</v>
      </c>
      <c r="J1374" t="s">
        <v>130</v>
      </c>
      <c r="K1374" t="s">
        <v>131</v>
      </c>
      <c r="L1374" t="s">
        <v>183</v>
      </c>
      <c r="M1374" t="s">
        <v>171</v>
      </c>
      <c r="N1374">
        <v>8</v>
      </c>
      <c r="O1374" s="4">
        <v>2400</v>
      </c>
      <c r="P1374" s="4">
        <v>3400</v>
      </c>
      <c r="Q1374" s="7">
        <v>0.05</v>
      </c>
      <c r="R1374" t="s">
        <v>173</v>
      </c>
      <c r="S1374">
        <v>3</v>
      </c>
      <c r="T1374">
        <v>27200</v>
      </c>
      <c r="U1374">
        <v>1360</v>
      </c>
      <c r="V1374">
        <v>25840</v>
      </c>
      <c r="W1374">
        <v>19200</v>
      </c>
      <c r="X1374">
        <v>6640</v>
      </c>
      <c r="Y1374" s="8">
        <v>0.25696594427244585</v>
      </c>
      <c r="Z1374" t="s">
        <v>2996</v>
      </c>
      <c r="AA1374" t="str">
        <f>IF(AND(SalesCleanTable[[#This Row],[Discount %]]&gt;0, SalesCleanTable[[#This Row],[Profit]]&lt;0), "Discount loss", "Safe")</f>
        <v>Safe</v>
      </c>
      <c r="AB1374" s="25">
        <f>(SalesCleanTable[[#This Row],[Unit Price]] - SalesCleanTable[[#This Row],[Unit Cost]]) / SalesCleanTable[[#This Row],[Unit Price]]</f>
        <v>0.29411764705882354</v>
      </c>
      <c r="AC1374" t="str">
        <f>IF(SalesCleanTable[[#This Row],[Discount %]] &gt; SalesCleanTable[[#This Row],[Max Allowed Discount]], "Discount loss", "Safe")</f>
        <v>Safe</v>
      </c>
      <c r="AD1374" s="4">
        <f>SalesCleanTable[[#This Row],[Unit Price]] - SalesCleanTable[[#This Row],[Unit Cost]]</f>
        <v>1000</v>
      </c>
      <c r="AE1374" s="41">
        <f>(SalesCleanTable[[#This Row],[Unit Price]] - SalesCleanTable[[#This Row],[Unit Cost]]) / SalesCleanTable[[#This Row],[Unit Price]]</f>
        <v>0.29411764705882354</v>
      </c>
    </row>
    <row r="1375" spans="1:31">
      <c r="A1375" t="s">
        <v>1561</v>
      </c>
      <c r="B1375" s="6">
        <v>45682</v>
      </c>
      <c r="C1375" t="s">
        <v>57</v>
      </c>
      <c r="D1375" t="s">
        <v>58</v>
      </c>
      <c r="E1375" t="s">
        <v>59</v>
      </c>
      <c r="F1375" t="s">
        <v>60</v>
      </c>
      <c r="G1375" t="s">
        <v>61</v>
      </c>
      <c r="H1375" t="s">
        <v>128</v>
      </c>
      <c r="I1375" t="s">
        <v>129</v>
      </c>
      <c r="J1375" t="s">
        <v>130</v>
      </c>
      <c r="K1375" t="s">
        <v>131</v>
      </c>
      <c r="L1375" t="s">
        <v>170</v>
      </c>
      <c r="M1375" t="s">
        <v>177</v>
      </c>
      <c r="N1375">
        <v>2</v>
      </c>
      <c r="O1375" s="4">
        <v>2400</v>
      </c>
      <c r="P1375" s="4">
        <v>3400</v>
      </c>
      <c r="Q1375" s="7">
        <v>0</v>
      </c>
      <c r="R1375" t="s">
        <v>173</v>
      </c>
      <c r="S1375">
        <v>14</v>
      </c>
      <c r="T1375">
        <v>6800</v>
      </c>
      <c r="U1375">
        <v>0</v>
      </c>
      <c r="V1375">
        <v>6800</v>
      </c>
      <c r="W1375">
        <v>4800</v>
      </c>
      <c r="X1375">
        <v>2000</v>
      </c>
      <c r="Y1375" s="8">
        <v>0.29411764705882354</v>
      </c>
      <c r="Z1375" t="s">
        <v>2996</v>
      </c>
      <c r="AA1375" t="str">
        <f>IF(AND(SalesCleanTable[[#This Row],[Discount %]]&gt;0, SalesCleanTable[[#This Row],[Profit]]&lt;0), "Discount loss", "Safe")</f>
        <v>Safe</v>
      </c>
      <c r="AB1375" s="25">
        <f>(SalesCleanTable[[#This Row],[Unit Price]] - SalesCleanTable[[#This Row],[Unit Cost]]) / SalesCleanTable[[#This Row],[Unit Price]]</f>
        <v>0.29411764705882354</v>
      </c>
      <c r="AC1375" t="str">
        <f>IF(SalesCleanTable[[#This Row],[Discount %]] &gt; SalesCleanTable[[#This Row],[Max Allowed Discount]], "Discount loss", "Safe")</f>
        <v>Safe</v>
      </c>
      <c r="AD1375" s="4">
        <f>SalesCleanTable[[#This Row],[Unit Price]] - SalesCleanTable[[#This Row],[Unit Cost]]</f>
        <v>1000</v>
      </c>
      <c r="AE1375" s="41">
        <f>(SalesCleanTable[[#This Row],[Unit Price]] - SalesCleanTable[[#This Row],[Unit Cost]]) / SalesCleanTable[[#This Row],[Unit Price]]</f>
        <v>0.29411764705882354</v>
      </c>
    </row>
    <row r="1376" spans="1:31">
      <c r="A1376" t="s">
        <v>1562</v>
      </c>
      <c r="B1376" s="6">
        <v>45918</v>
      </c>
      <c r="C1376" t="s">
        <v>57</v>
      </c>
      <c r="D1376" t="s">
        <v>58</v>
      </c>
      <c r="E1376" t="s">
        <v>59</v>
      </c>
      <c r="F1376" t="s">
        <v>60</v>
      </c>
      <c r="G1376" t="s">
        <v>61</v>
      </c>
      <c r="H1376" t="s">
        <v>133</v>
      </c>
      <c r="I1376" t="s">
        <v>134</v>
      </c>
      <c r="J1376" t="s">
        <v>130</v>
      </c>
      <c r="K1376" t="s">
        <v>131</v>
      </c>
      <c r="L1376" t="s">
        <v>183</v>
      </c>
      <c r="M1376" t="s">
        <v>177</v>
      </c>
      <c r="N1376">
        <v>2</v>
      </c>
      <c r="O1376" s="4">
        <v>2400</v>
      </c>
      <c r="P1376" s="4">
        <v>3400</v>
      </c>
      <c r="Q1376" s="7">
        <v>0.1</v>
      </c>
      <c r="R1376" t="s">
        <v>192</v>
      </c>
      <c r="S1376">
        <v>4</v>
      </c>
      <c r="T1376">
        <v>6800</v>
      </c>
      <c r="U1376">
        <v>680</v>
      </c>
      <c r="V1376">
        <v>6120</v>
      </c>
      <c r="W1376">
        <v>4800</v>
      </c>
      <c r="X1376">
        <v>1320</v>
      </c>
      <c r="Y1376" s="8">
        <v>0.21568627450980393</v>
      </c>
      <c r="Z1376" t="s">
        <v>2996</v>
      </c>
      <c r="AA1376" t="str">
        <f>IF(AND(SalesCleanTable[[#This Row],[Discount %]]&gt;0, SalesCleanTable[[#This Row],[Profit]]&lt;0), "Discount loss", "Safe")</f>
        <v>Safe</v>
      </c>
      <c r="AB1376" s="25">
        <f>(SalesCleanTable[[#This Row],[Unit Price]] - SalesCleanTable[[#This Row],[Unit Cost]]) / SalesCleanTable[[#This Row],[Unit Price]]</f>
        <v>0.29411764705882354</v>
      </c>
      <c r="AC1376" t="str">
        <f>IF(SalesCleanTable[[#This Row],[Discount %]] &gt; SalesCleanTable[[#This Row],[Max Allowed Discount]], "Discount loss", "Safe")</f>
        <v>Safe</v>
      </c>
      <c r="AD1376" s="4">
        <f>SalesCleanTable[[#This Row],[Unit Price]] - SalesCleanTable[[#This Row],[Unit Cost]]</f>
        <v>1000</v>
      </c>
      <c r="AE1376" s="41">
        <f>(SalesCleanTable[[#This Row],[Unit Price]] - SalesCleanTable[[#This Row],[Unit Cost]]) / SalesCleanTable[[#This Row],[Unit Price]]</f>
        <v>0.29411764705882354</v>
      </c>
    </row>
    <row r="1377" spans="1:31">
      <c r="A1377" t="s">
        <v>1563</v>
      </c>
      <c r="B1377" s="6">
        <v>45695</v>
      </c>
      <c r="C1377" t="s">
        <v>82</v>
      </c>
      <c r="D1377" t="s">
        <v>83</v>
      </c>
      <c r="E1377" t="s">
        <v>75</v>
      </c>
      <c r="F1377" t="s">
        <v>84</v>
      </c>
      <c r="G1377" t="s">
        <v>85</v>
      </c>
      <c r="H1377" t="s">
        <v>139</v>
      </c>
      <c r="I1377" t="s">
        <v>140</v>
      </c>
      <c r="J1377" t="s">
        <v>137</v>
      </c>
      <c r="K1377" t="s">
        <v>138</v>
      </c>
      <c r="L1377" t="s">
        <v>166</v>
      </c>
      <c r="M1377" t="s">
        <v>186</v>
      </c>
      <c r="N1377">
        <v>3</v>
      </c>
      <c r="O1377" s="4">
        <v>600</v>
      </c>
      <c r="P1377" s="4">
        <v>950</v>
      </c>
      <c r="Q1377" s="7">
        <v>0.1</v>
      </c>
      <c r="R1377" t="s">
        <v>204</v>
      </c>
      <c r="S1377">
        <v>2</v>
      </c>
      <c r="T1377">
        <v>2850</v>
      </c>
      <c r="U1377">
        <v>285</v>
      </c>
      <c r="V1377">
        <v>2565</v>
      </c>
      <c r="W1377">
        <v>1800</v>
      </c>
      <c r="X1377">
        <v>765</v>
      </c>
      <c r="Y1377" s="8">
        <v>0.2982456140350877</v>
      </c>
      <c r="Z1377" t="s">
        <v>2996</v>
      </c>
      <c r="AA1377" t="str">
        <f>IF(AND(SalesCleanTable[[#This Row],[Discount %]]&gt;0, SalesCleanTable[[#This Row],[Profit]]&lt;0), "Discount loss", "Safe")</f>
        <v>Safe</v>
      </c>
      <c r="AB1377" s="25">
        <f>(SalesCleanTable[[#This Row],[Unit Price]] - SalesCleanTable[[#This Row],[Unit Cost]]) / SalesCleanTable[[#This Row],[Unit Price]]</f>
        <v>0.36842105263157893</v>
      </c>
      <c r="AC1377" t="str">
        <f>IF(SalesCleanTable[[#This Row],[Discount %]] &gt; SalesCleanTable[[#This Row],[Max Allowed Discount]], "Discount loss", "Safe")</f>
        <v>Safe</v>
      </c>
      <c r="AD1377" s="4">
        <f>SalesCleanTable[[#This Row],[Unit Price]] - SalesCleanTable[[#This Row],[Unit Cost]]</f>
        <v>350</v>
      </c>
      <c r="AE1377" s="41">
        <f>(SalesCleanTable[[#This Row],[Unit Price]] - SalesCleanTable[[#This Row],[Unit Cost]]) / SalesCleanTable[[#This Row],[Unit Price]]</f>
        <v>0.36842105263157893</v>
      </c>
    </row>
    <row r="1378" spans="1:31">
      <c r="A1378" t="s">
        <v>1564</v>
      </c>
      <c r="B1378" s="6">
        <v>45660</v>
      </c>
      <c r="C1378" t="s">
        <v>107</v>
      </c>
      <c r="D1378" t="s">
        <v>108</v>
      </c>
      <c r="E1378" t="s">
        <v>109</v>
      </c>
      <c r="F1378" t="s">
        <v>110</v>
      </c>
      <c r="G1378" t="s">
        <v>111</v>
      </c>
      <c r="H1378" t="s">
        <v>141</v>
      </c>
      <c r="I1378" t="s">
        <v>142</v>
      </c>
      <c r="J1378" t="s">
        <v>143</v>
      </c>
      <c r="K1378" t="s">
        <v>144</v>
      </c>
      <c r="L1378" t="s">
        <v>166</v>
      </c>
      <c r="M1378" t="s">
        <v>186</v>
      </c>
      <c r="N1378">
        <v>6</v>
      </c>
      <c r="O1378" s="4">
        <v>5200</v>
      </c>
      <c r="P1378" s="4">
        <v>7000</v>
      </c>
      <c r="Q1378" s="7">
        <v>0.1</v>
      </c>
      <c r="R1378" t="s">
        <v>235</v>
      </c>
      <c r="S1378">
        <v>6</v>
      </c>
      <c r="T1378">
        <v>42000</v>
      </c>
      <c r="U1378">
        <v>4200</v>
      </c>
      <c r="V1378">
        <v>37800</v>
      </c>
      <c r="W1378">
        <v>31200</v>
      </c>
      <c r="X1378">
        <v>6600</v>
      </c>
      <c r="Y1378" s="8">
        <v>0.17460317460317459</v>
      </c>
      <c r="Z1378" t="s">
        <v>2997</v>
      </c>
      <c r="AA1378" t="str">
        <f>IF(AND(SalesCleanTable[[#This Row],[Discount %]]&gt;0, SalesCleanTable[[#This Row],[Profit]]&lt;0), "Discount loss", "Safe")</f>
        <v>Safe</v>
      </c>
      <c r="AB1378" s="25">
        <f>(SalesCleanTable[[#This Row],[Unit Price]] - SalesCleanTable[[#This Row],[Unit Cost]]) / SalesCleanTable[[#This Row],[Unit Price]]</f>
        <v>0.25714285714285712</v>
      </c>
      <c r="AC1378" t="str">
        <f>IF(SalesCleanTable[[#This Row],[Discount %]] &gt; SalesCleanTable[[#This Row],[Max Allowed Discount]], "Discount loss", "Safe")</f>
        <v>Safe</v>
      </c>
      <c r="AD1378" s="4">
        <f>SalesCleanTable[[#This Row],[Unit Price]] - SalesCleanTable[[#This Row],[Unit Cost]]</f>
        <v>1800</v>
      </c>
      <c r="AE1378" s="41">
        <f>(SalesCleanTable[[#This Row],[Unit Price]] - SalesCleanTable[[#This Row],[Unit Cost]]) / SalesCleanTable[[#This Row],[Unit Price]]</f>
        <v>0.25714285714285712</v>
      </c>
    </row>
    <row r="1379" spans="1:31">
      <c r="A1379" t="s">
        <v>1565</v>
      </c>
      <c r="B1379" s="6">
        <v>45863</v>
      </c>
      <c r="C1379" t="s">
        <v>24</v>
      </c>
      <c r="D1379" t="s">
        <v>25</v>
      </c>
      <c r="E1379" t="s">
        <v>26</v>
      </c>
      <c r="F1379" t="s">
        <v>27</v>
      </c>
      <c r="G1379" t="s">
        <v>28</v>
      </c>
      <c r="H1379" t="s">
        <v>133</v>
      </c>
      <c r="I1379" t="s">
        <v>134</v>
      </c>
      <c r="J1379" t="s">
        <v>130</v>
      </c>
      <c r="K1379" t="s">
        <v>131</v>
      </c>
      <c r="L1379" t="s">
        <v>183</v>
      </c>
      <c r="M1379" t="s">
        <v>186</v>
      </c>
      <c r="N1379">
        <v>2</v>
      </c>
      <c r="O1379" s="4">
        <v>14500</v>
      </c>
      <c r="P1379" s="4">
        <v>17500</v>
      </c>
      <c r="Q1379" s="7">
        <v>0.1</v>
      </c>
      <c r="R1379" t="s">
        <v>173</v>
      </c>
      <c r="S1379">
        <v>12</v>
      </c>
      <c r="T1379">
        <v>35000</v>
      </c>
      <c r="U1379">
        <v>3500</v>
      </c>
      <c r="V1379">
        <v>31500</v>
      </c>
      <c r="W1379">
        <v>29000</v>
      </c>
      <c r="X1379">
        <v>2500</v>
      </c>
      <c r="Y1379" s="8">
        <v>7.9365079365079361E-2</v>
      </c>
      <c r="Z1379" t="s">
        <v>2995</v>
      </c>
      <c r="AA1379" t="str">
        <f>IF(AND(SalesCleanTable[[#This Row],[Discount %]]&gt;0, SalesCleanTable[[#This Row],[Profit]]&lt;0), "Discount loss", "Safe")</f>
        <v>Safe</v>
      </c>
      <c r="AB1379" s="25">
        <f>(SalesCleanTable[[#This Row],[Unit Price]] - SalesCleanTable[[#This Row],[Unit Cost]]) / SalesCleanTable[[#This Row],[Unit Price]]</f>
        <v>0.17142857142857143</v>
      </c>
      <c r="AC1379" t="str">
        <f>IF(SalesCleanTable[[#This Row],[Discount %]] &gt; SalesCleanTable[[#This Row],[Max Allowed Discount]], "Discount loss", "Safe")</f>
        <v>Safe</v>
      </c>
      <c r="AD1379" s="4">
        <f>SalesCleanTable[[#This Row],[Unit Price]] - SalesCleanTable[[#This Row],[Unit Cost]]</f>
        <v>3000</v>
      </c>
      <c r="AE1379" s="41">
        <f>(SalesCleanTable[[#This Row],[Unit Price]] - SalesCleanTable[[#This Row],[Unit Cost]]) / SalesCleanTable[[#This Row],[Unit Price]]</f>
        <v>0.17142857142857143</v>
      </c>
    </row>
    <row r="1380" spans="1:31">
      <c r="A1380" t="s">
        <v>1566</v>
      </c>
      <c r="B1380" s="6">
        <v>45978</v>
      </c>
      <c r="C1380" t="s">
        <v>45</v>
      </c>
      <c r="D1380" t="s">
        <v>46</v>
      </c>
      <c r="E1380" t="s">
        <v>38</v>
      </c>
      <c r="F1380" t="s">
        <v>47</v>
      </c>
      <c r="G1380" t="s">
        <v>48</v>
      </c>
      <c r="H1380" t="s">
        <v>153</v>
      </c>
      <c r="I1380" t="s">
        <v>154</v>
      </c>
      <c r="J1380" t="s">
        <v>155</v>
      </c>
      <c r="K1380" t="s">
        <v>131</v>
      </c>
      <c r="L1380" t="s">
        <v>166</v>
      </c>
      <c r="M1380" t="s">
        <v>177</v>
      </c>
      <c r="N1380">
        <v>4</v>
      </c>
      <c r="O1380" s="4">
        <v>230</v>
      </c>
      <c r="P1380" s="4">
        <v>400</v>
      </c>
      <c r="Q1380" s="7">
        <v>0.15</v>
      </c>
      <c r="R1380" t="s">
        <v>175</v>
      </c>
      <c r="S1380">
        <v>7</v>
      </c>
      <c r="T1380">
        <v>1600</v>
      </c>
      <c r="U1380">
        <v>240</v>
      </c>
      <c r="V1380">
        <v>1360</v>
      </c>
      <c r="W1380">
        <v>920</v>
      </c>
      <c r="X1380">
        <v>440</v>
      </c>
      <c r="Y1380" s="8">
        <v>0.3235294117647059</v>
      </c>
      <c r="Z1380" t="s">
        <v>2995</v>
      </c>
      <c r="AA1380" t="str">
        <f>IF(AND(SalesCleanTable[[#This Row],[Discount %]]&gt;0, SalesCleanTable[[#This Row],[Profit]]&lt;0), "Discount loss", "Safe")</f>
        <v>Safe</v>
      </c>
      <c r="AB1380" s="25">
        <f>(SalesCleanTable[[#This Row],[Unit Price]] - SalesCleanTable[[#This Row],[Unit Cost]]) / SalesCleanTable[[#This Row],[Unit Price]]</f>
        <v>0.42499999999999999</v>
      </c>
      <c r="AC1380" t="str">
        <f>IF(SalesCleanTable[[#This Row],[Discount %]] &gt; SalesCleanTable[[#This Row],[Max Allowed Discount]], "Discount loss", "Safe")</f>
        <v>Safe</v>
      </c>
      <c r="AD1380" s="4">
        <f>SalesCleanTable[[#This Row],[Unit Price]] - SalesCleanTable[[#This Row],[Unit Cost]]</f>
        <v>170</v>
      </c>
      <c r="AE1380" s="41">
        <f>(SalesCleanTable[[#This Row],[Unit Price]] - SalesCleanTable[[#This Row],[Unit Cost]]) / SalesCleanTable[[#This Row],[Unit Price]]</f>
        <v>0.42499999999999999</v>
      </c>
    </row>
    <row r="1381" spans="1:31">
      <c r="A1381" t="s">
        <v>1567</v>
      </c>
      <c r="B1381" s="6">
        <v>45755</v>
      </c>
      <c r="C1381" t="s">
        <v>95</v>
      </c>
      <c r="D1381" t="s">
        <v>96</v>
      </c>
      <c r="E1381" t="s">
        <v>92</v>
      </c>
      <c r="F1381" t="s">
        <v>97</v>
      </c>
      <c r="G1381" t="s">
        <v>98</v>
      </c>
      <c r="H1381" t="s">
        <v>139</v>
      </c>
      <c r="I1381" t="s">
        <v>140</v>
      </c>
      <c r="J1381" t="s">
        <v>137</v>
      </c>
      <c r="K1381" t="s">
        <v>138</v>
      </c>
      <c r="L1381" t="s">
        <v>166</v>
      </c>
      <c r="M1381" t="s">
        <v>171</v>
      </c>
      <c r="N1381">
        <v>3</v>
      </c>
      <c r="O1381" s="4">
        <v>18000</v>
      </c>
      <c r="P1381" s="4">
        <v>24500</v>
      </c>
      <c r="Q1381" s="7">
        <v>0.1</v>
      </c>
      <c r="R1381" t="s">
        <v>217</v>
      </c>
      <c r="S1381">
        <v>3</v>
      </c>
      <c r="T1381">
        <v>73500</v>
      </c>
      <c r="U1381">
        <v>7350</v>
      </c>
      <c r="V1381">
        <v>66150</v>
      </c>
      <c r="W1381">
        <v>54000</v>
      </c>
      <c r="X1381">
        <v>12150</v>
      </c>
      <c r="Y1381" s="8">
        <v>0.18367346938775511</v>
      </c>
      <c r="Z1381" t="s">
        <v>2995</v>
      </c>
      <c r="AA1381" t="str">
        <f>IF(AND(SalesCleanTable[[#This Row],[Discount %]]&gt;0, SalesCleanTable[[#This Row],[Profit]]&lt;0), "Discount loss", "Safe")</f>
        <v>Safe</v>
      </c>
      <c r="AB1381" s="25">
        <f>(SalesCleanTable[[#This Row],[Unit Price]] - SalesCleanTable[[#This Row],[Unit Cost]]) / SalesCleanTable[[#This Row],[Unit Price]]</f>
        <v>0.26530612244897961</v>
      </c>
      <c r="AC1381" t="str">
        <f>IF(SalesCleanTable[[#This Row],[Discount %]] &gt; SalesCleanTable[[#This Row],[Max Allowed Discount]], "Discount loss", "Safe")</f>
        <v>Safe</v>
      </c>
      <c r="AD1381" s="4">
        <f>SalesCleanTable[[#This Row],[Unit Price]] - SalesCleanTable[[#This Row],[Unit Cost]]</f>
        <v>6500</v>
      </c>
      <c r="AE1381" s="41">
        <f>(SalesCleanTable[[#This Row],[Unit Price]] - SalesCleanTable[[#This Row],[Unit Cost]]) / SalesCleanTable[[#This Row],[Unit Price]]</f>
        <v>0.26530612244897961</v>
      </c>
    </row>
    <row r="1382" spans="1:31">
      <c r="A1382" t="s">
        <v>1568</v>
      </c>
      <c r="B1382" s="6">
        <v>45772</v>
      </c>
      <c r="C1382" t="s">
        <v>29</v>
      </c>
      <c r="D1382" t="s">
        <v>30</v>
      </c>
      <c r="E1382" t="s">
        <v>26</v>
      </c>
      <c r="F1382" t="s">
        <v>27</v>
      </c>
      <c r="G1382" t="s">
        <v>31</v>
      </c>
      <c r="H1382" t="s">
        <v>128</v>
      </c>
      <c r="I1382" t="s">
        <v>129</v>
      </c>
      <c r="J1382" t="s">
        <v>130</v>
      </c>
      <c r="K1382" t="s">
        <v>131</v>
      </c>
      <c r="L1382" t="s">
        <v>166</v>
      </c>
      <c r="M1382" t="s">
        <v>171</v>
      </c>
      <c r="N1382">
        <v>1</v>
      </c>
      <c r="O1382" s="4">
        <v>6200</v>
      </c>
      <c r="P1382" s="4">
        <v>7900</v>
      </c>
      <c r="Q1382" s="7">
        <v>0.15</v>
      </c>
      <c r="R1382" t="s">
        <v>197</v>
      </c>
      <c r="S1382">
        <v>12</v>
      </c>
      <c r="T1382">
        <v>7900</v>
      </c>
      <c r="U1382">
        <v>1185</v>
      </c>
      <c r="V1382">
        <v>6715</v>
      </c>
      <c r="W1382">
        <v>6200</v>
      </c>
      <c r="X1382">
        <v>515</v>
      </c>
      <c r="Y1382" s="8">
        <v>7.6693968726731204E-2</v>
      </c>
      <c r="Z1382" t="s">
        <v>2996</v>
      </c>
      <c r="AA1382" t="str">
        <f>IF(AND(SalesCleanTable[[#This Row],[Discount %]]&gt;0, SalesCleanTable[[#This Row],[Profit]]&lt;0), "Discount loss", "Safe")</f>
        <v>Safe</v>
      </c>
      <c r="AB1382" s="25">
        <f>(SalesCleanTable[[#This Row],[Unit Price]] - SalesCleanTable[[#This Row],[Unit Cost]]) / SalesCleanTable[[#This Row],[Unit Price]]</f>
        <v>0.21518987341772153</v>
      </c>
      <c r="AC1382" t="str">
        <f>IF(SalesCleanTable[[#This Row],[Discount %]] &gt; SalesCleanTable[[#This Row],[Max Allowed Discount]], "Discount loss", "Safe")</f>
        <v>Safe</v>
      </c>
      <c r="AD1382" s="4">
        <f>SalesCleanTable[[#This Row],[Unit Price]] - SalesCleanTable[[#This Row],[Unit Cost]]</f>
        <v>1700</v>
      </c>
      <c r="AE1382" s="41">
        <f>(SalesCleanTable[[#This Row],[Unit Price]] - SalesCleanTable[[#This Row],[Unit Cost]]) / SalesCleanTable[[#This Row],[Unit Price]]</f>
        <v>0.21518987341772153</v>
      </c>
    </row>
    <row r="1383" spans="1:31">
      <c r="A1383" t="s">
        <v>1569</v>
      </c>
      <c r="B1383" s="6">
        <v>46006</v>
      </c>
      <c r="C1383" t="s">
        <v>82</v>
      </c>
      <c r="D1383" t="s">
        <v>83</v>
      </c>
      <c r="E1383" t="s">
        <v>75</v>
      </c>
      <c r="F1383" t="s">
        <v>84</v>
      </c>
      <c r="G1383" t="s">
        <v>85</v>
      </c>
      <c r="H1383" t="s">
        <v>145</v>
      </c>
      <c r="I1383" t="s">
        <v>146</v>
      </c>
      <c r="J1383" t="s">
        <v>147</v>
      </c>
      <c r="K1383" t="s">
        <v>148</v>
      </c>
      <c r="L1383" t="s">
        <v>183</v>
      </c>
      <c r="M1383" t="s">
        <v>167</v>
      </c>
      <c r="N1383">
        <v>2</v>
      </c>
      <c r="O1383" s="4">
        <v>600</v>
      </c>
      <c r="P1383" s="4">
        <v>950</v>
      </c>
      <c r="Q1383" s="7">
        <v>0</v>
      </c>
      <c r="R1383" t="s">
        <v>187</v>
      </c>
      <c r="S1383">
        <v>7</v>
      </c>
      <c r="T1383">
        <v>1900</v>
      </c>
      <c r="U1383">
        <v>0</v>
      </c>
      <c r="V1383">
        <v>1900</v>
      </c>
      <c r="W1383">
        <v>1200</v>
      </c>
      <c r="X1383">
        <v>700</v>
      </c>
      <c r="Y1383" s="8">
        <v>0.36842105263157893</v>
      </c>
      <c r="Z1383" t="s">
        <v>2996</v>
      </c>
      <c r="AA1383" t="str">
        <f>IF(AND(SalesCleanTable[[#This Row],[Discount %]]&gt;0, SalesCleanTable[[#This Row],[Profit]]&lt;0), "Discount loss", "Safe")</f>
        <v>Safe</v>
      </c>
      <c r="AB1383" s="25">
        <f>(SalesCleanTable[[#This Row],[Unit Price]] - SalesCleanTable[[#This Row],[Unit Cost]]) / SalesCleanTable[[#This Row],[Unit Price]]</f>
        <v>0.36842105263157893</v>
      </c>
      <c r="AC1383" t="str">
        <f>IF(SalesCleanTable[[#This Row],[Discount %]] &gt; SalesCleanTable[[#This Row],[Max Allowed Discount]], "Discount loss", "Safe")</f>
        <v>Safe</v>
      </c>
      <c r="AD1383" s="4">
        <f>SalesCleanTable[[#This Row],[Unit Price]] - SalesCleanTable[[#This Row],[Unit Cost]]</f>
        <v>350</v>
      </c>
      <c r="AE1383" s="41">
        <f>(SalesCleanTable[[#This Row],[Unit Price]] - SalesCleanTable[[#This Row],[Unit Cost]]) / SalesCleanTable[[#This Row],[Unit Price]]</f>
        <v>0.36842105263157893</v>
      </c>
    </row>
    <row r="1384" spans="1:31">
      <c r="A1384" t="s">
        <v>1570</v>
      </c>
      <c r="B1384" s="6">
        <v>45761</v>
      </c>
      <c r="C1384" t="s">
        <v>112</v>
      </c>
      <c r="D1384" t="s">
        <v>113</v>
      </c>
      <c r="E1384" t="s">
        <v>109</v>
      </c>
      <c r="F1384" t="s">
        <v>114</v>
      </c>
      <c r="G1384" t="s">
        <v>115</v>
      </c>
      <c r="H1384" t="s">
        <v>139</v>
      </c>
      <c r="I1384" t="s">
        <v>140</v>
      </c>
      <c r="J1384" t="s">
        <v>137</v>
      </c>
      <c r="K1384" t="s">
        <v>138</v>
      </c>
      <c r="L1384" t="s">
        <v>170</v>
      </c>
      <c r="M1384" t="s">
        <v>186</v>
      </c>
      <c r="N1384">
        <v>3</v>
      </c>
      <c r="O1384" s="4">
        <v>1300</v>
      </c>
      <c r="P1384" s="4">
        <v>2100</v>
      </c>
      <c r="Q1384" s="7">
        <v>0</v>
      </c>
      <c r="R1384" t="s">
        <v>235</v>
      </c>
      <c r="S1384">
        <v>2</v>
      </c>
      <c r="T1384">
        <v>6300</v>
      </c>
      <c r="U1384">
        <v>0</v>
      </c>
      <c r="V1384">
        <v>6300</v>
      </c>
      <c r="W1384">
        <v>3900</v>
      </c>
      <c r="X1384">
        <v>2400</v>
      </c>
      <c r="Y1384" s="8">
        <v>0.38095238095238093</v>
      </c>
      <c r="Z1384" t="s">
        <v>2995</v>
      </c>
      <c r="AA1384" t="str">
        <f>IF(AND(SalesCleanTable[[#This Row],[Discount %]]&gt;0, SalesCleanTable[[#This Row],[Profit]]&lt;0), "Discount loss", "Safe")</f>
        <v>Safe</v>
      </c>
      <c r="AB1384" s="25">
        <f>(SalesCleanTable[[#This Row],[Unit Price]] - SalesCleanTable[[#This Row],[Unit Cost]]) / SalesCleanTable[[#This Row],[Unit Price]]</f>
        <v>0.38095238095238093</v>
      </c>
      <c r="AC1384" t="str">
        <f>IF(SalesCleanTable[[#This Row],[Discount %]] &gt; SalesCleanTable[[#This Row],[Max Allowed Discount]], "Discount loss", "Safe")</f>
        <v>Safe</v>
      </c>
      <c r="AD1384" s="4">
        <f>SalesCleanTable[[#This Row],[Unit Price]] - SalesCleanTable[[#This Row],[Unit Cost]]</f>
        <v>800</v>
      </c>
      <c r="AE1384" s="41">
        <f>(SalesCleanTable[[#This Row],[Unit Price]] - SalesCleanTable[[#This Row],[Unit Cost]]) / SalesCleanTable[[#This Row],[Unit Price]]</f>
        <v>0.38095238095238093</v>
      </c>
    </row>
    <row r="1385" spans="1:31">
      <c r="A1385" t="s">
        <v>1571</v>
      </c>
      <c r="B1385" s="6">
        <v>45856</v>
      </c>
      <c r="C1385" t="s">
        <v>36</v>
      </c>
      <c r="D1385" t="s">
        <v>37</v>
      </c>
      <c r="E1385" t="s">
        <v>38</v>
      </c>
      <c r="F1385" t="s">
        <v>39</v>
      </c>
      <c r="G1385" t="s">
        <v>40</v>
      </c>
      <c r="H1385" t="s">
        <v>145</v>
      </c>
      <c r="I1385" t="s">
        <v>146</v>
      </c>
      <c r="J1385" t="s">
        <v>147</v>
      </c>
      <c r="K1385" t="s">
        <v>148</v>
      </c>
      <c r="L1385" t="s">
        <v>183</v>
      </c>
      <c r="M1385" t="s">
        <v>186</v>
      </c>
      <c r="N1385">
        <v>5</v>
      </c>
      <c r="O1385" s="4">
        <v>1650</v>
      </c>
      <c r="P1385" s="4">
        <v>2200</v>
      </c>
      <c r="Q1385" s="7">
        <v>0</v>
      </c>
      <c r="R1385" t="s">
        <v>178</v>
      </c>
      <c r="S1385">
        <v>8</v>
      </c>
      <c r="T1385">
        <v>11000</v>
      </c>
      <c r="U1385">
        <v>0</v>
      </c>
      <c r="V1385">
        <v>11000</v>
      </c>
      <c r="W1385">
        <v>8250</v>
      </c>
      <c r="X1385">
        <v>2750</v>
      </c>
      <c r="Y1385" s="8">
        <v>0.25</v>
      </c>
      <c r="Z1385" t="s">
        <v>2995</v>
      </c>
      <c r="AA1385" t="str">
        <f>IF(AND(SalesCleanTable[[#This Row],[Discount %]]&gt;0, SalesCleanTable[[#This Row],[Profit]]&lt;0), "Discount loss", "Safe")</f>
        <v>Safe</v>
      </c>
      <c r="AB1385" s="25">
        <f>(SalesCleanTable[[#This Row],[Unit Price]] - SalesCleanTable[[#This Row],[Unit Cost]]) / SalesCleanTable[[#This Row],[Unit Price]]</f>
        <v>0.25</v>
      </c>
      <c r="AC1385" t="str">
        <f>IF(SalesCleanTable[[#This Row],[Discount %]] &gt; SalesCleanTable[[#This Row],[Max Allowed Discount]], "Discount loss", "Safe")</f>
        <v>Safe</v>
      </c>
      <c r="AD1385" s="4">
        <f>SalesCleanTable[[#This Row],[Unit Price]] - SalesCleanTable[[#This Row],[Unit Cost]]</f>
        <v>550</v>
      </c>
      <c r="AE1385" s="41">
        <f>(SalesCleanTable[[#This Row],[Unit Price]] - SalesCleanTable[[#This Row],[Unit Cost]]) / SalesCleanTable[[#This Row],[Unit Price]]</f>
        <v>0.25</v>
      </c>
    </row>
    <row r="1386" spans="1:31">
      <c r="A1386" t="s">
        <v>1572</v>
      </c>
      <c r="B1386" s="6">
        <v>45679</v>
      </c>
      <c r="C1386" t="s">
        <v>78</v>
      </c>
      <c r="D1386" t="s">
        <v>79</v>
      </c>
      <c r="E1386" t="s">
        <v>75</v>
      </c>
      <c r="F1386" t="s">
        <v>80</v>
      </c>
      <c r="G1386" t="s">
        <v>81</v>
      </c>
      <c r="H1386" t="s">
        <v>139</v>
      </c>
      <c r="I1386" t="s">
        <v>140</v>
      </c>
      <c r="J1386" t="s">
        <v>137</v>
      </c>
      <c r="K1386" t="s">
        <v>138</v>
      </c>
      <c r="L1386" t="s">
        <v>183</v>
      </c>
      <c r="M1386" t="s">
        <v>177</v>
      </c>
      <c r="N1386">
        <v>10</v>
      </c>
      <c r="O1386" s="4">
        <v>1200</v>
      </c>
      <c r="P1386" s="4">
        <v>1900</v>
      </c>
      <c r="Q1386" s="7">
        <v>0.1</v>
      </c>
      <c r="R1386" t="s">
        <v>187</v>
      </c>
      <c r="S1386">
        <v>3</v>
      </c>
      <c r="T1386">
        <v>19000</v>
      </c>
      <c r="U1386">
        <v>1900</v>
      </c>
      <c r="V1386">
        <v>17100</v>
      </c>
      <c r="W1386">
        <v>12000</v>
      </c>
      <c r="X1386">
        <v>5100</v>
      </c>
      <c r="Y1386" s="8">
        <v>0.2982456140350877</v>
      </c>
      <c r="Z1386" t="s">
        <v>2996</v>
      </c>
      <c r="AA1386" t="str">
        <f>IF(AND(SalesCleanTable[[#This Row],[Discount %]]&gt;0, SalesCleanTable[[#This Row],[Profit]]&lt;0), "Discount loss", "Safe")</f>
        <v>Safe</v>
      </c>
      <c r="AB1386" s="25">
        <f>(SalesCleanTable[[#This Row],[Unit Price]] - SalesCleanTable[[#This Row],[Unit Cost]]) / SalesCleanTable[[#This Row],[Unit Price]]</f>
        <v>0.36842105263157893</v>
      </c>
      <c r="AC1386" t="str">
        <f>IF(SalesCleanTable[[#This Row],[Discount %]] &gt; SalesCleanTable[[#This Row],[Max Allowed Discount]], "Discount loss", "Safe")</f>
        <v>Safe</v>
      </c>
      <c r="AD1386" s="4">
        <f>SalesCleanTable[[#This Row],[Unit Price]] - SalesCleanTable[[#This Row],[Unit Cost]]</f>
        <v>700</v>
      </c>
      <c r="AE1386" s="41">
        <f>(SalesCleanTable[[#This Row],[Unit Price]] - SalesCleanTable[[#This Row],[Unit Cost]]) / SalesCleanTable[[#This Row],[Unit Price]]</f>
        <v>0.36842105263157893</v>
      </c>
    </row>
    <row r="1387" spans="1:31">
      <c r="A1387" t="s">
        <v>1573</v>
      </c>
      <c r="B1387" s="6">
        <v>45786</v>
      </c>
      <c r="C1387" t="s">
        <v>112</v>
      </c>
      <c r="D1387" t="s">
        <v>113</v>
      </c>
      <c r="E1387" t="s">
        <v>109</v>
      </c>
      <c r="F1387" t="s">
        <v>114</v>
      </c>
      <c r="G1387" t="s">
        <v>115</v>
      </c>
      <c r="H1387" t="s">
        <v>135</v>
      </c>
      <c r="I1387" t="s">
        <v>136</v>
      </c>
      <c r="J1387" t="s">
        <v>137</v>
      </c>
      <c r="K1387" t="s">
        <v>138</v>
      </c>
      <c r="L1387" t="s">
        <v>166</v>
      </c>
      <c r="M1387" t="s">
        <v>177</v>
      </c>
      <c r="N1387">
        <v>1</v>
      </c>
      <c r="O1387" s="4">
        <v>1300</v>
      </c>
      <c r="P1387" s="4">
        <v>2100</v>
      </c>
      <c r="Q1387" s="7">
        <v>0.1</v>
      </c>
      <c r="R1387" t="s">
        <v>220</v>
      </c>
      <c r="S1387">
        <v>9</v>
      </c>
      <c r="T1387">
        <v>2100</v>
      </c>
      <c r="U1387">
        <v>210</v>
      </c>
      <c r="V1387">
        <v>1890</v>
      </c>
      <c r="W1387">
        <v>1300</v>
      </c>
      <c r="X1387">
        <v>590</v>
      </c>
      <c r="Y1387" s="8">
        <v>0.31216931216931215</v>
      </c>
      <c r="Z1387" t="s">
        <v>2995</v>
      </c>
      <c r="AA1387" t="str">
        <f>IF(AND(SalesCleanTable[[#This Row],[Discount %]]&gt;0, SalesCleanTable[[#This Row],[Profit]]&lt;0), "Discount loss", "Safe")</f>
        <v>Safe</v>
      </c>
      <c r="AB1387" s="25">
        <f>(SalesCleanTable[[#This Row],[Unit Price]] - SalesCleanTable[[#This Row],[Unit Cost]]) / SalesCleanTable[[#This Row],[Unit Price]]</f>
        <v>0.38095238095238093</v>
      </c>
      <c r="AC1387" t="str">
        <f>IF(SalesCleanTable[[#This Row],[Discount %]] &gt; SalesCleanTable[[#This Row],[Max Allowed Discount]], "Discount loss", "Safe")</f>
        <v>Safe</v>
      </c>
      <c r="AD1387" s="4">
        <f>SalesCleanTable[[#This Row],[Unit Price]] - SalesCleanTable[[#This Row],[Unit Cost]]</f>
        <v>800</v>
      </c>
      <c r="AE1387" s="41">
        <f>(SalesCleanTable[[#This Row],[Unit Price]] - SalesCleanTable[[#This Row],[Unit Cost]]) / SalesCleanTable[[#This Row],[Unit Price]]</f>
        <v>0.38095238095238093</v>
      </c>
    </row>
    <row r="1388" spans="1:31">
      <c r="A1388" t="s">
        <v>1574</v>
      </c>
      <c r="B1388" s="6">
        <v>45752</v>
      </c>
      <c r="C1388" t="s">
        <v>73</v>
      </c>
      <c r="D1388" t="s">
        <v>74</v>
      </c>
      <c r="E1388" t="s">
        <v>75</v>
      </c>
      <c r="F1388" t="s">
        <v>76</v>
      </c>
      <c r="G1388" t="s">
        <v>77</v>
      </c>
      <c r="H1388" t="s">
        <v>135</v>
      </c>
      <c r="I1388" t="s">
        <v>136</v>
      </c>
      <c r="J1388" t="s">
        <v>137</v>
      </c>
      <c r="K1388" t="s">
        <v>138</v>
      </c>
      <c r="L1388" t="s">
        <v>166</v>
      </c>
      <c r="M1388" t="s">
        <v>171</v>
      </c>
      <c r="N1388">
        <v>4</v>
      </c>
      <c r="O1388" s="4">
        <v>3500</v>
      </c>
      <c r="P1388" s="4">
        <v>5200</v>
      </c>
      <c r="Q1388" s="7">
        <v>0</v>
      </c>
      <c r="R1388" t="s">
        <v>204</v>
      </c>
      <c r="S1388">
        <v>9</v>
      </c>
      <c r="T1388">
        <v>20800</v>
      </c>
      <c r="U1388">
        <v>0</v>
      </c>
      <c r="V1388">
        <v>20800</v>
      </c>
      <c r="W1388">
        <v>14000</v>
      </c>
      <c r="X1388">
        <v>6800</v>
      </c>
      <c r="Y1388" s="8">
        <v>0.32692307692307693</v>
      </c>
      <c r="Z1388" t="s">
        <v>2996</v>
      </c>
      <c r="AA1388" t="str">
        <f>IF(AND(SalesCleanTable[[#This Row],[Discount %]]&gt;0, SalesCleanTable[[#This Row],[Profit]]&lt;0), "Discount loss", "Safe")</f>
        <v>Safe</v>
      </c>
      <c r="AB1388" s="25">
        <f>(SalesCleanTable[[#This Row],[Unit Price]] - SalesCleanTable[[#This Row],[Unit Cost]]) / SalesCleanTable[[#This Row],[Unit Price]]</f>
        <v>0.32692307692307693</v>
      </c>
      <c r="AC1388" t="str">
        <f>IF(SalesCleanTable[[#This Row],[Discount %]] &gt; SalesCleanTable[[#This Row],[Max Allowed Discount]], "Discount loss", "Safe")</f>
        <v>Safe</v>
      </c>
      <c r="AD1388" s="4">
        <f>SalesCleanTable[[#This Row],[Unit Price]] - SalesCleanTable[[#This Row],[Unit Cost]]</f>
        <v>1700</v>
      </c>
      <c r="AE1388" s="41">
        <f>(SalesCleanTable[[#This Row],[Unit Price]] - SalesCleanTable[[#This Row],[Unit Cost]]) / SalesCleanTable[[#This Row],[Unit Price]]</f>
        <v>0.32692307692307693</v>
      </c>
    </row>
    <row r="1389" spans="1:31">
      <c r="A1389" t="s">
        <v>1575</v>
      </c>
      <c r="B1389" s="6">
        <v>45740</v>
      </c>
      <c r="C1389" t="s">
        <v>32</v>
      </c>
      <c r="D1389" t="s">
        <v>33</v>
      </c>
      <c r="E1389" t="s">
        <v>26</v>
      </c>
      <c r="F1389" t="s">
        <v>34</v>
      </c>
      <c r="G1389" t="s">
        <v>35</v>
      </c>
      <c r="H1389" t="s">
        <v>153</v>
      </c>
      <c r="I1389" t="s">
        <v>154</v>
      </c>
      <c r="J1389" t="s">
        <v>155</v>
      </c>
      <c r="K1389" t="s">
        <v>131</v>
      </c>
      <c r="L1389" t="s">
        <v>166</v>
      </c>
      <c r="M1389" t="s">
        <v>171</v>
      </c>
      <c r="N1389">
        <v>1</v>
      </c>
      <c r="O1389" s="4">
        <v>7800</v>
      </c>
      <c r="P1389" s="4">
        <v>9800</v>
      </c>
      <c r="Q1389" s="7">
        <v>0.1</v>
      </c>
      <c r="R1389" t="s">
        <v>173</v>
      </c>
      <c r="S1389">
        <v>12</v>
      </c>
      <c r="T1389">
        <v>9800</v>
      </c>
      <c r="U1389">
        <v>980</v>
      </c>
      <c r="V1389">
        <v>8820</v>
      </c>
      <c r="W1389">
        <v>7800</v>
      </c>
      <c r="X1389">
        <v>1020</v>
      </c>
      <c r="Y1389" s="8">
        <v>0.11564625850340136</v>
      </c>
      <c r="Z1389" t="s">
        <v>2995</v>
      </c>
      <c r="AA1389" t="str">
        <f>IF(AND(SalesCleanTable[[#This Row],[Discount %]]&gt;0, SalesCleanTable[[#This Row],[Profit]]&lt;0), "Discount loss", "Safe")</f>
        <v>Safe</v>
      </c>
      <c r="AB1389" s="25">
        <f>(SalesCleanTable[[#This Row],[Unit Price]] - SalesCleanTable[[#This Row],[Unit Cost]]) / SalesCleanTable[[#This Row],[Unit Price]]</f>
        <v>0.20408163265306123</v>
      </c>
      <c r="AC1389" t="str">
        <f>IF(SalesCleanTable[[#This Row],[Discount %]] &gt; SalesCleanTable[[#This Row],[Max Allowed Discount]], "Discount loss", "Safe")</f>
        <v>Safe</v>
      </c>
      <c r="AD1389" s="4">
        <f>SalesCleanTable[[#This Row],[Unit Price]] - SalesCleanTable[[#This Row],[Unit Cost]]</f>
        <v>2000</v>
      </c>
      <c r="AE1389" s="41">
        <f>(SalesCleanTable[[#This Row],[Unit Price]] - SalesCleanTable[[#This Row],[Unit Cost]]) / SalesCleanTable[[#This Row],[Unit Price]]</f>
        <v>0.20408163265306123</v>
      </c>
    </row>
    <row r="1390" spans="1:31">
      <c r="A1390" t="s">
        <v>1576</v>
      </c>
      <c r="B1390" s="6">
        <v>45822</v>
      </c>
      <c r="C1390" t="s">
        <v>49</v>
      </c>
      <c r="D1390" t="s">
        <v>50</v>
      </c>
      <c r="E1390" t="s">
        <v>38</v>
      </c>
      <c r="F1390" t="s">
        <v>51</v>
      </c>
      <c r="G1390" t="s">
        <v>52</v>
      </c>
      <c r="H1390" t="s">
        <v>133</v>
      </c>
      <c r="I1390" t="s">
        <v>134</v>
      </c>
      <c r="J1390" t="s">
        <v>130</v>
      </c>
      <c r="K1390" t="s">
        <v>131</v>
      </c>
      <c r="L1390" t="s">
        <v>166</v>
      </c>
      <c r="M1390" t="s">
        <v>171</v>
      </c>
      <c r="N1390">
        <v>1</v>
      </c>
      <c r="O1390" s="4">
        <v>550</v>
      </c>
      <c r="P1390" s="4">
        <v>850</v>
      </c>
      <c r="Q1390" s="7">
        <v>0</v>
      </c>
      <c r="R1390" t="s">
        <v>175</v>
      </c>
      <c r="S1390">
        <v>13</v>
      </c>
      <c r="T1390">
        <v>850</v>
      </c>
      <c r="U1390">
        <v>0</v>
      </c>
      <c r="V1390">
        <v>850</v>
      </c>
      <c r="W1390">
        <v>550</v>
      </c>
      <c r="X1390">
        <v>300</v>
      </c>
      <c r="Y1390" s="8">
        <v>0.35294117647058826</v>
      </c>
      <c r="Z1390" t="s">
        <v>2996</v>
      </c>
      <c r="AA1390" t="str">
        <f>IF(AND(SalesCleanTable[[#This Row],[Discount %]]&gt;0, SalesCleanTable[[#This Row],[Profit]]&lt;0), "Discount loss", "Safe")</f>
        <v>Safe</v>
      </c>
      <c r="AB1390" s="25">
        <f>(SalesCleanTable[[#This Row],[Unit Price]] - SalesCleanTable[[#This Row],[Unit Cost]]) / SalesCleanTable[[#This Row],[Unit Price]]</f>
        <v>0.35294117647058826</v>
      </c>
      <c r="AC1390" t="str">
        <f>IF(SalesCleanTable[[#This Row],[Discount %]] &gt; SalesCleanTable[[#This Row],[Max Allowed Discount]], "Discount loss", "Safe")</f>
        <v>Safe</v>
      </c>
      <c r="AD1390" s="4">
        <f>SalesCleanTable[[#This Row],[Unit Price]] - SalesCleanTable[[#This Row],[Unit Cost]]</f>
        <v>300</v>
      </c>
      <c r="AE1390" s="41">
        <f>(SalesCleanTable[[#This Row],[Unit Price]] - SalesCleanTable[[#This Row],[Unit Cost]]) / SalesCleanTable[[#This Row],[Unit Price]]</f>
        <v>0.35294117647058826</v>
      </c>
    </row>
    <row r="1391" spans="1:31">
      <c r="A1391" t="s">
        <v>1577</v>
      </c>
      <c r="B1391" s="6">
        <v>45772</v>
      </c>
      <c r="C1391" t="s">
        <v>86</v>
      </c>
      <c r="D1391" t="s">
        <v>87</v>
      </c>
      <c r="E1391" t="s">
        <v>75</v>
      </c>
      <c r="F1391" t="s">
        <v>88</v>
      </c>
      <c r="G1391" t="s">
        <v>89</v>
      </c>
      <c r="H1391" t="s">
        <v>128</v>
      </c>
      <c r="I1391" t="s">
        <v>129</v>
      </c>
      <c r="J1391" t="s">
        <v>130</v>
      </c>
      <c r="K1391" t="s">
        <v>131</v>
      </c>
      <c r="L1391" t="s">
        <v>183</v>
      </c>
      <c r="M1391" t="s">
        <v>186</v>
      </c>
      <c r="N1391">
        <v>3</v>
      </c>
      <c r="O1391" s="4">
        <v>8500</v>
      </c>
      <c r="P1391" s="4">
        <v>12500</v>
      </c>
      <c r="Q1391" s="7">
        <v>0</v>
      </c>
      <c r="R1391" t="s">
        <v>204</v>
      </c>
      <c r="S1391">
        <v>11</v>
      </c>
      <c r="T1391">
        <v>37500</v>
      </c>
      <c r="U1391">
        <v>0</v>
      </c>
      <c r="V1391">
        <v>37500</v>
      </c>
      <c r="W1391">
        <v>25500</v>
      </c>
      <c r="X1391">
        <v>12000</v>
      </c>
      <c r="Y1391" s="8">
        <v>0.32</v>
      </c>
      <c r="Z1391" t="s">
        <v>2997</v>
      </c>
      <c r="AA1391" t="str">
        <f>IF(AND(SalesCleanTable[[#This Row],[Discount %]]&gt;0, SalesCleanTable[[#This Row],[Profit]]&lt;0), "Discount loss", "Safe")</f>
        <v>Safe</v>
      </c>
      <c r="AB1391" s="25">
        <f>(SalesCleanTable[[#This Row],[Unit Price]] - SalesCleanTable[[#This Row],[Unit Cost]]) / SalesCleanTable[[#This Row],[Unit Price]]</f>
        <v>0.32</v>
      </c>
      <c r="AC1391" t="str">
        <f>IF(SalesCleanTable[[#This Row],[Discount %]] &gt; SalesCleanTable[[#This Row],[Max Allowed Discount]], "Discount loss", "Safe")</f>
        <v>Safe</v>
      </c>
      <c r="AD1391" s="4">
        <f>SalesCleanTable[[#This Row],[Unit Price]] - SalesCleanTable[[#This Row],[Unit Cost]]</f>
        <v>4000</v>
      </c>
      <c r="AE1391" s="41">
        <f>(SalesCleanTable[[#This Row],[Unit Price]] - SalesCleanTable[[#This Row],[Unit Cost]]) / SalesCleanTable[[#This Row],[Unit Price]]</f>
        <v>0.32</v>
      </c>
    </row>
    <row r="1392" spans="1:31">
      <c r="A1392" t="s">
        <v>1578</v>
      </c>
      <c r="B1392" s="6">
        <v>46009</v>
      </c>
      <c r="C1392" t="s">
        <v>73</v>
      </c>
      <c r="D1392" t="s">
        <v>74</v>
      </c>
      <c r="E1392" t="s">
        <v>75</v>
      </c>
      <c r="F1392" t="s">
        <v>76</v>
      </c>
      <c r="G1392" t="s">
        <v>77</v>
      </c>
      <c r="H1392" t="s">
        <v>139</v>
      </c>
      <c r="I1392" t="s">
        <v>140</v>
      </c>
      <c r="J1392" t="s">
        <v>137</v>
      </c>
      <c r="K1392" t="s">
        <v>138</v>
      </c>
      <c r="L1392" t="s">
        <v>183</v>
      </c>
      <c r="M1392" t="s">
        <v>186</v>
      </c>
      <c r="N1392">
        <v>4</v>
      </c>
      <c r="O1392" s="4">
        <v>3500</v>
      </c>
      <c r="P1392" s="4">
        <v>5200</v>
      </c>
      <c r="Q1392" s="7">
        <v>0.1</v>
      </c>
      <c r="R1392" t="s">
        <v>204</v>
      </c>
      <c r="S1392">
        <v>8</v>
      </c>
      <c r="T1392">
        <v>20800</v>
      </c>
      <c r="U1392">
        <v>2080</v>
      </c>
      <c r="V1392">
        <v>18720</v>
      </c>
      <c r="W1392">
        <v>14000</v>
      </c>
      <c r="X1392">
        <v>4720</v>
      </c>
      <c r="Y1392" s="8">
        <v>0.25213675213675213</v>
      </c>
      <c r="Z1392" t="s">
        <v>2996</v>
      </c>
      <c r="AA1392" t="str">
        <f>IF(AND(SalesCleanTable[[#This Row],[Discount %]]&gt;0, SalesCleanTable[[#This Row],[Profit]]&lt;0), "Discount loss", "Safe")</f>
        <v>Safe</v>
      </c>
      <c r="AB1392" s="25">
        <f>(SalesCleanTable[[#This Row],[Unit Price]] - SalesCleanTable[[#This Row],[Unit Cost]]) / SalesCleanTable[[#This Row],[Unit Price]]</f>
        <v>0.32692307692307693</v>
      </c>
      <c r="AC1392" t="str">
        <f>IF(SalesCleanTable[[#This Row],[Discount %]] &gt; SalesCleanTable[[#This Row],[Max Allowed Discount]], "Discount loss", "Safe")</f>
        <v>Safe</v>
      </c>
      <c r="AD1392" s="4">
        <f>SalesCleanTable[[#This Row],[Unit Price]] - SalesCleanTable[[#This Row],[Unit Cost]]</f>
        <v>1700</v>
      </c>
      <c r="AE1392" s="41">
        <f>(SalesCleanTable[[#This Row],[Unit Price]] - SalesCleanTable[[#This Row],[Unit Cost]]) / SalesCleanTable[[#This Row],[Unit Price]]</f>
        <v>0.32692307692307693</v>
      </c>
    </row>
    <row r="1393" spans="1:31">
      <c r="A1393" t="s">
        <v>1579</v>
      </c>
      <c r="B1393" s="6">
        <v>45736</v>
      </c>
      <c r="C1393" t="s">
        <v>53</v>
      </c>
      <c r="D1393" t="s">
        <v>54</v>
      </c>
      <c r="E1393" t="s">
        <v>38</v>
      </c>
      <c r="F1393" t="s">
        <v>55</v>
      </c>
      <c r="G1393" t="s">
        <v>56</v>
      </c>
      <c r="H1393" t="s">
        <v>149</v>
      </c>
      <c r="I1393" t="s">
        <v>150</v>
      </c>
      <c r="J1393" t="s">
        <v>151</v>
      </c>
      <c r="K1393" t="s">
        <v>152</v>
      </c>
      <c r="L1393" t="s">
        <v>183</v>
      </c>
      <c r="M1393" t="s">
        <v>171</v>
      </c>
      <c r="N1393">
        <v>2</v>
      </c>
      <c r="O1393" s="4">
        <v>330</v>
      </c>
      <c r="P1393" s="4">
        <v>550</v>
      </c>
      <c r="Q1393" s="7">
        <v>0</v>
      </c>
      <c r="R1393" t="s">
        <v>175</v>
      </c>
      <c r="S1393">
        <v>5</v>
      </c>
      <c r="T1393">
        <v>1100</v>
      </c>
      <c r="U1393">
        <v>0</v>
      </c>
      <c r="V1393">
        <v>1100</v>
      </c>
      <c r="W1393">
        <v>660</v>
      </c>
      <c r="X1393">
        <v>440</v>
      </c>
      <c r="Y1393" s="8">
        <v>0.4</v>
      </c>
      <c r="Z1393" t="s">
        <v>2996</v>
      </c>
      <c r="AA1393" t="str">
        <f>IF(AND(SalesCleanTable[[#This Row],[Discount %]]&gt;0, SalesCleanTable[[#This Row],[Profit]]&lt;0), "Discount loss", "Safe")</f>
        <v>Safe</v>
      </c>
      <c r="AB1393" s="25">
        <f>(SalesCleanTable[[#This Row],[Unit Price]] - SalesCleanTable[[#This Row],[Unit Cost]]) / SalesCleanTable[[#This Row],[Unit Price]]</f>
        <v>0.4</v>
      </c>
      <c r="AC1393" t="str">
        <f>IF(SalesCleanTable[[#This Row],[Discount %]] &gt; SalesCleanTable[[#This Row],[Max Allowed Discount]], "Discount loss", "Safe")</f>
        <v>Safe</v>
      </c>
      <c r="AD1393" s="4">
        <f>SalesCleanTable[[#This Row],[Unit Price]] - SalesCleanTable[[#This Row],[Unit Cost]]</f>
        <v>220</v>
      </c>
      <c r="AE1393" s="41">
        <f>(SalesCleanTable[[#This Row],[Unit Price]] - SalesCleanTable[[#This Row],[Unit Cost]]) / SalesCleanTable[[#This Row],[Unit Price]]</f>
        <v>0.4</v>
      </c>
    </row>
    <row r="1394" spans="1:31">
      <c r="A1394" t="s">
        <v>1580</v>
      </c>
      <c r="B1394" s="6">
        <v>45846</v>
      </c>
      <c r="C1394" t="s">
        <v>82</v>
      </c>
      <c r="D1394" t="s">
        <v>83</v>
      </c>
      <c r="E1394" t="s">
        <v>75</v>
      </c>
      <c r="F1394" t="s">
        <v>84</v>
      </c>
      <c r="G1394" t="s">
        <v>85</v>
      </c>
      <c r="H1394" t="s">
        <v>135</v>
      </c>
      <c r="I1394" t="s">
        <v>136</v>
      </c>
      <c r="J1394" t="s">
        <v>137</v>
      </c>
      <c r="K1394" t="s">
        <v>138</v>
      </c>
      <c r="L1394" t="s">
        <v>166</v>
      </c>
      <c r="M1394" t="s">
        <v>171</v>
      </c>
      <c r="N1394">
        <v>2</v>
      </c>
      <c r="O1394" s="4">
        <v>600</v>
      </c>
      <c r="P1394" s="4">
        <v>950</v>
      </c>
      <c r="Q1394" s="7">
        <v>0</v>
      </c>
      <c r="R1394" t="s">
        <v>187</v>
      </c>
      <c r="S1394">
        <v>7</v>
      </c>
      <c r="T1394">
        <v>1900</v>
      </c>
      <c r="U1394">
        <v>0</v>
      </c>
      <c r="V1394">
        <v>1900</v>
      </c>
      <c r="W1394">
        <v>1200</v>
      </c>
      <c r="X1394">
        <v>700</v>
      </c>
      <c r="Y1394" s="8">
        <v>0.36842105263157893</v>
      </c>
      <c r="Z1394" t="s">
        <v>2996</v>
      </c>
      <c r="AA1394" t="str">
        <f>IF(AND(SalesCleanTable[[#This Row],[Discount %]]&gt;0, SalesCleanTable[[#This Row],[Profit]]&lt;0), "Discount loss", "Safe")</f>
        <v>Safe</v>
      </c>
      <c r="AB1394" s="25">
        <f>(SalesCleanTable[[#This Row],[Unit Price]] - SalesCleanTable[[#This Row],[Unit Cost]]) / SalesCleanTable[[#This Row],[Unit Price]]</f>
        <v>0.36842105263157893</v>
      </c>
      <c r="AC1394" t="str">
        <f>IF(SalesCleanTable[[#This Row],[Discount %]] &gt; SalesCleanTable[[#This Row],[Max Allowed Discount]], "Discount loss", "Safe")</f>
        <v>Safe</v>
      </c>
      <c r="AD1394" s="4">
        <f>SalesCleanTable[[#This Row],[Unit Price]] - SalesCleanTable[[#This Row],[Unit Cost]]</f>
        <v>350</v>
      </c>
      <c r="AE1394" s="41">
        <f>(SalesCleanTable[[#This Row],[Unit Price]] - SalesCleanTable[[#This Row],[Unit Cost]]) / SalesCleanTable[[#This Row],[Unit Price]]</f>
        <v>0.36842105263157893</v>
      </c>
    </row>
    <row r="1395" spans="1:31">
      <c r="A1395" t="s">
        <v>1581</v>
      </c>
      <c r="B1395" s="6">
        <v>45978</v>
      </c>
      <c r="C1395" t="s">
        <v>45</v>
      </c>
      <c r="D1395" t="s">
        <v>46</v>
      </c>
      <c r="E1395" t="s">
        <v>38</v>
      </c>
      <c r="F1395" t="s">
        <v>47</v>
      </c>
      <c r="G1395" t="s">
        <v>48</v>
      </c>
      <c r="H1395" t="s">
        <v>153</v>
      </c>
      <c r="I1395" t="s">
        <v>154</v>
      </c>
      <c r="J1395" t="s">
        <v>155</v>
      </c>
      <c r="K1395" t="s">
        <v>131</v>
      </c>
      <c r="L1395" t="s">
        <v>183</v>
      </c>
      <c r="M1395" t="s">
        <v>186</v>
      </c>
      <c r="N1395">
        <v>2</v>
      </c>
      <c r="O1395" s="4">
        <v>230</v>
      </c>
      <c r="P1395" s="4">
        <v>400</v>
      </c>
      <c r="Q1395" s="7">
        <v>0.05</v>
      </c>
      <c r="R1395" t="s">
        <v>175</v>
      </c>
      <c r="S1395">
        <v>8</v>
      </c>
      <c r="T1395">
        <v>800</v>
      </c>
      <c r="U1395">
        <v>40</v>
      </c>
      <c r="V1395">
        <v>760</v>
      </c>
      <c r="W1395">
        <v>460</v>
      </c>
      <c r="X1395">
        <v>300</v>
      </c>
      <c r="Y1395" s="8">
        <v>0.39473684210526316</v>
      </c>
      <c r="Z1395" t="s">
        <v>2995</v>
      </c>
      <c r="AA1395" t="str">
        <f>IF(AND(SalesCleanTable[[#This Row],[Discount %]]&gt;0, SalesCleanTable[[#This Row],[Profit]]&lt;0), "Discount loss", "Safe")</f>
        <v>Safe</v>
      </c>
      <c r="AB1395" s="25">
        <f>(SalesCleanTable[[#This Row],[Unit Price]] - SalesCleanTable[[#This Row],[Unit Cost]]) / SalesCleanTable[[#This Row],[Unit Price]]</f>
        <v>0.42499999999999999</v>
      </c>
      <c r="AC1395" t="str">
        <f>IF(SalesCleanTable[[#This Row],[Discount %]] &gt; SalesCleanTable[[#This Row],[Max Allowed Discount]], "Discount loss", "Safe")</f>
        <v>Safe</v>
      </c>
      <c r="AD1395" s="4">
        <f>SalesCleanTable[[#This Row],[Unit Price]] - SalesCleanTable[[#This Row],[Unit Cost]]</f>
        <v>170</v>
      </c>
      <c r="AE1395" s="41">
        <f>(SalesCleanTable[[#This Row],[Unit Price]] - SalesCleanTable[[#This Row],[Unit Cost]]) / SalesCleanTable[[#This Row],[Unit Price]]</f>
        <v>0.42499999999999999</v>
      </c>
    </row>
    <row r="1396" spans="1:31">
      <c r="A1396" t="s">
        <v>1582</v>
      </c>
      <c r="B1396" s="6">
        <v>45824</v>
      </c>
      <c r="C1396" t="s">
        <v>78</v>
      </c>
      <c r="D1396" t="s">
        <v>79</v>
      </c>
      <c r="E1396" t="s">
        <v>75</v>
      </c>
      <c r="F1396" t="s">
        <v>80</v>
      </c>
      <c r="G1396" t="s">
        <v>81</v>
      </c>
      <c r="H1396" t="s">
        <v>128</v>
      </c>
      <c r="I1396" t="s">
        <v>129</v>
      </c>
      <c r="J1396" t="s">
        <v>130</v>
      </c>
      <c r="K1396" t="s">
        <v>131</v>
      </c>
      <c r="L1396" t="s">
        <v>183</v>
      </c>
      <c r="M1396" t="s">
        <v>171</v>
      </c>
      <c r="N1396">
        <v>3</v>
      </c>
      <c r="O1396" s="4">
        <v>1200</v>
      </c>
      <c r="P1396" s="4">
        <v>1900</v>
      </c>
      <c r="Q1396" s="7">
        <v>0</v>
      </c>
      <c r="R1396" t="s">
        <v>204</v>
      </c>
      <c r="S1396">
        <v>11</v>
      </c>
      <c r="T1396">
        <v>5700</v>
      </c>
      <c r="U1396">
        <v>0</v>
      </c>
      <c r="V1396">
        <v>5700</v>
      </c>
      <c r="W1396">
        <v>3600</v>
      </c>
      <c r="X1396">
        <v>2100</v>
      </c>
      <c r="Y1396" s="8">
        <v>0.36842105263157893</v>
      </c>
      <c r="Z1396" t="s">
        <v>2996</v>
      </c>
      <c r="AA1396" t="str">
        <f>IF(AND(SalesCleanTable[[#This Row],[Discount %]]&gt;0, SalesCleanTable[[#This Row],[Profit]]&lt;0), "Discount loss", "Safe")</f>
        <v>Safe</v>
      </c>
      <c r="AB1396" s="25">
        <f>(SalesCleanTable[[#This Row],[Unit Price]] - SalesCleanTable[[#This Row],[Unit Cost]]) / SalesCleanTable[[#This Row],[Unit Price]]</f>
        <v>0.36842105263157893</v>
      </c>
      <c r="AC1396" t="str">
        <f>IF(SalesCleanTable[[#This Row],[Discount %]] &gt; SalesCleanTable[[#This Row],[Max Allowed Discount]], "Discount loss", "Safe")</f>
        <v>Safe</v>
      </c>
      <c r="AD1396" s="4">
        <f>SalesCleanTable[[#This Row],[Unit Price]] - SalesCleanTable[[#This Row],[Unit Cost]]</f>
        <v>700</v>
      </c>
      <c r="AE1396" s="41">
        <f>(SalesCleanTable[[#This Row],[Unit Price]] - SalesCleanTable[[#This Row],[Unit Cost]]) / SalesCleanTable[[#This Row],[Unit Price]]</f>
        <v>0.36842105263157893</v>
      </c>
    </row>
    <row r="1397" spans="1:31">
      <c r="A1397" t="s">
        <v>1583</v>
      </c>
      <c r="B1397" s="6">
        <v>45844</v>
      </c>
      <c r="C1397" t="s">
        <v>107</v>
      </c>
      <c r="D1397" t="s">
        <v>108</v>
      </c>
      <c r="E1397" t="s">
        <v>109</v>
      </c>
      <c r="F1397" t="s">
        <v>110</v>
      </c>
      <c r="G1397" t="s">
        <v>111</v>
      </c>
      <c r="H1397" t="s">
        <v>139</v>
      </c>
      <c r="I1397" t="s">
        <v>140</v>
      </c>
      <c r="J1397" t="s">
        <v>137</v>
      </c>
      <c r="K1397" t="s">
        <v>138</v>
      </c>
      <c r="L1397" t="s">
        <v>183</v>
      </c>
      <c r="M1397" t="s">
        <v>167</v>
      </c>
      <c r="N1397">
        <v>4</v>
      </c>
      <c r="O1397" s="4">
        <v>5200</v>
      </c>
      <c r="P1397" s="4">
        <v>7000</v>
      </c>
      <c r="Q1397" s="7">
        <v>0.1</v>
      </c>
      <c r="R1397" t="s">
        <v>235</v>
      </c>
      <c r="S1397">
        <v>8</v>
      </c>
      <c r="T1397">
        <v>28000</v>
      </c>
      <c r="U1397">
        <v>2800</v>
      </c>
      <c r="V1397">
        <v>25200</v>
      </c>
      <c r="W1397">
        <v>20800</v>
      </c>
      <c r="X1397">
        <v>4400</v>
      </c>
      <c r="Y1397" s="8">
        <v>0.17460317460317459</v>
      </c>
      <c r="Z1397" t="s">
        <v>2997</v>
      </c>
      <c r="AA1397" t="str">
        <f>IF(AND(SalesCleanTable[[#This Row],[Discount %]]&gt;0, SalesCleanTable[[#This Row],[Profit]]&lt;0), "Discount loss", "Safe")</f>
        <v>Safe</v>
      </c>
      <c r="AB1397" s="25">
        <f>(SalesCleanTable[[#This Row],[Unit Price]] - SalesCleanTable[[#This Row],[Unit Cost]]) / SalesCleanTable[[#This Row],[Unit Price]]</f>
        <v>0.25714285714285712</v>
      </c>
      <c r="AC1397" t="str">
        <f>IF(SalesCleanTable[[#This Row],[Discount %]] &gt; SalesCleanTable[[#This Row],[Max Allowed Discount]], "Discount loss", "Safe")</f>
        <v>Safe</v>
      </c>
      <c r="AD1397" s="4">
        <f>SalesCleanTable[[#This Row],[Unit Price]] - SalesCleanTable[[#This Row],[Unit Cost]]</f>
        <v>1800</v>
      </c>
      <c r="AE1397" s="41">
        <f>(SalesCleanTable[[#This Row],[Unit Price]] - SalesCleanTable[[#This Row],[Unit Cost]]) / SalesCleanTable[[#This Row],[Unit Price]]</f>
        <v>0.25714285714285712</v>
      </c>
    </row>
    <row r="1398" spans="1:31">
      <c r="A1398" t="s">
        <v>1584</v>
      </c>
      <c r="B1398" s="6">
        <v>45991</v>
      </c>
      <c r="C1398" t="s">
        <v>53</v>
      </c>
      <c r="D1398" t="s">
        <v>54</v>
      </c>
      <c r="E1398" t="s">
        <v>38</v>
      </c>
      <c r="F1398" t="s">
        <v>55</v>
      </c>
      <c r="G1398" t="s">
        <v>56</v>
      </c>
      <c r="H1398" t="s">
        <v>149</v>
      </c>
      <c r="I1398" t="s">
        <v>150</v>
      </c>
      <c r="J1398" t="s">
        <v>151</v>
      </c>
      <c r="K1398" t="s">
        <v>152</v>
      </c>
      <c r="L1398" t="s">
        <v>166</v>
      </c>
      <c r="M1398" t="s">
        <v>177</v>
      </c>
      <c r="N1398">
        <v>8</v>
      </c>
      <c r="O1398" s="4">
        <v>330</v>
      </c>
      <c r="P1398" s="4">
        <v>550</v>
      </c>
      <c r="Q1398" s="7">
        <v>0.15</v>
      </c>
      <c r="R1398" t="s">
        <v>175</v>
      </c>
      <c r="S1398">
        <v>9</v>
      </c>
      <c r="T1398">
        <v>4400</v>
      </c>
      <c r="U1398">
        <v>660</v>
      </c>
      <c r="V1398">
        <v>3740</v>
      </c>
      <c r="W1398">
        <v>2640</v>
      </c>
      <c r="X1398">
        <v>1100</v>
      </c>
      <c r="Y1398" s="8">
        <v>0.29411764705882354</v>
      </c>
      <c r="Z1398" t="s">
        <v>2996</v>
      </c>
      <c r="AA1398" t="str">
        <f>IF(AND(SalesCleanTable[[#This Row],[Discount %]]&gt;0, SalesCleanTable[[#This Row],[Profit]]&lt;0), "Discount loss", "Safe")</f>
        <v>Safe</v>
      </c>
      <c r="AB1398" s="25">
        <f>(SalesCleanTable[[#This Row],[Unit Price]] - SalesCleanTable[[#This Row],[Unit Cost]]) / SalesCleanTable[[#This Row],[Unit Price]]</f>
        <v>0.4</v>
      </c>
      <c r="AC1398" t="str">
        <f>IF(SalesCleanTable[[#This Row],[Discount %]] &gt; SalesCleanTable[[#This Row],[Max Allowed Discount]], "Discount loss", "Safe")</f>
        <v>Safe</v>
      </c>
      <c r="AD1398" s="4">
        <f>SalesCleanTable[[#This Row],[Unit Price]] - SalesCleanTable[[#This Row],[Unit Cost]]</f>
        <v>220</v>
      </c>
      <c r="AE1398" s="41">
        <f>(SalesCleanTable[[#This Row],[Unit Price]] - SalesCleanTable[[#This Row],[Unit Cost]]) / SalesCleanTable[[#This Row],[Unit Price]]</f>
        <v>0.4</v>
      </c>
    </row>
    <row r="1399" spans="1:31">
      <c r="A1399" t="s">
        <v>1585</v>
      </c>
      <c r="B1399" s="6">
        <v>45995</v>
      </c>
      <c r="C1399" t="s">
        <v>49</v>
      </c>
      <c r="D1399" t="s">
        <v>50</v>
      </c>
      <c r="E1399" t="s">
        <v>38</v>
      </c>
      <c r="F1399" t="s">
        <v>51</v>
      </c>
      <c r="G1399" t="s">
        <v>52</v>
      </c>
      <c r="H1399" t="s">
        <v>139</v>
      </c>
      <c r="I1399" t="s">
        <v>140</v>
      </c>
      <c r="J1399" t="s">
        <v>137</v>
      </c>
      <c r="K1399" t="s">
        <v>138</v>
      </c>
      <c r="L1399" t="s">
        <v>183</v>
      </c>
      <c r="M1399" t="s">
        <v>186</v>
      </c>
      <c r="N1399">
        <v>1</v>
      </c>
      <c r="O1399" s="4">
        <v>550</v>
      </c>
      <c r="P1399" s="4">
        <v>850</v>
      </c>
      <c r="Q1399" s="7">
        <v>0.05</v>
      </c>
      <c r="R1399" t="s">
        <v>168</v>
      </c>
      <c r="S1399">
        <v>3</v>
      </c>
      <c r="T1399">
        <v>850</v>
      </c>
      <c r="U1399">
        <v>42.5</v>
      </c>
      <c r="V1399">
        <v>807.5</v>
      </c>
      <c r="W1399">
        <v>550</v>
      </c>
      <c r="X1399">
        <v>257.5</v>
      </c>
      <c r="Y1399" s="8">
        <v>0.31888544891640869</v>
      </c>
      <c r="Z1399" t="s">
        <v>2996</v>
      </c>
      <c r="AA1399" t="str">
        <f>IF(AND(SalesCleanTable[[#This Row],[Discount %]]&gt;0, SalesCleanTable[[#This Row],[Profit]]&lt;0), "Discount loss", "Safe")</f>
        <v>Safe</v>
      </c>
      <c r="AB1399" s="25">
        <f>(SalesCleanTable[[#This Row],[Unit Price]] - SalesCleanTable[[#This Row],[Unit Cost]]) / SalesCleanTable[[#This Row],[Unit Price]]</f>
        <v>0.35294117647058826</v>
      </c>
      <c r="AC1399" t="str">
        <f>IF(SalesCleanTable[[#This Row],[Discount %]] &gt; SalesCleanTable[[#This Row],[Max Allowed Discount]], "Discount loss", "Safe")</f>
        <v>Safe</v>
      </c>
      <c r="AD1399" s="4">
        <f>SalesCleanTable[[#This Row],[Unit Price]] - SalesCleanTable[[#This Row],[Unit Cost]]</f>
        <v>300</v>
      </c>
      <c r="AE1399" s="41">
        <f>(SalesCleanTable[[#This Row],[Unit Price]] - SalesCleanTable[[#This Row],[Unit Cost]]) / SalesCleanTable[[#This Row],[Unit Price]]</f>
        <v>0.35294117647058826</v>
      </c>
    </row>
    <row r="1400" spans="1:31">
      <c r="A1400" t="s">
        <v>1586</v>
      </c>
      <c r="B1400" s="6">
        <v>46006</v>
      </c>
      <c r="C1400" t="s">
        <v>62</v>
      </c>
      <c r="D1400" t="s">
        <v>63</v>
      </c>
      <c r="E1400" t="s">
        <v>59</v>
      </c>
      <c r="F1400" t="s">
        <v>64</v>
      </c>
      <c r="G1400" t="s">
        <v>65</v>
      </c>
      <c r="H1400" t="s">
        <v>133</v>
      </c>
      <c r="I1400" t="s">
        <v>134</v>
      </c>
      <c r="J1400" t="s">
        <v>130</v>
      </c>
      <c r="K1400" t="s">
        <v>131</v>
      </c>
      <c r="L1400" t="s">
        <v>166</v>
      </c>
      <c r="M1400" t="s">
        <v>186</v>
      </c>
      <c r="N1400">
        <v>2</v>
      </c>
      <c r="O1400" s="4">
        <v>3200</v>
      </c>
      <c r="P1400" s="4">
        <v>4500</v>
      </c>
      <c r="Q1400" s="7">
        <v>0.15</v>
      </c>
      <c r="R1400" t="s">
        <v>204</v>
      </c>
      <c r="S1400">
        <v>4</v>
      </c>
      <c r="T1400">
        <v>9000</v>
      </c>
      <c r="U1400">
        <v>1350</v>
      </c>
      <c r="V1400">
        <v>7650</v>
      </c>
      <c r="W1400">
        <v>6400</v>
      </c>
      <c r="X1400">
        <v>1250</v>
      </c>
      <c r="Y1400" s="8">
        <v>0.16339869281045752</v>
      </c>
      <c r="Z1400" t="s">
        <v>2996</v>
      </c>
      <c r="AA1400" t="str">
        <f>IF(AND(SalesCleanTable[[#This Row],[Discount %]]&gt;0, SalesCleanTable[[#This Row],[Profit]]&lt;0), "Discount loss", "Safe")</f>
        <v>Safe</v>
      </c>
      <c r="AB1400" s="25">
        <f>(SalesCleanTable[[#This Row],[Unit Price]] - SalesCleanTable[[#This Row],[Unit Cost]]) / SalesCleanTable[[#This Row],[Unit Price]]</f>
        <v>0.28888888888888886</v>
      </c>
      <c r="AC1400" t="str">
        <f>IF(SalesCleanTable[[#This Row],[Discount %]] &gt; SalesCleanTable[[#This Row],[Max Allowed Discount]], "Discount loss", "Safe")</f>
        <v>Safe</v>
      </c>
      <c r="AD1400" s="4">
        <f>SalesCleanTable[[#This Row],[Unit Price]] - SalesCleanTable[[#This Row],[Unit Cost]]</f>
        <v>1300</v>
      </c>
      <c r="AE1400" s="41">
        <f>(SalesCleanTable[[#This Row],[Unit Price]] - SalesCleanTable[[#This Row],[Unit Cost]]) / SalesCleanTable[[#This Row],[Unit Price]]</f>
        <v>0.28888888888888886</v>
      </c>
    </row>
    <row r="1401" spans="1:31">
      <c r="A1401" t="s">
        <v>1587</v>
      </c>
      <c r="B1401" s="6">
        <v>45724</v>
      </c>
      <c r="C1401" t="s">
        <v>86</v>
      </c>
      <c r="D1401" t="s">
        <v>87</v>
      </c>
      <c r="E1401" t="s">
        <v>75</v>
      </c>
      <c r="F1401" t="s">
        <v>88</v>
      </c>
      <c r="G1401" t="s">
        <v>89</v>
      </c>
      <c r="H1401" t="s">
        <v>139</v>
      </c>
      <c r="I1401" t="s">
        <v>140</v>
      </c>
      <c r="J1401" t="s">
        <v>137</v>
      </c>
      <c r="K1401" t="s">
        <v>138</v>
      </c>
      <c r="L1401" t="s">
        <v>166</v>
      </c>
      <c r="M1401" t="s">
        <v>171</v>
      </c>
      <c r="N1401">
        <v>3</v>
      </c>
      <c r="O1401" s="4">
        <v>8500</v>
      </c>
      <c r="P1401" s="4">
        <v>12500</v>
      </c>
      <c r="Q1401" s="7">
        <v>0.2</v>
      </c>
      <c r="R1401" t="s">
        <v>187</v>
      </c>
      <c r="S1401">
        <v>11</v>
      </c>
      <c r="T1401">
        <v>37500</v>
      </c>
      <c r="U1401">
        <v>7500</v>
      </c>
      <c r="V1401">
        <v>30000</v>
      </c>
      <c r="W1401">
        <v>25500</v>
      </c>
      <c r="X1401">
        <v>4500</v>
      </c>
      <c r="Y1401" s="8">
        <v>0.15</v>
      </c>
      <c r="Z1401" t="s">
        <v>2997</v>
      </c>
      <c r="AA1401" t="str">
        <f>IF(AND(SalesCleanTable[[#This Row],[Discount %]]&gt;0, SalesCleanTable[[#This Row],[Profit]]&lt;0), "Discount loss", "Safe")</f>
        <v>Safe</v>
      </c>
      <c r="AB1401" s="25">
        <f>(SalesCleanTable[[#This Row],[Unit Price]] - SalesCleanTable[[#This Row],[Unit Cost]]) / SalesCleanTable[[#This Row],[Unit Price]]</f>
        <v>0.32</v>
      </c>
      <c r="AC1401" t="str">
        <f>IF(SalesCleanTable[[#This Row],[Discount %]] &gt; SalesCleanTable[[#This Row],[Max Allowed Discount]], "Discount loss", "Safe")</f>
        <v>Safe</v>
      </c>
      <c r="AD1401" s="4">
        <f>SalesCleanTable[[#This Row],[Unit Price]] - SalesCleanTable[[#This Row],[Unit Cost]]</f>
        <v>4000</v>
      </c>
      <c r="AE1401" s="41">
        <f>(SalesCleanTable[[#This Row],[Unit Price]] - SalesCleanTable[[#This Row],[Unit Cost]]) / SalesCleanTable[[#This Row],[Unit Price]]</f>
        <v>0.32</v>
      </c>
    </row>
    <row r="1402" spans="1:31">
      <c r="A1402" t="s">
        <v>1588</v>
      </c>
      <c r="B1402" s="6">
        <v>45691</v>
      </c>
      <c r="C1402" t="s">
        <v>29</v>
      </c>
      <c r="D1402" t="s">
        <v>30</v>
      </c>
      <c r="E1402" t="s">
        <v>26</v>
      </c>
      <c r="F1402" t="s">
        <v>27</v>
      </c>
      <c r="G1402" t="s">
        <v>31</v>
      </c>
      <c r="H1402" t="s">
        <v>128</v>
      </c>
      <c r="I1402" t="s">
        <v>129</v>
      </c>
      <c r="J1402" t="s">
        <v>130</v>
      </c>
      <c r="K1402" t="s">
        <v>131</v>
      </c>
      <c r="L1402" t="s">
        <v>183</v>
      </c>
      <c r="M1402" t="s">
        <v>167</v>
      </c>
      <c r="N1402">
        <v>6</v>
      </c>
      <c r="O1402" s="4">
        <v>6200</v>
      </c>
      <c r="P1402" s="4">
        <v>7900</v>
      </c>
      <c r="Q1402" s="7">
        <v>0</v>
      </c>
      <c r="R1402" t="s">
        <v>194</v>
      </c>
      <c r="S1402">
        <v>4</v>
      </c>
      <c r="T1402">
        <v>47400</v>
      </c>
      <c r="U1402">
        <v>0</v>
      </c>
      <c r="V1402">
        <v>47400</v>
      </c>
      <c r="W1402">
        <v>37200</v>
      </c>
      <c r="X1402">
        <v>10200</v>
      </c>
      <c r="Y1402" s="8">
        <v>0.21518987341772153</v>
      </c>
      <c r="Z1402" t="s">
        <v>2996</v>
      </c>
      <c r="AA1402" t="str">
        <f>IF(AND(SalesCleanTable[[#This Row],[Discount %]]&gt;0, SalesCleanTable[[#This Row],[Profit]]&lt;0), "Discount loss", "Safe")</f>
        <v>Safe</v>
      </c>
      <c r="AB1402" s="25">
        <f>(SalesCleanTable[[#This Row],[Unit Price]] - SalesCleanTable[[#This Row],[Unit Cost]]) / SalesCleanTable[[#This Row],[Unit Price]]</f>
        <v>0.21518987341772153</v>
      </c>
      <c r="AC1402" t="str">
        <f>IF(SalesCleanTable[[#This Row],[Discount %]] &gt; SalesCleanTable[[#This Row],[Max Allowed Discount]], "Discount loss", "Safe")</f>
        <v>Safe</v>
      </c>
      <c r="AD1402" s="4">
        <f>SalesCleanTable[[#This Row],[Unit Price]] - SalesCleanTable[[#This Row],[Unit Cost]]</f>
        <v>1700</v>
      </c>
      <c r="AE1402" s="41">
        <f>(SalesCleanTable[[#This Row],[Unit Price]] - SalesCleanTable[[#This Row],[Unit Cost]]) / SalesCleanTable[[#This Row],[Unit Price]]</f>
        <v>0.21518987341772153</v>
      </c>
    </row>
    <row r="1403" spans="1:31">
      <c r="A1403" t="s">
        <v>1589</v>
      </c>
      <c r="B1403" s="6">
        <v>45767</v>
      </c>
      <c r="C1403" t="s">
        <v>45</v>
      </c>
      <c r="D1403" t="s">
        <v>46</v>
      </c>
      <c r="E1403" t="s">
        <v>38</v>
      </c>
      <c r="F1403" t="s">
        <v>47</v>
      </c>
      <c r="G1403" t="s">
        <v>48</v>
      </c>
      <c r="H1403" t="s">
        <v>128</v>
      </c>
      <c r="I1403" t="s">
        <v>129</v>
      </c>
      <c r="J1403" t="s">
        <v>130</v>
      </c>
      <c r="K1403" t="s">
        <v>131</v>
      </c>
      <c r="L1403" t="s">
        <v>183</v>
      </c>
      <c r="M1403" t="s">
        <v>186</v>
      </c>
      <c r="N1403">
        <v>3</v>
      </c>
      <c r="O1403" s="4">
        <v>230</v>
      </c>
      <c r="P1403" s="4">
        <v>400</v>
      </c>
      <c r="Q1403" s="7">
        <v>0.05</v>
      </c>
      <c r="R1403" t="s">
        <v>175</v>
      </c>
      <c r="S1403">
        <v>12</v>
      </c>
      <c r="T1403">
        <v>1200</v>
      </c>
      <c r="U1403">
        <v>60</v>
      </c>
      <c r="V1403">
        <v>1140</v>
      </c>
      <c r="W1403">
        <v>690</v>
      </c>
      <c r="X1403">
        <v>450</v>
      </c>
      <c r="Y1403" s="8">
        <v>0.39473684210526316</v>
      </c>
      <c r="Z1403" t="s">
        <v>2995</v>
      </c>
      <c r="AA1403" t="str">
        <f>IF(AND(SalesCleanTable[[#This Row],[Discount %]]&gt;0, SalesCleanTable[[#This Row],[Profit]]&lt;0), "Discount loss", "Safe")</f>
        <v>Safe</v>
      </c>
      <c r="AB1403" s="25">
        <f>(SalesCleanTable[[#This Row],[Unit Price]] - SalesCleanTable[[#This Row],[Unit Cost]]) / SalesCleanTable[[#This Row],[Unit Price]]</f>
        <v>0.42499999999999999</v>
      </c>
      <c r="AC1403" t="str">
        <f>IF(SalesCleanTable[[#This Row],[Discount %]] &gt; SalesCleanTable[[#This Row],[Max Allowed Discount]], "Discount loss", "Safe")</f>
        <v>Safe</v>
      </c>
      <c r="AD1403" s="4">
        <f>SalesCleanTable[[#This Row],[Unit Price]] - SalesCleanTable[[#This Row],[Unit Cost]]</f>
        <v>170</v>
      </c>
      <c r="AE1403" s="41">
        <f>(SalesCleanTable[[#This Row],[Unit Price]] - SalesCleanTable[[#This Row],[Unit Cost]]) / SalesCleanTable[[#This Row],[Unit Price]]</f>
        <v>0.42499999999999999</v>
      </c>
    </row>
    <row r="1404" spans="1:31">
      <c r="A1404" t="s">
        <v>1590</v>
      </c>
      <c r="B1404" s="6">
        <v>45813</v>
      </c>
      <c r="C1404" t="s">
        <v>32</v>
      </c>
      <c r="D1404" t="s">
        <v>33</v>
      </c>
      <c r="E1404" t="s">
        <v>26</v>
      </c>
      <c r="F1404" t="s">
        <v>34</v>
      </c>
      <c r="G1404" t="s">
        <v>35</v>
      </c>
      <c r="H1404" t="s">
        <v>139</v>
      </c>
      <c r="I1404" t="s">
        <v>140</v>
      </c>
      <c r="J1404" t="s">
        <v>137</v>
      </c>
      <c r="K1404" t="s">
        <v>138</v>
      </c>
      <c r="L1404" t="s">
        <v>166</v>
      </c>
      <c r="M1404" t="s">
        <v>171</v>
      </c>
      <c r="N1404">
        <v>6</v>
      </c>
      <c r="O1404" s="4">
        <v>7800</v>
      </c>
      <c r="P1404" s="4">
        <v>9800</v>
      </c>
      <c r="Q1404" s="7">
        <v>0</v>
      </c>
      <c r="R1404" t="s">
        <v>173</v>
      </c>
      <c r="S1404">
        <v>7</v>
      </c>
      <c r="T1404">
        <v>58800</v>
      </c>
      <c r="U1404">
        <v>0</v>
      </c>
      <c r="V1404">
        <v>58800</v>
      </c>
      <c r="W1404">
        <v>46800</v>
      </c>
      <c r="X1404">
        <v>12000</v>
      </c>
      <c r="Y1404" s="8">
        <v>0.20408163265306123</v>
      </c>
      <c r="Z1404" t="s">
        <v>2995</v>
      </c>
      <c r="AA1404" t="str">
        <f>IF(AND(SalesCleanTable[[#This Row],[Discount %]]&gt;0, SalesCleanTable[[#This Row],[Profit]]&lt;0), "Discount loss", "Safe")</f>
        <v>Safe</v>
      </c>
      <c r="AB1404" s="25">
        <f>(SalesCleanTable[[#This Row],[Unit Price]] - SalesCleanTable[[#This Row],[Unit Cost]]) / SalesCleanTable[[#This Row],[Unit Price]]</f>
        <v>0.20408163265306123</v>
      </c>
      <c r="AC1404" t="str">
        <f>IF(SalesCleanTable[[#This Row],[Discount %]] &gt; SalesCleanTable[[#This Row],[Max Allowed Discount]], "Discount loss", "Safe")</f>
        <v>Safe</v>
      </c>
      <c r="AD1404" s="4">
        <f>SalesCleanTable[[#This Row],[Unit Price]] - SalesCleanTable[[#This Row],[Unit Cost]]</f>
        <v>2000</v>
      </c>
      <c r="AE1404" s="41">
        <f>(SalesCleanTable[[#This Row],[Unit Price]] - SalesCleanTable[[#This Row],[Unit Cost]]) / SalesCleanTable[[#This Row],[Unit Price]]</f>
        <v>0.20408163265306123</v>
      </c>
    </row>
    <row r="1405" spans="1:31">
      <c r="A1405" t="s">
        <v>1591</v>
      </c>
      <c r="B1405" s="6">
        <v>45940</v>
      </c>
      <c r="C1405" t="s">
        <v>73</v>
      </c>
      <c r="D1405" t="s">
        <v>74</v>
      </c>
      <c r="E1405" t="s">
        <v>75</v>
      </c>
      <c r="F1405" t="s">
        <v>76</v>
      </c>
      <c r="G1405" t="s">
        <v>77</v>
      </c>
      <c r="H1405" t="s">
        <v>145</v>
      </c>
      <c r="I1405" t="s">
        <v>146</v>
      </c>
      <c r="J1405" t="s">
        <v>147</v>
      </c>
      <c r="K1405" t="s">
        <v>148</v>
      </c>
      <c r="L1405" t="s">
        <v>166</v>
      </c>
      <c r="M1405" t="s">
        <v>177</v>
      </c>
      <c r="N1405">
        <v>2</v>
      </c>
      <c r="O1405" s="4">
        <v>3500</v>
      </c>
      <c r="P1405" s="4">
        <v>5200</v>
      </c>
      <c r="Q1405" s="7">
        <v>0.15</v>
      </c>
      <c r="R1405" t="s">
        <v>187</v>
      </c>
      <c r="S1405">
        <v>8</v>
      </c>
      <c r="T1405">
        <v>10400</v>
      </c>
      <c r="U1405">
        <v>1560</v>
      </c>
      <c r="V1405">
        <v>8840</v>
      </c>
      <c r="W1405">
        <v>7000</v>
      </c>
      <c r="X1405">
        <v>1840</v>
      </c>
      <c r="Y1405" s="8">
        <v>0.20814479638009051</v>
      </c>
      <c r="Z1405" t="s">
        <v>2996</v>
      </c>
      <c r="AA1405" t="str">
        <f>IF(AND(SalesCleanTable[[#This Row],[Discount %]]&gt;0, SalesCleanTable[[#This Row],[Profit]]&lt;0), "Discount loss", "Safe")</f>
        <v>Safe</v>
      </c>
      <c r="AB1405" s="25">
        <f>(SalesCleanTable[[#This Row],[Unit Price]] - SalesCleanTable[[#This Row],[Unit Cost]]) / SalesCleanTable[[#This Row],[Unit Price]]</f>
        <v>0.32692307692307693</v>
      </c>
      <c r="AC1405" t="str">
        <f>IF(SalesCleanTable[[#This Row],[Discount %]] &gt; SalesCleanTable[[#This Row],[Max Allowed Discount]], "Discount loss", "Safe")</f>
        <v>Safe</v>
      </c>
      <c r="AD1405" s="4">
        <f>SalesCleanTable[[#This Row],[Unit Price]] - SalesCleanTable[[#This Row],[Unit Cost]]</f>
        <v>1700</v>
      </c>
      <c r="AE1405" s="41">
        <f>(SalesCleanTable[[#This Row],[Unit Price]] - SalesCleanTable[[#This Row],[Unit Cost]]) / SalesCleanTable[[#This Row],[Unit Price]]</f>
        <v>0.32692307692307693</v>
      </c>
    </row>
    <row r="1406" spans="1:31">
      <c r="A1406" t="s">
        <v>1592</v>
      </c>
      <c r="B1406" s="6">
        <v>45678</v>
      </c>
      <c r="C1406" t="s">
        <v>32</v>
      </c>
      <c r="D1406" t="s">
        <v>33</v>
      </c>
      <c r="E1406" t="s">
        <v>26</v>
      </c>
      <c r="F1406" t="s">
        <v>34</v>
      </c>
      <c r="G1406" t="s">
        <v>35</v>
      </c>
      <c r="H1406" t="s">
        <v>135</v>
      </c>
      <c r="I1406" t="s">
        <v>136</v>
      </c>
      <c r="J1406" t="s">
        <v>137</v>
      </c>
      <c r="K1406" t="s">
        <v>138</v>
      </c>
      <c r="L1406" t="s">
        <v>166</v>
      </c>
      <c r="M1406" t="s">
        <v>171</v>
      </c>
      <c r="N1406">
        <v>2</v>
      </c>
      <c r="O1406" s="4">
        <v>7800</v>
      </c>
      <c r="P1406" s="4">
        <v>9800</v>
      </c>
      <c r="Q1406" s="7">
        <v>0</v>
      </c>
      <c r="R1406" t="s">
        <v>194</v>
      </c>
      <c r="S1406">
        <v>8</v>
      </c>
      <c r="T1406">
        <v>19600</v>
      </c>
      <c r="U1406">
        <v>0</v>
      </c>
      <c r="V1406">
        <v>19600</v>
      </c>
      <c r="W1406">
        <v>15600</v>
      </c>
      <c r="X1406">
        <v>4000</v>
      </c>
      <c r="Y1406" s="8">
        <v>0.20408163265306123</v>
      </c>
      <c r="Z1406" t="s">
        <v>2995</v>
      </c>
      <c r="AA1406" t="str">
        <f>IF(AND(SalesCleanTable[[#This Row],[Discount %]]&gt;0, SalesCleanTable[[#This Row],[Profit]]&lt;0), "Discount loss", "Safe")</f>
        <v>Safe</v>
      </c>
      <c r="AB1406" s="25">
        <f>(SalesCleanTable[[#This Row],[Unit Price]] - SalesCleanTable[[#This Row],[Unit Cost]]) / SalesCleanTable[[#This Row],[Unit Price]]</f>
        <v>0.20408163265306123</v>
      </c>
      <c r="AC1406" t="str">
        <f>IF(SalesCleanTable[[#This Row],[Discount %]] &gt; SalesCleanTable[[#This Row],[Max Allowed Discount]], "Discount loss", "Safe")</f>
        <v>Safe</v>
      </c>
      <c r="AD1406" s="4">
        <f>SalesCleanTable[[#This Row],[Unit Price]] - SalesCleanTable[[#This Row],[Unit Cost]]</f>
        <v>2000</v>
      </c>
      <c r="AE1406" s="41">
        <f>(SalesCleanTable[[#This Row],[Unit Price]] - SalesCleanTable[[#This Row],[Unit Cost]]) / SalesCleanTable[[#This Row],[Unit Price]]</f>
        <v>0.20408163265306123</v>
      </c>
    </row>
    <row r="1407" spans="1:31">
      <c r="A1407" t="s">
        <v>1593</v>
      </c>
      <c r="B1407" s="6">
        <v>45751</v>
      </c>
      <c r="C1407" t="s">
        <v>53</v>
      </c>
      <c r="D1407" t="s">
        <v>54</v>
      </c>
      <c r="E1407" t="s">
        <v>38</v>
      </c>
      <c r="F1407" t="s">
        <v>55</v>
      </c>
      <c r="G1407" t="s">
        <v>56</v>
      </c>
      <c r="H1407" t="s">
        <v>128</v>
      </c>
      <c r="I1407" t="s">
        <v>129</v>
      </c>
      <c r="J1407" t="s">
        <v>130</v>
      </c>
      <c r="K1407" t="s">
        <v>131</v>
      </c>
      <c r="L1407" t="s">
        <v>166</v>
      </c>
      <c r="M1407" t="s">
        <v>186</v>
      </c>
      <c r="N1407">
        <v>3</v>
      </c>
      <c r="O1407" s="4">
        <v>330</v>
      </c>
      <c r="P1407" s="4">
        <v>550</v>
      </c>
      <c r="Q1407" s="7">
        <v>0.1</v>
      </c>
      <c r="R1407" t="s">
        <v>178</v>
      </c>
      <c r="S1407">
        <v>6</v>
      </c>
      <c r="T1407">
        <v>1650</v>
      </c>
      <c r="U1407">
        <v>165</v>
      </c>
      <c r="V1407">
        <v>1485</v>
      </c>
      <c r="W1407">
        <v>990</v>
      </c>
      <c r="X1407">
        <v>495</v>
      </c>
      <c r="Y1407" s="8">
        <v>0.33333333333333331</v>
      </c>
      <c r="Z1407" t="s">
        <v>2996</v>
      </c>
      <c r="AA1407" t="str">
        <f>IF(AND(SalesCleanTable[[#This Row],[Discount %]]&gt;0, SalesCleanTable[[#This Row],[Profit]]&lt;0), "Discount loss", "Safe")</f>
        <v>Safe</v>
      </c>
      <c r="AB1407" s="25">
        <f>(SalesCleanTable[[#This Row],[Unit Price]] - SalesCleanTable[[#This Row],[Unit Cost]]) / SalesCleanTable[[#This Row],[Unit Price]]</f>
        <v>0.4</v>
      </c>
      <c r="AC1407" t="str">
        <f>IF(SalesCleanTable[[#This Row],[Discount %]] &gt; SalesCleanTable[[#This Row],[Max Allowed Discount]], "Discount loss", "Safe")</f>
        <v>Safe</v>
      </c>
      <c r="AD1407" s="4">
        <f>SalesCleanTable[[#This Row],[Unit Price]] - SalesCleanTable[[#This Row],[Unit Cost]]</f>
        <v>220</v>
      </c>
      <c r="AE1407" s="41">
        <f>(SalesCleanTable[[#This Row],[Unit Price]] - SalesCleanTable[[#This Row],[Unit Cost]]) / SalesCleanTable[[#This Row],[Unit Price]]</f>
        <v>0.4</v>
      </c>
    </row>
    <row r="1408" spans="1:31">
      <c r="A1408" t="s">
        <v>1594</v>
      </c>
      <c r="B1408" s="6">
        <v>45727</v>
      </c>
      <c r="C1408" t="s">
        <v>73</v>
      </c>
      <c r="D1408" t="s">
        <v>74</v>
      </c>
      <c r="E1408" t="s">
        <v>75</v>
      </c>
      <c r="F1408" t="s">
        <v>76</v>
      </c>
      <c r="G1408" t="s">
        <v>77</v>
      </c>
      <c r="H1408" t="s">
        <v>141</v>
      </c>
      <c r="I1408" t="s">
        <v>142</v>
      </c>
      <c r="J1408" t="s">
        <v>143</v>
      </c>
      <c r="K1408" t="s">
        <v>144</v>
      </c>
      <c r="L1408" t="s">
        <v>170</v>
      </c>
      <c r="M1408" t="s">
        <v>171</v>
      </c>
      <c r="N1408">
        <v>6</v>
      </c>
      <c r="O1408" s="4">
        <v>3500</v>
      </c>
      <c r="P1408" s="4">
        <v>5200</v>
      </c>
      <c r="Q1408" s="7">
        <v>0</v>
      </c>
      <c r="R1408" t="s">
        <v>187</v>
      </c>
      <c r="S1408">
        <v>11</v>
      </c>
      <c r="T1408">
        <v>31200</v>
      </c>
      <c r="U1408">
        <v>0</v>
      </c>
      <c r="V1408">
        <v>31200</v>
      </c>
      <c r="W1408">
        <v>21000</v>
      </c>
      <c r="X1408">
        <v>10200</v>
      </c>
      <c r="Y1408" s="8">
        <v>0.32692307692307693</v>
      </c>
      <c r="Z1408" t="s">
        <v>2996</v>
      </c>
      <c r="AA1408" t="str">
        <f>IF(AND(SalesCleanTable[[#This Row],[Discount %]]&gt;0, SalesCleanTable[[#This Row],[Profit]]&lt;0), "Discount loss", "Safe")</f>
        <v>Safe</v>
      </c>
      <c r="AB1408" s="25">
        <f>(SalesCleanTable[[#This Row],[Unit Price]] - SalesCleanTable[[#This Row],[Unit Cost]]) / SalesCleanTable[[#This Row],[Unit Price]]</f>
        <v>0.32692307692307693</v>
      </c>
      <c r="AC1408" t="str">
        <f>IF(SalesCleanTable[[#This Row],[Discount %]] &gt; SalesCleanTable[[#This Row],[Max Allowed Discount]], "Discount loss", "Safe")</f>
        <v>Safe</v>
      </c>
      <c r="AD1408" s="4">
        <f>SalesCleanTable[[#This Row],[Unit Price]] - SalesCleanTable[[#This Row],[Unit Cost]]</f>
        <v>1700</v>
      </c>
      <c r="AE1408" s="41">
        <f>(SalesCleanTable[[#This Row],[Unit Price]] - SalesCleanTable[[#This Row],[Unit Cost]]) / SalesCleanTable[[#This Row],[Unit Price]]</f>
        <v>0.32692307692307693</v>
      </c>
    </row>
    <row r="1409" spans="1:31">
      <c r="A1409" t="s">
        <v>1595</v>
      </c>
      <c r="B1409" s="6">
        <v>46022</v>
      </c>
      <c r="C1409" t="s">
        <v>95</v>
      </c>
      <c r="D1409" t="s">
        <v>96</v>
      </c>
      <c r="E1409" t="s">
        <v>92</v>
      </c>
      <c r="F1409" t="s">
        <v>97</v>
      </c>
      <c r="G1409" t="s">
        <v>98</v>
      </c>
      <c r="H1409" t="s">
        <v>145</v>
      </c>
      <c r="I1409" t="s">
        <v>146</v>
      </c>
      <c r="J1409" t="s">
        <v>147</v>
      </c>
      <c r="K1409" t="s">
        <v>148</v>
      </c>
      <c r="L1409" t="s">
        <v>166</v>
      </c>
      <c r="M1409" t="s">
        <v>171</v>
      </c>
      <c r="N1409">
        <v>2</v>
      </c>
      <c r="O1409" s="4">
        <v>18000</v>
      </c>
      <c r="P1409" s="4">
        <v>24500</v>
      </c>
      <c r="Q1409" s="7">
        <v>0.2</v>
      </c>
      <c r="R1409" t="s">
        <v>215</v>
      </c>
      <c r="S1409">
        <v>7</v>
      </c>
      <c r="T1409">
        <v>49000</v>
      </c>
      <c r="U1409">
        <v>9800</v>
      </c>
      <c r="V1409">
        <v>39200</v>
      </c>
      <c r="W1409">
        <v>36000</v>
      </c>
      <c r="X1409">
        <v>3200</v>
      </c>
      <c r="Y1409" s="8">
        <v>8.1632653061224483E-2</v>
      </c>
      <c r="Z1409" t="s">
        <v>2995</v>
      </c>
      <c r="AA1409" t="str">
        <f>IF(AND(SalesCleanTable[[#This Row],[Discount %]]&gt;0, SalesCleanTable[[#This Row],[Profit]]&lt;0), "Discount loss", "Safe")</f>
        <v>Safe</v>
      </c>
      <c r="AB1409" s="25">
        <f>(SalesCleanTable[[#This Row],[Unit Price]] - SalesCleanTable[[#This Row],[Unit Cost]]) / SalesCleanTable[[#This Row],[Unit Price]]</f>
        <v>0.26530612244897961</v>
      </c>
      <c r="AC1409" t="str">
        <f>IF(SalesCleanTable[[#This Row],[Discount %]] &gt; SalesCleanTable[[#This Row],[Max Allowed Discount]], "Discount loss", "Safe")</f>
        <v>Safe</v>
      </c>
      <c r="AD1409" s="4">
        <f>SalesCleanTable[[#This Row],[Unit Price]] - SalesCleanTable[[#This Row],[Unit Cost]]</f>
        <v>6500</v>
      </c>
      <c r="AE1409" s="41">
        <f>(SalesCleanTable[[#This Row],[Unit Price]] - SalesCleanTable[[#This Row],[Unit Cost]]) / SalesCleanTable[[#This Row],[Unit Price]]</f>
        <v>0.26530612244897961</v>
      </c>
    </row>
    <row r="1410" spans="1:31">
      <c r="A1410" t="s">
        <v>1596</v>
      </c>
      <c r="B1410" s="6">
        <v>45844</v>
      </c>
      <c r="C1410" t="s">
        <v>103</v>
      </c>
      <c r="D1410" t="s">
        <v>104</v>
      </c>
      <c r="E1410" t="s">
        <v>92</v>
      </c>
      <c r="F1410" t="s">
        <v>105</v>
      </c>
      <c r="G1410" t="s">
        <v>106</v>
      </c>
      <c r="H1410" t="s">
        <v>133</v>
      </c>
      <c r="I1410" t="s">
        <v>134</v>
      </c>
      <c r="J1410" t="s">
        <v>130</v>
      </c>
      <c r="K1410" t="s">
        <v>131</v>
      </c>
      <c r="L1410" t="s">
        <v>183</v>
      </c>
      <c r="M1410" t="s">
        <v>186</v>
      </c>
      <c r="N1410">
        <v>2</v>
      </c>
      <c r="O1410" s="4">
        <v>1500</v>
      </c>
      <c r="P1410" s="4">
        <v>2500</v>
      </c>
      <c r="Q1410" s="7">
        <v>0.05</v>
      </c>
      <c r="R1410" t="s">
        <v>181</v>
      </c>
      <c r="S1410">
        <v>1</v>
      </c>
      <c r="T1410">
        <v>5000</v>
      </c>
      <c r="U1410">
        <v>250</v>
      </c>
      <c r="V1410">
        <v>4750</v>
      </c>
      <c r="W1410">
        <v>3000</v>
      </c>
      <c r="X1410">
        <v>1750</v>
      </c>
      <c r="Y1410" s="8">
        <v>0.36842105263157893</v>
      </c>
      <c r="Z1410" t="s">
        <v>2996</v>
      </c>
      <c r="AA1410" t="str">
        <f>IF(AND(SalesCleanTable[[#This Row],[Discount %]]&gt;0, SalesCleanTable[[#This Row],[Profit]]&lt;0), "Discount loss", "Safe")</f>
        <v>Safe</v>
      </c>
      <c r="AB1410" s="25">
        <f>(SalesCleanTable[[#This Row],[Unit Price]] - SalesCleanTable[[#This Row],[Unit Cost]]) / SalesCleanTable[[#This Row],[Unit Price]]</f>
        <v>0.4</v>
      </c>
      <c r="AC1410" t="str">
        <f>IF(SalesCleanTable[[#This Row],[Discount %]] &gt; SalesCleanTable[[#This Row],[Max Allowed Discount]], "Discount loss", "Safe")</f>
        <v>Safe</v>
      </c>
      <c r="AD1410" s="4">
        <f>SalesCleanTable[[#This Row],[Unit Price]] - SalesCleanTable[[#This Row],[Unit Cost]]</f>
        <v>1000</v>
      </c>
      <c r="AE1410" s="41">
        <f>(SalesCleanTable[[#This Row],[Unit Price]] - SalesCleanTable[[#This Row],[Unit Cost]]) / SalesCleanTable[[#This Row],[Unit Price]]</f>
        <v>0.4</v>
      </c>
    </row>
    <row r="1411" spans="1:31">
      <c r="A1411" t="s">
        <v>1597</v>
      </c>
      <c r="B1411" s="6">
        <v>46016</v>
      </c>
      <c r="C1411" t="s">
        <v>45</v>
      </c>
      <c r="D1411" t="s">
        <v>46</v>
      </c>
      <c r="E1411" t="s">
        <v>38</v>
      </c>
      <c r="F1411" t="s">
        <v>47</v>
      </c>
      <c r="G1411" t="s">
        <v>48</v>
      </c>
      <c r="H1411" t="s">
        <v>139</v>
      </c>
      <c r="I1411" t="s">
        <v>140</v>
      </c>
      <c r="J1411" t="s">
        <v>137</v>
      </c>
      <c r="K1411" t="s">
        <v>138</v>
      </c>
      <c r="L1411" t="s">
        <v>183</v>
      </c>
      <c r="M1411" t="s">
        <v>171</v>
      </c>
      <c r="N1411">
        <v>2</v>
      </c>
      <c r="O1411" s="4">
        <v>230</v>
      </c>
      <c r="P1411" s="4">
        <v>400</v>
      </c>
      <c r="Q1411" s="7">
        <v>0</v>
      </c>
      <c r="R1411" t="s">
        <v>175</v>
      </c>
      <c r="S1411">
        <v>11</v>
      </c>
      <c r="T1411">
        <v>800</v>
      </c>
      <c r="U1411">
        <v>0</v>
      </c>
      <c r="V1411">
        <v>800</v>
      </c>
      <c r="W1411">
        <v>460</v>
      </c>
      <c r="X1411">
        <v>340</v>
      </c>
      <c r="Y1411" s="8">
        <v>0.42499999999999999</v>
      </c>
      <c r="Z1411" t="s">
        <v>2995</v>
      </c>
      <c r="AA1411" t="str">
        <f>IF(AND(SalesCleanTable[[#This Row],[Discount %]]&gt;0, SalesCleanTable[[#This Row],[Profit]]&lt;0), "Discount loss", "Safe")</f>
        <v>Safe</v>
      </c>
      <c r="AB1411" s="25">
        <f>(SalesCleanTable[[#This Row],[Unit Price]] - SalesCleanTable[[#This Row],[Unit Cost]]) / SalesCleanTable[[#This Row],[Unit Price]]</f>
        <v>0.42499999999999999</v>
      </c>
      <c r="AC1411" t="str">
        <f>IF(SalesCleanTable[[#This Row],[Discount %]] &gt; SalesCleanTable[[#This Row],[Max Allowed Discount]], "Discount loss", "Safe")</f>
        <v>Safe</v>
      </c>
      <c r="AD1411" s="4">
        <f>SalesCleanTable[[#This Row],[Unit Price]] - SalesCleanTable[[#This Row],[Unit Cost]]</f>
        <v>170</v>
      </c>
      <c r="AE1411" s="41">
        <f>(SalesCleanTable[[#This Row],[Unit Price]] - SalesCleanTable[[#This Row],[Unit Cost]]) / SalesCleanTable[[#This Row],[Unit Price]]</f>
        <v>0.42499999999999999</v>
      </c>
    </row>
    <row r="1412" spans="1:31">
      <c r="A1412" t="s">
        <v>1598</v>
      </c>
      <c r="B1412" s="6">
        <v>45940</v>
      </c>
      <c r="C1412" t="s">
        <v>24</v>
      </c>
      <c r="D1412" t="s">
        <v>25</v>
      </c>
      <c r="E1412" t="s">
        <v>26</v>
      </c>
      <c r="F1412" t="s">
        <v>27</v>
      </c>
      <c r="G1412" t="s">
        <v>28</v>
      </c>
      <c r="H1412" t="s">
        <v>149</v>
      </c>
      <c r="I1412" t="s">
        <v>150</v>
      </c>
      <c r="J1412" t="s">
        <v>151</v>
      </c>
      <c r="K1412" t="s">
        <v>152</v>
      </c>
      <c r="L1412" t="s">
        <v>166</v>
      </c>
      <c r="M1412" t="s">
        <v>167</v>
      </c>
      <c r="N1412">
        <v>8</v>
      </c>
      <c r="O1412" s="4">
        <v>14500</v>
      </c>
      <c r="P1412" s="4">
        <v>17500</v>
      </c>
      <c r="Q1412" s="7">
        <v>0</v>
      </c>
      <c r="R1412" t="s">
        <v>197</v>
      </c>
      <c r="S1412">
        <v>8</v>
      </c>
      <c r="T1412">
        <v>140000</v>
      </c>
      <c r="U1412">
        <v>0</v>
      </c>
      <c r="V1412">
        <v>140000</v>
      </c>
      <c r="W1412">
        <v>116000</v>
      </c>
      <c r="X1412">
        <v>24000</v>
      </c>
      <c r="Y1412" s="8">
        <v>0.17142857142857143</v>
      </c>
      <c r="Z1412" t="s">
        <v>2995</v>
      </c>
      <c r="AA1412" t="str">
        <f>IF(AND(SalesCleanTable[[#This Row],[Discount %]]&gt;0, SalesCleanTable[[#This Row],[Profit]]&lt;0), "Discount loss", "Safe")</f>
        <v>Safe</v>
      </c>
      <c r="AB1412" s="25">
        <f>(SalesCleanTable[[#This Row],[Unit Price]] - SalesCleanTable[[#This Row],[Unit Cost]]) / SalesCleanTable[[#This Row],[Unit Price]]</f>
        <v>0.17142857142857143</v>
      </c>
      <c r="AC1412" t="str">
        <f>IF(SalesCleanTable[[#This Row],[Discount %]] &gt; SalesCleanTable[[#This Row],[Max Allowed Discount]], "Discount loss", "Safe")</f>
        <v>Safe</v>
      </c>
      <c r="AD1412" s="4">
        <f>SalesCleanTable[[#This Row],[Unit Price]] - SalesCleanTable[[#This Row],[Unit Cost]]</f>
        <v>3000</v>
      </c>
      <c r="AE1412" s="41">
        <f>(SalesCleanTable[[#This Row],[Unit Price]] - SalesCleanTable[[#This Row],[Unit Cost]]) / SalesCleanTable[[#This Row],[Unit Price]]</f>
        <v>0.17142857142857143</v>
      </c>
    </row>
    <row r="1413" spans="1:31">
      <c r="A1413" t="s">
        <v>1599</v>
      </c>
      <c r="B1413" s="6">
        <v>45676</v>
      </c>
      <c r="C1413" t="s">
        <v>82</v>
      </c>
      <c r="D1413" t="s">
        <v>83</v>
      </c>
      <c r="E1413" t="s">
        <v>75</v>
      </c>
      <c r="F1413" t="s">
        <v>84</v>
      </c>
      <c r="G1413" t="s">
        <v>85</v>
      </c>
      <c r="H1413" t="s">
        <v>135</v>
      </c>
      <c r="I1413" t="s">
        <v>136</v>
      </c>
      <c r="J1413" t="s">
        <v>137</v>
      </c>
      <c r="K1413" t="s">
        <v>138</v>
      </c>
      <c r="L1413" t="s">
        <v>166</v>
      </c>
      <c r="M1413" t="s">
        <v>171</v>
      </c>
      <c r="N1413">
        <v>2</v>
      </c>
      <c r="O1413" s="4">
        <v>600</v>
      </c>
      <c r="P1413" s="4">
        <v>950</v>
      </c>
      <c r="Q1413" s="7">
        <v>0.05</v>
      </c>
      <c r="R1413" t="s">
        <v>208</v>
      </c>
      <c r="S1413">
        <v>7</v>
      </c>
      <c r="T1413">
        <v>1900</v>
      </c>
      <c r="U1413">
        <v>95</v>
      </c>
      <c r="V1413">
        <v>1805</v>
      </c>
      <c r="W1413">
        <v>1200</v>
      </c>
      <c r="X1413">
        <v>605</v>
      </c>
      <c r="Y1413" s="8">
        <v>0.33518005540166207</v>
      </c>
      <c r="Z1413" t="s">
        <v>2996</v>
      </c>
      <c r="AA1413" t="str">
        <f>IF(AND(SalesCleanTable[[#This Row],[Discount %]]&gt;0, SalesCleanTable[[#This Row],[Profit]]&lt;0), "Discount loss", "Safe")</f>
        <v>Safe</v>
      </c>
      <c r="AB1413" s="25">
        <f>(SalesCleanTable[[#This Row],[Unit Price]] - SalesCleanTable[[#This Row],[Unit Cost]]) / SalesCleanTable[[#This Row],[Unit Price]]</f>
        <v>0.36842105263157893</v>
      </c>
      <c r="AC1413" t="str">
        <f>IF(SalesCleanTable[[#This Row],[Discount %]] &gt; SalesCleanTable[[#This Row],[Max Allowed Discount]], "Discount loss", "Safe")</f>
        <v>Safe</v>
      </c>
      <c r="AD1413" s="4">
        <f>SalesCleanTable[[#This Row],[Unit Price]] - SalesCleanTable[[#This Row],[Unit Cost]]</f>
        <v>350</v>
      </c>
      <c r="AE1413" s="41">
        <f>(SalesCleanTable[[#This Row],[Unit Price]] - SalesCleanTable[[#This Row],[Unit Cost]]) / SalesCleanTable[[#This Row],[Unit Price]]</f>
        <v>0.36842105263157893</v>
      </c>
    </row>
    <row r="1414" spans="1:31">
      <c r="A1414" t="s">
        <v>1600</v>
      </c>
      <c r="B1414" s="6">
        <v>45725</v>
      </c>
      <c r="C1414" t="s">
        <v>112</v>
      </c>
      <c r="D1414" t="s">
        <v>113</v>
      </c>
      <c r="E1414" t="s">
        <v>109</v>
      </c>
      <c r="F1414" t="s">
        <v>114</v>
      </c>
      <c r="G1414" t="s">
        <v>115</v>
      </c>
      <c r="H1414" t="s">
        <v>145</v>
      </c>
      <c r="I1414" t="s">
        <v>146</v>
      </c>
      <c r="J1414" t="s">
        <v>147</v>
      </c>
      <c r="K1414" t="s">
        <v>148</v>
      </c>
      <c r="L1414" t="s">
        <v>166</v>
      </c>
      <c r="M1414" t="s">
        <v>171</v>
      </c>
      <c r="N1414">
        <v>3</v>
      </c>
      <c r="O1414" s="4">
        <v>1300</v>
      </c>
      <c r="P1414" s="4">
        <v>2100</v>
      </c>
      <c r="Q1414" s="7">
        <v>0.05</v>
      </c>
      <c r="R1414" t="s">
        <v>184</v>
      </c>
      <c r="S1414">
        <v>2</v>
      </c>
      <c r="T1414">
        <v>6300</v>
      </c>
      <c r="U1414">
        <v>315</v>
      </c>
      <c r="V1414">
        <v>5985</v>
      </c>
      <c r="W1414">
        <v>3900</v>
      </c>
      <c r="X1414">
        <v>2085</v>
      </c>
      <c r="Y1414" s="8">
        <v>0.34837092731829572</v>
      </c>
      <c r="Z1414" t="s">
        <v>2995</v>
      </c>
      <c r="AA1414" t="str">
        <f>IF(AND(SalesCleanTable[[#This Row],[Discount %]]&gt;0, SalesCleanTable[[#This Row],[Profit]]&lt;0), "Discount loss", "Safe")</f>
        <v>Safe</v>
      </c>
      <c r="AB1414" s="25">
        <f>(SalesCleanTable[[#This Row],[Unit Price]] - SalesCleanTable[[#This Row],[Unit Cost]]) / SalesCleanTable[[#This Row],[Unit Price]]</f>
        <v>0.38095238095238093</v>
      </c>
      <c r="AC1414" t="str">
        <f>IF(SalesCleanTable[[#This Row],[Discount %]] &gt; SalesCleanTable[[#This Row],[Max Allowed Discount]], "Discount loss", "Safe")</f>
        <v>Safe</v>
      </c>
      <c r="AD1414" s="4">
        <f>SalesCleanTable[[#This Row],[Unit Price]] - SalesCleanTable[[#This Row],[Unit Cost]]</f>
        <v>800</v>
      </c>
      <c r="AE1414" s="41">
        <f>(SalesCleanTable[[#This Row],[Unit Price]] - SalesCleanTable[[#This Row],[Unit Cost]]) / SalesCleanTable[[#This Row],[Unit Price]]</f>
        <v>0.38095238095238093</v>
      </c>
    </row>
    <row r="1415" spans="1:31">
      <c r="A1415" t="s">
        <v>1601</v>
      </c>
      <c r="B1415" s="6">
        <v>45821</v>
      </c>
      <c r="C1415" t="s">
        <v>103</v>
      </c>
      <c r="D1415" t="s">
        <v>104</v>
      </c>
      <c r="E1415" t="s">
        <v>92</v>
      </c>
      <c r="F1415" t="s">
        <v>105</v>
      </c>
      <c r="G1415" t="s">
        <v>106</v>
      </c>
      <c r="H1415" t="s">
        <v>149</v>
      </c>
      <c r="I1415" t="s">
        <v>150</v>
      </c>
      <c r="J1415" t="s">
        <v>151</v>
      </c>
      <c r="K1415" t="s">
        <v>152</v>
      </c>
      <c r="L1415" t="s">
        <v>183</v>
      </c>
      <c r="M1415" t="s">
        <v>167</v>
      </c>
      <c r="N1415">
        <v>1</v>
      </c>
      <c r="O1415" s="4">
        <v>1500</v>
      </c>
      <c r="P1415" s="4">
        <v>2500</v>
      </c>
      <c r="Q1415" s="7">
        <v>0</v>
      </c>
      <c r="R1415" t="s">
        <v>181</v>
      </c>
      <c r="S1415">
        <v>6</v>
      </c>
      <c r="T1415">
        <v>2500</v>
      </c>
      <c r="U1415">
        <v>0</v>
      </c>
      <c r="V1415">
        <v>2500</v>
      </c>
      <c r="W1415">
        <v>1500</v>
      </c>
      <c r="X1415">
        <v>1000</v>
      </c>
      <c r="Y1415" s="8">
        <v>0.4</v>
      </c>
      <c r="Z1415" t="s">
        <v>2996</v>
      </c>
      <c r="AA1415" t="str">
        <f>IF(AND(SalesCleanTable[[#This Row],[Discount %]]&gt;0, SalesCleanTable[[#This Row],[Profit]]&lt;0), "Discount loss", "Safe")</f>
        <v>Safe</v>
      </c>
      <c r="AB1415" s="25">
        <f>(SalesCleanTable[[#This Row],[Unit Price]] - SalesCleanTable[[#This Row],[Unit Cost]]) / SalesCleanTable[[#This Row],[Unit Price]]</f>
        <v>0.4</v>
      </c>
      <c r="AC1415" t="str">
        <f>IF(SalesCleanTable[[#This Row],[Discount %]] &gt; SalesCleanTable[[#This Row],[Max Allowed Discount]], "Discount loss", "Safe")</f>
        <v>Safe</v>
      </c>
      <c r="AD1415" s="4">
        <f>SalesCleanTable[[#This Row],[Unit Price]] - SalesCleanTable[[#This Row],[Unit Cost]]</f>
        <v>1000</v>
      </c>
      <c r="AE1415" s="41">
        <f>(SalesCleanTable[[#This Row],[Unit Price]] - SalesCleanTable[[#This Row],[Unit Cost]]) / SalesCleanTable[[#This Row],[Unit Price]]</f>
        <v>0.4</v>
      </c>
    </row>
    <row r="1416" spans="1:31">
      <c r="A1416" t="s">
        <v>1602</v>
      </c>
      <c r="B1416" s="6">
        <v>45950</v>
      </c>
      <c r="C1416" t="s">
        <v>95</v>
      </c>
      <c r="D1416" t="s">
        <v>96</v>
      </c>
      <c r="E1416" t="s">
        <v>92</v>
      </c>
      <c r="F1416" t="s">
        <v>97</v>
      </c>
      <c r="G1416" t="s">
        <v>98</v>
      </c>
      <c r="H1416" t="s">
        <v>145</v>
      </c>
      <c r="I1416" t="s">
        <v>146</v>
      </c>
      <c r="J1416" t="s">
        <v>147</v>
      </c>
      <c r="K1416" t="s">
        <v>148</v>
      </c>
      <c r="L1416" t="s">
        <v>166</v>
      </c>
      <c r="M1416" t="s">
        <v>171</v>
      </c>
      <c r="N1416">
        <v>6</v>
      </c>
      <c r="O1416" s="4">
        <v>18000</v>
      </c>
      <c r="P1416" s="4">
        <v>24500</v>
      </c>
      <c r="Q1416" s="7">
        <v>0</v>
      </c>
      <c r="R1416" t="s">
        <v>215</v>
      </c>
      <c r="S1416">
        <v>2</v>
      </c>
      <c r="T1416">
        <v>147000</v>
      </c>
      <c r="U1416">
        <v>0</v>
      </c>
      <c r="V1416">
        <v>147000</v>
      </c>
      <c r="W1416">
        <v>108000</v>
      </c>
      <c r="X1416">
        <v>39000</v>
      </c>
      <c r="Y1416" s="8">
        <v>0.26530612244897961</v>
      </c>
      <c r="Z1416" t="s">
        <v>2995</v>
      </c>
      <c r="AA1416" t="str">
        <f>IF(AND(SalesCleanTable[[#This Row],[Discount %]]&gt;0, SalesCleanTable[[#This Row],[Profit]]&lt;0), "Discount loss", "Safe")</f>
        <v>Safe</v>
      </c>
      <c r="AB1416" s="25">
        <f>(SalesCleanTable[[#This Row],[Unit Price]] - SalesCleanTable[[#This Row],[Unit Cost]]) / SalesCleanTable[[#This Row],[Unit Price]]</f>
        <v>0.26530612244897961</v>
      </c>
      <c r="AC1416" t="str">
        <f>IF(SalesCleanTable[[#This Row],[Discount %]] &gt; SalesCleanTable[[#This Row],[Max Allowed Discount]], "Discount loss", "Safe")</f>
        <v>Safe</v>
      </c>
      <c r="AD1416" s="4">
        <f>SalesCleanTable[[#This Row],[Unit Price]] - SalesCleanTable[[#This Row],[Unit Cost]]</f>
        <v>6500</v>
      </c>
      <c r="AE1416" s="41">
        <f>(SalesCleanTable[[#This Row],[Unit Price]] - SalesCleanTable[[#This Row],[Unit Cost]]) / SalesCleanTable[[#This Row],[Unit Price]]</f>
        <v>0.26530612244897961</v>
      </c>
    </row>
    <row r="1417" spans="1:31">
      <c r="A1417" t="s">
        <v>1603</v>
      </c>
      <c r="B1417" s="6">
        <v>45978</v>
      </c>
      <c r="C1417" t="s">
        <v>116</v>
      </c>
      <c r="D1417" t="s">
        <v>117</v>
      </c>
      <c r="E1417" t="s">
        <v>109</v>
      </c>
      <c r="F1417" t="s">
        <v>118</v>
      </c>
      <c r="G1417" t="s">
        <v>119</v>
      </c>
      <c r="H1417" t="s">
        <v>153</v>
      </c>
      <c r="I1417" t="s">
        <v>154</v>
      </c>
      <c r="J1417" t="s">
        <v>155</v>
      </c>
      <c r="K1417" t="s">
        <v>131</v>
      </c>
      <c r="L1417" t="s">
        <v>183</v>
      </c>
      <c r="M1417" t="s">
        <v>171</v>
      </c>
      <c r="N1417">
        <v>3</v>
      </c>
      <c r="O1417" s="4">
        <v>2800</v>
      </c>
      <c r="P1417" s="4">
        <v>4200</v>
      </c>
      <c r="Q1417" s="7">
        <v>0.05</v>
      </c>
      <c r="R1417" t="s">
        <v>235</v>
      </c>
      <c r="S1417">
        <v>12</v>
      </c>
      <c r="T1417">
        <v>12600</v>
      </c>
      <c r="U1417">
        <v>630</v>
      </c>
      <c r="V1417">
        <v>11970</v>
      </c>
      <c r="W1417">
        <v>8400</v>
      </c>
      <c r="X1417">
        <v>3570</v>
      </c>
      <c r="Y1417" s="8">
        <v>0.2982456140350877</v>
      </c>
      <c r="Z1417" t="s">
        <v>2995</v>
      </c>
      <c r="AA1417" t="str">
        <f>IF(AND(SalesCleanTable[[#This Row],[Discount %]]&gt;0, SalesCleanTable[[#This Row],[Profit]]&lt;0), "Discount loss", "Safe")</f>
        <v>Safe</v>
      </c>
      <c r="AB1417" s="25">
        <f>(SalesCleanTable[[#This Row],[Unit Price]] - SalesCleanTable[[#This Row],[Unit Cost]]) / SalesCleanTable[[#This Row],[Unit Price]]</f>
        <v>0.33333333333333331</v>
      </c>
      <c r="AC1417" t="str">
        <f>IF(SalesCleanTable[[#This Row],[Discount %]] &gt; SalesCleanTable[[#This Row],[Max Allowed Discount]], "Discount loss", "Safe")</f>
        <v>Safe</v>
      </c>
      <c r="AD1417" s="4">
        <f>SalesCleanTable[[#This Row],[Unit Price]] - SalesCleanTable[[#This Row],[Unit Cost]]</f>
        <v>1400</v>
      </c>
      <c r="AE1417" s="41">
        <f>(SalesCleanTable[[#This Row],[Unit Price]] - SalesCleanTable[[#This Row],[Unit Cost]]) / SalesCleanTable[[#This Row],[Unit Price]]</f>
        <v>0.33333333333333331</v>
      </c>
    </row>
    <row r="1418" spans="1:31">
      <c r="A1418" t="s">
        <v>1604</v>
      </c>
      <c r="B1418" s="6">
        <v>45699</v>
      </c>
      <c r="C1418" t="s">
        <v>36</v>
      </c>
      <c r="D1418" t="s">
        <v>37</v>
      </c>
      <c r="E1418" t="s">
        <v>38</v>
      </c>
      <c r="F1418" t="s">
        <v>39</v>
      </c>
      <c r="G1418" t="s">
        <v>40</v>
      </c>
      <c r="H1418" t="s">
        <v>145</v>
      </c>
      <c r="I1418" t="s">
        <v>146</v>
      </c>
      <c r="J1418" t="s">
        <v>147</v>
      </c>
      <c r="K1418" t="s">
        <v>148</v>
      </c>
      <c r="L1418" t="s">
        <v>183</v>
      </c>
      <c r="M1418" t="s">
        <v>167</v>
      </c>
      <c r="N1418">
        <v>1</v>
      </c>
      <c r="O1418" s="4">
        <v>1650</v>
      </c>
      <c r="P1418" s="4">
        <v>2200</v>
      </c>
      <c r="Q1418" s="7">
        <v>0.05</v>
      </c>
      <c r="R1418" t="s">
        <v>168</v>
      </c>
      <c r="S1418">
        <v>2</v>
      </c>
      <c r="T1418">
        <v>2200</v>
      </c>
      <c r="U1418">
        <v>110</v>
      </c>
      <c r="V1418">
        <v>2090</v>
      </c>
      <c r="W1418">
        <v>1650</v>
      </c>
      <c r="X1418">
        <v>440</v>
      </c>
      <c r="Y1418" s="8">
        <v>0.21052631578947367</v>
      </c>
      <c r="Z1418" t="s">
        <v>2995</v>
      </c>
      <c r="AA1418" t="str">
        <f>IF(AND(SalesCleanTable[[#This Row],[Discount %]]&gt;0, SalesCleanTable[[#This Row],[Profit]]&lt;0), "Discount loss", "Safe")</f>
        <v>Safe</v>
      </c>
      <c r="AB1418" s="25">
        <f>(SalesCleanTable[[#This Row],[Unit Price]] - SalesCleanTable[[#This Row],[Unit Cost]]) / SalesCleanTable[[#This Row],[Unit Price]]</f>
        <v>0.25</v>
      </c>
      <c r="AC1418" t="str">
        <f>IF(SalesCleanTable[[#This Row],[Discount %]] &gt; SalesCleanTable[[#This Row],[Max Allowed Discount]], "Discount loss", "Safe")</f>
        <v>Safe</v>
      </c>
      <c r="AD1418" s="4">
        <f>SalesCleanTable[[#This Row],[Unit Price]] - SalesCleanTable[[#This Row],[Unit Cost]]</f>
        <v>550</v>
      </c>
      <c r="AE1418" s="41">
        <f>(SalesCleanTable[[#This Row],[Unit Price]] - SalesCleanTable[[#This Row],[Unit Cost]]) / SalesCleanTable[[#This Row],[Unit Price]]</f>
        <v>0.25</v>
      </c>
    </row>
    <row r="1419" spans="1:31">
      <c r="A1419" t="s">
        <v>1605</v>
      </c>
      <c r="B1419" s="6">
        <v>45978</v>
      </c>
      <c r="C1419" t="s">
        <v>57</v>
      </c>
      <c r="D1419" t="s">
        <v>58</v>
      </c>
      <c r="E1419" t="s">
        <v>59</v>
      </c>
      <c r="F1419" t="s">
        <v>60</v>
      </c>
      <c r="G1419" t="s">
        <v>61</v>
      </c>
      <c r="H1419" t="s">
        <v>139</v>
      </c>
      <c r="I1419" t="s">
        <v>140</v>
      </c>
      <c r="J1419" t="s">
        <v>137</v>
      </c>
      <c r="K1419" t="s">
        <v>138</v>
      </c>
      <c r="L1419" t="s">
        <v>183</v>
      </c>
      <c r="M1419" t="s">
        <v>177</v>
      </c>
      <c r="N1419">
        <v>1</v>
      </c>
      <c r="O1419" s="4">
        <v>2400</v>
      </c>
      <c r="P1419" s="4">
        <v>3400</v>
      </c>
      <c r="Q1419" s="7">
        <v>0.2</v>
      </c>
      <c r="R1419" t="s">
        <v>204</v>
      </c>
      <c r="S1419">
        <v>12</v>
      </c>
      <c r="T1419">
        <v>3400</v>
      </c>
      <c r="U1419">
        <v>680</v>
      </c>
      <c r="V1419">
        <v>2720</v>
      </c>
      <c r="W1419">
        <v>2400</v>
      </c>
      <c r="X1419">
        <v>320</v>
      </c>
      <c r="Y1419" s="8">
        <v>0.11764705882352941</v>
      </c>
      <c r="Z1419" t="s">
        <v>2996</v>
      </c>
      <c r="AA1419" t="str">
        <f>IF(AND(SalesCleanTable[[#This Row],[Discount %]]&gt;0, SalesCleanTable[[#This Row],[Profit]]&lt;0), "Discount loss", "Safe")</f>
        <v>Safe</v>
      </c>
      <c r="AB1419" s="25">
        <f>(SalesCleanTable[[#This Row],[Unit Price]] - SalesCleanTable[[#This Row],[Unit Cost]]) / SalesCleanTable[[#This Row],[Unit Price]]</f>
        <v>0.29411764705882354</v>
      </c>
      <c r="AC1419" t="str">
        <f>IF(SalesCleanTable[[#This Row],[Discount %]] &gt; SalesCleanTable[[#This Row],[Max Allowed Discount]], "Discount loss", "Safe")</f>
        <v>Safe</v>
      </c>
      <c r="AD1419" s="4">
        <f>SalesCleanTable[[#This Row],[Unit Price]] - SalesCleanTable[[#This Row],[Unit Cost]]</f>
        <v>1000</v>
      </c>
      <c r="AE1419" s="41">
        <f>(SalesCleanTable[[#This Row],[Unit Price]] - SalesCleanTable[[#This Row],[Unit Cost]]) / SalesCleanTable[[#This Row],[Unit Price]]</f>
        <v>0.29411764705882354</v>
      </c>
    </row>
    <row r="1420" spans="1:31">
      <c r="A1420" t="s">
        <v>1606</v>
      </c>
      <c r="B1420" s="6">
        <v>45689</v>
      </c>
      <c r="C1420" t="s">
        <v>53</v>
      </c>
      <c r="D1420" t="s">
        <v>54</v>
      </c>
      <c r="E1420" t="s">
        <v>38</v>
      </c>
      <c r="F1420" t="s">
        <v>55</v>
      </c>
      <c r="G1420" t="s">
        <v>56</v>
      </c>
      <c r="H1420" t="s">
        <v>139</v>
      </c>
      <c r="I1420" t="s">
        <v>140</v>
      </c>
      <c r="J1420" t="s">
        <v>137</v>
      </c>
      <c r="K1420" t="s">
        <v>138</v>
      </c>
      <c r="L1420" t="s">
        <v>166</v>
      </c>
      <c r="M1420" t="s">
        <v>171</v>
      </c>
      <c r="N1420">
        <v>1</v>
      </c>
      <c r="O1420" s="4">
        <v>330</v>
      </c>
      <c r="P1420" s="4">
        <v>550</v>
      </c>
      <c r="Q1420" s="7">
        <v>0.2</v>
      </c>
      <c r="R1420" t="s">
        <v>168</v>
      </c>
      <c r="S1420">
        <v>4</v>
      </c>
      <c r="T1420">
        <v>550</v>
      </c>
      <c r="U1420">
        <v>110</v>
      </c>
      <c r="V1420">
        <v>440</v>
      </c>
      <c r="W1420">
        <v>330</v>
      </c>
      <c r="X1420">
        <v>110</v>
      </c>
      <c r="Y1420" s="8">
        <v>0.25</v>
      </c>
      <c r="Z1420" t="s">
        <v>2996</v>
      </c>
      <c r="AA1420" t="str">
        <f>IF(AND(SalesCleanTable[[#This Row],[Discount %]]&gt;0, SalesCleanTable[[#This Row],[Profit]]&lt;0), "Discount loss", "Safe")</f>
        <v>Safe</v>
      </c>
      <c r="AB1420" s="25">
        <f>(SalesCleanTable[[#This Row],[Unit Price]] - SalesCleanTable[[#This Row],[Unit Cost]]) / SalesCleanTable[[#This Row],[Unit Price]]</f>
        <v>0.4</v>
      </c>
      <c r="AC1420" t="str">
        <f>IF(SalesCleanTable[[#This Row],[Discount %]] &gt; SalesCleanTable[[#This Row],[Max Allowed Discount]], "Discount loss", "Safe")</f>
        <v>Safe</v>
      </c>
      <c r="AD1420" s="4">
        <f>SalesCleanTable[[#This Row],[Unit Price]] - SalesCleanTable[[#This Row],[Unit Cost]]</f>
        <v>220</v>
      </c>
      <c r="AE1420" s="41">
        <f>(SalesCleanTable[[#This Row],[Unit Price]] - SalesCleanTable[[#This Row],[Unit Cost]]) / SalesCleanTable[[#This Row],[Unit Price]]</f>
        <v>0.4</v>
      </c>
    </row>
    <row r="1421" spans="1:31">
      <c r="A1421" t="s">
        <v>1607</v>
      </c>
      <c r="B1421" s="6">
        <v>46017</v>
      </c>
      <c r="C1421" t="s">
        <v>86</v>
      </c>
      <c r="D1421" t="s">
        <v>87</v>
      </c>
      <c r="E1421" t="s">
        <v>75</v>
      </c>
      <c r="F1421" t="s">
        <v>88</v>
      </c>
      <c r="G1421" t="s">
        <v>89</v>
      </c>
      <c r="H1421" t="s">
        <v>133</v>
      </c>
      <c r="I1421" t="s">
        <v>134</v>
      </c>
      <c r="J1421" t="s">
        <v>130</v>
      </c>
      <c r="K1421" t="s">
        <v>131</v>
      </c>
      <c r="L1421" t="s">
        <v>166</v>
      </c>
      <c r="M1421" t="s">
        <v>186</v>
      </c>
      <c r="N1421">
        <v>5</v>
      </c>
      <c r="O1421" s="4">
        <v>8500</v>
      </c>
      <c r="P1421" s="4">
        <v>12500</v>
      </c>
      <c r="Q1421" s="7">
        <v>0.2</v>
      </c>
      <c r="R1421" t="s">
        <v>204</v>
      </c>
      <c r="S1421">
        <v>5</v>
      </c>
      <c r="T1421">
        <v>62500</v>
      </c>
      <c r="U1421">
        <v>12500</v>
      </c>
      <c r="V1421">
        <v>50000</v>
      </c>
      <c r="W1421">
        <v>42500</v>
      </c>
      <c r="X1421">
        <v>7500</v>
      </c>
      <c r="Y1421" s="8">
        <v>0.15</v>
      </c>
      <c r="Z1421" t="s">
        <v>2997</v>
      </c>
      <c r="AA1421" t="str">
        <f>IF(AND(SalesCleanTable[[#This Row],[Discount %]]&gt;0, SalesCleanTable[[#This Row],[Profit]]&lt;0), "Discount loss", "Safe")</f>
        <v>Safe</v>
      </c>
      <c r="AB1421" s="25">
        <f>(SalesCleanTable[[#This Row],[Unit Price]] - SalesCleanTable[[#This Row],[Unit Cost]]) / SalesCleanTable[[#This Row],[Unit Price]]</f>
        <v>0.32</v>
      </c>
      <c r="AC1421" t="str">
        <f>IF(SalesCleanTable[[#This Row],[Discount %]] &gt; SalesCleanTable[[#This Row],[Max Allowed Discount]], "Discount loss", "Safe")</f>
        <v>Safe</v>
      </c>
      <c r="AD1421" s="4">
        <f>SalesCleanTable[[#This Row],[Unit Price]] - SalesCleanTable[[#This Row],[Unit Cost]]</f>
        <v>4000</v>
      </c>
      <c r="AE1421" s="41">
        <f>(SalesCleanTable[[#This Row],[Unit Price]] - SalesCleanTable[[#This Row],[Unit Cost]]) / SalesCleanTable[[#This Row],[Unit Price]]</f>
        <v>0.32</v>
      </c>
    </row>
    <row r="1422" spans="1:31">
      <c r="A1422" t="s">
        <v>1608</v>
      </c>
      <c r="B1422" s="6">
        <v>45917</v>
      </c>
      <c r="C1422" t="s">
        <v>73</v>
      </c>
      <c r="D1422" t="s">
        <v>74</v>
      </c>
      <c r="E1422" t="s">
        <v>75</v>
      </c>
      <c r="F1422" t="s">
        <v>76</v>
      </c>
      <c r="G1422" t="s">
        <v>77</v>
      </c>
      <c r="H1422" t="s">
        <v>133</v>
      </c>
      <c r="I1422" t="s">
        <v>134</v>
      </c>
      <c r="J1422" t="s">
        <v>130</v>
      </c>
      <c r="K1422" t="s">
        <v>131</v>
      </c>
      <c r="L1422" t="s">
        <v>166</v>
      </c>
      <c r="M1422" t="s">
        <v>177</v>
      </c>
      <c r="N1422">
        <v>2</v>
      </c>
      <c r="O1422" s="4">
        <v>3500</v>
      </c>
      <c r="P1422" s="4">
        <v>5200</v>
      </c>
      <c r="Q1422" s="7">
        <v>0.05</v>
      </c>
      <c r="R1422" t="s">
        <v>204</v>
      </c>
      <c r="S1422">
        <v>5</v>
      </c>
      <c r="T1422">
        <v>10400</v>
      </c>
      <c r="U1422">
        <v>520</v>
      </c>
      <c r="V1422">
        <v>9880</v>
      </c>
      <c r="W1422">
        <v>7000</v>
      </c>
      <c r="X1422">
        <v>2880</v>
      </c>
      <c r="Y1422" s="8">
        <v>0.291497975708502</v>
      </c>
      <c r="Z1422" t="s">
        <v>2996</v>
      </c>
      <c r="AA1422" t="str">
        <f>IF(AND(SalesCleanTable[[#This Row],[Discount %]]&gt;0, SalesCleanTable[[#This Row],[Profit]]&lt;0), "Discount loss", "Safe")</f>
        <v>Safe</v>
      </c>
      <c r="AB1422" s="25">
        <f>(SalesCleanTable[[#This Row],[Unit Price]] - SalesCleanTable[[#This Row],[Unit Cost]]) / SalesCleanTable[[#This Row],[Unit Price]]</f>
        <v>0.32692307692307693</v>
      </c>
      <c r="AC1422" t="str">
        <f>IF(SalesCleanTable[[#This Row],[Discount %]] &gt; SalesCleanTable[[#This Row],[Max Allowed Discount]], "Discount loss", "Safe")</f>
        <v>Safe</v>
      </c>
      <c r="AD1422" s="4">
        <f>SalesCleanTable[[#This Row],[Unit Price]] - SalesCleanTable[[#This Row],[Unit Cost]]</f>
        <v>1700</v>
      </c>
      <c r="AE1422" s="41">
        <f>(SalesCleanTable[[#This Row],[Unit Price]] - SalesCleanTable[[#This Row],[Unit Cost]]) / SalesCleanTable[[#This Row],[Unit Price]]</f>
        <v>0.32692307692307693</v>
      </c>
    </row>
    <row r="1423" spans="1:31">
      <c r="A1423" t="s">
        <v>1609</v>
      </c>
      <c r="B1423" s="6">
        <v>45740</v>
      </c>
      <c r="C1423" t="s">
        <v>29</v>
      </c>
      <c r="D1423" t="s">
        <v>30</v>
      </c>
      <c r="E1423" t="s">
        <v>26</v>
      </c>
      <c r="F1423" t="s">
        <v>27</v>
      </c>
      <c r="G1423" t="s">
        <v>31</v>
      </c>
      <c r="H1423" t="s">
        <v>128</v>
      </c>
      <c r="I1423" t="s">
        <v>129</v>
      </c>
      <c r="J1423" t="s">
        <v>130</v>
      </c>
      <c r="K1423" t="s">
        <v>131</v>
      </c>
      <c r="L1423" t="s">
        <v>183</v>
      </c>
      <c r="M1423" t="s">
        <v>171</v>
      </c>
      <c r="N1423">
        <v>2</v>
      </c>
      <c r="O1423" s="4">
        <v>6200</v>
      </c>
      <c r="P1423" s="4">
        <v>7900</v>
      </c>
      <c r="Q1423" s="7">
        <v>0.1</v>
      </c>
      <c r="R1423" t="s">
        <v>197</v>
      </c>
      <c r="S1423">
        <v>11</v>
      </c>
      <c r="T1423">
        <v>15800</v>
      </c>
      <c r="U1423">
        <v>1580</v>
      </c>
      <c r="V1423">
        <v>14220</v>
      </c>
      <c r="W1423">
        <v>12400</v>
      </c>
      <c r="X1423">
        <v>1820</v>
      </c>
      <c r="Y1423" s="8">
        <v>0.12798874824191281</v>
      </c>
      <c r="Z1423" t="s">
        <v>2996</v>
      </c>
      <c r="AA1423" t="str">
        <f>IF(AND(SalesCleanTable[[#This Row],[Discount %]]&gt;0, SalesCleanTable[[#This Row],[Profit]]&lt;0), "Discount loss", "Safe")</f>
        <v>Safe</v>
      </c>
      <c r="AB1423" s="25">
        <f>(SalesCleanTable[[#This Row],[Unit Price]] - SalesCleanTable[[#This Row],[Unit Cost]]) / SalesCleanTable[[#This Row],[Unit Price]]</f>
        <v>0.21518987341772153</v>
      </c>
      <c r="AC1423" t="str">
        <f>IF(SalesCleanTable[[#This Row],[Discount %]] &gt; SalesCleanTable[[#This Row],[Max Allowed Discount]], "Discount loss", "Safe")</f>
        <v>Safe</v>
      </c>
      <c r="AD1423" s="4">
        <f>SalesCleanTable[[#This Row],[Unit Price]] - SalesCleanTable[[#This Row],[Unit Cost]]</f>
        <v>1700</v>
      </c>
      <c r="AE1423" s="41">
        <f>(SalesCleanTable[[#This Row],[Unit Price]] - SalesCleanTable[[#This Row],[Unit Cost]]) / SalesCleanTable[[#This Row],[Unit Price]]</f>
        <v>0.21518987341772153</v>
      </c>
    </row>
    <row r="1424" spans="1:31">
      <c r="A1424" t="s">
        <v>1610</v>
      </c>
      <c r="B1424" s="6">
        <v>45886</v>
      </c>
      <c r="C1424" t="s">
        <v>24</v>
      </c>
      <c r="D1424" t="s">
        <v>25</v>
      </c>
      <c r="E1424" t="s">
        <v>26</v>
      </c>
      <c r="F1424" t="s">
        <v>27</v>
      </c>
      <c r="G1424" t="s">
        <v>28</v>
      </c>
      <c r="H1424" t="s">
        <v>145</v>
      </c>
      <c r="I1424" t="s">
        <v>146</v>
      </c>
      <c r="J1424" t="s">
        <v>147</v>
      </c>
      <c r="K1424" t="s">
        <v>148</v>
      </c>
      <c r="L1424" t="s">
        <v>183</v>
      </c>
      <c r="M1424" t="s">
        <v>186</v>
      </c>
      <c r="N1424">
        <v>1</v>
      </c>
      <c r="O1424" s="4">
        <v>14500</v>
      </c>
      <c r="P1424" s="4">
        <v>17500</v>
      </c>
      <c r="Q1424" s="7">
        <v>0.1</v>
      </c>
      <c r="R1424" t="s">
        <v>173</v>
      </c>
      <c r="S1424">
        <v>10</v>
      </c>
      <c r="T1424">
        <v>17500</v>
      </c>
      <c r="U1424">
        <v>1750</v>
      </c>
      <c r="V1424">
        <v>15750</v>
      </c>
      <c r="W1424">
        <v>14500</v>
      </c>
      <c r="X1424">
        <v>1250</v>
      </c>
      <c r="Y1424" s="8">
        <v>7.9365079365079361E-2</v>
      </c>
      <c r="Z1424" t="s">
        <v>2995</v>
      </c>
      <c r="AA1424" t="str">
        <f>IF(AND(SalesCleanTable[[#This Row],[Discount %]]&gt;0, SalesCleanTable[[#This Row],[Profit]]&lt;0), "Discount loss", "Safe")</f>
        <v>Safe</v>
      </c>
      <c r="AB1424" s="25">
        <f>(SalesCleanTable[[#This Row],[Unit Price]] - SalesCleanTable[[#This Row],[Unit Cost]]) / SalesCleanTable[[#This Row],[Unit Price]]</f>
        <v>0.17142857142857143</v>
      </c>
      <c r="AC1424" t="str">
        <f>IF(SalesCleanTable[[#This Row],[Discount %]] &gt; SalesCleanTable[[#This Row],[Max Allowed Discount]], "Discount loss", "Safe")</f>
        <v>Safe</v>
      </c>
      <c r="AD1424" s="4">
        <f>SalesCleanTable[[#This Row],[Unit Price]] - SalesCleanTable[[#This Row],[Unit Cost]]</f>
        <v>3000</v>
      </c>
      <c r="AE1424" s="41">
        <f>(SalesCleanTable[[#This Row],[Unit Price]] - SalesCleanTable[[#This Row],[Unit Cost]]) / SalesCleanTable[[#This Row],[Unit Price]]</f>
        <v>0.17142857142857143</v>
      </c>
    </row>
    <row r="1425" spans="1:31">
      <c r="A1425" t="s">
        <v>1611</v>
      </c>
      <c r="B1425" s="6">
        <v>45691</v>
      </c>
      <c r="C1425" t="s">
        <v>62</v>
      </c>
      <c r="D1425" t="s">
        <v>63</v>
      </c>
      <c r="E1425" t="s">
        <v>59</v>
      </c>
      <c r="F1425" t="s">
        <v>64</v>
      </c>
      <c r="G1425" t="s">
        <v>65</v>
      </c>
      <c r="H1425" t="s">
        <v>145</v>
      </c>
      <c r="I1425" t="s">
        <v>146</v>
      </c>
      <c r="J1425" t="s">
        <v>147</v>
      </c>
      <c r="K1425" t="s">
        <v>148</v>
      </c>
      <c r="L1425" t="s">
        <v>183</v>
      </c>
      <c r="M1425" t="s">
        <v>186</v>
      </c>
      <c r="N1425">
        <v>2</v>
      </c>
      <c r="O1425" s="4">
        <v>3200</v>
      </c>
      <c r="P1425" s="4">
        <v>4500</v>
      </c>
      <c r="Q1425" s="7">
        <v>0.05</v>
      </c>
      <c r="R1425" t="s">
        <v>204</v>
      </c>
      <c r="S1425">
        <v>13</v>
      </c>
      <c r="T1425">
        <v>9000</v>
      </c>
      <c r="U1425">
        <v>450</v>
      </c>
      <c r="V1425">
        <v>8550</v>
      </c>
      <c r="W1425">
        <v>6400</v>
      </c>
      <c r="X1425">
        <v>2150</v>
      </c>
      <c r="Y1425" s="8">
        <v>0.25146198830409355</v>
      </c>
      <c r="Z1425" t="s">
        <v>2996</v>
      </c>
      <c r="AA1425" t="str">
        <f>IF(AND(SalesCleanTable[[#This Row],[Discount %]]&gt;0, SalesCleanTable[[#This Row],[Profit]]&lt;0), "Discount loss", "Safe")</f>
        <v>Safe</v>
      </c>
      <c r="AB1425" s="25">
        <f>(SalesCleanTable[[#This Row],[Unit Price]] - SalesCleanTable[[#This Row],[Unit Cost]]) / SalesCleanTable[[#This Row],[Unit Price]]</f>
        <v>0.28888888888888886</v>
      </c>
      <c r="AC1425" t="str">
        <f>IF(SalesCleanTable[[#This Row],[Discount %]] &gt; SalesCleanTable[[#This Row],[Max Allowed Discount]], "Discount loss", "Safe")</f>
        <v>Safe</v>
      </c>
      <c r="AD1425" s="4">
        <f>SalesCleanTable[[#This Row],[Unit Price]] - SalesCleanTable[[#This Row],[Unit Cost]]</f>
        <v>1300</v>
      </c>
      <c r="AE1425" s="41">
        <f>(SalesCleanTable[[#This Row],[Unit Price]] - SalesCleanTable[[#This Row],[Unit Cost]]) / SalesCleanTable[[#This Row],[Unit Price]]</f>
        <v>0.28888888888888886</v>
      </c>
    </row>
    <row r="1426" spans="1:31">
      <c r="A1426" t="s">
        <v>1612</v>
      </c>
      <c r="B1426" s="6">
        <v>45937</v>
      </c>
      <c r="C1426" t="s">
        <v>120</v>
      </c>
      <c r="D1426" t="s">
        <v>121</v>
      </c>
      <c r="E1426" t="s">
        <v>109</v>
      </c>
      <c r="F1426" t="s">
        <v>93</v>
      </c>
      <c r="G1426" t="s">
        <v>122</v>
      </c>
      <c r="H1426" t="s">
        <v>133</v>
      </c>
      <c r="I1426" t="s">
        <v>134</v>
      </c>
      <c r="J1426" t="s">
        <v>130</v>
      </c>
      <c r="K1426" t="s">
        <v>131</v>
      </c>
      <c r="L1426" t="s">
        <v>166</v>
      </c>
      <c r="M1426" t="s">
        <v>186</v>
      </c>
      <c r="N1426">
        <v>3</v>
      </c>
      <c r="O1426" s="4">
        <v>1700</v>
      </c>
      <c r="P1426" s="4">
        <v>2800</v>
      </c>
      <c r="Q1426" s="7">
        <v>0</v>
      </c>
      <c r="R1426" t="s">
        <v>220</v>
      </c>
      <c r="S1426">
        <v>6</v>
      </c>
      <c r="T1426">
        <v>8400</v>
      </c>
      <c r="U1426">
        <v>0</v>
      </c>
      <c r="V1426">
        <v>8400</v>
      </c>
      <c r="W1426">
        <v>5100</v>
      </c>
      <c r="X1426">
        <v>3300</v>
      </c>
      <c r="Y1426" s="8">
        <v>0.39285714285714285</v>
      </c>
      <c r="Z1426" t="s">
        <v>2997</v>
      </c>
      <c r="AA1426" t="str">
        <f>IF(AND(SalesCleanTable[[#This Row],[Discount %]]&gt;0, SalesCleanTable[[#This Row],[Profit]]&lt;0), "Discount loss", "Safe")</f>
        <v>Safe</v>
      </c>
      <c r="AB1426" s="25">
        <f>(SalesCleanTable[[#This Row],[Unit Price]] - SalesCleanTable[[#This Row],[Unit Cost]]) / SalesCleanTable[[#This Row],[Unit Price]]</f>
        <v>0.39285714285714285</v>
      </c>
      <c r="AC1426" t="str">
        <f>IF(SalesCleanTable[[#This Row],[Discount %]] &gt; SalesCleanTable[[#This Row],[Max Allowed Discount]], "Discount loss", "Safe")</f>
        <v>Safe</v>
      </c>
      <c r="AD1426" s="4">
        <f>SalesCleanTable[[#This Row],[Unit Price]] - SalesCleanTable[[#This Row],[Unit Cost]]</f>
        <v>1100</v>
      </c>
      <c r="AE1426" s="41">
        <f>(SalesCleanTable[[#This Row],[Unit Price]] - SalesCleanTable[[#This Row],[Unit Cost]]) / SalesCleanTable[[#This Row],[Unit Price]]</f>
        <v>0.39285714285714285</v>
      </c>
    </row>
    <row r="1427" spans="1:31">
      <c r="A1427" t="s">
        <v>1613</v>
      </c>
      <c r="B1427" s="6">
        <v>45864</v>
      </c>
      <c r="C1427" t="s">
        <v>53</v>
      </c>
      <c r="D1427" t="s">
        <v>54</v>
      </c>
      <c r="E1427" t="s">
        <v>38</v>
      </c>
      <c r="F1427" t="s">
        <v>55</v>
      </c>
      <c r="G1427" t="s">
        <v>56</v>
      </c>
      <c r="H1427" t="s">
        <v>149</v>
      </c>
      <c r="I1427" t="s">
        <v>150</v>
      </c>
      <c r="J1427" t="s">
        <v>151</v>
      </c>
      <c r="K1427" t="s">
        <v>152</v>
      </c>
      <c r="L1427" t="s">
        <v>183</v>
      </c>
      <c r="M1427" t="s">
        <v>186</v>
      </c>
      <c r="N1427">
        <v>2</v>
      </c>
      <c r="O1427" s="4">
        <v>330</v>
      </c>
      <c r="P1427" s="4">
        <v>550</v>
      </c>
      <c r="Q1427" s="7">
        <v>0</v>
      </c>
      <c r="R1427" t="s">
        <v>178</v>
      </c>
      <c r="S1427">
        <v>14</v>
      </c>
      <c r="T1427">
        <v>1100</v>
      </c>
      <c r="U1427">
        <v>0</v>
      </c>
      <c r="V1427">
        <v>1100</v>
      </c>
      <c r="W1427">
        <v>660</v>
      </c>
      <c r="X1427">
        <v>440</v>
      </c>
      <c r="Y1427" s="8">
        <v>0.4</v>
      </c>
      <c r="Z1427" t="s">
        <v>2996</v>
      </c>
      <c r="AA1427" t="str">
        <f>IF(AND(SalesCleanTable[[#This Row],[Discount %]]&gt;0, SalesCleanTable[[#This Row],[Profit]]&lt;0), "Discount loss", "Safe")</f>
        <v>Safe</v>
      </c>
      <c r="AB1427" s="25">
        <f>(SalesCleanTable[[#This Row],[Unit Price]] - SalesCleanTable[[#This Row],[Unit Cost]]) / SalesCleanTable[[#This Row],[Unit Price]]</f>
        <v>0.4</v>
      </c>
      <c r="AC1427" t="str">
        <f>IF(SalesCleanTable[[#This Row],[Discount %]] &gt; SalesCleanTable[[#This Row],[Max Allowed Discount]], "Discount loss", "Safe")</f>
        <v>Safe</v>
      </c>
      <c r="AD1427" s="4">
        <f>SalesCleanTable[[#This Row],[Unit Price]] - SalesCleanTable[[#This Row],[Unit Cost]]</f>
        <v>220</v>
      </c>
      <c r="AE1427" s="41">
        <f>(SalesCleanTable[[#This Row],[Unit Price]] - SalesCleanTable[[#This Row],[Unit Cost]]) / SalesCleanTable[[#This Row],[Unit Price]]</f>
        <v>0.4</v>
      </c>
    </row>
    <row r="1428" spans="1:31">
      <c r="A1428" t="s">
        <v>1614</v>
      </c>
      <c r="B1428" s="6">
        <v>45820</v>
      </c>
      <c r="C1428" t="s">
        <v>49</v>
      </c>
      <c r="D1428" t="s">
        <v>50</v>
      </c>
      <c r="E1428" t="s">
        <v>38</v>
      </c>
      <c r="F1428" t="s">
        <v>51</v>
      </c>
      <c r="G1428" t="s">
        <v>52</v>
      </c>
      <c r="H1428" t="s">
        <v>149</v>
      </c>
      <c r="I1428" t="s">
        <v>150</v>
      </c>
      <c r="J1428" t="s">
        <v>151</v>
      </c>
      <c r="K1428" t="s">
        <v>152</v>
      </c>
      <c r="L1428" t="s">
        <v>166</v>
      </c>
      <c r="M1428" t="s">
        <v>171</v>
      </c>
      <c r="N1428">
        <v>1</v>
      </c>
      <c r="O1428" s="4">
        <v>550</v>
      </c>
      <c r="P1428" s="4">
        <v>850</v>
      </c>
      <c r="Q1428" s="7">
        <v>0.05</v>
      </c>
      <c r="R1428" t="s">
        <v>178</v>
      </c>
      <c r="S1428">
        <v>3</v>
      </c>
      <c r="T1428">
        <v>850</v>
      </c>
      <c r="U1428">
        <v>42.5</v>
      </c>
      <c r="V1428">
        <v>807.5</v>
      </c>
      <c r="W1428">
        <v>550</v>
      </c>
      <c r="X1428">
        <v>257.5</v>
      </c>
      <c r="Y1428" s="8">
        <v>0.31888544891640869</v>
      </c>
      <c r="Z1428" t="s">
        <v>2996</v>
      </c>
      <c r="AA1428" t="str">
        <f>IF(AND(SalesCleanTable[[#This Row],[Discount %]]&gt;0, SalesCleanTable[[#This Row],[Profit]]&lt;0), "Discount loss", "Safe")</f>
        <v>Safe</v>
      </c>
      <c r="AB1428" s="25">
        <f>(SalesCleanTable[[#This Row],[Unit Price]] - SalesCleanTable[[#This Row],[Unit Cost]]) / SalesCleanTable[[#This Row],[Unit Price]]</f>
        <v>0.35294117647058826</v>
      </c>
      <c r="AC1428" t="str">
        <f>IF(SalesCleanTable[[#This Row],[Discount %]] &gt; SalesCleanTable[[#This Row],[Max Allowed Discount]], "Discount loss", "Safe")</f>
        <v>Safe</v>
      </c>
      <c r="AD1428" s="4">
        <f>SalesCleanTable[[#This Row],[Unit Price]] - SalesCleanTable[[#This Row],[Unit Cost]]</f>
        <v>300</v>
      </c>
      <c r="AE1428" s="41">
        <f>(SalesCleanTable[[#This Row],[Unit Price]] - SalesCleanTable[[#This Row],[Unit Cost]]) / SalesCleanTable[[#This Row],[Unit Price]]</f>
        <v>0.35294117647058826</v>
      </c>
    </row>
    <row r="1429" spans="1:31">
      <c r="A1429" t="s">
        <v>1615</v>
      </c>
      <c r="B1429" s="6">
        <v>45752</v>
      </c>
      <c r="C1429" t="s">
        <v>41</v>
      </c>
      <c r="D1429" t="s">
        <v>42</v>
      </c>
      <c r="E1429" t="s">
        <v>26</v>
      </c>
      <c r="F1429" t="s">
        <v>43</v>
      </c>
      <c r="G1429" t="s">
        <v>44</v>
      </c>
      <c r="H1429" t="s">
        <v>128</v>
      </c>
      <c r="I1429" t="s">
        <v>129</v>
      </c>
      <c r="J1429" t="s">
        <v>130</v>
      </c>
      <c r="K1429" t="s">
        <v>131</v>
      </c>
      <c r="L1429" t="s">
        <v>166</v>
      </c>
      <c r="M1429" t="s">
        <v>186</v>
      </c>
      <c r="N1429">
        <v>3</v>
      </c>
      <c r="O1429" s="4">
        <v>850</v>
      </c>
      <c r="P1429" s="4">
        <v>1300</v>
      </c>
      <c r="Q1429" s="7">
        <v>0</v>
      </c>
      <c r="R1429" t="s">
        <v>197</v>
      </c>
      <c r="S1429">
        <v>5</v>
      </c>
      <c r="T1429">
        <v>3900</v>
      </c>
      <c r="U1429">
        <v>0</v>
      </c>
      <c r="V1429">
        <v>3900</v>
      </c>
      <c r="W1429">
        <v>2550</v>
      </c>
      <c r="X1429">
        <v>1350</v>
      </c>
      <c r="Y1429" s="8">
        <v>0.34615384615384615</v>
      </c>
      <c r="Z1429" t="s">
        <v>2995</v>
      </c>
      <c r="AA1429" t="str">
        <f>IF(AND(SalesCleanTable[[#This Row],[Discount %]]&gt;0, SalesCleanTable[[#This Row],[Profit]]&lt;0), "Discount loss", "Safe")</f>
        <v>Safe</v>
      </c>
      <c r="AB1429" s="25">
        <f>(SalesCleanTable[[#This Row],[Unit Price]] - SalesCleanTable[[#This Row],[Unit Cost]]) / SalesCleanTable[[#This Row],[Unit Price]]</f>
        <v>0.34615384615384615</v>
      </c>
      <c r="AC1429" t="str">
        <f>IF(SalesCleanTable[[#This Row],[Discount %]] &gt; SalesCleanTable[[#This Row],[Max Allowed Discount]], "Discount loss", "Safe")</f>
        <v>Safe</v>
      </c>
      <c r="AD1429" s="4">
        <f>SalesCleanTable[[#This Row],[Unit Price]] - SalesCleanTable[[#This Row],[Unit Cost]]</f>
        <v>450</v>
      </c>
      <c r="AE1429" s="41">
        <f>(SalesCleanTable[[#This Row],[Unit Price]] - SalesCleanTable[[#This Row],[Unit Cost]]) / SalesCleanTable[[#This Row],[Unit Price]]</f>
        <v>0.34615384615384615</v>
      </c>
    </row>
    <row r="1430" spans="1:31">
      <c r="A1430" t="s">
        <v>1616</v>
      </c>
      <c r="B1430" s="6">
        <v>45939</v>
      </c>
      <c r="C1430" t="s">
        <v>45</v>
      </c>
      <c r="D1430" t="s">
        <v>46</v>
      </c>
      <c r="E1430" t="s">
        <v>38</v>
      </c>
      <c r="F1430" t="s">
        <v>47</v>
      </c>
      <c r="G1430" t="s">
        <v>48</v>
      </c>
      <c r="H1430" t="s">
        <v>133</v>
      </c>
      <c r="I1430" t="s">
        <v>134</v>
      </c>
      <c r="J1430" t="s">
        <v>130</v>
      </c>
      <c r="K1430" t="s">
        <v>131</v>
      </c>
      <c r="L1430" t="s">
        <v>166</v>
      </c>
      <c r="M1430" t="s">
        <v>171</v>
      </c>
      <c r="N1430">
        <v>3</v>
      </c>
      <c r="O1430" s="4">
        <v>230</v>
      </c>
      <c r="P1430" s="4">
        <v>400</v>
      </c>
      <c r="Q1430" s="7">
        <v>0.05</v>
      </c>
      <c r="R1430" t="s">
        <v>175</v>
      </c>
      <c r="S1430">
        <v>11</v>
      </c>
      <c r="T1430">
        <v>1200</v>
      </c>
      <c r="U1430">
        <v>60</v>
      </c>
      <c r="V1430">
        <v>1140</v>
      </c>
      <c r="W1430">
        <v>690</v>
      </c>
      <c r="X1430">
        <v>450</v>
      </c>
      <c r="Y1430" s="8">
        <v>0.39473684210526316</v>
      </c>
      <c r="Z1430" t="s">
        <v>2995</v>
      </c>
      <c r="AA1430" t="str">
        <f>IF(AND(SalesCleanTable[[#This Row],[Discount %]]&gt;0, SalesCleanTable[[#This Row],[Profit]]&lt;0), "Discount loss", "Safe")</f>
        <v>Safe</v>
      </c>
      <c r="AB1430" s="25">
        <f>(SalesCleanTable[[#This Row],[Unit Price]] - SalesCleanTable[[#This Row],[Unit Cost]]) / SalesCleanTable[[#This Row],[Unit Price]]</f>
        <v>0.42499999999999999</v>
      </c>
      <c r="AC1430" t="str">
        <f>IF(SalesCleanTable[[#This Row],[Discount %]] &gt; SalesCleanTable[[#This Row],[Max Allowed Discount]], "Discount loss", "Safe")</f>
        <v>Safe</v>
      </c>
      <c r="AD1430" s="4">
        <f>SalesCleanTable[[#This Row],[Unit Price]] - SalesCleanTable[[#This Row],[Unit Cost]]</f>
        <v>170</v>
      </c>
      <c r="AE1430" s="41">
        <f>(SalesCleanTable[[#This Row],[Unit Price]] - SalesCleanTable[[#This Row],[Unit Cost]]) / SalesCleanTable[[#This Row],[Unit Price]]</f>
        <v>0.42499999999999999</v>
      </c>
    </row>
    <row r="1431" spans="1:31">
      <c r="A1431" t="s">
        <v>1617</v>
      </c>
      <c r="B1431" s="6">
        <v>45712</v>
      </c>
      <c r="C1431" t="s">
        <v>29</v>
      </c>
      <c r="D1431" t="s">
        <v>30</v>
      </c>
      <c r="E1431" t="s">
        <v>26</v>
      </c>
      <c r="F1431" t="s">
        <v>27</v>
      </c>
      <c r="G1431" t="s">
        <v>31</v>
      </c>
      <c r="H1431" t="s">
        <v>135</v>
      </c>
      <c r="I1431" t="s">
        <v>136</v>
      </c>
      <c r="J1431" t="s">
        <v>137</v>
      </c>
      <c r="K1431" t="s">
        <v>138</v>
      </c>
      <c r="L1431" t="s">
        <v>166</v>
      </c>
      <c r="M1431" t="s">
        <v>171</v>
      </c>
      <c r="N1431">
        <v>3</v>
      </c>
      <c r="O1431" s="4">
        <v>6200</v>
      </c>
      <c r="P1431" s="4">
        <v>7900</v>
      </c>
      <c r="Q1431" s="7">
        <v>0</v>
      </c>
      <c r="R1431" t="s">
        <v>197</v>
      </c>
      <c r="S1431">
        <v>7</v>
      </c>
      <c r="T1431">
        <v>23700</v>
      </c>
      <c r="U1431">
        <v>0</v>
      </c>
      <c r="V1431">
        <v>23700</v>
      </c>
      <c r="W1431">
        <v>18600</v>
      </c>
      <c r="X1431">
        <v>5100</v>
      </c>
      <c r="Y1431" s="8">
        <v>0.21518987341772153</v>
      </c>
      <c r="Z1431" t="s">
        <v>2996</v>
      </c>
      <c r="AA1431" t="str">
        <f>IF(AND(SalesCleanTable[[#This Row],[Discount %]]&gt;0, SalesCleanTable[[#This Row],[Profit]]&lt;0), "Discount loss", "Safe")</f>
        <v>Safe</v>
      </c>
      <c r="AB1431" s="25">
        <f>(SalesCleanTable[[#This Row],[Unit Price]] - SalesCleanTable[[#This Row],[Unit Cost]]) / SalesCleanTable[[#This Row],[Unit Price]]</f>
        <v>0.21518987341772153</v>
      </c>
      <c r="AC1431" t="str">
        <f>IF(SalesCleanTable[[#This Row],[Discount %]] &gt; SalesCleanTable[[#This Row],[Max Allowed Discount]], "Discount loss", "Safe")</f>
        <v>Safe</v>
      </c>
      <c r="AD1431" s="4">
        <f>SalesCleanTable[[#This Row],[Unit Price]] - SalesCleanTable[[#This Row],[Unit Cost]]</f>
        <v>1700</v>
      </c>
      <c r="AE1431" s="41">
        <f>(SalesCleanTable[[#This Row],[Unit Price]] - SalesCleanTable[[#This Row],[Unit Cost]]) / SalesCleanTable[[#This Row],[Unit Price]]</f>
        <v>0.21518987341772153</v>
      </c>
    </row>
    <row r="1432" spans="1:31">
      <c r="A1432" t="s">
        <v>1618</v>
      </c>
      <c r="B1432" s="6">
        <v>45815</v>
      </c>
      <c r="C1432" t="s">
        <v>73</v>
      </c>
      <c r="D1432" t="s">
        <v>74</v>
      </c>
      <c r="E1432" t="s">
        <v>75</v>
      </c>
      <c r="F1432" t="s">
        <v>76</v>
      </c>
      <c r="G1432" t="s">
        <v>77</v>
      </c>
      <c r="H1432" t="s">
        <v>135</v>
      </c>
      <c r="I1432" t="s">
        <v>136</v>
      </c>
      <c r="J1432" t="s">
        <v>137</v>
      </c>
      <c r="K1432" t="s">
        <v>138</v>
      </c>
      <c r="L1432" t="s">
        <v>183</v>
      </c>
      <c r="M1432" t="s">
        <v>171</v>
      </c>
      <c r="N1432">
        <v>2</v>
      </c>
      <c r="O1432" s="4">
        <v>3500</v>
      </c>
      <c r="P1432" s="4">
        <v>5200</v>
      </c>
      <c r="Q1432" s="7">
        <v>0.1</v>
      </c>
      <c r="R1432" t="s">
        <v>204</v>
      </c>
      <c r="S1432">
        <v>5</v>
      </c>
      <c r="T1432">
        <v>10400</v>
      </c>
      <c r="U1432">
        <v>1040</v>
      </c>
      <c r="V1432">
        <v>9360</v>
      </c>
      <c r="W1432">
        <v>7000</v>
      </c>
      <c r="X1432">
        <v>2360</v>
      </c>
      <c r="Y1432" s="8">
        <v>0.25213675213675213</v>
      </c>
      <c r="Z1432" t="s">
        <v>2996</v>
      </c>
      <c r="AA1432" t="str">
        <f>IF(AND(SalesCleanTable[[#This Row],[Discount %]]&gt;0, SalesCleanTable[[#This Row],[Profit]]&lt;0), "Discount loss", "Safe")</f>
        <v>Safe</v>
      </c>
      <c r="AB1432" s="25">
        <f>(SalesCleanTable[[#This Row],[Unit Price]] - SalesCleanTable[[#This Row],[Unit Cost]]) / SalesCleanTable[[#This Row],[Unit Price]]</f>
        <v>0.32692307692307693</v>
      </c>
      <c r="AC1432" t="str">
        <f>IF(SalesCleanTable[[#This Row],[Discount %]] &gt; SalesCleanTable[[#This Row],[Max Allowed Discount]], "Discount loss", "Safe")</f>
        <v>Safe</v>
      </c>
      <c r="AD1432" s="4">
        <f>SalesCleanTable[[#This Row],[Unit Price]] - SalesCleanTable[[#This Row],[Unit Cost]]</f>
        <v>1700</v>
      </c>
      <c r="AE1432" s="41">
        <f>(SalesCleanTable[[#This Row],[Unit Price]] - SalesCleanTable[[#This Row],[Unit Cost]]) / SalesCleanTable[[#This Row],[Unit Price]]</f>
        <v>0.32692307692307693</v>
      </c>
    </row>
    <row r="1433" spans="1:31">
      <c r="A1433" t="s">
        <v>1619</v>
      </c>
      <c r="B1433" s="6">
        <v>45849</v>
      </c>
      <c r="C1433" t="s">
        <v>95</v>
      </c>
      <c r="D1433" t="s">
        <v>96</v>
      </c>
      <c r="E1433" t="s">
        <v>92</v>
      </c>
      <c r="F1433" t="s">
        <v>97</v>
      </c>
      <c r="G1433" t="s">
        <v>98</v>
      </c>
      <c r="H1433" t="s">
        <v>149</v>
      </c>
      <c r="I1433" t="s">
        <v>150</v>
      </c>
      <c r="J1433" t="s">
        <v>151</v>
      </c>
      <c r="K1433" t="s">
        <v>152</v>
      </c>
      <c r="L1433" t="s">
        <v>166</v>
      </c>
      <c r="M1433" t="s">
        <v>186</v>
      </c>
      <c r="N1433">
        <v>2</v>
      </c>
      <c r="O1433" s="4">
        <v>18000</v>
      </c>
      <c r="P1433" s="4">
        <v>24500</v>
      </c>
      <c r="Q1433" s="7">
        <v>0.2</v>
      </c>
      <c r="R1433" t="s">
        <v>217</v>
      </c>
      <c r="S1433">
        <v>4</v>
      </c>
      <c r="T1433">
        <v>49000</v>
      </c>
      <c r="U1433">
        <v>9800</v>
      </c>
      <c r="V1433">
        <v>39200</v>
      </c>
      <c r="W1433">
        <v>36000</v>
      </c>
      <c r="X1433">
        <v>3200</v>
      </c>
      <c r="Y1433" s="8">
        <v>8.1632653061224483E-2</v>
      </c>
      <c r="Z1433" t="s">
        <v>2995</v>
      </c>
      <c r="AA1433" t="str">
        <f>IF(AND(SalesCleanTable[[#This Row],[Discount %]]&gt;0, SalesCleanTable[[#This Row],[Profit]]&lt;0), "Discount loss", "Safe")</f>
        <v>Safe</v>
      </c>
      <c r="AB1433" s="25">
        <f>(SalesCleanTable[[#This Row],[Unit Price]] - SalesCleanTable[[#This Row],[Unit Cost]]) / SalesCleanTable[[#This Row],[Unit Price]]</f>
        <v>0.26530612244897961</v>
      </c>
      <c r="AC1433" t="str">
        <f>IF(SalesCleanTable[[#This Row],[Discount %]] &gt; SalesCleanTable[[#This Row],[Max Allowed Discount]], "Discount loss", "Safe")</f>
        <v>Safe</v>
      </c>
      <c r="AD1433" s="4">
        <f>SalesCleanTable[[#This Row],[Unit Price]] - SalesCleanTable[[#This Row],[Unit Cost]]</f>
        <v>6500</v>
      </c>
      <c r="AE1433" s="41">
        <f>(SalesCleanTable[[#This Row],[Unit Price]] - SalesCleanTable[[#This Row],[Unit Cost]]) / SalesCleanTable[[#This Row],[Unit Price]]</f>
        <v>0.26530612244897961</v>
      </c>
    </row>
    <row r="1434" spans="1:31">
      <c r="A1434" t="s">
        <v>1620</v>
      </c>
      <c r="B1434" s="6">
        <v>45825</v>
      </c>
      <c r="C1434" t="s">
        <v>78</v>
      </c>
      <c r="D1434" t="s">
        <v>79</v>
      </c>
      <c r="E1434" t="s">
        <v>75</v>
      </c>
      <c r="F1434" t="s">
        <v>80</v>
      </c>
      <c r="G1434" t="s">
        <v>81</v>
      </c>
      <c r="H1434" t="s">
        <v>149</v>
      </c>
      <c r="I1434" t="s">
        <v>150</v>
      </c>
      <c r="J1434" t="s">
        <v>151</v>
      </c>
      <c r="K1434" t="s">
        <v>152</v>
      </c>
      <c r="L1434" t="s">
        <v>183</v>
      </c>
      <c r="M1434" t="s">
        <v>186</v>
      </c>
      <c r="N1434">
        <v>6</v>
      </c>
      <c r="O1434" s="4">
        <v>1200</v>
      </c>
      <c r="P1434" s="4">
        <v>1900</v>
      </c>
      <c r="Q1434" s="7">
        <v>0.1</v>
      </c>
      <c r="R1434" t="s">
        <v>208</v>
      </c>
      <c r="S1434">
        <v>9</v>
      </c>
      <c r="T1434">
        <v>11400</v>
      </c>
      <c r="U1434">
        <v>1140</v>
      </c>
      <c r="V1434">
        <v>10260</v>
      </c>
      <c r="W1434">
        <v>7200</v>
      </c>
      <c r="X1434">
        <v>3060</v>
      </c>
      <c r="Y1434" s="8">
        <v>0.2982456140350877</v>
      </c>
      <c r="Z1434" t="s">
        <v>2996</v>
      </c>
      <c r="AA1434" t="str">
        <f>IF(AND(SalesCleanTable[[#This Row],[Discount %]]&gt;0, SalesCleanTable[[#This Row],[Profit]]&lt;0), "Discount loss", "Safe")</f>
        <v>Safe</v>
      </c>
      <c r="AB1434" s="25">
        <f>(SalesCleanTable[[#This Row],[Unit Price]] - SalesCleanTable[[#This Row],[Unit Cost]]) / SalesCleanTable[[#This Row],[Unit Price]]</f>
        <v>0.36842105263157893</v>
      </c>
      <c r="AC1434" t="str">
        <f>IF(SalesCleanTable[[#This Row],[Discount %]] &gt; SalesCleanTable[[#This Row],[Max Allowed Discount]], "Discount loss", "Safe")</f>
        <v>Safe</v>
      </c>
      <c r="AD1434" s="4">
        <f>SalesCleanTable[[#This Row],[Unit Price]] - SalesCleanTable[[#This Row],[Unit Cost]]</f>
        <v>700</v>
      </c>
      <c r="AE1434" s="41">
        <f>(SalesCleanTable[[#This Row],[Unit Price]] - SalesCleanTable[[#This Row],[Unit Cost]]) / SalesCleanTable[[#This Row],[Unit Price]]</f>
        <v>0.36842105263157893</v>
      </c>
    </row>
    <row r="1435" spans="1:31">
      <c r="A1435" t="s">
        <v>1621</v>
      </c>
      <c r="B1435" s="6">
        <v>45827</v>
      </c>
      <c r="C1435" t="s">
        <v>82</v>
      </c>
      <c r="D1435" t="s">
        <v>83</v>
      </c>
      <c r="E1435" t="s">
        <v>75</v>
      </c>
      <c r="F1435" t="s">
        <v>84</v>
      </c>
      <c r="G1435" t="s">
        <v>85</v>
      </c>
      <c r="H1435" t="s">
        <v>149</v>
      </c>
      <c r="I1435" t="s">
        <v>150</v>
      </c>
      <c r="J1435" t="s">
        <v>151</v>
      </c>
      <c r="K1435" t="s">
        <v>152</v>
      </c>
      <c r="L1435" t="s">
        <v>166</v>
      </c>
      <c r="M1435" t="s">
        <v>171</v>
      </c>
      <c r="N1435">
        <v>8</v>
      </c>
      <c r="O1435" s="4">
        <v>600</v>
      </c>
      <c r="P1435" s="4">
        <v>950</v>
      </c>
      <c r="Q1435" s="7">
        <v>0.15</v>
      </c>
      <c r="R1435" t="s">
        <v>204</v>
      </c>
      <c r="S1435">
        <v>10</v>
      </c>
      <c r="T1435">
        <v>7600</v>
      </c>
      <c r="U1435">
        <v>1140</v>
      </c>
      <c r="V1435">
        <v>6460</v>
      </c>
      <c r="W1435">
        <v>4800</v>
      </c>
      <c r="X1435">
        <v>1660</v>
      </c>
      <c r="Y1435" s="8">
        <v>0.25696594427244585</v>
      </c>
      <c r="Z1435" t="s">
        <v>2996</v>
      </c>
      <c r="AA1435" t="str">
        <f>IF(AND(SalesCleanTable[[#This Row],[Discount %]]&gt;0, SalesCleanTable[[#This Row],[Profit]]&lt;0), "Discount loss", "Safe")</f>
        <v>Safe</v>
      </c>
      <c r="AB1435" s="25">
        <f>(SalesCleanTable[[#This Row],[Unit Price]] - SalesCleanTable[[#This Row],[Unit Cost]]) / SalesCleanTable[[#This Row],[Unit Price]]</f>
        <v>0.36842105263157893</v>
      </c>
      <c r="AC1435" t="str">
        <f>IF(SalesCleanTable[[#This Row],[Discount %]] &gt; SalesCleanTable[[#This Row],[Max Allowed Discount]], "Discount loss", "Safe")</f>
        <v>Safe</v>
      </c>
      <c r="AD1435" s="4">
        <f>SalesCleanTable[[#This Row],[Unit Price]] - SalesCleanTable[[#This Row],[Unit Cost]]</f>
        <v>350</v>
      </c>
      <c r="AE1435" s="41">
        <f>(SalesCleanTable[[#This Row],[Unit Price]] - SalesCleanTable[[#This Row],[Unit Cost]]) / SalesCleanTable[[#This Row],[Unit Price]]</f>
        <v>0.36842105263157893</v>
      </c>
    </row>
    <row r="1436" spans="1:31">
      <c r="A1436" t="s">
        <v>1622</v>
      </c>
      <c r="B1436" s="6">
        <v>45785</v>
      </c>
      <c r="C1436" t="s">
        <v>53</v>
      </c>
      <c r="D1436" t="s">
        <v>54</v>
      </c>
      <c r="E1436" t="s">
        <v>38</v>
      </c>
      <c r="F1436" t="s">
        <v>55</v>
      </c>
      <c r="G1436" t="s">
        <v>56</v>
      </c>
      <c r="H1436" t="s">
        <v>139</v>
      </c>
      <c r="I1436" t="s">
        <v>140</v>
      </c>
      <c r="J1436" t="s">
        <v>137</v>
      </c>
      <c r="K1436" t="s">
        <v>138</v>
      </c>
      <c r="L1436" t="s">
        <v>166</v>
      </c>
      <c r="M1436" t="s">
        <v>171</v>
      </c>
      <c r="N1436">
        <v>1</v>
      </c>
      <c r="O1436" s="4">
        <v>330</v>
      </c>
      <c r="P1436" s="4">
        <v>550</v>
      </c>
      <c r="Q1436" s="7">
        <v>0.05</v>
      </c>
      <c r="R1436" t="s">
        <v>168</v>
      </c>
      <c r="S1436">
        <v>6</v>
      </c>
      <c r="T1436">
        <v>550</v>
      </c>
      <c r="U1436">
        <v>27.5</v>
      </c>
      <c r="V1436">
        <v>522.5</v>
      </c>
      <c r="W1436">
        <v>330</v>
      </c>
      <c r="X1436">
        <v>192.5</v>
      </c>
      <c r="Y1436" s="8">
        <v>0.36842105263157893</v>
      </c>
      <c r="Z1436" t="s">
        <v>2996</v>
      </c>
      <c r="AA1436" t="str">
        <f>IF(AND(SalesCleanTable[[#This Row],[Discount %]]&gt;0, SalesCleanTable[[#This Row],[Profit]]&lt;0), "Discount loss", "Safe")</f>
        <v>Safe</v>
      </c>
      <c r="AB1436" s="25">
        <f>(SalesCleanTable[[#This Row],[Unit Price]] - SalesCleanTable[[#This Row],[Unit Cost]]) / SalesCleanTable[[#This Row],[Unit Price]]</f>
        <v>0.4</v>
      </c>
      <c r="AC1436" t="str">
        <f>IF(SalesCleanTable[[#This Row],[Discount %]] &gt; SalesCleanTable[[#This Row],[Max Allowed Discount]], "Discount loss", "Safe")</f>
        <v>Safe</v>
      </c>
      <c r="AD1436" s="4">
        <f>SalesCleanTable[[#This Row],[Unit Price]] - SalesCleanTable[[#This Row],[Unit Cost]]</f>
        <v>220</v>
      </c>
      <c r="AE1436" s="41">
        <f>(SalesCleanTable[[#This Row],[Unit Price]] - SalesCleanTable[[#This Row],[Unit Cost]]) / SalesCleanTable[[#This Row],[Unit Price]]</f>
        <v>0.4</v>
      </c>
    </row>
    <row r="1437" spans="1:31">
      <c r="A1437" t="s">
        <v>1623</v>
      </c>
      <c r="B1437" s="6">
        <v>45909</v>
      </c>
      <c r="C1437" t="s">
        <v>53</v>
      </c>
      <c r="D1437" t="s">
        <v>54</v>
      </c>
      <c r="E1437" t="s">
        <v>38</v>
      </c>
      <c r="F1437" t="s">
        <v>55</v>
      </c>
      <c r="G1437" t="s">
        <v>56</v>
      </c>
      <c r="H1437" t="s">
        <v>149</v>
      </c>
      <c r="I1437" t="s">
        <v>150</v>
      </c>
      <c r="J1437" t="s">
        <v>151</v>
      </c>
      <c r="K1437" t="s">
        <v>152</v>
      </c>
      <c r="L1437" t="s">
        <v>166</v>
      </c>
      <c r="M1437" t="s">
        <v>186</v>
      </c>
      <c r="N1437">
        <v>8</v>
      </c>
      <c r="O1437" s="4">
        <v>330</v>
      </c>
      <c r="P1437" s="4">
        <v>550</v>
      </c>
      <c r="Q1437" s="7">
        <v>0.1</v>
      </c>
      <c r="R1437" t="s">
        <v>178</v>
      </c>
      <c r="S1437">
        <v>13</v>
      </c>
      <c r="T1437">
        <v>4400</v>
      </c>
      <c r="U1437">
        <v>440</v>
      </c>
      <c r="V1437">
        <v>3960</v>
      </c>
      <c r="W1437">
        <v>2640</v>
      </c>
      <c r="X1437">
        <v>1320</v>
      </c>
      <c r="Y1437" s="8">
        <v>0.33333333333333331</v>
      </c>
      <c r="Z1437" t="s">
        <v>2996</v>
      </c>
      <c r="AA1437" t="str">
        <f>IF(AND(SalesCleanTable[[#This Row],[Discount %]]&gt;0, SalesCleanTable[[#This Row],[Profit]]&lt;0), "Discount loss", "Safe")</f>
        <v>Safe</v>
      </c>
      <c r="AB1437" s="25">
        <f>(SalesCleanTable[[#This Row],[Unit Price]] - SalesCleanTable[[#This Row],[Unit Cost]]) / SalesCleanTable[[#This Row],[Unit Price]]</f>
        <v>0.4</v>
      </c>
      <c r="AC1437" t="str">
        <f>IF(SalesCleanTable[[#This Row],[Discount %]] &gt; SalesCleanTable[[#This Row],[Max Allowed Discount]], "Discount loss", "Safe")</f>
        <v>Safe</v>
      </c>
      <c r="AD1437" s="4">
        <f>SalesCleanTable[[#This Row],[Unit Price]] - SalesCleanTable[[#This Row],[Unit Cost]]</f>
        <v>220</v>
      </c>
      <c r="AE1437" s="41">
        <f>(SalesCleanTable[[#This Row],[Unit Price]] - SalesCleanTable[[#This Row],[Unit Cost]]) / SalesCleanTable[[#This Row],[Unit Price]]</f>
        <v>0.4</v>
      </c>
    </row>
    <row r="1438" spans="1:31">
      <c r="A1438" t="s">
        <v>1624</v>
      </c>
      <c r="B1438" s="6">
        <v>46022</v>
      </c>
      <c r="C1438" t="s">
        <v>32</v>
      </c>
      <c r="D1438" t="s">
        <v>33</v>
      </c>
      <c r="E1438" t="s">
        <v>26</v>
      </c>
      <c r="F1438" t="s">
        <v>34</v>
      </c>
      <c r="G1438" t="s">
        <v>35</v>
      </c>
      <c r="H1438" t="s">
        <v>149</v>
      </c>
      <c r="I1438" t="s">
        <v>150</v>
      </c>
      <c r="J1438" t="s">
        <v>151</v>
      </c>
      <c r="K1438" t="s">
        <v>152</v>
      </c>
      <c r="L1438" t="s">
        <v>183</v>
      </c>
      <c r="M1438" t="s">
        <v>186</v>
      </c>
      <c r="N1438">
        <v>1</v>
      </c>
      <c r="O1438" s="4">
        <v>7800</v>
      </c>
      <c r="P1438" s="4">
        <v>9800</v>
      </c>
      <c r="Q1438" s="7">
        <v>0</v>
      </c>
      <c r="R1438" t="s">
        <v>173</v>
      </c>
      <c r="S1438">
        <v>8</v>
      </c>
      <c r="T1438">
        <v>9800</v>
      </c>
      <c r="U1438">
        <v>0</v>
      </c>
      <c r="V1438">
        <v>9800</v>
      </c>
      <c r="W1438">
        <v>7800</v>
      </c>
      <c r="X1438">
        <v>2000</v>
      </c>
      <c r="Y1438" s="8">
        <v>0.20408163265306123</v>
      </c>
      <c r="Z1438" t="s">
        <v>2995</v>
      </c>
      <c r="AA1438" t="str">
        <f>IF(AND(SalesCleanTable[[#This Row],[Discount %]]&gt;0, SalesCleanTable[[#This Row],[Profit]]&lt;0), "Discount loss", "Safe")</f>
        <v>Safe</v>
      </c>
      <c r="AB1438" s="25">
        <f>(SalesCleanTable[[#This Row],[Unit Price]] - SalesCleanTable[[#This Row],[Unit Cost]]) / SalesCleanTable[[#This Row],[Unit Price]]</f>
        <v>0.20408163265306123</v>
      </c>
      <c r="AC1438" t="str">
        <f>IF(SalesCleanTable[[#This Row],[Discount %]] &gt; SalesCleanTable[[#This Row],[Max Allowed Discount]], "Discount loss", "Safe")</f>
        <v>Safe</v>
      </c>
      <c r="AD1438" s="4">
        <f>SalesCleanTable[[#This Row],[Unit Price]] - SalesCleanTable[[#This Row],[Unit Cost]]</f>
        <v>2000</v>
      </c>
      <c r="AE1438" s="41">
        <f>(SalesCleanTable[[#This Row],[Unit Price]] - SalesCleanTable[[#This Row],[Unit Cost]]) / SalesCleanTable[[#This Row],[Unit Price]]</f>
        <v>0.20408163265306123</v>
      </c>
    </row>
    <row r="1439" spans="1:31">
      <c r="A1439" t="s">
        <v>1625</v>
      </c>
      <c r="B1439" s="6">
        <v>45797</v>
      </c>
      <c r="C1439" t="s">
        <v>116</v>
      </c>
      <c r="D1439" t="s">
        <v>117</v>
      </c>
      <c r="E1439" t="s">
        <v>109</v>
      </c>
      <c r="F1439" t="s">
        <v>118</v>
      </c>
      <c r="G1439" t="s">
        <v>119</v>
      </c>
      <c r="H1439" t="s">
        <v>139</v>
      </c>
      <c r="I1439" t="s">
        <v>140</v>
      </c>
      <c r="J1439" t="s">
        <v>137</v>
      </c>
      <c r="K1439" t="s">
        <v>138</v>
      </c>
      <c r="L1439" t="s">
        <v>166</v>
      </c>
      <c r="M1439" t="s">
        <v>171</v>
      </c>
      <c r="N1439">
        <v>2</v>
      </c>
      <c r="O1439" s="4">
        <v>2800</v>
      </c>
      <c r="P1439" s="4">
        <v>4200</v>
      </c>
      <c r="Q1439" s="7">
        <v>0.15</v>
      </c>
      <c r="R1439" t="s">
        <v>235</v>
      </c>
      <c r="S1439">
        <v>10</v>
      </c>
      <c r="T1439">
        <v>8400</v>
      </c>
      <c r="U1439">
        <v>1260</v>
      </c>
      <c r="V1439">
        <v>7140</v>
      </c>
      <c r="W1439">
        <v>5600</v>
      </c>
      <c r="X1439">
        <v>1540</v>
      </c>
      <c r="Y1439" s="8">
        <v>0.21568627450980393</v>
      </c>
      <c r="Z1439" t="s">
        <v>2995</v>
      </c>
      <c r="AA1439" t="str">
        <f>IF(AND(SalesCleanTable[[#This Row],[Discount %]]&gt;0, SalesCleanTable[[#This Row],[Profit]]&lt;0), "Discount loss", "Safe")</f>
        <v>Safe</v>
      </c>
      <c r="AB1439" s="25">
        <f>(SalesCleanTable[[#This Row],[Unit Price]] - SalesCleanTable[[#This Row],[Unit Cost]]) / SalesCleanTable[[#This Row],[Unit Price]]</f>
        <v>0.33333333333333331</v>
      </c>
      <c r="AC1439" t="str">
        <f>IF(SalesCleanTable[[#This Row],[Discount %]] &gt; SalesCleanTable[[#This Row],[Max Allowed Discount]], "Discount loss", "Safe")</f>
        <v>Safe</v>
      </c>
      <c r="AD1439" s="4">
        <f>SalesCleanTable[[#This Row],[Unit Price]] - SalesCleanTable[[#This Row],[Unit Cost]]</f>
        <v>1400</v>
      </c>
      <c r="AE1439" s="41">
        <f>(SalesCleanTable[[#This Row],[Unit Price]] - SalesCleanTable[[#This Row],[Unit Cost]]) / SalesCleanTable[[#This Row],[Unit Price]]</f>
        <v>0.33333333333333331</v>
      </c>
    </row>
    <row r="1440" spans="1:31">
      <c r="A1440" t="s">
        <v>1626</v>
      </c>
      <c r="B1440" s="6">
        <v>45809</v>
      </c>
      <c r="C1440" t="s">
        <v>82</v>
      </c>
      <c r="D1440" t="s">
        <v>83</v>
      </c>
      <c r="E1440" t="s">
        <v>75</v>
      </c>
      <c r="F1440" t="s">
        <v>84</v>
      </c>
      <c r="G1440" t="s">
        <v>85</v>
      </c>
      <c r="H1440" t="s">
        <v>145</v>
      </c>
      <c r="I1440" t="s">
        <v>146</v>
      </c>
      <c r="J1440" t="s">
        <v>147</v>
      </c>
      <c r="K1440" t="s">
        <v>148</v>
      </c>
      <c r="L1440" t="s">
        <v>166</v>
      </c>
      <c r="M1440" t="s">
        <v>171</v>
      </c>
      <c r="N1440">
        <v>1</v>
      </c>
      <c r="O1440" s="4">
        <v>600</v>
      </c>
      <c r="P1440" s="4">
        <v>950</v>
      </c>
      <c r="Q1440" s="7">
        <v>0.15</v>
      </c>
      <c r="R1440" t="s">
        <v>208</v>
      </c>
      <c r="S1440">
        <v>12</v>
      </c>
      <c r="T1440">
        <v>950</v>
      </c>
      <c r="U1440">
        <v>142.5</v>
      </c>
      <c r="V1440">
        <v>807.5</v>
      </c>
      <c r="W1440">
        <v>600</v>
      </c>
      <c r="X1440">
        <v>207.5</v>
      </c>
      <c r="Y1440" s="8">
        <v>0.25696594427244585</v>
      </c>
      <c r="Z1440" t="s">
        <v>2996</v>
      </c>
      <c r="AA1440" t="str">
        <f>IF(AND(SalesCleanTable[[#This Row],[Discount %]]&gt;0, SalesCleanTable[[#This Row],[Profit]]&lt;0), "Discount loss", "Safe")</f>
        <v>Safe</v>
      </c>
      <c r="AB1440" s="25">
        <f>(SalesCleanTable[[#This Row],[Unit Price]] - SalesCleanTable[[#This Row],[Unit Cost]]) / SalesCleanTable[[#This Row],[Unit Price]]</f>
        <v>0.36842105263157893</v>
      </c>
      <c r="AC1440" t="str">
        <f>IF(SalesCleanTable[[#This Row],[Discount %]] &gt; SalesCleanTable[[#This Row],[Max Allowed Discount]], "Discount loss", "Safe")</f>
        <v>Safe</v>
      </c>
      <c r="AD1440" s="4">
        <f>SalesCleanTable[[#This Row],[Unit Price]] - SalesCleanTable[[#This Row],[Unit Cost]]</f>
        <v>350</v>
      </c>
      <c r="AE1440" s="41">
        <f>(SalesCleanTable[[#This Row],[Unit Price]] - SalesCleanTable[[#This Row],[Unit Cost]]) / SalesCleanTable[[#This Row],[Unit Price]]</f>
        <v>0.36842105263157893</v>
      </c>
    </row>
    <row r="1441" spans="1:31">
      <c r="A1441" t="s">
        <v>1627</v>
      </c>
      <c r="B1441" s="6">
        <v>45663</v>
      </c>
      <c r="C1441" t="s">
        <v>45</v>
      </c>
      <c r="D1441" t="s">
        <v>46</v>
      </c>
      <c r="E1441" t="s">
        <v>38</v>
      </c>
      <c r="F1441" t="s">
        <v>47</v>
      </c>
      <c r="G1441" t="s">
        <v>48</v>
      </c>
      <c r="H1441" t="s">
        <v>133</v>
      </c>
      <c r="I1441" t="s">
        <v>134</v>
      </c>
      <c r="J1441" t="s">
        <v>130</v>
      </c>
      <c r="K1441" t="s">
        <v>131</v>
      </c>
      <c r="L1441" t="s">
        <v>183</v>
      </c>
      <c r="M1441" t="s">
        <v>186</v>
      </c>
      <c r="N1441">
        <v>2</v>
      </c>
      <c r="O1441" s="4">
        <v>230</v>
      </c>
      <c r="P1441" s="4">
        <v>400</v>
      </c>
      <c r="Q1441" s="7">
        <v>0</v>
      </c>
      <c r="R1441" t="s">
        <v>175</v>
      </c>
      <c r="S1441">
        <v>8</v>
      </c>
      <c r="T1441">
        <v>800</v>
      </c>
      <c r="U1441">
        <v>0</v>
      </c>
      <c r="V1441">
        <v>800</v>
      </c>
      <c r="W1441">
        <v>460</v>
      </c>
      <c r="X1441">
        <v>340</v>
      </c>
      <c r="Y1441" s="8">
        <v>0.42499999999999999</v>
      </c>
      <c r="Z1441" t="s">
        <v>2995</v>
      </c>
      <c r="AA1441" t="str">
        <f>IF(AND(SalesCleanTable[[#This Row],[Discount %]]&gt;0, SalesCleanTable[[#This Row],[Profit]]&lt;0), "Discount loss", "Safe")</f>
        <v>Safe</v>
      </c>
      <c r="AB1441" s="25">
        <f>(SalesCleanTable[[#This Row],[Unit Price]] - SalesCleanTable[[#This Row],[Unit Cost]]) / SalesCleanTable[[#This Row],[Unit Price]]</f>
        <v>0.42499999999999999</v>
      </c>
      <c r="AC1441" t="str">
        <f>IF(SalesCleanTable[[#This Row],[Discount %]] &gt; SalesCleanTable[[#This Row],[Max Allowed Discount]], "Discount loss", "Safe")</f>
        <v>Safe</v>
      </c>
      <c r="AD1441" s="4">
        <f>SalesCleanTable[[#This Row],[Unit Price]] - SalesCleanTable[[#This Row],[Unit Cost]]</f>
        <v>170</v>
      </c>
      <c r="AE1441" s="41">
        <f>(SalesCleanTable[[#This Row],[Unit Price]] - SalesCleanTable[[#This Row],[Unit Cost]]) / SalesCleanTable[[#This Row],[Unit Price]]</f>
        <v>0.42499999999999999</v>
      </c>
    </row>
    <row r="1442" spans="1:31">
      <c r="A1442" t="s">
        <v>1628</v>
      </c>
      <c r="B1442" s="6">
        <v>45733</v>
      </c>
      <c r="C1442" t="s">
        <v>53</v>
      </c>
      <c r="D1442" t="s">
        <v>54</v>
      </c>
      <c r="E1442" t="s">
        <v>38</v>
      </c>
      <c r="F1442" t="s">
        <v>55</v>
      </c>
      <c r="G1442" t="s">
        <v>56</v>
      </c>
      <c r="H1442" t="s">
        <v>135</v>
      </c>
      <c r="I1442" t="s">
        <v>136</v>
      </c>
      <c r="J1442" t="s">
        <v>137</v>
      </c>
      <c r="K1442" t="s">
        <v>138</v>
      </c>
      <c r="L1442" t="s">
        <v>166</v>
      </c>
      <c r="M1442" t="s">
        <v>171</v>
      </c>
      <c r="N1442">
        <v>1</v>
      </c>
      <c r="O1442" s="4">
        <v>330</v>
      </c>
      <c r="P1442" s="4">
        <v>550</v>
      </c>
      <c r="Q1442" s="7">
        <v>0.05</v>
      </c>
      <c r="R1442" t="s">
        <v>175</v>
      </c>
      <c r="S1442">
        <v>5</v>
      </c>
      <c r="T1442">
        <v>550</v>
      </c>
      <c r="U1442">
        <v>27.5</v>
      </c>
      <c r="V1442">
        <v>522.5</v>
      </c>
      <c r="W1442">
        <v>330</v>
      </c>
      <c r="X1442">
        <v>192.5</v>
      </c>
      <c r="Y1442" s="8">
        <v>0.36842105263157893</v>
      </c>
      <c r="Z1442" t="s">
        <v>2996</v>
      </c>
      <c r="AA1442" t="str">
        <f>IF(AND(SalesCleanTable[[#This Row],[Discount %]]&gt;0, SalesCleanTable[[#This Row],[Profit]]&lt;0), "Discount loss", "Safe")</f>
        <v>Safe</v>
      </c>
      <c r="AB1442" s="25">
        <f>(SalesCleanTable[[#This Row],[Unit Price]] - SalesCleanTable[[#This Row],[Unit Cost]]) / SalesCleanTable[[#This Row],[Unit Price]]</f>
        <v>0.4</v>
      </c>
      <c r="AC1442" t="str">
        <f>IF(SalesCleanTable[[#This Row],[Discount %]] &gt; SalesCleanTable[[#This Row],[Max Allowed Discount]], "Discount loss", "Safe")</f>
        <v>Safe</v>
      </c>
      <c r="AD1442" s="4">
        <f>SalesCleanTable[[#This Row],[Unit Price]] - SalesCleanTable[[#This Row],[Unit Cost]]</f>
        <v>220</v>
      </c>
      <c r="AE1442" s="41">
        <f>(SalesCleanTable[[#This Row],[Unit Price]] - SalesCleanTable[[#This Row],[Unit Cost]]) / SalesCleanTable[[#This Row],[Unit Price]]</f>
        <v>0.4</v>
      </c>
    </row>
    <row r="1443" spans="1:31">
      <c r="A1443" t="s">
        <v>1629</v>
      </c>
      <c r="B1443" s="6">
        <v>45968</v>
      </c>
      <c r="C1443" t="s">
        <v>53</v>
      </c>
      <c r="D1443" t="s">
        <v>54</v>
      </c>
      <c r="E1443" t="s">
        <v>38</v>
      </c>
      <c r="F1443" t="s">
        <v>55</v>
      </c>
      <c r="G1443" t="s">
        <v>56</v>
      </c>
      <c r="H1443" t="s">
        <v>133</v>
      </c>
      <c r="I1443" t="s">
        <v>134</v>
      </c>
      <c r="J1443" t="s">
        <v>130</v>
      </c>
      <c r="K1443" t="s">
        <v>131</v>
      </c>
      <c r="L1443" t="s">
        <v>166</v>
      </c>
      <c r="M1443" t="s">
        <v>171</v>
      </c>
      <c r="N1443">
        <v>1</v>
      </c>
      <c r="O1443" s="4">
        <v>330</v>
      </c>
      <c r="P1443" s="4">
        <v>550</v>
      </c>
      <c r="Q1443" s="7">
        <v>0.2</v>
      </c>
      <c r="R1443" t="s">
        <v>168</v>
      </c>
      <c r="S1443">
        <v>8</v>
      </c>
      <c r="T1443">
        <v>550</v>
      </c>
      <c r="U1443">
        <v>110</v>
      </c>
      <c r="V1443">
        <v>440</v>
      </c>
      <c r="W1443">
        <v>330</v>
      </c>
      <c r="X1443">
        <v>110</v>
      </c>
      <c r="Y1443" s="8">
        <v>0.25</v>
      </c>
      <c r="Z1443" t="s">
        <v>2996</v>
      </c>
      <c r="AA1443" t="str">
        <f>IF(AND(SalesCleanTable[[#This Row],[Discount %]]&gt;0, SalesCleanTable[[#This Row],[Profit]]&lt;0), "Discount loss", "Safe")</f>
        <v>Safe</v>
      </c>
      <c r="AB1443" s="25">
        <f>(SalesCleanTable[[#This Row],[Unit Price]] - SalesCleanTable[[#This Row],[Unit Cost]]) / SalesCleanTable[[#This Row],[Unit Price]]</f>
        <v>0.4</v>
      </c>
      <c r="AC1443" t="str">
        <f>IF(SalesCleanTable[[#This Row],[Discount %]] &gt; SalesCleanTable[[#This Row],[Max Allowed Discount]], "Discount loss", "Safe")</f>
        <v>Safe</v>
      </c>
      <c r="AD1443" s="4">
        <f>SalesCleanTable[[#This Row],[Unit Price]] - SalesCleanTable[[#This Row],[Unit Cost]]</f>
        <v>220</v>
      </c>
      <c r="AE1443" s="41">
        <f>(SalesCleanTable[[#This Row],[Unit Price]] - SalesCleanTable[[#This Row],[Unit Cost]]) / SalesCleanTable[[#This Row],[Unit Price]]</f>
        <v>0.4</v>
      </c>
    </row>
    <row r="1444" spans="1:31">
      <c r="A1444" t="s">
        <v>1630</v>
      </c>
      <c r="B1444" s="6">
        <v>45819</v>
      </c>
      <c r="C1444" t="s">
        <v>99</v>
      </c>
      <c r="D1444" t="s">
        <v>100</v>
      </c>
      <c r="E1444" t="s">
        <v>92</v>
      </c>
      <c r="F1444" t="s">
        <v>101</v>
      </c>
      <c r="G1444" t="s">
        <v>102</v>
      </c>
      <c r="H1444" t="s">
        <v>135</v>
      </c>
      <c r="I1444" t="s">
        <v>136</v>
      </c>
      <c r="J1444" t="s">
        <v>137</v>
      </c>
      <c r="K1444" t="s">
        <v>138</v>
      </c>
      <c r="L1444" t="s">
        <v>166</v>
      </c>
      <c r="M1444" t="s">
        <v>177</v>
      </c>
      <c r="N1444">
        <v>1</v>
      </c>
      <c r="O1444" s="4">
        <v>12500</v>
      </c>
      <c r="P1444" s="4">
        <v>18500</v>
      </c>
      <c r="Q1444" s="7">
        <v>0.05</v>
      </c>
      <c r="R1444" t="s">
        <v>215</v>
      </c>
      <c r="S1444">
        <v>14</v>
      </c>
      <c r="T1444">
        <v>18500</v>
      </c>
      <c r="U1444">
        <v>925</v>
      </c>
      <c r="V1444">
        <v>17575</v>
      </c>
      <c r="W1444">
        <v>12500</v>
      </c>
      <c r="X1444">
        <v>5075</v>
      </c>
      <c r="Y1444" s="8">
        <v>0.28876244665718348</v>
      </c>
      <c r="Z1444" t="s">
        <v>2995</v>
      </c>
      <c r="AA1444" t="str">
        <f>IF(AND(SalesCleanTable[[#This Row],[Discount %]]&gt;0, SalesCleanTable[[#This Row],[Profit]]&lt;0), "Discount loss", "Safe")</f>
        <v>Safe</v>
      </c>
      <c r="AB1444" s="25">
        <f>(SalesCleanTable[[#This Row],[Unit Price]] - SalesCleanTable[[#This Row],[Unit Cost]]) / SalesCleanTable[[#This Row],[Unit Price]]</f>
        <v>0.32432432432432434</v>
      </c>
      <c r="AC1444" t="str">
        <f>IF(SalesCleanTable[[#This Row],[Discount %]] &gt; SalesCleanTable[[#This Row],[Max Allowed Discount]], "Discount loss", "Safe")</f>
        <v>Safe</v>
      </c>
      <c r="AD1444" s="4">
        <f>SalesCleanTable[[#This Row],[Unit Price]] - SalesCleanTable[[#This Row],[Unit Cost]]</f>
        <v>6000</v>
      </c>
      <c r="AE1444" s="41">
        <f>(SalesCleanTable[[#This Row],[Unit Price]] - SalesCleanTable[[#This Row],[Unit Cost]]) / SalesCleanTable[[#This Row],[Unit Price]]</f>
        <v>0.32432432432432434</v>
      </c>
    </row>
    <row r="1445" spans="1:31">
      <c r="A1445" t="s">
        <v>1631</v>
      </c>
      <c r="B1445" s="6">
        <v>45987</v>
      </c>
      <c r="C1445" t="s">
        <v>45</v>
      </c>
      <c r="D1445" t="s">
        <v>46</v>
      </c>
      <c r="E1445" t="s">
        <v>38</v>
      </c>
      <c r="F1445" t="s">
        <v>47</v>
      </c>
      <c r="G1445" t="s">
        <v>48</v>
      </c>
      <c r="H1445" t="s">
        <v>139</v>
      </c>
      <c r="I1445" t="s">
        <v>140</v>
      </c>
      <c r="J1445" t="s">
        <v>137</v>
      </c>
      <c r="K1445" t="s">
        <v>138</v>
      </c>
      <c r="L1445" t="s">
        <v>166</v>
      </c>
      <c r="M1445" t="s">
        <v>171</v>
      </c>
      <c r="N1445">
        <v>3</v>
      </c>
      <c r="O1445" s="4">
        <v>230</v>
      </c>
      <c r="P1445" s="4">
        <v>400</v>
      </c>
      <c r="Q1445" s="7">
        <v>0.15</v>
      </c>
      <c r="R1445" t="s">
        <v>178</v>
      </c>
      <c r="S1445">
        <v>8</v>
      </c>
      <c r="T1445">
        <v>1200</v>
      </c>
      <c r="U1445">
        <v>180</v>
      </c>
      <c r="V1445">
        <v>1020</v>
      </c>
      <c r="W1445">
        <v>690</v>
      </c>
      <c r="X1445">
        <v>330</v>
      </c>
      <c r="Y1445" s="8">
        <v>0.3235294117647059</v>
      </c>
      <c r="Z1445" t="s">
        <v>2995</v>
      </c>
      <c r="AA1445" t="str">
        <f>IF(AND(SalesCleanTable[[#This Row],[Discount %]]&gt;0, SalesCleanTable[[#This Row],[Profit]]&lt;0), "Discount loss", "Safe")</f>
        <v>Safe</v>
      </c>
      <c r="AB1445" s="25">
        <f>(SalesCleanTable[[#This Row],[Unit Price]] - SalesCleanTable[[#This Row],[Unit Cost]]) / SalesCleanTable[[#This Row],[Unit Price]]</f>
        <v>0.42499999999999999</v>
      </c>
      <c r="AC1445" t="str">
        <f>IF(SalesCleanTable[[#This Row],[Discount %]] &gt; SalesCleanTable[[#This Row],[Max Allowed Discount]], "Discount loss", "Safe")</f>
        <v>Safe</v>
      </c>
      <c r="AD1445" s="4">
        <f>SalesCleanTable[[#This Row],[Unit Price]] - SalesCleanTable[[#This Row],[Unit Cost]]</f>
        <v>170</v>
      </c>
      <c r="AE1445" s="41">
        <f>(SalesCleanTable[[#This Row],[Unit Price]] - SalesCleanTable[[#This Row],[Unit Cost]]) / SalesCleanTable[[#This Row],[Unit Price]]</f>
        <v>0.42499999999999999</v>
      </c>
    </row>
    <row r="1446" spans="1:31">
      <c r="A1446" t="s">
        <v>1632</v>
      </c>
      <c r="B1446" s="6">
        <v>45692</v>
      </c>
      <c r="C1446" t="s">
        <v>32</v>
      </c>
      <c r="D1446" t="s">
        <v>33</v>
      </c>
      <c r="E1446" t="s">
        <v>26</v>
      </c>
      <c r="F1446" t="s">
        <v>34</v>
      </c>
      <c r="G1446" t="s">
        <v>35</v>
      </c>
      <c r="H1446" t="s">
        <v>128</v>
      </c>
      <c r="I1446" t="s">
        <v>129</v>
      </c>
      <c r="J1446" t="s">
        <v>130</v>
      </c>
      <c r="K1446" t="s">
        <v>131</v>
      </c>
      <c r="L1446" t="s">
        <v>166</v>
      </c>
      <c r="M1446" t="s">
        <v>186</v>
      </c>
      <c r="N1446">
        <v>1</v>
      </c>
      <c r="O1446" s="4">
        <v>7800</v>
      </c>
      <c r="P1446" s="4">
        <v>9800</v>
      </c>
      <c r="Q1446" s="7">
        <v>0.1</v>
      </c>
      <c r="R1446" t="s">
        <v>194</v>
      </c>
      <c r="S1446">
        <v>6</v>
      </c>
      <c r="T1446">
        <v>9800</v>
      </c>
      <c r="U1446">
        <v>980</v>
      </c>
      <c r="V1446">
        <v>8820</v>
      </c>
      <c r="W1446">
        <v>7800</v>
      </c>
      <c r="X1446">
        <v>1020</v>
      </c>
      <c r="Y1446" s="8">
        <v>0.11564625850340136</v>
      </c>
      <c r="Z1446" t="s">
        <v>2995</v>
      </c>
      <c r="AA1446" t="str">
        <f>IF(AND(SalesCleanTable[[#This Row],[Discount %]]&gt;0, SalesCleanTable[[#This Row],[Profit]]&lt;0), "Discount loss", "Safe")</f>
        <v>Safe</v>
      </c>
      <c r="AB1446" s="25">
        <f>(SalesCleanTable[[#This Row],[Unit Price]] - SalesCleanTable[[#This Row],[Unit Cost]]) / SalesCleanTable[[#This Row],[Unit Price]]</f>
        <v>0.20408163265306123</v>
      </c>
      <c r="AC1446" t="str">
        <f>IF(SalesCleanTable[[#This Row],[Discount %]] &gt; SalesCleanTable[[#This Row],[Max Allowed Discount]], "Discount loss", "Safe")</f>
        <v>Safe</v>
      </c>
      <c r="AD1446" s="4">
        <f>SalesCleanTable[[#This Row],[Unit Price]] - SalesCleanTable[[#This Row],[Unit Cost]]</f>
        <v>2000</v>
      </c>
      <c r="AE1446" s="41">
        <f>(SalesCleanTable[[#This Row],[Unit Price]] - SalesCleanTable[[#This Row],[Unit Cost]]) / SalesCleanTable[[#This Row],[Unit Price]]</f>
        <v>0.20408163265306123</v>
      </c>
    </row>
    <row r="1447" spans="1:31">
      <c r="A1447" t="s">
        <v>1633</v>
      </c>
      <c r="B1447" s="6">
        <v>45833</v>
      </c>
      <c r="C1447" t="s">
        <v>82</v>
      </c>
      <c r="D1447" t="s">
        <v>83</v>
      </c>
      <c r="E1447" t="s">
        <v>75</v>
      </c>
      <c r="F1447" t="s">
        <v>84</v>
      </c>
      <c r="G1447" t="s">
        <v>85</v>
      </c>
      <c r="H1447" t="s">
        <v>139</v>
      </c>
      <c r="I1447" t="s">
        <v>140</v>
      </c>
      <c r="J1447" t="s">
        <v>137</v>
      </c>
      <c r="K1447" t="s">
        <v>138</v>
      </c>
      <c r="L1447" t="s">
        <v>183</v>
      </c>
      <c r="M1447" t="s">
        <v>186</v>
      </c>
      <c r="N1447">
        <v>3</v>
      </c>
      <c r="O1447" s="4">
        <v>600</v>
      </c>
      <c r="P1447" s="4">
        <v>950</v>
      </c>
      <c r="Q1447" s="7">
        <v>0.05</v>
      </c>
      <c r="R1447" t="s">
        <v>187</v>
      </c>
      <c r="S1447">
        <v>9</v>
      </c>
      <c r="T1447">
        <v>2850</v>
      </c>
      <c r="U1447">
        <v>142.5</v>
      </c>
      <c r="V1447">
        <v>2707.5</v>
      </c>
      <c r="W1447">
        <v>1800</v>
      </c>
      <c r="X1447">
        <v>907.5</v>
      </c>
      <c r="Y1447" s="8">
        <v>0.33518005540166207</v>
      </c>
      <c r="Z1447" t="s">
        <v>2996</v>
      </c>
      <c r="AA1447" t="str">
        <f>IF(AND(SalesCleanTable[[#This Row],[Discount %]]&gt;0, SalesCleanTable[[#This Row],[Profit]]&lt;0), "Discount loss", "Safe")</f>
        <v>Safe</v>
      </c>
      <c r="AB1447" s="25">
        <f>(SalesCleanTable[[#This Row],[Unit Price]] - SalesCleanTable[[#This Row],[Unit Cost]]) / SalesCleanTable[[#This Row],[Unit Price]]</f>
        <v>0.36842105263157893</v>
      </c>
      <c r="AC1447" t="str">
        <f>IF(SalesCleanTable[[#This Row],[Discount %]] &gt; SalesCleanTable[[#This Row],[Max Allowed Discount]], "Discount loss", "Safe")</f>
        <v>Safe</v>
      </c>
      <c r="AD1447" s="4">
        <f>SalesCleanTable[[#This Row],[Unit Price]] - SalesCleanTable[[#This Row],[Unit Cost]]</f>
        <v>350</v>
      </c>
      <c r="AE1447" s="41">
        <f>(SalesCleanTable[[#This Row],[Unit Price]] - SalesCleanTable[[#This Row],[Unit Cost]]) / SalesCleanTable[[#This Row],[Unit Price]]</f>
        <v>0.36842105263157893</v>
      </c>
    </row>
    <row r="1448" spans="1:31">
      <c r="A1448" t="s">
        <v>1634</v>
      </c>
      <c r="B1448" s="6">
        <v>45764</v>
      </c>
      <c r="C1448" t="s">
        <v>53</v>
      </c>
      <c r="D1448" t="s">
        <v>54</v>
      </c>
      <c r="E1448" t="s">
        <v>38</v>
      </c>
      <c r="F1448" t="s">
        <v>55</v>
      </c>
      <c r="G1448" t="s">
        <v>56</v>
      </c>
      <c r="H1448" t="s">
        <v>128</v>
      </c>
      <c r="I1448" t="s">
        <v>129</v>
      </c>
      <c r="J1448" t="s">
        <v>130</v>
      </c>
      <c r="K1448" t="s">
        <v>131</v>
      </c>
      <c r="L1448" t="s">
        <v>166</v>
      </c>
      <c r="M1448" t="s">
        <v>171</v>
      </c>
      <c r="N1448">
        <v>6</v>
      </c>
      <c r="O1448" s="4">
        <v>330</v>
      </c>
      <c r="P1448" s="4">
        <v>550</v>
      </c>
      <c r="Q1448" s="7">
        <v>0</v>
      </c>
      <c r="R1448" t="s">
        <v>168</v>
      </c>
      <c r="S1448">
        <v>1</v>
      </c>
      <c r="T1448">
        <v>3300</v>
      </c>
      <c r="U1448">
        <v>0</v>
      </c>
      <c r="V1448">
        <v>3300</v>
      </c>
      <c r="W1448">
        <v>1980</v>
      </c>
      <c r="X1448">
        <v>1320</v>
      </c>
      <c r="Y1448" s="8">
        <v>0.4</v>
      </c>
      <c r="Z1448" t="s">
        <v>2996</v>
      </c>
      <c r="AA1448" t="str">
        <f>IF(AND(SalesCleanTable[[#This Row],[Discount %]]&gt;0, SalesCleanTable[[#This Row],[Profit]]&lt;0), "Discount loss", "Safe")</f>
        <v>Safe</v>
      </c>
      <c r="AB1448" s="25">
        <f>(SalesCleanTable[[#This Row],[Unit Price]] - SalesCleanTable[[#This Row],[Unit Cost]]) / SalesCleanTable[[#This Row],[Unit Price]]</f>
        <v>0.4</v>
      </c>
      <c r="AC1448" t="str">
        <f>IF(SalesCleanTable[[#This Row],[Discount %]] &gt; SalesCleanTable[[#This Row],[Max Allowed Discount]], "Discount loss", "Safe")</f>
        <v>Safe</v>
      </c>
      <c r="AD1448" s="4">
        <f>SalesCleanTable[[#This Row],[Unit Price]] - SalesCleanTable[[#This Row],[Unit Cost]]</f>
        <v>220</v>
      </c>
      <c r="AE1448" s="41">
        <f>(SalesCleanTable[[#This Row],[Unit Price]] - SalesCleanTable[[#This Row],[Unit Cost]]) / SalesCleanTable[[#This Row],[Unit Price]]</f>
        <v>0.4</v>
      </c>
    </row>
    <row r="1449" spans="1:31">
      <c r="A1449" t="s">
        <v>1635</v>
      </c>
      <c r="B1449" s="6">
        <v>46015</v>
      </c>
      <c r="C1449" t="s">
        <v>41</v>
      </c>
      <c r="D1449" t="s">
        <v>42</v>
      </c>
      <c r="E1449" t="s">
        <v>26</v>
      </c>
      <c r="F1449" t="s">
        <v>43</v>
      </c>
      <c r="G1449" t="s">
        <v>44</v>
      </c>
      <c r="H1449" t="s">
        <v>128</v>
      </c>
      <c r="I1449" t="s">
        <v>129</v>
      </c>
      <c r="J1449" t="s">
        <v>130</v>
      </c>
      <c r="K1449" t="s">
        <v>131</v>
      </c>
      <c r="L1449" t="s">
        <v>166</v>
      </c>
      <c r="M1449" t="s">
        <v>171</v>
      </c>
      <c r="N1449">
        <v>1</v>
      </c>
      <c r="O1449" s="4">
        <v>850</v>
      </c>
      <c r="P1449" s="4">
        <v>1300</v>
      </c>
      <c r="Q1449" s="7">
        <v>0</v>
      </c>
      <c r="R1449" t="s">
        <v>173</v>
      </c>
      <c r="S1449">
        <v>6</v>
      </c>
      <c r="T1449">
        <v>1300</v>
      </c>
      <c r="U1449">
        <v>0</v>
      </c>
      <c r="V1449">
        <v>1300</v>
      </c>
      <c r="W1449">
        <v>850</v>
      </c>
      <c r="X1449">
        <v>450</v>
      </c>
      <c r="Y1449" s="8">
        <v>0.34615384615384615</v>
      </c>
      <c r="Z1449" t="s">
        <v>2995</v>
      </c>
      <c r="AA1449" t="str">
        <f>IF(AND(SalesCleanTable[[#This Row],[Discount %]]&gt;0, SalesCleanTable[[#This Row],[Profit]]&lt;0), "Discount loss", "Safe")</f>
        <v>Safe</v>
      </c>
      <c r="AB1449" s="25">
        <f>(SalesCleanTable[[#This Row],[Unit Price]] - SalesCleanTable[[#This Row],[Unit Cost]]) / SalesCleanTable[[#This Row],[Unit Price]]</f>
        <v>0.34615384615384615</v>
      </c>
      <c r="AC1449" t="str">
        <f>IF(SalesCleanTable[[#This Row],[Discount %]] &gt; SalesCleanTable[[#This Row],[Max Allowed Discount]], "Discount loss", "Safe")</f>
        <v>Safe</v>
      </c>
      <c r="AD1449" s="4">
        <f>SalesCleanTable[[#This Row],[Unit Price]] - SalesCleanTable[[#This Row],[Unit Cost]]</f>
        <v>450</v>
      </c>
      <c r="AE1449" s="41">
        <f>(SalesCleanTable[[#This Row],[Unit Price]] - SalesCleanTable[[#This Row],[Unit Cost]]) / SalesCleanTable[[#This Row],[Unit Price]]</f>
        <v>0.34615384615384615</v>
      </c>
    </row>
    <row r="1450" spans="1:31">
      <c r="A1450" t="s">
        <v>1636</v>
      </c>
      <c r="B1450" s="6">
        <v>45982</v>
      </c>
      <c r="C1450" t="s">
        <v>78</v>
      </c>
      <c r="D1450" t="s">
        <v>79</v>
      </c>
      <c r="E1450" t="s">
        <v>75</v>
      </c>
      <c r="F1450" t="s">
        <v>80</v>
      </c>
      <c r="G1450" t="s">
        <v>81</v>
      </c>
      <c r="H1450" t="s">
        <v>128</v>
      </c>
      <c r="I1450" t="s">
        <v>129</v>
      </c>
      <c r="J1450" t="s">
        <v>130</v>
      </c>
      <c r="K1450" t="s">
        <v>131</v>
      </c>
      <c r="L1450" t="s">
        <v>183</v>
      </c>
      <c r="M1450" t="s">
        <v>171</v>
      </c>
      <c r="N1450">
        <v>4</v>
      </c>
      <c r="O1450" s="4">
        <v>1200</v>
      </c>
      <c r="P1450" s="4">
        <v>1900</v>
      </c>
      <c r="Q1450" s="7">
        <v>0.05</v>
      </c>
      <c r="R1450" t="s">
        <v>204</v>
      </c>
      <c r="S1450">
        <v>2</v>
      </c>
      <c r="T1450">
        <v>7600</v>
      </c>
      <c r="U1450">
        <v>380</v>
      </c>
      <c r="V1450">
        <v>7220</v>
      </c>
      <c r="W1450">
        <v>4800</v>
      </c>
      <c r="X1450">
        <v>2420</v>
      </c>
      <c r="Y1450" s="8">
        <v>0.33518005540166207</v>
      </c>
      <c r="Z1450" t="s">
        <v>2996</v>
      </c>
      <c r="AA1450" t="str">
        <f>IF(AND(SalesCleanTable[[#This Row],[Discount %]]&gt;0, SalesCleanTable[[#This Row],[Profit]]&lt;0), "Discount loss", "Safe")</f>
        <v>Safe</v>
      </c>
      <c r="AB1450" s="25">
        <f>(SalesCleanTable[[#This Row],[Unit Price]] - SalesCleanTable[[#This Row],[Unit Cost]]) / SalesCleanTable[[#This Row],[Unit Price]]</f>
        <v>0.36842105263157893</v>
      </c>
      <c r="AC1450" t="str">
        <f>IF(SalesCleanTable[[#This Row],[Discount %]] &gt; SalesCleanTable[[#This Row],[Max Allowed Discount]], "Discount loss", "Safe")</f>
        <v>Safe</v>
      </c>
      <c r="AD1450" s="4">
        <f>SalesCleanTable[[#This Row],[Unit Price]] - SalesCleanTable[[#This Row],[Unit Cost]]</f>
        <v>700</v>
      </c>
      <c r="AE1450" s="41">
        <f>(SalesCleanTable[[#This Row],[Unit Price]] - SalesCleanTable[[#This Row],[Unit Cost]]) / SalesCleanTable[[#This Row],[Unit Price]]</f>
        <v>0.36842105263157893</v>
      </c>
    </row>
    <row r="1451" spans="1:31">
      <c r="A1451" t="s">
        <v>1637</v>
      </c>
      <c r="B1451" s="6">
        <v>45959</v>
      </c>
      <c r="C1451" t="s">
        <v>24</v>
      </c>
      <c r="D1451" t="s">
        <v>25</v>
      </c>
      <c r="E1451" t="s">
        <v>26</v>
      </c>
      <c r="F1451" t="s">
        <v>27</v>
      </c>
      <c r="G1451" t="s">
        <v>28</v>
      </c>
      <c r="H1451" t="s">
        <v>133</v>
      </c>
      <c r="I1451" t="s">
        <v>134</v>
      </c>
      <c r="J1451" t="s">
        <v>130</v>
      </c>
      <c r="K1451" t="s">
        <v>131</v>
      </c>
      <c r="L1451" t="s">
        <v>166</v>
      </c>
      <c r="M1451" t="s">
        <v>171</v>
      </c>
      <c r="N1451">
        <v>3</v>
      </c>
      <c r="O1451" s="4">
        <v>14500</v>
      </c>
      <c r="P1451" s="4">
        <v>17500</v>
      </c>
      <c r="Q1451" s="7">
        <v>0.05</v>
      </c>
      <c r="R1451" t="s">
        <v>173</v>
      </c>
      <c r="S1451">
        <v>14</v>
      </c>
      <c r="T1451">
        <v>52500</v>
      </c>
      <c r="U1451">
        <v>2625</v>
      </c>
      <c r="V1451">
        <v>49875</v>
      </c>
      <c r="W1451">
        <v>43500</v>
      </c>
      <c r="X1451">
        <v>6375</v>
      </c>
      <c r="Y1451" s="8">
        <v>0.12781954887218044</v>
      </c>
      <c r="Z1451" t="s">
        <v>2995</v>
      </c>
      <c r="AA1451" t="str">
        <f>IF(AND(SalesCleanTable[[#This Row],[Discount %]]&gt;0, SalesCleanTable[[#This Row],[Profit]]&lt;0), "Discount loss", "Safe")</f>
        <v>Safe</v>
      </c>
      <c r="AB1451" s="25">
        <f>(SalesCleanTable[[#This Row],[Unit Price]] - SalesCleanTable[[#This Row],[Unit Cost]]) / SalesCleanTable[[#This Row],[Unit Price]]</f>
        <v>0.17142857142857143</v>
      </c>
      <c r="AC1451" t="str">
        <f>IF(SalesCleanTable[[#This Row],[Discount %]] &gt; SalesCleanTable[[#This Row],[Max Allowed Discount]], "Discount loss", "Safe")</f>
        <v>Safe</v>
      </c>
      <c r="AD1451" s="4">
        <f>SalesCleanTable[[#This Row],[Unit Price]] - SalesCleanTable[[#This Row],[Unit Cost]]</f>
        <v>3000</v>
      </c>
      <c r="AE1451" s="41">
        <f>(SalesCleanTable[[#This Row],[Unit Price]] - SalesCleanTable[[#This Row],[Unit Cost]]) / SalesCleanTable[[#This Row],[Unit Price]]</f>
        <v>0.17142857142857143</v>
      </c>
    </row>
    <row r="1452" spans="1:31">
      <c r="A1452" t="s">
        <v>1638</v>
      </c>
      <c r="B1452" s="6">
        <v>45766</v>
      </c>
      <c r="C1452" t="s">
        <v>36</v>
      </c>
      <c r="D1452" t="s">
        <v>37</v>
      </c>
      <c r="E1452" t="s">
        <v>38</v>
      </c>
      <c r="F1452" t="s">
        <v>39</v>
      </c>
      <c r="G1452" t="s">
        <v>40</v>
      </c>
      <c r="H1452" t="s">
        <v>128</v>
      </c>
      <c r="I1452" t="s">
        <v>129</v>
      </c>
      <c r="J1452" t="s">
        <v>130</v>
      </c>
      <c r="K1452" t="s">
        <v>131</v>
      </c>
      <c r="L1452" t="s">
        <v>166</v>
      </c>
      <c r="M1452" t="s">
        <v>186</v>
      </c>
      <c r="N1452">
        <v>3</v>
      </c>
      <c r="O1452" s="4">
        <v>1650</v>
      </c>
      <c r="P1452" s="4">
        <v>2200</v>
      </c>
      <c r="Q1452" s="7">
        <v>0.1</v>
      </c>
      <c r="R1452" t="s">
        <v>175</v>
      </c>
      <c r="S1452">
        <v>3</v>
      </c>
      <c r="T1452">
        <v>6600</v>
      </c>
      <c r="U1452">
        <v>660</v>
      </c>
      <c r="V1452">
        <v>5940</v>
      </c>
      <c r="W1452">
        <v>4950</v>
      </c>
      <c r="X1452">
        <v>990</v>
      </c>
      <c r="Y1452" s="8">
        <v>0.16666666666666666</v>
      </c>
      <c r="Z1452" t="s">
        <v>2995</v>
      </c>
      <c r="AA1452" t="str">
        <f>IF(AND(SalesCleanTable[[#This Row],[Discount %]]&gt;0, SalesCleanTable[[#This Row],[Profit]]&lt;0), "Discount loss", "Safe")</f>
        <v>Safe</v>
      </c>
      <c r="AB1452" s="25">
        <f>(SalesCleanTable[[#This Row],[Unit Price]] - SalesCleanTable[[#This Row],[Unit Cost]]) / SalesCleanTable[[#This Row],[Unit Price]]</f>
        <v>0.25</v>
      </c>
      <c r="AC1452" t="str">
        <f>IF(SalesCleanTable[[#This Row],[Discount %]] &gt; SalesCleanTable[[#This Row],[Max Allowed Discount]], "Discount loss", "Safe")</f>
        <v>Safe</v>
      </c>
      <c r="AD1452" s="4">
        <f>SalesCleanTable[[#This Row],[Unit Price]] - SalesCleanTable[[#This Row],[Unit Cost]]</f>
        <v>550</v>
      </c>
      <c r="AE1452" s="41">
        <f>(SalesCleanTable[[#This Row],[Unit Price]] - SalesCleanTable[[#This Row],[Unit Cost]]) / SalesCleanTable[[#This Row],[Unit Price]]</f>
        <v>0.25</v>
      </c>
    </row>
    <row r="1453" spans="1:31">
      <c r="A1453" t="s">
        <v>1639</v>
      </c>
      <c r="B1453" s="6">
        <v>45969</v>
      </c>
      <c r="C1453" t="s">
        <v>41</v>
      </c>
      <c r="D1453" t="s">
        <v>42</v>
      </c>
      <c r="E1453" t="s">
        <v>26</v>
      </c>
      <c r="F1453" t="s">
        <v>43</v>
      </c>
      <c r="G1453" t="s">
        <v>44</v>
      </c>
      <c r="H1453" t="s">
        <v>133</v>
      </c>
      <c r="I1453" t="s">
        <v>134</v>
      </c>
      <c r="J1453" t="s">
        <v>130</v>
      </c>
      <c r="K1453" t="s">
        <v>131</v>
      </c>
      <c r="L1453" t="s">
        <v>183</v>
      </c>
      <c r="M1453" t="s">
        <v>186</v>
      </c>
      <c r="N1453">
        <v>6</v>
      </c>
      <c r="O1453" s="4">
        <v>850</v>
      </c>
      <c r="P1453" s="4">
        <v>1300</v>
      </c>
      <c r="Q1453" s="7">
        <v>0.05</v>
      </c>
      <c r="R1453" t="s">
        <v>194</v>
      </c>
      <c r="S1453">
        <v>10</v>
      </c>
      <c r="T1453">
        <v>7800</v>
      </c>
      <c r="U1453">
        <v>390</v>
      </c>
      <c r="V1453">
        <v>7410</v>
      </c>
      <c r="W1453">
        <v>5100</v>
      </c>
      <c r="X1453">
        <v>2310</v>
      </c>
      <c r="Y1453" s="8">
        <v>0.31174089068825911</v>
      </c>
      <c r="Z1453" t="s">
        <v>2995</v>
      </c>
      <c r="AA1453" t="str">
        <f>IF(AND(SalesCleanTable[[#This Row],[Discount %]]&gt;0, SalesCleanTable[[#This Row],[Profit]]&lt;0), "Discount loss", "Safe")</f>
        <v>Safe</v>
      </c>
      <c r="AB1453" s="25">
        <f>(SalesCleanTable[[#This Row],[Unit Price]] - SalesCleanTable[[#This Row],[Unit Cost]]) / SalesCleanTable[[#This Row],[Unit Price]]</f>
        <v>0.34615384615384615</v>
      </c>
      <c r="AC1453" t="str">
        <f>IF(SalesCleanTable[[#This Row],[Discount %]] &gt; SalesCleanTable[[#This Row],[Max Allowed Discount]], "Discount loss", "Safe")</f>
        <v>Safe</v>
      </c>
      <c r="AD1453" s="4">
        <f>SalesCleanTable[[#This Row],[Unit Price]] - SalesCleanTable[[#This Row],[Unit Cost]]</f>
        <v>450</v>
      </c>
      <c r="AE1453" s="41">
        <f>(SalesCleanTable[[#This Row],[Unit Price]] - SalesCleanTable[[#This Row],[Unit Cost]]) / SalesCleanTable[[#This Row],[Unit Price]]</f>
        <v>0.34615384615384615</v>
      </c>
    </row>
    <row r="1454" spans="1:31">
      <c r="A1454" t="s">
        <v>1640</v>
      </c>
      <c r="B1454" s="6">
        <v>46001</v>
      </c>
      <c r="C1454" t="s">
        <v>57</v>
      </c>
      <c r="D1454" t="s">
        <v>58</v>
      </c>
      <c r="E1454" t="s">
        <v>59</v>
      </c>
      <c r="F1454" t="s">
        <v>60</v>
      </c>
      <c r="G1454" t="s">
        <v>61</v>
      </c>
      <c r="H1454" t="s">
        <v>135</v>
      </c>
      <c r="I1454" t="s">
        <v>136</v>
      </c>
      <c r="J1454" t="s">
        <v>137</v>
      </c>
      <c r="K1454" t="s">
        <v>138</v>
      </c>
      <c r="L1454" t="s">
        <v>183</v>
      </c>
      <c r="M1454" t="s">
        <v>171</v>
      </c>
      <c r="N1454">
        <v>1</v>
      </c>
      <c r="O1454" s="4">
        <v>2400</v>
      </c>
      <c r="P1454" s="4">
        <v>3400</v>
      </c>
      <c r="Q1454" s="7">
        <v>0</v>
      </c>
      <c r="R1454" t="s">
        <v>192</v>
      </c>
      <c r="S1454">
        <v>4</v>
      </c>
      <c r="T1454">
        <v>3400</v>
      </c>
      <c r="U1454">
        <v>0</v>
      </c>
      <c r="V1454">
        <v>3400</v>
      </c>
      <c r="W1454">
        <v>2400</v>
      </c>
      <c r="X1454">
        <v>1000</v>
      </c>
      <c r="Y1454" s="8">
        <v>0.29411764705882354</v>
      </c>
      <c r="Z1454" t="s">
        <v>2996</v>
      </c>
      <c r="AA1454" t="str">
        <f>IF(AND(SalesCleanTable[[#This Row],[Discount %]]&gt;0, SalesCleanTable[[#This Row],[Profit]]&lt;0), "Discount loss", "Safe")</f>
        <v>Safe</v>
      </c>
      <c r="AB1454" s="25">
        <f>(SalesCleanTable[[#This Row],[Unit Price]] - SalesCleanTable[[#This Row],[Unit Cost]]) / SalesCleanTable[[#This Row],[Unit Price]]</f>
        <v>0.29411764705882354</v>
      </c>
      <c r="AC1454" t="str">
        <f>IF(SalesCleanTable[[#This Row],[Discount %]] &gt; SalesCleanTable[[#This Row],[Max Allowed Discount]], "Discount loss", "Safe")</f>
        <v>Safe</v>
      </c>
      <c r="AD1454" s="4">
        <f>SalesCleanTable[[#This Row],[Unit Price]] - SalesCleanTable[[#This Row],[Unit Cost]]</f>
        <v>1000</v>
      </c>
      <c r="AE1454" s="41">
        <f>(SalesCleanTable[[#This Row],[Unit Price]] - SalesCleanTable[[#This Row],[Unit Cost]]) / SalesCleanTable[[#This Row],[Unit Price]]</f>
        <v>0.29411764705882354</v>
      </c>
    </row>
    <row r="1455" spans="1:31">
      <c r="A1455" t="s">
        <v>1641</v>
      </c>
      <c r="B1455" s="6">
        <v>45810</v>
      </c>
      <c r="C1455" t="s">
        <v>99</v>
      </c>
      <c r="D1455" t="s">
        <v>100</v>
      </c>
      <c r="E1455" t="s">
        <v>92</v>
      </c>
      <c r="F1455" t="s">
        <v>101</v>
      </c>
      <c r="G1455" t="s">
        <v>102</v>
      </c>
      <c r="H1455" t="s">
        <v>141</v>
      </c>
      <c r="I1455" t="s">
        <v>142</v>
      </c>
      <c r="J1455" t="s">
        <v>143</v>
      </c>
      <c r="K1455" t="s">
        <v>144</v>
      </c>
      <c r="L1455" t="s">
        <v>166</v>
      </c>
      <c r="M1455" t="s">
        <v>177</v>
      </c>
      <c r="N1455">
        <v>6</v>
      </c>
      <c r="O1455" s="4">
        <v>12500</v>
      </c>
      <c r="P1455" s="4">
        <v>18500</v>
      </c>
      <c r="Q1455" s="7">
        <v>0.15</v>
      </c>
      <c r="R1455" t="s">
        <v>215</v>
      </c>
      <c r="S1455">
        <v>4</v>
      </c>
      <c r="T1455">
        <v>111000</v>
      </c>
      <c r="U1455">
        <v>16650</v>
      </c>
      <c r="V1455">
        <v>94350</v>
      </c>
      <c r="W1455">
        <v>75000</v>
      </c>
      <c r="X1455">
        <v>19350</v>
      </c>
      <c r="Y1455" s="8">
        <v>0.20508744038155802</v>
      </c>
      <c r="Z1455" t="s">
        <v>2995</v>
      </c>
      <c r="AA1455" t="str">
        <f>IF(AND(SalesCleanTable[[#This Row],[Discount %]]&gt;0, SalesCleanTable[[#This Row],[Profit]]&lt;0), "Discount loss", "Safe")</f>
        <v>Safe</v>
      </c>
      <c r="AB1455" s="25">
        <f>(SalesCleanTable[[#This Row],[Unit Price]] - SalesCleanTable[[#This Row],[Unit Cost]]) / SalesCleanTable[[#This Row],[Unit Price]]</f>
        <v>0.32432432432432434</v>
      </c>
      <c r="AC1455" t="str">
        <f>IF(SalesCleanTable[[#This Row],[Discount %]] &gt; SalesCleanTable[[#This Row],[Max Allowed Discount]], "Discount loss", "Safe")</f>
        <v>Safe</v>
      </c>
      <c r="AD1455" s="4">
        <f>SalesCleanTable[[#This Row],[Unit Price]] - SalesCleanTable[[#This Row],[Unit Cost]]</f>
        <v>6000</v>
      </c>
      <c r="AE1455" s="41">
        <f>(SalesCleanTable[[#This Row],[Unit Price]] - SalesCleanTable[[#This Row],[Unit Cost]]) / SalesCleanTable[[#This Row],[Unit Price]]</f>
        <v>0.32432432432432434</v>
      </c>
    </row>
    <row r="1456" spans="1:31">
      <c r="A1456" t="s">
        <v>1642</v>
      </c>
      <c r="B1456" s="6">
        <v>45787</v>
      </c>
      <c r="C1456" t="s">
        <v>41</v>
      </c>
      <c r="D1456" t="s">
        <v>42</v>
      </c>
      <c r="E1456" t="s">
        <v>26</v>
      </c>
      <c r="F1456" t="s">
        <v>43</v>
      </c>
      <c r="G1456" t="s">
        <v>44</v>
      </c>
      <c r="H1456" t="s">
        <v>128</v>
      </c>
      <c r="I1456" t="s">
        <v>129</v>
      </c>
      <c r="J1456" t="s">
        <v>130</v>
      </c>
      <c r="K1456" t="s">
        <v>131</v>
      </c>
      <c r="L1456" t="s">
        <v>183</v>
      </c>
      <c r="M1456" t="s">
        <v>167</v>
      </c>
      <c r="N1456">
        <v>1</v>
      </c>
      <c r="O1456" s="4">
        <v>850</v>
      </c>
      <c r="P1456" s="4">
        <v>1300</v>
      </c>
      <c r="Q1456" s="7">
        <v>0.15</v>
      </c>
      <c r="R1456" t="s">
        <v>173</v>
      </c>
      <c r="S1456">
        <v>7</v>
      </c>
      <c r="T1456">
        <v>1300</v>
      </c>
      <c r="U1456">
        <v>195</v>
      </c>
      <c r="V1456">
        <v>1105</v>
      </c>
      <c r="W1456">
        <v>850</v>
      </c>
      <c r="X1456">
        <v>255</v>
      </c>
      <c r="Y1456" s="8">
        <v>0.23076923076923078</v>
      </c>
      <c r="Z1456" t="s">
        <v>2995</v>
      </c>
      <c r="AA1456" t="str">
        <f>IF(AND(SalesCleanTable[[#This Row],[Discount %]]&gt;0, SalesCleanTable[[#This Row],[Profit]]&lt;0), "Discount loss", "Safe")</f>
        <v>Safe</v>
      </c>
      <c r="AB1456" s="25">
        <f>(SalesCleanTable[[#This Row],[Unit Price]] - SalesCleanTable[[#This Row],[Unit Cost]]) / SalesCleanTable[[#This Row],[Unit Price]]</f>
        <v>0.34615384615384615</v>
      </c>
      <c r="AC1456" t="str">
        <f>IF(SalesCleanTable[[#This Row],[Discount %]] &gt; SalesCleanTable[[#This Row],[Max Allowed Discount]], "Discount loss", "Safe")</f>
        <v>Safe</v>
      </c>
      <c r="AD1456" s="4">
        <f>SalesCleanTable[[#This Row],[Unit Price]] - SalesCleanTable[[#This Row],[Unit Cost]]</f>
        <v>450</v>
      </c>
      <c r="AE1456" s="41">
        <f>(SalesCleanTable[[#This Row],[Unit Price]] - SalesCleanTable[[#This Row],[Unit Cost]]) / SalesCleanTable[[#This Row],[Unit Price]]</f>
        <v>0.34615384615384615</v>
      </c>
    </row>
    <row r="1457" spans="1:31">
      <c r="A1457" t="s">
        <v>1643</v>
      </c>
      <c r="B1457" s="6">
        <v>45892</v>
      </c>
      <c r="C1457" t="s">
        <v>116</v>
      </c>
      <c r="D1457" t="s">
        <v>117</v>
      </c>
      <c r="E1457" t="s">
        <v>109</v>
      </c>
      <c r="F1457" t="s">
        <v>118</v>
      </c>
      <c r="G1457" t="s">
        <v>119</v>
      </c>
      <c r="H1457" t="s">
        <v>141</v>
      </c>
      <c r="I1457" t="s">
        <v>142</v>
      </c>
      <c r="J1457" t="s">
        <v>143</v>
      </c>
      <c r="K1457" t="s">
        <v>144</v>
      </c>
      <c r="L1457" t="s">
        <v>166</v>
      </c>
      <c r="M1457" t="s">
        <v>167</v>
      </c>
      <c r="N1457">
        <v>1</v>
      </c>
      <c r="O1457" s="4">
        <v>2800</v>
      </c>
      <c r="P1457" s="4">
        <v>4200</v>
      </c>
      <c r="Q1457" s="7">
        <v>0.05</v>
      </c>
      <c r="R1457" t="s">
        <v>184</v>
      </c>
      <c r="S1457">
        <v>14</v>
      </c>
      <c r="T1457">
        <v>4200</v>
      </c>
      <c r="U1457">
        <v>210</v>
      </c>
      <c r="V1457">
        <v>3990</v>
      </c>
      <c r="W1457">
        <v>2800</v>
      </c>
      <c r="X1457">
        <v>1190</v>
      </c>
      <c r="Y1457" s="8">
        <v>0.2982456140350877</v>
      </c>
      <c r="Z1457" t="s">
        <v>2995</v>
      </c>
      <c r="AA1457" t="str">
        <f>IF(AND(SalesCleanTable[[#This Row],[Discount %]]&gt;0, SalesCleanTable[[#This Row],[Profit]]&lt;0), "Discount loss", "Safe")</f>
        <v>Safe</v>
      </c>
      <c r="AB1457" s="25">
        <f>(SalesCleanTable[[#This Row],[Unit Price]] - SalesCleanTable[[#This Row],[Unit Cost]]) / SalesCleanTable[[#This Row],[Unit Price]]</f>
        <v>0.33333333333333331</v>
      </c>
      <c r="AC1457" t="str">
        <f>IF(SalesCleanTable[[#This Row],[Discount %]] &gt; SalesCleanTable[[#This Row],[Max Allowed Discount]], "Discount loss", "Safe")</f>
        <v>Safe</v>
      </c>
      <c r="AD1457" s="4">
        <f>SalesCleanTable[[#This Row],[Unit Price]] - SalesCleanTable[[#This Row],[Unit Cost]]</f>
        <v>1400</v>
      </c>
      <c r="AE1457" s="41">
        <f>(SalesCleanTable[[#This Row],[Unit Price]] - SalesCleanTable[[#This Row],[Unit Cost]]) / SalesCleanTable[[#This Row],[Unit Price]]</f>
        <v>0.33333333333333331</v>
      </c>
    </row>
    <row r="1458" spans="1:31">
      <c r="A1458" t="s">
        <v>1644</v>
      </c>
      <c r="B1458" s="6">
        <v>45697</v>
      </c>
      <c r="C1458" t="s">
        <v>73</v>
      </c>
      <c r="D1458" t="s">
        <v>74</v>
      </c>
      <c r="E1458" t="s">
        <v>75</v>
      </c>
      <c r="F1458" t="s">
        <v>76</v>
      </c>
      <c r="G1458" t="s">
        <v>77</v>
      </c>
      <c r="H1458" t="s">
        <v>149</v>
      </c>
      <c r="I1458" t="s">
        <v>150</v>
      </c>
      <c r="J1458" t="s">
        <v>151</v>
      </c>
      <c r="K1458" t="s">
        <v>152</v>
      </c>
      <c r="L1458" t="s">
        <v>183</v>
      </c>
      <c r="M1458" t="s">
        <v>171</v>
      </c>
      <c r="N1458">
        <v>5</v>
      </c>
      <c r="O1458" s="4">
        <v>3500</v>
      </c>
      <c r="P1458" s="4">
        <v>5200</v>
      </c>
      <c r="Q1458" s="7">
        <v>0.1</v>
      </c>
      <c r="R1458" t="s">
        <v>187</v>
      </c>
      <c r="S1458">
        <v>5</v>
      </c>
      <c r="T1458">
        <v>26000</v>
      </c>
      <c r="U1458">
        <v>2600</v>
      </c>
      <c r="V1458">
        <v>23400</v>
      </c>
      <c r="W1458">
        <v>17500</v>
      </c>
      <c r="X1458">
        <v>5900</v>
      </c>
      <c r="Y1458" s="8">
        <v>0.25213675213675213</v>
      </c>
      <c r="Z1458" t="s">
        <v>2996</v>
      </c>
      <c r="AA1458" t="str">
        <f>IF(AND(SalesCleanTable[[#This Row],[Discount %]]&gt;0, SalesCleanTable[[#This Row],[Profit]]&lt;0), "Discount loss", "Safe")</f>
        <v>Safe</v>
      </c>
      <c r="AB1458" s="25">
        <f>(SalesCleanTable[[#This Row],[Unit Price]] - SalesCleanTable[[#This Row],[Unit Cost]]) / SalesCleanTable[[#This Row],[Unit Price]]</f>
        <v>0.32692307692307693</v>
      </c>
      <c r="AC1458" t="str">
        <f>IF(SalesCleanTable[[#This Row],[Discount %]] &gt; SalesCleanTable[[#This Row],[Max Allowed Discount]], "Discount loss", "Safe")</f>
        <v>Safe</v>
      </c>
      <c r="AD1458" s="4">
        <f>SalesCleanTable[[#This Row],[Unit Price]] - SalesCleanTable[[#This Row],[Unit Cost]]</f>
        <v>1700</v>
      </c>
      <c r="AE1458" s="41">
        <f>(SalesCleanTable[[#This Row],[Unit Price]] - SalesCleanTable[[#This Row],[Unit Cost]]) / SalesCleanTable[[#This Row],[Unit Price]]</f>
        <v>0.32692307692307693</v>
      </c>
    </row>
    <row r="1459" spans="1:31">
      <c r="A1459" t="s">
        <v>1645</v>
      </c>
      <c r="B1459" s="6">
        <v>45948</v>
      </c>
      <c r="C1459" t="s">
        <v>116</v>
      </c>
      <c r="D1459" t="s">
        <v>117</v>
      </c>
      <c r="E1459" t="s">
        <v>109</v>
      </c>
      <c r="F1459" t="s">
        <v>118</v>
      </c>
      <c r="G1459" t="s">
        <v>119</v>
      </c>
      <c r="H1459" t="s">
        <v>128</v>
      </c>
      <c r="I1459" t="s">
        <v>129</v>
      </c>
      <c r="J1459" t="s">
        <v>130</v>
      </c>
      <c r="K1459" t="s">
        <v>131</v>
      </c>
      <c r="L1459" t="s">
        <v>170</v>
      </c>
      <c r="M1459" t="s">
        <v>171</v>
      </c>
      <c r="N1459">
        <v>2</v>
      </c>
      <c r="O1459" s="4">
        <v>2800</v>
      </c>
      <c r="P1459" s="4">
        <v>4200</v>
      </c>
      <c r="Q1459" s="7">
        <v>0.1</v>
      </c>
      <c r="R1459" t="s">
        <v>220</v>
      </c>
      <c r="S1459">
        <v>2</v>
      </c>
      <c r="T1459">
        <v>8400</v>
      </c>
      <c r="U1459">
        <v>840</v>
      </c>
      <c r="V1459">
        <v>7560</v>
      </c>
      <c r="W1459">
        <v>5600</v>
      </c>
      <c r="X1459">
        <v>1960</v>
      </c>
      <c r="Y1459" s="8">
        <v>0.25925925925925924</v>
      </c>
      <c r="Z1459" t="s">
        <v>2995</v>
      </c>
      <c r="AA1459" t="str">
        <f>IF(AND(SalesCleanTable[[#This Row],[Discount %]]&gt;0, SalesCleanTable[[#This Row],[Profit]]&lt;0), "Discount loss", "Safe")</f>
        <v>Safe</v>
      </c>
      <c r="AB1459" s="25">
        <f>(SalesCleanTable[[#This Row],[Unit Price]] - SalesCleanTable[[#This Row],[Unit Cost]]) / SalesCleanTable[[#This Row],[Unit Price]]</f>
        <v>0.33333333333333331</v>
      </c>
      <c r="AC1459" t="str">
        <f>IF(SalesCleanTable[[#This Row],[Discount %]] &gt; SalesCleanTable[[#This Row],[Max Allowed Discount]], "Discount loss", "Safe")</f>
        <v>Safe</v>
      </c>
      <c r="AD1459" s="4">
        <f>SalesCleanTable[[#This Row],[Unit Price]] - SalesCleanTable[[#This Row],[Unit Cost]]</f>
        <v>1400</v>
      </c>
      <c r="AE1459" s="41">
        <f>(SalesCleanTable[[#This Row],[Unit Price]] - SalesCleanTable[[#This Row],[Unit Cost]]) / SalesCleanTable[[#This Row],[Unit Price]]</f>
        <v>0.33333333333333331</v>
      </c>
    </row>
    <row r="1460" spans="1:31">
      <c r="A1460" t="s">
        <v>1646</v>
      </c>
      <c r="B1460" s="6">
        <v>45992</v>
      </c>
      <c r="C1460" t="s">
        <v>24</v>
      </c>
      <c r="D1460" t="s">
        <v>25</v>
      </c>
      <c r="E1460" t="s">
        <v>26</v>
      </c>
      <c r="F1460" t="s">
        <v>27</v>
      </c>
      <c r="G1460" t="s">
        <v>28</v>
      </c>
      <c r="H1460" t="s">
        <v>145</v>
      </c>
      <c r="I1460" t="s">
        <v>146</v>
      </c>
      <c r="J1460" t="s">
        <v>147</v>
      </c>
      <c r="K1460" t="s">
        <v>148</v>
      </c>
      <c r="L1460" t="s">
        <v>166</v>
      </c>
      <c r="M1460" t="s">
        <v>171</v>
      </c>
      <c r="N1460">
        <v>6</v>
      </c>
      <c r="O1460" s="4">
        <v>14500</v>
      </c>
      <c r="P1460" s="4">
        <v>17500</v>
      </c>
      <c r="Q1460" s="7">
        <v>0.05</v>
      </c>
      <c r="R1460" t="s">
        <v>197</v>
      </c>
      <c r="S1460">
        <v>2</v>
      </c>
      <c r="T1460">
        <v>105000</v>
      </c>
      <c r="U1460">
        <v>5250</v>
      </c>
      <c r="V1460">
        <v>99750</v>
      </c>
      <c r="W1460">
        <v>87000</v>
      </c>
      <c r="X1460">
        <v>12750</v>
      </c>
      <c r="Y1460" s="8">
        <v>0.12781954887218044</v>
      </c>
      <c r="Z1460" t="s">
        <v>2995</v>
      </c>
      <c r="AA1460" t="str">
        <f>IF(AND(SalesCleanTable[[#This Row],[Discount %]]&gt;0, SalesCleanTable[[#This Row],[Profit]]&lt;0), "Discount loss", "Safe")</f>
        <v>Safe</v>
      </c>
      <c r="AB1460" s="25">
        <f>(SalesCleanTable[[#This Row],[Unit Price]] - SalesCleanTable[[#This Row],[Unit Cost]]) / SalesCleanTable[[#This Row],[Unit Price]]</f>
        <v>0.17142857142857143</v>
      </c>
      <c r="AC1460" t="str">
        <f>IF(SalesCleanTable[[#This Row],[Discount %]] &gt; SalesCleanTable[[#This Row],[Max Allowed Discount]], "Discount loss", "Safe")</f>
        <v>Safe</v>
      </c>
      <c r="AD1460" s="4">
        <f>SalesCleanTable[[#This Row],[Unit Price]] - SalesCleanTable[[#This Row],[Unit Cost]]</f>
        <v>3000</v>
      </c>
      <c r="AE1460" s="41">
        <f>(SalesCleanTable[[#This Row],[Unit Price]] - SalesCleanTable[[#This Row],[Unit Cost]]) / SalesCleanTable[[#This Row],[Unit Price]]</f>
        <v>0.17142857142857143</v>
      </c>
    </row>
    <row r="1461" spans="1:31">
      <c r="A1461" t="s">
        <v>1647</v>
      </c>
      <c r="B1461" s="6">
        <v>46007</v>
      </c>
      <c r="C1461" t="s">
        <v>95</v>
      </c>
      <c r="D1461" t="s">
        <v>96</v>
      </c>
      <c r="E1461" t="s">
        <v>92</v>
      </c>
      <c r="F1461" t="s">
        <v>97</v>
      </c>
      <c r="G1461" t="s">
        <v>98</v>
      </c>
      <c r="H1461" t="s">
        <v>149</v>
      </c>
      <c r="I1461" t="s">
        <v>150</v>
      </c>
      <c r="J1461" t="s">
        <v>151</v>
      </c>
      <c r="K1461" t="s">
        <v>152</v>
      </c>
      <c r="L1461" t="s">
        <v>166</v>
      </c>
      <c r="M1461" t="s">
        <v>171</v>
      </c>
      <c r="N1461">
        <v>8</v>
      </c>
      <c r="O1461" s="4">
        <v>18000</v>
      </c>
      <c r="P1461" s="4">
        <v>24500</v>
      </c>
      <c r="Q1461" s="7">
        <v>0</v>
      </c>
      <c r="R1461" t="s">
        <v>217</v>
      </c>
      <c r="S1461">
        <v>14</v>
      </c>
      <c r="T1461">
        <v>196000</v>
      </c>
      <c r="U1461">
        <v>0</v>
      </c>
      <c r="V1461">
        <v>196000</v>
      </c>
      <c r="W1461">
        <v>144000</v>
      </c>
      <c r="X1461">
        <v>52000</v>
      </c>
      <c r="Y1461" s="8">
        <v>0.26530612244897961</v>
      </c>
      <c r="Z1461" t="s">
        <v>2995</v>
      </c>
      <c r="AA1461" t="str">
        <f>IF(AND(SalesCleanTable[[#This Row],[Discount %]]&gt;0, SalesCleanTable[[#This Row],[Profit]]&lt;0), "Discount loss", "Safe")</f>
        <v>Safe</v>
      </c>
      <c r="AB1461" s="25">
        <f>(SalesCleanTable[[#This Row],[Unit Price]] - SalesCleanTable[[#This Row],[Unit Cost]]) / SalesCleanTable[[#This Row],[Unit Price]]</f>
        <v>0.26530612244897961</v>
      </c>
      <c r="AC1461" t="str">
        <f>IF(SalesCleanTable[[#This Row],[Discount %]] &gt; SalesCleanTable[[#This Row],[Max Allowed Discount]], "Discount loss", "Safe")</f>
        <v>Safe</v>
      </c>
      <c r="AD1461" s="4">
        <f>SalesCleanTable[[#This Row],[Unit Price]] - SalesCleanTable[[#This Row],[Unit Cost]]</f>
        <v>6500</v>
      </c>
      <c r="AE1461" s="41">
        <f>(SalesCleanTable[[#This Row],[Unit Price]] - SalesCleanTable[[#This Row],[Unit Cost]]) / SalesCleanTable[[#This Row],[Unit Price]]</f>
        <v>0.26530612244897961</v>
      </c>
    </row>
    <row r="1462" spans="1:31">
      <c r="A1462" t="s">
        <v>1648</v>
      </c>
      <c r="B1462" s="6">
        <v>46013</v>
      </c>
      <c r="C1462" t="s">
        <v>62</v>
      </c>
      <c r="D1462" t="s">
        <v>63</v>
      </c>
      <c r="E1462" t="s">
        <v>59</v>
      </c>
      <c r="F1462" t="s">
        <v>64</v>
      </c>
      <c r="G1462" t="s">
        <v>65</v>
      </c>
      <c r="H1462" t="s">
        <v>135</v>
      </c>
      <c r="I1462" t="s">
        <v>136</v>
      </c>
      <c r="J1462" t="s">
        <v>137</v>
      </c>
      <c r="K1462" t="s">
        <v>138</v>
      </c>
      <c r="L1462" t="s">
        <v>183</v>
      </c>
      <c r="M1462" t="s">
        <v>177</v>
      </c>
      <c r="N1462">
        <v>4</v>
      </c>
      <c r="O1462" s="4">
        <v>3200</v>
      </c>
      <c r="P1462" s="4">
        <v>4500</v>
      </c>
      <c r="Q1462" s="7">
        <v>0.05</v>
      </c>
      <c r="R1462" t="s">
        <v>192</v>
      </c>
      <c r="S1462">
        <v>7</v>
      </c>
      <c r="T1462">
        <v>18000</v>
      </c>
      <c r="U1462">
        <v>900</v>
      </c>
      <c r="V1462">
        <v>17100</v>
      </c>
      <c r="W1462">
        <v>12800</v>
      </c>
      <c r="X1462">
        <v>4300</v>
      </c>
      <c r="Y1462" s="8">
        <v>0.25146198830409355</v>
      </c>
      <c r="Z1462" t="s">
        <v>2996</v>
      </c>
      <c r="AA1462" t="str">
        <f>IF(AND(SalesCleanTable[[#This Row],[Discount %]]&gt;0, SalesCleanTable[[#This Row],[Profit]]&lt;0), "Discount loss", "Safe")</f>
        <v>Safe</v>
      </c>
      <c r="AB1462" s="25">
        <f>(SalesCleanTable[[#This Row],[Unit Price]] - SalesCleanTable[[#This Row],[Unit Cost]]) / SalesCleanTable[[#This Row],[Unit Price]]</f>
        <v>0.28888888888888886</v>
      </c>
      <c r="AC1462" t="str">
        <f>IF(SalesCleanTable[[#This Row],[Discount %]] &gt; SalesCleanTable[[#This Row],[Max Allowed Discount]], "Discount loss", "Safe")</f>
        <v>Safe</v>
      </c>
      <c r="AD1462" s="4">
        <f>SalesCleanTable[[#This Row],[Unit Price]] - SalesCleanTable[[#This Row],[Unit Cost]]</f>
        <v>1300</v>
      </c>
      <c r="AE1462" s="41">
        <f>(SalesCleanTable[[#This Row],[Unit Price]] - SalesCleanTable[[#This Row],[Unit Cost]]) / SalesCleanTable[[#This Row],[Unit Price]]</f>
        <v>0.28888888888888886</v>
      </c>
    </row>
    <row r="1463" spans="1:31">
      <c r="A1463" t="s">
        <v>1649</v>
      </c>
      <c r="B1463" s="6">
        <v>45673</v>
      </c>
      <c r="C1463" t="s">
        <v>24</v>
      </c>
      <c r="D1463" t="s">
        <v>25</v>
      </c>
      <c r="E1463" t="s">
        <v>26</v>
      </c>
      <c r="F1463" t="s">
        <v>27</v>
      </c>
      <c r="G1463" t="s">
        <v>28</v>
      </c>
      <c r="H1463" t="s">
        <v>135</v>
      </c>
      <c r="I1463" t="s">
        <v>136</v>
      </c>
      <c r="J1463" t="s">
        <v>137</v>
      </c>
      <c r="K1463" t="s">
        <v>138</v>
      </c>
      <c r="L1463" t="s">
        <v>166</v>
      </c>
      <c r="M1463" t="s">
        <v>171</v>
      </c>
      <c r="N1463">
        <v>2</v>
      </c>
      <c r="O1463" s="4">
        <v>14500</v>
      </c>
      <c r="P1463" s="4">
        <v>17500</v>
      </c>
      <c r="Q1463" s="7">
        <v>0</v>
      </c>
      <c r="R1463" t="s">
        <v>173</v>
      </c>
      <c r="S1463">
        <v>2</v>
      </c>
      <c r="T1463">
        <v>35000</v>
      </c>
      <c r="U1463">
        <v>0</v>
      </c>
      <c r="V1463">
        <v>35000</v>
      </c>
      <c r="W1463">
        <v>29000</v>
      </c>
      <c r="X1463">
        <v>6000</v>
      </c>
      <c r="Y1463" s="8">
        <v>0.17142857142857143</v>
      </c>
      <c r="Z1463" t="s">
        <v>2995</v>
      </c>
      <c r="AA1463" t="str">
        <f>IF(AND(SalesCleanTable[[#This Row],[Discount %]]&gt;0, SalesCleanTable[[#This Row],[Profit]]&lt;0), "Discount loss", "Safe")</f>
        <v>Safe</v>
      </c>
      <c r="AB1463" s="25">
        <f>(SalesCleanTable[[#This Row],[Unit Price]] - SalesCleanTable[[#This Row],[Unit Cost]]) / SalesCleanTable[[#This Row],[Unit Price]]</f>
        <v>0.17142857142857143</v>
      </c>
      <c r="AC1463" t="str">
        <f>IF(SalesCleanTable[[#This Row],[Discount %]] &gt; SalesCleanTable[[#This Row],[Max Allowed Discount]], "Discount loss", "Safe")</f>
        <v>Safe</v>
      </c>
      <c r="AD1463" s="4">
        <f>SalesCleanTable[[#This Row],[Unit Price]] - SalesCleanTable[[#This Row],[Unit Cost]]</f>
        <v>3000</v>
      </c>
      <c r="AE1463" s="41">
        <f>(SalesCleanTable[[#This Row],[Unit Price]] - SalesCleanTable[[#This Row],[Unit Cost]]) / SalesCleanTable[[#This Row],[Unit Price]]</f>
        <v>0.17142857142857143</v>
      </c>
    </row>
    <row r="1464" spans="1:31">
      <c r="A1464" t="s">
        <v>1650</v>
      </c>
      <c r="B1464" s="6">
        <v>45801</v>
      </c>
      <c r="C1464" t="s">
        <v>82</v>
      </c>
      <c r="D1464" t="s">
        <v>83</v>
      </c>
      <c r="E1464" t="s">
        <v>75</v>
      </c>
      <c r="F1464" t="s">
        <v>84</v>
      </c>
      <c r="G1464" t="s">
        <v>85</v>
      </c>
      <c r="H1464" t="s">
        <v>145</v>
      </c>
      <c r="I1464" t="s">
        <v>146</v>
      </c>
      <c r="J1464" t="s">
        <v>147</v>
      </c>
      <c r="K1464" t="s">
        <v>148</v>
      </c>
      <c r="L1464" t="s">
        <v>183</v>
      </c>
      <c r="M1464" t="s">
        <v>171</v>
      </c>
      <c r="N1464">
        <v>1</v>
      </c>
      <c r="O1464" s="4">
        <v>600</v>
      </c>
      <c r="P1464" s="4">
        <v>950</v>
      </c>
      <c r="Q1464" s="7">
        <v>0</v>
      </c>
      <c r="R1464" t="s">
        <v>187</v>
      </c>
      <c r="S1464">
        <v>4</v>
      </c>
      <c r="T1464">
        <v>950</v>
      </c>
      <c r="U1464">
        <v>0</v>
      </c>
      <c r="V1464">
        <v>950</v>
      </c>
      <c r="W1464">
        <v>600</v>
      </c>
      <c r="X1464">
        <v>350</v>
      </c>
      <c r="Y1464" s="8">
        <v>0.36842105263157893</v>
      </c>
      <c r="Z1464" t="s">
        <v>2996</v>
      </c>
      <c r="AA1464" t="str">
        <f>IF(AND(SalesCleanTable[[#This Row],[Discount %]]&gt;0, SalesCleanTable[[#This Row],[Profit]]&lt;0), "Discount loss", "Safe")</f>
        <v>Safe</v>
      </c>
      <c r="AB1464" s="25">
        <f>(SalesCleanTable[[#This Row],[Unit Price]] - SalesCleanTable[[#This Row],[Unit Cost]]) / SalesCleanTable[[#This Row],[Unit Price]]</f>
        <v>0.36842105263157893</v>
      </c>
      <c r="AC1464" t="str">
        <f>IF(SalesCleanTable[[#This Row],[Discount %]] &gt; SalesCleanTable[[#This Row],[Max Allowed Discount]], "Discount loss", "Safe")</f>
        <v>Safe</v>
      </c>
      <c r="AD1464" s="4">
        <f>SalesCleanTable[[#This Row],[Unit Price]] - SalesCleanTable[[#This Row],[Unit Cost]]</f>
        <v>350</v>
      </c>
      <c r="AE1464" s="41">
        <f>(SalesCleanTable[[#This Row],[Unit Price]] - SalesCleanTable[[#This Row],[Unit Cost]]) / SalesCleanTable[[#This Row],[Unit Price]]</f>
        <v>0.36842105263157893</v>
      </c>
    </row>
    <row r="1465" spans="1:31">
      <c r="A1465" t="s">
        <v>1651</v>
      </c>
      <c r="B1465" s="6">
        <v>45658</v>
      </c>
      <c r="C1465" t="s">
        <v>120</v>
      </c>
      <c r="D1465" t="s">
        <v>121</v>
      </c>
      <c r="E1465" t="s">
        <v>109</v>
      </c>
      <c r="F1465" t="s">
        <v>93</v>
      </c>
      <c r="G1465" t="s">
        <v>122</v>
      </c>
      <c r="H1465" t="s">
        <v>128</v>
      </c>
      <c r="I1465" t="s">
        <v>129</v>
      </c>
      <c r="J1465" t="s">
        <v>130</v>
      </c>
      <c r="K1465" t="s">
        <v>131</v>
      </c>
      <c r="L1465" t="s">
        <v>166</v>
      </c>
      <c r="M1465" t="s">
        <v>171</v>
      </c>
      <c r="N1465">
        <v>3</v>
      </c>
      <c r="O1465" s="4">
        <v>1700</v>
      </c>
      <c r="P1465" s="4">
        <v>2800</v>
      </c>
      <c r="Q1465" s="7">
        <v>0.25</v>
      </c>
      <c r="R1465" t="s">
        <v>235</v>
      </c>
      <c r="S1465">
        <v>12</v>
      </c>
      <c r="T1465">
        <v>8400</v>
      </c>
      <c r="U1465">
        <v>2100</v>
      </c>
      <c r="V1465">
        <v>6300</v>
      </c>
      <c r="W1465">
        <v>5100</v>
      </c>
      <c r="X1465">
        <v>1200</v>
      </c>
      <c r="Y1465" s="8">
        <v>0.19047619047619047</v>
      </c>
      <c r="Z1465" t="s">
        <v>2997</v>
      </c>
      <c r="AA1465" t="str">
        <f>IF(AND(SalesCleanTable[[#This Row],[Discount %]]&gt;0, SalesCleanTable[[#This Row],[Profit]]&lt;0), "Discount loss", "Safe")</f>
        <v>Safe</v>
      </c>
      <c r="AB1465" s="25">
        <f>(SalesCleanTable[[#This Row],[Unit Price]] - SalesCleanTable[[#This Row],[Unit Cost]]) / SalesCleanTable[[#This Row],[Unit Price]]</f>
        <v>0.39285714285714285</v>
      </c>
      <c r="AC1465" t="str">
        <f>IF(SalesCleanTable[[#This Row],[Discount %]] &gt; SalesCleanTable[[#This Row],[Max Allowed Discount]], "Discount loss", "Safe")</f>
        <v>Safe</v>
      </c>
      <c r="AD1465" s="4">
        <f>SalesCleanTable[[#This Row],[Unit Price]] - SalesCleanTable[[#This Row],[Unit Cost]]</f>
        <v>1100</v>
      </c>
      <c r="AE1465" s="41">
        <f>(SalesCleanTable[[#This Row],[Unit Price]] - SalesCleanTable[[#This Row],[Unit Cost]]) / SalesCleanTable[[#This Row],[Unit Price]]</f>
        <v>0.39285714285714285</v>
      </c>
    </row>
    <row r="1466" spans="1:31">
      <c r="A1466" t="s">
        <v>1652</v>
      </c>
      <c r="B1466" s="6">
        <v>45682</v>
      </c>
      <c r="C1466" t="s">
        <v>45</v>
      </c>
      <c r="D1466" t="s">
        <v>46</v>
      </c>
      <c r="E1466" t="s">
        <v>38</v>
      </c>
      <c r="F1466" t="s">
        <v>47</v>
      </c>
      <c r="G1466" t="s">
        <v>48</v>
      </c>
      <c r="H1466" t="s">
        <v>128</v>
      </c>
      <c r="I1466" t="s">
        <v>129</v>
      </c>
      <c r="J1466" t="s">
        <v>130</v>
      </c>
      <c r="K1466" t="s">
        <v>131</v>
      </c>
      <c r="L1466" t="s">
        <v>166</v>
      </c>
      <c r="M1466" t="s">
        <v>186</v>
      </c>
      <c r="N1466">
        <v>2</v>
      </c>
      <c r="O1466" s="4">
        <v>230</v>
      </c>
      <c r="P1466" s="4">
        <v>400</v>
      </c>
      <c r="Q1466" s="7">
        <v>0.15</v>
      </c>
      <c r="R1466" t="s">
        <v>175</v>
      </c>
      <c r="S1466">
        <v>12</v>
      </c>
      <c r="T1466">
        <v>800</v>
      </c>
      <c r="U1466">
        <v>120</v>
      </c>
      <c r="V1466">
        <v>680</v>
      </c>
      <c r="W1466">
        <v>460</v>
      </c>
      <c r="X1466">
        <v>220</v>
      </c>
      <c r="Y1466" s="8">
        <v>0.3235294117647059</v>
      </c>
      <c r="Z1466" t="s">
        <v>2995</v>
      </c>
      <c r="AA1466" t="str">
        <f>IF(AND(SalesCleanTable[[#This Row],[Discount %]]&gt;0, SalesCleanTable[[#This Row],[Profit]]&lt;0), "Discount loss", "Safe")</f>
        <v>Safe</v>
      </c>
      <c r="AB1466" s="25">
        <f>(SalesCleanTable[[#This Row],[Unit Price]] - SalesCleanTable[[#This Row],[Unit Cost]]) / SalesCleanTable[[#This Row],[Unit Price]]</f>
        <v>0.42499999999999999</v>
      </c>
      <c r="AC1466" t="str">
        <f>IF(SalesCleanTable[[#This Row],[Discount %]] &gt; SalesCleanTable[[#This Row],[Max Allowed Discount]], "Discount loss", "Safe")</f>
        <v>Safe</v>
      </c>
      <c r="AD1466" s="4">
        <f>SalesCleanTable[[#This Row],[Unit Price]] - SalesCleanTable[[#This Row],[Unit Cost]]</f>
        <v>170</v>
      </c>
      <c r="AE1466" s="41">
        <f>(SalesCleanTable[[#This Row],[Unit Price]] - SalesCleanTable[[#This Row],[Unit Cost]]) / SalesCleanTable[[#This Row],[Unit Price]]</f>
        <v>0.42499999999999999</v>
      </c>
    </row>
    <row r="1467" spans="1:31">
      <c r="A1467" t="s">
        <v>1653</v>
      </c>
      <c r="B1467" s="6">
        <v>45732</v>
      </c>
      <c r="C1467" t="s">
        <v>45</v>
      </c>
      <c r="D1467" t="s">
        <v>46</v>
      </c>
      <c r="E1467" t="s">
        <v>38</v>
      </c>
      <c r="F1467" t="s">
        <v>47</v>
      </c>
      <c r="G1467" t="s">
        <v>48</v>
      </c>
      <c r="H1467" t="s">
        <v>141</v>
      </c>
      <c r="I1467" t="s">
        <v>142</v>
      </c>
      <c r="J1467" t="s">
        <v>143</v>
      </c>
      <c r="K1467" t="s">
        <v>144</v>
      </c>
      <c r="L1467" t="s">
        <v>166</v>
      </c>
      <c r="M1467" t="s">
        <v>171</v>
      </c>
      <c r="N1467">
        <v>2</v>
      </c>
      <c r="O1467" s="4">
        <v>230</v>
      </c>
      <c r="P1467" s="4">
        <v>400</v>
      </c>
      <c r="Q1467" s="7">
        <v>0.1</v>
      </c>
      <c r="R1467" t="s">
        <v>175</v>
      </c>
      <c r="S1467">
        <v>3</v>
      </c>
      <c r="T1467">
        <v>800</v>
      </c>
      <c r="U1467">
        <v>80</v>
      </c>
      <c r="V1467">
        <v>720</v>
      </c>
      <c r="W1467">
        <v>460</v>
      </c>
      <c r="X1467">
        <v>260</v>
      </c>
      <c r="Y1467" s="8">
        <v>0.3611111111111111</v>
      </c>
      <c r="Z1467" t="s">
        <v>2995</v>
      </c>
      <c r="AA1467" t="str">
        <f>IF(AND(SalesCleanTable[[#This Row],[Discount %]]&gt;0, SalesCleanTable[[#This Row],[Profit]]&lt;0), "Discount loss", "Safe")</f>
        <v>Safe</v>
      </c>
      <c r="AB1467" s="25">
        <f>(SalesCleanTable[[#This Row],[Unit Price]] - SalesCleanTable[[#This Row],[Unit Cost]]) / SalesCleanTable[[#This Row],[Unit Price]]</f>
        <v>0.42499999999999999</v>
      </c>
      <c r="AC1467" t="str">
        <f>IF(SalesCleanTable[[#This Row],[Discount %]] &gt; SalesCleanTable[[#This Row],[Max Allowed Discount]], "Discount loss", "Safe")</f>
        <v>Safe</v>
      </c>
      <c r="AD1467" s="4">
        <f>SalesCleanTable[[#This Row],[Unit Price]] - SalesCleanTable[[#This Row],[Unit Cost]]</f>
        <v>170</v>
      </c>
      <c r="AE1467" s="41">
        <f>(SalesCleanTable[[#This Row],[Unit Price]] - SalesCleanTable[[#This Row],[Unit Cost]]) / SalesCleanTable[[#This Row],[Unit Price]]</f>
        <v>0.42499999999999999</v>
      </c>
    </row>
    <row r="1468" spans="1:31">
      <c r="A1468" t="s">
        <v>1654</v>
      </c>
      <c r="B1468" s="6">
        <v>45911</v>
      </c>
      <c r="C1468" t="s">
        <v>78</v>
      </c>
      <c r="D1468" t="s">
        <v>79</v>
      </c>
      <c r="E1468" t="s">
        <v>75</v>
      </c>
      <c r="F1468" t="s">
        <v>80</v>
      </c>
      <c r="G1468" t="s">
        <v>81</v>
      </c>
      <c r="H1468" t="s">
        <v>135</v>
      </c>
      <c r="I1468" t="s">
        <v>136</v>
      </c>
      <c r="J1468" t="s">
        <v>137</v>
      </c>
      <c r="K1468" t="s">
        <v>138</v>
      </c>
      <c r="L1468" t="s">
        <v>166</v>
      </c>
      <c r="M1468" t="s">
        <v>177</v>
      </c>
      <c r="N1468">
        <v>8</v>
      </c>
      <c r="O1468" s="4">
        <v>1200</v>
      </c>
      <c r="P1468" s="4">
        <v>1900</v>
      </c>
      <c r="Q1468" s="7">
        <v>0</v>
      </c>
      <c r="R1468" t="s">
        <v>208</v>
      </c>
      <c r="S1468">
        <v>11</v>
      </c>
      <c r="T1468">
        <v>15200</v>
      </c>
      <c r="U1468">
        <v>0</v>
      </c>
      <c r="V1468">
        <v>15200</v>
      </c>
      <c r="W1468">
        <v>9600</v>
      </c>
      <c r="X1468">
        <v>5600</v>
      </c>
      <c r="Y1468" s="8">
        <v>0.36842105263157893</v>
      </c>
      <c r="Z1468" t="s">
        <v>2996</v>
      </c>
      <c r="AA1468" t="str">
        <f>IF(AND(SalesCleanTable[[#This Row],[Discount %]]&gt;0, SalesCleanTable[[#This Row],[Profit]]&lt;0), "Discount loss", "Safe")</f>
        <v>Safe</v>
      </c>
      <c r="AB1468" s="25">
        <f>(SalesCleanTable[[#This Row],[Unit Price]] - SalesCleanTable[[#This Row],[Unit Cost]]) / SalesCleanTable[[#This Row],[Unit Price]]</f>
        <v>0.36842105263157893</v>
      </c>
      <c r="AC1468" t="str">
        <f>IF(SalesCleanTable[[#This Row],[Discount %]] &gt; SalesCleanTable[[#This Row],[Max Allowed Discount]], "Discount loss", "Safe")</f>
        <v>Safe</v>
      </c>
      <c r="AD1468" s="4">
        <f>SalesCleanTable[[#This Row],[Unit Price]] - SalesCleanTable[[#This Row],[Unit Cost]]</f>
        <v>700</v>
      </c>
      <c r="AE1468" s="41">
        <f>(SalesCleanTable[[#This Row],[Unit Price]] - SalesCleanTable[[#This Row],[Unit Cost]]) / SalesCleanTable[[#This Row],[Unit Price]]</f>
        <v>0.36842105263157893</v>
      </c>
    </row>
    <row r="1469" spans="1:31">
      <c r="A1469" t="s">
        <v>1655</v>
      </c>
      <c r="B1469" s="6">
        <v>45934</v>
      </c>
      <c r="C1469" t="s">
        <v>103</v>
      </c>
      <c r="D1469" t="s">
        <v>104</v>
      </c>
      <c r="E1469" t="s">
        <v>92</v>
      </c>
      <c r="F1469" t="s">
        <v>105</v>
      </c>
      <c r="G1469" t="s">
        <v>106</v>
      </c>
      <c r="H1469" t="s">
        <v>133</v>
      </c>
      <c r="I1469" t="s">
        <v>134</v>
      </c>
      <c r="J1469" t="s">
        <v>130</v>
      </c>
      <c r="K1469" t="s">
        <v>131</v>
      </c>
      <c r="L1469" t="s">
        <v>183</v>
      </c>
      <c r="M1469" t="s">
        <v>171</v>
      </c>
      <c r="N1469">
        <v>1</v>
      </c>
      <c r="O1469" s="4">
        <v>1500</v>
      </c>
      <c r="P1469" s="4">
        <v>2500</v>
      </c>
      <c r="Q1469" s="7">
        <v>0.05</v>
      </c>
      <c r="R1469" t="s">
        <v>215</v>
      </c>
      <c r="S1469">
        <v>6</v>
      </c>
      <c r="T1469">
        <v>2500</v>
      </c>
      <c r="U1469">
        <v>125</v>
      </c>
      <c r="V1469">
        <v>2375</v>
      </c>
      <c r="W1469">
        <v>1500</v>
      </c>
      <c r="X1469">
        <v>875</v>
      </c>
      <c r="Y1469" s="8">
        <v>0.36842105263157893</v>
      </c>
      <c r="Z1469" t="s">
        <v>2996</v>
      </c>
      <c r="AA1469" t="str">
        <f>IF(AND(SalesCleanTable[[#This Row],[Discount %]]&gt;0, SalesCleanTable[[#This Row],[Profit]]&lt;0), "Discount loss", "Safe")</f>
        <v>Safe</v>
      </c>
      <c r="AB1469" s="25">
        <f>(SalesCleanTable[[#This Row],[Unit Price]] - SalesCleanTable[[#This Row],[Unit Cost]]) / SalesCleanTable[[#This Row],[Unit Price]]</f>
        <v>0.4</v>
      </c>
      <c r="AC1469" t="str">
        <f>IF(SalesCleanTable[[#This Row],[Discount %]] &gt; SalesCleanTable[[#This Row],[Max Allowed Discount]], "Discount loss", "Safe")</f>
        <v>Safe</v>
      </c>
      <c r="AD1469" s="4">
        <f>SalesCleanTable[[#This Row],[Unit Price]] - SalesCleanTable[[#This Row],[Unit Cost]]</f>
        <v>1000</v>
      </c>
      <c r="AE1469" s="41">
        <f>(SalesCleanTable[[#This Row],[Unit Price]] - SalesCleanTable[[#This Row],[Unit Cost]]) / SalesCleanTable[[#This Row],[Unit Price]]</f>
        <v>0.4</v>
      </c>
    </row>
    <row r="1470" spans="1:31">
      <c r="A1470" t="s">
        <v>1656</v>
      </c>
      <c r="B1470" s="6">
        <v>45739</v>
      </c>
      <c r="C1470" t="s">
        <v>103</v>
      </c>
      <c r="D1470" t="s">
        <v>104</v>
      </c>
      <c r="E1470" t="s">
        <v>92</v>
      </c>
      <c r="F1470" t="s">
        <v>105</v>
      </c>
      <c r="G1470" t="s">
        <v>106</v>
      </c>
      <c r="H1470" t="s">
        <v>139</v>
      </c>
      <c r="I1470" t="s">
        <v>140</v>
      </c>
      <c r="J1470" t="s">
        <v>137</v>
      </c>
      <c r="K1470" t="s">
        <v>138</v>
      </c>
      <c r="L1470" t="s">
        <v>183</v>
      </c>
      <c r="M1470" t="s">
        <v>186</v>
      </c>
      <c r="N1470">
        <v>10</v>
      </c>
      <c r="O1470" s="4">
        <v>1500</v>
      </c>
      <c r="P1470" s="4">
        <v>2500</v>
      </c>
      <c r="Q1470" s="7">
        <v>0.15</v>
      </c>
      <c r="R1470" t="s">
        <v>217</v>
      </c>
      <c r="S1470">
        <v>2</v>
      </c>
      <c r="T1470">
        <v>25000</v>
      </c>
      <c r="U1470">
        <v>3750</v>
      </c>
      <c r="V1470">
        <v>21250</v>
      </c>
      <c r="W1470">
        <v>15000</v>
      </c>
      <c r="X1470">
        <v>6250</v>
      </c>
      <c r="Y1470" s="8">
        <v>0.29411764705882354</v>
      </c>
      <c r="Z1470" t="s">
        <v>2996</v>
      </c>
      <c r="AA1470" t="str">
        <f>IF(AND(SalesCleanTable[[#This Row],[Discount %]]&gt;0, SalesCleanTable[[#This Row],[Profit]]&lt;0), "Discount loss", "Safe")</f>
        <v>Safe</v>
      </c>
      <c r="AB1470" s="25">
        <f>(SalesCleanTable[[#This Row],[Unit Price]] - SalesCleanTable[[#This Row],[Unit Cost]]) / SalesCleanTable[[#This Row],[Unit Price]]</f>
        <v>0.4</v>
      </c>
      <c r="AC1470" t="str">
        <f>IF(SalesCleanTable[[#This Row],[Discount %]] &gt; SalesCleanTable[[#This Row],[Max Allowed Discount]], "Discount loss", "Safe")</f>
        <v>Safe</v>
      </c>
      <c r="AD1470" s="4">
        <f>SalesCleanTable[[#This Row],[Unit Price]] - SalesCleanTable[[#This Row],[Unit Cost]]</f>
        <v>1000</v>
      </c>
      <c r="AE1470" s="41">
        <f>(SalesCleanTable[[#This Row],[Unit Price]] - SalesCleanTable[[#This Row],[Unit Cost]]) / SalesCleanTable[[#This Row],[Unit Price]]</f>
        <v>0.4</v>
      </c>
    </row>
    <row r="1471" spans="1:31">
      <c r="A1471" t="s">
        <v>1657</v>
      </c>
      <c r="B1471" s="6">
        <v>45936</v>
      </c>
      <c r="C1471" t="s">
        <v>24</v>
      </c>
      <c r="D1471" t="s">
        <v>25</v>
      </c>
      <c r="E1471" t="s">
        <v>26</v>
      </c>
      <c r="F1471" t="s">
        <v>27</v>
      </c>
      <c r="G1471" t="s">
        <v>28</v>
      </c>
      <c r="H1471" t="s">
        <v>128</v>
      </c>
      <c r="I1471" t="s">
        <v>129</v>
      </c>
      <c r="J1471" t="s">
        <v>130</v>
      </c>
      <c r="K1471" t="s">
        <v>131</v>
      </c>
      <c r="L1471" t="s">
        <v>183</v>
      </c>
      <c r="M1471" t="s">
        <v>177</v>
      </c>
      <c r="N1471">
        <v>1</v>
      </c>
      <c r="O1471" s="4">
        <v>14500</v>
      </c>
      <c r="P1471" s="4">
        <v>17500</v>
      </c>
      <c r="Q1471" s="7">
        <v>0.2</v>
      </c>
      <c r="R1471" t="s">
        <v>197</v>
      </c>
      <c r="S1471">
        <v>11</v>
      </c>
      <c r="T1471">
        <v>17500</v>
      </c>
      <c r="U1471">
        <v>3500</v>
      </c>
      <c r="V1471">
        <v>14000</v>
      </c>
      <c r="W1471">
        <v>14500</v>
      </c>
      <c r="X1471">
        <v>-500</v>
      </c>
      <c r="Y1471" s="8">
        <v>-3.5714285714285712E-2</v>
      </c>
      <c r="Z1471" t="s">
        <v>2995</v>
      </c>
      <c r="AA1471" t="str">
        <f>IF(AND(SalesCleanTable[[#This Row],[Discount %]]&gt;0, SalesCleanTable[[#This Row],[Profit]]&lt;0), "Discount loss", "Safe")</f>
        <v>Discount loss</v>
      </c>
      <c r="AB1471" s="25">
        <f>(SalesCleanTable[[#This Row],[Unit Price]] - SalesCleanTable[[#This Row],[Unit Cost]]) / SalesCleanTable[[#This Row],[Unit Price]]</f>
        <v>0.17142857142857143</v>
      </c>
      <c r="AC1471" t="str">
        <f>IF(SalesCleanTable[[#This Row],[Discount %]] &gt; SalesCleanTable[[#This Row],[Max Allowed Discount]], "Discount loss", "Safe")</f>
        <v>Discount loss</v>
      </c>
      <c r="AD1471" s="4">
        <f>SalesCleanTable[[#This Row],[Unit Price]] - SalesCleanTable[[#This Row],[Unit Cost]]</f>
        <v>3000</v>
      </c>
      <c r="AE1471" s="41">
        <f>(SalesCleanTable[[#This Row],[Unit Price]] - SalesCleanTable[[#This Row],[Unit Cost]]) / SalesCleanTable[[#This Row],[Unit Price]]</f>
        <v>0.17142857142857143</v>
      </c>
    </row>
    <row r="1472" spans="1:31">
      <c r="A1472" t="s">
        <v>1658</v>
      </c>
      <c r="B1472" s="6">
        <v>45829</v>
      </c>
      <c r="C1472" t="s">
        <v>53</v>
      </c>
      <c r="D1472" t="s">
        <v>54</v>
      </c>
      <c r="E1472" t="s">
        <v>38</v>
      </c>
      <c r="F1472" t="s">
        <v>55</v>
      </c>
      <c r="G1472" t="s">
        <v>56</v>
      </c>
      <c r="H1472" t="s">
        <v>135</v>
      </c>
      <c r="I1472" t="s">
        <v>136</v>
      </c>
      <c r="J1472" t="s">
        <v>137</v>
      </c>
      <c r="K1472" t="s">
        <v>138</v>
      </c>
      <c r="L1472" t="s">
        <v>170</v>
      </c>
      <c r="M1472" t="s">
        <v>171</v>
      </c>
      <c r="N1472">
        <v>5</v>
      </c>
      <c r="O1472" s="4">
        <v>330</v>
      </c>
      <c r="P1472" s="4">
        <v>550</v>
      </c>
      <c r="Q1472" s="7">
        <v>0.05</v>
      </c>
      <c r="R1472" t="s">
        <v>175</v>
      </c>
      <c r="S1472">
        <v>4</v>
      </c>
      <c r="T1472">
        <v>2750</v>
      </c>
      <c r="U1472">
        <v>137.5</v>
      </c>
      <c r="V1472">
        <v>2612.5</v>
      </c>
      <c r="W1472">
        <v>1650</v>
      </c>
      <c r="X1472">
        <v>962.5</v>
      </c>
      <c r="Y1472" s="8">
        <v>0.36842105263157893</v>
      </c>
      <c r="Z1472" t="s">
        <v>2996</v>
      </c>
      <c r="AA1472" t="str">
        <f>IF(AND(SalesCleanTable[[#This Row],[Discount %]]&gt;0, SalesCleanTable[[#This Row],[Profit]]&lt;0), "Discount loss", "Safe")</f>
        <v>Safe</v>
      </c>
      <c r="AB1472" s="25">
        <f>(SalesCleanTable[[#This Row],[Unit Price]] - SalesCleanTable[[#This Row],[Unit Cost]]) / SalesCleanTable[[#This Row],[Unit Price]]</f>
        <v>0.4</v>
      </c>
      <c r="AC1472" t="str">
        <f>IF(SalesCleanTable[[#This Row],[Discount %]] &gt; SalesCleanTable[[#This Row],[Max Allowed Discount]], "Discount loss", "Safe")</f>
        <v>Safe</v>
      </c>
      <c r="AD1472" s="4">
        <f>SalesCleanTable[[#This Row],[Unit Price]] - SalesCleanTable[[#This Row],[Unit Cost]]</f>
        <v>220</v>
      </c>
      <c r="AE1472" s="41">
        <f>(SalesCleanTable[[#This Row],[Unit Price]] - SalesCleanTable[[#This Row],[Unit Cost]]) / SalesCleanTable[[#This Row],[Unit Price]]</f>
        <v>0.4</v>
      </c>
    </row>
    <row r="1473" spans="1:31">
      <c r="A1473" t="s">
        <v>1659</v>
      </c>
      <c r="B1473" s="6">
        <v>45866</v>
      </c>
      <c r="C1473" t="s">
        <v>78</v>
      </c>
      <c r="D1473" t="s">
        <v>79</v>
      </c>
      <c r="E1473" t="s">
        <v>75</v>
      </c>
      <c r="F1473" t="s">
        <v>80</v>
      </c>
      <c r="G1473" t="s">
        <v>81</v>
      </c>
      <c r="H1473" t="s">
        <v>153</v>
      </c>
      <c r="I1473" t="s">
        <v>154</v>
      </c>
      <c r="J1473" t="s">
        <v>155</v>
      </c>
      <c r="K1473" t="s">
        <v>131</v>
      </c>
      <c r="L1473" t="s">
        <v>166</v>
      </c>
      <c r="M1473" t="s">
        <v>171</v>
      </c>
      <c r="N1473">
        <v>-2</v>
      </c>
      <c r="O1473" s="4">
        <v>1200</v>
      </c>
      <c r="P1473" s="4">
        <v>1900</v>
      </c>
      <c r="Q1473" s="7">
        <v>0.1</v>
      </c>
      <c r="R1473" t="s">
        <v>187</v>
      </c>
      <c r="S1473">
        <v>12</v>
      </c>
      <c r="T1473">
        <v>-3800</v>
      </c>
      <c r="U1473">
        <v>-380</v>
      </c>
      <c r="V1473">
        <v>-3420</v>
      </c>
      <c r="W1473">
        <v>-2400</v>
      </c>
      <c r="X1473">
        <v>-1020</v>
      </c>
      <c r="Y1473" s="8">
        <v>0.2982456140350877</v>
      </c>
      <c r="Z1473" t="s">
        <v>2996</v>
      </c>
      <c r="AA1473" t="str">
        <f>IF(AND(SalesCleanTable[[#This Row],[Discount %]]&gt;0, SalesCleanTable[[#This Row],[Profit]]&lt;0), "Discount loss", "Safe")</f>
        <v>Discount loss</v>
      </c>
      <c r="AB1473" s="25">
        <f>(SalesCleanTable[[#This Row],[Unit Price]] - SalesCleanTable[[#This Row],[Unit Cost]]) / SalesCleanTable[[#This Row],[Unit Price]]</f>
        <v>0.36842105263157893</v>
      </c>
      <c r="AC1473" t="str">
        <f>IF(SalesCleanTable[[#This Row],[Discount %]] &gt; SalesCleanTable[[#This Row],[Max Allowed Discount]], "Discount loss", "Safe")</f>
        <v>Safe</v>
      </c>
      <c r="AD1473" s="4">
        <f>SalesCleanTable[[#This Row],[Unit Price]] - SalesCleanTable[[#This Row],[Unit Cost]]</f>
        <v>700</v>
      </c>
      <c r="AE1473" s="41">
        <f>(SalesCleanTable[[#This Row],[Unit Price]] - SalesCleanTable[[#This Row],[Unit Cost]]) / SalesCleanTable[[#This Row],[Unit Price]]</f>
        <v>0.36842105263157893</v>
      </c>
    </row>
    <row r="1474" spans="1:31">
      <c r="A1474" t="s">
        <v>1660</v>
      </c>
      <c r="B1474" s="6">
        <v>45713</v>
      </c>
      <c r="C1474" t="s">
        <v>53</v>
      </c>
      <c r="D1474" t="s">
        <v>54</v>
      </c>
      <c r="E1474" t="s">
        <v>38</v>
      </c>
      <c r="F1474" t="s">
        <v>55</v>
      </c>
      <c r="G1474" t="s">
        <v>56</v>
      </c>
      <c r="H1474" t="s">
        <v>149</v>
      </c>
      <c r="I1474" t="s">
        <v>150</v>
      </c>
      <c r="J1474" t="s">
        <v>151</v>
      </c>
      <c r="K1474" t="s">
        <v>152</v>
      </c>
      <c r="L1474" t="s">
        <v>183</v>
      </c>
      <c r="M1474" t="s">
        <v>167</v>
      </c>
      <c r="N1474">
        <v>4</v>
      </c>
      <c r="O1474" s="4">
        <v>330</v>
      </c>
      <c r="P1474" s="4">
        <v>550</v>
      </c>
      <c r="Q1474" s="7">
        <v>0.05</v>
      </c>
      <c r="R1474" t="s">
        <v>178</v>
      </c>
      <c r="S1474">
        <v>9</v>
      </c>
      <c r="T1474">
        <v>2200</v>
      </c>
      <c r="U1474">
        <v>110</v>
      </c>
      <c r="V1474">
        <v>2090</v>
      </c>
      <c r="W1474">
        <v>1320</v>
      </c>
      <c r="X1474">
        <v>770</v>
      </c>
      <c r="Y1474" s="8">
        <v>0.36842105263157893</v>
      </c>
      <c r="Z1474" t="s">
        <v>2996</v>
      </c>
      <c r="AA1474" t="str">
        <f>IF(AND(SalesCleanTable[[#This Row],[Discount %]]&gt;0, SalesCleanTable[[#This Row],[Profit]]&lt;0), "Discount loss", "Safe")</f>
        <v>Safe</v>
      </c>
      <c r="AB1474" s="25">
        <f>(SalesCleanTable[[#This Row],[Unit Price]] - SalesCleanTable[[#This Row],[Unit Cost]]) / SalesCleanTable[[#This Row],[Unit Price]]</f>
        <v>0.4</v>
      </c>
      <c r="AC1474" t="str">
        <f>IF(SalesCleanTable[[#This Row],[Discount %]] &gt; SalesCleanTable[[#This Row],[Max Allowed Discount]], "Discount loss", "Safe")</f>
        <v>Safe</v>
      </c>
      <c r="AD1474" s="4">
        <f>SalesCleanTable[[#This Row],[Unit Price]] - SalesCleanTable[[#This Row],[Unit Cost]]</f>
        <v>220</v>
      </c>
      <c r="AE1474" s="41">
        <f>(SalesCleanTable[[#This Row],[Unit Price]] - SalesCleanTable[[#This Row],[Unit Cost]]) / SalesCleanTable[[#This Row],[Unit Price]]</f>
        <v>0.4</v>
      </c>
    </row>
    <row r="1475" spans="1:31">
      <c r="A1475" t="s">
        <v>1661</v>
      </c>
      <c r="B1475" s="6">
        <v>45755</v>
      </c>
      <c r="C1475" t="s">
        <v>24</v>
      </c>
      <c r="D1475" t="s">
        <v>25</v>
      </c>
      <c r="E1475" t="s">
        <v>26</v>
      </c>
      <c r="F1475" t="s">
        <v>27</v>
      </c>
      <c r="G1475" t="s">
        <v>28</v>
      </c>
      <c r="H1475" t="s">
        <v>128</v>
      </c>
      <c r="I1475" t="s">
        <v>129</v>
      </c>
      <c r="J1475" t="s">
        <v>130</v>
      </c>
      <c r="K1475" t="s">
        <v>131</v>
      </c>
      <c r="L1475" t="s">
        <v>183</v>
      </c>
      <c r="M1475" t="s">
        <v>177</v>
      </c>
      <c r="N1475">
        <v>1</v>
      </c>
      <c r="O1475" s="4">
        <v>14500</v>
      </c>
      <c r="P1475" s="4">
        <v>17500</v>
      </c>
      <c r="Q1475" s="7">
        <v>0</v>
      </c>
      <c r="R1475" t="s">
        <v>194</v>
      </c>
      <c r="S1475">
        <v>8</v>
      </c>
      <c r="T1475">
        <v>17500</v>
      </c>
      <c r="U1475">
        <v>0</v>
      </c>
      <c r="V1475">
        <v>17500</v>
      </c>
      <c r="W1475">
        <v>14500</v>
      </c>
      <c r="X1475">
        <v>3000</v>
      </c>
      <c r="Y1475" s="8">
        <v>0.17142857142857143</v>
      </c>
      <c r="Z1475" t="s">
        <v>2995</v>
      </c>
      <c r="AA1475" t="str">
        <f>IF(AND(SalesCleanTable[[#This Row],[Discount %]]&gt;0, SalesCleanTable[[#This Row],[Profit]]&lt;0), "Discount loss", "Safe")</f>
        <v>Safe</v>
      </c>
      <c r="AB1475" s="25">
        <f>(SalesCleanTable[[#This Row],[Unit Price]] - SalesCleanTable[[#This Row],[Unit Cost]]) / SalesCleanTable[[#This Row],[Unit Price]]</f>
        <v>0.17142857142857143</v>
      </c>
      <c r="AC1475" t="str">
        <f>IF(SalesCleanTable[[#This Row],[Discount %]] &gt; SalesCleanTable[[#This Row],[Max Allowed Discount]], "Discount loss", "Safe")</f>
        <v>Safe</v>
      </c>
      <c r="AD1475" s="4">
        <f>SalesCleanTable[[#This Row],[Unit Price]] - SalesCleanTable[[#This Row],[Unit Cost]]</f>
        <v>3000</v>
      </c>
      <c r="AE1475" s="41">
        <f>(SalesCleanTable[[#This Row],[Unit Price]] - SalesCleanTable[[#This Row],[Unit Cost]]) / SalesCleanTable[[#This Row],[Unit Price]]</f>
        <v>0.17142857142857143</v>
      </c>
    </row>
    <row r="1476" spans="1:31">
      <c r="A1476" t="s">
        <v>1662</v>
      </c>
      <c r="B1476" s="6">
        <v>45874</v>
      </c>
      <c r="C1476" t="s">
        <v>112</v>
      </c>
      <c r="D1476" t="s">
        <v>113</v>
      </c>
      <c r="E1476" t="s">
        <v>109</v>
      </c>
      <c r="F1476" t="s">
        <v>114</v>
      </c>
      <c r="G1476" t="s">
        <v>115</v>
      </c>
      <c r="H1476" t="s">
        <v>141</v>
      </c>
      <c r="I1476" t="s">
        <v>142</v>
      </c>
      <c r="J1476" t="s">
        <v>143</v>
      </c>
      <c r="K1476" t="s">
        <v>144</v>
      </c>
      <c r="L1476" t="s">
        <v>166</v>
      </c>
      <c r="M1476" t="s">
        <v>186</v>
      </c>
      <c r="N1476">
        <v>1</v>
      </c>
      <c r="O1476" s="4">
        <v>1300</v>
      </c>
      <c r="P1476" s="4">
        <v>2100</v>
      </c>
      <c r="Q1476" s="7">
        <v>0.1</v>
      </c>
      <c r="R1476" t="s">
        <v>220</v>
      </c>
      <c r="S1476">
        <v>7</v>
      </c>
      <c r="T1476">
        <v>2100</v>
      </c>
      <c r="U1476">
        <v>210</v>
      </c>
      <c r="V1476">
        <v>1890</v>
      </c>
      <c r="W1476">
        <v>1300</v>
      </c>
      <c r="X1476">
        <v>590</v>
      </c>
      <c r="Y1476" s="8">
        <v>0.31216931216931215</v>
      </c>
      <c r="Z1476" t="s">
        <v>2995</v>
      </c>
      <c r="AA1476" t="str">
        <f>IF(AND(SalesCleanTable[[#This Row],[Discount %]]&gt;0, SalesCleanTable[[#This Row],[Profit]]&lt;0), "Discount loss", "Safe")</f>
        <v>Safe</v>
      </c>
      <c r="AB1476" s="25">
        <f>(SalesCleanTable[[#This Row],[Unit Price]] - SalesCleanTable[[#This Row],[Unit Cost]]) / SalesCleanTable[[#This Row],[Unit Price]]</f>
        <v>0.38095238095238093</v>
      </c>
      <c r="AC1476" t="str">
        <f>IF(SalesCleanTable[[#This Row],[Discount %]] &gt; SalesCleanTable[[#This Row],[Max Allowed Discount]], "Discount loss", "Safe")</f>
        <v>Safe</v>
      </c>
      <c r="AD1476" s="4">
        <f>SalesCleanTable[[#This Row],[Unit Price]] - SalesCleanTable[[#This Row],[Unit Cost]]</f>
        <v>800</v>
      </c>
      <c r="AE1476" s="41">
        <f>(SalesCleanTable[[#This Row],[Unit Price]] - SalesCleanTable[[#This Row],[Unit Cost]]) / SalesCleanTable[[#This Row],[Unit Price]]</f>
        <v>0.38095238095238093</v>
      </c>
    </row>
    <row r="1477" spans="1:31">
      <c r="A1477" t="s">
        <v>1663</v>
      </c>
      <c r="B1477" s="6">
        <v>45902</v>
      </c>
      <c r="C1477" t="s">
        <v>73</v>
      </c>
      <c r="D1477" t="s">
        <v>74</v>
      </c>
      <c r="E1477" t="s">
        <v>75</v>
      </c>
      <c r="F1477" t="s">
        <v>76</v>
      </c>
      <c r="G1477" t="s">
        <v>77</v>
      </c>
      <c r="H1477" t="s">
        <v>139</v>
      </c>
      <c r="I1477" t="s">
        <v>140</v>
      </c>
      <c r="J1477" t="s">
        <v>137</v>
      </c>
      <c r="K1477" t="s">
        <v>138</v>
      </c>
      <c r="L1477" t="s">
        <v>166</v>
      </c>
      <c r="M1477" t="s">
        <v>186</v>
      </c>
      <c r="N1477">
        <v>4</v>
      </c>
      <c r="O1477" s="4">
        <v>3500</v>
      </c>
      <c r="P1477" s="4">
        <v>5200</v>
      </c>
      <c r="Q1477" s="7">
        <v>0.2</v>
      </c>
      <c r="R1477" t="s">
        <v>208</v>
      </c>
      <c r="S1477">
        <v>12</v>
      </c>
      <c r="T1477">
        <v>20800</v>
      </c>
      <c r="U1477">
        <v>4160</v>
      </c>
      <c r="V1477">
        <v>16640</v>
      </c>
      <c r="W1477">
        <v>14000</v>
      </c>
      <c r="X1477">
        <v>2640</v>
      </c>
      <c r="Y1477" s="8">
        <v>0.15865384615384615</v>
      </c>
      <c r="Z1477" t="s">
        <v>2996</v>
      </c>
      <c r="AA1477" t="str">
        <f>IF(AND(SalesCleanTable[[#This Row],[Discount %]]&gt;0, SalesCleanTable[[#This Row],[Profit]]&lt;0), "Discount loss", "Safe")</f>
        <v>Safe</v>
      </c>
      <c r="AB1477" s="25">
        <f>(SalesCleanTable[[#This Row],[Unit Price]] - SalesCleanTable[[#This Row],[Unit Cost]]) / SalesCleanTable[[#This Row],[Unit Price]]</f>
        <v>0.32692307692307693</v>
      </c>
      <c r="AC1477" t="str">
        <f>IF(SalesCleanTable[[#This Row],[Discount %]] &gt; SalesCleanTable[[#This Row],[Max Allowed Discount]], "Discount loss", "Safe")</f>
        <v>Safe</v>
      </c>
      <c r="AD1477" s="4">
        <f>SalesCleanTable[[#This Row],[Unit Price]] - SalesCleanTable[[#This Row],[Unit Cost]]</f>
        <v>1700</v>
      </c>
      <c r="AE1477" s="41">
        <f>(SalesCleanTable[[#This Row],[Unit Price]] - SalesCleanTable[[#This Row],[Unit Cost]]) / SalesCleanTable[[#This Row],[Unit Price]]</f>
        <v>0.32692307692307693</v>
      </c>
    </row>
    <row r="1478" spans="1:31">
      <c r="A1478" t="s">
        <v>1664</v>
      </c>
      <c r="B1478" s="6">
        <v>45854</v>
      </c>
      <c r="C1478" t="s">
        <v>82</v>
      </c>
      <c r="D1478" t="s">
        <v>83</v>
      </c>
      <c r="E1478" t="s">
        <v>75</v>
      </c>
      <c r="F1478" t="s">
        <v>84</v>
      </c>
      <c r="G1478" t="s">
        <v>85</v>
      </c>
      <c r="H1478" t="s">
        <v>145</v>
      </c>
      <c r="I1478" t="s">
        <v>146</v>
      </c>
      <c r="J1478" t="s">
        <v>147</v>
      </c>
      <c r="K1478" t="s">
        <v>148</v>
      </c>
      <c r="L1478" t="s">
        <v>183</v>
      </c>
      <c r="M1478" t="s">
        <v>171</v>
      </c>
      <c r="N1478">
        <v>2</v>
      </c>
      <c r="O1478" s="4">
        <v>600</v>
      </c>
      <c r="P1478" s="4">
        <v>950</v>
      </c>
      <c r="Q1478" s="7">
        <v>0.1</v>
      </c>
      <c r="R1478" t="s">
        <v>204</v>
      </c>
      <c r="S1478">
        <v>8</v>
      </c>
      <c r="T1478">
        <v>1900</v>
      </c>
      <c r="U1478">
        <v>190</v>
      </c>
      <c r="V1478">
        <v>1710</v>
      </c>
      <c r="W1478">
        <v>1200</v>
      </c>
      <c r="X1478">
        <v>510</v>
      </c>
      <c r="Y1478" s="8">
        <v>0.2982456140350877</v>
      </c>
      <c r="Z1478" t="s">
        <v>2996</v>
      </c>
      <c r="AA1478" t="str">
        <f>IF(AND(SalesCleanTable[[#This Row],[Discount %]]&gt;0, SalesCleanTable[[#This Row],[Profit]]&lt;0), "Discount loss", "Safe")</f>
        <v>Safe</v>
      </c>
      <c r="AB1478" s="25">
        <f>(SalesCleanTable[[#This Row],[Unit Price]] - SalesCleanTable[[#This Row],[Unit Cost]]) / SalesCleanTable[[#This Row],[Unit Price]]</f>
        <v>0.36842105263157893</v>
      </c>
      <c r="AC1478" t="str">
        <f>IF(SalesCleanTable[[#This Row],[Discount %]] &gt; SalesCleanTable[[#This Row],[Max Allowed Discount]], "Discount loss", "Safe")</f>
        <v>Safe</v>
      </c>
      <c r="AD1478" s="4">
        <f>SalesCleanTable[[#This Row],[Unit Price]] - SalesCleanTable[[#This Row],[Unit Cost]]</f>
        <v>350</v>
      </c>
      <c r="AE1478" s="41">
        <f>(SalesCleanTable[[#This Row],[Unit Price]] - SalesCleanTable[[#This Row],[Unit Cost]]) / SalesCleanTable[[#This Row],[Unit Price]]</f>
        <v>0.36842105263157893</v>
      </c>
    </row>
    <row r="1479" spans="1:31">
      <c r="A1479" t="s">
        <v>1665</v>
      </c>
      <c r="B1479" s="6">
        <v>45852</v>
      </c>
      <c r="C1479" t="s">
        <v>24</v>
      </c>
      <c r="D1479" t="s">
        <v>25</v>
      </c>
      <c r="E1479" t="s">
        <v>26</v>
      </c>
      <c r="F1479" t="s">
        <v>27</v>
      </c>
      <c r="G1479" t="s">
        <v>28</v>
      </c>
      <c r="H1479" t="s">
        <v>139</v>
      </c>
      <c r="I1479" t="s">
        <v>140</v>
      </c>
      <c r="J1479" t="s">
        <v>137</v>
      </c>
      <c r="K1479" t="s">
        <v>138</v>
      </c>
      <c r="L1479" t="s">
        <v>166</v>
      </c>
      <c r="M1479" t="s">
        <v>177</v>
      </c>
      <c r="N1479">
        <v>6</v>
      </c>
      <c r="O1479" s="4">
        <v>14500</v>
      </c>
      <c r="P1479" s="4">
        <v>17500</v>
      </c>
      <c r="Q1479" s="7">
        <v>0.05</v>
      </c>
      <c r="R1479" t="s">
        <v>173</v>
      </c>
      <c r="S1479">
        <v>14</v>
      </c>
      <c r="T1479">
        <v>105000</v>
      </c>
      <c r="U1479">
        <v>5250</v>
      </c>
      <c r="V1479">
        <v>99750</v>
      </c>
      <c r="W1479">
        <v>87000</v>
      </c>
      <c r="X1479">
        <v>12750</v>
      </c>
      <c r="Y1479" s="8">
        <v>0.12781954887218044</v>
      </c>
      <c r="Z1479" t="s">
        <v>2995</v>
      </c>
      <c r="AA1479" t="str">
        <f>IF(AND(SalesCleanTable[[#This Row],[Discount %]]&gt;0, SalesCleanTable[[#This Row],[Profit]]&lt;0), "Discount loss", "Safe")</f>
        <v>Safe</v>
      </c>
      <c r="AB1479" s="25">
        <f>(SalesCleanTable[[#This Row],[Unit Price]] - SalesCleanTable[[#This Row],[Unit Cost]]) / SalesCleanTable[[#This Row],[Unit Price]]</f>
        <v>0.17142857142857143</v>
      </c>
      <c r="AC1479" t="str">
        <f>IF(SalesCleanTable[[#This Row],[Discount %]] &gt; SalesCleanTable[[#This Row],[Max Allowed Discount]], "Discount loss", "Safe")</f>
        <v>Safe</v>
      </c>
      <c r="AD1479" s="4">
        <f>SalesCleanTable[[#This Row],[Unit Price]] - SalesCleanTable[[#This Row],[Unit Cost]]</f>
        <v>3000</v>
      </c>
      <c r="AE1479" s="41">
        <f>(SalesCleanTable[[#This Row],[Unit Price]] - SalesCleanTable[[#This Row],[Unit Cost]]) / SalesCleanTable[[#This Row],[Unit Price]]</f>
        <v>0.17142857142857143</v>
      </c>
    </row>
    <row r="1480" spans="1:31">
      <c r="A1480" t="s">
        <v>1666</v>
      </c>
      <c r="B1480" s="6">
        <v>45706</v>
      </c>
      <c r="C1480" t="s">
        <v>53</v>
      </c>
      <c r="D1480" t="s">
        <v>54</v>
      </c>
      <c r="E1480" t="s">
        <v>38</v>
      </c>
      <c r="F1480" t="s">
        <v>55</v>
      </c>
      <c r="G1480" t="s">
        <v>56</v>
      </c>
      <c r="H1480" t="s">
        <v>145</v>
      </c>
      <c r="I1480" t="s">
        <v>146</v>
      </c>
      <c r="J1480" t="s">
        <v>147</v>
      </c>
      <c r="K1480" t="s">
        <v>148</v>
      </c>
      <c r="L1480" t="s">
        <v>166</v>
      </c>
      <c r="M1480" t="s">
        <v>167</v>
      </c>
      <c r="N1480">
        <v>2</v>
      </c>
      <c r="O1480" s="4">
        <v>330</v>
      </c>
      <c r="P1480" s="4">
        <v>550</v>
      </c>
      <c r="Q1480" s="7">
        <v>0.2</v>
      </c>
      <c r="R1480" t="s">
        <v>168</v>
      </c>
      <c r="S1480">
        <v>14</v>
      </c>
      <c r="T1480">
        <v>1100</v>
      </c>
      <c r="U1480">
        <v>220</v>
      </c>
      <c r="V1480">
        <v>880</v>
      </c>
      <c r="W1480">
        <v>660</v>
      </c>
      <c r="X1480">
        <v>220</v>
      </c>
      <c r="Y1480" s="8">
        <v>0.25</v>
      </c>
      <c r="Z1480" t="s">
        <v>2996</v>
      </c>
      <c r="AA1480" t="str">
        <f>IF(AND(SalesCleanTable[[#This Row],[Discount %]]&gt;0, SalesCleanTable[[#This Row],[Profit]]&lt;0), "Discount loss", "Safe")</f>
        <v>Safe</v>
      </c>
      <c r="AB1480" s="25">
        <f>(SalesCleanTable[[#This Row],[Unit Price]] - SalesCleanTable[[#This Row],[Unit Cost]]) / SalesCleanTable[[#This Row],[Unit Price]]</f>
        <v>0.4</v>
      </c>
      <c r="AC1480" t="str">
        <f>IF(SalesCleanTable[[#This Row],[Discount %]] &gt; SalesCleanTable[[#This Row],[Max Allowed Discount]], "Discount loss", "Safe")</f>
        <v>Safe</v>
      </c>
      <c r="AD1480" s="4">
        <f>SalesCleanTable[[#This Row],[Unit Price]] - SalesCleanTable[[#This Row],[Unit Cost]]</f>
        <v>220</v>
      </c>
      <c r="AE1480" s="41">
        <f>(SalesCleanTable[[#This Row],[Unit Price]] - SalesCleanTable[[#This Row],[Unit Cost]]) / SalesCleanTable[[#This Row],[Unit Price]]</f>
        <v>0.4</v>
      </c>
    </row>
    <row r="1481" spans="1:31">
      <c r="A1481" t="s">
        <v>1667</v>
      </c>
      <c r="B1481" s="6">
        <v>45972</v>
      </c>
      <c r="C1481" t="s">
        <v>49</v>
      </c>
      <c r="D1481" t="s">
        <v>50</v>
      </c>
      <c r="E1481" t="s">
        <v>38</v>
      </c>
      <c r="F1481" t="s">
        <v>51</v>
      </c>
      <c r="G1481" t="s">
        <v>52</v>
      </c>
      <c r="H1481" t="s">
        <v>128</v>
      </c>
      <c r="I1481" t="s">
        <v>129</v>
      </c>
      <c r="J1481" t="s">
        <v>130</v>
      </c>
      <c r="K1481" t="s">
        <v>131</v>
      </c>
      <c r="L1481" t="s">
        <v>183</v>
      </c>
      <c r="M1481" t="s">
        <v>171</v>
      </c>
      <c r="N1481">
        <v>1</v>
      </c>
      <c r="O1481" s="4">
        <v>550</v>
      </c>
      <c r="P1481" s="4">
        <v>850</v>
      </c>
      <c r="Q1481" s="7">
        <v>0.15</v>
      </c>
      <c r="R1481" t="s">
        <v>175</v>
      </c>
      <c r="S1481">
        <v>2</v>
      </c>
      <c r="T1481">
        <v>850</v>
      </c>
      <c r="U1481">
        <v>127.5</v>
      </c>
      <c r="V1481">
        <v>722.5</v>
      </c>
      <c r="W1481">
        <v>550</v>
      </c>
      <c r="X1481">
        <v>172.5</v>
      </c>
      <c r="Y1481" s="8">
        <v>0.23875432525951557</v>
      </c>
      <c r="Z1481" t="s">
        <v>2996</v>
      </c>
      <c r="AA1481" t="str">
        <f>IF(AND(SalesCleanTable[[#This Row],[Discount %]]&gt;0, SalesCleanTable[[#This Row],[Profit]]&lt;0), "Discount loss", "Safe")</f>
        <v>Safe</v>
      </c>
      <c r="AB1481" s="25">
        <f>(SalesCleanTable[[#This Row],[Unit Price]] - SalesCleanTable[[#This Row],[Unit Cost]]) / SalesCleanTable[[#This Row],[Unit Price]]</f>
        <v>0.35294117647058826</v>
      </c>
      <c r="AC1481" t="str">
        <f>IF(SalesCleanTable[[#This Row],[Discount %]] &gt; SalesCleanTable[[#This Row],[Max Allowed Discount]], "Discount loss", "Safe")</f>
        <v>Safe</v>
      </c>
      <c r="AD1481" s="4">
        <f>SalesCleanTable[[#This Row],[Unit Price]] - SalesCleanTable[[#This Row],[Unit Cost]]</f>
        <v>300</v>
      </c>
      <c r="AE1481" s="41">
        <f>(SalesCleanTable[[#This Row],[Unit Price]] - SalesCleanTable[[#This Row],[Unit Cost]]) / SalesCleanTable[[#This Row],[Unit Price]]</f>
        <v>0.35294117647058826</v>
      </c>
    </row>
    <row r="1482" spans="1:31">
      <c r="A1482" t="s">
        <v>1668</v>
      </c>
      <c r="B1482" s="6">
        <v>45895</v>
      </c>
      <c r="C1482" t="s">
        <v>45</v>
      </c>
      <c r="D1482" t="s">
        <v>46</v>
      </c>
      <c r="E1482" t="s">
        <v>38</v>
      </c>
      <c r="F1482" t="s">
        <v>47</v>
      </c>
      <c r="G1482" t="s">
        <v>48</v>
      </c>
      <c r="H1482" t="s">
        <v>139</v>
      </c>
      <c r="I1482" t="s">
        <v>140</v>
      </c>
      <c r="J1482" t="s">
        <v>137</v>
      </c>
      <c r="K1482" t="s">
        <v>138</v>
      </c>
      <c r="L1482" t="s">
        <v>183</v>
      </c>
      <c r="M1482" t="s">
        <v>167</v>
      </c>
      <c r="N1482">
        <v>5</v>
      </c>
      <c r="O1482" s="4">
        <v>230</v>
      </c>
      <c r="P1482" s="4">
        <v>400</v>
      </c>
      <c r="Q1482" s="7">
        <v>0.05</v>
      </c>
      <c r="R1482" t="s">
        <v>178</v>
      </c>
      <c r="S1482">
        <v>12</v>
      </c>
      <c r="T1482">
        <v>2000</v>
      </c>
      <c r="U1482">
        <v>100</v>
      </c>
      <c r="V1482">
        <v>1900</v>
      </c>
      <c r="W1482">
        <v>1150</v>
      </c>
      <c r="X1482">
        <v>750</v>
      </c>
      <c r="Y1482" s="8">
        <v>0.39473684210526316</v>
      </c>
      <c r="Z1482" t="s">
        <v>2995</v>
      </c>
      <c r="AA1482" t="str">
        <f>IF(AND(SalesCleanTable[[#This Row],[Discount %]]&gt;0, SalesCleanTable[[#This Row],[Profit]]&lt;0), "Discount loss", "Safe")</f>
        <v>Safe</v>
      </c>
      <c r="AB1482" s="25">
        <f>(SalesCleanTable[[#This Row],[Unit Price]] - SalesCleanTable[[#This Row],[Unit Cost]]) / SalesCleanTable[[#This Row],[Unit Price]]</f>
        <v>0.42499999999999999</v>
      </c>
      <c r="AC1482" t="str">
        <f>IF(SalesCleanTable[[#This Row],[Discount %]] &gt; SalesCleanTable[[#This Row],[Max Allowed Discount]], "Discount loss", "Safe")</f>
        <v>Safe</v>
      </c>
      <c r="AD1482" s="4">
        <f>SalesCleanTable[[#This Row],[Unit Price]] - SalesCleanTable[[#This Row],[Unit Cost]]</f>
        <v>170</v>
      </c>
      <c r="AE1482" s="41">
        <f>(SalesCleanTable[[#This Row],[Unit Price]] - SalesCleanTable[[#This Row],[Unit Cost]]) / SalesCleanTable[[#This Row],[Unit Price]]</f>
        <v>0.42499999999999999</v>
      </c>
    </row>
    <row r="1483" spans="1:31">
      <c r="A1483" t="s">
        <v>1669</v>
      </c>
      <c r="B1483" s="6">
        <v>45747</v>
      </c>
      <c r="C1483" t="s">
        <v>107</v>
      </c>
      <c r="D1483" t="s">
        <v>108</v>
      </c>
      <c r="E1483" t="s">
        <v>109</v>
      </c>
      <c r="F1483" t="s">
        <v>110</v>
      </c>
      <c r="G1483" t="s">
        <v>111</v>
      </c>
      <c r="H1483" t="s">
        <v>135</v>
      </c>
      <c r="I1483" t="s">
        <v>136</v>
      </c>
      <c r="J1483" t="s">
        <v>137</v>
      </c>
      <c r="K1483" t="s">
        <v>138</v>
      </c>
      <c r="L1483" t="s">
        <v>166</v>
      </c>
      <c r="M1483" t="s">
        <v>177</v>
      </c>
      <c r="N1483">
        <v>1</v>
      </c>
      <c r="O1483" s="4">
        <v>5200</v>
      </c>
      <c r="P1483" s="4">
        <v>7000</v>
      </c>
      <c r="Q1483" s="7">
        <v>0.1</v>
      </c>
      <c r="R1483" t="s">
        <v>235</v>
      </c>
      <c r="S1483">
        <v>14</v>
      </c>
      <c r="T1483">
        <v>7000</v>
      </c>
      <c r="U1483">
        <v>700</v>
      </c>
      <c r="V1483">
        <v>6300</v>
      </c>
      <c r="W1483">
        <v>5200</v>
      </c>
      <c r="X1483">
        <v>1100</v>
      </c>
      <c r="Y1483" s="8">
        <v>0.17460317460317459</v>
      </c>
      <c r="Z1483" t="s">
        <v>2997</v>
      </c>
      <c r="AA1483" t="str">
        <f>IF(AND(SalesCleanTable[[#This Row],[Discount %]]&gt;0, SalesCleanTable[[#This Row],[Profit]]&lt;0), "Discount loss", "Safe")</f>
        <v>Safe</v>
      </c>
      <c r="AB1483" s="25">
        <f>(SalesCleanTable[[#This Row],[Unit Price]] - SalesCleanTable[[#This Row],[Unit Cost]]) / SalesCleanTable[[#This Row],[Unit Price]]</f>
        <v>0.25714285714285712</v>
      </c>
      <c r="AC1483" t="str">
        <f>IF(SalesCleanTable[[#This Row],[Discount %]] &gt; SalesCleanTable[[#This Row],[Max Allowed Discount]], "Discount loss", "Safe")</f>
        <v>Safe</v>
      </c>
      <c r="AD1483" s="4">
        <f>SalesCleanTable[[#This Row],[Unit Price]] - SalesCleanTable[[#This Row],[Unit Cost]]</f>
        <v>1800</v>
      </c>
      <c r="AE1483" s="41">
        <f>(SalesCleanTable[[#This Row],[Unit Price]] - SalesCleanTable[[#This Row],[Unit Cost]]) / SalesCleanTable[[#This Row],[Unit Price]]</f>
        <v>0.25714285714285712</v>
      </c>
    </row>
    <row r="1484" spans="1:31">
      <c r="A1484" t="s">
        <v>1670</v>
      </c>
      <c r="B1484" s="6">
        <v>45904</v>
      </c>
      <c r="C1484" t="s">
        <v>53</v>
      </c>
      <c r="D1484" t="s">
        <v>54</v>
      </c>
      <c r="E1484" t="s">
        <v>38</v>
      </c>
      <c r="F1484" t="s">
        <v>55</v>
      </c>
      <c r="G1484" t="s">
        <v>56</v>
      </c>
      <c r="H1484" t="s">
        <v>128</v>
      </c>
      <c r="I1484" t="s">
        <v>129</v>
      </c>
      <c r="J1484" t="s">
        <v>130</v>
      </c>
      <c r="K1484" t="s">
        <v>131</v>
      </c>
      <c r="L1484" t="s">
        <v>183</v>
      </c>
      <c r="M1484" t="s">
        <v>171</v>
      </c>
      <c r="N1484">
        <v>5</v>
      </c>
      <c r="O1484" s="4">
        <v>330</v>
      </c>
      <c r="P1484" s="4">
        <v>550</v>
      </c>
      <c r="Q1484" s="7">
        <v>0.15</v>
      </c>
      <c r="R1484" t="s">
        <v>178</v>
      </c>
      <c r="S1484">
        <v>5</v>
      </c>
      <c r="T1484">
        <v>2750</v>
      </c>
      <c r="U1484">
        <v>412.5</v>
      </c>
      <c r="V1484">
        <v>2337.5</v>
      </c>
      <c r="W1484">
        <v>1650</v>
      </c>
      <c r="X1484">
        <v>687.5</v>
      </c>
      <c r="Y1484" s="8">
        <v>0.29411764705882354</v>
      </c>
      <c r="Z1484" t="s">
        <v>2996</v>
      </c>
      <c r="AA1484" t="str">
        <f>IF(AND(SalesCleanTable[[#This Row],[Discount %]]&gt;0, SalesCleanTable[[#This Row],[Profit]]&lt;0), "Discount loss", "Safe")</f>
        <v>Safe</v>
      </c>
      <c r="AB1484" s="25">
        <f>(SalesCleanTable[[#This Row],[Unit Price]] - SalesCleanTable[[#This Row],[Unit Cost]]) / SalesCleanTable[[#This Row],[Unit Price]]</f>
        <v>0.4</v>
      </c>
      <c r="AC1484" t="str">
        <f>IF(SalesCleanTable[[#This Row],[Discount %]] &gt; SalesCleanTable[[#This Row],[Max Allowed Discount]], "Discount loss", "Safe")</f>
        <v>Safe</v>
      </c>
      <c r="AD1484" s="4">
        <f>SalesCleanTable[[#This Row],[Unit Price]] - SalesCleanTable[[#This Row],[Unit Cost]]</f>
        <v>220</v>
      </c>
      <c r="AE1484" s="41">
        <f>(SalesCleanTable[[#This Row],[Unit Price]] - SalesCleanTable[[#This Row],[Unit Cost]]) / SalesCleanTable[[#This Row],[Unit Price]]</f>
        <v>0.4</v>
      </c>
    </row>
    <row r="1485" spans="1:31">
      <c r="A1485" t="s">
        <v>1671</v>
      </c>
      <c r="B1485" s="6">
        <v>45832</v>
      </c>
      <c r="C1485" t="s">
        <v>103</v>
      </c>
      <c r="D1485" t="s">
        <v>104</v>
      </c>
      <c r="E1485" t="s">
        <v>92</v>
      </c>
      <c r="F1485" t="s">
        <v>105</v>
      </c>
      <c r="G1485" t="s">
        <v>106</v>
      </c>
      <c r="H1485" t="s">
        <v>139</v>
      </c>
      <c r="I1485" t="s">
        <v>140</v>
      </c>
      <c r="J1485" t="s">
        <v>137</v>
      </c>
      <c r="K1485" t="s">
        <v>138</v>
      </c>
      <c r="L1485" t="s">
        <v>183</v>
      </c>
      <c r="M1485" t="s">
        <v>171</v>
      </c>
      <c r="N1485">
        <v>3</v>
      </c>
      <c r="O1485" s="4">
        <v>1500</v>
      </c>
      <c r="P1485" s="4">
        <v>2500</v>
      </c>
      <c r="Q1485" s="7">
        <v>0.1</v>
      </c>
      <c r="R1485" t="s">
        <v>181</v>
      </c>
      <c r="S1485">
        <v>2</v>
      </c>
      <c r="T1485">
        <v>7500</v>
      </c>
      <c r="U1485">
        <v>750</v>
      </c>
      <c r="V1485">
        <v>6750</v>
      </c>
      <c r="W1485">
        <v>4500</v>
      </c>
      <c r="X1485">
        <v>2250</v>
      </c>
      <c r="Y1485" s="8">
        <v>0.33333333333333331</v>
      </c>
      <c r="Z1485" t="s">
        <v>2996</v>
      </c>
      <c r="AA1485" t="str">
        <f>IF(AND(SalesCleanTable[[#This Row],[Discount %]]&gt;0, SalesCleanTable[[#This Row],[Profit]]&lt;0), "Discount loss", "Safe")</f>
        <v>Safe</v>
      </c>
      <c r="AB1485" s="25">
        <f>(SalesCleanTable[[#This Row],[Unit Price]] - SalesCleanTable[[#This Row],[Unit Cost]]) / SalesCleanTable[[#This Row],[Unit Price]]</f>
        <v>0.4</v>
      </c>
      <c r="AC1485" t="str">
        <f>IF(SalesCleanTable[[#This Row],[Discount %]] &gt; SalesCleanTable[[#This Row],[Max Allowed Discount]], "Discount loss", "Safe")</f>
        <v>Safe</v>
      </c>
      <c r="AD1485" s="4">
        <f>SalesCleanTable[[#This Row],[Unit Price]] - SalesCleanTable[[#This Row],[Unit Cost]]</f>
        <v>1000</v>
      </c>
      <c r="AE1485" s="41">
        <f>(SalesCleanTable[[#This Row],[Unit Price]] - SalesCleanTable[[#This Row],[Unit Cost]]) / SalesCleanTable[[#This Row],[Unit Price]]</f>
        <v>0.4</v>
      </c>
    </row>
    <row r="1486" spans="1:31">
      <c r="A1486" t="s">
        <v>1672</v>
      </c>
      <c r="B1486" s="6">
        <v>45725</v>
      </c>
      <c r="C1486" t="s">
        <v>82</v>
      </c>
      <c r="D1486" t="s">
        <v>83</v>
      </c>
      <c r="E1486" t="s">
        <v>75</v>
      </c>
      <c r="F1486" t="s">
        <v>84</v>
      </c>
      <c r="G1486" t="s">
        <v>85</v>
      </c>
      <c r="H1486" t="s">
        <v>153</v>
      </c>
      <c r="I1486" t="s">
        <v>154</v>
      </c>
      <c r="J1486" t="s">
        <v>155</v>
      </c>
      <c r="K1486" t="s">
        <v>131</v>
      </c>
      <c r="L1486" t="s">
        <v>166</v>
      </c>
      <c r="M1486" t="s">
        <v>171</v>
      </c>
      <c r="N1486">
        <v>3</v>
      </c>
      <c r="O1486" s="4">
        <v>600</v>
      </c>
      <c r="P1486" s="4">
        <v>950</v>
      </c>
      <c r="Q1486" s="7">
        <v>0.05</v>
      </c>
      <c r="R1486" t="s">
        <v>187</v>
      </c>
      <c r="S1486">
        <v>12</v>
      </c>
      <c r="T1486">
        <v>2850</v>
      </c>
      <c r="U1486">
        <v>142.5</v>
      </c>
      <c r="V1486">
        <v>2707.5</v>
      </c>
      <c r="W1486">
        <v>1800</v>
      </c>
      <c r="X1486">
        <v>907.5</v>
      </c>
      <c r="Y1486" s="8">
        <v>0.33518005540166207</v>
      </c>
      <c r="Z1486" t="s">
        <v>2996</v>
      </c>
      <c r="AA1486" t="str">
        <f>IF(AND(SalesCleanTable[[#This Row],[Discount %]]&gt;0, SalesCleanTable[[#This Row],[Profit]]&lt;0), "Discount loss", "Safe")</f>
        <v>Safe</v>
      </c>
      <c r="AB1486" s="25">
        <f>(SalesCleanTable[[#This Row],[Unit Price]] - SalesCleanTable[[#This Row],[Unit Cost]]) / SalesCleanTable[[#This Row],[Unit Price]]</f>
        <v>0.36842105263157893</v>
      </c>
      <c r="AC1486" t="str">
        <f>IF(SalesCleanTable[[#This Row],[Discount %]] &gt; SalesCleanTable[[#This Row],[Max Allowed Discount]], "Discount loss", "Safe")</f>
        <v>Safe</v>
      </c>
      <c r="AD1486" s="4">
        <f>SalesCleanTable[[#This Row],[Unit Price]] - SalesCleanTable[[#This Row],[Unit Cost]]</f>
        <v>350</v>
      </c>
      <c r="AE1486" s="41">
        <f>(SalesCleanTable[[#This Row],[Unit Price]] - SalesCleanTable[[#This Row],[Unit Cost]]) / SalesCleanTable[[#This Row],[Unit Price]]</f>
        <v>0.36842105263157893</v>
      </c>
    </row>
    <row r="1487" spans="1:31">
      <c r="A1487" t="s">
        <v>1673</v>
      </c>
      <c r="B1487" s="6">
        <v>46013</v>
      </c>
      <c r="C1487" t="s">
        <v>49</v>
      </c>
      <c r="D1487" t="s">
        <v>50</v>
      </c>
      <c r="E1487" t="s">
        <v>38</v>
      </c>
      <c r="F1487" t="s">
        <v>51</v>
      </c>
      <c r="G1487" t="s">
        <v>52</v>
      </c>
      <c r="H1487" t="s">
        <v>139</v>
      </c>
      <c r="I1487" t="s">
        <v>140</v>
      </c>
      <c r="J1487" t="s">
        <v>137</v>
      </c>
      <c r="K1487" t="s">
        <v>138</v>
      </c>
      <c r="L1487" t="s">
        <v>166</v>
      </c>
      <c r="M1487" t="s">
        <v>171</v>
      </c>
      <c r="N1487">
        <v>2</v>
      </c>
      <c r="O1487" s="4">
        <v>550</v>
      </c>
      <c r="P1487" s="4">
        <v>850</v>
      </c>
      <c r="Q1487" s="7">
        <v>0</v>
      </c>
      <c r="R1487" t="s">
        <v>178</v>
      </c>
      <c r="S1487">
        <v>2</v>
      </c>
      <c r="T1487">
        <v>1700</v>
      </c>
      <c r="U1487">
        <v>0</v>
      </c>
      <c r="V1487">
        <v>1700</v>
      </c>
      <c r="W1487">
        <v>1100</v>
      </c>
      <c r="X1487">
        <v>600</v>
      </c>
      <c r="Y1487" s="8">
        <v>0.35294117647058826</v>
      </c>
      <c r="Z1487" t="s">
        <v>2996</v>
      </c>
      <c r="AA1487" t="str">
        <f>IF(AND(SalesCleanTable[[#This Row],[Discount %]]&gt;0, SalesCleanTable[[#This Row],[Profit]]&lt;0), "Discount loss", "Safe")</f>
        <v>Safe</v>
      </c>
      <c r="AB1487" s="25">
        <f>(SalesCleanTable[[#This Row],[Unit Price]] - SalesCleanTable[[#This Row],[Unit Cost]]) / SalesCleanTable[[#This Row],[Unit Price]]</f>
        <v>0.35294117647058826</v>
      </c>
      <c r="AC1487" t="str">
        <f>IF(SalesCleanTable[[#This Row],[Discount %]] &gt; SalesCleanTable[[#This Row],[Max Allowed Discount]], "Discount loss", "Safe")</f>
        <v>Safe</v>
      </c>
      <c r="AD1487" s="4">
        <f>SalesCleanTable[[#This Row],[Unit Price]] - SalesCleanTable[[#This Row],[Unit Cost]]</f>
        <v>300</v>
      </c>
      <c r="AE1487" s="41">
        <f>(SalesCleanTable[[#This Row],[Unit Price]] - SalesCleanTable[[#This Row],[Unit Cost]]) / SalesCleanTable[[#This Row],[Unit Price]]</f>
        <v>0.35294117647058826</v>
      </c>
    </row>
    <row r="1488" spans="1:31">
      <c r="A1488" t="s">
        <v>1674</v>
      </c>
      <c r="B1488" s="6">
        <v>45998</v>
      </c>
      <c r="C1488" t="s">
        <v>45</v>
      </c>
      <c r="D1488" t="s">
        <v>46</v>
      </c>
      <c r="E1488" t="s">
        <v>38</v>
      </c>
      <c r="F1488" t="s">
        <v>47</v>
      </c>
      <c r="G1488" t="s">
        <v>48</v>
      </c>
      <c r="H1488" t="s">
        <v>135</v>
      </c>
      <c r="I1488" t="s">
        <v>136</v>
      </c>
      <c r="J1488" t="s">
        <v>137</v>
      </c>
      <c r="K1488" t="s">
        <v>138</v>
      </c>
      <c r="L1488" t="s">
        <v>183</v>
      </c>
      <c r="M1488" t="s">
        <v>177</v>
      </c>
      <c r="N1488">
        <v>6</v>
      </c>
      <c r="O1488" s="4">
        <v>230</v>
      </c>
      <c r="P1488" s="4">
        <v>400</v>
      </c>
      <c r="Q1488" s="7">
        <v>0.15</v>
      </c>
      <c r="R1488" t="s">
        <v>178</v>
      </c>
      <c r="S1488">
        <v>2</v>
      </c>
      <c r="T1488">
        <v>2400</v>
      </c>
      <c r="U1488">
        <v>360</v>
      </c>
      <c r="V1488">
        <v>2040</v>
      </c>
      <c r="W1488">
        <v>1380</v>
      </c>
      <c r="X1488">
        <v>660</v>
      </c>
      <c r="Y1488" s="8">
        <v>0.3235294117647059</v>
      </c>
      <c r="Z1488" t="s">
        <v>2995</v>
      </c>
      <c r="AA1488" t="str">
        <f>IF(AND(SalesCleanTable[[#This Row],[Discount %]]&gt;0, SalesCleanTable[[#This Row],[Profit]]&lt;0), "Discount loss", "Safe")</f>
        <v>Safe</v>
      </c>
      <c r="AB1488" s="25">
        <f>(SalesCleanTable[[#This Row],[Unit Price]] - SalesCleanTable[[#This Row],[Unit Cost]]) / SalesCleanTable[[#This Row],[Unit Price]]</f>
        <v>0.42499999999999999</v>
      </c>
      <c r="AC1488" t="str">
        <f>IF(SalesCleanTable[[#This Row],[Discount %]] &gt; SalesCleanTable[[#This Row],[Max Allowed Discount]], "Discount loss", "Safe")</f>
        <v>Safe</v>
      </c>
      <c r="AD1488" s="4">
        <f>SalesCleanTable[[#This Row],[Unit Price]] - SalesCleanTable[[#This Row],[Unit Cost]]</f>
        <v>170</v>
      </c>
      <c r="AE1488" s="41">
        <f>(SalesCleanTable[[#This Row],[Unit Price]] - SalesCleanTable[[#This Row],[Unit Cost]]) / SalesCleanTable[[#This Row],[Unit Price]]</f>
        <v>0.42499999999999999</v>
      </c>
    </row>
    <row r="1489" spans="1:31">
      <c r="A1489" t="s">
        <v>1675</v>
      </c>
      <c r="B1489" s="6">
        <v>45998</v>
      </c>
      <c r="C1489" t="s">
        <v>41</v>
      </c>
      <c r="D1489" t="s">
        <v>42</v>
      </c>
      <c r="E1489" t="s">
        <v>26</v>
      </c>
      <c r="F1489" t="s">
        <v>43</v>
      </c>
      <c r="G1489" t="s">
        <v>44</v>
      </c>
      <c r="H1489" t="s">
        <v>141</v>
      </c>
      <c r="I1489" t="s">
        <v>142</v>
      </c>
      <c r="J1489" t="s">
        <v>143</v>
      </c>
      <c r="K1489" t="s">
        <v>144</v>
      </c>
      <c r="L1489" t="s">
        <v>166</v>
      </c>
      <c r="M1489" t="s">
        <v>171</v>
      </c>
      <c r="N1489">
        <v>3</v>
      </c>
      <c r="O1489" s="4">
        <v>850</v>
      </c>
      <c r="P1489" s="4">
        <v>1300</v>
      </c>
      <c r="Q1489" s="7">
        <v>0.1</v>
      </c>
      <c r="R1489" t="s">
        <v>173</v>
      </c>
      <c r="S1489">
        <v>3</v>
      </c>
      <c r="T1489">
        <v>3900</v>
      </c>
      <c r="U1489">
        <v>390</v>
      </c>
      <c r="V1489">
        <v>3510</v>
      </c>
      <c r="W1489">
        <v>2550</v>
      </c>
      <c r="X1489">
        <v>960</v>
      </c>
      <c r="Y1489" s="8">
        <v>0.27350427350427353</v>
      </c>
      <c r="Z1489" t="s">
        <v>2995</v>
      </c>
      <c r="AA1489" t="str">
        <f>IF(AND(SalesCleanTable[[#This Row],[Discount %]]&gt;0, SalesCleanTable[[#This Row],[Profit]]&lt;0), "Discount loss", "Safe")</f>
        <v>Safe</v>
      </c>
      <c r="AB1489" s="25">
        <f>(SalesCleanTable[[#This Row],[Unit Price]] - SalesCleanTable[[#This Row],[Unit Cost]]) / SalesCleanTable[[#This Row],[Unit Price]]</f>
        <v>0.34615384615384615</v>
      </c>
      <c r="AC1489" t="str">
        <f>IF(SalesCleanTable[[#This Row],[Discount %]] &gt; SalesCleanTable[[#This Row],[Max Allowed Discount]], "Discount loss", "Safe")</f>
        <v>Safe</v>
      </c>
      <c r="AD1489" s="4">
        <f>SalesCleanTable[[#This Row],[Unit Price]] - SalesCleanTable[[#This Row],[Unit Cost]]</f>
        <v>450</v>
      </c>
      <c r="AE1489" s="41">
        <f>(SalesCleanTable[[#This Row],[Unit Price]] - SalesCleanTable[[#This Row],[Unit Cost]]) / SalesCleanTable[[#This Row],[Unit Price]]</f>
        <v>0.34615384615384615</v>
      </c>
    </row>
    <row r="1490" spans="1:31">
      <c r="A1490" t="s">
        <v>1676</v>
      </c>
      <c r="B1490" s="6">
        <v>45717</v>
      </c>
      <c r="C1490" t="s">
        <v>62</v>
      </c>
      <c r="D1490" t="s">
        <v>63</v>
      </c>
      <c r="E1490" t="s">
        <v>59</v>
      </c>
      <c r="F1490" t="s">
        <v>64</v>
      </c>
      <c r="G1490" t="s">
        <v>65</v>
      </c>
      <c r="H1490" t="s">
        <v>133</v>
      </c>
      <c r="I1490" t="s">
        <v>134</v>
      </c>
      <c r="J1490" t="s">
        <v>130</v>
      </c>
      <c r="K1490" t="s">
        <v>131</v>
      </c>
      <c r="L1490" t="s">
        <v>183</v>
      </c>
      <c r="M1490" t="s">
        <v>177</v>
      </c>
      <c r="N1490">
        <v>1</v>
      </c>
      <c r="O1490" s="4">
        <v>3200</v>
      </c>
      <c r="P1490" s="4">
        <v>4500</v>
      </c>
      <c r="Q1490" s="7">
        <v>0</v>
      </c>
      <c r="R1490" t="s">
        <v>192</v>
      </c>
      <c r="S1490">
        <v>9</v>
      </c>
      <c r="T1490">
        <v>4500</v>
      </c>
      <c r="U1490">
        <v>0</v>
      </c>
      <c r="V1490">
        <v>4500</v>
      </c>
      <c r="W1490">
        <v>3200</v>
      </c>
      <c r="X1490">
        <v>1300</v>
      </c>
      <c r="Y1490" s="8">
        <v>0.28888888888888886</v>
      </c>
      <c r="Z1490" t="s">
        <v>2996</v>
      </c>
      <c r="AA1490" t="str">
        <f>IF(AND(SalesCleanTable[[#This Row],[Discount %]]&gt;0, SalesCleanTable[[#This Row],[Profit]]&lt;0), "Discount loss", "Safe")</f>
        <v>Safe</v>
      </c>
      <c r="AB1490" s="25">
        <f>(SalesCleanTable[[#This Row],[Unit Price]] - SalesCleanTable[[#This Row],[Unit Cost]]) / SalesCleanTable[[#This Row],[Unit Price]]</f>
        <v>0.28888888888888886</v>
      </c>
      <c r="AC1490" t="str">
        <f>IF(SalesCleanTable[[#This Row],[Discount %]] &gt; SalesCleanTable[[#This Row],[Max Allowed Discount]], "Discount loss", "Safe")</f>
        <v>Safe</v>
      </c>
      <c r="AD1490" s="4">
        <f>SalesCleanTable[[#This Row],[Unit Price]] - SalesCleanTable[[#This Row],[Unit Cost]]</f>
        <v>1300</v>
      </c>
      <c r="AE1490" s="41">
        <f>(SalesCleanTable[[#This Row],[Unit Price]] - SalesCleanTable[[#This Row],[Unit Cost]]) / SalesCleanTable[[#This Row],[Unit Price]]</f>
        <v>0.28888888888888886</v>
      </c>
    </row>
    <row r="1491" spans="1:31">
      <c r="A1491" t="s">
        <v>1677</v>
      </c>
      <c r="B1491" s="6">
        <v>45715</v>
      </c>
      <c r="C1491" t="s">
        <v>57</v>
      </c>
      <c r="D1491" t="s">
        <v>58</v>
      </c>
      <c r="E1491" t="s">
        <v>59</v>
      </c>
      <c r="F1491" t="s">
        <v>60</v>
      </c>
      <c r="G1491" t="s">
        <v>61</v>
      </c>
      <c r="H1491" t="s">
        <v>135</v>
      </c>
      <c r="I1491" t="s">
        <v>136</v>
      </c>
      <c r="J1491" t="s">
        <v>137</v>
      </c>
      <c r="K1491" t="s">
        <v>138</v>
      </c>
      <c r="L1491" t="s">
        <v>183</v>
      </c>
      <c r="M1491" t="s">
        <v>167</v>
      </c>
      <c r="N1491">
        <v>3</v>
      </c>
      <c r="O1491" s="4">
        <v>2400</v>
      </c>
      <c r="P1491" s="4">
        <v>3400</v>
      </c>
      <c r="Q1491" s="7">
        <v>0.05</v>
      </c>
      <c r="R1491" t="s">
        <v>192</v>
      </c>
      <c r="S1491">
        <v>14</v>
      </c>
      <c r="T1491">
        <v>10200</v>
      </c>
      <c r="U1491">
        <v>510</v>
      </c>
      <c r="V1491">
        <v>9690</v>
      </c>
      <c r="W1491">
        <v>7200</v>
      </c>
      <c r="X1491">
        <v>2490</v>
      </c>
      <c r="Y1491" s="8">
        <v>0.25696594427244585</v>
      </c>
      <c r="Z1491" t="s">
        <v>2996</v>
      </c>
      <c r="AA1491" t="str">
        <f>IF(AND(SalesCleanTable[[#This Row],[Discount %]]&gt;0, SalesCleanTable[[#This Row],[Profit]]&lt;0), "Discount loss", "Safe")</f>
        <v>Safe</v>
      </c>
      <c r="AB1491" s="25">
        <f>(SalesCleanTable[[#This Row],[Unit Price]] - SalesCleanTable[[#This Row],[Unit Cost]]) / SalesCleanTable[[#This Row],[Unit Price]]</f>
        <v>0.29411764705882354</v>
      </c>
      <c r="AC1491" t="str">
        <f>IF(SalesCleanTable[[#This Row],[Discount %]] &gt; SalesCleanTable[[#This Row],[Max Allowed Discount]], "Discount loss", "Safe")</f>
        <v>Safe</v>
      </c>
      <c r="AD1491" s="4">
        <f>SalesCleanTable[[#This Row],[Unit Price]] - SalesCleanTable[[#This Row],[Unit Cost]]</f>
        <v>1000</v>
      </c>
      <c r="AE1491" s="41">
        <f>(SalesCleanTable[[#This Row],[Unit Price]] - SalesCleanTable[[#This Row],[Unit Cost]]) / SalesCleanTable[[#This Row],[Unit Price]]</f>
        <v>0.29411764705882354</v>
      </c>
    </row>
    <row r="1492" spans="1:31">
      <c r="A1492" t="s">
        <v>1678</v>
      </c>
      <c r="B1492" s="6">
        <v>45767</v>
      </c>
      <c r="C1492" t="s">
        <v>36</v>
      </c>
      <c r="D1492" t="s">
        <v>37</v>
      </c>
      <c r="E1492" t="s">
        <v>38</v>
      </c>
      <c r="F1492" t="s">
        <v>39</v>
      </c>
      <c r="G1492" t="s">
        <v>40</v>
      </c>
      <c r="H1492" t="s">
        <v>139</v>
      </c>
      <c r="I1492" t="s">
        <v>140</v>
      </c>
      <c r="J1492" t="s">
        <v>137</v>
      </c>
      <c r="K1492" t="s">
        <v>138</v>
      </c>
      <c r="L1492" t="s">
        <v>166</v>
      </c>
      <c r="M1492" t="s">
        <v>171</v>
      </c>
      <c r="N1492">
        <v>3</v>
      </c>
      <c r="O1492" s="4">
        <v>1650</v>
      </c>
      <c r="P1492" s="4">
        <v>2200</v>
      </c>
      <c r="Q1492" s="7">
        <v>0</v>
      </c>
      <c r="R1492" t="s">
        <v>168</v>
      </c>
      <c r="S1492">
        <v>14</v>
      </c>
      <c r="T1492">
        <v>6600</v>
      </c>
      <c r="U1492">
        <v>0</v>
      </c>
      <c r="V1492">
        <v>6600</v>
      </c>
      <c r="W1492">
        <v>4950</v>
      </c>
      <c r="X1492">
        <v>1650</v>
      </c>
      <c r="Y1492" s="8">
        <v>0.25</v>
      </c>
      <c r="Z1492" t="s">
        <v>2995</v>
      </c>
      <c r="AA1492" t="str">
        <f>IF(AND(SalesCleanTable[[#This Row],[Discount %]]&gt;0, SalesCleanTable[[#This Row],[Profit]]&lt;0), "Discount loss", "Safe")</f>
        <v>Safe</v>
      </c>
      <c r="AB1492" s="25">
        <f>(SalesCleanTable[[#This Row],[Unit Price]] - SalesCleanTable[[#This Row],[Unit Cost]]) / SalesCleanTable[[#This Row],[Unit Price]]</f>
        <v>0.25</v>
      </c>
      <c r="AC1492" t="str">
        <f>IF(SalesCleanTable[[#This Row],[Discount %]] &gt; SalesCleanTable[[#This Row],[Max Allowed Discount]], "Discount loss", "Safe")</f>
        <v>Safe</v>
      </c>
      <c r="AD1492" s="4">
        <f>SalesCleanTable[[#This Row],[Unit Price]] - SalesCleanTable[[#This Row],[Unit Cost]]</f>
        <v>550</v>
      </c>
      <c r="AE1492" s="41">
        <f>(SalesCleanTable[[#This Row],[Unit Price]] - SalesCleanTable[[#This Row],[Unit Cost]]) / SalesCleanTable[[#This Row],[Unit Price]]</f>
        <v>0.25</v>
      </c>
    </row>
    <row r="1493" spans="1:31">
      <c r="A1493" t="s">
        <v>1679</v>
      </c>
      <c r="B1493" s="6">
        <v>45732</v>
      </c>
      <c r="C1493" t="s">
        <v>78</v>
      </c>
      <c r="D1493" t="s">
        <v>79</v>
      </c>
      <c r="E1493" t="s">
        <v>75</v>
      </c>
      <c r="F1493" t="s">
        <v>80</v>
      </c>
      <c r="G1493" t="s">
        <v>81</v>
      </c>
      <c r="H1493" t="s">
        <v>149</v>
      </c>
      <c r="I1493" t="s">
        <v>150</v>
      </c>
      <c r="J1493" t="s">
        <v>151</v>
      </c>
      <c r="K1493" t="s">
        <v>152</v>
      </c>
      <c r="L1493" t="s">
        <v>166</v>
      </c>
      <c r="M1493" t="s">
        <v>171</v>
      </c>
      <c r="N1493">
        <v>1</v>
      </c>
      <c r="O1493" s="4">
        <v>1200</v>
      </c>
      <c r="P1493" s="4">
        <v>1900</v>
      </c>
      <c r="Q1493" s="7">
        <v>0.1</v>
      </c>
      <c r="R1493" t="s">
        <v>187</v>
      </c>
      <c r="S1493">
        <v>10</v>
      </c>
      <c r="T1493">
        <v>1900</v>
      </c>
      <c r="U1493">
        <v>190</v>
      </c>
      <c r="V1493">
        <v>1710</v>
      </c>
      <c r="W1493">
        <v>1200</v>
      </c>
      <c r="X1493">
        <v>510</v>
      </c>
      <c r="Y1493" s="8">
        <v>0.2982456140350877</v>
      </c>
      <c r="Z1493" t="s">
        <v>2996</v>
      </c>
      <c r="AA1493" t="str">
        <f>IF(AND(SalesCleanTable[[#This Row],[Discount %]]&gt;0, SalesCleanTable[[#This Row],[Profit]]&lt;0), "Discount loss", "Safe")</f>
        <v>Safe</v>
      </c>
      <c r="AB1493" s="25">
        <f>(SalesCleanTable[[#This Row],[Unit Price]] - SalesCleanTable[[#This Row],[Unit Cost]]) / SalesCleanTable[[#This Row],[Unit Price]]</f>
        <v>0.36842105263157893</v>
      </c>
      <c r="AC1493" t="str">
        <f>IF(SalesCleanTable[[#This Row],[Discount %]] &gt; SalesCleanTable[[#This Row],[Max Allowed Discount]], "Discount loss", "Safe")</f>
        <v>Safe</v>
      </c>
      <c r="AD1493" s="4">
        <f>SalesCleanTable[[#This Row],[Unit Price]] - SalesCleanTable[[#This Row],[Unit Cost]]</f>
        <v>700</v>
      </c>
      <c r="AE1493" s="41">
        <f>(SalesCleanTable[[#This Row],[Unit Price]] - SalesCleanTable[[#This Row],[Unit Cost]]) / SalesCleanTable[[#This Row],[Unit Price]]</f>
        <v>0.36842105263157893</v>
      </c>
    </row>
    <row r="1494" spans="1:31">
      <c r="A1494" t="s">
        <v>1680</v>
      </c>
      <c r="B1494" s="6">
        <v>45978</v>
      </c>
      <c r="C1494" t="s">
        <v>82</v>
      </c>
      <c r="D1494" t="s">
        <v>83</v>
      </c>
      <c r="E1494" t="s">
        <v>75</v>
      </c>
      <c r="F1494" t="s">
        <v>84</v>
      </c>
      <c r="G1494" t="s">
        <v>85</v>
      </c>
      <c r="H1494" t="s">
        <v>149</v>
      </c>
      <c r="I1494" t="s">
        <v>150</v>
      </c>
      <c r="J1494" t="s">
        <v>151</v>
      </c>
      <c r="K1494" t="s">
        <v>152</v>
      </c>
      <c r="L1494" t="s">
        <v>166</v>
      </c>
      <c r="M1494" t="s">
        <v>177</v>
      </c>
      <c r="N1494">
        <v>2</v>
      </c>
      <c r="O1494" s="4">
        <v>600</v>
      </c>
      <c r="P1494" s="4">
        <v>950</v>
      </c>
      <c r="Q1494" s="7">
        <v>0</v>
      </c>
      <c r="R1494" t="s">
        <v>208</v>
      </c>
      <c r="S1494">
        <v>1</v>
      </c>
      <c r="T1494">
        <v>1900</v>
      </c>
      <c r="U1494">
        <v>0</v>
      </c>
      <c r="V1494">
        <v>1900</v>
      </c>
      <c r="W1494">
        <v>1200</v>
      </c>
      <c r="X1494">
        <v>700</v>
      </c>
      <c r="Y1494" s="8">
        <v>0.36842105263157893</v>
      </c>
      <c r="Z1494" t="s">
        <v>2996</v>
      </c>
      <c r="AA1494" t="str">
        <f>IF(AND(SalesCleanTable[[#This Row],[Discount %]]&gt;0, SalesCleanTable[[#This Row],[Profit]]&lt;0), "Discount loss", "Safe")</f>
        <v>Safe</v>
      </c>
      <c r="AB1494" s="25">
        <f>(SalesCleanTable[[#This Row],[Unit Price]] - SalesCleanTable[[#This Row],[Unit Cost]]) / SalesCleanTable[[#This Row],[Unit Price]]</f>
        <v>0.36842105263157893</v>
      </c>
      <c r="AC1494" t="str">
        <f>IF(SalesCleanTable[[#This Row],[Discount %]] &gt; SalesCleanTable[[#This Row],[Max Allowed Discount]], "Discount loss", "Safe")</f>
        <v>Safe</v>
      </c>
      <c r="AD1494" s="4">
        <f>SalesCleanTable[[#This Row],[Unit Price]] - SalesCleanTable[[#This Row],[Unit Cost]]</f>
        <v>350</v>
      </c>
      <c r="AE1494" s="41">
        <f>(SalesCleanTable[[#This Row],[Unit Price]] - SalesCleanTable[[#This Row],[Unit Cost]]) / SalesCleanTable[[#This Row],[Unit Price]]</f>
        <v>0.36842105263157893</v>
      </c>
    </row>
    <row r="1495" spans="1:31">
      <c r="A1495" t="s">
        <v>1681</v>
      </c>
      <c r="B1495" s="6">
        <v>45860</v>
      </c>
      <c r="C1495" t="s">
        <v>24</v>
      </c>
      <c r="D1495" t="s">
        <v>25</v>
      </c>
      <c r="E1495" t="s">
        <v>26</v>
      </c>
      <c r="F1495" t="s">
        <v>27</v>
      </c>
      <c r="G1495" t="s">
        <v>28</v>
      </c>
      <c r="H1495" t="s">
        <v>141</v>
      </c>
      <c r="I1495" t="s">
        <v>142</v>
      </c>
      <c r="J1495" t="s">
        <v>143</v>
      </c>
      <c r="K1495" t="s">
        <v>144</v>
      </c>
      <c r="L1495" t="s">
        <v>183</v>
      </c>
      <c r="M1495" t="s">
        <v>171</v>
      </c>
      <c r="N1495">
        <v>8</v>
      </c>
      <c r="O1495" s="4">
        <v>14500</v>
      </c>
      <c r="P1495" s="4">
        <v>17500</v>
      </c>
      <c r="Q1495" s="7">
        <v>0.05</v>
      </c>
      <c r="R1495" t="s">
        <v>173</v>
      </c>
      <c r="S1495">
        <v>3</v>
      </c>
      <c r="T1495">
        <v>140000</v>
      </c>
      <c r="U1495">
        <v>7000</v>
      </c>
      <c r="V1495">
        <v>133000</v>
      </c>
      <c r="W1495">
        <v>116000</v>
      </c>
      <c r="X1495">
        <v>17000</v>
      </c>
      <c r="Y1495" s="8">
        <v>0.12781954887218044</v>
      </c>
      <c r="Z1495" t="s">
        <v>2995</v>
      </c>
      <c r="AA1495" t="str">
        <f>IF(AND(SalesCleanTable[[#This Row],[Discount %]]&gt;0, SalesCleanTable[[#This Row],[Profit]]&lt;0), "Discount loss", "Safe")</f>
        <v>Safe</v>
      </c>
      <c r="AB1495" s="25">
        <f>(SalesCleanTable[[#This Row],[Unit Price]] - SalesCleanTable[[#This Row],[Unit Cost]]) / SalesCleanTable[[#This Row],[Unit Price]]</f>
        <v>0.17142857142857143</v>
      </c>
      <c r="AC1495" t="str">
        <f>IF(SalesCleanTable[[#This Row],[Discount %]] &gt; SalesCleanTable[[#This Row],[Max Allowed Discount]], "Discount loss", "Safe")</f>
        <v>Safe</v>
      </c>
      <c r="AD1495" s="4">
        <f>SalesCleanTable[[#This Row],[Unit Price]] - SalesCleanTable[[#This Row],[Unit Cost]]</f>
        <v>3000</v>
      </c>
      <c r="AE1495" s="41">
        <f>(SalesCleanTable[[#This Row],[Unit Price]] - SalesCleanTable[[#This Row],[Unit Cost]]) / SalesCleanTable[[#This Row],[Unit Price]]</f>
        <v>0.17142857142857143</v>
      </c>
    </row>
    <row r="1496" spans="1:31">
      <c r="A1496" t="s">
        <v>1682</v>
      </c>
      <c r="B1496" s="6">
        <v>45918</v>
      </c>
      <c r="C1496" t="s">
        <v>103</v>
      </c>
      <c r="D1496" t="s">
        <v>104</v>
      </c>
      <c r="E1496" t="s">
        <v>92</v>
      </c>
      <c r="F1496" t="s">
        <v>105</v>
      </c>
      <c r="G1496" t="s">
        <v>106</v>
      </c>
      <c r="H1496" t="s">
        <v>141</v>
      </c>
      <c r="I1496" t="s">
        <v>142</v>
      </c>
      <c r="J1496" t="s">
        <v>143</v>
      </c>
      <c r="K1496" t="s">
        <v>144</v>
      </c>
      <c r="L1496" t="s">
        <v>183</v>
      </c>
      <c r="M1496" t="s">
        <v>167</v>
      </c>
      <c r="N1496">
        <v>4</v>
      </c>
      <c r="O1496" s="4">
        <v>1500</v>
      </c>
      <c r="P1496" s="4">
        <v>2500</v>
      </c>
      <c r="Q1496" s="7">
        <v>0</v>
      </c>
      <c r="R1496" t="s">
        <v>181</v>
      </c>
      <c r="S1496">
        <v>7</v>
      </c>
      <c r="T1496">
        <v>10000</v>
      </c>
      <c r="U1496">
        <v>0</v>
      </c>
      <c r="V1496">
        <v>10000</v>
      </c>
      <c r="W1496">
        <v>6000</v>
      </c>
      <c r="X1496">
        <v>4000</v>
      </c>
      <c r="Y1496" s="8">
        <v>0.4</v>
      </c>
      <c r="Z1496" t="s">
        <v>2996</v>
      </c>
      <c r="AA1496" t="str">
        <f>IF(AND(SalesCleanTable[[#This Row],[Discount %]]&gt;0, SalesCleanTable[[#This Row],[Profit]]&lt;0), "Discount loss", "Safe")</f>
        <v>Safe</v>
      </c>
      <c r="AB1496" s="25">
        <f>(SalesCleanTable[[#This Row],[Unit Price]] - SalesCleanTable[[#This Row],[Unit Cost]]) / SalesCleanTable[[#This Row],[Unit Price]]</f>
        <v>0.4</v>
      </c>
      <c r="AC1496" t="str">
        <f>IF(SalesCleanTable[[#This Row],[Discount %]] &gt; SalesCleanTable[[#This Row],[Max Allowed Discount]], "Discount loss", "Safe")</f>
        <v>Safe</v>
      </c>
      <c r="AD1496" s="4">
        <f>SalesCleanTable[[#This Row],[Unit Price]] - SalesCleanTable[[#This Row],[Unit Cost]]</f>
        <v>1000</v>
      </c>
      <c r="AE1496" s="41">
        <f>(SalesCleanTable[[#This Row],[Unit Price]] - SalesCleanTable[[#This Row],[Unit Cost]]) / SalesCleanTable[[#This Row],[Unit Price]]</f>
        <v>0.4</v>
      </c>
    </row>
    <row r="1497" spans="1:31">
      <c r="A1497" t="s">
        <v>1683</v>
      </c>
      <c r="B1497" s="6">
        <v>45871</v>
      </c>
      <c r="C1497" t="s">
        <v>29</v>
      </c>
      <c r="D1497" t="s">
        <v>30</v>
      </c>
      <c r="E1497" t="s">
        <v>26</v>
      </c>
      <c r="F1497" t="s">
        <v>27</v>
      </c>
      <c r="G1497" t="s">
        <v>31</v>
      </c>
      <c r="H1497" t="s">
        <v>128</v>
      </c>
      <c r="I1497" t="s">
        <v>129</v>
      </c>
      <c r="J1497" t="s">
        <v>130</v>
      </c>
      <c r="K1497" t="s">
        <v>131</v>
      </c>
      <c r="L1497" t="s">
        <v>183</v>
      </c>
      <c r="M1497" t="s">
        <v>186</v>
      </c>
      <c r="N1497">
        <v>6</v>
      </c>
      <c r="O1497" s="4">
        <v>6200</v>
      </c>
      <c r="P1497" s="4">
        <v>7900</v>
      </c>
      <c r="Q1497" s="7">
        <v>0</v>
      </c>
      <c r="R1497" t="s">
        <v>194</v>
      </c>
      <c r="S1497">
        <v>5</v>
      </c>
      <c r="T1497">
        <v>47400</v>
      </c>
      <c r="U1497">
        <v>0</v>
      </c>
      <c r="V1497">
        <v>47400</v>
      </c>
      <c r="W1497">
        <v>37200</v>
      </c>
      <c r="X1497">
        <v>10200</v>
      </c>
      <c r="Y1497" s="8">
        <v>0.21518987341772153</v>
      </c>
      <c r="Z1497" t="s">
        <v>2996</v>
      </c>
      <c r="AA1497" t="str">
        <f>IF(AND(SalesCleanTable[[#This Row],[Discount %]]&gt;0, SalesCleanTable[[#This Row],[Profit]]&lt;0), "Discount loss", "Safe")</f>
        <v>Safe</v>
      </c>
      <c r="AB1497" s="25">
        <f>(SalesCleanTable[[#This Row],[Unit Price]] - SalesCleanTable[[#This Row],[Unit Cost]]) / SalesCleanTable[[#This Row],[Unit Price]]</f>
        <v>0.21518987341772153</v>
      </c>
      <c r="AC1497" t="str">
        <f>IF(SalesCleanTable[[#This Row],[Discount %]] &gt; SalesCleanTable[[#This Row],[Max Allowed Discount]], "Discount loss", "Safe")</f>
        <v>Safe</v>
      </c>
      <c r="AD1497" s="4">
        <f>SalesCleanTable[[#This Row],[Unit Price]] - SalesCleanTable[[#This Row],[Unit Cost]]</f>
        <v>1700</v>
      </c>
      <c r="AE1497" s="41">
        <f>(SalesCleanTable[[#This Row],[Unit Price]] - SalesCleanTable[[#This Row],[Unit Cost]]) / SalesCleanTable[[#This Row],[Unit Price]]</f>
        <v>0.21518987341772153</v>
      </c>
    </row>
    <row r="1498" spans="1:31">
      <c r="A1498" t="s">
        <v>1684</v>
      </c>
      <c r="B1498" s="6">
        <v>45832</v>
      </c>
      <c r="C1498" t="s">
        <v>45</v>
      </c>
      <c r="D1498" t="s">
        <v>46</v>
      </c>
      <c r="E1498" t="s">
        <v>38</v>
      </c>
      <c r="F1498" t="s">
        <v>47</v>
      </c>
      <c r="G1498" t="s">
        <v>48</v>
      </c>
      <c r="H1498" t="s">
        <v>139</v>
      </c>
      <c r="I1498" t="s">
        <v>140</v>
      </c>
      <c r="J1498" t="s">
        <v>137</v>
      </c>
      <c r="K1498" t="s">
        <v>138</v>
      </c>
      <c r="L1498" t="s">
        <v>170</v>
      </c>
      <c r="M1498" t="s">
        <v>186</v>
      </c>
      <c r="N1498">
        <v>2</v>
      </c>
      <c r="O1498" s="4">
        <v>230</v>
      </c>
      <c r="P1498" s="4">
        <v>400</v>
      </c>
      <c r="Q1498" s="7">
        <v>0.05</v>
      </c>
      <c r="R1498" t="s">
        <v>175</v>
      </c>
      <c r="S1498">
        <v>13</v>
      </c>
      <c r="T1498">
        <v>800</v>
      </c>
      <c r="U1498">
        <v>40</v>
      </c>
      <c r="V1498">
        <v>760</v>
      </c>
      <c r="W1498">
        <v>460</v>
      </c>
      <c r="X1498">
        <v>300</v>
      </c>
      <c r="Y1498" s="8">
        <v>0.39473684210526316</v>
      </c>
      <c r="Z1498" t="s">
        <v>2995</v>
      </c>
      <c r="AA1498" t="str">
        <f>IF(AND(SalesCleanTable[[#This Row],[Discount %]]&gt;0, SalesCleanTable[[#This Row],[Profit]]&lt;0), "Discount loss", "Safe")</f>
        <v>Safe</v>
      </c>
      <c r="AB1498" s="25">
        <f>(SalesCleanTable[[#This Row],[Unit Price]] - SalesCleanTable[[#This Row],[Unit Cost]]) / SalesCleanTable[[#This Row],[Unit Price]]</f>
        <v>0.42499999999999999</v>
      </c>
      <c r="AC1498" t="str">
        <f>IF(SalesCleanTable[[#This Row],[Discount %]] &gt; SalesCleanTable[[#This Row],[Max Allowed Discount]], "Discount loss", "Safe")</f>
        <v>Safe</v>
      </c>
      <c r="AD1498" s="4">
        <f>SalesCleanTable[[#This Row],[Unit Price]] - SalesCleanTable[[#This Row],[Unit Cost]]</f>
        <v>170</v>
      </c>
      <c r="AE1498" s="41">
        <f>(SalesCleanTable[[#This Row],[Unit Price]] - SalesCleanTable[[#This Row],[Unit Cost]]) / SalesCleanTable[[#This Row],[Unit Price]]</f>
        <v>0.42499999999999999</v>
      </c>
    </row>
    <row r="1499" spans="1:31">
      <c r="A1499" t="s">
        <v>1685</v>
      </c>
      <c r="B1499" s="6">
        <v>46010</v>
      </c>
      <c r="C1499" t="s">
        <v>66</v>
      </c>
      <c r="D1499" t="s">
        <v>67</v>
      </c>
      <c r="E1499" t="s">
        <v>59</v>
      </c>
      <c r="F1499" t="s">
        <v>60</v>
      </c>
      <c r="G1499" t="s">
        <v>68</v>
      </c>
      <c r="H1499" t="s">
        <v>139</v>
      </c>
      <c r="I1499" t="s">
        <v>140</v>
      </c>
      <c r="J1499" t="s">
        <v>137</v>
      </c>
      <c r="K1499" t="s">
        <v>138</v>
      </c>
      <c r="L1499" t="s">
        <v>183</v>
      </c>
      <c r="M1499" t="s">
        <v>177</v>
      </c>
      <c r="N1499">
        <v>4</v>
      </c>
      <c r="O1499" s="4">
        <v>2800</v>
      </c>
      <c r="P1499" s="4">
        <v>3900</v>
      </c>
      <c r="Q1499" s="7">
        <v>0.1</v>
      </c>
      <c r="R1499" t="s">
        <v>204</v>
      </c>
      <c r="S1499">
        <v>2</v>
      </c>
      <c r="T1499">
        <v>15600</v>
      </c>
      <c r="U1499">
        <v>1560</v>
      </c>
      <c r="V1499">
        <v>14040</v>
      </c>
      <c r="W1499">
        <v>11200</v>
      </c>
      <c r="X1499">
        <v>2840</v>
      </c>
      <c r="Y1499" s="8">
        <v>0.20227920227920229</v>
      </c>
      <c r="Z1499" t="s">
        <v>2996</v>
      </c>
      <c r="AA1499" t="str">
        <f>IF(AND(SalesCleanTable[[#This Row],[Discount %]]&gt;0, SalesCleanTable[[#This Row],[Profit]]&lt;0), "Discount loss", "Safe")</f>
        <v>Safe</v>
      </c>
      <c r="AB1499" s="25">
        <f>(SalesCleanTable[[#This Row],[Unit Price]] - SalesCleanTable[[#This Row],[Unit Cost]]) / SalesCleanTable[[#This Row],[Unit Price]]</f>
        <v>0.28205128205128205</v>
      </c>
      <c r="AC1499" t="str">
        <f>IF(SalesCleanTable[[#This Row],[Discount %]] &gt; SalesCleanTable[[#This Row],[Max Allowed Discount]], "Discount loss", "Safe")</f>
        <v>Safe</v>
      </c>
      <c r="AD1499" s="4">
        <f>SalesCleanTable[[#This Row],[Unit Price]] - SalesCleanTable[[#This Row],[Unit Cost]]</f>
        <v>1100</v>
      </c>
      <c r="AE1499" s="41">
        <f>(SalesCleanTable[[#This Row],[Unit Price]] - SalesCleanTable[[#This Row],[Unit Cost]]) / SalesCleanTable[[#This Row],[Unit Price]]</f>
        <v>0.28205128205128205</v>
      </c>
    </row>
    <row r="1500" spans="1:31">
      <c r="A1500" t="s">
        <v>1686</v>
      </c>
      <c r="B1500" s="6">
        <v>45833</v>
      </c>
      <c r="C1500" t="s">
        <v>57</v>
      </c>
      <c r="D1500" t="s">
        <v>58</v>
      </c>
      <c r="E1500" t="s">
        <v>59</v>
      </c>
      <c r="F1500" t="s">
        <v>60</v>
      </c>
      <c r="G1500" t="s">
        <v>61</v>
      </c>
      <c r="H1500" t="s">
        <v>141</v>
      </c>
      <c r="I1500" t="s">
        <v>142</v>
      </c>
      <c r="J1500" t="s">
        <v>143</v>
      </c>
      <c r="K1500" t="s">
        <v>144</v>
      </c>
      <c r="L1500" t="s">
        <v>170</v>
      </c>
      <c r="M1500" t="s">
        <v>171</v>
      </c>
      <c r="N1500">
        <v>1</v>
      </c>
      <c r="O1500" s="4">
        <v>2400</v>
      </c>
      <c r="P1500" s="4">
        <v>3400</v>
      </c>
      <c r="Q1500" s="7">
        <v>0.1</v>
      </c>
      <c r="R1500" t="s">
        <v>173</v>
      </c>
      <c r="S1500">
        <v>9</v>
      </c>
      <c r="T1500">
        <v>3400</v>
      </c>
      <c r="U1500">
        <v>340</v>
      </c>
      <c r="V1500">
        <v>3060</v>
      </c>
      <c r="W1500">
        <v>2400</v>
      </c>
      <c r="X1500">
        <v>660</v>
      </c>
      <c r="Y1500" s="8">
        <v>0.21568627450980393</v>
      </c>
      <c r="Z1500" t="s">
        <v>2996</v>
      </c>
      <c r="AA1500" t="str">
        <f>IF(AND(SalesCleanTable[[#This Row],[Discount %]]&gt;0, SalesCleanTable[[#This Row],[Profit]]&lt;0), "Discount loss", "Safe")</f>
        <v>Safe</v>
      </c>
      <c r="AB1500" s="25">
        <f>(SalesCleanTable[[#This Row],[Unit Price]] - SalesCleanTable[[#This Row],[Unit Cost]]) / SalesCleanTable[[#This Row],[Unit Price]]</f>
        <v>0.29411764705882354</v>
      </c>
      <c r="AC1500" t="str">
        <f>IF(SalesCleanTable[[#This Row],[Discount %]] &gt; SalesCleanTable[[#This Row],[Max Allowed Discount]], "Discount loss", "Safe")</f>
        <v>Safe</v>
      </c>
      <c r="AD1500" s="4">
        <f>SalesCleanTable[[#This Row],[Unit Price]] - SalesCleanTable[[#This Row],[Unit Cost]]</f>
        <v>1000</v>
      </c>
      <c r="AE1500" s="41">
        <f>(SalesCleanTable[[#This Row],[Unit Price]] - SalesCleanTable[[#This Row],[Unit Cost]]) / SalesCleanTable[[#This Row],[Unit Price]]</f>
        <v>0.29411764705882354</v>
      </c>
    </row>
    <row r="1501" spans="1:31">
      <c r="A1501" t="s">
        <v>1687</v>
      </c>
      <c r="B1501" s="6">
        <v>45823</v>
      </c>
      <c r="C1501" t="s">
        <v>107</v>
      </c>
      <c r="D1501" t="s">
        <v>108</v>
      </c>
      <c r="E1501" t="s">
        <v>109</v>
      </c>
      <c r="F1501" t="s">
        <v>110</v>
      </c>
      <c r="G1501" t="s">
        <v>111</v>
      </c>
      <c r="H1501" t="s">
        <v>139</v>
      </c>
      <c r="I1501" t="s">
        <v>140</v>
      </c>
      <c r="J1501" t="s">
        <v>137</v>
      </c>
      <c r="K1501" t="s">
        <v>138</v>
      </c>
      <c r="L1501" t="s">
        <v>183</v>
      </c>
      <c r="M1501" t="s">
        <v>186</v>
      </c>
      <c r="N1501">
        <v>2</v>
      </c>
      <c r="O1501" s="4">
        <v>5200</v>
      </c>
      <c r="P1501" s="4">
        <v>7000</v>
      </c>
      <c r="Q1501" s="7">
        <v>0.1</v>
      </c>
      <c r="R1501" t="s">
        <v>220</v>
      </c>
      <c r="S1501">
        <v>5</v>
      </c>
      <c r="T1501">
        <v>14000</v>
      </c>
      <c r="U1501">
        <v>1400</v>
      </c>
      <c r="V1501">
        <v>12600</v>
      </c>
      <c r="W1501">
        <v>10400</v>
      </c>
      <c r="X1501">
        <v>2200</v>
      </c>
      <c r="Y1501" s="8">
        <v>0.17460317460317459</v>
      </c>
      <c r="Z1501" t="s">
        <v>2997</v>
      </c>
      <c r="AA1501" t="str">
        <f>IF(AND(SalesCleanTable[[#This Row],[Discount %]]&gt;0, SalesCleanTable[[#This Row],[Profit]]&lt;0), "Discount loss", "Safe")</f>
        <v>Safe</v>
      </c>
      <c r="AB1501" s="25">
        <f>(SalesCleanTable[[#This Row],[Unit Price]] - SalesCleanTable[[#This Row],[Unit Cost]]) / SalesCleanTable[[#This Row],[Unit Price]]</f>
        <v>0.25714285714285712</v>
      </c>
      <c r="AC1501" t="str">
        <f>IF(SalesCleanTable[[#This Row],[Discount %]] &gt; SalesCleanTable[[#This Row],[Max Allowed Discount]], "Discount loss", "Safe")</f>
        <v>Safe</v>
      </c>
      <c r="AD1501" s="4">
        <f>SalesCleanTable[[#This Row],[Unit Price]] - SalesCleanTable[[#This Row],[Unit Cost]]</f>
        <v>1800</v>
      </c>
      <c r="AE1501" s="41">
        <f>(SalesCleanTable[[#This Row],[Unit Price]] - SalesCleanTable[[#This Row],[Unit Cost]]) / SalesCleanTable[[#This Row],[Unit Price]]</f>
        <v>0.25714285714285712</v>
      </c>
    </row>
    <row r="1502" spans="1:31">
      <c r="A1502" t="s">
        <v>1688</v>
      </c>
      <c r="B1502" s="6">
        <v>45875</v>
      </c>
      <c r="C1502" t="s">
        <v>78</v>
      </c>
      <c r="D1502" t="s">
        <v>79</v>
      </c>
      <c r="E1502" t="s">
        <v>75</v>
      </c>
      <c r="F1502" t="s">
        <v>80</v>
      </c>
      <c r="G1502" t="s">
        <v>81</v>
      </c>
      <c r="H1502" t="s">
        <v>133</v>
      </c>
      <c r="I1502" t="s">
        <v>134</v>
      </c>
      <c r="J1502" t="s">
        <v>130</v>
      </c>
      <c r="K1502" t="s">
        <v>131</v>
      </c>
      <c r="L1502" t="s">
        <v>183</v>
      </c>
      <c r="M1502" t="s">
        <v>171</v>
      </c>
      <c r="N1502">
        <v>3</v>
      </c>
      <c r="O1502" s="4">
        <v>1200</v>
      </c>
      <c r="P1502" s="4">
        <v>1900</v>
      </c>
      <c r="Q1502" s="7">
        <v>0.15</v>
      </c>
      <c r="R1502" t="s">
        <v>187</v>
      </c>
      <c r="S1502">
        <v>11</v>
      </c>
      <c r="T1502">
        <v>5700</v>
      </c>
      <c r="U1502">
        <v>855</v>
      </c>
      <c r="V1502">
        <v>4845</v>
      </c>
      <c r="W1502">
        <v>3600</v>
      </c>
      <c r="X1502">
        <v>1245</v>
      </c>
      <c r="Y1502" s="8">
        <v>0.25696594427244585</v>
      </c>
      <c r="Z1502" t="s">
        <v>2996</v>
      </c>
      <c r="AA1502" t="str">
        <f>IF(AND(SalesCleanTable[[#This Row],[Discount %]]&gt;0, SalesCleanTable[[#This Row],[Profit]]&lt;0), "Discount loss", "Safe")</f>
        <v>Safe</v>
      </c>
      <c r="AB1502" s="25">
        <f>(SalesCleanTable[[#This Row],[Unit Price]] - SalesCleanTable[[#This Row],[Unit Cost]]) / SalesCleanTable[[#This Row],[Unit Price]]</f>
        <v>0.36842105263157893</v>
      </c>
      <c r="AC1502" t="str">
        <f>IF(SalesCleanTable[[#This Row],[Discount %]] &gt; SalesCleanTable[[#This Row],[Max Allowed Discount]], "Discount loss", "Safe")</f>
        <v>Safe</v>
      </c>
      <c r="AD1502" s="4">
        <f>SalesCleanTable[[#This Row],[Unit Price]] - SalesCleanTable[[#This Row],[Unit Cost]]</f>
        <v>700</v>
      </c>
      <c r="AE1502" s="41">
        <f>(SalesCleanTable[[#This Row],[Unit Price]] - SalesCleanTable[[#This Row],[Unit Cost]]) / SalesCleanTable[[#This Row],[Unit Price]]</f>
        <v>0.36842105263157893</v>
      </c>
    </row>
    <row r="1503" spans="1:31">
      <c r="A1503" t="s">
        <v>1689</v>
      </c>
      <c r="B1503" s="6">
        <v>46022</v>
      </c>
      <c r="C1503" t="s">
        <v>62</v>
      </c>
      <c r="D1503" t="s">
        <v>63</v>
      </c>
      <c r="E1503" t="s">
        <v>59</v>
      </c>
      <c r="F1503" t="s">
        <v>64</v>
      </c>
      <c r="G1503" t="s">
        <v>65</v>
      </c>
      <c r="H1503" t="s">
        <v>135</v>
      </c>
      <c r="I1503" t="s">
        <v>136</v>
      </c>
      <c r="J1503" t="s">
        <v>137</v>
      </c>
      <c r="K1503" t="s">
        <v>138</v>
      </c>
      <c r="L1503" t="s">
        <v>166</v>
      </c>
      <c r="M1503" t="s">
        <v>171</v>
      </c>
      <c r="N1503">
        <v>5</v>
      </c>
      <c r="O1503" s="4">
        <v>3200</v>
      </c>
      <c r="P1503" s="4">
        <v>4500</v>
      </c>
      <c r="Q1503" s="7">
        <v>0.1</v>
      </c>
      <c r="R1503" t="s">
        <v>204</v>
      </c>
      <c r="S1503">
        <v>11</v>
      </c>
      <c r="T1503">
        <v>22500</v>
      </c>
      <c r="U1503">
        <v>2250</v>
      </c>
      <c r="V1503">
        <v>20250</v>
      </c>
      <c r="W1503">
        <v>16000</v>
      </c>
      <c r="X1503">
        <v>4250</v>
      </c>
      <c r="Y1503" s="8">
        <v>0.20987654320987653</v>
      </c>
      <c r="Z1503" t="s">
        <v>2996</v>
      </c>
      <c r="AA1503" t="str">
        <f>IF(AND(SalesCleanTable[[#This Row],[Discount %]]&gt;0, SalesCleanTable[[#This Row],[Profit]]&lt;0), "Discount loss", "Safe")</f>
        <v>Safe</v>
      </c>
      <c r="AB1503" s="25">
        <f>(SalesCleanTable[[#This Row],[Unit Price]] - SalesCleanTable[[#This Row],[Unit Cost]]) / SalesCleanTable[[#This Row],[Unit Price]]</f>
        <v>0.28888888888888886</v>
      </c>
      <c r="AC1503" t="str">
        <f>IF(SalesCleanTable[[#This Row],[Discount %]] &gt; SalesCleanTable[[#This Row],[Max Allowed Discount]], "Discount loss", "Safe")</f>
        <v>Safe</v>
      </c>
      <c r="AD1503" s="4">
        <f>SalesCleanTable[[#This Row],[Unit Price]] - SalesCleanTable[[#This Row],[Unit Cost]]</f>
        <v>1300</v>
      </c>
      <c r="AE1503" s="41">
        <f>(SalesCleanTable[[#This Row],[Unit Price]] - SalesCleanTable[[#This Row],[Unit Cost]]) / SalesCleanTable[[#This Row],[Unit Price]]</f>
        <v>0.28888888888888886</v>
      </c>
    </row>
    <row r="1504" spans="1:31">
      <c r="A1504" t="s">
        <v>1690</v>
      </c>
      <c r="B1504" s="6">
        <v>45964</v>
      </c>
      <c r="C1504" t="s">
        <v>95</v>
      </c>
      <c r="D1504" t="s">
        <v>96</v>
      </c>
      <c r="E1504" t="s">
        <v>92</v>
      </c>
      <c r="F1504" t="s">
        <v>97</v>
      </c>
      <c r="G1504" t="s">
        <v>98</v>
      </c>
      <c r="H1504" t="s">
        <v>149</v>
      </c>
      <c r="I1504" t="s">
        <v>150</v>
      </c>
      <c r="J1504" t="s">
        <v>151</v>
      </c>
      <c r="K1504" t="s">
        <v>152</v>
      </c>
      <c r="L1504" t="s">
        <v>166</v>
      </c>
      <c r="M1504" t="s">
        <v>167</v>
      </c>
      <c r="N1504">
        <v>1</v>
      </c>
      <c r="O1504" s="4">
        <v>18000</v>
      </c>
      <c r="P1504" s="4">
        <v>24500</v>
      </c>
      <c r="Q1504" s="7">
        <v>0.1</v>
      </c>
      <c r="R1504" t="s">
        <v>217</v>
      </c>
      <c r="S1504">
        <v>12</v>
      </c>
      <c r="T1504">
        <v>24500</v>
      </c>
      <c r="U1504">
        <v>2450</v>
      </c>
      <c r="V1504">
        <v>22050</v>
      </c>
      <c r="W1504">
        <v>18000</v>
      </c>
      <c r="X1504">
        <v>4050</v>
      </c>
      <c r="Y1504" s="8">
        <v>0.18367346938775511</v>
      </c>
      <c r="Z1504" t="s">
        <v>2995</v>
      </c>
      <c r="AA1504" t="str">
        <f>IF(AND(SalesCleanTable[[#This Row],[Discount %]]&gt;0, SalesCleanTable[[#This Row],[Profit]]&lt;0), "Discount loss", "Safe")</f>
        <v>Safe</v>
      </c>
      <c r="AB1504" s="25">
        <f>(SalesCleanTable[[#This Row],[Unit Price]] - SalesCleanTable[[#This Row],[Unit Cost]]) / SalesCleanTable[[#This Row],[Unit Price]]</f>
        <v>0.26530612244897961</v>
      </c>
      <c r="AC1504" t="str">
        <f>IF(SalesCleanTable[[#This Row],[Discount %]] &gt; SalesCleanTable[[#This Row],[Max Allowed Discount]], "Discount loss", "Safe")</f>
        <v>Safe</v>
      </c>
      <c r="AD1504" s="4">
        <f>SalesCleanTable[[#This Row],[Unit Price]] - SalesCleanTable[[#This Row],[Unit Cost]]</f>
        <v>6500</v>
      </c>
      <c r="AE1504" s="41">
        <f>(SalesCleanTable[[#This Row],[Unit Price]] - SalesCleanTable[[#This Row],[Unit Cost]]) / SalesCleanTable[[#This Row],[Unit Price]]</f>
        <v>0.26530612244897961</v>
      </c>
    </row>
    <row r="1505" spans="1:31">
      <c r="A1505" t="s">
        <v>1691</v>
      </c>
      <c r="B1505" s="6">
        <v>45948</v>
      </c>
      <c r="C1505" t="s">
        <v>53</v>
      </c>
      <c r="D1505" t="s">
        <v>54</v>
      </c>
      <c r="E1505" t="s">
        <v>38</v>
      </c>
      <c r="F1505" t="s">
        <v>55</v>
      </c>
      <c r="G1505" t="s">
        <v>56</v>
      </c>
      <c r="H1505" t="s">
        <v>135</v>
      </c>
      <c r="I1505" t="s">
        <v>136</v>
      </c>
      <c r="J1505" t="s">
        <v>137</v>
      </c>
      <c r="K1505" t="s">
        <v>138</v>
      </c>
      <c r="L1505" t="s">
        <v>166</v>
      </c>
      <c r="M1505" t="s">
        <v>186</v>
      </c>
      <c r="N1505">
        <v>-1</v>
      </c>
      <c r="O1505" s="4">
        <v>330</v>
      </c>
      <c r="P1505" s="4">
        <v>550</v>
      </c>
      <c r="Q1505" s="7">
        <v>0</v>
      </c>
      <c r="R1505" t="s">
        <v>168</v>
      </c>
      <c r="S1505">
        <v>7</v>
      </c>
      <c r="T1505">
        <v>-550</v>
      </c>
      <c r="U1505">
        <v>0</v>
      </c>
      <c r="V1505">
        <v>-550</v>
      </c>
      <c r="W1505">
        <v>-330</v>
      </c>
      <c r="X1505">
        <v>-220</v>
      </c>
      <c r="Y1505" s="8">
        <v>0.4</v>
      </c>
      <c r="Z1505" t="s">
        <v>2996</v>
      </c>
      <c r="AA1505" t="str">
        <f>IF(AND(SalesCleanTable[[#This Row],[Discount %]]&gt;0, SalesCleanTable[[#This Row],[Profit]]&lt;0), "Discount loss", "Safe")</f>
        <v>Safe</v>
      </c>
      <c r="AB1505" s="25">
        <f>(SalesCleanTable[[#This Row],[Unit Price]] - SalesCleanTable[[#This Row],[Unit Cost]]) / SalesCleanTable[[#This Row],[Unit Price]]</f>
        <v>0.4</v>
      </c>
      <c r="AC1505" t="str">
        <f>IF(SalesCleanTable[[#This Row],[Discount %]] &gt; SalesCleanTable[[#This Row],[Max Allowed Discount]], "Discount loss", "Safe")</f>
        <v>Safe</v>
      </c>
      <c r="AD1505" s="4">
        <f>SalesCleanTable[[#This Row],[Unit Price]] - SalesCleanTable[[#This Row],[Unit Cost]]</f>
        <v>220</v>
      </c>
      <c r="AE1505" s="41">
        <f>(SalesCleanTable[[#This Row],[Unit Price]] - SalesCleanTable[[#This Row],[Unit Cost]]) / SalesCleanTable[[#This Row],[Unit Price]]</f>
        <v>0.4</v>
      </c>
    </row>
    <row r="1506" spans="1:31">
      <c r="A1506" t="s">
        <v>1692</v>
      </c>
      <c r="B1506" s="6">
        <v>45788</v>
      </c>
      <c r="C1506" t="s">
        <v>112</v>
      </c>
      <c r="D1506" t="s">
        <v>113</v>
      </c>
      <c r="E1506" t="s">
        <v>109</v>
      </c>
      <c r="F1506" t="s">
        <v>114</v>
      </c>
      <c r="G1506" t="s">
        <v>115</v>
      </c>
      <c r="H1506" t="s">
        <v>139</v>
      </c>
      <c r="I1506" t="s">
        <v>140</v>
      </c>
      <c r="J1506" t="s">
        <v>137</v>
      </c>
      <c r="K1506" t="s">
        <v>138</v>
      </c>
      <c r="L1506" t="s">
        <v>166</v>
      </c>
      <c r="M1506" t="s">
        <v>171</v>
      </c>
      <c r="N1506">
        <v>10</v>
      </c>
      <c r="O1506" s="4">
        <v>1300</v>
      </c>
      <c r="P1506" s="4">
        <v>2100</v>
      </c>
      <c r="Q1506" s="7">
        <v>0.1</v>
      </c>
      <c r="R1506" t="s">
        <v>235</v>
      </c>
      <c r="S1506">
        <v>5</v>
      </c>
      <c r="T1506">
        <v>21000</v>
      </c>
      <c r="U1506">
        <v>2100</v>
      </c>
      <c r="V1506">
        <v>18900</v>
      </c>
      <c r="W1506">
        <v>13000</v>
      </c>
      <c r="X1506">
        <v>5900</v>
      </c>
      <c r="Y1506" s="8">
        <v>0.31216931216931215</v>
      </c>
      <c r="Z1506" t="s">
        <v>2995</v>
      </c>
      <c r="AA1506" t="str">
        <f>IF(AND(SalesCleanTable[[#This Row],[Discount %]]&gt;0, SalesCleanTable[[#This Row],[Profit]]&lt;0), "Discount loss", "Safe")</f>
        <v>Safe</v>
      </c>
      <c r="AB1506" s="25">
        <f>(SalesCleanTable[[#This Row],[Unit Price]] - SalesCleanTable[[#This Row],[Unit Cost]]) / SalesCleanTable[[#This Row],[Unit Price]]</f>
        <v>0.38095238095238093</v>
      </c>
      <c r="AC1506" t="str">
        <f>IF(SalesCleanTable[[#This Row],[Discount %]] &gt; SalesCleanTable[[#This Row],[Max Allowed Discount]], "Discount loss", "Safe")</f>
        <v>Safe</v>
      </c>
      <c r="AD1506" s="4">
        <f>SalesCleanTable[[#This Row],[Unit Price]] - SalesCleanTable[[#This Row],[Unit Cost]]</f>
        <v>800</v>
      </c>
      <c r="AE1506" s="41">
        <f>(SalesCleanTable[[#This Row],[Unit Price]] - SalesCleanTable[[#This Row],[Unit Cost]]) / SalesCleanTable[[#This Row],[Unit Price]]</f>
        <v>0.38095238095238093</v>
      </c>
    </row>
    <row r="1507" spans="1:31">
      <c r="A1507" t="s">
        <v>1693</v>
      </c>
      <c r="B1507" s="6">
        <v>45876</v>
      </c>
      <c r="C1507" t="s">
        <v>73</v>
      </c>
      <c r="D1507" t="s">
        <v>74</v>
      </c>
      <c r="E1507" t="s">
        <v>75</v>
      </c>
      <c r="F1507" t="s">
        <v>76</v>
      </c>
      <c r="G1507" t="s">
        <v>77</v>
      </c>
      <c r="H1507" t="s">
        <v>139</v>
      </c>
      <c r="I1507" t="s">
        <v>140</v>
      </c>
      <c r="J1507" t="s">
        <v>137</v>
      </c>
      <c r="K1507" t="s">
        <v>138</v>
      </c>
      <c r="L1507" t="s">
        <v>166</v>
      </c>
      <c r="M1507" t="s">
        <v>177</v>
      </c>
      <c r="N1507">
        <v>1</v>
      </c>
      <c r="O1507" s="4">
        <v>3500</v>
      </c>
      <c r="P1507" s="4">
        <v>5200</v>
      </c>
      <c r="Q1507" s="7">
        <v>0.05</v>
      </c>
      <c r="R1507" t="s">
        <v>187</v>
      </c>
      <c r="S1507">
        <v>6</v>
      </c>
      <c r="T1507">
        <v>5200</v>
      </c>
      <c r="U1507">
        <v>260</v>
      </c>
      <c r="V1507">
        <v>4940</v>
      </c>
      <c r="W1507">
        <v>3500</v>
      </c>
      <c r="X1507">
        <v>1440</v>
      </c>
      <c r="Y1507" s="8">
        <v>0.291497975708502</v>
      </c>
      <c r="Z1507" t="s">
        <v>2996</v>
      </c>
      <c r="AA1507" t="str">
        <f>IF(AND(SalesCleanTable[[#This Row],[Discount %]]&gt;0, SalesCleanTable[[#This Row],[Profit]]&lt;0), "Discount loss", "Safe")</f>
        <v>Safe</v>
      </c>
      <c r="AB1507" s="25">
        <f>(SalesCleanTable[[#This Row],[Unit Price]] - SalesCleanTable[[#This Row],[Unit Cost]]) / SalesCleanTable[[#This Row],[Unit Price]]</f>
        <v>0.32692307692307693</v>
      </c>
      <c r="AC1507" t="str">
        <f>IF(SalesCleanTable[[#This Row],[Discount %]] &gt; SalesCleanTable[[#This Row],[Max Allowed Discount]], "Discount loss", "Safe")</f>
        <v>Safe</v>
      </c>
      <c r="AD1507" s="4">
        <f>SalesCleanTable[[#This Row],[Unit Price]] - SalesCleanTable[[#This Row],[Unit Cost]]</f>
        <v>1700</v>
      </c>
      <c r="AE1507" s="41">
        <f>(SalesCleanTable[[#This Row],[Unit Price]] - SalesCleanTable[[#This Row],[Unit Cost]]) / SalesCleanTable[[#This Row],[Unit Price]]</f>
        <v>0.32692307692307693</v>
      </c>
    </row>
    <row r="1508" spans="1:31">
      <c r="A1508" t="s">
        <v>1694</v>
      </c>
      <c r="B1508" s="6">
        <v>45685</v>
      </c>
      <c r="C1508" t="s">
        <v>24</v>
      </c>
      <c r="D1508" t="s">
        <v>25</v>
      </c>
      <c r="E1508" t="s">
        <v>26</v>
      </c>
      <c r="F1508" t="s">
        <v>27</v>
      </c>
      <c r="G1508" t="s">
        <v>28</v>
      </c>
      <c r="H1508" t="s">
        <v>128</v>
      </c>
      <c r="I1508" t="s">
        <v>129</v>
      </c>
      <c r="J1508" t="s">
        <v>130</v>
      </c>
      <c r="K1508" t="s">
        <v>131</v>
      </c>
      <c r="L1508" t="s">
        <v>166</v>
      </c>
      <c r="M1508" t="s">
        <v>177</v>
      </c>
      <c r="N1508">
        <v>1</v>
      </c>
      <c r="O1508" s="4">
        <v>14500</v>
      </c>
      <c r="P1508" s="4">
        <v>17500</v>
      </c>
      <c r="Q1508" s="7">
        <v>0.05</v>
      </c>
      <c r="R1508" t="s">
        <v>173</v>
      </c>
      <c r="S1508">
        <v>11</v>
      </c>
      <c r="T1508">
        <v>17500</v>
      </c>
      <c r="U1508">
        <v>875</v>
      </c>
      <c r="V1508">
        <v>16625</v>
      </c>
      <c r="W1508">
        <v>14500</v>
      </c>
      <c r="X1508">
        <v>2125</v>
      </c>
      <c r="Y1508" s="8">
        <v>0.12781954887218044</v>
      </c>
      <c r="Z1508" t="s">
        <v>2995</v>
      </c>
      <c r="AA1508" t="str">
        <f>IF(AND(SalesCleanTable[[#This Row],[Discount %]]&gt;0, SalesCleanTable[[#This Row],[Profit]]&lt;0), "Discount loss", "Safe")</f>
        <v>Safe</v>
      </c>
      <c r="AB1508" s="25">
        <f>(SalesCleanTable[[#This Row],[Unit Price]] - SalesCleanTable[[#This Row],[Unit Cost]]) / SalesCleanTable[[#This Row],[Unit Price]]</f>
        <v>0.17142857142857143</v>
      </c>
      <c r="AC1508" t="str">
        <f>IF(SalesCleanTable[[#This Row],[Discount %]] &gt; SalesCleanTable[[#This Row],[Max Allowed Discount]], "Discount loss", "Safe")</f>
        <v>Safe</v>
      </c>
      <c r="AD1508" s="4">
        <f>SalesCleanTable[[#This Row],[Unit Price]] - SalesCleanTable[[#This Row],[Unit Cost]]</f>
        <v>3000</v>
      </c>
      <c r="AE1508" s="41">
        <f>(SalesCleanTable[[#This Row],[Unit Price]] - SalesCleanTable[[#This Row],[Unit Cost]]) / SalesCleanTable[[#This Row],[Unit Price]]</f>
        <v>0.17142857142857143</v>
      </c>
    </row>
    <row r="1509" spans="1:31">
      <c r="A1509" t="s">
        <v>1695</v>
      </c>
      <c r="B1509" s="6">
        <v>45678</v>
      </c>
      <c r="C1509" t="s">
        <v>103</v>
      </c>
      <c r="D1509" t="s">
        <v>104</v>
      </c>
      <c r="E1509" t="s">
        <v>92</v>
      </c>
      <c r="F1509" t="s">
        <v>105</v>
      </c>
      <c r="G1509" t="s">
        <v>106</v>
      </c>
      <c r="H1509" t="s">
        <v>139</v>
      </c>
      <c r="I1509" t="s">
        <v>140</v>
      </c>
      <c r="J1509" t="s">
        <v>137</v>
      </c>
      <c r="K1509" t="s">
        <v>138</v>
      </c>
      <c r="L1509" t="s">
        <v>183</v>
      </c>
      <c r="M1509" t="s">
        <v>167</v>
      </c>
      <c r="N1509">
        <v>1</v>
      </c>
      <c r="O1509" s="4">
        <v>1500</v>
      </c>
      <c r="P1509" s="4">
        <v>2500</v>
      </c>
      <c r="Q1509" s="7">
        <v>0.05</v>
      </c>
      <c r="R1509" t="s">
        <v>217</v>
      </c>
      <c r="S1509">
        <v>4</v>
      </c>
      <c r="T1509">
        <v>2500</v>
      </c>
      <c r="U1509">
        <v>125</v>
      </c>
      <c r="V1509">
        <v>2375</v>
      </c>
      <c r="W1509">
        <v>1500</v>
      </c>
      <c r="X1509">
        <v>875</v>
      </c>
      <c r="Y1509" s="8">
        <v>0.36842105263157893</v>
      </c>
      <c r="Z1509" t="s">
        <v>2996</v>
      </c>
      <c r="AA1509" t="str">
        <f>IF(AND(SalesCleanTable[[#This Row],[Discount %]]&gt;0, SalesCleanTable[[#This Row],[Profit]]&lt;0), "Discount loss", "Safe")</f>
        <v>Safe</v>
      </c>
      <c r="AB1509" s="25">
        <f>(SalesCleanTable[[#This Row],[Unit Price]] - SalesCleanTable[[#This Row],[Unit Cost]]) / SalesCleanTable[[#This Row],[Unit Price]]</f>
        <v>0.4</v>
      </c>
      <c r="AC1509" t="str">
        <f>IF(SalesCleanTable[[#This Row],[Discount %]] &gt; SalesCleanTable[[#This Row],[Max Allowed Discount]], "Discount loss", "Safe")</f>
        <v>Safe</v>
      </c>
      <c r="AD1509" s="4">
        <f>SalesCleanTable[[#This Row],[Unit Price]] - SalesCleanTable[[#This Row],[Unit Cost]]</f>
        <v>1000</v>
      </c>
      <c r="AE1509" s="41">
        <f>(SalesCleanTable[[#This Row],[Unit Price]] - SalesCleanTable[[#This Row],[Unit Cost]]) / SalesCleanTable[[#This Row],[Unit Price]]</f>
        <v>0.4</v>
      </c>
    </row>
    <row r="1510" spans="1:31">
      <c r="A1510" t="s">
        <v>1696</v>
      </c>
      <c r="B1510" s="6">
        <v>45974</v>
      </c>
      <c r="C1510" t="s">
        <v>69</v>
      </c>
      <c r="D1510" t="s">
        <v>70</v>
      </c>
      <c r="E1510" t="s">
        <v>59</v>
      </c>
      <c r="F1510" t="s">
        <v>71</v>
      </c>
      <c r="G1510" t="s">
        <v>72</v>
      </c>
      <c r="H1510" t="s">
        <v>145</v>
      </c>
      <c r="I1510" t="s">
        <v>146</v>
      </c>
      <c r="J1510" t="s">
        <v>147</v>
      </c>
      <c r="K1510" t="s">
        <v>148</v>
      </c>
      <c r="L1510" t="s">
        <v>166</v>
      </c>
      <c r="M1510" t="s">
        <v>177</v>
      </c>
      <c r="N1510">
        <v>8</v>
      </c>
      <c r="O1510" s="4">
        <v>1700</v>
      </c>
      <c r="P1510" s="4">
        <v>2600</v>
      </c>
      <c r="Q1510" s="7">
        <v>0.05</v>
      </c>
      <c r="R1510" t="s">
        <v>173</v>
      </c>
      <c r="S1510">
        <v>6</v>
      </c>
      <c r="T1510">
        <v>20800</v>
      </c>
      <c r="U1510">
        <v>1040</v>
      </c>
      <c r="V1510">
        <v>19760</v>
      </c>
      <c r="W1510">
        <v>13600</v>
      </c>
      <c r="X1510">
        <v>6160</v>
      </c>
      <c r="Y1510" s="8">
        <v>0.31174089068825911</v>
      </c>
      <c r="Z1510" t="s">
        <v>2997</v>
      </c>
      <c r="AA1510" t="str">
        <f>IF(AND(SalesCleanTable[[#This Row],[Discount %]]&gt;0, SalesCleanTable[[#This Row],[Profit]]&lt;0), "Discount loss", "Safe")</f>
        <v>Safe</v>
      </c>
      <c r="AB1510" s="25">
        <f>(SalesCleanTable[[#This Row],[Unit Price]] - SalesCleanTable[[#This Row],[Unit Cost]]) / SalesCleanTable[[#This Row],[Unit Price]]</f>
        <v>0.34615384615384615</v>
      </c>
      <c r="AC1510" t="str">
        <f>IF(SalesCleanTable[[#This Row],[Discount %]] &gt; SalesCleanTable[[#This Row],[Max Allowed Discount]], "Discount loss", "Safe")</f>
        <v>Safe</v>
      </c>
      <c r="AD1510" s="4">
        <f>SalesCleanTable[[#This Row],[Unit Price]] - SalesCleanTable[[#This Row],[Unit Cost]]</f>
        <v>900</v>
      </c>
      <c r="AE1510" s="41">
        <f>(SalesCleanTable[[#This Row],[Unit Price]] - SalesCleanTable[[#This Row],[Unit Cost]]) / SalesCleanTable[[#This Row],[Unit Price]]</f>
        <v>0.34615384615384615</v>
      </c>
    </row>
    <row r="1511" spans="1:31">
      <c r="A1511" t="s">
        <v>1697</v>
      </c>
      <c r="B1511" s="6">
        <v>45745</v>
      </c>
      <c r="C1511" t="s">
        <v>95</v>
      </c>
      <c r="D1511" t="s">
        <v>96</v>
      </c>
      <c r="E1511" t="s">
        <v>92</v>
      </c>
      <c r="F1511" t="s">
        <v>97</v>
      </c>
      <c r="G1511" t="s">
        <v>98</v>
      </c>
      <c r="H1511" t="s">
        <v>149</v>
      </c>
      <c r="I1511" t="s">
        <v>150</v>
      </c>
      <c r="J1511" t="s">
        <v>151</v>
      </c>
      <c r="K1511" t="s">
        <v>152</v>
      </c>
      <c r="L1511" t="s">
        <v>170</v>
      </c>
      <c r="M1511" t="s">
        <v>177</v>
      </c>
      <c r="N1511">
        <v>1</v>
      </c>
      <c r="O1511" s="4">
        <v>18000</v>
      </c>
      <c r="P1511" s="4">
        <v>24500</v>
      </c>
      <c r="Q1511" s="7">
        <v>0.1</v>
      </c>
      <c r="R1511" t="s">
        <v>215</v>
      </c>
      <c r="S1511">
        <v>10</v>
      </c>
      <c r="T1511">
        <v>24500</v>
      </c>
      <c r="U1511">
        <v>2450</v>
      </c>
      <c r="V1511">
        <v>22050</v>
      </c>
      <c r="W1511">
        <v>18000</v>
      </c>
      <c r="X1511">
        <v>4050</v>
      </c>
      <c r="Y1511" s="8">
        <v>0.18367346938775511</v>
      </c>
      <c r="Z1511" t="s">
        <v>2995</v>
      </c>
      <c r="AA1511" t="str">
        <f>IF(AND(SalesCleanTable[[#This Row],[Discount %]]&gt;0, SalesCleanTable[[#This Row],[Profit]]&lt;0), "Discount loss", "Safe")</f>
        <v>Safe</v>
      </c>
      <c r="AB1511" s="25">
        <f>(SalesCleanTable[[#This Row],[Unit Price]] - SalesCleanTable[[#This Row],[Unit Cost]]) / SalesCleanTable[[#This Row],[Unit Price]]</f>
        <v>0.26530612244897961</v>
      </c>
      <c r="AC1511" t="str">
        <f>IF(SalesCleanTable[[#This Row],[Discount %]] &gt; SalesCleanTable[[#This Row],[Max Allowed Discount]], "Discount loss", "Safe")</f>
        <v>Safe</v>
      </c>
      <c r="AD1511" s="4">
        <f>SalesCleanTable[[#This Row],[Unit Price]] - SalesCleanTable[[#This Row],[Unit Cost]]</f>
        <v>6500</v>
      </c>
      <c r="AE1511" s="41">
        <f>(SalesCleanTable[[#This Row],[Unit Price]] - SalesCleanTable[[#This Row],[Unit Cost]]) / SalesCleanTable[[#This Row],[Unit Price]]</f>
        <v>0.26530612244897961</v>
      </c>
    </row>
    <row r="1512" spans="1:31">
      <c r="A1512" t="s">
        <v>1698</v>
      </c>
      <c r="B1512" s="6">
        <v>45796</v>
      </c>
      <c r="C1512" t="s">
        <v>95</v>
      </c>
      <c r="D1512" t="s">
        <v>96</v>
      </c>
      <c r="E1512" t="s">
        <v>92</v>
      </c>
      <c r="F1512" t="s">
        <v>97</v>
      </c>
      <c r="G1512" t="s">
        <v>98</v>
      </c>
      <c r="H1512" t="s">
        <v>128</v>
      </c>
      <c r="I1512" t="s">
        <v>129</v>
      </c>
      <c r="J1512" t="s">
        <v>130</v>
      </c>
      <c r="K1512" t="s">
        <v>131</v>
      </c>
      <c r="L1512" t="s">
        <v>166</v>
      </c>
      <c r="M1512" t="s">
        <v>171</v>
      </c>
      <c r="N1512">
        <v>2</v>
      </c>
      <c r="O1512" s="4">
        <v>18000</v>
      </c>
      <c r="P1512" s="4">
        <v>24500</v>
      </c>
      <c r="Q1512" s="7">
        <v>0.05</v>
      </c>
      <c r="R1512" t="s">
        <v>181</v>
      </c>
      <c r="S1512">
        <v>4</v>
      </c>
      <c r="T1512">
        <v>49000</v>
      </c>
      <c r="U1512">
        <v>2450</v>
      </c>
      <c r="V1512">
        <v>46550</v>
      </c>
      <c r="W1512">
        <v>36000</v>
      </c>
      <c r="X1512">
        <v>10550</v>
      </c>
      <c r="Y1512" s="8">
        <v>0.22663802363050484</v>
      </c>
      <c r="Z1512" t="s">
        <v>2995</v>
      </c>
      <c r="AA1512" t="str">
        <f>IF(AND(SalesCleanTable[[#This Row],[Discount %]]&gt;0, SalesCleanTable[[#This Row],[Profit]]&lt;0), "Discount loss", "Safe")</f>
        <v>Safe</v>
      </c>
      <c r="AB1512" s="25">
        <f>(SalesCleanTable[[#This Row],[Unit Price]] - SalesCleanTable[[#This Row],[Unit Cost]]) / SalesCleanTable[[#This Row],[Unit Price]]</f>
        <v>0.26530612244897961</v>
      </c>
      <c r="AC1512" t="str">
        <f>IF(SalesCleanTable[[#This Row],[Discount %]] &gt; SalesCleanTable[[#This Row],[Max Allowed Discount]], "Discount loss", "Safe")</f>
        <v>Safe</v>
      </c>
      <c r="AD1512" s="4">
        <f>SalesCleanTable[[#This Row],[Unit Price]] - SalesCleanTable[[#This Row],[Unit Cost]]</f>
        <v>6500</v>
      </c>
      <c r="AE1512" s="41">
        <f>(SalesCleanTable[[#This Row],[Unit Price]] - SalesCleanTable[[#This Row],[Unit Cost]]) / SalesCleanTable[[#This Row],[Unit Price]]</f>
        <v>0.26530612244897961</v>
      </c>
    </row>
    <row r="1513" spans="1:31">
      <c r="A1513" t="s">
        <v>1699</v>
      </c>
      <c r="B1513" s="6">
        <v>45659</v>
      </c>
      <c r="C1513" t="s">
        <v>41</v>
      </c>
      <c r="D1513" t="s">
        <v>42</v>
      </c>
      <c r="E1513" t="s">
        <v>26</v>
      </c>
      <c r="F1513" t="s">
        <v>43</v>
      </c>
      <c r="G1513" t="s">
        <v>44</v>
      </c>
      <c r="H1513" t="s">
        <v>135</v>
      </c>
      <c r="I1513" t="s">
        <v>136</v>
      </c>
      <c r="J1513" t="s">
        <v>137</v>
      </c>
      <c r="K1513" t="s">
        <v>138</v>
      </c>
      <c r="L1513" t="s">
        <v>166</v>
      </c>
      <c r="M1513" t="s">
        <v>167</v>
      </c>
      <c r="N1513">
        <v>3</v>
      </c>
      <c r="O1513" s="4">
        <v>850</v>
      </c>
      <c r="P1513" s="4">
        <v>1300</v>
      </c>
      <c r="Q1513" s="7">
        <v>0.1</v>
      </c>
      <c r="R1513" t="s">
        <v>197</v>
      </c>
      <c r="S1513">
        <v>14</v>
      </c>
      <c r="T1513">
        <v>3900</v>
      </c>
      <c r="U1513">
        <v>390</v>
      </c>
      <c r="V1513">
        <v>3510</v>
      </c>
      <c r="W1513">
        <v>2550</v>
      </c>
      <c r="X1513">
        <v>960</v>
      </c>
      <c r="Y1513" s="8">
        <v>0.27350427350427353</v>
      </c>
      <c r="Z1513" t="s">
        <v>2995</v>
      </c>
      <c r="AA1513" t="str">
        <f>IF(AND(SalesCleanTable[[#This Row],[Discount %]]&gt;0, SalesCleanTable[[#This Row],[Profit]]&lt;0), "Discount loss", "Safe")</f>
        <v>Safe</v>
      </c>
      <c r="AB1513" s="25">
        <f>(SalesCleanTable[[#This Row],[Unit Price]] - SalesCleanTable[[#This Row],[Unit Cost]]) / SalesCleanTable[[#This Row],[Unit Price]]</f>
        <v>0.34615384615384615</v>
      </c>
      <c r="AC1513" t="str">
        <f>IF(SalesCleanTable[[#This Row],[Discount %]] &gt; SalesCleanTable[[#This Row],[Max Allowed Discount]], "Discount loss", "Safe")</f>
        <v>Safe</v>
      </c>
      <c r="AD1513" s="4">
        <f>SalesCleanTable[[#This Row],[Unit Price]] - SalesCleanTable[[#This Row],[Unit Cost]]</f>
        <v>450</v>
      </c>
      <c r="AE1513" s="41">
        <f>(SalesCleanTable[[#This Row],[Unit Price]] - SalesCleanTable[[#This Row],[Unit Cost]]) / SalesCleanTable[[#This Row],[Unit Price]]</f>
        <v>0.34615384615384615</v>
      </c>
    </row>
    <row r="1514" spans="1:31">
      <c r="A1514" t="s">
        <v>1700</v>
      </c>
      <c r="B1514" s="6">
        <v>46022</v>
      </c>
      <c r="C1514" t="s">
        <v>53</v>
      </c>
      <c r="D1514" t="s">
        <v>54</v>
      </c>
      <c r="E1514" t="s">
        <v>38</v>
      </c>
      <c r="F1514" t="s">
        <v>55</v>
      </c>
      <c r="G1514" t="s">
        <v>56</v>
      </c>
      <c r="H1514" t="s">
        <v>133</v>
      </c>
      <c r="I1514" t="s">
        <v>134</v>
      </c>
      <c r="J1514" t="s">
        <v>130</v>
      </c>
      <c r="K1514" t="s">
        <v>131</v>
      </c>
      <c r="L1514" t="s">
        <v>183</v>
      </c>
      <c r="M1514" t="s">
        <v>177</v>
      </c>
      <c r="N1514">
        <v>6</v>
      </c>
      <c r="O1514" s="4">
        <v>330</v>
      </c>
      <c r="P1514" s="4">
        <v>550</v>
      </c>
      <c r="Q1514" s="7">
        <v>0.15</v>
      </c>
      <c r="R1514" t="s">
        <v>175</v>
      </c>
      <c r="S1514">
        <v>4</v>
      </c>
      <c r="T1514">
        <v>3300</v>
      </c>
      <c r="U1514">
        <v>495</v>
      </c>
      <c r="V1514">
        <v>2805</v>
      </c>
      <c r="W1514">
        <v>1980</v>
      </c>
      <c r="X1514">
        <v>825</v>
      </c>
      <c r="Y1514" s="8">
        <v>0.29411764705882354</v>
      </c>
      <c r="Z1514" t="s">
        <v>2996</v>
      </c>
      <c r="AA1514" t="str">
        <f>IF(AND(SalesCleanTable[[#This Row],[Discount %]]&gt;0, SalesCleanTable[[#This Row],[Profit]]&lt;0), "Discount loss", "Safe")</f>
        <v>Safe</v>
      </c>
      <c r="AB1514" s="25">
        <f>(SalesCleanTable[[#This Row],[Unit Price]] - SalesCleanTable[[#This Row],[Unit Cost]]) / SalesCleanTable[[#This Row],[Unit Price]]</f>
        <v>0.4</v>
      </c>
      <c r="AC1514" t="str">
        <f>IF(SalesCleanTable[[#This Row],[Discount %]] &gt; SalesCleanTable[[#This Row],[Max Allowed Discount]], "Discount loss", "Safe")</f>
        <v>Safe</v>
      </c>
      <c r="AD1514" s="4">
        <f>SalesCleanTable[[#This Row],[Unit Price]] - SalesCleanTable[[#This Row],[Unit Cost]]</f>
        <v>220</v>
      </c>
      <c r="AE1514" s="41">
        <f>(SalesCleanTable[[#This Row],[Unit Price]] - SalesCleanTable[[#This Row],[Unit Cost]]) / SalesCleanTable[[#This Row],[Unit Price]]</f>
        <v>0.4</v>
      </c>
    </row>
    <row r="1515" spans="1:31">
      <c r="A1515" t="s">
        <v>1701</v>
      </c>
      <c r="B1515" s="6">
        <v>45909</v>
      </c>
      <c r="C1515" t="s">
        <v>53</v>
      </c>
      <c r="D1515" t="s">
        <v>54</v>
      </c>
      <c r="E1515" t="s">
        <v>38</v>
      </c>
      <c r="F1515" t="s">
        <v>55</v>
      </c>
      <c r="G1515" t="s">
        <v>56</v>
      </c>
      <c r="H1515" t="s">
        <v>149</v>
      </c>
      <c r="I1515" t="s">
        <v>150</v>
      </c>
      <c r="J1515" t="s">
        <v>151</v>
      </c>
      <c r="K1515" t="s">
        <v>152</v>
      </c>
      <c r="L1515" t="s">
        <v>166</v>
      </c>
      <c r="M1515" t="s">
        <v>186</v>
      </c>
      <c r="N1515">
        <v>2</v>
      </c>
      <c r="O1515" s="4">
        <v>330</v>
      </c>
      <c r="P1515" s="4">
        <v>550</v>
      </c>
      <c r="Q1515" s="7">
        <v>0</v>
      </c>
      <c r="R1515" t="s">
        <v>175</v>
      </c>
      <c r="S1515">
        <v>10</v>
      </c>
      <c r="T1515">
        <v>1100</v>
      </c>
      <c r="U1515">
        <v>0</v>
      </c>
      <c r="V1515">
        <v>1100</v>
      </c>
      <c r="W1515">
        <v>660</v>
      </c>
      <c r="X1515">
        <v>440</v>
      </c>
      <c r="Y1515" s="8">
        <v>0.4</v>
      </c>
      <c r="Z1515" t="s">
        <v>2996</v>
      </c>
      <c r="AA1515" t="str">
        <f>IF(AND(SalesCleanTable[[#This Row],[Discount %]]&gt;0, SalesCleanTable[[#This Row],[Profit]]&lt;0), "Discount loss", "Safe")</f>
        <v>Safe</v>
      </c>
      <c r="AB1515" s="25">
        <f>(SalesCleanTable[[#This Row],[Unit Price]] - SalesCleanTable[[#This Row],[Unit Cost]]) / SalesCleanTable[[#This Row],[Unit Price]]</f>
        <v>0.4</v>
      </c>
      <c r="AC1515" t="str">
        <f>IF(SalesCleanTable[[#This Row],[Discount %]] &gt; SalesCleanTable[[#This Row],[Max Allowed Discount]], "Discount loss", "Safe")</f>
        <v>Safe</v>
      </c>
      <c r="AD1515" s="4">
        <f>SalesCleanTable[[#This Row],[Unit Price]] - SalesCleanTable[[#This Row],[Unit Cost]]</f>
        <v>220</v>
      </c>
      <c r="AE1515" s="41">
        <f>(SalesCleanTable[[#This Row],[Unit Price]] - SalesCleanTable[[#This Row],[Unit Cost]]) / SalesCleanTable[[#This Row],[Unit Price]]</f>
        <v>0.4</v>
      </c>
    </row>
    <row r="1516" spans="1:31">
      <c r="A1516" t="s">
        <v>1702</v>
      </c>
      <c r="B1516" s="6">
        <v>45731</v>
      </c>
      <c r="C1516" t="s">
        <v>82</v>
      </c>
      <c r="D1516" t="s">
        <v>83</v>
      </c>
      <c r="E1516" t="s">
        <v>75</v>
      </c>
      <c r="F1516" t="s">
        <v>84</v>
      </c>
      <c r="G1516" t="s">
        <v>85</v>
      </c>
      <c r="H1516" t="s">
        <v>141</v>
      </c>
      <c r="I1516" t="s">
        <v>142</v>
      </c>
      <c r="J1516" t="s">
        <v>143</v>
      </c>
      <c r="K1516" t="s">
        <v>144</v>
      </c>
      <c r="L1516" t="s">
        <v>183</v>
      </c>
      <c r="M1516" t="s">
        <v>167</v>
      </c>
      <c r="N1516">
        <v>4</v>
      </c>
      <c r="O1516" s="4">
        <v>600</v>
      </c>
      <c r="P1516" s="4">
        <v>950</v>
      </c>
      <c r="Q1516" s="7">
        <v>0.05</v>
      </c>
      <c r="R1516" t="s">
        <v>208</v>
      </c>
      <c r="S1516">
        <v>6</v>
      </c>
      <c r="T1516">
        <v>3800</v>
      </c>
      <c r="U1516">
        <v>190</v>
      </c>
      <c r="V1516">
        <v>3610</v>
      </c>
      <c r="W1516">
        <v>2400</v>
      </c>
      <c r="X1516">
        <v>1210</v>
      </c>
      <c r="Y1516" s="8">
        <v>0.33518005540166207</v>
      </c>
      <c r="Z1516" t="s">
        <v>2996</v>
      </c>
      <c r="AA1516" t="str">
        <f>IF(AND(SalesCleanTable[[#This Row],[Discount %]]&gt;0, SalesCleanTable[[#This Row],[Profit]]&lt;0), "Discount loss", "Safe")</f>
        <v>Safe</v>
      </c>
      <c r="AB1516" s="25">
        <f>(SalesCleanTable[[#This Row],[Unit Price]] - SalesCleanTable[[#This Row],[Unit Cost]]) / SalesCleanTable[[#This Row],[Unit Price]]</f>
        <v>0.36842105263157893</v>
      </c>
      <c r="AC1516" t="str">
        <f>IF(SalesCleanTable[[#This Row],[Discount %]] &gt; SalesCleanTable[[#This Row],[Max Allowed Discount]], "Discount loss", "Safe")</f>
        <v>Safe</v>
      </c>
      <c r="AD1516" s="4">
        <f>SalesCleanTable[[#This Row],[Unit Price]] - SalesCleanTable[[#This Row],[Unit Cost]]</f>
        <v>350</v>
      </c>
      <c r="AE1516" s="41">
        <f>(SalesCleanTable[[#This Row],[Unit Price]] - SalesCleanTable[[#This Row],[Unit Cost]]) / SalesCleanTable[[#This Row],[Unit Price]]</f>
        <v>0.36842105263157893</v>
      </c>
    </row>
    <row r="1517" spans="1:31">
      <c r="A1517" t="s">
        <v>1703</v>
      </c>
      <c r="B1517" s="6">
        <v>45785</v>
      </c>
      <c r="C1517" t="s">
        <v>82</v>
      </c>
      <c r="D1517" t="s">
        <v>83</v>
      </c>
      <c r="E1517" t="s">
        <v>75</v>
      </c>
      <c r="F1517" t="s">
        <v>84</v>
      </c>
      <c r="G1517" t="s">
        <v>85</v>
      </c>
      <c r="H1517" t="s">
        <v>149</v>
      </c>
      <c r="I1517" t="s">
        <v>150</v>
      </c>
      <c r="J1517" t="s">
        <v>151</v>
      </c>
      <c r="K1517" t="s">
        <v>152</v>
      </c>
      <c r="L1517" t="s">
        <v>170</v>
      </c>
      <c r="M1517" t="s">
        <v>171</v>
      </c>
      <c r="N1517">
        <v>2</v>
      </c>
      <c r="O1517" s="4">
        <v>600</v>
      </c>
      <c r="P1517" s="4">
        <v>950</v>
      </c>
      <c r="Q1517" s="7">
        <v>0.15</v>
      </c>
      <c r="R1517" t="s">
        <v>204</v>
      </c>
      <c r="S1517">
        <v>4</v>
      </c>
      <c r="T1517">
        <v>1900</v>
      </c>
      <c r="U1517">
        <v>285</v>
      </c>
      <c r="V1517">
        <v>1615</v>
      </c>
      <c r="W1517">
        <v>1200</v>
      </c>
      <c r="X1517">
        <v>415</v>
      </c>
      <c r="Y1517" s="8">
        <v>0.25696594427244585</v>
      </c>
      <c r="Z1517" t="s">
        <v>2996</v>
      </c>
      <c r="AA1517" t="str">
        <f>IF(AND(SalesCleanTable[[#This Row],[Discount %]]&gt;0, SalesCleanTable[[#This Row],[Profit]]&lt;0), "Discount loss", "Safe")</f>
        <v>Safe</v>
      </c>
      <c r="AB1517" s="25">
        <f>(SalesCleanTable[[#This Row],[Unit Price]] - SalesCleanTable[[#This Row],[Unit Cost]]) / SalesCleanTable[[#This Row],[Unit Price]]</f>
        <v>0.36842105263157893</v>
      </c>
      <c r="AC1517" t="str">
        <f>IF(SalesCleanTable[[#This Row],[Discount %]] &gt; SalesCleanTable[[#This Row],[Max Allowed Discount]], "Discount loss", "Safe")</f>
        <v>Safe</v>
      </c>
      <c r="AD1517" s="4">
        <f>SalesCleanTable[[#This Row],[Unit Price]] - SalesCleanTable[[#This Row],[Unit Cost]]</f>
        <v>350</v>
      </c>
      <c r="AE1517" s="41">
        <f>(SalesCleanTable[[#This Row],[Unit Price]] - SalesCleanTable[[#This Row],[Unit Cost]]) / SalesCleanTable[[#This Row],[Unit Price]]</f>
        <v>0.36842105263157893</v>
      </c>
    </row>
    <row r="1518" spans="1:31">
      <c r="A1518" t="s">
        <v>1704</v>
      </c>
      <c r="B1518" s="6">
        <v>45691</v>
      </c>
      <c r="C1518" t="s">
        <v>53</v>
      </c>
      <c r="D1518" t="s">
        <v>54</v>
      </c>
      <c r="E1518" t="s">
        <v>38</v>
      </c>
      <c r="F1518" t="s">
        <v>55</v>
      </c>
      <c r="G1518" t="s">
        <v>56</v>
      </c>
      <c r="H1518" t="s">
        <v>145</v>
      </c>
      <c r="I1518" t="s">
        <v>146</v>
      </c>
      <c r="J1518" t="s">
        <v>147</v>
      </c>
      <c r="K1518" t="s">
        <v>148</v>
      </c>
      <c r="L1518" t="s">
        <v>166</v>
      </c>
      <c r="M1518" t="s">
        <v>186</v>
      </c>
      <c r="N1518">
        <v>2</v>
      </c>
      <c r="O1518" s="4">
        <v>330</v>
      </c>
      <c r="P1518" s="4">
        <v>550</v>
      </c>
      <c r="Q1518" s="7">
        <v>0.05</v>
      </c>
      <c r="R1518" t="s">
        <v>168</v>
      </c>
      <c r="S1518">
        <v>8</v>
      </c>
      <c r="T1518">
        <v>1100</v>
      </c>
      <c r="U1518">
        <v>55</v>
      </c>
      <c r="V1518">
        <v>1045</v>
      </c>
      <c r="W1518">
        <v>660</v>
      </c>
      <c r="X1518">
        <v>385</v>
      </c>
      <c r="Y1518" s="8">
        <v>0.36842105263157893</v>
      </c>
      <c r="Z1518" t="s">
        <v>2996</v>
      </c>
      <c r="AA1518" t="str">
        <f>IF(AND(SalesCleanTable[[#This Row],[Discount %]]&gt;0, SalesCleanTable[[#This Row],[Profit]]&lt;0), "Discount loss", "Safe")</f>
        <v>Safe</v>
      </c>
      <c r="AB1518" s="25">
        <f>(SalesCleanTable[[#This Row],[Unit Price]] - SalesCleanTable[[#This Row],[Unit Cost]]) / SalesCleanTable[[#This Row],[Unit Price]]</f>
        <v>0.4</v>
      </c>
      <c r="AC1518" t="str">
        <f>IF(SalesCleanTable[[#This Row],[Discount %]] &gt; SalesCleanTable[[#This Row],[Max Allowed Discount]], "Discount loss", "Safe")</f>
        <v>Safe</v>
      </c>
      <c r="AD1518" s="4">
        <f>SalesCleanTable[[#This Row],[Unit Price]] - SalesCleanTable[[#This Row],[Unit Cost]]</f>
        <v>220</v>
      </c>
      <c r="AE1518" s="41">
        <f>(SalesCleanTable[[#This Row],[Unit Price]] - SalesCleanTable[[#This Row],[Unit Cost]]) / SalesCleanTable[[#This Row],[Unit Price]]</f>
        <v>0.4</v>
      </c>
    </row>
    <row r="1519" spans="1:31">
      <c r="A1519" t="s">
        <v>1705</v>
      </c>
      <c r="B1519" s="6">
        <v>45703</v>
      </c>
      <c r="C1519" t="s">
        <v>53</v>
      </c>
      <c r="D1519" t="s">
        <v>54</v>
      </c>
      <c r="E1519" t="s">
        <v>38</v>
      </c>
      <c r="F1519" t="s">
        <v>55</v>
      </c>
      <c r="G1519" t="s">
        <v>56</v>
      </c>
      <c r="H1519" t="s">
        <v>135</v>
      </c>
      <c r="I1519" t="s">
        <v>136</v>
      </c>
      <c r="J1519" t="s">
        <v>137</v>
      </c>
      <c r="K1519" t="s">
        <v>138</v>
      </c>
      <c r="L1519" t="s">
        <v>166</v>
      </c>
      <c r="M1519" t="s">
        <v>177</v>
      </c>
      <c r="N1519">
        <v>2</v>
      </c>
      <c r="O1519" s="4">
        <v>330</v>
      </c>
      <c r="P1519" s="4">
        <v>550</v>
      </c>
      <c r="Q1519" s="7">
        <v>0.15</v>
      </c>
      <c r="R1519" t="s">
        <v>178</v>
      </c>
      <c r="S1519">
        <v>14</v>
      </c>
      <c r="T1519">
        <v>1100</v>
      </c>
      <c r="U1519">
        <v>165</v>
      </c>
      <c r="V1519">
        <v>935</v>
      </c>
      <c r="W1519">
        <v>660</v>
      </c>
      <c r="X1519">
        <v>275</v>
      </c>
      <c r="Y1519" s="8">
        <v>0.29411764705882354</v>
      </c>
      <c r="Z1519" t="s">
        <v>2996</v>
      </c>
      <c r="AA1519" t="str">
        <f>IF(AND(SalesCleanTable[[#This Row],[Discount %]]&gt;0, SalesCleanTable[[#This Row],[Profit]]&lt;0), "Discount loss", "Safe")</f>
        <v>Safe</v>
      </c>
      <c r="AB1519" s="25">
        <f>(SalesCleanTable[[#This Row],[Unit Price]] - SalesCleanTable[[#This Row],[Unit Cost]]) / SalesCleanTable[[#This Row],[Unit Price]]</f>
        <v>0.4</v>
      </c>
      <c r="AC1519" t="str">
        <f>IF(SalesCleanTable[[#This Row],[Discount %]] &gt; SalesCleanTable[[#This Row],[Max Allowed Discount]], "Discount loss", "Safe")</f>
        <v>Safe</v>
      </c>
      <c r="AD1519" s="4">
        <f>SalesCleanTable[[#This Row],[Unit Price]] - SalesCleanTable[[#This Row],[Unit Cost]]</f>
        <v>220</v>
      </c>
      <c r="AE1519" s="41">
        <f>(SalesCleanTable[[#This Row],[Unit Price]] - SalesCleanTable[[#This Row],[Unit Cost]]) / SalesCleanTable[[#This Row],[Unit Price]]</f>
        <v>0.4</v>
      </c>
    </row>
    <row r="1520" spans="1:31">
      <c r="A1520" t="s">
        <v>1706</v>
      </c>
      <c r="B1520" s="6">
        <v>45922</v>
      </c>
      <c r="C1520" t="s">
        <v>66</v>
      </c>
      <c r="D1520" t="s">
        <v>67</v>
      </c>
      <c r="E1520" t="s">
        <v>59</v>
      </c>
      <c r="F1520" t="s">
        <v>60</v>
      </c>
      <c r="G1520" t="s">
        <v>68</v>
      </c>
      <c r="H1520" t="s">
        <v>145</v>
      </c>
      <c r="I1520" t="s">
        <v>146</v>
      </c>
      <c r="J1520" t="s">
        <v>147</v>
      </c>
      <c r="K1520" t="s">
        <v>148</v>
      </c>
      <c r="L1520" t="s">
        <v>166</v>
      </c>
      <c r="M1520" t="s">
        <v>171</v>
      </c>
      <c r="N1520">
        <v>5</v>
      </c>
      <c r="O1520" s="4">
        <v>2800</v>
      </c>
      <c r="P1520" s="4">
        <v>3900</v>
      </c>
      <c r="Q1520" s="7">
        <v>0.2</v>
      </c>
      <c r="R1520" t="s">
        <v>192</v>
      </c>
      <c r="S1520">
        <v>12</v>
      </c>
      <c r="T1520">
        <v>19500</v>
      </c>
      <c r="U1520">
        <v>3900</v>
      </c>
      <c r="V1520">
        <v>15600</v>
      </c>
      <c r="W1520">
        <v>14000</v>
      </c>
      <c r="X1520">
        <v>1600</v>
      </c>
      <c r="Y1520" s="8">
        <v>0.10256410256410256</v>
      </c>
      <c r="Z1520" t="s">
        <v>2996</v>
      </c>
      <c r="AA1520" t="str">
        <f>IF(AND(SalesCleanTable[[#This Row],[Discount %]]&gt;0, SalesCleanTable[[#This Row],[Profit]]&lt;0), "Discount loss", "Safe")</f>
        <v>Safe</v>
      </c>
      <c r="AB1520" s="25">
        <f>(SalesCleanTable[[#This Row],[Unit Price]] - SalesCleanTable[[#This Row],[Unit Cost]]) / SalesCleanTable[[#This Row],[Unit Price]]</f>
        <v>0.28205128205128205</v>
      </c>
      <c r="AC1520" t="str">
        <f>IF(SalesCleanTable[[#This Row],[Discount %]] &gt; SalesCleanTable[[#This Row],[Max Allowed Discount]], "Discount loss", "Safe")</f>
        <v>Safe</v>
      </c>
      <c r="AD1520" s="4">
        <f>SalesCleanTable[[#This Row],[Unit Price]] - SalesCleanTable[[#This Row],[Unit Cost]]</f>
        <v>1100</v>
      </c>
      <c r="AE1520" s="41">
        <f>(SalesCleanTable[[#This Row],[Unit Price]] - SalesCleanTable[[#This Row],[Unit Cost]]) / SalesCleanTable[[#This Row],[Unit Price]]</f>
        <v>0.28205128205128205</v>
      </c>
    </row>
    <row r="1521" spans="1:31">
      <c r="A1521" t="s">
        <v>1707</v>
      </c>
      <c r="B1521" s="6">
        <v>45705</v>
      </c>
      <c r="C1521" t="s">
        <v>73</v>
      </c>
      <c r="D1521" t="s">
        <v>74</v>
      </c>
      <c r="E1521" t="s">
        <v>75</v>
      </c>
      <c r="F1521" t="s">
        <v>76</v>
      </c>
      <c r="G1521" t="s">
        <v>77</v>
      </c>
      <c r="H1521" t="s">
        <v>139</v>
      </c>
      <c r="I1521" t="s">
        <v>140</v>
      </c>
      <c r="J1521" t="s">
        <v>137</v>
      </c>
      <c r="K1521" t="s">
        <v>138</v>
      </c>
      <c r="L1521" t="s">
        <v>166</v>
      </c>
      <c r="M1521" t="s">
        <v>177</v>
      </c>
      <c r="N1521">
        <v>2</v>
      </c>
      <c r="O1521" s="4">
        <v>3500</v>
      </c>
      <c r="P1521" s="4">
        <v>5200</v>
      </c>
      <c r="Q1521" s="7">
        <v>0.05</v>
      </c>
      <c r="R1521" t="s">
        <v>187</v>
      </c>
      <c r="S1521">
        <v>14</v>
      </c>
      <c r="T1521">
        <v>10400</v>
      </c>
      <c r="U1521">
        <v>520</v>
      </c>
      <c r="V1521">
        <v>9880</v>
      </c>
      <c r="W1521">
        <v>7000</v>
      </c>
      <c r="X1521">
        <v>2880</v>
      </c>
      <c r="Y1521" s="8">
        <v>0.291497975708502</v>
      </c>
      <c r="Z1521" t="s">
        <v>2996</v>
      </c>
      <c r="AA1521" t="str">
        <f>IF(AND(SalesCleanTable[[#This Row],[Discount %]]&gt;0, SalesCleanTable[[#This Row],[Profit]]&lt;0), "Discount loss", "Safe")</f>
        <v>Safe</v>
      </c>
      <c r="AB1521" s="25">
        <f>(SalesCleanTable[[#This Row],[Unit Price]] - SalesCleanTable[[#This Row],[Unit Cost]]) / SalesCleanTable[[#This Row],[Unit Price]]</f>
        <v>0.32692307692307693</v>
      </c>
      <c r="AC1521" t="str">
        <f>IF(SalesCleanTable[[#This Row],[Discount %]] &gt; SalesCleanTable[[#This Row],[Max Allowed Discount]], "Discount loss", "Safe")</f>
        <v>Safe</v>
      </c>
      <c r="AD1521" s="4">
        <f>SalesCleanTable[[#This Row],[Unit Price]] - SalesCleanTable[[#This Row],[Unit Cost]]</f>
        <v>1700</v>
      </c>
      <c r="AE1521" s="41">
        <f>(SalesCleanTable[[#This Row],[Unit Price]] - SalesCleanTable[[#This Row],[Unit Cost]]) / SalesCleanTable[[#This Row],[Unit Price]]</f>
        <v>0.32692307692307693</v>
      </c>
    </row>
    <row r="1522" spans="1:31">
      <c r="A1522" t="s">
        <v>1708</v>
      </c>
      <c r="B1522" s="6">
        <v>45753</v>
      </c>
      <c r="C1522" t="s">
        <v>41</v>
      </c>
      <c r="D1522" t="s">
        <v>42</v>
      </c>
      <c r="E1522" t="s">
        <v>26</v>
      </c>
      <c r="F1522" t="s">
        <v>43</v>
      </c>
      <c r="G1522" t="s">
        <v>44</v>
      </c>
      <c r="H1522" t="s">
        <v>135</v>
      </c>
      <c r="I1522" t="s">
        <v>136</v>
      </c>
      <c r="J1522" t="s">
        <v>137</v>
      </c>
      <c r="K1522" t="s">
        <v>138</v>
      </c>
      <c r="L1522" t="s">
        <v>166</v>
      </c>
      <c r="M1522" t="s">
        <v>177</v>
      </c>
      <c r="N1522">
        <v>3</v>
      </c>
      <c r="O1522" s="4">
        <v>850</v>
      </c>
      <c r="P1522" s="4">
        <v>1300</v>
      </c>
      <c r="Q1522" s="7">
        <v>0</v>
      </c>
      <c r="R1522" t="s">
        <v>173</v>
      </c>
      <c r="S1522">
        <v>13</v>
      </c>
      <c r="T1522">
        <v>3900</v>
      </c>
      <c r="U1522">
        <v>0</v>
      </c>
      <c r="V1522">
        <v>3900</v>
      </c>
      <c r="W1522">
        <v>2550</v>
      </c>
      <c r="X1522">
        <v>1350</v>
      </c>
      <c r="Y1522" s="8">
        <v>0.34615384615384615</v>
      </c>
      <c r="Z1522" t="s">
        <v>2995</v>
      </c>
      <c r="AA1522" t="str">
        <f>IF(AND(SalesCleanTable[[#This Row],[Discount %]]&gt;0, SalesCleanTable[[#This Row],[Profit]]&lt;0), "Discount loss", "Safe")</f>
        <v>Safe</v>
      </c>
      <c r="AB1522" s="25">
        <f>(SalesCleanTable[[#This Row],[Unit Price]] - SalesCleanTable[[#This Row],[Unit Cost]]) / SalesCleanTable[[#This Row],[Unit Price]]</f>
        <v>0.34615384615384615</v>
      </c>
      <c r="AC1522" t="str">
        <f>IF(SalesCleanTable[[#This Row],[Discount %]] &gt; SalesCleanTable[[#This Row],[Max Allowed Discount]], "Discount loss", "Safe")</f>
        <v>Safe</v>
      </c>
      <c r="AD1522" s="4">
        <f>SalesCleanTable[[#This Row],[Unit Price]] - SalesCleanTable[[#This Row],[Unit Cost]]</f>
        <v>450</v>
      </c>
      <c r="AE1522" s="41">
        <f>(SalesCleanTable[[#This Row],[Unit Price]] - SalesCleanTable[[#This Row],[Unit Cost]]) / SalesCleanTable[[#This Row],[Unit Price]]</f>
        <v>0.34615384615384615</v>
      </c>
    </row>
    <row r="1523" spans="1:31">
      <c r="A1523" t="s">
        <v>1709</v>
      </c>
      <c r="B1523" s="6">
        <v>45748</v>
      </c>
      <c r="C1523" t="s">
        <v>45</v>
      </c>
      <c r="D1523" t="s">
        <v>46</v>
      </c>
      <c r="E1523" t="s">
        <v>38</v>
      </c>
      <c r="F1523" t="s">
        <v>47</v>
      </c>
      <c r="G1523" t="s">
        <v>48</v>
      </c>
      <c r="H1523" t="s">
        <v>139</v>
      </c>
      <c r="I1523" t="s">
        <v>140</v>
      </c>
      <c r="J1523" t="s">
        <v>137</v>
      </c>
      <c r="K1523" t="s">
        <v>138</v>
      </c>
      <c r="L1523" t="s">
        <v>166</v>
      </c>
      <c r="M1523" t="s">
        <v>171</v>
      </c>
      <c r="N1523">
        <v>2</v>
      </c>
      <c r="O1523" s="4">
        <v>230</v>
      </c>
      <c r="P1523" s="4">
        <v>400</v>
      </c>
      <c r="Q1523" s="7">
        <v>0</v>
      </c>
      <c r="R1523" t="s">
        <v>168</v>
      </c>
      <c r="S1523">
        <v>12</v>
      </c>
      <c r="T1523">
        <v>800</v>
      </c>
      <c r="U1523">
        <v>0</v>
      </c>
      <c r="V1523">
        <v>800</v>
      </c>
      <c r="W1523">
        <v>460</v>
      </c>
      <c r="X1523">
        <v>340</v>
      </c>
      <c r="Y1523" s="8">
        <v>0.42499999999999999</v>
      </c>
      <c r="Z1523" t="s">
        <v>2995</v>
      </c>
      <c r="AA1523" t="str">
        <f>IF(AND(SalesCleanTable[[#This Row],[Discount %]]&gt;0, SalesCleanTable[[#This Row],[Profit]]&lt;0), "Discount loss", "Safe")</f>
        <v>Safe</v>
      </c>
      <c r="AB1523" s="25">
        <f>(SalesCleanTable[[#This Row],[Unit Price]] - SalesCleanTable[[#This Row],[Unit Cost]]) / SalesCleanTable[[#This Row],[Unit Price]]</f>
        <v>0.42499999999999999</v>
      </c>
      <c r="AC1523" t="str">
        <f>IF(SalesCleanTable[[#This Row],[Discount %]] &gt; SalesCleanTable[[#This Row],[Max Allowed Discount]], "Discount loss", "Safe")</f>
        <v>Safe</v>
      </c>
      <c r="AD1523" s="4">
        <f>SalesCleanTable[[#This Row],[Unit Price]] - SalesCleanTable[[#This Row],[Unit Cost]]</f>
        <v>170</v>
      </c>
      <c r="AE1523" s="41">
        <f>(SalesCleanTable[[#This Row],[Unit Price]] - SalesCleanTable[[#This Row],[Unit Cost]]) / SalesCleanTable[[#This Row],[Unit Price]]</f>
        <v>0.42499999999999999</v>
      </c>
    </row>
    <row r="1524" spans="1:31">
      <c r="A1524" t="s">
        <v>1710</v>
      </c>
      <c r="B1524" s="6">
        <v>45709</v>
      </c>
      <c r="C1524" t="s">
        <v>45</v>
      </c>
      <c r="D1524" t="s">
        <v>46</v>
      </c>
      <c r="E1524" t="s">
        <v>38</v>
      </c>
      <c r="F1524" t="s">
        <v>47</v>
      </c>
      <c r="G1524" t="s">
        <v>48</v>
      </c>
      <c r="H1524" t="s">
        <v>145</v>
      </c>
      <c r="I1524" t="s">
        <v>146</v>
      </c>
      <c r="J1524" t="s">
        <v>147</v>
      </c>
      <c r="K1524" t="s">
        <v>148</v>
      </c>
      <c r="L1524" t="s">
        <v>166</v>
      </c>
      <c r="M1524" t="s">
        <v>186</v>
      </c>
      <c r="N1524">
        <v>3</v>
      </c>
      <c r="O1524" s="4">
        <v>230</v>
      </c>
      <c r="P1524" s="4">
        <v>400</v>
      </c>
      <c r="Q1524" s="7">
        <v>0.15</v>
      </c>
      <c r="R1524" t="s">
        <v>178</v>
      </c>
      <c r="S1524">
        <v>3</v>
      </c>
      <c r="T1524">
        <v>1200</v>
      </c>
      <c r="U1524">
        <v>180</v>
      </c>
      <c r="V1524">
        <v>1020</v>
      </c>
      <c r="W1524">
        <v>690</v>
      </c>
      <c r="X1524">
        <v>330</v>
      </c>
      <c r="Y1524" s="8">
        <v>0.3235294117647059</v>
      </c>
      <c r="Z1524" t="s">
        <v>2995</v>
      </c>
      <c r="AA1524" t="str">
        <f>IF(AND(SalesCleanTable[[#This Row],[Discount %]]&gt;0, SalesCleanTable[[#This Row],[Profit]]&lt;0), "Discount loss", "Safe")</f>
        <v>Safe</v>
      </c>
      <c r="AB1524" s="25">
        <f>(SalesCleanTable[[#This Row],[Unit Price]] - SalesCleanTable[[#This Row],[Unit Cost]]) / SalesCleanTable[[#This Row],[Unit Price]]</f>
        <v>0.42499999999999999</v>
      </c>
      <c r="AC1524" t="str">
        <f>IF(SalesCleanTable[[#This Row],[Discount %]] &gt; SalesCleanTable[[#This Row],[Max Allowed Discount]], "Discount loss", "Safe")</f>
        <v>Safe</v>
      </c>
      <c r="AD1524" s="4">
        <f>SalesCleanTable[[#This Row],[Unit Price]] - SalesCleanTable[[#This Row],[Unit Cost]]</f>
        <v>170</v>
      </c>
      <c r="AE1524" s="41">
        <f>(SalesCleanTable[[#This Row],[Unit Price]] - SalesCleanTable[[#This Row],[Unit Cost]]) / SalesCleanTable[[#This Row],[Unit Price]]</f>
        <v>0.42499999999999999</v>
      </c>
    </row>
    <row r="1525" spans="1:31">
      <c r="A1525" t="s">
        <v>1711</v>
      </c>
      <c r="B1525" s="6">
        <v>45753</v>
      </c>
      <c r="C1525" t="s">
        <v>41</v>
      </c>
      <c r="D1525" t="s">
        <v>42</v>
      </c>
      <c r="E1525" t="s">
        <v>26</v>
      </c>
      <c r="F1525" t="s">
        <v>43</v>
      </c>
      <c r="G1525" t="s">
        <v>44</v>
      </c>
      <c r="H1525" t="s">
        <v>128</v>
      </c>
      <c r="I1525" t="s">
        <v>129</v>
      </c>
      <c r="J1525" t="s">
        <v>130</v>
      </c>
      <c r="K1525" t="s">
        <v>131</v>
      </c>
      <c r="L1525" t="s">
        <v>166</v>
      </c>
      <c r="M1525" t="s">
        <v>177</v>
      </c>
      <c r="N1525">
        <v>5</v>
      </c>
      <c r="O1525" s="4">
        <v>850</v>
      </c>
      <c r="P1525" s="4">
        <v>1300</v>
      </c>
      <c r="Q1525" s="7">
        <v>0.1</v>
      </c>
      <c r="R1525" t="s">
        <v>173</v>
      </c>
      <c r="S1525">
        <v>1</v>
      </c>
      <c r="T1525">
        <v>6500</v>
      </c>
      <c r="U1525">
        <v>650</v>
      </c>
      <c r="V1525">
        <v>5850</v>
      </c>
      <c r="W1525">
        <v>4250</v>
      </c>
      <c r="X1525">
        <v>1600</v>
      </c>
      <c r="Y1525" s="8">
        <v>0.27350427350427353</v>
      </c>
      <c r="Z1525" t="s">
        <v>2995</v>
      </c>
      <c r="AA1525" t="str">
        <f>IF(AND(SalesCleanTable[[#This Row],[Discount %]]&gt;0, SalesCleanTable[[#This Row],[Profit]]&lt;0), "Discount loss", "Safe")</f>
        <v>Safe</v>
      </c>
      <c r="AB1525" s="25">
        <f>(SalesCleanTable[[#This Row],[Unit Price]] - SalesCleanTable[[#This Row],[Unit Cost]]) / SalesCleanTable[[#This Row],[Unit Price]]</f>
        <v>0.34615384615384615</v>
      </c>
      <c r="AC1525" t="str">
        <f>IF(SalesCleanTable[[#This Row],[Discount %]] &gt; SalesCleanTable[[#This Row],[Max Allowed Discount]], "Discount loss", "Safe")</f>
        <v>Safe</v>
      </c>
      <c r="AD1525" s="4">
        <f>SalesCleanTable[[#This Row],[Unit Price]] - SalesCleanTable[[#This Row],[Unit Cost]]</f>
        <v>450</v>
      </c>
      <c r="AE1525" s="41">
        <f>(SalesCleanTable[[#This Row],[Unit Price]] - SalesCleanTable[[#This Row],[Unit Cost]]) / SalesCleanTable[[#This Row],[Unit Price]]</f>
        <v>0.34615384615384615</v>
      </c>
    </row>
    <row r="1526" spans="1:31">
      <c r="A1526" t="s">
        <v>1712</v>
      </c>
      <c r="B1526" s="6">
        <v>45743</v>
      </c>
      <c r="C1526" t="s">
        <v>24</v>
      </c>
      <c r="D1526" t="s">
        <v>25</v>
      </c>
      <c r="E1526" t="s">
        <v>26</v>
      </c>
      <c r="F1526" t="s">
        <v>27</v>
      </c>
      <c r="G1526" t="s">
        <v>28</v>
      </c>
      <c r="H1526" t="s">
        <v>133</v>
      </c>
      <c r="I1526" t="s">
        <v>134</v>
      </c>
      <c r="J1526" t="s">
        <v>130</v>
      </c>
      <c r="K1526" t="s">
        <v>131</v>
      </c>
      <c r="L1526" t="s">
        <v>183</v>
      </c>
      <c r="M1526" t="s">
        <v>171</v>
      </c>
      <c r="N1526">
        <v>1</v>
      </c>
      <c r="O1526" s="4">
        <v>14500</v>
      </c>
      <c r="P1526" s="4">
        <v>17500</v>
      </c>
      <c r="Q1526" s="7">
        <v>0.15</v>
      </c>
      <c r="R1526" t="s">
        <v>194</v>
      </c>
      <c r="S1526">
        <v>8</v>
      </c>
      <c r="T1526">
        <v>17500</v>
      </c>
      <c r="U1526">
        <v>2625</v>
      </c>
      <c r="V1526">
        <v>14875</v>
      </c>
      <c r="W1526">
        <v>14500</v>
      </c>
      <c r="X1526">
        <v>375</v>
      </c>
      <c r="Y1526" s="8">
        <v>2.5210084033613446E-2</v>
      </c>
      <c r="Z1526" t="s">
        <v>2995</v>
      </c>
      <c r="AA1526" t="str">
        <f>IF(AND(SalesCleanTable[[#This Row],[Discount %]]&gt;0, SalesCleanTable[[#This Row],[Profit]]&lt;0), "Discount loss", "Safe")</f>
        <v>Safe</v>
      </c>
      <c r="AB1526" s="25">
        <f>(SalesCleanTable[[#This Row],[Unit Price]] - SalesCleanTable[[#This Row],[Unit Cost]]) / SalesCleanTable[[#This Row],[Unit Price]]</f>
        <v>0.17142857142857143</v>
      </c>
      <c r="AC1526" t="str">
        <f>IF(SalesCleanTable[[#This Row],[Discount %]] &gt; SalesCleanTable[[#This Row],[Max Allowed Discount]], "Discount loss", "Safe")</f>
        <v>Safe</v>
      </c>
      <c r="AD1526" s="4">
        <f>SalesCleanTable[[#This Row],[Unit Price]] - SalesCleanTable[[#This Row],[Unit Cost]]</f>
        <v>3000</v>
      </c>
      <c r="AE1526" s="41">
        <f>(SalesCleanTable[[#This Row],[Unit Price]] - SalesCleanTable[[#This Row],[Unit Cost]]) / SalesCleanTable[[#This Row],[Unit Price]]</f>
        <v>0.17142857142857143</v>
      </c>
    </row>
    <row r="1527" spans="1:31">
      <c r="A1527" t="s">
        <v>1713</v>
      </c>
      <c r="B1527" s="6">
        <v>45747</v>
      </c>
      <c r="C1527" t="s">
        <v>82</v>
      </c>
      <c r="D1527" t="s">
        <v>83</v>
      </c>
      <c r="E1527" t="s">
        <v>75</v>
      </c>
      <c r="F1527" t="s">
        <v>84</v>
      </c>
      <c r="G1527" t="s">
        <v>85</v>
      </c>
      <c r="H1527" t="s">
        <v>145</v>
      </c>
      <c r="I1527" t="s">
        <v>146</v>
      </c>
      <c r="J1527" t="s">
        <v>147</v>
      </c>
      <c r="K1527" t="s">
        <v>148</v>
      </c>
      <c r="L1527" t="s">
        <v>166</v>
      </c>
      <c r="M1527" t="s">
        <v>171</v>
      </c>
      <c r="N1527">
        <v>1</v>
      </c>
      <c r="O1527" s="4">
        <v>600</v>
      </c>
      <c r="P1527" s="4">
        <v>950</v>
      </c>
      <c r="Q1527" s="7">
        <v>0.1</v>
      </c>
      <c r="R1527" t="s">
        <v>187</v>
      </c>
      <c r="S1527">
        <v>1</v>
      </c>
      <c r="T1527">
        <v>950</v>
      </c>
      <c r="U1527">
        <v>95</v>
      </c>
      <c r="V1527">
        <v>855</v>
      </c>
      <c r="W1527">
        <v>600</v>
      </c>
      <c r="X1527">
        <v>255</v>
      </c>
      <c r="Y1527" s="8">
        <v>0.2982456140350877</v>
      </c>
      <c r="Z1527" t="s">
        <v>2996</v>
      </c>
      <c r="AA1527" t="str">
        <f>IF(AND(SalesCleanTable[[#This Row],[Discount %]]&gt;0, SalesCleanTable[[#This Row],[Profit]]&lt;0), "Discount loss", "Safe")</f>
        <v>Safe</v>
      </c>
      <c r="AB1527" s="25">
        <f>(SalesCleanTable[[#This Row],[Unit Price]] - SalesCleanTable[[#This Row],[Unit Cost]]) / SalesCleanTable[[#This Row],[Unit Price]]</f>
        <v>0.36842105263157893</v>
      </c>
      <c r="AC1527" t="str">
        <f>IF(SalesCleanTable[[#This Row],[Discount %]] &gt; SalesCleanTable[[#This Row],[Max Allowed Discount]], "Discount loss", "Safe")</f>
        <v>Safe</v>
      </c>
      <c r="AD1527" s="4">
        <f>SalesCleanTable[[#This Row],[Unit Price]] - SalesCleanTable[[#This Row],[Unit Cost]]</f>
        <v>350</v>
      </c>
      <c r="AE1527" s="41">
        <f>(SalesCleanTable[[#This Row],[Unit Price]] - SalesCleanTable[[#This Row],[Unit Cost]]) / SalesCleanTable[[#This Row],[Unit Price]]</f>
        <v>0.36842105263157893</v>
      </c>
    </row>
    <row r="1528" spans="1:31">
      <c r="A1528" t="s">
        <v>1714</v>
      </c>
      <c r="B1528" s="6">
        <v>45928</v>
      </c>
      <c r="C1528" t="s">
        <v>95</v>
      </c>
      <c r="D1528" t="s">
        <v>96</v>
      </c>
      <c r="E1528" t="s">
        <v>92</v>
      </c>
      <c r="F1528" t="s">
        <v>97</v>
      </c>
      <c r="G1528" t="s">
        <v>98</v>
      </c>
      <c r="H1528" t="s">
        <v>141</v>
      </c>
      <c r="I1528" t="s">
        <v>142</v>
      </c>
      <c r="J1528" t="s">
        <v>143</v>
      </c>
      <c r="K1528" t="s">
        <v>144</v>
      </c>
      <c r="L1528" t="s">
        <v>166</v>
      </c>
      <c r="M1528" t="s">
        <v>171</v>
      </c>
      <c r="N1528">
        <v>2</v>
      </c>
      <c r="O1528" s="4">
        <v>18000</v>
      </c>
      <c r="P1528" s="4">
        <v>24500</v>
      </c>
      <c r="Q1528" s="7">
        <v>0.05</v>
      </c>
      <c r="R1528" t="s">
        <v>215</v>
      </c>
      <c r="S1528">
        <v>9</v>
      </c>
      <c r="T1528">
        <v>49000</v>
      </c>
      <c r="U1528">
        <v>2450</v>
      </c>
      <c r="V1528">
        <v>46550</v>
      </c>
      <c r="W1528">
        <v>36000</v>
      </c>
      <c r="X1528">
        <v>10550</v>
      </c>
      <c r="Y1528" s="8">
        <v>0.22663802363050484</v>
      </c>
      <c r="Z1528" t="s">
        <v>2995</v>
      </c>
      <c r="AA1528" t="str">
        <f>IF(AND(SalesCleanTable[[#This Row],[Discount %]]&gt;0, SalesCleanTable[[#This Row],[Profit]]&lt;0), "Discount loss", "Safe")</f>
        <v>Safe</v>
      </c>
      <c r="AB1528" s="25">
        <f>(SalesCleanTable[[#This Row],[Unit Price]] - SalesCleanTable[[#This Row],[Unit Cost]]) / SalesCleanTable[[#This Row],[Unit Price]]</f>
        <v>0.26530612244897961</v>
      </c>
      <c r="AC1528" t="str">
        <f>IF(SalesCleanTable[[#This Row],[Discount %]] &gt; SalesCleanTable[[#This Row],[Max Allowed Discount]], "Discount loss", "Safe")</f>
        <v>Safe</v>
      </c>
      <c r="AD1528" s="4">
        <f>SalesCleanTable[[#This Row],[Unit Price]] - SalesCleanTable[[#This Row],[Unit Cost]]</f>
        <v>6500</v>
      </c>
      <c r="AE1528" s="41">
        <f>(SalesCleanTable[[#This Row],[Unit Price]] - SalesCleanTable[[#This Row],[Unit Cost]]) / SalesCleanTable[[#This Row],[Unit Price]]</f>
        <v>0.26530612244897961</v>
      </c>
    </row>
    <row r="1529" spans="1:31">
      <c r="A1529" t="s">
        <v>1715</v>
      </c>
      <c r="B1529" s="6">
        <v>45968</v>
      </c>
      <c r="C1529" t="s">
        <v>66</v>
      </c>
      <c r="D1529" t="s">
        <v>67</v>
      </c>
      <c r="E1529" t="s">
        <v>59</v>
      </c>
      <c r="F1529" t="s">
        <v>60</v>
      </c>
      <c r="G1529" t="s">
        <v>68</v>
      </c>
      <c r="H1529" t="s">
        <v>149</v>
      </c>
      <c r="I1529" t="s">
        <v>150</v>
      </c>
      <c r="J1529" t="s">
        <v>151</v>
      </c>
      <c r="K1529" t="s">
        <v>152</v>
      </c>
      <c r="L1529" t="s">
        <v>170</v>
      </c>
      <c r="M1529" t="s">
        <v>177</v>
      </c>
      <c r="N1529">
        <v>2</v>
      </c>
      <c r="O1529" s="4">
        <v>2800</v>
      </c>
      <c r="P1529" s="4">
        <v>3900</v>
      </c>
      <c r="Q1529" s="7">
        <v>0</v>
      </c>
      <c r="R1529" t="s">
        <v>204</v>
      </c>
      <c r="S1529">
        <v>3</v>
      </c>
      <c r="T1529">
        <v>7800</v>
      </c>
      <c r="U1529">
        <v>0</v>
      </c>
      <c r="V1529">
        <v>7800</v>
      </c>
      <c r="W1529">
        <v>5600</v>
      </c>
      <c r="X1529">
        <v>2200</v>
      </c>
      <c r="Y1529" s="8">
        <v>0.28205128205128205</v>
      </c>
      <c r="Z1529" t="s">
        <v>2996</v>
      </c>
      <c r="AA1529" t="str">
        <f>IF(AND(SalesCleanTable[[#This Row],[Discount %]]&gt;0, SalesCleanTable[[#This Row],[Profit]]&lt;0), "Discount loss", "Safe")</f>
        <v>Safe</v>
      </c>
      <c r="AB1529" s="25">
        <f>(SalesCleanTable[[#This Row],[Unit Price]] - SalesCleanTable[[#This Row],[Unit Cost]]) / SalesCleanTable[[#This Row],[Unit Price]]</f>
        <v>0.28205128205128205</v>
      </c>
      <c r="AC1529" t="str">
        <f>IF(SalesCleanTable[[#This Row],[Discount %]] &gt; SalesCleanTable[[#This Row],[Max Allowed Discount]], "Discount loss", "Safe")</f>
        <v>Safe</v>
      </c>
      <c r="AD1529" s="4">
        <f>SalesCleanTable[[#This Row],[Unit Price]] - SalesCleanTable[[#This Row],[Unit Cost]]</f>
        <v>1100</v>
      </c>
      <c r="AE1529" s="41">
        <f>(SalesCleanTable[[#This Row],[Unit Price]] - SalesCleanTable[[#This Row],[Unit Cost]]) / SalesCleanTable[[#This Row],[Unit Price]]</f>
        <v>0.28205128205128205</v>
      </c>
    </row>
    <row r="1530" spans="1:31">
      <c r="A1530" t="s">
        <v>1716</v>
      </c>
      <c r="B1530" s="6">
        <v>45763</v>
      </c>
      <c r="C1530" t="s">
        <v>29</v>
      </c>
      <c r="D1530" t="s">
        <v>30</v>
      </c>
      <c r="E1530" t="s">
        <v>26</v>
      </c>
      <c r="F1530" t="s">
        <v>27</v>
      </c>
      <c r="G1530" t="s">
        <v>31</v>
      </c>
      <c r="H1530" t="s">
        <v>153</v>
      </c>
      <c r="I1530" t="s">
        <v>154</v>
      </c>
      <c r="J1530" t="s">
        <v>155</v>
      </c>
      <c r="K1530" t="s">
        <v>131</v>
      </c>
      <c r="L1530" t="s">
        <v>183</v>
      </c>
      <c r="M1530" t="s">
        <v>186</v>
      </c>
      <c r="N1530">
        <v>5</v>
      </c>
      <c r="O1530" s="4">
        <v>6200</v>
      </c>
      <c r="P1530" s="4">
        <v>7900</v>
      </c>
      <c r="Q1530" s="7">
        <v>0</v>
      </c>
      <c r="R1530" t="s">
        <v>194</v>
      </c>
      <c r="S1530">
        <v>6</v>
      </c>
      <c r="T1530">
        <v>39500</v>
      </c>
      <c r="U1530">
        <v>0</v>
      </c>
      <c r="V1530">
        <v>39500</v>
      </c>
      <c r="W1530">
        <v>31000</v>
      </c>
      <c r="X1530">
        <v>8500</v>
      </c>
      <c r="Y1530" s="8">
        <v>0.21518987341772153</v>
      </c>
      <c r="Z1530" t="s">
        <v>2996</v>
      </c>
      <c r="AA1530" t="str">
        <f>IF(AND(SalesCleanTable[[#This Row],[Discount %]]&gt;0, SalesCleanTable[[#This Row],[Profit]]&lt;0), "Discount loss", "Safe")</f>
        <v>Safe</v>
      </c>
      <c r="AB1530" s="25">
        <f>(SalesCleanTable[[#This Row],[Unit Price]] - SalesCleanTable[[#This Row],[Unit Cost]]) / SalesCleanTable[[#This Row],[Unit Price]]</f>
        <v>0.21518987341772153</v>
      </c>
      <c r="AC1530" t="str">
        <f>IF(SalesCleanTable[[#This Row],[Discount %]] &gt; SalesCleanTable[[#This Row],[Max Allowed Discount]], "Discount loss", "Safe")</f>
        <v>Safe</v>
      </c>
      <c r="AD1530" s="4">
        <f>SalesCleanTable[[#This Row],[Unit Price]] - SalesCleanTable[[#This Row],[Unit Cost]]</f>
        <v>1700</v>
      </c>
      <c r="AE1530" s="41">
        <f>(SalesCleanTable[[#This Row],[Unit Price]] - SalesCleanTable[[#This Row],[Unit Cost]]) / SalesCleanTable[[#This Row],[Unit Price]]</f>
        <v>0.21518987341772153</v>
      </c>
    </row>
    <row r="1531" spans="1:31">
      <c r="A1531" t="s">
        <v>1717</v>
      </c>
      <c r="B1531" s="6">
        <v>45907</v>
      </c>
      <c r="C1531" t="s">
        <v>41</v>
      </c>
      <c r="D1531" t="s">
        <v>42</v>
      </c>
      <c r="E1531" t="s">
        <v>26</v>
      </c>
      <c r="F1531" t="s">
        <v>43</v>
      </c>
      <c r="G1531" t="s">
        <v>44</v>
      </c>
      <c r="H1531" t="s">
        <v>128</v>
      </c>
      <c r="I1531" t="s">
        <v>129</v>
      </c>
      <c r="J1531" t="s">
        <v>130</v>
      </c>
      <c r="K1531" t="s">
        <v>131</v>
      </c>
      <c r="L1531" t="s">
        <v>166</v>
      </c>
      <c r="M1531" t="s">
        <v>171</v>
      </c>
      <c r="N1531">
        <v>2</v>
      </c>
      <c r="O1531" s="4">
        <v>850</v>
      </c>
      <c r="P1531" s="4">
        <v>1300</v>
      </c>
      <c r="Q1531" s="7">
        <v>0.1</v>
      </c>
      <c r="R1531" t="s">
        <v>173</v>
      </c>
      <c r="S1531">
        <v>3</v>
      </c>
      <c r="T1531">
        <v>2600</v>
      </c>
      <c r="U1531">
        <v>260</v>
      </c>
      <c r="V1531">
        <v>2340</v>
      </c>
      <c r="W1531">
        <v>1700</v>
      </c>
      <c r="X1531">
        <v>640</v>
      </c>
      <c r="Y1531" s="8">
        <v>0.27350427350427353</v>
      </c>
      <c r="Z1531" t="s">
        <v>2995</v>
      </c>
      <c r="AA1531" t="str">
        <f>IF(AND(SalesCleanTable[[#This Row],[Discount %]]&gt;0, SalesCleanTable[[#This Row],[Profit]]&lt;0), "Discount loss", "Safe")</f>
        <v>Safe</v>
      </c>
      <c r="AB1531" s="25">
        <f>(SalesCleanTable[[#This Row],[Unit Price]] - SalesCleanTable[[#This Row],[Unit Cost]]) / SalesCleanTable[[#This Row],[Unit Price]]</f>
        <v>0.34615384615384615</v>
      </c>
      <c r="AC1531" t="str">
        <f>IF(SalesCleanTable[[#This Row],[Discount %]] &gt; SalesCleanTable[[#This Row],[Max Allowed Discount]], "Discount loss", "Safe")</f>
        <v>Safe</v>
      </c>
      <c r="AD1531" s="4">
        <f>SalesCleanTable[[#This Row],[Unit Price]] - SalesCleanTable[[#This Row],[Unit Cost]]</f>
        <v>450</v>
      </c>
      <c r="AE1531" s="41">
        <f>(SalesCleanTable[[#This Row],[Unit Price]] - SalesCleanTable[[#This Row],[Unit Cost]]) / SalesCleanTable[[#This Row],[Unit Price]]</f>
        <v>0.34615384615384615</v>
      </c>
    </row>
    <row r="1532" spans="1:31">
      <c r="A1532" t="s">
        <v>1718</v>
      </c>
      <c r="B1532" s="6">
        <v>45812</v>
      </c>
      <c r="C1532" t="s">
        <v>49</v>
      </c>
      <c r="D1532" t="s">
        <v>50</v>
      </c>
      <c r="E1532" t="s">
        <v>38</v>
      </c>
      <c r="F1532" t="s">
        <v>51</v>
      </c>
      <c r="G1532" t="s">
        <v>52</v>
      </c>
      <c r="H1532" t="s">
        <v>133</v>
      </c>
      <c r="I1532" t="s">
        <v>134</v>
      </c>
      <c r="J1532" t="s">
        <v>130</v>
      </c>
      <c r="K1532" t="s">
        <v>131</v>
      </c>
      <c r="L1532" t="s">
        <v>166</v>
      </c>
      <c r="M1532" t="s">
        <v>186</v>
      </c>
      <c r="N1532">
        <v>6</v>
      </c>
      <c r="O1532" s="4">
        <v>550</v>
      </c>
      <c r="P1532" s="4">
        <v>850</v>
      </c>
      <c r="Q1532" s="7">
        <v>0.15</v>
      </c>
      <c r="R1532" t="s">
        <v>168</v>
      </c>
      <c r="S1532">
        <v>8</v>
      </c>
      <c r="T1532">
        <v>5100</v>
      </c>
      <c r="U1532">
        <v>765</v>
      </c>
      <c r="V1532">
        <v>4335</v>
      </c>
      <c r="W1532">
        <v>3300</v>
      </c>
      <c r="X1532">
        <v>1035</v>
      </c>
      <c r="Y1532" s="8">
        <v>0.23875432525951557</v>
      </c>
      <c r="Z1532" t="s">
        <v>2996</v>
      </c>
      <c r="AA1532" t="str">
        <f>IF(AND(SalesCleanTable[[#This Row],[Discount %]]&gt;0, SalesCleanTable[[#This Row],[Profit]]&lt;0), "Discount loss", "Safe")</f>
        <v>Safe</v>
      </c>
      <c r="AB1532" s="25">
        <f>(SalesCleanTable[[#This Row],[Unit Price]] - SalesCleanTable[[#This Row],[Unit Cost]]) / SalesCleanTable[[#This Row],[Unit Price]]</f>
        <v>0.35294117647058826</v>
      </c>
      <c r="AC1532" t="str">
        <f>IF(SalesCleanTable[[#This Row],[Discount %]] &gt; SalesCleanTable[[#This Row],[Max Allowed Discount]], "Discount loss", "Safe")</f>
        <v>Safe</v>
      </c>
      <c r="AD1532" s="4">
        <f>SalesCleanTable[[#This Row],[Unit Price]] - SalesCleanTable[[#This Row],[Unit Cost]]</f>
        <v>300</v>
      </c>
      <c r="AE1532" s="41">
        <f>(SalesCleanTable[[#This Row],[Unit Price]] - SalesCleanTable[[#This Row],[Unit Cost]]) / SalesCleanTable[[#This Row],[Unit Price]]</f>
        <v>0.35294117647058826</v>
      </c>
    </row>
    <row r="1533" spans="1:31">
      <c r="A1533" t="s">
        <v>1719</v>
      </c>
      <c r="B1533" s="6">
        <v>45762</v>
      </c>
      <c r="C1533" t="s">
        <v>53</v>
      </c>
      <c r="D1533" t="s">
        <v>54</v>
      </c>
      <c r="E1533" t="s">
        <v>38</v>
      </c>
      <c r="F1533" t="s">
        <v>55</v>
      </c>
      <c r="G1533" t="s">
        <v>56</v>
      </c>
      <c r="H1533" t="s">
        <v>135</v>
      </c>
      <c r="I1533" t="s">
        <v>136</v>
      </c>
      <c r="J1533" t="s">
        <v>137</v>
      </c>
      <c r="K1533" t="s">
        <v>138</v>
      </c>
      <c r="L1533" t="s">
        <v>183</v>
      </c>
      <c r="M1533" t="s">
        <v>171</v>
      </c>
      <c r="N1533">
        <v>1</v>
      </c>
      <c r="O1533" s="4">
        <v>330</v>
      </c>
      <c r="P1533" s="4">
        <v>550</v>
      </c>
      <c r="Q1533" s="7">
        <v>0.2</v>
      </c>
      <c r="R1533" t="s">
        <v>175</v>
      </c>
      <c r="S1533">
        <v>6</v>
      </c>
      <c r="T1533">
        <v>550</v>
      </c>
      <c r="U1533">
        <v>110</v>
      </c>
      <c r="V1533">
        <v>440</v>
      </c>
      <c r="W1533">
        <v>330</v>
      </c>
      <c r="X1533">
        <v>110</v>
      </c>
      <c r="Y1533" s="8">
        <v>0.25</v>
      </c>
      <c r="Z1533" t="s">
        <v>2996</v>
      </c>
      <c r="AA1533" t="str">
        <f>IF(AND(SalesCleanTable[[#This Row],[Discount %]]&gt;0, SalesCleanTable[[#This Row],[Profit]]&lt;0), "Discount loss", "Safe")</f>
        <v>Safe</v>
      </c>
      <c r="AB1533" s="25">
        <f>(SalesCleanTable[[#This Row],[Unit Price]] - SalesCleanTable[[#This Row],[Unit Cost]]) / SalesCleanTable[[#This Row],[Unit Price]]</f>
        <v>0.4</v>
      </c>
      <c r="AC1533" t="str">
        <f>IF(SalesCleanTable[[#This Row],[Discount %]] &gt; SalesCleanTable[[#This Row],[Max Allowed Discount]], "Discount loss", "Safe")</f>
        <v>Safe</v>
      </c>
      <c r="AD1533" s="4">
        <f>SalesCleanTable[[#This Row],[Unit Price]] - SalesCleanTable[[#This Row],[Unit Cost]]</f>
        <v>220</v>
      </c>
      <c r="AE1533" s="41">
        <f>(SalesCleanTable[[#This Row],[Unit Price]] - SalesCleanTable[[#This Row],[Unit Cost]]) / SalesCleanTable[[#This Row],[Unit Price]]</f>
        <v>0.4</v>
      </c>
    </row>
    <row r="1534" spans="1:31">
      <c r="A1534" t="s">
        <v>1720</v>
      </c>
      <c r="B1534" s="6">
        <v>45896</v>
      </c>
      <c r="C1534" t="s">
        <v>107</v>
      </c>
      <c r="D1534" t="s">
        <v>108</v>
      </c>
      <c r="E1534" t="s">
        <v>109</v>
      </c>
      <c r="F1534" t="s">
        <v>110</v>
      </c>
      <c r="G1534" t="s">
        <v>111</v>
      </c>
      <c r="H1534" t="s">
        <v>149</v>
      </c>
      <c r="I1534" t="s">
        <v>150</v>
      </c>
      <c r="J1534" t="s">
        <v>151</v>
      </c>
      <c r="K1534" t="s">
        <v>152</v>
      </c>
      <c r="L1534" t="s">
        <v>166</v>
      </c>
      <c r="M1534" t="s">
        <v>171</v>
      </c>
      <c r="N1534">
        <v>6</v>
      </c>
      <c r="O1534" s="4">
        <v>5200</v>
      </c>
      <c r="P1534" s="4">
        <v>7000</v>
      </c>
      <c r="Q1534" s="7">
        <v>0</v>
      </c>
      <c r="R1534" t="s">
        <v>184</v>
      </c>
      <c r="S1534">
        <v>8</v>
      </c>
      <c r="T1534">
        <v>42000</v>
      </c>
      <c r="U1534">
        <v>0</v>
      </c>
      <c r="V1534">
        <v>42000</v>
      </c>
      <c r="W1534">
        <v>31200</v>
      </c>
      <c r="X1534">
        <v>10800</v>
      </c>
      <c r="Y1534" s="8">
        <v>0.25714285714285712</v>
      </c>
      <c r="Z1534" t="s">
        <v>2997</v>
      </c>
      <c r="AA1534" t="str">
        <f>IF(AND(SalesCleanTable[[#This Row],[Discount %]]&gt;0, SalesCleanTable[[#This Row],[Profit]]&lt;0), "Discount loss", "Safe")</f>
        <v>Safe</v>
      </c>
      <c r="AB1534" s="25">
        <f>(SalesCleanTable[[#This Row],[Unit Price]] - SalesCleanTable[[#This Row],[Unit Cost]]) / SalesCleanTable[[#This Row],[Unit Price]]</f>
        <v>0.25714285714285712</v>
      </c>
      <c r="AC1534" t="str">
        <f>IF(SalesCleanTable[[#This Row],[Discount %]] &gt; SalesCleanTable[[#This Row],[Max Allowed Discount]], "Discount loss", "Safe")</f>
        <v>Safe</v>
      </c>
      <c r="AD1534" s="4">
        <f>SalesCleanTable[[#This Row],[Unit Price]] - SalesCleanTable[[#This Row],[Unit Cost]]</f>
        <v>1800</v>
      </c>
      <c r="AE1534" s="41">
        <f>(SalesCleanTable[[#This Row],[Unit Price]] - SalesCleanTable[[#This Row],[Unit Cost]]) / SalesCleanTable[[#This Row],[Unit Price]]</f>
        <v>0.25714285714285712</v>
      </c>
    </row>
    <row r="1535" spans="1:31">
      <c r="A1535" t="s">
        <v>1721</v>
      </c>
      <c r="B1535" s="6">
        <v>45903</v>
      </c>
      <c r="C1535" t="s">
        <v>29</v>
      </c>
      <c r="D1535" t="s">
        <v>30</v>
      </c>
      <c r="E1535" t="s">
        <v>26</v>
      </c>
      <c r="F1535" t="s">
        <v>27</v>
      </c>
      <c r="G1535" t="s">
        <v>31</v>
      </c>
      <c r="H1535" t="s">
        <v>135</v>
      </c>
      <c r="I1535" t="s">
        <v>136</v>
      </c>
      <c r="J1535" t="s">
        <v>137</v>
      </c>
      <c r="K1535" t="s">
        <v>138</v>
      </c>
      <c r="L1535" t="s">
        <v>166</v>
      </c>
      <c r="M1535" t="s">
        <v>177</v>
      </c>
      <c r="N1535">
        <v>2</v>
      </c>
      <c r="O1535" s="4">
        <v>6200</v>
      </c>
      <c r="P1535" s="4">
        <v>7900</v>
      </c>
      <c r="Q1535" s="7">
        <v>0.05</v>
      </c>
      <c r="R1535" t="s">
        <v>173</v>
      </c>
      <c r="S1535">
        <v>12</v>
      </c>
      <c r="T1535">
        <v>15800</v>
      </c>
      <c r="U1535">
        <v>790</v>
      </c>
      <c r="V1535">
        <v>15010</v>
      </c>
      <c r="W1535">
        <v>12400</v>
      </c>
      <c r="X1535">
        <v>2610</v>
      </c>
      <c r="Y1535" s="8">
        <v>0.17388407728181213</v>
      </c>
      <c r="Z1535" t="s">
        <v>2996</v>
      </c>
      <c r="AA1535" t="str">
        <f>IF(AND(SalesCleanTable[[#This Row],[Discount %]]&gt;0, SalesCleanTable[[#This Row],[Profit]]&lt;0), "Discount loss", "Safe")</f>
        <v>Safe</v>
      </c>
      <c r="AB1535" s="25">
        <f>(SalesCleanTable[[#This Row],[Unit Price]] - SalesCleanTable[[#This Row],[Unit Cost]]) / SalesCleanTable[[#This Row],[Unit Price]]</f>
        <v>0.21518987341772153</v>
      </c>
      <c r="AC1535" t="str">
        <f>IF(SalesCleanTable[[#This Row],[Discount %]] &gt; SalesCleanTable[[#This Row],[Max Allowed Discount]], "Discount loss", "Safe")</f>
        <v>Safe</v>
      </c>
      <c r="AD1535" s="4">
        <f>SalesCleanTable[[#This Row],[Unit Price]] - SalesCleanTable[[#This Row],[Unit Cost]]</f>
        <v>1700</v>
      </c>
      <c r="AE1535" s="41">
        <f>(SalesCleanTable[[#This Row],[Unit Price]] - SalesCleanTable[[#This Row],[Unit Cost]]) / SalesCleanTable[[#This Row],[Unit Price]]</f>
        <v>0.21518987341772153</v>
      </c>
    </row>
    <row r="1536" spans="1:31">
      <c r="A1536" t="s">
        <v>1722</v>
      </c>
      <c r="B1536" s="6">
        <v>45688</v>
      </c>
      <c r="C1536" t="s">
        <v>24</v>
      </c>
      <c r="D1536" t="s">
        <v>25</v>
      </c>
      <c r="E1536" t="s">
        <v>26</v>
      </c>
      <c r="F1536" t="s">
        <v>27</v>
      </c>
      <c r="G1536" t="s">
        <v>28</v>
      </c>
      <c r="H1536" t="s">
        <v>133</v>
      </c>
      <c r="I1536" t="s">
        <v>134</v>
      </c>
      <c r="J1536" t="s">
        <v>130</v>
      </c>
      <c r="K1536" t="s">
        <v>131</v>
      </c>
      <c r="L1536" t="s">
        <v>166</v>
      </c>
      <c r="M1536" t="s">
        <v>171</v>
      </c>
      <c r="N1536">
        <v>3</v>
      </c>
      <c r="O1536" s="4">
        <v>14500</v>
      </c>
      <c r="P1536" s="4">
        <v>17500</v>
      </c>
      <c r="Q1536" s="7">
        <v>0</v>
      </c>
      <c r="R1536" t="s">
        <v>194</v>
      </c>
      <c r="S1536">
        <v>6</v>
      </c>
      <c r="T1536">
        <v>52500</v>
      </c>
      <c r="U1536">
        <v>0</v>
      </c>
      <c r="V1536">
        <v>52500</v>
      </c>
      <c r="W1536">
        <v>43500</v>
      </c>
      <c r="X1536">
        <v>9000</v>
      </c>
      <c r="Y1536" s="8">
        <v>0.17142857142857143</v>
      </c>
      <c r="Z1536" t="s">
        <v>2995</v>
      </c>
      <c r="AA1536" t="str">
        <f>IF(AND(SalesCleanTable[[#This Row],[Discount %]]&gt;0, SalesCleanTable[[#This Row],[Profit]]&lt;0), "Discount loss", "Safe")</f>
        <v>Safe</v>
      </c>
      <c r="AB1536" s="25">
        <f>(SalesCleanTable[[#This Row],[Unit Price]] - SalesCleanTable[[#This Row],[Unit Cost]]) / SalesCleanTable[[#This Row],[Unit Price]]</f>
        <v>0.17142857142857143</v>
      </c>
      <c r="AC1536" t="str">
        <f>IF(SalesCleanTable[[#This Row],[Discount %]] &gt; SalesCleanTable[[#This Row],[Max Allowed Discount]], "Discount loss", "Safe")</f>
        <v>Safe</v>
      </c>
      <c r="AD1536" s="4">
        <f>SalesCleanTable[[#This Row],[Unit Price]] - SalesCleanTable[[#This Row],[Unit Cost]]</f>
        <v>3000</v>
      </c>
      <c r="AE1536" s="41">
        <f>(SalesCleanTable[[#This Row],[Unit Price]] - SalesCleanTable[[#This Row],[Unit Cost]]) / SalesCleanTable[[#This Row],[Unit Price]]</f>
        <v>0.17142857142857143</v>
      </c>
    </row>
    <row r="1537" spans="1:31">
      <c r="A1537" t="s">
        <v>1723</v>
      </c>
      <c r="B1537" s="6">
        <v>45803</v>
      </c>
      <c r="C1537" t="s">
        <v>49</v>
      </c>
      <c r="D1537" t="s">
        <v>50</v>
      </c>
      <c r="E1537" t="s">
        <v>38</v>
      </c>
      <c r="F1537" t="s">
        <v>51</v>
      </c>
      <c r="G1537" t="s">
        <v>52</v>
      </c>
      <c r="H1537" t="s">
        <v>145</v>
      </c>
      <c r="I1537" t="s">
        <v>146</v>
      </c>
      <c r="J1537" t="s">
        <v>147</v>
      </c>
      <c r="K1537" t="s">
        <v>148</v>
      </c>
      <c r="L1537" t="s">
        <v>183</v>
      </c>
      <c r="M1537" t="s">
        <v>186</v>
      </c>
      <c r="N1537">
        <v>3</v>
      </c>
      <c r="O1537" s="4">
        <v>550</v>
      </c>
      <c r="P1537" s="4">
        <v>850</v>
      </c>
      <c r="Q1537" s="7">
        <v>0.15</v>
      </c>
      <c r="R1537" t="s">
        <v>168</v>
      </c>
      <c r="S1537">
        <v>1</v>
      </c>
      <c r="T1537">
        <v>2550</v>
      </c>
      <c r="U1537">
        <v>382.5</v>
      </c>
      <c r="V1537">
        <v>2167.5</v>
      </c>
      <c r="W1537">
        <v>1650</v>
      </c>
      <c r="X1537">
        <v>517.5</v>
      </c>
      <c r="Y1537" s="8">
        <v>0.23875432525951557</v>
      </c>
      <c r="Z1537" t="s">
        <v>2996</v>
      </c>
      <c r="AA1537" t="str">
        <f>IF(AND(SalesCleanTable[[#This Row],[Discount %]]&gt;0, SalesCleanTable[[#This Row],[Profit]]&lt;0), "Discount loss", "Safe")</f>
        <v>Safe</v>
      </c>
      <c r="AB1537" s="25">
        <f>(SalesCleanTable[[#This Row],[Unit Price]] - SalesCleanTable[[#This Row],[Unit Cost]]) / SalesCleanTable[[#This Row],[Unit Price]]</f>
        <v>0.35294117647058826</v>
      </c>
      <c r="AC1537" t="str">
        <f>IF(SalesCleanTable[[#This Row],[Discount %]] &gt; SalesCleanTable[[#This Row],[Max Allowed Discount]], "Discount loss", "Safe")</f>
        <v>Safe</v>
      </c>
      <c r="AD1537" s="4">
        <f>SalesCleanTable[[#This Row],[Unit Price]] - SalesCleanTable[[#This Row],[Unit Cost]]</f>
        <v>300</v>
      </c>
      <c r="AE1537" s="41">
        <f>(SalesCleanTable[[#This Row],[Unit Price]] - SalesCleanTable[[#This Row],[Unit Cost]]) / SalesCleanTable[[#This Row],[Unit Price]]</f>
        <v>0.35294117647058826</v>
      </c>
    </row>
    <row r="1538" spans="1:31">
      <c r="A1538" t="s">
        <v>1724</v>
      </c>
      <c r="B1538" s="6">
        <v>45938</v>
      </c>
      <c r="C1538" t="s">
        <v>82</v>
      </c>
      <c r="D1538" t="s">
        <v>83</v>
      </c>
      <c r="E1538" t="s">
        <v>75</v>
      </c>
      <c r="F1538" t="s">
        <v>84</v>
      </c>
      <c r="G1538" t="s">
        <v>85</v>
      </c>
      <c r="H1538" t="s">
        <v>139</v>
      </c>
      <c r="I1538" t="s">
        <v>140</v>
      </c>
      <c r="J1538" t="s">
        <v>137</v>
      </c>
      <c r="K1538" t="s">
        <v>138</v>
      </c>
      <c r="L1538" t="s">
        <v>170</v>
      </c>
      <c r="M1538" t="s">
        <v>186</v>
      </c>
      <c r="N1538">
        <v>1</v>
      </c>
      <c r="O1538" s="4">
        <v>600</v>
      </c>
      <c r="P1538" s="4">
        <v>950</v>
      </c>
      <c r="Q1538" s="7">
        <v>0.2</v>
      </c>
      <c r="R1538" t="s">
        <v>204</v>
      </c>
      <c r="S1538">
        <v>12</v>
      </c>
      <c r="T1538">
        <v>950</v>
      </c>
      <c r="U1538">
        <v>190</v>
      </c>
      <c r="V1538">
        <v>760</v>
      </c>
      <c r="W1538">
        <v>600</v>
      </c>
      <c r="X1538">
        <v>160</v>
      </c>
      <c r="Y1538" s="8">
        <v>0.21052631578947367</v>
      </c>
      <c r="Z1538" t="s">
        <v>2996</v>
      </c>
      <c r="AA1538" t="str">
        <f>IF(AND(SalesCleanTable[[#This Row],[Discount %]]&gt;0, SalesCleanTable[[#This Row],[Profit]]&lt;0), "Discount loss", "Safe")</f>
        <v>Safe</v>
      </c>
      <c r="AB1538" s="25">
        <f>(SalesCleanTable[[#This Row],[Unit Price]] - SalesCleanTable[[#This Row],[Unit Cost]]) / SalesCleanTable[[#This Row],[Unit Price]]</f>
        <v>0.36842105263157893</v>
      </c>
      <c r="AC1538" t="str">
        <f>IF(SalesCleanTable[[#This Row],[Discount %]] &gt; SalesCleanTable[[#This Row],[Max Allowed Discount]], "Discount loss", "Safe")</f>
        <v>Safe</v>
      </c>
      <c r="AD1538" s="4">
        <f>SalesCleanTable[[#This Row],[Unit Price]] - SalesCleanTable[[#This Row],[Unit Cost]]</f>
        <v>350</v>
      </c>
      <c r="AE1538" s="41">
        <f>(SalesCleanTable[[#This Row],[Unit Price]] - SalesCleanTable[[#This Row],[Unit Cost]]) / SalesCleanTable[[#This Row],[Unit Price]]</f>
        <v>0.36842105263157893</v>
      </c>
    </row>
    <row r="1539" spans="1:31">
      <c r="A1539" t="s">
        <v>1725</v>
      </c>
      <c r="B1539" s="6">
        <v>45983</v>
      </c>
      <c r="C1539" t="s">
        <v>45</v>
      </c>
      <c r="D1539" t="s">
        <v>46</v>
      </c>
      <c r="E1539" t="s">
        <v>38</v>
      </c>
      <c r="F1539" t="s">
        <v>47</v>
      </c>
      <c r="G1539" t="s">
        <v>48</v>
      </c>
      <c r="H1539" t="s">
        <v>133</v>
      </c>
      <c r="I1539" t="s">
        <v>134</v>
      </c>
      <c r="J1539" t="s">
        <v>130</v>
      </c>
      <c r="K1539" t="s">
        <v>131</v>
      </c>
      <c r="L1539" t="s">
        <v>166</v>
      </c>
      <c r="M1539" t="s">
        <v>186</v>
      </c>
      <c r="N1539">
        <v>6</v>
      </c>
      <c r="O1539" s="4">
        <v>230</v>
      </c>
      <c r="P1539" s="4">
        <v>400</v>
      </c>
      <c r="Q1539" s="7">
        <v>0</v>
      </c>
      <c r="R1539" t="s">
        <v>178</v>
      </c>
      <c r="S1539">
        <v>1</v>
      </c>
      <c r="T1539">
        <v>2400</v>
      </c>
      <c r="U1539">
        <v>0</v>
      </c>
      <c r="V1539">
        <v>2400</v>
      </c>
      <c r="W1539">
        <v>1380</v>
      </c>
      <c r="X1539">
        <v>1020</v>
      </c>
      <c r="Y1539" s="8">
        <v>0.42499999999999999</v>
      </c>
      <c r="Z1539" t="s">
        <v>2995</v>
      </c>
      <c r="AA1539" t="str">
        <f>IF(AND(SalesCleanTable[[#This Row],[Discount %]]&gt;0, SalesCleanTable[[#This Row],[Profit]]&lt;0), "Discount loss", "Safe")</f>
        <v>Safe</v>
      </c>
      <c r="AB1539" s="25">
        <f>(SalesCleanTable[[#This Row],[Unit Price]] - SalesCleanTable[[#This Row],[Unit Cost]]) / SalesCleanTable[[#This Row],[Unit Price]]</f>
        <v>0.42499999999999999</v>
      </c>
      <c r="AC1539" t="str">
        <f>IF(SalesCleanTable[[#This Row],[Discount %]] &gt; SalesCleanTable[[#This Row],[Max Allowed Discount]], "Discount loss", "Safe")</f>
        <v>Safe</v>
      </c>
      <c r="AD1539" s="4">
        <f>SalesCleanTable[[#This Row],[Unit Price]] - SalesCleanTable[[#This Row],[Unit Cost]]</f>
        <v>170</v>
      </c>
      <c r="AE1539" s="41">
        <f>(SalesCleanTable[[#This Row],[Unit Price]] - SalesCleanTable[[#This Row],[Unit Cost]]) / SalesCleanTable[[#This Row],[Unit Price]]</f>
        <v>0.42499999999999999</v>
      </c>
    </row>
    <row r="1540" spans="1:31">
      <c r="A1540" t="s">
        <v>1726</v>
      </c>
      <c r="B1540" s="6">
        <v>45726</v>
      </c>
      <c r="C1540" t="s">
        <v>36</v>
      </c>
      <c r="D1540" t="s">
        <v>37</v>
      </c>
      <c r="E1540" t="s">
        <v>38</v>
      </c>
      <c r="F1540" t="s">
        <v>39</v>
      </c>
      <c r="G1540" t="s">
        <v>40</v>
      </c>
      <c r="H1540" t="s">
        <v>139</v>
      </c>
      <c r="I1540" t="s">
        <v>140</v>
      </c>
      <c r="J1540" t="s">
        <v>137</v>
      </c>
      <c r="K1540" t="s">
        <v>138</v>
      </c>
      <c r="L1540" t="s">
        <v>166</v>
      </c>
      <c r="M1540" t="s">
        <v>171</v>
      </c>
      <c r="N1540">
        <v>-1</v>
      </c>
      <c r="O1540" s="4">
        <v>1650</v>
      </c>
      <c r="P1540" s="4">
        <v>2200</v>
      </c>
      <c r="Q1540" s="7">
        <v>0.15</v>
      </c>
      <c r="R1540" t="s">
        <v>175</v>
      </c>
      <c r="S1540">
        <v>4</v>
      </c>
      <c r="T1540">
        <v>-2200</v>
      </c>
      <c r="U1540">
        <v>-330</v>
      </c>
      <c r="V1540">
        <v>-1870</v>
      </c>
      <c r="W1540">
        <v>-1650</v>
      </c>
      <c r="X1540">
        <v>-220</v>
      </c>
      <c r="Y1540" s="8">
        <v>0.11764705882352941</v>
      </c>
      <c r="Z1540" t="s">
        <v>2995</v>
      </c>
      <c r="AA1540" t="str">
        <f>IF(AND(SalesCleanTable[[#This Row],[Discount %]]&gt;0, SalesCleanTable[[#This Row],[Profit]]&lt;0), "Discount loss", "Safe")</f>
        <v>Discount loss</v>
      </c>
      <c r="AB1540" s="25">
        <f>(SalesCleanTable[[#This Row],[Unit Price]] - SalesCleanTable[[#This Row],[Unit Cost]]) / SalesCleanTable[[#This Row],[Unit Price]]</f>
        <v>0.25</v>
      </c>
      <c r="AC1540" t="str">
        <f>IF(SalesCleanTable[[#This Row],[Discount %]] &gt; SalesCleanTable[[#This Row],[Max Allowed Discount]], "Discount loss", "Safe")</f>
        <v>Safe</v>
      </c>
      <c r="AD1540" s="4">
        <f>SalesCleanTable[[#This Row],[Unit Price]] - SalesCleanTable[[#This Row],[Unit Cost]]</f>
        <v>550</v>
      </c>
      <c r="AE1540" s="41">
        <f>(SalesCleanTable[[#This Row],[Unit Price]] - SalesCleanTable[[#This Row],[Unit Cost]]) / SalesCleanTable[[#This Row],[Unit Price]]</f>
        <v>0.25</v>
      </c>
    </row>
    <row r="1541" spans="1:31">
      <c r="A1541" t="s">
        <v>1727</v>
      </c>
      <c r="B1541" s="6">
        <v>45741</v>
      </c>
      <c r="C1541" t="s">
        <v>103</v>
      </c>
      <c r="D1541" t="s">
        <v>104</v>
      </c>
      <c r="E1541" t="s">
        <v>92</v>
      </c>
      <c r="F1541" t="s">
        <v>105</v>
      </c>
      <c r="G1541" t="s">
        <v>106</v>
      </c>
      <c r="H1541" t="s">
        <v>135</v>
      </c>
      <c r="I1541" t="s">
        <v>136</v>
      </c>
      <c r="J1541" t="s">
        <v>137</v>
      </c>
      <c r="K1541" t="s">
        <v>138</v>
      </c>
      <c r="L1541" t="s">
        <v>166</v>
      </c>
      <c r="M1541" t="s">
        <v>171</v>
      </c>
      <c r="N1541">
        <v>3</v>
      </c>
      <c r="O1541" s="4">
        <v>1500</v>
      </c>
      <c r="P1541" s="4">
        <v>2500</v>
      </c>
      <c r="Q1541" s="7">
        <v>0</v>
      </c>
      <c r="R1541" t="s">
        <v>215</v>
      </c>
      <c r="S1541">
        <v>8</v>
      </c>
      <c r="T1541">
        <v>7500</v>
      </c>
      <c r="U1541">
        <v>0</v>
      </c>
      <c r="V1541">
        <v>7500</v>
      </c>
      <c r="W1541">
        <v>4500</v>
      </c>
      <c r="X1541">
        <v>3000</v>
      </c>
      <c r="Y1541" s="8">
        <v>0.4</v>
      </c>
      <c r="Z1541" t="s">
        <v>2996</v>
      </c>
      <c r="AA1541" t="str">
        <f>IF(AND(SalesCleanTable[[#This Row],[Discount %]]&gt;0, SalesCleanTable[[#This Row],[Profit]]&lt;0), "Discount loss", "Safe")</f>
        <v>Safe</v>
      </c>
      <c r="AB1541" s="25">
        <f>(SalesCleanTable[[#This Row],[Unit Price]] - SalesCleanTable[[#This Row],[Unit Cost]]) / SalesCleanTable[[#This Row],[Unit Price]]</f>
        <v>0.4</v>
      </c>
      <c r="AC1541" t="str">
        <f>IF(SalesCleanTable[[#This Row],[Discount %]] &gt; SalesCleanTable[[#This Row],[Max Allowed Discount]], "Discount loss", "Safe")</f>
        <v>Safe</v>
      </c>
      <c r="AD1541" s="4">
        <f>SalesCleanTable[[#This Row],[Unit Price]] - SalesCleanTable[[#This Row],[Unit Cost]]</f>
        <v>1000</v>
      </c>
      <c r="AE1541" s="41">
        <f>(SalesCleanTable[[#This Row],[Unit Price]] - SalesCleanTable[[#This Row],[Unit Cost]]) / SalesCleanTable[[#This Row],[Unit Price]]</f>
        <v>0.4</v>
      </c>
    </row>
    <row r="1542" spans="1:31">
      <c r="A1542" t="s">
        <v>1728</v>
      </c>
      <c r="B1542" s="6">
        <v>46000</v>
      </c>
      <c r="C1542" t="s">
        <v>53</v>
      </c>
      <c r="D1542" t="s">
        <v>54</v>
      </c>
      <c r="E1542" t="s">
        <v>38</v>
      </c>
      <c r="F1542" t="s">
        <v>55</v>
      </c>
      <c r="G1542" t="s">
        <v>56</v>
      </c>
      <c r="H1542" t="s">
        <v>149</v>
      </c>
      <c r="I1542" t="s">
        <v>150</v>
      </c>
      <c r="J1542" t="s">
        <v>151</v>
      </c>
      <c r="K1542" t="s">
        <v>152</v>
      </c>
      <c r="L1542" t="s">
        <v>183</v>
      </c>
      <c r="M1542" t="s">
        <v>171</v>
      </c>
      <c r="N1542">
        <v>3</v>
      </c>
      <c r="O1542" s="4">
        <v>330</v>
      </c>
      <c r="P1542" s="4">
        <v>550</v>
      </c>
      <c r="Q1542" s="7">
        <v>0.2</v>
      </c>
      <c r="R1542" t="s">
        <v>175</v>
      </c>
      <c r="S1542">
        <v>10</v>
      </c>
      <c r="T1542">
        <v>1650</v>
      </c>
      <c r="U1542">
        <v>330</v>
      </c>
      <c r="V1542">
        <v>1320</v>
      </c>
      <c r="W1542">
        <v>990</v>
      </c>
      <c r="X1542">
        <v>330</v>
      </c>
      <c r="Y1542" s="8">
        <v>0.25</v>
      </c>
      <c r="Z1542" t="s">
        <v>2996</v>
      </c>
      <c r="AA1542" t="str">
        <f>IF(AND(SalesCleanTable[[#This Row],[Discount %]]&gt;0, SalesCleanTable[[#This Row],[Profit]]&lt;0), "Discount loss", "Safe")</f>
        <v>Safe</v>
      </c>
      <c r="AB1542" s="25">
        <f>(SalesCleanTable[[#This Row],[Unit Price]] - SalesCleanTable[[#This Row],[Unit Cost]]) / SalesCleanTable[[#This Row],[Unit Price]]</f>
        <v>0.4</v>
      </c>
      <c r="AC1542" t="str">
        <f>IF(SalesCleanTable[[#This Row],[Discount %]] &gt; SalesCleanTable[[#This Row],[Max Allowed Discount]], "Discount loss", "Safe")</f>
        <v>Safe</v>
      </c>
      <c r="AD1542" s="4">
        <f>SalesCleanTable[[#This Row],[Unit Price]] - SalesCleanTable[[#This Row],[Unit Cost]]</f>
        <v>220</v>
      </c>
      <c r="AE1542" s="41">
        <f>(SalesCleanTable[[#This Row],[Unit Price]] - SalesCleanTable[[#This Row],[Unit Cost]]) / SalesCleanTable[[#This Row],[Unit Price]]</f>
        <v>0.4</v>
      </c>
    </row>
    <row r="1543" spans="1:31">
      <c r="A1543" t="s">
        <v>1729</v>
      </c>
      <c r="B1543" s="6">
        <v>45827</v>
      </c>
      <c r="C1543" t="s">
        <v>73</v>
      </c>
      <c r="D1543" t="s">
        <v>74</v>
      </c>
      <c r="E1543" t="s">
        <v>75</v>
      </c>
      <c r="F1543" t="s">
        <v>76</v>
      </c>
      <c r="G1543" t="s">
        <v>77</v>
      </c>
      <c r="H1543" t="s">
        <v>135</v>
      </c>
      <c r="I1543" t="s">
        <v>136</v>
      </c>
      <c r="J1543" t="s">
        <v>137</v>
      </c>
      <c r="K1543" t="s">
        <v>138</v>
      </c>
      <c r="L1543" t="s">
        <v>183</v>
      </c>
      <c r="M1543" t="s">
        <v>171</v>
      </c>
      <c r="N1543">
        <v>1</v>
      </c>
      <c r="O1543" s="4">
        <v>3500</v>
      </c>
      <c r="P1543" s="4">
        <v>5200</v>
      </c>
      <c r="Q1543" s="7">
        <v>0.1</v>
      </c>
      <c r="R1543" t="s">
        <v>208</v>
      </c>
      <c r="S1543">
        <v>13</v>
      </c>
      <c r="T1543">
        <v>5200</v>
      </c>
      <c r="U1543">
        <v>520</v>
      </c>
      <c r="V1543">
        <v>4680</v>
      </c>
      <c r="W1543">
        <v>3500</v>
      </c>
      <c r="X1543">
        <v>1180</v>
      </c>
      <c r="Y1543" s="8">
        <v>0.25213675213675213</v>
      </c>
      <c r="Z1543" t="s">
        <v>2996</v>
      </c>
      <c r="AA1543" t="str">
        <f>IF(AND(SalesCleanTable[[#This Row],[Discount %]]&gt;0, SalesCleanTable[[#This Row],[Profit]]&lt;0), "Discount loss", "Safe")</f>
        <v>Safe</v>
      </c>
      <c r="AB1543" s="25">
        <f>(SalesCleanTable[[#This Row],[Unit Price]] - SalesCleanTable[[#This Row],[Unit Cost]]) / SalesCleanTable[[#This Row],[Unit Price]]</f>
        <v>0.32692307692307693</v>
      </c>
      <c r="AC1543" t="str">
        <f>IF(SalesCleanTable[[#This Row],[Discount %]] &gt; SalesCleanTable[[#This Row],[Max Allowed Discount]], "Discount loss", "Safe")</f>
        <v>Safe</v>
      </c>
      <c r="AD1543" s="4">
        <f>SalesCleanTable[[#This Row],[Unit Price]] - SalesCleanTable[[#This Row],[Unit Cost]]</f>
        <v>1700</v>
      </c>
      <c r="AE1543" s="41">
        <f>(SalesCleanTable[[#This Row],[Unit Price]] - SalesCleanTable[[#This Row],[Unit Cost]]) / SalesCleanTable[[#This Row],[Unit Price]]</f>
        <v>0.32692307692307693</v>
      </c>
    </row>
    <row r="1544" spans="1:31">
      <c r="A1544" t="s">
        <v>1730</v>
      </c>
      <c r="B1544" s="6">
        <v>45783</v>
      </c>
      <c r="C1544" t="s">
        <v>41</v>
      </c>
      <c r="D1544" t="s">
        <v>42</v>
      </c>
      <c r="E1544" t="s">
        <v>26</v>
      </c>
      <c r="F1544" t="s">
        <v>43</v>
      </c>
      <c r="G1544" t="s">
        <v>44</v>
      </c>
      <c r="H1544" t="s">
        <v>128</v>
      </c>
      <c r="I1544" t="s">
        <v>129</v>
      </c>
      <c r="J1544" t="s">
        <v>130</v>
      </c>
      <c r="K1544" t="s">
        <v>131</v>
      </c>
      <c r="L1544" t="s">
        <v>166</v>
      </c>
      <c r="M1544" t="s">
        <v>186</v>
      </c>
      <c r="N1544">
        <v>3</v>
      </c>
      <c r="O1544" s="4">
        <v>850</v>
      </c>
      <c r="P1544" s="4">
        <v>1300</v>
      </c>
      <c r="Q1544" s="7">
        <v>0.05</v>
      </c>
      <c r="R1544" t="s">
        <v>173</v>
      </c>
      <c r="S1544">
        <v>7</v>
      </c>
      <c r="T1544">
        <v>3900</v>
      </c>
      <c r="U1544">
        <v>195</v>
      </c>
      <c r="V1544">
        <v>3705</v>
      </c>
      <c r="W1544">
        <v>2550</v>
      </c>
      <c r="X1544">
        <v>1155</v>
      </c>
      <c r="Y1544" s="8">
        <v>0.31174089068825911</v>
      </c>
      <c r="Z1544" t="s">
        <v>2995</v>
      </c>
      <c r="AA1544" t="str">
        <f>IF(AND(SalesCleanTable[[#This Row],[Discount %]]&gt;0, SalesCleanTable[[#This Row],[Profit]]&lt;0), "Discount loss", "Safe")</f>
        <v>Safe</v>
      </c>
      <c r="AB1544" s="25">
        <f>(SalesCleanTable[[#This Row],[Unit Price]] - SalesCleanTable[[#This Row],[Unit Cost]]) / SalesCleanTable[[#This Row],[Unit Price]]</f>
        <v>0.34615384615384615</v>
      </c>
      <c r="AC1544" t="str">
        <f>IF(SalesCleanTable[[#This Row],[Discount %]] &gt; SalesCleanTable[[#This Row],[Max Allowed Discount]], "Discount loss", "Safe")</f>
        <v>Safe</v>
      </c>
      <c r="AD1544" s="4">
        <f>SalesCleanTable[[#This Row],[Unit Price]] - SalesCleanTable[[#This Row],[Unit Cost]]</f>
        <v>450</v>
      </c>
      <c r="AE1544" s="41">
        <f>(SalesCleanTable[[#This Row],[Unit Price]] - SalesCleanTable[[#This Row],[Unit Cost]]) / SalesCleanTable[[#This Row],[Unit Price]]</f>
        <v>0.34615384615384615</v>
      </c>
    </row>
    <row r="1545" spans="1:31">
      <c r="A1545" t="s">
        <v>1731</v>
      </c>
      <c r="B1545" s="6">
        <v>45960</v>
      </c>
      <c r="C1545" t="s">
        <v>45</v>
      </c>
      <c r="D1545" t="s">
        <v>46</v>
      </c>
      <c r="E1545" t="s">
        <v>38</v>
      </c>
      <c r="F1545" t="s">
        <v>47</v>
      </c>
      <c r="G1545" t="s">
        <v>48</v>
      </c>
      <c r="H1545" t="s">
        <v>149</v>
      </c>
      <c r="I1545" t="s">
        <v>150</v>
      </c>
      <c r="J1545" t="s">
        <v>151</v>
      </c>
      <c r="K1545" t="s">
        <v>152</v>
      </c>
      <c r="L1545" t="s">
        <v>166</v>
      </c>
      <c r="M1545" t="s">
        <v>171</v>
      </c>
      <c r="N1545">
        <v>1</v>
      </c>
      <c r="O1545" s="4">
        <v>230</v>
      </c>
      <c r="P1545" s="4">
        <v>400</v>
      </c>
      <c r="Q1545" s="7">
        <v>0</v>
      </c>
      <c r="R1545" t="s">
        <v>178</v>
      </c>
      <c r="S1545">
        <v>8</v>
      </c>
      <c r="T1545">
        <v>400</v>
      </c>
      <c r="U1545">
        <v>0</v>
      </c>
      <c r="V1545">
        <v>400</v>
      </c>
      <c r="W1545">
        <v>230</v>
      </c>
      <c r="X1545">
        <v>170</v>
      </c>
      <c r="Y1545" s="8">
        <v>0.42499999999999999</v>
      </c>
      <c r="Z1545" t="s">
        <v>2995</v>
      </c>
      <c r="AA1545" t="str">
        <f>IF(AND(SalesCleanTable[[#This Row],[Discount %]]&gt;0, SalesCleanTable[[#This Row],[Profit]]&lt;0), "Discount loss", "Safe")</f>
        <v>Safe</v>
      </c>
      <c r="AB1545" s="25">
        <f>(SalesCleanTable[[#This Row],[Unit Price]] - SalesCleanTable[[#This Row],[Unit Cost]]) / SalesCleanTable[[#This Row],[Unit Price]]</f>
        <v>0.42499999999999999</v>
      </c>
      <c r="AC1545" t="str">
        <f>IF(SalesCleanTable[[#This Row],[Discount %]] &gt; SalesCleanTable[[#This Row],[Max Allowed Discount]], "Discount loss", "Safe")</f>
        <v>Safe</v>
      </c>
      <c r="AD1545" s="4">
        <f>SalesCleanTable[[#This Row],[Unit Price]] - SalesCleanTable[[#This Row],[Unit Cost]]</f>
        <v>170</v>
      </c>
      <c r="AE1545" s="41">
        <f>(SalesCleanTable[[#This Row],[Unit Price]] - SalesCleanTable[[#This Row],[Unit Cost]]) / SalesCleanTable[[#This Row],[Unit Price]]</f>
        <v>0.42499999999999999</v>
      </c>
    </row>
    <row r="1546" spans="1:31">
      <c r="A1546" t="s">
        <v>1732</v>
      </c>
      <c r="B1546" s="6">
        <v>45708</v>
      </c>
      <c r="C1546" t="s">
        <v>82</v>
      </c>
      <c r="D1546" t="s">
        <v>83</v>
      </c>
      <c r="E1546" t="s">
        <v>75</v>
      </c>
      <c r="F1546" t="s">
        <v>84</v>
      </c>
      <c r="G1546" t="s">
        <v>85</v>
      </c>
      <c r="H1546" t="s">
        <v>139</v>
      </c>
      <c r="I1546" t="s">
        <v>140</v>
      </c>
      <c r="J1546" t="s">
        <v>137</v>
      </c>
      <c r="K1546" t="s">
        <v>138</v>
      </c>
      <c r="L1546" t="s">
        <v>166</v>
      </c>
      <c r="M1546" t="s">
        <v>167</v>
      </c>
      <c r="N1546">
        <v>2</v>
      </c>
      <c r="O1546" s="4">
        <v>600</v>
      </c>
      <c r="P1546" s="4">
        <v>950</v>
      </c>
      <c r="Q1546" s="7">
        <v>0.05</v>
      </c>
      <c r="R1546" t="s">
        <v>187</v>
      </c>
      <c r="S1546">
        <v>3</v>
      </c>
      <c r="T1546">
        <v>1900</v>
      </c>
      <c r="U1546">
        <v>95</v>
      </c>
      <c r="V1546">
        <v>1805</v>
      </c>
      <c r="W1546">
        <v>1200</v>
      </c>
      <c r="X1546">
        <v>605</v>
      </c>
      <c r="Y1546" s="8">
        <v>0.33518005540166207</v>
      </c>
      <c r="Z1546" t="s">
        <v>2996</v>
      </c>
      <c r="AA1546" t="str">
        <f>IF(AND(SalesCleanTable[[#This Row],[Discount %]]&gt;0, SalesCleanTable[[#This Row],[Profit]]&lt;0), "Discount loss", "Safe")</f>
        <v>Safe</v>
      </c>
      <c r="AB1546" s="25">
        <f>(SalesCleanTable[[#This Row],[Unit Price]] - SalesCleanTable[[#This Row],[Unit Cost]]) / SalesCleanTable[[#This Row],[Unit Price]]</f>
        <v>0.36842105263157893</v>
      </c>
      <c r="AC1546" t="str">
        <f>IF(SalesCleanTable[[#This Row],[Discount %]] &gt; SalesCleanTable[[#This Row],[Max Allowed Discount]], "Discount loss", "Safe")</f>
        <v>Safe</v>
      </c>
      <c r="AD1546" s="4">
        <f>SalesCleanTable[[#This Row],[Unit Price]] - SalesCleanTable[[#This Row],[Unit Cost]]</f>
        <v>350</v>
      </c>
      <c r="AE1546" s="41">
        <f>(SalesCleanTable[[#This Row],[Unit Price]] - SalesCleanTable[[#This Row],[Unit Cost]]) / SalesCleanTable[[#This Row],[Unit Price]]</f>
        <v>0.36842105263157893</v>
      </c>
    </row>
    <row r="1547" spans="1:31">
      <c r="A1547" t="s">
        <v>1733</v>
      </c>
      <c r="B1547" s="6">
        <v>45997</v>
      </c>
      <c r="C1547" t="s">
        <v>29</v>
      </c>
      <c r="D1547" t="s">
        <v>30</v>
      </c>
      <c r="E1547" t="s">
        <v>26</v>
      </c>
      <c r="F1547" t="s">
        <v>27</v>
      </c>
      <c r="G1547" t="s">
        <v>31</v>
      </c>
      <c r="H1547" t="s">
        <v>135</v>
      </c>
      <c r="I1547" t="s">
        <v>136</v>
      </c>
      <c r="J1547" t="s">
        <v>137</v>
      </c>
      <c r="K1547" t="s">
        <v>138</v>
      </c>
      <c r="L1547" t="s">
        <v>183</v>
      </c>
      <c r="M1547" t="s">
        <v>177</v>
      </c>
      <c r="N1547">
        <v>6</v>
      </c>
      <c r="O1547" s="4">
        <v>6200</v>
      </c>
      <c r="P1547" s="4">
        <v>7900</v>
      </c>
      <c r="Q1547" s="7">
        <v>0.05</v>
      </c>
      <c r="R1547" t="s">
        <v>194</v>
      </c>
      <c r="S1547">
        <v>1</v>
      </c>
      <c r="T1547">
        <v>47400</v>
      </c>
      <c r="U1547">
        <v>2370</v>
      </c>
      <c r="V1547">
        <v>45030</v>
      </c>
      <c r="W1547">
        <v>37200</v>
      </c>
      <c r="X1547">
        <v>7830</v>
      </c>
      <c r="Y1547" s="8">
        <v>0.17388407728181213</v>
      </c>
      <c r="Z1547" t="s">
        <v>2996</v>
      </c>
      <c r="AA1547" t="str">
        <f>IF(AND(SalesCleanTable[[#This Row],[Discount %]]&gt;0, SalesCleanTable[[#This Row],[Profit]]&lt;0), "Discount loss", "Safe")</f>
        <v>Safe</v>
      </c>
      <c r="AB1547" s="25">
        <f>(SalesCleanTable[[#This Row],[Unit Price]] - SalesCleanTable[[#This Row],[Unit Cost]]) / SalesCleanTable[[#This Row],[Unit Price]]</f>
        <v>0.21518987341772153</v>
      </c>
      <c r="AC1547" t="str">
        <f>IF(SalesCleanTable[[#This Row],[Discount %]] &gt; SalesCleanTable[[#This Row],[Max Allowed Discount]], "Discount loss", "Safe")</f>
        <v>Safe</v>
      </c>
      <c r="AD1547" s="4">
        <f>SalesCleanTable[[#This Row],[Unit Price]] - SalesCleanTable[[#This Row],[Unit Cost]]</f>
        <v>1700</v>
      </c>
      <c r="AE1547" s="41">
        <f>(SalesCleanTable[[#This Row],[Unit Price]] - SalesCleanTable[[#This Row],[Unit Cost]]) / SalesCleanTable[[#This Row],[Unit Price]]</f>
        <v>0.21518987341772153</v>
      </c>
    </row>
    <row r="1548" spans="1:31">
      <c r="A1548" t="s">
        <v>1734</v>
      </c>
      <c r="B1548" s="6">
        <v>45847</v>
      </c>
      <c r="C1548" t="s">
        <v>32</v>
      </c>
      <c r="D1548" t="s">
        <v>33</v>
      </c>
      <c r="E1548" t="s">
        <v>26</v>
      </c>
      <c r="F1548" t="s">
        <v>34</v>
      </c>
      <c r="G1548" t="s">
        <v>35</v>
      </c>
      <c r="H1548" t="s">
        <v>133</v>
      </c>
      <c r="I1548" t="s">
        <v>134</v>
      </c>
      <c r="J1548" t="s">
        <v>130</v>
      </c>
      <c r="K1548" t="s">
        <v>131</v>
      </c>
      <c r="L1548" t="s">
        <v>170</v>
      </c>
      <c r="M1548" t="s">
        <v>171</v>
      </c>
      <c r="N1548">
        <v>6</v>
      </c>
      <c r="O1548" s="4">
        <v>7800</v>
      </c>
      <c r="P1548" s="4">
        <v>9800</v>
      </c>
      <c r="Q1548" s="7">
        <v>0.05</v>
      </c>
      <c r="R1548" t="s">
        <v>194</v>
      </c>
      <c r="S1548">
        <v>7</v>
      </c>
      <c r="T1548">
        <v>58800</v>
      </c>
      <c r="U1548">
        <v>2940</v>
      </c>
      <c r="V1548">
        <v>55860</v>
      </c>
      <c r="W1548">
        <v>46800</v>
      </c>
      <c r="X1548">
        <v>9060</v>
      </c>
      <c r="Y1548" s="8">
        <v>0.16219119226638024</v>
      </c>
      <c r="Z1548" t="s">
        <v>2995</v>
      </c>
      <c r="AA1548" t="str">
        <f>IF(AND(SalesCleanTable[[#This Row],[Discount %]]&gt;0, SalesCleanTable[[#This Row],[Profit]]&lt;0), "Discount loss", "Safe")</f>
        <v>Safe</v>
      </c>
      <c r="AB1548" s="25">
        <f>(SalesCleanTable[[#This Row],[Unit Price]] - SalesCleanTable[[#This Row],[Unit Cost]]) / SalesCleanTable[[#This Row],[Unit Price]]</f>
        <v>0.20408163265306123</v>
      </c>
      <c r="AC1548" t="str">
        <f>IF(SalesCleanTable[[#This Row],[Discount %]] &gt; SalesCleanTable[[#This Row],[Max Allowed Discount]], "Discount loss", "Safe")</f>
        <v>Safe</v>
      </c>
      <c r="AD1548" s="4">
        <f>SalesCleanTable[[#This Row],[Unit Price]] - SalesCleanTable[[#This Row],[Unit Cost]]</f>
        <v>2000</v>
      </c>
      <c r="AE1548" s="41">
        <f>(SalesCleanTable[[#This Row],[Unit Price]] - SalesCleanTable[[#This Row],[Unit Cost]]) / SalesCleanTable[[#This Row],[Unit Price]]</f>
        <v>0.20408163265306123</v>
      </c>
    </row>
    <row r="1549" spans="1:31">
      <c r="A1549" t="s">
        <v>1735</v>
      </c>
      <c r="B1549" s="6">
        <v>45804</v>
      </c>
      <c r="C1549" t="s">
        <v>41</v>
      </c>
      <c r="D1549" t="s">
        <v>42</v>
      </c>
      <c r="E1549" t="s">
        <v>26</v>
      </c>
      <c r="F1549" t="s">
        <v>43</v>
      </c>
      <c r="G1549" t="s">
        <v>44</v>
      </c>
      <c r="H1549" t="s">
        <v>145</v>
      </c>
      <c r="I1549" t="s">
        <v>146</v>
      </c>
      <c r="J1549" t="s">
        <v>147</v>
      </c>
      <c r="K1549" t="s">
        <v>148</v>
      </c>
      <c r="L1549" t="s">
        <v>183</v>
      </c>
      <c r="M1549" t="s">
        <v>171</v>
      </c>
      <c r="N1549">
        <v>2</v>
      </c>
      <c r="O1549" s="4">
        <v>850</v>
      </c>
      <c r="P1549" s="4">
        <v>1300</v>
      </c>
      <c r="Q1549" s="7">
        <v>0.1</v>
      </c>
      <c r="R1549" t="s">
        <v>197</v>
      </c>
      <c r="S1549">
        <v>2</v>
      </c>
      <c r="T1549">
        <v>2600</v>
      </c>
      <c r="U1549">
        <v>260</v>
      </c>
      <c r="V1549">
        <v>2340</v>
      </c>
      <c r="W1549">
        <v>1700</v>
      </c>
      <c r="X1549">
        <v>640</v>
      </c>
      <c r="Y1549" s="8">
        <v>0.27350427350427353</v>
      </c>
      <c r="Z1549" t="s">
        <v>2995</v>
      </c>
      <c r="AA1549" t="str">
        <f>IF(AND(SalesCleanTable[[#This Row],[Discount %]]&gt;0, SalesCleanTable[[#This Row],[Profit]]&lt;0), "Discount loss", "Safe")</f>
        <v>Safe</v>
      </c>
      <c r="AB1549" s="25">
        <f>(SalesCleanTable[[#This Row],[Unit Price]] - SalesCleanTable[[#This Row],[Unit Cost]]) / SalesCleanTable[[#This Row],[Unit Price]]</f>
        <v>0.34615384615384615</v>
      </c>
      <c r="AC1549" t="str">
        <f>IF(SalesCleanTable[[#This Row],[Discount %]] &gt; SalesCleanTable[[#This Row],[Max Allowed Discount]], "Discount loss", "Safe")</f>
        <v>Safe</v>
      </c>
      <c r="AD1549" s="4">
        <f>SalesCleanTable[[#This Row],[Unit Price]] - SalesCleanTable[[#This Row],[Unit Cost]]</f>
        <v>450</v>
      </c>
      <c r="AE1549" s="41">
        <f>(SalesCleanTable[[#This Row],[Unit Price]] - SalesCleanTable[[#This Row],[Unit Cost]]) / SalesCleanTable[[#This Row],[Unit Price]]</f>
        <v>0.34615384615384615</v>
      </c>
    </row>
    <row r="1550" spans="1:31">
      <c r="A1550" t="s">
        <v>1736</v>
      </c>
      <c r="B1550" s="6">
        <v>45662</v>
      </c>
      <c r="C1550" t="s">
        <v>36</v>
      </c>
      <c r="D1550" t="s">
        <v>37</v>
      </c>
      <c r="E1550" t="s">
        <v>38</v>
      </c>
      <c r="F1550" t="s">
        <v>39</v>
      </c>
      <c r="G1550" t="s">
        <v>40</v>
      </c>
      <c r="H1550" t="s">
        <v>135</v>
      </c>
      <c r="I1550" t="s">
        <v>136</v>
      </c>
      <c r="J1550" t="s">
        <v>137</v>
      </c>
      <c r="K1550" t="s">
        <v>138</v>
      </c>
      <c r="L1550" t="s">
        <v>183</v>
      </c>
      <c r="M1550" t="s">
        <v>171</v>
      </c>
      <c r="N1550">
        <v>-1</v>
      </c>
      <c r="O1550" s="4">
        <v>1650</v>
      </c>
      <c r="P1550" s="4">
        <v>2200</v>
      </c>
      <c r="Q1550" s="7">
        <v>0.2</v>
      </c>
      <c r="R1550" t="s">
        <v>178</v>
      </c>
      <c r="S1550">
        <v>1</v>
      </c>
      <c r="T1550">
        <v>-2200</v>
      </c>
      <c r="U1550">
        <v>-440</v>
      </c>
      <c r="V1550">
        <v>-1760</v>
      </c>
      <c r="W1550">
        <v>-1650</v>
      </c>
      <c r="X1550">
        <v>-110</v>
      </c>
      <c r="Y1550" s="8">
        <v>6.25E-2</v>
      </c>
      <c r="Z1550" t="s">
        <v>2995</v>
      </c>
      <c r="AA1550" t="str">
        <f>IF(AND(SalesCleanTable[[#This Row],[Discount %]]&gt;0, SalesCleanTable[[#This Row],[Profit]]&lt;0), "Discount loss", "Safe")</f>
        <v>Discount loss</v>
      </c>
      <c r="AB1550" s="25">
        <f>(SalesCleanTable[[#This Row],[Unit Price]] - SalesCleanTable[[#This Row],[Unit Cost]]) / SalesCleanTable[[#This Row],[Unit Price]]</f>
        <v>0.25</v>
      </c>
      <c r="AC1550" t="str">
        <f>IF(SalesCleanTable[[#This Row],[Discount %]] &gt; SalesCleanTable[[#This Row],[Max Allowed Discount]], "Discount loss", "Safe")</f>
        <v>Safe</v>
      </c>
      <c r="AD1550" s="4">
        <f>SalesCleanTable[[#This Row],[Unit Price]] - SalesCleanTable[[#This Row],[Unit Cost]]</f>
        <v>550</v>
      </c>
      <c r="AE1550" s="41">
        <f>(SalesCleanTable[[#This Row],[Unit Price]] - SalesCleanTable[[#This Row],[Unit Cost]]) / SalesCleanTable[[#This Row],[Unit Price]]</f>
        <v>0.25</v>
      </c>
    </row>
    <row r="1551" spans="1:31">
      <c r="A1551" t="s">
        <v>1737</v>
      </c>
      <c r="B1551" s="6">
        <v>45674</v>
      </c>
      <c r="C1551" t="s">
        <v>32</v>
      </c>
      <c r="D1551" t="s">
        <v>33</v>
      </c>
      <c r="E1551" t="s">
        <v>26</v>
      </c>
      <c r="F1551" t="s">
        <v>34</v>
      </c>
      <c r="G1551" t="s">
        <v>35</v>
      </c>
      <c r="H1551" t="s">
        <v>153</v>
      </c>
      <c r="I1551" t="s">
        <v>154</v>
      </c>
      <c r="J1551" t="s">
        <v>155</v>
      </c>
      <c r="K1551" t="s">
        <v>131</v>
      </c>
      <c r="L1551" t="s">
        <v>183</v>
      </c>
      <c r="M1551" t="s">
        <v>186</v>
      </c>
      <c r="N1551">
        <v>2</v>
      </c>
      <c r="O1551" s="4">
        <v>7800</v>
      </c>
      <c r="P1551" s="4">
        <v>9800</v>
      </c>
      <c r="Q1551" s="7">
        <v>0.1</v>
      </c>
      <c r="R1551" t="s">
        <v>173</v>
      </c>
      <c r="S1551">
        <v>2</v>
      </c>
      <c r="T1551">
        <v>19600</v>
      </c>
      <c r="U1551">
        <v>1960</v>
      </c>
      <c r="V1551">
        <v>17640</v>
      </c>
      <c r="W1551">
        <v>15600</v>
      </c>
      <c r="X1551">
        <v>2040</v>
      </c>
      <c r="Y1551" s="8">
        <v>0.11564625850340136</v>
      </c>
      <c r="Z1551" t="s">
        <v>2995</v>
      </c>
      <c r="AA1551" t="str">
        <f>IF(AND(SalesCleanTable[[#This Row],[Discount %]]&gt;0, SalesCleanTable[[#This Row],[Profit]]&lt;0), "Discount loss", "Safe")</f>
        <v>Safe</v>
      </c>
      <c r="AB1551" s="25">
        <f>(SalesCleanTable[[#This Row],[Unit Price]] - SalesCleanTable[[#This Row],[Unit Cost]]) / SalesCleanTable[[#This Row],[Unit Price]]</f>
        <v>0.20408163265306123</v>
      </c>
      <c r="AC1551" t="str">
        <f>IF(SalesCleanTable[[#This Row],[Discount %]] &gt; SalesCleanTable[[#This Row],[Max Allowed Discount]], "Discount loss", "Safe")</f>
        <v>Safe</v>
      </c>
      <c r="AD1551" s="4">
        <f>SalesCleanTable[[#This Row],[Unit Price]] - SalesCleanTable[[#This Row],[Unit Cost]]</f>
        <v>2000</v>
      </c>
      <c r="AE1551" s="41">
        <f>(SalesCleanTable[[#This Row],[Unit Price]] - SalesCleanTable[[#This Row],[Unit Cost]]) / SalesCleanTable[[#This Row],[Unit Price]]</f>
        <v>0.20408163265306123</v>
      </c>
    </row>
    <row r="1552" spans="1:31">
      <c r="A1552" t="s">
        <v>1738</v>
      </c>
      <c r="B1552" s="6">
        <v>45816</v>
      </c>
      <c r="C1552" t="s">
        <v>45</v>
      </c>
      <c r="D1552" t="s">
        <v>46</v>
      </c>
      <c r="E1552" t="s">
        <v>38</v>
      </c>
      <c r="F1552" t="s">
        <v>47</v>
      </c>
      <c r="G1552" t="s">
        <v>48</v>
      </c>
      <c r="H1552" t="s">
        <v>128</v>
      </c>
      <c r="I1552" t="s">
        <v>129</v>
      </c>
      <c r="J1552" t="s">
        <v>130</v>
      </c>
      <c r="K1552" t="s">
        <v>131</v>
      </c>
      <c r="L1552" t="s">
        <v>183</v>
      </c>
      <c r="M1552" t="s">
        <v>171</v>
      </c>
      <c r="N1552">
        <v>3</v>
      </c>
      <c r="O1552" s="4">
        <v>230</v>
      </c>
      <c r="P1552" s="4">
        <v>400</v>
      </c>
      <c r="Q1552" s="7">
        <v>0.2</v>
      </c>
      <c r="R1552" t="s">
        <v>178</v>
      </c>
      <c r="S1552">
        <v>13</v>
      </c>
      <c r="T1552">
        <v>1200</v>
      </c>
      <c r="U1552">
        <v>240</v>
      </c>
      <c r="V1552">
        <v>960</v>
      </c>
      <c r="W1552">
        <v>690</v>
      </c>
      <c r="X1552">
        <v>270</v>
      </c>
      <c r="Y1552" s="8">
        <v>0.28125</v>
      </c>
      <c r="Z1552" t="s">
        <v>2995</v>
      </c>
      <c r="AA1552" t="str">
        <f>IF(AND(SalesCleanTable[[#This Row],[Discount %]]&gt;0, SalesCleanTable[[#This Row],[Profit]]&lt;0), "Discount loss", "Safe")</f>
        <v>Safe</v>
      </c>
      <c r="AB1552" s="25">
        <f>(SalesCleanTable[[#This Row],[Unit Price]] - SalesCleanTable[[#This Row],[Unit Cost]]) / SalesCleanTable[[#This Row],[Unit Price]]</f>
        <v>0.42499999999999999</v>
      </c>
      <c r="AC1552" t="str">
        <f>IF(SalesCleanTable[[#This Row],[Discount %]] &gt; SalesCleanTable[[#This Row],[Max Allowed Discount]], "Discount loss", "Safe")</f>
        <v>Safe</v>
      </c>
      <c r="AD1552" s="4">
        <f>SalesCleanTable[[#This Row],[Unit Price]] - SalesCleanTable[[#This Row],[Unit Cost]]</f>
        <v>170</v>
      </c>
      <c r="AE1552" s="41">
        <f>(SalesCleanTable[[#This Row],[Unit Price]] - SalesCleanTable[[#This Row],[Unit Cost]]) / SalesCleanTable[[#This Row],[Unit Price]]</f>
        <v>0.42499999999999999</v>
      </c>
    </row>
    <row r="1553" spans="1:31">
      <c r="A1553" t="s">
        <v>1739</v>
      </c>
      <c r="B1553" s="6">
        <v>45858</v>
      </c>
      <c r="C1553" t="s">
        <v>99</v>
      </c>
      <c r="D1553" t="s">
        <v>100</v>
      </c>
      <c r="E1553" t="s">
        <v>92</v>
      </c>
      <c r="F1553" t="s">
        <v>101</v>
      </c>
      <c r="G1553" t="s">
        <v>102</v>
      </c>
      <c r="H1553" t="s">
        <v>139</v>
      </c>
      <c r="I1553" t="s">
        <v>140</v>
      </c>
      <c r="J1553" t="s">
        <v>137</v>
      </c>
      <c r="K1553" t="s">
        <v>138</v>
      </c>
      <c r="L1553" t="s">
        <v>183</v>
      </c>
      <c r="M1553" t="s">
        <v>177</v>
      </c>
      <c r="N1553">
        <v>2</v>
      </c>
      <c r="O1553" s="4">
        <v>12500</v>
      </c>
      <c r="P1553" s="4">
        <v>18500</v>
      </c>
      <c r="Q1553" s="7">
        <v>0</v>
      </c>
      <c r="R1553" t="s">
        <v>215</v>
      </c>
      <c r="S1553">
        <v>5</v>
      </c>
      <c r="T1553">
        <v>37000</v>
      </c>
      <c r="U1553">
        <v>0</v>
      </c>
      <c r="V1553">
        <v>37000</v>
      </c>
      <c r="W1553">
        <v>25000</v>
      </c>
      <c r="X1553">
        <v>12000</v>
      </c>
      <c r="Y1553" s="8">
        <v>0.32432432432432434</v>
      </c>
      <c r="Z1553" t="s">
        <v>2995</v>
      </c>
      <c r="AA1553" t="str">
        <f>IF(AND(SalesCleanTable[[#This Row],[Discount %]]&gt;0, SalesCleanTable[[#This Row],[Profit]]&lt;0), "Discount loss", "Safe")</f>
        <v>Safe</v>
      </c>
      <c r="AB1553" s="25">
        <f>(SalesCleanTable[[#This Row],[Unit Price]] - SalesCleanTable[[#This Row],[Unit Cost]]) / SalesCleanTable[[#This Row],[Unit Price]]</f>
        <v>0.32432432432432434</v>
      </c>
      <c r="AC1553" t="str">
        <f>IF(SalesCleanTable[[#This Row],[Discount %]] &gt; SalesCleanTable[[#This Row],[Max Allowed Discount]], "Discount loss", "Safe")</f>
        <v>Safe</v>
      </c>
      <c r="AD1553" s="4">
        <f>SalesCleanTable[[#This Row],[Unit Price]] - SalesCleanTable[[#This Row],[Unit Cost]]</f>
        <v>6000</v>
      </c>
      <c r="AE1553" s="41">
        <f>(SalesCleanTable[[#This Row],[Unit Price]] - SalesCleanTable[[#This Row],[Unit Cost]]) / SalesCleanTable[[#This Row],[Unit Price]]</f>
        <v>0.32432432432432434</v>
      </c>
    </row>
    <row r="1554" spans="1:31">
      <c r="A1554" t="s">
        <v>1740</v>
      </c>
      <c r="B1554" s="6">
        <v>45894</v>
      </c>
      <c r="C1554" t="s">
        <v>69</v>
      </c>
      <c r="D1554" t="s">
        <v>70</v>
      </c>
      <c r="E1554" t="s">
        <v>59</v>
      </c>
      <c r="F1554" t="s">
        <v>71</v>
      </c>
      <c r="G1554" t="s">
        <v>72</v>
      </c>
      <c r="H1554" t="s">
        <v>135</v>
      </c>
      <c r="I1554" t="s">
        <v>136</v>
      </c>
      <c r="J1554" t="s">
        <v>137</v>
      </c>
      <c r="K1554" t="s">
        <v>138</v>
      </c>
      <c r="L1554" t="s">
        <v>166</v>
      </c>
      <c r="M1554" t="s">
        <v>171</v>
      </c>
      <c r="N1554">
        <v>3</v>
      </c>
      <c r="O1554" s="4">
        <v>1700</v>
      </c>
      <c r="P1554" s="4">
        <v>2600</v>
      </c>
      <c r="Q1554" s="7">
        <v>0.1</v>
      </c>
      <c r="R1554" t="s">
        <v>173</v>
      </c>
      <c r="S1554">
        <v>5</v>
      </c>
      <c r="T1554">
        <v>7800</v>
      </c>
      <c r="U1554">
        <v>780</v>
      </c>
      <c r="V1554">
        <v>7020</v>
      </c>
      <c r="W1554">
        <v>5100</v>
      </c>
      <c r="X1554">
        <v>1920</v>
      </c>
      <c r="Y1554" s="8">
        <v>0.27350427350427353</v>
      </c>
      <c r="Z1554" t="s">
        <v>2997</v>
      </c>
      <c r="AA1554" t="str">
        <f>IF(AND(SalesCleanTable[[#This Row],[Discount %]]&gt;0, SalesCleanTable[[#This Row],[Profit]]&lt;0), "Discount loss", "Safe")</f>
        <v>Safe</v>
      </c>
      <c r="AB1554" s="25">
        <f>(SalesCleanTable[[#This Row],[Unit Price]] - SalesCleanTable[[#This Row],[Unit Cost]]) / SalesCleanTable[[#This Row],[Unit Price]]</f>
        <v>0.34615384615384615</v>
      </c>
      <c r="AC1554" t="str">
        <f>IF(SalesCleanTable[[#This Row],[Discount %]] &gt; SalesCleanTable[[#This Row],[Max Allowed Discount]], "Discount loss", "Safe")</f>
        <v>Safe</v>
      </c>
      <c r="AD1554" s="4">
        <f>SalesCleanTable[[#This Row],[Unit Price]] - SalesCleanTable[[#This Row],[Unit Cost]]</f>
        <v>900</v>
      </c>
      <c r="AE1554" s="41">
        <f>(SalesCleanTable[[#This Row],[Unit Price]] - SalesCleanTable[[#This Row],[Unit Cost]]) / SalesCleanTable[[#This Row],[Unit Price]]</f>
        <v>0.34615384615384615</v>
      </c>
    </row>
    <row r="1555" spans="1:31">
      <c r="A1555" t="s">
        <v>1741</v>
      </c>
      <c r="B1555" s="6">
        <v>45831</v>
      </c>
      <c r="C1555" t="s">
        <v>78</v>
      </c>
      <c r="D1555" t="s">
        <v>79</v>
      </c>
      <c r="E1555" t="s">
        <v>75</v>
      </c>
      <c r="F1555" t="s">
        <v>80</v>
      </c>
      <c r="G1555" t="s">
        <v>81</v>
      </c>
      <c r="H1555" t="s">
        <v>145</v>
      </c>
      <c r="I1555" t="s">
        <v>146</v>
      </c>
      <c r="J1555" t="s">
        <v>147</v>
      </c>
      <c r="K1555" t="s">
        <v>148</v>
      </c>
      <c r="L1555" t="s">
        <v>166</v>
      </c>
      <c r="M1555" t="s">
        <v>167</v>
      </c>
      <c r="N1555">
        <v>5</v>
      </c>
      <c r="O1555" s="4">
        <v>1200</v>
      </c>
      <c r="P1555" s="4">
        <v>1900</v>
      </c>
      <c r="Q1555" s="7">
        <v>0.05</v>
      </c>
      <c r="R1555" t="s">
        <v>204</v>
      </c>
      <c r="S1555">
        <v>14</v>
      </c>
      <c r="T1555">
        <v>9500</v>
      </c>
      <c r="U1555">
        <v>475</v>
      </c>
      <c r="V1555">
        <v>9025</v>
      </c>
      <c r="W1555">
        <v>6000</v>
      </c>
      <c r="X1555">
        <v>3025</v>
      </c>
      <c r="Y1555" s="8">
        <v>0.33518005540166207</v>
      </c>
      <c r="Z1555" t="s">
        <v>2996</v>
      </c>
      <c r="AA1555" t="str">
        <f>IF(AND(SalesCleanTable[[#This Row],[Discount %]]&gt;0, SalesCleanTable[[#This Row],[Profit]]&lt;0), "Discount loss", "Safe")</f>
        <v>Safe</v>
      </c>
      <c r="AB1555" s="25">
        <f>(SalesCleanTable[[#This Row],[Unit Price]] - SalesCleanTable[[#This Row],[Unit Cost]]) / SalesCleanTable[[#This Row],[Unit Price]]</f>
        <v>0.36842105263157893</v>
      </c>
      <c r="AC1555" t="str">
        <f>IF(SalesCleanTable[[#This Row],[Discount %]] &gt; SalesCleanTable[[#This Row],[Max Allowed Discount]], "Discount loss", "Safe")</f>
        <v>Safe</v>
      </c>
      <c r="AD1555" s="4">
        <f>SalesCleanTable[[#This Row],[Unit Price]] - SalesCleanTable[[#This Row],[Unit Cost]]</f>
        <v>700</v>
      </c>
      <c r="AE1555" s="41">
        <f>(SalesCleanTable[[#This Row],[Unit Price]] - SalesCleanTable[[#This Row],[Unit Cost]]) / SalesCleanTable[[#This Row],[Unit Price]]</f>
        <v>0.36842105263157893</v>
      </c>
    </row>
    <row r="1556" spans="1:31">
      <c r="A1556" t="s">
        <v>1742</v>
      </c>
      <c r="B1556" s="6">
        <v>45778</v>
      </c>
      <c r="C1556" t="s">
        <v>95</v>
      </c>
      <c r="D1556" t="s">
        <v>96</v>
      </c>
      <c r="E1556" t="s">
        <v>92</v>
      </c>
      <c r="F1556" t="s">
        <v>97</v>
      </c>
      <c r="G1556" t="s">
        <v>98</v>
      </c>
      <c r="H1556" t="s">
        <v>149</v>
      </c>
      <c r="I1556" t="s">
        <v>150</v>
      </c>
      <c r="J1556" t="s">
        <v>151</v>
      </c>
      <c r="K1556" t="s">
        <v>152</v>
      </c>
      <c r="L1556" t="s">
        <v>166</v>
      </c>
      <c r="M1556" t="s">
        <v>171</v>
      </c>
      <c r="N1556">
        <v>4</v>
      </c>
      <c r="O1556" s="4">
        <v>18000</v>
      </c>
      <c r="P1556" s="4">
        <v>24500</v>
      </c>
      <c r="Q1556" s="7">
        <v>0</v>
      </c>
      <c r="R1556" t="s">
        <v>181</v>
      </c>
      <c r="S1556">
        <v>2</v>
      </c>
      <c r="T1556">
        <v>98000</v>
      </c>
      <c r="U1556">
        <v>0</v>
      </c>
      <c r="V1556">
        <v>98000</v>
      </c>
      <c r="W1556">
        <v>72000</v>
      </c>
      <c r="X1556">
        <v>26000</v>
      </c>
      <c r="Y1556" s="8">
        <v>0.26530612244897961</v>
      </c>
      <c r="Z1556" t="s">
        <v>2995</v>
      </c>
      <c r="AA1556" t="str">
        <f>IF(AND(SalesCleanTable[[#This Row],[Discount %]]&gt;0, SalesCleanTable[[#This Row],[Profit]]&lt;0), "Discount loss", "Safe")</f>
        <v>Safe</v>
      </c>
      <c r="AB1556" s="25">
        <f>(SalesCleanTable[[#This Row],[Unit Price]] - SalesCleanTable[[#This Row],[Unit Cost]]) / SalesCleanTable[[#This Row],[Unit Price]]</f>
        <v>0.26530612244897961</v>
      </c>
      <c r="AC1556" t="str">
        <f>IF(SalesCleanTable[[#This Row],[Discount %]] &gt; SalesCleanTable[[#This Row],[Max Allowed Discount]], "Discount loss", "Safe")</f>
        <v>Safe</v>
      </c>
      <c r="AD1556" s="4">
        <f>SalesCleanTable[[#This Row],[Unit Price]] - SalesCleanTable[[#This Row],[Unit Cost]]</f>
        <v>6500</v>
      </c>
      <c r="AE1556" s="41">
        <f>(SalesCleanTable[[#This Row],[Unit Price]] - SalesCleanTable[[#This Row],[Unit Cost]]) / SalesCleanTable[[#This Row],[Unit Price]]</f>
        <v>0.26530612244897961</v>
      </c>
    </row>
    <row r="1557" spans="1:31">
      <c r="A1557" t="s">
        <v>1743</v>
      </c>
      <c r="B1557" s="6">
        <v>45718</v>
      </c>
      <c r="C1557" t="s">
        <v>32</v>
      </c>
      <c r="D1557" t="s">
        <v>33</v>
      </c>
      <c r="E1557" t="s">
        <v>26</v>
      </c>
      <c r="F1557" t="s">
        <v>34</v>
      </c>
      <c r="G1557" t="s">
        <v>35</v>
      </c>
      <c r="H1557" t="s">
        <v>153</v>
      </c>
      <c r="I1557" t="s">
        <v>154</v>
      </c>
      <c r="J1557" t="s">
        <v>155</v>
      </c>
      <c r="K1557" t="s">
        <v>131</v>
      </c>
      <c r="L1557" t="s">
        <v>166</v>
      </c>
      <c r="M1557" t="s">
        <v>186</v>
      </c>
      <c r="N1557">
        <v>1</v>
      </c>
      <c r="O1557" s="4">
        <v>7800</v>
      </c>
      <c r="P1557" s="4">
        <v>9800</v>
      </c>
      <c r="Q1557" s="7">
        <v>0.1</v>
      </c>
      <c r="R1557" t="s">
        <v>194</v>
      </c>
      <c r="S1557">
        <v>10</v>
      </c>
      <c r="T1557">
        <v>9800</v>
      </c>
      <c r="U1557">
        <v>980</v>
      </c>
      <c r="V1557">
        <v>8820</v>
      </c>
      <c r="W1557">
        <v>7800</v>
      </c>
      <c r="X1557">
        <v>1020</v>
      </c>
      <c r="Y1557" s="8">
        <v>0.11564625850340136</v>
      </c>
      <c r="Z1557" t="s">
        <v>2995</v>
      </c>
      <c r="AA1557" t="str">
        <f>IF(AND(SalesCleanTable[[#This Row],[Discount %]]&gt;0, SalesCleanTable[[#This Row],[Profit]]&lt;0), "Discount loss", "Safe")</f>
        <v>Safe</v>
      </c>
      <c r="AB1557" s="25">
        <f>(SalesCleanTable[[#This Row],[Unit Price]] - SalesCleanTable[[#This Row],[Unit Cost]]) / SalesCleanTable[[#This Row],[Unit Price]]</f>
        <v>0.20408163265306123</v>
      </c>
      <c r="AC1557" t="str">
        <f>IF(SalesCleanTable[[#This Row],[Discount %]] &gt; SalesCleanTable[[#This Row],[Max Allowed Discount]], "Discount loss", "Safe")</f>
        <v>Safe</v>
      </c>
      <c r="AD1557" s="4">
        <f>SalesCleanTable[[#This Row],[Unit Price]] - SalesCleanTable[[#This Row],[Unit Cost]]</f>
        <v>2000</v>
      </c>
      <c r="AE1557" s="41">
        <f>(SalesCleanTable[[#This Row],[Unit Price]] - SalesCleanTable[[#This Row],[Unit Cost]]) / SalesCleanTable[[#This Row],[Unit Price]]</f>
        <v>0.20408163265306123</v>
      </c>
    </row>
    <row r="1558" spans="1:31">
      <c r="A1558" t="s">
        <v>1744</v>
      </c>
      <c r="B1558" s="6">
        <v>45904</v>
      </c>
      <c r="C1558" t="s">
        <v>53</v>
      </c>
      <c r="D1558" t="s">
        <v>54</v>
      </c>
      <c r="E1558" t="s">
        <v>38</v>
      </c>
      <c r="F1558" t="s">
        <v>55</v>
      </c>
      <c r="G1558" t="s">
        <v>56</v>
      </c>
      <c r="H1558" t="s">
        <v>128</v>
      </c>
      <c r="I1558" t="s">
        <v>129</v>
      </c>
      <c r="J1558" t="s">
        <v>130</v>
      </c>
      <c r="K1558" t="s">
        <v>131</v>
      </c>
      <c r="L1558" t="s">
        <v>166</v>
      </c>
      <c r="M1558" t="s">
        <v>171</v>
      </c>
      <c r="N1558">
        <v>3</v>
      </c>
      <c r="O1558" s="4">
        <v>330</v>
      </c>
      <c r="P1558" s="4">
        <v>550</v>
      </c>
      <c r="Q1558" s="7">
        <v>0.2</v>
      </c>
      <c r="R1558" t="s">
        <v>168</v>
      </c>
      <c r="S1558">
        <v>4</v>
      </c>
      <c r="T1558">
        <v>1650</v>
      </c>
      <c r="U1558">
        <v>330</v>
      </c>
      <c r="V1558">
        <v>1320</v>
      </c>
      <c r="W1558">
        <v>990</v>
      </c>
      <c r="X1558">
        <v>330</v>
      </c>
      <c r="Y1558" s="8">
        <v>0.25</v>
      </c>
      <c r="Z1558" t="s">
        <v>2996</v>
      </c>
      <c r="AA1558" t="str">
        <f>IF(AND(SalesCleanTable[[#This Row],[Discount %]]&gt;0, SalesCleanTable[[#This Row],[Profit]]&lt;0), "Discount loss", "Safe")</f>
        <v>Safe</v>
      </c>
      <c r="AB1558" s="25">
        <f>(SalesCleanTable[[#This Row],[Unit Price]] - SalesCleanTable[[#This Row],[Unit Cost]]) / SalesCleanTable[[#This Row],[Unit Price]]</f>
        <v>0.4</v>
      </c>
      <c r="AC1558" t="str">
        <f>IF(SalesCleanTable[[#This Row],[Discount %]] &gt; SalesCleanTable[[#This Row],[Max Allowed Discount]], "Discount loss", "Safe")</f>
        <v>Safe</v>
      </c>
      <c r="AD1558" s="4">
        <f>SalesCleanTable[[#This Row],[Unit Price]] - SalesCleanTable[[#This Row],[Unit Cost]]</f>
        <v>220</v>
      </c>
      <c r="AE1558" s="41">
        <f>(SalesCleanTable[[#This Row],[Unit Price]] - SalesCleanTable[[#This Row],[Unit Cost]]) / SalesCleanTable[[#This Row],[Unit Price]]</f>
        <v>0.4</v>
      </c>
    </row>
    <row r="1559" spans="1:31">
      <c r="A1559" t="s">
        <v>1745</v>
      </c>
      <c r="B1559" s="6">
        <v>45993</v>
      </c>
      <c r="C1559" t="s">
        <v>24</v>
      </c>
      <c r="D1559" t="s">
        <v>25</v>
      </c>
      <c r="E1559" t="s">
        <v>26</v>
      </c>
      <c r="F1559" t="s">
        <v>27</v>
      </c>
      <c r="G1559" t="s">
        <v>28</v>
      </c>
      <c r="H1559" t="s">
        <v>133</v>
      </c>
      <c r="I1559" t="s">
        <v>134</v>
      </c>
      <c r="J1559" t="s">
        <v>130</v>
      </c>
      <c r="K1559" t="s">
        <v>131</v>
      </c>
      <c r="L1559" t="s">
        <v>166</v>
      </c>
      <c r="M1559" t="s">
        <v>171</v>
      </c>
      <c r="N1559">
        <v>1</v>
      </c>
      <c r="O1559" s="4">
        <v>14500</v>
      </c>
      <c r="P1559" s="4">
        <v>17500</v>
      </c>
      <c r="Q1559" s="7">
        <v>0</v>
      </c>
      <c r="R1559" t="s">
        <v>194</v>
      </c>
      <c r="S1559">
        <v>7</v>
      </c>
      <c r="T1559">
        <v>17500</v>
      </c>
      <c r="U1559">
        <v>0</v>
      </c>
      <c r="V1559">
        <v>17500</v>
      </c>
      <c r="W1559">
        <v>14500</v>
      </c>
      <c r="X1559">
        <v>3000</v>
      </c>
      <c r="Y1559" s="8">
        <v>0.17142857142857143</v>
      </c>
      <c r="Z1559" t="s">
        <v>2995</v>
      </c>
      <c r="AA1559" t="str">
        <f>IF(AND(SalesCleanTable[[#This Row],[Discount %]]&gt;0, SalesCleanTable[[#This Row],[Profit]]&lt;0), "Discount loss", "Safe")</f>
        <v>Safe</v>
      </c>
      <c r="AB1559" s="25">
        <f>(SalesCleanTable[[#This Row],[Unit Price]] - SalesCleanTable[[#This Row],[Unit Cost]]) / SalesCleanTable[[#This Row],[Unit Price]]</f>
        <v>0.17142857142857143</v>
      </c>
      <c r="AC1559" t="str">
        <f>IF(SalesCleanTable[[#This Row],[Discount %]] &gt; SalesCleanTable[[#This Row],[Max Allowed Discount]], "Discount loss", "Safe")</f>
        <v>Safe</v>
      </c>
      <c r="AD1559" s="4">
        <f>SalesCleanTable[[#This Row],[Unit Price]] - SalesCleanTable[[#This Row],[Unit Cost]]</f>
        <v>3000</v>
      </c>
      <c r="AE1559" s="41">
        <f>(SalesCleanTable[[#This Row],[Unit Price]] - SalesCleanTable[[#This Row],[Unit Cost]]) / SalesCleanTable[[#This Row],[Unit Price]]</f>
        <v>0.17142857142857143</v>
      </c>
    </row>
    <row r="1560" spans="1:31">
      <c r="A1560" t="s">
        <v>1746</v>
      </c>
      <c r="B1560" s="6">
        <v>45912</v>
      </c>
      <c r="C1560" t="s">
        <v>53</v>
      </c>
      <c r="D1560" t="s">
        <v>54</v>
      </c>
      <c r="E1560" t="s">
        <v>38</v>
      </c>
      <c r="F1560" t="s">
        <v>55</v>
      </c>
      <c r="G1560" t="s">
        <v>56</v>
      </c>
      <c r="H1560" t="s">
        <v>153</v>
      </c>
      <c r="I1560" t="s">
        <v>154</v>
      </c>
      <c r="J1560" t="s">
        <v>155</v>
      </c>
      <c r="K1560" t="s">
        <v>131</v>
      </c>
      <c r="L1560" t="s">
        <v>166</v>
      </c>
      <c r="M1560" t="s">
        <v>171</v>
      </c>
      <c r="N1560">
        <v>5</v>
      </c>
      <c r="O1560" s="4">
        <v>330</v>
      </c>
      <c r="P1560" s="4">
        <v>550</v>
      </c>
      <c r="Q1560" s="7">
        <v>0.15</v>
      </c>
      <c r="R1560" t="s">
        <v>168</v>
      </c>
      <c r="S1560">
        <v>12</v>
      </c>
      <c r="T1560">
        <v>2750</v>
      </c>
      <c r="U1560">
        <v>412.5</v>
      </c>
      <c r="V1560">
        <v>2337.5</v>
      </c>
      <c r="W1560">
        <v>1650</v>
      </c>
      <c r="X1560">
        <v>687.5</v>
      </c>
      <c r="Y1560" s="8">
        <v>0.29411764705882354</v>
      </c>
      <c r="Z1560" t="s">
        <v>2996</v>
      </c>
      <c r="AA1560" t="str">
        <f>IF(AND(SalesCleanTable[[#This Row],[Discount %]]&gt;0, SalesCleanTable[[#This Row],[Profit]]&lt;0), "Discount loss", "Safe")</f>
        <v>Safe</v>
      </c>
      <c r="AB1560" s="25">
        <f>(SalesCleanTable[[#This Row],[Unit Price]] - SalesCleanTable[[#This Row],[Unit Cost]]) / SalesCleanTable[[#This Row],[Unit Price]]</f>
        <v>0.4</v>
      </c>
      <c r="AC1560" t="str">
        <f>IF(SalesCleanTable[[#This Row],[Discount %]] &gt; SalesCleanTable[[#This Row],[Max Allowed Discount]], "Discount loss", "Safe")</f>
        <v>Safe</v>
      </c>
      <c r="AD1560" s="4">
        <f>SalesCleanTable[[#This Row],[Unit Price]] - SalesCleanTable[[#This Row],[Unit Cost]]</f>
        <v>220</v>
      </c>
      <c r="AE1560" s="41">
        <f>(SalesCleanTable[[#This Row],[Unit Price]] - SalesCleanTable[[#This Row],[Unit Cost]]) / SalesCleanTable[[#This Row],[Unit Price]]</f>
        <v>0.4</v>
      </c>
    </row>
    <row r="1561" spans="1:31">
      <c r="A1561" t="s">
        <v>1747</v>
      </c>
      <c r="B1561" s="6">
        <v>45819</v>
      </c>
      <c r="C1561" t="s">
        <v>116</v>
      </c>
      <c r="D1561" t="s">
        <v>117</v>
      </c>
      <c r="E1561" t="s">
        <v>109</v>
      </c>
      <c r="F1561" t="s">
        <v>118</v>
      </c>
      <c r="G1561" t="s">
        <v>119</v>
      </c>
      <c r="H1561" t="s">
        <v>145</v>
      </c>
      <c r="I1561" t="s">
        <v>146</v>
      </c>
      <c r="J1561" t="s">
        <v>147</v>
      </c>
      <c r="K1561" t="s">
        <v>148</v>
      </c>
      <c r="L1561" t="s">
        <v>183</v>
      </c>
      <c r="M1561" t="s">
        <v>177</v>
      </c>
      <c r="N1561">
        <v>6</v>
      </c>
      <c r="O1561" s="4">
        <v>2800</v>
      </c>
      <c r="P1561" s="4">
        <v>4200</v>
      </c>
      <c r="Q1561" s="7">
        <v>0</v>
      </c>
      <c r="R1561" t="s">
        <v>220</v>
      </c>
      <c r="S1561">
        <v>7</v>
      </c>
      <c r="T1561">
        <v>25200</v>
      </c>
      <c r="U1561">
        <v>0</v>
      </c>
      <c r="V1561">
        <v>25200</v>
      </c>
      <c r="W1561">
        <v>16800</v>
      </c>
      <c r="X1561">
        <v>8400</v>
      </c>
      <c r="Y1561" s="8">
        <v>0.33333333333333331</v>
      </c>
      <c r="Z1561" t="s">
        <v>2995</v>
      </c>
      <c r="AA1561" t="str">
        <f>IF(AND(SalesCleanTable[[#This Row],[Discount %]]&gt;0, SalesCleanTable[[#This Row],[Profit]]&lt;0), "Discount loss", "Safe")</f>
        <v>Safe</v>
      </c>
      <c r="AB1561" s="25">
        <f>(SalesCleanTable[[#This Row],[Unit Price]] - SalesCleanTable[[#This Row],[Unit Cost]]) / SalesCleanTable[[#This Row],[Unit Price]]</f>
        <v>0.33333333333333331</v>
      </c>
      <c r="AC1561" t="str">
        <f>IF(SalesCleanTable[[#This Row],[Discount %]] &gt; SalesCleanTable[[#This Row],[Max Allowed Discount]], "Discount loss", "Safe")</f>
        <v>Safe</v>
      </c>
      <c r="AD1561" s="4">
        <f>SalesCleanTable[[#This Row],[Unit Price]] - SalesCleanTable[[#This Row],[Unit Cost]]</f>
        <v>1400</v>
      </c>
      <c r="AE1561" s="41">
        <f>(SalesCleanTable[[#This Row],[Unit Price]] - SalesCleanTable[[#This Row],[Unit Cost]]) / SalesCleanTable[[#This Row],[Unit Price]]</f>
        <v>0.33333333333333331</v>
      </c>
    </row>
    <row r="1562" spans="1:31">
      <c r="A1562" t="s">
        <v>1748</v>
      </c>
      <c r="B1562" s="6">
        <v>45829</v>
      </c>
      <c r="C1562" t="s">
        <v>32</v>
      </c>
      <c r="D1562" t="s">
        <v>33</v>
      </c>
      <c r="E1562" t="s">
        <v>26</v>
      </c>
      <c r="F1562" t="s">
        <v>34</v>
      </c>
      <c r="G1562" t="s">
        <v>35</v>
      </c>
      <c r="H1562" t="s">
        <v>149</v>
      </c>
      <c r="I1562" t="s">
        <v>150</v>
      </c>
      <c r="J1562" t="s">
        <v>151</v>
      </c>
      <c r="K1562" t="s">
        <v>152</v>
      </c>
      <c r="L1562" t="s">
        <v>170</v>
      </c>
      <c r="M1562" t="s">
        <v>171</v>
      </c>
      <c r="N1562">
        <v>2</v>
      </c>
      <c r="O1562" s="4">
        <v>7800</v>
      </c>
      <c r="P1562" s="4">
        <v>9800</v>
      </c>
      <c r="Q1562" s="7">
        <v>0.1</v>
      </c>
      <c r="R1562" t="s">
        <v>173</v>
      </c>
      <c r="S1562">
        <v>3</v>
      </c>
      <c r="T1562">
        <v>19600</v>
      </c>
      <c r="U1562">
        <v>1960</v>
      </c>
      <c r="V1562">
        <v>17640</v>
      </c>
      <c r="W1562">
        <v>15600</v>
      </c>
      <c r="X1562">
        <v>2040</v>
      </c>
      <c r="Y1562" s="8">
        <v>0.11564625850340136</v>
      </c>
      <c r="Z1562" t="s">
        <v>2995</v>
      </c>
      <c r="AA1562" t="str">
        <f>IF(AND(SalesCleanTable[[#This Row],[Discount %]]&gt;0, SalesCleanTable[[#This Row],[Profit]]&lt;0), "Discount loss", "Safe")</f>
        <v>Safe</v>
      </c>
      <c r="AB1562" s="25">
        <f>(SalesCleanTable[[#This Row],[Unit Price]] - SalesCleanTable[[#This Row],[Unit Cost]]) / SalesCleanTable[[#This Row],[Unit Price]]</f>
        <v>0.20408163265306123</v>
      </c>
      <c r="AC1562" t="str">
        <f>IF(SalesCleanTable[[#This Row],[Discount %]] &gt; SalesCleanTable[[#This Row],[Max Allowed Discount]], "Discount loss", "Safe")</f>
        <v>Safe</v>
      </c>
      <c r="AD1562" s="4">
        <f>SalesCleanTable[[#This Row],[Unit Price]] - SalesCleanTable[[#This Row],[Unit Cost]]</f>
        <v>2000</v>
      </c>
      <c r="AE1562" s="41">
        <f>(SalesCleanTable[[#This Row],[Unit Price]] - SalesCleanTable[[#This Row],[Unit Cost]]) / SalesCleanTable[[#This Row],[Unit Price]]</f>
        <v>0.20408163265306123</v>
      </c>
    </row>
    <row r="1563" spans="1:31">
      <c r="A1563" t="s">
        <v>1749</v>
      </c>
      <c r="B1563" s="6">
        <v>45662</v>
      </c>
      <c r="C1563" t="s">
        <v>73</v>
      </c>
      <c r="D1563" t="s">
        <v>74</v>
      </c>
      <c r="E1563" t="s">
        <v>75</v>
      </c>
      <c r="F1563" t="s">
        <v>76</v>
      </c>
      <c r="G1563" t="s">
        <v>77</v>
      </c>
      <c r="H1563" t="s">
        <v>145</v>
      </c>
      <c r="I1563" t="s">
        <v>146</v>
      </c>
      <c r="J1563" t="s">
        <v>147</v>
      </c>
      <c r="K1563" t="s">
        <v>148</v>
      </c>
      <c r="L1563" t="s">
        <v>166</v>
      </c>
      <c r="M1563" t="s">
        <v>186</v>
      </c>
      <c r="N1563">
        <v>5</v>
      </c>
      <c r="O1563" s="4">
        <v>3500</v>
      </c>
      <c r="P1563" s="4">
        <v>5200</v>
      </c>
      <c r="Q1563" s="7">
        <v>0.05</v>
      </c>
      <c r="R1563" t="s">
        <v>204</v>
      </c>
      <c r="S1563">
        <v>4</v>
      </c>
      <c r="T1563">
        <v>26000</v>
      </c>
      <c r="U1563">
        <v>1300</v>
      </c>
      <c r="V1563">
        <v>24700</v>
      </c>
      <c r="W1563">
        <v>17500</v>
      </c>
      <c r="X1563">
        <v>7200</v>
      </c>
      <c r="Y1563" s="8">
        <v>0.291497975708502</v>
      </c>
      <c r="Z1563" t="s">
        <v>2996</v>
      </c>
      <c r="AA1563" t="str">
        <f>IF(AND(SalesCleanTable[[#This Row],[Discount %]]&gt;0, SalesCleanTable[[#This Row],[Profit]]&lt;0), "Discount loss", "Safe")</f>
        <v>Safe</v>
      </c>
      <c r="AB1563" s="25">
        <f>(SalesCleanTable[[#This Row],[Unit Price]] - SalesCleanTable[[#This Row],[Unit Cost]]) / SalesCleanTable[[#This Row],[Unit Price]]</f>
        <v>0.32692307692307693</v>
      </c>
      <c r="AC1563" t="str">
        <f>IF(SalesCleanTable[[#This Row],[Discount %]] &gt; SalesCleanTable[[#This Row],[Max Allowed Discount]], "Discount loss", "Safe")</f>
        <v>Safe</v>
      </c>
      <c r="AD1563" s="4">
        <f>SalesCleanTable[[#This Row],[Unit Price]] - SalesCleanTable[[#This Row],[Unit Cost]]</f>
        <v>1700</v>
      </c>
      <c r="AE1563" s="41">
        <f>(SalesCleanTable[[#This Row],[Unit Price]] - SalesCleanTable[[#This Row],[Unit Cost]]) / SalesCleanTable[[#This Row],[Unit Price]]</f>
        <v>0.32692307692307693</v>
      </c>
    </row>
    <row r="1564" spans="1:31">
      <c r="A1564" t="s">
        <v>1750</v>
      </c>
      <c r="B1564" s="6">
        <v>45828</v>
      </c>
      <c r="C1564" t="s">
        <v>78</v>
      </c>
      <c r="D1564" t="s">
        <v>79</v>
      </c>
      <c r="E1564" t="s">
        <v>75</v>
      </c>
      <c r="F1564" t="s">
        <v>80</v>
      </c>
      <c r="G1564" t="s">
        <v>81</v>
      </c>
      <c r="H1564" t="s">
        <v>149</v>
      </c>
      <c r="I1564" t="s">
        <v>150</v>
      </c>
      <c r="J1564" t="s">
        <v>151</v>
      </c>
      <c r="K1564" t="s">
        <v>152</v>
      </c>
      <c r="L1564" t="s">
        <v>166</v>
      </c>
      <c r="M1564" t="s">
        <v>171</v>
      </c>
      <c r="N1564">
        <v>4</v>
      </c>
      <c r="O1564" s="4">
        <v>1200</v>
      </c>
      <c r="P1564" s="4">
        <v>1900</v>
      </c>
      <c r="Q1564" s="7">
        <v>0</v>
      </c>
      <c r="R1564" t="s">
        <v>204</v>
      </c>
      <c r="S1564">
        <v>10</v>
      </c>
      <c r="T1564">
        <v>7600</v>
      </c>
      <c r="U1564">
        <v>0</v>
      </c>
      <c r="V1564">
        <v>7600</v>
      </c>
      <c r="W1564">
        <v>4800</v>
      </c>
      <c r="X1564">
        <v>2800</v>
      </c>
      <c r="Y1564" s="8">
        <v>0.36842105263157893</v>
      </c>
      <c r="Z1564" t="s">
        <v>2996</v>
      </c>
      <c r="AA1564" t="str">
        <f>IF(AND(SalesCleanTable[[#This Row],[Discount %]]&gt;0, SalesCleanTable[[#This Row],[Profit]]&lt;0), "Discount loss", "Safe")</f>
        <v>Safe</v>
      </c>
      <c r="AB1564" s="25">
        <f>(SalesCleanTable[[#This Row],[Unit Price]] - SalesCleanTable[[#This Row],[Unit Cost]]) / SalesCleanTable[[#This Row],[Unit Price]]</f>
        <v>0.36842105263157893</v>
      </c>
      <c r="AC1564" t="str">
        <f>IF(SalesCleanTable[[#This Row],[Discount %]] &gt; SalesCleanTable[[#This Row],[Max Allowed Discount]], "Discount loss", "Safe")</f>
        <v>Safe</v>
      </c>
      <c r="AD1564" s="4">
        <f>SalesCleanTable[[#This Row],[Unit Price]] - SalesCleanTable[[#This Row],[Unit Cost]]</f>
        <v>700</v>
      </c>
      <c r="AE1564" s="41">
        <f>(SalesCleanTable[[#This Row],[Unit Price]] - SalesCleanTable[[#This Row],[Unit Cost]]) / SalesCleanTable[[#This Row],[Unit Price]]</f>
        <v>0.36842105263157893</v>
      </c>
    </row>
    <row r="1565" spans="1:31">
      <c r="A1565" t="s">
        <v>1751</v>
      </c>
      <c r="B1565" s="6">
        <v>45758</v>
      </c>
      <c r="C1565" t="s">
        <v>53</v>
      </c>
      <c r="D1565" t="s">
        <v>54</v>
      </c>
      <c r="E1565" t="s">
        <v>38</v>
      </c>
      <c r="F1565" t="s">
        <v>55</v>
      </c>
      <c r="G1565" t="s">
        <v>56</v>
      </c>
      <c r="H1565" t="s">
        <v>153</v>
      </c>
      <c r="I1565" t="s">
        <v>154</v>
      </c>
      <c r="J1565" t="s">
        <v>155</v>
      </c>
      <c r="K1565" t="s">
        <v>131</v>
      </c>
      <c r="L1565" t="s">
        <v>183</v>
      </c>
      <c r="M1565" t="s">
        <v>171</v>
      </c>
      <c r="N1565">
        <v>5</v>
      </c>
      <c r="O1565" s="4">
        <v>330</v>
      </c>
      <c r="P1565" s="4">
        <v>550</v>
      </c>
      <c r="Q1565" s="7">
        <v>0.05</v>
      </c>
      <c r="R1565" t="s">
        <v>168</v>
      </c>
      <c r="S1565">
        <v>13</v>
      </c>
      <c r="T1565">
        <v>2750</v>
      </c>
      <c r="U1565">
        <v>137.5</v>
      </c>
      <c r="V1565">
        <v>2612.5</v>
      </c>
      <c r="W1565">
        <v>1650</v>
      </c>
      <c r="X1565">
        <v>962.5</v>
      </c>
      <c r="Y1565" s="8">
        <v>0.36842105263157893</v>
      </c>
      <c r="Z1565" t="s">
        <v>2996</v>
      </c>
      <c r="AA1565" t="str">
        <f>IF(AND(SalesCleanTable[[#This Row],[Discount %]]&gt;0, SalesCleanTable[[#This Row],[Profit]]&lt;0), "Discount loss", "Safe")</f>
        <v>Safe</v>
      </c>
      <c r="AB1565" s="25">
        <f>(SalesCleanTable[[#This Row],[Unit Price]] - SalesCleanTable[[#This Row],[Unit Cost]]) / SalesCleanTable[[#This Row],[Unit Price]]</f>
        <v>0.4</v>
      </c>
      <c r="AC1565" t="str">
        <f>IF(SalesCleanTable[[#This Row],[Discount %]] &gt; SalesCleanTable[[#This Row],[Max Allowed Discount]], "Discount loss", "Safe")</f>
        <v>Safe</v>
      </c>
      <c r="AD1565" s="4">
        <f>SalesCleanTable[[#This Row],[Unit Price]] - SalesCleanTable[[#This Row],[Unit Cost]]</f>
        <v>220</v>
      </c>
      <c r="AE1565" s="41">
        <f>(SalesCleanTable[[#This Row],[Unit Price]] - SalesCleanTable[[#This Row],[Unit Cost]]) / SalesCleanTable[[#This Row],[Unit Price]]</f>
        <v>0.4</v>
      </c>
    </row>
    <row r="1566" spans="1:31">
      <c r="A1566" t="s">
        <v>1752</v>
      </c>
      <c r="B1566" s="6">
        <v>45803</v>
      </c>
      <c r="C1566" t="s">
        <v>45</v>
      </c>
      <c r="D1566" t="s">
        <v>46</v>
      </c>
      <c r="E1566" t="s">
        <v>38</v>
      </c>
      <c r="F1566" t="s">
        <v>47</v>
      </c>
      <c r="G1566" t="s">
        <v>48</v>
      </c>
      <c r="H1566" t="s">
        <v>135</v>
      </c>
      <c r="I1566" t="s">
        <v>136</v>
      </c>
      <c r="J1566" t="s">
        <v>137</v>
      </c>
      <c r="K1566" t="s">
        <v>138</v>
      </c>
      <c r="L1566" t="s">
        <v>166</v>
      </c>
      <c r="M1566" t="s">
        <v>171</v>
      </c>
      <c r="N1566">
        <v>3</v>
      </c>
      <c r="O1566" s="4">
        <v>230</v>
      </c>
      <c r="P1566" s="4">
        <v>400</v>
      </c>
      <c r="Q1566" s="7">
        <v>0.15</v>
      </c>
      <c r="R1566" t="s">
        <v>175</v>
      </c>
      <c r="S1566">
        <v>10</v>
      </c>
      <c r="T1566">
        <v>1200</v>
      </c>
      <c r="U1566">
        <v>180</v>
      </c>
      <c r="V1566">
        <v>1020</v>
      </c>
      <c r="W1566">
        <v>690</v>
      </c>
      <c r="X1566">
        <v>330</v>
      </c>
      <c r="Y1566" s="8">
        <v>0.3235294117647059</v>
      </c>
      <c r="Z1566" t="s">
        <v>2995</v>
      </c>
      <c r="AA1566" t="str">
        <f>IF(AND(SalesCleanTable[[#This Row],[Discount %]]&gt;0, SalesCleanTable[[#This Row],[Profit]]&lt;0), "Discount loss", "Safe")</f>
        <v>Safe</v>
      </c>
      <c r="AB1566" s="25">
        <f>(SalesCleanTable[[#This Row],[Unit Price]] - SalesCleanTable[[#This Row],[Unit Cost]]) / SalesCleanTable[[#This Row],[Unit Price]]</f>
        <v>0.42499999999999999</v>
      </c>
      <c r="AC1566" t="str">
        <f>IF(SalesCleanTable[[#This Row],[Discount %]] &gt; SalesCleanTable[[#This Row],[Max Allowed Discount]], "Discount loss", "Safe")</f>
        <v>Safe</v>
      </c>
      <c r="AD1566" s="4">
        <f>SalesCleanTable[[#This Row],[Unit Price]] - SalesCleanTable[[#This Row],[Unit Cost]]</f>
        <v>170</v>
      </c>
      <c r="AE1566" s="41">
        <f>(SalesCleanTable[[#This Row],[Unit Price]] - SalesCleanTable[[#This Row],[Unit Cost]]) / SalesCleanTable[[#This Row],[Unit Price]]</f>
        <v>0.42499999999999999</v>
      </c>
    </row>
    <row r="1567" spans="1:31">
      <c r="A1567" t="s">
        <v>1753</v>
      </c>
      <c r="B1567" s="6">
        <v>45819</v>
      </c>
      <c r="C1567" t="s">
        <v>99</v>
      </c>
      <c r="D1567" t="s">
        <v>100</v>
      </c>
      <c r="E1567" t="s">
        <v>92</v>
      </c>
      <c r="F1567" t="s">
        <v>101</v>
      </c>
      <c r="G1567" t="s">
        <v>102</v>
      </c>
      <c r="H1567" t="s">
        <v>133</v>
      </c>
      <c r="I1567" t="s">
        <v>134</v>
      </c>
      <c r="J1567" t="s">
        <v>130</v>
      </c>
      <c r="K1567" t="s">
        <v>131</v>
      </c>
      <c r="L1567" t="s">
        <v>183</v>
      </c>
      <c r="M1567" t="s">
        <v>171</v>
      </c>
      <c r="N1567">
        <v>2</v>
      </c>
      <c r="O1567" s="4">
        <v>12500</v>
      </c>
      <c r="P1567" s="4">
        <v>18500</v>
      </c>
      <c r="Q1567" s="7">
        <v>0.15</v>
      </c>
      <c r="R1567" t="s">
        <v>215</v>
      </c>
      <c r="S1567">
        <v>10</v>
      </c>
      <c r="T1567">
        <v>37000</v>
      </c>
      <c r="U1567">
        <v>5550</v>
      </c>
      <c r="V1567">
        <v>31450</v>
      </c>
      <c r="W1567">
        <v>25000</v>
      </c>
      <c r="X1567">
        <v>6450</v>
      </c>
      <c r="Y1567" s="8">
        <v>0.20508744038155802</v>
      </c>
      <c r="Z1567" t="s">
        <v>2995</v>
      </c>
      <c r="AA1567" t="str">
        <f>IF(AND(SalesCleanTable[[#This Row],[Discount %]]&gt;0, SalesCleanTable[[#This Row],[Profit]]&lt;0), "Discount loss", "Safe")</f>
        <v>Safe</v>
      </c>
      <c r="AB1567" s="25">
        <f>(SalesCleanTable[[#This Row],[Unit Price]] - SalesCleanTable[[#This Row],[Unit Cost]]) / SalesCleanTable[[#This Row],[Unit Price]]</f>
        <v>0.32432432432432434</v>
      </c>
      <c r="AC1567" t="str">
        <f>IF(SalesCleanTable[[#This Row],[Discount %]] &gt; SalesCleanTable[[#This Row],[Max Allowed Discount]], "Discount loss", "Safe")</f>
        <v>Safe</v>
      </c>
      <c r="AD1567" s="4">
        <f>SalesCleanTable[[#This Row],[Unit Price]] - SalesCleanTable[[#This Row],[Unit Cost]]</f>
        <v>6000</v>
      </c>
      <c r="AE1567" s="41">
        <f>(SalesCleanTable[[#This Row],[Unit Price]] - SalesCleanTable[[#This Row],[Unit Cost]]) / SalesCleanTable[[#This Row],[Unit Price]]</f>
        <v>0.32432432432432434</v>
      </c>
    </row>
    <row r="1568" spans="1:31">
      <c r="A1568" t="s">
        <v>1754</v>
      </c>
      <c r="B1568" s="6">
        <v>45793</v>
      </c>
      <c r="C1568" t="s">
        <v>24</v>
      </c>
      <c r="D1568" t="s">
        <v>25</v>
      </c>
      <c r="E1568" t="s">
        <v>26</v>
      </c>
      <c r="F1568" t="s">
        <v>27</v>
      </c>
      <c r="G1568" t="s">
        <v>28</v>
      </c>
      <c r="H1568" t="s">
        <v>133</v>
      </c>
      <c r="I1568" t="s">
        <v>134</v>
      </c>
      <c r="J1568" t="s">
        <v>130</v>
      </c>
      <c r="K1568" t="s">
        <v>131</v>
      </c>
      <c r="L1568" t="s">
        <v>166</v>
      </c>
      <c r="M1568" t="s">
        <v>177</v>
      </c>
      <c r="N1568">
        <v>2</v>
      </c>
      <c r="O1568" s="4">
        <v>14500</v>
      </c>
      <c r="P1568" s="4">
        <v>17500</v>
      </c>
      <c r="Q1568" s="7">
        <v>0.15</v>
      </c>
      <c r="R1568" t="s">
        <v>197</v>
      </c>
      <c r="S1568">
        <v>2</v>
      </c>
      <c r="T1568">
        <v>35000</v>
      </c>
      <c r="U1568">
        <v>5250</v>
      </c>
      <c r="V1568">
        <v>29750</v>
      </c>
      <c r="W1568">
        <v>29000</v>
      </c>
      <c r="X1568">
        <v>750</v>
      </c>
      <c r="Y1568" s="8">
        <v>2.5210084033613446E-2</v>
      </c>
      <c r="Z1568" t="s">
        <v>2995</v>
      </c>
      <c r="AA1568" t="str">
        <f>IF(AND(SalesCleanTable[[#This Row],[Discount %]]&gt;0, SalesCleanTable[[#This Row],[Profit]]&lt;0), "Discount loss", "Safe")</f>
        <v>Safe</v>
      </c>
      <c r="AB1568" s="25">
        <f>(SalesCleanTable[[#This Row],[Unit Price]] - SalesCleanTable[[#This Row],[Unit Cost]]) / SalesCleanTable[[#This Row],[Unit Price]]</f>
        <v>0.17142857142857143</v>
      </c>
      <c r="AC1568" t="str">
        <f>IF(SalesCleanTable[[#This Row],[Discount %]] &gt; SalesCleanTable[[#This Row],[Max Allowed Discount]], "Discount loss", "Safe")</f>
        <v>Safe</v>
      </c>
      <c r="AD1568" s="4">
        <f>SalesCleanTable[[#This Row],[Unit Price]] - SalesCleanTable[[#This Row],[Unit Cost]]</f>
        <v>3000</v>
      </c>
      <c r="AE1568" s="41">
        <f>(SalesCleanTable[[#This Row],[Unit Price]] - SalesCleanTable[[#This Row],[Unit Cost]]) / SalesCleanTable[[#This Row],[Unit Price]]</f>
        <v>0.17142857142857143</v>
      </c>
    </row>
    <row r="1569" spans="1:31">
      <c r="A1569" t="s">
        <v>1755</v>
      </c>
      <c r="B1569" s="6">
        <v>45798</v>
      </c>
      <c r="C1569" t="s">
        <v>57</v>
      </c>
      <c r="D1569" t="s">
        <v>58</v>
      </c>
      <c r="E1569" t="s">
        <v>59</v>
      </c>
      <c r="F1569" t="s">
        <v>60</v>
      </c>
      <c r="G1569" t="s">
        <v>61</v>
      </c>
      <c r="H1569" t="s">
        <v>149</v>
      </c>
      <c r="I1569" t="s">
        <v>150</v>
      </c>
      <c r="J1569" t="s">
        <v>151</v>
      </c>
      <c r="K1569" t="s">
        <v>152</v>
      </c>
      <c r="L1569" t="s">
        <v>183</v>
      </c>
      <c r="M1569" t="s">
        <v>171</v>
      </c>
      <c r="N1569">
        <v>8</v>
      </c>
      <c r="O1569" s="4">
        <v>2400</v>
      </c>
      <c r="P1569" s="4">
        <v>3400</v>
      </c>
      <c r="Q1569" s="7">
        <v>0</v>
      </c>
      <c r="R1569" t="s">
        <v>173</v>
      </c>
      <c r="S1569">
        <v>13</v>
      </c>
      <c r="T1569">
        <v>27200</v>
      </c>
      <c r="U1569">
        <v>0</v>
      </c>
      <c r="V1569">
        <v>27200</v>
      </c>
      <c r="W1569">
        <v>19200</v>
      </c>
      <c r="X1569">
        <v>8000</v>
      </c>
      <c r="Y1569" s="8">
        <v>0.29411764705882354</v>
      </c>
      <c r="Z1569" t="s">
        <v>2996</v>
      </c>
      <c r="AA1569" t="str">
        <f>IF(AND(SalesCleanTable[[#This Row],[Discount %]]&gt;0, SalesCleanTable[[#This Row],[Profit]]&lt;0), "Discount loss", "Safe")</f>
        <v>Safe</v>
      </c>
      <c r="AB1569" s="25">
        <f>(SalesCleanTable[[#This Row],[Unit Price]] - SalesCleanTable[[#This Row],[Unit Cost]]) / SalesCleanTable[[#This Row],[Unit Price]]</f>
        <v>0.29411764705882354</v>
      </c>
      <c r="AC1569" t="str">
        <f>IF(SalesCleanTable[[#This Row],[Discount %]] &gt; SalesCleanTable[[#This Row],[Max Allowed Discount]], "Discount loss", "Safe")</f>
        <v>Safe</v>
      </c>
      <c r="AD1569" s="4">
        <f>SalesCleanTable[[#This Row],[Unit Price]] - SalesCleanTable[[#This Row],[Unit Cost]]</f>
        <v>1000</v>
      </c>
      <c r="AE1569" s="41">
        <f>(SalesCleanTable[[#This Row],[Unit Price]] - SalesCleanTable[[#This Row],[Unit Cost]]) / SalesCleanTable[[#This Row],[Unit Price]]</f>
        <v>0.29411764705882354</v>
      </c>
    </row>
    <row r="1570" spans="1:31">
      <c r="A1570" t="s">
        <v>1756</v>
      </c>
      <c r="B1570" s="6">
        <v>45965</v>
      </c>
      <c r="C1570" t="s">
        <v>78</v>
      </c>
      <c r="D1570" t="s">
        <v>79</v>
      </c>
      <c r="E1570" t="s">
        <v>75</v>
      </c>
      <c r="F1570" t="s">
        <v>80</v>
      </c>
      <c r="G1570" t="s">
        <v>81</v>
      </c>
      <c r="H1570" t="s">
        <v>139</v>
      </c>
      <c r="I1570" t="s">
        <v>140</v>
      </c>
      <c r="J1570" t="s">
        <v>137</v>
      </c>
      <c r="K1570" t="s">
        <v>138</v>
      </c>
      <c r="L1570" t="s">
        <v>166</v>
      </c>
      <c r="M1570" t="s">
        <v>171</v>
      </c>
      <c r="N1570">
        <v>3</v>
      </c>
      <c r="O1570" s="4">
        <v>1200</v>
      </c>
      <c r="P1570" s="4">
        <v>1900</v>
      </c>
      <c r="Q1570" s="7">
        <v>0.05</v>
      </c>
      <c r="R1570" t="s">
        <v>187</v>
      </c>
      <c r="S1570">
        <v>7</v>
      </c>
      <c r="T1570">
        <v>5700</v>
      </c>
      <c r="U1570">
        <v>285</v>
      </c>
      <c r="V1570">
        <v>5415</v>
      </c>
      <c r="W1570">
        <v>3600</v>
      </c>
      <c r="X1570">
        <v>1815</v>
      </c>
      <c r="Y1570" s="8">
        <v>0.33518005540166207</v>
      </c>
      <c r="Z1570" t="s">
        <v>2996</v>
      </c>
      <c r="AA1570" t="str">
        <f>IF(AND(SalesCleanTable[[#This Row],[Discount %]]&gt;0, SalesCleanTable[[#This Row],[Profit]]&lt;0), "Discount loss", "Safe")</f>
        <v>Safe</v>
      </c>
      <c r="AB1570" s="25">
        <f>(SalesCleanTable[[#This Row],[Unit Price]] - SalesCleanTable[[#This Row],[Unit Cost]]) / SalesCleanTable[[#This Row],[Unit Price]]</f>
        <v>0.36842105263157893</v>
      </c>
      <c r="AC1570" t="str">
        <f>IF(SalesCleanTable[[#This Row],[Discount %]] &gt; SalesCleanTable[[#This Row],[Max Allowed Discount]], "Discount loss", "Safe")</f>
        <v>Safe</v>
      </c>
      <c r="AD1570" s="4">
        <f>SalesCleanTable[[#This Row],[Unit Price]] - SalesCleanTable[[#This Row],[Unit Cost]]</f>
        <v>700</v>
      </c>
      <c r="AE1570" s="41">
        <f>(SalesCleanTable[[#This Row],[Unit Price]] - SalesCleanTable[[#This Row],[Unit Cost]]) / SalesCleanTable[[#This Row],[Unit Price]]</f>
        <v>0.36842105263157893</v>
      </c>
    </row>
    <row r="1571" spans="1:31">
      <c r="A1571" t="s">
        <v>1757</v>
      </c>
      <c r="B1571" s="6">
        <v>45826</v>
      </c>
      <c r="C1571" t="s">
        <v>36</v>
      </c>
      <c r="D1571" t="s">
        <v>37</v>
      </c>
      <c r="E1571" t="s">
        <v>38</v>
      </c>
      <c r="F1571" t="s">
        <v>39</v>
      </c>
      <c r="G1571" t="s">
        <v>40</v>
      </c>
      <c r="H1571" t="s">
        <v>141</v>
      </c>
      <c r="I1571" t="s">
        <v>142</v>
      </c>
      <c r="J1571" t="s">
        <v>143</v>
      </c>
      <c r="K1571" t="s">
        <v>144</v>
      </c>
      <c r="L1571" t="s">
        <v>166</v>
      </c>
      <c r="M1571" t="s">
        <v>167</v>
      </c>
      <c r="N1571">
        <v>1</v>
      </c>
      <c r="O1571" s="4">
        <v>1650</v>
      </c>
      <c r="P1571" s="4">
        <v>2200</v>
      </c>
      <c r="Q1571" s="7">
        <v>0.05</v>
      </c>
      <c r="R1571" t="s">
        <v>175</v>
      </c>
      <c r="S1571">
        <v>1</v>
      </c>
      <c r="T1571">
        <v>2200</v>
      </c>
      <c r="U1571">
        <v>110</v>
      </c>
      <c r="V1571">
        <v>2090</v>
      </c>
      <c r="W1571">
        <v>1650</v>
      </c>
      <c r="X1571">
        <v>440</v>
      </c>
      <c r="Y1571" s="8">
        <v>0.21052631578947367</v>
      </c>
      <c r="Z1571" t="s">
        <v>2995</v>
      </c>
      <c r="AA1571" t="str">
        <f>IF(AND(SalesCleanTable[[#This Row],[Discount %]]&gt;0, SalesCleanTable[[#This Row],[Profit]]&lt;0), "Discount loss", "Safe")</f>
        <v>Safe</v>
      </c>
      <c r="AB1571" s="25">
        <f>(SalesCleanTable[[#This Row],[Unit Price]] - SalesCleanTable[[#This Row],[Unit Cost]]) / SalesCleanTable[[#This Row],[Unit Price]]</f>
        <v>0.25</v>
      </c>
      <c r="AC1571" t="str">
        <f>IF(SalesCleanTable[[#This Row],[Discount %]] &gt; SalesCleanTable[[#This Row],[Max Allowed Discount]], "Discount loss", "Safe")</f>
        <v>Safe</v>
      </c>
      <c r="AD1571" s="4">
        <f>SalesCleanTable[[#This Row],[Unit Price]] - SalesCleanTable[[#This Row],[Unit Cost]]</f>
        <v>550</v>
      </c>
      <c r="AE1571" s="41">
        <f>(SalesCleanTable[[#This Row],[Unit Price]] - SalesCleanTable[[#This Row],[Unit Cost]]) / SalesCleanTable[[#This Row],[Unit Price]]</f>
        <v>0.25</v>
      </c>
    </row>
    <row r="1572" spans="1:31">
      <c r="A1572" t="s">
        <v>1758</v>
      </c>
      <c r="B1572" s="6">
        <v>45790</v>
      </c>
      <c r="C1572" t="s">
        <v>36</v>
      </c>
      <c r="D1572" t="s">
        <v>37</v>
      </c>
      <c r="E1572" t="s">
        <v>38</v>
      </c>
      <c r="F1572" t="s">
        <v>39</v>
      </c>
      <c r="G1572" t="s">
        <v>40</v>
      </c>
      <c r="H1572" t="s">
        <v>135</v>
      </c>
      <c r="I1572" t="s">
        <v>136</v>
      </c>
      <c r="J1572" t="s">
        <v>137</v>
      </c>
      <c r="K1572" t="s">
        <v>138</v>
      </c>
      <c r="L1572" t="s">
        <v>166</v>
      </c>
      <c r="M1572" t="s">
        <v>171</v>
      </c>
      <c r="N1572">
        <v>2</v>
      </c>
      <c r="O1572" s="4">
        <v>1650</v>
      </c>
      <c r="P1572" s="4">
        <v>2200</v>
      </c>
      <c r="Q1572" s="7">
        <v>0</v>
      </c>
      <c r="R1572" t="s">
        <v>175</v>
      </c>
      <c r="S1572">
        <v>2</v>
      </c>
      <c r="T1572">
        <v>4400</v>
      </c>
      <c r="U1572">
        <v>0</v>
      </c>
      <c r="V1572">
        <v>4400</v>
      </c>
      <c r="W1572">
        <v>3300</v>
      </c>
      <c r="X1572">
        <v>1100</v>
      </c>
      <c r="Y1572" s="8">
        <v>0.25</v>
      </c>
      <c r="Z1572" t="s">
        <v>2995</v>
      </c>
      <c r="AA1572" t="str">
        <f>IF(AND(SalesCleanTable[[#This Row],[Discount %]]&gt;0, SalesCleanTable[[#This Row],[Profit]]&lt;0), "Discount loss", "Safe")</f>
        <v>Safe</v>
      </c>
      <c r="AB1572" s="25">
        <f>(SalesCleanTable[[#This Row],[Unit Price]] - SalesCleanTable[[#This Row],[Unit Cost]]) / SalesCleanTable[[#This Row],[Unit Price]]</f>
        <v>0.25</v>
      </c>
      <c r="AC1572" t="str">
        <f>IF(SalesCleanTable[[#This Row],[Discount %]] &gt; SalesCleanTable[[#This Row],[Max Allowed Discount]], "Discount loss", "Safe")</f>
        <v>Safe</v>
      </c>
      <c r="AD1572" s="4">
        <f>SalesCleanTable[[#This Row],[Unit Price]] - SalesCleanTable[[#This Row],[Unit Cost]]</f>
        <v>550</v>
      </c>
      <c r="AE1572" s="41">
        <f>(SalesCleanTable[[#This Row],[Unit Price]] - SalesCleanTable[[#This Row],[Unit Cost]]) / SalesCleanTable[[#This Row],[Unit Price]]</f>
        <v>0.25</v>
      </c>
    </row>
    <row r="1573" spans="1:31">
      <c r="A1573" t="s">
        <v>1759</v>
      </c>
      <c r="B1573" s="6">
        <v>45805</v>
      </c>
      <c r="C1573" t="s">
        <v>45</v>
      </c>
      <c r="D1573" t="s">
        <v>46</v>
      </c>
      <c r="E1573" t="s">
        <v>38</v>
      </c>
      <c r="F1573" t="s">
        <v>47</v>
      </c>
      <c r="G1573" t="s">
        <v>48</v>
      </c>
      <c r="H1573" t="s">
        <v>139</v>
      </c>
      <c r="I1573" t="s">
        <v>140</v>
      </c>
      <c r="J1573" t="s">
        <v>137</v>
      </c>
      <c r="K1573" t="s">
        <v>138</v>
      </c>
      <c r="L1573" t="s">
        <v>170</v>
      </c>
      <c r="M1573" t="s">
        <v>171</v>
      </c>
      <c r="N1573">
        <v>3</v>
      </c>
      <c r="O1573" s="4">
        <v>230</v>
      </c>
      <c r="P1573" s="4">
        <v>400</v>
      </c>
      <c r="Q1573" s="7">
        <v>0</v>
      </c>
      <c r="R1573" t="s">
        <v>178</v>
      </c>
      <c r="S1573">
        <v>4</v>
      </c>
      <c r="T1573">
        <v>1200</v>
      </c>
      <c r="U1573">
        <v>0</v>
      </c>
      <c r="V1573">
        <v>1200</v>
      </c>
      <c r="W1573">
        <v>690</v>
      </c>
      <c r="X1573">
        <v>510</v>
      </c>
      <c r="Y1573" s="8">
        <v>0.42499999999999999</v>
      </c>
      <c r="Z1573" t="s">
        <v>2995</v>
      </c>
      <c r="AA1573" t="str">
        <f>IF(AND(SalesCleanTable[[#This Row],[Discount %]]&gt;0, SalesCleanTable[[#This Row],[Profit]]&lt;0), "Discount loss", "Safe")</f>
        <v>Safe</v>
      </c>
      <c r="AB1573" s="25">
        <f>(SalesCleanTable[[#This Row],[Unit Price]] - SalesCleanTable[[#This Row],[Unit Cost]]) / SalesCleanTable[[#This Row],[Unit Price]]</f>
        <v>0.42499999999999999</v>
      </c>
      <c r="AC1573" t="str">
        <f>IF(SalesCleanTable[[#This Row],[Discount %]] &gt; SalesCleanTable[[#This Row],[Max Allowed Discount]], "Discount loss", "Safe")</f>
        <v>Safe</v>
      </c>
      <c r="AD1573" s="4">
        <f>SalesCleanTable[[#This Row],[Unit Price]] - SalesCleanTable[[#This Row],[Unit Cost]]</f>
        <v>170</v>
      </c>
      <c r="AE1573" s="41">
        <f>(SalesCleanTable[[#This Row],[Unit Price]] - SalesCleanTable[[#This Row],[Unit Cost]]) / SalesCleanTable[[#This Row],[Unit Price]]</f>
        <v>0.42499999999999999</v>
      </c>
    </row>
    <row r="1574" spans="1:31">
      <c r="A1574" t="s">
        <v>1760</v>
      </c>
      <c r="B1574" s="6">
        <v>45796</v>
      </c>
      <c r="C1574" t="s">
        <v>116</v>
      </c>
      <c r="D1574" t="s">
        <v>117</v>
      </c>
      <c r="E1574" t="s">
        <v>109</v>
      </c>
      <c r="F1574" t="s">
        <v>118</v>
      </c>
      <c r="G1574" t="s">
        <v>119</v>
      </c>
      <c r="H1574" t="s">
        <v>128</v>
      </c>
      <c r="I1574" t="s">
        <v>129</v>
      </c>
      <c r="J1574" t="s">
        <v>130</v>
      </c>
      <c r="K1574" t="s">
        <v>131</v>
      </c>
      <c r="L1574" t="s">
        <v>183</v>
      </c>
      <c r="M1574" t="s">
        <v>171</v>
      </c>
      <c r="N1574">
        <v>2</v>
      </c>
      <c r="O1574" s="4">
        <v>2800</v>
      </c>
      <c r="P1574" s="4">
        <v>4200</v>
      </c>
      <c r="Q1574" s="7">
        <v>0</v>
      </c>
      <c r="R1574" t="s">
        <v>220</v>
      </c>
      <c r="S1574">
        <v>9</v>
      </c>
      <c r="T1574">
        <v>8400</v>
      </c>
      <c r="U1574">
        <v>0</v>
      </c>
      <c r="V1574">
        <v>8400</v>
      </c>
      <c r="W1574">
        <v>5600</v>
      </c>
      <c r="X1574">
        <v>2800</v>
      </c>
      <c r="Y1574" s="8">
        <v>0.33333333333333331</v>
      </c>
      <c r="Z1574" t="s">
        <v>2995</v>
      </c>
      <c r="AA1574" t="str">
        <f>IF(AND(SalesCleanTable[[#This Row],[Discount %]]&gt;0, SalesCleanTable[[#This Row],[Profit]]&lt;0), "Discount loss", "Safe")</f>
        <v>Safe</v>
      </c>
      <c r="AB1574" s="25">
        <f>(SalesCleanTable[[#This Row],[Unit Price]] - SalesCleanTable[[#This Row],[Unit Cost]]) / SalesCleanTable[[#This Row],[Unit Price]]</f>
        <v>0.33333333333333331</v>
      </c>
      <c r="AC1574" t="str">
        <f>IF(SalesCleanTable[[#This Row],[Discount %]] &gt; SalesCleanTable[[#This Row],[Max Allowed Discount]], "Discount loss", "Safe")</f>
        <v>Safe</v>
      </c>
      <c r="AD1574" s="4">
        <f>SalesCleanTable[[#This Row],[Unit Price]] - SalesCleanTable[[#This Row],[Unit Cost]]</f>
        <v>1400</v>
      </c>
      <c r="AE1574" s="41">
        <f>(SalesCleanTable[[#This Row],[Unit Price]] - SalesCleanTable[[#This Row],[Unit Cost]]) / SalesCleanTable[[#This Row],[Unit Price]]</f>
        <v>0.33333333333333331</v>
      </c>
    </row>
    <row r="1575" spans="1:31">
      <c r="A1575" t="s">
        <v>1761</v>
      </c>
      <c r="B1575" s="6">
        <v>46000</v>
      </c>
      <c r="C1575" t="s">
        <v>69</v>
      </c>
      <c r="D1575" t="s">
        <v>70</v>
      </c>
      <c r="E1575" t="s">
        <v>59</v>
      </c>
      <c r="F1575" t="s">
        <v>71</v>
      </c>
      <c r="G1575" t="s">
        <v>72</v>
      </c>
      <c r="H1575" t="s">
        <v>145</v>
      </c>
      <c r="I1575" t="s">
        <v>146</v>
      </c>
      <c r="J1575" t="s">
        <v>147</v>
      </c>
      <c r="K1575" t="s">
        <v>148</v>
      </c>
      <c r="L1575" t="s">
        <v>166</v>
      </c>
      <c r="M1575" t="s">
        <v>171</v>
      </c>
      <c r="N1575">
        <v>2</v>
      </c>
      <c r="O1575" s="4">
        <v>1700</v>
      </c>
      <c r="P1575" s="4">
        <v>2600</v>
      </c>
      <c r="Q1575" s="7">
        <v>0</v>
      </c>
      <c r="R1575" t="s">
        <v>173</v>
      </c>
      <c r="S1575">
        <v>5</v>
      </c>
      <c r="T1575">
        <v>5200</v>
      </c>
      <c r="U1575">
        <v>0</v>
      </c>
      <c r="V1575">
        <v>5200</v>
      </c>
      <c r="W1575">
        <v>3400</v>
      </c>
      <c r="X1575">
        <v>1800</v>
      </c>
      <c r="Y1575" s="8">
        <v>0.34615384615384615</v>
      </c>
      <c r="Z1575" t="s">
        <v>2997</v>
      </c>
      <c r="AA1575" t="str">
        <f>IF(AND(SalesCleanTable[[#This Row],[Discount %]]&gt;0, SalesCleanTable[[#This Row],[Profit]]&lt;0), "Discount loss", "Safe")</f>
        <v>Safe</v>
      </c>
      <c r="AB1575" s="25">
        <f>(SalesCleanTable[[#This Row],[Unit Price]] - SalesCleanTable[[#This Row],[Unit Cost]]) / SalesCleanTable[[#This Row],[Unit Price]]</f>
        <v>0.34615384615384615</v>
      </c>
      <c r="AC1575" t="str">
        <f>IF(SalesCleanTable[[#This Row],[Discount %]] &gt; SalesCleanTable[[#This Row],[Max Allowed Discount]], "Discount loss", "Safe")</f>
        <v>Safe</v>
      </c>
      <c r="AD1575" s="4">
        <f>SalesCleanTable[[#This Row],[Unit Price]] - SalesCleanTable[[#This Row],[Unit Cost]]</f>
        <v>900</v>
      </c>
      <c r="AE1575" s="41">
        <f>(SalesCleanTable[[#This Row],[Unit Price]] - SalesCleanTable[[#This Row],[Unit Cost]]) / SalesCleanTable[[#This Row],[Unit Price]]</f>
        <v>0.34615384615384615</v>
      </c>
    </row>
    <row r="1576" spans="1:31">
      <c r="A1576" t="s">
        <v>1762</v>
      </c>
      <c r="B1576" s="6">
        <v>45975</v>
      </c>
      <c r="C1576" t="s">
        <v>95</v>
      </c>
      <c r="D1576" t="s">
        <v>96</v>
      </c>
      <c r="E1576" t="s">
        <v>92</v>
      </c>
      <c r="F1576" t="s">
        <v>97</v>
      </c>
      <c r="G1576" t="s">
        <v>98</v>
      </c>
      <c r="H1576" t="s">
        <v>145</v>
      </c>
      <c r="I1576" t="s">
        <v>146</v>
      </c>
      <c r="J1576" t="s">
        <v>147</v>
      </c>
      <c r="K1576" t="s">
        <v>148</v>
      </c>
      <c r="L1576" t="s">
        <v>166</v>
      </c>
      <c r="M1576" t="s">
        <v>177</v>
      </c>
      <c r="N1576">
        <v>1</v>
      </c>
      <c r="O1576" s="4">
        <v>18000</v>
      </c>
      <c r="P1576" s="4">
        <v>24500</v>
      </c>
      <c r="Q1576" s="7">
        <v>0</v>
      </c>
      <c r="R1576" t="s">
        <v>215</v>
      </c>
      <c r="S1576">
        <v>9</v>
      </c>
      <c r="T1576">
        <v>24500</v>
      </c>
      <c r="U1576">
        <v>0</v>
      </c>
      <c r="V1576">
        <v>24500</v>
      </c>
      <c r="W1576">
        <v>18000</v>
      </c>
      <c r="X1576">
        <v>6500</v>
      </c>
      <c r="Y1576" s="8">
        <v>0.26530612244897961</v>
      </c>
      <c r="Z1576" t="s">
        <v>2995</v>
      </c>
      <c r="AA1576" t="str">
        <f>IF(AND(SalesCleanTable[[#This Row],[Discount %]]&gt;0, SalesCleanTable[[#This Row],[Profit]]&lt;0), "Discount loss", "Safe")</f>
        <v>Safe</v>
      </c>
      <c r="AB1576" s="25">
        <f>(SalesCleanTable[[#This Row],[Unit Price]] - SalesCleanTable[[#This Row],[Unit Cost]]) / SalesCleanTable[[#This Row],[Unit Price]]</f>
        <v>0.26530612244897961</v>
      </c>
      <c r="AC1576" t="str">
        <f>IF(SalesCleanTable[[#This Row],[Discount %]] &gt; SalesCleanTable[[#This Row],[Max Allowed Discount]], "Discount loss", "Safe")</f>
        <v>Safe</v>
      </c>
      <c r="AD1576" s="4">
        <f>SalesCleanTable[[#This Row],[Unit Price]] - SalesCleanTable[[#This Row],[Unit Cost]]</f>
        <v>6500</v>
      </c>
      <c r="AE1576" s="41">
        <f>(SalesCleanTable[[#This Row],[Unit Price]] - SalesCleanTable[[#This Row],[Unit Cost]]) / SalesCleanTable[[#This Row],[Unit Price]]</f>
        <v>0.26530612244897961</v>
      </c>
    </row>
    <row r="1577" spans="1:31">
      <c r="A1577" t="s">
        <v>1763</v>
      </c>
      <c r="B1577" s="6">
        <v>45981</v>
      </c>
      <c r="C1577" t="s">
        <v>45</v>
      </c>
      <c r="D1577" t="s">
        <v>46</v>
      </c>
      <c r="E1577" t="s">
        <v>38</v>
      </c>
      <c r="F1577" t="s">
        <v>47</v>
      </c>
      <c r="G1577" t="s">
        <v>48</v>
      </c>
      <c r="H1577" t="s">
        <v>135</v>
      </c>
      <c r="I1577" t="s">
        <v>136</v>
      </c>
      <c r="J1577" t="s">
        <v>137</v>
      </c>
      <c r="K1577" t="s">
        <v>138</v>
      </c>
      <c r="L1577" t="s">
        <v>166</v>
      </c>
      <c r="M1577" t="s">
        <v>186</v>
      </c>
      <c r="N1577">
        <v>2</v>
      </c>
      <c r="O1577" s="4">
        <v>230</v>
      </c>
      <c r="P1577" s="4">
        <v>400</v>
      </c>
      <c r="Q1577" s="7">
        <v>0.1</v>
      </c>
      <c r="R1577" t="s">
        <v>175</v>
      </c>
      <c r="S1577">
        <v>4</v>
      </c>
      <c r="T1577">
        <v>800</v>
      </c>
      <c r="U1577">
        <v>80</v>
      </c>
      <c r="V1577">
        <v>720</v>
      </c>
      <c r="W1577">
        <v>460</v>
      </c>
      <c r="X1577">
        <v>260</v>
      </c>
      <c r="Y1577" s="8">
        <v>0.3611111111111111</v>
      </c>
      <c r="Z1577" t="s">
        <v>2995</v>
      </c>
      <c r="AA1577" t="str">
        <f>IF(AND(SalesCleanTable[[#This Row],[Discount %]]&gt;0, SalesCleanTable[[#This Row],[Profit]]&lt;0), "Discount loss", "Safe")</f>
        <v>Safe</v>
      </c>
      <c r="AB1577" s="25">
        <f>(SalesCleanTable[[#This Row],[Unit Price]] - SalesCleanTable[[#This Row],[Unit Cost]]) / SalesCleanTable[[#This Row],[Unit Price]]</f>
        <v>0.42499999999999999</v>
      </c>
      <c r="AC1577" t="str">
        <f>IF(SalesCleanTable[[#This Row],[Discount %]] &gt; SalesCleanTable[[#This Row],[Max Allowed Discount]], "Discount loss", "Safe")</f>
        <v>Safe</v>
      </c>
      <c r="AD1577" s="4">
        <f>SalesCleanTable[[#This Row],[Unit Price]] - SalesCleanTable[[#This Row],[Unit Cost]]</f>
        <v>170</v>
      </c>
      <c r="AE1577" s="41">
        <f>(SalesCleanTable[[#This Row],[Unit Price]] - SalesCleanTable[[#This Row],[Unit Cost]]) / SalesCleanTable[[#This Row],[Unit Price]]</f>
        <v>0.42499999999999999</v>
      </c>
    </row>
    <row r="1578" spans="1:31">
      <c r="A1578" t="s">
        <v>1764</v>
      </c>
      <c r="B1578" s="6">
        <v>45975</v>
      </c>
      <c r="C1578" t="s">
        <v>73</v>
      </c>
      <c r="D1578" t="s">
        <v>74</v>
      </c>
      <c r="E1578" t="s">
        <v>75</v>
      </c>
      <c r="F1578" t="s">
        <v>76</v>
      </c>
      <c r="G1578" t="s">
        <v>77</v>
      </c>
      <c r="H1578" t="s">
        <v>145</v>
      </c>
      <c r="I1578" t="s">
        <v>146</v>
      </c>
      <c r="J1578" t="s">
        <v>147</v>
      </c>
      <c r="K1578" t="s">
        <v>148</v>
      </c>
      <c r="L1578" t="s">
        <v>170</v>
      </c>
      <c r="M1578" t="s">
        <v>167</v>
      </c>
      <c r="N1578">
        <v>4</v>
      </c>
      <c r="O1578" s="4">
        <v>3500</v>
      </c>
      <c r="P1578" s="4">
        <v>5200</v>
      </c>
      <c r="Q1578" s="7">
        <v>0</v>
      </c>
      <c r="R1578" t="s">
        <v>204</v>
      </c>
      <c r="S1578">
        <v>13</v>
      </c>
      <c r="T1578">
        <v>20800</v>
      </c>
      <c r="U1578">
        <v>0</v>
      </c>
      <c r="V1578">
        <v>20800</v>
      </c>
      <c r="W1578">
        <v>14000</v>
      </c>
      <c r="X1578">
        <v>6800</v>
      </c>
      <c r="Y1578" s="8">
        <v>0.32692307692307693</v>
      </c>
      <c r="Z1578" t="s">
        <v>2996</v>
      </c>
      <c r="AA1578" t="str">
        <f>IF(AND(SalesCleanTable[[#This Row],[Discount %]]&gt;0, SalesCleanTable[[#This Row],[Profit]]&lt;0), "Discount loss", "Safe")</f>
        <v>Safe</v>
      </c>
      <c r="AB1578" s="25">
        <f>(SalesCleanTable[[#This Row],[Unit Price]] - SalesCleanTable[[#This Row],[Unit Cost]]) / SalesCleanTable[[#This Row],[Unit Price]]</f>
        <v>0.32692307692307693</v>
      </c>
      <c r="AC1578" t="str">
        <f>IF(SalesCleanTable[[#This Row],[Discount %]] &gt; SalesCleanTable[[#This Row],[Max Allowed Discount]], "Discount loss", "Safe")</f>
        <v>Safe</v>
      </c>
      <c r="AD1578" s="4">
        <f>SalesCleanTable[[#This Row],[Unit Price]] - SalesCleanTable[[#This Row],[Unit Cost]]</f>
        <v>1700</v>
      </c>
      <c r="AE1578" s="41">
        <f>(SalesCleanTable[[#This Row],[Unit Price]] - SalesCleanTable[[#This Row],[Unit Cost]]) / SalesCleanTable[[#This Row],[Unit Price]]</f>
        <v>0.32692307692307693</v>
      </c>
    </row>
    <row r="1579" spans="1:31">
      <c r="A1579" t="s">
        <v>1765</v>
      </c>
      <c r="B1579" s="6">
        <v>45892</v>
      </c>
      <c r="C1579" t="s">
        <v>49</v>
      </c>
      <c r="D1579" t="s">
        <v>50</v>
      </c>
      <c r="E1579" t="s">
        <v>38</v>
      </c>
      <c r="F1579" t="s">
        <v>51</v>
      </c>
      <c r="G1579" t="s">
        <v>52</v>
      </c>
      <c r="H1579" t="s">
        <v>141</v>
      </c>
      <c r="I1579" t="s">
        <v>142</v>
      </c>
      <c r="J1579" t="s">
        <v>143</v>
      </c>
      <c r="K1579" t="s">
        <v>144</v>
      </c>
      <c r="L1579" t="s">
        <v>166</v>
      </c>
      <c r="M1579" t="s">
        <v>177</v>
      </c>
      <c r="N1579">
        <v>1</v>
      </c>
      <c r="O1579" s="4">
        <v>550</v>
      </c>
      <c r="P1579" s="4">
        <v>850</v>
      </c>
      <c r="Q1579" s="7">
        <v>0</v>
      </c>
      <c r="R1579" t="s">
        <v>175</v>
      </c>
      <c r="S1579">
        <v>1</v>
      </c>
      <c r="T1579">
        <v>850</v>
      </c>
      <c r="U1579">
        <v>0</v>
      </c>
      <c r="V1579">
        <v>850</v>
      </c>
      <c r="W1579">
        <v>550</v>
      </c>
      <c r="X1579">
        <v>300</v>
      </c>
      <c r="Y1579" s="8">
        <v>0.35294117647058826</v>
      </c>
      <c r="Z1579" t="s">
        <v>2996</v>
      </c>
      <c r="AA1579" t="str">
        <f>IF(AND(SalesCleanTable[[#This Row],[Discount %]]&gt;0, SalesCleanTable[[#This Row],[Profit]]&lt;0), "Discount loss", "Safe")</f>
        <v>Safe</v>
      </c>
      <c r="AB1579" s="25">
        <f>(SalesCleanTable[[#This Row],[Unit Price]] - SalesCleanTable[[#This Row],[Unit Cost]]) / SalesCleanTable[[#This Row],[Unit Price]]</f>
        <v>0.35294117647058826</v>
      </c>
      <c r="AC1579" t="str">
        <f>IF(SalesCleanTable[[#This Row],[Discount %]] &gt; SalesCleanTable[[#This Row],[Max Allowed Discount]], "Discount loss", "Safe")</f>
        <v>Safe</v>
      </c>
      <c r="AD1579" s="4">
        <f>SalesCleanTable[[#This Row],[Unit Price]] - SalesCleanTable[[#This Row],[Unit Cost]]</f>
        <v>300</v>
      </c>
      <c r="AE1579" s="41">
        <f>(SalesCleanTable[[#This Row],[Unit Price]] - SalesCleanTable[[#This Row],[Unit Cost]]) / SalesCleanTable[[#This Row],[Unit Price]]</f>
        <v>0.35294117647058826</v>
      </c>
    </row>
    <row r="1580" spans="1:31">
      <c r="A1580" t="s">
        <v>1766</v>
      </c>
      <c r="B1580" s="6">
        <v>45848</v>
      </c>
      <c r="C1580" t="s">
        <v>78</v>
      </c>
      <c r="D1580" t="s">
        <v>79</v>
      </c>
      <c r="E1580" t="s">
        <v>75</v>
      </c>
      <c r="F1580" t="s">
        <v>80</v>
      </c>
      <c r="G1580" t="s">
        <v>81</v>
      </c>
      <c r="H1580" t="s">
        <v>135</v>
      </c>
      <c r="I1580" t="s">
        <v>136</v>
      </c>
      <c r="J1580" t="s">
        <v>137</v>
      </c>
      <c r="K1580" t="s">
        <v>138</v>
      </c>
      <c r="L1580" t="s">
        <v>183</v>
      </c>
      <c r="M1580" t="s">
        <v>177</v>
      </c>
      <c r="N1580">
        <v>5</v>
      </c>
      <c r="O1580" s="4">
        <v>1200</v>
      </c>
      <c r="P1580" s="4">
        <v>1900</v>
      </c>
      <c r="Q1580" s="7">
        <v>0.2</v>
      </c>
      <c r="R1580" t="s">
        <v>187</v>
      </c>
      <c r="S1580">
        <v>10</v>
      </c>
      <c r="T1580">
        <v>9500</v>
      </c>
      <c r="U1580">
        <v>1900</v>
      </c>
      <c r="V1580">
        <v>7600</v>
      </c>
      <c r="W1580">
        <v>6000</v>
      </c>
      <c r="X1580">
        <v>1600</v>
      </c>
      <c r="Y1580" s="8">
        <v>0.21052631578947367</v>
      </c>
      <c r="Z1580" t="s">
        <v>2996</v>
      </c>
      <c r="AA1580" t="str">
        <f>IF(AND(SalesCleanTable[[#This Row],[Discount %]]&gt;0, SalesCleanTable[[#This Row],[Profit]]&lt;0), "Discount loss", "Safe")</f>
        <v>Safe</v>
      </c>
      <c r="AB1580" s="25">
        <f>(SalesCleanTable[[#This Row],[Unit Price]] - SalesCleanTable[[#This Row],[Unit Cost]]) / SalesCleanTable[[#This Row],[Unit Price]]</f>
        <v>0.36842105263157893</v>
      </c>
      <c r="AC1580" t="str">
        <f>IF(SalesCleanTable[[#This Row],[Discount %]] &gt; SalesCleanTable[[#This Row],[Max Allowed Discount]], "Discount loss", "Safe")</f>
        <v>Safe</v>
      </c>
      <c r="AD1580" s="4">
        <f>SalesCleanTable[[#This Row],[Unit Price]] - SalesCleanTable[[#This Row],[Unit Cost]]</f>
        <v>700</v>
      </c>
      <c r="AE1580" s="41">
        <f>(SalesCleanTable[[#This Row],[Unit Price]] - SalesCleanTable[[#This Row],[Unit Cost]]) / SalesCleanTable[[#This Row],[Unit Price]]</f>
        <v>0.36842105263157893</v>
      </c>
    </row>
    <row r="1581" spans="1:31">
      <c r="A1581" t="s">
        <v>1767</v>
      </c>
      <c r="B1581" s="6">
        <v>45717</v>
      </c>
      <c r="C1581" t="s">
        <v>66</v>
      </c>
      <c r="D1581" t="s">
        <v>67</v>
      </c>
      <c r="E1581" t="s">
        <v>59</v>
      </c>
      <c r="F1581" t="s">
        <v>60</v>
      </c>
      <c r="G1581" t="s">
        <v>68</v>
      </c>
      <c r="H1581" t="s">
        <v>139</v>
      </c>
      <c r="I1581" t="s">
        <v>140</v>
      </c>
      <c r="J1581" t="s">
        <v>137</v>
      </c>
      <c r="K1581" t="s">
        <v>138</v>
      </c>
      <c r="L1581" t="s">
        <v>183</v>
      </c>
      <c r="M1581" t="s">
        <v>177</v>
      </c>
      <c r="N1581">
        <v>3</v>
      </c>
      <c r="O1581" s="4">
        <v>2800</v>
      </c>
      <c r="P1581" s="4">
        <v>3900</v>
      </c>
      <c r="Q1581" s="7">
        <v>0.1</v>
      </c>
      <c r="R1581" t="s">
        <v>192</v>
      </c>
      <c r="S1581">
        <v>13</v>
      </c>
      <c r="T1581">
        <v>11700</v>
      </c>
      <c r="U1581">
        <v>1170</v>
      </c>
      <c r="V1581">
        <v>10530</v>
      </c>
      <c r="W1581">
        <v>8400</v>
      </c>
      <c r="X1581">
        <v>2130</v>
      </c>
      <c r="Y1581" s="8">
        <v>0.20227920227920229</v>
      </c>
      <c r="Z1581" t="s">
        <v>2996</v>
      </c>
      <c r="AA1581" t="str">
        <f>IF(AND(SalesCleanTable[[#This Row],[Discount %]]&gt;0, SalesCleanTable[[#This Row],[Profit]]&lt;0), "Discount loss", "Safe")</f>
        <v>Safe</v>
      </c>
      <c r="AB1581" s="25">
        <f>(SalesCleanTable[[#This Row],[Unit Price]] - SalesCleanTable[[#This Row],[Unit Cost]]) / SalesCleanTable[[#This Row],[Unit Price]]</f>
        <v>0.28205128205128205</v>
      </c>
      <c r="AC1581" t="str">
        <f>IF(SalesCleanTable[[#This Row],[Discount %]] &gt; SalesCleanTable[[#This Row],[Max Allowed Discount]], "Discount loss", "Safe")</f>
        <v>Safe</v>
      </c>
      <c r="AD1581" s="4">
        <f>SalesCleanTable[[#This Row],[Unit Price]] - SalesCleanTable[[#This Row],[Unit Cost]]</f>
        <v>1100</v>
      </c>
      <c r="AE1581" s="41">
        <f>(SalesCleanTable[[#This Row],[Unit Price]] - SalesCleanTable[[#This Row],[Unit Cost]]) / SalesCleanTable[[#This Row],[Unit Price]]</f>
        <v>0.28205128205128205</v>
      </c>
    </row>
    <row r="1582" spans="1:31">
      <c r="A1582" t="s">
        <v>1768</v>
      </c>
      <c r="B1582" s="6">
        <v>45820</v>
      </c>
      <c r="C1582" t="s">
        <v>41</v>
      </c>
      <c r="D1582" t="s">
        <v>42</v>
      </c>
      <c r="E1582" t="s">
        <v>26</v>
      </c>
      <c r="F1582" t="s">
        <v>43</v>
      </c>
      <c r="G1582" t="s">
        <v>44</v>
      </c>
      <c r="H1582" t="s">
        <v>139</v>
      </c>
      <c r="I1582" t="s">
        <v>140</v>
      </c>
      <c r="J1582" t="s">
        <v>137</v>
      </c>
      <c r="K1582" t="s">
        <v>138</v>
      </c>
      <c r="L1582" t="s">
        <v>166</v>
      </c>
      <c r="M1582" t="s">
        <v>171</v>
      </c>
      <c r="N1582">
        <v>2</v>
      </c>
      <c r="O1582" s="4">
        <v>850</v>
      </c>
      <c r="P1582" s="4">
        <v>1300</v>
      </c>
      <c r="Q1582" s="7">
        <v>0</v>
      </c>
      <c r="R1582" t="s">
        <v>173</v>
      </c>
      <c r="S1582">
        <v>3</v>
      </c>
      <c r="T1582">
        <v>2600</v>
      </c>
      <c r="U1582">
        <v>0</v>
      </c>
      <c r="V1582">
        <v>2600</v>
      </c>
      <c r="W1582">
        <v>1700</v>
      </c>
      <c r="X1582">
        <v>900</v>
      </c>
      <c r="Y1582" s="8">
        <v>0.34615384615384615</v>
      </c>
      <c r="Z1582" t="s">
        <v>2995</v>
      </c>
      <c r="AA1582" t="str">
        <f>IF(AND(SalesCleanTable[[#This Row],[Discount %]]&gt;0, SalesCleanTable[[#This Row],[Profit]]&lt;0), "Discount loss", "Safe")</f>
        <v>Safe</v>
      </c>
      <c r="AB1582" s="25">
        <f>(SalesCleanTable[[#This Row],[Unit Price]] - SalesCleanTable[[#This Row],[Unit Cost]]) / SalesCleanTable[[#This Row],[Unit Price]]</f>
        <v>0.34615384615384615</v>
      </c>
      <c r="AC1582" t="str">
        <f>IF(SalesCleanTable[[#This Row],[Discount %]] &gt; SalesCleanTable[[#This Row],[Max Allowed Discount]], "Discount loss", "Safe")</f>
        <v>Safe</v>
      </c>
      <c r="AD1582" s="4">
        <f>SalesCleanTable[[#This Row],[Unit Price]] - SalesCleanTable[[#This Row],[Unit Cost]]</f>
        <v>450</v>
      </c>
      <c r="AE1582" s="41">
        <f>(SalesCleanTable[[#This Row],[Unit Price]] - SalesCleanTable[[#This Row],[Unit Cost]]) / SalesCleanTable[[#This Row],[Unit Price]]</f>
        <v>0.34615384615384615</v>
      </c>
    </row>
    <row r="1583" spans="1:31">
      <c r="A1583" t="s">
        <v>1769</v>
      </c>
      <c r="B1583" s="6">
        <v>45852</v>
      </c>
      <c r="C1583" t="s">
        <v>120</v>
      </c>
      <c r="D1583" t="s">
        <v>121</v>
      </c>
      <c r="E1583" t="s">
        <v>109</v>
      </c>
      <c r="F1583" t="s">
        <v>93</v>
      </c>
      <c r="G1583" t="s">
        <v>122</v>
      </c>
      <c r="H1583" t="s">
        <v>135</v>
      </c>
      <c r="I1583" t="s">
        <v>136</v>
      </c>
      <c r="J1583" t="s">
        <v>137</v>
      </c>
      <c r="K1583" t="s">
        <v>138</v>
      </c>
      <c r="L1583" t="s">
        <v>170</v>
      </c>
      <c r="M1583" t="s">
        <v>186</v>
      </c>
      <c r="N1583">
        <v>5</v>
      </c>
      <c r="O1583" s="4">
        <v>1700</v>
      </c>
      <c r="P1583" s="4">
        <v>2800</v>
      </c>
      <c r="Q1583" s="7">
        <v>0.25</v>
      </c>
      <c r="R1583" t="s">
        <v>220</v>
      </c>
      <c r="S1583">
        <v>5</v>
      </c>
      <c r="T1583">
        <v>14000</v>
      </c>
      <c r="U1583">
        <v>3500</v>
      </c>
      <c r="V1583">
        <v>10500</v>
      </c>
      <c r="W1583">
        <v>8500</v>
      </c>
      <c r="X1583">
        <v>2000</v>
      </c>
      <c r="Y1583" s="8">
        <v>0.19047619047619047</v>
      </c>
      <c r="Z1583" t="s">
        <v>2997</v>
      </c>
      <c r="AA1583" t="str">
        <f>IF(AND(SalesCleanTable[[#This Row],[Discount %]]&gt;0, SalesCleanTable[[#This Row],[Profit]]&lt;0), "Discount loss", "Safe")</f>
        <v>Safe</v>
      </c>
      <c r="AB1583" s="25">
        <f>(SalesCleanTable[[#This Row],[Unit Price]] - SalesCleanTable[[#This Row],[Unit Cost]]) / SalesCleanTable[[#This Row],[Unit Price]]</f>
        <v>0.39285714285714285</v>
      </c>
      <c r="AC1583" t="str">
        <f>IF(SalesCleanTable[[#This Row],[Discount %]] &gt; SalesCleanTable[[#This Row],[Max Allowed Discount]], "Discount loss", "Safe")</f>
        <v>Safe</v>
      </c>
      <c r="AD1583" s="4">
        <f>SalesCleanTable[[#This Row],[Unit Price]] - SalesCleanTable[[#This Row],[Unit Cost]]</f>
        <v>1100</v>
      </c>
      <c r="AE1583" s="41">
        <f>(SalesCleanTable[[#This Row],[Unit Price]] - SalesCleanTable[[#This Row],[Unit Cost]]) / SalesCleanTable[[#This Row],[Unit Price]]</f>
        <v>0.39285714285714285</v>
      </c>
    </row>
    <row r="1584" spans="1:31">
      <c r="A1584" t="s">
        <v>1770</v>
      </c>
      <c r="B1584" s="6">
        <v>45866</v>
      </c>
      <c r="C1584" t="s">
        <v>24</v>
      </c>
      <c r="D1584" t="s">
        <v>25</v>
      </c>
      <c r="E1584" t="s">
        <v>26</v>
      </c>
      <c r="F1584" t="s">
        <v>27</v>
      </c>
      <c r="G1584" t="s">
        <v>28</v>
      </c>
      <c r="H1584" t="s">
        <v>153</v>
      </c>
      <c r="I1584" t="s">
        <v>154</v>
      </c>
      <c r="J1584" t="s">
        <v>155</v>
      </c>
      <c r="K1584" t="s">
        <v>131</v>
      </c>
      <c r="L1584" t="s">
        <v>183</v>
      </c>
      <c r="M1584" t="s">
        <v>171</v>
      </c>
      <c r="N1584">
        <v>2</v>
      </c>
      <c r="O1584" s="4">
        <v>14500</v>
      </c>
      <c r="P1584" s="4">
        <v>17500</v>
      </c>
      <c r="Q1584" s="7">
        <v>0.1</v>
      </c>
      <c r="R1584" t="s">
        <v>173</v>
      </c>
      <c r="S1584">
        <v>10</v>
      </c>
      <c r="T1584">
        <v>35000</v>
      </c>
      <c r="U1584">
        <v>3500</v>
      </c>
      <c r="V1584">
        <v>31500</v>
      </c>
      <c r="W1584">
        <v>29000</v>
      </c>
      <c r="X1584">
        <v>2500</v>
      </c>
      <c r="Y1584" s="8">
        <v>7.9365079365079361E-2</v>
      </c>
      <c r="Z1584" t="s">
        <v>2995</v>
      </c>
      <c r="AA1584" t="str">
        <f>IF(AND(SalesCleanTable[[#This Row],[Discount %]]&gt;0, SalesCleanTable[[#This Row],[Profit]]&lt;0), "Discount loss", "Safe")</f>
        <v>Safe</v>
      </c>
      <c r="AB1584" s="25">
        <f>(SalesCleanTable[[#This Row],[Unit Price]] - SalesCleanTable[[#This Row],[Unit Cost]]) / SalesCleanTable[[#This Row],[Unit Price]]</f>
        <v>0.17142857142857143</v>
      </c>
      <c r="AC1584" t="str">
        <f>IF(SalesCleanTable[[#This Row],[Discount %]] &gt; SalesCleanTable[[#This Row],[Max Allowed Discount]], "Discount loss", "Safe")</f>
        <v>Safe</v>
      </c>
      <c r="AD1584" s="4">
        <f>SalesCleanTable[[#This Row],[Unit Price]] - SalesCleanTable[[#This Row],[Unit Cost]]</f>
        <v>3000</v>
      </c>
      <c r="AE1584" s="41">
        <f>(SalesCleanTable[[#This Row],[Unit Price]] - SalesCleanTable[[#This Row],[Unit Cost]]) / SalesCleanTable[[#This Row],[Unit Price]]</f>
        <v>0.17142857142857143</v>
      </c>
    </row>
    <row r="1585" spans="1:31">
      <c r="A1585" t="s">
        <v>1771</v>
      </c>
      <c r="B1585" s="6">
        <v>45843</v>
      </c>
      <c r="C1585" t="s">
        <v>32</v>
      </c>
      <c r="D1585" t="s">
        <v>33</v>
      </c>
      <c r="E1585" t="s">
        <v>26</v>
      </c>
      <c r="F1585" t="s">
        <v>34</v>
      </c>
      <c r="G1585" t="s">
        <v>35</v>
      </c>
      <c r="H1585" t="s">
        <v>153</v>
      </c>
      <c r="I1585" t="s">
        <v>154</v>
      </c>
      <c r="J1585" t="s">
        <v>155</v>
      </c>
      <c r="K1585" t="s">
        <v>131</v>
      </c>
      <c r="L1585" t="s">
        <v>166</v>
      </c>
      <c r="M1585" t="s">
        <v>171</v>
      </c>
      <c r="N1585">
        <v>4</v>
      </c>
      <c r="O1585" s="4">
        <v>7800</v>
      </c>
      <c r="P1585" s="4">
        <v>9800</v>
      </c>
      <c r="Q1585" s="7">
        <v>0.05</v>
      </c>
      <c r="R1585" t="s">
        <v>173</v>
      </c>
      <c r="S1585">
        <v>13</v>
      </c>
      <c r="T1585">
        <v>39200</v>
      </c>
      <c r="U1585">
        <v>1960</v>
      </c>
      <c r="V1585">
        <v>37240</v>
      </c>
      <c r="W1585">
        <v>31200</v>
      </c>
      <c r="X1585">
        <v>6040</v>
      </c>
      <c r="Y1585" s="8">
        <v>0.16219119226638024</v>
      </c>
      <c r="Z1585" t="s">
        <v>2995</v>
      </c>
      <c r="AA1585" t="str">
        <f>IF(AND(SalesCleanTable[[#This Row],[Discount %]]&gt;0, SalesCleanTable[[#This Row],[Profit]]&lt;0), "Discount loss", "Safe")</f>
        <v>Safe</v>
      </c>
      <c r="AB1585" s="25">
        <f>(SalesCleanTable[[#This Row],[Unit Price]] - SalesCleanTable[[#This Row],[Unit Cost]]) / SalesCleanTable[[#This Row],[Unit Price]]</f>
        <v>0.20408163265306123</v>
      </c>
      <c r="AC1585" t="str">
        <f>IF(SalesCleanTable[[#This Row],[Discount %]] &gt; SalesCleanTable[[#This Row],[Max Allowed Discount]], "Discount loss", "Safe")</f>
        <v>Safe</v>
      </c>
      <c r="AD1585" s="4">
        <f>SalesCleanTable[[#This Row],[Unit Price]] - SalesCleanTable[[#This Row],[Unit Cost]]</f>
        <v>2000</v>
      </c>
      <c r="AE1585" s="41">
        <f>(SalesCleanTable[[#This Row],[Unit Price]] - SalesCleanTable[[#This Row],[Unit Cost]]) / SalesCleanTable[[#This Row],[Unit Price]]</f>
        <v>0.20408163265306123</v>
      </c>
    </row>
    <row r="1586" spans="1:31">
      <c r="A1586" t="s">
        <v>1772</v>
      </c>
      <c r="B1586" s="6">
        <v>45683</v>
      </c>
      <c r="C1586" t="s">
        <v>45</v>
      </c>
      <c r="D1586" t="s">
        <v>46</v>
      </c>
      <c r="E1586" t="s">
        <v>38</v>
      </c>
      <c r="F1586" t="s">
        <v>47</v>
      </c>
      <c r="G1586" t="s">
        <v>48</v>
      </c>
      <c r="H1586" t="s">
        <v>149</v>
      </c>
      <c r="I1586" t="s">
        <v>150</v>
      </c>
      <c r="J1586" t="s">
        <v>151</v>
      </c>
      <c r="K1586" t="s">
        <v>152</v>
      </c>
      <c r="L1586" t="s">
        <v>183</v>
      </c>
      <c r="M1586" t="s">
        <v>171</v>
      </c>
      <c r="N1586">
        <v>3</v>
      </c>
      <c r="O1586" s="4">
        <v>230</v>
      </c>
      <c r="P1586" s="4">
        <v>400</v>
      </c>
      <c r="Q1586" s="7">
        <v>0.05</v>
      </c>
      <c r="R1586" t="s">
        <v>168</v>
      </c>
      <c r="S1586">
        <v>10</v>
      </c>
      <c r="T1586">
        <v>1200</v>
      </c>
      <c r="U1586">
        <v>60</v>
      </c>
      <c r="V1586">
        <v>1140</v>
      </c>
      <c r="W1586">
        <v>690</v>
      </c>
      <c r="X1586">
        <v>450</v>
      </c>
      <c r="Y1586" s="8">
        <v>0.39473684210526316</v>
      </c>
      <c r="Z1586" t="s">
        <v>2995</v>
      </c>
      <c r="AA1586" t="str">
        <f>IF(AND(SalesCleanTable[[#This Row],[Discount %]]&gt;0, SalesCleanTable[[#This Row],[Profit]]&lt;0), "Discount loss", "Safe")</f>
        <v>Safe</v>
      </c>
      <c r="AB1586" s="25">
        <f>(SalesCleanTable[[#This Row],[Unit Price]] - SalesCleanTable[[#This Row],[Unit Cost]]) / SalesCleanTable[[#This Row],[Unit Price]]</f>
        <v>0.42499999999999999</v>
      </c>
      <c r="AC1586" t="str">
        <f>IF(SalesCleanTable[[#This Row],[Discount %]] &gt; SalesCleanTable[[#This Row],[Max Allowed Discount]], "Discount loss", "Safe")</f>
        <v>Safe</v>
      </c>
      <c r="AD1586" s="4">
        <f>SalesCleanTable[[#This Row],[Unit Price]] - SalesCleanTable[[#This Row],[Unit Cost]]</f>
        <v>170</v>
      </c>
      <c r="AE1586" s="41">
        <f>(SalesCleanTable[[#This Row],[Unit Price]] - SalesCleanTable[[#This Row],[Unit Cost]]) / SalesCleanTable[[#This Row],[Unit Price]]</f>
        <v>0.42499999999999999</v>
      </c>
    </row>
    <row r="1587" spans="1:31">
      <c r="A1587" t="s">
        <v>1773</v>
      </c>
      <c r="B1587" s="6">
        <v>45937</v>
      </c>
      <c r="C1587" t="s">
        <v>45</v>
      </c>
      <c r="D1587" t="s">
        <v>46</v>
      </c>
      <c r="E1587" t="s">
        <v>38</v>
      </c>
      <c r="F1587" t="s">
        <v>47</v>
      </c>
      <c r="G1587" t="s">
        <v>48</v>
      </c>
      <c r="H1587" t="s">
        <v>139</v>
      </c>
      <c r="I1587" t="s">
        <v>140</v>
      </c>
      <c r="J1587" t="s">
        <v>137</v>
      </c>
      <c r="K1587" t="s">
        <v>138</v>
      </c>
      <c r="L1587" t="s">
        <v>183</v>
      </c>
      <c r="M1587" t="s">
        <v>177</v>
      </c>
      <c r="N1587">
        <v>2</v>
      </c>
      <c r="O1587" s="4">
        <v>230</v>
      </c>
      <c r="P1587" s="4">
        <v>400</v>
      </c>
      <c r="Q1587" s="7">
        <v>0.15</v>
      </c>
      <c r="R1587" t="s">
        <v>175</v>
      </c>
      <c r="S1587">
        <v>2</v>
      </c>
      <c r="T1587">
        <v>800</v>
      </c>
      <c r="U1587">
        <v>120</v>
      </c>
      <c r="V1587">
        <v>680</v>
      </c>
      <c r="W1587">
        <v>460</v>
      </c>
      <c r="X1587">
        <v>220</v>
      </c>
      <c r="Y1587" s="8">
        <v>0.3235294117647059</v>
      </c>
      <c r="Z1587" t="s">
        <v>2995</v>
      </c>
      <c r="AA1587" t="str">
        <f>IF(AND(SalesCleanTable[[#This Row],[Discount %]]&gt;0, SalesCleanTable[[#This Row],[Profit]]&lt;0), "Discount loss", "Safe")</f>
        <v>Safe</v>
      </c>
      <c r="AB1587" s="25">
        <f>(SalesCleanTable[[#This Row],[Unit Price]] - SalesCleanTable[[#This Row],[Unit Cost]]) / SalesCleanTable[[#This Row],[Unit Price]]</f>
        <v>0.42499999999999999</v>
      </c>
      <c r="AC1587" t="str">
        <f>IF(SalesCleanTable[[#This Row],[Discount %]] &gt; SalesCleanTable[[#This Row],[Max Allowed Discount]], "Discount loss", "Safe")</f>
        <v>Safe</v>
      </c>
      <c r="AD1587" s="4">
        <f>SalesCleanTable[[#This Row],[Unit Price]] - SalesCleanTable[[#This Row],[Unit Cost]]</f>
        <v>170</v>
      </c>
      <c r="AE1587" s="41">
        <f>(SalesCleanTable[[#This Row],[Unit Price]] - SalesCleanTable[[#This Row],[Unit Cost]]) / SalesCleanTable[[#This Row],[Unit Price]]</f>
        <v>0.42499999999999999</v>
      </c>
    </row>
    <row r="1588" spans="1:31">
      <c r="A1588" t="s">
        <v>1774</v>
      </c>
      <c r="B1588" s="6">
        <v>45795</v>
      </c>
      <c r="C1588" t="s">
        <v>82</v>
      </c>
      <c r="D1588" t="s">
        <v>83</v>
      </c>
      <c r="E1588" t="s">
        <v>75</v>
      </c>
      <c r="F1588" t="s">
        <v>84</v>
      </c>
      <c r="G1588" t="s">
        <v>85</v>
      </c>
      <c r="H1588" t="s">
        <v>128</v>
      </c>
      <c r="I1588" t="s">
        <v>129</v>
      </c>
      <c r="J1588" t="s">
        <v>130</v>
      </c>
      <c r="K1588" t="s">
        <v>131</v>
      </c>
      <c r="L1588" t="s">
        <v>166</v>
      </c>
      <c r="M1588" t="s">
        <v>171</v>
      </c>
      <c r="N1588">
        <v>1</v>
      </c>
      <c r="O1588" s="4">
        <v>600</v>
      </c>
      <c r="P1588" s="4">
        <v>950</v>
      </c>
      <c r="Q1588" s="7">
        <v>0.2</v>
      </c>
      <c r="R1588" t="s">
        <v>187</v>
      </c>
      <c r="S1588">
        <v>8</v>
      </c>
      <c r="T1588">
        <v>950</v>
      </c>
      <c r="U1588">
        <v>190</v>
      </c>
      <c r="V1588">
        <v>760</v>
      </c>
      <c r="W1588">
        <v>600</v>
      </c>
      <c r="X1588">
        <v>160</v>
      </c>
      <c r="Y1588" s="8">
        <v>0.21052631578947367</v>
      </c>
      <c r="Z1588" t="s">
        <v>2996</v>
      </c>
      <c r="AA1588" t="str">
        <f>IF(AND(SalesCleanTable[[#This Row],[Discount %]]&gt;0, SalesCleanTable[[#This Row],[Profit]]&lt;0), "Discount loss", "Safe")</f>
        <v>Safe</v>
      </c>
      <c r="AB1588" s="25">
        <f>(SalesCleanTable[[#This Row],[Unit Price]] - SalesCleanTable[[#This Row],[Unit Cost]]) / SalesCleanTable[[#This Row],[Unit Price]]</f>
        <v>0.36842105263157893</v>
      </c>
      <c r="AC1588" t="str">
        <f>IF(SalesCleanTable[[#This Row],[Discount %]] &gt; SalesCleanTable[[#This Row],[Max Allowed Discount]], "Discount loss", "Safe")</f>
        <v>Safe</v>
      </c>
      <c r="AD1588" s="4">
        <f>SalesCleanTable[[#This Row],[Unit Price]] - SalesCleanTable[[#This Row],[Unit Cost]]</f>
        <v>350</v>
      </c>
      <c r="AE1588" s="41">
        <f>(SalesCleanTable[[#This Row],[Unit Price]] - SalesCleanTable[[#This Row],[Unit Cost]]) / SalesCleanTable[[#This Row],[Unit Price]]</f>
        <v>0.36842105263157893</v>
      </c>
    </row>
    <row r="1589" spans="1:31">
      <c r="A1589" t="s">
        <v>1775</v>
      </c>
      <c r="B1589" s="6">
        <v>45865</v>
      </c>
      <c r="C1589" t="s">
        <v>62</v>
      </c>
      <c r="D1589" t="s">
        <v>63</v>
      </c>
      <c r="E1589" t="s">
        <v>59</v>
      </c>
      <c r="F1589" t="s">
        <v>64</v>
      </c>
      <c r="G1589" t="s">
        <v>65</v>
      </c>
      <c r="H1589" t="s">
        <v>135</v>
      </c>
      <c r="I1589" t="s">
        <v>136</v>
      </c>
      <c r="J1589" t="s">
        <v>137</v>
      </c>
      <c r="K1589" t="s">
        <v>138</v>
      </c>
      <c r="L1589" t="s">
        <v>183</v>
      </c>
      <c r="M1589" t="s">
        <v>177</v>
      </c>
      <c r="N1589">
        <v>3</v>
      </c>
      <c r="O1589" s="4">
        <v>3200</v>
      </c>
      <c r="P1589" s="4">
        <v>4500</v>
      </c>
      <c r="Q1589" s="7">
        <v>0.1</v>
      </c>
      <c r="R1589" t="s">
        <v>192</v>
      </c>
      <c r="S1589">
        <v>3</v>
      </c>
      <c r="T1589">
        <v>13500</v>
      </c>
      <c r="U1589">
        <v>1350</v>
      </c>
      <c r="V1589">
        <v>12150</v>
      </c>
      <c r="W1589">
        <v>9600</v>
      </c>
      <c r="X1589">
        <v>2550</v>
      </c>
      <c r="Y1589" s="8">
        <v>0.20987654320987653</v>
      </c>
      <c r="Z1589" t="s">
        <v>2996</v>
      </c>
      <c r="AA1589" t="str">
        <f>IF(AND(SalesCleanTable[[#This Row],[Discount %]]&gt;0, SalesCleanTable[[#This Row],[Profit]]&lt;0), "Discount loss", "Safe")</f>
        <v>Safe</v>
      </c>
      <c r="AB1589" s="25">
        <f>(SalesCleanTable[[#This Row],[Unit Price]] - SalesCleanTable[[#This Row],[Unit Cost]]) / SalesCleanTable[[#This Row],[Unit Price]]</f>
        <v>0.28888888888888886</v>
      </c>
      <c r="AC1589" t="str">
        <f>IF(SalesCleanTable[[#This Row],[Discount %]] &gt; SalesCleanTable[[#This Row],[Max Allowed Discount]], "Discount loss", "Safe")</f>
        <v>Safe</v>
      </c>
      <c r="AD1589" s="4">
        <f>SalesCleanTable[[#This Row],[Unit Price]] - SalesCleanTable[[#This Row],[Unit Cost]]</f>
        <v>1300</v>
      </c>
      <c r="AE1589" s="41">
        <f>(SalesCleanTable[[#This Row],[Unit Price]] - SalesCleanTable[[#This Row],[Unit Cost]]) / SalesCleanTable[[#This Row],[Unit Price]]</f>
        <v>0.28888888888888886</v>
      </c>
    </row>
    <row r="1590" spans="1:31">
      <c r="A1590" t="s">
        <v>1776</v>
      </c>
      <c r="B1590" s="6">
        <v>45949</v>
      </c>
      <c r="C1590" t="s">
        <v>82</v>
      </c>
      <c r="D1590" t="s">
        <v>83</v>
      </c>
      <c r="E1590" t="s">
        <v>75</v>
      </c>
      <c r="F1590" t="s">
        <v>84</v>
      </c>
      <c r="G1590" t="s">
        <v>85</v>
      </c>
      <c r="H1590" t="s">
        <v>128</v>
      </c>
      <c r="I1590" t="s">
        <v>129</v>
      </c>
      <c r="J1590" t="s">
        <v>130</v>
      </c>
      <c r="K1590" t="s">
        <v>131</v>
      </c>
      <c r="L1590" t="s">
        <v>183</v>
      </c>
      <c r="M1590" t="s">
        <v>177</v>
      </c>
      <c r="N1590">
        <v>5</v>
      </c>
      <c r="O1590" s="4">
        <v>600</v>
      </c>
      <c r="P1590" s="4">
        <v>950</v>
      </c>
      <c r="Q1590" s="7">
        <v>0.05</v>
      </c>
      <c r="R1590" t="s">
        <v>204</v>
      </c>
      <c r="S1590">
        <v>14</v>
      </c>
      <c r="T1590">
        <v>4750</v>
      </c>
      <c r="U1590">
        <v>237.5</v>
      </c>
      <c r="V1590">
        <v>4512.5</v>
      </c>
      <c r="W1590">
        <v>3000</v>
      </c>
      <c r="X1590">
        <v>1512.5</v>
      </c>
      <c r="Y1590" s="8">
        <v>0.33518005540166207</v>
      </c>
      <c r="Z1590" t="s">
        <v>2996</v>
      </c>
      <c r="AA1590" t="str">
        <f>IF(AND(SalesCleanTable[[#This Row],[Discount %]]&gt;0, SalesCleanTable[[#This Row],[Profit]]&lt;0), "Discount loss", "Safe")</f>
        <v>Safe</v>
      </c>
      <c r="AB1590" s="25">
        <f>(SalesCleanTable[[#This Row],[Unit Price]] - SalesCleanTable[[#This Row],[Unit Cost]]) / SalesCleanTable[[#This Row],[Unit Price]]</f>
        <v>0.36842105263157893</v>
      </c>
      <c r="AC1590" t="str">
        <f>IF(SalesCleanTable[[#This Row],[Discount %]] &gt; SalesCleanTable[[#This Row],[Max Allowed Discount]], "Discount loss", "Safe")</f>
        <v>Safe</v>
      </c>
      <c r="AD1590" s="4">
        <f>SalesCleanTable[[#This Row],[Unit Price]] - SalesCleanTable[[#This Row],[Unit Cost]]</f>
        <v>350</v>
      </c>
      <c r="AE1590" s="41">
        <f>(SalesCleanTable[[#This Row],[Unit Price]] - SalesCleanTable[[#This Row],[Unit Cost]]) / SalesCleanTable[[#This Row],[Unit Price]]</f>
        <v>0.36842105263157893</v>
      </c>
    </row>
    <row r="1591" spans="1:31">
      <c r="A1591" t="s">
        <v>1777</v>
      </c>
      <c r="B1591" s="6">
        <v>45918</v>
      </c>
      <c r="C1591" t="s">
        <v>41</v>
      </c>
      <c r="D1591" t="s">
        <v>42</v>
      </c>
      <c r="E1591" t="s">
        <v>26</v>
      </c>
      <c r="F1591" t="s">
        <v>43</v>
      </c>
      <c r="G1591" t="s">
        <v>44</v>
      </c>
      <c r="H1591" t="s">
        <v>135</v>
      </c>
      <c r="I1591" t="s">
        <v>136</v>
      </c>
      <c r="J1591" t="s">
        <v>137</v>
      </c>
      <c r="K1591" t="s">
        <v>138</v>
      </c>
      <c r="L1591" t="s">
        <v>166</v>
      </c>
      <c r="M1591" t="s">
        <v>171</v>
      </c>
      <c r="N1591">
        <v>4</v>
      </c>
      <c r="O1591" s="4">
        <v>850</v>
      </c>
      <c r="P1591" s="4">
        <v>1300</v>
      </c>
      <c r="Q1591" s="7">
        <v>0.15</v>
      </c>
      <c r="R1591" t="s">
        <v>197</v>
      </c>
      <c r="S1591">
        <v>8</v>
      </c>
      <c r="T1591">
        <v>5200</v>
      </c>
      <c r="U1591">
        <v>780</v>
      </c>
      <c r="V1591">
        <v>4420</v>
      </c>
      <c r="W1591">
        <v>3400</v>
      </c>
      <c r="X1591">
        <v>1020</v>
      </c>
      <c r="Y1591" s="8">
        <v>0.23076923076923078</v>
      </c>
      <c r="Z1591" t="s">
        <v>2995</v>
      </c>
      <c r="AA1591" t="str">
        <f>IF(AND(SalesCleanTable[[#This Row],[Discount %]]&gt;0, SalesCleanTable[[#This Row],[Profit]]&lt;0), "Discount loss", "Safe")</f>
        <v>Safe</v>
      </c>
      <c r="AB1591" s="25">
        <f>(SalesCleanTable[[#This Row],[Unit Price]] - SalesCleanTable[[#This Row],[Unit Cost]]) / SalesCleanTable[[#This Row],[Unit Price]]</f>
        <v>0.34615384615384615</v>
      </c>
      <c r="AC1591" t="str">
        <f>IF(SalesCleanTable[[#This Row],[Discount %]] &gt; SalesCleanTable[[#This Row],[Max Allowed Discount]], "Discount loss", "Safe")</f>
        <v>Safe</v>
      </c>
      <c r="AD1591" s="4">
        <f>SalesCleanTable[[#This Row],[Unit Price]] - SalesCleanTable[[#This Row],[Unit Cost]]</f>
        <v>450</v>
      </c>
      <c r="AE1591" s="41">
        <f>(SalesCleanTable[[#This Row],[Unit Price]] - SalesCleanTable[[#This Row],[Unit Cost]]) / SalesCleanTable[[#This Row],[Unit Price]]</f>
        <v>0.34615384615384615</v>
      </c>
    </row>
    <row r="1592" spans="1:31">
      <c r="A1592" t="s">
        <v>1778</v>
      </c>
      <c r="B1592" s="6">
        <v>45688</v>
      </c>
      <c r="C1592" t="s">
        <v>53</v>
      </c>
      <c r="D1592" t="s">
        <v>54</v>
      </c>
      <c r="E1592" t="s">
        <v>38</v>
      </c>
      <c r="F1592" t="s">
        <v>55</v>
      </c>
      <c r="G1592" t="s">
        <v>56</v>
      </c>
      <c r="H1592" t="s">
        <v>141</v>
      </c>
      <c r="I1592" t="s">
        <v>142</v>
      </c>
      <c r="J1592" t="s">
        <v>143</v>
      </c>
      <c r="K1592" t="s">
        <v>144</v>
      </c>
      <c r="L1592" t="s">
        <v>166</v>
      </c>
      <c r="M1592" t="s">
        <v>177</v>
      </c>
      <c r="N1592">
        <v>2</v>
      </c>
      <c r="O1592" s="4">
        <v>330</v>
      </c>
      <c r="P1592" s="4">
        <v>550</v>
      </c>
      <c r="Q1592" s="7">
        <v>0.15</v>
      </c>
      <c r="R1592" t="s">
        <v>168</v>
      </c>
      <c r="S1592">
        <v>7</v>
      </c>
      <c r="T1592">
        <v>1100</v>
      </c>
      <c r="U1592">
        <v>165</v>
      </c>
      <c r="V1592">
        <v>935</v>
      </c>
      <c r="W1592">
        <v>660</v>
      </c>
      <c r="X1592">
        <v>275</v>
      </c>
      <c r="Y1592" s="8">
        <v>0.29411764705882354</v>
      </c>
      <c r="Z1592" t="s">
        <v>2996</v>
      </c>
      <c r="AA1592" t="str">
        <f>IF(AND(SalesCleanTable[[#This Row],[Discount %]]&gt;0, SalesCleanTable[[#This Row],[Profit]]&lt;0), "Discount loss", "Safe")</f>
        <v>Safe</v>
      </c>
      <c r="AB1592" s="25">
        <f>(SalesCleanTable[[#This Row],[Unit Price]] - SalesCleanTable[[#This Row],[Unit Cost]]) / SalesCleanTable[[#This Row],[Unit Price]]</f>
        <v>0.4</v>
      </c>
      <c r="AC1592" t="str">
        <f>IF(SalesCleanTable[[#This Row],[Discount %]] &gt; SalesCleanTable[[#This Row],[Max Allowed Discount]], "Discount loss", "Safe")</f>
        <v>Safe</v>
      </c>
      <c r="AD1592" s="4">
        <f>SalesCleanTable[[#This Row],[Unit Price]] - SalesCleanTable[[#This Row],[Unit Cost]]</f>
        <v>220</v>
      </c>
      <c r="AE1592" s="41">
        <f>(SalesCleanTable[[#This Row],[Unit Price]] - SalesCleanTable[[#This Row],[Unit Cost]]) / SalesCleanTable[[#This Row],[Unit Price]]</f>
        <v>0.4</v>
      </c>
    </row>
    <row r="1593" spans="1:31">
      <c r="A1593" t="s">
        <v>1779</v>
      </c>
      <c r="B1593" s="6">
        <v>45805</v>
      </c>
      <c r="C1593" t="s">
        <v>45</v>
      </c>
      <c r="D1593" t="s">
        <v>46</v>
      </c>
      <c r="E1593" t="s">
        <v>38</v>
      </c>
      <c r="F1593" t="s">
        <v>47</v>
      </c>
      <c r="G1593" t="s">
        <v>48</v>
      </c>
      <c r="H1593" t="s">
        <v>141</v>
      </c>
      <c r="I1593" t="s">
        <v>142</v>
      </c>
      <c r="J1593" t="s">
        <v>143</v>
      </c>
      <c r="K1593" t="s">
        <v>144</v>
      </c>
      <c r="L1593" t="s">
        <v>166</v>
      </c>
      <c r="M1593" t="s">
        <v>171</v>
      </c>
      <c r="N1593">
        <v>6</v>
      </c>
      <c r="O1593" s="4">
        <v>230</v>
      </c>
      <c r="P1593" s="4">
        <v>400</v>
      </c>
      <c r="Q1593" s="7">
        <v>0.1</v>
      </c>
      <c r="R1593" t="s">
        <v>178</v>
      </c>
      <c r="S1593">
        <v>2</v>
      </c>
      <c r="T1593">
        <v>2400</v>
      </c>
      <c r="U1593">
        <v>240</v>
      </c>
      <c r="V1593">
        <v>2160</v>
      </c>
      <c r="W1593">
        <v>1380</v>
      </c>
      <c r="X1593">
        <v>780</v>
      </c>
      <c r="Y1593" s="8">
        <v>0.3611111111111111</v>
      </c>
      <c r="Z1593" t="s">
        <v>2995</v>
      </c>
      <c r="AA1593" t="str">
        <f>IF(AND(SalesCleanTable[[#This Row],[Discount %]]&gt;0, SalesCleanTable[[#This Row],[Profit]]&lt;0), "Discount loss", "Safe")</f>
        <v>Safe</v>
      </c>
      <c r="AB1593" s="25">
        <f>(SalesCleanTable[[#This Row],[Unit Price]] - SalesCleanTable[[#This Row],[Unit Cost]]) / SalesCleanTable[[#This Row],[Unit Price]]</f>
        <v>0.42499999999999999</v>
      </c>
      <c r="AC1593" t="str">
        <f>IF(SalesCleanTable[[#This Row],[Discount %]] &gt; SalesCleanTable[[#This Row],[Max Allowed Discount]], "Discount loss", "Safe")</f>
        <v>Safe</v>
      </c>
      <c r="AD1593" s="4">
        <f>SalesCleanTable[[#This Row],[Unit Price]] - SalesCleanTable[[#This Row],[Unit Cost]]</f>
        <v>170</v>
      </c>
      <c r="AE1593" s="41">
        <f>(SalesCleanTable[[#This Row],[Unit Price]] - SalesCleanTable[[#This Row],[Unit Cost]]) / SalesCleanTable[[#This Row],[Unit Price]]</f>
        <v>0.42499999999999999</v>
      </c>
    </row>
    <row r="1594" spans="1:31">
      <c r="A1594" t="s">
        <v>1780</v>
      </c>
      <c r="B1594" s="6">
        <v>45755</v>
      </c>
      <c r="C1594" t="s">
        <v>82</v>
      </c>
      <c r="D1594" t="s">
        <v>83</v>
      </c>
      <c r="E1594" t="s">
        <v>75</v>
      </c>
      <c r="F1594" t="s">
        <v>84</v>
      </c>
      <c r="G1594" t="s">
        <v>85</v>
      </c>
      <c r="H1594" t="s">
        <v>141</v>
      </c>
      <c r="I1594" t="s">
        <v>142</v>
      </c>
      <c r="J1594" t="s">
        <v>143</v>
      </c>
      <c r="K1594" t="s">
        <v>144</v>
      </c>
      <c r="L1594" t="s">
        <v>183</v>
      </c>
      <c r="M1594" t="s">
        <v>171</v>
      </c>
      <c r="N1594">
        <v>3</v>
      </c>
      <c r="O1594" s="4">
        <v>600</v>
      </c>
      <c r="P1594" s="4">
        <v>950</v>
      </c>
      <c r="Q1594" s="7">
        <v>0.15</v>
      </c>
      <c r="R1594" t="s">
        <v>187</v>
      </c>
      <c r="S1594">
        <v>3</v>
      </c>
      <c r="T1594">
        <v>2850</v>
      </c>
      <c r="U1594">
        <v>427.5</v>
      </c>
      <c r="V1594">
        <v>2422.5</v>
      </c>
      <c r="W1594">
        <v>1800</v>
      </c>
      <c r="X1594">
        <v>622.5</v>
      </c>
      <c r="Y1594" s="8">
        <v>0.25696594427244585</v>
      </c>
      <c r="Z1594" t="s">
        <v>2996</v>
      </c>
      <c r="AA1594" t="str">
        <f>IF(AND(SalesCleanTable[[#This Row],[Discount %]]&gt;0, SalesCleanTable[[#This Row],[Profit]]&lt;0), "Discount loss", "Safe")</f>
        <v>Safe</v>
      </c>
      <c r="AB1594" s="25">
        <f>(SalesCleanTable[[#This Row],[Unit Price]] - SalesCleanTable[[#This Row],[Unit Cost]]) / SalesCleanTable[[#This Row],[Unit Price]]</f>
        <v>0.36842105263157893</v>
      </c>
      <c r="AC1594" t="str">
        <f>IF(SalesCleanTable[[#This Row],[Discount %]] &gt; SalesCleanTable[[#This Row],[Max Allowed Discount]], "Discount loss", "Safe")</f>
        <v>Safe</v>
      </c>
      <c r="AD1594" s="4">
        <f>SalesCleanTable[[#This Row],[Unit Price]] - SalesCleanTable[[#This Row],[Unit Cost]]</f>
        <v>350</v>
      </c>
      <c r="AE1594" s="41">
        <f>(SalesCleanTable[[#This Row],[Unit Price]] - SalesCleanTable[[#This Row],[Unit Cost]]) / SalesCleanTable[[#This Row],[Unit Price]]</f>
        <v>0.36842105263157893</v>
      </c>
    </row>
    <row r="1595" spans="1:31">
      <c r="A1595" t="s">
        <v>1781</v>
      </c>
      <c r="B1595" s="6">
        <v>45776</v>
      </c>
      <c r="C1595" t="s">
        <v>120</v>
      </c>
      <c r="D1595" t="s">
        <v>121</v>
      </c>
      <c r="E1595" t="s">
        <v>109</v>
      </c>
      <c r="F1595" t="s">
        <v>93</v>
      </c>
      <c r="G1595" t="s">
        <v>122</v>
      </c>
      <c r="H1595" t="s">
        <v>145</v>
      </c>
      <c r="I1595" t="s">
        <v>146</v>
      </c>
      <c r="J1595" t="s">
        <v>147</v>
      </c>
      <c r="K1595" t="s">
        <v>148</v>
      </c>
      <c r="L1595" t="s">
        <v>166</v>
      </c>
      <c r="M1595" t="s">
        <v>167</v>
      </c>
      <c r="N1595">
        <v>-1</v>
      </c>
      <c r="O1595" s="4">
        <v>1700</v>
      </c>
      <c r="P1595" s="4">
        <v>2800</v>
      </c>
      <c r="Q1595" s="7">
        <v>0.2</v>
      </c>
      <c r="R1595" t="s">
        <v>235</v>
      </c>
      <c r="S1595">
        <v>10</v>
      </c>
      <c r="T1595">
        <v>-2800</v>
      </c>
      <c r="U1595">
        <v>-560</v>
      </c>
      <c r="V1595">
        <v>-2240</v>
      </c>
      <c r="W1595">
        <v>-1700</v>
      </c>
      <c r="X1595">
        <v>-540</v>
      </c>
      <c r="Y1595" s="8">
        <v>0.24107142857142858</v>
      </c>
      <c r="Z1595" t="s">
        <v>2997</v>
      </c>
      <c r="AA1595" t="str">
        <f>IF(AND(SalesCleanTable[[#This Row],[Discount %]]&gt;0, SalesCleanTable[[#This Row],[Profit]]&lt;0), "Discount loss", "Safe")</f>
        <v>Discount loss</v>
      </c>
      <c r="AB1595" s="25">
        <f>(SalesCleanTable[[#This Row],[Unit Price]] - SalesCleanTable[[#This Row],[Unit Cost]]) / SalesCleanTable[[#This Row],[Unit Price]]</f>
        <v>0.39285714285714285</v>
      </c>
      <c r="AC1595" t="str">
        <f>IF(SalesCleanTable[[#This Row],[Discount %]] &gt; SalesCleanTable[[#This Row],[Max Allowed Discount]], "Discount loss", "Safe")</f>
        <v>Safe</v>
      </c>
      <c r="AD1595" s="4">
        <f>SalesCleanTable[[#This Row],[Unit Price]] - SalesCleanTable[[#This Row],[Unit Cost]]</f>
        <v>1100</v>
      </c>
      <c r="AE1595" s="41">
        <f>(SalesCleanTable[[#This Row],[Unit Price]] - SalesCleanTable[[#This Row],[Unit Cost]]) / SalesCleanTable[[#This Row],[Unit Price]]</f>
        <v>0.39285714285714285</v>
      </c>
    </row>
    <row r="1596" spans="1:31">
      <c r="A1596" t="s">
        <v>1782</v>
      </c>
      <c r="B1596" s="6">
        <v>45714</v>
      </c>
      <c r="C1596" t="s">
        <v>99</v>
      </c>
      <c r="D1596" t="s">
        <v>100</v>
      </c>
      <c r="E1596" t="s">
        <v>92</v>
      </c>
      <c r="F1596" t="s">
        <v>101</v>
      </c>
      <c r="G1596" t="s">
        <v>102</v>
      </c>
      <c r="H1596" t="s">
        <v>128</v>
      </c>
      <c r="I1596" t="s">
        <v>129</v>
      </c>
      <c r="J1596" t="s">
        <v>130</v>
      </c>
      <c r="K1596" t="s">
        <v>131</v>
      </c>
      <c r="L1596" t="s">
        <v>166</v>
      </c>
      <c r="M1596" t="s">
        <v>171</v>
      </c>
      <c r="N1596">
        <v>1</v>
      </c>
      <c r="O1596" s="4">
        <v>12500</v>
      </c>
      <c r="P1596" s="4">
        <v>18500</v>
      </c>
      <c r="Q1596" s="7">
        <v>0</v>
      </c>
      <c r="R1596" t="s">
        <v>181</v>
      </c>
      <c r="S1596">
        <v>14</v>
      </c>
      <c r="T1596">
        <v>18500</v>
      </c>
      <c r="U1596">
        <v>0</v>
      </c>
      <c r="V1596">
        <v>18500</v>
      </c>
      <c r="W1596">
        <v>12500</v>
      </c>
      <c r="X1596">
        <v>6000</v>
      </c>
      <c r="Y1596" s="8">
        <v>0.32432432432432434</v>
      </c>
      <c r="Z1596" t="s">
        <v>2995</v>
      </c>
      <c r="AA1596" t="str">
        <f>IF(AND(SalesCleanTable[[#This Row],[Discount %]]&gt;0, SalesCleanTable[[#This Row],[Profit]]&lt;0), "Discount loss", "Safe")</f>
        <v>Safe</v>
      </c>
      <c r="AB1596" s="25">
        <f>(SalesCleanTable[[#This Row],[Unit Price]] - SalesCleanTable[[#This Row],[Unit Cost]]) / SalesCleanTable[[#This Row],[Unit Price]]</f>
        <v>0.32432432432432434</v>
      </c>
      <c r="AC1596" t="str">
        <f>IF(SalesCleanTable[[#This Row],[Discount %]] &gt; SalesCleanTable[[#This Row],[Max Allowed Discount]], "Discount loss", "Safe")</f>
        <v>Safe</v>
      </c>
      <c r="AD1596" s="4">
        <f>SalesCleanTable[[#This Row],[Unit Price]] - SalesCleanTable[[#This Row],[Unit Cost]]</f>
        <v>6000</v>
      </c>
      <c r="AE1596" s="41">
        <f>(SalesCleanTable[[#This Row],[Unit Price]] - SalesCleanTable[[#This Row],[Unit Cost]]) / SalesCleanTable[[#This Row],[Unit Price]]</f>
        <v>0.32432432432432434</v>
      </c>
    </row>
    <row r="1597" spans="1:31">
      <c r="A1597" t="s">
        <v>1783</v>
      </c>
      <c r="B1597" s="6">
        <v>45868</v>
      </c>
      <c r="C1597" t="s">
        <v>49</v>
      </c>
      <c r="D1597" t="s">
        <v>50</v>
      </c>
      <c r="E1597" t="s">
        <v>38</v>
      </c>
      <c r="F1597" t="s">
        <v>51</v>
      </c>
      <c r="G1597" t="s">
        <v>52</v>
      </c>
      <c r="H1597" t="s">
        <v>139</v>
      </c>
      <c r="I1597" t="s">
        <v>140</v>
      </c>
      <c r="J1597" t="s">
        <v>137</v>
      </c>
      <c r="K1597" t="s">
        <v>138</v>
      </c>
      <c r="L1597" t="s">
        <v>183</v>
      </c>
      <c r="M1597" t="s">
        <v>177</v>
      </c>
      <c r="N1597">
        <v>2</v>
      </c>
      <c r="O1597" s="4">
        <v>550</v>
      </c>
      <c r="P1597" s="4">
        <v>850</v>
      </c>
      <c r="Q1597" s="7">
        <v>0.1</v>
      </c>
      <c r="R1597" t="s">
        <v>175</v>
      </c>
      <c r="S1597">
        <v>6</v>
      </c>
      <c r="T1597">
        <v>1700</v>
      </c>
      <c r="U1597">
        <v>170</v>
      </c>
      <c r="V1597">
        <v>1530</v>
      </c>
      <c r="W1597">
        <v>1100</v>
      </c>
      <c r="X1597">
        <v>430</v>
      </c>
      <c r="Y1597" s="8">
        <v>0.28104575163398693</v>
      </c>
      <c r="Z1597" t="s">
        <v>2996</v>
      </c>
      <c r="AA1597" t="str">
        <f>IF(AND(SalesCleanTable[[#This Row],[Discount %]]&gt;0, SalesCleanTable[[#This Row],[Profit]]&lt;0), "Discount loss", "Safe")</f>
        <v>Safe</v>
      </c>
      <c r="AB1597" s="25">
        <f>(SalesCleanTable[[#This Row],[Unit Price]] - SalesCleanTable[[#This Row],[Unit Cost]]) / SalesCleanTable[[#This Row],[Unit Price]]</f>
        <v>0.35294117647058826</v>
      </c>
      <c r="AC1597" t="str">
        <f>IF(SalesCleanTable[[#This Row],[Discount %]] &gt; SalesCleanTable[[#This Row],[Max Allowed Discount]], "Discount loss", "Safe")</f>
        <v>Safe</v>
      </c>
      <c r="AD1597" s="4">
        <f>SalesCleanTable[[#This Row],[Unit Price]] - SalesCleanTable[[#This Row],[Unit Cost]]</f>
        <v>300</v>
      </c>
      <c r="AE1597" s="41">
        <f>(SalesCleanTable[[#This Row],[Unit Price]] - SalesCleanTable[[#This Row],[Unit Cost]]) / SalesCleanTable[[#This Row],[Unit Price]]</f>
        <v>0.35294117647058826</v>
      </c>
    </row>
    <row r="1598" spans="1:31">
      <c r="A1598" t="s">
        <v>1784</v>
      </c>
      <c r="B1598" s="6">
        <v>45998</v>
      </c>
      <c r="C1598" t="s">
        <v>103</v>
      </c>
      <c r="D1598" t="s">
        <v>104</v>
      </c>
      <c r="E1598" t="s">
        <v>92</v>
      </c>
      <c r="F1598" t="s">
        <v>105</v>
      </c>
      <c r="G1598" t="s">
        <v>106</v>
      </c>
      <c r="H1598" t="s">
        <v>141</v>
      </c>
      <c r="I1598" t="s">
        <v>142</v>
      </c>
      <c r="J1598" t="s">
        <v>143</v>
      </c>
      <c r="K1598" t="s">
        <v>144</v>
      </c>
      <c r="L1598" t="s">
        <v>166</v>
      </c>
      <c r="M1598" t="s">
        <v>167</v>
      </c>
      <c r="N1598">
        <v>3</v>
      </c>
      <c r="O1598" s="4">
        <v>1500</v>
      </c>
      <c r="P1598" s="4">
        <v>2500</v>
      </c>
      <c r="Q1598" s="7">
        <v>0.2</v>
      </c>
      <c r="R1598" t="s">
        <v>217</v>
      </c>
      <c r="S1598">
        <v>8</v>
      </c>
      <c r="T1598">
        <v>7500</v>
      </c>
      <c r="U1598">
        <v>1500</v>
      </c>
      <c r="V1598">
        <v>6000</v>
      </c>
      <c r="W1598">
        <v>4500</v>
      </c>
      <c r="X1598">
        <v>1500</v>
      </c>
      <c r="Y1598" s="8">
        <v>0.25</v>
      </c>
      <c r="Z1598" t="s">
        <v>2996</v>
      </c>
      <c r="AA1598" t="str">
        <f>IF(AND(SalesCleanTable[[#This Row],[Discount %]]&gt;0, SalesCleanTable[[#This Row],[Profit]]&lt;0), "Discount loss", "Safe")</f>
        <v>Safe</v>
      </c>
      <c r="AB1598" s="25">
        <f>(SalesCleanTable[[#This Row],[Unit Price]] - SalesCleanTable[[#This Row],[Unit Cost]]) / SalesCleanTable[[#This Row],[Unit Price]]</f>
        <v>0.4</v>
      </c>
      <c r="AC1598" t="str">
        <f>IF(SalesCleanTable[[#This Row],[Discount %]] &gt; SalesCleanTable[[#This Row],[Max Allowed Discount]], "Discount loss", "Safe")</f>
        <v>Safe</v>
      </c>
      <c r="AD1598" s="4">
        <f>SalesCleanTable[[#This Row],[Unit Price]] - SalesCleanTable[[#This Row],[Unit Cost]]</f>
        <v>1000</v>
      </c>
      <c r="AE1598" s="41">
        <f>(SalesCleanTable[[#This Row],[Unit Price]] - SalesCleanTable[[#This Row],[Unit Cost]]) / SalesCleanTable[[#This Row],[Unit Price]]</f>
        <v>0.4</v>
      </c>
    </row>
    <row r="1599" spans="1:31">
      <c r="A1599" t="s">
        <v>1785</v>
      </c>
      <c r="B1599" s="6">
        <v>45688</v>
      </c>
      <c r="C1599" t="s">
        <v>82</v>
      </c>
      <c r="D1599" t="s">
        <v>83</v>
      </c>
      <c r="E1599" t="s">
        <v>75</v>
      </c>
      <c r="F1599" t="s">
        <v>84</v>
      </c>
      <c r="G1599" t="s">
        <v>85</v>
      </c>
      <c r="H1599" t="s">
        <v>139</v>
      </c>
      <c r="I1599" t="s">
        <v>140</v>
      </c>
      <c r="J1599" t="s">
        <v>137</v>
      </c>
      <c r="K1599" t="s">
        <v>138</v>
      </c>
      <c r="L1599" t="s">
        <v>166</v>
      </c>
      <c r="M1599" t="s">
        <v>167</v>
      </c>
      <c r="N1599">
        <v>1</v>
      </c>
      <c r="O1599" s="4">
        <v>600</v>
      </c>
      <c r="P1599" s="4">
        <v>950</v>
      </c>
      <c r="Q1599" s="7">
        <v>0</v>
      </c>
      <c r="R1599" t="s">
        <v>187</v>
      </c>
      <c r="S1599">
        <v>7</v>
      </c>
      <c r="T1599">
        <v>950</v>
      </c>
      <c r="U1599">
        <v>0</v>
      </c>
      <c r="V1599">
        <v>950</v>
      </c>
      <c r="W1599">
        <v>600</v>
      </c>
      <c r="X1599">
        <v>350</v>
      </c>
      <c r="Y1599" s="8">
        <v>0.36842105263157893</v>
      </c>
      <c r="Z1599" t="s">
        <v>2996</v>
      </c>
      <c r="AA1599" t="str">
        <f>IF(AND(SalesCleanTable[[#This Row],[Discount %]]&gt;0, SalesCleanTable[[#This Row],[Profit]]&lt;0), "Discount loss", "Safe")</f>
        <v>Safe</v>
      </c>
      <c r="AB1599" s="25">
        <f>(SalesCleanTable[[#This Row],[Unit Price]] - SalesCleanTable[[#This Row],[Unit Cost]]) / SalesCleanTable[[#This Row],[Unit Price]]</f>
        <v>0.36842105263157893</v>
      </c>
      <c r="AC1599" t="str">
        <f>IF(SalesCleanTable[[#This Row],[Discount %]] &gt; SalesCleanTable[[#This Row],[Max Allowed Discount]], "Discount loss", "Safe")</f>
        <v>Safe</v>
      </c>
      <c r="AD1599" s="4">
        <f>SalesCleanTable[[#This Row],[Unit Price]] - SalesCleanTable[[#This Row],[Unit Cost]]</f>
        <v>350</v>
      </c>
      <c r="AE1599" s="41">
        <f>(SalesCleanTable[[#This Row],[Unit Price]] - SalesCleanTable[[#This Row],[Unit Cost]]) / SalesCleanTable[[#This Row],[Unit Price]]</f>
        <v>0.36842105263157893</v>
      </c>
    </row>
    <row r="1600" spans="1:31">
      <c r="A1600" t="s">
        <v>1786</v>
      </c>
      <c r="B1600" s="6">
        <v>45900</v>
      </c>
      <c r="C1600" t="s">
        <v>95</v>
      </c>
      <c r="D1600" t="s">
        <v>96</v>
      </c>
      <c r="E1600" t="s">
        <v>92</v>
      </c>
      <c r="F1600" t="s">
        <v>97</v>
      </c>
      <c r="G1600" t="s">
        <v>98</v>
      </c>
      <c r="H1600" t="s">
        <v>139</v>
      </c>
      <c r="I1600" t="s">
        <v>140</v>
      </c>
      <c r="J1600" t="s">
        <v>137</v>
      </c>
      <c r="K1600" t="s">
        <v>138</v>
      </c>
      <c r="L1600" t="s">
        <v>183</v>
      </c>
      <c r="M1600" t="s">
        <v>186</v>
      </c>
      <c r="N1600">
        <v>3</v>
      </c>
      <c r="O1600" s="4">
        <v>18000</v>
      </c>
      <c r="P1600" s="4">
        <v>24500</v>
      </c>
      <c r="Q1600" s="7">
        <v>0.05</v>
      </c>
      <c r="R1600" t="s">
        <v>215</v>
      </c>
      <c r="S1600">
        <v>14</v>
      </c>
      <c r="T1600">
        <v>73500</v>
      </c>
      <c r="U1600">
        <v>3675</v>
      </c>
      <c r="V1600">
        <v>69825</v>
      </c>
      <c r="W1600">
        <v>54000</v>
      </c>
      <c r="X1600">
        <v>15825</v>
      </c>
      <c r="Y1600" s="8">
        <v>0.22663802363050484</v>
      </c>
      <c r="Z1600" t="s">
        <v>2995</v>
      </c>
      <c r="AA1600" t="str">
        <f>IF(AND(SalesCleanTable[[#This Row],[Discount %]]&gt;0, SalesCleanTable[[#This Row],[Profit]]&lt;0), "Discount loss", "Safe")</f>
        <v>Safe</v>
      </c>
      <c r="AB1600" s="25">
        <f>(SalesCleanTable[[#This Row],[Unit Price]] - SalesCleanTable[[#This Row],[Unit Cost]]) / SalesCleanTable[[#This Row],[Unit Price]]</f>
        <v>0.26530612244897961</v>
      </c>
      <c r="AC1600" t="str">
        <f>IF(SalesCleanTable[[#This Row],[Discount %]] &gt; SalesCleanTable[[#This Row],[Max Allowed Discount]], "Discount loss", "Safe")</f>
        <v>Safe</v>
      </c>
      <c r="AD1600" s="4">
        <f>SalesCleanTable[[#This Row],[Unit Price]] - SalesCleanTable[[#This Row],[Unit Cost]]</f>
        <v>6500</v>
      </c>
      <c r="AE1600" s="41">
        <f>(SalesCleanTable[[#This Row],[Unit Price]] - SalesCleanTable[[#This Row],[Unit Cost]]) / SalesCleanTable[[#This Row],[Unit Price]]</f>
        <v>0.26530612244897961</v>
      </c>
    </row>
    <row r="1601" spans="1:31">
      <c r="A1601" t="s">
        <v>1787</v>
      </c>
      <c r="B1601" s="6">
        <v>45902</v>
      </c>
      <c r="C1601" t="s">
        <v>116</v>
      </c>
      <c r="D1601" t="s">
        <v>117</v>
      </c>
      <c r="E1601" t="s">
        <v>109</v>
      </c>
      <c r="F1601" t="s">
        <v>118</v>
      </c>
      <c r="G1601" t="s">
        <v>119</v>
      </c>
      <c r="H1601" t="s">
        <v>135</v>
      </c>
      <c r="I1601" t="s">
        <v>136</v>
      </c>
      <c r="J1601" t="s">
        <v>137</v>
      </c>
      <c r="K1601" t="s">
        <v>138</v>
      </c>
      <c r="L1601" t="s">
        <v>166</v>
      </c>
      <c r="M1601" t="s">
        <v>171</v>
      </c>
      <c r="N1601">
        <v>3</v>
      </c>
      <c r="O1601" s="4">
        <v>2800</v>
      </c>
      <c r="P1601" s="4">
        <v>4200</v>
      </c>
      <c r="Q1601" s="7">
        <v>0.05</v>
      </c>
      <c r="R1601" t="s">
        <v>184</v>
      </c>
      <c r="S1601">
        <v>8</v>
      </c>
      <c r="T1601">
        <v>12600</v>
      </c>
      <c r="U1601">
        <v>630</v>
      </c>
      <c r="V1601">
        <v>11970</v>
      </c>
      <c r="W1601">
        <v>8400</v>
      </c>
      <c r="X1601">
        <v>3570</v>
      </c>
      <c r="Y1601" s="8">
        <v>0.2982456140350877</v>
      </c>
      <c r="Z1601" t="s">
        <v>2995</v>
      </c>
      <c r="AA1601" t="str">
        <f>IF(AND(SalesCleanTable[[#This Row],[Discount %]]&gt;0, SalesCleanTable[[#This Row],[Profit]]&lt;0), "Discount loss", "Safe")</f>
        <v>Safe</v>
      </c>
      <c r="AB1601" s="25">
        <f>(SalesCleanTable[[#This Row],[Unit Price]] - SalesCleanTable[[#This Row],[Unit Cost]]) / SalesCleanTable[[#This Row],[Unit Price]]</f>
        <v>0.33333333333333331</v>
      </c>
      <c r="AC1601" t="str">
        <f>IF(SalesCleanTable[[#This Row],[Discount %]] &gt; SalesCleanTable[[#This Row],[Max Allowed Discount]], "Discount loss", "Safe")</f>
        <v>Safe</v>
      </c>
      <c r="AD1601" s="4">
        <f>SalesCleanTable[[#This Row],[Unit Price]] - SalesCleanTable[[#This Row],[Unit Cost]]</f>
        <v>1400</v>
      </c>
      <c r="AE1601" s="41">
        <f>(SalesCleanTable[[#This Row],[Unit Price]] - SalesCleanTable[[#This Row],[Unit Cost]]) / SalesCleanTable[[#This Row],[Unit Price]]</f>
        <v>0.33333333333333331</v>
      </c>
    </row>
    <row r="1602" spans="1:31">
      <c r="A1602" t="s">
        <v>1788</v>
      </c>
      <c r="B1602" s="6">
        <v>45940</v>
      </c>
      <c r="C1602" t="s">
        <v>57</v>
      </c>
      <c r="D1602" t="s">
        <v>58</v>
      </c>
      <c r="E1602" t="s">
        <v>59</v>
      </c>
      <c r="F1602" t="s">
        <v>60</v>
      </c>
      <c r="G1602" t="s">
        <v>61</v>
      </c>
      <c r="H1602" t="s">
        <v>153</v>
      </c>
      <c r="I1602" t="s">
        <v>154</v>
      </c>
      <c r="J1602" t="s">
        <v>155</v>
      </c>
      <c r="K1602" t="s">
        <v>131</v>
      </c>
      <c r="L1602" t="s">
        <v>166</v>
      </c>
      <c r="M1602" t="s">
        <v>171</v>
      </c>
      <c r="N1602">
        <v>1</v>
      </c>
      <c r="O1602" s="4">
        <v>2400</v>
      </c>
      <c r="P1602" s="4">
        <v>3400</v>
      </c>
      <c r="Q1602" s="7">
        <v>0.1</v>
      </c>
      <c r="R1602" t="s">
        <v>204</v>
      </c>
      <c r="S1602">
        <v>14</v>
      </c>
      <c r="T1602">
        <v>3400</v>
      </c>
      <c r="U1602">
        <v>340</v>
      </c>
      <c r="V1602">
        <v>3060</v>
      </c>
      <c r="W1602">
        <v>2400</v>
      </c>
      <c r="X1602">
        <v>660</v>
      </c>
      <c r="Y1602" s="8">
        <v>0.21568627450980393</v>
      </c>
      <c r="Z1602" t="s">
        <v>2996</v>
      </c>
      <c r="AA1602" t="str">
        <f>IF(AND(SalesCleanTable[[#This Row],[Discount %]]&gt;0, SalesCleanTable[[#This Row],[Profit]]&lt;0), "Discount loss", "Safe")</f>
        <v>Safe</v>
      </c>
      <c r="AB1602" s="25">
        <f>(SalesCleanTable[[#This Row],[Unit Price]] - SalesCleanTable[[#This Row],[Unit Cost]]) / SalesCleanTable[[#This Row],[Unit Price]]</f>
        <v>0.29411764705882354</v>
      </c>
      <c r="AC1602" t="str">
        <f>IF(SalesCleanTable[[#This Row],[Discount %]] &gt; SalesCleanTable[[#This Row],[Max Allowed Discount]], "Discount loss", "Safe")</f>
        <v>Safe</v>
      </c>
      <c r="AD1602" s="4">
        <f>SalesCleanTable[[#This Row],[Unit Price]] - SalesCleanTable[[#This Row],[Unit Cost]]</f>
        <v>1000</v>
      </c>
      <c r="AE1602" s="41">
        <f>(SalesCleanTable[[#This Row],[Unit Price]] - SalesCleanTable[[#This Row],[Unit Cost]]) / SalesCleanTable[[#This Row],[Unit Price]]</f>
        <v>0.29411764705882354</v>
      </c>
    </row>
    <row r="1603" spans="1:31">
      <c r="A1603" t="s">
        <v>1789</v>
      </c>
      <c r="B1603" s="6">
        <v>45816</v>
      </c>
      <c r="C1603" t="s">
        <v>82</v>
      </c>
      <c r="D1603" t="s">
        <v>83</v>
      </c>
      <c r="E1603" t="s">
        <v>75</v>
      </c>
      <c r="F1603" t="s">
        <v>84</v>
      </c>
      <c r="G1603" t="s">
        <v>85</v>
      </c>
      <c r="H1603" t="s">
        <v>128</v>
      </c>
      <c r="I1603" t="s">
        <v>129</v>
      </c>
      <c r="J1603" t="s">
        <v>130</v>
      </c>
      <c r="K1603" t="s">
        <v>131</v>
      </c>
      <c r="L1603" t="s">
        <v>166</v>
      </c>
      <c r="M1603" t="s">
        <v>167</v>
      </c>
      <c r="N1603">
        <v>3</v>
      </c>
      <c r="O1603" s="4">
        <v>600</v>
      </c>
      <c r="P1603" s="4">
        <v>950</v>
      </c>
      <c r="Q1603" s="7">
        <v>0.15</v>
      </c>
      <c r="R1603" t="s">
        <v>187</v>
      </c>
      <c r="S1603">
        <v>13</v>
      </c>
      <c r="T1603">
        <v>2850</v>
      </c>
      <c r="U1603">
        <v>427.5</v>
      </c>
      <c r="V1603">
        <v>2422.5</v>
      </c>
      <c r="W1603">
        <v>1800</v>
      </c>
      <c r="X1603">
        <v>622.5</v>
      </c>
      <c r="Y1603" s="8">
        <v>0.25696594427244585</v>
      </c>
      <c r="Z1603" t="s">
        <v>2996</v>
      </c>
      <c r="AA1603" t="str">
        <f>IF(AND(SalesCleanTable[[#This Row],[Discount %]]&gt;0, SalesCleanTable[[#This Row],[Profit]]&lt;0), "Discount loss", "Safe")</f>
        <v>Safe</v>
      </c>
      <c r="AB1603" s="25">
        <f>(SalesCleanTable[[#This Row],[Unit Price]] - SalesCleanTable[[#This Row],[Unit Cost]]) / SalesCleanTable[[#This Row],[Unit Price]]</f>
        <v>0.36842105263157893</v>
      </c>
      <c r="AC1603" t="str">
        <f>IF(SalesCleanTable[[#This Row],[Discount %]] &gt; SalesCleanTable[[#This Row],[Max Allowed Discount]], "Discount loss", "Safe")</f>
        <v>Safe</v>
      </c>
      <c r="AD1603" s="4">
        <f>SalesCleanTable[[#This Row],[Unit Price]] - SalesCleanTable[[#This Row],[Unit Cost]]</f>
        <v>350</v>
      </c>
      <c r="AE1603" s="41">
        <f>(SalesCleanTable[[#This Row],[Unit Price]] - SalesCleanTable[[#This Row],[Unit Cost]]) / SalesCleanTable[[#This Row],[Unit Price]]</f>
        <v>0.36842105263157893</v>
      </c>
    </row>
    <row r="1604" spans="1:31">
      <c r="A1604" t="s">
        <v>1790</v>
      </c>
      <c r="B1604" s="6">
        <v>45942</v>
      </c>
      <c r="C1604" t="s">
        <v>103</v>
      </c>
      <c r="D1604" t="s">
        <v>104</v>
      </c>
      <c r="E1604" t="s">
        <v>92</v>
      </c>
      <c r="F1604" t="s">
        <v>105</v>
      </c>
      <c r="G1604" t="s">
        <v>106</v>
      </c>
      <c r="H1604" t="s">
        <v>139</v>
      </c>
      <c r="I1604" t="s">
        <v>140</v>
      </c>
      <c r="J1604" t="s">
        <v>137</v>
      </c>
      <c r="K1604" t="s">
        <v>138</v>
      </c>
      <c r="L1604" t="s">
        <v>183</v>
      </c>
      <c r="M1604" t="s">
        <v>171</v>
      </c>
      <c r="N1604">
        <v>8</v>
      </c>
      <c r="O1604" s="4">
        <v>1500</v>
      </c>
      <c r="P1604" s="4">
        <v>2500</v>
      </c>
      <c r="Q1604" s="7">
        <v>0.2</v>
      </c>
      <c r="R1604" t="s">
        <v>181</v>
      </c>
      <c r="S1604">
        <v>3</v>
      </c>
      <c r="T1604">
        <v>20000</v>
      </c>
      <c r="U1604">
        <v>4000</v>
      </c>
      <c r="V1604">
        <v>16000</v>
      </c>
      <c r="W1604">
        <v>12000</v>
      </c>
      <c r="X1604">
        <v>4000</v>
      </c>
      <c r="Y1604" s="8">
        <v>0.25</v>
      </c>
      <c r="Z1604" t="s">
        <v>2996</v>
      </c>
      <c r="AA1604" t="str">
        <f>IF(AND(SalesCleanTable[[#This Row],[Discount %]]&gt;0, SalesCleanTable[[#This Row],[Profit]]&lt;0), "Discount loss", "Safe")</f>
        <v>Safe</v>
      </c>
      <c r="AB1604" s="25">
        <f>(SalesCleanTable[[#This Row],[Unit Price]] - SalesCleanTable[[#This Row],[Unit Cost]]) / SalesCleanTable[[#This Row],[Unit Price]]</f>
        <v>0.4</v>
      </c>
      <c r="AC1604" t="str">
        <f>IF(SalesCleanTable[[#This Row],[Discount %]] &gt; SalesCleanTable[[#This Row],[Max Allowed Discount]], "Discount loss", "Safe")</f>
        <v>Safe</v>
      </c>
      <c r="AD1604" s="4">
        <f>SalesCleanTable[[#This Row],[Unit Price]] - SalesCleanTable[[#This Row],[Unit Cost]]</f>
        <v>1000</v>
      </c>
      <c r="AE1604" s="41">
        <f>(SalesCleanTable[[#This Row],[Unit Price]] - SalesCleanTable[[#This Row],[Unit Cost]]) / SalesCleanTable[[#This Row],[Unit Price]]</f>
        <v>0.4</v>
      </c>
    </row>
    <row r="1605" spans="1:31">
      <c r="A1605" t="s">
        <v>1791</v>
      </c>
      <c r="B1605" s="6">
        <v>45825</v>
      </c>
      <c r="C1605" t="s">
        <v>90</v>
      </c>
      <c r="D1605" t="s">
        <v>91</v>
      </c>
      <c r="E1605" t="s">
        <v>92</v>
      </c>
      <c r="F1605" t="s">
        <v>93</v>
      </c>
      <c r="G1605" t="s">
        <v>94</v>
      </c>
      <c r="H1605" t="s">
        <v>145</v>
      </c>
      <c r="I1605" t="s">
        <v>146</v>
      </c>
      <c r="J1605" t="s">
        <v>147</v>
      </c>
      <c r="K1605" t="s">
        <v>148</v>
      </c>
      <c r="L1605" t="s">
        <v>166</v>
      </c>
      <c r="M1605" t="s">
        <v>177</v>
      </c>
      <c r="N1605">
        <v>2</v>
      </c>
      <c r="O1605" s="4">
        <v>7500</v>
      </c>
      <c r="P1605" s="4">
        <v>10500</v>
      </c>
      <c r="Q1605" s="7">
        <v>0.1</v>
      </c>
      <c r="R1605" t="s">
        <v>215</v>
      </c>
      <c r="S1605">
        <v>5</v>
      </c>
      <c r="T1605">
        <v>21000</v>
      </c>
      <c r="U1605">
        <v>2100</v>
      </c>
      <c r="V1605">
        <v>18900</v>
      </c>
      <c r="W1605">
        <v>15000</v>
      </c>
      <c r="X1605">
        <v>3900</v>
      </c>
      <c r="Y1605" s="8">
        <v>0.20634920634920634</v>
      </c>
      <c r="Z1605" t="s">
        <v>2996</v>
      </c>
      <c r="AA1605" t="str">
        <f>IF(AND(SalesCleanTable[[#This Row],[Discount %]]&gt;0, SalesCleanTable[[#This Row],[Profit]]&lt;0), "Discount loss", "Safe")</f>
        <v>Safe</v>
      </c>
      <c r="AB1605" s="25">
        <f>(SalesCleanTable[[#This Row],[Unit Price]] - SalesCleanTable[[#This Row],[Unit Cost]]) / SalesCleanTable[[#This Row],[Unit Price]]</f>
        <v>0.2857142857142857</v>
      </c>
      <c r="AC1605" t="str">
        <f>IF(SalesCleanTable[[#This Row],[Discount %]] &gt; SalesCleanTable[[#This Row],[Max Allowed Discount]], "Discount loss", "Safe")</f>
        <v>Safe</v>
      </c>
      <c r="AD1605" s="4">
        <f>SalesCleanTable[[#This Row],[Unit Price]] - SalesCleanTable[[#This Row],[Unit Cost]]</f>
        <v>3000</v>
      </c>
      <c r="AE1605" s="41">
        <f>(SalesCleanTable[[#This Row],[Unit Price]] - SalesCleanTable[[#This Row],[Unit Cost]]) / SalesCleanTable[[#This Row],[Unit Price]]</f>
        <v>0.2857142857142857</v>
      </c>
    </row>
    <row r="1606" spans="1:31">
      <c r="A1606" t="s">
        <v>1792</v>
      </c>
      <c r="B1606" s="6">
        <v>45875</v>
      </c>
      <c r="C1606" t="s">
        <v>41</v>
      </c>
      <c r="D1606" t="s">
        <v>42</v>
      </c>
      <c r="E1606" t="s">
        <v>26</v>
      </c>
      <c r="F1606" t="s">
        <v>43</v>
      </c>
      <c r="G1606" t="s">
        <v>44</v>
      </c>
      <c r="H1606" t="s">
        <v>145</v>
      </c>
      <c r="I1606" t="s">
        <v>146</v>
      </c>
      <c r="J1606" t="s">
        <v>147</v>
      </c>
      <c r="K1606" t="s">
        <v>148</v>
      </c>
      <c r="L1606" t="s">
        <v>183</v>
      </c>
      <c r="M1606" t="s">
        <v>171</v>
      </c>
      <c r="N1606">
        <v>3</v>
      </c>
      <c r="O1606" s="4">
        <v>850</v>
      </c>
      <c r="P1606" s="4">
        <v>1300</v>
      </c>
      <c r="Q1606" s="7">
        <v>0.1</v>
      </c>
      <c r="R1606" t="s">
        <v>173</v>
      </c>
      <c r="S1606">
        <v>10</v>
      </c>
      <c r="T1606">
        <v>3900</v>
      </c>
      <c r="U1606">
        <v>390</v>
      </c>
      <c r="V1606">
        <v>3510</v>
      </c>
      <c r="W1606">
        <v>2550</v>
      </c>
      <c r="X1606">
        <v>960</v>
      </c>
      <c r="Y1606" s="8">
        <v>0.27350427350427353</v>
      </c>
      <c r="Z1606" t="s">
        <v>2995</v>
      </c>
      <c r="AA1606" t="str">
        <f>IF(AND(SalesCleanTable[[#This Row],[Discount %]]&gt;0, SalesCleanTable[[#This Row],[Profit]]&lt;0), "Discount loss", "Safe")</f>
        <v>Safe</v>
      </c>
      <c r="AB1606" s="25">
        <f>(SalesCleanTable[[#This Row],[Unit Price]] - SalesCleanTable[[#This Row],[Unit Cost]]) / SalesCleanTable[[#This Row],[Unit Price]]</f>
        <v>0.34615384615384615</v>
      </c>
      <c r="AC1606" t="str">
        <f>IF(SalesCleanTable[[#This Row],[Discount %]] &gt; SalesCleanTable[[#This Row],[Max Allowed Discount]], "Discount loss", "Safe")</f>
        <v>Safe</v>
      </c>
      <c r="AD1606" s="4">
        <f>SalesCleanTable[[#This Row],[Unit Price]] - SalesCleanTable[[#This Row],[Unit Cost]]</f>
        <v>450</v>
      </c>
      <c r="AE1606" s="41">
        <f>(SalesCleanTable[[#This Row],[Unit Price]] - SalesCleanTable[[#This Row],[Unit Cost]]) / SalesCleanTable[[#This Row],[Unit Price]]</f>
        <v>0.34615384615384615</v>
      </c>
    </row>
    <row r="1607" spans="1:31">
      <c r="A1607" t="s">
        <v>1793</v>
      </c>
      <c r="B1607" s="6">
        <v>45852</v>
      </c>
      <c r="C1607" t="s">
        <v>53</v>
      </c>
      <c r="D1607" t="s">
        <v>54</v>
      </c>
      <c r="E1607" t="s">
        <v>38</v>
      </c>
      <c r="F1607" t="s">
        <v>55</v>
      </c>
      <c r="G1607" t="s">
        <v>56</v>
      </c>
      <c r="H1607" t="s">
        <v>133</v>
      </c>
      <c r="I1607" t="s">
        <v>134</v>
      </c>
      <c r="J1607" t="s">
        <v>130</v>
      </c>
      <c r="K1607" t="s">
        <v>131</v>
      </c>
      <c r="L1607" t="s">
        <v>166</v>
      </c>
      <c r="M1607" t="s">
        <v>186</v>
      </c>
      <c r="N1607">
        <v>2</v>
      </c>
      <c r="O1607" s="4">
        <v>330</v>
      </c>
      <c r="P1607" s="4">
        <v>550</v>
      </c>
      <c r="Q1607" s="7">
        <v>0</v>
      </c>
      <c r="R1607" t="s">
        <v>178</v>
      </c>
      <c r="S1607">
        <v>9</v>
      </c>
      <c r="T1607">
        <v>1100</v>
      </c>
      <c r="U1607">
        <v>0</v>
      </c>
      <c r="V1607">
        <v>1100</v>
      </c>
      <c r="W1607">
        <v>660</v>
      </c>
      <c r="X1607">
        <v>440</v>
      </c>
      <c r="Y1607" s="8">
        <v>0.4</v>
      </c>
      <c r="Z1607" t="s">
        <v>2996</v>
      </c>
      <c r="AA1607" t="str">
        <f>IF(AND(SalesCleanTable[[#This Row],[Discount %]]&gt;0, SalesCleanTable[[#This Row],[Profit]]&lt;0), "Discount loss", "Safe")</f>
        <v>Safe</v>
      </c>
      <c r="AB1607" s="25">
        <f>(SalesCleanTable[[#This Row],[Unit Price]] - SalesCleanTable[[#This Row],[Unit Cost]]) / SalesCleanTable[[#This Row],[Unit Price]]</f>
        <v>0.4</v>
      </c>
      <c r="AC1607" t="str">
        <f>IF(SalesCleanTable[[#This Row],[Discount %]] &gt; SalesCleanTable[[#This Row],[Max Allowed Discount]], "Discount loss", "Safe")</f>
        <v>Safe</v>
      </c>
      <c r="AD1607" s="4">
        <f>SalesCleanTable[[#This Row],[Unit Price]] - SalesCleanTable[[#This Row],[Unit Cost]]</f>
        <v>220</v>
      </c>
      <c r="AE1607" s="41">
        <f>(SalesCleanTable[[#This Row],[Unit Price]] - SalesCleanTable[[#This Row],[Unit Cost]]) / SalesCleanTable[[#This Row],[Unit Price]]</f>
        <v>0.4</v>
      </c>
    </row>
    <row r="1608" spans="1:31">
      <c r="A1608" t="s">
        <v>1794</v>
      </c>
      <c r="B1608" s="6">
        <v>45774</v>
      </c>
      <c r="C1608" t="s">
        <v>53</v>
      </c>
      <c r="D1608" t="s">
        <v>54</v>
      </c>
      <c r="E1608" t="s">
        <v>38</v>
      </c>
      <c r="F1608" t="s">
        <v>55</v>
      </c>
      <c r="G1608" t="s">
        <v>56</v>
      </c>
      <c r="H1608" t="s">
        <v>139</v>
      </c>
      <c r="I1608" t="s">
        <v>140</v>
      </c>
      <c r="J1608" t="s">
        <v>137</v>
      </c>
      <c r="K1608" t="s">
        <v>138</v>
      </c>
      <c r="L1608" t="s">
        <v>183</v>
      </c>
      <c r="M1608" t="s">
        <v>167</v>
      </c>
      <c r="N1608">
        <v>4</v>
      </c>
      <c r="O1608" s="4">
        <v>330</v>
      </c>
      <c r="P1608" s="4">
        <v>550</v>
      </c>
      <c r="Q1608" s="7">
        <v>0</v>
      </c>
      <c r="R1608" t="s">
        <v>178</v>
      </c>
      <c r="S1608">
        <v>4</v>
      </c>
      <c r="T1608">
        <v>2200</v>
      </c>
      <c r="U1608">
        <v>0</v>
      </c>
      <c r="V1608">
        <v>2200</v>
      </c>
      <c r="W1608">
        <v>1320</v>
      </c>
      <c r="X1608">
        <v>880</v>
      </c>
      <c r="Y1608" s="8">
        <v>0.4</v>
      </c>
      <c r="Z1608" t="s">
        <v>2996</v>
      </c>
      <c r="AA1608" t="str">
        <f>IF(AND(SalesCleanTable[[#This Row],[Discount %]]&gt;0, SalesCleanTable[[#This Row],[Profit]]&lt;0), "Discount loss", "Safe")</f>
        <v>Safe</v>
      </c>
      <c r="AB1608" s="25">
        <f>(SalesCleanTable[[#This Row],[Unit Price]] - SalesCleanTable[[#This Row],[Unit Cost]]) / SalesCleanTable[[#This Row],[Unit Price]]</f>
        <v>0.4</v>
      </c>
      <c r="AC1608" t="str">
        <f>IF(SalesCleanTable[[#This Row],[Discount %]] &gt; SalesCleanTable[[#This Row],[Max Allowed Discount]], "Discount loss", "Safe")</f>
        <v>Safe</v>
      </c>
      <c r="AD1608" s="4">
        <f>SalesCleanTable[[#This Row],[Unit Price]] - SalesCleanTable[[#This Row],[Unit Cost]]</f>
        <v>220</v>
      </c>
      <c r="AE1608" s="41">
        <f>(SalesCleanTable[[#This Row],[Unit Price]] - SalesCleanTable[[#This Row],[Unit Cost]]) / SalesCleanTable[[#This Row],[Unit Price]]</f>
        <v>0.4</v>
      </c>
    </row>
    <row r="1609" spans="1:31">
      <c r="A1609" t="s">
        <v>1795</v>
      </c>
      <c r="B1609" s="6">
        <v>45931</v>
      </c>
      <c r="C1609" t="s">
        <v>120</v>
      </c>
      <c r="D1609" t="s">
        <v>121</v>
      </c>
      <c r="E1609" t="s">
        <v>109</v>
      </c>
      <c r="F1609" t="s">
        <v>93</v>
      </c>
      <c r="G1609" t="s">
        <v>122</v>
      </c>
      <c r="H1609" t="s">
        <v>128</v>
      </c>
      <c r="I1609" t="s">
        <v>129</v>
      </c>
      <c r="J1609" t="s">
        <v>130</v>
      </c>
      <c r="K1609" t="s">
        <v>131</v>
      </c>
      <c r="L1609" t="s">
        <v>166</v>
      </c>
      <c r="M1609" t="s">
        <v>177</v>
      </c>
      <c r="N1609">
        <v>4</v>
      </c>
      <c r="O1609" s="4">
        <v>1700</v>
      </c>
      <c r="P1609" s="4">
        <v>2800</v>
      </c>
      <c r="Q1609" s="7">
        <v>0.25</v>
      </c>
      <c r="R1609" t="s">
        <v>184</v>
      </c>
      <c r="S1609">
        <v>4</v>
      </c>
      <c r="T1609">
        <v>11200</v>
      </c>
      <c r="U1609">
        <v>2800</v>
      </c>
      <c r="V1609">
        <v>8400</v>
      </c>
      <c r="W1609">
        <v>6800</v>
      </c>
      <c r="X1609">
        <v>1600</v>
      </c>
      <c r="Y1609" s="8">
        <v>0.19047619047619047</v>
      </c>
      <c r="Z1609" t="s">
        <v>2997</v>
      </c>
      <c r="AA1609" t="str">
        <f>IF(AND(SalesCleanTable[[#This Row],[Discount %]]&gt;0, SalesCleanTable[[#This Row],[Profit]]&lt;0), "Discount loss", "Safe")</f>
        <v>Safe</v>
      </c>
      <c r="AB1609" s="25">
        <f>(SalesCleanTable[[#This Row],[Unit Price]] - SalesCleanTable[[#This Row],[Unit Cost]]) / SalesCleanTable[[#This Row],[Unit Price]]</f>
        <v>0.39285714285714285</v>
      </c>
      <c r="AC1609" t="str">
        <f>IF(SalesCleanTable[[#This Row],[Discount %]] &gt; SalesCleanTable[[#This Row],[Max Allowed Discount]], "Discount loss", "Safe")</f>
        <v>Safe</v>
      </c>
      <c r="AD1609" s="4">
        <f>SalesCleanTable[[#This Row],[Unit Price]] - SalesCleanTable[[#This Row],[Unit Cost]]</f>
        <v>1100</v>
      </c>
      <c r="AE1609" s="41">
        <f>(SalesCleanTable[[#This Row],[Unit Price]] - SalesCleanTable[[#This Row],[Unit Cost]]) / SalesCleanTable[[#This Row],[Unit Price]]</f>
        <v>0.39285714285714285</v>
      </c>
    </row>
    <row r="1610" spans="1:31">
      <c r="A1610" t="s">
        <v>1796</v>
      </c>
      <c r="B1610" s="6">
        <v>45707</v>
      </c>
      <c r="C1610" t="s">
        <v>24</v>
      </c>
      <c r="D1610" t="s">
        <v>25</v>
      </c>
      <c r="E1610" t="s">
        <v>26</v>
      </c>
      <c r="F1610" t="s">
        <v>27</v>
      </c>
      <c r="G1610" t="s">
        <v>28</v>
      </c>
      <c r="H1610" t="s">
        <v>128</v>
      </c>
      <c r="I1610" t="s">
        <v>129</v>
      </c>
      <c r="J1610" t="s">
        <v>130</v>
      </c>
      <c r="K1610" t="s">
        <v>131</v>
      </c>
      <c r="L1610" t="s">
        <v>166</v>
      </c>
      <c r="M1610" t="s">
        <v>171</v>
      </c>
      <c r="N1610">
        <v>3</v>
      </c>
      <c r="O1610" s="4">
        <v>14500</v>
      </c>
      <c r="P1610" s="4">
        <v>17500</v>
      </c>
      <c r="Q1610" s="7">
        <v>0</v>
      </c>
      <c r="R1610" t="s">
        <v>194</v>
      </c>
      <c r="S1610">
        <v>4</v>
      </c>
      <c r="T1610">
        <v>52500</v>
      </c>
      <c r="U1610">
        <v>0</v>
      </c>
      <c r="V1610">
        <v>52500</v>
      </c>
      <c r="W1610">
        <v>43500</v>
      </c>
      <c r="X1610">
        <v>9000</v>
      </c>
      <c r="Y1610" s="8">
        <v>0.17142857142857143</v>
      </c>
      <c r="Z1610" t="s">
        <v>2995</v>
      </c>
      <c r="AA1610" t="str">
        <f>IF(AND(SalesCleanTable[[#This Row],[Discount %]]&gt;0, SalesCleanTable[[#This Row],[Profit]]&lt;0), "Discount loss", "Safe")</f>
        <v>Safe</v>
      </c>
      <c r="AB1610" s="25">
        <f>(SalesCleanTable[[#This Row],[Unit Price]] - SalesCleanTable[[#This Row],[Unit Cost]]) / SalesCleanTable[[#This Row],[Unit Price]]</f>
        <v>0.17142857142857143</v>
      </c>
      <c r="AC1610" t="str">
        <f>IF(SalesCleanTable[[#This Row],[Discount %]] &gt; SalesCleanTable[[#This Row],[Max Allowed Discount]], "Discount loss", "Safe")</f>
        <v>Safe</v>
      </c>
      <c r="AD1610" s="4">
        <f>SalesCleanTable[[#This Row],[Unit Price]] - SalesCleanTable[[#This Row],[Unit Cost]]</f>
        <v>3000</v>
      </c>
      <c r="AE1610" s="41">
        <f>(SalesCleanTable[[#This Row],[Unit Price]] - SalesCleanTable[[#This Row],[Unit Cost]]) / SalesCleanTable[[#This Row],[Unit Price]]</f>
        <v>0.17142857142857143</v>
      </c>
    </row>
    <row r="1611" spans="1:31">
      <c r="A1611" t="s">
        <v>1797</v>
      </c>
      <c r="B1611" s="6">
        <v>45779</v>
      </c>
      <c r="C1611" t="s">
        <v>69</v>
      </c>
      <c r="D1611" t="s">
        <v>70</v>
      </c>
      <c r="E1611" t="s">
        <v>59</v>
      </c>
      <c r="F1611" t="s">
        <v>71</v>
      </c>
      <c r="G1611" t="s">
        <v>72</v>
      </c>
      <c r="H1611" t="s">
        <v>128</v>
      </c>
      <c r="I1611" t="s">
        <v>129</v>
      </c>
      <c r="J1611" t="s">
        <v>130</v>
      </c>
      <c r="K1611" t="s">
        <v>131</v>
      </c>
      <c r="L1611" t="s">
        <v>183</v>
      </c>
      <c r="M1611" t="s">
        <v>171</v>
      </c>
      <c r="N1611">
        <v>2</v>
      </c>
      <c r="O1611" s="4">
        <v>1700</v>
      </c>
      <c r="P1611" s="4">
        <v>2600</v>
      </c>
      <c r="Q1611" s="7">
        <v>0.1</v>
      </c>
      <c r="R1611" t="s">
        <v>192</v>
      </c>
      <c r="S1611">
        <v>1</v>
      </c>
      <c r="T1611">
        <v>5200</v>
      </c>
      <c r="U1611">
        <v>520</v>
      </c>
      <c r="V1611">
        <v>4680</v>
      </c>
      <c r="W1611">
        <v>3400</v>
      </c>
      <c r="X1611">
        <v>1280</v>
      </c>
      <c r="Y1611" s="8">
        <v>0.27350427350427353</v>
      </c>
      <c r="Z1611" t="s">
        <v>2997</v>
      </c>
      <c r="AA1611" t="str">
        <f>IF(AND(SalesCleanTable[[#This Row],[Discount %]]&gt;0, SalesCleanTable[[#This Row],[Profit]]&lt;0), "Discount loss", "Safe")</f>
        <v>Safe</v>
      </c>
      <c r="AB1611" s="25">
        <f>(SalesCleanTable[[#This Row],[Unit Price]] - SalesCleanTable[[#This Row],[Unit Cost]]) / SalesCleanTable[[#This Row],[Unit Price]]</f>
        <v>0.34615384615384615</v>
      </c>
      <c r="AC1611" t="str">
        <f>IF(SalesCleanTable[[#This Row],[Discount %]] &gt; SalesCleanTable[[#This Row],[Max Allowed Discount]], "Discount loss", "Safe")</f>
        <v>Safe</v>
      </c>
      <c r="AD1611" s="4">
        <f>SalesCleanTable[[#This Row],[Unit Price]] - SalesCleanTable[[#This Row],[Unit Cost]]</f>
        <v>900</v>
      </c>
      <c r="AE1611" s="41">
        <f>(SalesCleanTable[[#This Row],[Unit Price]] - SalesCleanTable[[#This Row],[Unit Cost]]) / SalesCleanTable[[#This Row],[Unit Price]]</f>
        <v>0.34615384615384615</v>
      </c>
    </row>
    <row r="1612" spans="1:31">
      <c r="A1612" t="s">
        <v>1798</v>
      </c>
      <c r="B1612" s="6">
        <v>45799</v>
      </c>
      <c r="C1612" t="s">
        <v>62</v>
      </c>
      <c r="D1612" t="s">
        <v>63</v>
      </c>
      <c r="E1612" t="s">
        <v>59</v>
      </c>
      <c r="F1612" t="s">
        <v>64</v>
      </c>
      <c r="G1612" t="s">
        <v>65</v>
      </c>
      <c r="H1612" t="s">
        <v>141</v>
      </c>
      <c r="I1612" t="s">
        <v>142</v>
      </c>
      <c r="J1612" t="s">
        <v>143</v>
      </c>
      <c r="K1612" t="s">
        <v>144</v>
      </c>
      <c r="L1612" t="s">
        <v>183</v>
      </c>
      <c r="M1612" t="s">
        <v>171</v>
      </c>
      <c r="N1612">
        <v>4</v>
      </c>
      <c r="O1612" s="4">
        <v>3200</v>
      </c>
      <c r="P1612" s="4">
        <v>4500</v>
      </c>
      <c r="Q1612" s="7">
        <v>0</v>
      </c>
      <c r="R1612" t="s">
        <v>192</v>
      </c>
      <c r="S1612">
        <v>13</v>
      </c>
      <c r="T1612">
        <v>18000</v>
      </c>
      <c r="U1612">
        <v>0</v>
      </c>
      <c r="V1612">
        <v>18000</v>
      </c>
      <c r="W1612">
        <v>12800</v>
      </c>
      <c r="X1612">
        <v>5200</v>
      </c>
      <c r="Y1612" s="8">
        <v>0.28888888888888886</v>
      </c>
      <c r="Z1612" t="s">
        <v>2996</v>
      </c>
      <c r="AA1612" t="str">
        <f>IF(AND(SalesCleanTable[[#This Row],[Discount %]]&gt;0, SalesCleanTable[[#This Row],[Profit]]&lt;0), "Discount loss", "Safe")</f>
        <v>Safe</v>
      </c>
      <c r="AB1612" s="25">
        <f>(SalesCleanTable[[#This Row],[Unit Price]] - SalesCleanTable[[#This Row],[Unit Cost]]) / SalesCleanTable[[#This Row],[Unit Price]]</f>
        <v>0.28888888888888886</v>
      </c>
      <c r="AC1612" t="str">
        <f>IF(SalesCleanTable[[#This Row],[Discount %]] &gt; SalesCleanTable[[#This Row],[Max Allowed Discount]], "Discount loss", "Safe")</f>
        <v>Safe</v>
      </c>
      <c r="AD1612" s="4">
        <f>SalesCleanTable[[#This Row],[Unit Price]] - SalesCleanTable[[#This Row],[Unit Cost]]</f>
        <v>1300</v>
      </c>
      <c r="AE1612" s="41">
        <f>(SalesCleanTable[[#This Row],[Unit Price]] - SalesCleanTable[[#This Row],[Unit Cost]]) / SalesCleanTable[[#This Row],[Unit Price]]</f>
        <v>0.28888888888888886</v>
      </c>
    </row>
    <row r="1613" spans="1:31">
      <c r="A1613" t="s">
        <v>1799</v>
      </c>
      <c r="B1613" s="6">
        <v>45827</v>
      </c>
      <c r="C1613" t="s">
        <v>32</v>
      </c>
      <c r="D1613" t="s">
        <v>33</v>
      </c>
      <c r="E1613" t="s">
        <v>26</v>
      </c>
      <c r="F1613" t="s">
        <v>34</v>
      </c>
      <c r="G1613" t="s">
        <v>35</v>
      </c>
      <c r="H1613" t="s">
        <v>139</v>
      </c>
      <c r="I1613" t="s">
        <v>140</v>
      </c>
      <c r="J1613" t="s">
        <v>137</v>
      </c>
      <c r="K1613" t="s">
        <v>138</v>
      </c>
      <c r="L1613" t="s">
        <v>166</v>
      </c>
      <c r="M1613" t="s">
        <v>171</v>
      </c>
      <c r="N1613">
        <v>2</v>
      </c>
      <c r="O1613" s="4">
        <v>7800</v>
      </c>
      <c r="P1613" s="4">
        <v>9800</v>
      </c>
      <c r="Q1613" s="7">
        <v>0.1</v>
      </c>
      <c r="R1613" t="s">
        <v>194</v>
      </c>
      <c r="S1613">
        <v>13</v>
      </c>
      <c r="T1613">
        <v>19600</v>
      </c>
      <c r="U1613">
        <v>1960</v>
      </c>
      <c r="V1613">
        <v>17640</v>
      </c>
      <c r="W1613">
        <v>15600</v>
      </c>
      <c r="X1613">
        <v>2040</v>
      </c>
      <c r="Y1613" s="8">
        <v>0.11564625850340136</v>
      </c>
      <c r="Z1613" t="s">
        <v>2995</v>
      </c>
      <c r="AA1613" t="str">
        <f>IF(AND(SalesCleanTable[[#This Row],[Discount %]]&gt;0, SalesCleanTable[[#This Row],[Profit]]&lt;0), "Discount loss", "Safe")</f>
        <v>Safe</v>
      </c>
      <c r="AB1613" s="25">
        <f>(SalesCleanTable[[#This Row],[Unit Price]] - SalesCleanTable[[#This Row],[Unit Cost]]) / SalesCleanTable[[#This Row],[Unit Price]]</f>
        <v>0.20408163265306123</v>
      </c>
      <c r="AC1613" t="str">
        <f>IF(SalesCleanTable[[#This Row],[Discount %]] &gt; SalesCleanTable[[#This Row],[Max Allowed Discount]], "Discount loss", "Safe")</f>
        <v>Safe</v>
      </c>
      <c r="AD1613" s="4">
        <f>SalesCleanTable[[#This Row],[Unit Price]] - SalesCleanTable[[#This Row],[Unit Cost]]</f>
        <v>2000</v>
      </c>
      <c r="AE1613" s="41">
        <f>(SalesCleanTable[[#This Row],[Unit Price]] - SalesCleanTable[[#This Row],[Unit Cost]]) / SalesCleanTable[[#This Row],[Unit Price]]</f>
        <v>0.20408163265306123</v>
      </c>
    </row>
    <row r="1614" spans="1:31">
      <c r="A1614" t="s">
        <v>1800</v>
      </c>
      <c r="B1614" s="6">
        <v>46014</v>
      </c>
      <c r="C1614" t="s">
        <v>36</v>
      </c>
      <c r="D1614" t="s">
        <v>37</v>
      </c>
      <c r="E1614" t="s">
        <v>38</v>
      </c>
      <c r="F1614" t="s">
        <v>39</v>
      </c>
      <c r="G1614" t="s">
        <v>40</v>
      </c>
      <c r="H1614" t="s">
        <v>145</v>
      </c>
      <c r="I1614" t="s">
        <v>146</v>
      </c>
      <c r="J1614" t="s">
        <v>147</v>
      </c>
      <c r="K1614" t="s">
        <v>148</v>
      </c>
      <c r="L1614" t="s">
        <v>183</v>
      </c>
      <c r="M1614" t="s">
        <v>177</v>
      </c>
      <c r="N1614">
        <v>10</v>
      </c>
      <c r="O1614" s="4">
        <v>1650</v>
      </c>
      <c r="P1614" s="4">
        <v>2200</v>
      </c>
      <c r="Q1614" s="7">
        <v>0.1</v>
      </c>
      <c r="R1614" t="s">
        <v>178</v>
      </c>
      <c r="S1614">
        <v>4</v>
      </c>
      <c r="T1614">
        <v>22000</v>
      </c>
      <c r="U1614">
        <v>2200</v>
      </c>
      <c r="V1614">
        <v>19800</v>
      </c>
      <c r="W1614">
        <v>16500</v>
      </c>
      <c r="X1614">
        <v>3300</v>
      </c>
      <c r="Y1614" s="8">
        <v>0.16666666666666666</v>
      </c>
      <c r="Z1614" t="s">
        <v>2995</v>
      </c>
      <c r="AA1614" t="str">
        <f>IF(AND(SalesCleanTable[[#This Row],[Discount %]]&gt;0, SalesCleanTable[[#This Row],[Profit]]&lt;0), "Discount loss", "Safe")</f>
        <v>Safe</v>
      </c>
      <c r="AB1614" s="25">
        <f>(SalesCleanTable[[#This Row],[Unit Price]] - SalesCleanTable[[#This Row],[Unit Cost]]) / SalesCleanTable[[#This Row],[Unit Price]]</f>
        <v>0.25</v>
      </c>
      <c r="AC1614" t="str">
        <f>IF(SalesCleanTable[[#This Row],[Discount %]] &gt; SalesCleanTable[[#This Row],[Max Allowed Discount]], "Discount loss", "Safe")</f>
        <v>Safe</v>
      </c>
      <c r="AD1614" s="4">
        <f>SalesCleanTable[[#This Row],[Unit Price]] - SalesCleanTable[[#This Row],[Unit Cost]]</f>
        <v>550</v>
      </c>
      <c r="AE1614" s="41">
        <f>(SalesCleanTable[[#This Row],[Unit Price]] - SalesCleanTable[[#This Row],[Unit Cost]]) / SalesCleanTable[[#This Row],[Unit Price]]</f>
        <v>0.25</v>
      </c>
    </row>
    <row r="1615" spans="1:31">
      <c r="A1615" t="s">
        <v>1801</v>
      </c>
      <c r="B1615" s="6">
        <v>45749</v>
      </c>
      <c r="C1615" t="s">
        <v>36</v>
      </c>
      <c r="D1615" t="s">
        <v>37</v>
      </c>
      <c r="E1615" t="s">
        <v>38</v>
      </c>
      <c r="F1615" t="s">
        <v>39</v>
      </c>
      <c r="G1615" t="s">
        <v>40</v>
      </c>
      <c r="H1615" t="s">
        <v>133</v>
      </c>
      <c r="I1615" t="s">
        <v>134</v>
      </c>
      <c r="J1615" t="s">
        <v>130</v>
      </c>
      <c r="K1615" t="s">
        <v>131</v>
      </c>
      <c r="L1615" t="s">
        <v>183</v>
      </c>
      <c r="M1615" t="s">
        <v>167</v>
      </c>
      <c r="N1615">
        <v>1</v>
      </c>
      <c r="O1615" s="4">
        <v>1650</v>
      </c>
      <c r="P1615" s="4">
        <v>2200</v>
      </c>
      <c r="Q1615" s="7">
        <v>0.05</v>
      </c>
      <c r="R1615" t="s">
        <v>178</v>
      </c>
      <c r="S1615">
        <v>1</v>
      </c>
      <c r="T1615">
        <v>2200</v>
      </c>
      <c r="U1615">
        <v>110</v>
      </c>
      <c r="V1615">
        <v>2090</v>
      </c>
      <c r="W1615">
        <v>1650</v>
      </c>
      <c r="X1615">
        <v>440</v>
      </c>
      <c r="Y1615" s="8">
        <v>0.21052631578947367</v>
      </c>
      <c r="Z1615" t="s">
        <v>2995</v>
      </c>
      <c r="AA1615" t="str">
        <f>IF(AND(SalesCleanTable[[#This Row],[Discount %]]&gt;0, SalesCleanTable[[#This Row],[Profit]]&lt;0), "Discount loss", "Safe")</f>
        <v>Safe</v>
      </c>
      <c r="AB1615" s="25">
        <f>(SalesCleanTable[[#This Row],[Unit Price]] - SalesCleanTable[[#This Row],[Unit Cost]]) / SalesCleanTable[[#This Row],[Unit Price]]</f>
        <v>0.25</v>
      </c>
      <c r="AC1615" t="str">
        <f>IF(SalesCleanTable[[#This Row],[Discount %]] &gt; SalesCleanTable[[#This Row],[Max Allowed Discount]], "Discount loss", "Safe")</f>
        <v>Safe</v>
      </c>
      <c r="AD1615" s="4">
        <f>SalesCleanTable[[#This Row],[Unit Price]] - SalesCleanTable[[#This Row],[Unit Cost]]</f>
        <v>550</v>
      </c>
      <c r="AE1615" s="41">
        <f>(SalesCleanTable[[#This Row],[Unit Price]] - SalesCleanTable[[#This Row],[Unit Cost]]) / SalesCleanTable[[#This Row],[Unit Price]]</f>
        <v>0.25</v>
      </c>
    </row>
    <row r="1616" spans="1:31">
      <c r="A1616" t="s">
        <v>1802</v>
      </c>
      <c r="B1616" s="6">
        <v>45762</v>
      </c>
      <c r="C1616" t="s">
        <v>49</v>
      </c>
      <c r="D1616" t="s">
        <v>50</v>
      </c>
      <c r="E1616" t="s">
        <v>38</v>
      </c>
      <c r="F1616" t="s">
        <v>51</v>
      </c>
      <c r="G1616" t="s">
        <v>52</v>
      </c>
      <c r="H1616" t="s">
        <v>145</v>
      </c>
      <c r="I1616" t="s">
        <v>146</v>
      </c>
      <c r="J1616" t="s">
        <v>147</v>
      </c>
      <c r="K1616" t="s">
        <v>148</v>
      </c>
      <c r="L1616" t="s">
        <v>166</v>
      </c>
      <c r="M1616" t="s">
        <v>171</v>
      </c>
      <c r="N1616">
        <v>4</v>
      </c>
      <c r="O1616" s="4">
        <v>550</v>
      </c>
      <c r="P1616" s="4">
        <v>850</v>
      </c>
      <c r="Q1616" s="7">
        <v>0.15</v>
      </c>
      <c r="R1616" t="s">
        <v>178</v>
      </c>
      <c r="S1616">
        <v>8</v>
      </c>
      <c r="T1616">
        <v>3400</v>
      </c>
      <c r="U1616">
        <v>510</v>
      </c>
      <c r="V1616">
        <v>2890</v>
      </c>
      <c r="W1616">
        <v>2200</v>
      </c>
      <c r="X1616">
        <v>690</v>
      </c>
      <c r="Y1616" s="8">
        <v>0.23875432525951557</v>
      </c>
      <c r="Z1616" t="s">
        <v>2996</v>
      </c>
      <c r="AA1616" t="str">
        <f>IF(AND(SalesCleanTable[[#This Row],[Discount %]]&gt;0, SalesCleanTable[[#This Row],[Profit]]&lt;0), "Discount loss", "Safe")</f>
        <v>Safe</v>
      </c>
      <c r="AB1616" s="25">
        <f>(SalesCleanTable[[#This Row],[Unit Price]] - SalesCleanTable[[#This Row],[Unit Cost]]) / SalesCleanTable[[#This Row],[Unit Price]]</f>
        <v>0.35294117647058826</v>
      </c>
      <c r="AC1616" t="str">
        <f>IF(SalesCleanTable[[#This Row],[Discount %]] &gt; SalesCleanTable[[#This Row],[Max Allowed Discount]], "Discount loss", "Safe")</f>
        <v>Safe</v>
      </c>
      <c r="AD1616" s="4">
        <f>SalesCleanTable[[#This Row],[Unit Price]] - SalesCleanTable[[#This Row],[Unit Cost]]</f>
        <v>300</v>
      </c>
      <c r="AE1616" s="41">
        <f>(SalesCleanTable[[#This Row],[Unit Price]] - SalesCleanTable[[#This Row],[Unit Cost]]) / SalesCleanTable[[#This Row],[Unit Price]]</f>
        <v>0.35294117647058826</v>
      </c>
    </row>
    <row r="1617" spans="1:31">
      <c r="A1617" t="s">
        <v>1803</v>
      </c>
      <c r="B1617" s="6">
        <v>45745</v>
      </c>
      <c r="C1617" t="s">
        <v>49</v>
      </c>
      <c r="D1617" t="s">
        <v>50</v>
      </c>
      <c r="E1617" t="s">
        <v>38</v>
      </c>
      <c r="F1617" t="s">
        <v>51</v>
      </c>
      <c r="G1617" t="s">
        <v>52</v>
      </c>
      <c r="H1617" t="s">
        <v>139</v>
      </c>
      <c r="I1617" t="s">
        <v>140</v>
      </c>
      <c r="J1617" t="s">
        <v>137</v>
      </c>
      <c r="K1617" t="s">
        <v>138</v>
      </c>
      <c r="L1617" t="s">
        <v>166</v>
      </c>
      <c r="M1617" t="s">
        <v>171</v>
      </c>
      <c r="N1617">
        <v>4</v>
      </c>
      <c r="O1617" s="4">
        <v>550</v>
      </c>
      <c r="P1617" s="4">
        <v>850</v>
      </c>
      <c r="Q1617" s="7">
        <v>0.15</v>
      </c>
      <c r="R1617" t="s">
        <v>178</v>
      </c>
      <c r="S1617">
        <v>2</v>
      </c>
      <c r="T1617">
        <v>3400</v>
      </c>
      <c r="U1617">
        <v>510</v>
      </c>
      <c r="V1617">
        <v>2890</v>
      </c>
      <c r="W1617">
        <v>2200</v>
      </c>
      <c r="X1617">
        <v>690</v>
      </c>
      <c r="Y1617" s="8">
        <v>0.23875432525951557</v>
      </c>
      <c r="Z1617" t="s">
        <v>2996</v>
      </c>
      <c r="AA1617" t="str">
        <f>IF(AND(SalesCleanTable[[#This Row],[Discount %]]&gt;0, SalesCleanTable[[#This Row],[Profit]]&lt;0), "Discount loss", "Safe")</f>
        <v>Safe</v>
      </c>
      <c r="AB1617" s="25">
        <f>(SalesCleanTable[[#This Row],[Unit Price]] - SalesCleanTable[[#This Row],[Unit Cost]]) / SalesCleanTable[[#This Row],[Unit Price]]</f>
        <v>0.35294117647058826</v>
      </c>
      <c r="AC1617" t="str">
        <f>IF(SalesCleanTable[[#This Row],[Discount %]] &gt; SalesCleanTable[[#This Row],[Max Allowed Discount]], "Discount loss", "Safe")</f>
        <v>Safe</v>
      </c>
      <c r="AD1617" s="4">
        <f>SalesCleanTable[[#This Row],[Unit Price]] - SalesCleanTable[[#This Row],[Unit Cost]]</f>
        <v>300</v>
      </c>
      <c r="AE1617" s="41">
        <f>(SalesCleanTable[[#This Row],[Unit Price]] - SalesCleanTable[[#This Row],[Unit Cost]]) / SalesCleanTable[[#This Row],[Unit Price]]</f>
        <v>0.35294117647058826</v>
      </c>
    </row>
    <row r="1618" spans="1:31">
      <c r="A1618" t="s">
        <v>1804</v>
      </c>
      <c r="B1618" s="6">
        <v>45713</v>
      </c>
      <c r="C1618" t="s">
        <v>53</v>
      </c>
      <c r="D1618" t="s">
        <v>54</v>
      </c>
      <c r="E1618" t="s">
        <v>38</v>
      </c>
      <c r="F1618" t="s">
        <v>55</v>
      </c>
      <c r="G1618" t="s">
        <v>56</v>
      </c>
      <c r="H1618" t="s">
        <v>145</v>
      </c>
      <c r="I1618" t="s">
        <v>146</v>
      </c>
      <c r="J1618" t="s">
        <v>147</v>
      </c>
      <c r="K1618" t="s">
        <v>148</v>
      </c>
      <c r="L1618" t="s">
        <v>183</v>
      </c>
      <c r="M1618" t="s">
        <v>171</v>
      </c>
      <c r="N1618">
        <v>1</v>
      </c>
      <c r="O1618" s="4">
        <v>330</v>
      </c>
      <c r="P1618" s="4">
        <v>550</v>
      </c>
      <c r="Q1618" s="7">
        <v>0.1</v>
      </c>
      <c r="R1618" t="s">
        <v>168</v>
      </c>
      <c r="S1618">
        <v>10</v>
      </c>
      <c r="T1618">
        <v>550</v>
      </c>
      <c r="U1618">
        <v>55</v>
      </c>
      <c r="V1618">
        <v>495</v>
      </c>
      <c r="W1618">
        <v>330</v>
      </c>
      <c r="X1618">
        <v>165</v>
      </c>
      <c r="Y1618" s="8">
        <v>0.33333333333333331</v>
      </c>
      <c r="Z1618" t="s">
        <v>2996</v>
      </c>
      <c r="AA1618" t="str">
        <f>IF(AND(SalesCleanTable[[#This Row],[Discount %]]&gt;0, SalesCleanTable[[#This Row],[Profit]]&lt;0), "Discount loss", "Safe")</f>
        <v>Safe</v>
      </c>
      <c r="AB1618" s="25">
        <f>(SalesCleanTable[[#This Row],[Unit Price]] - SalesCleanTable[[#This Row],[Unit Cost]]) / SalesCleanTable[[#This Row],[Unit Price]]</f>
        <v>0.4</v>
      </c>
      <c r="AC1618" t="str">
        <f>IF(SalesCleanTable[[#This Row],[Discount %]] &gt; SalesCleanTable[[#This Row],[Max Allowed Discount]], "Discount loss", "Safe")</f>
        <v>Safe</v>
      </c>
      <c r="AD1618" s="4">
        <f>SalesCleanTable[[#This Row],[Unit Price]] - SalesCleanTable[[#This Row],[Unit Cost]]</f>
        <v>220</v>
      </c>
      <c r="AE1618" s="41">
        <f>(SalesCleanTable[[#This Row],[Unit Price]] - SalesCleanTable[[#This Row],[Unit Cost]]) / SalesCleanTable[[#This Row],[Unit Price]]</f>
        <v>0.4</v>
      </c>
    </row>
    <row r="1619" spans="1:31">
      <c r="A1619" t="s">
        <v>1805</v>
      </c>
      <c r="B1619" s="6">
        <v>45957</v>
      </c>
      <c r="C1619" t="s">
        <v>116</v>
      </c>
      <c r="D1619" t="s">
        <v>117</v>
      </c>
      <c r="E1619" t="s">
        <v>109</v>
      </c>
      <c r="F1619" t="s">
        <v>118</v>
      </c>
      <c r="G1619" t="s">
        <v>119</v>
      </c>
      <c r="H1619" t="s">
        <v>149</v>
      </c>
      <c r="I1619" t="s">
        <v>150</v>
      </c>
      <c r="J1619" t="s">
        <v>151</v>
      </c>
      <c r="K1619" t="s">
        <v>152</v>
      </c>
      <c r="L1619" t="s">
        <v>166</v>
      </c>
      <c r="M1619" t="s">
        <v>171</v>
      </c>
      <c r="N1619">
        <v>1</v>
      </c>
      <c r="O1619" s="4">
        <v>2800</v>
      </c>
      <c r="P1619" s="4">
        <v>4200</v>
      </c>
      <c r="Q1619" s="7">
        <v>0.2</v>
      </c>
      <c r="R1619" t="s">
        <v>220</v>
      </c>
      <c r="S1619">
        <v>7</v>
      </c>
      <c r="T1619">
        <v>4200</v>
      </c>
      <c r="U1619">
        <v>840</v>
      </c>
      <c r="V1619">
        <v>3360</v>
      </c>
      <c r="W1619">
        <v>2800</v>
      </c>
      <c r="X1619">
        <v>560</v>
      </c>
      <c r="Y1619" s="8">
        <v>0.16666666666666666</v>
      </c>
      <c r="Z1619" t="s">
        <v>2995</v>
      </c>
      <c r="AA1619" t="str">
        <f>IF(AND(SalesCleanTable[[#This Row],[Discount %]]&gt;0, SalesCleanTable[[#This Row],[Profit]]&lt;0), "Discount loss", "Safe")</f>
        <v>Safe</v>
      </c>
      <c r="AB1619" s="25">
        <f>(SalesCleanTable[[#This Row],[Unit Price]] - SalesCleanTable[[#This Row],[Unit Cost]]) / SalesCleanTable[[#This Row],[Unit Price]]</f>
        <v>0.33333333333333331</v>
      </c>
      <c r="AC1619" t="str">
        <f>IF(SalesCleanTable[[#This Row],[Discount %]] &gt; SalesCleanTable[[#This Row],[Max Allowed Discount]], "Discount loss", "Safe")</f>
        <v>Safe</v>
      </c>
      <c r="AD1619" s="4">
        <f>SalesCleanTable[[#This Row],[Unit Price]] - SalesCleanTable[[#This Row],[Unit Cost]]</f>
        <v>1400</v>
      </c>
      <c r="AE1619" s="41">
        <f>(SalesCleanTable[[#This Row],[Unit Price]] - SalesCleanTable[[#This Row],[Unit Cost]]) / SalesCleanTable[[#This Row],[Unit Price]]</f>
        <v>0.33333333333333331</v>
      </c>
    </row>
    <row r="1620" spans="1:31">
      <c r="A1620" t="s">
        <v>1806</v>
      </c>
      <c r="B1620" s="6">
        <v>45885</v>
      </c>
      <c r="C1620" t="s">
        <v>45</v>
      </c>
      <c r="D1620" t="s">
        <v>46</v>
      </c>
      <c r="E1620" t="s">
        <v>38</v>
      </c>
      <c r="F1620" t="s">
        <v>47</v>
      </c>
      <c r="G1620" t="s">
        <v>48</v>
      </c>
      <c r="H1620" t="s">
        <v>135</v>
      </c>
      <c r="I1620" t="s">
        <v>136</v>
      </c>
      <c r="J1620" t="s">
        <v>137</v>
      </c>
      <c r="K1620" t="s">
        <v>138</v>
      </c>
      <c r="L1620" t="s">
        <v>183</v>
      </c>
      <c r="M1620" t="s">
        <v>177</v>
      </c>
      <c r="N1620">
        <v>1</v>
      </c>
      <c r="O1620" s="4">
        <v>230</v>
      </c>
      <c r="P1620" s="4">
        <v>400</v>
      </c>
      <c r="Q1620" s="7">
        <v>0.1</v>
      </c>
      <c r="R1620" t="s">
        <v>175</v>
      </c>
      <c r="S1620">
        <v>5</v>
      </c>
      <c r="T1620">
        <v>400</v>
      </c>
      <c r="U1620">
        <v>40</v>
      </c>
      <c r="V1620">
        <v>360</v>
      </c>
      <c r="W1620">
        <v>230</v>
      </c>
      <c r="X1620">
        <v>130</v>
      </c>
      <c r="Y1620" s="8">
        <v>0.3611111111111111</v>
      </c>
      <c r="Z1620" t="s">
        <v>2995</v>
      </c>
      <c r="AA1620" t="str">
        <f>IF(AND(SalesCleanTable[[#This Row],[Discount %]]&gt;0, SalesCleanTable[[#This Row],[Profit]]&lt;0), "Discount loss", "Safe")</f>
        <v>Safe</v>
      </c>
      <c r="AB1620" s="25">
        <f>(SalesCleanTable[[#This Row],[Unit Price]] - SalesCleanTable[[#This Row],[Unit Cost]]) / SalesCleanTable[[#This Row],[Unit Price]]</f>
        <v>0.42499999999999999</v>
      </c>
      <c r="AC1620" t="str">
        <f>IF(SalesCleanTable[[#This Row],[Discount %]] &gt; SalesCleanTable[[#This Row],[Max Allowed Discount]], "Discount loss", "Safe")</f>
        <v>Safe</v>
      </c>
      <c r="AD1620" s="4">
        <f>SalesCleanTable[[#This Row],[Unit Price]] - SalesCleanTable[[#This Row],[Unit Cost]]</f>
        <v>170</v>
      </c>
      <c r="AE1620" s="41">
        <f>(SalesCleanTable[[#This Row],[Unit Price]] - SalesCleanTable[[#This Row],[Unit Cost]]) / SalesCleanTable[[#This Row],[Unit Price]]</f>
        <v>0.42499999999999999</v>
      </c>
    </row>
    <row r="1621" spans="1:31">
      <c r="A1621" t="s">
        <v>1807</v>
      </c>
      <c r="B1621" s="6">
        <v>45932</v>
      </c>
      <c r="C1621" t="s">
        <v>53</v>
      </c>
      <c r="D1621" t="s">
        <v>54</v>
      </c>
      <c r="E1621" t="s">
        <v>38</v>
      </c>
      <c r="F1621" t="s">
        <v>55</v>
      </c>
      <c r="G1621" t="s">
        <v>56</v>
      </c>
      <c r="H1621" t="s">
        <v>128</v>
      </c>
      <c r="I1621" t="s">
        <v>129</v>
      </c>
      <c r="J1621" t="s">
        <v>130</v>
      </c>
      <c r="K1621" t="s">
        <v>131</v>
      </c>
      <c r="L1621" t="s">
        <v>166</v>
      </c>
      <c r="M1621" t="s">
        <v>177</v>
      </c>
      <c r="N1621">
        <v>3</v>
      </c>
      <c r="O1621" s="4">
        <v>330</v>
      </c>
      <c r="P1621" s="4">
        <v>550</v>
      </c>
      <c r="Q1621" s="7">
        <v>0.15</v>
      </c>
      <c r="R1621" t="s">
        <v>168</v>
      </c>
      <c r="S1621">
        <v>12</v>
      </c>
      <c r="T1621">
        <v>1650</v>
      </c>
      <c r="U1621">
        <v>247.5</v>
      </c>
      <c r="V1621">
        <v>1402.5</v>
      </c>
      <c r="W1621">
        <v>990</v>
      </c>
      <c r="X1621">
        <v>412.5</v>
      </c>
      <c r="Y1621" s="8">
        <v>0.29411764705882354</v>
      </c>
      <c r="Z1621" t="s">
        <v>2996</v>
      </c>
      <c r="AA1621" t="str">
        <f>IF(AND(SalesCleanTable[[#This Row],[Discount %]]&gt;0, SalesCleanTable[[#This Row],[Profit]]&lt;0), "Discount loss", "Safe")</f>
        <v>Safe</v>
      </c>
      <c r="AB1621" s="25">
        <f>(SalesCleanTable[[#This Row],[Unit Price]] - SalesCleanTable[[#This Row],[Unit Cost]]) / SalesCleanTable[[#This Row],[Unit Price]]</f>
        <v>0.4</v>
      </c>
      <c r="AC1621" t="str">
        <f>IF(SalesCleanTable[[#This Row],[Discount %]] &gt; SalesCleanTable[[#This Row],[Max Allowed Discount]], "Discount loss", "Safe")</f>
        <v>Safe</v>
      </c>
      <c r="AD1621" s="4">
        <f>SalesCleanTable[[#This Row],[Unit Price]] - SalesCleanTable[[#This Row],[Unit Cost]]</f>
        <v>220</v>
      </c>
      <c r="AE1621" s="41">
        <f>(SalesCleanTable[[#This Row],[Unit Price]] - SalesCleanTable[[#This Row],[Unit Cost]]) / SalesCleanTable[[#This Row],[Unit Price]]</f>
        <v>0.4</v>
      </c>
    </row>
    <row r="1622" spans="1:31">
      <c r="A1622" t="s">
        <v>1808</v>
      </c>
      <c r="B1622" s="6">
        <v>45715</v>
      </c>
      <c r="C1622" t="s">
        <v>62</v>
      </c>
      <c r="D1622" t="s">
        <v>63</v>
      </c>
      <c r="E1622" t="s">
        <v>59</v>
      </c>
      <c r="F1622" t="s">
        <v>64</v>
      </c>
      <c r="G1622" t="s">
        <v>65</v>
      </c>
      <c r="H1622" t="s">
        <v>135</v>
      </c>
      <c r="I1622" t="s">
        <v>136</v>
      </c>
      <c r="J1622" t="s">
        <v>137</v>
      </c>
      <c r="K1622" t="s">
        <v>138</v>
      </c>
      <c r="L1622" t="s">
        <v>183</v>
      </c>
      <c r="M1622" t="s">
        <v>177</v>
      </c>
      <c r="N1622">
        <v>3</v>
      </c>
      <c r="O1622" s="4">
        <v>3200</v>
      </c>
      <c r="P1622" s="4">
        <v>4500</v>
      </c>
      <c r="Q1622" s="7">
        <v>0.1</v>
      </c>
      <c r="R1622" t="s">
        <v>192</v>
      </c>
      <c r="S1622">
        <v>9</v>
      </c>
      <c r="T1622">
        <v>13500</v>
      </c>
      <c r="U1622">
        <v>1350</v>
      </c>
      <c r="V1622">
        <v>12150</v>
      </c>
      <c r="W1622">
        <v>9600</v>
      </c>
      <c r="X1622">
        <v>2550</v>
      </c>
      <c r="Y1622" s="8">
        <v>0.20987654320987653</v>
      </c>
      <c r="Z1622" t="s">
        <v>2996</v>
      </c>
      <c r="AA1622" t="str">
        <f>IF(AND(SalesCleanTable[[#This Row],[Discount %]]&gt;0, SalesCleanTable[[#This Row],[Profit]]&lt;0), "Discount loss", "Safe")</f>
        <v>Safe</v>
      </c>
      <c r="AB1622" s="25">
        <f>(SalesCleanTable[[#This Row],[Unit Price]] - SalesCleanTable[[#This Row],[Unit Cost]]) / SalesCleanTable[[#This Row],[Unit Price]]</f>
        <v>0.28888888888888886</v>
      </c>
      <c r="AC1622" t="str">
        <f>IF(SalesCleanTable[[#This Row],[Discount %]] &gt; SalesCleanTable[[#This Row],[Max Allowed Discount]], "Discount loss", "Safe")</f>
        <v>Safe</v>
      </c>
      <c r="AD1622" s="4">
        <f>SalesCleanTable[[#This Row],[Unit Price]] - SalesCleanTable[[#This Row],[Unit Cost]]</f>
        <v>1300</v>
      </c>
      <c r="AE1622" s="41">
        <f>(SalesCleanTable[[#This Row],[Unit Price]] - SalesCleanTable[[#This Row],[Unit Cost]]) / SalesCleanTable[[#This Row],[Unit Price]]</f>
        <v>0.28888888888888886</v>
      </c>
    </row>
    <row r="1623" spans="1:31">
      <c r="A1623" t="s">
        <v>1809</v>
      </c>
      <c r="B1623" s="6">
        <v>45722</v>
      </c>
      <c r="C1623" t="s">
        <v>41</v>
      </c>
      <c r="D1623" t="s">
        <v>42</v>
      </c>
      <c r="E1623" t="s">
        <v>26</v>
      </c>
      <c r="F1623" t="s">
        <v>43</v>
      </c>
      <c r="G1623" t="s">
        <v>44</v>
      </c>
      <c r="H1623" t="s">
        <v>128</v>
      </c>
      <c r="I1623" t="s">
        <v>129</v>
      </c>
      <c r="J1623" t="s">
        <v>130</v>
      </c>
      <c r="K1623" t="s">
        <v>131</v>
      </c>
      <c r="L1623" t="s">
        <v>166</v>
      </c>
      <c r="M1623" t="s">
        <v>171</v>
      </c>
      <c r="N1623">
        <v>5</v>
      </c>
      <c r="O1623" s="4">
        <v>850</v>
      </c>
      <c r="P1623" s="4">
        <v>1300</v>
      </c>
      <c r="Q1623" s="7">
        <v>0.05</v>
      </c>
      <c r="R1623" t="s">
        <v>197</v>
      </c>
      <c r="S1623">
        <v>6</v>
      </c>
      <c r="T1623">
        <v>6500</v>
      </c>
      <c r="U1623">
        <v>325</v>
      </c>
      <c r="V1623">
        <v>6175</v>
      </c>
      <c r="W1623">
        <v>4250</v>
      </c>
      <c r="X1623">
        <v>1925</v>
      </c>
      <c r="Y1623" s="8">
        <v>0.31174089068825911</v>
      </c>
      <c r="Z1623" t="s">
        <v>2995</v>
      </c>
      <c r="AA1623" t="str">
        <f>IF(AND(SalesCleanTable[[#This Row],[Discount %]]&gt;0, SalesCleanTable[[#This Row],[Profit]]&lt;0), "Discount loss", "Safe")</f>
        <v>Safe</v>
      </c>
      <c r="AB1623" s="25">
        <f>(SalesCleanTable[[#This Row],[Unit Price]] - SalesCleanTable[[#This Row],[Unit Cost]]) / SalesCleanTable[[#This Row],[Unit Price]]</f>
        <v>0.34615384615384615</v>
      </c>
      <c r="AC1623" t="str">
        <f>IF(SalesCleanTable[[#This Row],[Discount %]] &gt; SalesCleanTable[[#This Row],[Max Allowed Discount]], "Discount loss", "Safe")</f>
        <v>Safe</v>
      </c>
      <c r="AD1623" s="4">
        <f>SalesCleanTable[[#This Row],[Unit Price]] - SalesCleanTable[[#This Row],[Unit Cost]]</f>
        <v>450</v>
      </c>
      <c r="AE1623" s="41">
        <f>(SalesCleanTable[[#This Row],[Unit Price]] - SalesCleanTable[[#This Row],[Unit Cost]]) / SalesCleanTable[[#This Row],[Unit Price]]</f>
        <v>0.34615384615384615</v>
      </c>
    </row>
    <row r="1624" spans="1:31">
      <c r="A1624" t="s">
        <v>1810</v>
      </c>
      <c r="B1624" s="6">
        <v>45705</v>
      </c>
      <c r="C1624" t="s">
        <v>41</v>
      </c>
      <c r="D1624" t="s">
        <v>42</v>
      </c>
      <c r="E1624" t="s">
        <v>26</v>
      </c>
      <c r="F1624" t="s">
        <v>43</v>
      </c>
      <c r="G1624" t="s">
        <v>44</v>
      </c>
      <c r="H1624" t="s">
        <v>135</v>
      </c>
      <c r="I1624" t="s">
        <v>136</v>
      </c>
      <c r="J1624" t="s">
        <v>137</v>
      </c>
      <c r="K1624" t="s">
        <v>138</v>
      </c>
      <c r="L1624" t="s">
        <v>166</v>
      </c>
      <c r="M1624" t="s">
        <v>171</v>
      </c>
      <c r="N1624">
        <v>1</v>
      </c>
      <c r="O1624" s="4">
        <v>850</v>
      </c>
      <c r="P1624" s="4">
        <v>1300</v>
      </c>
      <c r="Q1624" s="7">
        <v>0</v>
      </c>
      <c r="R1624" t="s">
        <v>197</v>
      </c>
      <c r="S1624">
        <v>3</v>
      </c>
      <c r="T1624">
        <v>1300</v>
      </c>
      <c r="U1624">
        <v>0</v>
      </c>
      <c r="V1624">
        <v>1300</v>
      </c>
      <c r="W1624">
        <v>850</v>
      </c>
      <c r="X1624">
        <v>450</v>
      </c>
      <c r="Y1624" s="8">
        <v>0.34615384615384615</v>
      </c>
      <c r="Z1624" t="s">
        <v>2995</v>
      </c>
      <c r="AA1624" t="str">
        <f>IF(AND(SalesCleanTable[[#This Row],[Discount %]]&gt;0, SalesCleanTable[[#This Row],[Profit]]&lt;0), "Discount loss", "Safe")</f>
        <v>Safe</v>
      </c>
      <c r="AB1624" s="25">
        <f>(SalesCleanTable[[#This Row],[Unit Price]] - SalesCleanTable[[#This Row],[Unit Cost]]) / SalesCleanTable[[#This Row],[Unit Price]]</f>
        <v>0.34615384615384615</v>
      </c>
      <c r="AC1624" t="str">
        <f>IF(SalesCleanTable[[#This Row],[Discount %]] &gt; SalesCleanTable[[#This Row],[Max Allowed Discount]], "Discount loss", "Safe")</f>
        <v>Safe</v>
      </c>
      <c r="AD1624" s="4">
        <f>SalesCleanTable[[#This Row],[Unit Price]] - SalesCleanTable[[#This Row],[Unit Cost]]</f>
        <v>450</v>
      </c>
      <c r="AE1624" s="41">
        <f>(SalesCleanTable[[#This Row],[Unit Price]] - SalesCleanTable[[#This Row],[Unit Cost]]) / SalesCleanTable[[#This Row],[Unit Price]]</f>
        <v>0.34615384615384615</v>
      </c>
    </row>
    <row r="1625" spans="1:31">
      <c r="A1625" t="s">
        <v>1811</v>
      </c>
      <c r="B1625" s="6">
        <v>45770</v>
      </c>
      <c r="C1625" t="s">
        <v>82</v>
      </c>
      <c r="D1625" t="s">
        <v>83</v>
      </c>
      <c r="E1625" t="s">
        <v>75</v>
      </c>
      <c r="F1625" t="s">
        <v>84</v>
      </c>
      <c r="G1625" t="s">
        <v>85</v>
      </c>
      <c r="H1625" t="s">
        <v>128</v>
      </c>
      <c r="I1625" t="s">
        <v>129</v>
      </c>
      <c r="J1625" t="s">
        <v>130</v>
      </c>
      <c r="K1625" t="s">
        <v>131</v>
      </c>
      <c r="L1625" t="s">
        <v>166</v>
      </c>
      <c r="M1625" t="s">
        <v>171</v>
      </c>
      <c r="N1625">
        <v>1</v>
      </c>
      <c r="O1625" s="4">
        <v>600</v>
      </c>
      <c r="P1625" s="4">
        <v>950</v>
      </c>
      <c r="Q1625" s="7">
        <v>0.05</v>
      </c>
      <c r="R1625" t="s">
        <v>187</v>
      </c>
      <c r="S1625">
        <v>12</v>
      </c>
      <c r="T1625">
        <v>950</v>
      </c>
      <c r="U1625">
        <v>47.5</v>
      </c>
      <c r="V1625">
        <v>902.5</v>
      </c>
      <c r="W1625">
        <v>600</v>
      </c>
      <c r="X1625">
        <v>302.5</v>
      </c>
      <c r="Y1625" s="8">
        <v>0.33518005540166207</v>
      </c>
      <c r="Z1625" t="s">
        <v>2996</v>
      </c>
      <c r="AA1625" t="str">
        <f>IF(AND(SalesCleanTable[[#This Row],[Discount %]]&gt;0, SalesCleanTable[[#This Row],[Profit]]&lt;0), "Discount loss", "Safe")</f>
        <v>Safe</v>
      </c>
      <c r="AB1625" s="25">
        <f>(SalesCleanTable[[#This Row],[Unit Price]] - SalesCleanTable[[#This Row],[Unit Cost]]) / SalesCleanTable[[#This Row],[Unit Price]]</f>
        <v>0.36842105263157893</v>
      </c>
      <c r="AC1625" t="str">
        <f>IF(SalesCleanTable[[#This Row],[Discount %]] &gt; SalesCleanTable[[#This Row],[Max Allowed Discount]], "Discount loss", "Safe")</f>
        <v>Safe</v>
      </c>
      <c r="AD1625" s="4">
        <f>SalesCleanTable[[#This Row],[Unit Price]] - SalesCleanTable[[#This Row],[Unit Cost]]</f>
        <v>350</v>
      </c>
      <c r="AE1625" s="41">
        <f>(SalesCleanTable[[#This Row],[Unit Price]] - SalesCleanTable[[#This Row],[Unit Cost]]) / SalesCleanTable[[#This Row],[Unit Price]]</f>
        <v>0.36842105263157893</v>
      </c>
    </row>
    <row r="1626" spans="1:31">
      <c r="A1626" t="s">
        <v>1812</v>
      </c>
      <c r="B1626" s="6">
        <v>45893</v>
      </c>
      <c r="C1626" t="s">
        <v>36</v>
      </c>
      <c r="D1626" t="s">
        <v>37</v>
      </c>
      <c r="E1626" t="s">
        <v>38</v>
      </c>
      <c r="F1626" t="s">
        <v>39</v>
      </c>
      <c r="G1626" t="s">
        <v>40</v>
      </c>
      <c r="H1626" t="s">
        <v>135</v>
      </c>
      <c r="I1626" t="s">
        <v>136</v>
      </c>
      <c r="J1626" t="s">
        <v>137</v>
      </c>
      <c r="K1626" t="s">
        <v>138</v>
      </c>
      <c r="L1626" t="s">
        <v>183</v>
      </c>
      <c r="M1626" t="s">
        <v>171</v>
      </c>
      <c r="N1626">
        <v>5</v>
      </c>
      <c r="O1626" s="4">
        <v>1650</v>
      </c>
      <c r="P1626" s="4">
        <v>2200</v>
      </c>
      <c r="Q1626" s="7">
        <v>0</v>
      </c>
      <c r="R1626" t="s">
        <v>168</v>
      </c>
      <c r="S1626">
        <v>12</v>
      </c>
      <c r="T1626">
        <v>11000</v>
      </c>
      <c r="U1626">
        <v>0</v>
      </c>
      <c r="V1626">
        <v>11000</v>
      </c>
      <c r="W1626">
        <v>8250</v>
      </c>
      <c r="X1626">
        <v>2750</v>
      </c>
      <c r="Y1626" s="8">
        <v>0.25</v>
      </c>
      <c r="Z1626" t="s">
        <v>2995</v>
      </c>
      <c r="AA1626" t="str">
        <f>IF(AND(SalesCleanTable[[#This Row],[Discount %]]&gt;0, SalesCleanTable[[#This Row],[Profit]]&lt;0), "Discount loss", "Safe")</f>
        <v>Safe</v>
      </c>
      <c r="AB1626" s="25">
        <f>(SalesCleanTable[[#This Row],[Unit Price]] - SalesCleanTable[[#This Row],[Unit Cost]]) / SalesCleanTable[[#This Row],[Unit Price]]</f>
        <v>0.25</v>
      </c>
      <c r="AC1626" t="str">
        <f>IF(SalesCleanTable[[#This Row],[Discount %]] &gt; SalesCleanTable[[#This Row],[Max Allowed Discount]], "Discount loss", "Safe")</f>
        <v>Safe</v>
      </c>
      <c r="AD1626" s="4">
        <f>SalesCleanTable[[#This Row],[Unit Price]] - SalesCleanTable[[#This Row],[Unit Cost]]</f>
        <v>550</v>
      </c>
      <c r="AE1626" s="41">
        <f>(SalesCleanTable[[#This Row],[Unit Price]] - SalesCleanTable[[#This Row],[Unit Cost]]) / SalesCleanTable[[#This Row],[Unit Price]]</f>
        <v>0.25</v>
      </c>
    </row>
    <row r="1627" spans="1:31">
      <c r="A1627" t="s">
        <v>1813</v>
      </c>
      <c r="B1627" s="6">
        <v>45673</v>
      </c>
      <c r="C1627" t="s">
        <v>29</v>
      </c>
      <c r="D1627" t="s">
        <v>30</v>
      </c>
      <c r="E1627" t="s">
        <v>26</v>
      </c>
      <c r="F1627" t="s">
        <v>27</v>
      </c>
      <c r="G1627" t="s">
        <v>31</v>
      </c>
      <c r="H1627" t="s">
        <v>133</v>
      </c>
      <c r="I1627" t="s">
        <v>134</v>
      </c>
      <c r="J1627" t="s">
        <v>130</v>
      </c>
      <c r="K1627" t="s">
        <v>131</v>
      </c>
      <c r="L1627" t="s">
        <v>166</v>
      </c>
      <c r="M1627" t="s">
        <v>171</v>
      </c>
      <c r="N1627">
        <v>4</v>
      </c>
      <c r="O1627" s="4">
        <v>6200</v>
      </c>
      <c r="P1627" s="4">
        <v>7900</v>
      </c>
      <c r="Q1627" s="7">
        <v>0.1</v>
      </c>
      <c r="R1627" t="s">
        <v>194</v>
      </c>
      <c r="S1627">
        <v>13</v>
      </c>
      <c r="T1627">
        <v>31600</v>
      </c>
      <c r="U1627">
        <v>3160</v>
      </c>
      <c r="V1627">
        <v>28440</v>
      </c>
      <c r="W1627">
        <v>24800</v>
      </c>
      <c r="X1627">
        <v>3640</v>
      </c>
      <c r="Y1627" s="8">
        <v>0.12798874824191281</v>
      </c>
      <c r="Z1627" t="s">
        <v>2996</v>
      </c>
      <c r="AA1627" t="str">
        <f>IF(AND(SalesCleanTable[[#This Row],[Discount %]]&gt;0, SalesCleanTable[[#This Row],[Profit]]&lt;0), "Discount loss", "Safe")</f>
        <v>Safe</v>
      </c>
      <c r="AB1627" s="25">
        <f>(SalesCleanTable[[#This Row],[Unit Price]] - SalesCleanTable[[#This Row],[Unit Cost]]) / SalesCleanTable[[#This Row],[Unit Price]]</f>
        <v>0.21518987341772153</v>
      </c>
      <c r="AC1627" t="str">
        <f>IF(SalesCleanTable[[#This Row],[Discount %]] &gt; SalesCleanTable[[#This Row],[Max Allowed Discount]], "Discount loss", "Safe")</f>
        <v>Safe</v>
      </c>
      <c r="AD1627" s="4">
        <f>SalesCleanTable[[#This Row],[Unit Price]] - SalesCleanTable[[#This Row],[Unit Cost]]</f>
        <v>1700</v>
      </c>
      <c r="AE1627" s="41">
        <f>(SalesCleanTable[[#This Row],[Unit Price]] - SalesCleanTable[[#This Row],[Unit Cost]]) / SalesCleanTable[[#This Row],[Unit Price]]</f>
        <v>0.21518987341772153</v>
      </c>
    </row>
    <row r="1628" spans="1:31">
      <c r="A1628" t="s">
        <v>1814</v>
      </c>
      <c r="B1628" s="6">
        <v>45933</v>
      </c>
      <c r="C1628" t="s">
        <v>78</v>
      </c>
      <c r="D1628" t="s">
        <v>79</v>
      </c>
      <c r="E1628" t="s">
        <v>75</v>
      </c>
      <c r="F1628" t="s">
        <v>80</v>
      </c>
      <c r="G1628" t="s">
        <v>81</v>
      </c>
      <c r="H1628" t="s">
        <v>128</v>
      </c>
      <c r="I1628" t="s">
        <v>129</v>
      </c>
      <c r="J1628" t="s">
        <v>130</v>
      </c>
      <c r="K1628" t="s">
        <v>131</v>
      </c>
      <c r="L1628" t="s">
        <v>166</v>
      </c>
      <c r="M1628" t="s">
        <v>177</v>
      </c>
      <c r="N1628">
        <v>3</v>
      </c>
      <c r="O1628" s="4">
        <v>1200</v>
      </c>
      <c r="P1628" s="4">
        <v>1900</v>
      </c>
      <c r="Q1628" s="7">
        <v>0.2</v>
      </c>
      <c r="R1628" t="s">
        <v>208</v>
      </c>
      <c r="S1628">
        <v>6</v>
      </c>
      <c r="T1628">
        <v>5700</v>
      </c>
      <c r="U1628">
        <v>1140</v>
      </c>
      <c r="V1628">
        <v>4560</v>
      </c>
      <c r="W1628">
        <v>3600</v>
      </c>
      <c r="X1628">
        <v>960</v>
      </c>
      <c r="Y1628" s="8">
        <v>0.21052631578947367</v>
      </c>
      <c r="Z1628" t="s">
        <v>2996</v>
      </c>
      <c r="AA1628" t="str">
        <f>IF(AND(SalesCleanTable[[#This Row],[Discount %]]&gt;0, SalesCleanTable[[#This Row],[Profit]]&lt;0), "Discount loss", "Safe")</f>
        <v>Safe</v>
      </c>
      <c r="AB1628" s="25">
        <f>(SalesCleanTable[[#This Row],[Unit Price]] - SalesCleanTable[[#This Row],[Unit Cost]]) / SalesCleanTable[[#This Row],[Unit Price]]</f>
        <v>0.36842105263157893</v>
      </c>
      <c r="AC1628" t="str">
        <f>IF(SalesCleanTable[[#This Row],[Discount %]] &gt; SalesCleanTable[[#This Row],[Max Allowed Discount]], "Discount loss", "Safe")</f>
        <v>Safe</v>
      </c>
      <c r="AD1628" s="4">
        <f>SalesCleanTable[[#This Row],[Unit Price]] - SalesCleanTable[[#This Row],[Unit Cost]]</f>
        <v>700</v>
      </c>
      <c r="AE1628" s="41">
        <f>(SalesCleanTable[[#This Row],[Unit Price]] - SalesCleanTable[[#This Row],[Unit Cost]]) / SalesCleanTable[[#This Row],[Unit Price]]</f>
        <v>0.36842105263157893</v>
      </c>
    </row>
    <row r="1629" spans="1:31">
      <c r="A1629" t="s">
        <v>1815</v>
      </c>
      <c r="B1629" s="6">
        <v>45716</v>
      </c>
      <c r="C1629" t="s">
        <v>95</v>
      </c>
      <c r="D1629" t="s">
        <v>96</v>
      </c>
      <c r="E1629" t="s">
        <v>92</v>
      </c>
      <c r="F1629" t="s">
        <v>97</v>
      </c>
      <c r="G1629" t="s">
        <v>98</v>
      </c>
      <c r="H1629" t="s">
        <v>139</v>
      </c>
      <c r="I1629" t="s">
        <v>140</v>
      </c>
      <c r="J1629" t="s">
        <v>137</v>
      </c>
      <c r="K1629" t="s">
        <v>138</v>
      </c>
      <c r="L1629" t="s">
        <v>166</v>
      </c>
      <c r="M1629" t="s">
        <v>171</v>
      </c>
      <c r="N1629">
        <v>2</v>
      </c>
      <c r="O1629" s="4">
        <v>18000</v>
      </c>
      <c r="P1629" s="4">
        <v>24500</v>
      </c>
      <c r="Q1629" s="7">
        <v>0</v>
      </c>
      <c r="R1629" t="s">
        <v>181</v>
      </c>
      <c r="S1629">
        <v>10</v>
      </c>
      <c r="T1629">
        <v>49000</v>
      </c>
      <c r="U1629">
        <v>0</v>
      </c>
      <c r="V1629">
        <v>49000</v>
      </c>
      <c r="W1629">
        <v>36000</v>
      </c>
      <c r="X1629">
        <v>13000</v>
      </c>
      <c r="Y1629" s="8">
        <v>0.26530612244897961</v>
      </c>
      <c r="Z1629" t="s">
        <v>2995</v>
      </c>
      <c r="AA1629" t="str">
        <f>IF(AND(SalesCleanTable[[#This Row],[Discount %]]&gt;0, SalesCleanTable[[#This Row],[Profit]]&lt;0), "Discount loss", "Safe")</f>
        <v>Safe</v>
      </c>
      <c r="AB1629" s="25">
        <f>(SalesCleanTable[[#This Row],[Unit Price]] - SalesCleanTable[[#This Row],[Unit Cost]]) / SalesCleanTable[[#This Row],[Unit Price]]</f>
        <v>0.26530612244897961</v>
      </c>
      <c r="AC1629" t="str">
        <f>IF(SalesCleanTable[[#This Row],[Discount %]] &gt; SalesCleanTable[[#This Row],[Max Allowed Discount]], "Discount loss", "Safe")</f>
        <v>Safe</v>
      </c>
      <c r="AD1629" s="4">
        <f>SalesCleanTable[[#This Row],[Unit Price]] - SalesCleanTable[[#This Row],[Unit Cost]]</f>
        <v>6500</v>
      </c>
      <c r="AE1629" s="41">
        <f>(SalesCleanTable[[#This Row],[Unit Price]] - SalesCleanTable[[#This Row],[Unit Cost]]) / SalesCleanTable[[#This Row],[Unit Price]]</f>
        <v>0.26530612244897961</v>
      </c>
    </row>
    <row r="1630" spans="1:31">
      <c r="A1630" t="s">
        <v>1816</v>
      </c>
      <c r="B1630" s="6">
        <v>45934</v>
      </c>
      <c r="C1630" t="s">
        <v>53</v>
      </c>
      <c r="D1630" t="s">
        <v>54</v>
      </c>
      <c r="E1630" t="s">
        <v>38</v>
      </c>
      <c r="F1630" t="s">
        <v>55</v>
      </c>
      <c r="G1630" t="s">
        <v>56</v>
      </c>
      <c r="H1630" t="s">
        <v>139</v>
      </c>
      <c r="I1630" t="s">
        <v>140</v>
      </c>
      <c r="J1630" t="s">
        <v>137</v>
      </c>
      <c r="K1630" t="s">
        <v>138</v>
      </c>
      <c r="L1630" t="s">
        <v>166</v>
      </c>
      <c r="M1630" t="s">
        <v>171</v>
      </c>
      <c r="N1630">
        <v>6</v>
      </c>
      <c r="O1630" s="4">
        <v>330</v>
      </c>
      <c r="P1630" s="4">
        <v>550</v>
      </c>
      <c r="Q1630" s="7">
        <v>0</v>
      </c>
      <c r="R1630" t="s">
        <v>168</v>
      </c>
      <c r="S1630">
        <v>10</v>
      </c>
      <c r="T1630">
        <v>3300</v>
      </c>
      <c r="U1630">
        <v>0</v>
      </c>
      <c r="V1630">
        <v>3300</v>
      </c>
      <c r="W1630">
        <v>1980</v>
      </c>
      <c r="X1630">
        <v>1320</v>
      </c>
      <c r="Y1630" s="8">
        <v>0.4</v>
      </c>
      <c r="Z1630" t="s">
        <v>2996</v>
      </c>
      <c r="AA1630" t="str">
        <f>IF(AND(SalesCleanTable[[#This Row],[Discount %]]&gt;0, SalesCleanTable[[#This Row],[Profit]]&lt;0), "Discount loss", "Safe")</f>
        <v>Safe</v>
      </c>
      <c r="AB1630" s="25">
        <f>(SalesCleanTable[[#This Row],[Unit Price]] - SalesCleanTable[[#This Row],[Unit Cost]]) / SalesCleanTable[[#This Row],[Unit Price]]</f>
        <v>0.4</v>
      </c>
      <c r="AC1630" t="str">
        <f>IF(SalesCleanTable[[#This Row],[Discount %]] &gt; SalesCleanTable[[#This Row],[Max Allowed Discount]], "Discount loss", "Safe")</f>
        <v>Safe</v>
      </c>
      <c r="AD1630" s="4">
        <f>SalesCleanTable[[#This Row],[Unit Price]] - SalesCleanTable[[#This Row],[Unit Cost]]</f>
        <v>220</v>
      </c>
      <c r="AE1630" s="41">
        <f>(SalesCleanTable[[#This Row],[Unit Price]] - SalesCleanTable[[#This Row],[Unit Cost]]) / SalesCleanTable[[#This Row],[Unit Price]]</f>
        <v>0.4</v>
      </c>
    </row>
    <row r="1631" spans="1:31">
      <c r="A1631" t="s">
        <v>1817</v>
      </c>
      <c r="B1631" s="6">
        <v>45818</v>
      </c>
      <c r="C1631" t="s">
        <v>49</v>
      </c>
      <c r="D1631" t="s">
        <v>50</v>
      </c>
      <c r="E1631" t="s">
        <v>38</v>
      </c>
      <c r="F1631" t="s">
        <v>51</v>
      </c>
      <c r="G1631" t="s">
        <v>52</v>
      </c>
      <c r="H1631" t="s">
        <v>128</v>
      </c>
      <c r="I1631" t="s">
        <v>129</v>
      </c>
      <c r="J1631" t="s">
        <v>130</v>
      </c>
      <c r="K1631" t="s">
        <v>131</v>
      </c>
      <c r="L1631" t="s">
        <v>183</v>
      </c>
      <c r="M1631" t="s">
        <v>177</v>
      </c>
      <c r="N1631">
        <v>2</v>
      </c>
      <c r="O1631" s="4">
        <v>550</v>
      </c>
      <c r="P1631" s="4">
        <v>850</v>
      </c>
      <c r="Q1631" s="7">
        <v>0</v>
      </c>
      <c r="R1631" t="s">
        <v>175</v>
      </c>
      <c r="S1631">
        <v>4</v>
      </c>
      <c r="T1631">
        <v>1700</v>
      </c>
      <c r="U1631">
        <v>0</v>
      </c>
      <c r="V1631">
        <v>1700</v>
      </c>
      <c r="W1631">
        <v>1100</v>
      </c>
      <c r="X1631">
        <v>600</v>
      </c>
      <c r="Y1631" s="8">
        <v>0.35294117647058826</v>
      </c>
      <c r="Z1631" t="s">
        <v>2996</v>
      </c>
      <c r="AA1631" t="str">
        <f>IF(AND(SalesCleanTable[[#This Row],[Discount %]]&gt;0, SalesCleanTable[[#This Row],[Profit]]&lt;0), "Discount loss", "Safe")</f>
        <v>Safe</v>
      </c>
      <c r="AB1631" s="25">
        <f>(SalesCleanTable[[#This Row],[Unit Price]] - SalesCleanTable[[#This Row],[Unit Cost]]) / SalesCleanTable[[#This Row],[Unit Price]]</f>
        <v>0.35294117647058826</v>
      </c>
      <c r="AC1631" t="str">
        <f>IF(SalesCleanTable[[#This Row],[Discount %]] &gt; SalesCleanTable[[#This Row],[Max Allowed Discount]], "Discount loss", "Safe")</f>
        <v>Safe</v>
      </c>
      <c r="AD1631" s="4">
        <f>SalesCleanTable[[#This Row],[Unit Price]] - SalesCleanTable[[#This Row],[Unit Cost]]</f>
        <v>300</v>
      </c>
      <c r="AE1631" s="41">
        <f>(SalesCleanTable[[#This Row],[Unit Price]] - SalesCleanTable[[#This Row],[Unit Cost]]) / SalesCleanTable[[#This Row],[Unit Price]]</f>
        <v>0.35294117647058826</v>
      </c>
    </row>
    <row r="1632" spans="1:31">
      <c r="A1632" t="s">
        <v>1818</v>
      </c>
      <c r="B1632" s="6">
        <v>45983</v>
      </c>
      <c r="C1632" t="s">
        <v>45</v>
      </c>
      <c r="D1632" t="s">
        <v>46</v>
      </c>
      <c r="E1632" t="s">
        <v>38</v>
      </c>
      <c r="F1632" t="s">
        <v>47</v>
      </c>
      <c r="G1632" t="s">
        <v>48</v>
      </c>
      <c r="H1632" t="s">
        <v>135</v>
      </c>
      <c r="I1632" t="s">
        <v>136</v>
      </c>
      <c r="J1632" t="s">
        <v>137</v>
      </c>
      <c r="K1632" t="s">
        <v>138</v>
      </c>
      <c r="L1632" t="s">
        <v>166</v>
      </c>
      <c r="M1632" t="s">
        <v>171</v>
      </c>
      <c r="N1632">
        <v>3</v>
      </c>
      <c r="O1632" s="4">
        <v>230</v>
      </c>
      <c r="P1632" s="4">
        <v>400</v>
      </c>
      <c r="Q1632" s="7">
        <v>0.05</v>
      </c>
      <c r="R1632" t="s">
        <v>178</v>
      </c>
      <c r="S1632">
        <v>7</v>
      </c>
      <c r="T1632">
        <v>1200</v>
      </c>
      <c r="U1632">
        <v>60</v>
      </c>
      <c r="V1632">
        <v>1140</v>
      </c>
      <c r="W1632">
        <v>690</v>
      </c>
      <c r="X1632">
        <v>450</v>
      </c>
      <c r="Y1632" s="8">
        <v>0.39473684210526316</v>
      </c>
      <c r="Z1632" t="s">
        <v>2995</v>
      </c>
      <c r="AA1632" t="str">
        <f>IF(AND(SalesCleanTable[[#This Row],[Discount %]]&gt;0, SalesCleanTable[[#This Row],[Profit]]&lt;0), "Discount loss", "Safe")</f>
        <v>Safe</v>
      </c>
      <c r="AB1632" s="25">
        <f>(SalesCleanTable[[#This Row],[Unit Price]] - SalesCleanTable[[#This Row],[Unit Cost]]) / SalesCleanTable[[#This Row],[Unit Price]]</f>
        <v>0.42499999999999999</v>
      </c>
      <c r="AC1632" t="str">
        <f>IF(SalesCleanTable[[#This Row],[Discount %]] &gt; SalesCleanTable[[#This Row],[Max Allowed Discount]], "Discount loss", "Safe")</f>
        <v>Safe</v>
      </c>
      <c r="AD1632" s="4">
        <f>SalesCleanTable[[#This Row],[Unit Price]] - SalesCleanTable[[#This Row],[Unit Cost]]</f>
        <v>170</v>
      </c>
      <c r="AE1632" s="41">
        <f>(SalesCleanTable[[#This Row],[Unit Price]] - SalesCleanTable[[#This Row],[Unit Cost]]) / SalesCleanTable[[#This Row],[Unit Price]]</f>
        <v>0.42499999999999999</v>
      </c>
    </row>
    <row r="1633" spans="1:31">
      <c r="A1633" t="s">
        <v>1819</v>
      </c>
      <c r="B1633" s="6">
        <v>45795</v>
      </c>
      <c r="C1633" t="s">
        <v>57</v>
      </c>
      <c r="D1633" t="s">
        <v>58</v>
      </c>
      <c r="E1633" t="s">
        <v>59</v>
      </c>
      <c r="F1633" t="s">
        <v>60</v>
      </c>
      <c r="G1633" t="s">
        <v>61</v>
      </c>
      <c r="H1633" t="s">
        <v>153</v>
      </c>
      <c r="I1633" t="s">
        <v>154</v>
      </c>
      <c r="J1633" t="s">
        <v>155</v>
      </c>
      <c r="K1633" t="s">
        <v>131</v>
      </c>
      <c r="L1633" t="s">
        <v>166</v>
      </c>
      <c r="M1633" t="s">
        <v>177</v>
      </c>
      <c r="N1633">
        <v>2</v>
      </c>
      <c r="O1633" s="4">
        <v>2400</v>
      </c>
      <c r="P1633" s="4">
        <v>3400</v>
      </c>
      <c r="Q1633" s="7">
        <v>0</v>
      </c>
      <c r="R1633" t="s">
        <v>173</v>
      </c>
      <c r="S1633">
        <v>7</v>
      </c>
      <c r="T1633">
        <v>6800</v>
      </c>
      <c r="U1633">
        <v>0</v>
      </c>
      <c r="V1633">
        <v>6800</v>
      </c>
      <c r="W1633">
        <v>4800</v>
      </c>
      <c r="X1633">
        <v>2000</v>
      </c>
      <c r="Y1633" s="8">
        <v>0.29411764705882354</v>
      </c>
      <c r="Z1633" t="s">
        <v>2996</v>
      </c>
      <c r="AA1633" t="str">
        <f>IF(AND(SalesCleanTable[[#This Row],[Discount %]]&gt;0, SalesCleanTable[[#This Row],[Profit]]&lt;0), "Discount loss", "Safe")</f>
        <v>Safe</v>
      </c>
      <c r="AB1633" s="25">
        <f>(SalesCleanTable[[#This Row],[Unit Price]] - SalesCleanTable[[#This Row],[Unit Cost]]) / SalesCleanTable[[#This Row],[Unit Price]]</f>
        <v>0.29411764705882354</v>
      </c>
      <c r="AC1633" t="str">
        <f>IF(SalesCleanTable[[#This Row],[Discount %]] &gt; SalesCleanTable[[#This Row],[Max Allowed Discount]], "Discount loss", "Safe")</f>
        <v>Safe</v>
      </c>
      <c r="AD1633" s="4">
        <f>SalesCleanTable[[#This Row],[Unit Price]] - SalesCleanTable[[#This Row],[Unit Cost]]</f>
        <v>1000</v>
      </c>
      <c r="AE1633" s="41">
        <f>(SalesCleanTable[[#This Row],[Unit Price]] - SalesCleanTable[[#This Row],[Unit Cost]]) / SalesCleanTable[[#This Row],[Unit Price]]</f>
        <v>0.29411764705882354</v>
      </c>
    </row>
    <row r="1634" spans="1:31">
      <c r="A1634" t="s">
        <v>1820</v>
      </c>
      <c r="B1634" s="6">
        <v>45940</v>
      </c>
      <c r="C1634" t="s">
        <v>82</v>
      </c>
      <c r="D1634" t="s">
        <v>83</v>
      </c>
      <c r="E1634" t="s">
        <v>75</v>
      </c>
      <c r="F1634" t="s">
        <v>84</v>
      </c>
      <c r="G1634" t="s">
        <v>85</v>
      </c>
      <c r="H1634" t="s">
        <v>141</v>
      </c>
      <c r="I1634" t="s">
        <v>142</v>
      </c>
      <c r="J1634" t="s">
        <v>143</v>
      </c>
      <c r="K1634" t="s">
        <v>144</v>
      </c>
      <c r="L1634" t="s">
        <v>166</v>
      </c>
      <c r="M1634" t="s">
        <v>171</v>
      </c>
      <c r="N1634">
        <v>1</v>
      </c>
      <c r="O1634" s="4">
        <v>600</v>
      </c>
      <c r="P1634" s="4">
        <v>950</v>
      </c>
      <c r="Q1634" s="7">
        <v>0</v>
      </c>
      <c r="R1634" t="s">
        <v>204</v>
      </c>
      <c r="S1634">
        <v>8</v>
      </c>
      <c r="T1634">
        <v>950</v>
      </c>
      <c r="U1634">
        <v>0</v>
      </c>
      <c r="V1634">
        <v>950</v>
      </c>
      <c r="W1634">
        <v>600</v>
      </c>
      <c r="X1634">
        <v>350</v>
      </c>
      <c r="Y1634" s="8">
        <v>0.36842105263157893</v>
      </c>
      <c r="Z1634" t="s">
        <v>2996</v>
      </c>
      <c r="AA1634" t="str">
        <f>IF(AND(SalesCleanTable[[#This Row],[Discount %]]&gt;0, SalesCleanTable[[#This Row],[Profit]]&lt;0), "Discount loss", "Safe")</f>
        <v>Safe</v>
      </c>
      <c r="AB1634" s="25">
        <f>(SalesCleanTable[[#This Row],[Unit Price]] - SalesCleanTable[[#This Row],[Unit Cost]]) / SalesCleanTable[[#This Row],[Unit Price]]</f>
        <v>0.36842105263157893</v>
      </c>
      <c r="AC1634" t="str">
        <f>IF(SalesCleanTable[[#This Row],[Discount %]] &gt; SalesCleanTable[[#This Row],[Max Allowed Discount]], "Discount loss", "Safe")</f>
        <v>Safe</v>
      </c>
      <c r="AD1634" s="4">
        <f>SalesCleanTable[[#This Row],[Unit Price]] - SalesCleanTable[[#This Row],[Unit Cost]]</f>
        <v>350</v>
      </c>
      <c r="AE1634" s="41">
        <f>(SalesCleanTable[[#This Row],[Unit Price]] - SalesCleanTable[[#This Row],[Unit Cost]]) / SalesCleanTable[[#This Row],[Unit Price]]</f>
        <v>0.36842105263157893</v>
      </c>
    </row>
    <row r="1635" spans="1:31">
      <c r="A1635" t="s">
        <v>1821</v>
      </c>
      <c r="B1635" s="6">
        <v>45666</v>
      </c>
      <c r="C1635" t="s">
        <v>90</v>
      </c>
      <c r="D1635" t="s">
        <v>91</v>
      </c>
      <c r="E1635" t="s">
        <v>92</v>
      </c>
      <c r="F1635" t="s">
        <v>93</v>
      </c>
      <c r="G1635" t="s">
        <v>94</v>
      </c>
      <c r="H1635" t="s">
        <v>145</v>
      </c>
      <c r="I1635" t="s">
        <v>146</v>
      </c>
      <c r="J1635" t="s">
        <v>147</v>
      </c>
      <c r="K1635" t="s">
        <v>148</v>
      </c>
      <c r="L1635" t="s">
        <v>166</v>
      </c>
      <c r="M1635" t="s">
        <v>177</v>
      </c>
      <c r="N1635">
        <v>8</v>
      </c>
      <c r="O1635" s="4">
        <v>7500</v>
      </c>
      <c r="P1635" s="4">
        <v>10500</v>
      </c>
      <c r="Q1635" s="7">
        <v>0.25</v>
      </c>
      <c r="R1635" t="s">
        <v>181</v>
      </c>
      <c r="S1635">
        <v>5</v>
      </c>
      <c r="T1635">
        <v>84000</v>
      </c>
      <c r="U1635">
        <v>21000</v>
      </c>
      <c r="V1635">
        <v>63000</v>
      </c>
      <c r="W1635">
        <v>60000</v>
      </c>
      <c r="X1635">
        <v>3000</v>
      </c>
      <c r="Y1635" s="8">
        <v>4.7619047619047616E-2</v>
      </c>
      <c r="Z1635" t="s">
        <v>2996</v>
      </c>
      <c r="AA1635" t="str">
        <f>IF(AND(SalesCleanTable[[#This Row],[Discount %]]&gt;0, SalesCleanTable[[#This Row],[Profit]]&lt;0), "Discount loss", "Safe")</f>
        <v>Safe</v>
      </c>
      <c r="AB1635" s="25">
        <f>(SalesCleanTable[[#This Row],[Unit Price]] - SalesCleanTable[[#This Row],[Unit Cost]]) / SalesCleanTable[[#This Row],[Unit Price]]</f>
        <v>0.2857142857142857</v>
      </c>
      <c r="AC1635" t="str">
        <f>IF(SalesCleanTable[[#This Row],[Discount %]] &gt; SalesCleanTable[[#This Row],[Max Allowed Discount]], "Discount loss", "Safe")</f>
        <v>Safe</v>
      </c>
      <c r="AD1635" s="4">
        <f>SalesCleanTable[[#This Row],[Unit Price]] - SalesCleanTable[[#This Row],[Unit Cost]]</f>
        <v>3000</v>
      </c>
      <c r="AE1635" s="41">
        <f>(SalesCleanTable[[#This Row],[Unit Price]] - SalesCleanTable[[#This Row],[Unit Cost]]) / SalesCleanTable[[#This Row],[Unit Price]]</f>
        <v>0.2857142857142857</v>
      </c>
    </row>
    <row r="1636" spans="1:31">
      <c r="A1636" t="s">
        <v>1822</v>
      </c>
      <c r="B1636" s="6">
        <v>45720</v>
      </c>
      <c r="C1636" t="s">
        <v>103</v>
      </c>
      <c r="D1636" t="s">
        <v>104</v>
      </c>
      <c r="E1636" t="s">
        <v>92</v>
      </c>
      <c r="F1636" t="s">
        <v>105</v>
      </c>
      <c r="G1636" t="s">
        <v>106</v>
      </c>
      <c r="H1636" t="s">
        <v>135</v>
      </c>
      <c r="I1636" t="s">
        <v>136</v>
      </c>
      <c r="J1636" t="s">
        <v>137</v>
      </c>
      <c r="K1636" t="s">
        <v>138</v>
      </c>
      <c r="L1636" t="s">
        <v>183</v>
      </c>
      <c r="M1636" t="s">
        <v>171</v>
      </c>
      <c r="N1636">
        <v>3</v>
      </c>
      <c r="O1636" s="4">
        <v>1500</v>
      </c>
      <c r="P1636" s="4">
        <v>2500</v>
      </c>
      <c r="Q1636" s="7">
        <v>0.15</v>
      </c>
      <c r="R1636" t="s">
        <v>217</v>
      </c>
      <c r="S1636">
        <v>11</v>
      </c>
      <c r="T1636">
        <v>7500</v>
      </c>
      <c r="U1636">
        <v>1125</v>
      </c>
      <c r="V1636">
        <v>6375</v>
      </c>
      <c r="W1636">
        <v>4500</v>
      </c>
      <c r="X1636">
        <v>1875</v>
      </c>
      <c r="Y1636" s="8">
        <v>0.29411764705882354</v>
      </c>
      <c r="Z1636" t="s">
        <v>2996</v>
      </c>
      <c r="AA1636" t="str">
        <f>IF(AND(SalesCleanTable[[#This Row],[Discount %]]&gt;0, SalesCleanTable[[#This Row],[Profit]]&lt;0), "Discount loss", "Safe")</f>
        <v>Safe</v>
      </c>
      <c r="AB1636" s="25">
        <f>(SalesCleanTable[[#This Row],[Unit Price]] - SalesCleanTable[[#This Row],[Unit Cost]]) / SalesCleanTable[[#This Row],[Unit Price]]</f>
        <v>0.4</v>
      </c>
      <c r="AC1636" t="str">
        <f>IF(SalesCleanTable[[#This Row],[Discount %]] &gt; SalesCleanTable[[#This Row],[Max Allowed Discount]], "Discount loss", "Safe")</f>
        <v>Safe</v>
      </c>
      <c r="AD1636" s="4">
        <f>SalesCleanTable[[#This Row],[Unit Price]] - SalesCleanTable[[#This Row],[Unit Cost]]</f>
        <v>1000</v>
      </c>
      <c r="AE1636" s="41">
        <f>(SalesCleanTable[[#This Row],[Unit Price]] - SalesCleanTable[[#This Row],[Unit Cost]]) / SalesCleanTable[[#This Row],[Unit Price]]</f>
        <v>0.4</v>
      </c>
    </row>
    <row r="1637" spans="1:31">
      <c r="A1637" t="s">
        <v>1823</v>
      </c>
      <c r="B1637" s="6">
        <v>45987</v>
      </c>
      <c r="C1637" t="s">
        <v>36</v>
      </c>
      <c r="D1637" t="s">
        <v>37</v>
      </c>
      <c r="E1637" t="s">
        <v>38</v>
      </c>
      <c r="F1637" t="s">
        <v>39</v>
      </c>
      <c r="G1637" t="s">
        <v>40</v>
      </c>
      <c r="H1637" t="s">
        <v>153</v>
      </c>
      <c r="I1637" t="s">
        <v>154</v>
      </c>
      <c r="J1637" t="s">
        <v>155</v>
      </c>
      <c r="K1637" t="s">
        <v>131</v>
      </c>
      <c r="L1637" t="s">
        <v>166</v>
      </c>
      <c r="M1637" t="s">
        <v>186</v>
      </c>
      <c r="N1637">
        <v>3</v>
      </c>
      <c r="O1637" s="4">
        <v>1650</v>
      </c>
      <c r="P1637" s="4">
        <v>2200</v>
      </c>
      <c r="Q1637" s="7">
        <v>0.2</v>
      </c>
      <c r="R1637" t="s">
        <v>178</v>
      </c>
      <c r="S1637">
        <v>9</v>
      </c>
      <c r="T1637">
        <v>6600</v>
      </c>
      <c r="U1637">
        <v>1320</v>
      </c>
      <c r="V1637">
        <v>5280</v>
      </c>
      <c r="W1637">
        <v>4950</v>
      </c>
      <c r="X1637">
        <v>330</v>
      </c>
      <c r="Y1637" s="8">
        <v>6.25E-2</v>
      </c>
      <c r="Z1637" t="s">
        <v>2995</v>
      </c>
      <c r="AA1637" t="str">
        <f>IF(AND(SalesCleanTable[[#This Row],[Discount %]]&gt;0, SalesCleanTable[[#This Row],[Profit]]&lt;0), "Discount loss", "Safe")</f>
        <v>Safe</v>
      </c>
      <c r="AB1637" s="25">
        <f>(SalesCleanTable[[#This Row],[Unit Price]] - SalesCleanTable[[#This Row],[Unit Cost]]) / SalesCleanTable[[#This Row],[Unit Price]]</f>
        <v>0.25</v>
      </c>
      <c r="AC1637" t="str">
        <f>IF(SalesCleanTable[[#This Row],[Discount %]] &gt; SalesCleanTable[[#This Row],[Max Allowed Discount]], "Discount loss", "Safe")</f>
        <v>Safe</v>
      </c>
      <c r="AD1637" s="4">
        <f>SalesCleanTable[[#This Row],[Unit Price]] - SalesCleanTable[[#This Row],[Unit Cost]]</f>
        <v>550</v>
      </c>
      <c r="AE1637" s="41">
        <f>(SalesCleanTable[[#This Row],[Unit Price]] - SalesCleanTable[[#This Row],[Unit Cost]]) / SalesCleanTable[[#This Row],[Unit Price]]</f>
        <v>0.25</v>
      </c>
    </row>
    <row r="1638" spans="1:31">
      <c r="A1638" t="s">
        <v>1824</v>
      </c>
      <c r="B1638" s="6">
        <v>45862</v>
      </c>
      <c r="C1638" t="s">
        <v>45</v>
      </c>
      <c r="D1638" t="s">
        <v>46</v>
      </c>
      <c r="E1638" t="s">
        <v>38</v>
      </c>
      <c r="F1638" t="s">
        <v>47</v>
      </c>
      <c r="G1638" t="s">
        <v>48</v>
      </c>
      <c r="H1638" t="s">
        <v>133</v>
      </c>
      <c r="I1638" t="s">
        <v>134</v>
      </c>
      <c r="J1638" t="s">
        <v>130</v>
      </c>
      <c r="K1638" t="s">
        <v>131</v>
      </c>
      <c r="L1638" t="s">
        <v>183</v>
      </c>
      <c r="M1638" t="s">
        <v>167</v>
      </c>
      <c r="N1638">
        <v>1</v>
      </c>
      <c r="O1638" s="4">
        <v>230</v>
      </c>
      <c r="P1638" s="4">
        <v>400</v>
      </c>
      <c r="Q1638" s="7">
        <v>0.1</v>
      </c>
      <c r="R1638" t="s">
        <v>178</v>
      </c>
      <c r="S1638">
        <v>9</v>
      </c>
      <c r="T1638">
        <v>400</v>
      </c>
      <c r="U1638">
        <v>40</v>
      </c>
      <c r="V1638">
        <v>360</v>
      </c>
      <c r="W1638">
        <v>230</v>
      </c>
      <c r="X1638">
        <v>130</v>
      </c>
      <c r="Y1638" s="8">
        <v>0.3611111111111111</v>
      </c>
      <c r="Z1638" t="s">
        <v>2995</v>
      </c>
      <c r="AA1638" t="str">
        <f>IF(AND(SalesCleanTable[[#This Row],[Discount %]]&gt;0, SalesCleanTable[[#This Row],[Profit]]&lt;0), "Discount loss", "Safe")</f>
        <v>Safe</v>
      </c>
      <c r="AB1638" s="25">
        <f>(SalesCleanTable[[#This Row],[Unit Price]] - SalesCleanTable[[#This Row],[Unit Cost]]) / SalesCleanTable[[#This Row],[Unit Price]]</f>
        <v>0.42499999999999999</v>
      </c>
      <c r="AC1638" t="str">
        <f>IF(SalesCleanTable[[#This Row],[Discount %]] &gt; SalesCleanTable[[#This Row],[Max Allowed Discount]], "Discount loss", "Safe")</f>
        <v>Safe</v>
      </c>
      <c r="AD1638" s="4">
        <f>SalesCleanTable[[#This Row],[Unit Price]] - SalesCleanTable[[#This Row],[Unit Cost]]</f>
        <v>170</v>
      </c>
      <c r="AE1638" s="41">
        <f>(SalesCleanTable[[#This Row],[Unit Price]] - SalesCleanTable[[#This Row],[Unit Cost]]) / SalesCleanTable[[#This Row],[Unit Price]]</f>
        <v>0.42499999999999999</v>
      </c>
    </row>
    <row r="1639" spans="1:31">
      <c r="A1639" t="s">
        <v>1825</v>
      </c>
      <c r="B1639" s="6">
        <v>46000</v>
      </c>
      <c r="C1639" t="s">
        <v>78</v>
      </c>
      <c r="D1639" t="s">
        <v>79</v>
      </c>
      <c r="E1639" t="s">
        <v>75</v>
      </c>
      <c r="F1639" t="s">
        <v>80</v>
      </c>
      <c r="G1639" t="s">
        <v>81</v>
      </c>
      <c r="H1639" t="s">
        <v>135</v>
      </c>
      <c r="I1639" t="s">
        <v>136</v>
      </c>
      <c r="J1639" t="s">
        <v>137</v>
      </c>
      <c r="K1639" t="s">
        <v>138</v>
      </c>
      <c r="L1639" t="s">
        <v>183</v>
      </c>
      <c r="M1639" t="s">
        <v>171</v>
      </c>
      <c r="N1639">
        <v>2</v>
      </c>
      <c r="O1639" s="4">
        <v>1200</v>
      </c>
      <c r="P1639" s="4">
        <v>1900</v>
      </c>
      <c r="Q1639" s="7">
        <v>0</v>
      </c>
      <c r="R1639" t="s">
        <v>187</v>
      </c>
      <c r="S1639">
        <v>6</v>
      </c>
      <c r="T1639">
        <v>3800</v>
      </c>
      <c r="U1639">
        <v>0</v>
      </c>
      <c r="V1639">
        <v>3800</v>
      </c>
      <c r="W1639">
        <v>2400</v>
      </c>
      <c r="X1639">
        <v>1400</v>
      </c>
      <c r="Y1639" s="8">
        <v>0.36842105263157893</v>
      </c>
      <c r="Z1639" t="s">
        <v>2996</v>
      </c>
      <c r="AA1639" t="str">
        <f>IF(AND(SalesCleanTable[[#This Row],[Discount %]]&gt;0, SalesCleanTable[[#This Row],[Profit]]&lt;0), "Discount loss", "Safe")</f>
        <v>Safe</v>
      </c>
      <c r="AB1639" s="25">
        <f>(SalesCleanTable[[#This Row],[Unit Price]] - SalesCleanTable[[#This Row],[Unit Cost]]) / SalesCleanTable[[#This Row],[Unit Price]]</f>
        <v>0.36842105263157893</v>
      </c>
      <c r="AC1639" t="str">
        <f>IF(SalesCleanTable[[#This Row],[Discount %]] &gt; SalesCleanTable[[#This Row],[Max Allowed Discount]], "Discount loss", "Safe")</f>
        <v>Safe</v>
      </c>
      <c r="AD1639" s="4">
        <f>SalesCleanTable[[#This Row],[Unit Price]] - SalesCleanTable[[#This Row],[Unit Cost]]</f>
        <v>700</v>
      </c>
      <c r="AE1639" s="41">
        <f>(SalesCleanTable[[#This Row],[Unit Price]] - SalesCleanTable[[#This Row],[Unit Cost]]) / SalesCleanTable[[#This Row],[Unit Price]]</f>
        <v>0.36842105263157893</v>
      </c>
    </row>
    <row r="1640" spans="1:31">
      <c r="A1640" t="s">
        <v>1826</v>
      </c>
      <c r="B1640" s="6">
        <v>45928</v>
      </c>
      <c r="C1640" t="s">
        <v>53</v>
      </c>
      <c r="D1640" t="s">
        <v>54</v>
      </c>
      <c r="E1640" t="s">
        <v>38</v>
      </c>
      <c r="F1640" t="s">
        <v>55</v>
      </c>
      <c r="G1640" t="s">
        <v>56</v>
      </c>
      <c r="H1640" t="s">
        <v>128</v>
      </c>
      <c r="I1640" t="s">
        <v>129</v>
      </c>
      <c r="J1640" t="s">
        <v>130</v>
      </c>
      <c r="K1640" t="s">
        <v>131</v>
      </c>
      <c r="L1640" t="s">
        <v>166</v>
      </c>
      <c r="M1640" t="s">
        <v>177</v>
      </c>
      <c r="N1640">
        <v>8</v>
      </c>
      <c r="O1640" s="4">
        <v>330</v>
      </c>
      <c r="P1640" s="4">
        <v>550</v>
      </c>
      <c r="Q1640" s="7">
        <v>0</v>
      </c>
      <c r="R1640" t="s">
        <v>175</v>
      </c>
      <c r="S1640">
        <v>5</v>
      </c>
      <c r="T1640">
        <v>4400</v>
      </c>
      <c r="U1640">
        <v>0</v>
      </c>
      <c r="V1640">
        <v>4400</v>
      </c>
      <c r="W1640">
        <v>2640</v>
      </c>
      <c r="X1640">
        <v>1760</v>
      </c>
      <c r="Y1640" s="8">
        <v>0.4</v>
      </c>
      <c r="Z1640" t="s">
        <v>2996</v>
      </c>
      <c r="AA1640" t="str">
        <f>IF(AND(SalesCleanTable[[#This Row],[Discount %]]&gt;0, SalesCleanTable[[#This Row],[Profit]]&lt;0), "Discount loss", "Safe")</f>
        <v>Safe</v>
      </c>
      <c r="AB1640" s="25">
        <f>(SalesCleanTable[[#This Row],[Unit Price]] - SalesCleanTable[[#This Row],[Unit Cost]]) / SalesCleanTable[[#This Row],[Unit Price]]</f>
        <v>0.4</v>
      </c>
      <c r="AC1640" t="str">
        <f>IF(SalesCleanTable[[#This Row],[Discount %]] &gt; SalesCleanTable[[#This Row],[Max Allowed Discount]], "Discount loss", "Safe")</f>
        <v>Safe</v>
      </c>
      <c r="AD1640" s="4">
        <f>SalesCleanTable[[#This Row],[Unit Price]] - SalesCleanTable[[#This Row],[Unit Cost]]</f>
        <v>220</v>
      </c>
      <c r="AE1640" s="41">
        <f>(SalesCleanTable[[#This Row],[Unit Price]] - SalesCleanTable[[#This Row],[Unit Cost]]) / SalesCleanTable[[#This Row],[Unit Price]]</f>
        <v>0.4</v>
      </c>
    </row>
    <row r="1641" spans="1:31">
      <c r="A1641" t="s">
        <v>1827</v>
      </c>
      <c r="B1641" s="6">
        <v>45981</v>
      </c>
      <c r="C1641" t="s">
        <v>49</v>
      </c>
      <c r="D1641" t="s">
        <v>50</v>
      </c>
      <c r="E1641" t="s">
        <v>38</v>
      </c>
      <c r="F1641" t="s">
        <v>51</v>
      </c>
      <c r="G1641" t="s">
        <v>52</v>
      </c>
      <c r="H1641" t="s">
        <v>135</v>
      </c>
      <c r="I1641" t="s">
        <v>136</v>
      </c>
      <c r="J1641" t="s">
        <v>137</v>
      </c>
      <c r="K1641" t="s">
        <v>138</v>
      </c>
      <c r="L1641" t="s">
        <v>183</v>
      </c>
      <c r="M1641" t="s">
        <v>177</v>
      </c>
      <c r="N1641">
        <v>4</v>
      </c>
      <c r="O1641" s="4">
        <v>550</v>
      </c>
      <c r="P1641" s="4">
        <v>850</v>
      </c>
      <c r="Q1641" s="7">
        <v>0.1</v>
      </c>
      <c r="R1641" t="s">
        <v>175</v>
      </c>
      <c r="S1641">
        <v>13</v>
      </c>
      <c r="T1641">
        <v>3400</v>
      </c>
      <c r="U1641">
        <v>340</v>
      </c>
      <c r="V1641">
        <v>3060</v>
      </c>
      <c r="W1641">
        <v>2200</v>
      </c>
      <c r="X1641">
        <v>860</v>
      </c>
      <c r="Y1641" s="8">
        <v>0.28104575163398693</v>
      </c>
      <c r="Z1641" t="s">
        <v>2996</v>
      </c>
      <c r="AA1641" t="str">
        <f>IF(AND(SalesCleanTable[[#This Row],[Discount %]]&gt;0, SalesCleanTable[[#This Row],[Profit]]&lt;0), "Discount loss", "Safe")</f>
        <v>Safe</v>
      </c>
      <c r="AB1641" s="25">
        <f>(SalesCleanTable[[#This Row],[Unit Price]] - SalesCleanTable[[#This Row],[Unit Cost]]) / SalesCleanTable[[#This Row],[Unit Price]]</f>
        <v>0.35294117647058826</v>
      </c>
      <c r="AC1641" t="str">
        <f>IF(SalesCleanTable[[#This Row],[Discount %]] &gt; SalesCleanTable[[#This Row],[Max Allowed Discount]], "Discount loss", "Safe")</f>
        <v>Safe</v>
      </c>
      <c r="AD1641" s="4">
        <f>SalesCleanTable[[#This Row],[Unit Price]] - SalesCleanTable[[#This Row],[Unit Cost]]</f>
        <v>300</v>
      </c>
      <c r="AE1641" s="41">
        <f>(SalesCleanTable[[#This Row],[Unit Price]] - SalesCleanTable[[#This Row],[Unit Cost]]) / SalesCleanTable[[#This Row],[Unit Price]]</f>
        <v>0.35294117647058826</v>
      </c>
    </row>
    <row r="1642" spans="1:31">
      <c r="A1642" t="s">
        <v>1828</v>
      </c>
      <c r="B1642" s="6">
        <v>46003</v>
      </c>
      <c r="C1642" t="s">
        <v>49</v>
      </c>
      <c r="D1642" t="s">
        <v>50</v>
      </c>
      <c r="E1642" t="s">
        <v>38</v>
      </c>
      <c r="F1642" t="s">
        <v>51</v>
      </c>
      <c r="G1642" t="s">
        <v>52</v>
      </c>
      <c r="H1642" t="s">
        <v>139</v>
      </c>
      <c r="I1642" t="s">
        <v>140</v>
      </c>
      <c r="J1642" t="s">
        <v>137</v>
      </c>
      <c r="K1642" t="s">
        <v>138</v>
      </c>
      <c r="L1642" t="s">
        <v>183</v>
      </c>
      <c r="M1642" t="s">
        <v>171</v>
      </c>
      <c r="N1642">
        <v>1</v>
      </c>
      <c r="O1642" s="4">
        <v>550</v>
      </c>
      <c r="P1642" s="4">
        <v>850</v>
      </c>
      <c r="Q1642" s="7">
        <v>0</v>
      </c>
      <c r="R1642" t="s">
        <v>168</v>
      </c>
      <c r="S1642">
        <v>2</v>
      </c>
      <c r="T1642">
        <v>850</v>
      </c>
      <c r="U1642">
        <v>0</v>
      </c>
      <c r="V1642">
        <v>850</v>
      </c>
      <c r="W1642">
        <v>550</v>
      </c>
      <c r="X1642">
        <v>300</v>
      </c>
      <c r="Y1642" s="8">
        <v>0.35294117647058826</v>
      </c>
      <c r="Z1642" t="s">
        <v>2996</v>
      </c>
      <c r="AA1642" t="str">
        <f>IF(AND(SalesCleanTable[[#This Row],[Discount %]]&gt;0, SalesCleanTable[[#This Row],[Profit]]&lt;0), "Discount loss", "Safe")</f>
        <v>Safe</v>
      </c>
      <c r="AB1642" s="25">
        <f>(SalesCleanTable[[#This Row],[Unit Price]] - SalesCleanTable[[#This Row],[Unit Cost]]) / SalesCleanTable[[#This Row],[Unit Price]]</f>
        <v>0.35294117647058826</v>
      </c>
      <c r="AC1642" t="str">
        <f>IF(SalesCleanTable[[#This Row],[Discount %]] &gt; SalesCleanTable[[#This Row],[Max Allowed Discount]], "Discount loss", "Safe")</f>
        <v>Safe</v>
      </c>
      <c r="AD1642" s="4">
        <f>SalesCleanTable[[#This Row],[Unit Price]] - SalesCleanTable[[#This Row],[Unit Cost]]</f>
        <v>300</v>
      </c>
      <c r="AE1642" s="41">
        <f>(SalesCleanTable[[#This Row],[Unit Price]] - SalesCleanTable[[#This Row],[Unit Cost]]) / SalesCleanTable[[#This Row],[Unit Price]]</f>
        <v>0.35294117647058826</v>
      </c>
    </row>
    <row r="1643" spans="1:31">
      <c r="A1643" t="s">
        <v>1829</v>
      </c>
      <c r="B1643" s="6">
        <v>45815</v>
      </c>
      <c r="C1643" t="s">
        <v>49</v>
      </c>
      <c r="D1643" t="s">
        <v>50</v>
      </c>
      <c r="E1643" t="s">
        <v>38</v>
      </c>
      <c r="F1643" t="s">
        <v>51</v>
      </c>
      <c r="G1643" t="s">
        <v>52</v>
      </c>
      <c r="H1643" t="s">
        <v>135</v>
      </c>
      <c r="I1643" t="s">
        <v>136</v>
      </c>
      <c r="J1643" t="s">
        <v>137</v>
      </c>
      <c r="K1643" t="s">
        <v>138</v>
      </c>
      <c r="L1643" t="s">
        <v>183</v>
      </c>
      <c r="M1643" t="s">
        <v>186</v>
      </c>
      <c r="N1643">
        <v>2</v>
      </c>
      <c r="O1643" s="4">
        <v>550</v>
      </c>
      <c r="P1643" s="4">
        <v>850</v>
      </c>
      <c r="Q1643" s="7">
        <v>0.1</v>
      </c>
      <c r="R1643" t="s">
        <v>178</v>
      </c>
      <c r="S1643">
        <v>13</v>
      </c>
      <c r="T1643">
        <v>1700</v>
      </c>
      <c r="U1643">
        <v>170</v>
      </c>
      <c r="V1643">
        <v>1530</v>
      </c>
      <c r="W1643">
        <v>1100</v>
      </c>
      <c r="X1643">
        <v>430</v>
      </c>
      <c r="Y1643" s="8">
        <v>0.28104575163398693</v>
      </c>
      <c r="Z1643" t="s">
        <v>2996</v>
      </c>
      <c r="AA1643" t="str">
        <f>IF(AND(SalesCleanTable[[#This Row],[Discount %]]&gt;0, SalesCleanTable[[#This Row],[Profit]]&lt;0), "Discount loss", "Safe")</f>
        <v>Safe</v>
      </c>
      <c r="AB1643" s="25">
        <f>(SalesCleanTable[[#This Row],[Unit Price]] - SalesCleanTable[[#This Row],[Unit Cost]]) / SalesCleanTable[[#This Row],[Unit Price]]</f>
        <v>0.35294117647058826</v>
      </c>
      <c r="AC1643" t="str">
        <f>IF(SalesCleanTable[[#This Row],[Discount %]] &gt; SalesCleanTable[[#This Row],[Max Allowed Discount]], "Discount loss", "Safe")</f>
        <v>Safe</v>
      </c>
      <c r="AD1643" s="4">
        <f>SalesCleanTable[[#This Row],[Unit Price]] - SalesCleanTable[[#This Row],[Unit Cost]]</f>
        <v>300</v>
      </c>
      <c r="AE1643" s="41">
        <f>(SalesCleanTable[[#This Row],[Unit Price]] - SalesCleanTable[[#This Row],[Unit Cost]]) / SalesCleanTable[[#This Row],[Unit Price]]</f>
        <v>0.35294117647058826</v>
      </c>
    </row>
    <row r="1644" spans="1:31">
      <c r="A1644" t="s">
        <v>1830</v>
      </c>
      <c r="B1644" s="6">
        <v>45713</v>
      </c>
      <c r="C1644" t="s">
        <v>49</v>
      </c>
      <c r="D1644" t="s">
        <v>50</v>
      </c>
      <c r="E1644" t="s">
        <v>38</v>
      </c>
      <c r="F1644" t="s">
        <v>51</v>
      </c>
      <c r="G1644" t="s">
        <v>52</v>
      </c>
      <c r="H1644" t="s">
        <v>139</v>
      </c>
      <c r="I1644" t="s">
        <v>140</v>
      </c>
      <c r="J1644" t="s">
        <v>137</v>
      </c>
      <c r="K1644" t="s">
        <v>138</v>
      </c>
      <c r="L1644" t="s">
        <v>170</v>
      </c>
      <c r="M1644" t="s">
        <v>186</v>
      </c>
      <c r="N1644">
        <v>3</v>
      </c>
      <c r="O1644" s="4">
        <v>550</v>
      </c>
      <c r="P1644" s="4">
        <v>850</v>
      </c>
      <c r="Q1644" s="7">
        <v>0</v>
      </c>
      <c r="R1644" t="s">
        <v>178</v>
      </c>
      <c r="S1644">
        <v>8</v>
      </c>
      <c r="T1644">
        <v>2550</v>
      </c>
      <c r="U1644">
        <v>0</v>
      </c>
      <c r="V1644">
        <v>2550</v>
      </c>
      <c r="W1644">
        <v>1650</v>
      </c>
      <c r="X1644">
        <v>900</v>
      </c>
      <c r="Y1644" s="8">
        <v>0.35294117647058826</v>
      </c>
      <c r="Z1644" t="s">
        <v>2996</v>
      </c>
      <c r="AA1644" t="str">
        <f>IF(AND(SalesCleanTable[[#This Row],[Discount %]]&gt;0, SalesCleanTable[[#This Row],[Profit]]&lt;0), "Discount loss", "Safe")</f>
        <v>Safe</v>
      </c>
      <c r="AB1644" s="25">
        <f>(SalesCleanTable[[#This Row],[Unit Price]] - SalesCleanTable[[#This Row],[Unit Cost]]) / SalesCleanTable[[#This Row],[Unit Price]]</f>
        <v>0.35294117647058826</v>
      </c>
      <c r="AC1644" t="str">
        <f>IF(SalesCleanTable[[#This Row],[Discount %]] &gt; SalesCleanTable[[#This Row],[Max Allowed Discount]], "Discount loss", "Safe")</f>
        <v>Safe</v>
      </c>
      <c r="AD1644" s="4">
        <f>SalesCleanTable[[#This Row],[Unit Price]] - SalesCleanTable[[#This Row],[Unit Cost]]</f>
        <v>300</v>
      </c>
      <c r="AE1644" s="41">
        <f>(SalesCleanTable[[#This Row],[Unit Price]] - SalesCleanTable[[#This Row],[Unit Cost]]) / SalesCleanTable[[#This Row],[Unit Price]]</f>
        <v>0.35294117647058826</v>
      </c>
    </row>
    <row r="1645" spans="1:31">
      <c r="A1645" t="s">
        <v>1831</v>
      </c>
      <c r="B1645" s="6">
        <v>46014</v>
      </c>
      <c r="C1645" t="s">
        <v>29</v>
      </c>
      <c r="D1645" t="s">
        <v>30</v>
      </c>
      <c r="E1645" t="s">
        <v>26</v>
      </c>
      <c r="F1645" t="s">
        <v>27</v>
      </c>
      <c r="G1645" t="s">
        <v>31</v>
      </c>
      <c r="H1645" t="s">
        <v>141</v>
      </c>
      <c r="I1645" t="s">
        <v>142</v>
      </c>
      <c r="J1645" t="s">
        <v>143</v>
      </c>
      <c r="K1645" t="s">
        <v>144</v>
      </c>
      <c r="L1645" t="s">
        <v>166</v>
      </c>
      <c r="M1645" t="s">
        <v>171</v>
      </c>
      <c r="N1645">
        <v>1</v>
      </c>
      <c r="O1645" s="4">
        <v>6200</v>
      </c>
      <c r="P1645" s="4">
        <v>7900</v>
      </c>
      <c r="Q1645" s="7">
        <v>0.1</v>
      </c>
      <c r="R1645" t="s">
        <v>197</v>
      </c>
      <c r="S1645">
        <v>4</v>
      </c>
      <c r="T1645">
        <v>7900</v>
      </c>
      <c r="U1645">
        <v>790</v>
      </c>
      <c r="V1645">
        <v>7110</v>
      </c>
      <c r="W1645">
        <v>6200</v>
      </c>
      <c r="X1645">
        <v>910</v>
      </c>
      <c r="Y1645" s="8">
        <v>0.12798874824191281</v>
      </c>
      <c r="Z1645" t="s">
        <v>2996</v>
      </c>
      <c r="AA1645" t="str">
        <f>IF(AND(SalesCleanTable[[#This Row],[Discount %]]&gt;0, SalesCleanTable[[#This Row],[Profit]]&lt;0), "Discount loss", "Safe")</f>
        <v>Safe</v>
      </c>
      <c r="AB1645" s="25">
        <f>(SalesCleanTable[[#This Row],[Unit Price]] - SalesCleanTable[[#This Row],[Unit Cost]]) / SalesCleanTable[[#This Row],[Unit Price]]</f>
        <v>0.21518987341772153</v>
      </c>
      <c r="AC1645" t="str">
        <f>IF(SalesCleanTable[[#This Row],[Discount %]] &gt; SalesCleanTable[[#This Row],[Max Allowed Discount]], "Discount loss", "Safe")</f>
        <v>Safe</v>
      </c>
      <c r="AD1645" s="4">
        <f>SalesCleanTable[[#This Row],[Unit Price]] - SalesCleanTable[[#This Row],[Unit Cost]]</f>
        <v>1700</v>
      </c>
      <c r="AE1645" s="41">
        <f>(SalesCleanTable[[#This Row],[Unit Price]] - SalesCleanTable[[#This Row],[Unit Cost]]) / SalesCleanTable[[#This Row],[Unit Price]]</f>
        <v>0.21518987341772153</v>
      </c>
    </row>
    <row r="1646" spans="1:31">
      <c r="A1646" t="s">
        <v>1832</v>
      </c>
      <c r="B1646" s="6">
        <v>45764</v>
      </c>
      <c r="C1646" t="s">
        <v>116</v>
      </c>
      <c r="D1646" t="s">
        <v>117</v>
      </c>
      <c r="E1646" t="s">
        <v>109</v>
      </c>
      <c r="F1646" t="s">
        <v>118</v>
      </c>
      <c r="G1646" t="s">
        <v>119</v>
      </c>
      <c r="H1646" t="s">
        <v>149</v>
      </c>
      <c r="I1646" t="s">
        <v>150</v>
      </c>
      <c r="J1646" t="s">
        <v>151</v>
      </c>
      <c r="K1646" t="s">
        <v>152</v>
      </c>
      <c r="L1646" t="s">
        <v>183</v>
      </c>
      <c r="M1646" t="s">
        <v>171</v>
      </c>
      <c r="N1646">
        <v>1</v>
      </c>
      <c r="O1646" s="4">
        <v>2800</v>
      </c>
      <c r="P1646" s="4">
        <v>4200</v>
      </c>
      <c r="Q1646" s="7">
        <v>0.05</v>
      </c>
      <c r="R1646" t="s">
        <v>235</v>
      </c>
      <c r="S1646">
        <v>7</v>
      </c>
      <c r="T1646">
        <v>4200</v>
      </c>
      <c r="U1646">
        <v>210</v>
      </c>
      <c r="V1646">
        <v>3990</v>
      </c>
      <c r="W1646">
        <v>2800</v>
      </c>
      <c r="X1646">
        <v>1190</v>
      </c>
      <c r="Y1646" s="8">
        <v>0.2982456140350877</v>
      </c>
      <c r="Z1646" t="s">
        <v>2995</v>
      </c>
      <c r="AA1646" t="str">
        <f>IF(AND(SalesCleanTable[[#This Row],[Discount %]]&gt;0, SalesCleanTable[[#This Row],[Profit]]&lt;0), "Discount loss", "Safe")</f>
        <v>Safe</v>
      </c>
      <c r="AB1646" s="25">
        <f>(SalesCleanTable[[#This Row],[Unit Price]] - SalesCleanTable[[#This Row],[Unit Cost]]) / SalesCleanTable[[#This Row],[Unit Price]]</f>
        <v>0.33333333333333331</v>
      </c>
      <c r="AC1646" t="str">
        <f>IF(SalesCleanTable[[#This Row],[Discount %]] &gt; SalesCleanTable[[#This Row],[Max Allowed Discount]], "Discount loss", "Safe")</f>
        <v>Safe</v>
      </c>
      <c r="AD1646" s="4">
        <f>SalesCleanTable[[#This Row],[Unit Price]] - SalesCleanTable[[#This Row],[Unit Cost]]</f>
        <v>1400</v>
      </c>
      <c r="AE1646" s="41">
        <f>(SalesCleanTable[[#This Row],[Unit Price]] - SalesCleanTable[[#This Row],[Unit Cost]]) / SalesCleanTable[[#This Row],[Unit Price]]</f>
        <v>0.33333333333333331</v>
      </c>
    </row>
    <row r="1647" spans="1:31">
      <c r="A1647" t="s">
        <v>1833</v>
      </c>
      <c r="B1647" s="6">
        <v>45730</v>
      </c>
      <c r="C1647" t="s">
        <v>95</v>
      </c>
      <c r="D1647" t="s">
        <v>96</v>
      </c>
      <c r="E1647" t="s">
        <v>92</v>
      </c>
      <c r="F1647" t="s">
        <v>97</v>
      </c>
      <c r="G1647" t="s">
        <v>98</v>
      </c>
      <c r="H1647" t="s">
        <v>128</v>
      </c>
      <c r="I1647" t="s">
        <v>129</v>
      </c>
      <c r="J1647" t="s">
        <v>130</v>
      </c>
      <c r="K1647" t="s">
        <v>131</v>
      </c>
      <c r="L1647" t="s">
        <v>166</v>
      </c>
      <c r="M1647" t="s">
        <v>171</v>
      </c>
      <c r="N1647">
        <v>4</v>
      </c>
      <c r="O1647" s="4">
        <v>18000</v>
      </c>
      <c r="P1647" s="4">
        <v>24500</v>
      </c>
      <c r="Q1647" s="7">
        <v>0.05</v>
      </c>
      <c r="R1647" t="s">
        <v>181</v>
      </c>
      <c r="S1647">
        <v>9</v>
      </c>
      <c r="T1647">
        <v>98000</v>
      </c>
      <c r="U1647">
        <v>4900</v>
      </c>
      <c r="V1647">
        <v>93100</v>
      </c>
      <c r="W1647">
        <v>72000</v>
      </c>
      <c r="X1647">
        <v>21100</v>
      </c>
      <c r="Y1647" s="8">
        <v>0.22663802363050484</v>
      </c>
      <c r="Z1647" t="s">
        <v>2995</v>
      </c>
      <c r="AA1647" t="str">
        <f>IF(AND(SalesCleanTable[[#This Row],[Discount %]]&gt;0, SalesCleanTable[[#This Row],[Profit]]&lt;0), "Discount loss", "Safe")</f>
        <v>Safe</v>
      </c>
      <c r="AB1647" s="25">
        <f>(SalesCleanTable[[#This Row],[Unit Price]] - SalesCleanTable[[#This Row],[Unit Cost]]) / SalesCleanTable[[#This Row],[Unit Price]]</f>
        <v>0.26530612244897961</v>
      </c>
      <c r="AC1647" t="str">
        <f>IF(SalesCleanTable[[#This Row],[Discount %]] &gt; SalesCleanTable[[#This Row],[Max Allowed Discount]], "Discount loss", "Safe")</f>
        <v>Safe</v>
      </c>
      <c r="AD1647" s="4">
        <f>SalesCleanTable[[#This Row],[Unit Price]] - SalesCleanTable[[#This Row],[Unit Cost]]</f>
        <v>6500</v>
      </c>
      <c r="AE1647" s="41">
        <f>(SalesCleanTable[[#This Row],[Unit Price]] - SalesCleanTable[[#This Row],[Unit Cost]]) / SalesCleanTable[[#This Row],[Unit Price]]</f>
        <v>0.26530612244897961</v>
      </c>
    </row>
    <row r="1648" spans="1:31">
      <c r="A1648" t="s">
        <v>1834</v>
      </c>
      <c r="B1648" s="6">
        <v>45759</v>
      </c>
      <c r="C1648" t="s">
        <v>41</v>
      </c>
      <c r="D1648" t="s">
        <v>42</v>
      </c>
      <c r="E1648" t="s">
        <v>26</v>
      </c>
      <c r="F1648" t="s">
        <v>43</v>
      </c>
      <c r="G1648" t="s">
        <v>44</v>
      </c>
      <c r="H1648" t="s">
        <v>128</v>
      </c>
      <c r="I1648" t="s">
        <v>129</v>
      </c>
      <c r="J1648" t="s">
        <v>130</v>
      </c>
      <c r="K1648" t="s">
        <v>131</v>
      </c>
      <c r="L1648" t="s">
        <v>166</v>
      </c>
      <c r="M1648" t="s">
        <v>171</v>
      </c>
      <c r="N1648">
        <v>4</v>
      </c>
      <c r="O1648" s="4">
        <v>850</v>
      </c>
      <c r="P1648" s="4">
        <v>1300</v>
      </c>
      <c r="Q1648" s="7">
        <v>0.05</v>
      </c>
      <c r="R1648" t="s">
        <v>197</v>
      </c>
      <c r="S1648">
        <v>1</v>
      </c>
      <c r="T1648">
        <v>5200</v>
      </c>
      <c r="U1648">
        <v>260</v>
      </c>
      <c r="V1648">
        <v>4940</v>
      </c>
      <c r="W1648">
        <v>3400</v>
      </c>
      <c r="X1648">
        <v>1540</v>
      </c>
      <c r="Y1648" s="8">
        <v>0.31174089068825911</v>
      </c>
      <c r="Z1648" t="s">
        <v>2995</v>
      </c>
      <c r="AA1648" t="str">
        <f>IF(AND(SalesCleanTable[[#This Row],[Discount %]]&gt;0, SalesCleanTable[[#This Row],[Profit]]&lt;0), "Discount loss", "Safe")</f>
        <v>Safe</v>
      </c>
      <c r="AB1648" s="25">
        <f>(SalesCleanTable[[#This Row],[Unit Price]] - SalesCleanTable[[#This Row],[Unit Cost]]) / SalesCleanTable[[#This Row],[Unit Price]]</f>
        <v>0.34615384615384615</v>
      </c>
      <c r="AC1648" t="str">
        <f>IF(SalesCleanTable[[#This Row],[Discount %]] &gt; SalesCleanTable[[#This Row],[Max Allowed Discount]], "Discount loss", "Safe")</f>
        <v>Safe</v>
      </c>
      <c r="AD1648" s="4">
        <f>SalesCleanTable[[#This Row],[Unit Price]] - SalesCleanTable[[#This Row],[Unit Cost]]</f>
        <v>450</v>
      </c>
      <c r="AE1648" s="41">
        <f>(SalesCleanTable[[#This Row],[Unit Price]] - SalesCleanTable[[#This Row],[Unit Cost]]) / SalesCleanTable[[#This Row],[Unit Price]]</f>
        <v>0.34615384615384615</v>
      </c>
    </row>
    <row r="1649" spans="1:31">
      <c r="A1649" t="s">
        <v>1835</v>
      </c>
      <c r="B1649" s="6">
        <v>45675</v>
      </c>
      <c r="C1649" t="s">
        <v>82</v>
      </c>
      <c r="D1649" t="s">
        <v>83</v>
      </c>
      <c r="E1649" t="s">
        <v>75</v>
      </c>
      <c r="F1649" t="s">
        <v>84</v>
      </c>
      <c r="G1649" t="s">
        <v>85</v>
      </c>
      <c r="H1649" t="s">
        <v>153</v>
      </c>
      <c r="I1649" t="s">
        <v>154</v>
      </c>
      <c r="J1649" t="s">
        <v>155</v>
      </c>
      <c r="K1649" t="s">
        <v>131</v>
      </c>
      <c r="L1649" t="s">
        <v>166</v>
      </c>
      <c r="M1649" t="s">
        <v>171</v>
      </c>
      <c r="N1649">
        <v>6</v>
      </c>
      <c r="O1649" s="4">
        <v>600</v>
      </c>
      <c r="P1649" s="4">
        <v>950</v>
      </c>
      <c r="Q1649" s="7">
        <v>0.1</v>
      </c>
      <c r="R1649" t="s">
        <v>208</v>
      </c>
      <c r="S1649">
        <v>7</v>
      </c>
      <c r="T1649">
        <v>5700</v>
      </c>
      <c r="U1649">
        <v>570</v>
      </c>
      <c r="V1649">
        <v>5130</v>
      </c>
      <c r="W1649">
        <v>3600</v>
      </c>
      <c r="X1649">
        <v>1530</v>
      </c>
      <c r="Y1649" s="8">
        <v>0.2982456140350877</v>
      </c>
      <c r="Z1649" t="s">
        <v>2996</v>
      </c>
      <c r="AA1649" t="str">
        <f>IF(AND(SalesCleanTable[[#This Row],[Discount %]]&gt;0, SalesCleanTable[[#This Row],[Profit]]&lt;0), "Discount loss", "Safe")</f>
        <v>Safe</v>
      </c>
      <c r="AB1649" s="25">
        <f>(SalesCleanTable[[#This Row],[Unit Price]] - SalesCleanTable[[#This Row],[Unit Cost]]) / SalesCleanTable[[#This Row],[Unit Price]]</f>
        <v>0.36842105263157893</v>
      </c>
      <c r="AC1649" t="str">
        <f>IF(SalesCleanTable[[#This Row],[Discount %]] &gt; SalesCleanTable[[#This Row],[Max Allowed Discount]], "Discount loss", "Safe")</f>
        <v>Safe</v>
      </c>
      <c r="AD1649" s="4">
        <f>SalesCleanTable[[#This Row],[Unit Price]] - SalesCleanTable[[#This Row],[Unit Cost]]</f>
        <v>350</v>
      </c>
      <c r="AE1649" s="41">
        <f>(SalesCleanTable[[#This Row],[Unit Price]] - SalesCleanTable[[#This Row],[Unit Cost]]) / SalesCleanTable[[#This Row],[Unit Price]]</f>
        <v>0.36842105263157893</v>
      </c>
    </row>
    <row r="1650" spans="1:31">
      <c r="A1650" t="s">
        <v>1836</v>
      </c>
      <c r="B1650" s="6">
        <v>45914</v>
      </c>
      <c r="C1650" t="s">
        <v>103</v>
      </c>
      <c r="D1650" t="s">
        <v>104</v>
      </c>
      <c r="E1650" t="s">
        <v>92</v>
      </c>
      <c r="F1650" t="s">
        <v>105</v>
      </c>
      <c r="G1650" t="s">
        <v>106</v>
      </c>
      <c r="H1650" t="s">
        <v>145</v>
      </c>
      <c r="I1650" t="s">
        <v>146</v>
      </c>
      <c r="J1650" t="s">
        <v>147</v>
      </c>
      <c r="K1650" t="s">
        <v>148</v>
      </c>
      <c r="L1650" t="s">
        <v>166</v>
      </c>
      <c r="M1650" t="s">
        <v>171</v>
      </c>
      <c r="N1650">
        <v>4</v>
      </c>
      <c r="O1650" s="4">
        <v>1500</v>
      </c>
      <c r="P1650" s="4">
        <v>2500</v>
      </c>
      <c r="Q1650" s="7">
        <v>0.05</v>
      </c>
      <c r="R1650" t="s">
        <v>181</v>
      </c>
      <c r="S1650">
        <v>14</v>
      </c>
      <c r="T1650">
        <v>10000</v>
      </c>
      <c r="U1650">
        <v>500</v>
      </c>
      <c r="V1650">
        <v>9500</v>
      </c>
      <c r="W1650">
        <v>6000</v>
      </c>
      <c r="X1650">
        <v>3500</v>
      </c>
      <c r="Y1650" s="8">
        <v>0.36842105263157893</v>
      </c>
      <c r="Z1650" t="s">
        <v>2996</v>
      </c>
      <c r="AA1650" t="str">
        <f>IF(AND(SalesCleanTable[[#This Row],[Discount %]]&gt;0, SalesCleanTable[[#This Row],[Profit]]&lt;0), "Discount loss", "Safe")</f>
        <v>Safe</v>
      </c>
      <c r="AB1650" s="25">
        <f>(SalesCleanTable[[#This Row],[Unit Price]] - SalesCleanTable[[#This Row],[Unit Cost]]) / SalesCleanTable[[#This Row],[Unit Price]]</f>
        <v>0.4</v>
      </c>
      <c r="AC1650" t="str">
        <f>IF(SalesCleanTable[[#This Row],[Discount %]] &gt; SalesCleanTable[[#This Row],[Max Allowed Discount]], "Discount loss", "Safe")</f>
        <v>Safe</v>
      </c>
      <c r="AD1650" s="4">
        <f>SalesCleanTable[[#This Row],[Unit Price]] - SalesCleanTable[[#This Row],[Unit Cost]]</f>
        <v>1000</v>
      </c>
      <c r="AE1650" s="41">
        <f>(SalesCleanTable[[#This Row],[Unit Price]] - SalesCleanTable[[#This Row],[Unit Cost]]) / SalesCleanTable[[#This Row],[Unit Price]]</f>
        <v>0.4</v>
      </c>
    </row>
    <row r="1651" spans="1:31">
      <c r="A1651" t="s">
        <v>1837</v>
      </c>
      <c r="B1651" s="6">
        <v>45673</v>
      </c>
      <c r="C1651" t="s">
        <v>66</v>
      </c>
      <c r="D1651" t="s">
        <v>67</v>
      </c>
      <c r="E1651" t="s">
        <v>59</v>
      </c>
      <c r="F1651" t="s">
        <v>60</v>
      </c>
      <c r="G1651" t="s">
        <v>68</v>
      </c>
      <c r="H1651" t="s">
        <v>135</v>
      </c>
      <c r="I1651" t="s">
        <v>136</v>
      </c>
      <c r="J1651" t="s">
        <v>137</v>
      </c>
      <c r="K1651" t="s">
        <v>138</v>
      </c>
      <c r="L1651" t="s">
        <v>183</v>
      </c>
      <c r="M1651" t="s">
        <v>171</v>
      </c>
      <c r="N1651">
        <v>2</v>
      </c>
      <c r="O1651" s="4">
        <v>2800</v>
      </c>
      <c r="P1651" s="4">
        <v>3900</v>
      </c>
      <c r="Q1651" s="7">
        <v>0.05</v>
      </c>
      <c r="R1651" t="s">
        <v>192</v>
      </c>
      <c r="S1651">
        <v>4</v>
      </c>
      <c r="T1651">
        <v>7800</v>
      </c>
      <c r="U1651">
        <v>390</v>
      </c>
      <c r="V1651">
        <v>7410</v>
      </c>
      <c r="W1651">
        <v>5600</v>
      </c>
      <c r="X1651">
        <v>1810</v>
      </c>
      <c r="Y1651" s="8">
        <v>0.24426450742240216</v>
      </c>
      <c r="Z1651" t="s">
        <v>2996</v>
      </c>
      <c r="AA1651" t="str">
        <f>IF(AND(SalesCleanTable[[#This Row],[Discount %]]&gt;0, SalesCleanTable[[#This Row],[Profit]]&lt;0), "Discount loss", "Safe")</f>
        <v>Safe</v>
      </c>
      <c r="AB1651" s="25">
        <f>(SalesCleanTable[[#This Row],[Unit Price]] - SalesCleanTable[[#This Row],[Unit Cost]]) / SalesCleanTable[[#This Row],[Unit Price]]</f>
        <v>0.28205128205128205</v>
      </c>
      <c r="AC1651" t="str">
        <f>IF(SalesCleanTable[[#This Row],[Discount %]] &gt; SalesCleanTable[[#This Row],[Max Allowed Discount]], "Discount loss", "Safe")</f>
        <v>Safe</v>
      </c>
      <c r="AD1651" s="4">
        <f>SalesCleanTable[[#This Row],[Unit Price]] - SalesCleanTable[[#This Row],[Unit Cost]]</f>
        <v>1100</v>
      </c>
      <c r="AE1651" s="41">
        <f>(SalesCleanTable[[#This Row],[Unit Price]] - SalesCleanTable[[#This Row],[Unit Cost]]) / SalesCleanTable[[#This Row],[Unit Price]]</f>
        <v>0.28205128205128205</v>
      </c>
    </row>
    <row r="1652" spans="1:31">
      <c r="A1652" t="s">
        <v>1838</v>
      </c>
      <c r="B1652" s="6">
        <v>45828</v>
      </c>
      <c r="C1652" t="s">
        <v>53</v>
      </c>
      <c r="D1652" t="s">
        <v>54</v>
      </c>
      <c r="E1652" t="s">
        <v>38</v>
      </c>
      <c r="F1652" t="s">
        <v>55</v>
      </c>
      <c r="G1652" t="s">
        <v>56</v>
      </c>
      <c r="H1652" t="s">
        <v>145</v>
      </c>
      <c r="I1652" t="s">
        <v>146</v>
      </c>
      <c r="J1652" t="s">
        <v>147</v>
      </c>
      <c r="K1652" t="s">
        <v>148</v>
      </c>
      <c r="L1652" t="s">
        <v>170</v>
      </c>
      <c r="M1652" t="s">
        <v>177</v>
      </c>
      <c r="N1652">
        <v>2</v>
      </c>
      <c r="O1652" s="4">
        <v>330</v>
      </c>
      <c r="P1652" s="4">
        <v>550</v>
      </c>
      <c r="Q1652" s="7">
        <v>0</v>
      </c>
      <c r="R1652" t="s">
        <v>168</v>
      </c>
      <c r="S1652">
        <v>7</v>
      </c>
      <c r="T1652">
        <v>1100</v>
      </c>
      <c r="U1652">
        <v>0</v>
      </c>
      <c r="V1652">
        <v>1100</v>
      </c>
      <c r="W1652">
        <v>660</v>
      </c>
      <c r="X1652">
        <v>440</v>
      </c>
      <c r="Y1652" s="8">
        <v>0.4</v>
      </c>
      <c r="Z1652" t="s">
        <v>2996</v>
      </c>
      <c r="AA1652" t="str">
        <f>IF(AND(SalesCleanTable[[#This Row],[Discount %]]&gt;0, SalesCleanTable[[#This Row],[Profit]]&lt;0), "Discount loss", "Safe")</f>
        <v>Safe</v>
      </c>
      <c r="AB1652" s="25">
        <f>(SalesCleanTable[[#This Row],[Unit Price]] - SalesCleanTable[[#This Row],[Unit Cost]]) / SalesCleanTable[[#This Row],[Unit Price]]</f>
        <v>0.4</v>
      </c>
      <c r="AC1652" t="str">
        <f>IF(SalesCleanTable[[#This Row],[Discount %]] &gt; SalesCleanTable[[#This Row],[Max Allowed Discount]], "Discount loss", "Safe")</f>
        <v>Safe</v>
      </c>
      <c r="AD1652" s="4">
        <f>SalesCleanTable[[#This Row],[Unit Price]] - SalesCleanTable[[#This Row],[Unit Cost]]</f>
        <v>220</v>
      </c>
      <c r="AE1652" s="41">
        <f>(SalesCleanTable[[#This Row],[Unit Price]] - SalesCleanTable[[#This Row],[Unit Cost]]) / SalesCleanTable[[#This Row],[Unit Price]]</f>
        <v>0.4</v>
      </c>
    </row>
    <row r="1653" spans="1:31">
      <c r="A1653" t="s">
        <v>1839</v>
      </c>
      <c r="B1653" s="6">
        <v>45975</v>
      </c>
      <c r="C1653" t="s">
        <v>78</v>
      </c>
      <c r="D1653" t="s">
        <v>79</v>
      </c>
      <c r="E1653" t="s">
        <v>75</v>
      </c>
      <c r="F1653" t="s">
        <v>80</v>
      </c>
      <c r="G1653" t="s">
        <v>81</v>
      </c>
      <c r="H1653" t="s">
        <v>135</v>
      </c>
      <c r="I1653" t="s">
        <v>136</v>
      </c>
      <c r="J1653" t="s">
        <v>137</v>
      </c>
      <c r="K1653" t="s">
        <v>138</v>
      </c>
      <c r="L1653" t="s">
        <v>183</v>
      </c>
      <c r="M1653" t="s">
        <v>177</v>
      </c>
      <c r="N1653">
        <v>3</v>
      </c>
      <c r="O1653" s="4">
        <v>1200</v>
      </c>
      <c r="P1653" s="4">
        <v>1900</v>
      </c>
      <c r="Q1653" s="7">
        <v>0.05</v>
      </c>
      <c r="R1653" t="s">
        <v>204</v>
      </c>
      <c r="S1653">
        <v>2</v>
      </c>
      <c r="T1653">
        <v>5700</v>
      </c>
      <c r="U1653">
        <v>285</v>
      </c>
      <c r="V1653">
        <v>5415</v>
      </c>
      <c r="W1653">
        <v>3600</v>
      </c>
      <c r="X1653">
        <v>1815</v>
      </c>
      <c r="Y1653" s="8">
        <v>0.33518005540166207</v>
      </c>
      <c r="Z1653" t="s">
        <v>2996</v>
      </c>
      <c r="AA1653" t="str">
        <f>IF(AND(SalesCleanTable[[#This Row],[Discount %]]&gt;0, SalesCleanTable[[#This Row],[Profit]]&lt;0), "Discount loss", "Safe")</f>
        <v>Safe</v>
      </c>
      <c r="AB1653" s="25">
        <f>(SalesCleanTable[[#This Row],[Unit Price]] - SalesCleanTable[[#This Row],[Unit Cost]]) / SalesCleanTable[[#This Row],[Unit Price]]</f>
        <v>0.36842105263157893</v>
      </c>
      <c r="AC1653" t="str">
        <f>IF(SalesCleanTable[[#This Row],[Discount %]] &gt; SalesCleanTable[[#This Row],[Max Allowed Discount]], "Discount loss", "Safe")</f>
        <v>Safe</v>
      </c>
      <c r="AD1653" s="4">
        <f>SalesCleanTable[[#This Row],[Unit Price]] - SalesCleanTable[[#This Row],[Unit Cost]]</f>
        <v>700</v>
      </c>
      <c r="AE1653" s="41">
        <f>(SalesCleanTable[[#This Row],[Unit Price]] - SalesCleanTable[[#This Row],[Unit Cost]]) / SalesCleanTable[[#This Row],[Unit Price]]</f>
        <v>0.36842105263157893</v>
      </c>
    </row>
    <row r="1654" spans="1:31">
      <c r="A1654" t="s">
        <v>1840</v>
      </c>
      <c r="B1654" s="6">
        <v>45927</v>
      </c>
      <c r="C1654" t="s">
        <v>73</v>
      </c>
      <c r="D1654" t="s">
        <v>74</v>
      </c>
      <c r="E1654" t="s">
        <v>75</v>
      </c>
      <c r="F1654" t="s">
        <v>76</v>
      </c>
      <c r="G1654" t="s">
        <v>77</v>
      </c>
      <c r="H1654" t="s">
        <v>139</v>
      </c>
      <c r="I1654" t="s">
        <v>140</v>
      </c>
      <c r="J1654" t="s">
        <v>137</v>
      </c>
      <c r="K1654" t="s">
        <v>138</v>
      </c>
      <c r="L1654" t="s">
        <v>166</v>
      </c>
      <c r="M1654" t="s">
        <v>171</v>
      </c>
      <c r="N1654">
        <v>1</v>
      </c>
      <c r="O1654" s="4">
        <v>3500</v>
      </c>
      <c r="P1654" s="4">
        <v>5200</v>
      </c>
      <c r="Q1654" s="7">
        <v>0</v>
      </c>
      <c r="R1654" t="s">
        <v>208</v>
      </c>
      <c r="S1654">
        <v>14</v>
      </c>
      <c r="T1654">
        <v>5200</v>
      </c>
      <c r="U1654">
        <v>0</v>
      </c>
      <c r="V1654">
        <v>5200</v>
      </c>
      <c r="W1654">
        <v>3500</v>
      </c>
      <c r="X1654">
        <v>1700</v>
      </c>
      <c r="Y1654" s="8">
        <v>0.32692307692307693</v>
      </c>
      <c r="Z1654" t="s">
        <v>2996</v>
      </c>
      <c r="AA1654" t="str">
        <f>IF(AND(SalesCleanTable[[#This Row],[Discount %]]&gt;0, SalesCleanTable[[#This Row],[Profit]]&lt;0), "Discount loss", "Safe")</f>
        <v>Safe</v>
      </c>
      <c r="AB1654" s="25">
        <f>(SalesCleanTable[[#This Row],[Unit Price]] - SalesCleanTable[[#This Row],[Unit Cost]]) / SalesCleanTable[[#This Row],[Unit Price]]</f>
        <v>0.32692307692307693</v>
      </c>
      <c r="AC1654" t="str">
        <f>IF(SalesCleanTable[[#This Row],[Discount %]] &gt; SalesCleanTable[[#This Row],[Max Allowed Discount]], "Discount loss", "Safe")</f>
        <v>Safe</v>
      </c>
      <c r="AD1654" s="4">
        <f>SalesCleanTable[[#This Row],[Unit Price]] - SalesCleanTable[[#This Row],[Unit Cost]]</f>
        <v>1700</v>
      </c>
      <c r="AE1654" s="41">
        <f>(SalesCleanTable[[#This Row],[Unit Price]] - SalesCleanTable[[#This Row],[Unit Cost]]) / SalesCleanTable[[#This Row],[Unit Price]]</f>
        <v>0.32692307692307693</v>
      </c>
    </row>
    <row r="1655" spans="1:31">
      <c r="A1655" t="s">
        <v>1841</v>
      </c>
      <c r="B1655" s="6">
        <v>45729</v>
      </c>
      <c r="C1655" t="s">
        <v>82</v>
      </c>
      <c r="D1655" t="s">
        <v>83</v>
      </c>
      <c r="E1655" t="s">
        <v>75</v>
      </c>
      <c r="F1655" t="s">
        <v>84</v>
      </c>
      <c r="G1655" t="s">
        <v>85</v>
      </c>
      <c r="H1655" t="s">
        <v>135</v>
      </c>
      <c r="I1655" t="s">
        <v>136</v>
      </c>
      <c r="J1655" t="s">
        <v>137</v>
      </c>
      <c r="K1655" t="s">
        <v>138</v>
      </c>
      <c r="L1655" t="s">
        <v>170</v>
      </c>
      <c r="M1655" t="s">
        <v>171</v>
      </c>
      <c r="N1655">
        <v>1</v>
      </c>
      <c r="O1655" s="4">
        <v>600</v>
      </c>
      <c r="P1655" s="4">
        <v>950</v>
      </c>
      <c r="Q1655" s="7">
        <v>0.1</v>
      </c>
      <c r="R1655" t="s">
        <v>204</v>
      </c>
      <c r="S1655">
        <v>3</v>
      </c>
      <c r="T1655">
        <v>950</v>
      </c>
      <c r="U1655">
        <v>95</v>
      </c>
      <c r="V1655">
        <v>855</v>
      </c>
      <c r="W1655">
        <v>600</v>
      </c>
      <c r="X1655">
        <v>255</v>
      </c>
      <c r="Y1655" s="8">
        <v>0.2982456140350877</v>
      </c>
      <c r="Z1655" t="s">
        <v>2996</v>
      </c>
      <c r="AA1655" t="str">
        <f>IF(AND(SalesCleanTable[[#This Row],[Discount %]]&gt;0, SalesCleanTable[[#This Row],[Profit]]&lt;0), "Discount loss", "Safe")</f>
        <v>Safe</v>
      </c>
      <c r="AB1655" s="25">
        <f>(SalesCleanTable[[#This Row],[Unit Price]] - SalesCleanTable[[#This Row],[Unit Cost]]) / SalesCleanTable[[#This Row],[Unit Price]]</f>
        <v>0.36842105263157893</v>
      </c>
      <c r="AC1655" t="str">
        <f>IF(SalesCleanTable[[#This Row],[Discount %]] &gt; SalesCleanTable[[#This Row],[Max Allowed Discount]], "Discount loss", "Safe")</f>
        <v>Safe</v>
      </c>
      <c r="AD1655" s="4">
        <f>SalesCleanTable[[#This Row],[Unit Price]] - SalesCleanTable[[#This Row],[Unit Cost]]</f>
        <v>350</v>
      </c>
      <c r="AE1655" s="41">
        <f>(SalesCleanTable[[#This Row],[Unit Price]] - SalesCleanTable[[#This Row],[Unit Cost]]) / SalesCleanTable[[#This Row],[Unit Price]]</f>
        <v>0.36842105263157893</v>
      </c>
    </row>
    <row r="1656" spans="1:31">
      <c r="A1656" t="s">
        <v>1842</v>
      </c>
      <c r="B1656" s="6">
        <v>45889</v>
      </c>
      <c r="C1656" t="s">
        <v>45</v>
      </c>
      <c r="D1656" t="s">
        <v>46</v>
      </c>
      <c r="E1656" t="s">
        <v>38</v>
      </c>
      <c r="F1656" t="s">
        <v>47</v>
      </c>
      <c r="G1656" t="s">
        <v>48</v>
      </c>
      <c r="H1656" t="s">
        <v>135</v>
      </c>
      <c r="I1656" t="s">
        <v>136</v>
      </c>
      <c r="J1656" t="s">
        <v>137</v>
      </c>
      <c r="K1656" t="s">
        <v>138</v>
      </c>
      <c r="L1656" t="s">
        <v>166</v>
      </c>
      <c r="M1656" t="s">
        <v>171</v>
      </c>
      <c r="N1656">
        <v>1</v>
      </c>
      <c r="O1656" s="4">
        <v>230</v>
      </c>
      <c r="P1656" s="4">
        <v>400</v>
      </c>
      <c r="Q1656" s="7">
        <v>0</v>
      </c>
      <c r="R1656" t="s">
        <v>168</v>
      </c>
      <c r="S1656">
        <v>5</v>
      </c>
      <c r="T1656">
        <v>400</v>
      </c>
      <c r="U1656">
        <v>0</v>
      </c>
      <c r="V1656">
        <v>400</v>
      </c>
      <c r="W1656">
        <v>230</v>
      </c>
      <c r="X1656">
        <v>170</v>
      </c>
      <c r="Y1656" s="8">
        <v>0.42499999999999999</v>
      </c>
      <c r="Z1656" t="s">
        <v>2995</v>
      </c>
      <c r="AA1656" t="str">
        <f>IF(AND(SalesCleanTable[[#This Row],[Discount %]]&gt;0, SalesCleanTable[[#This Row],[Profit]]&lt;0), "Discount loss", "Safe")</f>
        <v>Safe</v>
      </c>
      <c r="AB1656" s="25">
        <f>(SalesCleanTable[[#This Row],[Unit Price]] - SalesCleanTable[[#This Row],[Unit Cost]]) / SalesCleanTable[[#This Row],[Unit Price]]</f>
        <v>0.42499999999999999</v>
      </c>
      <c r="AC1656" t="str">
        <f>IF(SalesCleanTable[[#This Row],[Discount %]] &gt; SalesCleanTable[[#This Row],[Max Allowed Discount]], "Discount loss", "Safe")</f>
        <v>Safe</v>
      </c>
      <c r="AD1656" s="4">
        <f>SalesCleanTable[[#This Row],[Unit Price]] - SalesCleanTable[[#This Row],[Unit Cost]]</f>
        <v>170</v>
      </c>
      <c r="AE1656" s="41">
        <f>(SalesCleanTable[[#This Row],[Unit Price]] - SalesCleanTable[[#This Row],[Unit Cost]]) / SalesCleanTable[[#This Row],[Unit Price]]</f>
        <v>0.42499999999999999</v>
      </c>
    </row>
    <row r="1657" spans="1:31">
      <c r="A1657" t="s">
        <v>1843</v>
      </c>
      <c r="B1657" s="6">
        <v>45932</v>
      </c>
      <c r="C1657" t="s">
        <v>49</v>
      </c>
      <c r="D1657" t="s">
        <v>50</v>
      </c>
      <c r="E1657" t="s">
        <v>38</v>
      </c>
      <c r="F1657" t="s">
        <v>51</v>
      </c>
      <c r="G1657" t="s">
        <v>52</v>
      </c>
      <c r="H1657" t="s">
        <v>145</v>
      </c>
      <c r="I1657" t="s">
        <v>146</v>
      </c>
      <c r="J1657" t="s">
        <v>147</v>
      </c>
      <c r="K1657" t="s">
        <v>148</v>
      </c>
      <c r="L1657" t="s">
        <v>183</v>
      </c>
      <c r="M1657" t="s">
        <v>186</v>
      </c>
      <c r="N1657">
        <v>5</v>
      </c>
      <c r="O1657" s="4">
        <v>550</v>
      </c>
      <c r="P1657" s="4">
        <v>850</v>
      </c>
      <c r="Q1657" s="7">
        <v>0.1</v>
      </c>
      <c r="R1657" t="s">
        <v>175</v>
      </c>
      <c r="S1657">
        <v>7</v>
      </c>
      <c r="T1657">
        <v>4250</v>
      </c>
      <c r="U1657">
        <v>425</v>
      </c>
      <c r="V1657">
        <v>3825</v>
      </c>
      <c r="W1657">
        <v>2750</v>
      </c>
      <c r="X1657">
        <v>1075</v>
      </c>
      <c r="Y1657" s="8">
        <v>0.28104575163398693</v>
      </c>
      <c r="Z1657" t="s">
        <v>2996</v>
      </c>
      <c r="AA1657" t="str">
        <f>IF(AND(SalesCleanTable[[#This Row],[Discount %]]&gt;0, SalesCleanTable[[#This Row],[Profit]]&lt;0), "Discount loss", "Safe")</f>
        <v>Safe</v>
      </c>
      <c r="AB1657" s="25">
        <f>(SalesCleanTable[[#This Row],[Unit Price]] - SalesCleanTable[[#This Row],[Unit Cost]]) / SalesCleanTable[[#This Row],[Unit Price]]</f>
        <v>0.35294117647058826</v>
      </c>
      <c r="AC1657" t="str">
        <f>IF(SalesCleanTable[[#This Row],[Discount %]] &gt; SalesCleanTable[[#This Row],[Max Allowed Discount]], "Discount loss", "Safe")</f>
        <v>Safe</v>
      </c>
      <c r="AD1657" s="4">
        <f>SalesCleanTable[[#This Row],[Unit Price]] - SalesCleanTable[[#This Row],[Unit Cost]]</f>
        <v>300</v>
      </c>
      <c r="AE1657" s="41">
        <f>(SalesCleanTable[[#This Row],[Unit Price]] - SalesCleanTable[[#This Row],[Unit Cost]]) / SalesCleanTable[[#This Row],[Unit Price]]</f>
        <v>0.35294117647058826</v>
      </c>
    </row>
    <row r="1658" spans="1:31">
      <c r="A1658" t="s">
        <v>1844</v>
      </c>
      <c r="B1658" s="6">
        <v>45681</v>
      </c>
      <c r="C1658" t="s">
        <v>57</v>
      </c>
      <c r="D1658" t="s">
        <v>58</v>
      </c>
      <c r="E1658" t="s">
        <v>59</v>
      </c>
      <c r="F1658" t="s">
        <v>60</v>
      </c>
      <c r="G1658" t="s">
        <v>61</v>
      </c>
      <c r="H1658" t="s">
        <v>128</v>
      </c>
      <c r="I1658" t="s">
        <v>129</v>
      </c>
      <c r="J1658" t="s">
        <v>130</v>
      </c>
      <c r="K1658" t="s">
        <v>131</v>
      </c>
      <c r="L1658" t="s">
        <v>183</v>
      </c>
      <c r="M1658" t="s">
        <v>171</v>
      </c>
      <c r="N1658">
        <v>4</v>
      </c>
      <c r="O1658" s="4">
        <v>2400</v>
      </c>
      <c r="P1658" s="4">
        <v>3400</v>
      </c>
      <c r="Q1658" s="7">
        <v>0.05</v>
      </c>
      <c r="R1658" t="s">
        <v>192</v>
      </c>
      <c r="S1658">
        <v>14</v>
      </c>
      <c r="T1658">
        <v>13600</v>
      </c>
      <c r="U1658">
        <v>680</v>
      </c>
      <c r="V1658">
        <v>12920</v>
      </c>
      <c r="W1658">
        <v>9600</v>
      </c>
      <c r="X1658">
        <v>3320</v>
      </c>
      <c r="Y1658" s="8">
        <v>0.25696594427244585</v>
      </c>
      <c r="Z1658" t="s">
        <v>2996</v>
      </c>
      <c r="AA1658" t="str">
        <f>IF(AND(SalesCleanTable[[#This Row],[Discount %]]&gt;0, SalesCleanTable[[#This Row],[Profit]]&lt;0), "Discount loss", "Safe")</f>
        <v>Safe</v>
      </c>
      <c r="AB1658" s="25">
        <f>(SalesCleanTable[[#This Row],[Unit Price]] - SalesCleanTable[[#This Row],[Unit Cost]]) / SalesCleanTable[[#This Row],[Unit Price]]</f>
        <v>0.29411764705882354</v>
      </c>
      <c r="AC1658" t="str">
        <f>IF(SalesCleanTable[[#This Row],[Discount %]] &gt; SalesCleanTable[[#This Row],[Max Allowed Discount]], "Discount loss", "Safe")</f>
        <v>Safe</v>
      </c>
      <c r="AD1658" s="4">
        <f>SalesCleanTable[[#This Row],[Unit Price]] - SalesCleanTable[[#This Row],[Unit Cost]]</f>
        <v>1000</v>
      </c>
      <c r="AE1658" s="41">
        <f>(SalesCleanTable[[#This Row],[Unit Price]] - SalesCleanTable[[#This Row],[Unit Cost]]) / SalesCleanTable[[#This Row],[Unit Price]]</f>
        <v>0.29411764705882354</v>
      </c>
    </row>
    <row r="1659" spans="1:31">
      <c r="A1659" t="s">
        <v>1845</v>
      </c>
      <c r="B1659" s="6">
        <v>45924</v>
      </c>
      <c r="C1659" t="s">
        <v>103</v>
      </c>
      <c r="D1659" t="s">
        <v>104</v>
      </c>
      <c r="E1659" t="s">
        <v>92</v>
      </c>
      <c r="F1659" t="s">
        <v>105</v>
      </c>
      <c r="G1659" t="s">
        <v>106</v>
      </c>
      <c r="H1659" t="s">
        <v>135</v>
      </c>
      <c r="I1659" t="s">
        <v>136</v>
      </c>
      <c r="J1659" t="s">
        <v>137</v>
      </c>
      <c r="K1659" t="s">
        <v>138</v>
      </c>
      <c r="L1659" t="s">
        <v>183</v>
      </c>
      <c r="M1659" t="s">
        <v>171</v>
      </c>
      <c r="N1659">
        <v>2</v>
      </c>
      <c r="O1659" s="4">
        <v>1500</v>
      </c>
      <c r="P1659" s="4">
        <v>2500</v>
      </c>
      <c r="Q1659" s="7">
        <v>0.1</v>
      </c>
      <c r="R1659" t="s">
        <v>217</v>
      </c>
      <c r="S1659">
        <v>3</v>
      </c>
      <c r="T1659">
        <v>5000</v>
      </c>
      <c r="U1659">
        <v>500</v>
      </c>
      <c r="V1659">
        <v>4500</v>
      </c>
      <c r="W1659">
        <v>3000</v>
      </c>
      <c r="X1659">
        <v>1500</v>
      </c>
      <c r="Y1659" s="8">
        <v>0.33333333333333331</v>
      </c>
      <c r="Z1659" t="s">
        <v>2996</v>
      </c>
      <c r="AA1659" t="str">
        <f>IF(AND(SalesCleanTable[[#This Row],[Discount %]]&gt;0, SalesCleanTable[[#This Row],[Profit]]&lt;0), "Discount loss", "Safe")</f>
        <v>Safe</v>
      </c>
      <c r="AB1659" s="25">
        <f>(SalesCleanTable[[#This Row],[Unit Price]] - SalesCleanTable[[#This Row],[Unit Cost]]) / SalesCleanTable[[#This Row],[Unit Price]]</f>
        <v>0.4</v>
      </c>
      <c r="AC1659" t="str">
        <f>IF(SalesCleanTable[[#This Row],[Discount %]] &gt; SalesCleanTable[[#This Row],[Max Allowed Discount]], "Discount loss", "Safe")</f>
        <v>Safe</v>
      </c>
      <c r="AD1659" s="4">
        <f>SalesCleanTable[[#This Row],[Unit Price]] - SalesCleanTable[[#This Row],[Unit Cost]]</f>
        <v>1000</v>
      </c>
      <c r="AE1659" s="41">
        <f>(SalesCleanTable[[#This Row],[Unit Price]] - SalesCleanTable[[#This Row],[Unit Cost]]) / SalesCleanTable[[#This Row],[Unit Price]]</f>
        <v>0.4</v>
      </c>
    </row>
    <row r="1660" spans="1:31">
      <c r="A1660" t="s">
        <v>1846</v>
      </c>
      <c r="B1660" s="6">
        <v>45695</v>
      </c>
      <c r="C1660" t="s">
        <v>45</v>
      </c>
      <c r="D1660" t="s">
        <v>46</v>
      </c>
      <c r="E1660" t="s">
        <v>38</v>
      </c>
      <c r="F1660" t="s">
        <v>47</v>
      </c>
      <c r="G1660" t="s">
        <v>48</v>
      </c>
      <c r="H1660" t="s">
        <v>145</v>
      </c>
      <c r="I1660" t="s">
        <v>146</v>
      </c>
      <c r="J1660" t="s">
        <v>147</v>
      </c>
      <c r="K1660" t="s">
        <v>148</v>
      </c>
      <c r="L1660" t="s">
        <v>166</v>
      </c>
      <c r="M1660" t="s">
        <v>171</v>
      </c>
      <c r="N1660">
        <v>1</v>
      </c>
      <c r="O1660" s="4">
        <v>230</v>
      </c>
      <c r="P1660" s="4">
        <v>400</v>
      </c>
      <c r="Q1660" s="7">
        <v>0</v>
      </c>
      <c r="R1660" t="s">
        <v>175</v>
      </c>
      <c r="S1660">
        <v>1</v>
      </c>
      <c r="T1660">
        <v>400</v>
      </c>
      <c r="U1660">
        <v>0</v>
      </c>
      <c r="V1660">
        <v>400</v>
      </c>
      <c r="W1660">
        <v>230</v>
      </c>
      <c r="X1660">
        <v>170</v>
      </c>
      <c r="Y1660" s="8">
        <v>0.42499999999999999</v>
      </c>
      <c r="Z1660" t="s">
        <v>2995</v>
      </c>
      <c r="AA1660" t="str">
        <f>IF(AND(SalesCleanTable[[#This Row],[Discount %]]&gt;0, SalesCleanTable[[#This Row],[Profit]]&lt;0), "Discount loss", "Safe")</f>
        <v>Safe</v>
      </c>
      <c r="AB1660" s="25">
        <f>(SalesCleanTable[[#This Row],[Unit Price]] - SalesCleanTable[[#This Row],[Unit Cost]]) / SalesCleanTable[[#This Row],[Unit Price]]</f>
        <v>0.42499999999999999</v>
      </c>
      <c r="AC1660" t="str">
        <f>IF(SalesCleanTable[[#This Row],[Discount %]] &gt; SalesCleanTable[[#This Row],[Max Allowed Discount]], "Discount loss", "Safe")</f>
        <v>Safe</v>
      </c>
      <c r="AD1660" s="4">
        <f>SalesCleanTable[[#This Row],[Unit Price]] - SalesCleanTable[[#This Row],[Unit Cost]]</f>
        <v>170</v>
      </c>
      <c r="AE1660" s="41">
        <f>(SalesCleanTable[[#This Row],[Unit Price]] - SalesCleanTable[[#This Row],[Unit Cost]]) / SalesCleanTable[[#This Row],[Unit Price]]</f>
        <v>0.42499999999999999</v>
      </c>
    </row>
    <row r="1661" spans="1:31">
      <c r="A1661" t="s">
        <v>1847</v>
      </c>
      <c r="B1661" s="6">
        <v>45918</v>
      </c>
      <c r="C1661" t="s">
        <v>62</v>
      </c>
      <c r="D1661" t="s">
        <v>63</v>
      </c>
      <c r="E1661" t="s">
        <v>59</v>
      </c>
      <c r="F1661" t="s">
        <v>64</v>
      </c>
      <c r="G1661" t="s">
        <v>65</v>
      </c>
      <c r="H1661" t="s">
        <v>135</v>
      </c>
      <c r="I1661" t="s">
        <v>136</v>
      </c>
      <c r="J1661" t="s">
        <v>137</v>
      </c>
      <c r="K1661" t="s">
        <v>138</v>
      </c>
      <c r="L1661" t="s">
        <v>166</v>
      </c>
      <c r="M1661" t="s">
        <v>171</v>
      </c>
      <c r="N1661">
        <v>1</v>
      </c>
      <c r="O1661" s="4">
        <v>3200</v>
      </c>
      <c r="P1661" s="4">
        <v>4500</v>
      </c>
      <c r="Q1661" s="7">
        <v>0.1</v>
      </c>
      <c r="R1661" t="s">
        <v>173</v>
      </c>
      <c r="S1661">
        <v>3</v>
      </c>
      <c r="T1661">
        <v>4500</v>
      </c>
      <c r="U1661">
        <v>450</v>
      </c>
      <c r="V1661">
        <v>4050</v>
      </c>
      <c r="W1661">
        <v>3200</v>
      </c>
      <c r="X1661">
        <v>850</v>
      </c>
      <c r="Y1661" s="8">
        <v>0.20987654320987653</v>
      </c>
      <c r="Z1661" t="s">
        <v>2996</v>
      </c>
      <c r="AA1661" t="str">
        <f>IF(AND(SalesCleanTable[[#This Row],[Discount %]]&gt;0, SalesCleanTable[[#This Row],[Profit]]&lt;0), "Discount loss", "Safe")</f>
        <v>Safe</v>
      </c>
      <c r="AB1661" s="25">
        <f>(SalesCleanTable[[#This Row],[Unit Price]] - SalesCleanTable[[#This Row],[Unit Cost]]) / SalesCleanTable[[#This Row],[Unit Price]]</f>
        <v>0.28888888888888886</v>
      </c>
      <c r="AC1661" t="str">
        <f>IF(SalesCleanTable[[#This Row],[Discount %]] &gt; SalesCleanTable[[#This Row],[Max Allowed Discount]], "Discount loss", "Safe")</f>
        <v>Safe</v>
      </c>
      <c r="AD1661" s="4">
        <f>SalesCleanTable[[#This Row],[Unit Price]] - SalesCleanTable[[#This Row],[Unit Cost]]</f>
        <v>1300</v>
      </c>
      <c r="AE1661" s="41">
        <f>(SalesCleanTable[[#This Row],[Unit Price]] - SalesCleanTable[[#This Row],[Unit Cost]]) / SalesCleanTable[[#This Row],[Unit Price]]</f>
        <v>0.28888888888888886</v>
      </c>
    </row>
    <row r="1662" spans="1:31">
      <c r="A1662" t="s">
        <v>1848</v>
      </c>
      <c r="B1662" s="6">
        <v>45926</v>
      </c>
      <c r="C1662" t="s">
        <v>99</v>
      </c>
      <c r="D1662" t="s">
        <v>100</v>
      </c>
      <c r="E1662" t="s">
        <v>92</v>
      </c>
      <c r="F1662" t="s">
        <v>101</v>
      </c>
      <c r="G1662" t="s">
        <v>102</v>
      </c>
      <c r="H1662" t="s">
        <v>135</v>
      </c>
      <c r="I1662" t="s">
        <v>136</v>
      </c>
      <c r="J1662" t="s">
        <v>137</v>
      </c>
      <c r="K1662" t="s">
        <v>138</v>
      </c>
      <c r="L1662" t="s">
        <v>166</v>
      </c>
      <c r="M1662" t="s">
        <v>171</v>
      </c>
      <c r="N1662">
        <v>8</v>
      </c>
      <c r="O1662" s="4">
        <v>12500</v>
      </c>
      <c r="P1662" s="4">
        <v>18500</v>
      </c>
      <c r="Q1662" s="7">
        <v>0</v>
      </c>
      <c r="R1662" t="s">
        <v>215</v>
      </c>
      <c r="S1662">
        <v>8</v>
      </c>
      <c r="T1662">
        <v>148000</v>
      </c>
      <c r="U1662">
        <v>0</v>
      </c>
      <c r="V1662">
        <v>148000</v>
      </c>
      <c r="W1662">
        <v>100000</v>
      </c>
      <c r="X1662">
        <v>48000</v>
      </c>
      <c r="Y1662" s="8">
        <v>0.32432432432432434</v>
      </c>
      <c r="Z1662" t="s">
        <v>2995</v>
      </c>
      <c r="AA1662" t="str">
        <f>IF(AND(SalesCleanTable[[#This Row],[Discount %]]&gt;0, SalesCleanTable[[#This Row],[Profit]]&lt;0), "Discount loss", "Safe")</f>
        <v>Safe</v>
      </c>
      <c r="AB1662" s="25">
        <f>(SalesCleanTable[[#This Row],[Unit Price]] - SalesCleanTable[[#This Row],[Unit Cost]]) / SalesCleanTable[[#This Row],[Unit Price]]</f>
        <v>0.32432432432432434</v>
      </c>
      <c r="AC1662" t="str">
        <f>IF(SalesCleanTable[[#This Row],[Discount %]] &gt; SalesCleanTable[[#This Row],[Max Allowed Discount]], "Discount loss", "Safe")</f>
        <v>Safe</v>
      </c>
      <c r="AD1662" s="4">
        <f>SalesCleanTable[[#This Row],[Unit Price]] - SalesCleanTable[[#This Row],[Unit Cost]]</f>
        <v>6000</v>
      </c>
      <c r="AE1662" s="41">
        <f>(SalesCleanTable[[#This Row],[Unit Price]] - SalesCleanTable[[#This Row],[Unit Cost]]) / SalesCleanTable[[#This Row],[Unit Price]]</f>
        <v>0.32432432432432434</v>
      </c>
    </row>
    <row r="1663" spans="1:31">
      <c r="A1663" t="s">
        <v>1849</v>
      </c>
      <c r="B1663" s="6">
        <v>45833</v>
      </c>
      <c r="C1663" t="s">
        <v>45</v>
      </c>
      <c r="D1663" t="s">
        <v>46</v>
      </c>
      <c r="E1663" t="s">
        <v>38</v>
      </c>
      <c r="F1663" t="s">
        <v>47</v>
      </c>
      <c r="G1663" t="s">
        <v>48</v>
      </c>
      <c r="H1663" t="s">
        <v>139</v>
      </c>
      <c r="I1663" t="s">
        <v>140</v>
      </c>
      <c r="J1663" t="s">
        <v>137</v>
      </c>
      <c r="K1663" t="s">
        <v>138</v>
      </c>
      <c r="L1663" t="s">
        <v>183</v>
      </c>
      <c r="M1663" t="s">
        <v>177</v>
      </c>
      <c r="N1663">
        <v>4</v>
      </c>
      <c r="O1663" s="4">
        <v>230</v>
      </c>
      <c r="P1663" s="4">
        <v>400</v>
      </c>
      <c r="Q1663" s="7">
        <v>0.1</v>
      </c>
      <c r="R1663" t="s">
        <v>178</v>
      </c>
      <c r="S1663">
        <v>4</v>
      </c>
      <c r="T1663">
        <v>1600</v>
      </c>
      <c r="U1663">
        <v>160</v>
      </c>
      <c r="V1663">
        <v>1440</v>
      </c>
      <c r="W1663">
        <v>920</v>
      </c>
      <c r="X1663">
        <v>520</v>
      </c>
      <c r="Y1663" s="8">
        <v>0.3611111111111111</v>
      </c>
      <c r="Z1663" t="s">
        <v>2995</v>
      </c>
      <c r="AA1663" t="str">
        <f>IF(AND(SalesCleanTable[[#This Row],[Discount %]]&gt;0, SalesCleanTable[[#This Row],[Profit]]&lt;0), "Discount loss", "Safe")</f>
        <v>Safe</v>
      </c>
      <c r="AB1663" s="25">
        <f>(SalesCleanTable[[#This Row],[Unit Price]] - SalesCleanTable[[#This Row],[Unit Cost]]) / SalesCleanTable[[#This Row],[Unit Price]]</f>
        <v>0.42499999999999999</v>
      </c>
      <c r="AC1663" t="str">
        <f>IF(SalesCleanTable[[#This Row],[Discount %]] &gt; SalesCleanTable[[#This Row],[Max Allowed Discount]], "Discount loss", "Safe")</f>
        <v>Safe</v>
      </c>
      <c r="AD1663" s="4">
        <f>SalesCleanTable[[#This Row],[Unit Price]] - SalesCleanTable[[#This Row],[Unit Cost]]</f>
        <v>170</v>
      </c>
      <c r="AE1663" s="41">
        <f>(SalesCleanTable[[#This Row],[Unit Price]] - SalesCleanTable[[#This Row],[Unit Cost]]) / SalesCleanTable[[#This Row],[Unit Price]]</f>
        <v>0.42499999999999999</v>
      </c>
    </row>
    <row r="1664" spans="1:31">
      <c r="A1664" t="s">
        <v>1850</v>
      </c>
      <c r="B1664" s="6">
        <v>45849</v>
      </c>
      <c r="C1664" t="s">
        <v>69</v>
      </c>
      <c r="D1664" t="s">
        <v>70</v>
      </c>
      <c r="E1664" t="s">
        <v>59</v>
      </c>
      <c r="F1664" t="s">
        <v>71</v>
      </c>
      <c r="G1664" t="s">
        <v>72</v>
      </c>
      <c r="H1664" t="s">
        <v>128</v>
      </c>
      <c r="I1664" t="s">
        <v>129</v>
      </c>
      <c r="J1664" t="s">
        <v>130</v>
      </c>
      <c r="K1664" t="s">
        <v>131</v>
      </c>
      <c r="L1664" t="s">
        <v>183</v>
      </c>
      <c r="M1664" t="s">
        <v>177</v>
      </c>
      <c r="N1664">
        <v>1</v>
      </c>
      <c r="O1664" s="4">
        <v>1700</v>
      </c>
      <c r="P1664" s="4">
        <v>2600</v>
      </c>
      <c r="Q1664" s="7">
        <v>0.05</v>
      </c>
      <c r="R1664" t="s">
        <v>192</v>
      </c>
      <c r="S1664">
        <v>9</v>
      </c>
      <c r="T1664">
        <v>2600</v>
      </c>
      <c r="U1664">
        <v>130</v>
      </c>
      <c r="V1664">
        <v>2470</v>
      </c>
      <c r="W1664">
        <v>1700</v>
      </c>
      <c r="X1664">
        <v>770</v>
      </c>
      <c r="Y1664" s="8">
        <v>0.31174089068825911</v>
      </c>
      <c r="Z1664" t="s">
        <v>2997</v>
      </c>
      <c r="AA1664" t="str">
        <f>IF(AND(SalesCleanTable[[#This Row],[Discount %]]&gt;0, SalesCleanTable[[#This Row],[Profit]]&lt;0), "Discount loss", "Safe")</f>
        <v>Safe</v>
      </c>
      <c r="AB1664" s="25">
        <f>(SalesCleanTable[[#This Row],[Unit Price]] - SalesCleanTable[[#This Row],[Unit Cost]]) / SalesCleanTable[[#This Row],[Unit Price]]</f>
        <v>0.34615384615384615</v>
      </c>
      <c r="AC1664" t="str">
        <f>IF(SalesCleanTable[[#This Row],[Discount %]] &gt; SalesCleanTable[[#This Row],[Max Allowed Discount]], "Discount loss", "Safe")</f>
        <v>Safe</v>
      </c>
      <c r="AD1664" s="4">
        <f>SalesCleanTable[[#This Row],[Unit Price]] - SalesCleanTable[[#This Row],[Unit Cost]]</f>
        <v>900</v>
      </c>
      <c r="AE1664" s="41">
        <f>(SalesCleanTable[[#This Row],[Unit Price]] - SalesCleanTable[[#This Row],[Unit Cost]]) / SalesCleanTable[[#This Row],[Unit Price]]</f>
        <v>0.34615384615384615</v>
      </c>
    </row>
    <row r="1665" spans="1:31">
      <c r="A1665" t="s">
        <v>1851</v>
      </c>
      <c r="B1665" s="6">
        <v>45947</v>
      </c>
      <c r="C1665" t="s">
        <v>66</v>
      </c>
      <c r="D1665" t="s">
        <v>67</v>
      </c>
      <c r="E1665" t="s">
        <v>59</v>
      </c>
      <c r="F1665" t="s">
        <v>60</v>
      </c>
      <c r="G1665" t="s">
        <v>68</v>
      </c>
      <c r="H1665" t="s">
        <v>128</v>
      </c>
      <c r="I1665" t="s">
        <v>129</v>
      </c>
      <c r="J1665" t="s">
        <v>130</v>
      </c>
      <c r="K1665" t="s">
        <v>131</v>
      </c>
      <c r="L1665" t="s">
        <v>170</v>
      </c>
      <c r="M1665" t="s">
        <v>171</v>
      </c>
      <c r="N1665">
        <v>2</v>
      </c>
      <c r="O1665" s="4">
        <v>2800</v>
      </c>
      <c r="P1665" s="4">
        <v>3900</v>
      </c>
      <c r="Q1665" s="7">
        <v>0.1</v>
      </c>
      <c r="R1665" t="s">
        <v>204</v>
      </c>
      <c r="S1665">
        <v>5</v>
      </c>
      <c r="T1665">
        <v>7800</v>
      </c>
      <c r="U1665">
        <v>780</v>
      </c>
      <c r="V1665">
        <v>7020</v>
      </c>
      <c r="W1665">
        <v>5600</v>
      </c>
      <c r="X1665">
        <v>1420</v>
      </c>
      <c r="Y1665" s="8">
        <v>0.20227920227920229</v>
      </c>
      <c r="Z1665" t="s">
        <v>2996</v>
      </c>
      <c r="AA1665" t="str">
        <f>IF(AND(SalesCleanTable[[#This Row],[Discount %]]&gt;0, SalesCleanTable[[#This Row],[Profit]]&lt;0), "Discount loss", "Safe")</f>
        <v>Safe</v>
      </c>
      <c r="AB1665" s="25">
        <f>(SalesCleanTable[[#This Row],[Unit Price]] - SalesCleanTable[[#This Row],[Unit Cost]]) / SalesCleanTable[[#This Row],[Unit Price]]</f>
        <v>0.28205128205128205</v>
      </c>
      <c r="AC1665" t="str">
        <f>IF(SalesCleanTable[[#This Row],[Discount %]] &gt; SalesCleanTable[[#This Row],[Max Allowed Discount]], "Discount loss", "Safe")</f>
        <v>Safe</v>
      </c>
      <c r="AD1665" s="4">
        <f>SalesCleanTable[[#This Row],[Unit Price]] - SalesCleanTable[[#This Row],[Unit Cost]]</f>
        <v>1100</v>
      </c>
      <c r="AE1665" s="41">
        <f>(SalesCleanTable[[#This Row],[Unit Price]] - SalesCleanTable[[#This Row],[Unit Cost]]) / SalesCleanTable[[#This Row],[Unit Price]]</f>
        <v>0.28205128205128205</v>
      </c>
    </row>
    <row r="1666" spans="1:31">
      <c r="A1666" t="s">
        <v>1852</v>
      </c>
      <c r="B1666" s="6">
        <v>45742</v>
      </c>
      <c r="C1666" t="s">
        <v>49</v>
      </c>
      <c r="D1666" t="s">
        <v>50</v>
      </c>
      <c r="E1666" t="s">
        <v>38</v>
      </c>
      <c r="F1666" t="s">
        <v>51</v>
      </c>
      <c r="G1666" t="s">
        <v>52</v>
      </c>
      <c r="H1666" t="s">
        <v>139</v>
      </c>
      <c r="I1666" t="s">
        <v>140</v>
      </c>
      <c r="J1666" t="s">
        <v>137</v>
      </c>
      <c r="K1666" t="s">
        <v>138</v>
      </c>
      <c r="L1666" t="s">
        <v>166</v>
      </c>
      <c r="M1666" t="s">
        <v>171</v>
      </c>
      <c r="N1666">
        <v>3</v>
      </c>
      <c r="O1666" s="4">
        <v>550</v>
      </c>
      <c r="P1666" s="4">
        <v>850</v>
      </c>
      <c r="Q1666" s="7">
        <v>0.2</v>
      </c>
      <c r="R1666" t="s">
        <v>175</v>
      </c>
      <c r="S1666">
        <v>14</v>
      </c>
      <c r="T1666">
        <v>2550</v>
      </c>
      <c r="U1666">
        <v>510</v>
      </c>
      <c r="V1666">
        <v>2040</v>
      </c>
      <c r="W1666">
        <v>1650</v>
      </c>
      <c r="X1666">
        <v>390</v>
      </c>
      <c r="Y1666" s="8">
        <v>0.19117647058823528</v>
      </c>
      <c r="Z1666" t="s">
        <v>2996</v>
      </c>
      <c r="AA1666" t="str">
        <f>IF(AND(SalesCleanTable[[#This Row],[Discount %]]&gt;0, SalesCleanTable[[#This Row],[Profit]]&lt;0), "Discount loss", "Safe")</f>
        <v>Safe</v>
      </c>
      <c r="AB1666" s="25">
        <f>(SalesCleanTable[[#This Row],[Unit Price]] - SalesCleanTable[[#This Row],[Unit Cost]]) / SalesCleanTable[[#This Row],[Unit Price]]</f>
        <v>0.35294117647058826</v>
      </c>
      <c r="AC1666" t="str">
        <f>IF(SalesCleanTable[[#This Row],[Discount %]] &gt; SalesCleanTable[[#This Row],[Max Allowed Discount]], "Discount loss", "Safe")</f>
        <v>Safe</v>
      </c>
      <c r="AD1666" s="4">
        <f>SalesCleanTable[[#This Row],[Unit Price]] - SalesCleanTable[[#This Row],[Unit Cost]]</f>
        <v>300</v>
      </c>
      <c r="AE1666" s="41">
        <f>(SalesCleanTable[[#This Row],[Unit Price]] - SalesCleanTable[[#This Row],[Unit Cost]]) / SalesCleanTable[[#This Row],[Unit Price]]</f>
        <v>0.35294117647058826</v>
      </c>
    </row>
    <row r="1667" spans="1:31">
      <c r="A1667" t="s">
        <v>1853</v>
      </c>
      <c r="B1667" s="6">
        <v>45809</v>
      </c>
      <c r="C1667" t="s">
        <v>99</v>
      </c>
      <c r="D1667" t="s">
        <v>100</v>
      </c>
      <c r="E1667" t="s">
        <v>92</v>
      </c>
      <c r="F1667" t="s">
        <v>101</v>
      </c>
      <c r="G1667" t="s">
        <v>102</v>
      </c>
      <c r="H1667" t="s">
        <v>141</v>
      </c>
      <c r="I1667" t="s">
        <v>142</v>
      </c>
      <c r="J1667" t="s">
        <v>143</v>
      </c>
      <c r="K1667" t="s">
        <v>144</v>
      </c>
      <c r="L1667" t="s">
        <v>183</v>
      </c>
      <c r="M1667" t="s">
        <v>171</v>
      </c>
      <c r="N1667">
        <v>4</v>
      </c>
      <c r="O1667" s="4">
        <v>12500</v>
      </c>
      <c r="P1667" s="4">
        <v>18500</v>
      </c>
      <c r="Q1667" s="7">
        <v>0.1</v>
      </c>
      <c r="R1667" t="s">
        <v>217</v>
      </c>
      <c r="S1667">
        <v>2</v>
      </c>
      <c r="T1667">
        <v>74000</v>
      </c>
      <c r="U1667">
        <v>7400</v>
      </c>
      <c r="V1667">
        <v>66600</v>
      </c>
      <c r="W1667">
        <v>50000</v>
      </c>
      <c r="X1667">
        <v>16600</v>
      </c>
      <c r="Y1667" s="8">
        <v>0.24924924924924924</v>
      </c>
      <c r="Z1667" t="s">
        <v>2995</v>
      </c>
      <c r="AA1667" t="str">
        <f>IF(AND(SalesCleanTable[[#This Row],[Discount %]]&gt;0, SalesCleanTable[[#This Row],[Profit]]&lt;0), "Discount loss", "Safe")</f>
        <v>Safe</v>
      </c>
      <c r="AB1667" s="25">
        <f>(SalesCleanTable[[#This Row],[Unit Price]] - SalesCleanTable[[#This Row],[Unit Cost]]) / SalesCleanTable[[#This Row],[Unit Price]]</f>
        <v>0.32432432432432434</v>
      </c>
      <c r="AC1667" t="str">
        <f>IF(SalesCleanTable[[#This Row],[Discount %]] &gt; SalesCleanTable[[#This Row],[Max Allowed Discount]], "Discount loss", "Safe")</f>
        <v>Safe</v>
      </c>
      <c r="AD1667" s="4">
        <f>SalesCleanTable[[#This Row],[Unit Price]] - SalesCleanTable[[#This Row],[Unit Cost]]</f>
        <v>6000</v>
      </c>
      <c r="AE1667" s="41">
        <f>(SalesCleanTable[[#This Row],[Unit Price]] - SalesCleanTable[[#This Row],[Unit Cost]]) / SalesCleanTable[[#This Row],[Unit Price]]</f>
        <v>0.32432432432432434</v>
      </c>
    </row>
    <row r="1668" spans="1:31">
      <c r="A1668" t="s">
        <v>1854</v>
      </c>
      <c r="B1668" s="6">
        <v>45809</v>
      </c>
      <c r="C1668" t="s">
        <v>32</v>
      </c>
      <c r="D1668" t="s">
        <v>33</v>
      </c>
      <c r="E1668" t="s">
        <v>26</v>
      </c>
      <c r="F1668" t="s">
        <v>34</v>
      </c>
      <c r="G1668" t="s">
        <v>35</v>
      </c>
      <c r="H1668" t="s">
        <v>145</v>
      </c>
      <c r="I1668" t="s">
        <v>146</v>
      </c>
      <c r="J1668" t="s">
        <v>147</v>
      </c>
      <c r="K1668" t="s">
        <v>148</v>
      </c>
      <c r="L1668" t="s">
        <v>166</v>
      </c>
      <c r="M1668" t="s">
        <v>177</v>
      </c>
      <c r="N1668">
        <v>3</v>
      </c>
      <c r="O1668" s="4">
        <v>7800</v>
      </c>
      <c r="P1668" s="4">
        <v>9800</v>
      </c>
      <c r="Q1668" s="7">
        <v>0.1</v>
      </c>
      <c r="R1668" t="s">
        <v>173</v>
      </c>
      <c r="S1668">
        <v>2</v>
      </c>
      <c r="T1668">
        <v>29400</v>
      </c>
      <c r="U1668">
        <v>2940</v>
      </c>
      <c r="V1668">
        <v>26460</v>
      </c>
      <c r="W1668">
        <v>23400</v>
      </c>
      <c r="X1668">
        <v>3060</v>
      </c>
      <c r="Y1668" s="8">
        <v>0.11564625850340136</v>
      </c>
      <c r="Z1668" t="s">
        <v>2995</v>
      </c>
      <c r="AA1668" t="str">
        <f>IF(AND(SalesCleanTable[[#This Row],[Discount %]]&gt;0, SalesCleanTable[[#This Row],[Profit]]&lt;0), "Discount loss", "Safe")</f>
        <v>Safe</v>
      </c>
      <c r="AB1668" s="25">
        <f>(SalesCleanTable[[#This Row],[Unit Price]] - SalesCleanTable[[#This Row],[Unit Cost]]) / SalesCleanTable[[#This Row],[Unit Price]]</f>
        <v>0.20408163265306123</v>
      </c>
      <c r="AC1668" t="str">
        <f>IF(SalesCleanTable[[#This Row],[Discount %]] &gt; SalesCleanTable[[#This Row],[Max Allowed Discount]], "Discount loss", "Safe")</f>
        <v>Safe</v>
      </c>
      <c r="AD1668" s="4">
        <f>SalesCleanTable[[#This Row],[Unit Price]] - SalesCleanTable[[#This Row],[Unit Cost]]</f>
        <v>2000</v>
      </c>
      <c r="AE1668" s="41">
        <f>(SalesCleanTable[[#This Row],[Unit Price]] - SalesCleanTable[[#This Row],[Unit Cost]]) / SalesCleanTable[[#This Row],[Unit Price]]</f>
        <v>0.20408163265306123</v>
      </c>
    </row>
    <row r="1669" spans="1:31">
      <c r="A1669" t="s">
        <v>1855</v>
      </c>
      <c r="B1669" s="6">
        <v>45914</v>
      </c>
      <c r="C1669" t="s">
        <v>103</v>
      </c>
      <c r="D1669" t="s">
        <v>104</v>
      </c>
      <c r="E1669" t="s">
        <v>92</v>
      </c>
      <c r="F1669" t="s">
        <v>105</v>
      </c>
      <c r="G1669" t="s">
        <v>106</v>
      </c>
      <c r="H1669" t="s">
        <v>139</v>
      </c>
      <c r="I1669" t="s">
        <v>140</v>
      </c>
      <c r="J1669" t="s">
        <v>137</v>
      </c>
      <c r="K1669" t="s">
        <v>138</v>
      </c>
      <c r="L1669" t="s">
        <v>170</v>
      </c>
      <c r="M1669" t="s">
        <v>171</v>
      </c>
      <c r="N1669">
        <v>5</v>
      </c>
      <c r="O1669" s="4">
        <v>1500</v>
      </c>
      <c r="P1669" s="4">
        <v>2500</v>
      </c>
      <c r="Q1669" s="7">
        <v>0.15</v>
      </c>
      <c r="R1669" t="s">
        <v>181</v>
      </c>
      <c r="S1669">
        <v>3</v>
      </c>
      <c r="T1669">
        <v>12500</v>
      </c>
      <c r="U1669">
        <v>1875</v>
      </c>
      <c r="V1669">
        <v>10625</v>
      </c>
      <c r="W1669">
        <v>7500</v>
      </c>
      <c r="X1669">
        <v>3125</v>
      </c>
      <c r="Y1669" s="8">
        <v>0.29411764705882354</v>
      </c>
      <c r="Z1669" t="s">
        <v>2996</v>
      </c>
      <c r="AA1669" t="str">
        <f>IF(AND(SalesCleanTable[[#This Row],[Discount %]]&gt;0, SalesCleanTable[[#This Row],[Profit]]&lt;0), "Discount loss", "Safe")</f>
        <v>Safe</v>
      </c>
      <c r="AB1669" s="25">
        <f>(SalesCleanTable[[#This Row],[Unit Price]] - SalesCleanTable[[#This Row],[Unit Cost]]) / SalesCleanTable[[#This Row],[Unit Price]]</f>
        <v>0.4</v>
      </c>
      <c r="AC1669" t="str">
        <f>IF(SalesCleanTable[[#This Row],[Discount %]] &gt; SalesCleanTable[[#This Row],[Max Allowed Discount]], "Discount loss", "Safe")</f>
        <v>Safe</v>
      </c>
      <c r="AD1669" s="4">
        <f>SalesCleanTable[[#This Row],[Unit Price]] - SalesCleanTable[[#This Row],[Unit Cost]]</f>
        <v>1000</v>
      </c>
      <c r="AE1669" s="41">
        <f>(SalesCleanTable[[#This Row],[Unit Price]] - SalesCleanTable[[#This Row],[Unit Cost]]) / SalesCleanTable[[#This Row],[Unit Price]]</f>
        <v>0.4</v>
      </c>
    </row>
    <row r="1670" spans="1:31">
      <c r="A1670" t="s">
        <v>1856</v>
      </c>
      <c r="B1670" s="6">
        <v>45772</v>
      </c>
      <c r="C1670" t="s">
        <v>45</v>
      </c>
      <c r="D1670" t="s">
        <v>46</v>
      </c>
      <c r="E1670" t="s">
        <v>38</v>
      </c>
      <c r="F1670" t="s">
        <v>47</v>
      </c>
      <c r="G1670" t="s">
        <v>48</v>
      </c>
      <c r="H1670" t="s">
        <v>133</v>
      </c>
      <c r="I1670" t="s">
        <v>134</v>
      </c>
      <c r="J1670" t="s">
        <v>130</v>
      </c>
      <c r="K1670" t="s">
        <v>131</v>
      </c>
      <c r="L1670" t="s">
        <v>166</v>
      </c>
      <c r="M1670" t="s">
        <v>171</v>
      </c>
      <c r="N1670">
        <v>8</v>
      </c>
      <c r="O1670" s="4">
        <v>230</v>
      </c>
      <c r="P1670" s="4">
        <v>400</v>
      </c>
      <c r="Q1670" s="7">
        <v>0.05</v>
      </c>
      <c r="R1670" t="s">
        <v>175</v>
      </c>
      <c r="S1670">
        <v>10</v>
      </c>
      <c r="T1670">
        <v>3200</v>
      </c>
      <c r="U1670">
        <v>160</v>
      </c>
      <c r="V1670">
        <v>3040</v>
      </c>
      <c r="W1670">
        <v>1840</v>
      </c>
      <c r="X1670">
        <v>1200</v>
      </c>
      <c r="Y1670" s="8">
        <v>0.39473684210526316</v>
      </c>
      <c r="Z1670" t="s">
        <v>2995</v>
      </c>
      <c r="AA1670" t="str">
        <f>IF(AND(SalesCleanTable[[#This Row],[Discount %]]&gt;0, SalesCleanTable[[#This Row],[Profit]]&lt;0), "Discount loss", "Safe")</f>
        <v>Safe</v>
      </c>
      <c r="AB1670" s="25">
        <f>(SalesCleanTable[[#This Row],[Unit Price]] - SalesCleanTable[[#This Row],[Unit Cost]]) / SalesCleanTable[[#This Row],[Unit Price]]</f>
        <v>0.42499999999999999</v>
      </c>
      <c r="AC1670" t="str">
        <f>IF(SalesCleanTable[[#This Row],[Discount %]] &gt; SalesCleanTable[[#This Row],[Max Allowed Discount]], "Discount loss", "Safe")</f>
        <v>Safe</v>
      </c>
      <c r="AD1670" s="4">
        <f>SalesCleanTable[[#This Row],[Unit Price]] - SalesCleanTable[[#This Row],[Unit Cost]]</f>
        <v>170</v>
      </c>
      <c r="AE1670" s="41">
        <f>(SalesCleanTable[[#This Row],[Unit Price]] - SalesCleanTable[[#This Row],[Unit Cost]]) / SalesCleanTable[[#This Row],[Unit Price]]</f>
        <v>0.42499999999999999</v>
      </c>
    </row>
    <row r="1671" spans="1:31">
      <c r="A1671" t="s">
        <v>1857</v>
      </c>
      <c r="B1671" s="6">
        <v>45943</v>
      </c>
      <c r="C1671" t="s">
        <v>53</v>
      </c>
      <c r="D1671" t="s">
        <v>54</v>
      </c>
      <c r="E1671" t="s">
        <v>38</v>
      </c>
      <c r="F1671" t="s">
        <v>55</v>
      </c>
      <c r="G1671" t="s">
        <v>56</v>
      </c>
      <c r="H1671" t="s">
        <v>135</v>
      </c>
      <c r="I1671" t="s">
        <v>136</v>
      </c>
      <c r="J1671" t="s">
        <v>137</v>
      </c>
      <c r="K1671" t="s">
        <v>138</v>
      </c>
      <c r="L1671" t="s">
        <v>170</v>
      </c>
      <c r="M1671" t="s">
        <v>177</v>
      </c>
      <c r="N1671">
        <v>1</v>
      </c>
      <c r="O1671" s="4">
        <v>330</v>
      </c>
      <c r="P1671" s="4">
        <v>550</v>
      </c>
      <c r="Q1671" s="7">
        <v>0.1</v>
      </c>
      <c r="R1671" t="s">
        <v>175</v>
      </c>
      <c r="S1671">
        <v>3</v>
      </c>
      <c r="T1671">
        <v>550</v>
      </c>
      <c r="U1671">
        <v>55</v>
      </c>
      <c r="V1671">
        <v>495</v>
      </c>
      <c r="W1671">
        <v>330</v>
      </c>
      <c r="X1671">
        <v>165</v>
      </c>
      <c r="Y1671" s="8">
        <v>0.33333333333333331</v>
      </c>
      <c r="Z1671" t="s">
        <v>2996</v>
      </c>
      <c r="AA1671" t="str">
        <f>IF(AND(SalesCleanTable[[#This Row],[Discount %]]&gt;0, SalesCleanTable[[#This Row],[Profit]]&lt;0), "Discount loss", "Safe")</f>
        <v>Safe</v>
      </c>
      <c r="AB1671" s="25">
        <f>(SalesCleanTable[[#This Row],[Unit Price]] - SalesCleanTable[[#This Row],[Unit Cost]]) / SalesCleanTable[[#This Row],[Unit Price]]</f>
        <v>0.4</v>
      </c>
      <c r="AC1671" t="str">
        <f>IF(SalesCleanTable[[#This Row],[Discount %]] &gt; SalesCleanTable[[#This Row],[Max Allowed Discount]], "Discount loss", "Safe")</f>
        <v>Safe</v>
      </c>
      <c r="AD1671" s="4">
        <f>SalesCleanTable[[#This Row],[Unit Price]] - SalesCleanTable[[#This Row],[Unit Cost]]</f>
        <v>220</v>
      </c>
      <c r="AE1671" s="41">
        <f>(SalesCleanTable[[#This Row],[Unit Price]] - SalesCleanTable[[#This Row],[Unit Cost]]) / SalesCleanTable[[#This Row],[Unit Price]]</f>
        <v>0.4</v>
      </c>
    </row>
    <row r="1672" spans="1:31">
      <c r="A1672" t="s">
        <v>1858</v>
      </c>
      <c r="B1672" s="6">
        <v>45816</v>
      </c>
      <c r="C1672" t="s">
        <v>62</v>
      </c>
      <c r="D1672" t="s">
        <v>63</v>
      </c>
      <c r="E1672" t="s">
        <v>59</v>
      </c>
      <c r="F1672" t="s">
        <v>64</v>
      </c>
      <c r="G1672" t="s">
        <v>65</v>
      </c>
      <c r="H1672" t="s">
        <v>153</v>
      </c>
      <c r="I1672" t="s">
        <v>154</v>
      </c>
      <c r="J1672" t="s">
        <v>155</v>
      </c>
      <c r="K1672" t="s">
        <v>131</v>
      </c>
      <c r="L1672" t="s">
        <v>166</v>
      </c>
      <c r="M1672" t="s">
        <v>171</v>
      </c>
      <c r="N1672">
        <v>2</v>
      </c>
      <c r="O1672" s="4">
        <v>3200</v>
      </c>
      <c r="P1672" s="4">
        <v>4500</v>
      </c>
      <c r="Q1672" s="7">
        <v>0.1</v>
      </c>
      <c r="R1672" t="s">
        <v>204</v>
      </c>
      <c r="S1672">
        <v>11</v>
      </c>
      <c r="T1672">
        <v>9000</v>
      </c>
      <c r="U1672">
        <v>900</v>
      </c>
      <c r="V1672">
        <v>8100</v>
      </c>
      <c r="W1672">
        <v>6400</v>
      </c>
      <c r="X1672">
        <v>1700</v>
      </c>
      <c r="Y1672" s="8">
        <v>0.20987654320987653</v>
      </c>
      <c r="Z1672" t="s">
        <v>2996</v>
      </c>
      <c r="AA1672" t="str">
        <f>IF(AND(SalesCleanTable[[#This Row],[Discount %]]&gt;0, SalesCleanTable[[#This Row],[Profit]]&lt;0), "Discount loss", "Safe")</f>
        <v>Safe</v>
      </c>
      <c r="AB1672" s="25">
        <f>(SalesCleanTable[[#This Row],[Unit Price]] - SalesCleanTable[[#This Row],[Unit Cost]]) / SalesCleanTable[[#This Row],[Unit Price]]</f>
        <v>0.28888888888888886</v>
      </c>
      <c r="AC1672" t="str">
        <f>IF(SalesCleanTable[[#This Row],[Discount %]] &gt; SalesCleanTable[[#This Row],[Max Allowed Discount]], "Discount loss", "Safe")</f>
        <v>Safe</v>
      </c>
      <c r="AD1672" s="4">
        <f>SalesCleanTable[[#This Row],[Unit Price]] - SalesCleanTable[[#This Row],[Unit Cost]]</f>
        <v>1300</v>
      </c>
      <c r="AE1672" s="41">
        <f>(SalesCleanTable[[#This Row],[Unit Price]] - SalesCleanTable[[#This Row],[Unit Cost]]) / SalesCleanTable[[#This Row],[Unit Price]]</f>
        <v>0.28888888888888886</v>
      </c>
    </row>
    <row r="1673" spans="1:31">
      <c r="A1673" t="s">
        <v>1859</v>
      </c>
      <c r="B1673" s="6">
        <v>45924</v>
      </c>
      <c r="C1673" t="s">
        <v>32</v>
      </c>
      <c r="D1673" t="s">
        <v>33</v>
      </c>
      <c r="E1673" t="s">
        <v>26</v>
      </c>
      <c r="F1673" t="s">
        <v>34</v>
      </c>
      <c r="G1673" t="s">
        <v>35</v>
      </c>
      <c r="H1673" t="s">
        <v>149</v>
      </c>
      <c r="I1673" t="s">
        <v>150</v>
      </c>
      <c r="J1673" t="s">
        <v>151</v>
      </c>
      <c r="K1673" t="s">
        <v>152</v>
      </c>
      <c r="L1673" t="s">
        <v>170</v>
      </c>
      <c r="M1673" t="s">
        <v>171</v>
      </c>
      <c r="N1673">
        <v>4</v>
      </c>
      <c r="O1673" s="4">
        <v>7800</v>
      </c>
      <c r="P1673" s="4">
        <v>9800</v>
      </c>
      <c r="Q1673" s="7">
        <v>0.15</v>
      </c>
      <c r="R1673" t="s">
        <v>194</v>
      </c>
      <c r="S1673">
        <v>7</v>
      </c>
      <c r="T1673">
        <v>39200</v>
      </c>
      <c r="U1673">
        <v>5880</v>
      </c>
      <c r="V1673">
        <v>33320</v>
      </c>
      <c r="W1673">
        <v>31200</v>
      </c>
      <c r="X1673">
        <v>2120</v>
      </c>
      <c r="Y1673" s="8">
        <v>6.3625450180072027E-2</v>
      </c>
      <c r="Z1673" t="s">
        <v>2995</v>
      </c>
      <c r="AA1673" t="str">
        <f>IF(AND(SalesCleanTable[[#This Row],[Discount %]]&gt;0, SalesCleanTable[[#This Row],[Profit]]&lt;0), "Discount loss", "Safe")</f>
        <v>Safe</v>
      </c>
      <c r="AB1673" s="25">
        <f>(SalesCleanTable[[#This Row],[Unit Price]] - SalesCleanTable[[#This Row],[Unit Cost]]) / SalesCleanTable[[#This Row],[Unit Price]]</f>
        <v>0.20408163265306123</v>
      </c>
      <c r="AC1673" t="str">
        <f>IF(SalesCleanTable[[#This Row],[Discount %]] &gt; SalesCleanTable[[#This Row],[Max Allowed Discount]], "Discount loss", "Safe")</f>
        <v>Safe</v>
      </c>
      <c r="AD1673" s="4">
        <f>SalesCleanTable[[#This Row],[Unit Price]] - SalesCleanTable[[#This Row],[Unit Cost]]</f>
        <v>2000</v>
      </c>
      <c r="AE1673" s="41">
        <f>(SalesCleanTable[[#This Row],[Unit Price]] - SalesCleanTable[[#This Row],[Unit Cost]]) / SalesCleanTable[[#This Row],[Unit Price]]</f>
        <v>0.20408163265306123</v>
      </c>
    </row>
    <row r="1674" spans="1:31">
      <c r="A1674" t="s">
        <v>1860</v>
      </c>
      <c r="B1674" s="6">
        <v>45718</v>
      </c>
      <c r="C1674" t="s">
        <v>116</v>
      </c>
      <c r="D1674" t="s">
        <v>117</v>
      </c>
      <c r="E1674" t="s">
        <v>109</v>
      </c>
      <c r="F1674" t="s">
        <v>118</v>
      </c>
      <c r="G1674" t="s">
        <v>119</v>
      </c>
      <c r="H1674" t="s">
        <v>149</v>
      </c>
      <c r="I1674" t="s">
        <v>150</v>
      </c>
      <c r="J1674" t="s">
        <v>151</v>
      </c>
      <c r="K1674" t="s">
        <v>152</v>
      </c>
      <c r="L1674" t="s">
        <v>166</v>
      </c>
      <c r="M1674" t="s">
        <v>171</v>
      </c>
      <c r="N1674">
        <v>3</v>
      </c>
      <c r="O1674" s="4">
        <v>2800</v>
      </c>
      <c r="P1674" s="4">
        <v>4200</v>
      </c>
      <c r="Q1674" s="7">
        <v>0.05</v>
      </c>
      <c r="R1674" t="s">
        <v>235</v>
      </c>
      <c r="S1674">
        <v>7</v>
      </c>
      <c r="T1674">
        <v>12600</v>
      </c>
      <c r="U1674">
        <v>630</v>
      </c>
      <c r="V1674">
        <v>11970</v>
      </c>
      <c r="W1674">
        <v>8400</v>
      </c>
      <c r="X1674">
        <v>3570</v>
      </c>
      <c r="Y1674" s="8">
        <v>0.2982456140350877</v>
      </c>
      <c r="Z1674" t="s">
        <v>2995</v>
      </c>
      <c r="AA1674" t="str">
        <f>IF(AND(SalesCleanTable[[#This Row],[Discount %]]&gt;0, SalesCleanTable[[#This Row],[Profit]]&lt;0), "Discount loss", "Safe")</f>
        <v>Safe</v>
      </c>
      <c r="AB1674" s="25">
        <f>(SalesCleanTable[[#This Row],[Unit Price]] - SalesCleanTable[[#This Row],[Unit Cost]]) / SalesCleanTable[[#This Row],[Unit Price]]</f>
        <v>0.33333333333333331</v>
      </c>
      <c r="AC1674" t="str">
        <f>IF(SalesCleanTable[[#This Row],[Discount %]] &gt; SalesCleanTable[[#This Row],[Max Allowed Discount]], "Discount loss", "Safe")</f>
        <v>Safe</v>
      </c>
      <c r="AD1674" s="4">
        <f>SalesCleanTable[[#This Row],[Unit Price]] - SalesCleanTable[[#This Row],[Unit Cost]]</f>
        <v>1400</v>
      </c>
      <c r="AE1674" s="41">
        <f>(SalesCleanTable[[#This Row],[Unit Price]] - SalesCleanTable[[#This Row],[Unit Cost]]) / SalesCleanTable[[#This Row],[Unit Price]]</f>
        <v>0.33333333333333331</v>
      </c>
    </row>
    <row r="1675" spans="1:31">
      <c r="A1675" t="s">
        <v>1861</v>
      </c>
      <c r="B1675" s="6">
        <v>45841</v>
      </c>
      <c r="C1675" t="s">
        <v>62</v>
      </c>
      <c r="D1675" t="s">
        <v>63</v>
      </c>
      <c r="E1675" t="s">
        <v>59</v>
      </c>
      <c r="F1675" t="s">
        <v>64</v>
      </c>
      <c r="G1675" t="s">
        <v>65</v>
      </c>
      <c r="H1675" t="s">
        <v>133</v>
      </c>
      <c r="I1675" t="s">
        <v>134</v>
      </c>
      <c r="J1675" t="s">
        <v>130</v>
      </c>
      <c r="K1675" t="s">
        <v>131</v>
      </c>
      <c r="L1675" t="s">
        <v>166</v>
      </c>
      <c r="M1675" t="s">
        <v>171</v>
      </c>
      <c r="N1675">
        <v>4</v>
      </c>
      <c r="O1675" s="4">
        <v>3200</v>
      </c>
      <c r="P1675" s="4">
        <v>4500</v>
      </c>
      <c r="Q1675" s="7">
        <v>0</v>
      </c>
      <c r="R1675" t="s">
        <v>204</v>
      </c>
      <c r="S1675">
        <v>7</v>
      </c>
      <c r="T1675">
        <v>18000</v>
      </c>
      <c r="U1675">
        <v>0</v>
      </c>
      <c r="V1675">
        <v>18000</v>
      </c>
      <c r="W1675">
        <v>12800</v>
      </c>
      <c r="X1675">
        <v>5200</v>
      </c>
      <c r="Y1675" s="8">
        <v>0.28888888888888886</v>
      </c>
      <c r="Z1675" t="s">
        <v>2996</v>
      </c>
      <c r="AA1675" t="str">
        <f>IF(AND(SalesCleanTable[[#This Row],[Discount %]]&gt;0, SalesCleanTable[[#This Row],[Profit]]&lt;0), "Discount loss", "Safe")</f>
        <v>Safe</v>
      </c>
      <c r="AB1675" s="25">
        <f>(SalesCleanTable[[#This Row],[Unit Price]] - SalesCleanTable[[#This Row],[Unit Cost]]) / SalesCleanTable[[#This Row],[Unit Price]]</f>
        <v>0.28888888888888886</v>
      </c>
      <c r="AC1675" t="str">
        <f>IF(SalesCleanTable[[#This Row],[Discount %]] &gt; SalesCleanTable[[#This Row],[Max Allowed Discount]], "Discount loss", "Safe")</f>
        <v>Safe</v>
      </c>
      <c r="AD1675" s="4">
        <f>SalesCleanTable[[#This Row],[Unit Price]] - SalesCleanTable[[#This Row],[Unit Cost]]</f>
        <v>1300</v>
      </c>
      <c r="AE1675" s="41">
        <f>(SalesCleanTable[[#This Row],[Unit Price]] - SalesCleanTable[[#This Row],[Unit Cost]]) / SalesCleanTable[[#This Row],[Unit Price]]</f>
        <v>0.28888888888888886</v>
      </c>
    </row>
    <row r="1676" spans="1:31">
      <c r="A1676" t="s">
        <v>1862</v>
      </c>
      <c r="B1676" s="6">
        <v>45768</v>
      </c>
      <c r="C1676" t="s">
        <v>24</v>
      </c>
      <c r="D1676" t="s">
        <v>25</v>
      </c>
      <c r="E1676" t="s">
        <v>26</v>
      </c>
      <c r="F1676" t="s">
        <v>27</v>
      </c>
      <c r="G1676" t="s">
        <v>28</v>
      </c>
      <c r="H1676" t="s">
        <v>139</v>
      </c>
      <c r="I1676" t="s">
        <v>140</v>
      </c>
      <c r="J1676" t="s">
        <v>137</v>
      </c>
      <c r="K1676" t="s">
        <v>138</v>
      </c>
      <c r="L1676" t="s">
        <v>183</v>
      </c>
      <c r="M1676" t="s">
        <v>177</v>
      </c>
      <c r="N1676">
        <v>2</v>
      </c>
      <c r="O1676" s="4">
        <v>14500</v>
      </c>
      <c r="P1676" s="4">
        <v>17500</v>
      </c>
      <c r="Q1676" s="7">
        <v>0.1</v>
      </c>
      <c r="R1676" t="s">
        <v>197</v>
      </c>
      <c r="S1676">
        <v>13</v>
      </c>
      <c r="T1676">
        <v>35000</v>
      </c>
      <c r="U1676">
        <v>3500</v>
      </c>
      <c r="V1676">
        <v>31500</v>
      </c>
      <c r="W1676">
        <v>29000</v>
      </c>
      <c r="X1676">
        <v>2500</v>
      </c>
      <c r="Y1676" s="8">
        <v>7.9365079365079361E-2</v>
      </c>
      <c r="Z1676" t="s">
        <v>2995</v>
      </c>
      <c r="AA1676" t="str">
        <f>IF(AND(SalesCleanTable[[#This Row],[Discount %]]&gt;0, SalesCleanTable[[#This Row],[Profit]]&lt;0), "Discount loss", "Safe")</f>
        <v>Safe</v>
      </c>
      <c r="AB1676" s="25">
        <f>(SalesCleanTable[[#This Row],[Unit Price]] - SalesCleanTable[[#This Row],[Unit Cost]]) / SalesCleanTable[[#This Row],[Unit Price]]</f>
        <v>0.17142857142857143</v>
      </c>
      <c r="AC1676" t="str">
        <f>IF(SalesCleanTable[[#This Row],[Discount %]] &gt; SalesCleanTable[[#This Row],[Max Allowed Discount]], "Discount loss", "Safe")</f>
        <v>Safe</v>
      </c>
      <c r="AD1676" s="4">
        <f>SalesCleanTable[[#This Row],[Unit Price]] - SalesCleanTable[[#This Row],[Unit Cost]]</f>
        <v>3000</v>
      </c>
      <c r="AE1676" s="41">
        <f>(SalesCleanTable[[#This Row],[Unit Price]] - SalesCleanTable[[#This Row],[Unit Cost]]) / SalesCleanTable[[#This Row],[Unit Price]]</f>
        <v>0.17142857142857143</v>
      </c>
    </row>
    <row r="1677" spans="1:31">
      <c r="A1677" t="s">
        <v>1863</v>
      </c>
      <c r="B1677" s="6">
        <v>45950</v>
      </c>
      <c r="C1677" t="s">
        <v>45</v>
      </c>
      <c r="D1677" t="s">
        <v>46</v>
      </c>
      <c r="E1677" t="s">
        <v>38</v>
      </c>
      <c r="F1677" t="s">
        <v>47</v>
      </c>
      <c r="G1677" t="s">
        <v>48</v>
      </c>
      <c r="H1677" t="s">
        <v>153</v>
      </c>
      <c r="I1677" t="s">
        <v>154</v>
      </c>
      <c r="J1677" t="s">
        <v>155</v>
      </c>
      <c r="K1677" t="s">
        <v>131</v>
      </c>
      <c r="L1677" t="s">
        <v>183</v>
      </c>
      <c r="M1677" t="s">
        <v>186</v>
      </c>
      <c r="N1677">
        <v>1</v>
      </c>
      <c r="O1677" s="4">
        <v>230</v>
      </c>
      <c r="P1677" s="4">
        <v>400</v>
      </c>
      <c r="Q1677" s="7">
        <v>0.15</v>
      </c>
      <c r="R1677" t="s">
        <v>178</v>
      </c>
      <c r="S1677">
        <v>4</v>
      </c>
      <c r="T1677">
        <v>400</v>
      </c>
      <c r="U1677">
        <v>60</v>
      </c>
      <c r="V1677">
        <v>340</v>
      </c>
      <c r="W1677">
        <v>230</v>
      </c>
      <c r="X1677">
        <v>110</v>
      </c>
      <c r="Y1677" s="8">
        <v>0.3235294117647059</v>
      </c>
      <c r="Z1677" t="s">
        <v>2995</v>
      </c>
      <c r="AA1677" t="str">
        <f>IF(AND(SalesCleanTable[[#This Row],[Discount %]]&gt;0, SalesCleanTable[[#This Row],[Profit]]&lt;0), "Discount loss", "Safe")</f>
        <v>Safe</v>
      </c>
      <c r="AB1677" s="25">
        <f>(SalesCleanTable[[#This Row],[Unit Price]] - SalesCleanTable[[#This Row],[Unit Cost]]) / SalesCleanTable[[#This Row],[Unit Price]]</f>
        <v>0.42499999999999999</v>
      </c>
      <c r="AC1677" t="str">
        <f>IF(SalesCleanTable[[#This Row],[Discount %]] &gt; SalesCleanTable[[#This Row],[Max Allowed Discount]], "Discount loss", "Safe")</f>
        <v>Safe</v>
      </c>
      <c r="AD1677" s="4">
        <f>SalesCleanTable[[#This Row],[Unit Price]] - SalesCleanTable[[#This Row],[Unit Cost]]</f>
        <v>170</v>
      </c>
      <c r="AE1677" s="41">
        <f>(SalesCleanTable[[#This Row],[Unit Price]] - SalesCleanTable[[#This Row],[Unit Cost]]) / SalesCleanTable[[#This Row],[Unit Price]]</f>
        <v>0.42499999999999999</v>
      </c>
    </row>
    <row r="1678" spans="1:31">
      <c r="A1678" t="s">
        <v>1864</v>
      </c>
      <c r="B1678" s="6">
        <v>45817</v>
      </c>
      <c r="C1678" t="s">
        <v>103</v>
      </c>
      <c r="D1678" t="s">
        <v>104</v>
      </c>
      <c r="E1678" t="s">
        <v>92</v>
      </c>
      <c r="F1678" t="s">
        <v>105</v>
      </c>
      <c r="G1678" t="s">
        <v>106</v>
      </c>
      <c r="H1678" t="s">
        <v>135</v>
      </c>
      <c r="I1678" t="s">
        <v>136</v>
      </c>
      <c r="J1678" t="s">
        <v>137</v>
      </c>
      <c r="K1678" t="s">
        <v>138</v>
      </c>
      <c r="L1678" t="s">
        <v>183</v>
      </c>
      <c r="M1678" t="s">
        <v>177</v>
      </c>
      <c r="N1678">
        <v>-2</v>
      </c>
      <c r="O1678" s="4">
        <v>1500</v>
      </c>
      <c r="P1678" s="4">
        <v>2500</v>
      </c>
      <c r="Q1678" s="7">
        <v>0.15</v>
      </c>
      <c r="R1678" t="s">
        <v>181</v>
      </c>
      <c r="S1678">
        <v>1</v>
      </c>
      <c r="T1678">
        <v>-5000</v>
      </c>
      <c r="U1678">
        <v>-750</v>
      </c>
      <c r="V1678">
        <v>-4250</v>
      </c>
      <c r="W1678">
        <v>-3000</v>
      </c>
      <c r="X1678">
        <v>-1250</v>
      </c>
      <c r="Y1678" s="8">
        <v>0.29411764705882354</v>
      </c>
      <c r="Z1678" t="s">
        <v>2996</v>
      </c>
      <c r="AA1678" t="str">
        <f>IF(AND(SalesCleanTable[[#This Row],[Discount %]]&gt;0, SalesCleanTable[[#This Row],[Profit]]&lt;0), "Discount loss", "Safe")</f>
        <v>Discount loss</v>
      </c>
      <c r="AB1678" s="25">
        <f>(SalesCleanTable[[#This Row],[Unit Price]] - SalesCleanTable[[#This Row],[Unit Cost]]) / SalesCleanTable[[#This Row],[Unit Price]]</f>
        <v>0.4</v>
      </c>
      <c r="AC1678" t="str">
        <f>IF(SalesCleanTable[[#This Row],[Discount %]] &gt; SalesCleanTable[[#This Row],[Max Allowed Discount]], "Discount loss", "Safe")</f>
        <v>Safe</v>
      </c>
      <c r="AD1678" s="4">
        <f>SalesCleanTable[[#This Row],[Unit Price]] - SalesCleanTable[[#This Row],[Unit Cost]]</f>
        <v>1000</v>
      </c>
      <c r="AE1678" s="41">
        <f>(SalesCleanTable[[#This Row],[Unit Price]] - SalesCleanTable[[#This Row],[Unit Cost]]) / SalesCleanTable[[#This Row],[Unit Price]]</f>
        <v>0.4</v>
      </c>
    </row>
    <row r="1679" spans="1:31">
      <c r="A1679" t="s">
        <v>1865</v>
      </c>
      <c r="B1679" s="6">
        <v>45880</v>
      </c>
      <c r="C1679" t="s">
        <v>66</v>
      </c>
      <c r="D1679" t="s">
        <v>67</v>
      </c>
      <c r="E1679" t="s">
        <v>59</v>
      </c>
      <c r="F1679" t="s">
        <v>60</v>
      </c>
      <c r="G1679" t="s">
        <v>68</v>
      </c>
      <c r="H1679" t="s">
        <v>149</v>
      </c>
      <c r="I1679" t="s">
        <v>150</v>
      </c>
      <c r="J1679" t="s">
        <v>151</v>
      </c>
      <c r="K1679" t="s">
        <v>152</v>
      </c>
      <c r="L1679" t="s">
        <v>166</v>
      </c>
      <c r="M1679" t="s">
        <v>171</v>
      </c>
      <c r="N1679">
        <v>2</v>
      </c>
      <c r="O1679" s="4">
        <v>2800</v>
      </c>
      <c r="P1679" s="4">
        <v>3900</v>
      </c>
      <c r="Q1679" s="7">
        <v>0.2</v>
      </c>
      <c r="R1679" t="s">
        <v>204</v>
      </c>
      <c r="S1679">
        <v>9</v>
      </c>
      <c r="T1679">
        <v>7800</v>
      </c>
      <c r="U1679">
        <v>1560</v>
      </c>
      <c r="V1679">
        <v>6240</v>
      </c>
      <c r="W1679">
        <v>5600</v>
      </c>
      <c r="X1679">
        <v>640</v>
      </c>
      <c r="Y1679" s="8">
        <v>0.10256410256410256</v>
      </c>
      <c r="Z1679" t="s">
        <v>2996</v>
      </c>
      <c r="AA1679" t="str">
        <f>IF(AND(SalesCleanTable[[#This Row],[Discount %]]&gt;0, SalesCleanTable[[#This Row],[Profit]]&lt;0), "Discount loss", "Safe")</f>
        <v>Safe</v>
      </c>
      <c r="AB1679" s="25">
        <f>(SalesCleanTable[[#This Row],[Unit Price]] - SalesCleanTable[[#This Row],[Unit Cost]]) / SalesCleanTable[[#This Row],[Unit Price]]</f>
        <v>0.28205128205128205</v>
      </c>
      <c r="AC1679" t="str">
        <f>IF(SalesCleanTable[[#This Row],[Discount %]] &gt; SalesCleanTable[[#This Row],[Max Allowed Discount]], "Discount loss", "Safe")</f>
        <v>Safe</v>
      </c>
      <c r="AD1679" s="4">
        <f>SalesCleanTable[[#This Row],[Unit Price]] - SalesCleanTable[[#This Row],[Unit Cost]]</f>
        <v>1100</v>
      </c>
      <c r="AE1679" s="41">
        <f>(SalesCleanTable[[#This Row],[Unit Price]] - SalesCleanTable[[#This Row],[Unit Cost]]) / SalesCleanTable[[#This Row],[Unit Price]]</f>
        <v>0.28205128205128205</v>
      </c>
    </row>
    <row r="1680" spans="1:31">
      <c r="A1680" t="s">
        <v>1866</v>
      </c>
      <c r="B1680" s="6">
        <v>45699</v>
      </c>
      <c r="C1680" t="s">
        <v>78</v>
      </c>
      <c r="D1680" t="s">
        <v>79</v>
      </c>
      <c r="E1680" t="s">
        <v>75</v>
      </c>
      <c r="F1680" t="s">
        <v>80</v>
      </c>
      <c r="G1680" t="s">
        <v>81</v>
      </c>
      <c r="H1680" t="s">
        <v>145</v>
      </c>
      <c r="I1680" t="s">
        <v>146</v>
      </c>
      <c r="J1680" t="s">
        <v>147</v>
      </c>
      <c r="K1680" t="s">
        <v>148</v>
      </c>
      <c r="L1680" t="s">
        <v>183</v>
      </c>
      <c r="M1680" t="s">
        <v>177</v>
      </c>
      <c r="N1680">
        <v>2</v>
      </c>
      <c r="O1680" s="4">
        <v>1200</v>
      </c>
      <c r="P1680" s="4">
        <v>1900</v>
      </c>
      <c r="Q1680" s="7">
        <v>0.2</v>
      </c>
      <c r="R1680" t="s">
        <v>187</v>
      </c>
      <c r="S1680">
        <v>7</v>
      </c>
      <c r="T1680">
        <v>3800</v>
      </c>
      <c r="U1680">
        <v>760</v>
      </c>
      <c r="V1680">
        <v>3040</v>
      </c>
      <c r="W1680">
        <v>2400</v>
      </c>
      <c r="X1680">
        <v>640</v>
      </c>
      <c r="Y1680" s="8">
        <v>0.21052631578947367</v>
      </c>
      <c r="Z1680" t="s">
        <v>2996</v>
      </c>
      <c r="AA1680" t="str">
        <f>IF(AND(SalesCleanTable[[#This Row],[Discount %]]&gt;0, SalesCleanTable[[#This Row],[Profit]]&lt;0), "Discount loss", "Safe")</f>
        <v>Safe</v>
      </c>
      <c r="AB1680" s="25">
        <f>(SalesCleanTable[[#This Row],[Unit Price]] - SalesCleanTable[[#This Row],[Unit Cost]]) / SalesCleanTable[[#This Row],[Unit Price]]</f>
        <v>0.36842105263157893</v>
      </c>
      <c r="AC1680" t="str">
        <f>IF(SalesCleanTable[[#This Row],[Discount %]] &gt; SalesCleanTable[[#This Row],[Max Allowed Discount]], "Discount loss", "Safe")</f>
        <v>Safe</v>
      </c>
      <c r="AD1680" s="4">
        <f>SalesCleanTable[[#This Row],[Unit Price]] - SalesCleanTable[[#This Row],[Unit Cost]]</f>
        <v>700</v>
      </c>
      <c r="AE1680" s="41">
        <f>(SalesCleanTable[[#This Row],[Unit Price]] - SalesCleanTable[[#This Row],[Unit Cost]]) / SalesCleanTable[[#This Row],[Unit Price]]</f>
        <v>0.36842105263157893</v>
      </c>
    </row>
    <row r="1681" spans="1:31">
      <c r="A1681" t="s">
        <v>1867</v>
      </c>
      <c r="B1681" s="6">
        <v>45971</v>
      </c>
      <c r="C1681" t="s">
        <v>78</v>
      </c>
      <c r="D1681" t="s">
        <v>79</v>
      </c>
      <c r="E1681" t="s">
        <v>75</v>
      </c>
      <c r="F1681" t="s">
        <v>80</v>
      </c>
      <c r="G1681" t="s">
        <v>81</v>
      </c>
      <c r="H1681" t="s">
        <v>128</v>
      </c>
      <c r="I1681" t="s">
        <v>129</v>
      </c>
      <c r="J1681" t="s">
        <v>130</v>
      </c>
      <c r="K1681" t="s">
        <v>131</v>
      </c>
      <c r="L1681" t="s">
        <v>183</v>
      </c>
      <c r="M1681" t="s">
        <v>177</v>
      </c>
      <c r="N1681">
        <v>3</v>
      </c>
      <c r="O1681" s="4">
        <v>1200</v>
      </c>
      <c r="P1681" s="4">
        <v>1900</v>
      </c>
      <c r="Q1681" s="7">
        <v>0</v>
      </c>
      <c r="R1681" t="s">
        <v>208</v>
      </c>
      <c r="S1681">
        <v>13</v>
      </c>
      <c r="T1681">
        <v>5700</v>
      </c>
      <c r="U1681">
        <v>0</v>
      </c>
      <c r="V1681">
        <v>5700</v>
      </c>
      <c r="W1681">
        <v>3600</v>
      </c>
      <c r="X1681">
        <v>2100</v>
      </c>
      <c r="Y1681" s="8">
        <v>0.36842105263157893</v>
      </c>
      <c r="Z1681" t="s">
        <v>2996</v>
      </c>
      <c r="AA1681" t="str">
        <f>IF(AND(SalesCleanTable[[#This Row],[Discount %]]&gt;0, SalesCleanTable[[#This Row],[Profit]]&lt;0), "Discount loss", "Safe")</f>
        <v>Safe</v>
      </c>
      <c r="AB1681" s="25">
        <f>(SalesCleanTable[[#This Row],[Unit Price]] - SalesCleanTable[[#This Row],[Unit Cost]]) / SalesCleanTable[[#This Row],[Unit Price]]</f>
        <v>0.36842105263157893</v>
      </c>
      <c r="AC1681" t="str">
        <f>IF(SalesCleanTable[[#This Row],[Discount %]] &gt; SalesCleanTable[[#This Row],[Max Allowed Discount]], "Discount loss", "Safe")</f>
        <v>Safe</v>
      </c>
      <c r="AD1681" s="4">
        <f>SalesCleanTable[[#This Row],[Unit Price]] - SalesCleanTable[[#This Row],[Unit Cost]]</f>
        <v>700</v>
      </c>
      <c r="AE1681" s="41">
        <f>(SalesCleanTable[[#This Row],[Unit Price]] - SalesCleanTable[[#This Row],[Unit Cost]]) / SalesCleanTable[[#This Row],[Unit Price]]</f>
        <v>0.36842105263157893</v>
      </c>
    </row>
    <row r="1682" spans="1:31">
      <c r="A1682" t="s">
        <v>1868</v>
      </c>
      <c r="B1682" s="6">
        <v>45980</v>
      </c>
      <c r="C1682" t="s">
        <v>57</v>
      </c>
      <c r="D1682" t="s">
        <v>58</v>
      </c>
      <c r="E1682" t="s">
        <v>59</v>
      </c>
      <c r="F1682" t="s">
        <v>60</v>
      </c>
      <c r="G1682" t="s">
        <v>61</v>
      </c>
      <c r="H1682" t="s">
        <v>149</v>
      </c>
      <c r="I1682" t="s">
        <v>150</v>
      </c>
      <c r="J1682" t="s">
        <v>151</v>
      </c>
      <c r="K1682" t="s">
        <v>152</v>
      </c>
      <c r="L1682" t="s">
        <v>183</v>
      </c>
      <c r="M1682" t="s">
        <v>177</v>
      </c>
      <c r="N1682">
        <v>8</v>
      </c>
      <c r="O1682" s="4">
        <v>2400</v>
      </c>
      <c r="P1682" s="4">
        <v>3400</v>
      </c>
      <c r="Q1682" s="7">
        <v>0.1</v>
      </c>
      <c r="R1682" t="s">
        <v>204</v>
      </c>
      <c r="S1682">
        <v>4</v>
      </c>
      <c r="T1682">
        <v>27200</v>
      </c>
      <c r="U1682">
        <v>2720</v>
      </c>
      <c r="V1682">
        <v>24480</v>
      </c>
      <c r="W1682">
        <v>19200</v>
      </c>
      <c r="X1682">
        <v>5280</v>
      </c>
      <c r="Y1682" s="8">
        <v>0.21568627450980393</v>
      </c>
      <c r="Z1682" t="s">
        <v>2996</v>
      </c>
      <c r="AA1682" t="str">
        <f>IF(AND(SalesCleanTable[[#This Row],[Discount %]]&gt;0, SalesCleanTable[[#This Row],[Profit]]&lt;0), "Discount loss", "Safe")</f>
        <v>Safe</v>
      </c>
      <c r="AB1682" s="25">
        <f>(SalesCleanTable[[#This Row],[Unit Price]] - SalesCleanTable[[#This Row],[Unit Cost]]) / SalesCleanTable[[#This Row],[Unit Price]]</f>
        <v>0.29411764705882354</v>
      </c>
      <c r="AC1682" t="str">
        <f>IF(SalesCleanTable[[#This Row],[Discount %]] &gt; SalesCleanTable[[#This Row],[Max Allowed Discount]], "Discount loss", "Safe")</f>
        <v>Safe</v>
      </c>
      <c r="AD1682" s="4">
        <f>SalesCleanTable[[#This Row],[Unit Price]] - SalesCleanTable[[#This Row],[Unit Cost]]</f>
        <v>1000</v>
      </c>
      <c r="AE1682" s="41">
        <f>(SalesCleanTable[[#This Row],[Unit Price]] - SalesCleanTable[[#This Row],[Unit Cost]]) / SalesCleanTable[[#This Row],[Unit Price]]</f>
        <v>0.29411764705882354</v>
      </c>
    </row>
    <row r="1683" spans="1:31">
      <c r="A1683" t="s">
        <v>1869</v>
      </c>
      <c r="B1683" s="6">
        <v>45796</v>
      </c>
      <c r="C1683" t="s">
        <v>24</v>
      </c>
      <c r="D1683" t="s">
        <v>25</v>
      </c>
      <c r="E1683" t="s">
        <v>26</v>
      </c>
      <c r="F1683" t="s">
        <v>27</v>
      </c>
      <c r="G1683" t="s">
        <v>28</v>
      </c>
      <c r="H1683" t="s">
        <v>139</v>
      </c>
      <c r="I1683" t="s">
        <v>140</v>
      </c>
      <c r="J1683" t="s">
        <v>137</v>
      </c>
      <c r="K1683" t="s">
        <v>138</v>
      </c>
      <c r="L1683" t="s">
        <v>166</v>
      </c>
      <c r="M1683" t="s">
        <v>171</v>
      </c>
      <c r="N1683">
        <v>2</v>
      </c>
      <c r="O1683" s="4">
        <v>14500</v>
      </c>
      <c r="P1683" s="4">
        <v>17500</v>
      </c>
      <c r="Q1683" s="7">
        <v>0</v>
      </c>
      <c r="R1683" t="s">
        <v>194</v>
      </c>
      <c r="S1683">
        <v>3</v>
      </c>
      <c r="T1683">
        <v>35000</v>
      </c>
      <c r="U1683">
        <v>0</v>
      </c>
      <c r="V1683">
        <v>35000</v>
      </c>
      <c r="W1683">
        <v>29000</v>
      </c>
      <c r="X1683">
        <v>6000</v>
      </c>
      <c r="Y1683" s="8">
        <v>0.17142857142857143</v>
      </c>
      <c r="Z1683" t="s">
        <v>2995</v>
      </c>
      <c r="AA1683" t="str">
        <f>IF(AND(SalesCleanTable[[#This Row],[Discount %]]&gt;0, SalesCleanTable[[#This Row],[Profit]]&lt;0), "Discount loss", "Safe")</f>
        <v>Safe</v>
      </c>
      <c r="AB1683" s="25">
        <f>(SalesCleanTable[[#This Row],[Unit Price]] - SalesCleanTable[[#This Row],[Unit Cost]]) / SalesCleanTable[[#This Row],[Unit Price]]</f>
        <v>0.17142857142857143</v>
      </c>
      <c r="AC1683" t="str">
        <f>IF(SalesCleanTable[[#This Row],[Discount %]] &gt; SalesCleanTable[[#This Row],[Max Allowed Discount]], "Discount loss", "Safe")</f>
        <v>Safe</v>
      </c>
      <c r="AD1683" s="4">
        <f>SalesCleanTable[[#This Row],[Unit Price]] - SalesCleanTable[[#This Row],[Unit Cost]]</f>
        <v>3000</v>
      </c>
      <c r="AE1683" s="41">
        <f>(SalesCleanTable[[#This Row],[Unit Price]] - SalesCleanTable[[#This Row],[Unit Cost]]) / SalesCleanTable[[#This Row],[Unit Price]]</f>
        <v>0.17142857142857143</v>
      </c>
    </row>
    <row r="1684" spans="1:31">
      <c r="A1684" t="s">
        <v>1870</v>
      </c>
      <c r="B1684" s="6">
        <v>45868</v>
      </c>
      <c r="C1684" t="s">
        <v>78</v>
      </c>
      <c r="D1684" t="s">
        <v>79</v>
      </c>
      <c r="E1684" t="s">
        <v>75</v>
      </c>
      <c r="F1684" t="s">
        <v>80</v>
      </c>
      <c r="G1684" t="s">
        <v>81</v>
      </c>
      <c r="H1684" t="s">
        <v>139</v>
      </c>
      <c r="I1684" t="s">
        <v>140</v>
      </c>
      <c r="J1684" t="s">
        <v>137</v>
      </c>
      <c r="K1684" t="s">
        <v>138</v>
      </c>
      <c r="L1684" t="s">
        <v>166</v>
      </c>
      <c r="M1684" t="s">
        <v>171</v>
      </c>
      <c r="N1684">
        <v>2</v>
      </c>
      <c r="O1684" s="4">
        <v>1200</v>
      </c>
      <c r="P1684" s="4">
        <v>1900</v>
      </c>
      <c r="Q1684" s="7">
        <v>0.1</v>
      </c>
      <c r="R1684" t="s">
        <v>204</v>
      </c>
      <c r="S1684">
        <v>11</v>
      </c>
      <c r="T1684">
        <v>3800</v>
      </c>
      <c r="U1684">
        <v>380</v>
      </c>
      <c r="V1684">
        <v>3420</v>
      </c>
      <c r="W1684">
        <v>2400</v>
      </c>
      <c r="X1684">
        <v>1020</v>
      </c>
      <c r="Y1684" s="8">
        <v>0.2982456140350877</v>
      </c>
      <c r="Z1684" t="s">
        <v>2996</v>
      </c>
      <c r="AA1684" t="str">
        <f>IF(AND(SalesCleanTable[[#This Row],[Discount %]]&gt;0, SalesCleanTable[[#This Row],[Profit]]&lt;0), "Discount loss", "Safe")</f>
        <v>Safe</v>
      </c>
      <c r="AB1684" s="25">
        <f>(SalesCleanTable[[#This Row],[Unit Price]] - SalesCleanTable[[#This Row],[Unit Cost]]) / SalesCleanTable[[#This Row],[Unit Price]]</f>
        <v>0.36842105263157893</v>
      </c>
      <c r="AC1684" t="str">
        <f>IF(SalesCleanTable[[#This Row],[Discount %]] &gt; SalesCleanTable[[#This Row],[Max Allowed Discount]], "Discount loss", "Safe")</f>
        <v>Safe</v>
      </c>
      <c r="AD1684" s="4">
        <f>SalesCleanTable[[#This Row],[Unit Price]] - SalesCleanTable[[#This Row],[Unit Cost]]</f>
        <v>700</v>
      </c>
      <c r="AE1684" s="41">
        <f>(SalesCleanTable[[#This Row],[Unit Price]] - SalesCleanTable[[#This Row],[Unit Cost]]) / SalesCleanTable[[#This Row],[Unit Price]]</f>
        <v>0.36842105263157893</v>
      </c>
    </row>
    <row r="1685" spans="1:31">
      <c r="A1685" t="s">
        <v>1871</v>
      </c>
      <c r="B1685" s="6">
        <v>45854</v>
      </c>
      <c r="C1685" t="s">
        <v>112</v>
      </c>
      <c r="D1685" t="s">
        <v>113</v>
      </c>
      <c r="E1685" t="s">
        <v>109</v>
      </c>
      <c r="F1685" t="s">
        <v>114</v>
      </c>
      <c r="G1685" t="s">
        <v>115</v>
      </c>
      <c r="H1685" t="s">
        <v>153</v>
      </c>
      <c r="I1685" t="s">
        <v>154</v>
      </c>
      <c r="J1685" t="s">
        <v>155</v>
      </c>
      <c r="K1685" t="s">
        <v>131</v>
      </c>
      <c r="L1685" t="s">
        <v>166</v>
      </c>
      <c r="M1685" t="s">
        <v>171</v>
      </c>
      <c r="N1685">
        <v>3</v>
      </c>
      <c r="O1685" s="4">
        <v>1300</v>
      </c>
      <c r="P1685" s="4">
        <v>2100</v>
      </c>
      <c r="Q1685" s="7">
        <v>0.2</v>
      </c>
      <c r="R1685" t="s">
        <v>235</v>
      </c>
      <c r="S1685">
        <v>7</v>
      </c>
      <c r="T1685">
        <v>6300</v>
      </c>
      <c r="U1685">
        <v>1260</v>
      </c>
      <c r="V1685">
        <v>5040</v>
      </c>
      <c r="W1685">
        <v>3900</v>
      </c>
      <c r="X1685">
        <v>1140</v>
      </c>
      <c r="Y1685" s="8">
        <v>0.22619047619047619</v>
      </c>
      <c r="Z1685" t="s">
        <v>2995</v>
      </c>
      <c r="AA1685" t="str">
        <f>IF(AND(SalesCleanTable[[#This Row],[Discount %]]&gt;0, SalesCleanTable[[#This Row],[Profit]]&lt;0), "Discount loss", "Safe")</f>
        <v>Safe</v>
      </c>
      <c r="AB1685" s="25">
        <f>(SalesCleanTable[[#This Row],[Unit Price]] - SalesCleanTable[[#This Row],[Unit Cost]]) / SalesCleanTable[[#This Row],[Unit Price]]</f>
        <v>0.38095238095238093</v>
      </c>
      <c r="AC1685" t="str">
        <f>IF(SalesCleanTable[[#This Row],[Discount %]] &gt; SalesCleanTable[[#This Row],[Max Allowed Discount]], "Discount loss", "Safe")</f>
        <v>Safe</v>
      </c>
      <c r="AD1685" s="4">
        <f>SalesCleanTable[[#This Row],[Unit Price]] - SalesCleanTable[[#This Row],[Unit Cost]]</f>
        <v>800</v>
      </c>
      <c r="AE1685" s="41">
        <f>(SalesCleanTable[[#This Row],[Unit Price]] - SalesCleanTable[[#This Row],[Unit Cost]]) / SalesCleanTable[[#This Row],[Unit Price]]</f>
        <v>0.38095238095238093</v>
      </c>
    </row>
    <row r="1686" spans="1:31">
      <c r="A1686" t="s">
        <v>1872</v>
      </c>
      <c r="B1686" s="6">
        <v>46003</v>
      </c>
      <c r="C1686" t="s">
        <v>57</v>
      </c>
      <c r="D1686" t="s">
        <v>58</v>
      </c>
      <c r="E1686" t="s">
        <v>59</v>
      </c>
      <c r="F1686" t="s">
        <v>60</v>
      </c>
      <c r="G1686" t="s">
        <v>61</v>
      </c>
      <c r="H1686" t="s">
        <v>128</v>
      </c>
      <c r="I1686" t="s">
        <v>129</v>
      </c>
      <c r="J1686" t="s">
        <v>130</v>
      </c>
      <c r="K1686" t="s">
        <v>131</v>
      </c>
      <c r="L1686" t="s">
        <v>166</v>
      </c>
      <c r="M1686" t="s">
        <v>171</v>
      </c>
      <c r="N1686">
        <v>1</v>
      </c>
      <c r="O1686" s="4">
        <v>2400</v>
      </c>
      <c r="P1686" s="4">
        <v>3400</v>
      </c>
      <c r="Q1686" s="7">
        <v>0</v>
      </c>
      <c r="R1686" t="s">
        <v>204</v>
      </c>
      <c r="S1686">
        <v>6</v>
      </c>
      <c r="T1686">
        <v>3400</v>
      </c>
      <c r="U1686">
        <v>0</v>
      </c>
      <c r="V1686">
        <v>3400</v>
      </c>
      <c r="W1686">
        <v>2400</v>
      </c>
      <c r="X1686">
        <v>1000</v>
      </c>
      <c r="Y1686" s="8">
        <v>0.29411764705882354</v>
      </c>
      <c r="Z1686" t="s">
        <v>2996</v>
      </c>
      <c r="AA1686" t="str">
        <f>IF(AND(SalesCleanTable[[#This Row],[Discount %]]&gt;0, SalesCleanTable[[#This Row],[Profit]]&lt;0), "Discount loss", "Safe")</f>
        <v>Safe</v>
      </c>
      <c r="AB1686" s="25">
        <f>(SalesCleanTable[[#This Row],[Unit Price]] - SalesCleanTable[[#This Row],[Unit Cost]]) / SalesCleanTable[[#This Row],[Unit Price]]</f>
        <v>0.29411764705882354</v>
      </c>
      <c r="AC1686" t="str">
        <f>IF(SalesCleanTable[[#This Row],[Discount %]] &gt; SalesCleanTable[[#This Row],[Max Allowed Discount]], "Discount loss", "Safe")</f>
        <v>Safe</v>
      </c>
      <c r="AD1686" s="4">
        <f>SalesCleanTable[[#This Row],[Unit Price]] - SalesCleanTable[[#This Row],[Unit Cost]]</f>
        <v>1000</v>
      </c>
      <c r="AE1686" s="41">
        <f>(SalesCleanTable[[#This Row],[Unit Price]] - SalesCleanTable[[#This Row],[Unit Cost]]) / SalesCleanTable[[#This Row],[Unit Price]]</f>
        <v>0.29411764705882354</v>
      </c>
    </row>
    <row r="1687" spans="1:31">
      <c r="A1687" t="s">
        <v>1873</v>
      </c>
      <c r="B1687" s="6">
        <v>45745</v>
      </c>
      <c r="C1687" t="s">
        <v>41</v>
      </c>
      <c r="D1687" t="s">
        <v>42</v>
      </c>
      <c r="E1687" t="s">
        <v>26</v>
      </c>
      <c r="F1687" t="s">
        <v>43</v>
      </c>
      <c r="G1687" t="s">
        <v>44</v>
      </c>
      <c r="H1687" t="s">
        <v>149</v>
      </c>
      <c r="I1687" t="s">
        <v>150</v>
      </c>
      <c r="J1687" t="s">
        <v>151</v>
      </c>
      <c r="K1687" t="s">
        <v>152</v>
      </c>
      <c r="L1687" t="s">
        <v>170</v>
      </c>
      <c r="M1687" t="s">
        <v>186</v>
      </c>
      <c r="N1687">
        <v>2</v>
      </c>
      <c r="O1687" s="4">
        <v>850</v>
      </c>
      <c r="P1687" s="4">
        <v>1300</v>
      </c>
      <c r="Q1687" s="7">
        <v>0.05</v>
      </c>
      <c r="R1687" t="s">
        <v>197</v>
      </c>
      <c r="S1687">
        <v>14</v>
      </c>
      <c r="T1687">
        <v>2600</v>
      </c>
      <c r="U1687">
        <v>130</v>
      </c>
      <c r="V1687">
        <v>2470</v>
      </c>
      <c r="W1687">
        <v>1700</v>
      </c>
      <c r="X1687">
        <v>770</v>
      </c>
      <c r="Y1687" s="8">
        <v>0.31174089068825911</v>
      </c>
      <c r="Z1687" t="s">
        <v>2995</v>
      </c>
      <c r="AA1687" t="str">
        <f>IF(AND(SalesCleanTable[[#This Row],[Discount %]]&gt;0, SalesCleanTable[[#This Row],[Profit]]&lt;0), "Discount loss", "Safe")</f>
        <v>Safe</v>
      </c>
      <c r="AB1687" s="25">
        <f>(SalesCleanTable[[#This Row],[Unit Price]] - SalesCleanTable[[#This Row],[Unit Cost]]) / SalesCleanTable[[#This Row],[Unit Price]]</f>
        <v>0.34615384615384615</v>
      </c>
      <c r="AC1687" t="str">
        <f>IF(SalesCleanTable[[#This Row],[Discount %]] &gt; SalesCleanTable[[#This Row],[Max Allowed Discount]], "Discount loss", "Safe")</f>
        <v>Safe</v>
      </c>
      <c r="AD1687" s="4">
        <f>SalesCleanTable[[#This Row],[Unit Price]] - SalesCleanTable[[#This Row],[Unit Cost]]</f>
        <v>450</v>
      </c>
      <c r="AE1687" s="41">
        <f>(SalesCleanTable[[#This Row],[Unit Price]] - SalesCleanTable[[#This Row],[Unit Cost]]) / SalesCleanTable[[#This Row],[Unit Price]]</f>
        <v>0.34615384615384615</v>
      </c>
    </row>
    <row r="1688" spans="1:31">
      <c r="A1688" t="s">
        <v>1874</v>
      </c>
      <c r="B1688" s="6">
        <v>45742</v>
      </c>
      <c r="C1688" t="s">
        <v>78</v>
      </c>
      <c r="D1688" t="s">
        <v>79</v>
      </c>
      <c r="E1688" t="s">
        <v>75</v>
      </c>
      <c r="F1688" t="s">
        <v>80</v>
      </c>
      <c r="G1688" t="s">
        <v>81</v>
      </c>
      <c r="H1688" t="s">
        <v>128</v>
      </c>
      <c r="I1688" t="s">
        <v>129</v>
      </c>
      <c r="J1688" t="s">
        <v>130</v>
      </c>
      <c r="K1688" t="s">
        <v>131</v>
      </c>
      <c r="L1688" t="s">
        <v>166</v>
      </c>
      <c r="M1688" t="s">
        <v>186</v>
      </c>
      <c r="N1688">
        <v>1</v>
      </c>
      <c r="O1688" s="4">
        <v>1200</v>
      </c>
      <c r="P1688" s="4">
        <v>1900</v>
      </c>
      <c r="Q1688" s="7">
        <v>0.05</v>
      </c>
      <c r="R1688" t="s">
        <v>204</v>
      </c>
      <c r="S1688">
        <v>11</v>
      </c>
      <c r="T1688">
        <v>1900</v>
      </c>
      <c r="U1688">
        <v>95</v>
      </c>
      <c r="V1688">
        <v>1805</v>
      </c>
      <c r="W1688">
        <v>1200</v>
      </c>
      <c r="X1688">
        <v>605</v>
      </c>
      <c r="Y1688" s="8">
        <v>0.33518005540166207</v>
      </c>
      <c r="Z1688" t="s">
        <v>2996</v>
      </c>
      <c r="AA1688" t="str">
        <f>IF(AND(SalesCleanTable[[#This Row],[Discount %]]&gt;0, SalesCleanTable[[#This Row],[Profit]]&lt;0), "Discount loss", "Safe")</f>
        <v>Safe</v>
      </c>
      <c r="AB1688" s="25">
        <f>(SalesCleanTable[[#This Row],[Unit Price]] - SalesCleanTable[[#This Row],[Unit Cost]]) / SalesCleanTable[[#This Row],[Unit Price]]</f>
        <v>0.36842105263157893</v>
      </c>
      <c r="AC1688" t="str">
        <f>IF(SalesCleanTable[[#This Row],[Discount %]] &gt; SalesCleanTable[[#This Row],[Max Allowed Discount]], "Discount loss", "Safe")</f>
        <v>Safe</v>
      </c>
      <c r="AD1688" s="4">
        <f>SalesCleanTable[[#This Row],[Unit Price]] - SalesCleanTable[[#This Row],[Unit Cost]]</f>
        <v>700</v>
      </c>
      <c r="AE1688" s="41">
        <f>(SalesCleanTable[[#This Row],[Unit Price]] - SalesCleanTable[[#This Row],[Unit Cost]]) / SalesCleanTable[[#This Row],[Unit Price]]</f>
        <v>0.36842105263157893</v>
      </c>
    </row>
    <row r="1689" spans="1:31">
      <c r="A1689" t="s">
        <v>1875</v>
      </c>
      <c r="B1689" s="6">
        <v>45897</v>
      </c>
      <c r="C1689" t="s">
        <v>53</v>
      </c>
      <c r="D1689" t="s">
        <v>54</v>
      </c>
      <c r="E1689" t="s">
        <v>38</v>
      </c>
      <c r="F1689" t="s">
        <v>55</v>
      </c>
      <c r="G1689" t="s">
        <v>56</v>
      </c>
      <c r="H1689" t="s">
        <v>139</v>
      </c>
      <c r="I1689" t="s">
        <v>140</v>
      </c>
      <c r="J1689" t="s">
        <v>137</v>
      </c>
      <c r="K1689" t="s">
        <v>138</v>
      </c>
      <c r="L1689" t="s">
        <v>166</v>
      </c>
      <c r="M1689" t="s">
        <v>177</v>
      </c>
      <c r="N1689">
        <v>2</v>
      </c>
      <c r="O1689" s="4">
        <v>330</v>
      </c>
      <c r="P1689" s="4">
        <v>550</v>
      </c>
      <c r="Q1689" s="7">
        <v>0</v>
      </c>
      <c r="R1689" t="s">
        <v>168</v>
      </c>
      <c r="S1689">
        <v>9</v>
      </c>
      <c r="T1689">
        <v>1100</v>
      </c>
      <c r="U1689">
        <v>0</v>
      </c>
      <c r="V1689">
        <v>1100</v>
      </c>
      <c r="W1689">
        <v>660</v>
      </c>
      <c r="X1689">
        <v>440</v>
      </c>
      <c r="Y1689" s="8">
        <v>0.4</v>
      </c>
      <c r="Z1689" t="s">
        <v>2996</v>
      </c>
      <c r="AA1689" t="str">
        <f>IF(AND(SalesCleanTable[[#This Row],[Discount %]]&gt;0, SalesCleanTable[[#This Row],[Profit]]&lt;0), "Discount loss", "Safe")</f>
        <v>Safe</v>
      </c>
      <c r="AB1689" s="25">
        <f>(SalesCleanTable[[#This Row],[Unit Price]] - SalesCleanTable[[#This Row],[Unit Cost]]) / SalesCleanTable[[#This Row],[Unit Price]]</f>
        <v>0.4</v>
      </c>
      <c r="AC1689" t="str">
        <f>IF(SalesCleanTable[[#This Row],[Discount %]] &gt; SalesCleanTable[[#This Row],[Max Allowed Discount]], "Discount loss", "Safe")</f>
        <v>Safe</v>
      </c>
      <c r="AD1689" s="4">
        <f>SalesCleanTable[[#This Row],[Unit Price]] - SalesCleanTable[[#This Row],[Unit Cost]]</f>
        <v>220</v>
      </c>
      <c r="AE1689" s="41">
        <f>(SalesCleanTable[[#This Row],[Unit Price]] - SalesCleanTable[[#This Row],[Unit Cost]]) / SalesCleanTable[[#This Row],[Unit Price]]</f>
        <v>0.4</v>
      </c>
    </row>
    <row r="1690" spans="1:31">
      <c r="A1690" t="s">
        <v>1876</v>
      </c>
      <c r="B1690" s="6">
        <v>45793</v>
      </c>
      <c r="C1690" t="s">
        <v>66</v>
      </c>
      <c r="D1690" t="s">
        <v>67</v>
      </c>
      <c r="E1690" t="s">
        <v>59</v>
      </c>
      <c r="F1690" t="s">
        <v>60</v>
      </c>
      <c r="G1690" t="s">
        <v>68</v>
      </c>
      <c r="H1690" t="s">
        <v>145</v>
      </c>
      <c r="I1690" t="s">
        <v>146</v>
      </c>
      <c r="J1690" t="s">
        <v>147</v>
      </c>
      <c r="K1690" t="s">
        <v>148</v>
      </c>
      <c r="L1690" t="s">
        <v>166</v>
      </c>
      <c r="M1690" t="s">
        <v>171</v>
      </c>
      <c r="N1690">
        <v>1</v>
      </c>
      <c r="O1690" s="4">
        <v>2800</v>
      </c>
      <c r="P1690" s="4">
        <v>3900</v>
      </c>
      <c r="Q1690" s="7">
        <v>0.1</v>
      </c>
      <c r="R1690" t="s">
        <v>204</v>
      </c>
      <c r="S1690">
        <v>9</v>
      </c>
      <c r="T1690">
        <v>3900</v>
      </c>
      <c r="U1690">
        <v>390</v>
      </c>
      <c r="V1690">
        <v>3510</v>
      </c>
      <c r="W1690">
        <v>2800</v>
      </c>
      <c r="X1690">
        <v>710</v>
      </c>
      <c r="Y1690" s="8">
        <v>0.20227920227920229</v>
      </c>
      <c r="Z1690" t="s">
        <v>2996</v>
      </c>
      <c r="AA1690" t="str">
        <f>IF(AND(SalesCleanTable[[#This Row],[Discount %]]&gt;0, SalesCleanTable[[#This Row],[Profit]]&lt;0), "Discount loss", "Safe")</f>
        <v>Safe</v>
      </c>
      <c r="AB1690" s="25">
        <f>(SalesCleanTable[[#This Row],[Unit Price]] - SalesCleanTable[[#This Row],[Unit Cost]]) / SalesCleanTable[[#This Row],[Unit Price]]</f>
        <v>0.28205128205128205</v>
      </c>
      <c r="AC1690" t="str">
        <f>IF(SalesCleanTable[[#This Row],[Discount %]] &gt; SalesCleanTable[[#This Row],[Max Allowed Discount]], "Discount loss", "Safe")</f>
        <v>Safe</v>
      </c>
      <c r="AD1690" s="4">
        <f>SalesCleanTable[[#This Row],[Unit Price]] - SalesCleanTable[[#This Row],[Unit Cost]]</f>
        <v>1100</v>
      </c>
      <c r="AE1690" s="41">
        <f>(SalesCleanTable[[#This Row],[Unit Price]] - SalesCleanTable[[#This Row],[Unit Cost]]) / SalesCleanTable[[#This Row],[Unit Price]]</f>
        <v>0.28205128205128205</v>
      </c>
    </row>
    <row r="1691" spans="1:31">
      <c r="A1691" t="s">
        <v>1877</v>
      </c>
      <c r="B1691" s="6">
        <v>45706</v>
      </c>
      <c r="C1691" t="s">
        <v>53</v>
      </c>
      <c r="D1691" t="s">
        <v>54</v>
      </c>
      <c r="E1691" t="s">
        <v>38</v>
      </c>
      <c r="F1691" t="s">
        <v>55</v>
      </c>
      <c r="G1691" t="s">
        <v>56</v>
      </c>
      <c r="H1691" t="s">
        <v>135</v>
      </c>
      <c r="I1691" t="s">
        <v>136</v>
      </c>
      <c r="J1691" t="s">
        <v>137</v>
      </c>
      <c r="K1691" t="s">
        <v>138</v>
      </c>
      <c r="L1691" t="s">
        <v>183</v>
      </c>
      <c r="M1691" t="s">
        <v>171</v>
      </c>
      <c r="N1691">
        <v>1</v>
      </c>
      <c r="O1691" s="4">
        <v>330</v>
      </c>
      <c r="P1691" s="4">
        <v>550</v>
      </c>
      <c r="Q1691" s="7">
        <v>0.05</v>
      </c>
      <c r="R1691" t="s">
        <v>175</v>
      </c>
      <c r="S1691">
        <v>8</v>
      </c>
      <c r="T1691">
        <v>550</v>
      </c>
      <c r="U1691">
        <v>27.5</v>
      </c>
      <c r="V1691">
        <v>522.5</v>
      </c>
      <c r="W1691">
        <v>330</v>
      </c>
      <c r="X1691">
        <v>192.5</v>
      </c>
      <c r="Y1691" s="8">
        <v>0.36842105263157893</v>
      </c>
      <c r="Z1691" t="s">
        <v>2996</v>
      </c>
      <c r="AA1691" t="str">
        <f>IF(AND(SalesCleanTable[[#This Row],[Discount %]]&gt;0, SalesCleanTable[[#This Row],[Profit]]&lt;0), "Discount loss", "Safe")</f>
        <v>Safe</v>
      </c>
      <c r="AB1691" s="25">
        <f>(SalesCleanTable[[#This Row],[Unit Price]] - SalesCleanTable[[#This Row],[Unit Cost]]) / SalesCleanTable[[#This Row],[Unit Price]]</f>
        <v>0.4</v>
      </c>
      <c r="AC1691" t="str">
        <f>IF(SalesCleanTable[[#This Row],[Discount %]] &gt; SalesCleanTable[[#This Row],[Max Allowed Discount]], "Discount loss", "Safe")</f>
        <v>Safe</v>
      </c>
      <c r="AD1691" s="4">
        <f>SalesCleanTable[[#This Row],[Unit Price]] - SalesCleanTable[[#This Row],[Unit Cost]]</f>
        <v>220</v>
      </c>
      <c r="AE1691" s="41">
        <f>(SalesCleanTable[[#This Row],[Unit Price]] - SalesCleanTable[[#This Row],[Unit Cost]]) / SalesCleanTable[[#This Row],[Unit Price]]</f>
        <v>0.4</v>
      </c>
    </row>
    <row r="1692" spans="1:31">
      <c r="A1692" t="s">
        <v>1878</v>
      </c>
      <c r="B1692" s="6">
        <v>45730</v>
      </c>
      <c r="C1692" t="s">
        <v>107</v>
      </c>
      <c r="D1692" t="s">
        <v>108</v>
      </c>
      <c r="E1692" t="s">
        <v>109</v>
      </c>
      <c r="F1692" t="s">
        <v>110</v>
      </c>
      <c r="G1692" t="s">
        <v>111</v>
      </c>
      <c r="H1692" t="s">
        <v>145</v>
      </c>
      <c r="I1692" t="s">
        <v>146</v>
      </c>
      <c r="J1692" t="s">
        <v>147</v>
      </c>
      <c r="K1692" t="s">
        <v>148</v>
      </c>
      <c r="L1692" t="s">
        <v>183</v>
      </c>
      <c r="M1692" t="s">
        <v>177</v>
      </c>
      <c r="N1692">
        <v>3</v>
      </c>
      <c r="O1692" s="4">
        <v>5200</v>
      </c>
      <c r="P1692" s="4">
        <v>7000</v>
      </c>
      <c r="Q1692" s="7">
        <v>0.15</v>
      </c>
      <c r="R1692" t="s">
        <v>235</v>
      </c>
      <c r="S1692">
        <v>11</v>
      </c>
      <c r="T1692">
        <v>21000</v>
      </c>
      <c r="U1692">
        <v>3150</v>
      </c>
      <c r="V1692">
        <v>17850</v>
      </c>
      <c r="W1692">
        <v>15600</v>
      </c>
      <c r="X1692">
        <v>2250</v>
      </c>
      <c r="Y1692" s="8">
        <v>0.12605042016806722</v>
      </c>
      <c r="Z1692" t="s">
        <v>2997</v>
      </c>
      <c r="AA1692" t="str">
        <f>IF(AND(SalesCleanTable[[#This Row],[Discount %]]&gt;0, SalesCleanTable[[#This Row],[Profit]]&lt;0), "Discount loss", "Safe")</f>
        <v>Safe</v>
      </c>
      <c r="AB1692" s="25">
        <f>(SalesCleanTable[[#This Row],[Unit Price]] - SalesCleanTable[[#This Row],[Unit Cost]]) / SalesCleanTable[[#This Row],[Unit Price]]</f>
        <v>0.25714285714285712</v>
      </c>
      <c r="AC1692" t="str">
        <f>IF(SalesCleanTable[[#This Row],[Discount %]] &gt; SalesCleanTable[[#This Row],[Max Allowed Discount]], "Discount loss", "Safe")</f>
        <v>Safe</v>
      </c>
      <c r="AD1692" s="4">
        <f>SalesCleanTable[[#This Row],[Unit Price]] - SalesCleanTable[[#This Row],[Unit Cost]]</f>
        <v>1800</v>
      </c>
      <c r="AE1692" s="41">
        <f>(SalesCleanTable[[#This Row],[Unit Price]] - SalesCleanTable[[#This Row],[Unit Cost]]) / SalesCleanTable[[#This Row],[Unit Price]]</f>
        <v>0.25714285714285712</v>
      </c>
    </row>
    <row r="1693" spans="1:31">
      <c r="A1693" t="s">
        <v>1879</v>
      </c>
      <c r="B1693" s="6">
        <v>45909</v>
      </c>
      <c r="C1693" t="s">
        <v>107</v>
      </c>
      <c r="D1693" t="s">
        <v>108</v>
      </c>
      <c r="E1693" t="s">
        <v>109</v>
      </c>
      <c r="F1693" t="s">
        <v>110</v>
      </c>
      <c r="G1693" t="s">
        <v>111</v>
      </c>
      <c r="H1693" t="s">
        <v>139</v>
      </c>
      <c r="I1693" t="s">
        <v>140</v>
      </c>
      <c r="J1693" t="s">
        <v>137</v>
      </c>
      <c r="K1693" t="s">
        <v>138</v>
      </c>
      <c r="L1693" t="s">
        <v>166</v>
      </c>
      <c r="M1693" t="s">
        <v>186</v>
      </c>
      <c r="N1693">
        <v>5</v>
      </c>
      <c r="O1693" s="4">
        <v>5200</v>
      </c>
      <c r="P1693" s="4">
        <v>7000</v>
      </c>
      <c r="Q1693" s="7">
        <v>0.05</v>
      </c>
      <c r="R1693" t="s">
        <v>220</v>
      </c>
      <c r="S1693">
        <v>3</v>
      </c>
      <c r="T1693">
        <v>35000</v>
      </c>
      <c r="U1693">
        <v>1750</v>
      </c>
      <c r="V1693">
        <v>33250</v>
      </c>
      <c r="W1693">
        <v>26000</v>
      </c>
      <c r="X1693">
        <v>7250</v>
      </c>
      <c r="Y1693" s="8">
        <v>0.21804511278195488</v>
      </c>
      <c r="Z1693" t="s">
        <v>2997</v>
      </c>
      <c r="AA1693" t="str">
        <f>IF(AND(SalesCleanTable[[#This Row],[Discount %]]&gt;0, SalesCleanTable[[#This Row],[Profit]]&lt;0), "Discount loss", "Safe")</f>
        <v>Safe</v>
      </c>
      <c r="AB1693" s="25">
        <f>(SalesCleanTable[[#This Row],[Unit Price]] - SalesCleanTable[[#This Row],[Unit Cost]]) / SalesCleanTable[[#This Row],[Unit Price]]</f>
        <v>0.25714285714285712</v>
      </c>
      <c r="AC1693" t="str">
        <f>IF(SalesCleanTable[[#This Row],[Discount %]] &gt; SalesCleanTable[[#This Row],[Max Allowed Discount]], "Discount loss", "Safe")</f>
        <v>Safe</v>
      </c>
      <c r="AD1693" s="4">
        <f>SalesCleanTable[[#This Row],[Unit Price]] - SalesCleanTable[[#This Row],[Unit Cost]]</f>
        <v>1800</v>
      </c>
      <c r="AE1693" s="41">
        <f>(SalesCleanTable[[#This Row],[Unit Price]] - SalesCleanTable[[#This Row],[Unit Cost]]) / SalesCleanTable[[#This Row],[Unit Price]]</f>
        <v>0.25714285714285712</v>
      </c>
    </row>
    <row r="1694" spans="1:31">
      <c r="A1694" t="s">
        <v>1880</v>
      </c>
      <c r="B1694" s="6">
        <v>45832</v>
      </c>
      <c r="C1694" t="s">
        <v>82</v>
      </c>
      <c r="D1694" t="s">
        <v>83</v>
      </c>
      <c r="E1694" t="s">
        <v>75</v>
      </c>
      <c r="F1694" t="s">
        <v>84</v>
      </c>
      <c r="G1694" t="s">
        <v>85</v>
      </c>
      <c r="H1694" t="s">
        <v>139</v>
      </c>
      <c r="I1694" t="s">
        <v>140</v>
      </c>
      <c r="J1694" t="s">
        <v>137</v>
      </c>
      <c r="K1694" t="s">
        <v>138</v>
      </c>
      <c r="L1694" t="s">
        <v>166</v>
      </c>
      <c r="M1694" t="s">
        <v>186</v>
      </c>
      <c r="N1694">
        <v>4</v>
      </c>
      <c r="O1694" s="4">
        <v>600</v>
      </c>
      <c r="P1694" s="4">
        <v>950</v>
      </c>
      <c r="Q1694" s="7">
        <v>0.1</v>
      </c>
      <c r="R1694" t="s">
        <v>187</v>
      </c>
      <c r="S1694">
        <v>14</v>
      </c>
      <c r="T1694">
        <v>3800</v>
      </c>
      <c r="U1694">
        <v>380</v>
      </c>
      <c r="V1694">
        <v>3420</v>
      </c>
      <c r="W1694">
        <v>2400</v>
      </c>
      <c r="X1694">
        <v>1020</v>
      </c>
      <c r="Y1694" s="8">
        <v>0.2982456140350877</v>
      </c>
      <c r="Z1694" t="s">
        <v>2996</v>
      </c>
      <c r="AA1694" t="str">
        <f>IF(AND(SalesCleanTable[[#This Row],[Discount %]]&gt;0, SalesCleanTable[[#This Row],[Profit]]&lt;0), "Discount loss", "Safe")</f>
        <v>Safe</v>
      </c>
      <c r="AB1694" s="25">
        <f>(SalesCleanTable[[#This Row],[Unit Price]] - SalesCleanTable[[#This Row],[Unit Cost]]) / SalesCleanTable[[#This Row],[Unit Price]]</f>
        <v>0.36842105263157893</v>
      </c>
      <c r="AC1694" t="str">
        <f>IF(SalesCleanTable[[#This Row],[Discount %]] &gt; SalesCleanTable[[#This Row],[Max Allowed Discount]], "Discount loss", "Safe")</f>
        <v>Safe</v>
      </c>
      <c r="AD1694" s="4">
        <f>SalesCleanTable[[#This Row],[Unit Price]] - SalesCleanTable[[#This Row],[Unit Cost]]</f>
        <v>350</v>
      </c>
      <c r="AE1694" s="41">
        <f>(SalesCleanTable[[#This Row],[Unit Price]] - SalesCleanTable[[#This Row],[Unit Cost]]) / SalesCleanTable[[#This Row],[Unit Price]]</f>
        <v>0.36842105263157893</v>
      </c>
    </row>
    <row r="1695" spans="1:31">
      <c r="A1695" t="s">
        <v>1881</v>
      </c>
      <c r="B1695" s="6">
        <v>45782</v>
      </c>
      <c r="C1695" t="s">
        <v>103</v>
      </c>
      <c r="D1695" t="s">
        <v>104</v>
      </c>
      <c r="E1695" t="s">
        <v>92</v>
      </c>
      <c r="F1695" t="s">
        <v>105</v>
      </c>
      <c r="G1695" t="s">
        <v>106</v>
      </c>
      <c r="H1695" t="s">
        <v>149</v>
      </c>
      <c r="I1695" t="s">
        <v>150</v>
      </c>
      <c r="J1695" t="s">
        <v>151</v>
      </c>
      <c r="K1695" t="s">
        <v>152</v>
      </c>
      <c r="L1695" t="s">
        <v>166</v>
      </c>
      <c r="M1695" t="s">
        <v>177</v>
      </c>
      <c r="N1695">
        <v>1</v>
      </c>
      <c r="O1695" s="4">
        <v>1500</v>
      </c>
      <c r="P1695" s="4">
        <v>2500</v>
      </c>
      <c r="Q1695" s="7">
        <v>0.1</v>
      </c>
      <c r="R1695" t="s">
        <v>181</v>
      </c>
      <c r="S1695">
        <v>10</v>
      </c>
      <c r="T1695">
        <v>2500</v>
      </c>
      <c r="U1695">
        <v>250</v>
      </c>
      <c r="V1695">
        <v>2250</v>
      </c>
      <c r="W1695">
        <v>1500</v>
      </c>
      <c r="X1695">
        <v>750</v>
      </c>
      <c r="Y1695" s="8">
        <v>0.33333333333333331</v>
      </c>
      <c r="Z1695" t="s">
        <v>2996</v>
      </c>
      <c r="AA1695" t="str">
        <f>IF(AND(SalesCleanTable[[#This Row],[Discount %]]&gt;0, SalesCleanTable[[#This Row],[Profit]]&lt;0), "Discount loss", "Safe")</f>
        <v>Safe</v>
      </c>
      <c r="AB1695" s="25">
        <f>(SalesCleanTable[[#This Row],[Unit Price]] - SalesCleanTable[[#This Row],[Unit Cost]]) / SalesCleanTable[[#This Row],[Unit Price]]</f>
        <v>0.4</v>
      </c>
      <c r="AC1695" t="str">
        <f>IF(SalesCleanTable[[#This Row],[Discount %]] &gt; SalesCleanTable[[#This Row],[Max Allowed Discount]], "Discount loss", "Safe")</f>
        <v>Safe</v>
      </c>
      <c r="AD1695" s="4">
        <f>SalesCleanTable[[#This Row],[Unit Price]] - SalesCleanTable[[#This Row],[Unit Cost]]</f>
        <v>1000</v>
      </c>
      <c r="AE1695" s="41">
        <f>(SalesCleanTable[[#This Row],[Unit Price]] - SalesCleanTable[[#This Row],[Unit Cost]]) / SalesCleanTable[[#This Row],[Unit Price]]</f>
        <v>0.4</v>
      </c>
    </row>
    <row r="1696" spans="1:31">
      <c r="A1696" t="s">
        <v>1882</v>
      </c>
      <c r="B1696" s="6">
        <v>45669</v>
      </c>
      <c r="C1696" t="s">
        <v>53</v>
      </c>
      <c r="D1696" t="s">
        <v>54</v>
      </c>
      <c r="E1696" t="s">
        <v>38</v>
      </c>
      <c r="F1696" t="s">
        <v>55</v>
      </c>
      <c r="G1696" t="s">
        <v>56</v>
      </c>
      <c r="H1696" t="s">
        <v>145</v>
      </c>
      <c r="I1696" t="s">
        <v>146</v>
      </c>
      <c r="J1696" t="s">
        <v>147</v>
      </c>
      <c r="K1696" t="s">
        <v>148</v>
      </c>
      <c r="L1696" t="s">
        <v>166</v>
      </c>
      <c r="M1696" t="s">
        <v>171</v>
      </c>
      <c r="N1696">
        <v>3</v>
      </c>
      <c r="O1696" s="4">
        <v>330</v>
      </c>
      <c r="P1696" s="4">
        <v>550</v>
      </c>
      <c r="Q1696" s="7">
        <v>0.1</v>
      </c>
      <c r="R1696" t="s">
        <v>178</v>
      </c>
      <c r="S1696">
        <v>8</v>
      </c>
      <c r="T1696">
        <v>1650</v>
      </c>
      <c r="U1696">
        <v>165</v>
      </c>
      <c r="V1696">
        <v>1485</v>
      </c>
      <c r="W1696">
        <v>990</v>
      </c>
      <c r="X1696">
        <v>495</v>
      </c>
      <c r="Y1696" s="8">
        <v>0.33333333333333331</v>
      </c>
      <c r="Z1696" t="s">
        <v>2996</v>
      </c>
      <c r="AA1696" t="str">
        <f>IF(AND(SalesCleanTable[[#This Row],[Discount %]]&gt;0, SalesCleanTable[[#This Row],[Profit]]&lt;0), "Discount loss", "Safe")</f>
        <v>Safe</v>
      </c>
      <c r="AB1696" s="25">
        <f>(SalesCleanTable[[#This Row],[Unit Price]] - SalesCleanTable[[#This Row],[Unit Cost]]) / SalesCleanTable[[#This Row],[Unit Price]]</f>
        <v>0.4</v>
      </c>
      <c r="AC1696" t="str">
        <f>IF(SalesCleanTable[[#This Row],[Discount %]] &gt; SalesCleanTable[[#This Row],[Max Allowed Discount]], "Discount loss", "Safe")</f>
        <v>Safe</v>
      </c>
      <c r="AD1696" s="4">
        <f>SalesCleanTable[[#This Row],[Unit Price]] - SalesCleanTable[[#This Row],[Unit Cost]]</f>
        <v>220</v>
      </c>
      <c r="AE1696" s="41">
        <f>(SalesCleanTable[[#This Row],[Unit Price]] - SalesCleanTable[[#This Row],[Unit Cost]]) / SalesCleanTable[[#This Row],[Unit Price]]</f>
        <v>0.4</v>
      </c>
    </row>
    <row r="1697" spans="1:31">
      <c r="A1697" t="s">
        <v>1883</v>
      </c>
      <c r="B1697" s="6">
        <v>45689</v>
      </c>
      <c r="C1697" t="s">
        <v>49</v>
      </c>
      <c r="D1697" t="s">
        <v>50</v>
      </c>
      <c r="E1697" t="s">
        <v>38</v>
      </c>
      <c r="F1697" t="s">
        <v>51</v>
      </c>
      <c r="G1697" t="s">
        <v>52</v>
      </c>
      <c r="H1697" t="s">
        <v>153</v>
      </c>
      <c r="I1697" t="s">
        <v>154</v>
      </c>
      <c r="J1697" t="s">
        <v>155</v>
      </c>
      <c r="K1697" t="s">
        <v>131</v>
      </c>
      <c r="L1697" t="s">
        <v>183</v>
      </c>
      <c r="M1697" t="s">
        <v>177</v>
      </c>
      <c r="N1697">
        <v>2</v>
      </c>
      <c r="O1697" s="4">
        <v>550</v>
      </c>
      <c r="P1697" s="4">
        <v>850</v>
      </c>
      <c r="Q1697" s="7">
        <v>0.05</v>
      </c>
      <c r="R1697" t="s">
        <v>178</v>
      </c>
      <c r="S1697">
        <v>6</v>
      </c>
      <c r="T1697">
        <v>1700</v>
      </c>
      <c r="U1697">
        <v>85</v>
      </c>
      <c r="V1697">
        <v>1615</v>
      </c>
      <c r="W1697">
        <v>1100</v>
      </c>
      <c r="X1697">
        <v>515</v>
      </c>
      <c r="Y1697" s="8">
        <v>0.31888544891640869</v>
      </c>
      <c r="Z1697" t="s">
        <v>2996</v>
      </c>
      <c r="AA1697" t="str">
        <f>IF(AND(SalesCleanTable[[#This Row],[Discount %]]&gt;0, SalesCleanTable[[#This Row],[Profit]]&lt;0), "Discount loss", "Safe")</f>
        <v>Safe</v>
      </c>
      <c r="AB1697" s="25">
        <f>(SalesCleanTable[[#This Row],[Unit Price]] - SalesCleanTable[[#This Row],[Unit Cost]]) / SalesCleanTable[[#This Row],[Unit Price]]</f>
        <v>0.35294117647058826</v>
      </c>
      <c r="AC1697" t="str">
        <f>IF(SalesCleanTable[[#This Row],[Discount %]] &gt; SalesCleanTable[[#This Row],[Max Allowed Discount]], "Discount loss", "Safe")</f>
        <v>Safe</v>
      </c>
      <c r="AD1697" s="4">
        <f>SalesCleanTable[[#This Row],[Unit Price]] - SalesCleanTable[[#This Row],[Unit Cost]]</f>
        <v>300</v>
      </c>
      <c r="AE1697" s="41">
        <f>(SalesCleanTable[[#This Row],[Unit Price]] - SalesCleanTable[[#This Row],[Unit Cost]]) / SalesCleanTable[[#This Row],[Unit Price]]</f>
        <v>0.35294117647058826</v>
      </c>
    </row>
    <row r="1698" spans="1:31">
      <c r="A1698" t="s">
        <v>1884</v>
      </c>
      <c r="B1698" s="6">
        <v>45850</v>
      </c>
      <c r="C1698" t="s">
        <v>62</v>
      </c>
      <c r="D1698" t="s">
        <v>63</v>
      </c>
      <c r="E1698" t="s">
        <v>59</v>
      </c>
      <c r="F1698" t="s">
        <v>64</v>
      </c>
      <c r="G1698" t="s">
        <v>65</v>
      </c>
      <c r="H1698" t="s">
        <v>128</v>
      </c>
      <c r="I1698" t="s">
        <v>129</v>
      </c>
      <c r="J1698" t="s">
        <v>130</v>
      </c>
      <c r="K1698" t="s">
        <v>131</v>
      </c>
      <c r="L1698" t="s">
        <v>183</v>
      </c>
      <c r="M1698" t="s">
        <v>186</v>
      </c>
      <c r="N1698">
        <v>5</v>
      </c>
      <c r="O1698" s="4">
        <v>3200</v>
      </c>
      <c r="P1698" s="4">
        <v>4500</v>
      </c>
      <c r="Q1698" s="7">
        <v>0</v>
      </c>
      <c r="R1698" t="s">
        <v>192</v>
      </c>
      <c r="S1698">
        <v>2</v>
      </c>
      <c r="T1698">
        <v>22500</v>
      </c>
      <c r="U1698">
        <v>0</v>
      </c>
      <c r="V1698">
        <v>22500</v>
      </c>
      <c r="W1698">
        <v>16000</v>
      </c>
      <c r="X1698">
        <v>6500</v>
      </c>
      <c r="Y1698" s="8">
        <v>0.28888888888888886</v>
      </c>
      <c r="Z1698" t="s">
        <v>2996</v>
      </c>
      <c r="AA1698" t="str">
        <f>IF(AND(SalesCleanTable[[#This Row],[Discount %]]&gt;0, SalesCleanTable[[#This Row],[Profit]]&lt;0), "Discount loss", "Safe")</f>
        <v>Safe</v>
      </c>
      <c r="AB1698" s="25">
        <f>(SalesCleanTable[[#This Row],[Unit Price]] - SalesCleanTable[[#This Row],[Unit Cost]]) / SalesCleanTable[[#This Row],[Unit Price]]</f>
        <v>0.28888888888888886</v>
      </c>
      <c r="AC1698" t="str">
        <f>IF(SalesCleanTable[[#This Row],[Discount %]] &gt; SalesCleanTable[[#This Row],[Max Allowed Discount]], "Discount loss", "Safe")</f>
        <v>Safe</v>
      </c>
      <c r="AD1698" s="4">
        <f>SalesCleanTable[[#This Row],[Unit Price]] - SalesCleanTable[[#This Row],[Unit Cost]]</f>
        <v>1300</v>
      </c>
      <c r="AE1698" s="41">
        <f>(SalesCleanTable[[#This Row],[Unit Price]] - SalesCleanTable[[#This Row],[Unit Cost]]) / SalesCleanTable[[#This Row],[Unit Price]]</f>
        <v>0.28888888888888886</v>
      </c>
    </row>
    <row r="1699" spans="1:31">
      <c r="A1699" t="s">
        <v>1885</v>
      </c>
      <c r="B1699" s="6">
        <v>46005</v>
      </c>
      <c r="C1699" t="s">
        <v>103</v>
      </c>
      <c r="D1699" t="s">
        <v>104</v>
      </c>
      <c r="E1699" t="s">
        <v>92</v>
      </c>
      <c r="F1699" t="s">
        <v>105</v>
      </c>
      <c r="G1699" t="s">
        <v>106</v>
      </c>
      <c r="H1699" t="s">
        <v>135</v>
      </c>
      <c r="I1699" t="s">
        <v>136</v>
      </c>
      <c r="J1699" t="s">
        <v>137</v>
      </c>
      <c r="K1699" t="s">
        <v>138</v>
      </c>
      <c r="L1699" t="s">
        <v>166</v>
      </c>
      <c r="M1699" t="s">
        <v>177</v>
      </c>
      <c r="N1699">
        <v>5</v>
      </c>
      <c r="O1699" s="4">
        <v>1500</v>
      </c>
      <c r="P1699" s="4">
        <v>2500</v>
      </c>
      <c r="Q1699" s="7">
        <v>0.05</v>
      </c>
      <c r="R1699" t="s">
        <v>217</v>
      </c>
      <c r="S1699">
        <v>7</v>
      </c>
      <c r="T1699">
        <v>12500</v>
      </c>
      <c r="U1699">
        <v>625</v>
      </c>
      <c r="V1699">
        <v>11875</v>
      </c>
      <c r="W1699">
        <v>7500</v>
      </c>
      <c r="X1699">
        <v>4375</v>
      </c>
      <c r="Y1699" s="8">
        <v>0.36842105263157893</v>
      </c>
      <c r="Z1699" t="s">
        <v>2996</v>
      </c>
      <c r="AA1699" t="str">
        <f>IF(AND(SalesCleanTable[[#This Row],[Discount %]]&gt;0, SalesCleanTable[[#This Row],[Profit]]&lt;0), "Discount loss", "Safe")</f>
        <v>Safe</v>
      </c>
      <c r="AB1699" s="25">
        <f>(SalesCleanTable[[#This Row],[Unit Price]] - SalesCleanTable[[#This Row],[Unit Cost]]) / SalesCleanTable[[#This Row],[Unit Price]]</f>
        <v>0.4</v>
      </c>
      <c r="AC1699" t="str">
        <f>IF(SalesCleanTable[[#This Row],[Discount %]] &gt; SalesCleanTable[[#This Row],[Max Allowed Discount]], "Discount loss", "Safe")</f>
        <v>Safe</v>
      </c>
      <c r="AD1699" s="4">
        <f>SalesCleanTable[[#This Row],[Unit Price]] - SalesCleanTable[[#This Row],[Unit Cost]]</f>
        <v>1000</v>
      </c>
      <c r="AE1699" s="41">
        <f>(SalesCleanTable[[#This Row],[Unit Price]] - SalesCleanTable[[#This Row],[Unit Cost]]) / SalesCleanTable[[#This Row],[Unit Price]]</f>
        <v>0.4</v>
      </c>
    </row>
    <row r="1700" spans="1:31">
      <c r="A1700" t="s">
        <v>1886</v>
      </c>
      <c r="B1700" s="6">
        <v>45695</v>
      </c>
      <c r="C1700" t="s">
        <v>57</v>
      </c>
      <c r="D1700" t="s">
        <v>58</v>
      </c>
      <c r="E1700" t="s">
        <v>59</v>
      </c>
      <c r="F1700" t="s">
        <v>60</v>
      </c>
      <c r="G1700" t="s">
        <v>61</v>
      </c>
      <c r="H1700" t="s">
        <v>145</v>
      </c>
      <c r="I1700" t="s">
        <v>146</v>
      </c>
      <c r="J1700" t="s">
        <v>147</v>
      </c>
      <c r="K1700" t="s">
        <v>148</v>
      </c>
      <c r="L1700" t="s">
        <v>166</v>
      </c>
      <c r="M1700" t="s">
        <v>171</v>
      </c>
      <c r="N1700">
        <v>1</v>
      </c>
      <c r="O1700" s="4">
        <v>2400</v>
      </c>
      <c r="P1700" s="4">
        <v>3400</v>
      </c>
      <c r="Q1700" s="7">
        <v>0.2</v>
      </c>
      <c r="R1700" t="s">
        <v>204</v>
      </c>
      <c r="S1700">
        <v>13</v>
      </c>
      <c r="T1700">
        <v>3400</v>
      </c>
      <c r="U1700">
        <v>680</v>
      </c>
      <c r="V1700">
        <v>2720</v>
      </c>
      <c r="W1700">
        <v>2400</v>
      </c>
      <c r="X1700">
        <v>320</v>
      </c>
      <c r="Y1700" s="8">
        <v>0.11764705882352941</v>
      </c>
      <c r="Z1700" t="s">
        <v>2996</v>
      </c>
      <c r="AA1700" t="str">
        <f>IF(AND(SalesCleanTable[[#This Row],[Discount %]]&gt;0, SalesCleanTable[[#This Row],[Profit]]&lt;0), "Discount loss", "Safe")</f>
        <v>Safe</v>
      </c>
      <c r="AB1700" s="25">
        <f>(SalesCleanTable[[#This Row],[Unit Price]] - SalesCleanTable[[#This Row],[Unit Cost]]) / SalesCleanTable[[#This Row],[Unit Price]]</f>
        <v>0.29411764705882354</v>
      </c>
      <c r="AC1700" t="str">
        <f>IF(SalesCleanTable[[#This Row],[Discount %]] &gt; SalesCleanTable[[#This Row],[Max Allowed Discount]], "Discount loss", "Safe")</f>
        <v>Safe</v>
      </c>
      <c r="AD1700" s="4">
        <f>SalesCleanTable[[#This Row],[Unit Price]] - SalesCleanTable[[#This Row],[Unit Cost]]</f>
        <v>1000</v>
      </c>
      <c r="AE1700" s="41">
        <f>(SalesCleanTable[[#This Row],[Unit Price]] - SalesCleanTable[[#This Row],[Unit Cost]]) / SalesCleanTable[[#This Row],[Unit Price]]</f>
        <v>0.29411764705882354</v>
      </c>
    </row>
    <row r="1701" spans="1:31">
      <c r="A1701" t="s">
        <v>1887</v>
      </c>
      <c r="B1701" s="6">
        <v>45678</v>
      </c>
      <c r="C1701" t="s">
        <v>62</v>
      </c>
      <c r="D1701" t="s">
        <v>63</v>
      </c>
      <c r="E1701" t="s">
        <v>59</v>
      </c>
      <c r="F1701" t="s">
        <v>64</v>
      </c>
      <c r="G1701" t="s">
        <v>65</v>
      </c>
      <c r="H1701" t="s">
        <v>139</v>
      </c>
      <c r="I1701" t="s">
        <v>140</v>
      </c>
      <c r="J1701" t="s">
        <v>137</v>
      </c>
      <c r="K1701" t="s">
        <v>138</v>
      </c>
      <c r="L1701" t="s">
        <v>183</v>
      </c>
      <c r="M1701" t="s">
        <v>171</v>
      </c>
      <c r="N1701">
        <v>-1</v>
      </c>
      <c r="O1701" s="4">
        <v>3200</v>
      </c>
      <c r="P1701" s="4">
        <v>4500</v>
      </c>
      <c r="Q1701" s="7">
        <v>0</v>
      </c>
      <c r="R1701" t="s">
        <v>173</v>
      </c>
      <c r="S1701">
        <v>14</v>
      </c>
      <c r="T1701">
        <v>-4500</v>
      </c>
      <c r="U1701">
        <v>0</v>
      </c>
      <c r="V1701">
        <v>-4500</v>
      </c>
      <c r="W1701">
        <v>-3200</v>
      </c>
      <c r="X1701">
        <v>-1300</v>
      </c>
      <c r="Y1701" s="8">
        <v>0.28888888888888886</v>
      </c>
      <c r="Z1701" t="s">
        <v>2996</v>
      </c>
      <c r="AA1701" t="str">
        <f>IF(AND(SalesCleanTable[[#This Row],[Discount %]]&gt;0, SalesCleanTable[[#This Row],[Profit]]&lt;0), "Discount loss", "Safe")</f>
        <v>Safe</v>
      </c>
      <c r="AB1701" s="25">
        <f>(SalesCleanTable[[#This Row],[Unit Price]] - SalesCleanTable[[#This Row],[Unit Cost]]) / SalesCleanTable[[#This Row],[Unit Price]]</f>
        <v>0.28888888888888886</v>
      </c>
      <c r="AC1701" t="str">
        <f>IF(SalesCleanTable[[#This Row],[Discount %]] &gt; SalesCleanTable[[#This Row],[Max Allowed Discount]], "Discount loss", "Safe")</f>
        <v>Safe</v>
      </c>
      <c r="AD1701" s="4">
        <f>SalesCleanTable[[#This Row],[Unit Price]] - SalesCleanTable[[#This Row],[Unit Cost]]</f>
        <v>1300</v>
      </c>
      <c r="AE1701" s="41">
        <f>(SalesCleanTable[[#This Row],[Unit Price]] - SalesCleanTable[[#This Row],[Unit Cost]]) / SalesCleanTable[[#This Row],[Unit Price]]</f>
        <v>0.28888888888888886</v>
      </c>
    </row>
    <row r="1702" spans="1:31">
      <c r="A1702" t="s">
        <v>1888</v>
      </c>
      <c r="B1702" s="6">
        <v>45722</v>
      </c>
      <c r="C1702" t="s">
        <v>107</v>
      </c>
      <c r="D1702" t="s">
        <v>108</v>
      </c>
      <c r="E1702" t="s">
        <v>109</v>
      </c>
      <c r="F1702" t="s">
        <v>110</v>
      </c>
      <c r="G1702" t="s">
        <v>111</v>
      </c>
      <c r="H1702" t="s">
        <v>128</v>
      </c>
      <c r="I1702" t="s">
        <v>129</v>
      </c>
      <c r="J1702" t="s">
        <v>130</v>
      </c>
      <c r="K1702" t="s">
        <v>131</v>
      </c>
      <c r="L1702" t="s">
        <v>183</v>
      </c>
      <c r="M1702" t="s">
        <v>171</v>
      </c>
      <c r="N1702">
        <v>2</v>
      </c>
      <c r="O1702" s="4">
        <v>5200</v>
      </c>
      <c r="P1702" s="4">
        <v>7000</v>
      </c>
      <c r="Q1702" s="7">
        <v>0</v>
      </c>
      <c r="R1702" t="s">
        <v>184</v>
      </c>
      <c r="S1702">
        <v>14</v>
      </c>
      <c r="T1702">
        <v>14000</v>
      </c>
      <c r="U1702">
        <v>0</v>
      </c>
      <c r="V1702">
        <v>14000</v>
      </c>
      <c r="W1702">
        <v>10400</v>
      </c>
      <c r="X1702">
        <v>3600</v>
      </c>
      <c r="Y1702" s="8">
        <v>0.25714285714285712</v>
      </c>
      <c r="Z1702" t="s">
        <v>2997</v>
      </c>
      <c r="AA1702" t="str">
        <f>IF(AND(SalesCleanTable[[#This Row],[Discount %]]&gt;0, SalesCleanTable[[#This Row],[Profit]]&lt;0), "Discount loss", "Safe")</f>
        <v>Safe</v>
      </c>
      <c r="AB1702" s="25">
        <f>(SalesCleanTable[[#This Row],[Unit Price]] - SalesCleanTable[[#This Row],[Unit Cost]]) / SalesCleanTable[[#This Row],[Unit Price]]</f>
        <v>0.25714285714285712</v>
      </c>
      <c r="AC1702" t="str">
        <f>IF(SalesCleanTable[[#This Row],[Discount %]] &gt; SalesCleanTable[[#This Row],[Max Allowed Discount]], "Discount loss", "Safe")</f>
        <v>Safe</v>
      </c>
      <c r="AD1702" s="4">
        <f>SalesCleanTable[[#This Row],[Unit Price]] - SalesCleanTable[[#This Row],[Unit Cost]]</f>
        <v>1800</v>
      </c>
      <c r="AE1702" s="41">
        <f>(SalesCleanTable[[#This Row],[Unit Price]] - SalesCleanTable[[#This Row],[Unit Cost]]) / SalesCleanTable[[#This Row],[Unit Price]]</f>
        <v>0.25714285714285712</v>
      </c>
    </row>
    <row r="1703" spans="1:31">
      <c r="A1703" t="s">
        <v>1889</v>
      </c>
      <c r="B1703" s="6">
        <v>45964</v>
      </c>
      <c r="C1703" t="s">
        <v>82</v>
      </c>
      <c r="D1703" t="s">
        <v>83</v>
      </c>
      <c r="E1703" t="s">
        <v>75</v>
      </c>
      <c r="F1703" t="s">
        <v>84</v>
      </c>
      <c r="G1703" t="s">
        <v>85</v>
      </c>
      <c r="H1703" t="s">
        <v>135</v>
      </c>
      <c r="I1703" t="s">
        <v>136</v>
      </c>
      <c r="J1703" t="s">
        <v>137</v>
      </c>
      <c r="K1703" t="s">
        <v>138</v>
      </c>
      <c r="L1703" t="s">
        <v>166</v>
      </c>
      <c r="M1703" t="s">
        <v>171</v>
      </c>
      <c r="N1703">
        <v>8</v>
      </c>
      <c r="O1703" s="4">
        <v>600</v>
      </c>
      <c r="P1703" s="4">
        <v>950</v>
      </c>
      <c r="Q1703" s="7">
        <v>0.1</v>
      </c>
      <c r="R1703" t="s">
        <v>204</v>
      </c>
      <c r="S1703">
        <v>10</v>
      </c>
      <c r="T1703">
        <v>7600</v>
      </c>
      <c r="U1703">
        <v>760</v>
      </c>
      <c r="V1703">
        <v>6840</v>
      </c>
      <c r="W1703">
        <v>4800</v>
      </c>
      <c r="X1703">
        <v>2040</v>
      </c>
      <c r="Y1703" s="8">
        <v>0.2982456140350877</v>
      </c>
      <c r="Z1703" t="s">
        <v>2996</v>
      </c>
      <c r="AA1703" t="str">
        <f>IF(AND(SalesCleanTable[[#This Row],[Discount %]]&gt;0, SalesCleanTable[[#This Row],[Profit]]&lt;0), "Discount loss", "Safe")</f>
        <v>Safe</v>
      </c>
      <c r="AB1703" s="25">
        <f>(SalesCleanTable[[#This Row],[Unit Price]] - SalesCleanTable[[#This Row],[Unit Cost]]) / SalesCleanTable[[#This Row],[Unit Price]]</f>
        <v>0.36842105263157893</v>
      </c>
      <c r="AC1703" t="str">
        <f>IF(SalesCleanTable[[#This Row],[Discount %]] &gt; SalesCleanTable[[#This Row],[Max Allowed Discount]], "Discount loss", "Safe")</f>
        <v>Safe</v>
      </c>
      <c r="AD1703" s="4">
        <f>SalesCleanTable[[#This Row],[Unit Price]] - SalesCleanTable[[#This Row],[Unit Cost]]</f>
        <v>350</v>
      </c>
      <c r="AE1703" s="41">
        <f>(SalesCleanTable[[#This Row],[Unit Price]] - SalesCleanTable[[#This Row],[Unit Cost]]) / SalesCleanTable[[#This Row],[Unit Price]]</f>
        <v>0.36842105263157893</v>
      </c>
    </row>
    <row r="1704" spans="1:31">
      <c r="A1704" t="s">
        <v>1890</v>
      </c>
      <c r="B1704" s="6">
        <v>45980</v>
      </c>
      <c r="C1704" t="s">
        <v>29</v>
      </c>
      <c r="D1704" t="s">
        <v>30</v>
      </c>
      <c r="E1704" t="s">
        <v>26</v>
      </c>
      <c r="F1704" t="s">
        <v>27</v>
      </c>
      <c r="G1704" t="s">
        <v>31</v>
      </c>
      <c r="H1704" t="s">
        <v>128</v>
      </c>
      <c r="I1704" t="s">
        <v>129</v>
      </c>
      <c r="J1704" t="s">
        <v>130</v>
      </c>
      <c r="K1704" t="s">
        <v>131</v>
      </c>
      <c r="L1704" t="s">
        <v>166</v>
      </c>
      <c r="M1704" t="s">
        <v>171</v>
      </c>
      <c r="N1704">
        <v>2</v>
      </c>
      <c r="O1704" s="4">
        <v>6200</v>
      </c>
      <c r="P1704" s="4">
        <v>7900</v>
      </c>
      <c r="Q1704" s="7">
        <v>0.1</v>
      </c>
      <c r="R1704" t="s">
        <v>197</v>
      </c>
      <c r="S1704">
        <v>12</v>
      </c>
      <c r="T1704">
        <v>15800</v>
      </c>
      <c r="U1704">
        <v>1580</v>
      </c>
      <c r="V1704">
        <v>14220</v>
      </c>
      <c r="W1704">
        <v>12400</v>
      </c>
      <c r="X1704">
        <v>1820</v>
      </c>
      <c r="Y1704" s="8">
        <v>0.12798874824191281</v>
      </c>
      <c r="Z1704" t="s">
        <v>2996</v>
      </c>
      <c r="AA1704" t="str">
        <f>IF(AND(SalesCleanTable[[#This Row],[Discount %]]&gt;0, SalesCleanTable[[#This Row],[Profit]]&lt;0), "Discount loss", "Safe")</f>
        <v>Safe</v>
      </c>
      <c r="AB1704" s="25">
        <f>(SalesCleanTable[[#This Row],[Unit Price]] - SalesCleanTable[[#This Row],[Unit Cost]]) / SalesCleanTable[[#This Row],[Unit Price]]</f>
        <v>0.21518987341772153</v>
      </c>
      <c r="AC1704" t="str">
        <f>IF(SalesCleanTable[[#This Row],[Discount %]] &gt; SalesCleanTable[[#This Row],[Max Allowed Discount]], "Discount loss", "Safe")</f>
        <v>Safe</v>
      </c>
      <c r="AD1704" s="4">
        <f>SalesCleanTable[[#This Row],[Unit Price]] - SalesCleanTable[[#This Row],[Unit Cost]]</f>
        <v>1700</v>
      </c>
      <c r="AE1704" s="41">
        <f>(SalesCleanTable[[#This Row],[Unit Price]] - SalesCleanTable[[#This Row],[Unit Cost]]) / SalesCleanTable[[#This Row],[Unit Price]]</f>
        <v>0.21518987341772153</v>
      </c>
    </row>
    <row r="1705" spans="1:31">
      <c r="A1705" t="s">
        <v>1891</v>
      </c>
      <c r="B1705" s="6">
        <v>45704</v>
      </c>
      <c r="C1705" t="s">
        <v>45</v>
      </c>
      <c r="D1705" t="s">
        <v>46</v>
      </c>
      <c r="E1705" t="s">
        <v>38</v>
      </c>
      <c r="F1705" t="s">
        <v>47</v>
      </c>
      <c r="G1705" t="s">
        <v>48</v>
      </c>
      <c r="H1705" t="s">
        <v>133</v>
      </c>
      <c r="I1705" t="s">
        <v>134</v>
      </c>
      <c r="J1705" t="s">
        <v>130</v>
      </c>
      <c r="K1705" t="s">
        <v>131</v>
      </c>
      <c r="L1705" t="s">
        <v>166</v>
      </c>
      <c r="M1705" t="s">
        <v>177</v>
      </c>
      <c r="N1705">
        <v>6</v>
      </c>
      <c r="O1705" s="4">
        <v>230</v>
      </c>
      <c r="P1705" s="4">
        <v>400</v>
      </c>
      <c r="Q1705" s="7">
        <v>0.05</v>
      </c>
      <c r="R1705" t="s">
        <v>168</v>
      </c>
      <c r="S1705">
        <v>3</v>
      </c>
      <c r="T1705">
        <v>2400</v>
      </c>
      <c r="U1705">
        <v>120</v>
      </c>
      <c r="V1705">
        <v>2280</v>
      </c>
      <c r="W1705">
        <v>1380</v>
      </c>
      <c r="X1705">
        <v>900</v>
      </c>
      <c r="Y1705" s="8">
        <v>0.39473684210526316</v>
      </c>
      <c r="Z1705" t="s">
        <v>2995</v>
      </c>
      <c r="AA1705" t="str">
        <f>IF(AND(SalesCleanTable[[#This Row],[Discount %]]&gt;0, SalesCleanTable[[#This Row],[Profit]]&lt;0), "Discount loss", "Safe")</f>
        <v>Safe</v>
      </c>
      <c r="AB1705" s="25">
        <f>(SalesCleanTable[[#This Row],[Unit Price]] - SalesCleanTable[[#This Row],[Unit Cost]]) / SalesCleanTable[[#This Row],[Unit Price]]</f>
        <v>0.42499999999999999</v>
      </c>
      <c r="AC1705" t="str">
        <f>IF(SalesCleanTable[[#This Row],[Discount %]] &gt; SalesCleanTable[[#This Row],[Max Allowed Discount]], "Discount loss", "Safe")</f>
        <v>Safe</v>
      </c>
      <c r="AD1705" s="4">
        <f>SalesCleanTable[[#This Row],[Unit Price]] - SalesCleanTable[[#This Row],[Unit Cost]]</f>
        <v>170</v>
      </c>
      <c r="AE1705" s="41">
        <f>(SalesCleanTable[[#This Row],[Unit Price]] - SalesCleanTable[[#This Row],[Unit Cost]]) / SalesCleanTable[[#This Row],[Unit Price]]</f>
        <v>0.42499999999999999</v>
      </c>
    </row>
    <row r="1706" spans="1:31">
      <c r="A1706" t="s">
        <v>1892</v>
      </c>
      <c r="B1706" s="6">
        <v>45973</v>
      </c>
      <c r="C1706" t="s">
        <v>53</v>
      </c>
      <c r="D1706" t="s">
        <v>54</v>
      </c>
      <c r="E1706" t="s">
        <v>38</v>
      </c>
      <c r="F1706" t="s">
        <v>55</v>
      </c>
      <c r="G1706" t="s">
        <v>56</v>
      </c>
      <c r="H1706" t="s">
        <v>135</v>
      </c>
      <c r="I1706" t="s">
        <v>136</v>
      </c>
      <c r="J1706" t="s">
        <v>137</v>
      </c>
      <c r="K1706" t="s">
        <v>138</v>
      </c>
      <c r="L1706" t="s">
        <v>183</v>
      </c>
      <c r="M1706" t="s">
        <v>171</v>
      </c>
      <c r="N1706">
        <v>1</v>
      </c>
      <c r="O1706" s="4">
        <v>330</v>
      </c>
      <c r="P1706" s="4">
        <v>550</v>
      </c>
      <c r="Q1706" s="7">
        <v>0.1</v>
      </c>
      <c r="R1706" t="s">
        <v>175</v>
      </c>
      <c r="S1706">
        <v>8</v>
      </c>
      <c r="T1706">
        <v>550</v>
      </c>
      <c r="U1706">
        <v>55</v>
      </c>
      <c r="V1706">
        <v>495</v>
      </c>
      <c r="W1706">
        <v>330</v>
      </c>
      <c r="X1706">
        <v>165</v>
      </c>
      <c r="Y1706" s="8">
        <v>0.33333333333333331</v>
      </c>
      <c r="Z1706" t="s">
        <v>2996</v>
      </c>
      <c r="AA1706" t="str">
        <f>IF(AND(SalesCleanTable[[#This Row],[Discount %]]&gt;0, SalesCleanTable[[#This Row],[Profit]]&lt;0), "Discount loss", "Safe")</f>
        <v>Safe</v>
      </c>
      <c r="AB1706" s="25">
        <f>(SalesCleanTable[[#This Row],[Unit Price]] - SalesCleanTable[[#This Row],[Unit Cost]]) / SalesCleanTable[[#This Row],[Unit Price]]</f>
        <v>0.4</v>
      </c>
      <c r="AC1706" t="str">
        <f>IF(SalesCleanTable[[#This Row],[Discount %]] &gt; SalesCleanTable[[#This Row],[Max Allowed Discount]], "Discount loss", "Safe")</f>
        <v>Safe</v>
      </c>
      <c r="AD1706" s="4">
        <f>SalesCleanTable[[#This Row],[Unit Price]] - SalesCleanTable[[#This Row],[Unit Cost]]</f>
        <v>220</v>
      </c>
      <c r="AE1706" s="41">
        <f>(SalesCleanTable[[#This Row],[Unit Price]] - SalesCleanTable[[#This Row],[Unit Cost]]) / SalesCleanTable[[#This Row],[Unit Price]]</f>
        <v>0.4</v>
      </c>
    </row>
    <row r="1707" spans="1:31">
      <c r="A1707" t="s">
        <v>1893</v>
      </c>
      <c r="B1707" s="6">
        <v>45910</v>
      </c>
      <c r="C1707" t="s">
        <v>49</v>
      </c>
      <c r="D1707" t="s">
        <v>50</v>
      </c>
      <c r="E1707" t="s">
        <v>38</v>
      </c>
      <c r="F1707" t="s">
        <v>51</v>
      </c>
      <c r="G1707" t="s">
        <v>52</v>
      </c>
      <c r="H1707" t="s">
        <v>133</v>
      </c>
      <c r="I1707" t="s">
        <v>134</v>
      </c>
      <c r="J1707" t="s">
        <v>130</v>
      </c>
      <c r="K1707" t="s">
        <v>131</v>
      </c>
      <c r="L1707" t="s">
        <v>166</v>
      </c>
      <c r="M1707" t="s">
        <v>171</v>
      </c>
      <c r="N1707">
        <v>3</v>
      </c>
      <c r="O1707" s="4">
        <v>550</v>
      </c>
      <c r="P1707" s="4">
        <v>850</v>
      </c>
      <c r="Q1707" s="7">
        <v>0.15</v>
      </c>
      <c r="R1707" t="s">
        <v>178</v>
      </c>
      <c r="S1707">
        <v>14</v>
      </c>
      <c r="T1707">
        <v>2550</v>
      </c>
      <c r="U1707">
        <v>382.5</v>
      </c>
      <c r="V1707">
        <v>2167.5</v>
      </c>
      <c r="W1707">
        <v>1650</v>
      </c>
      <c r="X1707">
        <v>517.5</v>
      </c>
      <c r="Y1707" s="8">
        <v>0.23875432525951557</v>
      </c>
      <c r="Z1707" t="s">
        <v>2996</v>
      </c>
      <c r="AA1707" t="str">
        <f>IF(AND(SalesCleanTable[[#This Row],[Discount %]]&gt;0, SalesCleanTable[[#This Row],[Profit]]&lt;0), "Discount loss", "Safe")</f>
        <v>Safe</v>
      </c>
      <c r="AB1707" s="25">
        <f>(SalesCleanTable[[#This Row],[Unit Price]] - SalesCleanTable[[#This Row],[Unit Cost]]) / SalesCleanTable[[#This Row],[Unit Price]]</f>
        <v>0.35294117647058826</v>
      </c>
      <c r="AC1707" t="str">
        <f>IF(SalesCleanTable[[#This Row],[Discount %]] &gt; SalesCleanTable[[#This Row],[Max Allowed Discount]], "Discount loss", "Safe")</f>
        <v>Safe</v>
      </c>
      <c r="AD1707" s="4">
        <f>SalesCleanTable[[#This Row],[Unit Price]] - SalesCleanTable[[#This Row],[Unit Cost]]</f>
        <v>300</v>
      </c>
      <c r="AE1707" s="41">
        <f>(SalesCleanTable[[#This Row],[Unit Price]] - SalesCleanTable[[#This Row],[Unit Cost]]) / SalesCleanTable[[#This Row],[Unit Price]]</f>
        <v>0.35294117647058826</v>
      </c>
    </row>
    <row r="1708" spans="1:31">
      <c r="A1708" t="s">
        <v>1894</v>
      </c>
      <c r="B1708" s="6">
        <v>45821</v>
      </c>
      <c r="C1708" t="s">
        <v>57</v>
      </c>
      <c r="D1708" t="s">
        <v>58</v>
      </c>
      <c r="E1708" t="s">
        <v>59</v>
      </c>
      <c r="F1708" t="s">
        <v>60</v>
      </c>
      <c r="G1708" t="s">
        <v>61</v>
      </c>
      <c r="H1708" t="s">
        <v>133</v>
      </c>
      <c r="I1708" t="s">
        <v>134</v>
      </c>
      <c r="J1708" t="s">
        <v>130</v>
      </c>
      <c r="K1708" t="s">
        <v>131</v>
      </c>
      <c r="L1708" t="s">
        <v>183</v>
      </c>
      <c r="M1708" t="s">
        <v>167</v>
      </c>
      <c r="N1708">
        <v>10</v>
      </c>
      <c r="O1708" s="4">
        <v>2400</v>
      </c>
      <c r="P1708" s="4">
        <v>3400</v>
      </c>
      <c r="Q1708" s="7">
        <v>0</v>
      </c>
      <c r="R1708" t="s">
        <v>173</v>
      </c>
      <c r="S1708">
        <v>1</v>
      </c>
      <c r="T1708">
        <v>34000</v>
      </c>
      <c r="U1708">
        <v>0</v>
      </c>
      <c r="V1708">
        <v>34000</v>
      </c>
      <c r="W1708">
        <v>24000</v>
      </c>
      <c r="X1708">
        <v>10000</v>
      </c>
      <c r="Y1708" s="8">
        <v>0.29411764705882354</v>
      </c>
      <c r="Z1708" t="s">
        <v>2996</v>
      </c>
      <c r="AA1708" t="str">
        <f>IF(AND(SalesCleanTable[[#This Row],[Discount %]]&gt;0, SalesCleanTable[[#This Row],[Profit]]&lt;0), "Discount loss", "Safe")</f>
        <v>Safe</v>
      </c>
      <c r="AB1708" s="25">
        <f>(SalesCleanTable[[#This Row],[Unit Price]] - SalesCleanTable[[#This Row],[Unit Cost]]) / SalesCleanTable[[#This Row],[Unit Price]]</f>
        <v>0.29411764705882354</v>
      </c>
      <c r="AC1708" t="str">
        <f>IF(SalesCleanTable[[#This Row],[Discount %]] &gt; SalesCleanTable[[#This Row],[Max Allowed Discount]], "Discount loss", "Safe")</f>
        <v>Safe</v>
      </c>
      <c r="AD1708" s="4">
        <f>SalesCleanTable[[#This Row],[Unit Price]] - SalesCleanTable[[#This Row],[Unit Cost]]</f>
        <v>1000</v>
      </c>
      <c r="AE1708" s="41">
        <f>(SalesCleanTable[[#This Row],[Unit Price]] - SalesCleanTable[[#This Row],[Unit Cost]]) / SalesCleanTable[[#This Row],[Unit Price]]</f>
        <v>0.29411764705882354</v>
      </c>
    </row>
    <row r="1709" spans="1:31">
      <c r="A1709" t="s">
        <v>1895</v>
      </c>
      <c r="B1709" s="6">
        <v>45753</v>
      </c>
      <c r="C1709" t="s">
        <v>78</v>
      </c>
      <c r="D1709" t="s">
        <v>79</v>
      </c>
      <c r="E1709" t="s">
        <v>75</v>
      </c>
      <c r="F1709" t="s">
        <v>80</v>
      </c>
      <c r="G1709" t="s">
        <v>81</v>
      </c>
      <c r="H1709" t="s">
        <v>145</v>
      </c>
      <c r="I1709" t="s">
        <v>146</v>
      </c>
      <c r="J1709" t="s">
        <v>147</v>
      </c>
      <c r="K1709" t="s">
        <v>148</v>
      </c>
      <c r="L1709" t="s">
        <v>183</v>
      </c>
      <c r="M1709" t="s">
        <v>171</v>
      </c>
      <c r="N1709">
        <v>2</v>
      </c>
      <c r="O1709" s="4">
        <v>1200</v>
      </c>
      <c r="P1709" s="4">
        <v>1900</v>
      </c>
      <c r="Q1709" s="7">
        <v>0.1</v>
      </c>
      <c r="R1709" t="s">
        <v>208</v>
      </c>
      <c r="S1709">
        <v>13</v>
      </c>
      <c r="T1709">
        <v>3800</v>
      </c>
      <c r="U1709">
        <v>380</v>
      </c>
      <c r="V1709">
        <v>3420</v>
      </c>
      <c r="W1709">
        <v>2400</v>
      </c>
      <c r="X1709">
        <v>1020</v>
      </c>
      <c r="Y1709" s="8">
        <v>0.2982456140350877</v>
      </c>
      <c r="Z1709" t="s">
        <v>2996</v>
      </c>
      <c r="AA1709" t="str">
        <f>IF(AND(SalesCleanTable[[#This Row],[Discount %]]&gt;0, SalesCleanTable[[#This Row],[Profit]]&lt;0), "Discount loss", "Safe")</f>
        <v>Safe</v>
      </c>
      <c r="AB1709" s="25">
        <f>(SalesCleanTable[[#This Row],[Unit Price]] - SalesCleanTable[[#This Row],[Unit Cost]]) / SalesCleanTable[[#This Row],[Unit Price]]</f>
        <v>0.36842105263157893</v>
      </c>
      <c r="AC1709" t="str">
        <f>IF(SalesCleanTable[[#This Row],[Discount %]] &gt; SalesCleanTable[[#This Row],[Max Allowed Discount]], "Discount loss", "Safe")</f>
        <v>Safe</v>
      </c>
      <c r="AD1709" s="4">
        <f>SalesCleanTable[[#This Row],[Unit Price]] - SalesCleanTable[[#This Row],[Unit Cost]]</f>
        <v>700</v>
      </c>
      <c r="AE1709" s="41">
        <f>(SalesCleanTable[[#This Row],[Unit Price]] - SalesCleanTable[[#This Row],[Unit Cost]]) / SalesCleanTable[[#This Row],[Unit Price]]</f>
        <v>0.36842105263157893</v>
      </c>
    </row>
    <row r="1710" spans="1:31">
      <c r="A1710" t="s">
        <v>1896</v>
      </c>
      <c r="B1710" s="6">
        <v>45853</v>
      </c>
      <c r="C1710" t="s">
        <v>82</v>
      </c>
      <c r="D1710" t="s">
        <v>83</v>
      </c>
      <c r="E1710" t="s">
        <v>75</v>
      </c>
      <c r="F1710" t="s">
        <v>84</v>
      </c>
      <c r="G1710" t="s">
        <v>85</v>
      </c>
      <c r="H1710" t="s">
        <v>135</v>
      </c>
      <c r="I1710" t="s">
        <v>136</v>
      </c>
      <c r="J1710" t="s">
        <v>137</v>
      </c>
      <c r="K1710" t="s">
        <v>138</v>
      </c>
      <c r="L1710" t="s">
        <v>183</v>
      </c>
      <c r="M1710" t="s">
        <v>177</v>
      </c>
      <c r="N1710">
        <v>2</v>
      </c>
      <c r="O1710" s="4">
        <v>600</v>
      </c>
      <c r="P1710" s="4">
        <v>950</v>
      </c>
      <c r="Q1710" s="7">
        <v>0</v>
      </c>
      <c r="R1710" t="s">
        <v>204</v>
      </c>
      <c r="S1710">
        <v>3</v>
      </c>
      <c r="T1710">
        <v>1900</v>
      </c>
      <c r="U1710">
        <v>0</v>
      </c>
      <c r="V1710">
        <v>1900</v>
      </c>
      <c r="W1710">
        <v>1200</v>
      </c>
      <c r="X1710">
        <v>700</v>
      </c>
      <c r="Y1710" s="8">
        <v>0.36842105263157893</v>
      </c>
      <c r="Z1710" t="s">
        <v>2996</v>
      </c>
      <c r="AA1710" t="str">
        <f>IF(AND(SalesCleanTable[[#This Row],[Discount %]]&gt;0, SalesCleanTable[[#This Row],[Profit]]&lt;0), "Discount loss", "Safe")</f>
        <v>Safe</v>
      </c>
      <c r="AB1710" s="25">
        <f>(SalesCleanTable[[#This Row],[Unit Price]] - SalesCleanTable[[#This Row],[Unit Cost]]) / SalesCleanTable[[#This Row],[Unit Price]]</f>
        <v>0.36842105263157893</v>
      </c>
      <c r="AC1710" t="str">
        <f>IF(SalesCleanTable[[#This Row],[Discount %]] &gt; SalesCleanTable[[#This Row],[Max Allowed Discount]], "Discount loss", "Safe")</f>
        <v>Safe</v>
      </c>
      <c r="AD1710" s="4">
        <f>SalesCleanTable[[#This Row],[Unit Price]] - SalesCleanTable[[#This Row],[Unit Cost]]</f>
        <v>350</v>
      </c>
      <c r="AE1710" s="41">
        <f>(SalesCleanTable[[#This Row],[Unit Price]] - SalesCleanTable[[#This Row],[Unit Cost]]) / SalesCleanTable[[#This Row],[Unit Price]]</f>
        <v>0.36842105263157893</v>
      </c>
    </row>
    <row r="1711" spans="1:31">
      <c r="A1711" t="s">
        <v>1897</v>
      </c>
      <c r="B1711" s="6">
        <v>45833</v>
      </c>
      <c r="C1711" t="s">
        <v>103</v>
      </c>
      <c r="D1711" t="s">
        <v>104</v>
      </c>
      <c r="E1711" t="s">
        <v>92</v>
      </c>
      <c r="F1711" t="s">
        <v>105</v>
      </c>
      <c r="G1711" t="s">
        <v>106</v>
      </c>
      <c r="H1711" t="s">
        <v>135</v>
      </c>
      <c r="I1711" t="s">
        <v>136</v>
      </c>
      <c r="J1711" t="s">
        <v>137</v>
      </c>
      <c r="K1711" t="s">
        <v>138</v>
      </c>
      <c r="L1711" t="s">
        <v>166</v>
      </c>
      <c r="M1711" t="s">
        <v>186</v>
      </c>
      <c r="N1711">
        <v>1</v>
      </c>
      <c r="O1711" s="4">
        <v>1500</v>
      </c>
      <c r="P1711" s="4">
        <v>2500</v>
      </c>
      <c r="Q1711" s="7">
        <v>0.05</v>
      </c>
      <c r="R1711" t="s">
        <v>181</v>
      </c>
      <c r="S1711">
        <v>6</v>
      </c>
      <c r="T1711">
        <v>2500</v>
      </c>
      <c r="U1711">
        <v>125</v>
      </c>
      <c r="V1711">
        <v>2375</v>
      </c>
      <c r="W1711">
        <v>1500</v>
      </c>
      <c r="X1711">
        <v>875</v>
      </c>
      <c r="Y1711" s="8">
        <v>0.36842105263157893</v>
      </c>
      <c r="Z1711" t="s">
        <v>2996</v>
      </c>
      <c r="AA1711" t="str">
        <f>IF(AND(SalesCleanTable[[#This Row],[Discount %]]&gt;0, SalesCleanTable[[#This Row],[Profit]]&lt;0), "Discount loss", "Safe")</f>
        <v>Safe</v>
      </c>
      <c r="AB1711" s="25">
        <f>(SalesCleanTable[[#This Row],[Unit Price]] - SalesCleanTable[[#This Row],[Unit Cost]]) / SalesCleanTable[[#This Row],[Unit Price]]</f>
        <v>0.4</v>
      </c>
      <c r="AC1711" t="str">
        <f>IF(SalesCleanTable[[#This Row],[Discount %]] &gt; SalesCleanTable[[#This Row],[Max Allowed Discount]], "Discount loss", "Safe")</f>
        <v>Safe</v>
      </c>
      <c r="AD1711" s="4">
        <f>SalesCleanTable[[#This Row],[Unit Price]] - SalesCleanTable[[#This Row],[Unit Cost]]</f>
        <v>1000</v>
      </c>
      <c r="AE1711" s="41">
        <f>(SalesCleanTable[[#This Row],[Unit Price]] - SalesCleanTable[[#This Row],[Unit Cost]]) / SalesCleanTable[[#This Row],[Unit Price]]</f>
        <v>0.4</v>
      </c>
    </row>
    <row r="1712" spans="1:31">
      <c r="A1712" t="s">
        <v>1898</v>
      </c>
      <c r="B1712" s="6">
        <v>45971</v>
      </c>
      <c r="C1712" t="s">
        <v>45</v>
      </c>
      <c r="D1712" t="s">
        <v>46</v>
      </c>
      <c r="E1712" t="s">
        <v>38</v>
      </c>
      <c r="F1712" t="s">
        <v>47</v>
      </c>
      <c r="G1712" t="s">
        <v>48</v>
      </c>
      <c r="H1712" t="s">
        <v>141</v>
      </c>
      <c r="I1712" t="s">
        <v>142</v>
      </c>
      <c r="J1712" t="s">
        <v>143</v>
      </c>
      <c r="K1712" t="s">
        <v>144</v>
      </c>
      <c r="L1712" t="s">
        <v>166</v>
      </c>
      <c r="M1712" t="s">
        <v>171</v>
      </c>
      <c r="N1712">
        <v>3</v>
      </c>
      <c r="O1712" s="4">
        <v>230</v>
      </c>
      <c r="P1712" s="4">
        <v>400</v>
      </c>
      <c r="Q1712" s="7">
        <v>0</v>
      </c>
      <c r="R1712" t="s">
        <v>175</v>
      </c>
      <c r="S1712">
        <v>13</v>
      </c>
      <c r="T1712">
        <v>1200</v>
      </c>
      <c r="U1712">
        <v>0</v>
      </c>
      <c r="V1712">
        <v>1200</v>
      </c>
      <c r="W1712">
        <v>690</v>
      </c>
      <c r="X1712">
        <v>510</v>
      </c>
      <c r="Y1712" s="8">
        <v>0.42499999999999999</v>
      </c>
      <c r="Z1712" t="s">
        <v>2995</v>
      </c>
      <c r="AA1712" t="str">
        <f>IF(AND(SalesCleanTable[[#This Row],[Discount %]]&gt;0, SalesCleanTable[[#This Row],[Profit]]&lt;0), "Discount loss", "Safe")</f>
        <v>Safe</v>
      </c>
      <c r="AB1712" s="25">
        <f>(SalesCleanTable[[#This Row],[Unit Price]] - SalesCleanTable[[#This Row],[Unit Cost]]) / SalesCleanTable[[#This Row],[Unit Price]]</f>
        <v>0.42499999999999999</v>
      </c>
      <c r="AC1712" t="str">
        <f>IF(SalesCleanTable[[#This Row],[Discount %]] &gt; SalesCleanTable[[#This Row],[Max Allowed Discount]], "Discount loss", "Safe")</f>
        <v>Safe</v>
      </c>
      <c r="AD1712" s="4">
        <f>SalesCleanTable[[#This Row],[Unit Price]] - SalesCleanTable[[#This Row],[Unit Cost]]</f>
        <v>170</v>
      </c>
      <c r="AE1712" s="41">
        <f>(SalesCleanTable[[#This Row],[Unit Price]] - SalesCleanTable[[#This Row],[Unit Cost]]) / SalesCleanTable[[#This Row],[Unit Price]]</f>
        <v>0.42499999999999999</v>
      </c>
    </row>
    <row r="1713" spans="1:31">
      <c r="A1713" t="s">
        <v>1899</v>
      </c>
      <c r="B1713" s="6">
        <v>45771</v>
      </c>
      <c r="C1713" t="s">
        <v>103</v>
      </c>
      <c r="D1713" t="s">
        <v>104</v>
      </c>
      <c r="E1713" t="s">
        <v>92</v>
      </c>
      <c r="F1713" t="s">
        <v>105</v>
      </c>
      <c r="G1713" t="s">
        <v>106</v>
      </c>
      <c r="H1713" t="s">
        <v>133</v>
      </c>
      <c r="I1713" t="s">
        <v>134</v>
      </c>
      <c r="J1713" t="s">
        <v>130</v>
      </c>
      <c r="K1713" t="s">
        <v>131</v>
      </c>
      <c r="L1713" t="s">
        <v>170</v>
      </c>
      <c r="M1713" t="s">
        <v>186</v>
      </c>
      <c r="N1713">
        <v>8</v>
      </c>
      <c r="O1713" s="4">
        <v>1500</v>
      </c>
      <c r="P1713" s="4">
        <v>2500</v>
      </c>
      <c r="Q1713" s="7">
        <v>0.2</v>
      </c>
      <c r="R1713" t="s">
        <v>181</v>
      </c>
      <c r="S1713">
        <v>5</v>
      </c>
      <c r="T1713">
        <v>20000</v>
      </c>
      <c r="U1713">
        <v>4000</v>
      </c>
      <c r="V1713">
        <v>16000</v>
      </c>
      <c r="W1713">
        <v>12000</v>
      </c>
      <c r="X1713">
        <v>4000</v>
      </c>
      <c r="Y1713" s="8">
        <v>0.25</v>
      </c>
      <c r="Z1713" t="s">
        <v>2996</v>
      </c>
      <c r="AA1713" t="str">
        <f>IF(AND(SalesCleanTable[[#This Row],[Discount %]]&gt;0, SalesCleanTable[[#This Row],[Profit]]&lt;0), "Discount loss", "Safe")</f>
        <v>Safe</v>
      </c>
      <c r="AB1713" s="25">
        <f>(SalesCleanTable[[#This Row],[Unit Price]] - SalesCleanTable[[#This Row],[Unit Cost]]) / SalesCleanTable[[#This Row],[Unit Price]]</f>
        <v>0.4</v>
      </c>
      <c r="AC1713" t="str">
        <f>IF(SalesCleanTable[[#This Row],[Discount %]] &gt; SalesCleanTable[[#This Row],[Max Allowed Discount]], "Discount loss", "Safe")</f>
        <v>Safe</v>
      </c>
      <c r="AD1713" s="4">
        <f>SalesCleanTable[[#This Row],[Unit Price]] - SalesCleanTable[[#This Row],[Unit Cost]]</f>
        <v>1000</v>
      </c>
      <c r="AE1713" s="41">
        <f>(SalesCleanTable[[#This Row],[Unit Price]] - SalesCleanTable[[#This Row],[Unit Cost]]) / SalesCleanTable[[#This Row],[Unit Price]]</f>
        <v>0.4</v>
      </c>
    </row>
    <row r="1714" spans="1:31">
      <c r="A1714" t="s">
        <v>1900</v>
      </c>
      <c r="B1714" s="6">
        <v>46006</v>
      </c>
      <c r="C1714" t="s">
        <v>112</v>
      </c>
      <c r="D1714" t="s">
        <v>113</v>
      </c>
      <c r="E1714" t="s">
        <v>109</v>
      </c>
      <c r="F1714" t="s">
        <v>114</v>
      </c>
      <c r="G1714" t="s">
        <v>115</v>
      </c>
      <c r="H1714" t="s">
        <v>133</v>
      </c>
      <c r="I1714" t="s">
        <v>134</v>
      </c>
      <c r="J1714" t="s">
        <v>130</v>
      </c>
      <c r="K1714" t="s">
        <v>131</v>
      </c>
      <c r="L1714" t="s">
        <v>170</v>
      </c>
      <c r="M1714" t="s">
        <v>177</v>
      </c>
      <c r="N1714">
        <v>4</v>
      </c>
      <c r="O1714" s="4">
        <v>1300</v>
      </c>
      <c r="P1714" s="4">
        <v>2100</v>
      </c>
      <c r="Q1714" s="7">
        <v>0.1</v>
      </c>
      <c r="R1714" t="s">
        <v>220</v>
      </c>
      <c r="S1714">
        <v>7</v>
      </c>
      <c r="T1714">
        <v>8400</v>
      </c>
      <c r="U1714">
        <v>840</v>
      </c>
      <c r="V1714">
        <v>7560</v>
      </c>
      <c r="W1714">
        <v>5200</v>
      </c>
      <c r="X1714">
        <v>2360</v>
      </c>
      <c r="Y1714" s="8">
        <v>0.31216931216931215</v>
      </c>
      <c r="Z1714" t="s">
        <v>2995</v>
      </c>
      <c r="AA1714" t="str">
        <f>IF(AND(SalesCleanTable[[#This Row],[Discount %]]&gt;0, SalesCleanTable[[#This Row],[Profit]]&lt;0), "Discount loss", "Safe")</f>
        <v>Safe</v>
      </c>
      <c r="AB1714" s="25">
        <f>(SalesCleanTable[[#This Row],[Unit Price]] - SalesCleanTable[[#This Row],[Unit Cost]]) / SalesCleanTable[[#This Row],[Unit Price]]</f>
        <v>0.38095238095238093</v>
      </c>
      <c r="AC1714" t="str">
        <f>IF(SalesCleanTable[[#This Row],[Discount %]] &gt; SalesCleanTable[[#This Row],[Max Allowed Discount]], "Discount loss", "Safe")</f>
        <v>Safe</v>
      </c>
      <c r="AD1714" s="4">
        <f>SalesCleanTable[[#This Row],[Unit Price]] - SalesCleanTable[[#This Row],[Unit Cost]]</f>
        <v>800</v>
      </c>
      <c r="AE1714" s="41">
        <f>(SalesCleanTable[[#This Row],[Unit Price]] - SalesCleanTable[[#This Row],[Unit Cost]]) / SalesCleanTable[[#This Row],[Unit Price]]</f>
        <v>0.38095238095238093</v>
      </c>
    </row>
    <row r="1715" spans="1:31">
      <c r="A1715" t="s">
        <v>1901</v>
      </c>
      <c r="B1715" s="6">
        <v>45952</v>
      </c>
      <c r="C1715" t="s">
        <v>36</v>
      </c>
      <c r="D1715" t="s">
        <v>37</v>
      </c>
      <c r="E1715" t="s">
        <v>38</v>
      </c>
      <c r="F1715" t="s">
        <v>39</v>
      </c>
      <c r="G1715" t="s">
        <v>40</v>
      </c>
      <c r="H1715" t="s">
        <v>153</v>
      </c>
      <c r="I1715" t="s">
        <v>154</v>
      </c>
      <c r="J1715" t="s">
        <v>155</v>
      </c>
      <c r="K1715" t="s">
        <v>131</v>
      </c>
      <c r="L1715" t="s">
        <v>166</v>
      </c>
      <c r="M1715" t="s">
        <v>171</v>
      </c>
      <c r="N1715">
        <v>2</v>
      </c>
      <c r="O1715" s="4">
        <v>1650</v>
      </c>
      <c r="P1715" s="4">
        <v>2200</v>
      </c>
      <c r="Q1715" s="7">
        <v>0.1</v>
      </c>
      <c r="R1715" t="s">
        <v>168</v>
      </c>
      <c r="S1715">
        <v>6</v>
      </c>
      <c r="T1715">
        <v>4400</v>
      </c>
      <c r="U1715">
        <v>440</v>
      </c>
      <c r="V1715">
        <v>3960</v>
      </c>
      <c r="W1715">
        <v>3300</v>
      </c>
      <c r="X1715">
        <v>660</v>
      </c>
      <c r="Y1715" s="8">
        <v>0.16666666666666666</v>
      </c>
      <c r="Z1715" t="s">
        <v>2995</v>
      </c>
      <c r="AA1715" t="str">
        <f>IF(AND(SalesCleanTable[[#This Row],[Discount %]]&gt;0, SalesCleanTable[[#This Row],[Profit]]&lt;0), "Discount loss", "Safe")</f>
        <v>Safe</v>
      </c>
      <c r="AB1715" s="25">
        <f>(SalesCleanTable[[#This Row],[Unit Price]] - SalesCleanTable[[#This Row],[Unit Cost]]) / SalesCleanTable[[#This Row],[Unit Price]]</f>
        <v>0.25</v>
      </c>
      <c r="AC1715" t="str">
        <f>IF(SalesCleanTable[[#This Row],[Discount %]] &gt; SalesCleanTable[[#This Row],[Max Allowed Discount]], "Discount loss", "Safe")</f>
        <v>Safe</v>
      </c>
      <c r="AD1715" s="4">
        <f>SalesCleanTable[[#This Row],[Unit Price]] - SalesCleanTable[[#This Row],[Unit Cost]]</f>
        <v>550</v>
      </c>
      <c r="AE1715" s="41">
        <f>(SalesCleanTable[[#This Row],[Unit Price]] - SalesCleanTable[[#This Row],[Unit Cost]]) / SalesCleanTable[[#This Row],[Unit Price]]</f>
        <v>0.25</v>
      </c>
    </row>
    <row r="1716" spans="1:31">
      <c r="A1716" t="s">
        <v>1902</v>
      </c>
      <c r="B1716" s="6">
        <v>45916</v>
      </c>
      <c r="C1716" t="s">
        <v>32</v>
      </c>
      <c r="D1716" t="s">
        <v>33</v>
      </c>
      <c r="E1716" t="s">
        <v>26</v>
      </c>
      <c r="F1716" t="s">
        <v>34</v>
      </c>
      <c r="G1716" t="s">
        <v>35</v>
      </c>
      <c r="H1716" t="s">
        <v>145</v>
      </c>
      <c r="I1716" t="s">
        <v>146</v>
      </c>
      <c r="J1716" t="s">
        <v>147</v>
      </c>
      <c r="K1716" t="s">
        <v>148</v>
      </c>
      <c r="L1716" t="s">
        <v>183</v>
      </c>
      <c r="M1716" t="s">
        <v>186</v>
      </c>
      <c r="N1716">
        <v>2</v>
      </c>
      <c r="O1716" s="4">
        <v>7800</v>
      </c>
      <c r="P1716" s="4">
        <v>9800</v>
      </c>
      <c r="Q1716" s="7">
        <v>0</v>
      </c>
      <c r="R1716" t="s">
        <v>194</v>
      </c>
      <c r="S1716">
        <v>14</v>
      </c>
      <c r="T1716">
        <v>19600</v>
      </c>
      <c r="U1716">
        <v>0</v>
      </c>
      <c r="V1716">
        <v>19600</v>
      </c>
      <c r="W1716">
        <v>15600</v>
      </c>
      <c r="X1716">
        <v>4000</v>
      </c>
      <c r="Y1716" s="8">
        <v>0.20408163265306123</v>
      </c>
      <c r="Z1716" t="s">
        <v>2995</v>
      </c>
      <c r="AA1716" t="str">
        <f>IF(AND(SalesCleanTable[[#This Row],[Discount %]]&gt;0, SalesCleanTable[[#This Row],[Profit]]&lt;0), "Discount loss", "Safe")</f>
        <v>Safe</v>
      </c>
      <c r="AB1716" s="25">
        <f>(SalesCleanTable[[#This Row],[Unit Price]] - SalesCleanTable[[#This Row],[Unit Cost]]) / SalesCleanTable[[#This Row],[Unit Price]]</f>
        <v>0.20408163265306123</v>
      </c>
      <c r="AC1716" t="str">
        <f>IF(SalesCleanTable[[#This Row],[Discount %]] &gt; SalesCleanTable[[#This Row],[Max Allowed Discount]], "Discount loss", "Safe")</f>
        <v>Safe</v>
      </c>
      <c r="AD1716" s="4">
        <f>SalesCleanTable[[#This Row],[Unit Price]] - SalesCleanTable[[#This Row],[Unit Cost]]</f>
        <v>2000</v>
      </c>
      <c r="AE1716" s="41">
        <f>(SalesCleanTable[[#This Row],[Unit Price]] - SalesCleanTable[[#This Row],[Unit Cost]]) / SalesCleanTable[[#This Row],[Unit Price]]</f>
        <v>0.20408163265306123</v>
      </c>
    </row>
    <row r="1717" spans="1:31">
      <c r="A1717" t="s">
        <v>1903</v>
      </c>
      <c r="B1717" s="6">
        <v>45666</v>
      </c>
      <c r="C1717" t="s">
        <v>69</v>
      </c>
      <c r="D1717" t="s">
        <v>70</v>
      </c>
      <c r="E1717" t="s">
        <v>59</v>
      </c>
      <c r="F1717" t="s">
        <v>71</v>
      </c>
      <c r="G1717" t="s">
        <v>72</v>
      </c>
      <c r="H1717" t="s">
        <v>145</v>
      </c>
      <c r="I1717" t="s">
        <v>146</v>
      </c>
      <c r="J1717" t="s">
        <v>147</v>
      </c>
      <c r="K1717" t="s">
        <v>148</v>
      </c>
      <c r="L1717" t="s">
        <v>166</v>
      </c>
      <c r="M1717" t="s">
        <v>177</v>
      </c>
      <c r="N1717">
        <v>5</v>
      </c>
      <c r="O1717" s="4">
        <v>1700</v>
      </c>
      <c r="P1717" s="4">
        <v>2600</v>
      </c>
      <c r="Q1717" s="7">
        <v>0</v>
      </c>
      <c r="R1717" t="s">
        <v>204</v>
      </c>
      <c r="S1717">
        <v>11</v>
      </c>
      <c r="T1717">
        <v>13000</v>
      </c>
      <c r="U1717">
        <v>0</v>
      </c>
      <c r="V1717">
        <v>13000</v>
      </c>
      <c r="W1717">
        <v>8500</v>
      </c>
      <c r="X1717">
        <v>4500</v>
      </c>
      <c r="Y1717" s="8">
        <v>0.34615384615384615</v>
      </c>
      <c r="Z1717" t="s">
        <v>2997</v>
      </c>
      <c r="AA1717" t="str">
        <f>IF(AND(SalesCleanTable[[#This Row],[Discount %]]&gt;0, SalesCleanTable[[#This Row],[Profit]]&lt;0), "Discount loss", "Safe")</f>
        <v>Safe</v>
      </c>
      <c r="AB1717" s="25">
        <f>(SalesCleanTable[[#This Row],[Unit Price]] - SalesCleanTable[[#This Row],[Unit Cost]]) / SalesCleanTable[[#This Row],[Unit Price]]</f>
        <v>0.34615384615384615</v>
      </c>
      <c r="AC1717" t="str">
        <f>IF(SalesCleanTable[[#This Row],[Discount %]] &gt; SalesCleanTable[[#This Row],[Max Allowed Discount]], "Discount loss", "Safe")</f>
        <v>Safe</v>
      </c>
      <c r="AD1717" s="4">
        <f>SalesCleanTable[[#This Row],[Unit Price]] - SalesCleanTable[[#This Row],[Unit Cost]]</f>
        <v>900</v>
      </c>
      <c r="AE1717" s="41">
        <f>(SalesCleanTable[[#This Row],[Unit Price]] - SalesCleanTable[[#This Row],[Unit Cost]]) / SalesCleanTable[[#This Row],[Unit Price]]</f>
        <v>0.34615384615384615</v>
      </c>
    </row>
    <row r="1718" spans="1:31">
      <c r="A1718" t="s">
        <v>1904</v>
      </c>
      <c r="B1718" s="6">
        <v>46003</v>
      </c>
      <c r="C1718" t="s">
        <v>107</v>
      </c>
      <c r="D1718" t="s">
        <v>108</v>
      </c>
      <c r="E1718" t="s">
        <v>109</v>
      </c>
      <c r="F1718" t="s">
        <v>110</v>
      </c>
      <c r="G1718" t="s">
        <v>111</v>
      </c>
      <c r="H1718" t="s">
        <v>149</v>
      </c>
      <c r="I1718" t="s">
        <v>150</v>
      </c>
      <c r="J1718" t="s">
        <v>151</v>
      </c>
      <c r="K1718" t="s">
        <v>152</v>
      </c>
      <c r="L1718" t="s">
        <v>183</v>
      </c>
      <c r="M1718" t="s">
        <v>171</v>
      </c>
      <c r="N1718">
        <v>1</v>
      </c>
      <c r="O1718" s="4">
        <v>5200</v>
      </c>
      <c r="P1718" s="4">
        <v>7000</v>
      </c>
      <c r="Q1718" s="7">
        <v>0.25</v>
      </c>
      <c r="R1718" t="s">
        <v>235</v>
      </c>
      <c r="S1718">
        <v>1</v>
      </c>
      <c r="T1718">
        <v>7000</v>
      </c>
      <c r="U1718">
        <v>1750</v>
      </c>
      <c r="V1718">
        <v>5250</v>
      </c>
      <c r="W1718">
        <v>5200</v>
      </c>
      <c r="X1718">
        <v>50</v>
      </c>
      <c r="Y1718" s="8">
        <v>9.5238095238095247E-3</v>
      </c>
      <c r="Z1718" t="s">
        <v>2997</v>
      </c>
      <c r="AA1718" t="str">
        <f>IF(AND(SalesCleanTable[[#This Row],[Discount %]]&gt;0, SalesCleanTable[[#This Row],[Profit]]&lt;0), "Discount loss", "Safe")</f>
        <v>Safe</v>
      </c>
      <c r="AB1718" s="25">
        <f>(SalesCleanTable[[#This Row],[Unit Price]] - SalesCleanTable[[#This Row],[Unit Cost]]) / SalesCleanTable[[#This Row],[Unit Price]]</f>
        <v>0.25714285714285712</v>
      </c>
      <c r="AC1718" t="str">
        <f>IF(SalesCleanTable[[#This Row],[Discount %]] &gt; SalesCleanTable[[#This Row],[Max Allowed Discount]], "Discount loss", "Safe")</f>
        <v>Safe</v>
      </c>
      <c r="AD1718" s="4">
        <f>SalesCleanTable[[#This Row],[Unit Price]] - SalesCleanTable[[#This Row],[Unit Cost]]</f>
        <v>1800</v>
      </c>
      <c r="AE1718" s="41">
        <f>(SalesCleanTable[[#This Row],[Unit Price]] - SalesCleanTable[[#This Row],[Unit Cost]]) / SalesCleanTable[[#This Row],[Unit Price]]</f>
        <v>0.25714285714285712</v>
      </c>
    </row>
    <row r="1719" spans="1:31">
      <c r="A1719" t="s">
        <v>1905</v>
      </c>
      <c r="B1719" s="6">
        <v>46018</v>
      </c>
      <c r="C1719" t="s">
        <v>45</v>
      </c>
      <c r="D1719" t="s">
        <v>46</v>
      </c>
      <c r="E1719" t="s">
        <v>38</v>
      </c>
      <c r="F1719" t="s">
        <v>47</v>
      </c>
      <c r="G1719" t="s">
        <v>48</v>
      </c>
      <c r="H1719" t="s">
        <v>133</v>
      </c>
      <c r="I1719" t="s">
        <v>134</v>
      </c>
      <c r="J1719" t="s">
        <v>130</v>
      </c>
      <c r="K1719" t="s">
        <v>131</v>
      </c>
      <c r="L1719" t="s">
        <v>166</v>
      </c>
      <c r="M1719" t="s">
        <v>186</v>
      </c>
      <c r="N1719">
        <v>5</v>
      </c>
      <c r="O1719" s="4">
        <v>230</v>
      </c>
      <c r="P1719" s="4">
        <v>400</v>
      </c>
      <c r="Q1719" s="7">
        <v>0</v>
      </c>
      <c r="R1719" t="s">
        <v>178</v>
      </c>
      <c r="S1719">
        <v>6</v>
      </c>
      <c r="T1719">
        <v>2000</v>
      </c>
      <c r="U1719">
        <v>0</v>
      </c>
      <c r="V1719">
        <v>2000</v>
      </c>
      <c r="W1719">
        <v>1150</v>
      </c>
      <c r="X1719">
        <v>850</v>
      </c>
      <c r="Y1719" s="8">
        <v>0.42499999999999999</v>
      </c>
      <c r="Z1719" t="s">
        <v>2995</v>
      </c>
      <c r="AA1719" t="str">
        <f>IF(AND(SalesCleanTable[[#This Row],[Discount %]]&gt;0, SalesCleanTable[[#This Row],[Profit]]&lt;0), "Discount loss", "Safe")</f>
        <v>Safe</v>
      </c>
      <c r="AB1719" s="25">
        <f>(SalesCleanTable[[#This Row],[Unit Price]] - SalesCleanTable[[#This Row],[Unit Cost]]) / SalesCleanTable[[#This Row],[Unit Price]]</f>
        <v>0.42499999999999999</v>
      </c>
      <c r="AC1719" t="str">
        <f>IF(SalesCleanTable[[#This Row],[Discount %]] &gt; SalesCleanTable[[#This Row],[Max Allowed Discount]], "Discount loss", "Safe")</f>
        <v>Safe</v>
      </c>
      <c r="AD1719" s="4">
        <f>SalesCleanTable[[#This Row],[Unit Price]] - SalesCleanTable[[#This Row],[Unit Cost]]</f>
        <v>170</v>
      </c>
      <c r="AE1719" s="41">
        <f>(SalesCleanTable[[#This Row],[Unit Price]] - SalesCleanTable[[#This Row],[Unit Cost]]) / SalesCleanTable[[#This Row],[Unit Price]]</f>
        <v>0.42499999999999999</v>
      </c>
    </row>
    <row r="1720" spans="1:31">
      <c r="A1720" t="s">
        <v>1906</v>
      </c>
      <c r="B1720" s="6">
        <v>45713</v>
      </c>
      <c r="C1720" t="s">
        <v>45</v>
      </c>
      <c r="D1720" t="s">
        <v>46</v>
      </c>
      <c r="E1720" t="s">
        <v>38</v>
      </c>
      <c r="F1720" t="s">
        <v>47</v>
      </c>
      <c r="G1720" t="s">
        <v>48</v>
      </c>
      <c r="H1720" t="s">
        <v>135</v>
      </c>
      <c r="I1720" t="s">
        <v>136</v>
      </c>
      <c r="J1720" t="s">
        <v>137</v>
      </c>
      <c r="K1720" t="s">
        <v>138</v>
      </c>
      <c r="L1720" t="s">
        <v>166</v>
      </c>
      <c r="M1720" t="s">
        <v>171</v>
      </c>
      <c r="N1720">
        <v>1</v>
      </c>
      <c r="O1720" s="4">
        <v>230</v>
      </c>
      <c r="P1720" s="4">
        <v>400</v>
      </c>
      <c r="Q1720" s="7">
        <v>0.1</v>
      </c>
      <c r="R1720" t="s">
        <v>175</v>
      </c>
      <c r="S1720">
        <v>8</v>
      </c>
      <c r="T1720">
        <v>400</v>
      </c>
      <c r="U1720">
        <v>40</v>
      </c>
      <c r="V1720">
        <v>360</v>
      </c>
      <c r="W1720">
        <v>230</v>
      </c>
      <c r="X1720">
        <v>130</v>
      </c>
      <c r="Y1720" s="8">
        <v>0.3611111111111111</v>
      </c>
      <c r="Z1720" t="s">
        <v>2995</v>
      </c>
      <c r="AA1720" t="str">
        <f>IF(AND(SalesCleanTable[[#This Row],[Discount %]]&gt;0, SalesCleanTable[[#This Row],[Profit]]&lt;0), "Discount loss", "Safe")</f>
        <v>Safe</v>
      </c>
      <c r="AB1720" s="25">
        <f>(SalesCleanTable[[#This Row],[Unit Price]] - SalesCleanTable[[#This Row],[Unit Cost]]) / SalesCleanTable[[#This Row],[Unit Price]]</f>
        <v>0.42499999999999999</v>
      </c>
      <c r="AC1720" t="str">
        <f>IF(SalesCleanTable[[#This Row],[Discount %]] &gt; SalesCleanTable[[#This Row],[Max Allowed Discount]], "Discount loss", "Safe")</f>
        <v>Safe</v>
      </c>
      <c r="AD1720" s="4">
        <f>SalesCleanTable[[#This Row],[Unit Price]] - SalesCleanTable[[#This Row],[Unit Cost]]</f>
        <v>170</v>
      </c>
      <c r="AE1720" s="41">
        <f>(SalesCleanTable[[#This Row],[Unit Price]] - SalesCleanTable[[#This Row],[Unit Cost]]) / SalesCleanTable[[#This Row],[Unit Price]]</f>
        <v>0.42499999999999999</v>
      </c>
    </row>
    <row r="1721" spans="1:31">
      <c r="A1721" t="s">
        <v>1907</v>
      </c>
      <c r="B1721" s="6">
        <v>45926</v>
      </c>
      <c r="C1721" t="s">
        <v>32</v>
      </c>
      <c r="D1721" t="s">
        <v>33</v>
      </c>
      <c r="E1721" t="s">
        <v>26</v>
      </c>
      <c r="F1721" t="s">
        <v>34</v>
      </c>
      <c r="G1721" t="s">
        <v>35</v>
      </c>
      <c r="H1721" t="s">
        <v>145</v>
      </c>
      <c r="I1721" t="s">
        <v>146</v>
      </c>
      <c r="J1721" t="s">
        <v>147</v>
      </c>
      <c r="K1721" t="s">
        <v>148</v>
      </c>
      <c r="L1721" t="s">
        <v>166</v>
      </c>
      <c r="M1721" t="s">
        <v>171</v>
      </c>
      <c r="N1721">
        <v>2</v>
      </c>
      <c r="O1721" s="4">
        <v>7800</v>
      </c>
      <c r="P1721" s="4">
        <v>9800</v>
      </c>
      <c r="Q1721" s="7">
        <v>0.05</v>
      </c>
      <c r="R1721" t="s">
        <v>197</v>
      </c>
      <c r="S1721">
        <v>12</v>
      </c>
      <c r="T1721">
        <v>19600</v>
      </c>
      <c r="U1721">
        <v>980</v>
      </c>
      <c r="V1721">
        <v>18620</v>
      </c>
      <c r="W1721">
        <v>15600</v>
      </c>
      <c r="X1721">
        <v>3020</v>
      </c>
      <c r="Y1721" s="8">
        <v>0.16219119226638024</v>
      </c>
      <c r="Z1721" t="s">
        <v>2995</v>
      </c>
      <c r="AA1721" t="str">
        <f>IF(AND(SalesCleanTable[[#This Row],[Discount %]]&gt;0, SalesCleanTable[[#This Row],[Profit]]&lt;0), "Discount loss", "Safe")</f>
        <v>Safe</v>
      </c>
      <c r="AB1721" s="25">
        <f>(SalesCleanTable[[#This Row],[Unit Price]] - SalesCleanTable[[#This Row],[Unit Cost]]) / SalesCleanTable[[#This Row],[Unit Price]]</f>
        <v>0.20408163265306123</v>
      </c>
      <c r="AC1721" t="str">
        <f>IF(SalesCleanTable[[#This Row],[Discount %]] &gt; SalesCleanTable[[#This Row],[Max Allowed Discount]], "Discount loss", "Safe")</f>
        <v>Safe</v>
      </c>
      <c r="AD1721" s="4">
        <f>SalesCleanTable[[#This Row],[Unit Price]] - SalesCleanTable[[#This Row],[Unit Cost]]</f>
        <v>2000</v>
      </c>
      <c r="AE1721" s="41">
        <f>(SalesCleanTable[[#This Row],[Unit Price]] - SalesCleanTable[[#This Row],[Unit Cost]]) / SalesCleanTable[[#This Row],[Unit Price]]</f>
        <v>0.20408163265306123</v>
      </c>
    </row>
    <row r="1722" spans="1:31">
      <c r="A1722" t="s">
        <v>1908</v>
      </c>
      <c r="B1722" s="6">
        <v>45713</v>
      </c>
      <c r="C1722" t="s">
        <v>45</v>
      </c>
      <c r="D1722" t="s">
        <v>46</v>
      </c>
      <c r="E1722" t="s">
        <v>38</v>
      </c>
      <c r="F1722" t="s">
        <v>47</v>
      </c>
      <c r="G1722" t="s">
        <v>48</v>
      </c>
      <c r="H1722" t="s">
        <v>145</v>
      </c>
      <c r="I1722" t="s">
        <v>146</v>
      </c>
      <c r="J1722" t="s">
        <v>147</v>
      </c>
      <c r="K1722" t="s">
        <v>148</v>
      </c>
      <c r="L1722" t="s">
        <v>166</v>
      </c>
      <c r="M1722" t="s">
        <v>186</v>
      </c>
      <c r="N1722">
        <v>1</v>
      </c>
      <c r="O1722" s="4">
        <v>230</v>
      </c>
      <c r="P1722" s="4">
        <v>400</v>
      </c>
      <c r="Q1722" s="7">
        <v>0.15</v>
      </c>
      <c r="R1722" t="s">
        <v>168</v>
      </c>
      <c r="S1722">
        <v>2</v>
      </c>
      <c r="T1722">
        <v>400</v>
      </c>
      <c r="U1722">
        <v>60</v>
      </c>
      <c r="V1722">
        <v>340</v>
      </c>
      <c r="W1722">
        <v>230</v>
      </c>
      <c r="X1722">
        <v>110</v>
      </c>
      <c r="Y1722" s="8">
        <v>0.3235294117647059</v>
      </c>
      <c r="Z1722" t="s">
        <v>2995</v>
      </c>
      <c r="AA1722" t="str">
        <f>IF(AND(SalesCleanTable[[#This Row],[Discount %]]&gt;0, SalesCleanTable[[#This Row],[Profit]]&lt;0), "Discount loss", "Safe")</f>
        <v>Safe</v>
      </c>
      <c r="AB1722" s="25">
        <f>(SalesCleanTable[[#This Row],[Unit Price]] - SalesCleanTable[[#This Row],[Unit Cost]]) / SalesCleanTable[[#This Row],[Unit Price]]</f>
        <v>0.42499999999999999</v>
      </c>
      <c r="AC1722" t="str">
        <f>IF(SalesCleanTable[[#This Row],[Discount %]] &gt; SalesCleanTable[[#This Row],[Max Allowed Discount]], "Discount loss", "Safe")</f>
        <v>Safe</v>
      </c>
      <c r="AD1722" s="4">
        <f>SalesCleanTable[[#This Row],[Unit Price]] - SalesCleanTable[[#This Row],[Unit Cost]]</f>
        <v>170</v>
      </c>
      <c r="AE1722" s="41">
        <f>(SalesCleanTable[[#This Row],[Unit Price]] - SalesCleanTable[[#This Row],[Unit Cost]]) / SalesCleanTable[[#This Row],[Unit Price]]</f>
        <v>0.42499999999999999</v>
      </c>
    </row>
    <row r="1723" spans="1:31">
      <c r="A1723" t="s">
        <v>1909</v>
      </c>
      <c r="B1723" s="6">
        <v>45926</v>
      </c>
      <c r="C1723" t="s">
        <v>53</v>
      </c>
      <c r="D1723" t="s">
        <v>54</v>
      </c>
      <c r="E1723" t="s">
        <v>38</v>
      </c>
      <c r="F1723" t="s">
        <v>55</v>
      </c>
      <c r="G1723" t="s">
        <v>56</v>
      </c>
      <c r="H1723" t="s">
        <v>128</v>
      </c>
      <c r="I1723" t="s">
        <v>129</v>
      </c>
      <c r="J1723" t="s">
        <v>130</v>
      </c>
      <c r="K1723" t="s">
        <v>131</v>
      </c>
      <c r="L1723" t="s">
        <v>166</v>
      </c>
      <c r="M1723" t="s">
        <v>167</v>
      </c>
      <c r="N1723">
        <v>4</v>
      </c>
      <c r="O1723" s="4">
        <v>330</v>
      </c>
      <c r="P1723" s="4">
        <v>550</v>
      </c>
      <c r="Q1723" s="7">
        <v>0</v>
      </c>
      <c r="R1723" t="s">
        <v>178</v>
      </c>
      <c r="S1723">
        <v>4</v>
      </c>
      <c r="T1723">
        <v>2200</v>
      </c>
      <c r="U1723">
        <v>0</v>
      </c>
      <c r="V1723">
        <v>2200</v>
      </c>
      <c r="W1723">
        <v>1320</v>
      </c>
      <c r="X1723">
        <v>880</v>
      </c>
      <c r="Y1723" s="8">
        <v>0.4</v>
      </c>
      <c r="Z1723" t="s">
        <v>2996</v>
      </c>
      <c r="AA1723" t="str">
        <f>IF(AND(SalesCleanTable[[#This Row],[Discount %]]&gt;0, SalesCleanTable[[#This Row],[Profit]]&lt;0), "Discount loss", "Safe")</f>
        <v>Safe</v>
      </c>
      <c r="AB1723" s="25">
        <f>(SalesCleanTable[[#This Row],[Unit Price]] - SalesCleanTable[[#This Row],[Unit Cost]]) / SalesCleanTable[[#This Row],[Unit Price]]</f>
        <v>0.4</v>
      </c>
      <c r="AC1723" t="str">
        <f>IF(SalesCleanTable[[#This Row],[Discount %]] &gt; SalesCleanTable[[#This Row],[Max Allowed Discount]], "Discount loss", "Safe")</f>
        <v>Safe</v>
      </c>
      <c r="AD1723" s="4">
        <f>SalesCleanTable[[#This Row],[Unit Price]] - SalesCleanTable[[#This Row],[Unit Cost]]</f>
        <v>220</v>
      </c>
      <c r="AE1723" s="41">
        <f>(SalesCleanTable[[#This Row],[Unit Price]] - SalesCleanTable[[#This Row],[Unit Cost]]) / SalesCleanTable[[#This Row],[Unit Price]]</f>
        <v>0.4</v>
      </c>
    </row>
    <row r="1724" spans="1:31">
      <c r="A1724" t="s">
        <v>1910</v>
      </c>
      <c r="B1724" s="6">
        <v>45927</v>
      </c>
      <c r="C1724" t="s">
        <v>62</v>
      </c>
      <c r="D1724" t="s">
        <v>63</v>
      </c>
      <c r="E1724" t="s">
        <v>59</v>
      </c>
      <c r="F1724" t="s">
        <v>64</v>
      </c>
      <c r="G1724" t="s">
        <v>65</v>
      </c>
      <c r="H1724" t="s">
        <v>145</v>
      </c>
      <c r="I1724" t="s">
        <v>146</v>
      </c>
      <c r="J1724" t="s">
        <v>147</v>
      </c>
      <c r="K1724" t="s">
        <v>148</v>
      </c>
      <c r="L1724" t="s">
        <v>170</v>
      </c>
      <c r="M1724" t="s">
        <v>171</v>
      </c>
      <c r="N1724">
        <v>2</v>
      </c>
      <c r="O1724" s="4">
        <v>3200</v>
      </c>
      <c r="P1724" s="4">
        <v>4500</v>
      </c>
      <c r="Q1724" s="7">
        <v>0.15</v>
      </c>
      <c r="R1724" t="s">
        <v>204</v>
      </c>
      <c r="S1724">
        <v>7</v>
      </c>
      <c r="T1724">
        <v>9000</v>
      </c>
      <c r="U1724">
        <v>1350</v>
      </c>
      <c r="V1724">
        <v>7650</v>
      </c>
      <c r="W1724">
        <v>6400</v>
      </c>
      <c r="X1724">
        <v>1250</v>
      </c>
      <c r="Y1724" s="8">
        <v>0.16339869281045752</v>
      </c>
      <c r="Z1724" t="s">
        <v>2996</v>
      </c>
      <c r="AA1724" t="str">
        <f>IF(AND(SalesCleanTable[[#This Row],[Discount %]]&gt;0, SalesCleanTable[[#This Row],[Profit]]&lt;0), "Discount loss", "Safe")</f>
        <v>Safe</v>
      </c>
      <c r="AB1724" s="25">
        <f>(SalesCleanTable[[#This Row],[Unit Price]] - SalesCleanTable[[#This Row],[Unit Cost]]) / SalesCleanTable[[#This Row],[Unit Price]]</f>
        <v>0.28888888888888886</v>
      </c>
      <c r="AC1724" t="str">
        <f>IF(SalesCleanTable[[#This Row],[Discount %]] &gt; SalesCleanTable[[#This Row],[Max Allowed Discount]], "Discount loss", "Safe")</f>
        <v>Safe</v>
      </c>
      <c r="AD1724" s="4">
        <f>SalesCleanTable[[#This Row],[Unit Price]] - SalesCleanTable[[#This Row],[Unit Cost]]</f>
        <v>1300</v>
      </c>
      <c r="AE1724" s="41">
        <f>(SalesCleanTable[[#This Row],[Unit Price]] - SalesCleanTable[[#This Row],[Unit Cost]]) / SalesCleanTable[[#This Row],[Unit Price]]</f>
        <v>0.28888888888888886</v>
      </c>
    </row>
    <row r="1725" spans="1:31">
      <c r="A1725" t="s">
        <v>1911</v>
      </c>
      <c r="B1725" s="6">
        <v>45824</v>
      </c>
      <c r="C1725" t="s">
        <v>103</v>
      </c>
      <c r="D1725" t="s">
        <v>104</v>
      </c>
      <c r="E1725" t="s">
        <v>92</v>
      </c>
      <c r="F1725" t="s">
        <v>105</v>
      </c>
      <c r="G1725" t="s">
        <v>106</v>
      </c>
      <c r="H1725" t="s">
        <v>139</v>
      </c>
      <c r="I1725" t="s">
        <v>140</v>
      </c>
      <c r="J1725" t="s">
        <v>137</v>
      </c>
      <c r="K1725" t="s">
        <v>138</v>
      </c>
      <c r="L1725" t="s">
        <v>166</v>
      </c>
      <c r="M1725" t="s">
        <v>167</v>
      </c>
      <c r="N1725">
        <v>2</v>
      </c>
      <c r="O1725" s="4">
        <v>1500</v>
      </c>
      <c r="P1725" s="4">
        <v>2500</v>
      </c>
      <c r="Q1725" s="7">
        <v>0.1</v>
      </c>
      <c r="R1725" t="s">
        <v>181</v>
      </c>
      <c r="S1725">
        <v>3</v>
      </c>
      <c r="T1725">
        <v>5000</v>
      </c>
      <c r="U1725">
        <v>500</v>
      </c>
      <c r="V1725">
        <v>4500</v>
      </c>
      <c r="W1725">
        <v>3000</v>
      </c>
      <c r="X1725">
        <v>1500</v>
      </c>
      <c r="Y1725" s="8">
        <v>0.33333333333333331</v>
      </c>
      <c r="Z1725" t="s">
        <v>2996</v>
      </c>
      <c r="AA1725" t="str">
        <f>IF(AND(SalesCleanTable[[#This Row],[Discount %]]&gt;0, SalesCleanTable[[#This Row],[Profit]]&lt;0), "Discount loss", "Safe")</f>
        <v>Safe</v>
      </c>
      <c r="AB1725" s="25">
        <f>(SalesCleanTable[[#This Row],[Unit Price]] - SalesCleanTable[[#This Row],[Unit Cost]]) / SalesCleanTable[[#This Row],[Unit Price]]</f>
        <v>0.4</v>
      </c>
      <c r="AC1725" t="str">
        <f>IF(SalesCleanTable[[#This Row],[Discount %]] &gt; SalesCleanTable[[#This Row],[Max Allowed Discount]], "Discount loss", "Safe")</f>
        <v>Safe</v>
      </c>
      <c r="AD1725" s="4">
        <f>SalesCleanTable[[#This Row],[Unit Price]] - SalesCleanTable[[#This Row],[Unit Cost]]</f>
        <v>1000</v>
      </c>
      <c r="AE1725" s="41">
        <f>(SalesCleanTable[[#This Row],[Unit Price]] - SalesCleanTable[[#This Row],[Unit Cost]]) / SalesCleanTable[[#This Row],[Unit Price]]</f>
        <v>0.4</v>
      </c>
    </row>
    <row r="1726" spans="1:31">
      <c r="A1726" t="s">
        <v>1912</v>
      </c>
      <c r="B1726" s="6">
        <v>45830</v>
      </c>
      <c r="C1726" t="s">
        <v>57</v>
      </c>
      <c r="D1726" t="s">
        <v>58</v>
      </c>
      <c r="E1726" t="s">
        <v>59</v>
      </c>
      <c r="F1726" t="s">
        <v>60</v>
      </c>
      <c r="G1726" t="s">
        <v>61</v>
      </c>
      <c r="H1726" t="s">
        <v>153</v>
      </c>
      <c r="I1726" t="s">
        <v>154</v>
      </c>
      <c r="J1726" t="s">
        <v>155</v>
      </c>
      <c r="K1726" t="s">
        <v>131</v>
      </c>
      <c r="L1726" t="s">
        <v>183</v>
      </c>
      <c r="M1726" t="s">
        <v>171</v>
      </c>
      <c r="N1726">
        <v>6</v>
      </c>
      <c r="O1726" s="4">
        <v>2400</v>
      </c>
      <c r="P1726" s="4">
        <v>3400</v>
      </c>
      <c r="Q1726" s="7">
        <v>0</v>
      </c>
      <c r="R1726" t="s">
        <v>204</v>
      </c>
      <c r="S1726">
        <v>6</v>
      </c>
      <c r="T1726">
        <v>20400</v>
      </c>
      <c r="U1726">
        <v>0</v>
      </c>
      <c r="V1726">
        <v>20400</v>
      </c>
      <c r="W1726">
        <v>14400</v>
      </c>
      <c r="X1726">
        <v>6000</v>
      </c>
      <c r="Y1726" s="8">
        <v>0.29411764705882354</v>
      </c>
      <c r="Z1726" t="s">
        <v>2996</v>
      </c>
      <c r="AA1726" t="str">
        <f>IF(AND(SalesCleanTable[[#This Row],[Discount %]]&gt;0, SalesCleanTable[[#This Row],[Profit]]&lt;0), "Discount loss", "Safe")</f>
        <v>Safe</v>
      </c>
      <c r="AB1726" s="25">
        <f>(SalesCleanTable[[#This Row],[Unit Price]] - SalesCleanTable[[#This Row],[Unit Cost]]) / SalesCleanTable[[#This Row],[Unit Price]]</f>
        <v>0.29411764705882354</v>
      </c>
      <c r="AC1726" t="str">
        <f>IF(SalesCleanTable[[#This Row],[Discount %]] &gt; SalesCleanTable[[#This Row],[Max Allowed Discount]], "Discount loss", "Safe")</f>
        <v>Safe</v>
      </c>
      <c r="AD1726" s="4">
        <f>SalesCleanTable[[#This Row],[Unit Price]] - SalesCleanTable[[#This Row],[Unit Cost]]</f>
        <v>1000</v>
      </c>
      <c r="AE1726" s="41">
        <f>(SalesCleanTable[[#This Row],[Unit Price]] - SalesCleanTable[[#This Row],[Unit Cost]]) / SalesCleanTable[[#This Row],[Unit Price]]</f>
        <v>0.29411764705882354</v>
      </c>
    </row>
    <row r="1727" spans="1:31">
      <c r="A1727" t="s">
        <v>1913</v>
      </c>
      <c r="B1727" s="6">
        <v>45820</v>
      </c>
      <c r="C1727" t="s">
        <v>95</v>
      </c>
      <c r="D1727" t="s">
        <v>96</v>
      </c>
      <c r="E1727" t="s">
        <v>92</v>
      </c>
      <c r="F1727" t="s">
        <v>97</v>
      </c>
      <c r="G1727" t="s">
        <v>98</v>
      </c>
      <c r="H1727" t="s">
        <v>149</v>
      </c>
      <c r="I1727" t="s">
        <v>150</v>
      </c>
      <c r="J1727" t="s">
        <v>151</v>
      </c>
      <c r="K1727" t="s">
        <v>152</v>
      </c>
      <c r="L1727" t="s">
        <v>166</v>
      </c>
      <c r="M1727" t="s">
        <v>171</v>
      </c>
      <c r="N1727">
        <v>2</v>
      </c>
      <c r="O1727" s="4">
        <v>18000</v>
      </c>
      <c r="P1727" s="4">
        <v>24500</v>
      </c>
      <c r="Q1727" s="7">
        <v>0.05</v>
      </c>
      <c r="R1727" t="s">
        <v>181</v>
      </c>
      <c r="S1727">
        <v>2</v>
      </c>
      <c r="T1727">
        <v>49000</v>
      </c>
      <c r="U1727">
        <v>2450</v>
      </c>
      <c r="V1727">
        <v>46550</v>
      </c>
      <c r="W1727">
        <v>36000</v>
      </c>
      <c r="X1727">
        <v>10550</v>
      </c>
      <c r="Y1727" s="8">
        <v>0.22663802363050484</v>
      </c>
      <c r="Z1727" t="s">
        <v>2995</v>
      </c>
      <c r="AA1727" t="str">
        <f>IF(AND(SalesCleanTable[[#This Row],[Discount %]]&gt;0, SalesCleanTable[[#This Row],[Profit]]&lt;0), "Discount loss", "Safe")</f>
        <v>Safe</v>
      </c>
      <c r="AB1727" s="25">
        <f>(SalesCleanTable[[#This Row],[Unit Price]] - SalesCleanTable[[#This Row],[Unit Cost]]) / SalesCleanTable[[#This Row],[Unit Price]]</f>
        <v>0.26530612244897961</v>
      </c>
      <c r="AC1727" t="str">
        <f>IF(SalesCleanTable[[#This Row],[Discount %]] &gt; SalesCleanTable[[#This Row],[Max Allowed Discount]], "Discount loss", "Safe")</f>
        <v>Safe</v>
      </c>
      <c r="AD1727" s="4">
        <f>SalesCleanTable[[#This Row],[Unit Price]] - SalesCleanTable[[#This Row],[Unit Cost]]</f>
        <v>6500</v>
      </c>
      <c r="AE1727" s="41">
        <f>(SalesCleanTable[[#This Row],[Unit Price]] - SalesCleanTable[[#This Row],[Unit Cost]]) / SalesCleanTable[[#This Row],[Unit Price]]</f>
        <v>0.26530612244897961</v>
      </c>
    </row>
    <row r="1728" spans="1:31">
      <c r="A1728" t="s">
        <v>1914</v>
      </c>
      <c r="B1728" s="6">
        <v>45877</v>
      </c>
      <c r="C1728" t="s">
        <v>116</v>
      </c>
      <c r="D1728" t="s">
        <v>117</v>
      </c>
      <c r="E1728" t="s">
        <v>109</v>
      </c>
      <c r="F1728" t="s">
        <v>118</v>
      </c>
      <c r="G1728" t="s">
        <v>119</v>
      </c>
      <c r="H1728" t="s">
        <v>128</v>
      </c>
      <c r="I1728" t="s">
        <v>129</v>
      </c>
      <c r="J1728" t="s">
        <v>130</v>
      </c>
      <c r="K1728" t="s">
        <v>131</v>
      </c>
      <c r="L1728" t="s">
        <v>166</v>
      </c>
      <c r="M1728" t="s">
        <v>177</v>
      </c>
      <c r="N1728">
        <v>8</v>
      </c>
      <c r="O1728" s="4">
        <v>2800</v>
      </c>
      <c r="P1728" s="4">
        <v>4200</v>
      </c>
      <c r="Q1728" s="7">
        <v>0</v>
      </c>
      <c r="R1728" t="s">
        <v>220</v>
      </c>
      <c r="S1728">
        <v>6</v>
      </c>
      <c r="T1728">
        <v>33600</v>
      </c>
      <c r="U1728">
        <v>0</v>
      </c>
      <c r="V1728">
        <v>33600</v>
      </c>
      <c r="W1728">
        <v>22400</v>
      </c>
      <c r="X1728">
        <v>11200</v>
      </c>
      <c r="Y1728" s="8">
        <v>0.33333333333333331</v>
      </c>
      <c r="Z1728" t="s">
        <v>2995</v>
      </c>
      <c r="AA1728" t="str">
        <f>IF(AND(SalesCleanTable[[#This Row],[Discount %]]&gt;0, SalesCleanTable[[#This Row],[Profit]]&lt;0), "Discount loss", "Safe")</f>
        <v>Safe</v>
      </c>
      <c r="AB1728" s="25">
        <f>(SalesCleanTable[[#This Row],[Unit Price]] - SalesCleanTable[[#This Row],[Unit Cost]]) / SalesCleanTable[[#This Row],[Unit Price]]</f>
        <v>0.33333333333333331</v>
      </c>
      <c r="AC1728" t="str">
        <f>IF(SalesCleanTable[[#This Row],[Discount %]] &gt; SalesCleanTable[[#This Row],[Max Allowed Discount]], "Discount loss", "Safe")</f>
        <v>Safe</v>
      </c>
      <c r="AD1728" s="4">
        <f>SalesCleanTable[[#This Row],[Unit Price]] - SalesCleanTable[[#This Row],[Unit Cost]]</f>
        <v>1400</v>
      </c>
      <c r="AE1728" s="41">
        <f>(SalesCleanTable[[#This Row],[Unit Price]] - SalesCleanTable[[#This Row],[Unit Cost]]) / SalesCleanTable[[#This Row],[Unit Price]]</f>
        <v>0.33333333333333331</v>
      </c>
    </row>
    <row r="1729" spans="1:31">
      <c r="A1729" t="s">
        <v>1915</v>
      </c>
      <c r="B1729" s="6">
        <v>45958</v>
      </c>
      <c r="C1729" t="s">
        <v>78</v>
      </c>
      <c r="D1729" t="s">
        <v>79</v>
      </c>
      <c r="E1729" t="s">
        <v>75</v>
      </c>
      <c r="F1729" t="s">
        <v>80</v>
      </c>
      <c r="G1729" t="s">
        <v>81</v>
      </c>
      <c r="H1729" t="s">
        <v>133</v>
      </c>
      <c r="I1729" t="s">
        <v>134</v>
      </c>
      <c r="J1729" t="s">
        <v>130</v>
      </c>
      <c r="K1729" t="s">
        <v>131</v>
      </c>
      <c r="L1729" t="s">
        <v>183</v>
      </c>
      <c r="M1729" t="s">
        <v>171</v>
      </c>
      <c r="N1729">
        <v>8</v>
      </c>
      <c r="O1729" s="4">
        <v>1200</v>
      </c>
      <c r="P1729" s="4">
        <v>1900</v>
      </c>
      <c r="Q1729" s="7">
        <v>0</v>
      </c>
      <c r="R1729" t="s">
        <v>187</v>
      </c>
      <c r="S1729">
        <v>13</v>
      </c>
      <c r="T1729">
        <v>15200</v>
      </c>
      <c r="U1729">
        <v>0</v>
      </c>
      <c r="V1729">
        <v>15200</v>
      </c>
      <c r="W1729">
        <v>9600</v>
      </c>
      <c r="X1729">
        <v>5600</v>
      </c>
      <c r="Y1729" s="8">
        <v>0.36842105263157893</v>
      </c>
      <c r="Z1729" t="s">
        <v>2996</v>
      </c>
      <c r="AA1729" t="str">
        <f>IF(AND(SalesCleanTable[[#This Row],[Discount %]]&gt;0, SalesCleanTable[[#This Row],[Profit]]&lt;0), "Discount loss", "Safe")</f>
        <v>Safe</v>
      </c>
      <c r="AB1729" s="25">
        <f>(SalesCleanTable[[#This Row],[Unit Price]] - SalesCleanTable[[#This Row],[Unit Cost]]) / SalesCleanTable[[#This Row],[Unit Price]]</f>
        <v>0.36842105263157893</v>
      </c>
      <c r="AC1729" t="str">
        <f>IF(SalesCleanTable[[#This Row],[Discount %]] &gt; SalesCleanTable[[#This Row],[Max Allowed Discount]], "Discount loss", "Safe")</f>
        <v>Safe</v>
      </c>
      <c r="AD1729" s="4">
        <f>SalesCleanTable[[#This Row],[Unit Price]] - SalesCleanTable[[#This Row],[Unit Cost]]</f>
        <v>700</v>
      </c>
      <c r="AE1729" s="41">
        <f>(SalesCleanTable[[#This Row],[Unit Price]] - SalesCleanTable[[#This Row],[Unit Cost]]) / SalesCleanTable[[#This Row],[Unit Price]]</f>
        <v>0.36842105263157893</v>
      </c>
    </row>
    <row r="1730" spans="1:31">
      <c r="A1730" t="s">
        <v>1916</v>
      </c>
      <c r="B1730" s="6">
        <v>45820</v>
      </c>
      <c r="C1730" t="s">
        <v>29</v>
      </c>
      <c r="D1730" t="s">
        <v>30</v>
      </c>
      <c r="E1730" t="s">
        <v>26</v>
      </c>
      <c r="F1730" t="s">
        <v>27</v>
      </c>
      <c r="G1730" t="s">
        <v>31</v>
      </c>
      <c r="H1730" t="s">
        <v>128</v>
      </c>
      <c r="I1730" t="s">
        <v>129</v>
      </c>
      <c r="J1730" t="s">
        <v>130</v>
      </c>
      <c r="K1730" t="s">
        <v>131</v>
      </c>
      <c r="L1730" t="s">
        <v>166</v>
      </c>
      <c r="M1730" t="s">
        <v>171</v>
      </c>
      <c r="N1730">
        <v>2</v>
      </c>
      <c r="O1730" s="4">
        <v>6200</v>
      </c>
      <c r="P1730" s="4">
        <v>7900</v>
      </c>
      <c r="Q1730" s="7">
        <v>0</v>
      </c>
      <c r="R1730" t="s">
        <v>173</v>
      </c>
      <c r="S1730">
        <v>12</v>
      </c>
      <c r="T1730">
        <v>15800</v>
      </c>
      <c r="U1730">
        <v>0</v>
      </c>
      <c r="V1730">
        <v>15800</v>
      </c>
      <c r="W1730">
        <v>12400</v>
      </c>
      <c r="X1730">
        <v>3400</v>
      </c>
      <c r="Y1730" s="8">
        <v>0.21518987341772153</v>
      </c>
      <c r="Z1730" t="s">
        <v>2996</v>
      </c>
      <c r="AA1730" t="str">
        <f>IF(AND(SalesCleanTable[[#This Row],[Discount %]]&gt;0, SalesCleanTable[[#This Row],[Profit]]&lt;0), "Discount loss", "Safe")</f>
        <v>Safe</v>
      </c>
      <c r="AB1730" s="25">
        <f>(SalesCleanTable[[#This Row],[Unit Price]] - SalesCleanTable[[#This Row],[Unit Cost]]) / SalesCleanTable[[#This Row],[Unit Price]]</f>
        <v>0.21518987341772153</v>
      </c>
      <c r="AC1730" t="str">
        <f>IF(SalesCleanTable[[#This Row],[Discount %]] &gt; SalesCleanTable[[#This Row],[Max Allowed Discount]], "Discount loss", "Safe")</f>
        <v>Safe</v>
      </c>
      <c r="AD1730" s="4">
        <f>SalesCleanTable[[#This Row],[Unit Price]] - SalesCleanTable[[#This Row],[Unit Cost]]</f>
        <v>1700</v>
      </c>
      <c r="AE1730" s="41">
        <f>(SalesCleanTable[[#This Row],[Unit Price]] - SalesCleanTable[[#This Row],[Unit Cost]]) / SalesCleanTable[[#This Row],[Unit Price]]</f>
        <v>0.21518987341772153</v>
      </c>
    </row>
    <row r="1731" spans="1:31">
      <c r="A1731" t="s">
        <v>1917</v>
      </c>
      <c r="B1731" s="6">
        <v>45709</v>
      </c>
      <c r="C1731" t="s">
        <v>45</v>
      </c>
      <c r="D1731" t="s">
        <v>46</v>
      </c>
      <c r="E1731" t="s">
        <v>38</v>
      </c>
      <c r="F1731" t="s">
        <v>47</v>
      </c>
      <c r="G1731" t="s">
        <v>48</v>
      </c>
      <c r="H1731" t="s">
        <v>135</v>
      </c>
      <c r="I1731" t="s">
        <v>136</v>
      </c>
      <c r="J1731" t="s">
        <v>137</v>
      </c>
      <c r="K1731" t="s">
        <v>138</v>
      </c>
      <c r="L1731" t="s">
        <v>166</v>
      </c>
      <c r="M1731" t="s">
        <v>171</v>
      </c>
      <c r="N1731">
        <v>3</v>
      </c>
      <c r="O1731" s="4">
        <v>230</v>
      </c>
      <c r="P1731" s="4">
        <v>400</v>
      </c>
      <c r="Q1731" s="7">
        <v>0.1</v>
      </c>
      <c r="R1731" t="s">
        <v>168</v>
      </c>
      <c r="S1731">
        <v>8</v>
      </c>
      <c r="T1731">
        <v>1200</v>
      </c>
      <c r="U1731">
        <v>120</v>
      </c>
      <c r="V1731">
        <v>1080</v>
      </c>
      <c r="W1731">
        <v>690</v>
      </c>
      <c r="X1731">
        <v>390</v>
      </c>
      <c r="Y1731" s="8">
        <v>0.3611111111111111</v>
      </c>
      <c r="Z1731" t="s">
        <v>2995</v>
      </c>
      <c r="AA1731" t="str">
        <f>IF(AND(SalesCleanTable[[#This Row],[Discount %]]&gt;0, SalesCleanTable[[#This Row],[Profit]]&lt;0), "Discount loss", "Safe")</f>
        <v>Safe</v>
      </c>
      <c r="AB1731" s="25">
        <f>(SalesCleanTable[[#This Row],[Unit Price]] - SalesCleanTable[[#This Row],[Unit Cost]]) / SalesCleanTable[[#This Row],[Unit Price]]</f>
        <v>0.42499999999999999</v>
      </c>
      <c r="AC1731" t="str">
        <f>IF(SalesCleanTable[[#This Row],[Discount %]] &gt; SalesCleanTable[[#This Row],[Max Allowed Discount]], "Discount loss", "Safe")</f>
        <v>Safe</v>
      </c>
      <c r="AD1731" s="4">
        <f>SalesCleanTable[[#This Row],[Unit Price]] - SalesCleanTable[[#This Row],[Unit Cost]]</f>
        <v>170</v>
      </c>
      <c r="AE1731" s="41">
        <f>(SalesCleanTable[[#This Row],[Unit Price]] - SalesCleanTable[[#This Row],[Unit Cost]]) / SalesCleanTable[[#This Row],[Unit Price]]</f>
        <v>0.42499999999999999</v>
      </c>
    </row>
    <row r="1732" spans="1:31">
      <c r="A1732" t="s">
        <v>1918</v>
      </c>
      <c r="B1732" s="6">
        <v>46011</v>
      </c>
      <c r="C1732" t="s">
        <v>120</v>
      </c>
      <c r="D1732" t="s">
        <v>121</v>
      </c>
      <c r="E1732" t="s">
        <v>109</v>
      </c>
      <c r="F1732" t="s">
        <v>93</v>
      </c>
      <c r="G1732" t="s">
        <v>122</v>
      </c>
      <c r="H1732" t="s">
        <v>133</v>
      </c>
      <c r="I1732" t="s">
        <v>134</v>
      </c>
      <c r="J1732" t="s">
        <v>130</v>
      </c>
      <c r="K1732" t="s">
        <v>131</v>
      </c>
      <c r="L1732" t="s">
        <v>166</v>
      </c>
      <c r="M1732" t="s">
        <v>171</v>
      </c>
      <c r="N1732">
        <v>2</v>
      </c>
      <c r="O1732" s="4">
        <v>1700</v>
      </c>
      <c r="P1732" s="4">
        <v>2800</v>
      </c>
      <c r="Q1732" s="7">
        <v>0.2</v>
      </c>
      <c r="R1732" t="s">
        <v>184</v>
      </c>
      <c r="S1732">
        <v>7</v>
      </c>
      <c r="T1732">
        <v>5600</v>
      </c>
      <c r="U1732">
        <v>1120</v>
      </c>
      <c r="V1732">
        <v>4480</v>
      </c>
      <c r="W1732">
        <v>3400</v>
      </c>
      <c r="X1732">
        <v>1080</v>
      </c>
      <c r="Y1732" s="8">
        <v>0.24107142857142858</v>
      </c>
      <c r="Z1732" t="s">
        <v>2997</v>
      </c>
      <c r="AA1732" t="str">
        <f>IF(AND(SalesCleanTable[[#This Row],[Discount %]]&gt;0, SalesCleanTable[[#This Row],[Profit]]&lt;0), "Discount loss", "Safe")</f>
        <v>Safe</v>
      </c>
      <c r="AB1732" s="25">
        <f>(SalesCleanTable[[#This Row],[Unit Price]] - SalesCleanTable[[#This Row],[Unit Cost]]) / SalesCleanTable[[#This Row],[Unit Price]]</f>
        <v>0.39285714285714285</v>
      </c>
      <c r="AC1732" t="str">
        <f>IF(SalesCleanTable[[#This Row],[Discount %]] &gt; SalesCleanTable[[#This Row],[Max Allowed Discount]], "Discount loss", "Safe")</f>
        <v>Safe</v>
      </c>
      <c r="AD1732" s="4">
        <f>SalesCleanTable[[#This Row],[Unit Price]] - SalesCleanTable[[#This Row],[Unit Cost]]</f>
        <v>1100</v>
      </c>
      <c r="AE1732" s="41">
        <f>(SalesCleanTable[[#This Row],[Unit Price]] - SalesCleanTable[[#This Row],[Unit Cost]]) / SalesCleanTable[[#This Row],[Unit Price]]</f>
        <v>0.39285714285714285</v>
      </c>
    </row>
    <row r="1733" spans="1:31">
      <c r="A1733" t="s">
        <v>1919</v>
      </c>
      <c r="B1733" s="6">
        <v>45661</v>
      </c>
      <c r="C1733" t="s">
        <v>32</v>
      </c>
      <c r="D1733" t="s">
        <v>33</v>
      </c>
      <c r="E1733" t="s">
        <v>26</v>
      </c>
      <c r="F1733" t="s">
        <v>34</v>
      </c>
      <c r="G1733" t="s">
        <v>35</v>
      </c>
      <c r="H1733" t="s">
        <v>149</v>
      </c>
      <c r="I1733" t="s">
        <v>150</v>
      </c>
      <c r="J1733" t="s">
        <v>151</v>
      </c>
      <c r="K1733" t="s">
        <v>152</v>
      </c>
      <c r="L1733" t="s">
        <v>183</v>
      </c>
      <c r="M1733" t="s">
        <v>167</v>
      </c>
      <c r="N1733">
        <v>10</v>
      </c>
      <c r="O1733" s="4">
        <v>7800</v>
      </c>
      <c r="P1733" s="4">
        <v>9800</v>
      </c>
      <c r="Q1733" s="7">
        <v>0.1</v>
      </c>
      <c r="R1733" t="s">
        <v>197</v>
      </c>
      <c r="S1733">
        <v>9</v>
      </c>
      <c r="T1733">
        <v>98000</v>
      </c>
      <c r="U1733">
        <v>9800</v>
      </c>
      <c r="V1733">
        <v>88200</v>
      </c>
      <c r="W1733">
        <v>78000</v>
      </c>
      <c r="X1733">
        <v>10200</v>
      </c>
      <c r="Y1733" s="8">
        <v>0.11564625850340136</v>
      </c>
      <c r="Z1733" t="s">
        <v>2995</v>
      </c>
      <c r="AA1733" t="str">
        <f>IF(AND(SalesCleanTable[[#This Row],[Discount %]]&gt;0, SalesCleanTable[[#This Row],[Profit]]&lt;0), "Discount loss", "Safe")</f>
        <v>Safe</v>
      </c>
      <c r="AB1733" s="25">
        <f>(SalesCleanTable[[#This Row],[Unit Price]] - SalesCleanTable[[#This Row],[Unit Cost]]) / SalesCleanTable[[#This Row],[Unit Price]]</f>
        <v>0.20408163265306123</v>
      </c>
      <c r="AC1733" t="str">
        <f>IF(SalesCleanTable[[#This Row],[Discount %]] &gt; SalesCleanTable[[#This Row],[Max Allowed Discount]], "Discount loss", "Safe")</f>
        <v>Safe</v>
      </c>
      <c r="AD1733" s="4">
        <f>SalesCleanTable[[#This Row],[Unit Price]] - SalesCleanTable[[#This Row],[Unit Cost]]</f>
        <v>2000</v>
      </c>
      <c r="AE1733" s="41">
        <f>(SalesCleanTable[[#This Row],[Unit Price]] - SalesCleanTable[[#This Row],[Unit Cost]]) / SalesCleanTable[[#This Row],[Unit Price]]</f>
        <v>0.20408163265306123</v>
      </c>
    </row>
    <row r="1734" spans="1:31">
      <c r="A1734" t="s">
        <v>1920</v>
      </c>
      <c r="B1734" s="6">
        <v>45746</v>
      </c>
      <c r="C1734" t="s">
        <v>82</v>
      </c>
      <c r="D1734" t="s">
        <v>83</v>
      </c>
      <c r="E1734" t="s">
        <v>75</v>
      </c>
      <c r="F1734" t="s">
        <v>84</v>
      </c>
      <c r="G1734" t="s">
        <v>85</v>
      </c>
      <c r="H1734" t="s">
        <v>145</v>
      </c>
      <c r="I1734" t="s">
        <v>146</v>
      </c>
      <c r="J1734" t="s">
        <v>147</v>
      </c>
      <c r="K1734" t="s">
        <v>148</v>
      </c>
      <c r="L1734" t="s">
        <v>183</v>
      </c>
      <c r="M1734" t="s">
        <v>177</v>
      </c>
      <c r="N1734">
        <v>1</v>
      </c>
      <c r="O1734" s="4">
        <v>600</v>
      </c>
      <c r="P1734" s="4">
        <v>950</v>
      </c>
      <c r="Q1734" s="7">
        <v>0</v>
      </c>
      <c r="R1734" t="s">
        <v>204</v>
      </c>
      <c r="S1734">
        <v>3</v>
      </c>
      <c r="T1734">
        <v>950</v>
      </c>
      <c r="U1734">
        <v>0</v>
      </c>
      <c r="V1734">
        <v>950</v>
      </c>
      <c r="W1734">
        <v>600</v>
      </c>
      <c r="X1734">
        <v>350</v>
      </c>
      <c r="Y1734" s="8">
        <v>0.36842105263157893</v>
      </c>
      <c r="Z1734" t="s">
        <v>2996</v>
      </c>
      <c r="AA1734" t="str">
        <f>IF(AND(SalesCleanTable[[#This Row],[Discount %]]&gt;0, SalesCleanTable[[#This Row],[Profit]]&lt;0), "Discount loss", "Safe")</f>
        <v>Safe</v>
      </c>
      <c r="AB1734" s="25">
        <f>(SalesCleanTable[[#This Row],[Unit Price]] - SalesCleanTable[[#This Row],[Unit Cost]]) / SalesCleanTable[[#This Row],[Unit Price]]</f>
        <v>0.36842105263157893</v>
      </c>
      <c r="AC1734" t="str">
        <f>IF(SalesCleanTable[[#This Row],[Discount %]] &gt; SalesCleanTable[[#This Row],[Max Allowed Discount]], "Discount loss", "Safe")</f>
        <v>Safe</v>
      </c>
      <c r="AD1734" s="4">
        <f>SalesCleanTable[[#This Row],[Unit Price]] - SalesCleanTable[[#This Row],[Unit Cost]]</f>
        <v>350</v>
      </c>
      <c r="AE1734" s="41">
        <f>(SalesCleanTable[[#This Row],[Unit Price]] - SalesCleanTable[[#This Row],[Unit Cost]]) / SalesCleanTable[[#This Row],[Unit Price]]</f>
        <v>0.36842105263157893</v>
      </c>
    </row>
    <row r="1735" spans="1:31">
      <c r="A1735" t="s">
        <v>1921</v>
      </c>
      <c r="B1735" s="6">
        <v>45988</v>
      </c>
      <c r="C1735" t="s">
        <v>24</v>
      </c>
      <c r="D1735" t="s">
        <v>25</v>
      </c>
      <c r="E1735" t="s">
        <v>26</v>
      </c>
      <c r="F1735" t="s">
        <v>27</v>
      </c>
      <c r="G1735" t="s">
        <v>28</v>
      </c>
      <c r="H1735" t="s">
        <v>135</v>
      </c>
      <c r="I1735" t="s">
        <v>136</v>
      </c>
      <c r="J1735" t="s">
        <v>137</v>
      </c>
      <c r="K1735" t="s">
        <v>138</v>
      </c>
      <c r="L1735" t="s">
        <v>166</v>
      </c>
      <c r="M1735" t="s">
        <v>177</v>
      </c>
      <c r="N1735">
        <v>1</v>
      </c>
      <c r="O1735" s="4">
        <v>14500</v>
      </c>
      <c r="P1735" s="4">
        <v>17500</v>
      </c>
      <c r="Q1735" s="7">
        <v>0.05</v>
      </c>
      <c r="R1735" t="s">
        <v>197</v>
      </c>
      <c r="S1735">
        <v>7</v>
      </c>
      <c r="T1735">
        <v>17500</v>
      </c>
      <c r="U1735">
        <v>875</v>
      </c>
      <c r="V1735">
        <v>16625</v>
      </c>
      <c r="W1735">
        <v>14500</v>
      </c>
      <c r="X1735">
        <v>2125</v>
      </c>
      <c r="Y1735" s="8">
        <v>0.12781954887218044</v>
      </c>
      <c r="Z1735" t="s">
        <v>2995</v>
      </c>
      <c r="AA1735" t="str">
        <f>IF(AND(SalesCleanTable[[#This Row],[Discount %]]&gt;0, SalesCleanTable[[#This Row],[Profit]]&lt;0), "Discount loss", "Safe")</f>
        <v>Safe</v>
      </c>
      <c r="AB1735" s="25">
        <f>(SalesCleanTable[[#This Row],[Unit Price]] - SalesCleanTable[[#This Row],[Unit Cost]]) / SalesCleanTable[[#This Row],[Unit Price]]</f>
        <v>0.17142857142857143</v>
      </c>
      <c r="AC1735" t="str">
        <f>IF(SalesCleanTable[[#This Row],[Discount %]] &gt; SalesCleanTable[[#This Row],[Max Allowed Discount]], "Discount loss", "Safe")</f>
        <v>Safe</v>
      </c>
      <c r="AD1735" s="4">
        <f>SalesCleanTable[[#This Row],[Unit Price]] - SalesCleanTable[[#This Row],[Unit Cost]]</f>
        <v>3000</v>
      </c>
      <c r="AE1735" s="41">
        <f>(SalesCleanTable[[#This Row],[Unit Price]] - SalesCleanTable[[#This Row],[Unit Cost]]) / SalesCleanTable[[#This Row],[Unit Price]]</f>
        <v>0.17142857142857143</v>
      </c>
    </row>
    <row r="1736" spans="1:31">
      <c r="A1736" t="s">
        <v>1922</v>
      </c>
      <c r="B1736" s="6">
        <v>45739</v>
      </c>
      <c r="C1736" t="s">
        <v>41</v>
      </c>
      <c r="D1736" t="s">
        <v>42</v>
      </c>
      <c r="E1736" t="s">
        <v>26</v>
      </c>
      <c r="F1736" t="s">
        <v>43</v>
      </c>
      <c r="G1736" t="s">
        <v>44</v>
      </c>
      <c r="H1736" t="s">
        <v>139</v>
      </c>
      <c r="I1736" t="s">
        <v>140</v>
      </c>
      <c r="J1736" t="s">
        <v>137</v>
      </c>
      <c r="K1736" t="s">
        <v>138</v>
      </c>
      <c r="L1736" t="s">
        <v>183</v>
      </c>
      <c r="M1736" t="s">
        <v>186</v>
      </c>
      <c r="N1736">
        <v>2</v>
      </c>
      <c r="O1736" s="4">
        <v>850</v>
      </c>
      <c r="P1736" s="4">
        <v>1300</v>
      </c>
      <c r="Q1736" s="7">
        <v>0.05</v>
      </c>
      <c r="R1736" t="s">
        <v>173</v>
      </c>
      <c r="S1736">
        <v>2</v>
      </c>
      <c r="T1736">
        <v>2600</v>
      </c>
      <c r="U1736">
        <v>130</v>
      </c>
      <c r="V1736">
        <v>2470</v>
      </c>
      <c r="W1736">
        <v>1700</v>
      </c>
      <c r="X1736">
        <v>770</v>
      </c>
      <c r="Y1736" s="8">
        <v>0.31174089068825911</v>
      </c>
      <c r="Z1736" t="s">
        <v>2995</v>
      </c>
      <c r="AA1736" t="str">
        <f>IF(AND(SalesCleanTable[[#This Row],[Discount %]]&gt;0, SalesCleanTable[[#This Row],[Profit]]&lt;0), "Discount loss", "Safe")</f>
        <v>Safe</v>
      </c>
      <c r="AB1736" s="25">
        <f>(SalesCleanTable[[#This Row],[Unit Price]] - SalesCleanTable[[#This Row],[Unit Cost]]) / SalesCleanTable[[#This Row],[Unit Price]]</f>
        <v>0.34615384615384615</v>
      </c>
      <c r="AC1736" t="str">
        <f>IF(SalesCleanTable[[#This Row],[Discount %]] &gt; SalesCleanTable[[#This Row],[Max Allowed Discount]], "Discount loss", "Safe")</f>
        <v>Safe</v>
      </c>
      <c r="AD1736" s="4">
        <f>SalesCleanTable[[#This Row],[Unit Price]] - SalesCleanTable[[#This Row],[Unit Cost]]</f>
        <v>450</v>
      </c>
      <c r="AE1736" s="41">
        <f>(SalesCleanTable[[#This Row],[Unit Price]] - SalesCleanTable[[#This Row],[Unit Cost]]) / SalesCleanTable[[#This Row],[Unit Price]]</f>
        <v>0.34615384615384615</v>
      </c>
    </row>
    <row r="1737" spans="1:31">
      <c r="A1737" t="s">
        <v>1923</v>
      </c>
      <c r="B1737" s="6">
        <v>45748</v>
      </c>
      <c r="C1737" t="s">
        <v>95</v>
      </c>
      <c r="D1737" t="s">
        <v>96</v>
      </c>
      <c r="E1737" t="s">
        <v>92</v>
      </c>
      <c r="F1737" t="s">
        <v>97</v>
      </c>
      <c r="G1737" t="s">
        <v>98</v>
      </c>
      <c r="H1737" t="s">
        <v>149</v>
      </c>
      <c r="I1737" t="s">
        <v>150</v>
      </c>
      <c r="J1737" t="s">
        <v>151</v>
      </c>
      <c r="K1737" t="s">
        <v>152</v>
      </c>
      <c r="L1737" t="s">
        <v>183</v>
      </c>
      <c r="M1737" t="s">
        <v>186</v>
      </c>
      <c r="N1737">
        <v>3</v>
      </c>
      <c r="O1737" s="4">
        <v>18000</v>
      </c>
      <c r="P1737" s="4">
        <v>24500</v>
      </c>
      <c r="Q1737" s="7">
        <v>0.05</v>
      </c>
      <c r="R1737" t="s">
        <v>215</v>
      </c>
      <c r="S1737">
        <v>5</v>
      </c>
      <c r="T1737">
        <v>73500</v>
      </c>
      <c r="U1737">
        <v>3675</v>
      </c>
      <c r="V1737">
        <v>69825</v>
      </c>
      <c r="W1737">
        <v>54000</v>
      </c>
      <c r="X1737">
        <v>15825</v>
      </c>
      <c r="Y1737" s="8">
        <v>0.22663802363050484</v>
      </c>
      <c r="Z1737" t="s">
        <v>2995</v>
      </c>
      <c r="AA1737" t="str">
        <f>IF(AND(SalesCleanTable[[#This Row],[Discount %]]&gt;0, SalesCleanTable[[#This Row],[Profit]]&lt;0), "Discount loss", "Safe")</f>
        <v>Safe</v>
      </c>
      <c r="AB1737" s="25">
        <f>(SalesCleanTable[[#This Row],[Unit Price]] - SalesCleanTable[[#This Row],[Unit Cost]]) / SalesCleanTable[[#This Row],[Unit Price]]</f>
        <v>0.26530612244897961</v>
      </c>
      <c r="AC1737" t="str">
        <f>IF(SalesCleanTable[[#This Row],[Discount %]] &gt; SalesCleanTable[[#This Row],[Max Allowed Discount]], "Discount loss", "Safe")</f>
        <v>Safe</v>
      </c>
      <c r="AD1737" s="4">
        <f>SalesCleanTable[[#This Row],[Unit Price]] - SalesCleanTable[[#This Row],[Unit Cost]]</f>
        <v>6500</v>
      </c>
      <c r="AE1737" s="41">
        <f>(SalesCleanTable[[#This Row],[Unit Price]] - SalesCleanTable[[#This Row],[Unit Cost]]) / SalesCleanTable[[#This Row],[Unit Price]]</f>
        <v>0.26530612244897961</v>
      </c>
    </row>
    <row r="1738" spans="1:31">
      <c r="A1738" t="s">
        <v>1924</v>
      </c>
      <c r="B1738" s="6">
        <v>45852</v>
      </c>
      <c r="C1738" t="s">
        <v>36</v>
      </c>
      <c r="D1738" t="s">
        <v>37</v>
      </c>
      <c r="E1738" t="s">
        <v>38</v>
      </c>
      <c r="F1738" t="s">
        <v>39</v>
      </c>
      <c r="G1738" t="s">
        <v>40</v>
      </c>
      <c r="H1738" t="s">
        <v>139</v>
      </c>
      <c r="I1738" t="s">
        <v>140</v>
      </c>
      <c r="J1738" t="s">
        <v>137</v>
      </c>
      <c r="K1738" t="s">
        <v>138</v>
      </c>
      <c r="L1738" t="s">
        <v>166</v>
      </c>
      <c r="M1738" t="s">
        <v>171</v>
      </c>
      <c r="N1738">
        <v>1</v>
      </c>
      <c r="O1738" s="4">
        <v>1650</v>
      </c>
      <c r="P1738" s="4">
        <v>2200</v>
      </c>
      <c r="Q1738" s="7">
        <v>0</v>
      </c>
      <c r="R1738" t="s">
        <v>168</v>
      </c>
      <c r="S1738">
        <v>12</v>
      </c>
      <c r="T1738">
        <v>2200</v>
      </c>
      <c r="U1738">
        <v>0</v>
      </c>
      <c r="V1738">
        <v>2200</v>
      </c>
      <c r="W1738">
        <v>1650</v>
      </c>
      <c r="X1738">
        <v>550</v>
      </c>
      <c r="Y1738" s="8">
        <v>0.25</v>
      </c>
      <c r="Z1738" t="s">
        <v>2995</v>
      </c>
      <c r="AA1738" t="str">
        <f>IF(AND(SalesCleanTable[[#This Row],[Discount %]]&gt;0, SalesCleanTable[[#This Row],[Profit]]&lt;0), "Discount loss", "Safe")</f>
        <v>Safe</v>
      </c>
      <c r="AB1738" s="25">
        <f>(SalesCleanTable[[#This Row],[Unit Price]] - SalesCleanTable[[#This Row],[Unit Cost]]) / SalesCleanTable[[#This Row],[Unit Price]]</f>
        <v>0.25</v>
      </c>
      <c r="AC1738" t="str">
        <f>IF(SalesCleanTable[[#This Row],[Discount %]] &gt; SalesCleanTable[[#This Row],[Max Allowed Discount]], "Discount loss", "Safe")</f>
        <v>Safe</v>
      </c>
      <c r="AD1738" s="4">
        <f>SalesCleanTable[[#This Row],[Unit Price]] - SalesCleanTable[[#This Row],[Unit Cost]]</f>
        <v>550</v>
      </c>
      <c r="AE1738" s="41">
        <f>(SalesCleanTable[[#This Row],[Unit Price]] - SalesCleanTable[[#This Row],[Unit Cost]]) / SalesCleanTable[[#This Row],[Unit Price]]</f>
        <v>0.25</v>
      </c>
    </row>
    <row r="1739" spans="1:31">
      <c r="A1739" t="s">
        <v>1925</v>
      </c>
      <c r="B1739" s="6">
        <v>45994</v>
      </c>
      <c r="C1739" t="s">
        <v>62</v>
      </c>
      <c r="D1739" t="s">
        <v>63</v>
      </c>
      <c r="E1739" t="s">
        <v>59</v>
      </c>
      <c r="F1739" t="s">
        <v>64</v>
      </c>
      <c r="G1739" t="s">
        <v>65</v>
      </c>
      <c r="H1739" t="s">
        <v>145</v>
      </c>
      <c r="I1739" t="s">
        <v>146</v>
      </c>
      <c r="J1739" t="s">
        <v>147</v>
      </c>
      <c r="K1739" t="s">
        <v>148</v>
      </c>
      <c r="L1739" t="s">
        <v>166</v>
      </c>
      <c r="M1739" t="s">
        <v>186</v>
      </c>
      <c r="N1739">
        <v>2</v>
      </c>
      <c r="O1739" s="4">
        <v>3200</v>
      </c>
      <c r="P1739" s="4">
        <v>4500</v>
      </c>
      <c r="Q1739" s="7">
        <v>0.05</v>
      </c>
      <c r="R1739" t="s">
        <v>192</v>
      </c>
      <c r="S1739">
        <v>11</v>
      </c>
      <c r="T1739">
        <v>9000</v>
      </c>
      <c r="U1739">
        <v>450</v>
      </c>
      <c r="V1739">
        <v>8550</v>
      </c>
      <c r="W1739">
        <v>6400</v>
      </c>
      <c r="X1739">
        <v>2150</v>
      </c>
      <c r="Y1739" s="8">
        <v>0.25146198830409355</v>
      </c>
      <c r="Z1739" t="s">
        <v>2996</v>
      </c>
      <c r="AA1739" t="str">
        <f>IF(AND(SalesCleanTable[[#This Row],[Discount %]]&gt;0, SalesCleanTable[[#This Row],[Profit]]&lt;0), "Discount loss", "Safe")</f>
        <v>Safe</v>
      </c>
      <c r="AB1739" s="25">
        <f>(SalesCleanTable[[#This Row],[Unit Price]] - SalesCleanTable[[#This Row],[Unit Cost]]) / SalesCleanTable[[#This Row],[Unit Price]]</f>
        <v>0.28888888888888886</v>
      </c>
      <c r="AC1739" t="str">
        <f>IF(SalesCleanTable[[#This Row],[Discount %]] &gt; SalesCleanTable[[#This Row],[Max Allowed Discount]], "Discount loss", "Safe")</f>
        <v>Safe</v>
      </c>
      <c r="AD1739" s="4">
        <f>SalesCleanTable[[#This Row],[Unit Price]] - SalesCleanTable[[#This Row],[Unit Cost]]</f>
        <v>1300</v>
      </c>
      <c r="AE1739" s="41">
        <f>(SalesCleanTable[[#This Row],[Unit Price]] - SalesCleanTable[[#This Row],[Unit Cost]]) / SalesCleanTable[[#This Row],[Unit Price]]</f>
        <v>0.28888888888888886</v>
      </c>
    </row>
    <row r="1740" spans="1:31">
      <c r="A1740" t="s">
        <v>1926</v>
      </c>
      <c r="B1740" s="6">
        <v>45690</v>
      </c>
      <c r="C1740" t="s">
        <v>53</v>
      </c>
      <c r="D1740" t="s">
        <v>54</v>
      </c>
      <c r="E1740" t="s">
        <v>38</v>
      </c>
      <c r="F1740" t="s">
        <v>55</v>
      </c>
      <c r="G1740" t="s">
        <v>56</v>
      </c>
      <c r="H1740" t="s">
        <v>133</v>
      </c>
      <c r="I1740" t="s">
        <v>134</v>
      </c>
      <c r="J1740" t="s">
        <v>130</v>
      </c>
      <c r="K1740" t="s">
        <v>131</v>
      </c>
      <c r="L1740" t="s">
        <v>166</v>
      </c>
      <c r="M1740" t="s">
        <v>171</v>
      </c>
      <c r="N1740">
        <v>2</v>
      </c>
      <c r="O1740" s="4">
        <v>330</v>
      </c>
      <c r="P1740" s="4">
        <v>550</v>
      </c>
      <c r="Q1740" s="7">
        <v>0.1</v>
      </c>
      <c r="R1740" t="s">
        <v>168</v>
      </c>
      <c r="S1740">
        <v>3</v>
      </c>
      <c r="T1740">
        <v>1100</v>
      </c>
      <c r="U1740">
        <v>110</v>
      </c>
      <c r="V1740">
        <v>990</v>
      </c>
      <c r="W1740">
        <v>660</v>
      </c>
      <c r="X1740">
        <v>330</v>
      </c>
      <c r="Y1740" s="8">
        <v>0.33333333333333331</v>
      </c>
      <c r="Z1740" t="s">
        <v>2996</v>
      </c>
      <c r="AA1740" t="str">
        <f>IF(AND(SalesCleanTable[[#This Row],[Discount %]]&gt;0, SalesCleanTable[[#This Row],[Profit]]&lt;0), "Discount loss", "Safe")</f>
        <v>Safe</v>
      </c>
      <c r="AB1740" s="25">
        <f>(SalesCleanTable[[#This Row],[Unit Price]] - SalesCleanTable[[#This Row],[Unit Cost]]) / SalesCleanTable[[#This Row],[Unit Price]]</f>
        <v>0.4</v>
      </c>
      <c r="AC1740" t="str">
        <f>IF(SalesCleanTable[[#This Row],[Discount %]] &gt; SalesCleanTable[[#This Row],[Max Allowed Discount]], "Discount loss", "Safe")</f>
        <v>Safe</v>
      </c>
      <c r="AD1740" s="4">
        <f>SalesCleanTable[[#This Row],[Unit Price]] - SalesCleanTable[[#This Row],[Unit Cost]]</f>
        <v>220</v>
      </c>
      <c r="AE1740" s="41">
        <f>(SalesCleanTable[[#This Row],[Unit Price]] - SalesCleanTable[[#This Row],[Unit Cost]]) / SalesCleanTable[[#This Row],[Unit Price]]</f>
        <v>0.4</v>
      </c>
    </row>
    <row r="1741" spans="1:31">
      <c r="A1741" t="s">
        <v>1927</v>
      </c>
      <c r="B1741" s="6">
        <v>45672</v>
      </c>
      <c r="C1741" t="s">
        <v>45</v>
      </c>
      <c r="D1741" t="s">
        <v>46</v>
      </c>
      <c r="E1741" t="s">
        <v>38</v>
      </c>
      <c r="F1741" t="s">
        <v>47</v>
      </c>
      <c r="G1741" t="s">
        <v>48</v>
      </c>
      <c r="H1741" t="s">
        <v>133</v>
      </c>
      <c r="I1741" t="s">
        <v>134</v>
      </c>
      <c r="J1741" t="s">
        <v>130</v>
      </c>
      <c r="K1741" t="s">
        <v>131</v>
      </c>
      <c r="L1741" t="s">
        <v>183</v>
      </c>
      <c r="M1741" t="s">
        <v>171</v>
      </c>
      <c r="N1741">
        <v>3</v>
      </c>
      <c r="O1741" s="4">
        <v>230</v>
      </c>
      <c r="P1741" s="4">
        <v>400</v>
      </c>
      <c r="Q1741" s="7">
        <v>0.1</v>
      </c>
      <c r="R1741" t="s">
        <v>178</v>
      </c>
      <c r="S1741">
        <v>2</v>
      </c>
      <c r="T1741">
        <v>1200</v>
      </c>
      <c r="U1741">
        <v>120</v>
      </c>
      <c r="V1741">
        <v>1080</v>
      </c>
      <c r="W1741">
        <v>690</v>
      </c>
      <c r="X1741">
        <v>390</v>
      </c>
      <c r="Y1741" s="8">
        <v>0.3611111111111111</v>
      </c>
      <c r="Z1741" t="s">
        <v>2995</v>
      </c>
      <c r="AA1741" t="str">
        <f>IF(AND(SalesCleanTable[[#This Row],[Discount %]]&gt;0, SalesCleanTable[[#This Row],[Profit]]&lt;0), "Discount loss", "Safe")</f>
        <v>Safe</v>
      </c>
      <c r="AB1741" s="25">
        <f>(SalesCleanTable[[#This Row],[Unit Price]] - SalesCleanTable[[#This Row],[Unit Cost]]) / SalesCleanTable[[#This Row],[Unit Price]]</f>
        <v>0.42499999999999999</v>
      </c>
      <c r="AC1741" t="str">
        <f>IF(SalesCleanTable[[#This Row],[Discount %]] &gt; SalesCleanTable[[#This Row],[Max Allowed Discount]], "Discount loss", "Safe")</f>
        <v>Safe</v>
      </c>
      <c r="AD1741" s="4">
        <f>SalesCleanTable[[#This Row],[Unit Price]] - SalesCleanTable[[#This Row],[Unit Cost]]</f>
        <v>170</v>
      </c>
      <c r="AE1741" s="41">
        <f>(SalesCleanTable[[#This Row],[Unit Price]] - SalesCleanTable[[#This Row],[Unit Cost]]) / SalesCleanTable[[#This Row],[Unit Price]]</f>
        <v>0.42499999999999999</v>
      </c>
    </row>
    <row r="1742" spans="1:31">
      <c r="A1742" t="s">
        <v>1928</v>
      </c>
      <c r="B1742" s="6">
        <v>45825</v>
      </c>
      <c r="C1742" t="s">
        <v>78</v>
      </c>
      <c r="D1742" t="s">
        <v>79</v>
      </c>
      <c r="E1742" t="s">
        <v>75</v>
      </c>
      <c r="F1742" t="s">
        <v>80</v>
      </c>
      <c r="G1742" t="s">
        <v>81</v>
      </c>
      <c r="H1742" t="s">
        <v>139</v>
      </c>
      <c r="I1742" t="s">
        <v>140</v>
      </c>
      <c r="J1742" t="s">
        <v>137</v>
      </c>
      <c r="K1742" t="s">
        <v>138</v>
      </c>
      <c r="L1742" t="s">
        <v>166</v>
      </c>
      <c r="M1742" t="s">
        <v>167</v>
      </c>
      <c r="N1742">
        <v>3</v>
      </c>
      <c r="O1742" s="4">
        <v>1200</v>
      </c>
      <c r="P1742" s="4">
        <v>1900</v>
      </c>
      <c r="Q1742" s="7">
        <v>0</v>
      </c>
      <c r="R1742" t="s">
        <v>187</v>
      </c>
      <c r="S1742">
        <v>6</v>
      </c>
      <c r="T1742">
        <v>5700</v>
      </c>
      <c r="U1742">
        <v>0</v>
      </c>
      <c r="V1742">
        <v>5700</v>
      </c>
      <c r="W1742">
        <v>3600</v>
      </c>
      <c r="X1742">
        <v>2100</v>
      </c>
      <c r="Y1742" s="8">
        <v>0.36842105263157893</v>
      </c>
      <c r="Z1742" t="s">
        <v>2996</v>
      </c>
      <c r="AA1742" t="str">
        <f>IF(AND(SalesCleanTable[[#This Row],[Discount %]]&gt;0, SalesCleanTable[[#This Row],[Profit]]&lt;0), "Discount loss", "Safe")</f>
        <v>Safe</v>
      </c>
      <c r="AB1742" s="25">
        <f>(SalesCleanTable[[#This Row],[Unit Price]] - SalesCleanTable[[#This Row],[Unit Cost]]) / SalesCleanTable[[#This Row],[Unit Price]]</f>
        <v>0.36842105263157893</v>
      </c>
      <c r="AC1742" t="str">
        <f>IF(SalesCleanTable[[#This Row],[Discount %]] &gt; SalesCleanTable[[#This Row],[Max Allowed Discount]], "Discount loss", "Safe")</f>
        <v>Safe</v>
      </c>
      <c r="AD1742" s="4">
        <f>SalesCleanTable[[#This Row],[Unit Price]] - SalesCleanTable[[#This Row],[Unit Cost]]</f>
        <v>700</v>
      </c>
      <c r="AE1742" s="41">
        <f>(SalesCleanTable[[#This Row],[Unit Price]] - SalesCleanTable[[#This Row],[Unit Cost]]) / SalesCleanTable[[#This Row],[Unit Price]]</f>
        <v>0.36842105263157893</v>
      </c>
    </row>
    <row r="1743" spans="1:31">
      <c r="A1743" t="s">
        <v>1929</v>
      </c>
      <c r="B1743" s="6">
        <v>46017</v>
      </c>
      <c r="C1743" t="s">
        <v>116</v>
      </c>
      <c r="D1743" t="s">
        <v>117</v>
      </c>
      <c r="E1743" t="s">
        <v>109</v>
      </c>
      <c r="F1743" t="s">
        <v>118</v>
      </c>
      <c r="G1743" t="s">
        <v>119</v>
      </c>
      <c r="H1743" t="s">
        <v>145</v>
      </c>
      <c r="I1743" t="s">
        <v>146</v>
      </c>
      <c r="J1743" t="s">
        <v>147</v>
      </c>
      <c r="K1743" t="s">
        <v>148</v>
      </c>
      <c r="L1743" t="s">
        <v>166</v>
      </c>
      <c r="M1743" t="s">
        <v>171</v>
      </c>
      <c r="N1743">
        <v>5</v>
      </c>
      <c r="O1743" s="4">
        <v>2800</v>
      </c>
      <c r="P1743" s="4">
        <v>4200</v>
      </c>
      <c r="Q1743" s="7">
        <v>0.05</v>
      </c>
      <c r="R1743" t="s">
        <v>220</v>
      </c>
      <c r="S1743">
        <v>7</v>
      </c>
      <c r="T1743">
        <v>21000</v>
      </c>
      <c r="U1743">
        <v>1050</v>
      </c>
      <c r="V1743">
        <v>19950</v>
      </c>
      <c r="W1743">
        <v>14000</v>
      </c>
      <c r="X1743">
        <v>5950</v>
      </c>
      <c r="Y1743" s="8">
        <v>0.2982456140350877</v>
      </c>
      <c r="Z1743" t="s">
        <v>2995</v>
      </c>
      <c r="AA1743" t="str">
        <f>IF(AND(SalesCleanTable[[#This Row],[Discount %]]&gt;0, SalesCleanTable[[#This Row],[Profit]]&lt;0), "Discount loss", "Safe")</f>
        <v>Safe</v>
      </c>
      <c r="AB1743" s="25">
        <f>(SalesCleanTable[[#This Row],[Unit Price]] - SalesCleanTable[[#This Row],[Unit Cost]]) / SalesCleanTable[[#This Row],[Unit Price]]</f>
        <v>0.33333333333333331</v>
      </c>
      <c r="AC1743" t="str">
        <f>IF(SalesCleanTable[[#This Row],[Discount %]] &gt; SalesCleanTable[[#This Row],[Max Allowed Discount]], "Discount loss", "Safe")</f>
        <v>Safe</v>
      </c>
      <c r="AD1743" s="4">
        <f>SalesCleanTable[[#This Row],[Unit Price]] - SalesCleanTable[[#This Row],[Unit Cost]]</f>
        <v>1400</v>
      </c>
      <c r="AE1743" s="41">
        <f>(SalesCleanTable[[#This Row],[Unit Price]] - SalesCleanTable[[#This Row],[Unit Cost]]) / SalesCleanTable[[#This Row],[Unit Price]]</f>
        <v>0.33333333333333331</v>
      </c>
    </row>
    <row r="1744" spans="1:31">
      <c r="A1744" t="s">
        <v>1930</v>
      </c>
      <c r="B1744" s="6">
        <v>45988</v>
      </c>
      <c r="C1744" t="s">
        <v>53</v>
      </c>
      <c r="D1744" t="s">
        <v>54</v>
      </c>
      <c r="E1744" t="s">
        <v>38</v>
      </c>
      <c r="F1744" t="s">
        <v>55</v>
      </c>
      <c r="G1744" t="s">
        <v>56</v>
      </c>
      <c r="H1744" t="s">
        <v>145</v>
      </c>
      <c r="I1744" t="s">
        <v>146</v>
      </c>
      <c r="J1744" t="s">
        <v>147</v>
      </c>
      <c r="K1744" t="s">
        <v>148</v>
      </c>
      <c r="L1744" t="s">
        <v>166</v>
      </c>
      <c r="M1744" t="s">
        <v>167</v>
      </c>
      <c r="N1744">
        <v>3</v>
      </c>
      <c r="O1744" s="4">
        <v>330</v>
      </c>
      <c r="P1744" s="4">
        <v>550</v>
      </c>
      <c r="Q1744" s="7">
        <v>0</v>
      </c>
      <c r="R1744" t="s">
        <v>178</v>
      </c>
      <c r="S1744">
        <v>10</v>
      </c>
      <c r="T1744">
        <v>1650</v>
      </c>
      <c r="U1744">
        <v>0</v>
      </c>
      <c r="V1744">
        <v>1650</v>
      </c>
      <c r="W1744">
        <v>990</v>
      </c>
      <c r="X1744">
        <v>660</v>
      </c>
      <c r="Y1744" s="8">
        <v>0.4</v>
      </c>
      <c r="Z1744" t="s">
        <v>2996</v>
      </c>
      <c r="AA1744" t="str">
        <f>IF(AND(SalesCleanTable[[#This Row],[Discount %]]&gt;0, SalesCleanTable[[#This Row],[Profit]]&lt;0), "Discount loss", "Safe")</f>
        <v>Safe</v>
      </c>
      <c r="AB1744" s="25">
        <f>(SalesCleanTable[[#This Row],[Unit Price]] - SalesCleanTable[[#This Row],[Unit Cost]]) / SalesCleanTable[[#This Row],[Unit Price]]</f>
        <v>0.4</v>
      </c>
      <c r="AC1744" t="str">
        <f>IF(SalesCleanTable[[#This Row],[Discount %]] &gt; SalesCleanTable[[#This Row],[Max Allowed Discount]], "Discount loss", "Safe")</f>
        <v>Safe</v>
      </c>
      <c r="AD1744" s="4">
        <f>SalesCleanTable[[#This Row],[Unit Price]] - SalesCleanTable[[#This Row],[Unit Cost]]</f>
        <v>220</v>
      </c>
      <c r="AE1744" s="41">
        <f>(SalesCleanTable[[#This Row],[Unit Price]] - SalesCleanTable[[#This Row],[Unit Cost]]) / SalesCleanTable[[#This Row],[Unit Price]]</f>
        <v>0.4</v>
      </c>
    </row>
    <row r="1745" spans="1:31">
      <c r="A1745" t="s">
        <v>1931</v>
      </c>
      <c r="B1745" s="6">
        <v>45787</v>
      </c>
      <c r="C1745" t="s">
        <v>66</v>
      </c>
      <c r="D1745" t="s">
        <v>67</v>
      </c>
      <c r="E1745" t="s">
        <v>59</v>
      </c>
      <c r="F1745" t="s">
        <v>60</v>
      </c>
      <c r="G1745" t="s">
        <v>68</v>
      </c>
      <c r="H1745" t="s">
        <v>153</v>
      </c>
      <c r="I1745" t="s">
        <v>154</v>
      </c>
      <c r="J1745" t="s">
        <v>155</v>
      </c>
      <c r="K1745" t="s">
        <v>131</v>
      </c>
      <c r="L1745" t="s">
        <v>166</v>
      </c>
      <c r="M1745" t="s">
        <v>171</v>
      </c>
      <c r="N1745">
        <v>3</v>
      </c>
      <c r="O1745" s="4">
        <v>2800</v>
      </c>
      <c r="P1745" s="4">
        <v>3900</v>
      </c>
      <c r="Q1745" s="7">
        <v>0.1</v>
      </c>
      <c r="R1745" t="s">
        <v>173</v>
      </c>
      <c r="S1745">
        <v>14</v>
      </c>
      <c r="T1745">
        <v>11700</v>
      </c>
      <c r="U1745">
        <v>1170</v>
      </c>
      <c r="V1745">
        <v>10530</v>
      </c>
      <c r="W1745">
        <v>8400</v>
      </c>
      <c r="X1745">
        <v>2130</v>
      </c>
      <c r="Y1745" s="8">
        <v>0.20227920227920229</v>
      </c>
      <c r="Z1745" t="s">
        <v>2996</v>
      </c>
      <c r="AA1745" t="str">
        <f>IF(AND(SalesCleanTable[[#This Row],[Discount %]]&gt;0, SalesCleanTable[[#This Row],[Profit]]&lt;0), "Discount loss", "Safe")</f>
        <v>Safe</v>
      </c>
      <c r="AB1745" s="25">
        <f>(SalesCleanTable[[#This Row],[Unit Price]] - SalesCleanTable[[#This Row],[Unit Cost]]) / SalesCleanTable[[#This Row],[Unit Price]]</f>
        <v>0.28205128205128205</v>
      </c>
      <c r="AC1745" t="str">
        <f>IF(SalesCleanTable[[#This Row],[Discount %]] &gt; SalesCleanTable[[#This Row],[Max Allowed Discount]], "Discount loss", "Safe")</f>
        <v>Safe</v>
      </c>
      <c r="AD1745" s="4">
        <f>SalesCleanTable[[#This Row],[Unit Price]] - SalesCleanTable[[#This Row],[Unit Cost]]</f>
        <v>1100</v>
      </c>
      <c r="AE1745" s="41">
        <f>(SalesCleanTable[[#This Row],[Unit Price]] - SalesCleanTable[[#This Row],[Unit Cost]]) / SalesCleanTable[[#This Row],[Unit Price]]</f>
        <v>0.28205128205128205</v>
      </c>
    </row>
    <row r="1746" spans="1:31">
      <c r="A1746" t="s">
        <v>1932</v>
      </c>
      <c r="B1746" s="6">
        <v>45956</v>
      </c>
      <c r="C1746" t="s">
        <v>53</v>
      </c>
      <c r="D1746" t="s">
        <v>54</v>
      </c>
      <c r="E1746" t="s">
        <v>38</v>
      </c>
      <c r="F1746" t="s">
        <v>55</v>
      </c>
      <c r="G1746" t="s">
        <v>56</v>
      </c>
      <c r="H1746" t="s">
        <v>133</v>
      </c>
      <c r="I1746" t="s">
        <v>134</v>
      </c>
      <c r="J1746" t="s">
        <v>130</v>
      </c>
      <c r="K1746" t="s">
        <v>131</v>
      </c>
      <c r="L1746" t="s">
        <v>166</v>
      </c>
      <c r="M1746" t="s">
        <v>167</v>
      </c>
      <c r="N1746">
        <v>1</v>
      </c>
      <c r="O1746" s="4">
        <v>330</v>
      </c>
      <c r="P1746" s="4">
        <v>550</v>
      </c>
      <c r="Q1746" s="7">
        <v>0</v>
      </c>
      <c r="R1746" t="s">
        <v>168</v>
      </c>
      <c r="S1746">
        <v>8</v>
      </c>
      <c r="T1746">
        <v>550</v>
      </c>
      <c r="U1746">
        <v>0</v>
      </c>
      <c r="V1746">
        <v>550</v>
      </c>
      <c r="W1746">
        <v>330</v>
      </c>
      <c r="X1746">
        <v>220</v>
      </c>
      <c r="Y1746" s="8">
        <v>0.4</v>
      </c>
      <c r="Z1746" t="s">
        <v>2996</v>
      </c>
      <c r="AA1746" t="str">
        <f>IF(AND(SalesCleanTable[[#This Row],[Discount %]]&gt;0, SalesCleanTable[[#This Row],[Profit]]&lt;0), "Discount loss", "Safe")</f>
        <v>Safe</v>
      </c>
      <c r="AB1746" s="25">
        <f>(SalesCleanTable[[#This Row],[Unit Price]] - SalesCleanTable[[#This Row],[Unit Cost]]) / SalesCleanTable[[#This Row],[Unit Price]]</f>
        <v>0.4</v>
      </c>
      <c r="AC1746" t="str">
        <f>IF(SalesCleanTable[[#This Row],[Discount %]] &gt; SalesCleanTable[[#This Row],[Max Allowed Discount]], "Discount loss", "Safe")</f>
        <v>Safe</v>
      </c>
      <c r="AD1746" s="4">
        <f>SalesCleanTable[[#This Row],[Unit Price]] - SalesCleanTable[[#This Row],[Unit Cost]]</f>
        <v>220</v>
      </c>
      <c r="AE1746" s="41">
        <f>(SalesCleanTable[[#This Row],[Unit Price]] - SalesCleanTable[[#This Row],[Unit Cost]]) / SalesCleanTable[[#This Row],[Unit Price]]</f>
        <v>0.4</v>
      </c>
    </row>
    <row r="1747" spans="1:31">
      <c r="A1747" t="s">
        <v>1933</v>
      </c>
      <c r="B1747" s="6">
        <v>45912</v>
      </c>
      <c r="C1747" t="s">
        <v>82</v>
      </c>
      <c r="D1747" t="s">
        <v>83</v>
      </c>
      <c r="E1747" t="s">
        <v>75</v>
      </c>
      <c r="F1747" t="s">
        <v>84</v>
      </c>
      <c r="G1747" t="s">
        <v>85</v>
      </c>
      <c r="H1747" t="s">
        <v>133</v>
      </c>
      <c r="I1747" t="s">
        <v>134</v>
      </c>
      <c r="J1747" t="s">
        <v>130</v>
      </c>
      <c r="K1747" t="s">
        <v>131</v>
      </c>
      <c r="L1747" t="s">
        <v>166</v>
      </c>
      <c r="M1747" t="s">
        <v>171</v>
      </c>
      <c r="N1747">
        <v>4</v>
      </c>
      <c r="O1747" s="4">
        <v>600</v>
      </c>
      <c r="P1747" s="4">
        <v>950</v>
      </c>
      <c r="Q1747" s="7">
        <v>0.15</v>
      </c>
      <c r="R1747" t="s">
        <v>204</v>
      </c>
      <c r="S1747">
        <v>4</v>
      </c>
      <c r="T1747">
        <v>3800</v>
      </c>
      <c r="U1747">
        <v>570</v>
      </c>
      <c r="V1747">
        <v>3230</v>
      </c>
      <c r="W1747">
        <v>2400</v>
      </c>
      <c r="X1747">
        <v>830</v>
      </c>
      <c r="Y1747" s="8">
        <v>0.25696594427244585</v>
      </c>
      <c r="Z1747" t="s">
        <v>2996</v>
      </c>
      <c r="AA1747" t="str">
        <f>IF(AND(SalesCleanTable[[#This Row],[Discount %]]&gt;0, SalesCleanTable[[#This Row],[Profit]]&lt;0), "Discount loss", "Safe")</f>
        <v>Safe</v>
      </c>
      <c r="AB1747" s="25">
        <f>(SalesCleanTable[[#This Row],[Unit Price]] - SalesCleanTable[[#This Row],[Unit Cost]]) / SalesCleanTable[[#This Row],[Unit Price]]</f>
        <v>0.36842105263157893</v>
      </c>
      <c r="AC1747" t="str">
        <f>IF(SalesCleanTable[[#This Row],[Discount %]] &gt; SalesCleanTable[[#This Row],[Max Allowed Discount]], "Discount loss", "Safe")</f>
        <v>Safe</v>
      </c>
      <c r="AD1747" s="4">
        <f>SalesCleanTable[[#This Row],[Unit Price]] - SalesCleanTable[[#This Row],[Unit Cost]]</f>
        <v>350</v>
      </c>
      <c r="AE1747" s="41">
        <f>(SalesCleanTable[[#This Row],[Unit Price]] - SalesCleanTable[[#This Row],[Unit Cost]]) / SalesCleanTable[[#This Row],[Unit Price]]</f>
        <v>0.36842105263157893</v>
      </c>
    </row>
    <row r="1748" spans="1:31">
      <c r="A1748" t="s">
        <v>1934</v>
      </c>
      <c r="B1748" s="6">
        <v>45672</v>
      </c>
      <c r="C1748" t="s">
        <v>95</v>
      </c>
      <c r="D1748" t="s">
        <v>96</v>
      </c>
      <c r="E1748" t="s">
        <v>92</v>
      </c>
      <c r="F1748" t="s">
        <v>97</v>
      </c>
      <c r="G1748" t="s">
        <v>98</v>
      </c>
      <c r="H1748" t="s">
        <v>145</v>
      </c>
      <c r="I1748" t="s">
        <v>146</v>
      </c>
      <c r="J1748" t="s">
        <v>147</v>
      </c>
      <c r="K1748" t="s">
        <v>148</v>
      </c>
      <c r="L1748" t="s">
        <v>166</v>
      </c>
      <c r="M1748" t="s">
        <v>171</v>
      </c>
      <c r="N1748">
        <v>1</v>
      </c>
      <c r="O1748" s="4">
        <v>18000</v>
      </c>
      <c r="P1748" s="4">
        <v>24500</v>
      </c>
      <c r="Q1748" s="7">
        <v>0.15</v>
      </c>
      <c r="R1748" t="s">
        <v>181</v>
      </c>
      <c r="S1748">
        <v>9</v>
      </c>
      <c r="T1748">
        <v>24500</v>
      </c>
      <c r="U1748">
        <v>3675</v>
      </c>
      <c r="V1748">
        <v>20825</v>
      </c>
      <c r="W1748">
        <v>18000</v>
      </c>
      <c r="X1748">
        <v>2825</v>
      </c>
      <c r="Y1748" s="8">
        <v>0.13565426170468187</v>
      </c>
      <c r="Z1748" t="s">
        <v>2995</v>
      </c>
      <c r="AA1748" t="str">
        <f>IF(AND(SalesCleanTable[[#This Row],[Discount %]]&gt;0, SalesCleanTable[[#This Row],[Profit]]&lt;0), "Discount loss", "Safe")</f>
        <v>Safe</v>
      </c>
      <c r="AB1748" s="25">
        <f>(SalesCleanTable[[#This Row],[Unit Price]] - SalesCleanTable[[#This Row],[Unit Cost]]) / SalesCleanTable[[#This Row],[Unit Price]]</f>
        <v>0.26530612244897961</v>
      </c>
      <c r="AC1748" t="str">
        <f>IF(SalesCleanTable[[#This Row],[Discount %]] &gt; SalesCleanTable[[#This Row],[Max Allowed Discount]], "Discount loss", "Safe")</f>
        <v>Safe</v>
      </c>
      <c r="AD1748" s="4">
        <f>SalesCleanTable[[#This Row],[Unit Price]] - SalesCleanTable[[#This Row],[Unit Cost]]</f>
        <v>6500</v>
      </c>
      <c r="AE1748" s="41">
        <f>(SalesCleanTable[[#This Row],[Unit Price]] - SalesCleanTable[[#This Row],[Unit Cost]]) / SalesCleanTable[[#This Row],[Unit Price]]</f>
        <v>0.26530612244897961</v>
      </c>
    </row>
    <row r="1749" spans="1:31">
      <c r="A1749" t="s">
        <v>1935</v>
      </c>
      <c r="B1749" s="6">
        <v>45677</v>
      </c>
      <c r="C1749" t="s">
        <v>103</v>
      </c>
      <c r="D1749" t="s">
        <v>104</v>
      </c>
      <c r="E1749" t="s">
        <v>92</v>
      </c>
      <c r="F1749" t="s">
        <v>105</v>
      </c>
      <c r="G1749" t="s">
        <v>106</v>
      </c>
      <c r="H1749" t="s">
        <v>135</v>
      </c>
      <c r="I1749" t="s">
        <v>136</v>
      </c>
      <c r="J1749" t="s">
        <v>137</v>
      </c>
      <c r="K1749" t="s">
        <v>138</v>
      </c>
      <c r="L1749" t="s">
        <v>170</v>
      </c>
      <c r="M1749" t="s">
        <v>171</v>
      </c>
      <c r="N1749">
        <v>3</v>
      </c>
      <c r="O1749" s="4">
        <v>1500</v>
      </c>
      <c r="P1749" s="4">
        <v>2500</v>
      </c>
      <c r="Q1749" s="7">
        <v>0.1</v>
      </c>
      <c r="R1749" t="s">
        <v>215</v>
      </c>
      <c r="S1749">
        <v>9</v>
      </c>
      <c r="T1749">
        <v>7500</v>
      </c>
      <c r="U1749">
        <v>750</v>
      </c>
      <c r="V1749">
        <v>6750</v>
      </c>
      <c r="W1749">
        <v>4500</v>
      </c>
      <c r="X1749">
        <v>2250</v>
      </c>
      <c r="Y1749" s="8">
        <v>0.33333333333333331</v>
      </c>
      <c r="Z1749" t="s">
        <v>2996</v>
      </c>
      <c r="AA1749" t="str">
        <f>IF(AND(SalesCleanTable[[#This Row],[Discount %]]&gt;0, SalesCleanTable[[#This Row],[Profit]]&lt;0), "Discount loss", "Safe")</f>
        <v>Safe</v>
      </c>
      <c r="AB1749" s="25">
        <f>(SalesCleanTable[[#This Row],[Unit Price]] - SalesCleanTable[[#This Row],[Unit Cost]]) / SalesCleanTable[[#This Row],[Unit Price]]</f>
        <v>0.4</v>
      </c>
      <c r="AC1749" t="str">
        <f>IF(SalesCleanTable[[#This Row],[Discount %]] &gt; SalesCleanTable[[#This Row],[Max Allowed Discount]], "Discount loss", "Safe")</f>
        <v>Safe</v>
      </c>
      <c r="AD1749" s="4">
        <f>SalesCleanTable[[#This Row],[Unit Price]] - SalesCleanTable[[#This Row],[Unit Cost]]</f>
        <v>1000</v>
      </c>
      <c r="AE1749" s="41">
        <f>(SalesCleanTable[[#This Row],[Unit Price]] - SalesCleanTable[[#This Row],[Unit Cost]]) / SalesCleanTable[[#This Row],[Unit Price]]</f>
        <v>0.4</v>
      </c>
    </row>
    <row r="1750" spans="1:31">
      <c r="A1750" t="s">
        <v>1936</v>
      </c>
      <c r="B1750" s="6">
        <v>45949</v>
      </c>
      <c r="C1750" t="s">
        <v>53</v>
      </c>
      <c r="D1750" t="s">
        <v>54</v>
      </c>
      <c r="E1750" t="s">
        <v>38</v>
      </c>
      <c r="F1750" t="s">
        <v>55</v>
      </c>
      <c r="G1750" t="s">
        <v>56</v>
      </c>
      <c r="H1750" t="s">
        <v>141</v>
      </c>
      <c r="I1750" t="s">
        <v>142</v>
      </c>
      <c r="J1750" t="s">
        <v>143</v>
      </c>
      <c r="K1750" t="s">
        <v>144</v>
      </c>
      <c r="L1750" t="s">
        <v>183</v>
      </c>
      <c r="M1750" t="s">
        <v>171</v>
      </c>
      <c r="N1750">
        <v>4</v>
      </c>
      <c r="O1750" s="4">
        <v>330</v>
      </c>
      <c r="P1750" s="4">
        <v>550</v>
      </c>
      <c r="Q1750" s="7">
        <v>0.1</v>
      </c>
      <c r="R1750" t="s">
        <v>175</v>
      </c>
      <c r="S1750">
        <v>3</v>
      </c>
      <c r="T1750">
        <v>2200</v>
      </c>
      <c r="U1750">
        <v>220</v>
      </c>
      <c r="V1750">
        <v>1980</v>
      </c>
      <c r="W1750">
        <v>1320</v>
      </c>
      <c r="X1750">
        <v>660</v>
      </c>
      <c r="Y1750" s="8">
        <v>0.33333333333333331</v>
      </c>
      <c r="Z1750" t="s">
        <v>2996</v>
      </c>
      <c r="AA1750" t="str">
        <f>IF(AND(SalesCleanTable[[#This Row],[Discount %]]&gt;0, SalesCleanTable[[#This Row],[Profit]]&lt;0), "Discount loss", "Safe")</f>
        <v>Safe</v>
      </c>
      <c r="AB1750" s="25">
        <f>(SalesCleanTable[[#This Row],[Unit Price]] - SalesCleanTable[[#This Row],[Unit Cost]]) / SalesCleanTable[[#This Row],[Unit Price]]</f>
        <v>0.4</v>
      </c>
      <c r="AC1750" t="str">
        <f>IF(SalesCleanTable[[#This Row],[Discount %]] &gt; SalesCleanTable[[#This Row],[Max Allowed Discount]], "Discount loss", "Safe")</f>
        <v>Safe</v>
      </c>
      <c r="AD1750" s="4">
        <f>SalesCleanTable[[#This Row],[Unit Price]] - SalesCleanTable[[#This Row],[Unit Cost]]</f>
        <v>220</v>
      </c>
      <c r="AE1750" s="41">
        <f>(SalesCleanTable[[#This Row],[Unit Price]] - SalesCleanTable[[#This Row],[Unit Cost]]) / SalesCleanTable[[#This Row],[Unit Price]]</f>
        <v>0.4</v>
      </c>
    </row>
    <row r="1751" spans="1:31">
      <c r="A1751" t="s">
        <v>1937</v>
      </c>
      <c r="B1751" s="6">
        <v>45931</v>
      </c>
      <c r="C1751" t="s">
        <v>49</v>
      </c>
      <c r="D1751" t="s">
        <v>50</v>
      </c>
      <c r="E1751" t="s">
        <v>38</v>
      </c>
      <c r="F1751" t="s">
        <v>51</v>
      </c>
      <c r="G1751" t="s">
        <v>52</v>
      </c>
      <c r="H1751" t="s">
        <v>128</v>
      </c>
      <c r="I1751" t="s">
        <v>129</v>
      </c>
      <c r="J1751" t="s">
        <v>130</v>
      </c>
      <c r="K1751" t="s">
        <v>131</v>
      </c>
      <c r="L1751" t="s">
        <v>170</v>
      </c>
      <c r="M1751" t="s">
        <v>171</v>
      </c>
      <c r="N1751">
        <v>5</v>
      </c>
      <c r="O1751" s="4">
        <v>550</v>
      </c>
      <c r="P1751" s="4">
        <v>850</v>
      </c>
      <c r="Q1751" s="7">
        <v>0.1</v>
      </c>
      <c r="R1751" t="s">
        <v>178</v>
      </c>
      <c r="S1751">
        <v>1</v>
      </c>
      <c r="T1751">
        <v>4250</v>
      </c>
      <c r="U1751">
        <v>425</v>
      </c>
      <c r="V1751">
        <v>3825</v>
      </c>
      <c r="W1751">
        <v>2750</v>
      </c>
      <c r="X1751">
        <v>1075</v>
      </c>
      <c r="Y1751" s="8">
        <v>0.28104575163398693</v>
      </c>
      <c r="Z1751" t="s">
        <v>2996</v>
      </c>
      <c r="AA1751" t="str">
        <f>IF(AND(SalesCleanTable[[#This Row],[Discount %]]&gt;0, SalesCleanTable[[#This Row],[Profit]]&lt;0), "Discount loss", "Safe")</f>
        <v>Safe</v>
      </c>
      <c r="AB1751" s="25">
        <f>(SalesCleanTable[[#This Row],[Unit Price]] - SalesCleanTable[[#This Row],[Unit Cost]]) / SalesCleanTable[[#This Row],[Unit Price]]</f>
        <v>0.35294117647058826</v>
      </c>
      <c r="AC1751" t="str">
        <f>IF(SalesCleanTable[[#This Row],[Discount %]] &gt; SalesCleanTable[[#This Row],[Max Allowed Discount]], "Discount loss", "Safe")</f>
        <v>Safe</v>
      </c>
      <c r="AD1751" s="4">
        <f>SalesCleanTable[[#This Row],[Unit Price]] - SalesCleanTable[[#This Row],[Unit Cost]]</f>
        <v>300</v>
      </c>
      <c r="AE1751" s="41">
        <f>(SalesCleanTable[[#This Row],[Unit Price]] - SalesCleanTable[[#This Row],[Unit Cost]]) / SalesCleanTable[[#This Row],[Unit Price]]</f>
        <v>0.35294117647058826</v>
      </c>
    </row>
    <row r="1752" spans="1:31">
      <c r="A1752" t="s">
        <v>1938</v>
      </c>
      <c r="B1752" s="6">
        <v>45812</v>
      </c>
      <c r="C1752" t="s">
        <v>41</v>
      </c>
      <c r="D1752" t="s">
        <v>42</v>
      </c>
      <c r="E1752" t="s">
        <v>26</v>
      </c>
      <c r="F1752" t="s">
        <v>43</v>
      </c>
      <c r="G1752" t="s">
        <v>44</v>
      </c>
      <c r="H1752" t="s">
        <v>135</v>
      </c>
      <c r="I1752" t="s">
        <v>136</v>
      </c>
      <c r="J1752" t="s">
        <v>137</v>
      </c>
      <c r="K1752" t="s">
        <v>138</v>
      </c>
      <c r="L1752" t="s">
        <v>183</v>
      </c>
      <c r="M1752" t="s">
        <v>186</v>
      </c>
      <c r="N1752">
        <v>1</v>
      </c>
      <c r="O1752" s="4">
        <v>850</v>
      </c>
      <c r="P1752" s="4">
        <v>1300</v>
      </c>
      <c r="Q1752" s="7">
        <v>0.1</v>
      </c>
      <c r="R1752" t="s">
        <v>194</v>
      </c>
      <c r="S1752">
        <v>2</v>
      </c>
      <c r="T1752">
        <v>1300</v>
      </c>
      <c r="U1752">
        <v>130</v>
      </c>
      <c r="V1752">
        <v>1170</v>
      </c>
      <c r="W1752">
        <v>850</v>
      </c>
      <c r="X1752">
        <v>320</v>
      </c>
      <c r="Y1752" s="8">
        <v>0.27350427350427353</v>
      </c>
      <c r="Z1752" t="s">
        <v>2995</v>
      </c>
      <c r="AA1752" t="str">
        <f>IF(AND(SalesCleanTable[[#This Row],[Discount %]]&gt;0, SalesCleanTable[[#This Row],[Profit]]&lt;0), "Discount loss", "Safe")</f>
        <v>Safe</v>
      </c>
      <c r="AB1752" s="25">
        <f>(SalesCleanTable[[#This Row],[Unit Price]] - SalesCleanTable[[#This Row],[Unit Cost]]) / SalesCleanTable[[#This Row],[Unit Price]]</f>
        <v>0.34615384615384615</v>
      </c>
      <c r="AC1752" t="str">
        <f>IF(SalesCleanTable[[#This Row],[Discount %]] &gt; SalesCleanTable[[#This Row],[Max Allowed Discount]], "Discount loss", "Safe")</f>
        <v>Safe</v>
      </c>
      <c r="AD1752" s="4">
        <f>SalesCleanTable[[#This Row],[Unit Price]] - SalesCleanTable[[#This Row],[Unit Cost]]</f>
        <v>450</v>
      </c>
      <c r="AE1752" s="41">
        <f>(SalesCleanTable[[#This Row],[Unit Price]] - SalesCleanTable[[#This Row],[Unit Cost]]) / SalesCleanTable[[#This Row],[Unit Price]]</f>
        <v>0.34615384615384615</v>
      </c>
    </row>
    <row r="1753" spans="1:31">
      <c r="A1753" t="s">
        <v>1939</v>
      </c>
      <c r="B1753" s="6">
        <v>45741</v>
      </c>
      <c r="C1753" t="s">
        <v>116</v>
      </c>
      <c r="D1753" t="s">
        <v>117</v>
      </c>
      <c r="E1753" t="s">
        <v>109</v>
      </c>
      <c r="F1753" t="s">
        <v>118</v>
      </c>
      <c r="G1753" t="s">
        <v>119</v>
      </c>
      <c r="H1753" t="s">
        <v>149</v>
      </c>
      <c r="I1753" t="s">
        <v>150</v>
      </c>
      <c r="J1753" t="s">
        <v>151</v>
      </c>
      <c r="K1753" t="s">
        <v>152</v>
      </c>
      <c r="L1753" t="s">
        <v>166</v>
      </c>
      <c r="M1753" t="s">
        <v>171</v>
      </c>
      <c r="N1753">
        <v>3</v>
      </c>
      <c r="O1753" s="4">
        <v>2800</v>
      </c>
      <c r="P1753" s="4">
        <v>4200</v>
      </c>
      <c r="Q1753" s="7">
        <v>0.2</v>
      </c>
      <c r="R1753" t="s">
        <v>184</v>
      </c>
      <c r="S1753">
        <v>10</v>
      </c>
      <c r="T1753">
        <v>12600</v>
      </c>
      <c r="U1753">
        <v>2520</v>
      </c>
      <c r="V1753">
        <v>10080</v>
      </c>
      <c r="W1753">
        <v>8400</v>
      </c>
      <c r="X1753">
        <v>1680</v>
      </c>
      <c r="Y1753" s="8">
        <v>0.16666666666666666</v>
      </c>
      <c r="Z1753" t="s">
        <v>2995</v>
      </c>
      <c r="AA1753" t="str">
        <f>IF(AND(SalesCleanTable[[#This Row],[Discount %]]&gt;0, SalesCleanTable[[#This Row],[Profit]]&lt;0), "Discount loss", "Safe")</f>
        <v>Safe</v>
      </c>
      <c r="AB1753" s="25">
        <f>(SalesCleanTable[[#This Row],[Unit Price]] - SalesCleanTable[[#This Row],[Unit Cost]]) / SalesCleanTable[[#This Row],[Unit Price]]</f>
        <v>0.33333333333333331</v>
      </c>
      <c r="AC1753" t="str">
        <f>IF(SalesCleanTable[[#This Row],[Discount %]] &gt; SalesCleanTable[[#This Row],[Max Allowed Discount]], "Discount loss", "Safe")</f>
        <v>Safe</v>
      </c>
      <c r="AD1753" s="4">
        <f>SalesCleanTable[[#This Row],[Unit Price]] - SalesCleanTable[[#This Row],[Unit Cost]]</f>
        <v>1400</v>
      </c>
      <c r="AE1753" s="41">
        <f>(SalesCleanTable[[#This Row],[Unit Price]] - SalesCleanTable[[#This Row],[Unit Cost]]) / SalesCleanTable[[#This Row],[Unit Price]]</f>
        <v>0.33333333333333331</v>
      </c>
    </row>
    <row r="1754" spans="1:31">
      <c r="A1754" t="s">
        <v>1940</v>
      </c>
      <c r="B1754" s="6">
        <v>45958</v>
      </c>
      <c r="C1754" t="s">
        <v>82</v>
      </c>
      <c r="D1754" t="s">
        <v>83</v>
      </c>
      <c r="E1754" t="s">
        <v>75</v>
      </c>
      <c r="F1754" t="s">
        <v>84</v>
      </c>
      <c r="G1754" t="s">
        <v>85</v>
      </c>
      <c r="H1754" t="s">
        <v>141</v>
      </c>
      <c r="I1754" t="s">
        <v>142</v>
      </c>
      <c r="J1754" t="s">
        <v>143</v>
      </c>
      <c r="K1754" t="s">
        <v>144</v>
      </c>
      <c r="L1754" t="s">
        <v>166</v>
      </c>
      <c r="M1754" t="s">
        <v>171</v>
      </c>
      <c r="N1754">
        <v>1</v>
      </c>
      <c r="O1754" s="4">
        <v>600</v>
      </c>
      <c r="P1754" s="4">
        <v>950</v>
      </c>
      <c r="Q1754" s="7">
        <v>0</v>
      </c>
      <c r="R1754" t="s">
        <v>204</v>
      </c>
      <c r="S1754">
        <v>4</v>
      </c>
      <c r="T1754">
        <v>950</v>
      </c>
      <c r="U1754">
        <v>0</v>
      </c>
      <c r="V1754">
        <v>950</v>
      </c>
      <c r="W1754">
        <v>600</v>
      </c>
      <c r="X1754">
        <v>350</v>
      </c>
      <c r="Y1754" s="8">
        <v>0.36842105263157893</v>
      </c>
      <c r="Z1754" t="s">
        <v>2996</v>
      </c>
      <c r="AA1754" t="str">
        <f>IF(AND(SalesCleanTable[[#This Row],[Discount %]]&gt;0, SalesCleanTable[[#This Row],[Profit]]&lt;0), "Discount loss", "Safe")</f>
        <v>Safe</v>
      </c>
      <c r="AB1754" s="25">
        <f>(SalesCleanTable[[#This Row],[Unit Price]] - SalesCleanTable[[#This Row],[Unit Cost]]) / SalesCleanTable[[#This Row],[Unit Price]]</f>
        <v>0.36842105263157893</v>
      </c>
      <c r="AC1754" t="str">
        <f>IF(SalesCleanTable[[#This Row],[Discount %]] &gt; SalesCleanTable[[#This Row],[Max Allowed Discount]], "Discount loss", "Safe")</f>
        <v>Safe</v>
      </c>
      <c r="AD1754" s="4">
        <f>SalesCleanTable[[#This Row],[Unit Price]] - SalesCleanTable[[#This Row],[Unit Cost]]</f>
        <v>350</v>
      </c>
      <c r="AE1754" s="41">
        <f>(SalesCleanTable[[#This Row],[Unit Price]] - SalesCleanTable[[#This Row],[Unit Cost]]) / SalesCleanTable[[#This Row],[Unit Price]]</f>
        <v>0.36842105263157893</v>
      </c>
    </row>
    <row r="1755" spans="1:31">
      <c r="A1755" t="s">
        <v>1941</v>
      </c>
      <c r="B1755" s="6">
        <v>45758</v>
      </c>
      <c r="C1755" t="s">
        <v>107</v>
      </c>
      <c r="D1755" t="s">
        <v>108</v>
      </c>
      <c r="E1755" t="s">
        <v>109</v>
      </c>
      <c r="F1755" t="s">
        <v>110</v>
      </c>
      <c r="G1755" t="s">
        <v>111</v>
      </c>
      <c r="H1755" t="s">
        <v>139</v>
      </c>
      <c r="I1755" t="s">
        <v>140</v>
      </c>
      <c r="J1755" t="s">
        <v>137</v>
      </c>
      <c r="K1755" t="s">
        <v>138</v>
      </c>
      <c r="L1755" t="s">
        <v>183</v>
      </c>
      <c r="M1755" t="s">
        <v>186</v>
      </c>
      <c r="N1755">
        <v>10</v>
      </c>
      <c r="O1755" s="4">
        <v>5200</v>
      </c>
      <c r="P1755" s="4">
        <v>7000</v>
      </c>
      <c r="Q1755" s="7">
        <v>0</v>
      </c>
      <c r="R1755" t="s">
        <v>184</v>
      </c>
      <c r="S1755">
        <v>2</v>
      </c>
      <c r="T1755">
        <v>70000</v>
      </c>
      <c r="U1755">
        <v>0</v>
      </c>
      <c r="V1755">
        <v>70000</v>
      </c>
      <c r="W1755">
        <v>52000</v>
      </c>
      <c r="X1755">
        <v>18000</v>
      </c>
      <c r="Y1755" s="8">
        <v>0.25714285714285712</v>
      </c>
      <c r="Z1755" t="s">
        <v>2997</v>
      </c>
      <c r="AA1755" t="str">
        <f>IF(AND(SalesCleanTable[[#This Row],[Discount %]]&gt;0, SalesCleanTable[[#This Row],[Profit]]&lt;0), "Discount loss", "Safe")</f>
        <v>Safe</v>
      </c>
      <c r="AB1755" s="25">
        <f>(SalesCleanTable[[#This Row],[Unit Price]] - SalesCleanTable[[#This Row],[Unit Cost]]) / SalesCleanTable[[#This Row],[Unit Price]]</f>
        <v>0.25714285714285712</v>
      </c>
      <c r="AC1755" t="str">
        <f>IF(SalesCleanTable[[#This Row],[Discount %]] &gt; SalesCleanTable[[#This Row],[Max Allowed Discount]], "Discount loss", "Safe")</f>
        <v>Safe</v>
      </c>
      <c r="AD1755" s="4">
        <f>SalesCleanTable[[#This Row],[Unit Price]] - SalesCleanTable[[#This Row],[Unit Cost]]</f>
        <v>1800</v>
      </c>
      <c r="AE1755" s="41">
        <f>(SalesCleanTable[[#This Row],[Unit Price]] - SalesCleanTable[[#This Row],[Unit Cost]]) / SalesCleanTable[[#This Row],[Unit Price]]</f>
        <v>0.25714285714285712</v>
      </c>
    </row>
    <row r="1756" spans="1:31">
      <c r="A1756" t="s">
        <v>1942</v>
      </c>
      <c r="B1756" s="6">
        <v>45682</v>
      </c>
      <c r="C1756" t="s">
        <v>73</v>
      </c>
      <c r="D1756" t="s">
        <v>74</v>
      </c>
      <c r="E1756" t="s">
        <v>75</v>
      </c>
      <c r="F1756" t="s">
        <v>76</v>
      </c>
      <c r="G1756" t="s">
        <v>77</v>
      </c>
      <c r="H1756" t="s">
        <v>145</v>
      </c>
      <c r="I1756" t="s">
        <v>146</v>
      </c>
      <c r="J1756" t="s">
        <v>147</v>
      </c>
      <c r="K1756" t="s">
        <v>148</v>
      </c>
      <c r="L1756" t="s">
        <v>183</v>
      </c>
      <c r="M1756" t="s">
        <v>171</v>
      </c>
      <c r="N1756">
        <v>1</v>
      </c>
      <c r="O1756" s="4">
        <v>3500</v>
      </c>
      <c r="P1756" s="4">
        <v>5200</v>
      </c>
      <c r="Q1756" s="7">
        <v>0</v>
      </c>
      <c r="R1756" t="s">
        <v>208</v>
      </c>
      <c r="S1756">
        <v>7</v>
      </c>
      <c r="T1756">
        <v>5200</v>
      </c>
      <c r="U1756">
        <v>0</v>
      </c>
      <c r="V1756">
        <v>5200</v>
      </c>
      <c r="W1756">
        <v>3500</v>
      </c>
      <c r="X1756">
        <v>1700</v>
      </c>
      <c r="Y1756" s="8">
        <v>0.32692307692307693</v>
      </c>
      <c r="Z1756" t="s">
        <v>2996</v>
      </c>
      <c r="AA1756" t="str">
        <f>IF(AND(SalesCleanTable[[#This Row],[Discount %]]&gt;0, SalesCleanTable[[#This Row],[Profit]]&lt;0), "Discount loss", "Safe")</f>
        <v>Safe</v>
      </c>
      <c r="AB1756" s="25">
        <f>(SalesCleanTable[[#This Row],[Unit Price]] - SalesCleanTable[[#This Row],[Unit Cost]]) / SalesCleanTable[[#This Row],[Unit Price]]</f>
        <v>0.32692307692307693</v>
      </c>
      <c r="AC1756" t="str">
        <f>IF(SalesCleanTable[[#This Row],[Discount %]] &gt; SalesCleanTable[[#This Row],[Max Allowed Discount]], "Discount loss", "Safe")</f>
        <v>Safe</v>
      </c>
      <c r="AD1756" s="4">
        <f>SalesCleanTable[[#This Row],[Unit Price]] - SalesCleanTable[[#This Row],[Unit Cost]]</f>
        <v>1700</v>
      </c>
      <c r="AE1756" s="41">
        <f>(SalesCleanTable[[#This Row],[Unit Price]] - SalesCleanTable[[#This Row],[Unit Cost]]) / SalesCleanTable[[#This Row],[Unit Price]]</f>
        <v>0.32692307692307693</v>
      </c>
    </row>
    <row r="1757" spans="1:31">
      <c r="A1757" t="s">
        <v>1943</v>
      </c>
      <c r="B1757" s="6">
        <v>45996</v>
      </c>
      <c r="C1757" t="s">
        <v>32</v>
      </c>
      <c r="D1757" t="s">
        <v>33</v>
      </c>
      <c r="E1757" t="s">
        <v>26</v>
      </c>
      <c r="F1757" t="s">
        <v>34</v>
      </c>
      <c r="G1757" t="s">
        <v>35</v>
      </c>
      <c r="H1757" t="s">
        <v>128</v>
      </c>
      <c r="I1757" t="s">
        <v>129</v>
      </c>
      <c r="J1757" t="s">
        <v>130</v>
      </c>
      <c r="K1757" t="s">
        <v>131</v>
      </c>
      <c r="L1757" t="s">
        <v>166</v>
      </c>
      <c r="M1757" t="s">
        <v>186</v>
      </c>
      <c r="N1757">
        <v>5</v>
      </c>
      <c r="O1757" s="4">
        <v>7800</v>
      </c>
      <c r="P1757" s="4">
        <v>9800</v>
      </c>
      <c r="Q1757" s="7">
        <v>0.1</v>
      </c>
      <c r="R1757" t="s">
        <v>197</v>
      </c>
      <c r="S1757">
        <v>3</v>
      </c>
      <c r="T1757">
        <v>49000</v>
      </c>
      <c r="U1757">
        <v>4900</v>
      </c>
      <c r="V1757">
        <v>44100</v>
      </c>
      <c r="W1757">
        <v>39000</v>
      </c>
      <c r="X1757">
        <v>5100</v>
      </c>
      <c r="Y1757" s="8">
        <v>0.11564625850340136</v>
      </c>
      <c r="Z1757" t="s">
        <v>2995</v>
      </c>
      <c r="AA1757" t="str">
        <f>IF(AND(SalesCleanTable[[#This Row],[Discount %]]&gt;0, SalesCleanTable[[#This Row],[Profit]]&lt;0), "Discount loss", "Safe")</f>
        <v>Safe</v>
      </c>
      <c r="AB1757" s="25">
        <f>(SalesCleanTable[[#This Row],[Unit Price]] - SalesCleanTable[[#This Row],[Unit Cost]]) / SalesCleanTable[[#This Row],[Unit Price]]</f>
        <v>0.20408163265306123</v>
      </c>
      <c r="AC1757" t="str">
        <f>IF(SalesCleanTable[[#This Row],[Discount %]] &gt; SalesCleanTable[[#This Row],[Max Allowed Discount]], "Discount loss", "Safe")</f>
        <v>Safe</v>
      </c>
      <c r="AD1757" s="4">
        <f>SalesCleanTable[[#This Row],[Unit Price]] - SalesCleanTable[[#This Row],[Unit Cost]]</f>
        <v>2000</v>
      </c>
      <c r="AE1757" s="41">
        <f>(SalesCleanTable[[#This Row],[Unit Price]] - SalesCleanTable[[#This Row],[Unit Cost]]) / SalesCleanTable[[#This Row],[Unit Price]]</f>
        <v>0.20408163265306123</v>
      </c>
    </row>
    <row r="1758" spans="1:31">
      <c r="A1758" t="s">
        <v>1944</v>
      </c>
      <c r="B1758" s="6">
        <v>45679</v>
      </c>
      <c r="C1758" t="s">
        <v>32</v>
      </c>
      <c r="D1758" t="s">
        <v>33</v>
      </c>
      <c r="E1758" t="s">
        <v>26</v>
      </c>
      <c r="F1758" t="s">
        <v>34</v>
      </c>
      <c r="G1758" t="s">
        <v>35</v>
      </c>
      <c r="H1758" t="s">
        <v>145</v>
      </c>
      <c r="I1758" t="s">
        <v>146</v>
      </c>
      <c r="J1758" t="s">
        <v>147</v>
      </c>
      <c r="K1758" t="s">
        <v>148</v>
      </c>
      <c r="L1758" t="s">
        <v>183</v>
      </c>
      <c r="M1758" t="s">
        <v>171</v>
      </c>
      <c r="N1758">
        <v>2</v>
      </c>
      <c r="O1758" s="4">
        <v>7800</v>
      </c>
      <c r="P1758" s="4">
        <v>9800</v>
      </c>
      <c r="Q1758" s="7">
        <v>0.1</v>
      </c>
      <c r="R1758" t="s">
        <v>194</v>
      </c>
      <c r="S1758">
        <v>4</v>
      </c>
      <c r="T1758">
        <v>19600</v>
      </c>
      <c r="U1758">
        <v>1960</v>
      </c>
      <c r="V1758">
        <v>17640</v>
      </c>
      <c r="W1758">
        <v>15600</v>
      </c>
      <c r="X1758">
        <v>2040</v>
      </c>
      <c r="Y1758" s="8">
        <v>0.11564625850340136</v>
      </c>
      <c r="Z1758" t="s">
        <v>2995</v>
      </c>
      <c r="AA1758" t="str">
        <f>IF(AND(SalesCleanTable[[#This Row],[Discount %]]&gt;0, SalesCleanTable[[#This Row],[Profit]]&lt;0), "Discount loss", "Safe")</f>
        <v>Safe</v>
      </c>
      <c r="AB1758" s="25">
        <f>(SalesCleanTable[[#This Row],[Unit Price]] - SalesCleanTable[[#This Row],[Unit Cost]]) / SalesCleanTable[[#This Row],[Unit Price]]</f>
        <v>0.20408163265306123</v>
      </c>
      <c r="AC1758" t="str">
        <f>IF(SalesCleanTable[[#This Row],[Discount %]] &gt; SalesCleanTable[[#This Row],[Max Allowed Discount]], "Discount loss", "Safe")</f>
        <v>Safe</v>
      </c>
      <c r="AD1758" s="4">
        <f>SalesCleanTable[[#This Row],[Unit Price]] - SalesCleanTable[[#This Row],[Unit Cost]]</f>
        <v>2000</v>
      </c>
      <c r="AE1758" s="41">
        <f>(SalesCleanTable[[#This Row],[Unit Price]] - SalesCleanTable[[#This Row],[Unit Cost]]) / SalesCleanTable[[#This Row],[Unit Price]]</f>
        <v>0.20408163265306123</v>
      </c>
    </row>
    <row r="1759" spans="1:31">
      <c r="A1759" t="s">
        <v>1945</v>
      </c>
      <c r="B1759" s="6">
        <v>45976</v>
      </c>
      <c r="C1759" t="s">
        <v>82</v>
      </c>
      <c r="D1759" t="s">
        <v>83</v>
      </c>
      <c r="E1759" t="s">
        <v>75</v>
      </c>
      <c r="F1759" t="s">
        <v>84</v>
      </c>
      <c r="G1759" t="s">
        <v>85</v>
      </c>
      <c r="H1759" t="s">
        <v>133</v>
      </c>
      <c r="I1759" t="s">
        <v>134</v>
      </c>
      <c r="J1759" t="s">
        <v>130</v>
      </c>
      <c r="K1759" t="s">
        <v>131</v>
      </c>
      <c r="L1759" t="s">
        <v>166</v>
      </c>
      <c r="M1759" t="s">
        <v>167</v>
      </c>
      <c r="N1759">
        <v>2</v>
      </c>
      <c r="O1759" s="4">
        <v>600</v>
      </c>
      <c r="P1759" s="4">
        <v>950</v>
      </c>
      <c r="Q1759" s="7">
        <v>0</v>
      </c>
      <c r="R1759" t="s">
        <v>187</v>
      </c>
      <c r="S1759">
        <v>11</v>
      </c>
      <c r="T1759">
        <v>1900</v>
      </c>
      <c r="U1759">
        <v>0</v>
      </c>
      <c r="V1759">
        <v>1900</v>
      </c>
      <c r="W1759">
        <v>1200</v>
      </c>
      <c r="X1759">
        <v>700</v>
      </c>
      <c r="Y1759" s="8">
        <v>0.36842105263157893</v>
      </c>
      <c r="Z1759" t="s">
        <v>2996</v>
      </c>
      <c r="AA1759" t="str">
        <f>IF(AND(SalesCleanTable[[#This Row],[Discount %]]&gt;0, SalesCleanTable[[#This Row],[Profit]]&lt;0), "Discount loss", "Safe")</f>
        <v>Safe</v>
      </c>
      <c r="AB1759" s="25">
        <f>(SalesCleanTable[[#This Row],[Unit Price]] - SalesCleanTable[[#This Row],[Unit Cost]]) / SalesCleanTable[[#This Row],[Unit Price]]</f>
        <v>0.36842105263157893</v>
      </c>
      <c r="AC1759" t="str">
        <f>IF(SalesCleanTable[[#This Row],[Discount %]] &gt; SalesCleanTable[[#This Row],[Max Allowed Discount]], "Discount loss", "Safe")</f>
        <v>Safe</v>
      </c>
      <c r="AD1759" s="4">
        <f>SalesCleanTable[[#This Row],[Unit Price]] - SalesCleanTable[[#This Row],[Unit Cost]]</f>
        <v>350</v>
      </c>
      <c r="AE1759" s="41">
        <f>(SalesCleanTable[[#This Row],[Unit Price]] - SalesCleanTable[[#This Row],[Unit Cost]]) / SalesCleanTable[[#This Row],[Unit Price]]</f>
        <v>0.36842105263157893</v>
      </c>
    </row>
    <row r="1760" spans="1:31">
      <c r="A1760" t="s">
        <v>1946</v>
      </c>
      <c r="B1760" s="6">
        <v>45991</v>
      </c>
      <c r="C1760" t="s">
        <v>103</v>
      </c>
      <c r="D1760" t="s">
        <v>104</v>
      </c>
      <c r="E1760" t="s">
        <v>92</v>
      </c>
      <c r="F1760" t="s">
        <v>105</v>
      </c>
      <c r="G1760" t="s">
        <v>106</v>
      </c>
      <c r="H1760" t="s">
        <v>145</v>
      </c>
      <c r="I1760" t="s">
        <v>146</v>
      </c>
      <c r="J1760" t="s">
        <v>147</v>
      </c>
      <c r="K1760" t="s">
        <v>148</v>
      </c>
      <c r="L1760" t="s">
        <v>183</v>
      </c>
      <c r="M1760" t="s">
        <v>167</v>
      </c>
      <c r="N1760">
        <v>5</v>
      </c>
      <c r="O1760" s="4">
        <v>1500</v>
      </c>
      <c r="P1760" s="4">
        <v>2500</v>
      </c>
      <c r="Q1760" s="7">
        <v>0</v>
      </c>
      <c r="R1760" t="s">
        <v>181</v>
      </c>
      <c r="S1760">
        <v>2</v>
      </c>
      <c r="T1760">
        <v>12500</v>
      </c>
      <c r="U1760">
        <v>0</v>
      </c>
      <c r="V1760">
        <v>12500</v>
      </c>
      <c r="W1760">
        <v>7500</v>
      </c>
      <c r="X1760">
        <v>5000</v>
      </c>
      <c r="Y1760" s="8">
        <v>0.4</v>
      </c>
      <c r="Z1760" t="s">
        <v>2996</v>
      </c>
      <c r="AA1760" t="str">
        <f>IF(AND(SalesCleanTable[[#This Row],[Discount %]]&gt;0, SalesCleanTable[[#This Row],[Profit]]&lt;0), "Discount loss", "Safe")</f>
        <v>Safe</v>
      </c>
      <c r="AB1760" s="25">
        <f>(SalesCleanTable[[#This Row],[Unit Price]] - SalesCleanTable[[#This Row],[Unit Cost]]) / SalesCleanTable[[#This Row],[Unit Price]]</f>
        <v>0.4</v>
      </c>
      <c r="AC1760" t="str">
        <f>IF(SalesCleanTable[[#This Row],[Discount %]] &gt; SalesCleanTable[[#This Row],[Max Allowed Discount]], "Discount loss", "Safe")</f>
        <v>Safe</v>
      </c>
      <c r="AD1760" s="4">
        <f>SalesCleanTable[[#This Row],[Unit Price]] - SalesCleanTable[[#This Row],[Unit Cost]]</f>
        <v>1000</v>
      </c>
      <c r="AE1760" s="41">
        <f>(SalesCleanTable[[#This Row],[Unit Price]] - SalesCleanTable[[#This Row],[Unit Cost]]) / SalesCleanTable[[#This Row],[Unit Price]]</f>
        <v>0.4</v>
      </c>
    </row>
    <row r="1761" spans="1:31">
      <c r="A1761" t="s">
        <v>1947</v>
      </c>
      <c r="B1761" s="6">
        <v>45943</v>
      </c>
      <c r="C1761" t="s">
        <v>78</v>
      </c>
      <c r="D1761" t="s">
        <v>79</v>
      </c>
      <c r="E1761" t="s">
        <v>75</v>
      </c>
      <c r="F1761" t="s">
        <v>80</v>
      </c>
      <c r="G1761" t="s">
        <v>81</v>
      </c>
      <c r="H1761" t="s">
        <v>141</v>
      </c>
      <c r="I1761" t="s">
        <v>142</v>
      </c>
      <c r="J1761" t="s">
        <v>143</v>
      </c>
      <c r="K1761" t="s">
        <v>144</v>
      </c>
      <c r="L1761" t="s">
        <v>166</v>
      </c>
      <c r="M1761" t="s">
        <v>171</v>
      </c>
      <c r="N1761">
        <v>1</v>
      </c>
      <c r="O1761" s="4">
        <v>1200</v>
      </c>
      <c r="P1761" s="4">
        <v>1900</v>
      </c>
      <c r="Q1761" s="7">
        <v>0.05</v>
      </c>
      <c r="R1761" t="s">
        <v>187</v>
      </c>
      <c r="S1761">
        <v>3</v>
      </c>
      <c r="T1761">
        <v>1900</v>
      </c>
      <c r="U1761">
        <v>95</v>
      </c>
      <c r="V1761">
        <v>1805</v>
      </c>
      <c r="W1761">
        <v>1200</v>
      </c>
      <c r="X1761">
        <v>605</v>
      </c>
      <c r="Y1761" s="8">
        <v>0.33518005540166207</v>
      </c>
      <c r="Z1761" t="s">
        <v>2996</v>
      </c>
      <c r="AA1761" t="str">
        <f>IF(AND(SalesCleanTable[[#This Row],[Discount %]]&gt;0, SalesCleanTable[[#This Row],[Profit]]&lt;0), "Discount loss", "Safe")</f>
        <v>Safe</v>
      </c>
      <c r="AB1761" s="25">
        <f>(SalesCleanTable[[#This Row],[Unit Price]] - SalesCleanTable[[#This Row],[Unit Cost]]) / SalesCleanTable[[#This Row],[Unit Price]]</f>
        <v>0.36842105263157893</v>
      </c>
      <c r="AC1761" t="str">
        <f>IF(SalesCleanTable[[#This Row],[Discount %]] &gt; SalesCleanTable[[#This Row],[Max Allowed Discount]], "Discount loss", "Safe")</f>
        <v>Safe</v>
      </c>
      <c r="AD1761" s="4">
        <f>SalesCleanTable[[#This Row],[Unit Price]] - SalesCleanTable[[#This Row],[Unit Cost]]</f>
        <v>700</v>
      </c>
      <c r="AE1761" s="41">
        <f>(SalesCleanTable[[#This Row],[Unit Price]] - SalesCleanTable[[#This Row],[Unit Cost]]) / SalesCleanTable[[#This Row],[Unit Price]]</f>
        <v>0.36842105263157893</v>
      </c>
    </row>
    <row r="1762" spans="1:31">
      <c r="A1762" t="s">
        <v>1948</v>
      </c>
      <c r="B1762" s="6">
        <v>45850</v>
      </c>
      <c r="C1762" t="s">
        <v>32</v>
      </c>
      <c r="D1762" t="s">
        <v>33</v>
      </c>
      <c r="E1762" t="s">
        <v>26</v>
      </c>
      <c r="F1762" t="s">
        <v>34</v>
      </c>
      <c r="G1762" t="s">
        <v>35</v>
      </c>
      <c r="H1762" t="s">
        <v>149</v>
      </c>
      <c r="I1762" t="s">
        <v>150</v>
      </c>
      <c r="J1762" t="s">
        <v>151</v>
      </c>
      <c r="K1762" t="s">
        <v>152</v>
      </c>
      <c r="L1762" t="s">
        <v>166</v>
      </c>
      <c r="M1762" t="s">
        <v>171</v>
      </c>
      <c r="N1762">
        <v>3</v>
      </c>
      <c r="O1762" s="4">
        <v>7800</v>
      </c>
      <c r="P1762" s="4">
        <v>9800</v>
      </c>
      <c r="Q1762" s="7">
        <v>0.1</v>
      </c>
      <c r="R1762" t="s">
        <v>173</v>
      </c>
      <c r="S1762">
        <v>7</v>
      </c>
      <c r="T1762">
        <v>29400</v>
      </c>
      <c r="U1762">
        <v>2940</v>
      </c>
      <c r="V1762">
        <v>26460</v>
      </c>
      <c r="W1762">
        <v>23400</v>
      </c>
      <c r="X1762">
        <v>3060</v>
      </c>
      <c r="Y1762" s="8">
        <v>0.11564625850340136</v>
      </c>
      <c r="Z1762" t="s">
        <v>2995</v>
      </c>
      <c r="AA1762" t="str">
        <f>IF(AND(SalesCleanTable[[#This Row],[Discount %]]&gt;0, SalesCleanTable[[#This Row],[Profit]]&lt;0), "Discount loss", "Safe")</f>
        <v>Safe</v>
      </c>
      <c r="AB1762" s="25">
        <f>(SalesCleanTable[[#This Row],[Unit Price]] - SalesCleanTable[[#This Row],[Unit Cost]]) / SalesCleanTable[[#This Row],[Unit Price]]</f>
        <v>0.20408163265306123</v>
      </c>
      <c r="AC1762" t="str">
        <f>IF(SalesCleanTable[[#This Row],[Discount %]] &gt; SalesCleanTable[[#This Row],[Max Allowed Discount]], "Discount loss", "Safe")</f>
        <v>Safe</v>
      </c>
      <c r="AD1762" s="4">
        <f>SalesCleanTable[[#This Row],[Unit Price]] - SalesCleanTable[[#This Row],[Unit Cost]]</f>
        <v>2000</v>
      </c>
      <c r="AE1762" s="41">
        <f>(SalesCleanTable[[#This Row],[Unit Price]] - SalesCleanTable[[#This Row],[Unit Cost]]) / SalesCleanTable[[#This Row],[Unit Price]]</f>
        <v>0.20408163265306123</v>
      </c>
    </row>
    <row r="1763" spans="1:31">
      <c r="A1763" t="s">
        <v>1949</v>
      </c>
      <c r="B1763" s="6">
        <v>45691</v>
      </c>
      <c r="C1763" t="s">
        <v>95</v>
      </c>
      <c r="D1763" t="s">
        <v>96</v>
      </c>
      <c r="E1763" t="s">
        <v>92</v>
      </c>
      <c r="F1763" t="s">
        <v>97</v>
      </c>
      <c r="G1763" t="s">
        <v>98</v>
      </c>
      <c r="H1763" t="s">
        <v>145</v>
      </c>
      <c r="I1763" t="s">
        <v>146</v>
      </c>
      <c r="J1763" t="s">
        <v>147</v>
      </c>
      <c r="K1763" t="s">
        <v>148</v>
      </c>
      <c r="L1763" t="s">
        <v>183</v>
      </c>
      <c r="M1763" t="s">
        <v>171</v>
      </c>
      <c r="N1763">
        <v>1</v>
      </c>
      <c r="O1763" s="4">
        <v>18000</v>
      </c>
      <c r="P1763" s="4">
        <v>24500</v>
      </c>
      <c r="Q1763" s="7">
        <v>0.2</v>
      </c>
      <c r="R1763" t="s">
        <v>217</v>
      </c>
      <c r="S1763">
        <v>3</v>
      </c>
      <c r="T1763">
        <v>24500</v>
      </c>
      <c r="U1763">
        <v>4900</v>
      </c>
      <c r="V1763">
        <v>19600</v>
      </c>
      <c r="W1763">
        <v>18000</v>
      </c>
      <c r="X1763">
        <v>1600</v>
      </c>
      <c r="Y1763" s="8">
        <v>8.1632653061224483E-2</v>
      </c>
      <c r="Z1763" t="s">
        <v>2995</v>
      </c>
      <c r="AA1763" t="str">
        <f>IF(AND(SalesCleanTable[[#This Row],[Discount %]]&gt;0, SalesCleanTable[[#This Row],[Profit]]&lt;0), "Discount loss", "Safe")</f>
        <v>Safe</v>
      </c>
      <c r="AB1763" s="25">
        <f>(SalesCleanTable[[#This Row],[Unit Price]] - SalesCleanTable[[#This Row],[Unit Cost]]) / SalesCleanTable[[#This Row],[Unit Price]]</f>
        <v>0.26530612244897961</v>
      </c>
      <c r="AC1763" t="str">
        <f>IF(SalesCleanTable[[#This Row],[Discount %]] &gt; SalesCleanTable[[#This Row],[Max Allowed Discount]], "Discount loss", "Safe")</f>
        <v>Safe</v>
      </c>
      <c r="AD1763" s="4">
        <f>SalesCleanTable[[#This Row],[Unit Price]] - SalesCleanTable[[#This Row],[Unit Cost]]</f>
        <v>6500</v>
      </c>
      <c r="AE1763" s="41">
        <f>(SalesCleanTable[[#This Row],[Unit Price]] - SalesCleanTable[[#This Row],[Unit Cost]]) / SalesCleanTable[[#This Row],[Unit Price]]</f>
        <v>0.26530612244897961</v>
      </c>
    </row>
    <row r="1764" spans="1:31">
      <c r="A1764" t="s">
        <v>1950</v>
      </c>
      <c r="B1764" s="6">
        <v>45956</v>
      </c>
      <c r="C1764" t="s">
        <v>53</v>
      </c>
      <c r="D1764" t="s">
        <v>54</v>
      </c>
      <c r="E1764" t="s">
        <v>38</v>
      </c>
      <c r="F1764" t="s">
        <v>55</v>
      </c>
      <c r="G1764" t="s">
        <v>56</v>
      </c>
      <c r="H1764" t="s">
        <v>128</v>
      </c>
      <c r="I1764" t="s">
        <v>129</v>
      </c>
      <c r="J1764" t="s">
        <v>130</v>
      </c>
      <c r="K1764" t="s">
        <v>131</v>
      </c>
      <c r="L1764" t="s">
        <v>166</v>
      </c>
      <c r="M1764" t="s">
        <v>167</v>
      </c>
      <c r="N1764">
        <v>1</v>
      </c>
      <c r="O1764" s="4">
        <v>330</v>
      </c>
      <c r="P1764" s="4">
        <v>550</v>
      </c>
      <c r="Q1764" s="7">
        <v>0.2</v>
      </c>
      <c r="R1764" t="s">
        <v>175</v>
      </c>
      <c r="S1764">
        <v>6</v>
      </c>
      <c r="T1764">
        <v>550</v>
      </c>
      <c r="U1764">
        <v>110</v>
      </c>
      <c r="V1764">
        <v>440</v>
      </c>
      <c r="W1764">
        <v>330</v>
      </c>
      <c r="X1764">
        <v>110</v>
      </c>
      <c r="Y1764" s="8">
        <v>0.25</v>
      </c>
      <c r="Z1764" t="s">
        <v>2996</v>
      </c>
      <c r="AA1764" t="str">
        <f>IF(AND(SalesCleanTable[[#This Row],[Discount %]]&gt;0, SalesCleanTable[[#This Row],[Profit]]&lt;0), "Discount loss", "Safe")</f>
        <v>Safe</v>
      </c>
      <c r="AB1764" s="25">
        <f>(SalesCleanTable[[#This Row],[Unit Price]] - SalesCleanTable[[#This Row],[Unit Cost]]) / SalesCleanTable[[#This Row],[Unit Price]]</f>
        <v>0.4</v>
      </c>
      <c r="AC1764" t="str">
        <f>IF(SalesCleanTable[[#This Row],[Discount %]] &gt; SalesCleanTable[[#This Row],[Max Allowed Discount]], "Discount loss", "Safe")</f>
        <v>Safe</v>
      </c>
      <c r="AD1764" s="4">
        <f>SalesCleanTable[[#This Row],[Unit Price]] - SalesCleanTable[[#This Row],[Unit Cost]]</f>
        <v>220</v>
      </c>
      <c r="AE1764" s="41">
        <f>(SalesCleanTable[[#This Row],[Unit Price]] - SalesCleanTable[[#This Row],[Unit Cost]]) / SalesCleanTable[[#This Row],[Unit Price]]</f>
        <v>0.4</v>
      </c>
    </row>
    <row r="1765" spans="1:31">
      <c r="A1765" t="s">
        <v>1951</v>
      </c>
      <c r="B1765" s="6">
        <v>45934</v>
      </c>
      <c r="C1765" t="s">
        <v>49</v>
      </c>
      <c r="D1765" t="s">
        <v>50</v>
      </c>
      <c r="E1765" t="s">
        <v>38</v>
      </c>
      <c r="F1765" t="s">
        <v>51</v>
      </c>
      <c r="G1765" t="s">
        <v>52</v>
      </c>
      <c r="H1765" t="s">
        <v>135</v>
      </c>
      <c r="I1765" t="s">
        <v>136</v>
      </c>
      <c r="J1765" t="s">
        <v>137</v>
      </c>
      <c r="K1765" t="s">
        <v>138</v>
      </c>
      <c r="L1765" t="s">
        <v>166</v>
      </c>
      <c r="M1765" t="s">
        <v>171</v>
      </c>
      <c r="N1765">
        <v>8</v>
      </c>
      <c r="O1765" s="4">
        <v>550</v>
      </c>
      <c r="P1765" s="4">
        <v>850</v>
      </c>
      <c r="Q1765" s="7">
        <v>0</v>
      </c>
      <c r="R1765" t="s">
        <v>168</v>
      </c>
      <c r="S1765">
        <v>13</v>
      </c>
      <c r="T1765">
        <v>6800</v>
      </c>
      <c r="U1765">
        <v>0</v>
      </c>
      <c r="V1765">
        <v>6800</v>
      </c>
      <c r="W1765">
        <v>4400</v>
      </c>
      <c r="X1765">
        <v>2400</v>
      </c>
      <c r="Y1765" s="8">
        <v>0.35294117647058826</v>
      </c>
      <c r="Z1765" t="s">
        <v>2996</v>
      </c>
      <c r="AA1765" t="str">
        <f>IF(AND(SalesCleanTable[[#This Row],[Discount %]]&gt;0, SalesCleanTable[[#This Row],[Profit]]&lt;0), "Discount loss", "Safe")</f>
        <v>Safe</v>
      </c>
      <c r="AB1765" s="25">
        <f>(SalesCleanTable[[#This Row],[Unit Price]] - SalesCleanTable[[#This Row],[Unit Cost]]) / SalesCleanTable[[#This Row],[Unit Price]]</f>
        <v>0.35294117647058826</v>
      </c>
      <c r="AC1765" t="str">
        <f>IF(SalesCleanTable[[#This Row],[Discount %]] &gt; SalesCleanTable[[#This Row],[Max Allowed Discount]], "Discount loss", "Safe")</f>
        <v>Safe</v>
      </c>
      <c r="AD1765" s="4">
        <f>SalesCleanTable[[#This Row],[Unit Price]] - SalesCleanTable[[#This Row],[Unit Cost]]</f>
        <v>300</v>
      </c>
      <c r="AE1765" s="41">
        <f>(SalesCleanTable[[#This Row],[Unit Price]] - SalesCleanTable[[#This Row],[Unit Cost]]) / SalesCleanTable[[#This Row],[Unit Price]]</f>
        <v>0.35294117647058826</v>
      </c>
    </row>
    <row r="1766" spans="1:31">
      <c r="A1766" t="s">
        <v>1952</v>
      </c>
      <c r="B1766" s="6">
        <v>45730</v>
      </c>
      <c r="C1766" t="s">
        <v>120</v>
      </c>
      <c r="D1766" t="s">
        <v>121</v>
      </c>
      <c r="E1766" t="s">
        <v>109</v>
      </c>
      <c r="F1766" t="s">
        <v>93</v>
      </c>
      <c r="G1766" t="s">
        <v>122</v>
      </c>
      <c r="H1766" t="s">
        <v>153</v>
      </c>
      <c r="I1766" t="s">
        <v>154</v>
      </c>
      <c r="J1766" t="s">
        <v>155</v>
      </c>
      <c r="K1766" t="s">
        <v>131</v>
      </c>
      <c r="L1766" t="s">
        <v>166</v>
      </c>
      <c r="M1766" t="s">
        <v>167</v>
      </c>
      <c r="N1766">
        <v>2</v>
      </c>
      <c r="O1766" s="4">
        <v>1700</v>
      </c>
      <c r="P1766" s="4">
        <v>2800</v>
      </c>
      <c r="Q1766" s="7">
        <v>0.1</v>
      </c>
      <c r="R1766" t="s">
        <v>220</v>
      </c>
      <c r="S1766">
        <v>5</v>
      </c>
      <c r="T1766">
        <v>5600</v>
      </c>
      <c r="U1766">
        <v>560</v>
      </c>
      <c r="V1766">
        <v>5040</v>
      </c>
      <c r="W1766">
        <v>3400</v>
      </c>
      <c r="X1766">
        <v>1640</v>
      </c>
      <c r="Y1766" s="8">
        <v>0.32539682539682541</v>
      </c>
      <c r="Z1766" t="s">
        <v>2997</v>
      </c>
      <c r="AA1766" t="str">
        <f>IF(AND(SalesCleanTable[[#This Row],[Discount %]]&gt;0, SalesCleanTable[[#This Row],[Profit]]&lt;0), "Discount loss", "Safe")</f>
        <v>Safe</v>
      </c>
      <c r="AB1766" s="25">
        <f>(SalesCleanTable[[#This Row],[Unit Price]] - SalesCleanTable[[#This Row],[Unit Cost]]) / SalesCleanTable[[#This Row],[Unit Price]]</f>
        <v>0.39285714285714285</v>
      </c>
      <c r="AC1766" t="str">
        <f>IF(SalesCleanTable[[#This Row],[Discount %]] &gt; SalesCleanTable[[#This Row],[Max Allowed Discount]], "Discount loss", "Safe")</f>
        <v>Safe</v>
      </c>
      <c r="AD1766" s="4">
        <f>SalesCleanTable[[#This Row],[Unit Price]] - SalesCleanTable[[#This Row],[Unit Cost]]</f>
        <v>1100</v>
      </c>
      <c r="AE1766" s="41">
        <f>(SalesCleanTable[[#This Row],[Unit Price]] - SalesCleanTable[[#This Row],[Unit Cost]]) / SalesCleanTable[[#This Row],[Unit Price]]</f>
        <v>0.39285714285714285</v>
      </c>
    </row>
    <row r="1767" spans="1:31">
      <c r="A1767" t="s">
        <v>1953</v>
      </c>
      <c r="B1767" s="6">
        <v>45964</v>
      </c>
      <c r="C1767" t="s">
        <v>73</v>
      </c>
      <c r="D1767" t="s">
        <v>74</v>
      </c>
      <c r="E1767" t="s">
        <v>75</v>
      </c>
      <c r="F1767" t="s">
        <v>76</v>
      </c>
      <c r="G1767" t="s">
        <v>77</v>
      </c>
      <c r="H1767" t="s">
        <v>135</v>
      </c>
      <c r="I1767" t="s">
        <v>136</v>
      </c>
      <c r="J1767" t="s">
        <v>137</v>
      </c>
      <c r="K1767" t="s">
        <v>138</v>
      </c>
      <c r="L1767" t="s">
        <v>166</v>
      </c>
      <c r="M1767" t="s">
        <v>171</v>
      </c>
      <c r="N1767">
        <v>4</v>
      </c>
      <c r="O1767" s="4">
        <v>3500</v>
      </c>
      <c r="P1767" s="4">
        <v>5200</v>
      </c>
      <c r="Q1767" s="7">
        <v>0</v>
      </c>
      <c r="R1767" t="s">
        <v>208</v>
      </c>
      <c r="S1767">
        <v>4</v>
      </c>
      <c r="T1767">
        <v>20800</v>
      </c>
      <c r="U1767">
        <v>0</v>
      </c>
      <c r="V1767">
        <v>20800</v>
      </c>
      <c r="W1767">
        <v>14000</v>
      </c>
      <c r="X1767">
        <v>6800</v>
      </c>
      <c r="Y1767" s="8">
        <v>0.32692307692307693</v>
      </c>
      <c r="Z1767" t="s">
        <v>2996</v>
      </c>
      <c r="AA1767" t="str">
        <f>IF(AND(SalesCleanTable[[#This Row],[Discount %]]&gt;0, SalesCleanTable[[#This Row],[Profit]]&lt;0), "Discount loss", "Safe")</f>
        <v>Safe</v>
      </c>
      <c r="AB1767" s="25">
        <f>(SalesCleanTable[[#This Row],[Unit Price]] - SalesCleanTable[[#This Row],[Unit Cost]]) / SalesCleanTable[[#This Row],[Unit Price]]</f>
        <v>0.32692307692307693</v>
      </c>
      <c r="AC1767" t="str">
        <f>IF(SalesCleanTable[[#This Row],[Discount %]] &gt; SalesCleanTable[[#This Row],[Max Allowed Discount]], "Discount loss", "Safe")</f>
        <v>Safe</v>
      </c>
      <c r="AD1767" s="4">
        <f>SalesCleanTable[[#This Row],[Unit Price]] - SalesCleanTable[[#This Row],[Unit Cost]]</f>
        <v>1700</v>
      </c>
      <c r="AE1767" s="41">
        <f>(SalesCleanTable[[#This Row],[Unit Price]] - SalesCleanTable[[#This Row],[Unit Cost]]) / SalesCleanTable[[#This Row],[Unit Price]]</f>
        <v>0.32692307692307693</v>
      </c>
    </row>
    <row r="1768" spans="1:31">
      <c r="A1768" t="s">
        <v>1954</v>
      </c>
      <c r="B1768" s="6">
        <v>45802</v>
      </c>
      <c r="C1768" t="s">
        <v>57</v>
      </c>
      <c r="D1768" t="s">
        <v>58</v>
      </c>
      <c r="E1768" t="s">
        <v>59</v>
      </c>
      <c r="F1768" t="s">
        <v>60</v>
      </c>
      <c r="G1768" t="s">
        <v>61</v>
      </c>
      <c r="H1768" t="s">
        <v>153</v>
      </c>
      <c r="I1768" t="s">
        <v>154</v>
      </c>
      <c r="J1768" t="s">
        <v>155</v>
      </c>
      <c r="K1768" t="s">
        <v>131</v>
      </c>
      <c r="L1768" t="s">
        <v>170</v>
      </c>
      <c r="M1768" t="s">
        <v>177</v>
      </c>
      <c r="N1768">
        <v>1</v>
      </c>
      <c r="O1768" s="4">
        <v>2400</v>
      </c>
      <c r="P1768" s="4">
        <v>3400</v>
      </c>
      <c r="Q1768" s="7">
        <v>0.05</v>
      </c>
      <c r="R1768" t="s">
        <v>173</v>
      </c>
      <c r="S1768">
        <v>11</v>
      </c>
      <c r="T1768">
        <v>3400</v>
      </c>
      <c r="U1768">
        <v>170</v>
      </c>
      <c r="V1768">
        <v>3230</v>
      </c>
      <c r="W1768">
        <v>2400</v>
      </c>
      <c r="X1768">
        <v>830</v>
      </c>
      <c r="Y1768" s="8">
        <v>0.25696594427244585</v>
      </c>
      <c r="Z1768" t="s">
        <v>2996</v>
      </c>
      <c r="AA1768" t="str">
        <f>IF(AND(SalesCleanTable[[#This Row],[Discount %]]&gt;0, SalesCleanTable[[#This Row],[Profit]]&lt;0), "Discount loss", "Safe")</f>
        <v>Safe</v>
      </c>
      <c r="AB1768" s="25">
        <f>(SalesCleanTable[[#This Row],[Unit Price]] - SalesCleanTable[[#This Row],[Unit Cost]]) / SalesCleanTable[[#This Row],[Unit Price]]</f>
        <v>0.29411764705882354</v>
      </c>
      <c r="AC1768" t="str">
        <f>IF(SalesCleanTable[[#This Row],[Discount %]] &gt; SalesCleanTable[[#This Row],[Max Allowed Discount]], "Discount loss", "Safe")</f>
        <v>Safe</v>
      </c>
      <c r="AD1768" s="4">
        <f>SalesCleanTable[[#This Row],[Unit Price]] - SalesCleanTable[[#This Row],[Unit Cost]]</f>
        <v>1000</v>
      </c>
      <c r="AE1768" s="41">
        <f>(SalesCleanTable[[#This Row],[Unit Price]] - SalesCleanTable[[#This Row],[Unit Cost]]) / SalesCleanTable[[#This Row],[Unit Price]]</f>
        <v>0.29411764705882354</v>
      </c>
    </row>
    <row r="1769" spans="1:31">
      <c r="A1769" t="s">
        <v>1955</v>
      </c>
      <c r="B1769" s="6">
        <v>45771</v>
      </c>
      <c r="C1769" t="s">
        <v>82</v>
      </c>
      <c r="D1769" t="s">
        <v>83</v>
      </c>
      <c r="E1769" t="s">
        <v>75</v>
      </c>
      <c r="F1769" t="s">
        <v>84</v>
      </c>
      <c r="G1769" t="s">
        <v>85</v>
      </c>
      <c r="H1769" t="s">
        <v>149</v>
      </c>
      <c r="I1769" t="s">
        <v>150</v>
      </c>
      <c r="J1769" t="s">
        <v>151</v>
      </c>
      <c r="K1769" t="s">
        <v>152</v>
      </c>
      <c r="L1769" t="s">
        <v>166</v>
      </c>
      <c r="M1769" t="s">
        <v>186</v>
      </c>
      <c r="N1769">
        <v>1</v>
      </c>
      <c r="O1769" s="4">
        <v>600</v>
      </c>
      <c r="P1769" s="4">
        <v>950</v>
      </c>
      <c r="Q1769" s="7">
        <v>0</v>
      </c>
      <c r="R1769" t="s">
        <v>208</v>
      </c>
      <c r="S1769">
        <v>8</v>
      </c>
      <c r="T1769">
        <v>950</v>
      </c>
      <c r="U1769">
        <v>0</v>
      </c>
      <c r="V1769">
        <v>950</v>
      </c>
      <c r="W1769">
        <v>600</v>
      </c>
      <c r="X1769">
        <v>350</v>
      </c>
      <c r="Y1769" s="8">
        <v>0.36842105263157893</v>
      </c>
      <c r="Z1769" t="s">
        <v>2996</v>
      </c>
      <c r="AA1769" t="str">
        <f>IF(AND(SalesCleanTable[[#This Row],[Discount %]]&gt;0, SalesCleanTable[[#This Row],[Profit]]&lt;0), "Discount loss", "Safe")</f>
        <v>Safe</v>
      </c>
      <c r="AB1769" s="25">
        <f>(SalesCleanTable[[#This Row],[Unit Price]] - SalesCleanTable[[#This Row],[Unit Cost]]) / SalesCleanTable[[#This Row],[Unit Price]]</f>
        <v>0.36842105263157893</v>
      </c>
      <c r="AC1769" t="str">
        <f>IF(SalesCleanTable[[#This Row],[Discount %]] &gt; SalesCleanTable[[#This Row],[Max Allowed Discount]], "Discount loss", "Safe")</f>
        <v>Safe</v>
      </c>
      <c r="AD1769" s="4">
        <f>SalesCleanTable[[#This Row],[Unit Price]] - SalesCleanTable[[#This Row],[Unit Cost]]</f>
        <v>350</v>
      </c>
      <c r="AE1769" s="41">
        <f>(SalesCleanTable[[#This Row],[Unit Price]] - SalesCleanTable[[#This Row],[Unit Cost]]) / SalesCleanTable[[#This Row],[Unit Price]]</f>
        <v>0.36842105263157893</v>
      </c>
    </row>
    <row r="1770" spans="1:31">
      <c r="A1770" t="s">
        <v>1956</v>
      </c>
      <c r="B1770" s="6">
        <v>45985</v>
      </c>
      <c r="C1770" t="s">
        <v>53</v>
      </c>
      <c r="D1770" t="s">
        <v>54</v>
      </c>
      <c r="E1770" t="s">
        <v>38</v>
      </c>
      <c r="F1770" t="s">
        <v>55</v>
      </c>
      <c r="G1770" t="s">
        <v>56</v>
      </c>
      <c r="H1770" t="s">
        <v>135</v>
      </c>
      <c r="I1770" t="s">
        <v>136</v>
      </c>
      <c r="J1770" t="s">
        <v>137</v>
      </c>
      <c r="K1770" t="s">
        <v>138</v>
      </c>
      <c r="L1770" t="s">
        <v>166</v>
      </c>
      <c r="M1770" t="s">
        <v>171</v>
      </c>
      <c r="N1770">
        <v>5</v>
      </c>
      <c r="O1770" s="4">
        <v>330</v>
      </c>
      <c r="P1770" s="4">
        <v>550</v>
      </c>
      <c r="Q1770" s="7">
        <v>0.1</v>
      </c>
      <c r="R1770" t="s">
        <v>175</v>
      </c>
      <c r="S1770">
        <v>6</v>
      </c>
      <c r="T1770">
        <v>2750</v>
      </c>
      <c r="U1770">
        <v>275</v>
      </c>
      <c r="V1770">
        <v>2475</v>
      </c>
      <c r="W1770">
        <v>1650</v>
      </c>
      <c r="X1770">
        <v>825</v>
      </c>
      <c r="Y1770" s="8">
        <v>0.33333333333333331</v>
      </c>
      <c r="Z1770" t="s">
        <v>2996</v>
      </c>
      <c r="AA1770" t="str">
        <f>IF(AND(SalesCleanTable[[#This Row],[Discount %]]&gt;0, SalesCleanTable[[#This Row],[Profit]]&lt;0), "Discount loss", "Safe")</f>
        <v>Safe</v>
      </c>
      <c r="AB1770" s="25">
        <f>(SalesCleanTable[[#This Row],[Unit Price]] - SalesCleanTable[[#This Row],[Unit Cost]]) / SalesCleanTable[[#This Row],[Unit Price]]</f>
        <v>0.4</v>
      </c>
      <c r="AC1770" t="str">
        <f>IF(SalesCleanTable[[#This Row],[Discount %]] &gt; SalesCleanTable[[#This Row],[Max Allowed Discount]], "Discount loss", "Safe")</f>
        <v>Safe</v>
      </c>
      <c r="AD1770" s="4">
        <f>SalesCleanTable[[#This Row],[Unit Price]] - SalesCleanTable[[#This Row],[Unit Cost]]</f>
        <v>220</v>
      </c>
      <c r="AE1770" s="41">
        <f>(SalesCleanTable[[#This Row],[Unit Price]] - SalesCleanTable[[#This Row],[Unit Cost]]) / SalesCleanTable[[#This Row],[Unit Price]]</f>
        <v>0.4</v>
      </c>
    </row>
    <row r="1771" spans="1:31">
      <c r="A1771" t="s">
        <v>1957</v>
      </c>
      <c r="B1771" s="6">
        <v>45746</v>
      </c>
      <c r="C1771" t="s">
        <v>112</v>
      </c>
      <c r="D1771" t="s">
        <v>113</v>
      </c>
      <c r="E1771" t="s">
        <v>109</v>
      </c>
      <c r="F1771" t="s">
        <v>114</v>
      </c>
      <c r="G1771" t="s">
        <v>115</v>
      </c>
      <c r="H1771" t="s">
        <v>135</v>
      </c>
      <c r="I1771" t="s">
        <v>136</v>
      </c>
      <c r="J1771" t="s">
        <v>137</v>
      </c>
      <c r="K1771" t="s">
        <v>138</v>
      </c>
      <c r="L1771" t="s">
        <v>183</v>
      </c>
      <c r="M1771" t="s">
        <v>186</v>
      </c>
      <c r="N1771">
        <v>5</v>
      </c>
      <c r="O1771" s="4">
        <v>1300</v>
      </c>
      <c r="P1771" s="4">
        <v>2100</v>
      </c>
      <c r="Q1771" s="7">
        <v>0</v>
      </c>
      <c r="R1771" t="s">
        <v>235</v>
      </c>
      <c r="S1771">
        <v>2</v>
      </c>
      <c r="T1771">
        <v>10500</v>
      </c>
      <c r="U1771">
        <v>0</v>
      </c>
      <c r="V1771">
        <v>10500</v>
      </c>
      <c r="W1771">
        <v>6500</v>
      </c>
      <c r="X1771">
        <v>4000</v>
      </c>
      <c r="Y1771" s="8">
        <v>0.38095238095238093</v>
      </c>
      <c r="Z1771" t="s">
        <v>2995</v>
      </c>
      <c r="AA1771" t="str">
        <f>IF(AND(SalesCleanTable[[#This Row],[Discount %]]&gt;0, SalesCleanTable[[#This Row],[Profit]]&lt;0), "Discount loss", "Safe")</f>
        <v>Safe</v>
      </c>
      <c r="AB1771" s="25">
        <f>(SalesCleanTable[[#This Row],[Unit Price]] - SalesCleanTable[[#This Row],[Unit Cost]]) / SalesCleanTable[[#This Row],[Unit Price]]</f>
        <v>0.38095238095238093</v>
      </c>
      <c r="AC1771" t="str">
        <f>IF(SalesCleanTable[[#This Row],[Discount %]] &gt; SalesCleanTable[[#This Row],[Max Allowed Discount]], "Discount loss", "Safe")</f>
        <v>Safe</v>
      </c>
      <c r="AD1771" s="4">
        <f>SalesCleanTable[[#This Row],[Unit Price]] - SalesCleanTable[[#This Row],[Unit Cost]]</f>
        <v>800</v>
      </c>
      <c r="AE1771" s="41">
        <f>(SalesCleanTable[[#This Row],[Unit Price]] - SalesCleanTable[[#This Row],[Unit Cost]]) / SalesCleanTable[[#This Row],[Unit Price]]</f>
        <v>0.38095238095238093</v>
      </c>
    </row>
    <row r="1772" spans="1:31">
      <c r="A1772" t="s">
        <v>1958</v>
      </c>
      <c r="B1772" s="6">
        <v>45688</v>
      </c>
      <c r="C1772" t="s">
        <v>90</v>
      </c>
      <c r="D1772" t="s">
        <v>91</v>
      </c>
      <c r="E1772" t="s">
        <v>92</v>
      </c>
      <c r="F1772" t="s">
        <v>93</v>
      </c>
      <c r="G1772" t="s">
        <v>94</v>
      </c>
      <c r="H1772" t="s">
        <v>145</v>
      </c>
      <c r="I1772" t="s">
        <v>146</v>
      </c>
      <c r="J1772" t="s">
        <v>147</v>
      </c>
      <c r="K1772" t="s">
        <v>148</v>
      </c>
      <c r="L1772" t="s">
        <v>166</v>
      </c>
      <c r="M1772" t="s">
        <v>171</v>
      </c>
      <c r="N1772">
        <v>3</v>
      </c>
      <c r="O1772" s="4">
        <v>7500</v>
      </c>
      <c r="P1772" s="4">
        <v>10500</v>
      </c>
      <c r="Q1772" s="7">
        <v>0</v>
      </c>
      <c r="R1772" t="s">
        <v>217</v>
      </c>
      <c r="S1772">
        <v>9</v>
      </c>
      <c r="T1772">
        <v>31500</v>
      </c>
      <c r="U1772">
        <v>0</v>
      </c>
      <c r="V1772">
        <v>31500</v>
      </c>
      <c r="W1772">
        <v>22500</v>
      </c>
      <c r="X1772">
        <v>9000</v>
      </c>
      <c r="Y1772" s="8">
        <v>0.2857142857142857</v>
      </c>
      <c r="Z1772" t="s">
        <v>2996</v>
      </c>
      <c r="AA1772" t="str">
        <f>IF(AND(SalesCleanTable[[#This Row],[Discount %]]&gt;0, SalesCleanTable[[#This Row],[Profit]]&lt;0), "Discount loss", "Safe")</f>
        <v>Safe</v>
      </c>
      <c r="AB1772" s="25">
        <f>(SalesCleanTable[[#This Row],[Unit Price]] - SalesCleanTable[[#This Row],[Unit Cost]]) / SalesCleanTable[[#This Row],[Unit Price]]</f>
        <v>0.2857142857142857</v>
      </c>
      <c r="AC1772" t="str">
        <f>IF(SalesCleanTable[[#This Row],[Discount %]] &gt; SalesCleanTable[[#This Row],[Max Allowed Discount]], "Discount loss", "Safe")</f>
        <v>Safe</v>
      </c>
      <c r="AD1772" s="4">
        <f>SalesCleanTable[[#This Row],[Unit Price]] - SalesCleanTable[[#This Row],[Unit Cost]]</f>
        <v>3000</v>
      </c>
      <c r="AE1772" s="41">
        <f>(SalesCleanTable[[#This Row],[Unit Price]] - SalesCleanTable[[#This Row],[Unit Cost]]) / SalesCleanTable[[#This Row],[Unit Price]]</f>
        <v>0.2857142857142857</v>
      </c>
    </row>
    <row r="1773" spans="1:31">
      <c r="A1773" t="s">
        <v>1959</v>
      </c>
      <c r="B1773" s="6">
        <v>45888</v>
      </c>
      <c r="C1773" t="s">
        <v>49</v>
      </c>
      <c r="D1773" t="s">
        <v>50</v>
      </c>
      <c r="E1773" t="s">
        <v>38</v>
      </c>
      <c r="F1773" t="s">
        <v>51</v>
      </c>
      <c r="G1773" t="s">
        <v>52</v>
      </c>
      <c r="H1773" t="s">
        <v>145</v>
      </c>
      <c r="I1773" t="s">
        <v>146</v>
      </c>
      <c r="J1773" t="s">
        <v>147</v>
      </c>
      <c r="K1773" t="s">
        <v>148</v>
      </c>
      <c r="L1773" t="s">
        <v>166</v>
      </c>
      <c r="M1773" t="s">
        <v>171</v>
      </c>
      <c r="N1773">
        <v>1</v>
      </c>
      <c r="O1773" s="4">
        <v>550</v>
      </c>
      <c r="P1773" s="4">
        <v>850</v>
      </c>
      <c r="Q1773" s="7">
        <v>0</v>
      </c>
      <c r="R1773" t="s">
        <v>168</v>
      </c>
      <c r="S1773">
        <v>2</v>
      </c>
      <c r="T1773">
        <v>850</v>
      </c>
      <c r="U1773">
        <v>0</v>
      </c>
      <c r="V1773">
        <v>850</v>
      </c>
      <c r="W1773">
        <v>550</v>
      </c>
      <c r="X1773">
        <v>300</v>
      </c>
      <c r="Y1773" s="8">
        <v>0.35294117647058826</v>
      </c>
      <c r="Z1773" t="s">
        <v>2996</v>
      </c>
      <c r="AA1773" t="str">
        <f>IF(AND(SalesCleanTable[[#This Row],[Discount %]]&gt;0, SalesCleanTable[[#This Row],[Profit]]&lt;0), "Discount loss", "Safe")</f>
        <v>Safe</v>
      </c>
      <c r="AB1773" s="25">
        <f>(SalesCleanTable[[#This Row],[Unit Price]] - SalesCleanTable[[#This Row],[Unit Cost]]) / SalesCleanTable[[#This Row],[Unit Price]]</f>
        <v>0.35294117647058826</v>
      </c>
      <c r="AC1773" t="str">
        <f>IF(SalesCleanTable[[#This Row],[Discount %]] &gt; SalesCleanTable[[#This Row],[Max Allowed Discount]], "Discount loss", "Safe")</f>
        <v>Safe</v>
      </c>
      <c r="AD1773" s="4">
        <f>SalesCleanTable[[#This Row],[Unit Price]] - SalesCleanTable[[#This Row],[Unit Cost]]</f>
        <v>300</v>
      </c>
      <c r="AE1773" s="41">
        <f>(SalesCleanTable[[#This Row],[Unit Price]] - SalesCleanTable[[#This Row],[Unit Cost]]) / SalesCleanTable[[#This Row],[Unit Price]]</f>
        <v>0.35294117647058826</v>
      </c>
    </row>
    <row r="1774" spans="1:31">
      <c r="A1774" t="s">
        <v>1960</v>
      </c>
      <c r="B1774" s="6">
        <v>46001</v>
      </c>
      <c r="C1774" t="s">
        <v>49</v>
      </c>
      <c r="D1774" t="s">
        <v>50</v>
      </c>
      <c r="E1774" t="s">
        <v>38</v>
      </c>
      <c r="F1774" t="s">
        <v>51</v>
      </c>
      <c r="G1774" t="s">
        <v>52</v>
      </c>
      <c r="H1774" t="s">
        <v>128</v>
      </c>
      <c r="I1774" t="s">
        <v>129</v>
      </c>
      <c r="J1774" t="s">
        <v>130</v>
      </c>
      <c r="K1774" t="s">
        <v>131</v>
      </c>
      <c r="L1774" t="s">
        <v>166</v>
      </c>
      <c r="M1774" t="s">
        <v>186</v>
      </c>
      <c r="N1774">
        <v>3</v>
      </c>
      <c r="O1774" s="4">
        <v>550</v>
      </c>
      <c r="P1774" s="4">
        <v>850</v>
      </c>
      <c r="Q1774" s="7">
        <v>0.15</v>
      </c>
      <c r="R1774" t="s">
        <v>178</v>
      </c>
      <c r="S1774">
        <v>8</v>
      </c>
      <c r="T1774">
        <v>2550</v>
      </c>
      <c r="U1774">
        <v>382.5</v>
      </c>
      <c r="V1774">
        <v>2167.5</v>
      </c>
      <c r="W1774">
        <v>1650</v>
      </c>
      <c r="X1774">
        <v>517.5</v>
      </c>
      <c r="Y1774" s="8">
        <v>0.23875432525951557</v>
      </c>
      <c r="Z1774" t="s">
        <v>2996</v>
      </c>
      <c r="AA1774" t="str">
        <f>IF(AND(SalesCleanTable[[#This Row],[Discount %]]&gt;0, SalesCleanTable[[#This Row],[Profit]]&lt;0), "Discount loss", "Safe")</f>
        <v>Safe</v>
      </c>
      <c r="AB1774" s="25">
        <f>(SalesCleanTable[[#This Row],[Unit Price]] - SalesCleanTable[[#This Row],[Unit Cost]]) / SalesCleanTable[[#This Row],[Unit Price]]</f>
        <v>0.35294117647058826</v>
      </c>
      <c r="AC1774" t="str">
        <f>IF(SalesCleanTable[[#This Row],[Discount %]] &gt; SalesCleanTable[[#This Row],[Max Allowed Discount]], "Discount loss", "Safe")</f>
        <v>Safe</v>
      </c>
      <c r="AD1774" s="4">
        <f>SalesCleanTable[[#This Row],[Unit Price]] - SalesCleanTable[[#This Row],[Unit Cost]]</f>
        <v>300</v>
      </c>
      <c r="AE1774" s="41">
        <f>(SalesCleanTable[[#This Row],[Unit Price]] - SalesCleanTable[[#This Row],[Unit Cost]]) / SalesCleanTable[[#This Row],[Unit Price]]</f>
        <v>0.35294117647058826</v>
      </c>
    </row>
    <row r="1775" spans="1:31">
      <c r="A1775" t="s">
        <v>1961</v>
      </c>
      <c r="B1775" s="6">
        <v>45918</v>
      </c>
      <c r="C1775" t="s">
        <v>24</v>
      </c>
      <c r="D1775" t="s">
        <v>25</v>
      </c>
      <c r="E1775" t="s">
        <v>26</v>
      </c>
      <c r="F1775" t="s">
        <v>27</v>
      </c>
      <c r="G1775" t="s">
        <v>28</v>
      </c>
      <c r="H1775" t="s">
        <v>139</v>
      </c>
      <c r="I1775" t="s">
        <v>140</v>
      </c>
      <c r="J1775" t="s">
        <v>137</v>
      </c>
      <c r="K1775" t="s">
        <v>138</v>
      </c>
      <c r="L1775" t="s">
        <v>166</v>
      </c>
      <c r="M1775" t="s">
        <v>177</v>
      </c>
      <c r="N1775">
        <v>2</v>
      </c>
      <c r="O1775" s="4">
        <v>14500</v>
      </c>
      <c r="P1775" s="4">
        <v>17500</v>
      </c>
      <c r="Q1775" s="7">
        <v>0.05</v>
      </c>
      <c r="R1775" t="s">
        <v>197</v>
      </c>
      <c r="S1775">
        <v>14</v>
      </c>
      <c r="T1775">
        <v>35000</v>
      </c>
      <c r="U1775">
        <v>1750</v>
      </c>
      <c r="V1775">
        <v>33250</v>
      </c>
      <c r="W1775">
        <v>29000</v>
      </c>
      <c r="X1775">
        <v>4250</v>
      </c>
      <c r="Y1775" s="8">
        <v>0.12781954887218044</v>
      </c>
      <c r="Z1775" t="s">
        <v>2995</v>
      </c>
      <c r="AA1775" t="str">
        <f>IF(AND(SalesCleanTable[[#This Row],[Discount %]]&gt;0, SalesCleanTable[[#This Row],[Profit]]&lt;0), "Discount loss", "Safe")</f>
        <v>Safe</v>
      </c>
      <c r="AB1775" s="25">
        <f>(SalesCleanTable[[#This Row],[Unit Price]] - SalesCleanTable[[#This Row],[Unit Cost]]) / SalesCleanTable[[#This Row],[Unit Price]]</f>
        <v>0.17142857142857143</v>
      </c>
      <c r="AC1775" t="str">
        <f>IF(SalesCleanTable[[#This Row],[Discount %]] &gt; SalesCleanTable[[#This Row],[Max Allowed Discount]], "Discount loss", "Safe")</f>
        <v>Safe</v>
      </c>
      <c r="AD1775" s="4">
        <f>SalesCleanTable[[#This Row],[Unit Price]] - SalesCleanTable[[#This Row],[Unit Cost]]</f>
        <v>3000</v>
      </c>
      <c r="AE1775" s="41">
        <f>(SalesCleanTable[[#This Row],[Unit Price]] - SalesCleanTable[[#This Row],[Unit Cost]]) / SalesCleanTable[[#This Row],[Unit Price]]</f>
        <v>0.17142857142857143</v>
      </c>
    </row>
    <row r="1776" spans="1:31">
      <c r="A1776" t="s">
        <v>1962</v>
      </c>
      <c r="B1776" s="6">
        <v>45842</v>
      </c>
      <c r="C1776" t="s">
        <v>116</v>
      </c>
      <c r="D1776" t="s">
        <v>117</v>
      </c>
      <c r="E1776" t="s">
        <v>109</v>
      </c>
      <c r="F1776" t="s">
        <v>118</v>
      </c>
      <c r="G1776" t="s">
        <v>119</v>
      </c>
      <c r="H1776" t="s">
        <v>153</v>
      </c>
      <c r="I1776" t="s">
        <v>154</v>
      </c>
      <c r="J1776" t="s">
        <v>155</v>
      </c>
      <c r="K1776" t="s">
        <v>131</v>
      </c>
      <c r="L1776" t="s">
        <v>166</v>
      </c>
      <c r="M1776" t="s">
        <v>177</v>
      </c>
      <c r="N1776">
        <v>-1</v>
      </c>
      <c r="O1776" s="4">
        <v>2800</v>
      </c>
      <c r="P1776" s="4">
        <v>4200</v>
      </c>
      <c r="Q1776" s="7">
        <v>0</v>
      </c>
      <c r="R1776" t="s">
        <v>235</v>
      </c>
      <c r="S1776">
        <v>1</v>
      </c>
      <c r="T1776">
        <v>-4200</v>
      </c>
      <c r="U1776">
        <v>0</v>
      </c>
      <c r="V1776">
        <v>-4200</v>
      </c>
      <c r="W1776">
        <v>-2800</v>
      </c>
      <c r="X1776">
        <v>-1400</v>
      </c>
      <c r="Y1776" s="8">
        <v>0.33333333333333331</v>
      </c>
      <c r="Z1776" t="s">
        <v>2995</v>
      </c>
      <c r="AA1776" t="str">
        <f>IF(AND(SalesCleanTable[[#This Row],[Discount %]]&gt;0, SalesCleanTable[[#This Row],[Profit]]&lt;0), "Discount loss", "Safe")</f>
        <v>Safe</v>
      </c>
      <c r="AB1776" s="25">
        <f>(SalesCleanTable[[#This Row],[Unit Price]] - SalesCleanTable[[#This Row],[Unit Cost]]) / SalesCleanTable[[#This Row],[Unit Price]]</f>
        <v>0.33333333333333331</v>
      </c>
      <c r="AC1776" t="str">
        <f>IF(SalesCleanTable[[#This Row],[Discount %]] &gt; SalesCleanTable[[#This Row],[Max Allowed Discount]], "Discount loss", "Safe")</f>
        <v>Safe</v>
      </c>
      <c r="AD1776" s="4">
        <f>SalesCleanTable[[#This Row],[Unit Price]] - SalesCleanTable[[#This Row],[Unit Cost]]</f>
        <v>1400</v>
      </c>
      <c r="AE1776" s="41">
        <f>(SalesCleanTable[[#This Row],[Unit Price]] - SalesCleanTable[[#This Row],[Unit Cost]]) / SalesCleanTable[[#This Row],[Unit Price]]</f>
        <v>0.33333333333333331</v>
      </c>
    </row>
    <row r="1777" spans="1:31">
      <c r="A1777" t="s">
        <v>1963</v>
      </c>
      <c r="B1777" s="6">
        <v>45751</v>
      </c>
      <c r="C1777" t="s">
        <v>45</v>
      </c>
      <c r="D1777" t="s">
        <v>46</v>
      </c>
      <c r="E1777" t="s">
        <v>38</v>
      </c>
      <c r="F1777" t="s">
        <v>47</v>
      </c>
      <c r="G1777" t="s">
        <v>48</v>
      </c>
      <c r="H1777" t="s">
        <v>149</v>
      </c>
      <c r="I1777" t="s">
        <v>150</v>
      </c>
      <c r="J1777" t="s">
        <v>151</v>
      </c>
      <c r="K1777" t="s">
        <v>152</v>
      </c>
      <c r="L1777" t="s">
        <v>183</v>
      </c>
      <c r="M1777" t="s">
        <v>171</v>
      </c>
      <c r="N1777">
        <v>4</v>
      </c>
      <c r="O1777" s="4">
        <v>230</v>
      </c>
      <c r="P1777" s="4">
        <v>400</v>
      </c>
      <c r="Q1777" s="7">
        <v>0.05</v>
      </c>
      <c r="R1777" t="s">
        <v>175</v>
      </c>
      <c r="S1777">
        <v>1</v>
      </c>
      <c r="T1777">
        <v>1600</v>
      </c>
      <c r="U1777">
        <v>80</v>
      </c>
      <c r="V1777">
        <v>1520</v>
      </c>
      <c r="W1777">
        <v>920</v>
      </c>
      <c r="X1777">
        <v>600</v>
      </c>
      <c r="Y1777" s="8">
        <v>0.39473684210526316</v>
      </c>
      <c r="Z1777" t="s">
        <v>2995</v>
      </c>
      <c r="AA1777" t="str">
        <f>IF(AND(SalesCleanTable[[#This Row],[Discount %]]&gt;0, SalesCleanTable[[#This Row],[Profit]]&lt;0), "Discount loss", "Safe")</f>
        <v>Safe</v>
      </c>
      <c r="AB1777" s="25">
        <f>(SalesCleanTable[[#This Row],[Unit Price]] - SalesCleanTable[[#This Row],[Unit Cost]]) / SalesCleanTable[[#This Row],[Unit Price]]</f>
        <v>0.42499999999999999</v>
      </c>
      <c r="AC1777" t="str">
        <f>IF(SalesCleanTable[[#This Row],[Discount %]] &gt; SalesCleanTable[[#This Row],[Max Allowed Discount]], "Discount loss", "Safe")</f>
        <v>Safe</v>
      </c>
      <c r="AD1777" s="4">
        <f>SalesCleanTable[[#This Row],[Unit Price]] - SalesCleanTable[[#This Row],[Unit Cost]]</f>
        <v>170</v>
      </c>
      <c r="AE1777" s="41">
        <f>(SalesCleanTable[[#This Row],[Unit Price]] - SalesCleanTable[[#This Row],[Unit Cost]]) / SalesCleanTable[[#This Row],[Unit Price]]</f>
        <v>0.42499999999999999</v>
      </c>
    </row>
    <row r="1778" spans="1:31">
      <c r="A1778" t="s">
        <v>1964</v>
      </c>
      <c r="B1778" s="6">
        <v>45945</v>
      </c>
      <c r="C1778" t="s">
        <v>24</v>
      </c>
      <c r="D1778" t="s">
        <v>25</v>
      </c>
      <c r="E1778" t="s">
        <v>26</v>
      </c>
      <c r="F1778" t="s">
        <v>27</v>
      </c>
      <c r="G1778" t="s">
        <v>28</v>
      </c>
      <c r="H1778" t="s">
        <v>133</v>
      </c>
      <c r="I1778" t="s">
        <v>134</v>
      </c>
      <c r="J1778" t="s">
        <v>130</v>
      </c>
      <c r="K1778" t="s">
        <v>131</v>
      </c>
      <c r="L1778" t="s">
        <v>166</v>
      </c>
      <c r="M1778" t="s">
        <v>186</v>
      </c>
      <c r="N1778">
        <v>4</v>
      </c>
      <c r="O1778" s="4">
        <v>14500</v>
      </c>
      <c r="P1778" s="4">
        <v>17500</v>
      </c>
      <c r="Q1778" s="7">
        <v>0.15</v>
      </c>
      <c r="R1778" t="s">
        <v>194</v>
      </c>
      <c r="S1778">
        <v>5</v>
      </c>
      <c r="T1778">
        <v>70000</v>
      </c>
      <c r="U1778">
        <v>10500</v>
      </c>
      <c r="V1778">
        <v>59500</v>
      </c>
      <c r="W1778">
        <v>58000</v>
      </c>
      <c r="X1778">
        <v>1500</v>
      </c>
      <c r="Y1778" s="8">
        <v>2.5210084033613446E-2</v>
      </c>
      <c r="Z1778" t="s">
        <v>2995</v>
      </c>
      <c r="AA1778" t="str">
        <f>IF(AND(SalesCleanTable[[#This Row],[Discount %]]&gt;0, SalesCleanTable[[#This Row],[Profit]]&lt;0), "Discount loss", "Safe")</f>
        <v>Safe</v>
      </c>
      <c r="AB1778" s="25">
        <f>(SalesCleanTable[[#This Row],[Unit Price]] - SalesCleanTable[[#This Row],[Unit Cost]]) / SalesCleanTable[[#This Row],[Unit Price]]</f>
        <v>0.17142857142857143</v>
      </c>
      <c r="AC1778" t="str">
        <f>IF(SalesCleanTable[[#This Row],[Discount %]] &gt; SalesCleanTable[[#This Row],[Max Allowed Discount]], "Discount loss", "Safe")</f>
        <v>Safe</v>
      </c>
      <c r="AD1778" s="4">
        <f>SalesCleanTable[[#This Row],[Unit Price]] - SalesCleanTable[[#This Row],[Unit Cost]]</f>
        <v>3000</v>
      </c>
      <c r="AE1778" s="41">
        <f>(SalesCleanTable[[#This Row],[Unit Price]] - SalesCleanTable[[#This Row],[Unit Cost]]) / SalesCleanTable[[#This Row],[Unit Price]]</f>
        <v>0.17142857142857143</v>
      </c>
    </row>
    <row r="1779" spans="1:31">
      <c r="A1779" t="s">
        <v>1965</v>
      </c>
      <c r="B1779" s="6">
        <v>45859</v>
      </c>
      <c r="C1779" t="s">
        <v>53</v>
      </c>
      <c r="D1779" t="s">
        <v>54</v>
      </c>
      <c r="E1779" t="s">
        <v>38</v>
      </c>
      <c r="F1779" t="s">
        <v>55</v>
      </c>
      <c r="G1779" t="s">
        <v>56</v>
      </c>
      <c r="H1779" t="s">
        <v>133</v>
      </c>
      <c r="I1779" t="s">
        <v>134</v>
      </c>
      <c r="J1779" t="s">
        <v>130</v>
      </c>
      <c r="K1779" t="s">
        <v>131</v>
      </c>
      <c r="L1779" t="s">
        <v>166</v>
      </c>
      <c r="M1779" t="s">
        <v>177</v>
      </c>
      <c r="N1779">
        <v>2</v>
      </c>
      <c r="O1779" s="4">
        <v>330</v>
      </c>
      <c r="P1779" s="4">
        <v>550</v>
      </c>
      <c r="Q1779" s="7">
        <v>0</v>
      </c>
      <c r="R1779" t="s">
        <v>175</v>
      </c>
      <c r="S1779">
        <v>1</v>
      </c>
      <c r="T1779">
        <v>1100</v>
      </c>
      <c r="U1779">
        <v>0</v>
      </c>
      <c r="V1779">
        <v>1100</v>
      </c>
      <c r="W1779">
        <v>660</v>
      </c>
      <c r="X1779">
        <v>440</v>
      </c>
      <c r="Y1779" s="8">
        <v>0.4</v>
      </c>
      <c r="Z1779" t="s">
        <v>2996</v>
      </c>
      <c r="AA1779" t="str">
        <f>IF(AND(SalesCleanTable[[#This Row],[Discount %]]&gt;0, SalesCleanTable[[#This Row],[Profit]]&lt;0), "Discount loss", "Safe")</f>
        <v>Safe</v>
      </c>
      <c r="AB1779" s="25">
        <f>(SalesCleanTable[[#This Row],[Unit Price]] - SalesCleanTable[[#This Row],[Unit Cost]]) / SalesCleanTable[[#This Row],[Unit Price]]</f>
        <v>0.4</v>
      </c>
      <c r="AC1779" t="str">
        <f>IF(SalesCleanTable[[#This Row],[Discount %]] &gt; SalesCleanTable[[#This Row],[Max Allowed Discount]], "Discount loss", "Safe")</f>
        <v>Safe</v>
      </c>
      <c r="AD1779" s="4">
        <f>SalesCleanTable[[#This Row],[Unit Price]] - SalesCleanTable[[#This Row],[Unit Cost]]</f>
        <v>220</v>
      </c>
      <c r="AE1779" s="41">
        <f>(SalesCleanTable[[#This Row],[Unit Price]] - SalesCleanTable[[#This Row],[Unit Cost]]) / SalesCleanTable[[#This Row],[Unit Price]]</f>
        <v>0.4</v>
      </c>
    </row>
    <row r="1780" spans="1:31">
      <c r="A1780" t="s">
        <v>1966</v>
      </c>
      <c r="B1780" s="6">
        <v>45794</v>
      </c>
      <c r="C1780" t="s">
        <v>49</v>
      </c>
      <c r="D1780" t="s">
        <v>50</v>
      </c>
      <c r="E1780" t="s">
        <v>38</v>
      </c>
      <c r="F1780" t="s">
        <v>51</v>
      </c>
      <c r="G1780" t="s">
        <v>52</v>
      </c>
      <c r="H1780" t="s">
        <v>135</v>
      </c>
      <c r="I1780" t="s">
        <v>136</v>
      </c>
      <c r="J1780" t="s">
        <v>137</v>
      </c>
      <c r="K1780" t="s">
        <v>138</v>
      </c>
      <c r="L1780" t="s">
        <v>183</v>
      </c>
      <c r="M1780" t="s">
        <v>171</v>
      </c>
      <c r="N1780">
        <v>2</v>
      </c>
      <c r="O1780" s="4">
        <v>550</v>
      </c>
      <c r="P1780" s="4">
        <v>850</v>
      </c>
      <c r="Q1780" s="7">
        <v>0.05</v>
      </c>
      <c r="R1780" t="s">
        <v>178</v>
      </c>
      <c r="S1780">
        <v>1</v>
      </c>
      <c r="T1780">
        <v>1700</v>
      </c>
      <c r="U1780">
        <v>85</v>
      </c>
      <c r="V1780">
        <v>1615</v>
      </c>
      <c r="W1780">
        <v>1100</v>
      </c>
      <c r="X1780">
        <v>515</v>
      </c>
      <c r="Y1780" s="8">
        <v>0.31888544891640869</v>
      </c>
      <c r="Z1780" t="s">
        <v>2996</v>
      </c>
      <c r="AA1780" t="str">
        <f>IF(AND(SalesCleanTable[[#This Row],[Discount %]]&gt;0, SalesCleanTable[[#This Row],[Profit]]&lt;0), "Discount loss", "Safe")</f>
        <v>Safe</v>
      </c>
      <c r="AB1780" s="25">
        <f>(SalesCleanTable[[#This Row],[Unit Price]] - SalesCleanTable[[#This Row],[Unit Cost]]) / SalesCleanTable[[#This Row],[Unit Price]]</f>
        <v>0.35294117647058826</v>
      </c>
      <c r="AC1780" t="str">
        <f>IF(SalesCleanTable[[#This Row],[Discount %]] &gt; SalesCleanTable[[#This Row],[Max Allowed Discount]], "Discount loss", "Safe")</f>
        <v>Safe</v>
      </c>
      <c r="AD1780" s="4">
        <f>SalesCleanTable[[#This Row],[Unit Price]] - SalesCleanTable[[#This Row],[Unit Cost]]</f>
        <v>300</v>
      </c>
      <c r="AE1780" s="41">
        <f>(SalesCleanTable[[#This Row],[Unit Price]] - SalesCleanTable[[#This Row],[Unit Cost]]) / SalesCleanTable[[#This Row],[Unit Price]]</f>
        <v>0.35294117647058826</v>
      </c>
    </row>
    <row r="1781" spans="1:31">
      <c r="A1781" t="s">
        <v>1967</v>
      </c>
      <c r="B1781" s="6">
        <v>45906</v>
      </c>
      <c r="C1781" t="s">
        <v>78</v>
      </c>
      <c r="D1781" t="s">
        <v>79</v>
      </c>
      <c r="E1781" t="s">
        <v>75</v>
      </c>
      <c r="F1781" t="s">
        <v>80</v>
      </c>
      <c r="G1781" t="s">
        <v>81</v>
      </c>
      <c r="H1781" t="s">
        <v>128</v>
      </c>
      <c r="I1781" t="s">
        <v>129</v>
      </c>
      <c r="J1781" t="s">
        <v>130</v>
      </c>
      <c r="K1781" t="s">
        <v>131</v>
      </c>
      <c r="L1781" t="s">
        <v>183</v>
      </c>
      <c r="M1781" t="s">
        <v>171</v>
      </c>
      <c r="N1781">
        <v>2</v>
      </c>
      <c r="O1781" s="4">
        <v>1200</v>
      </c>
      <c r="P1781" s="4">
        <v>1900</v>
      </c>
      <c r="Q1781" s="7">
        <v>0</v>
      </c>
      <c r="R1781" t="s">
        <v>204</v>
      </c>
      <c r="S1781">
        <v>13</v>
      </c>
      <c r="T1781">
        <v>3800</v>
      </c>
      <c r="U1781">
        <v>0</v>
      </c>
      <c r="V1781">
        <v>3800</v>
      </c>
      <c r="W1781">
        <v>2400</v>
      </c>
      <c r="X1781">
        <v>1400</v>
      </c>
      <c r="Y1781" s="8">
        <v>0.36842105263157893</v>
      </c>
      <c r="Z1781" t="s">
        <v>2996</v>
      </c>
      <c r="AA1781" t="str">
        <f>IF(AND(SalesCleanTable[[#This Row],[Discount %]]&gt;0, SalesCleanTable[[#This Row],[Profit]]&lt;0), "Discount loss", "Safe")</f>
        <v>Safe</v>
      </c>
      <c r="AB1781" s="25">
        <f>(SalesCleanTable[[#This Row],[Unit Price]] - SalesCleanTable[[#This Row],[Unit Cost]]) / SalesCleanTable[[#This Row],[Unit Price]]</f>
        <v>0.36842105263157893</v>
      </c>
      <c r="AC1781" t="str">
        <f>IF(SalesCleanTable[[#This Row],[Discount %]] &gt; SalesCleanTable[[#This Row],[Max Allowed Discount]], "Discount loss", "Safe")</f>
        <v>Safe</v>
      </c>
      <c r="AD1781" s="4">
        <f>SalesCleanTable[[#This Row],[Unit Price]] - SalesCleanTable[[#This Row],[Unit Cost]]</f>
        <v>700</v>
      </c>
      <c r="AE1781" s="41">
        <f>(SalesCleanTable[[#This Row],[Unit Price]] - SalesCleanTable[[#This Row],[Unit Cost]]) / SalesCleanTable[[#This Row],[Unit Price]]</f>
        <v>0.36842105263157893</v>
      </c>
    </row>
    <row r="1782" spans="1:31">
      <c r="A1782" t="s">
        <v>1968</v>
      </c>
      <c r="B1782" s="6">
        <v>45692</v>
      </c>
      <c r="C1782" t="s">
        <v>99</v>
      </c>
      <c r="D1782" t="s">
        <v>100</v>
      </c>
      <c r="E1782" t="s">
        <v>92</v>
      </c>
      <c r="F1782" t="s">
        <v>101</v>
      </c>
      <c r="G1782" t="s">
        <v>102</v>
      </c>
      <c r="H1782" t="s">
        <v>139</v>
      </c>
      <c r="I1782" t="s">
        <v>140</v>
      </c>
      <c r="J1782" t="s">
        <v>137</v>
      </c>
      <c r="K1782" t="s">
        <v>138</v>
      </c>
      <c r="L1782" t="s">
        <v>183</v>
      </c>
      <c r="M1782" t="s">
        <v>171</v>
      </c>
      <c r="N1782">
        <v>4</v>
      </c>
      <c r="O1782" s="4">
        <v>12500</v>
      </c>
      <c r="P1782" s="4">
        <v>18500</v>
      </c>
      <c r="Q1782" s="7">
        <v>0.1</v>
      </c>
      <c r="R1782" t="s">
        <v>217</v>
      </c>
      <c r="S1782">
        <v>4</v>
      </c>
      <c r="T1782">
        <v>74000</v>
      </c>
      <c r="U1782">
        <v>7400</v>
      </c>
      <c r="V1782">
        <v>66600</v>
      </c>
      <c r="W1782">
        <v>50000</v>
      </c>
      <c r="X1782">
        <v>16600</v>
      </c>
      <c r="Y1782" s="8">
        <v>0.24924924924924924</v>
      </c>
      <c r="Z1782" t="s">
        <v>2995</v>
      </c>
      <c r="AA1782" t="str">
        <f>IF(AND(SalesCleanTable[[#This Row],[Discount %]]&gt;0, SalesCleanTable[[#This Row],[Profit]]&lt;0), "Discount loss", "Safe")</f>
        <v>Safe</v>
      </c>
      <c r="AB1782" s="25">
        <f>(SalesCleanTable[[#This Row],[Unit Price]] - SalesCleanTable[[#This Row],[Unit Cost]]) / SalesCleanTable[[#This Row],[Unit Price]]</f>
        <v>0.32432432432432434</v>
      </c>
      <c r="AC1782" t="str">
        <f>IF(SalesCleanTable[[#This Row],[Discount %]] &gt; SalesCleanTable[[#This Row],[Max Allowed Discount]], "Discount loss", "Safe")</f>
        <v>Safe</v>
      </c>
      <c r="AD1782" s="4">
        <f>SalesCleanTable[[#This Row],[Unit Price]] - SalesCleanTable[[#This Row],[Unit Cost]]</f>
        <v>6000</v>
      </c>
      <c r="AE1782" s="41">
        <f>(SalesCleanTable[[#This Row],[Unit Price]] - SalesCleanTable[[#This Row],[Unit Cost]]) / SalesCleanTable[[#This Row],[Unit Price]]</f>
        <v>0.32432432432432434</v>
      </c>
    </row>
    <row r="1783" spans="1:31">
      <c r="A1783" t="s">
        <v>1969</v>
      </c>
      <c r="B1783" s="6">
        <v>46020</v>
      </c>
      <c r="C1783" t="s">
        <v>29</v>
      </c>
      <c r="D1783" t="s">
        <v>30</v>
      </c>
      <c r="E1783" t="s">
        <v>26</v>
      </c>
      <c r="F1783" t="s">
        <v>27</v>
      </c>
      <c r="G1783" t="s">
        <v>31</v>
      </c>
      <c r="H1783" t="s">
        <v>145</v>
      </c>
      <c r="I1783" t="s">
        <v>146</v>
      </c>
      <c r="J1783" t="s">
        <v>147</v>
      </c>
      <c r="K1783" t="s">
        <v>148</v>
      </c>
      <c r="L1783" t="s">
        <v>166</v>
      </c>
      <c r="M1783" t="s">
        <v>171</v>
      </c>
      <c r="N1783">
        <v>1</v>
      </c>
      <c r="O1783" s="4">
        <v>6200</v>
      </c>
      <c r="P1783" s="4">
        <v>7900</v>
      </c>
      <c r="Q1783" s="7">
        <v>0.1</v>
      </c>
      <c r="R1783" t="s">
        <v>194</v>
      </c>
      <c r="S1783">
        <v>11</v>
      </c>
      <c r="T1783">
        <v>7900</v>
      </c>
      <c r="U1783">
        <v>790</v>
      </c>
      <c r="V1783">
        <v>7110</v>
      </c>
      <c r="W1783">
        <v>6200</v>
      </c>
      <c r="X1783">
        <v>910</v>
      </c>
      <c r="Y1783" s="8">
        <v>0.12798874824191281</v>
      </c>
      <c r="Z1783" t="s">
        <v>2996</v>
      </c>
      <c r="AA1783" t="str">
        <f>IF(AND(SalesCleanTable[[#This Row],[Discount %]]&gt;0, SalesCleanTable[[#This Row],[Profit]]&lt;0), "Discount loss", "Safe")</f>
        <v>Safe</v>
      </c>
      <c r="AB1783" s="25">
        <f>(SalesCleanTable[[#This Row],[Unit Price]] - SalesCleanTable[[#This Row],[Unit Cost]]) / SalesCleanTable[[#This Row],[Unit Price]]</f>
        <v>0.21518987341772153</v>
      </c>
      <c r="AC1783" t="str">
        <f>IF(SalesCleanTable[[#This Row],[Discount %]] &gt; SalesCleanTable[[#This Row],[Max Allowed Discount]], "Discount loss", "Safe")</f>
        <v>Safe</v>
      </c>
      <c r="AD1783" s="4">
        <f>SalesCleanTable[[#This Row],[Unit Price]] - SalesCleanTable[[#This Row],[Unit Cost]]</f>
        <v>1700</v>
      </c>
      <c r="AE1783" s="41">
        <f>(SalesCleanTable[[#This Row],[Unit Price]] - SalesCleanTable[[#This Row],[Unit Cost]]) / SalesCleanTable[[#This Row],[Unit Price]]</f>
        <v>0.21518987341772153</v>
      </c>
    </row>
    <row r="1784" spans="1:31">
      <c r="A1784" t="s">
        <v>1970</v>
      </c>
      <c r="B1784" s="6">
        <v>45912</v>
      </c>
      <c r="C1784" t="s">
        <v>112</v>
      </c>
      <c r="D1784" t="s">
        <v>113</v>
      </c>
      <c r="E1784" t="s">
        <v>109</v>
      </c>
      <c r="F1784" t="s">
        <v>114</v>
      </c>
      <c r="G1784" t="s">
        <v>115</v>
      </c>
      <c r="H1784" t="s">
        <v>135</v>
      </c>
      <c r="I1784" t="s">
        <v>136</v>
      </c>
      <c r="J1784" t="s">
        <v>137</v>
      </c>
      <c r="K1784" t="s">
        <v>138</v>
      </c>
      <c r="L1784" t="s">
        <v>183</v>
      </c>
      <c r="M1784" t="s">
        <v>171</v>
      </c>
      <c r="N1784">
        <v>3</v>
      </c>
      <c r="O1784" s="4">
        <v>1300</v>
      </c>
      <c r="P1784" s="4">
        <v>2100</v>
      </c>
      <c r="Q1784" s="7">
        <v>0.2</v>
      </c>
      <c r="R1784" t="s">
        <v>235</v>
      </c>
      <c r="S1784">
        <v>8</v>
      </c>
      <c r="T1784">
        <v>6300</v>
      </c>
      <c r="U1784">
        <v>1260</v>
      </c>
      <c r="V1784">
        <v>5040</v>
      </c>
      <c r="W1784">
        <v>3900</v>
      </c>
      <c r="X1784">
        <v>1140</v>
      </c>
      <c r="Y1784" s="8">
        <v>0.22619047619047619</v>
      </c>
      <c r="Z1784" t="s">
        <v>2995</v>
      </c>
      <c r="AA1784" t="str">
        <f>IF(AND(SalesCleanTable[[#This Row],[Discount %]]&gt;0, SalesCleanTable[[#This Row],[Profit]]&lt;0), "Discount loss", "Safe")</f>
        <v>Safe</v>
      </c>
      <c r="AB1784" s="25">
        <f>(SalesCleanTable[[#This Row],[Unit Price]] - SalesCleanTable[[#This Row],[Unit Cost]]) / SalesCleanTable[[#This Row],[Unit Price]]</f>
        <v>0.38095238095238093</v>
      </c>
      <c r="AC1784" t="str">
        <f>IF(SalesCleanTable[[#This Row],[Discount %]] &gt; SalesCleanTable[[#This Row],[Max Allowed Discount]], "Discount loss", "Safe")</f>
        <v>Safe</v>
      </c>
      <c r="AD1784" s="4">
        <f>SalesCleanTable[[#This Row],[Unit Price]] - SalesCleanTable[[#This Row],[Unit Cost]]</f>
        <v>800</v>
      </c>
      <c r="AE1784" s="41">
        <f>(SalesCleanTable[[#This Row],[Unit Price]] - SalesCleanTable[[#This Row],[Unit Cost]]) / SalesCleanTable[[#This Row],[Unit Price]]</f>
        <v>0.38095238095238093</v>
      </c>
    </row>
    <row r="1785" spans="1:31">
      <c r="A1785" t="s">
        <v>1971</v>
      </c>
      <c r="B1785" s="6">
        <v>46008</v>
      </c>
      <c r="C1785" t="s">
        <v>32</v>
      </c>
      <c r="D1785" t="s">
        <v>33</v>
      </c>
      <c r="E1785" t="s">
        <v>26</v>
      </c>
      <c r="F1785" t="s">
        <v>34</v>
      </c>
      <c r="G1785" t="s">
        <v>35</v>
      </c>
      <c r="H1785" t="s">
        <v>135</v>
      </c>
      <c r="I1785" t="s">
        <v>136</v>
      </c>
      <c r="J1785" t="s">
        <v>137</v>
      </c>
      <c r="K1785" t="s">
        <v>138</v>
      </c>
      <c r="L1785" t="s">
        <v>166</v>
      </c>
      <c r="M1785" t="s">
        <v>171</v>
      </c>
      <c r="N1785">
        <v>3</v>
      </c>
      <c r="O1785" s="4">
        <v>7800</v>
      </c>
      <c r="P1785" s="4">
        <v>9800</v>
      </c>
      <c r="Q1785" s="7">
        <v>0.1</v>
      </c>
      <c r="R1785" t="s">
        <v>197</v>
      </c>
      <c r="S1785">
        <v>3</v>
      </c>
      <c r="T1785">
        <v>29400</v>
      </c>
      <c r="U1785">
        <v>2940</v>
      </c>
      <c r="V1785">
        <v>26460</v>
      </c>
      <c r="W1785">
        <v>23400</v>
      </c>
      <c r="X1785">
        <v>3060</v>
      </c>
      <c r="Y1785" s="8">
        <v>0.11564625850340136</v>
      </c>
      <c r="Z1785" t="s">
        <v>2995</v>
      </c>
      <c r="AA1785" t="str">
        <f>IF(AND(SalesCleanTable[[#This Row],[Discount %]]&gt;0, SalesCleanTable[[#This Row],[Profit]]&lt;0), "Discount loss", "Safe")</f>
        <v>Safe</v>
      </c>
      <c r="AB1785" s="25">
        <f>(SalesCleanTable[[#This Row],[Unit Price]] - SalesCleanTable[[#This Row],[Unit Cost]]) / SalesCleanTable[[#This Row],[Unit Price]]</f>
        <v>0.20408163265306123</v>
      </c>
      <c r="AC1785" t="str">
        <f>IF(SalesCleanTable[[#This Row],[Discount %]] &gt; SalesCleanTable[[#This Row],[Max Allowed Discount]], "Discount loss", "Safe")</f>
        <v>Safe</v>
      </c>
      <c r="AD1785" s="4">
        <f>SalesCleanTable[[#This Row],[Unit Price]] - SalesCleanTable[[#This Row],[Unit Cost]]</f>
        <v>2000</v>
      </c>
      <c r="AE1785" s="41">
        <f>(SalesCleanTable[[#This Row],[Unit Price]] - SalesCleanTable[[#This Row],[Unit Cost]]) / SalesCleanTable[[#This Row],[Unit Price]]</f>
        <v>0.20408163265306123</v>
      </c>
    </row>
    <row r="1786" spans="1:31">
      <c r="A1786" t="s">
        <v>1972</v>
      </c>
      <c r="B1786" s="6">
        <v>45804</v>
      </c>
      <c r="C1786" t="s">
        <v>112</v>
      </c>
      <c r="D1786" t="s">
        <v>113</v>
      </c>
      <c r="E1786" t="s">
        <v>109</v>
      </c>
      <c r="F1786" t="s">
        <v>114</v>
      </c>
      <c r="G1786" t="s">
        <v>115</v>
      </c>
      <c r="H1786" t="s">
        <v>139</v>
      </c>
      <c r="I1786" t="s">
        <v>140</v>
      </c>
      <c r="J1786" t="s">
        <v>137</v>
      </c>
      <c r="K1786" t="s">
        <v>138</v>
      </c>
      <c r="L1786" t="s">
        <v>183</v>
      </c>
      <c r="M1786" t="s">
        <v>171</v>
      </c>
      <c r="N1786">
        <v>3</v>
      </c>
      <c r="O1786" s="4">
        <v>1300</v>
      </c>
      <c r="P1786" s="4">
        <v>2100</v>
      </c>
      <c r="Q1786" s="7">
        <v>0</v>
      </c>
      <c r="R1786" t="s">
        <v>220</v>
      </c>
      <c r="S1786">
        <v>3</v>
      </c>
      <c r="T1786">
        <v>6300</v>
      </c>
      <c r="U1786">
        <v>0</v>
      </c>
      <c r="V1786">
        <v>6300</v>
      </c>
      <c r="W1786">
        <v>3900</v>
      </c>
      <c r="X1786">
        <v>2400</v>
      </c>
      <c r="Y1786" s="8">
        <v>0.38095238095238093</v>
      </c>
      <c r="Z1786" t="s">
        <v>2995</v>
      </c>
      <c r="AA1786" t="str">
        <f>IF(AND(SalesCleanTable[[#This Row],[Discount %]]&gt;0, SalesCleanTable[[#This Row],[Profit]]&lt;0), "Discount loss", "Safe")</f>
        <v>Safe</v>
      </c>
      <c r="AB1786" s="25">
        <f>(SalesCleanTable[[#This Row],[Unit Price]] - SalesCleanTable[[#This Row],[Unit Cost]]) / SalesCleanTable[[#This Row],[Unit Price]]</f>
        <v>0.38095238095238093</v>
      </c>
      <c r="AC1786" t="str">
        <f>IF(SalesCleanTable[[#This Row],[Discount %]] &gt; SalesCleanTable[[#This Row],[Max Allowed Discount]], "Discount loss", "Safe")</f>
        <v>Safe</v>
      </c>
      <c r="AD1786" s="4">
        <f>SalesCleanTable[[#This Row],[Unit Price]] - SalesCleanTable[[#This Row],[Unit Cost]]</f>
        <v>800</v>
      </c>
      <c r="AE1786" s="41">
        <f>(SalesCleanTable[[#This Row],[Unit Price]] - SalesCleanTable[[#This Row],[Unit Cost]]) / SalesCleanTable[[#This Row],[Unit Price]]</f>
        <v>0.38095238095238093</v>
      </c>
    </row>
    <row r="1787" spans="1:31">
      <c r="A1787" t="s">
        <v>1973</v>
      </c>
      <c r="B1787" s="6">
        <v>46010</v>
      </c>
      <c r="C1787" t="s">
        <v>116</v>
      </c>
      <c r="D1787" t="s">
        <v>117</v>
      </c>
      <c r="E1787" t="s">
        <v>109</v>
      </c>
      <c r="F1787" t="s">
        <v>118</v>
      </c>
      <c r="G1787" t="s">
        <v>119</v>
      </c>
      <c r="H1787" t="s">
        <v>141</v>
      </c>
      <c r="I1787" t="s">
        <v>142</v>
      </c>
      <c r="J1787" t="s">
        <v>143</v>
      </c>
      <c r="K1787" t="s">
        <v>144</v>
      </c>
      <c r="L1787" t="s">
        <v>183</v>
      </c>
      <c r="M1787" t="s">
        <v>171</v>
      </c>
      <c r="N1787">
        <v>-2</v>
      </c>
      <c r="O1787" s="4">
        <v>2800</v>
      </c>
      <c r="P1787" s="4">
        <v>4200</v>
      </c>
      <c r="Q1787" s="7">
        <v>0.1</v>
      </c>
      <c r="R1787" t="s">
        <v>220</v>
      </c>
      <c r="S1787">
        <v>13</v>
      </c>
      <c r="T1787">
        <v>-8400</v>
      </c>
      <c r="U1787">
        <v>-840</v>
      </c>
      <c r="V1787">
        <v>-7560</v>
      </c>
      <c r="W1787">
        <v>-5600</v>
      </c>
      <c r="X1787">
        <v>-1960</v>
      </c>
      <c r="Y1787" s="8">
        <v>0.25925925925925924</v>
      </c>
      <c r="Z1787" t="s">
        <v>2995</v>
      </c>
      <c r="AA1787" t="str">
        <f>IF(AND(SalesCleanTable[[#This Row],[Discount %]]&gt;0, SalesCleanTable[[#This Row],[Profit]]&lt;0), "Discount loss", "Safe")</f>
        <v>Discount loss</v>
      </c>
      <c r="AB1787" s="25">
        <f>(SalesCleanTable[[#This Row],[Unit Price]] - SalesCleanTable[[#This Row],[Unit Cost]]) / SalesCleanTable[[#This Row],[Unit Price]]</f>
        <v>0.33333333333333331</v>
      </c>
      <c r="AC1787" t="str">
        <f>IF(SalesCleanTable[[#This Row],[Discount %]] &gt; SalesCleanTable[[#This Row],[Max Allowed Discount]], "Discount loss", "Safe")</f>
        <v>Safe</v>
      </c>
      <c r="AD1787" s="4">
        <f>SalesCleanTable[[#This Row],[Unit Price]] - SalesCleanTable[[#This Row],[Unit Cost]]</f>
        <v>1400</v>
      </c>
      <c r="AE1787" s="41">
        <f>(SalesCleanTable[[#This Row],[Unit Price]] - SalesCleanTable[[#This Row],[Unit Cost]]) / SalesCleanTable[[#This Row],[Unit Price]]</f>
        <v>0.33333333333333331</v>
      </c>
    </row>
    <row r="1788" spans="1:31">
      <c r="A1788" t="s">
        <v>1974</v>
      </c>
      <c r="B1788" s="6">
        <v>45793</v>
      </c>
      <c r="C1788" t="s">
        <v>36</v>
      </c>
      <c r="D1788" t="s">
        <v>37</v>
      </c>
      <c r="E1788" t="s">
        <v>38</v>
      </c>
      <c r="F1788" t="s">
        <v>39</v>
      </c>
      <c r="G1788" t="s">
        <v>40</v>
      </c>
      <c r="H1788" t="s">
        <v>135</v>
      </c>
      <c r="I1788" t="s">
        <v>136</v>
      </c>
      <c r="J1788" t="s">
        <v>137</v>
      </c>
      <c r="K1788" t="s">
        <v>138</v>
      </c>
      <c r="L1788" t="s">
        <v>166</v>
      </c>
      <c r="M1788" t="s">
        <v>186</v>
      </c>
      <c r="N1788">
        <v>10</v>
      </c>
      <c r="O1788" s="4">
        <v>1650</v>
      </c>
      <c r="P1788" s="4">
        <v>2200</v>
      </c>
      <c r="Q1788" s="7">
        <v>0.1</v>
      </c>
      <c r="R1788" t="s">
        <v>168</v>
      </c>
      <c r="S1788">
        <v>8</v>
      </c>
      <c r="T1788">
        <v>22000</v>
      </c>
      <c r="U1788">
        <v>2200</v>
      </c>
      <c r="V1788">
        <v>19800</v>
      </c>
      <c r="W1788">
        <v>16500</v>
      </c>
      <c r="X1788">
        <v>3300</v>
      </c>
      <c r="Y1788" s="8">
        <v>0.16666666666666666</v>
      </c>
      <c r="Z1788" t="s">
        <v>2995</v>
      </c>
      <c r="AA1788" t="str">
        <f>IF(AND(SalesCleanTable[[#This Row],[Discount %]]&gt;0, SalesCleanTable[[#This Row],[Profit]]&lt;0), "Discount loss", "Safe")</f>
        <v>Safe</v>
      </c>
      <c r="AB1788" s="25">
        <f>(SalesCleanTable[[#This Row],[Unit Price]] - SalesCleanTable[[#This Row],[Unit Cost]]) / SalesCleanTable[[#This Row],[Unit Price]]</f>
        <v>0.25</v>
      </c>
      <c r="AC1788" t="str">
        <f>IF(SalesCleanTable[[#This Row],[Discount %]] &gt; SalesCleanTable[[#This Row],[Max Allowed Discount]], "Discount loss", "Safe")</f>
        <v>Safe</v>
      </c>
      <c r="AD1788" s="4">
        <f>SalesCleanTable[[#This Row],[Unit Price]] - SalesCleanTable[[#This Row],[Unit Cost]]</f>
        <v>550</v>
      </c>
      <c r="AE1788" s="41">
        <f>(SalesCleanTable[[#This Row],[Unit Price]] - SalesCleanTable[[#This Row],[Unit Cost]]) / SalesCleanTable[[#This Row],[Unit Price]]</f>
        <v>0.25</v>
      </c>
    </row>
    <row r="1789" spans="1:31">
      <c r="A1789" t="s">
        <v>1975</v>
      </c>
      <c r="B1789" s="6">
        <v>45934</v>
      </c>
      <c r="C1789" t="s">
        <v>99</v>
      </c>
      <c r="D1789" t="s">
        <v>100</v>
      </c>
      <c r="E1789" t="s">
        <v>92</v>
      </c>
      <c r="F1789" t="s">
        <v>101</v>
      </c>
      <c r="G1789" t="s">
        <v>102</v>
      </c>
      <c r="H1789" t="s">
        <v>128</v>
      </c>
      <c r="I1789" t="s">
        <v>129</v>
      </c>
      <c r="J1789" t="s">
        <v>130</v>
      </c>
      <c r="K1789" t="s">
        <v>131</v>
      </c>
      <c r="L1789" t="s">
        <v>183</v>
      </c>
      <c r="M1789" t="s">
        <v>171</v>
      </c>
      <c r="N1789">
        <v>2</v>
      </c>
      <c r="O1789" s="4">
        <v>12500</v>
      </c>
      <c r="P1789" s="4">
        <v>18500</v>
      </c>
      <c r="Q1789" s="7">
        <v>0.15</v>
      </c>
      <c r="R1789" t="s">
        <v>215</v>
      </c>
      <c r="S1789">
        <v>13</v>
      </c>
      <c r="T1789">
        <v>37000</v>
      </c>
      <c r="U1789">
        <v>5550</v>
      </c>
      <c r="V1789">
        <v>31450</v>
      </c>
      <c r="W1789">
        <v>25000</v>
      </c>
      <c r="X1789">
        <v>6450</v>
      </c>
      <c r="Y1789" s="8">
        <v>0.20508744038155802</v>
      </c>
      <c r="Z1789" t="s">
        <v>2995</v>
      </c>
      <c r="AA1789" t="str">
        <f>IF(AND(SalesCleanTable[[#This Row],[Discount %]]&gt;0, SalesCleanTable[[#This Row],[Profit]]&lt;0), "Discount loss", "Safe")</f>
        <v>Safe</v>
      </c>
      <c r="AB1789" s="25">
        <f>(SalesCleanTable[[#This Row],[Unit Price]] - SalesCleanTable[[#This Row],[Unit Cost]]) / SalesCleanTable[[#This Row],[Unit Price]]</f>
        <v>0.32432432432432434</v>
      </c>
      <c r="AC1789" t="str">
        <f>IF(SalesCleanTable[[#This Row],[Discount %]] &gt; SalesCleanTable[[#This Row],[Max Allowed Discount]], "Discount loss", "Safe")</f>
        <v>Safe</v>
      </c>
      <c r="AD1789" s="4">
        <f>SalesCleanTable[[#This Row],[Unit Price]] - SalesCleanTable[[#This Row],[Unit Cost]]</f>
        <v>6000</v>
      </c>
      <c r="AE1789" s="41">
        <f>(SalesCleanTable[[#This Row],[Unit Price]] - SalesCleanTable[[#This Row],[Unit Cost]]) / SalesCleanTable[[#This Row],[Unit Price]]</f>
        <v>0.32432432432432434</v>
      </c>
    </row>
    <row r="1790" spans="1:31">
      <c r="A1790" t="s">
        <v>1976</v>
      </c>
      <c r="B1790" s="6">
        <v>45790</v>
      </c>
      <c r="C1790" t="s">
        <v>32</v>
      </c>
      <c r="D1790" t="s">
        <v>33</v>
      </c>
      <c r="E1790" t="s">
        <v>26</v>
      </c>
      <c r="F1790" t="s">
        <v>34</v>
      </c>
      <c r="G1790" t="s">
        <v>35</v>
      </c>
      <c r="H1790" t="s">
        <v>153</v>
      </c>
      <c r="I1790" t="s">
        <v>154</v>
      </c>
      <c r="J1790" t="s">
        <v>155</v>
      </c>
      <c r="K1790" t="s">
        <v>131</v>
      </c>
      <c r="L1790" t="s">
        <v>183</v>
      </c>
      <c r="M1790" t="s">
        <v>167</v>
      </c>
      <c r="N1790">
        <v>8</v>
      </c>
      <c r="O1790" s="4">
        <v>7800</v>
      </c>
      <c r="P1790" s="4">
        <v>9800</v>
      </c>
      <c r="Q1790" s="7">
        <v>0.2</v>
      </c>
      <c r="R1790" t="s">
        <v>173</v>
      </c>
      <c r="S1790">
        <v>12</v>
      </c>
      <c r="T1790">
        <v>78400</v>
      </c>
      <c r="U1790">
        <v>15680</v>
      </c>
      <c r="V1790">
        <v>62720</v>
      </c>
      <c r="W1790">
        <v>62400</v>
      </c>
      <c r="X1790">
        <v>320</v>
      </c>
      <c r="Y1790" s="8">
        <v>5.1020408163265302E-3</v>
      </c>
      <c r="Z1790" t="s">
        <v>2995</v>
      </c>
      <c r="AA1790" t="str">
        <f>IF(AND(SalesCleanTable[[#This Row],[Discount %]]&gt;0, SalesCleanTable[[#This Row],[Profit]]&lt;0), "Discount loss", "Safe")</f>
        <v>Safe</v>
      </c>
      <c r="AB1790" s="25">
        <f>(SalesCleanTable[[#This Row],[Unit Price]] - SalesCleanTable[[#This Row],[Unit Cost]]) / SalesCleanTable[[#This Row],[Unit Price]]</f>
        <v>0.20408163265306123</v>
      </c>
      <c r="AC1790" t="str">
        <f>IF(SalesCleanTable[[#This Row],[Discount %]] &gt; SalesCleanTable[[#This Row],[Max Allowed Discount]], "Discount loss", "Safe")</f>
        <v>Safe</v>
      </c>
      <c r="AD1790" s="4">
        <f>SalesCleanTable[[#This Row],[Unit Price]] - SalesCleanTable[[#This Row],[Unit Cost]]</f>
        <v>2000</v>
      </c>
      <c r="AE1790" s="41">
        <f>(SalesCleanTable[[#This Row],[Unit Price]] - SalesCleanTable[[#This Row],[Unit Cost]]) / SalesCleanTable[[#This Row],[Unit Price]]</f>
        <v>0.20408163265306123</v>
      </c>
    </row>
    <row r="1791" spans="1:31">
      <c r="A1791" t="s">
        <v>1977</v>
      </c>
      <c r="B1791" s="6">
        <v>45950</v>
      </c>
      <c r="C1791" t="s">
        <v>57</v>
      </c>
      <c r="D1791" t="s">
        <v>58</v>
      </c>
      <c r="E1791" t="s">
        <v>59</v>
      </c>
      <c r="F1791" t="s">
        <v>60</v>
      </c>
      <c r="G1791" t="s">
        <v>61</v>
      </c>
      <c r="H1791" t="s">
        <v>139</v>
      </c>
      <c r="I1791" t="s">
        <v>140</v>
      </c>
      <c r="J1791" t="s">
        <v>137</v>
      </c>
      <c r="K1791" t="s">
        <v>138</v>
      </c>
      <c r="L1791" t="s">
        <v>183</v>
      </c>
      <c r="M1791" t="s">
        <v>171</v>
      </c>
      <c r="N1791">
        <v>10</v>
      </c>
      <c r="O1791" s="4">
        <v>2400</v>
      </c>
      <c r="P1791" s="4">
        <v>3400</v>
      </c>
      <c r="Q1791" s="7">
        <v>0.1</v>
      </c>
      <c r="R1791" t="s">
        <v>192</v>
      </c>
      <c r="S1791">
        <v>8</v>
      </c>
      <c r="T1791">
        <v>34000</v>
      </c>
      <c r="U1791">
        <v>3400</v>
      </c>
      <c r="V1791">
        <v>30600</v>
      </c>
      <c r="W1791">
        <v>24000</v>
      </c>
      <c r="X1791">
        <v>6600</v>
      </c>
      <c r="Y1791" s="8">
        <v>0.21568627450980393</v>
      </c>
      <c r="Z1791" t="s">
        <v>2996</v>
      </c>
      <c r="AA1791" t="str">
        <f>IF(AND(SalesCleanTable[[#This Row],[Discount %]]&gt;0, SalesCleanTable[[#This Row],[Profit]]&lt;0), "Discount loss", "Safe")</f>
        <v>Safe</v>
      </c>
      <c r="AB1791" s="25">
        <f>(SalesCleanTable[[#This Row],[Unit Price]] - SalesCleanTable[[#This Row],[Unit Cost]]) / SalesCleanTable[[#This Row],[Unit Price]]</f>
        <v>0.29411764705882354</v>
      </c>
      <c r="AC1791" t="str">
        <f>IF(SalesCleanTable[[#This Row],[Discount %]] &gt; SalesCleanTable[[#This Row],[Max Allowed Discount]], "Discount loss", "Safe")</f>
        <v>Safe</v>
      </c>
      <c r="AD1791" s="4">
        <f>SalesCleanTable[[#This Row],[Unit Price]] - SalesCleanTable[[#This Row],[Unit Cost]]</f>
        <v>1000</v>
      </c>
      <c r="AE1791" s="41">
        <f>(SalesCleanTable[[#This Row],[Unit Price]] - SalesCleanTable[[#This Row],[Unit Cost]]) / SalesCleanTable[[#This Row],[Unit Price]]</f>
        <v>0.29411764705882354</v>
      </c>
    </row>
    <row r="1792" spans="1:31">
      <c r="A1792" t="s">
        <v>1978</v>
      </c>
      <c r="B1792" s="6">
        <v>45933</v>
      </c>
      <c r="C1792" t="s">
        <v>57</v>
      </c>
      <c r="D1792" t="s">
        <v>58</v>
      </c>
      <c r="E1792" t="s">
        <v>59</v>
      </c>
      <c r="F1792" t="s">
        <v>60</v>
      </c>
      <c r="G1792" t="s">
        <v>61</v>
      </c>
      <c r="H1792" t="s">
        <v>139</v>
      </c>
      <c r="I1792" t="s">
        <v>140</v>
      </c>
      <c r="J1792" t="s">
        <v>137</v>
      </c>
      <c r="K1792" t="s">
        <v>138</v>
      </c>
      <c r="L1792" t="s">
        <v>166</v>
      </c>
      <c r="M1792" t="s">
        <v>171</v>
      </c>
      <c r="N1792">
        <v>2</v>
      </c>
      <c r="O1792" s="4">
        <v>2400</v>
      </c>
      <c r="P1792" s="4">
        <v>3400</v>
      </c>
      <c r="Q1792" s="7">
        <v>0.1</v>
      </c>
      <c r="R1792" t="s">
        <v>192</v>
      </c>
      <c r="S1792">
        <v>9</v>
      </c>
      <c r="T1792">
        <v>6800</v>
      </c>
      <c r="U1792">
        <v>680</v>
      </c>
      <c r="V1792">
        <v>6120</v>
      </c>
      <c r="W1792">
        <v>4800</v>
      </c>
      <c r="X1792">
        <v>1320</v>
      </c>
      <c r="Y1792" s="8">
        <v>0.21568627450980393</v>
      </c>
      <c r="Z1792" t="s">
        <v>2996</v>
      </c>
      <c r="AA1792" t="str">
        <f>IF(AND(SalesCleanTable[[#This Row],[Discount %]]&gt;0, SalesCleanTable[[#This Row],[Profit]]&lt;0), "Discount loss", "Safe")</f>
        <v>Safe</v>
      </c>
      <c r="AB1792" s="25">
        <f>(SalesCleanTable[[#This Row],[Unit Price]] - SalesCleanTable[[#This Row],[Unit Cost]]) / SalesCleanTable[[#This Row],[Unit Price]]</f>
        <v>0.29411764705882354</v>
      </c>
      <c r="AC1792" t="str">
        <f>IF(SalesCleanTable[[#This Row],[Discount %]] &gt; SalesCleanTable[[#This Row],[Max Allowed Discount]], "Discount loss", "Safe")</f>
        <v>Safe</v>
      </c>
      <c r="AD1792" s="4">
        <f>SalesCleanTable[[#This Row],[Unit Price]] - SalesCleanTable[[#This Row],[Unit Cost]]</f>
        <v>1000</v>
      </c>
      <c r="AE1792" s="41">
        <f>(SalesCleanTable[[#This Row],[Unit Price]] - SalesCleanTable[[#This Row],[Unit Cost]]) / SalesCleanTable[[#This Row],[Unit Price]]</f>
        <v>0.29411764705882354</v>
      </c>
    </row>
    <row r="1793" spans="1:31">
      <c r="A1793" t="s">
        <v>1979</v>
      </c>
      <c r="B1793" s="6">
        <v>45791</v>
      </c>
      <c r="C1793" t="s">
        <v>45</v>
      </c>
      <c r="D1793" t="s">
        <v>46</v>
      </c>
      <c r="E1793" t="s">
        <v>38</v>
      </c>
      <c r="F1793" t="s">
        <v>47</v>
      </c>
      <c r="G1793" t="s">
        <v>48</v>
      </c>
      <c r="H1793" t="s">
        <v>128</v>
      </c>
      <c r="I1793" t="s">
        <v>129</v>
      </c>
      <c r="J1793" t="s">
        <v>130</v>
      </c>
      <c r="K1793" t="s">
        <v>131</v>
      </c>
      <c r="L1793" t="s">
        <v>183</v>
      </c>
      <c r="M1793" t="s">
        <v>186</v>
      </c>
      <c r="N1793">
        <v>4</v>
      </c>
      <c r="O1793" s="4">
        <v>230</v>
      </c>
      <c r="P1793" s="4">
        <v>400</v>
      </c>
      <c r="Q1793" s="7">
        <v>0.05</v>
      </c>
      <c r="R1793" t="s">
        <v>168</v>
      </c>
      <c r="S1793">
        <v>12</v>
      </c>
      <c r="T1793">
        <v>1600</v>
      </c>
      <c r="U1793">
        <v>80</v>
      </c>
      <c r="V1793">
        <v>1520</v>
      </c>
      <c r="W1793">
        <v>920</v>
      </c>
      <c r="X1793">
        <v>600</v>
      </c>
      <c r="Y1793" s="8">
        <v>0.39473684210526316</v>
      </c>
      <c r="Z1793" t="s">
        <v>2995</v>
      </c>
      <c r="AA1793" t="str">
        <f>IF(AND(SalesCleanTable[[#This Row],[Discount %]]&gt;0, SalesCleanTable[[#This Row],[Profit]]&lt;0), "Discount loss", "Safe")</f>
        <v>Safe</v>
      </c>
      <c r="AB1793" s="25">
        <f>(SalesCleanTable[[#This Row],[Unit Price]] - SalesCleanTable[[#This Row],[Unit Cost]]) / SalesCleanTable[[#This Row],[Unit Price]]</f>
        <v>0.42499999999999999</v>
      </c>
      <c r="AC1793" t="str">
        <f>IF(SalesCleanTable[[#This Row],[Discount %]] &gt; SalesCleanTable[[#This Row],[Max Allowed Discount]], "Discount loss", "Safe")</f>
        <v>Safe</v>
      </c>
      <c r="AD1793" s="4">
        <f>SalesCleanTable[[#This Row],[Unit Price]] - SalesCleanTable[[#This Row],[Unit Cost]]</f>
        <v>170</v>
      </c>
      <c r="AE1793" s="41">
        <f>(SalesCleanTable[[#This Row],[Unit Price]] - SalesCleanTable[[#This Row],[Unit Cost]]) / SalesCleanTable[[#This Row],[Unit Price]]</f>
        <v>0.42499999999999999</v>
      </c>
    </row>
    <row r="1794" spans="1:31">
      <c r="A1794" t="s">
        <v>1980</v>
      </c>
      <c r="B1794" s="6">
        <v>45950</v>
      </c>
      <c r="C1794" t="s">
        <v>116</v>
      </c>
      <c r="D1794" t="s">
        <v>117</v>
      </c>
      <c r="E1794" t="s">
        <v>109</v>
      </c>
      <c r="F1794" t="s">
        <v>118</v>
      </c>
      <c r="G1794" t="s">
        <v>119</v>
      </c>
      <c r="H1794" t="s">
        <v>153</v>
      </c>
      <c r="I1794" t="s">
        <v>154</v>
      </c>
      <c r="J1794" t="s">
        <v>155</v>
      </c>
      <c r="K1794" t="s">
        <v>131</v>
      </c>
      <c r="L1794" t="s">
        <v>166</v>
      </c>
      <c r="M1794" t="s">
        <v>177</v>
      </c>
      <c r="N1794">
        <v>2</v>
      </c>
      <c r="O1794" s="4">
        <v>2800</v>
      </c>
      <c r="P1794" s="4">
        <v>4200</v>
      </c>
      <c r="Q1794" s="7">
        <v>0.2</v>
      </c>
      <c r="R1794" t="s">
        <v>235</v>
      </c>
      <c r="S1794">
        <v>5</v>
      </c>
      <c r="T1794">
        <v>8400</v>
      </c>
      <c r="U1794">
        <v>1680</v>
      </c>
      <c r="V1794">
        <v>6720</v>
      </c>
      <c r="W1794">
        <v>5600</v>
      </c>
      <c r="X1794">
        <v>1120</v>
      </c>
      <c r="Y1794" s="8">
        <v>0.16666666666666666</v>
      </c>
      <c r="Z1794" t="s">
        <v>2995</v>
      </c>
      <c r="AA1794" t="str">
        <f>IF(AND(SalesCleanTable[[#This Row],[Discount %]]&gt;0, SalesCleanTable[[#This Row],[Profit]]&lt;0), "Discount loss", "Safe")</f>
        <v>Safe</v>
      </c>
      <c r="AB1794" s="25">
        <f>(SalesCleanTable[[#This Row],[Unit Price]] - SalesCleanTable[[#This Row],[Unit Cost]]) / SalesCleanTable[[#This Row],[Unit Price]]</f>
        <v>0.33333333333333331</v>
      </c>
      <c r="AC1794" t="str">
        <f>IF(SalesCleanTable[[#This Row],[Discount %]] &gt; SalesCleanTable[[#This Row],[Max Allowed Discount]], "Discount loss", "Safe")</f>
        <v>Safe</v>
      </c>
      <c r="AD1794" s="4">
        <f>SalesCleanTable[[#This Row],[Unit Price]] - SalesCleanTable[[#This Row],[Unit Cost]]</f>
        <v>1400</v>
      </c>
      <c r="AE1794" s="41">
        <f>(SalesCleanTable[[#This Row],[Unit Price]] - SalesCleanTable[[#This Row],[Unit Cost]]) / SalesCleanTable[[#This Row],[Unit Price]]</f>
        <v>0.33333333333333331</v>
      </c>
    </row>
    <row r="1795" spans="1:31">
      <c r="A1795" t="s">
        <v>1981</v>
      </c>
      <c r="B1795" s="6">
        <v>45872</v>
      </c>
      <c r="C1795" t="s">
        <v>53</v>
      </c>
      <c r="D1795" t="s">
        <v>54</v>
      </c>
      <c r="E1795" t="s">
        <v>38</v>
      </c>
      <c r="F1795" t="s">
        <v>55</v>
      </c>
      <c r="G1795" t="s">
        <v>56</v>
      </c>
      <c r="H1795" t="s">
        <v>139</v>
      </c>
      <c r="I1795" t="s">
        <v>140</v>
      </c>
      <c r="J1795" t="s">
        <v>137</v>
      </c>
      <c r="K1795" t="s">
        <v>138</v>
      </c>
      <c r="L1795" t="s">
        <v>183</v>
      </c>
      <c r="M1795" t="s">
        <v>186</v>
      </c>
      <c r="N1795">
        <v>1</v>
      </c>
      <c r="O1795" s="4">
        <v>330</v>
      </c>
      <c r="P1795" s="4">
        <v>550</v>
      </c>
      <c r="Q1795" s="7">
        <v>0.15</v>
      </c>
      <c r="R1795" t="s">
        <v>178</v>
      </c>
      <c r="S1795">
        <v>5</v>
      </c>
      <c r="T1795">
        <v>550</v>
      </c>
      <c r="U1795">
        <v>82.5</v>
      </c>
      <c r="V1795">
        <v>467.5</v>
      </c>
      <c r="W1795">
        <v>330</v>
      </c>
      <c r="X1795">
        <v>137.5</v>
      </c>
      <c r="Y1795" s="8">
        <v>0.29411764705882354</v>
      </c>
      <c r="Z1795" t="s">
        <v>2996</v>
      </c>
      <c r="AA1795" t="str">
        <f>IF(AND(SalesCleanTable[[#This Row],[Discount %]]&gt;0, SalesCleanTable[[#This Row],[Profit]]&lt;0), "Discount loss", "Safe")</f>
        <v>Safe</v>
      </c>
      <c r="AB1795" s="25">
        <f>(SalesCleanTable[[#This Row],[Unit Price]] - SalesCleanTable[[#This Row],[Unit Cost]]) / SalesCleanTable[[#This Row],[Unit Price]]</f>
        <v>0.4</v>
      </c>
      <c r="AC1795" t="str">
        <f>IF(SalesCleanTable[[#This Row],[Discount %]] &gt; SalesCleanTable[[#This Row],[Max Allowed Discount]], "Discount loss", "Safe")</f>
        <v>Safe</v>
      </c>
      <c r="AD1795" s="4">
        <f>SalesCleanTable[[#This Row],[Unit Price]] - SalesCleanTable[[#This Row],[Unit Cost]]</f>
        <v>220</v>
      </c>
      <c r="AE1795" s="41">
        <f>(SalesCleanTable[[#This Row],[Unit Price]] - SalesCleanTable[[#This Row],[Unit Cost]]) / SalesCleanTable[[#This Row],[Unit Price]]</f>
        <v>0.4</v>
      </c>
    </row>
    <row r="1796" spans="1:31">
      <c r="A1796" t="s">
        <v>1982</v>
      </c>
      <c r="B1796" s="6">
        <v>45704</v>
      </c>
      <c r="C1796" t="s">
        <v>90</v>
      </c>
      <c r="D1796" t="s">
        <v>91</v>
      </c>
      <c r="E1796" t="s">
        <v>92</v>
      </c>
      <c r="F1796" t="s">
        <v>93</v>
      </c>
      <c r="G1796" t="s">
        <v>94</v>
      </c>
      <c r="H1796" t="s">
        <v>141</v>
      </c>
      <c r="I1796" t="s">
        <v>142</v>
      </c>
      <c r="J1796" t="s">
        <v>143</v>
      </c>
      <c r="K1796" t="s">
        <v>144</v>
      </c>
      <c r="L1796" t="s">
        <v>166</v>
      </c>
      <c r="M1796" t="s">
        <v>171</v>
      </c>
      <c r="N1796">
        <v>8</v>
      </c>
      <c r="O1796" s="4">
        <v>7500</v>
      </c>
      <c r="P1796" s="4">
        <v>10500</v>
      </c>
      <c r="Q1796" s="7">
        <v>0.15</v>
      </c>
      <c r="R1796" t="s">
        <v>217</v>
      </c>
      <c r="S1796">
        <v>13</v>
      </c>
      <c r="T1796">
        <v>84000</v>
      </c>
      <c r="U1796">
        <v>12600</v>
      </c>
      <c r="V1796">
        <v>71400</v>
      </c>
      <c r="W1796">
        <v>60000</v>
      </c>
      <c r="X1796">
        <v>11400</v>
      </c>
      <c r="Y1796" s="8">
        <v>0.15966386554621848</v>
      </c>
      <c r="Z1796" t="s">
        <v>2996</v>
      </c>
      <c r="AA1796" t="str">
        <f>IF(AND(SalesCleanTable[[#This Row],[Discount %]]&gt;0, SalesCleanTable[[#This Row],[Profit]]&lt;0), "Discount loss", "Safe")</f>
        <v>Safe</v>
      </c>
      <c r="AB1796" s="25">
        <f>(SalesCleanTable[[#This Row],[Unit Price]] - SalesCleanTable[[#This Row],[Unit Cost]]) / SalesCleanTable[[#This Row],[Unit Price]]</f>
        <v>0.2857142857142857</v>
      </c>
      <c r="AC1796" t="str">
        <f>IF(SalesCleanTable[[#This Row],[Discount %]] &gt; SalesCleanTable[[#This Row],[Max Allowed Discount]], "Discount loss", "Safe")</f>
        <v>Safe</v>
      </c>
      <c r="AD1796" s="4">
        <f>SalesCleanTable[[#This Row],[Unit Price]] - SalesCleanTable[[#This Row],[Unit Cost]]</f>
        <v>3000</v>
      </c>
      <c r="AE1796" s="41">
        <f>(SalesCleanTable[[#This Row],[Unit Price]] - SalesCleanTable[[#This Row],[Unit Cost]]) / SalesCleanTable[[#This Row],[Unit Price]]</f>
        <v>0.2857142857142857</v>
      </c>
    </row>
    <row r="1797" spans="1:31">
      <c r="A1797" t="s">
        <v>1983</v>
      </c>
      <c r="B1797" s="6">
        <v>46001</v>
      </c>
      <c r="C1797" t="s">
        <v>53</v>
      </c>
      <c r="D1797" t="s">
        <v>54</v>
      </c>
      <c r="E1797" t="s">
        <v>38</v>
      </c>
      <c r="F1797" t="s">
        <v>55</v>
      </c>
      <c r="G1797" t="s">
        <v>56</v>
      </c>
      <c r="H1797" t="s">
        <v>149</v>
      </c>
      <c r="I1797" t="s">
        <v>150</v>
      </c>
      <c r="J1797" t="s">
        <v>151</v>
      </c>
      <c r="K1797" t="s">
        <v>152</v>
      </c>
      <c r="L1797" t="s">
        <v>166</v>
      </c>
      <c r="M1797" t="s">
        <v>171</v>
      </c>
      <c r="N1797">
        <v>1</v>
      </c>
      <c r="O1797" s="4">
        <v>330</v>
      </c>
      <c r="P1797" s="4">
        <v>550</v>
      </c>
      <c r="Q1797" s="7">
        <v>0.1</v>
      </c>
      <c r="R1797" t="s">
        <v>168</v>
      </c>
      <c r="S1797">
        <v>14</v>
      </c>
      <c r="T1797">
        <v>550</v>
      </c>
      <c r="U1797">
        <v>55</v>
      </c>
      <c r="V1797">
        <v>495</v>
      </c>
      <c r="W1797">
        <v>330</v>
      </c>
      <c r="X1797">
        <v>165</v>
      </c>
      <c r="Y1797" s="8">
        <v>0.33333333333333331</v>
      </c>
      <c r="Z1797" t="s">
        <v>2996</v>
      </c>
      <c r="AA1797" t="str">
        <f>IF(AND(SalesCleanTable[[#This Row],[Discount %]]&gt;0, SalesCleanTable[[#This Row],[Profit]]&lt;0), "Discount loss", "Safe")</f>
        <v>Safe</v>
      </c>
      <c r="AB1797" s="25">
        <f>(SalesCleanTable[[#This Row],[Unit Price]] - SalesCleanTable[[#This Row],[Unit Cost]]) / SalesCleanTable[[#This Row],[Unit Price]]</f>
        <v>0.4</v>
      </c>
      <c r="AC1797" t="str">
        <f>IF(SalesCleanTable[[#This Row],[Discount %]] &gt; SalesCleanTable[[#This Row],[Max Allowed Discount]], "Discount loss", "Safe")</f>
        <v>Safe</v>
      </c>
      <c r="AD1797" s="4">
        <f>SalesCleanTable[[#This Row],[Unit Price]] - SalesCleanTable[[#This Row],[Unit Cost]]</f>
        <v>220</v>
      </c>
      <c r="AE1797" s="41">
        <f>(SalesCleanTable[[#This Row],[Unit Price]] - SalesCleanTable[[#This Row],[Unit Cost]]) / SalesCleanTable[[#This Row],[Unit Price]]</f>
        <v>0.4</v>
      </c>
    </row>
    <row r="1798" spans="1:31">
      <c r="A1798" t="s">
        <v>1984</v>
      </c>
      <c r="B1798" s="6">
        <v>45983</v>
      </c>
      <c r="C1798" t="s">
        <v>24</v>
      </c>
      <c r="D1798" t="s">
        <v>25</v>
      </c>
      <c r="E1798" t="s">
        <v>26</v>
      </c>
      <c r="F1798" t="s">
        <v>27</v>
      </c>
      <c r="G1798" t="s">
        <v>28</v>
      </c>
      <c r="H1798" t="s">
        <v>128</v>
      </c>
      <c r="I1798" t="s">
        <v>129</v>
      </c>
      <c r="J1798" t="s">
        <v>130</v>
      </c>
      <c r="K1798" t="s">
        <v>131</v>
      </c>
      <c r="L1798" t="s">
        <v>166</v>
      </c>
      <c r="M1798" t="s">
        <v>171</v>
      </c>
      <c r="N1798">
        <v>2</v>
      </c>
      <c r="O1798" s="4">
        <v>14500</v>
      </c>
      <c r="P1798" s="4">
        <v>17500</v>
      </c>
      <c r="Q1798" s="7">
        <v>0.1</v>
      </c>
      <c r="R1798" t="s">
        <v>173</v>
      </c>
      <c r="S1798">
        <v>7</v>
      </c>
      <c r="T1798">
        <v>35000</v>
      </c>
      <c r="U1798">
        <v>3500</v>
      </c>
      <c r="V1798">
        <v>31500</v>
      </c>
      <c r="W1798">
        <v>29000</v>
      </c>
      <c r="X1798">
        <v>2500</v>
      </c>
      <c r="Y1798" s="8">
        <v>7.9365079365079361E-2</v>
      </c>
      <c r="Z1798" t="s">
        <v>2995</v>
      </c>
      <c r="AA1798" t="str">
        <f>IF(AND(SalesCleanTable[[#This Row],[Discount %]]&gt;0, SalesCleanTable[[#This Row],[Profit]]&lt;0), "Discount loss", "Safe")</f>
        <v>Safe</v>
      </c>
      <c r="AB1798" s="25">
        <f>(SalesCleanTable[[#This Row],[Unit Price]] - SalesCleanTable[[#This Row],[Unit Cost]]) / SalesCleanTable[[#This Row],[Unit Price]]</f>
        <v>0.17142857142857143</v>
      </c>
      <c r="AC1798" t="str">
        <f>IF(SalesCleanTable[[#This Row],[Discount %]] &gt; SalesCleanTable[[#This Row],[Max Allowed Discount]], "Discount loss", "Safe")</f>
        <v>Safe</v>
      </c>
      <c r="AD1798" s="4">
        <f>SalesCleanTable[[#This Row],[Unit Price]] - SalesCleanTable[[#This Row],[Unit Cost]]</f>
        <v>3000</v>
      </c>
      <c r="AE1798" s="41">
        <f>(SalesCleanTable[[#This Row],[Unit Price]] - SalesCleanTable[[#This Row],[Unit Cost]]) / SalesCleanTable[[#This Row],[Unit Price]]</f>
        <v>0.17142857142857143</v>
      </c>
    </row>
    <row r="1799" spans="1:31">
      <c r="A1799" t="s">
        <v>1985</v>
      </c>
      <c r="B1799" s="6">
        <v>45876</v>
      </c>
      <c r="C1799" t="s">
        <v>24</v>
      </c>
      <c r="D1799" t="s">
        <v>25</v>
      </c>
      <c r="E1799" t="s">
        <v>26</v>
      </c>
      <c r="F1799" t="s">
        <v>27</v>
      </c>
      <c r="G1799" t="s">
        <v>28</v>
      </c>
      <c r="H1799" t="s">
        <v>149</v>
      </c>
      <c r="I1799" t="s">
        <v>150</v>
      </c>
      <c r="J1799" t="s">
        <v>151</v>
      </c>
      <c r="K1799" t="s">
        <v>152</v>
      </c>
      <c r="L1799" t="s">
        <v>166</v>
      </c>
      <c r="M1799" t="s">
        <v>171</v>
      </c>
      <c r="N1799">
        <v>3</v>
      </c>
      <c r="O1799" s="4">
        <v>14500</v>
      </c>
      <c r="P1799" s="4">
        <v>17500</v>
      </c>
      <c r="Q1799" s="7">
        <v>0</v>
      </c>
      <c r="R1799" t="s">
        <v>173</v>
      </c>
      <c r="S1799">
        <v>9</v>
      </c>
      <c r="T1799">
        <v>52500</v>
      </c>
      <c r="U1799">
        <v>0</v>
      </c>
      <c r="V1799">
        <v>52500</v>
      </c>
      <c r="W1799">
        <v>43500</v>
      </c>
      <c r="X1799">
        <v>9000</v>
      </c>
      <c r="Y1799" s="8">
        <v>0.17142857142857143</v>
      </c>
      <c r="Z1799" t="s">
        <v>2995</v>
      </c>
      <c r="AA1799" t="str">
        <f>IF(AND(SalesCleanTable[[#This Row],[Discount %]]&gt;0, SalesCleanTable[[#This Row],[Profit]]&lt;0), "Discount loss", "Safe")</f>
        <v>Safe</v>
      </c>
      <c r="AB1799" s="25">
        <f>(SalesCleanTable[[#This Row],[Unit Price]] - SalesCleanTable[[#This Row],[Unit Cost]]) / SalesCleanTable[[#This Row],[Unit Price]]</f>
        <v>0.17142857142857143</v>
      </c>
      <c r="AC1799" t="str">
        <f>IF(SalesCleanTable[[#This Row],[Discount %]] &gt; SalesCleanTable[[#This Row],[Max Allowed Discount]], "Discount loss", "Safe")</f>
        <v>Safe</v>
      </c>
      <c r="AD1799" s="4">
        <f>SalesCleanTable[[#This Row],[Unit Price]] - SalesCleanTable[[#This Row],[Unit Cost]]</f>
        <v>3000</v>
      </c>
      <c r="AE1799" s="41">
        <f>(SalesCleanTable[[#This Row],[Unit Price]] - SalesCleanTable[[#This Row],[Unit Cost]]) / SalesCleanTable[[#This Row],[Unit Price]]</f>
        <v>0.17142857142857143</v>
      </c>
    </row>
    <row r="1800" spans="1:31">
      <c r="A1800" t="s">
        <v>1986</v>
      </c>
      <c r="B1800" s="6">
        <v>45828</v>
      </c>
      <c r="C1800" t="s">
        <v>82</v>
      </c>
      <c r="D1800" t="s">
        <v>83</v>
      </c>
      <c r="E1800" t="s">
        <v>75</v>
      </c>
      <c r="F1800" t="s">
        <v>84</v>
      </c>
      <c r="G1800" t="s">
        <v>85</v>
      </c>
      <c r="H1800" t="s">
        <v>135</v>
      </c>
      <c r="I1800" t="s">
        <v>136</v>
      </c>
      <c r="J1800" t="s">
        <v>137</v>
      </c>
      <c r="K1800" t="s">
        <v>138</v>
      </c>
      <c r="L1800" t="s">
        <v>183</v>
      </c>
      <c r="M1800" t="s">
        <v>171</v>
      </c>
      <c r="N1800">
        <v>5</v>
      </c>
      <c r="O1800" s="4">
        <v>600</v>
      </c>
      <c r="P1800" s="4">
        <v>950</v>
      </c>
      <c r="Q1800" s="7">
        <v>0.05</v>
      </c>
      <c r="R1800" t="s">
        <v>204</v>
      </c>
      <c r="S1800">
        <v>11</v>
      </c>
      <c r="T1800">
        <v>4750</v>
      </c>
      <c r="U1800">
        <v>237.5</v>
      </c>
      <c r="V1800">
        <v>4512.5</v>
      </c>
      <c r="W1800">
        <v>3000</v>
      </c>
      <c r="X1800">
        <v>1512.5</v>
      </c>
      <c r="Y1800" s="8">
        <v>0.33518005540166207</v>
      </c>
      <c r="Z1800" t="s">
        <v>2996</v>
      </c>
      <c r="AA1800" t="str">
        <f>IF(AND(SalesCleanTable[[#This Row],[Discount %]]&gt;0, SalesCleanTable[[#This Row],[Profit]]&lt;0), "Discount loss", "Safe")</f>
        <v>Safe</v>
      </c>
      <c r="AB1800" s="25">
        <f>(SalesCleanTable[[#This Row],[Unit Price]] - SalesCleanTable[[#This Row],[Unit Cost]]) / SalesCleanTable[[#This Row],[Unit Price]]</f>
        <v>0.36842105263157893</v>
      </c>
      <c r="AC1800" t="str">
        <f>IF(SalesCleanTable[[#This Row],[Discount %]] &gt; SalesCleanTable[[#This Row],[Max Allowed Discount]], "Discount loss", "Safe")</f>
        <v>Safe</v>
      </c>
      <c r="AD1800" s="4">
        <f>SalesCleanTable[[#This Row],[Unit Price]] - SalesCleanTable[[#This Row],[Unit Cost]]</f>
        <v>350</v>
      </c>
      <c r="AE1800" s="41">
        <f>(SalesCleanTable[[#This Row],[Unit Price]] - SalesCleanTable[[#This Row],[Unit Cost]]) / SalesCleanTable[[#This Row],[Unit Price]]</f>
        <v>0.36842105263157893</v>
      </c>
    </row>
    <row r="1801" spans="1:31">
      <c r="A1801" t="s">
        <v>1987</v>
      </c>
      <c r="B1801" s="6">
        <v>45807</v>
      </c>
      <c r="C1801" t="s">
        <v>73</v>
      </c>
      <c r="D1801" t="s">
        <v>74</v>
      </c>
      <c r="E1801" t="s">
        <v>75</v>
      </c>
      <c r="F1801" t="s">
        <v>76</v>
      </c>
      <c r="G1801" t="s">
        <v>77</v>
      </c>
      <c r="H1801" t="s">
        <v>149</v>
      </c>
      <c r="I1801" t="s">
        <v>150</v>
      </c>
      <c r="J1801" t="s">
        <v>151</v>
      </c>
      <c r="K1801" t="s">
        <v>152</v>
      </c>
      <c r="L1801" t="s">
        <v>166</v>
      </c>
      <c r="M1801" t="s">
        <v>171</v>
      </c>
      <c r="N1801">
        <v>8</v>
      </c>
      <c r="O1801" s="4">
        <v>3500</v>
      </c>
      <c r="P1801" s="4">
        <v>5200</v>
      </c>
      <c r="Q1801" s="7">
        <v>0.1</v>
      </c>
      <c r="R1801" t="s">
        <v>208</v>
      </c>
      <c r="S1801">
        <v>9</v>
      </c>
      <c r="T1801">
        <v>41600</v>
      </c>
      <c r="U1801">
        <v>4160</v>
      </c>
      <c r="V1801">
        <v>37440</v>
      </c>
      <c r="W1801">
        <v>28000</v>
      </c>
      <c r="X1801">
        <v>9440</v>
      </c>
      <c r="Y1801" s="8">
        <v>0.25213675213675213</v>
      </c>
      <c r="Z1801" t="s">
        <v>2996</v>
      </c>
      <c r="AA1801" t="str">
        <f>IF(AND(SalesCleanTable[[#This Row],[Discount %]]&gt;0, SalesCleanTable[[#This Row],[Profit]]&lt;0), "Discount loss", "Safe")</f>
        <v>Safe</v>
      </c>
      <c r="AB1801" s="25">
        <f>(SalesCleanTable[[#This Row],[Unit Price]] - SalesCleanTable[[#This Row],[Unit Cost]]) / SalesCleanTable[[#This Row],[Unit Price]]</f>
        <v>0.32692307692307693</v>
      </c>
      <c r="AC1801" t="str">
        <f>IF(SalesCleanTable[[#This Row],[Discount %]] &gt; SalesCleanTable[[#This Row],[Max Allowed Discount]], "Discount loss", "Safe")</f>
        <v>Safe</v>
      </c>
      <c r="AD1801" s="4">
        <f>SalesCleanTable[[#This Row],[Unit Price]] - SalesCleanTable[[#This Row],[Unit Cost]]</f>
        <v>1700</v>
      </c>
      <c r="AE1801" s="41">
        <f>(SalesCleanTable[[#This Row],[Unit Price]] - SalesCleanTable[[#This Row],[Unit Cost]]) / SalesCleanTable[[#This Row],[Unit Price]]</f>
        <v>0.32692307692307693</v>
      </c>
    </row>
    <row r="1802" spans="1:31">
      <c r="A1802" t="s">
        <v>1988</v>
      </c>
      <c r="B1802" s="6">
        <v>45793</v>
      </c>
      <c r="C1802" t="s">
        <v>112</v>
      </c>
      <c r="D1802" t="s">
        <v>113</v>
      </c>
      <c r="E1802" t="s">
        <v>109</v>
      </c>
      <c r="F1802" t="s">
        <v>114</v>
      </c>
      <c r="G1802" t="s">
        <v>115</v>
      </c>
      <c r="H1802" t="s">
        <v>135</v>
      </c>
      <c r="I1802" t="s">
        <v>136</v>
      </c>
      <c r="J1802" t="s">
        <v>137</v>
      </c>
      <c r="K1802" t="s">
        <v>138</v>
      </c>
      <c r="L1802" t="s">
        <v>166</v>
      </c>
      <c r="M1802" t="s">
        <v>186</v>
      </c>
      <c r="N1802">
        <v>2</v>
      </c>
      <c r="O1802" s="4">
        <v>1300</v>
      </c>
      <c r="P1802" s="4">
        <v>2100</v>
      </c>
      <c r="Q1802" s="7">
        <v>0.05</v>
      </c>
      <c r="R1802" t="s">
        <v>235</v>
      </c>
      <c r="S1802">
        <v>9</v>
      </c>
      <c r="T1802">
        <v>4200</v>
      </c>
      <c r="U1802">
        <v>210</v>
      </c>
      <c r="V1802">
        <v>3990</v>
      </c>
      <c r="W1802">
        <v>2600</v>
      </c>
      <c r="X1802">
        <v>1390</v>
      </c>
      <c r="Y1802" s="8">
        <v>0.34837092731829572</v>
      </c>
      <c r="Z1802" t="s">
        <v>2995</v>
      </c>
      <c r="AA1802" t="str">
        <f>IF(AND(SalesCleanTable[[#This Row],[Discount %]]&gt;0, SalesCleanTable[[#This Row],[Profit]]&lt;0), "Discount loss", "Safe")</f>
        <v>Safe</v>
      </c>
      <c r="AB1802" s="25">
        <f>(SalesCleanTable[[#This Row],[Unit Price]] - SalesCleanTable[[#This Row],[Unit Cost]]) / SalesCleanTable[[#This Row],[Unit Price]]</f>
        <v>0.38095238095238093</v>
      </c>
      <c r="AC1802" t="str">
        <f>IF(SalesCleanTable[[#This Row],[Discount %]] &gt; SalesCleanTable[[#This Row],[Max Allowed Discount]], "Discount loss", "Safe")</f>
        <v>Safe</v>
      </c>
      <c r="AD1802" s="4">
        <f>SalesCleanTable[[#This Row],[Unit Price]] - SalesCleanTable[[#This Row],[Unit Cost]]</f>
        <v>800</v>
      </c>
      <c r="AE1802" s="41">
        <f>(SalesCleanTable[[#This Row],[Unit Price]] - SalesCleanTable[[#This Row],[Unit Cost]]) / SalesCleanTable[[#This Row],[Unit Price]]</f>
        <v>0.38095238095238093</v>
      </c>
    </row>
    <row r="1803" spans="1:31">
      <c r="A1803" t="s">
        <v>1989</v>
      </c>
      <c r="B1803" s="6">
        <v>45855</v>
      </c>
      <c r="C1803" t="s">
        <v>32</v>
      </c>
      <c r="D1803" t="s">
        <v>33</v>
      </c>
      <c r="E1803" t="s">
        <v>26</v>
      </c>
      <c r="F1803" t="s">
        <v>34</v>
      </c>
      <c r="G1803" t="s">
        <v>35</v>
      </c>
      <c r="H1803" t="s">
        <v>153</v>
      </c>
      <c r="I1803" t="s">
        <v>154</v>
      </c>
      <c r="J1803" t="s">
        <v>155</v>
      </c>
      <c r="K1803" t="s">
        <v>131</v>
      </c>
      <c r="L1803" t="s">
        <v>183</v>
      </c>
      <c r="M1803" t="s">
        <v>186</v>
      </c>
      <c r="N1803">
        <v>2</v>
      </c>
      <c r="O1803" s="4">
        <v>7800</v>
      </c>
      <c r="P1803" s="4">
        <v>9800</v>
      </c>
      <c r="Q1803" s="7">
        <v>0.1</v>
      </c>
      <c r="R1803" t="s">
        <v>173</v>
      </c>
      <c r="S1803">
        <v>9</v>
      </c>
      <c r="T1803">
        <v>19600</v>
      </c>
      <c r="U1803">
        <v>1960</v>
      </c>
      <c r="V1803">
        <v>17640</v>
      </c>
      <c r="W1803">
        <v>15600</v>
      </c>
      <c r="X1803">
        <v>2040</v>
      </c>
      <c r="Y1803" s="8">
        <v>0.11564625850340136</v>
      </c>
      <c r="Z1803" t="s">
        <v>2995</v>
      </c>
      <c r="AA1803" t="str">
        <f>IF(AND(SalesCleanTable[[#This Row],[Discount %]]&gt;0, SalesCleanTable[[#This Row],[Profit]]&lt;0), "Discount loss", "Safe")</f>
        <v>Safe</v>
      </c>
      <c r="AB1803" s="25">
        <f>(SalesCleanTable[[#This Row],[Unit Price]] - SalesCleanTable[[#This Row],[Unit Cost]]) / SalesCleanTable[[#This Row],[Unit Price]]</f>
        <v>0.20408163265306123</v>
      </c>
      <c r="AC1803" t="str">
        <f>IF(SalesCleanTable[[#This Row],[Discount %]] &gt; SalesCleanTable[[#This Row],[Max Allowed Discount]], "Discount loss", "Safe")</f>
        <v>Safe</v>
      </c>
      <c r="AD1803" s="4">
        <f>SalesCleanTable[[#This Row],[Unit Price]] - SalesCleanTable[[#This Row],[Unit Cost]]</f>
        <v>2000</v>
      </c>
      <c r="AE1803" s="41">
        <f>(SalesCleanTable[[#This Row],[Unit Price]] - SalesCleanTable[[#This Row],[Unit Cost]]) / SalesCleanTable[[#This Row],[Unit Price]]</f>
        <v>0.20408163265306123</v>
      </c>
    </row>
    <row r="1804" spans="1:31">
      <c r="A1804" t="s">
        <v>1990</v>
      </c>
      <c r="B1804" s="6">
        <v>45915</v>
      </c>
      <c r="C1804" t="s">
        <v>116</v>
      </c>
      <c r="D1804" t="s">
        <v>117</v>
      </c>
      <c r="E1804" t="s">
        <v>109</v>
      </c>
      <c r="F1804" t="s">
        <v>118</v>
      </c>
      <c r="G1804" t="s">
        <v>119</v>
      </c>
      <c r="H1804" t="s">
        <v>153</v>
      </c>
      <c r="I1804" t="s">
        <v>154</v>
      </c>
      <c r="J1804" t="s">
        <v>155</v>
      </c>
      <c r="K1804" t="s">
        <v>131</v>
      </c>
      <c r="L1804" t="s">
        <v>166</v>
      </c>
      <c r="M1804" t="s">
        <v>171</v>
      </c>
      <c r="N1804">
        <v>5</v>
      </c>
      <c r="O1804" s="4">
        <v>2800</v>
      </c>
      <c r="P1804" s="4">
        <v>4200</v>
      </c>
      <c r="Q1804" s="7">
        <v>0</v>
      </c>
      <c r="R1804" t="s">
        <v>235</v>
      </c>
      <c r="S1804">
        <v>10</v>
      </c>
      <c r="T1804">
        <v>21000</v>
      </c>
      <c r="U1804">
        <v>0</v>
      </c>
      <c r="V1804">
        <v>21000</v>
      </c>
      <c r="W1804">
        <v>14000</v>
      </c>
      <c r="X1804">
        <v>7000</v>
      </c>
      <c r="Y1804" s="8">
        <v>0.33333333333333331</v>
      </c>
      <c r="Z1804" t="s">
        <v>2995</v>
      </c>
      <c r="AA1804" t="str">
        <f>IF(AND(SalesCleanTable[[#This Row],[Discount %]]&gt;0, SalesCleanTable[[#This Row],[Profit]]&lt;0), "Discount loss", "Safe")</f>
        <v>Safe</v>
      </c>
      <c r="AB1804" s="25">
        <f>(SalesCleanTable[[#This Row],[Unit Price]] - SalesCleanTable[[#This Row],[Unit Cost]]) / SalesCleanTable[[#This Row],[Unit Price]]</f>
        <v>0.33333333333333331</v>
      </c>
      <c r="AC1804" t="str">
        <f>IF(SalesCleanTable[[#This Row],[Discount %]] &gt; SalesCleanTable[[#This Row],[Max Allowed Discount]], "Discount loss", "Safe")</f>
        <v>Safe</v>
      </c>
      <c r="AD1804" s="4">
        <f>SalesCleanTable[[#This Row],[Unit Price]] - SalesCleanTable[[#This Row],[Unit Cost]]</f>
        <v>1400</v>
      </c>
      <c r="AE1804" s="41">
        <f>(SalesCleanTable[[#This Row],[Unit Price]] - SalesCleanTable[[#This Row],[Unit Cost]]) / SalesCleanTable[[#This Row],[Unit Price]]</f>
        <v>0.33333333333333331</v>
      </c>
    </row>
    <row r="1805" spans="1:31">
      <c r="A1805" t="s">
        <v>1991</v>
      </c>
      <c r="B1805" s="6">
        <v>45881</v>
      </c>
      <c r="C1805" t="s">
        <v>32</v>
      </c>
      <c r="D1805" t="s">
        <v>33</v>
      </c>
      <c r="E1805" t="s">
        <v>26</v>
      </c>
      <c r="F1805" t="s">
        <v>34</v>
      </c>
      <c r="G1805" t="s">
        <v>35</v>
      </c>
      <c r="H1805" t="s">
        <v>135</v>
      </c>
      <c r="I1805" t="s">
        <v>136</v>
      </c>
      <c r="J1805" t="s">
        <v>137</v>
      </c>
      <c r="K1805" t="s">
        <v>138</v>
      </c>
      <c r="L1805" t="s">
        <v>183</v>
      </c>
      <c r="M1805" t="s">
        <v>186</v>
      </c>
      <c r="N1805">
        <v>3</v>
      </c>
      <c r="O1805" s="4">
        <v>7800</v>
      </c>
      <c r="P1805" s="4">
        <v>9800</v>
      </c>
      <c r="Q1805" s="7">
        <v>0.2</v>
      </c>
      <c r="R1805" t="s">
        <v>173</v>
      </c>
      <c r="S1805">
        <v>2</v>
      </c>
      <c r="T1805">
        <v>29400</v>
      </c>
      <c r="U1805">
        <v>5880</v>
      </c>
      <c r="V1805">
        <v>23520</v>
      </c>
      <c r="W1805">
        <v>23400</v>
      </c>
      <c r="X1805">
        <v>120</v>
      </c>
      <c r="Y1805" s="8">
        <v>5.1020408163265302E-3</v>
      </c>
      <c r="Z1805" t="s">
        <v>2995</v>
      </c>
      <c r="AA1805" t="str">
        <f>IF(AND(SalesCleanTable[[#This Row],[Discount %]]&gt;0, SalesCleanTable[[#This Row],[Profit]]&lt;0), "Discount loss", "Safe")</f>
        <v>Safe</v>
      </c>
      <c r="AB1805" s="25">
        <f>(SalesCleanTable[[#This Row],[Unit Price]] - SalesCleanTable[[#This Row],[Unit Cost]]) / SalesCleanTable[[#This Row],[Unit Price]]</f>
        <v>0.20408163265306123</v>
      </c>
      <c r="AC1805" t="str">
        <f>IF(SalesCleanTable[[#This Row],[Discount %]] &gt; SalesCleanTable[[#This Row],[Max Allowed Discount]], "Discount loss", "Safe")</f>
        <v>Safe</v>
      </c>
      <c r="AD1805" s="4">
        <f>SalesCleanTable[[#This Row],[Unit Price]] - SalesCleanTable[[#This Row],[Unit Cost]]</f>
        <v>2000</v>
      </c>
      <c r="AE1805" s="41">
        <f>(SalesCleanTable[[#This Row],[Unit Price]] - SalesCleanTable[[#This Row],[Unit Cost]]) / SalesCleanTable[[#This Row],[Unit Price]]</f>
        <v>0.20408163265306123</v>
      </c>
    </row>
    <row r="1806" spans="1:31">
      <c r="A1806" t="s">
        <v>1992</v>
      </c>
      <c r="B1806" s="6">
        <v>45977</v>
      </c>
      <c r="C1806" t="s">
        <v>99</v>
      </c>
      <c r="D1806" t="s">
        <v>100</v>
      </c>
      <c r="E1806" t="s">
        <v>92</v>
      </c>
      <c r="F1806" t="s">
        <v>101</v>
      </c>
      <c r="G1806" t="s">
        <v>102</v>
      </c>
      <c r="H1806" t="s">
        <v>128</v>
      </c>
      <c r="I1806" t="s">
        <v>129</v>
      </c>
      <c r="J1806" t="s">
        <v>130</v>
      </c>
      <c r="K1806" t="s">
        <v>131</v>
      </c>
      <c r="L1806" t="s">
        <v>166</v>
      </c>
      <c r="M1806" t="s">
        <v>171</v>
      </c>
      <c r="N1806">
        <v>1</v>
      </c>
      <c r="O1806" s="4">
        <v>12500</v>
      </c>
      <c r="P1806" s="4">
        <v>18500</v>
      </c>
      <c r="Q1806" s="7">
        <v>0.2</v>
      </c>
      <c r="R1806" t="s">
        <v>215</v>
      </c>
      <c r="S1806">
        <v>4</v>
      </c>
      <c r="T1806">
        <v>18500</v>
      </c>
      <c r="U1806">
        <v>3700</v>
      </c>
      <c r="V1806">
        <v>14800</v>
      </c>
      <c r="W1806">
        <v>12500</v>
      </c>
      <c r="X1806">
        <v>2300</v>
      </c>
      <c r="Y1806" s="8">
        <v>0.1554054054054054</v>
      </c>
      <c r="Z1806" t="s">
        <v>2995</v>
      </c>
      <c r="AA1806" t="str">
        <f>IF(AND(SalesCleanTable[[#This Row],[Discount %]]&gt;0, SalesCleanTable[[#This Row],[Profit]]&lt;0), "Discount loss", "Safe")</f>
        <v>Safe</v>
      </c>
      <c r="AB1806" s="25">
        <f>(SalesCleanTable[[#This Row],[Unit Price]] - SalesCleanTable[[#This Row],[Unit Cost]]) / SalesCleanTable[[#This Row],[Unit Price]]</f>
        <v>0.32432432432432434</v>
      </c>
      <c r="AC1806" t="str">
        <f>IF(SalesCleanTable[[#This Row],[Discount %]] &gt; SalesCleanTable[[#This Row],[Max Allowed Discount]], "Discount loss", "Safe")</f>
        <v>Safe</v>
      </c>
      <c r="AD1806" s="4">
        <f>SalesCleanTable[[#This Row],[Unit Price]] - SalesCleanTable[[#This Row],[Unit Cost]]</f>
        <v>6000</v>
      </c>
      <c r="AE1806" s="41">
        <f>(SalesCleanTable[[#This Row],[Unit Price]] - SalesCleanTable[[#This Row],[Unit Cost]]) / SalesCleanTable[[#This Row],[Unit Price]]</f>
        <v>0.32432432432432434</v>
      </c>
    </row>
    <row r="1807" spans="1:31">
      <c r="A1807" t="s">
        <v>1993</v>
      </c>
      <c r="B1807" s="6">
        <v>45965</v>
      </c>
      <c r="C1807" t="s">
        <v>73</v>
      </c>
      <c r="D1807" t="s">
        <v>74</v>
      </c>
      <c r="E1807" t="s">
        <v>75</v>
      </c>
      <c r="F1807" t="s">
        <v>76</v>
      </c>
      <c r="G1807" t="s">
        <v>77</v>
      </c>
      <c r="H1807" t="s">
        <v>133</v>
      </c>
      <c r="I1807" t="s">
        <v>134</v>
      </c>
      <c r="J1807" t="s">
        <v>130</v>
      </c>
      <c r="K1807" t="s">
        <v>131</v>
      </c>
      <c r="L1807" t="s">
        <v>166</v>
      </c>
      <c r="M1807" t="s">
        <v>167</v>
      </c>
      <c r="N1807">
        <v>5</v>
      </c>
      <c r="O1807" s="4">
        <v>3500</v>
      </c>
      <c r="P1807" s="4">
        <v>5200</v>
      </c>
      <c r="Q1807" s="7">
        <v>0</v>
      </c>
      <c r="R1807" t="s">
        <v>208</v>
      </c>
      <c r="S1807">
        <v>12</v>
      </c>
      <c r="T1807">
        <v>26000</v>
      </c>
      <c r="U1807">
        <v>0</v>
      </c>
      <c r="V1807">
        <v>26000</v>
      </c>
      <c r="W1807">
        <v>17500</v>
      </c>
      <c r="X1807">
        <v>8500</v>
      </c>
      <c r="Y1807" s="8">
        <v>0.32692307692307693</v>
      </c>
      <c r="Z1807" t="s">
        <v>2996</v>
      </c>
      <c r="AA1807" t="str">
        <f>IF(AND(SalesCleanTable[[#This Row],[Discount %]]&gt;0, SalesCleanTable[[#This Row],[Profit]]&lt;0), "Discount loss", "Safe")</f>
        <v>Safe</v>
      </c>
      <c r="AB1807" s="25">
        <f>(SalesCleanTable[[#This Row],[Unit Price]] - SalesCleanTable[[#This Row],[Unit Cost]]) / SalesCleanTable[[#This Row],[Unit Price]]</f>
        <v>0.32692307692307693</v>
      </c>
      <c r="AC1807" t="str">
        <f>IF(SalesCleanTable[[#This Row],[Discount %]] &gt; SalesCleanTable[[#This Row],[Max Allowed Discount]], "Discount loss", "Safe")</f>
        <v>Safe</v>
      </c>
      <c r="AD1807" s="4">
        <f>SalesCleanTable[[#This Row],[Unit Price]] - SalesCleanTable[[#This Row],[Unit Cost]]</f>
        <v>1700</v>
      </c>
      <c r="AE1807" s="41">
        <f>(SalesCleanTable[[#This Row],[Unit Price]] - SalesCleanTable[[#This Row],[Unit Cost]]) / SalesCleanTable[[#This Row],[Unit Price]]</f>
        <v>0.32692307692307693</v>
      </c>
    </row>
    <row r="1808" spans="1:31">
      <c r="A1808" t="s">
        <v>1994</v>
      </c>
      <c r="B1808" s="6">
        <v>45658</v>
      </c>
      <c r="C1808" t="s">
        <v>45</v>
      </c>
      <c r="D1808" t="s">
        <v>46</v>
      </c>
      <c r="E1808" t="s">
        <v>38</v>
      </c>
      <c r="F1808" t="s">
        <v>47</v>
      </c>
      <c r="G1808" t="s">
        <v>48</v>
      </c>
      <c r="H1808" t="s">
        <v>153</v>
      </c>
      <c r="I1808" t="s">
        <v>154</v>
      </c>
      <c r="J1808" t="s">
        <v>155</v>
      </c>
      <c r="K1808" t="s">
        <v>131</v>
      </c>
      <c r="L1808" t="s">
        <v>166</v>
      </c>
      <c r="M1808" t="s">
        <v>177</v>
      </c>
      <c r="N1808">
        <v>1</v>
      </c>
      <c r="O1808" s="4">
        <v>230</v>
      </c>
      <c r="P1808" s="4">
        <v>400</v>
      </c>
      <c r="Q1808" s="7">
        <v>0</v>
      </c>
      <c r="R1808" t="s">
        <v>175</v>
      </c>
      <c r="S1808">
        <v>13</v>
      </c>
      <c r="T1808">
        <v>400</v>
      </c>
      <c r="U1808">
        <v>0</v>
      </c>
      <c r="V1808">
        <v>400</v>
      </c>
      <c r="W1808">
        <v>230</v>
      </c>
      <c r="X1808">
        <v>170</v>
      </c>
      <c r="Y1808" s="8">
        <v>0.42499999999999999</v>
      </c>
      <c r="Z1808" t="s">
        <v>2995</v>
      </c>
      <c r="AA1808" t="str">
        <f>IF(AND(SalesCleanTable[[#This Row],[Discount %]]&gt;0, SalesCleanTable[[#This Row],[Profit]]&lt;0), "Discount loss", "Safe")</f>
        <v>Safe</v>
      </c>
      <c r="AB1808" s="25">
        <f>(SalesCleanTable[[#This Row],[Unit Price]] - SalesCleanTable[[#This Row],[Unit Cost]]) / SalesCleanTable[[#This Row],[Unit Price]]</f>
        <v>0.42499999999999999</v>
      </c>
      <c r="AC1808" t="str">
        <f>IF(SalesCleanTable[[#This Row],[Discount %]] &gt; SalesCleanTable[[#This Row],[Max Allowed Discount]], "Discount loss", "Safe")</f>
        <v>Safe</v>
      </c>
      <c r="AD1808" s="4">
        <f>SalesCleanTable[[#This Row],[Unit Price]] - SalesCleanTable[[#This Row],[Unit Cost]]</f>
        <v>170</v>
      </c>
      <c r="AE1808" s="41">
        <f>(SalesCleanTable[[#This Row],[Unit Price]] - SalesCleanTable[[#This Row],[Unit Cost]]) / SalesCleanTable[[#This Row],[Unit Price]]</f>
        <v>0.42499999999999999</v>
      </c>
    </row>
    <row r="1809" spans="1:31">
      <c r="A1809" t="s">
        <v>1995</v>
      </c>
      <c r="B1809" s="6">
        <v>45669</v>
      </c>
      <c r="C1809" t="s">
        <v>107</v>
      </c>
      <c r="D1809" t="s">
        <v>108</v>
      </c>
      <c r="E1809" t="s">
        <v>109</v>
      </c>
      <c r="F1809" t="s">
        <v>110</v>
      </c>
      <c r="G1809" t="s">
        <v>111</v>
      </c>
      <c r="H1809" t="s">
        <v>135</v>
      </c>
      <c r="I1809" t="s">
        <v>136</v>
      </c>
      <c r="J1809" t="s">
        <v>137</v>
      </c>
      <c r="K1809" t="s">
        <v>138</v>
      </c>
      <c r="L1809" t="s">
        <v>166</v>
      </c>
      <c r="M1809" t="s">
        <v>167</v>
      </c>
      <c r="N1809">
        <v>8</v>
      </c>
      <c r="O1809" s="4">
        <v>5200</v>
      </c>
      <c r="P1809" s="4">
        <v>7000</v>
      </c>
      <c r="Q1809" s="7">
        <v>0.2</v>
      </c>
      <c r="R1809" t="s">
        <v>184</v>
      </c>
      <c r="S1809">
        <v>2</v>
      </c>
      <c r="T1809">
        <v>56000</v>
      </c>
      <c r="U1809">
        <v>11200</v>
      </c>
      <c r="V1809">
        <v>44800</v>
      </c>
      <c r="W1809">
        <v>41600</v>
      </c>
      <c r="X1809">
        <v>3200</v>
      </c>
      <c r="Y1809" s="8">
        <v>7.1428571428571425E-2</v>
      </c>
      <c r="Z1809" t="s">
        <v>2997</v>
      </c>
      <c r="AA1809" t="str">
        <f>IF(AND(SalesCleanTable[[#This Row],[Discount %]]&gt;0, SalesCleanTable[[#This Row],[Profit]]&lt;0), "Discount loss", "Safe")</f>
        <v>Safe</v>
      </c>
      <c r="AB1809" s="25">
        <f>(SalesCleanTable[[#This Row],[Unit Price]] - SalesCleanTable[[#This Row],[Unit Cost]]) / SalesCleanTable[[#This Row],[Unit Price]]</f>
        <v>0.25714285714285712</v>
      </c>
      <c r="AC1809" t="str">
        <f>IF(SalesCleanTable[[#This Row],[Discount %]] &gt; SalesCleanTable[[#This Row],[Max Allowed Discount]], "Discount loss", "Safe")</f>
        <v>Safe</v>
      </c>
      <c r="AD1809" s="4">
        <f>SalesCleanTable[[#This Row],[Unit Price]] - SalesCleanTable[[#This Row],[Unit Cost]]</f>
        <v>1800</v>
      </c>
      <c r="AE1809" s="41">
        <f>(SalesCleanTable[[#This Row],[Unit Price]] - SalesCleanTable[[#This Row],[Unit Cost]]) / SalesCleanTable[[#This Row],[Unit Price]]</f>
        <v>0.25714285714285712</v>
      </c>
    </row>
    <row r="1810" spans="1:31">
      <c r="A1810" t="s">
        <v>1996</v>
      </c>
      <c r="B1810" s="6">
        <v>45990</v>
      </c>
      <c r="C1810" t="s">
        <v>24</v>
      </c>
      <c r="D1810" t="s">
        <v>25</v>
      </c>
      <c r="E1810" t="s">
        <v>26</v>
      </c>
      <c r="F1810" t="s">
        <v>27</v>
      </c>
      <c r="G1810" t="s">
        <v>28</v>
      </c>
      <c r="H1810" t="s">
        <v>133</v>
      </c>
      <c r="I1810" t="s">
        <v>134</v>
      </c>
      <c r="J1810" t="s">
        <v>130</v>
      </c>
      <c r="K1810" t="s">
        <v>131</v>
      </c>
      <c r="L1810" t="s">
        <v>166</v>
      </c>
      <c r="M1810" t="s">
        <v>186</v>
      </c>
      <c r="N1810">
        <v>2</v>
      </c>
      <c r="O1810" s="4">
        <v>14500</v>
      </c>
      <c r="P1810" s="4">
        <v>17500</v>
      </c>
      <c r="Q1810" s="7">
        <v>0</v>
      </c>
      <c r="R1810" t="s">
        <v>197</v>
      </c>
      <c r="S1810">
        <v>8</v>
      </c>
      <c r="T1810">
        <v>35000</v>
      </c>
      <c r="U1810">
        <v>0</v>
      </c>
      <c r="V1810">
        <v>35000</v>
      </c>
      <c r="W1810">
        <v>29000</v>
      </c>
      <c r="X1810">
        <v>6000</v>
      </c>
      <c r="Y1810" s="8">
        <v>0.17142857142857143</v>
      </c>
      <c r="Z1810" t="s">
        <v>2995</v>
      </c>
      <c r="AA1810" t="str">
        <f>IF(AND(SalesCleanTable[[#This Row],[Discount %]]&gt;0, SalesCleanTable[[#This Row],[Profit]]&lt;0), "Discount loss", "Safe")</f>
        <v>Safe</v>
      </c>
      <c r="AB1810" s="25">
        <f>(SalesCleanTable[[#This Row],[Unit Price]] - SalesCleanTable[[#This Row],[Unit Cost]]) / SalesCleanTable[[#This Row],[Unit Price]]</f>
        <v>0.17142857142857143</v>
      </c>
      <c r="AC1810" t="str">
        <f>IF(SalesCleanTable[[#This Row],[Discount %]] &gt; SalesCleanTable[[#This Row],[Max Allowed Discount]], "Discount loss", "Safe")</f>
        <v>Safe</v>
      </c>
      <c r="AD1810" s="4">
        <f>SalesCleanTable[[#This Row],[Unit Price]] - SalesCleanTable[[#This Row],[Unit Cost]]</f>
        <v>3000</v>
      </c>
      <c r="AE1810" s="41">
        <f>(SalesCleanTable[[#This Row],[Unit Price]] - SalesCleanTable[[#This Row],[Unit Cost]]) / SalesCleanTable[[#This Row],[Unit Price]]</f>
        <v>0.17142857142857143</v>
      </c>
    </row>
    <row r="1811" spans="1:31">
      <c r="A1811" t="s">
        <v>1997</v>
      </c>
      <c r="B1811" s="6">
        <v>45905</v>
      </c>
      <c r="C1811" t="s">
        <v>107</v>
      </c>
      <c r="D1811" t="s">
        <v>108</v>
      </c>
      <c r="E1811" t="s">
        <v>109</v>
      </c>
      <c r="F1811" t="s">
        <v>110</v>
      </c>
      <c r="G1811" t="s">
        <v>111</v>
      </c>
      <c r="H1811" t="s">
        <v>153</v>
      </c>
      <c r="I1811" t="s">
        <v>154</v>
      </c>
      <c r="J1811" t="s">
        <v>155</v>
      </c>
      <c r="K1811" t="s">
        <v>131</v>
      </c>
      <c r="L1811" t="s">
        <v>183</v>
      </c>
      <c r="M1811" t="s">
        <v>171</v>
      </c>
      <c r="N1811">
        <v>1</v>
      </c>
      <c r="O1811" s="4">
        <v>5200</v>
      </c>
      <c r="P1811" s="4">
        <v>7000</v>
      </c>
      <c r="Q1811" s="7">
        <v>0.15</v>
      </c>
      <c r="R1811" t="s">
        <v>184</v>
      </c>
      <c r="S1811">
        <v>13</v>
      </c>
      <c r="T1811">
        <v>7000</v>
      </c>
      <c r="U1811">
        <v>1050</v>
      </c>
      <c r="V1811">
        <v>5950</v>
      </c>
      <c r="W1811">
        <v>5200</v>
      </c>
      <c r="X1811">
        <v>750</v>
      </c>
      <c r="Y1811" s="8">
        <v>0.12605042016806722</v>
      </c>
      <c r="Z1811" t="s">
        <v>2997</v>
      </c>
      <c r="AA1811" t="str">
        <f>IF(AND(SalesCleanTable[[#This Row],[Discount %]]&gt;0, SalesCleanTable[[#This Row],[Profit]]&lt;0), "Discount loss", "Safe")</f>
        <v>Safe</v>
      </c>
      <c r="AB1811" s="25">
        <f>(SalesCleanTable[[#This Row],[Unit Price]] - SalesCleanTable[[#This Row],[Unit Cost]]) / SalesCleanTable[[#This Row],[Unit Price]]</f>
        <v>0.25714285714285712</v>
      </c>
      <c r="AC1811" t="str">
        <f>IF(SalesCleanTable[[#This Row],[Discount %]] &gt; SalesCleanTable[[#This Row],[Max Allowed Discount]], "Discount loss", "Safe")</f>
        <v>Safe</v>
      </c>
      <c r="AD1811" s="4">
        <f>SalesCleanTable[[#This Row],[Unit Price]] - SalesCleanTable[[#This Row],[Unit Cost]]</f>
        <v>1800</v>
      </c>
      <c r="AE1811" s="41">
        <f>(SalesCleanTable[[#This Row],[Unit Price]] - SalesCleanTable[[#This Row],[Unit Cost]]) / SalesCleanTable[[#This Row],[Unit Price]]</f>
        <v>0.25714285714285712</v>
      </c>
    </row>
    <row r="1812" spans="1:31">
      <c r="A1812" t="s">
        <v>1998</v>
      </c>
      <c r="B1812" s="6">
        <v>45679</v>
      </c>
      <c r="C1812" t="s">
        <v>62</v>
      </c>
      <c r="D1812" t="s">
        <v>63</v>
      </c>
      <c r="E1812" t="s">
        <v>59</v>
      </c>
      <c r="F1812" t="s">
        <v>64</v>
      </c>
      <c r="G1812" t="s">
        <v>65</v>
      </c>
      <c r="H1812" t="s">
        <v>153</v>
      </c>
      <c r="I1812" t="s">
        <v>154</v>
      </c>
      <c r="J1812" t="s">
        <v>155</v>
      </c>
      <c r="K1812" t="s">
        <v>131</v>
      </c>
      <c r="L1812" t="s">
        <v>166</v>
      </c>
      <c r="M1812" t="s">
        <v>171</v>
      </c>
      <c r="N1812">
        <v>4</v>
      </c>
      <c r="O1812" s="4">
        <v>3200</v>
      </c>
      <c r="P1812" s="4">
        <v>4500</v>
      </c>
      <c r="Q1812" s="7">
        <v>0.15</v>
      </c>
      <c r="R1812" t="s">
        <v>192</v>
      </c>
      <c r="S1812">
        <v>5</v>
      </c>
      <c r="T1812">
        <v>18000</v>
      </c>
      <c r="U1812">
        <v>2700</v>
      </c>
      <c r="V1812">
        <v>15300</v>
      </c>
      <c r="W1812">
        <v>12800</v>
      </c>
      <c r="X1812">
        <v>2500</v>
      </c>
      <c r="Y1812" s="8">
        <v>0.16339869281045752</v>
      </c>
      <c r="Z1812" t="s">
        <v>2996</v>
      </c>
      <c r="AA1812" t="str">
        <f>IF(AND(SalesCleanTable[[#This Row],[Discount %]]&gt;0, SalesCleanTable[[#This Row],[Profit]]&lt;0), "Discount loss", "Safe")</f>
        <v>Safe</v>
      </c>
      <c r="AB1812" s="25">
        <f>(SalesCleanTable[[#This Row],[Unit Price]] - SalesCleanTable[[#This Row],[Unit Cost]]) / SalesCleanTable[[#This Row],[Unit Price]]</f>
        <v>0.28888888888888886</v>
      </c>
      <c r="AC1812" t="str">
        <f>IF(SalesCleanTable[[#This Row],[Discount %]] &gt; SalesCleanTable[[#This Row],[Max Allowed Discount]], "Discount loss", "Safe")</f>
        <v>Safe</v>
      </c>
      <c r="AD1812" s="4">
        <f>SalesCleanTable[[#This Row],[Unit Price]] - SalesCleanTable[[#This Row],[Unit Cost]]</f>
        <v>1300</v>
      </c>
      <c r="AE1812" s="41">
        <f>(SalesCleanTable[[#This Row],[Unit Price]] - SalesCleanTable[[#This Row],[Unit Cost]]) / SalesCleanTable[[#This Row],[Unit Price]]</f>
        <v>0.28888888888888886</v>
      </c>
    </row>
    <row r="1813" spans="1:31">
      <c r="A1813" t="s">
        <v>1999</v>
      </c>
      <c r="B1813" s="6">
        <v>45796</v>
      </c>
      <c r="C1813" t="s">
        <v>49</v>
      </c>
      <c r="D1813" t="s">
        <v>50</v>
      </c>
      <c r="E1813" t="s">
        <v>38</v>
      </c>
      <c r="F1813" t="s">
        <v>51</v>
      </c>
      <c r="G1813" t="s">
        <v>52</v>
      </c>
      <c r="H1813" t="s">
        <v>149</v>
      </c>
      <c r="I1813" t="s">
        <v>150</v>
      </c>
      <c r="J1813" t="s">
        <v>151</v>
      </c>
      <c r="K1813" t="s">
        <v>152</v>
      </c>
      <c r="L1813" t="s">
        <v>166</v>
      </c>
      <c r="M1813" t="s">
        <v>177</v>
      </c>
      <c r="N1813">
        <v>1</v>
      </c>
      <c r="O1813" s="4">
        <v>550</v>
      </c>
      <c r="P1813" s="4">
        <v>850</v>
      </c>
      <c r="Q1813" s="7">
        <v>0</v>
      </c>
      <c r="R1813" t="s">
        <v>175</v>
      </c>
      <c r="S1813">
        <v>11</v>
      </c>
      <c r="T1813">
        <v>850</v>
      </c>
      <c r="U1813">
        <v>0</v>
      </c>
      <c r="V1813">
        <v>850</v>
      </c>
      <c r="W1813">
        <v>550</v>
      </c>
      <c r="X1813">
        <v>300</v>
      </c>
      <c r="Y1813" s="8">
        <v>0.35294117647058826</v>
      </c>
      <c r="Z1813" t="s">
        <v>2996</v>
      </c>
      <c r="AA1813" t="str">
        <f>IF(AND(SalesCleanTable[[#This Row],[Discount %]]&gt;0, SalesCleanTable[[#This Row],[Profit]]&lt;0), "Discount loss", "Safe")</f>
        <v>Safe</v>
      </c>
      <c r="AB1813" s="25">
        <f>(SalesCleanTable[[#This Row],[Unit Price]] - SalesCleanTable[[#This Row],[Unit Cost]]) / SalesCleanTable[[#This Row],[Unit Price]]</f>
        <v>0.35294117647058826</v>
      </c>
      <c r="AC1813" t="str">
        <f>IF(SalesCleanTable[[#This Row],[Discount %]] &gt; SalesCleanTable[[#This Row],[Max Allowed Discount]], "Discount loss", "Safe")</f>
        <v>Safe</v>
      </c>
      <c r="AD1813" s="4">
        <f>SalesCleanTable[[#This Row],[Unit Price]] - SalesCleanTable[[#This Row],[Unit Cost]]</f>
        <v>300</v>
      </c>
      <c r="AE1813" s="41">
        <f>(SalesCleanTable[[#This Row],[Unit Price]] - SalesCleanTable[[#This Row],[Unit Cost]]) / SalesCleanTable[[#This Row],[Unit Price]]</f>
        <v>0.35294117647058826</v>
      </c>
    </row>
    <row r="1814" spans="1:31">
      <c r="A1814" t="s">
        <v>2000</v>
      </c>
      <c r="B1814" s="6">
        <v>45793</v>
      </c>
      <c r="C1814" t="s">
        <v>62</v>
      </c>
      <c r="D1814" t="s">
        <v>63</v>
      </c>
      <c r="E1814" t="s">
        <v>59</v>
      </c>
      <c r="F1814" t="s">
        <v>64</v>
      </c>
      <c r="G1814" t="s">
        <v>65</v>
      </c>
      <c r="H1814" t="s">
        <v>141</v>
      </c>
      <c r="I1814" t="s">
        <v>142</v>
      </c>
      <c r="J1814" t="s">
        <v>143</v>
      </c>
      <c r="K1814" t="s">
        <v>144</v>
      </c>
      <c r="L1814" t="s">
        <v>166</v>
      </c>
      <c r="M1814" t="s">
        <v>171</v>
      </c>
      <c r="N1814">
        <v>3</v>
      </c>
      <c r="O1814" s="4">
        <v>3200</v>
      </c>
      <c r="P1814" s="4">
        <v>4500</v>
      </c>
      <c r="Q1814" s="7">
        <v>0.15</v>
      </c>
      <c r="R1814" t="s">
        <v>204</v>
      </c>
      <c r="S1814">
        <v>12</v>
      </c>
      <c r="T1814">
        <v>13500</v>
      </c>
      <c r="U1814">
        <v>2025</v>
      </c>
      <c r="V1814">
        <v>11475</v>
      </c>
      <c r="W1814">
        <v>9600</v>
      </c>
      <c r="X1814">
        <v>1875</v>
      </c>
      <c r="Y1814" s="8">
        <v>0.16339869281045752</v>
      </c>
      <c r="Z1814" t="s">
        <v>2996</v>
      </c>
      <c r="AA1814" t="str">
        <f>IF(AND(SalesCleanTable[[#This Row],[Discount %]]&gt;0, SalesCleanTable[[#This Row],[Profit]]&lt;0), "Discount loss", "Safe")</f>
        <v>Safe</v>
      </c>
      <c r="AB1814" s="25">
        <f>(SalesCleanTable[[#This Row],[Unit Price]] - SalesCleanTable[[#This Row],[Unit Cost]]) / SalesCleanTable[[#This Row],[Unit Price]]</f>
        <v>0.28888888888888886</v>
      </c>
      <c r="AC1814" t="str">
        <f>IF(SalesCleanTable[[#This Row],[Discount %]] &gt; SalesCleanTable[[#This Row],[Max Allowed Discount]], "Discount loss", "Safe")</f>
        <v>Safe</v>
      </c>
      <c r="AD1814" s="4">
        <f>SalesCleanTable[[#This Row],[Unit Price]] - SalesCleanTable[[#This Row],[Unit Cost]]</f>
        <v>1300</v>
      </c>
      <c r="AE1814" s="41">
        <f>(SalesCleanTable[[#This Row],[Unit Price]] - SalesCleanTable[[#This Row],[Unit Cost]]) / SalesCleanTable[[#This Row],[Unit Price]]</f>
        <v>0.28888888888888886</v>
      </c>
    </row>
    <row r="1815" spans="1:31">
      <c r="A1815" t="s">
        <v>2001</v>
      </c>
      <c r="B1815" s="6">
        <v>45883</v>
      </c>
      <c r="C1815" t="s">
        <v>45</v>
      </c>
      <c r="D1815" t="s">
        <v>46</v>
      </c>
      <c r="E1815" t="s">
        <v>38</v>
      </c>
      <c r="F1815" t="s">
        <v>47</v>
      </c>
      <c r="G1815" t="s">
        <v>48</v>
      </c>
      <c r="H1815" t="s">
        <v>139</v>
      </c>
      <c r="I1815" t="s">
        <v>140</v>
      </c>
      <c r="J1815" t="s">
        <v>137</v>
      </c>
      <c r="K1815" t="s">
        <v>138</v>
      </c>
      <c r="L1815" t="s">
        <v>183</v>
      </c>
      <c r="M1815" t="s">
        <v>186</v>
      </c>
      <c r="N1815">
        <v>3</v>
      </c>
      <c r="O1815" s="4">
        <v>230</v>
      </c>
      <c r="P1815" s="4">
        <v>400</v>
      </c>
      <c r="Q1815" s="7">
        <v>0.1</v>
      </c>
      <c r="R1815" t="s">
        <v>168</v>
      </c>
      <c r="S1815">
        <v>5</v>
      </c>
      <c r="T1815">
        <v>1200</v>
      </c>
      <c r="U1815">
        <v>120</v>
      </c>
      <c r="V1815">
        <v>1080</v>
      </c>
      <c r="W1815">
        <v>690</v>
      </c>
      <c r="X1815">
        <v>390</v>
      </c>
      <c r="Y1815" s="8">
        <v>0.3611111111111111</v>
      </c>
      <c r="Z1815" t="s">
        <v>2995</v>
      </c>
      <c r="AA1815" t="str">
        <f>IF(AND(SalesCleanTable[[#This Row],[Discount %]]&gt;0, SalesCleanTable[[#This Row],[Profit]]&lt;0), "Discount loss", "Safe")</f>
        <v>Safe</v>
      </c>
      <c r="AB1815" s="25">
        <f>(SalesCleanTable[[#This Row],[Unit Price]] - SalesCleanTable[[#This Row],[Unit Cost]]) / SalesCleanTable[[#This Row],[Unit Price]]</f>
        <v>0.42499999999999999</v>
      </c>
      <c r="AC1815" t="str">
        <f>IF(SalesCleanTable[[#This Row],[Discount %]] &gt; SalesCleanTable[[#This Row],[Max Allowed Discount]], "Discount loss", "Safe")</f>
        <v>Safe</v>
      </c>
      <c r="AD1815" s="4">
        <f>SalesCleanTable[[#This Row],[Unit Price]] - SalesCleanTable[[#This Row],[Unit Cost]]</f>
        <v>170</v>
      </c>
      <c r="AE1815" s="41">
        <f>(SalesCleanTable[[#This Row],[Unit Price]] - SalesCleanTable[[#This Row],[Unit Cost]]) / SalesCleanTable[[#This Row],[Unit Price]]</f>
        <v>0.42499999999999999</v>
      </c>
    </row>
    <row r="1816" spans="1:31">
      <c r="A1816" t="s">
        <v>2002</v>
      </c>
      <c r="B1816" s="6">
        <v>45995</v>
      </c>
      <c r="C1816" t="s">
        <v>24</v>
      </c>
      <c r="D1816" t="s">
        <v>25</v>
      </c>
      <c r="E1816" t="s">
        <v>26</v>
      </c>
      <c r="F1816" t="s">
        <v>27</v>
      </c>
      <c r="G1816" t="s">
        <v>28</v>
      </c>
      <c r="H1816" t="s">
        <v>128</v>
      </c>
      <c r="I1816" t="s">
        <v>129</v>
      </c>
      <c r="J1816" t="s">
        <v>130</v>
      </c>
      <c r="K1816" t="s">
        <v>131</v>
      </c>
      <c r="L1816" t="s">
        <v>166</v>
      </c>
      <c r="M1816" t="s">
        <v>171</v>
      </c>
      <c r="N1816">
        <v>1</v>
      </c>
      <c r="O1816" s="4">
        <v>14500</v>
      </c>
      <c r="P1816" s="4">
        <v>17500</v>
      </c>
      <c r="Q1816" s="7">
        <v>0.1</v>
      </c>
      <c r="R1816" t="s">
        <v>194</v>
      </c>
      <c r="S1816">
        <v>6</v>
      </c>
      <c r="T1816">
        <v>17500</v>
      </c>
      <c r="U1816">
        <v>1750</v>
      </c>
      <c r="V1816">
        <v>15750</v>
      </c>
      <c r="W1816">
        <v>14500</v>
      </c>
      <c r="X1816">
        <v>1250</v>
      </c>
      <c r="Y1816" s="8">
        <v>7.9365079365079361E-2</v>
      </c>
      <c r="Z1816" t="s">
        <v>2995</v>
      </c>
      <c r="AA1816" t="str">
        <f>IF(AND(SalesCleanTable[[#This Row],[Discount %]]&gt;0, SalesCleanTable[[#This Row],[Profit]]&lt;0), "Discount loss", "Safe")</f>
        <v>Safe</v>
      </c>
      <c r="AB1816" s="25">
        <f>(SalesCleanTable[[#This Row],[Unit Price]] - SalesCleanTable[[#This Row],[Unit Cost]]) / SalesCleanTable[[#This Row],[Unit Price]]</f>
        <v>0.17142857142857143</v>
      </c>
      <c r="AC1816" t="str">
        <f>IF(SalesCleanTable[[#This Row],[Discount %]] &gt; SalesCleanTable[[#This Row],[Max Allowed Discount]], "Discount loss", "Safe")</f>
        <v>Safe</v>
      </c>
      <c r="AD1816" s="4">
        <f>SalesCleanTable[[#This Row],[Unit Price]] - SalesCleanTable[[#This Row],[Unit Cost]]</f>
        <v>3000</v>
      </c>
      <c r="AE1816" s="41">
        <f>(SalesCleanTable[[#This Row],[Unit Price]] - SalesCleanTable[[#This Row],[Unit Cost]]) / SalesCleanTable[[#This Row],[Unit Price]]</f>
        <v>0.17142857142857143</v>
      </c>
    </row>
    <row r="1817" spans="1:31">
      <c r="A1817" t="s">
        <v>2003</v>
      </c>
      <c r="B1817" s="6">
        <v>45853</v>
      </c>
      <c r="C1817" t="s">
        <v>103</v>
      </c>
      <c r="D1817" t="s">
        <v>104</v>
      </c>
      <c r="E1817" t="s">
        <v>92</v>
      </c>
      <c r="F1817" t="s">
        <v>105</v>
      </c>
      <c r="G1817" t="s">
        <v>106</v>
      </c>
      <c r="H1817" t="s">
        <v>128</v>
      </c>
      <c r="I1817" t="s">
        <v>129</v>
      </c>
      <c r="J1817" t="s">
        <v>130</v>
      </c>
      <c r="K1817" t="s">
        <v>131</v>
      </c>
      <c r="L1817" t="s">
        <v>166</v>
      </c>
      <c r="M1817" t="s">
        <v>171</v>
      </c>
      <c r="N1817">
        <v>1</v>
      </c>
      <c r="O1817" s="4">
        <v>1500</v>
      </c>
      <c r="P1817" s="4">
        <v>2500</v>
      </c>
      <c r="Q1817" s="7">
        <v>0.05</v>
      </c>
      <c r="R1817" t="s">
        <v>181</v>
      </c>
      <c r="S1817">
        <v>14</v>
      </c>
      <c r="T1817">
        <v>2500</v>
      </c>
      <c r="U1817">
        <v>125</v>
      </c>
      <c r="V1817">
        <v>2375</v>
      </c>
      <c r="W1817">
        <v>1500</v>
      </c>
      <c r="X1817">
        <v>875</v>
      </c>
      <c r="Y1817" s="8">
        <v>0.36842105263157893</v>
      </c>
      <c r="Z1817" t="s">
        <v>2996</v>
      </c>
      <c r="AA1817" t="str">
        <f>IF(AND(SalesCleanTable[[#This Row],[Discount %]]&gt;0, SalesCleanTable[[#This Row],[Profit]]&lt;0), "Discount loss", "Safe")</f>
        <v>Safe</v>
      </c>
      <c r="AB1817" s="25">
        <f>(SalesCleanTable[[#This Row],[Unit Price]] - SalesCleanTable[[#This Row],[Unit Cost]]) / SalesCleanTable[[#This Row],[Unit Price]]</f>
        <v>0.4</v>
      </c>
      <c r="AC1817" t="str">
        <f>IF(SalesCleanTable[[#This Row],[Discount %]] &gt; SalesCleanTable[[#This Row],[Max Allowed Discount]], "Discount loss", "Safe")</f>
        <v>Safe</v>
      </c>
      <c r="AD1817" s="4">
        <f>SalesCleanTable[[#This Row],[Unit Price]] - SalesCleanTable[[#This Row],[Unit Cost]]</f>
        <v>1000</v>
      </c>
      <c r="AE1817" s="41">
        <f>(SalesCleanTable[[#This Row],[Unit Price]] - SalesCleanTable[[#This Row],[Unit Cost]]) / SalesCleanTable[[#This Row],[Unit Price]]</f>
        <v>0.4</v>
      </c>
    </row>
    <row r="1818" spans="1:31">
      <c r="A1818" t="s">
        <v>2004</v>
      </c>
      <c r="B1818" s="6">
        <v>45942</v>
      </c>
      <c r="C1818" t="s">
        <v>95</v>
      </c>
      <c r="D1818" t="s">
        <v>96</v>
      </c>
      <c r="E1818" t="s">
        <v>92</v>
      </c>
      <c r="F1818" t="s">
        <v>97</v>
      </c>
      <c r="G1818" t="s">
        <v>98</v>
      </c>
      <c r="H1818" t="s">
        <v>133</v>
      </c>
      <c r="I1818" t="s">
        <v>134</v>
      </c>
      <c r="J1818" t="s">
        <v>130</v>
      </c>
      <c r="K1818" t="s">
        <v>131</v>
      </c>
      <c r="L1818" t="s">
        <v>183</v>
      </c>
      <c r="M1818" t="s">
        <v>177</v>
      </c>
      <c r="N1818">
        <v>2</v>
      </c>
      <c r="O1818" s="4">
        <v>18000</v>
      </c>
      <c r="P1818" s="4">
        <v>24500</v>
      </c>
      <c r="Q1818" s="7">
        <v>0.05</v>
      </c>
      <c r="R1818" t="s">
        <v>215</v>
      </c>
      <c r="S1818">
        <v>10</v>
      </c>
      <c r="T1818">
        <v>49000</v>
      </c>
      <c r="U1818">
        <v>2450</v>
      </c>
      <c r="V1818">
        <v>46550</v>
      </c>
      <c r="W1818">
        <v>36000</v>
      </c>
      <c r="X1818">
        <v>10550</v>
      </c>
      <c r="Y1818" s="8">
        <v>0.22663802363050484</v>
      </c>
      <c r="Z1818" t="s">
        <v>2995</v>
      </c>
      <c r="AA1818" t="str">
        <f>IF(AND(SalesCleanTable[[#This Row],[Discount %]]&gt;0, SalesCleanTable[[#This Row],[Profit]]&lt;0), "Discount loss", "Safe")</f>
        <v>Safe</v>
      </c>
      <c r="AB1818" s="25">
        <f>(SalesCleanTable[[#This Row],[Unit Price]] - SalesCleanTable[[#This Row],[Unit Cost]]) / SalesCleanTable[[#This Row],[Unit Price]]</f>
        <v>0.26530612244897961</v>
      </c>
      <c r="AC1818" t="str">
        <f>IF(SalesCleanTable[[#This Row],[Discount %]] &gt; SalesCleanTable[[#This Row],[Max Allowed Discount]], "Discount loss", "Safe")</f>
        <v>Safe</v>
      </c>
      <c r="AD1818" s="4">
        <f>SalesCleanTable[[#This Row],[Unit Price]] - SalesCleanTable[[#This Row],[Unit Cost]]</f>
        <v>6500</v>
      </c>
      <c r="AE1818" s="41">
        <f>(SalesCleanTable[[#This Row],[Unit Price]] - SalesCleanTable[[#This Row],[Unit Cost]]) / SalesCleanTable[[#This Row],[Unit Price]]</f>
        <v>0.26530612244897961</v>
      </c>
    </row>
    <row r="1819" spans="1:31">
      <c r="A1819" t="s">
        <v>2005</v>
      </c>
      <c r="B1819" s="6">
        <v>45848</v>
      </c>
      <c r="C1819" t="s">
        <v>66</v>
      </c>
      <c r="D1819" t="s">
        <v>67</v>
      </c>
      <c r="E1819" t="s">
        <v>59</v>
      </c>
      <c r="F1819" t="s">
        <v>60</v>
      </c>
      <c r="G1819" t="s">
        <v>68</v>
      </c>
      <c r="H1819" t="s">
        <v>135</v>
      </c>
      <c r="I1819" t="s">
        <v>136</v>
      </c>
      <c r="J1819" t="s">
        <v>137</v>
      </c>
      <c r="K1819" t="s">
        <v>138</v>
      </c>
      <c r="L1819" t="s">
        <v>183</v>
      </c>
      <c r="M1819" t="s">
        <v>171</v>
      </c>
      <c r="N1819">
        <v>1</v>
      </c>
      <c r="O1819" s="4">
        <v>2800</v>
      </c>
      <c r="P1819" s="4">
        <v>3900</v>
      </c>
      <c r="Q1819" s="7">
        <v>0</v>
      </c>
      <c r="R1819" t="s">
        <v>192</v>
      </c>
      <c r="S1819">
        <v>5</v>
      </c>
      <c r="T1819">
        <v>3900</v>
      </c>
      <c r="U1819">
        <v>0</v>
      </c>
      <c r="V1819">
        <v>3900</v>
      </c>
      <c r="W1819">
        <v>2800</v>
      </c>
      <c r="X1819">
        <v>1100</v>
      </c>
      <c r="Y1819" s="8">
        <v>0.28205128205128205</v>
      </c>
      <c r="Z1819" t="s">
        <v>2996</v>
      </c>
      <c r="AA1819" t="str">
        <f>IF(AND(SalesCleanTable[[#This Row],[Discount %]]&gt;0, SalesCleanTable[[#This Row],[Profit]]&lt;0), "Discount loss", "Safe")</f>
        <v>Safe</v>
      </c>
      <c r="AB1819" s="25">
        <f>(SalesCleanTable[[#This Row],[Unit Price]] - SalesCleanTable[[#This Row],[Unit Cost]]) / SalesCleanTable[[#This Row],[Unit Price]]</f>
        <v>0.28205128205128205</v>
      </c>
      <c r="AC1819" t="str">
        <f>IF(SalesCleanTable[[#This Row],[Discount %]] &gt; SalesCleanTable[[#This Row],[Max Allowed Discount]], "Discount loss", "Safe")</f>
        <v>Safe</v>
      </c>
      <c r="AD1819" s="4">
        <f>SalesCleanTable[[#This Row],[Unit Price]] - SalesCleanTable[[#This Row],[Unit Cost]]</f>
        <v>1100</v>
      </c>
      <c r="AE1819" s="41">
        <f>(SalesCleanTable[[#This Row],[Unit Price]] - SalesCleanTable[[#This Row],[Unit Cost]]) / SalesCleanTable[[#This Row],[Unit Price]]</f>
        <v>0.28205128205128205</v>
      </c>
    </row>
    <row r="1820" spans="1:31">
      <c r="A1820" t="s">
        <v>2006</v>
      </c>
      <c r="B1820" s="6">
        <v>45955</v>
      </c>
      <c r="C1820" t="s">
        <v>41</v>
      </c>
      <c r="D1820" t="s">
        <v>42</v>
      </c>
      <c r="E1820" t="s">
        <v>26</v>
      </c>
      <c r="F1820" t="s">
        <v>43</v>
      </c>
      <c r="G1820" t="s">
        <v>44</v>
      </c>
      <c r="H1820" t="s">
        <v>128</v>
      </c>
      <c r="I1820" t="s">
        <v>129</v>
      </c>
      <c r="J1820" t="s">
        <v>130</v>
      </c>
      <c r="K1820" t="s">
        <v>131</v>
      </c>
      <c r="L1820" t="s">
        <v>183</v>
      </c>
      <c r="M1820" t="s">
        <v>167</v>
      </c>
      <c r="N1820">
        <v>8</v>
      </c>
      <c r="O1820" s="4">
        <v>850</v>
      </c>
      <c r="P1820" s="4">
        <v>1300</v>
      </c>
      <c r="Q1820" s="7">
        <v>0.2</v>
      </c>
      <c r="R1820" t="s">
        <v>173</v>
      </c>
      <c r="S1820">
        <v>14</v>
      </c>
      <c r="T1820">
        <v>10400</v>
      </c>
      <c r="U1820">
        <v>2080</v>
      </c>
      <c r="V1820">
        <v>8320</v>
      </c>
      <c r="W1820">
        <v>6800</v>
      </c>
      <c r="X1820">
        <v>1520</v>
      </c>
      <c r="Y1820" s="8">
        <v>0.18269230769230768</v>
      </c>
      <c r="Z1820" t="s">
        <v>2995</v>
      </c>
      <c r="AA1820" t="str">
        <f>IF(AND(SalesCleanTable[[#This Row],[Discount %]]&gt;0, SalesCleanTable[[#This Row],[Profit]]&lt;0), "Discount loss", "Safe")</f>
        <v>Safe</v>
      </c>
      <c r="AB1820" s="25">
        <f>(SalesCleanTable[[#This Row],[Unit Price]] - SalesCleanTable[[#This Row],[Unit Cost]]) / SalesCleanTable[[#This Row],[Unit Price]]</f>
        <v>0.34615384615384615</v>
      </c>
      <c r="AC1820" t="str">
        <f>IF(SalesCleanTable[[#This Row],[Discount %]] &gt; SalesCleanTable[[#This Row],[Max Allowed Discount]], "Discount loss", "Safe")</f>
        <v>Safe</v>
      </c>
      <c r="AD1820" s="4">
        <f>SalesCleanTable[[#This Row],[Unit Price]] - SalesCleanTable[[#This Row],[Unit Cost]]</f>
        <v>450</v>
      </c>
      <c r="AE1820" s="41">
        <f>(SalesCleanTable[[#This Row],[Unit Price]] - SalesCleanTable[[#This Row],[Unit Cost]]) / SalesCleanTable[[#This Row],[Unit Price]]</f>
        <v>0.34615384615384615</v>
      </c>
    </row>
    <row r="1821" spans="1:31">
      <c r="A1821" t="s">
        <v>2007</v>
      </c>
      <c r="B1821" s="6">
        <v>45880</v>
      </c>
      <c r="C1821" t="s">
        <v>53</v>
      </c>
      <c r="D1821" t="s">
        <v>54</v>
      </c>
      <c r="E1821" t="s">
        <v>38</v>
      </c>
      <c r="F1821" t="s">
        <v>55</v>
      </c>
      <c r="G1821" t="s">
        <v>56</v>
      </c>
      <c r="H1821" t="s">
        <v>135</v>
      </c>
      <c r="I1821" t="s">
        <v>136</v>
      </c>
      <c r="J1821" t="s">
        <v>137</v>
      </c>
      <c r="K1821" t="s">
        <v>138</v>
      </c>
      <c r="L1821" t="s">
        <v>166</v>
      </c>
      <c r="M1821" t="s">
        <v>171</v>
      </c>
      <c r="N1821">
        <v>2</v>
      </c>
      <c r="O1821" s="4">
        <v>330</v>
      </c>
      <c r="P1821" s="4">
        <v>550</v>
      </c>
      <c r="Q1821" s="7">
        <v>0.05</v>
      </c>
      <c r="R1821" t="s">
        <v>175</v>
      </c>
      <c r="S1821">
        <v>6</v>
      </c>
      <c r="T1821">
        <v>1100</v>
      </c>
      <c r="U1821">
        <v>55</v>
      </c>
      <c r="V1821">
        <v>1045</v>
      </c>
      <c r="W1821">
        <v>660</v>
      </c>
      <c r="X1821">
        <v>385</v>
      </c>
      <c r="Y1821" s="8">
        <v>0.36842105263157893</v>
      </c>
      <c r="Z1821" t="s">
        <v>2996</v>
      </c>
      <c r="AA1821" t="str">
        <f>IF(AND(SalesCleanTable[[#This Row],[Discount %]]&gt;0, SalesCleanTable[[#This Row],[Profit]]&lt;0), "Discount loss", "Safe")</f>
        <v>Safe</v>
      </c>
      <c r="AB1821" s="25">
        <f>(SalesCleanTable[[#This Row],[Unit Price]] - SalesCleanTable[[#This Row],[Unit Cost]]) / SalesCleanTable[[#This Row],[Unit Price]]</f>
        <v>0.4</v>
      </c>
      <c r="AC1821" t="str">
        <f>IF(SalesCleanTable[[#This Row],[Discount %]] &gt; SalesCleanTable[[#This Row],[Max Allowed Discount]], "Discount loss", "Safe")</f>
        <v>Safe</v>
      </c>
      <c r="AD1821" s="4">
        <f>SalesCleanTable[[#This Row],[Unit Price]] - SalesCleanTable[[#This Row],[Unit Cost]]</f>
        <v>220</v>
      </c>
      <c r="AE1821" s="41">
        <f>(SalesCleanTable[[#This Row],[Unit Price]] - SalesCleanTable[[#This Row],[Unit Cost]]) / SalesCleanTable[[#This Row],[Unit Price]]</f>
        <v>0.4</v>
      </c>
    </row>
    <row r="1822" spans="1:31">
      <c r="A1822" t="s">
        <v>2008</v>
      </c>
      <c r="B1822" s="6">
        <v>45844</v>
      </c>
      <c r="C1822" t="s">
        <v>53</v>
      </c>
      <c r="D1822" t="s">
        <v>54</v>
      </c>
      <c r="E1822" t="s">
        <v>38</v>
      </c>
      <c r="F1822" t="s">
        <v>55</v>
      </c>
      <c r="G1822" t="s">
        <v>56</v>
      </c>
      <c r="H1822" t="s">
        <v>135</v>
      </c>
      <c r="I1822" t="s">
        <v>136</v>
      </c>
      <c r="J1822" t="s">
        <v>137</v>
      </c>
      <c r="K1822" t="s">
        <v>138</v>
      </c>
      <c r="L1822" t="s">
        <v>166</v>
      </c>
      <c r="M1822" t="s">
        <v>171</v>
      </c>
      <c r="N1822">
        <v>3</v>
      </c>
      <c r="O1822" s="4">
        <v>330</v>
      </c>
      <c r="P1822" s="4">
        <v>550</v>
      </c>
      <c r="Q1822" s="7">
        <v>0</v>
      </c>
      <c r="R1822" t="s">
        <v>175</v>
      </c>
      <c r="S1822">
        <v>4</v>
      </c>
      <c r="T1822">
        <v>1650</v>
      </c>
      <c r="U1822">
        <v>0</v>
      </c>
      <c r="V1822">
        <v>1650</v>
      </c>
      <c r="W1822">
        <v>990</v>
      </c>
      <c r="X1822">
        <v>660</v>
      </c>
      <c r="Y1822" s="8">
        <v>0.4</v>
      </c>
      <c r="Z1822" t="s">
        <v>2996</v>
      </c>
      <c r="AA1822" t="str">
        <f>IF(AND(SalesCleanTable[[#This Row],[Discount %]]&gt;0, SalesCleanTable[[#This Row],[Profit]]&lt;0), "Discount loss", "Safe")</f>
        <v>Safe</v>
      </c>
      <c r="AB1822" s="25">
        <f>(SalesCleanTable[[#This Row],[Unit Price]] - SalesCleanTable[[#This Row],[Unit Cost]]) / SalesCleanTable[[#This Row],[Unit Price]]</f>
        <v>0.4</v>
      </c>
      <c r="AC1822" t="str">
        <f>IF(SalesCleanTable[[#This Row],[Discount %]] &gt; SalesCleanTable[[#This Row],[Max Allowed Discount]], "Discount loss", "Safe")</f>
        <v>Safe</v>
      </c>
      <c r="AD1822" s="4">
        <f>SalesCleanTable[[#This Row],[Unit Price]] - SalesCleanTable[[#This Row],[Unit Cost]]</f>
        <v>220</v>
      </c>
      <c r="AE1822" s="41">
        <f>(SalesCleanTable[[#This Row],[Unit Price]] - SalesCleanTable[[#This Row],[Unit Cost]]) / SalesCleanTable[[#This Row],[Unit Price]]</f>
        <v>0.4</v>
      </c>
    </row>
    <row r="1823" spans="1:31">
      <c r="A1823" t="s">
        <v>2009</v>
      </c>
      <c r="B1823" s="6">
        <v>45917</v>
      </c>
      <c r="C1823" t="s">
        <v>95</v>
      </c>
      <c r="D1823" t="s">
        <v>96</v>
      </c>
      <c r="E1823" t="s">
        <v>92</v>
      </c>
      <c r="F1823" t="s">
        <v>97</v>
      </c>
      <c r="G1823" t="s">
        <v>98</v>
      </c>
      <c r="H1823" t="s">
        <v>128</v>
      </c>
      <c r="I1823" t="s">
        <v>129</v>
      </c>
      <c r="J1823" t="s">
        <v>130</v>
      </c>
      <c r="K1823" t="s">
        <v>131</v>
      </c>
      <c r="L1823" t="s">
        <v>166</v>
      </c>
      <c r="M1823" t="s">
        <v>171</v>
      </c>
      <c r="N1823">
        <v>1</v>
      </c>
      <c r="O1823" s="4">
        <v>18000</v>
      </c>
      <c r="P1823" s="4">
        <v>24500</v>
      </c>
      <c r="Q1823" s="7">
        <v>0.15</v>
      </c>
      <c r="R1823" t="s">
        <v>217</v>
      </c>
      <c r="S1823">
        <v>13</v>
      </c>
      <c r="T1823">
        <v>24500</v>
      </c>
      <c r="U1823">
        <v>3675</v>
      </c>
      <c r="V1823">
        <v>20825</v>
      </c>
      <c r="W1823">
        <v>18000</v>
      </c>
      <c r="X1823">
        <v>2825</v>
      </c>
      <c r="Y1823" s="8">
        <v>0.13565426170468187</v>
      </c>
      <c r="Z1823" t="s">
        <v>2995</v>
      </c>
      <c r="AA1823" t="str">
        <f>IF(AND(SalesCleanTable[[#This Row],[Discount %]]&gt;0, SalesCleanTable[[#This Row],[Profit]]&lt;0), "Discount loss", "Safe")</f>
        <v>Safe</v>
      </c>
      <c r="AB1823" s="25">
        <f>(SalesCleanTable[[#This Row],[Unit Price]] - SalesCleanTable[[#This Row],[Unit Cost]]) / SalesCleanTable[[#This Row],[Unit Price]]</f>
        <v>0.26530612244897961</v>
      </c>
      <c r="AC1823" t="str">
        <f>IF(SalesCleanTable[[#This Row],[Discount %]] &gt; SalesCleanTable[[#This Row],[Max Allowed Discount]], "Discount loss", "Safe")</f>
        <v>Safe</v>
      </c>
      <c r="AD1823" s="4">
        <f>SalesCleanTable[[#This Row],[Unit Price]] - SalesCleanTable[[#This Row],[Unit Cost]]</f>
        <v>6500</v>
      </c>
      <c r="AE1823" s="41">
        <f>(SalesCleanTable[[#This Row],[Unit Price]] - SalesCleanTable[[#This Row],[Unit Cost]]) / SalesCleanTable[[#This Row],[Unit Price]]</f>
        <v>0.26530612244897961</v>
      </c>
    </row>
    <row r="1824" spans="1:31">
      <c r="A1824" t="s">
        <v>2010</v>
      </c>
      <c r="B1824" s="6">
        <v>45982</v>
      </c>
      <c r="C1824" t="s">
        <v>36</v>
      </c>
      <c r="D1824" t="s">
        <v>37</v>
      </c>
      <c r="E1824" t="s">
        <v>38</v>
      </c>
      <c r="F1824" t="s">
        <v>39</v>
      </c>
      <c r="G1824" t="s">
        <v>40</v>
      </c>
      <c r="H1824" t="s">
        <v>135</v>
      </c>
      <c r="I1824" t="s">
        <v>136</v>
      </c>
      <c r="J1824" t="s">
        <v>137</v>
      </c>
      <c r="K1824" t="s">
        <v>138</v>
      </c>
      <c r="L1824" t="s">
        <v>166</v>
      </c>
      <c r="M1824" t="s">
        <v>186</v>
      </c>
      <c r="N1824">
        <v>4</v>
      </c>
      <c r="O1824" s="4">
        <v>1650</v>
      </c>
      <c r="P1824" s="4">
        <v>2200</v>
      </c>
      <c r="Q1824" s="7">
        <v>0</v>
      </c>
      <c r="R1824" t="s">
        <v>168</v>
      </c>
      <c r="S1824">
        <v>6</v>
      </c>
      <c r="T1824">
        <v>8800</v>
      </c>
      <c r="U1824">
        <v>0</v>
      </c>
      <c r="V1824">
        <v>8800</v>
      </c>
      <c r="W1824">
        <v>6600</v>
      </c>
      <c r="X1824">
        <v>2200</v>
      </c>
      <c r="Y1824" s="8">
        <v>0.25</v>
      </c>
      <c r="Z1824" t="s">
        <v>2995</v>
      </c>
      <c r="AA1824" t="str">
        <f>IF(AND(SalesCleanTable[[#This Row],[Discount %]]&gt;0, SalesCleanTable[[#This Row],[Profit]]&lt;0), "Discount loss", "Safe")</f>
        <v>Safe</v>
      </c>
      <c r="AB1824" s="25">
        <f>(SalesCleanTable[[#This Row],[Unit Price]] - SalesCleanTable[[#This Row],[Unit Cost]]) / SalesCleanTable[[#This Row],[Unit Price]]</f>
        <v>0.25</v>
      </c>
      <c r="AC1824" t="str">
        <f>IF(SalesCleanTable[[#This Row],[Discount %]] &gt; SalesCleanTable[[#This Row],[Max Allowed Discount]], "Discount loss", "Safe")</f>
        <v>Safe</v>
      </c>
      <c r="AD1824" s="4">
        <f>SalesCleanTable[[#This Row],[Unit Price]] - SalesCleanTable[[#This Row],[Unit Cost]]</f>
        <v>550</v>
      </c>
      <c r="AE1824" s="41">
        <f>(SalesCleanTable[[#This Row],[Unit Price]] - SalesCleanTable[[#This Row],[Unit Cost]]) / SalesCleanTable[[#This Row],[Unit Price]]</f>
        <v>0.25</v>
      </c>
    </row>
    <row r="1825" spans="1:31">
      <c r="A1825" t="s">
        <v>2011</v>
      </c>
      <c r="B1825" s="6">
        <v>45685</v>
      </c>
      <c r="C1825" t="s">
        <v>24</v>
      </c>
      <c r="D1825" t="s">
        <v>25</v>
      </c>
      <c r="E1825" t="s">
        <v>26</v>
      </c>
      <c r="F1825" t="s">
        <v>27</v>
      </c>
      <c r="G1825" t="s">
        <v>28</v>
      </c>
      <c r="H1825" t="s">
        <v>153</v>
      </c>
      <c r="I1825" t="s">
        <v>154</v>
      </c>
      <c r="J1825" t="s">
        <v>155</v>
      </c>
      <c r="K1825" t="s">
        <v>131</v>
      </c>
      <c r="L1825" t="s">
        <v>166</v>
      </c>
      <c r="M1825" t="s">
        <v>177</v>
      </c>
      <c r="N1825">
        <v>2</v>
      </c>
      <c r="O1825" s="4">
        <v>14500</v>
      </c>
      <c r="P1825" s="4">
        <v>17500</v>
      </c>
      <c r="Q1825" s="7">
        <v>0.15</v>
      </c>
      <c r="R1825" t="s">
        <v>197</v>
      </c>
      <c r="S1825">
        <v>13</v>
      </c>
      <c r="T1825">
        <v>35000</v>
      </c>
      <c r="U1825">
        <v>5250</v>
      </c>
      <c r="V1825">
        <v>29750</v>
      </c>
      <c r="W1825">
        <v>29000</v>
      </c>
      <c r="X1825">
        <v>750</v>
      </c>
      <c r="Y1825" s="8">
        <v>2.5210084033613446E-2</v>
      </c>
      <c r="Z1825" t="s">
        <v>2995</v>
      </c>
      <c r="AA1825" t="str">
        <f>IF(AND(SalesCleanTable[[#This Row],[Discount %]]&gt;0, SalesCleanTable[[#This Row],[Profit]]&lt;0), "Discount loss", "Safe")</f>
        <v>Safe</v>
      </c>
      <c r="AB1825" s="25">
        <f>(SalesCleanTable[[#This Row],[Unit Price]] - SalesCleanTable[[#This Row],[Unit Cost]]) / SalesCleanTable[[#This Row],[Unit Price]]</f>
        <v>0.17142857142857143</v>
      </c>
      <c r="AC1825" t="str">
        <f>IF(SalesCleanTable[[#This Row],[Discount %]] &gt; SalesCleanTable[[#This Row],[Max Allowed Discount]], "Discount loss", "Safe")</f>
        <v>Safe</v>
      </c>
      <c r="AD1825" s="4">
        <f>SalesCleanTable[[#This Row],[Unit Price]] - SalesCleanTable[[#This Row],[Unit Cost]]</f>
        <v>3000</v>
      </c>
      <c r="AE1825" s="41">
        <f>(SalesCleanTable[[#This Row],[Unit Price]] - SalesCleanTable[[#This Row],[Unit Cost]]) / SalesCleanTable[[#This Row],[Unit Price]]</f>
        <v>0.17142857142857143</v>
      </c>
    </row>
    <row r="1826" spans="1:31">
      <c r="A1826" t="s">
        <v>2012</v>
      </c>
      <c r="B1826" s="6">
        <v>45877</v>
      </c>
      <c r="C1826" t="s">
        <v>116</v>
      </c>
      <c r="D1826" t="s">
        <v>117</v>
      </c>
      <c r="E1826" t="s">
        <v>109</v>
      </c>
      <c r="F1826" t="s">
        <v>118</v>
      </c>
      <c r="G1826" t="s">
        <v>119</v>
      </c>
      <c r="H1826" t="s">
        <v>139</v>
      </c>
      <c r="I1826" t="s">
        <v>140</v>
      </c>
      <c r="J1826" t="s">
        <v>137</v>
      </c>
      <c r="K1826" t="s">
        <v>138</v>
      </c>
      <c r="L1826" t="s">
        <v>166</v>
      </c>
      <c r="M1826" t="s">
        <v>167</v>
      </c>
      <c r="N1826">
        <v>4</v>
      </c>
      <c r="O1826" s="4">
        <v>2800</v>
      </c>
      <c r="P1826" s="4">
        <v>4200</v>
      </c>
      <c r="Q1826" s="7">
        <v>0.05</v>
      </c>
      <c r="R1826" t="s">
        <v>235</v>
      </c>
      <c r="S1826">
        <v>7</v>
      </c>
      <c r="T1826">
        <v>16800</v>
      </c>
      <c r="U1826">
        <v>840</v>
      </c>
      <c r="V1826">
        <v>15960</v>
      </c>
      <c r="W1826">
        <v>11200</v>
      </c>
      <c r="X1826">
        <v>4760</v>
      </c>
      <c r="Y1826" s="8">
        <v>0.2982456140350877</v>
      </c>
      <c r="Z1826" t="s">
        <v>2995</v>
      </c>
      <c r="AA1826" t="str">
        <f>IF(AND(SalesCleanTable[[#This Row],[Discount %]]&gt;0, SalesCleanTable[[#This Row],[Profit]]&lt;0), "Discount loss", "Safe")</f>
        <v>Safe</v>
      </c>
      <c r="AB1826" s="25">
        <f>(SalesCleanTable[[#This Row],[Unit Price]] - SalesCleanTable[[#This Row],[Unit Cost]]) / SalesCleanTable[[#This Row],[Unit Price]]</f>
        <v>0.33333333333333331</v>
      </c>
      <c r="AC1826" t="str">
        <f>IF(SalesCleanTable[[#This Row],[Discount %]] &gt; SalesCleanTable[[#This Row],[Max Allowed Discount]], "Discount loss", "Safe")</f>
        <v>Safe</v>
      </c>
      <c r="AD1826" s="4">
        <f>SalesCleanTable[[#This Row],[Unit Price]] - SalesCleanTable[[#This Row],[Unit Cost]]</f>
        <v>1400</v>
      </c>
      <c r="AE1826" s="41">
        <f>(SalesCleanTable[[#This Row],[Unit Price]] - SalesCleanTable[[#This Row],[Unit Cost]]) / SalesCleanTable[[#This Row],[Unit Price]]</f>
        <v>0.33333333333333331</v>
      </c>
    </row>
    <row r="1827" spans="1:31">
      <c r="A1827" t="s">
        <v>2013</v>
      </c>
      <c r="B1827" s="6">
        <v>45698</v>
      </c>
      <c r="C1827" t="s">
        <v>36</v>
      </c>
      <c r="D1827" t="s">
        <v>37</v>
      </c>
      <c r="E1827" t="s">
        <v>38</v>
      </c>
      <c r="F1827" t="s">
        <v>39</v>
      </c>
      <c r="G1827" t="s">
        <v>40</v>
      </c>
      <c r="H1827" t="s">
        <v>145</v>
      </c>
      <c r="I1827" t="s">
        <v>146</v>
      </c>
      <c r="J1827" t="s">
        <v>147</v>
      </c>
      <c r="K1827" t="s">
        <v>148</v>
      </c>
      <c r="L1827" t="s">
        <v>170</v>
      </c>
      <c r="M1827" t="s">
        <v>186</v>
      </c>
      <c r="N1827">
        <v>1</v>
      </c>
      <c r="O1827" s="4">
        <v>1650</v>
      </c>
      <c r="P1827" s="4">
        <v>2200</v>
      </c>
      <c r="Q1827" s="7">
        <v>0.05</v>
      </c>
      <c r="R1827" t="s">
        <v>175</v>
      </c>
      <c r="S1827">
        <v>9</v>
      </c>
      <c r="T1827">
        <v>2200</v>
      </c>
      <c r="U1827">
        <v>110</v>
      </c>
      <c r="V1827">
        <v>2090</v>
      </c>
      <c r="W1827">
        <v>1650</v>
      </c>
      <c r="X1827">
        <v>440</v>
      </c>
      <c r="Y1827" s="8">
        <v>0.21052631578947367</v>
      </c>
      <c r="Z1827" t="s">
        <v>2995</v>
      </c>
      <c r="AA1827" t="str">
        <f>IF(AND(SalesCleanTable[[#This Row],[Discount %]]&gt;0, SalesCleanTable[[#This Row],[Profit]]&lt;0), "Discount loss", "Safe")</f>
        <v>Safe</v>
      </c>
      <c r="AB1827" s="25">
        <f>(SalesCleanTable[[#This Row],[Unit Price]] - SalesCleanTable[[#This Row],[Unit Cost]]) / SalesCleanTable[[#This Row],[Unit Price]]</f>
        <v>0.25</v>
      </c>
      <c r="AC1827" t="str">
        <f>IF(SalesCleanTable[[#This Row],[Discount %]] &gt; SalesCleanTable[[#This Row],[Max Allowed Discount]], "Discount loss", "Safe")</f>
        <v>Safe</v>
      </c>
      <c r="AD1827" s="4">
        <f>SalesCleanTable[[#This Row],[Unit Price]] - SalesCleanTable[[#This Row],[Unit Cost]]</f>
        <v>550</v>
      </c>
      <c r="AE1827" s="41">
        <f>(SalesCleanTable[[#This Row],[Unit Price]] - SalesCleanTable[[#This Row],[Unit Cost]]) / SalesCleanTable[[#This Row],[Unit Price]]</f>
        <v>0.25</v>
      </c>
    </row>
    <row r="1828" spans="1:31">
      <c r="A1828" t="s">
        <v>2014</v>
      </c>
      <c r="B1828" s="6">
        <v>45985</v>
      </c>
      <c r="C1828" t="s">
        <v>49</v>
      </c>
      <c r="D1828" t="s">
        <v>50</v>
      </c>
      <c r="E1828" t="s">
        <v>38</v>
      </c>
      <c r="F1828" t="s">
        <v>51</v>
      </c>
      <c r="G1828" t="s">
        <v>52</v>
      </c>
      <c r="H1828" t="s">
        <v>128</v>
      </c>
      <c r="I1828" t="s">
        <v>129</v>
      </c>
      <c r="J1828" t="s">
        <v>130</v>
      </c>
      <c r="K1828" t="s">
        <v>131</v>
      </c>
      <c r="L1828" t="s">
        <v>166</v>
      </c>
      <c r="M1828" t="s">
        <v>186</v>
      </c>
      <c r="N1828">
        <v>4</v>
      </c>
      <c r="O1828" s="4">
        <v>550</v>
      </c>
      <c r="P1828" s="4">
        <v>850</v>
      </c>
      <c r="Q1828" s="7">
        <v>0.2</v>
      </c>
      <c r="R1828" t="s">
        <v>168</v>
      </c>
      <c r="S1828">
        <v>7</v>
      </c>
      <c r="T1828">
        <v>3400</v>
      </c>
      <c r="U1828">
        <v>680</v>
      </c>
      <c r="V1828">
        <v>2720</v>
      </c>
      <c r="W1828">
        <v>2200</v>
      </c>
      <c r="X1828">
        <v>520</v>
      </c>
      <c r="Y1828" s="8">
        <v>0.19117647058823528</v>
      </c>
      <c r="Z1828" t="s">
        <v>2996</v>
      </c>
      <c r="AA1828" t="str">
        <f>IF(AND(SalesCleanTable[[#This Row],[Discount %]]&gt;0, SalesCleanTable[[#This Row],[Profit]]&lt;0), "Discount loss", "Safe")</f>
        <v>Safe</v>
      </c>
      <c r="AB1828" s="25">
        <f>(SalesCleanTable[[#This Row],[Unit Price]] - SalesCleanTable[[#This Row],[Unit Cost]]) / SalesCleanTable[[#This Row],[Unit Price]]</f>
        <v>0.35294117647058826</v>
      </c>
      <c r="AC1828" t="str">
        <f>IF(SalesCleanTable[[#This Row],[Discount %]] &gt; SalesCleanTable[[#This Row],[Max Allowed Discount]], "Discount loss", "Safe")</f>
        <v>Safe</v>
      </c>
      <c r="AD1828" s="4">
        <f>SalesCleanTable[[#This Row],[Unit Price]] - SalesCleanTable[[#This Row],[Unit Cost]]</f>
        <v>300</v>
      </c>
      <c r="AE1828" s="41">
        <f>(SalesCleanTable[[#This Row],[Unit Price]] - SalesCleanTable[[#This Row],[Unit Cost]]) / SalesCleanTable[[#This Row],[Unit Price]]</f>
        <v>0.35294117647058826</v>
      </c>
    </row>
    <row r="1829" spans="1:31">
      <c r="A1829" t="s">
        <v>2015</v>
      </c>
      <c r="B1829" s="6">
        <v>45911</v>
      </c>
      <c r="C1829" t="s">
        <v>120</v>
      </c>
      <c r="D1829" t="s">
        <v>121</v>
      </c>
      <c r="E1829" t="s">
        <v>109</v>
      </c>
      <c r="F1829" t="s">
        <v>93</v>
      </c>
      <c r="G1829" t="s">
        <v>122</v>
      </c>
      <c r="H1829" t="s">
        <v>128</v>
      </c>
      <c r="I1829" t="s">
        <v>129</v>
      </c>
      <c r="J1829" t="s">
        <v>130</v>
      </c>
      <c r="K1829" t="s">
        <v>131</v>
      </c>
      <c r="L1829" t="s">
        <v>183</v>
      </c>
      <c r="M1829" t="s">
        <v>171</v>
      </c>
      <c r="N1829">
        <v>6</v>
      </c>
      <c r="O1829" s="4">
        <v>1700</v>
      </c>
      <c r="P1829" s="4">
        <v>2800</v>
      </c>
      <c r="Q1829" s="7">
        <v>0.05</v>
      </c>
      <c r="R1829" t="s">
        <v>220</v>
      </c>
      <c r="S1829">
        <v>13</v>
      </c>
      <c r="T1829">
        <v>16800</v>
      </c>
      <c r="U1829">
        <v>840</v>
      </c>
      <c r="V1829">
        <v>15960</v>
      </c>
      <c r="W1829">
        <v>10200</v>
      </c>
      <c r="X1829">
        <v>5760</v>
      </c>
      <c r="Y1829" s="8">
        <v>0.36090225563909772</v>
      </c>
      <c r="Z1829" t="s">
        <v>2997</v>
      </c>
      <c r="AA1829" t="str">
        <f>IF(AND(SalesCleanTable[[#This Row],[Discount %]]&gt;0, SalesCleanTable[[#This Row],[Profit]]&lt;0), "Discount loss", "Safe")</f>
        <v>Safe</v>
      </c>
      <c r="AB1829" s="25">
        <f>(SalesCleanTable[[#This Row],[Unit Price]] - SalesCleanTable[[#This Row],[Unit Cost]]) / SalesCleanTable[[#This Row],[Unit Price]]</f>
        <v>0.39285714285714285</v>
      </c>
      <c r="AC1829" t="str">
        <f>IF(SalesCleanTable[[#This Row],[Discount %]] &gt; SalesCleanTable[[#This Row],[Max Allowed Discount]], "Discount loss", "Safe")</f>
        <v>Safe</v>
      </c>
      <c r="AD1829" s="4">
        <f>SalesCleanTable[[#This Row],[Unit Price]] - SalesCleanTable[[#This Row],[Unit Cost]]</f>
        <v>1100</v>
      </c>
      <c r="AE1829" s="41">
        <f>(SalesCleanTable[[#This Row],[Unit Price]] - SalesCleanTable[[#This Row],[Unit Cost]]) / SalesCleanTable[[#This Row],[Unit Price]]</f>
        <v>0.39285714285714285</v>
      </c>
    </row>
    <row r="1830" spans="1:31">
      <c r="A1830" t="s">
        <v>2016</v>
      </c>
      <c r="B1830" s="6">
        <v>45797</v>
      </c>
      <c r="C1830" t="s">
        <v>53</v>
      </c>
      <c r="D1830" t="s">
        <v>54</v>
      </c>
      <c r="E1830" t="s">
        <v>38</v>
      </c>
      <c r="F1830" t="s">
        <v>55</v>
      </c>
      <c r="G1830" t="s">
        <v>56</v>
      </c>
      <c r="H1830" t="s">
        <v>153</v>
      </c>
      <c r="I1830" t="s">
        <v>154</v>
      </c>
      <c r="J1830" t="s">
        <v>155</v>
      </c>
      <c r="K1830" t="s">
        <v>131</v>
      </c>
      <c r="L1830" t="s">
        <v>166</v>
      </c>
      <c r="M1830" t="s">
        <v>171</v>
      </c>
      <c r="N1830">
        <v>2</v>
      </c>
      <c r="O1830" s="4">
        <v>330</v>
      </c>
      <c r="P1830" s="4">
        <v>550</v>
      </c>
      <c r="Q1830" s="7">
        <v>0</v>
      </c>
      <c r="R1830" t="s">
        <v>178</v>
      </c>
      <c r="S1830">
        <v>3</v>
      </c>
      <c r="T1830">
        <v>1100</v>
      </c>
      <c r="U1830">
        <v>0</v>
      </c>
      <c r="V1830">
        <v>1100</v>
      </c>
      <c r="W1830">
        <v>660</v>
      </c>
      <c r="X1830">
        <v>440</v>
      </c>
      <c r="Y1830" s="8">
        <v>0.4</v>
      </c>
      <c r="Z1830" t="s">
        <v>2996</v>
      </c>
      <c r="AA1830" t="str">
        <f>IF(AND(SalesCleanTable[[#This Row],[Discount %]]&gt;0, SalesCleanTable[[#This Row],[Profit]]&lt;0), "Discount loss", "Safe")</f>
        <v>Safe</v>
      </c>
      <c r="AB1830" s="25">
        <f>(SalesCleanTable[[#This Row],[Unit Price]] - SalesCleanTable[[#This Row],[Unit Cost]]) / SalesCleanTable[[#This Row],[Unit Price]]</f>
        <v>0.4</v>
      </c>
      <c r="AC1830" t="str">
        <f>IF(SalesCleanTable[[#This Row],[Discount %]] &gt; SalesCleanTable[[#This Row],[Max Allowed Discount]], "Discount loss", "Safe")</f>
        <v>Safe</v>
      </c>
      <c r="AD1830" s="4">
        <f>SalesCleanTable[[#This Row],[Unit Price]] - SalesCleanTable[[#This Row],[Unit Cost]]</f>
        <v>220</v>
      </c>
      <c r="AE1830" s="41">
        <f>(SalesCleanTable[[#This Row],[Unit Price]] - SalesCleanTable[[#This Row],[Unit Cost]]) / SalesCleanTable[[#This Row],[Unit Price]]</f>
        <v>0.4</v>
      </c>
    </row>
    <row r="1831" spans="1:31">
      <c r="A1831" t="s">
        <v>2017</v>
      </c>
      <c r="B1831" s="6">
        <v>45742</v>
      </c>
      <c r="C1831" t="s">
        <v>24</v>
      </c>
      <c r="D1831" t="s">
        <v>25</v>
      </c>
      <c r="E1831" t="s">
        <v>26</v>
      </c>
      <c r="F1831" t="s">
        <v>27</v>
      </c>
      <c r="G1831" t="s">
        <v>28</v>
      </c>
      <c r="H1831" t="s">
        <v>139</v>
      </c>
      <c r="I1831" t="s">
        <v>140</v>
      </c>
      <c r="J1831" t="s">
        <v>137</v>
      </c>
      <c r="K1831" t="s">
        <v>138</v>
      </c>
      <c r="L1831" t="s">
        <v>166</v>
      </c>
      <c r="M1831" t="s">
        <v>167</v>
      </c>
      <c r="N1831">
        <v>2</v>
      </c>
      <c r="O1831" s="4">
        <v>14500</v>
      </c>
      <c r="P1831" s="4">
        <v>17500</v>
      </c>
      <c r="Q1831" s="7">
        <v>0.1</v>
      </c>
      <c r="R1831" t="s">
        <v>194</v>
      </c>
      <c r="S1831">
        <v>12</v>
      </c>
      <c r="T1831">
        <v>35000</v>
      </c>
      <c r="U1831">
        <v>3500</v>
      </c>
      <c r="V1831">
        <v>31500</v>
      </c>
      <c r="W1831">
        <v>29000</v>
      </c>
      <c r="X1831">
        <v>2500</v>
      </c>
      <c r="Y1831" s="8">
        <v>7.9365079365079361E-2</v>
      </c>
      <c r="Z1831" t="s">
        <v>2995</v>
      </c>
      <c r="AA1831" t="str">
        <f>IF(AND(SalesCleanTable[[#This Row],[Discount %]]&gt;0, SalesCleanTable[[#This Row],[Profit]]&lt;0), "Discount loss", "Safe")</f>
        <v>Safe</v>
      </c>
      <c r="AB1831" s="25">
        <f>(SalesCleanTable[[#This Row],[Unit Price]] - SalesCleanTable[[#This Row],[Unit Cost]]) / SalesCleanTable[[#This Row],[Unit Price]]</f>
        <v>0.17142857142857143</v>
      </c>
      <c r="AC1831" t="str">
        <f>IF(SalesCleanTable[[#This Row],[Discount %]] &gt; SalesCleanTable[[#This Row],[Max Allowed Discount]], "Discount loss", "Safe")</f>
        <v>Safe</v>
      </c>
      <c r="AD1831" s="4">
        <f>SalesCleanTable[[#This Row],[Unit Price]] - SalesCleanTable[[#This Row],[Unit Cost]]</f>
        <v>3000</v>
      </c>
      <c r="AE1831" s="41">
        <f>(SalesCleanTable[[#This Row],[Unit Price]] - SalesCleanTable[[#This Row],[Unit Cost]]) / SalesCleanTable[[#This Row],[Unit Price]]</f>
        <v>0.17142857142857143</v>
      </c>
    </row>
    <row r="1832" spans="1:31">
      <c r="A1832" t="s">
        <v>2018</v>
      </c>
      <c r="B1832" s="6">
        <v>45855</v>
      </c>
      <c r="C1832" t="s">
        <v>103</v>
      </c>
      <c r="D1832" t="s">
        <v>104</v>
      </c>
      <c r="E1832" t="s">
        <v>92</v>
      </c>
      <c r="F1832" t="s">
        <v>105</v>
      </c>
      <c r="G1832" t="s">
        <v>106</v>
      </c>
      <c r="H1832" t="s">
        <v>139</v>
      </c>
      <c r="I1832" t="s">
        <v>140</v>
      </c>
      <c r="J1832" t="s">
        <v>137</v>
      </c>
      <c r="K1832" t="s">
        <v>138</v>
      </c>
      <c r="L1832" t="s">
        <v>183</v>
      </c>
      <c r="M1832" t="s">
        <v>177</v>
      </c>
      <c r="N1832">
        <v>2</v>
      </c>
      <c r="O1832" s="4">
        <v>1500</v>
      </c>
      <c r="P1832" s="4">
        <v>2500</v>
      </c>
      <c r="Q1832" s="7">
        <v>0.05</v>
      </c>
      <c r="R1832" t="s">
        <v>217</v>
      </c>
      <c r="S1832">
        <v>9</v>
      </c>
      <c r="T1832">
        <v>5000</v>
      </c>
      <c r="U1832">
        <v>250</v>
      </c>
      <c r="V1832">
        <v>4750</v>
      </c>
      <c r="W1832">
        <v>3000</v>
      </c>
      <c r="X1832">
        <v>1750</v>
      </c>
      <c r="Y1832" s="8">
        <v>0.36842105263157893</v>
      </c>
      <c r="Z1832" t="s">
        <v>2996</v>
      </c>
      <c r="AA1832" t="str">
        <f>IF(AND(SalesCleanTable[[#This Row],[Discount %]]&gt;0, SalesCleanTable[[#This Row],[Profit]]&lt;0), "Discount loss", "Safe")</f>
        <v>Safe</v>
      </c>
      <c r="AB1832" s="25">
        <f>(SalesCleanTable[[#This Row],[Unit Price]] - SalesCleanTable[[#This Row],[Unit Cost]]) / SalesCleanTable[[#This Row],[Unit Price]]</f>
        <v>0.4</v>
      </c>
      <c r="AC1832" t="str">
        <f>IF(SalesCleanTable[[#This Row],[Discount %]] &gt; SalesCleanTable[[#This Row],[Max Allowed Discount]], "Discount loss", "Safe")</f>
        <v>Safe</v>
      </c>
      <c r="AD1832" s="4">
        <f>SalesCleanTable[[#This Row],[Unit Price]] - SalesCleanTable[[#This Row],[Unit Cost]]</f>
        <v>1000</v>
      </c>
      <c r="AE1832" s="41">
        <f>(SalesCleanTable[[#This Row],[Unit Price]] - SalesCleanTable[[#This Row],[Unit Cost]]) / SalesCleanTable[[#This Row],[Unit Price]]</f>
        <v>0.4</v>
      </c>
    </row>
    <row r="1833" spans="1:31">
      <c r="A1833" t="s">
        <v>2019</v>
      </c>
      <c r="B1833" s="6">
        <v>45723</v>
      </c>
      <c r="C1833" t="s">
        <v>32</v>
      </c>
      <c r="D1833" t="s">
        <v>33</v>
      </c>
      <c r="E1833" t="s">
        <v>26</v>
      </c>
      <c r="F1833" t="s">
        <v>34</v>
      </c>
      <c r="G1833" t="s">
        <v>35</v>
      </c>
      <c r="H1833" t="s">
        <v>139</v>
      </c>
      <c r="I1833" t="s">
        <v>140</v>
      </c>
      <c r="J1833" t="s">
        <v>137</v>
      </c>
      <c r="K1833" t="s">
        <v>138</v>
      </c>
      <c r="L1833" t="s">
        <v>183</v>
      </c>
      <c r="M1833" t="s">
        <v>186</v>
      </c>
      <c r="N1833">
        <v>4</v>
      </c>
      <c r="O1833" s="4">
        <v>7800</v>
      </c>
      <c r="P1833" s="4">
        <v>9800</v>
      </c>
      <c r="Q1833" s="7">
        <v>0.05</v>
      </c>
      <c r="R1833" t="s">
        <v>194</v>
      </c>
      <c r="S1833">
        <v>1</v>
      </c>
      <c r="T1833">
        <v>39200</v>
      </c>
      <c r="U1833">
        <v>1960</v>
      </c>
      <c r="V1833">
        <v>37240</v>
      </c>
      <c r="W1833">
        <v>31200</v>
      </c>
      <c r="X1833">
        <v>6040</v>
      </c>
      <c r="Y1833" s="8">
        <v>0.16219119226638024</v>
      </c>
      <c r="Z1833" t="s">
        <v>2995</v>
      </c>
      <c r="AA1833" t="str">
        <f>IF(AND(SalesCleanTable[[#This Row],[Discount %]]&gt;0, SalesCleanTable[[#This Row],[Profit]]&lt;0), "Discount loss", "Safe")</f>
        <v>Safe</v>
      </c>
      <c r="AB1833" s="25">
        <f>(SalesCleanTable[[#This Row],[Unit Price]] - SalesCleanTable[[#This Row],[Unit Cost]]) / SalesCleanTable[[#This Row],[Unit Price]]</f>
        <v>0.20408163265306123</v>
      </c>
      <c r="AC1833" t="str">
        <f>IF(SalesCleanTable[[#This Row],[Discount %]] &gt; SalesCleanTable[[#This Row],[Max Allowed Discount]], "Discount loss", "Safe")</f>
        <v>Safe</v>
      </c>
      <c r="AD1833" s="4">
        <f>SalesCleanTable[[#This Row],[Unit Price]] - SalesCleanTable[[#This Row],[Unit Cost]]</f>
        <v>2000</v>
      </c>
      <c r="AE1833" s="41">
        <f>(SalesCleanTable[[#This Row],[Unit Price]] - SalesCleanTable[[#This Row],[Unit Cost]]) / SalesCleanTable[[#This Row],[Unit Price]]</f>
        <v>0.20408163265306123</v>
      </c>
    </row>
    <row r="1834" spans="1:31">
      <c r="A1834" t="s">
        <v>2020</v>
      </c>
      <c r="B1834" s="6">
        <v>45877</v>
      </c>
      <c r="C1834" t="s">
        <v>41</v>
      </c>
      <c r="D1834" t="s">
        <v>42</v>
      </c>
      <c r="E1834" t="s">
        <v>26</v>
      </c>
      <c r="F1834" t="s">
        <v>43</v>
      </c>
      <c r="G1834" t="s">
        <v>44</v>
      </c>
      <c r="H1834" t="s">
        <v>141</v>
      </c>
      <c r="I1834" t="s">
        <v>142</v>
      </c>
      <c r="J1834" t="s">
        <v>143</v>
      </c>
      <c r="K1834" t="s">
        <v>144</v>
      </c>
      <c r="L1834" t="s">
        <v>183</v>
      </c>
      <c r="M1834" t="s">
        <v>171</v>
      </c>
      <c r="N1834">
        <v>2</v>
      </c>
      <c r="O1834" s="4">
        <v>850</v>
      </c>
      <c r="P1834" s="4">
        <v>1300</v>
      </c>
      <c r="Q1834" s="7">
        <v>0.05</v>
      </c>
      <c r="R1834" t="s">
        <v>197</v>
      </c>
      <c r="S1834">
        <v>2</v>
      </c>
      <c r="T1834">
        <v>2600</v>
      </c>
      <c r="U1834">
        <v>130</v>
      </c>
      <c r="V1834">
        <v>2470</v>
      </c>
      <c r="W1834">
        <v>1700</v>
      </c>
      <c r="X1834">
        <v>770</v>
      </c>
      <c r="Y1834" s="8">
        <v>0.31174089068825911</v>
      </c>
      <c r="Z1834" t="s">
        <v>2995</v>
      </c>
      <c r="AA1834" t="str">
        <f>IF(AND(SalesCleanTable[[#This Row],[Discount %]]&gt;0, SalesCleanTable[[#This Row],[Profit]]&lt;0), "Discount loss", "Safe")</f>
        <v>Safe</v>
      </c>
      <c r="AB1834" s="25">
        <f>(SalesCleanTable[[#This Row],[Unit Price]] - SalesCleanTable[[#This Row],[Unit Cost]]) / SalesCleanTable[[#This Row],[Unit Price]]</f>
        <v>0.34615384615384615</v>
      </c>
      <c r="AC1834" t="str">
        <f>IF(SalesCleanTable[[#This Row],[Discount %]] &gt; SalesCleanTable[[#This Row],[Max Allowed Discount]], "Discount loss", "Safe")</f>
        <v>Safe</v>
      </c>
      <c r="AD1834" s="4">
        <f>SalesCleanTable[[#This Row],[Unit Price]] - SalesCleanTable[[#This Row],[Unit Cost]]</f>
        <v>450</v>
      </c>
      <c r="AE1834" s="41">
        <f>(SalesCleanTable[[#This Row],[Unit Price]] - SalesCleanTable[[#This Row],[Unit Cost]]) / SalesCleanTable[[#This Row],[Unit Price]]</f>
        <v>0.34615384615384615</v>
      </c>
    </row>
    <row r="1835" spans="1:31">
      <c r="A1835" t="s">
        <v>2021</v>
      </c>
      <c r="B1835" s="6">
        <v>45757</v>
      </c>
      <c r="C1835" t="s">
        <v>36</v>
      </c>
      <c r="D1835" t="s">
        <v>37</v>
      </c>
      <c r="E1835" t="s">
        <v>38</v>
      </c>
      <c r="F1835" t="s">
        <v>39</v>
      </c>
      <c r="G1835" t="s">
        <v>40</v>
      </c>
      <c r="H1835" t="s">
        <v>145</v>
      </c>
      <c r="I1835" t="s">
        <v>146</v>
      </c>
      <c r="J1835" t="s">
        <v>147</v>
      </c>
      <c r="K1835" t="s">
        <v>148</v>
      </c>
      <c r="L1835" t="s">
        <v>183</v>
      </c>
      <c r="M1835" t="s">
        <v>171</v>
      </c>
      <c r="N1835">
        <v>2</v>
      </c>
      <c r="O1835" s="4">
        <v>1650</v>
      </c>
      <c r="P1835" s="4">
        <v>2200</v>
      </c>
      <c r="Q1835" s="7">
        <v>0.1</v>
      </c>
      <c r="R1835" t="s">
        <v>175</v>
      </c>
      <c r="S1835">
        <v>11</v>
      </c>
      <c r="T1835">
        <v>4400</v>
      </c>
      <c r="U1835">
        <v>440</v>
      </c>
      <c r="V1835">
        <v>3960</v>
      </c>
      <c r="W1835">
        <v>3300</v>
      </c>
      <c r="X1835">
        <v>660</v>
      </c>
      <c r="Y1835" s="8">
        <v>0.16666666666666666</v>
      </c>
      <c r="Z1835" t="s">
        <v>2995</v>
      </c>
      <c r="AA1835" t="str">
        <f>IF(AND(SalesCleanTable[[#This Row],[Discount %]]&gt;0, SalesCleanTable[[#This Row],[Profit]]&lt;0), "Discount loss", "Safe")</f>
        <v>Safe</v>
      </c>
      <c r="AB1835" s="25">
        <f>(SalesCleanTable[[#This Row],[Unit Price]] - SalesCleanTable[[#This Row],[Unit Cost]]) / SalesCleanTable[[#This Row],[Unit Price]]</f>
        <v>0.25</v>
      </c>
      <c r="AC1835" t="str">
        <f>IF(SalesCleanTable[[#This Row],[Discount %]] &gt; SalesCleanTable[[#This Row],[Max Allowed Discount]], "Discount loss", "Safe")</f>
        <v>Safe</v>
      </c>
      <c r="AD1835" s="4">
        <f>SalesCleanTable[[#This Row],[Unit Price]] - SalesCleanTable[[#This Row],[Unit Cost]]</f>
        <v>550</v>
      </c>
      <c r="AE1835" s="41">
        <f>(SalesCleanTable[[#This Row],[Unit Price]] - SalesCleanTable[[#This Row],[Unit Cost]]) / SalesCleanTable[[#This Row],[Unit Price]]</f>
        <v>0.25</v>
      </c>
    </row>
    <row r="1836" spans="1:31">
      <c r="A1836" t="s">
        <v>2022</v>
      </c>
      <c r="B1836" s="6">
        <v>45701</v>
      </c>
      <c r="C1836" t="s">
        <v>53</v>
      </c>
      <c r="D1836" t="s">
        <v>54</v>
      </c>
      <c r="E1836" t="s">
        <v>38</v>
      </c>
      <c r="F1836" t="s">
        <v>55</v>
      </c>
      <c r="G1836" t="s">
        <v>56</v>
      </c>
      <c r="H1836" t="s">
        <v>149</v>
      </c>
      <c r="I1836" t="s">
        <v>150</v>
      </c>
      <c r="J1836" t="s">
        <v>151</v>
      </c>
      <c r="K1836" t="s">
        <v>152</v>
      </c>
      <c r="L1836" t="s">
        <v>183</v>
      </c>
      <c r="M1836" t="s">
        <v>171</v>
      </c>
      <c r="N1836">
        <v>2</v>
      </c>
      <c r="O1836" s="4">
        <v>330</v>
      </c>
      <c r="P1836" s="4">
        <v>550</v>
      </c>
      <c r="Q1836" s="7">
        <v>0</v>
      </c>
      <c r="R1836" t="s">
        <v>168</v>
      </c>
      <c r="S1836">
        <v>12</v>
      </c>
      <c r="T1836">
        <v>1100</v>
      </c>
      <c r="U1836">
        <v>0</v>
      </c>
      <c r="V1836">
        <v>1100</v>
      </c>
      <c r="W1836">
        <v>660</v>
      </c>
      <c r="X1836">
        <v>440</v>
      </c>
      <c r="Y1836" s="8">
        <v>0.4</v>
      </c>
      <c r="Z1836" t="s">
        <v>2996</v>
      </c>
      <c r="AA1836" t="str">
        <f>IF(AND(SalesCleanTable[[#This Row],[Discount %]]&gt;0, SalesCleanTable[[#This Row],[Profit]]&lt;0), "Discount loss", "Safe")</f>
        <v>Safe</v>
      </c>
      <c r="AB1836" s="25">
        <f>(SalesCleanTable[[#This Row],[Unit Price]] - SalesCleanTable[[#This Row],[Unit Cost]]) / SalesCleanTable[[#This Row],[Unit Price]]</f>
        <v>0.4</v>
      </c>
      <c r="AC1836" t="str">
        <f>IF(SalesCleanTable[[#This Row],[Discount %]] &gt; SalesCleanTable[[#This Row],[Max Allowed Discount]], "Discount loss", "Safe")</f>
        <v>Safe</v>
      </c>
      <c r="AD1836" s="4">
        <f>SalesCleanTable[[#This Row],[Unit Price]] - SalesCleanTable[[#This Row],[Unit Cost]]</f>
        <v>220</v>
      </c>
      <c r="AE1836" s="41">
        <f>(SalesCleanTable[[#This Row],[Unit Price]] - SalesCleanTable[[#This Row],[Unit Cost]]) / SalesCleanTable[[#This Row],[Unit Price]]</f>
        <v>0.4</v>
      </c>
    </row>
    <row r="1837" spans="1:31">
      <c r="A1837" t="s">
        <v>2023</v>
      </c>
      <c r="B1837" s="6">
        <v>45744</v>
      </c>
      <c r="C1837" t="s">
        <v>24</v>
      </c>
      <c r="D1837" t="s">
        <v>25</v>
      </c>
      <c r="E1837" t="s">
        <v>26</v>
      </c>
      <c r="F1837" t="s">
        <v>27</v>
      </c>
      <c r="G1837" t="s">
        <v>28</v>
      </c>
      <c r="H1837" t="s">
        <v>149</v>
      </c>
      <c r="I1837" t="s">
        <v>150</v>
      </c>
      <c r="J1837" t="s">
        <v>151</v>
      </c>
      <c r="K1837" t="s">
        <v>152</v>
      </c>
      <c r="L1837" t="s">
        <v>166</v>
      </c>
      <c r="M1837" t="s">
        <v>177</v>
      </c>
      <c r="N1837">
        <v>3</v>
      </c>
      <c r="O1837" s="4">
        <v>14500</v>
      </c>
      <c r="P1837" s="4">
        <v>17500</v>
      </c>
      <c r="Q1837" s="7">
        <v>0.05</v>
      </c>
      <c r="R1837" t="s">
        <v>194</v>
      </c>
      <c r="S1837">
        <v>6</v>
      </c>
      <c r="T1837">
        <v>52500</v>
      </c>
      <c r="U1837">
        <v>2625</v>
      </c>
      <c r="V1837">
        <v>49875</v>
      </c>
      <c r="W1837">
        <v>43500</v>
      </c>
      <c r="X1837">
        <v>6375</v>
      </c>
      <c r="Y1837" s="8">
        <v>0.12781954887218044</v>
      </c>
      <c r="Z1837" t="s">
        <v>2995</v>
      </c>
      <c r="AA1837" t="str">
        <f>IF(AND(SalesCleanTable[[#This Row],[Discount %]]&gt;0, SalesCleanTable[[#This Row],[Profit]]&lt;0), "Discount loss", "Safe")</f>
        <v>Safe</v>
      </c>
      <c r="AB1837" s="25">
        <f>(SalesCleanTable[[#This Row],[Unit Price]] - SalesCleanTable[[#This Row],[Unit Cost]]) / SalesCleanTable[[#This Row],[Unit Price]]</f>
        <v>0.17142857142857143</v>
      </c>
      <c r="AC1837" t="str">
        <f>IF(SalesCleanTable[[#This Row],[Discount %]] &gt; SalesCleanTable[[#This Row],[Max Allowed Discount]], "Discount loss", "Safe")</f>
        <v>Safe</v>
      </c>
      <c r="AD1837" s="4">
        <f>SalesCleanTable[[#This Row],[Unit Price]] - SalesCleanTable[[#This Row],[Unit Cost]]</f>
        <v>3000</v>
      </c>
      <c r="AE1837" s="41">
        <f>(SalesCleanTable[[#This Row],[Unit Price]] - SalesCleanTable[[#This Row],[Unit Cost]]) / SalesCleanTable[[#This Row],[Unit Price]]</f>
        <v>0.17142857142857143</v>
      </c>
    </row>
    <row r="1838" spans="1:31">
      <c r="A1838" t="s">
        <v>2024</v>
      </c>
      <c r="B1838" s="6">
        <v>45993</v>
      </c>
      <c r="C1838" t="s">
        <v>62</v>
      </c>
      <c r="D1838" t="s">
        <v>63</v>
      </c>
      <c r="E1838" t="s">
        <v>59</v>
      </c>
      <c r="F1838" t="s">
        <v>64</v>
      </c>
      <c r="G1838" t="s">
        <v>65</v>
      </c>
      <c r="H1838" t="s">
        <v>145</v>
      </c>
      <c r="I1838" t="s">
        <v>146</v>
      </c>
      <c r="J1838" t="s">
        <v>147</v>
      </c>
      <c r="K1838" t="s">
        <v>148</v>
      </c>
      <c r="L1838" t="s">
        <v>170</v>
      </c>
      <c r="M1838" t="s">
        <v>171</v>
      </c>
      <c r="N1838">
        <v>1</v>
      </c>
      <c r="O1838" s="4">
        <v>3200</v>
      </c>
      <c r="P1838" s="4">
        <v>4500</v>
      </c>
      <c r="Q1838" s="7">
        <v>0.15</v>
      </c>
      <c r="R1838" t="s">
        <v>204</v>
      </c>
      <c r="S1838">
        <v>6</v>
      </c>
      <c r="T1838">
        <v>4500</v>
      </c>
      <c r="U1838">
        <v>675</v>
      </c>
      <c r="V1838">
        <v>3825</v>
      </c>
      <c r="W1838">
        <v>3200</v>
      </c>
      <c r="X1838">
        <v>625</v>
      </c>
      <c r="Y1838" s="8">
        <v>0.16339869281045752</v>
      </c>
      <c r="Z1838" t="s">
        <v>2996</v>
      </c>
      <c r="AA1838" t="str">
        <f>IF(AND(SalesCleanTable[[#This Row],[Discount %]]&gt;0, SalesCleanTable[[#This Row],[Profit]]&lt;0), "Discount loss", "Safe")</f>
        <v>Safe</v>
      </c>
      <c r="AB1838" s="25">
        <f>(SalesCleanTable[[#This Row],[Unit Price]] - SalesCleanTable[[#This Row],[Unit Cost]]) / SalesCleanTable[[#This Row],[Unit Price]]</f>
        <v>0.28888888888888886</v>
      </c>
      <c r="AC1838" t="str">
        <f>IF(SalesCleanTable[[#This Row],[Discount %]] &gt; SalesCleanTable[[#This Row],[Max Allowed Discount]], "Discount loss", "Safe")</f>
        <v>Safe</v>
      </c>
      <c r="AD1838" s="4">
        <f>SalesCleanTable[[#This Row],[Unit Price]] - SalesCleanTable[[#This Row],[Unit Cost]]</f>
        <v>1300</v>
      </c>
      <c r="AE1838" s="41">
        <f>(SalesCleanTable[[#This Row],[Unit Price]] - SalesCleanTable[[#This Row],[Unit Cost]]) / SalesCleanTable[[#This Row],[Unit Price]]</f>
        <v>0.28888888888888886</v>
      </c>
    </row>
    <row r="1839" spans="1:31">
      <c r="A1839" t="s">
        <v>2025</v>
      </c>
      <c r="B1839" s="6">
        <v>45757</v>
      </c>
      <c r="C1839" t="s">
        <v>24</v>
      </c>
      <c r="D1839" t="s">
        <v>25</v>
      </c>
      <c r="E1839" t="s">
        <v>26</v>
      </c>
      <c r="F1839" t="s">
        <v>27</v>
      </c>
      <c r="G1839" t="s">
        <v>28</v>
      </c>
      <c r="H1839" t="s">
        <v>141</v>
      </c>
      <c r="I1839" t="s">
        <v>142</v>
      </c>
      <c r="J1839" t="s">
        <v>143</v>
      </c>
      <c r="K1839" t="s">
        <v>144</v>
      </c>
      <c r="L1839" t="s">
        <v>183</v>
      </c>
      <c r="M1839" t="s">
        <v>186</v>
      </c>
      <c r="N1839">
        <v>5</v>
      </c>
      <c r="O1839" s="4">
        <v>14500</v>
      </c>
      <c r="P1839" s="4">
        <v>17500</v>
      </c>
      <c r="Q1839" s="7">
        <v>0</v>
      </c>
      <c r="R1839" t="s">
        <v>197</v>
      </c>
      <c r="S1839">
        <v>5</v>
      </c>
      <c r="T1839">
        <v>87500</v>
      </c>
      <c r="U1839">
        <v>0</v>
      </c>
      <c r="V1839">
        <v>87500</v>
      </c>
      <c r="W1839">
        <v>72500</v>
      </c>
      <c r="X1839">
        <v>15000</v>
      </c>
      <c r="Y1839" s="8">
        <v>0.17142857142857143</v>
      </c>
      <c r="Z1839" t="s">
        <v>2995</v>
      </c>
      <c r="AA1839" t="str">
        <f>IF(AND(SalesCleanTable[[#This Row],[Discount %]]&gt;0, SalesCleanTable[[#This Row],[Profit]]&lt;0), "Discount loss", "Safe")</f>
        <v>Safe</v>
      </c>
      <c r="AB1839" s="25">
        <f>(SalesCleanTable[[#This Row],[Unit Price]] - SalesCleanTable[[#This Row],[Unit Cost]]) / SalesCleanTable[[#This Row],[Unit Price]]</f>
        <v>0.17142857142857143</v>
      </c>
      <c r="AC1839" t="str">
        <f>IF(SalesCleanTable[[#This Row],[Discount %]] &gt; SalesCleanTable[[#This Row],[Max Allowed Discount]], "Discount loss", "Safe")</f>
        <v>Safe</v>
      </c>
      <c r="AD1839" s="4">
        <f>SalesCleanTable[[#This Row],[Unit Price]] - SalesCleanTable[[#This Row],[Unit Cost]]</f>
        <v>3000</v>
      </c>
      <c r="AE1839" s="41">
        <f>(SalesCleanTable[[#This Row],[Unit Price]] - SalesCleanTable[[#This Row],[Unit Cost]]) / SalesCleanTable[[#This Row],[Unit Price]]</f>
        <v>0.17142857142857143</v>
      </c>
    </row>
    <row r="1840" spans="1:31">
      <c r="A1840" t="s">
        <v>2026</v>
      </c>
      <c r="B1840" s="6">
        <v>45775</v>
      </c>
      <c r="C1840" t="s">
        <v>45</v>
      </c>
      <c r="D1840" t="s">
        <v>46</v>
      </c>
      <c r="E1840" t="s">
        <v>38</v>
      </c>
      <c r="F1840" t="s">
        <v>47</v>
      </c>
      <c r="G1840" t="s">
        <v>48</v>
      </c>
      <c r="H1840" t="s">
        <v>133</v>
      </c>
      <c r="I1840" t="s">
        <v>134</v>
      </c>
      <c r="J1840" t="s">
        <v>130</v>
      </c>
      <c r="K1840" t="s">
        <v>131</v>
      </c>
      <c r="L1840" t="s">
        <v>170</v>
      </c>
      <c r="M1840" t="s">
        <v>171</v>
      </c>
      <c r="N1840">
        <v>2</v>
      </c>
      <c r="O1840" s="4">
        <v>230</v>
      </c>
      <c r="P1840" s="4">
        <v>400</v>
      </c>
      <c r="Q1840" s="7">
        <v>0</v>
      </c>
      <c r="R1840" t="s">
        <v>168</v>
      </c>
      <c r="S1840">
        <v>12</v>
      </c>
      <c r="T1840">
        <v>800</v>
      </c>
      <c r="U1840">
        <v>0</v>
      </c>
      <c r="V1840">
        <v>800</v>
      </c>
      <c r="W1840">
        <v>460</v>
      </c>
      <c r="X1840">
        <v>340</v>
      </c>
      <c r="Y1840" s="8">
        <v>0.42499999999999999</v>
      </c>
      <c r="Z1840" t="s">
        <v>2995</v>
      </c>
      <c r="AA1840" t="str">
        <f>IF(AND(SalesCleanTable[[#This Row],[Discount %]]&gt;0, SalesCleanTable[[#This Row],[Profit]]&lt;0), "Discount loss", "Safe")</f>
        <v>Safe</v>
      </c>
      <c r="AB1840" s="25">
        <f>(SalesCleanTable[[#This Row],[Unit Price]] - SalesCleanTable[[#This Row],[Unit Cost]]) / SalesCleanTable[[#This Row],[Unit Price]]</f>
        <v>0.42499999999999999</v>
      </c>
      <c r="AC1840" t="str">
        <f>IF(SalesCleanTable[[#This Row],[Discount %]] &gt; SalesCleanTable[[#This Row],[Max Allowed Discount]], "Discount loss", "Safe")</f>
        <v>Safe</v>
      </c>
      <c r="AD1840" s="4">
        <f>SalesCleanTable[[#This Row],[Unit Price]] - SalesCleanTable[[#This Row],[Unit Cost]]</f>
        <v>170</v>
      </c>
      <c r="AE1840" s="41">
        <f>(SalesCleanTable[[#This Row],[Unit Price]] - SalesCleanTable[[#This Row],[Unit Cost]]) / SalesCleanTable[[#This Row],[Unit Price]]</f>
        <v>0.42499999999999999</v>
      </c>
    </row>
    <row r="1841" spans="1:31">
      <c r="A1841" t="s">
        <v>2027</v>
      </c>
      <c r="B1841" s="6">
        <v>45693</v>
      </c>
      <c r="C1841" t="s">
        <v>82</v>
      </c>
      <c r="D1841" t="s">
        <v>83</v>
      </c>
      <c r="E1841" t="s">
        <v>75</v>
      </c>
      <c r="F1841" t="s">
        <v>84</v>
      </c>
      <c r="G1841" t="s">
        <v>85</v>
      </c>
      <c r="H1841" t="s">
        <v>135</v>
      </c>
      <c r="I1841" t="s">
        <v>136</v>
      </c>
      <c r="J1841" t="s">
        <v>137</v>
      </c>
      <c r="K1841" t="s">
        <v>138</v>
      </c>
      <c r="L1841" t="s">
        <v>183</v>
      </c>
      <c r="M1841" t="s">
        <v>171</v>
      </c>
      <c r="N1841">
        <v>3</v>
      </c>
      <c r="O1841" s="4">
        <v>600</v>
      </c>
      <c r="P1841" s="4">
        <v>950</v>
      </c>
      <c r="Q1841" s="7">
        <v>0</v>
      </c>
      <c r="R1841" t="s">
        <v>208</v>
      </c>
      <c r="S1841">
        <v>3</v>
      </c>
      <c r="T1841">
        <v>2850</v>
      </c>
      <c r="U1841">
        <v>0</v>
      </c>
      <c r="V1841">
        <v>2850</v>
      </c>
      <c r="W1841">
        <v>1800</v>
      </c>
      <c r="X1841">
        <v>1050</v>
      </c>
      <c r="Y1841" s="8">
        <v>0.36842105263157893</v>
      </c>
      <c r="Z1841" t="s">
        <v>2996</v>
      </c>
      <c r="AA1841" t="str">
        <f>IF(AND(SalesCleanTable[[#This Row],[Discount %]]&gt;0, SalesCleanTable[[#This Row],[Profit]]&lt;0), "Discount loss", "Safe")</f>
        <v>Safe</v>
      </c>
      <c r="AB1841" s="25">
        <f>(SalesCleanTable[[#This Row],[Unit Price]] - SalesCleanTable[[#This Row],[Unit Cost]]) / SalesCleanTable[[#This Row],[Unit Price]]</f>
        <v>0.36842105263157893</v>
      </c>
      <c r="AC1841" t="str">
        <f>IF(SalesCleanTable[[#This Row],[Discount %]] &gt; SalesCleanTable[[#This Row],[Max Allowed Discount]], "Discount loss", "Safe")</f>
        <v>Safe</v>
      </c>
      <c r="AD1841" s="4">
        <f>SalesCleanTable[[#This Row],[Unit Price]] - SalesCleanTable[[#This Row],[Unit Cost]]</f>
        <v>350</v>
      </c>
      <c r="AE1841" s="41">
        <f>(SalesCleanTable[[#This Row],[Unit Price]] - SalesCleanTable[[#This Row],[Unit Cost]]) / SalesCleanTable[[#This Row],[Unit Price]]</f>
        <v>0.36842105263157893</v>
      </c>
    </row>
    <row r="1842" spans="1:31">
      <c r="A1842" t="s">
        <v>2028</v>
      </c>
      <c r="B1842" s="6">
        <v>45788</v>
      </c>
      <c r="C1842" t="s">
        <v>112</v>
      </c>
      <c r="D1842" t="s">
        <v>113</v>
      </c>
      <c r="E1842" t="s">
        <v>109</v>
      </c>
      <c r="F1842" t="s">
        <v>114</v>
      </c>
      <c r="G1842" t="s">
        <v>115</v>
      </c>
      <c r="H1842" t="s">
        <v>153</v>
      </c>
      <c r="I1842" t="s">
        <v>154</v>
      </c>
      <c r="J1842" t="s">
        <v>155</v>
      </c>
      <c r="K1842" t="s">
        <v>131</v>
      </c>
      <c r="L1842" t="s">
        <v>183</v>
      </c>
      <c r="M1842" t="s">
        <v>167</v>
      </c>
      <c r="N1842">
        <v>2</v>
      </c>
      <c r="O1842" s="4">
        <v>1300</v>
      </c>
      <c r="P1842" s="4">
        <v>2100</v>
      </c>
      <c r="Q1842" s="7">
        <v>0.05</v>
      </c>
      <c r="R1842" t="s">
        <v>184</v>
      </c>
      <c r="S1842">
        <v>6</v>
      </c>
      <c r="T1842">
        <v>4200</v>
      </c>
      <c r="U1842">
        <v>210</v>
      </c>
      <c r="V1842">
        <v>3990</v>
      </c>
      <c r="W1842">
        <v>2600</v>
      </c>
      <c r="X1842">
        <v>1390</v>
      </c>
      <c r="Y1842" s="8">
        <v>0.34837092731829572</v>
      </c>
      <c r="Z1842" t="s">
        <v>2995</v>
      </c>
      <c r="AA1842" t="str">
        <f>IF(AND(SalesCleanTable[[#This Row],[Discount %]]&gt;0, SalesCleanTable[[#This Row],[Profit]]&lt;0), "Discount loss", "Safe")</f>
        <v>Safe</v>
      </c>
      <c r="AB1842" s="25">
        <f>(SalesCleanTable[[#This Row],[Unit Price]] - SalesCleanTable[[#This Row],[Unit Cost]]) / SalesCleanTable[[#This Row],[Unit Price]]</f>
        <v>0.38095238095238093</v>
      </c>
      <c r="AC1842" t="str">
        <f>IF(SalesCleanTable[[#This Row],[Discount %]] &gt; SalesCleanTable[[#This Row],[Max Allowed Discount]], "Discount loss", "Safe")</f>
        <v>Safe</v>
      </c>
      <c r="AD1842" s="4">
        <f>SalesCleanTable[[#This Row],[Unit Price]] - SalesCleanTable[[#This Row],[Unit Cost]]</f>
        <v>800</v>
      </c>
      <c r="AE1842" s="41">
        <f>(SalesCleanTable[[#This Row],[Unit Price]] - SalesCleanTable[[#This Row],[Unit Cost]]) / SalesCleanTable[[#This Row],[Unit Price]]</f>
        <v>0.38095238095238093</v>
      </c>
    </row>
    <row r="1843" spans="1:31">
      <c r="A1843" t="s">
        <v>2029</v>
      </c>
      <c r="B1843" s="6">
        <v>45901</v>
      </c>
      <c r="C1843" t="s">
        <v>69</v>
      </c>
      <c r="D1843" t="s">
        <v>70</v>
      </c>
      <c r="E1843" t="s">
        <v>59</v>
      </c>
      <c r="F1843" t="s">
        <v>71</v>
      </c>
      <c r="G1843" t="s">
        <v>72</v>
      </c>
      <c r="H1843" t="s">
        <v>133</v>
      </c>
      <c r="I1843" t="s">
        <v>134</v>
      </c>
      <c r="J1843" t="s">
        <v>130</v>
      </c>
      <c r="K1843" t="s">
        <v>131</v>
      </c>
      <c r="L1843" t="s">
        <v>166</v>
      </c>
      <c r="M1843" t="s">
        <v>171</v>
      </c>
      <c r="N1843">
        <v>4</v>
      </c>
      <c r="O1843" s="4">
        <v>1700</v>
      </c>
      <c r="P1843" s="4">
        <v>2600</v>
      </c>
      <c r="Q1843" s="7">
        <v>0.1</v>
      </c>
      <c r="R1843" t="s">
        <v>173</v>
      </c>
      <c r="S1843">
        <v>11</v>
      </c>
      <c r="T1843">
        <v>10400</v>
      </c>
      <c r="U1843">
        <v>1040</v>
      </c>
      <c r="V1843">
        <v>9360</v>
      </c>
      <c r="W1843">
        <v>6800</v>
      </c>
      <c r="X1843">
        <v>2560</v>
      </c>
      <c r="Y1843" s="8">
        <v>0.27350427350427353</v>
      </c>
      <c r="Z1843" t="s">
        <v>2997</v>
      </c>
      <c r="AA1843" t="str">
        <f>IF(AND(SalesCleanTable[[#This Row],[Discount %]]&gt;0, SalesCleanTable[[#This Row],[Profit]]&lt;0), "Discount loss", "Safe")</f>
        <v>Safe</v>
      </c>
      <c r="AB1843" s="25">
        <f>(SalesCleanTable[[#This Row],[Unit Price]] - SalesCleanTable[[#This Row],[Unit Cost]]) / SalesCleanTable[[#This Row],[Unit Price]]</f>
        <v>0.34615384615384615</v>
      </c>
      <c r="AC1843" t="str">
        <f>IF(SalesCleanTable[[#This Row],[Discount %]] &gt; SalesCleanTable[[#This Row],[Max Allowed Discount]], "Discount loss", "Safe")</f>
        <v>Safe</v>
      </c>
      <c r="AD1843" s="4">
        <f>SalesCleanTable[[#This Row],[Unit Price]] - SalesCleanTable[[#This Row],[Unit Cost]]</f>
        <v>900</v>
      </c>
      <c r="AE1843" s="41">
        <f>(SalesCleanTable[[#This Row],[Unit Price]] - SalesCleanTable[[#This Row],[Unit Cost]]) / SalesCleanTable[[#This Row],[Unit Price]]</f>
        <v>0.34615384615384615</v>
      </c>
    </row>
    <row r="1844" spans="1:31">
      <c r="A1844" t="s">
        <v>2030</v>
      </c>
      <c r="B1844" s="6">
        <v>45987</v>
      </c>
      <c r="C1844" t="s">
        <v>66</v>
      </c>
      <c r="D1844" t="s">
        <v>67</v>
      </c>
      <c r="E1844" t="s">
        <v>59</v>
      </c>
      <c r="F1844" t="s">
        <v>60</v>
      </c>
      <c r="G1844" t="s">
        <v>68</v>
      </c>
      <c r="H1844" t="s">
        <v>133</v>
      </c>
      <c r="I1844" t="s">
        <v>134</v>
      </c>
      <c r="J1844" t="s">
        <v>130</v>
      </c>
      <c r="K1844" t="s">
        <v>131</v>
      </c>
      <c r="L1844" t="s">
        <v>183</v>
      </c>
      <c r="M1844" t="s">
        <v>171</v>
      </c>
      <c r="N1844">
        <v>2</v>
      </c>
      <c r="O1844" s="4">
        <v>2800</v>
      </c>
      <c r="P1844" s="4">
        <v>3900</v>
      </c>
      <c r="Q1844" s="7">
        <v>0.05</v>
      </c>
      <c r="R1844" t="s">
        <v>173</v>
      </c>
      <c r="S1844">
        <v>7</v>
      </c>
      <c r="T1844">
        <v>7800</v>
      </c>
      <c r="U1844">
        <v>390</v>
      </c>
      <c r="V1844">
        <v>7410</v>
      </c>
      <c r="W1844">
        <v>5600</v>
      </c>
      <c r="X1844">
        <v>1810</v>
      </c>
      <c r="Y1844" s="8">
        <v>0.24426450742240216</v>
      </c>
      <c r="Z1844" t="s">
        <v>2996</v>
      </c>
      <c r="AA1844" t="str">
        <f>IF(AND(SalesCleanTable[[#This Row],[Discount %]]&gt;0, SalesCleanTable[[#This Row],[Profit]]&lt;0), "Discount loss", "Safe")</f>
        <v>Safe</v>
      </c>
      <c r="AB1844" s="25">
        <f>(SalesCleanTable[[#This Row],[Unit Price]] - SalesCleanTable[[#This Row],[Unit Cost]]) / SalesCleanTable[[#This Row],[Unit Price]]</f>
        <v>0.28205128205128205</v>
      </c>
      <c r="AC1844" t="str">
        <f>IF(SalesCleanTable[[#This Row],[Discount %]] &gt; SalesCleanTable[[#This Row],[Max Allowed Discount]], "Discount loss", "Safe")</f>
        <v>Safe</v>
      </c>
      <c r="AD1844" s="4">
        <f>SalesCleanTable[[#This Row],[Unit Price]] - SalesCleanTable[[#This Row],[Unit Cost]]</f>
        <v>1100</v>
      </c>
      <c r="AE1844" s="41">
        <f>(SalesCleanTable[[#This Row],[Unit Price]] - SalesCleanTable[[#This Row],[Unit Cost]]) / SalesCleanTable[[#This Row],[Unit Price]]</f>
        <v>0.28205128205128205</v>
      </c>
    </row>
    <row r="1845" spans="1:31">
      <c r="A1845" t="s">
        <v>2031</v>
      </c>
      <c r="B1845" s="6">
        <v>45948</v>
      </c>
      <c r="C1845" t="s">
        <v>66</v>
      </c>
      <c r="D1845" t="s">
        <v>67</v>
      </c>
      <c r="E1845" t="s">
        <v>59</v>
      </c>
      <c r="F1845" t="s">
        <v>60</v>
      </c>
      <c r="G1845" t="s">
        <v>68</v>
      </c>
      <c r="H1845" t="s">
        <v>153</v>
      </c>
      <c r="I1845" t="s">
        <v>154</v>
      </c>
      <c r="J1845" t="s">
        <v>155</v>
      </c>
      <c r="K1845" t="s">
        <v>131</v>
      </c>
      <c r="L1845" t="s">
        <v>183</v>
      </c>
      <c r="M1845" t="s">
        <v>171</v>
      </c>
      <c r="N1845">
        <v>3</v>
      </c>
      <c r="O1845" s="4">
        <v>2800</v>
      </c>
      <c r="P1845" s="4">
        <v>3900</v>
      </c>
      <c r="Q1845" s="7">
        <v>0.15</v>
      </c>
      <c r="R1845" t="s">
        <v>173</v>
      </c>
      <c r="S1845">
        <v>1</v>
      </c>
      <c r="T1845">
        <v>11700</v>
      </c>
      <c r="U1845">
        <v>1755</v>
      </c>
      <c r="V1845">
        <v>9945</v>
      </c>
      <c r="W1845">
        <v>8400</v>
      </c>
      <c r="X1845">
        <v>1545</v>
      </c>
      <c r="Y1845" s="8">
        <v>0.15535444947209653</v>
      </c>
      <c r="Z1845" t="s">
        <v>2996</v>
      </c>
      <c r="AA1845" t="str">
        <f>IF(AND(SalesCleanTable[[#This Row],[Discount %]]&gt;0, SalesCleanTable[[#This Row],[Profit]]&lt;0), "Discount loss", "Safe")</f>
        <v>Safe</v>
      </c>
      <c r="AB1845" s="25">
        <f>(SalesCleanTable[[#This Row],[Unit Price]] - SalesCleanTable[[#This Row],[Unit Cost]]) / SalesCleanTable[[#This Row],[Unit Price]]</f>
        <v>0.28205128205128205</v>
      </c>
      <c r="AC1845" t="str">
        <f>IF(SalesCleanTable[[#This Row],[Discount %]] &gt; SalesCleanTable[[#This Row],[Max Allowed Discount]], "Discount loss", "Safe")</f>
        <v>Safe</v>
      </c>
      <c r="AD1845" s="4">
        <f>SalesCleanTable[[#This Row],[Unit Price]] - SalesCleanTable[[#This Row],[Unit Cost]]</f>
        <v>1100</v>
      </c>
      <c r="AE1845" s="41">
        <f>(SalesCleanTable[[#This Row],[Unit Price]] - SalesCleanTable[[#This Row],[Unit Cost]]) / SalesCleanTable[[#This Row],[Unit Price]]</f>
        <v>0.28205128205128205</v>
      </c>
    </row>
    <row r="1846" spans="1:31">
      <c r="A1846" t="s">
        <v>2032</v>
      </c>
      <c r="B1846" s="6">
        <v>45819</v>
      </c>
      <c r="C1846" t="s">
        <v>53</v>
      </c>
      <c r="D1846" t="s">
        <v>54</v>
      </c>
      <c r="E1846" t="s">
        <v>38</v>
      </c>
      <c r="F1846" t="s">
        <v>55</v>
      </c>
      <c r="G1846" t="s">
        <v>56</v>
      </c>
      <c r="H1846" t="s">
        <v>145</v>
      </c>
      <c r="I1846" t="s">
        <v>146</v>
      </c>
      <c r="J1846" t="s">
        <v>147</v>
      </c>
      <c r="K1846" t="s">
        <v>148</v>
      </c>
      <c r="L1846" t="s">
        <v>183</v>
      </c>
      <c r="M1846" t="s">
        <v>171</v>
      </c>
      <c r="N1846">
        <v>5</v>
      </c>
      <c r="O1846" s="4">
        <v>330</v>
      </c>
      <c r="P1846" s="4">
        <v>550</v>
      </c>
      <c r="Q1846" s="7">
        <v>0</v>
      </c>
      <c r="R1846" t="s">
        <v>175</v>
      </c>
      <c r="S1846">
        <v>7</v>
      </c>
      <c r="T1846">
        <v>2750</v>
      </c>
      <c r="U1846">
        <v>0</v>
      </c>
      <c r="V1846">
        <v>2750</v>
      </c>
      <c r="W1846">
        <v>1650</v>
      </c>
      <c r="X1846">
        <v>1100</v>
      </c>
      <c r="Y1846" s="8">
        <v>0.4</v>
      </c>
      <c r="Z1846" t="s">
        <v>2996</v>
      </c>
      <c r="AA1846" t="str">
        <f>IF(AND(SalesCleanTable[[#This Row],[Discount %]]&gt;0, SalesCleanTable[[#This Row],[Profit]]&lt;0), "Discount loss", "Safe")</f>
        <v>Safe</v>
      </c>
      <c r="AB1846" s="25">
        <f>(SalesCleanTable[[#This Row],[Unit Price]] - SalesCleanTable[[#This Row],[Unit Cost]]) / SalesCleanTable[[#This Row],[Unit Price]]</f>
        <v>0.4</v>
      </c>
      <c r="AC1846" t="str">
        <f>IF(SalesCleanTable[[#This Row],[Discount %]] &gt; SalesCleanTable[[#This Row],[Max Allowed Discount]], "Discount loss", "Safe")</f>
        <v>Safe</v>
      </c>
      <c r="AD1846" s="4">
        <f>SalesCleanTable[[#This Row],[Unit Price]] - SalesCleanTable[[#This Row],[Unit Cost]]</f>
        <v>220</v>
      </c>
      <c r="AE1846" s="41">
        <f>(SalesCleanTable[[#This Row],[Unit Price]] - SalesCleanTable[[#This Row],[Unit Cost]]) / SalesCleanTable[[#This Row],[Unit Price]]</f>
        <v>0.4</v>
      </c>
    </row>
    <row r="1847" spans="1:31">
      <c r="A1847" t="s">
        <v>2033</v>
      </c>
      <c r="B1847" s="6">
        <v>45703</v>
      </c>
      <c r="C1847" t="s">
        <v>103</v>
      </c>
      <c r="D1847" t="s">
        <v>104</v>
      </c>
      <c r="E1847" t="s">
        <v>92</v>
      </c>
      <c r="F1847" t="s">
        <v>105</v>
      </c>
      <c r="G1847" t="s">
        <v>106</v>
      </c>
      <c r="H1847" t="s">
        <v>153</v>
      </c>
      <c r="I1847" t="s">
        <v>154</v>
      </c>
      <c r="J1847" t="s">
        <v>155</v>
      </c>
      <c r="K1847" t="s">
        <v>131</v>
      </c>
      <c r="L1847" t="s">
        <v>183</v>
      </c>
      <c r="M1847" t="s">
        <v>177</v>
      </c>
      <c r="N1847">
        <v>3</v>
      </c>
      <c r="O1847" s="4">
        <v>1500</v>
      </c>
      <c r="P1847" s="4">
        <v>2500</v>
      </c>
      <c r="Q1847" s="7">
        <v>0.2</v>
      </c>
      <c r="R1847" t="s">
        <v>181</v>
      </c>
      <c r="S1847">
        <v>4</v>
      </c>
      <c r="T1847">
        <v>7500</v>
      </c>
      <c r="U1847">
        <v>1500</v>
      </c>
      <c r="V1847">
        <v>6000</v>
      </c>
      <c r="W1847">
        <v>4500</v>
      </c>
      <c r="X1847">
        <v>1500</v>
      </c>
      <c r="Y1847" s="8">
        <v>0.25</v>
      </c>
      <c r="Z1847" t="s">
        <v>2996</v>
      </c>
      <c r="AA1847" t="str">
        <f>IF(AND(SalesCleanTable[[#This Row],[Discount %]]&gt;0, SalesCleanTable[[#This Row],[Profit]]&lt;0), "Discount loss", "Safe")</f>
        <v>Safe</v>
      </c>
      <c r="AB1847" s="25">
        <f>(SalesCleanTable[[#This Row],[Unit Price]] - SalesCleanTable[[#This Row],[Unit Cost]]) / SalesCleanTable[[#This Row],[Unit Price]]</f>
        <v>0.4</v>
      </c>
      <c r="AC1847" t="str">
        <f>IF(SalesCleanTable[[#This Row],[Discount %]] &gt; SalesCleanTable[[#This Row],[Max Allowed Discount]], "Discount loss", "Safe")</f>
        <v>Safe</v>
      </c>
      <c r="AD1847" s="4">
        <f>SalesCleanTable[[#This Row],[Unit Price]] - SalesCleanTable[[#This Row],[Unit Cost]]</f>
        <v>1000</v>
      </c>
      <c r="AE1847" s="41">
        <f>(SalesCleanTable[[#This Row],[Unit Price]] - SalesCleanTable[[#This Row],[Unit Cost]]) / SalesCleanTable[[#This Row],[Unit Price]]</f>
        <v>0.4</v>
      </c>
    </row>
    <row r="1848" spans="1:31">
      <c r="A1848" t="s">
        <v>2034</v>
      </c>
      <c r="B1848" s="6">
        <v>45990</v>
      </c>
      <c r="C1848" t="s">
        <v>41</v>
      </c>
      <c r="D1848" t="s">
        <v>42</v>
      </c>
      <c r="E1848" t="s">
        <v>26</v>
      </c>
      <c r="F1848" t="s">
        <v>43</v>
      </c>
      <c r="G1848" t="s">
        <v>44</v>
      </c>
      <c r="H1848" t="s">
        <v>139</v>
      </c>
      <c r="I1848" t="s">
        <v>140</v>
      </c>
      <c r="J1848" t="s">
        <v>137</v>
      </c>
      <c r="K1848" t="s">
        <v>138</v>
      </c>
      <c r="L1848" t="s">
        <v>183</v>
      </c>
      <c r="M1848" t="s">
        <v>177</v>
      </c>
      <c r="N1848">
        <v>3</v>
      </c>
      <c r="O1848" s="4">
        <v>850</v>
      </c>
      <c r="P1848" s="4">
        <v>1300</v>
      </c>
      <c r="Q1848" s="7">
        <v>0</v>
      </c>
      <c r="R1848" t="s">
        <v>197</v>
      </c>
      <c r="S1848">
        <v>11</v>
      </c>
      <c r="T1848">
        <v>3900</v>
      </c>
      <c r="U1848">
        <v>0</v>
      </c>
      <c r="V1848">
        <v>3900</v>
      </c>
      <c r="W1848">
        <v>2550</v>
      </c>
      <c r="X1848">
        <v>1350</v>
      </c>
      <c r="Y1848" s="8">
        <v>0.34615384615384615</v>
      </c>
      <c r="Z1848" t="s">
        <v>2995</v>
      </c>
      <c r="AA1848" t="str">
        <f>IF(AND(SalesCleanTable[[#This Row],[Discount %]]&gt;0, SalesCleanTable[[#This Row],[Profit]]&lt;0), "Discount loss", "Safe")</f>
        <v>Safe</v>
      </c>
      <c r="AB1848" s="25">
        <f>(SalesCleanTable[[#This Row],[Unit Price]] - SalesCleanTable[[#This Row],[Unit Cost]]) / SalesCleanTable[[#This Row],[Unit Price]]</f>
        <v>0.34615384615384615</v>
      </c>
      <c r="AC1848" t="str">
        <f>IF(SalesCleanTable[[#This Row],[Discount %]] &gt; SalesCleanTable[[#This Row],[Max Allowed Discount]], "Discount loss", "Safe")</f>
        <v>Safe</v>
      </c>
      <c r="AD1848" s="4">
        <f>SalesCleanTable[[#This Row],[Unit Price]] - SalesCleanTable[[#This Row],[Unit Cost]]</f>
        <v>450</v>
      </c>
      <c r="AE1848" s="41">
        <f>(SalesCleanTable[[#This Row],[Unit Price]] - SalesCleanTable[[#This Row],[Unit Cost]]) / SalesCleanTable[[#This Row],[Unit Price]]</f>
        <v>0.34615384615384615</v>
      </c>
    </row>
    <row r="1849" spans="1:31">
      <c r="A1849" t="s">
        <v>2035</v>
      </c>
      <c r="B1849" s="6">
        <v>45913</v>
      </c>
      <c r="C1849" t="s">
        <v>24</v>
      </c>
      <c r="D1849" t="s">
        <v>25</v>
      </c>
      <c r="E1849" t="s">
        <v>26</v>
      </c>
      <c r="F1849" t="s">
        <v>27</v>
      </c>
      <c r="G1849" t="s">
        <v>28</v>
      </c>
      <c r="H1849" t="s">
        <v>149</v>
      </c>
      <c r="I1849" t="s">
        <v>150</v>
      </c>
      <c r="J1849" t="s">
        <v>151</v>
      </c>
      <c r="K1849" t="s">
        <v>152</v>
      </c>
      <c r="L1849" t="s">
        <v>166</v>
      </c>
      <c r="M1849" t="s">
        <v>177</v>
      </c>
      <c r="N1849">
        <v>1</v>
      </c>
      <c r="O1849" s="4">
        <v>14500</v>
      </c>
      <c r="P1849" s="4">
        <v>17500</v>
      </c>
      <c r="Q1849" s="7">
        <v>0.15</v>
      </c>
      <c r="R1849" t="s">
        <v>173</v>
      </c>
      <c r="S1849">
        <v>1</v>
      </c>
      <c r="T1849">
        <v>17500</v>
      </c>
      <c r="U1849">
        <v>2625</v>
      </c>
      <c r="V1849">
        <v>14875</v>
      </c>
      <c r="W1849">
        <v>14500</v>
      </c>
      <c r="X1849">
        <v>375</v>
      </c>
      <c r="Y1849" s="8">
        <v>2.5210084033613446E-2</v>
      </c>
      <c r="Z1849" t="s">
        <v>2995</v>
      </c>
      <c r="AA1849" t="str">
        <f>IF(AND(SalesCleanTable[[#This Row],[Discount %]]&gt;0, SalesCleanTable[[#This Row],[Profit]]&lt;0), "Discount loss", "Safe")</f>
        <v>Safe</v>
      </c>
      <c r="AB1849" s="25">
        <f>(SalesCleanTable[[#This Row],[Unit Price]] - SalesCleanTable[[#This Row],[Unit Cost]]) / SalesCleanTable[[#This Row],[Unit Price]]</f>
        <v>0.17142857142857143</v>
      </c>
      <c r="AC1849" t="str">
        <f>IF(SalesCleanTable[[#This Row],[Discount %]] &gt; SalesCleanTable[[#This Row],[Max Allowed Discount]], "Discount loss", "Safe")</f>
        <v>Safe</v>
      </c>
      <c r="AD1849" s="4">
        <f>SalesCleanTable[[#This Row],[Unit Price]] - SalesCleanTable[[#This Row],[Unit Cost]]</f>
        <v>3000</v>
      </c>
      <c r="AE1849" s="41">
        <f>(SalesCleanTable[[#This Row],[Unit Price]] - SalesCleanTable[[#This Row],[Unit Cost]]) / SalesCleanTable[[#This Row],[Unit Price]]</f>
        <v>0.17142857142857143</v>
      </c>
    </row>
    <row r="1850" spans="1:31">
      <c r="A1850" t="s">
        <v>2036</v>
      </c>
      <c r="B1850" s="6">
        <v>45943</v>
      </c>
      <c r="C1850" t="s">
        <v>112</v>
      </c>
      <c r="D1850" t="s">
        <v>113</v>
      </c>
      <c r="E1850" t="s">
        <v>109</v>
      </c>
      <c r="F1850" t="s">
        <v>114</v>
      </c>
      <c r="G1850" t="s">
        <v>115</v>
      </c>
      <c r="H1850" t="s">
        <v>133</v>
      </c>
      <c r="I1850" t="s">
        <v>134</v>
      </c>
      <c r="J1850" t="s">
        <v>130</v>
      </c>
      <c r="K1850" t="s">
        <v>131</v>
      </c>
      <c r="L1850" t="s">
        <v>166</v>
      </c>
      <c r="M1850" t="s">
        <v>167</v>
      </c>
      <c r="N1850">
        <v>1</v>
      </c>
      <c r="O1850" s="4">
        <v>1300</v>
      </c>
      <c r="P1850" s="4">
        <v>2100</v>
      </c>
      <c r="Q1850" s="7">
        <v>0.15</v>
      </c>
      <c r="R1850" t="s">
        <v>235</v>
      </c>
      <c r="S1850">
        <v>1</v>
      </c>
      <c r="T1850">
        <v>2100</v>
      </c>
      <c r="U1850">
        <v>315</v>
      </c>
      <c r="V1850">
        <v>1785</v>
      </c>
      <c r="W1850">
        <v>1300</v>
      </c>
      <c r="X1850">
        <v>485</v>
      </c>
      <c r="Y1850" s="8">
        <v>0.27170868347338933</v>
      </c>
      <c r="Z1850" t="s">
        <v>2995</v>
      </c>
      <c r="AA1850" t="str">
        <f>IF(AND(SalesCleanTable[[#This Row],[Discount %]]&gt;0, SalesCleanTable[[#This Row],[Profit]]&lt;0), "Discount loss", "Safe")</f>
        <v>Safe</v>
      </c>
      <c r="AB1850" s="25">
        <f>(SalesCleanTable[[#This Row],[Unit Price]] - SalesCleanTable[[#This Row],[Unit Cost]]) / SalesCleanTable[[#This Row],[Unit Price]]</f>
        <v>0.38095238095238093</v>
      </c>
      <c r="AC1850" t="str">
        <f>IF(SalesCleanTable[[#This Row],[Discount %]] &gt; SalesCleanTable[[#This Row],[Max Allowed Discount]], "Discount loss", "Safe")</f>
        <v>Safe</v>
      </c>
      <c r="AD1850" s="4">
        <f>SalesCleanTable[[#This Row],[Unit Price]] - SalesCleanTable[[#This Row],[Unit Cost]]</f>
        <v>800</v>
      </c>
      <c r="AE1850" s="41">
        <f>(SalesCleanTable[[#This Row],[Unit Price]] - SalesCleanTable[[#This Row],[Unit Cost]]) / SalesCleanTable[[#This Row],[Unit Price]]</f>
        <v>0.38095238095238093</v>
      </c>
    </row>
    <row r="1851" spans="1:31">
      <c r="A1851" t="s">
        <v>2037</v>
      </c>
      <c r="B1851" s="6">
        <v>45925</v>
      </c>
      <c r="C1851" t="s">
        <v>49</v>
      </c>
      <c r="D1851" t="s">
        <v>50</v>
      </c>
      <c r="E1851" t="s">
        <v>38</v>
      </c>
      <c r="F1851" t="s">
        <v>51</v>
      </c>
      <c r="G1851" t="s">
        <v>52</v>
      </c>
      <c r="H1851" t="s">
        <v>135</v>
      </c>
      <c r="I1851" t="s">
        <v>136</v>
      </c>
      <c r="J1851" t="s">
        <v>137</v>
      </c>
      <c r="K1851" t="s">
        <v>138</v>
      </c>
      <c r="L1851" t="s">
        <v>166</v>
      </c>
      <c r="M1851" t="s">
        <v>171</v>
      </c>
      <c r="N1851">
        <v>1</v>
      </c>
      <c r="O1851" s="4">
        <v>550</v>
      </c>
      <c r="P1851" s="4">
        <v>850</v>
      </c>
      <c r="Q1851" s="7">
        <v>0.15</v>
      </c>
      <c r="R1851" t="s">
        <v>168</v>
      </c>
      <c r="S1851">
        <v>14</v>
      </c>
      <c r="T1851">
        <v>850</v>
      </c>
      <c r="U1851">
        <v>127.5</v>
      </c>
      <c r="V1851">
        <v>722.5</v>
      </c>
      <c r="W1851">
        <v>550</v>
      </c>
      <c r="X1851">
        <v>172.5</v>
      </c>
      <c r="Y1851" s="8">
        <v>0.23875432525951557</v>
      </c>
      <c r="Z1851" t="s">
        <v>2996</v>
      </c>
      <c r="AA1851" t="str">
        <f>IF(AND(SalesCleanTable[[#This Row],[Discount %]]&gt;0, SalesCleanTable[[#This Row],[Profit]]&lt;0), "Discount loss", "Safe")</f>
        <v>Safe</v>
      </c>
      <c r="AB1851" s="25">
        <f>(SalesCleanTable[[#This Row],[Unit Price]] - SalesCleanTable[[#This Row],[Unit Cost]]) / SalesCleanTable[[#This Row],[Unit Price]]</f>
        <v>0.35294117647058826</v>
      </c>
      <c r="AC1851" t="str">
        <f>IF(SalesCleanTable[[#This Row],[Discount %]] &gt; SalesCleanTable[[#This Row],[Max Allowed Discount]], "Discount loss", "Safe")</f>
        <v>Safe</v>
      </c>
      <c r="AD1851" s="4">
        <f>SalesCleanTable[[#This Row],[Unit Price]] - SalesCleanTable[[#This Row],[Unit Cost]]</f>
        <v>300</v>
      </c>
      <c r="AE1851" s="41">
        <f>(SalesCleanTable[[#This Row],[Unit Price]] - SalesCleanTable[[#This Row],[Unit Cost]]) / SalesCleanTable[[#This Row],[Unit Price]]</f>
        <v>0.35294117647058826</v>
      </c>
    </row>
    <row r="1852" spans="1:31">
      <c r="A1852" t="s">
        <v>2038</v>
      </c>
      <c r="B1852" s="6">
        <v>46004</v>
      </c>
      <c r="C1852" t="s">
        <v>53</v>
      </c>
      <c r="D1852" t="s">
        <v>54</v>
      </c>
      <c r="E1852" t="s">
        <v>38</v>
      </c>
      <c r="F1852" t="s">
        <v>55</v>
      </c>
      <c r="G1852" t="s">
        <v>56</v>
      </c>
      <c r="H1852" t="s">
        <v>135</v>
      </c>
      <c r="I1852" t="s">
        <v>136</v>
      </c>
      <c r="J1852" t="s">
        <v>137</v>
      </c>
      <c r="K1852" t="s">
        <v>138</v>
      </c>
      <c r="L1852" t="s">
        <v>166</v>
      </c>
      <c r="M1852" t="s">
        <v>186</v>
      </c>
      <c r="N1852">
        <v>1</v>
      </c>
      <c r="O1852" s="4">
        <v>330</v>
      </c>
      <c r="P1852" s="4">
        <v>550</v>
      </c>
      <c r="Q1852" s="7">
        <v>0</v>
      </c>
      <c r="R1852" t="s">
        <v>178</v>
      </c>
      <c r="S1852">
        <v>5</v>
      </c>
      <c r="T1852">
        <v>550</v>
      </c>
      <c r="U1852">
        <v>0</v>
      </c>
      <c r="V1852">
        <v>550</v>
      </c>
      <c r="W1852">
        <v>330</v>
      </c>
      <c r="X1852">
        <v>220</v>
      </c>
      <c r="Y1852" s="8">
        <v>0.4</v>
      </c>
      <c r="Z1852" t="s">
        <v>2996</v>
      </c>
      <c r="AA1852" t="str">
        <f>IF(AND(SalesCleanTable[[#This Row],[Discount %]]&gt;0, SalesCleanTable[[#This Row],[Profit]]&lt;0), "Discount loss", "Safe")</f>
        <v>Safe</v>
      </c>
      <c r="AB1852" s="25">
        <f>(SalesCleanTable[[#This Row],[Unit Price]] - SalesCleanTable[[#This Row],[Unit Cost]]) / SalesCleanTable[[#This Row],[Unit Price]]</f>
        <v>0.4</v>
      </c>
      <c r="AC1852" t="str">
        <f>IF(SalesCleanTable[[#This Row],[Discount %]] &gt; SalesCleanTable[[#This Row],[Max Allowed Discount]], "Discount loss", "Safe")</f>
        <v>Safe</v>
      </c>
      <c r="AD1852" s="4">
        <f>SalesCleanTable[[#This Row],[Unit Price]] - SalesCleanTable[[#This Row],[Unit Cost]]</f>
        <v>220</v>
      </c>
      <c r="AE1852" s="41">
        <f>(SalesCleanTable[[#This Row],[Unit Price]] - SalesCleanTable[[#This Row],[Unit Cost]]) / SalesCleanTable[[#This Row],[Unit Price]]</f>
        <v>0.4</v>
      </c>
    </row>
    <row r="1853" spans="1:31">
      <c r="A1853" t="s">
        <v>2039</v>
      </c>
      <c r="B1853" s="6">
        <v>45778</v>
      </c>
      <c r="C1853" t="s">
        <v>107</v>
      </c>
      <c r="D1853" t="s">
        <v>108</v>
      </c>
      <c r="E1853" t="s">
        <v>109</v>
      </c>
      <c r="F1853" t="s">
        <v>110</v>
      </c>
      <c r="G1853" t="s">
        <v>111</v>
      </c>
      <c r="H1853" t="s">
        <v>135</v>
      </c>
      <c r="I1853" t="s">
        <v>136</v>
      </c>
      <c r="J1853" t="s">
        <v>137</v>
      </c>
      <c r="K1853" t="s">
        <v>138</v>
      </c>
      <c r="L1853" t="s">
        <v>170</v>
      </c>
      <c r="M1853" t="s">
        <v>171</v>
      </c>
      <c r="N1853">
        <v>2</v>
      </c>
      <c r="O1853" s="4">
        <v>5200</v>
      </c>
      <c r="P1853" s="4">
        <v>7000</v>
      </c>
      <c r="Q1853" s="7">
        <v>0.1</v>
      </c>
      <c r="R1853" t="s">
        <v>235</v>
      </c>
      <c r="S1853">
        <v>13</v>
      </c>
      <c r="T1853">
        <v>14000</v>
      </c>
      <c r="U1853">
        <v>1400</v>
      </c>
      <c r="V1853">
        <v>12600</v>
      </c>
      <c r="W1853">
        <v>10400</v>
      </c>
      <c r="X1853">
        <v>2200</v>
      </c>
      <c r="Y1853" s="8">
        <v>0.17460317460317459</v>
      </c>
      <c r="Z1853" t="s">
        <v>2997</v>
      </c>
      <c r="AA1853" t="str">
        <f>IF(AND(SalesCleanTable[[#This Row],[Discount %]]&gt;0, SalesCleanTable[[#This Row],[Profit]]&lt;0), "Discount loss", "Safe")</f>
        <v>Safe</v>
      </c>
      <c r="AB1853" s="25">
        <f>(SalesCleanTable[[#This Row],[Unit Price]] - SalesCleanTable[[#This Row],[Unit Cost]]) / SalesCleanTable[[#This Row],[Unit Price]]</f>
        <v>0.25714285714285712</v>
      </c>
      <c r="AC1853" t="str">
        <f>IF(SalesCleanTable[[#This Row],[Discount %]] &gt; SalesCleanTable[[#This Row],[Max Allowed Discount]], "Discount loss", "Safe")</f>
        <v>Safe</v>
      </c>
      <c r="AD1853" s="4">
        <f>SalesCleanTable[[#This Row],[Unit Price]] - SalesCleanTable[[#This Row],[Unit Cost]]</f>
        <v>1800</v>
      </c>
      <c r="AE1853" s="41">
        <f>(SalesCleanTable[[#This Row],[Unit Price]] - SalesCleanTable[[#This Row],[Unit Cost]]) / SalesCleanTable[[#This Row],[Unit Price]]</f>
        <v>0.25714285714285712</v>
      </c>
    </row>
    <row r="1854" spans="1:31">
      <c r="A1854" t="s">
        <v>2040</v>
      </c>
      <c r="B1854" s="6">
        <v>45873</v>
      </c>
      <c r="C1854" t="s">
        <v>90</v>
      </c>
      <c r="D1854" t="s">
        <v>91</v>
      </c>
      <c r="E1854" t="s">
        <v>92</v>
      </c>
      <c r="F1854" t="s">
        <v>93</v>
      </c>
      <c r="G1854" t="s">
        <v>94</v>
      </c>
      <c r="H1854" t="s">
        <v>145</v>
      </c>
      <c r="I1854" t="s">
        <v>146</v>
      </c>
      <c r="J1854" t="s">
        <v>147</v>
      </c>
      <c r="K1854" t="s">
        <v>148</v>
      </c>
      <c r="L1854" t="s">
        <v>166</v>
      </c>
      <c r="M1854" t="s">
        <v>186</v>
      </c>
      <c r="N1854">
        <v>3</v>
      </c>
      <c r="O1854" s="4">
        <v>7500</v>
      </c>
      <c r="P1854" s="4">
        <v>10500</v>
      </c>
      <c r="Q1854" s="7">
        <v>0.05</v>
      </c>
      <c r="R1854" t="s">
        <v>215</v>
      </c>
      <c r="S1854">
        <v>6</v>
      </c>
      <c r="T1854">
        <v>31500</v>
      </c>
      <c r="U1854">
        <v>1575</v>
      </c>
      <c r="V1854">
        <v>29925</v>
      </c>
      <c r="W1854">
        <v>22500</v>
      </c>
      <c r="X1854">
        <v>7425</v>
      </c>
      <c r="Y1854" s="8">
        <v>0.24812030075187969</v>
      </c>
      <c r="Z1854" t="s">
        <v>2996</v>
      </c>
      <c r="AA1854" t="str">
        <f>IF(AND(SalesCleanTable[[#This Row],[Discount %]]&gt;0, SalesCleanTable[[#This Row],[Profit]]&lt;0), "Discount loss", "Safe")</f>
        <v>Safe</v>
      </c>
      <c r="AB1854" s="25">
        <f>(SalesCleanTable[[#This Row],[Unit Price]] - SalesCleanTable[[#This Row],[Unit Cost]]) / SalesCleanTable[[#This Row],[Unit Price]]</f>
        <v>0.2857142857142857</v>
      </c>
      <c r="AC1854" t="str">
        <f>IF(SalesCleanTable[[#This Row],[Discount %]] &gt; SalesCleanTable[[#This Row],[Max Allowed Discount]], "Discount loss", "Safe")</f>
        <v>Safe</v>
      </c>
      <c r="AD1854" s="4">
        <f>SalesCleanTable[[#This Row],[Unit Price]] - SalesCleanTable[[#This Row],[Unit Cost]]</f>
        <v>3000</v>
      </c>
      <c r="AE1854" s="41">
        <f>(SalesCleanTable[[#This Row],[Unit Price]] - SalesCleanTable[[#This Row],[Unit Cost]]) / SalesCleanTable[[#This Row],[Unit Price]]</f>
        <v>0.2857142857142857</v>
      </c>
    </row>
    <row r="1855" spans="1:31">
      <c r="A1855" t="s">
        <v>2041</v>
      </c>
      <c r="B1855" s="6">
        <v>45708</v>
      </c>
      <c r="C1855" t="s">
        <v>24</v>
      </c>
      <c r="D1855" t="s">
        <v>25</v>
      </c>
      <c r="E1855" t="s">
        <v>26</v>
      </c>
      <c r="F1855" t="s">
        <v>27</v>
      </c>
      <c r="G1855" t="s">
        <v>28</v>
      </c>
      <c r="H1855" t="s">
        <v>133</v>
      </c>
      <c r="I1855" t="s">
        <v>134</v>
      </c>
      <c r="J1855" t="s">
        <v>130</v>
      </c>
      <c r="K1855" t="s">
        <v>131</v>
      </c>
      <c r="L1855" t="s">
        <v>183</v>
      </c>
      <c r="M1855" t="s">
        <v>186</v>
      </c>
      <c r="N1855">
        <v>5</v>
      </c>
      <c r="O1855" s="4">
        <v>14500</v>
      </c>
      <c r="P1855" s="4">
        <v>17500</v>
      </c>
      <c r="Q1855" s="7">
        <v>0</v>
      </c>
      <c r="R1855" t="s">
        <v>197</v>
      </c>
      <c r="S1855">
        <v>1</v>
      </c>
      <c r="T1855">
        <v>87500</v>
      </c>
      <c r="U1855">
        <v>0</v>
      </c>
      <c r="V1855">
        <v>87500</v>
      </c>
      <c r="W1855">
        <v>72500</v>
      </c>
      <c r="X1855">
        <v>15000</v>
      </c>
      <c r="Y1855" s="8">
        <v>0.17142857142857143</v>
      </c>
      <c r="Z1855" t="s">
        <v>2995</v>
      </c>
      <c r="AA1855" t="str">
        <f>IF(AND(SalesCleanTable[[#This Row],[Discount %]]&gt;0, SalesCleanTable[[#This Row],[Profit]]&lt;0), "Discount loss", "Safe")</f>
        <v>Safe</v>
      </c>
      <c r="AB1855" s="25">
        <f>(SalesCleanTable[[#This Row],[Unit Price]] - SalesCleanTable[[#This Row],[Unit Cost]]) / SalesCleanTable[[#This Row],[Unit Price]]</f>
        <v>0.17142857142857143</v>
      </c>
      <c r="AC1855" t="str">
        <f>IF(SalesCleanTable[[#This Row],[Discount %]] &gt; SalesCleanTable[[#This Row],[Max Allowed Discount]], "Discount loss", "Safe")</f>
        <v>Safe</v>
      </c>
      <c r="AD1855" s="4">
        <f>SalesCleanTable[[#This Row],[Unit Price]] - SalesCleanTable[[#This Row],[Unit Cost]]</f>
        <v>3000</v>
      </c>
      <c r="AE1855" s="41">
        <f>(SalesCleanTable[[#This Row],[Unit Price]] - SalesCleanTable[[#This Row],[Unit Cost]]) / SalesCleanTable[[#This Row],[Unit Price]]</f>
        <v>0.17142857142857143</v>
      </c>
    </row>
    <row r="1856" spans="1:31">
      <c r="A1856" t="s">
        <v>2042</v>
      </c>
      <c r="B1856" s="6">
        <v>45800</v>
      </c>
      <c r="C1856" t="s">
        <v>112</v>
      </c>
      <c r="D1856" t="s">
        <v>113</v>
      </c>
      <c r="E1856" t="s">
        <v>109</v>
      </c>
      <c r="F1856" t="s">
        <v>114</v>
      </c>
      <c r="G1856" t="s">
        <v>115</v>
      </c>
      <c r="H1856" t="s">
        <v>153</v>
      </c>
      <c r="I1856" t="s">
        <v>154</v>
      </c>
      <c r="J1856" t="s">
        <v>155</v>
      </c>
      <c r="K1856" t="s">
        <v>131</v>
      </c>
      <c r="L1856" t="s">
        <v>166</v>
      </c>
      <c r="M1856" t="s">
        <v>177</v>
      </c>
      <c r="N1856">
        <v>3</v>
      </c>
      <c r="O1856" s="4">
        <v>1300</v>
      </c>
      <c r="P1856" s="4">
        <v>2100</v>
      </c>
      <c r="Q1856" s="7">
        <v>0.05</v>
      </c>
      <c r="R1856" t="s">
        <v>184</v>
      </c>
      <c r="S1856">
        <v>1</v>
      </c>
      <c r="T1856">
        <v>6300</v>
      </c>
      <c r="U1856">
        <v>315</v>
      </c>
      <c r="V1856">
        <v>5985</v>
      </c>
      <c r="W1856">
        <v>3900</v>
      </c>
      <c r="X1856">
        <v>2085</v>
      </c>
      <c r="Y1856" s="8">
        <v>0.34837092731829572</v>
      </c>
      <c r="Z1856" t="s">
        <v>2995</v>
      </c>
      <c r="AA1856" t="str">
        <f>IF(AND(SalesCleanTable[[#This Row],[Discount %]]&gt;0, SalesCleanTable[[#This Row],[Profit]]&lt;0), "Discount loss", "Safe")</f>
        <v>Safe</v>
      </c>
      <c r="AB1856" s="25">
        <f>(SalesCleanTable[[#This Row],[Unit Price]] - SalesCleanTable[[#This Row],[Unit Cost]]) / SalesCleanTable[[#This Row],[Unit Price]]</f>
        <v>0.38095238095238093</v>
      </c>
      <c r="AC1856" t="str">
        <f>IF(SalesCleanTable[[#This Row],[Discount %]] &gt; SalesCleanTable[[#This Row],[Max Allowed Discount]], "Discount loss", "Safe")</f>
        <v>Safe</v>
      </c>
      <c r="AD1856" s="4">
        <f>SalesCleanTable[[#This Row],[Unit Price]] - SalesCleanTable[[#This Row],[Unit Cost]]</f>
        <v>800</v>
      </c>
      <c r="AE1856" s="41">
        <f>(SalesCleanTable[[#This Row],[Unit Price]] - SalesCleanTable[[#This Row],[Unit Cost]]) / SalesCleanTable[[#This Row],[Unit Price]]</f>
        <v>0.38095238095238093</v>
      </c>
    </row>
    <row r="1857" spans="1:31">
      <c r="A1857" t="s">
        <v>2043</v>
      </c>
      <c r="B1857" s="6">
        <v>46000</v>
      </c>
      <c r="C1857" t="s">
        <v>49</v>
      </c>
      <c r="D1857" t="s">
        <v>50</v>
      </c>
      <c r="E1857" t="s">
        <v>38</v>
      </c>
      <c r="F1857" t="s">
        <v>51</v>
      </c>
      <c r="G1857" t="s">
        <v>52</v>
      </c>
      <c r="H1857" t="s">
        <v>135</v>
      </c>
      <c r="I1857" t="s">
        <v>136</v>
      </c>
      <c r="J1857" t="s">
        <v>137</v>
      </c>
      <c r="K1857" t="s">
        <v>138</v>
      </c>
      <c r="L1857" t="s">
        <v>166</v>
      </c>
      <c r="M1857" t="s">
        <v>186</v>
      </c>
      <c r="N1857">
        <v>1</v>
      </c>
      <c r="O1857" s="4">
        <v>550</v>
      </c>
      <c r="P1857" s="4">
        <v>850</v>
      </c>
      <c r="Q1857" s="7">
        <v>0.15</v>
      </c>
      <c r="R1857" t="s">
        <v>178</v>
      </c>
      <c r="S1857">
        <v>12</v>
      </c>
      <c r="T1857">
        <v>850</v>
      </c>
      <c r="U1857">
        <v>127.5</v>
      </c>
      <c r="V1857">
        <v>722.5</v>
      </c>
      <c r="W1857">
        <v>550</v>
      </c>
      <c r="X1857">
        <v>172.5</v>
      </c>
      <c r="Y1857" s="8">
        <v>0.23875432525951557</v>
      </c>
      <c r="Z1857" t="s">
        <v>2996</v>
      </c>
      <c r="AA1857" t="str">
        <f>IF(AND(SalesCleanTable[[#This Row],[Discount %]]&gt;0, SalesCleanTable[[#This Row],[Profit]]&lt;0), "Discount loss", "Safe")</f>
        <v>Safe</v>
      </c>
      <c r="AB1857" s="25">
        <f>(SalesCleanTable[[#This Row],[Unit Price]] - SalesCleanTable[[#This Row],[Unit Cost]]) / SalesCleanTable[[#This Row],[Unit Price]]</f>
        <v>0.35294117647058826</v>
      </c>
      <c r="AC1857" t="str">
        <f>IF(SalesCleanTable[[#This Row],[Discount %]] &gt; SalesCleanTable[[#This Row],[Max Allowed Discount]], "Discount loss", "Safe")</f>
        <v>Safe</v>
      </c>
      <c r="AD1857" s="4">
        <f>SalesCleanTable[[#This Row],[Unit Price]] - SalesCleanTable[[#This Row],[Unit Cost]]</f>
        <v>300</v>
      </c>
      <c r="AE1857" s="41">
        <f>(SalesCleanTable[[#This Row],[Unit Price]] - SalesCleanTable[[#This Row],[Unit Cost]]) / SalesCleanTable[[#This Row],[Unit Price]]</f>
        <v>0.35294117647058826</v>
      </c>
    </row>
    <row r="1858" spans="1:31">
      <c r="A1858" t="s">
        <v>2044</v>
      </c>
      <c r="B1858" s="6">
        <v>45773</v>
      </c>
      <c r="C1858" t="s">
        <v>120</v>
      </c>
      <c r="D1858" t="s">
        <v>121</v>
      </c>
      <c r="E1858" t="s">
        <v>109</v>
      </c>
      <c r="F1858" t="s">
        <v>93</v>
      </c>
      <c r="G1858" t="s">
        <v>122</v>
      </c>
      <c r="H1858" t="s">
        <v>128</v>
      </c>
      <c r="I1858" t="s">
        <v>129</v>
      </c>
      <c r="J1858" t="s">
        <v>130</v>
      </c>
      <c r="K1858" t="s">
        <v>131</v>
      </c>
      <c r="L1858" t="s">
        <v>166</v>
      </c>
      <c r="M1858" t="s">
        <v>171</v>
      </c>
      <c r="N1858">
        <v>2</v>
      </c>
      <c r="O1858" s="4">
        <v>1700</v>
      </c>
      <c r="P1858" s="4">
        <v>2800</v>
      </c>
      <c r="Q1858" s="7">
        <v>0.1</v>
      </c>
      <c r="R1858" t="s">
        <v>184</v>
      </c>
      <c r="S1858">
        <v>5</v>
      </c>
      <c r="T1858">
        <v>5600</v>
      </c>
      <c r="U1858">
        <v>560</v>
      </c>
      <c r="V1858">
        <v>5040</v>
      </c>
      <c r="W1858">
        <v>3400</v>
      </c>
      <c r="X1858">
        <v>1640</v>
      </c>
      <c r="Y1858" s="8">
        <v>0.32539682539682541</v>
      </c>
      <c r="Z1858" t="s">
        <v>2997</v>
      </c>
      <c r="AA1858" t="str">
        <f>IF(AND(SalesCleanTable[[#This Row],[Discount %]]&gt;0, SalesCleanTable[[#This Row],[Profit]]&lt;0), "Discount loss", "Safe")</f>
        <v>Safe</v>
      </c>
      <c r="AB1858" s="25">
        <f>(SalesCleanTable[[#This Row],[Unit Price]] - SalesCleanTable[[#This Row],[Unit Cost]]) / SalesCleanTable[[#This Row],[Unit Price]]</f>
        <v>0.39285714285714285</v>
      </c>
      <c r="AC1858" t="str">
        <f>IF(SalesCleanTable[[#This Row],[Discount %]] &gt; SalesCleanTable[[#This Row],[Max Allowed Discount]], "Discount loss", "Safe")</f>
        <v>Safe</v>
      </c>
      <c r="AD1858" s="4">
        <f>SalesCleanTable[[#This Row],[Unit Price]] - SalesCleanTable[[#This Row],[Unit Cost]]</f>
        <v>1100</v>
      </c>
      <c r="AE1858" s="41">
        <f>(SalesCleanTable[[#This Row],[Unit Price]] - SalesCleanTable[[#This Row],[Unit Cost]]) / SalesCleanTable[[#This Row],[Unit Price]]</f>
        <v>0.39285714285714285</v>
      </c>
    </row>
    <row r="1859" spans="1:31">
      <c r="A1859" t="s">
        <v>2045</v>
      </c>
      <c r="B1859" s="6">
        <v>45898</v>
      </c>
      <c r="C1859" t="s">
        <v>24</v>
      </c>
      <c r="D1859" t="s">
        <v>25</v>
      </c>
      <c r="E1859" t="s">
        <v>26</v>
      </c>
      <c r="F1859" t="s">
        <v>27</v>
      </c>
      <c r="G1859" t="s">
        <v>28</v>
      </c>
      <c r="H1859" t="s">
        <v>141</v>
      </c>
      <c r="I1859" t="s">
        <v>142</v>
      </c>
      <c r="J1859" t="s">
        <v>143</v>
      </c>
      <c r="K1859" t="s">
        <v>144</v>
      </c>
      <c r="L1859" t="s">
        <v>166</v>
      </c>
      <c r="M1859" t="s">
        <v>186</v>
      </c>
      <c r="N1859">
        <v>2</v>
      </c>
      <c r="O1859" s="4">
        <v>14500</v>
      </c>
      <c r="P1859" s="4">
        <v>17500</v>
      </c>
      <c r="Q1859" s="7">
        <v>0.1</v>
      </c>
      <c r="R1859" t="s">
        <v>197</v>
      </c>
      <c r="S1859">
        <v>5</v>
      </c>
      <c r="T1859">
        <v>35000</v>
      </c>
      <c r="U1859">
        <v>3500</v>
      </c>
      <c r="V1859">
        <v>31500</v>
      </c>
      <c r="W1859">
        <v>29000</v>
      </c>
      <c r="X1859">
        <v>2500</v>
      </c>
      <c r="Y1859" s="8">
        <v>7.9365079365079361E-2</v>
      </c>
      <c r="Z1859" t="s">
        <v>2995</v>
      </c>
      <c r="AA1859" t="str">
        <f>IF(AND(SalesCleanTable[[#This Row],[Discount %]]&gt;0, SalesCleanTable[[#This Row],[Profit]]&lt;0), "Discount loss", "Safe")</f>
        <v>Safe</v>
      </c>
      <c r="AB1859" s="25">
        <f>(SalesCleanTable[[#This Row],[Unit Price]] - SalesCleanTable[[#This Row],[Unit Cost]]) / SalesCleanTable[[#This Row],[Unit Price]]</f>
        <v>0.17142857142857143</v>
      </c>
      <c r="AC1859" t="str">
        <f>IF(SalesCleanTable[[#This Row],[Discount %]] &gt; SalesCleanTable[[#This Row],[Max Allowed Discount]], "Discount loss", "Safe")</f>
        <v>Safe</v>
      </c>
      <c r="AD1859" s="4">
        <f>SalesCleanTable[[#This Row],[Unit Price]] - SalesCleanTable[[#This Row],[Unit Cost]]</f>
        <v>3000</v>
      </c>
      <c r="AE1859" s="41">
        <f>(SalesCleanTable[[#This Row],[Unit Price]] - SalesCleanTable[[#This Row],[Unit Cost]]) / SalesCleanTable[[#This Row],[Unit Price]]</f>
        <v>0.17142857142857143</v>
      </c>
    </row>
    <row r="1860" spans="1:31">
      <c r="A1860" t="s">
        <v>2046</v>
      </c>
      <c r="B1860" s="6">
        <v>45851</v>
      </c>
      <c r="C1860" t="s">
        <v>57</v>
      </c>
      <c r="D1860" t="s">
        <v>58</v>
      </c>
      <c r="E1860" t="s">
        <v>59</v>
      </c>
      <c r="F1860" t="s">
        <v>60</v>
      </c>
      <c r="G1860" t="s">
        <v>61</v>
      </c>
      <c r="H1860" t="s">
        <v>139</v>
      </c>
      <c r="I1860" t="s">
        <v>140</v>
      </c>
      <c r="J1860" t="s">
        <v>137</v>
      </c>
      <c r="K1860" t="s">
        <v>138</v>
      </c>
      <c r="L1860" t="s">
        <v>183</v>
      </c>
      <c r="M1860" t="s">
        <v>171</v>
      </c>
      <c r="N1860">
        <v>3</v>
      </c>
      <c r="O1860" s="4">
        <v>2400</v>
      </c>
      <c r="P1860" s="4">
        <v>3400</v>
      </c>
      <c r="Q1860" s="7">
        <v>0</v>
      </c>
      <c r="R1860" t="s">
        <v>173</v>
      </c>
      <c r="S1860">
        <v>4</v>
      </c>
      <c r="T1860">
        <v>10200</v>
      </c>
      <c r="U1860">
        <v>0</v>
      </c>
      <c r="V1860">
        <v>10200</v>
      </c>
      <c r="W1860">
        <v>7200</v>
      </c>
      <c r="X1860">
        <v>3000</v>
      </c>
      <c r="Y1860" s="8">
        <v>0.29411764705882354</v>
      </c>
      <c r="Z1860" t="s">
        <v>2996</v>
      </c>
      <c r="AA1860" t="str">
        <f>IF(AND(SalesCleanTable[[#This Row],[Discount %]]&gt;0, SalesCleanTable[[#This Row],[Profit]]&lt;0), "Discount loss", "Safe")</f>
        <v>Safe</v>
      </c>
      <c r="AB1860" s="25">
        <f>(SalesCleanTable[[#This Row],[Unit Price]] - SalesCleanTable[[#This Row],[Unit Cost]]) / SalesCleanTable[[#This Row],[Unit Price]]</f>
        <v>0.29411764705882354</v>
      </c>
      <c r="AC1860" t="str">
        <f>IF(SalesCleanTable[[#This Row],[Discount %]] &gt; SalesCleanTable[[#This Row],[Max Allowed Discount]], "Discount loss", "Safe")</f>
        <v>Safe</v>
      </c>
      <c r="AD1860" s="4">
        <f>SalesCleanTable[[#This Row],[Unit Price]] - SalesCleanTable[[#This Row],[Unit Cost]]</f>
        <v>1000</v>
      </c>
      <c r="AE1860" s="41">
        <f>(SalesCleanTable[[#This Row],[Unit Price]] - SalesCleanTable[[#This Row],[Unit Cost]]) / SalesCleanTable[[#This Row],[Unit Price]]</f>
        <v>0.29411764705882354</v>
      </c>
    </row>
    <row r="1861" spans="1:31">
      <c r="A1861" t="s">
        <v>2047</v>
      </c>
      <c r="B1861" s="6">
        <v>45943</v>
      </c>
      <c r="C1861" t="s">
        <v>62</v>
      </c>
      <c r="D1861" t="s">
        <v>63</v>
      </c>
      <c r="E1861" t="s">
        <v>59</v>
      </c>
      <c r="F1861" t="s">
        <v>64</v>
      </c>
      <c r="G1861" t="s">
        <v>65</v>
      </c>
      <c r="H1861" t="s">
        <v>149</v>
      </c>
      <c r="I1861" t="s">
        <v>150</v>
      </c>
      <c r="J1861" t="s">
        <v>151</v>
      </c>
      <c r="K1861" t="s">
        <v>152</v>
      </c>
      <c r="L1861" t="s">
        <v>170</v>
      </c>
      <c r="M1861" t="s">
        <v>171</v>
      </c>
      <c r="N1861">
        <v>3</v>
      </c>
      <c r="O1861" s="4">
        <v>3200</v>
      </c>
      <c r="P1861" s="4">
        <v>4500</v>
      </c>
      <c r="Q1861" s="7">
        <v>0.05</v>
      </c>
      <c r="R1861" t="s">
        <v>204</v>
      </c>
      <c r="S1861">
        <v>13</v>
      </c>
      <c r="T1861">
        <v>13500</v>
      </c>
      <c r="U1861">
        <v>675</v>
      </c>
      <c r="V1861">
        <v>12825</v>
      </c>
      <c r="W1861">
        <v>9600</v>
      </c>
      <c r="X1861">
        <v>3225</v>
      </c>
      <c r="Y1861" s="8">
        <v>0.25146198830409355</v>
      </c>
      <c r="Z1861" t="s">
        <v>2996</v>
      </c>
      <c r="AA1861" t="str">
        <f>IF(AND(SalesCleanTable[[#This Row],[Discount %]]&gt;0, SalesCleanTable[[#This Row],[Profit]]&lt;0), "Discount loss", "Safe")</f>
        <v>Safe</v>
      </c>
      <c r="AB1861" s="25">
        <f>(SalesCleanTable[[#This Row],[Unit Price]] - SalesCleanTable[[#This Row],[Unit Cost]]) / SalesCleanTable[[#This Row],[Unit Price]]</f>
        <v>0.28888888888888886</v>
      </c>
      <c r="AC1861" t="str">
        <f>IF(SalesCleanTable[[#This Row],[Discount %]] &gt; SalesCleanTable[[#This Row],[Max Allowed Discount]], "Discount loss", "Safe")</f>
        <v>Safe</v>
      </c>
      <c r="AD1861" s="4">
        <f>SalesCleanTable[[#This Row],[Unit Price]] - SalesCleanTable[[#This Row],[Unit Cost]]</f>
        <v>1300</v>
      </c>
      <c r="AE1861" s="41">
        <f>(SalesCleanTable[[#This Row],[Unit Price]] - SalesCleanTable[[#This Row],[Unit Cost]]) / SalesCleanTable[[#This Row],[Unit Price]]</f>
        <v>0.28888888888888886</v>
      </c>
    </row>
    <row r="1862" spans="1:31">
      <c r="A1862" t="s">
        <v>2048</v>
      </c>
      <c r="B1862" s="6">
        <v>45844</v>
      </c>
      <c r="C1862" t="s">
        <v>24</v>
      </c>
      <c r="D1862" t="s">
        <v>25</v>
      </c>
      <c r="E1862" t="s">
        <v>26</v>
      </c>
      <c r="F1862" t="s">
        <v>27</v>
      </c>
      <c r="G1862" t="s">
        <v>28</v>
      </c>
      <c r="H1862" t="s">
        <v>145</v>
      </c>
      <c r="I1862" t="s">
        <v>146</v>
      </c>
      <c r="J1862" t="s">
        <v>147</v>
      </c>
      <c r="K1862" t="s">
        <v>148</v>
      </c>
      <c r="L1862" t="s">
        <v>183</v>
      </c>
      <c r="M1862" t="s">
        <v>171</v>
      </c>
      <c r="N1862">
        <v>2</v>
      </c>
      <c r="O1862" s="4">
        <v>14500</v>
      </c>
      <c r="P1862" s="4">
        <v>17500</v>
      </c>
      <c r="Q1862" s="7">
        <v>0.05</v>
      </c>
      <c r="R1862" t="s">
        <v>194</v>
      </c>
      <c r="S1862">
        <v>1</v>
      </c>
      <c r="T1862">
        <v>35000</v>
      </c>
      <c r="U1862">
        <v>1750</v>
      </c>
      <c r="V1862">
        <v>33250</v>
      </c>
      <c r="W1862">
        <v>29000</v>
      </c>
      <c r="X1862">
        <v>4250</v>
      </c>
      <c r="Y1862" s="8">
        <v>0.12781954887218044</v>
      </c>
      <c r="Z1862" t="s">
        <v>2995</v>
      </c>
      <c r="AA1862" t="str">
        <f>IF(AND(SalesCleanTable[[#This Row],[Discount %]]&gt;0, SalesCleanTable[[#This Row],[Profit]]&lt;0), "Discount loss", "Safe")</f>
        <v>Safe</v>
      </c>
      <c r="AB1862" s="25">
        <f>(SalesCleanTable[[#This Row],[Unit Price]] - SalesCleanTable[[#This Row],[Unit Cost]]) / SalesCleanTable[[#This Row],[Unit Price]]</f>
        <v>0.17142857142857143</v>
      </c>
      <c r="AC1862" t="str">
        <f>IF(SalesCleanTable[[#This Row],[Discount %]] &gt; SalesCleanTable[[#This Row],[Max Allowed Discount]], "Discount loss", "Safe")</f>
        <v>Safe</v>
      </c>
      <c r="AD1862" s="4">
        <f>SalesCleanTable[[#This Row],[Unit Price]] - SalesCleanTable[[#This Row],[Unit Cost]]</f>
        <v>3000</v>
      </c>
      <c r="AE1862" s="41">
        <f>(SalesCleanTable[[#This Row],[Unit Price]] - SalesCleanTable[[#This Row],[Unit Cost]]) / SalesCleanTable[[#This Row],[Unit Price]]</f>
        <v>0.17142857142857143</v>
      </c>
    </row>
    <row r="1863" spans="1:31">
      <c r="A1863" t="s">
        <v>2049</v>
      </c>
      <c r="B1863" s="6">
        <v>45779</v>
      </c>
      <c r="C1863" t="s">
        <v>32</v>
      </c>
      <c r="D1863" t="s">
        <v>33</v>
      </c>
      <c r="E1863" t="s">
        <v>26</v>
      </c>
      <c r="F1863" t="s">
        <v>34</v>
      </c>
      <c r="G1863" t="s">
        <v>35</v>
      </c>
      <c r="H1863" t="s">
        <v>153</v>
      </c>
      <c r="I1863" t="s">
        <v>154</v>
      </c>
      <c r="J1863" t="s">
        <v>155</v>
      </c>
      <c r="K1863" t="s">
        <v>131</v>
      </c>
      <c r="L1863" t="s">
        <v>183</v>
      </c>
      <c r="M1863" t="s">
        <v>186</v>
      </c>
      <c r="N1863">
        <v>1</v>
      </c>
      <c r="O1863" s="4">
        <v>7800</v>
      </c>
      <c r="P1863" s="4">
        <v>9800</v>
      </c>
      <c r="Q1863" s="7">
        <v>0.15</v>
      </c>
      <c r="R1863" t="s">
        <v>173</v>
      </c>
      <c r="S1863">
        <v>9</v>
      </c>
      <c r="T1863">
        <v>9800</v>
      </c>
      <c r="U1863">
        <v>1470</v>
      </c>
      <c r="V1863">
        <v>8330</v>
      </c>
      <c r="W1863">
        <v>7800</v>
      </c>
      <c r="X1863">
        <v>530</v>
      </c>
      <c r="Y1863" s="8">
        <v>6.3625450180072027E-2</v>
      </c>
      <c r="Z1863" t="s">
        <v>2995</v>
      </c>
      <c r="AA1863" t="str">
        <f>IF(AND(SalesCleanTable[[#This Row],[Discount %]]&gt;0, SalesCleanTable[[#This Row],[Profit]]&lt;0), "Discount loss", "Safe")</f>
        <v>Safe</v>
      </c>
      <c r="AB1863" s="25">
        <f>(SalesCleanTable[[#This Row],[Unit Price]] - SalesCleanTable[[#This Row],[Unit Cost]]) / SalesCleanTable[[#This Row],[Unit Price]]</f>
        <v>0.20408163265306123</v>
      </c>
      <c r="AC1863" t="str">
        <f>IF(SalesCleanTable[[#This Row],[Discount %]] &gt; SalesCleanTable[[#This Row],[Max Allowed Discount]], "Discount loss", "Safe")</f>
        <v>Safe</v>
      </c>
      <c r="AD1863" s="4">
        <f>SalesCleanTable[[#This Row],[Unit Price]] - SalesCleanTable[[#This Row],[Unit Cost]]</f>
        <v>2000</v>
      </c>
      <c r="AE1863" s="41">
        <f>(SalesCleanTable[[#This Row],[Unit Price]] - SalesCleanTable[[#This Row],[Unit Cost]]) / SalesCleanTable[[#This Row],[Unit Price]]</f>
        <v>0.20408163265306123</v>
      </c>
    </row>
    <row r="1864" spans="1:31">
      <c r="A1864" t="s">
        <v>2050</v>
      </c>
      <c r="B1864" s="6">
        <v>45753</v>
      </c>
      <c r="C1864" t="s">
        <v>49</v>
      </c>
      <c r="D1864" t="s">
        <v>50</v>
      </c>
      <c r="E1864" t="s">
        <v>38</v>
      </c>
      <c r="F1864" t="s">
        <v>51</v>
      </c>
      <c r="G1864" t="s">
        <v>52</v>
      </c>
      <c r="H1864" t="s">
        <v>135</v>
      </c>
      <c r="I1864" t="s">
        <v>136</v>
      </c>
      <c r="J1864" t="s">
        <v>137</v>
      </c>
      <c r="K1864" t="s">
        <v>138</v>
      </c>
      <c r="L1864" t="s">
        <v>183</v>
      </c>
      <c r="M1864" t="s">
        <v>171</v>
      </c>
      <c r="N1864">
        <v>1</v>
      </c>
      <c r="O1864" s="4">
        <v>550</v>
      </c>
      <c r="P1864" s="4">
        <v>850</v>
      </c>
      <c r="Q1864" s="7">
        <v>0.15</v>
      </c>
      <c r="R1864" t="s">
        <v>168</v>
      </c>
      <c r="S1864">
        <v>6</v>
      </c>
      <c r="T1864">
        <v>850</v>
      </c>
      <c r="U1864">
        <v>127.5</v>
      </c>
      <c r="V1864">
        <v>722.5</v>
      </c>
      <c r="W1864">
        <v>550</v>
      </c>
      <c r="X1864">
        <v>172.5</v>
      </c>
      <c r="Y1864" s="8">
        <v>0.23875432525951557</v>
      </c>
      <c r="Z1864" t="s">
        <v>2996</v>
      </c>
      <c r="AA1864" t="str">
        <f>IF(AND(SalesCleanTable[[#This Row],[Discount %]]&gt;0, SalesCleanTable[[#This Row],[Profit]]&lt;0), "Discount loss", "Safe")</f>
        <v>Safe</v>
      </c>
      <c r="AB1864" s="25">
        <f>(SalesCleanTable[[#This Row],[Unit Price]] - SalesCleanTable[[#This Row],[Unit Cost]]) / SalesCleanTable[[#This Row],[Unit Price]]</f>
        <v>0.35294117647058826</v>
      </c>
      <c r="AC1864" t="str">
        <f>IF(SalesCleanTable[[#This Row],[Discount %]] &gt; SalesCleanTable[[#This Row],[Max Allowed Discount]], "Discount loss", "Safe")</f>
        <v>Safe</v>
      </c>
      <c r="AD1864" s="4">
        <f>SalesCleanTable[[#This Row],[Unit Price]] - SalesCleanTable[[#This Row],[Unit Cost]]</f>
        <v>300</v>
      </c>
      <c r="AE1864" s="41">
        <f>(SalesCleanTable[[#This Row],[Unit Price]] - SalesCleanTable[[#This Row],[Unit Cost]]) / SalesCleanTable[[#This Row],[Unit Price]]</f>
        <v>0.35294117647058826</v>
      </c>
    </row>
    <row r="1865" spans="1:31">
      <c r="A1865" t="s">
        <v>2051</v>
      </c>
      <c r="B1865" s="6">
        <v>45695</v>
      </c>
      <c r="C1865" t="s">
        <v>95</v>
      </c>
      <c r="D1865" t="s">
        <v>96</v>
      </c>
      <c r="E1865" t="s">
        <v>92</v>
      </c>
      <c r="F1865" t="s">
        <v>97</v>
      </c>
      <c r="G1865" t="s">
        <v>98</v>
      </c>
      <c r="H1865" t="s">
        <v>135</v>
      </c>
      <c r="I1865" t="s">
        <v>136</v>
      </c>
      <c r="J1865" t="s">
        <v>137</v>
      </c>
      <c r="K1865" t="s">
        <v>138</v>
      </c>
      <c r="L1865" t="s">
        <v>166</v>
      </c>
      <c r="M1865" t="s">
        <v>186</v>
      </c>
      <c r="N1865">
        <v>3</v>
      </c>
      <c r="O1865" s="4">
        <v>18000</v>
      </c>
      <c r="P1865" s="4">
        <v>24500</v>
      </c>
      <c r="Q1865" s="7">
        <v>0.2</v>
      </c>
      <c r="R1865" t="s">
        <v>217</v>
      </c>
      <c r="S1865">
        <v>12</v>
      </c>
      <c r="T1865">
        <v>73500</v>
      </c>
      <c r="U1865">
        <v>14700</v>
      </c>
      <c r="V1865">
        <v>58800</v>
      </c>
      <c r="W1865">
        <v>54000</v>
      </c>
      <c r="X1865">
        <v>4800</v>
      </c>
      <c r="Y1865" s="8">
        <v>8.1632653061224483E-2</v>
      </c>
      <c r="Z1865" t="s">
        <v>2995</v>
      </c>
      <c r="AA1865" t="str">
        <f>IF(AND(SalesCleanTable[[#This Row],[Discount %]]&gt;0, SalesCleanTable[[#This Row],[Profit]]&lt;0), "Discount loss", "Safe")</f>
        <v>Safe</v>
      </c>
      <c r="AB1865" s="25">
        <f>(SalesCleanTable[[#This Row],[Unit Price]] - SalesCleanTable[[#This Row],[Unit Cost]]) / SalesCleanTable[[#This Row],[Unit Price]]</f>
        <v>0.26530612244897961</v>
      </c>
      <c r="AC1865" t="str">
        <f>IF(SalesCleanTable[[#This Row],[Discount %]] &gt; SalesCleanTable[[#This Row],[Max Allowed Discount]], "Discount loss", "Safe")</f>
        <v>Safe</v>
      </c>
      <c r="AD1865" s="4">
        <f>SalesCleanTable[[#This Row],[Unit Price]] - SalesCleanTable[[#This Row],[Unit Cost]]</f>
        <v>6500</v>
      </c>
      <c r="AE1865" s="41">
        <f>(SalesCleanTable[[#This Row],[Unit Price]] - SalesCleanTable[[#This Row],[Unit Cost]]) / SalesCleanTable[[#This Row],[Unit Price]]</f>
        <v>0.26530612244897961</v>
      </c>
    </row>
    <row r="1866" spans="1:31">
      <c r="A1866" t="s">
        <v>2052</v>
      </c>
      <c r="B1866" s="6">
        <v>45728</v>
      </c>
      <c r="C1866" t="s">
        <v>53</v>
      </c>
      <c r="D1866" t="s">
        <v>54</v>
      </c>
      <c r="E1866" t="s">
        <v>38</v>
      </c>
      <c r="F1866" t="s">
        <v>55</v>
      </c>
      <c r="G1866" t="s">
        <v>56</v>
      </c>
      <c r="H1866" t="s">
        <v>135</v>
      </c>
      <c r="I1866" t="s">
        <v>136</v>
      </c>
      <c r="J1866" t="s">
        <v>137</v>
      </c>
      <c r="K1866" t="s">
        <v>138</v>
      </c>
      <c r="L1866" t="s">
        <v>166</v>
      </c>
      <c r="M1866" t="s">
        <v>171</v>
      </c>
      <c r="N1866">
        <v>1</v>
      </c>
      <c r="O1866" s="4">
        <v>330</v>
      </c>
      <c r="P1866" s="4">
        <v>550</v>
      </c>
      <c r="Q1866" s="7">
        <v>0</v>
      </c>
      <c r="R1866" t="s">
        <v>168</v>
      </c>
      <c r="S1866">
        <v>9</v>
      </c>
      <c r="T1866">
        <v>550</v>
      </c>
      <c r="U1866">
        <v>0</v>
      </c>
      <c r="V1866">
        <v>550</v>
      </c>
      <c r="W1866">
        <v>330</v>
      </c>
      <c r="X1866">
        <v>220</v>
      </c>
      <c r="Y1866" s="8">
        <v>0.4</v>
      </c>
      <c r="Z1866" t="s">
        <v>2996</v>
      </c>
      <c r="AA1866" t="str">
        <f>IF(AND(SalesCleanTable[[#This Row],[Discount %]]&gt;0, SalesCleanTable[[#This Row],[Profit]]&lt;0), "Discount loss", "Safe")</f>
        <v>Safe</v>
      </c>
      <c r="AB1866" s="25">
        <f>(SalesCleanTable[[#This Row],[Unit Price]] - SalesCleanTable[[#This Row],[Unit Cost]]) / SalesCleanTable[[#This Row],[Unit Price]]</f>
        <v>0.4</v>
      </c>
      <c r="AC1866" t="str">
        <f>IF(SalesCleanTable[[#This Row],[Discount %]] &gt; SalesCleanTable[[#This Row],[Max Allowed Discount]], "Discount loss", "Safe")</f>
        <v>Safe</v>
      </c>
      <c r="AD1866" s="4">
        <f>SalesCleanTable[[#This Row],[Unit Price]] - SalesCleanTable[[#This Row],[Unit Cost]]</f>
        <v>220</v>
      </c>
      <c r="AE1866" s="41">
        <f>(SalesCleanTable[[#This Row],[Unit Price]] - SalesCleanTable[[#This Row],[Unit Cost]]) / SalesCleanTable[[#This Row],[Unit Price]]</f>
        <v>0.4</v>
      </c>
    </row>
    <row r="1867" spans="1:31">
      <c r="A1867" t="s">
        <v>2053</v>
      </c>
      <c r="B1867" s="6">
        <v>45705</v>
      </c>
      <c r="C1867" t="s">
        <v>69</v>
      </c>
      <c r="D1867" t="s">
        <v>70</v>
      </c>
      <c r="E1867" t="s">
        <v>59</v>
      </c>
      <c r="F1867" t="s">
        <v>71</v>
      </c>
      <c r="G1867" t="s">
        <v>72</v>
      </c>
      <c r="H1867" t="s">
        <v>139</v>
      </c>
      <c r="I1867" t="s">
        <v>140</v>
      </c>
      <c r="J1867" t="s">
        <v>137</v>
      </c>
      <c r="K1867" t="s">
        <v>138</v>
      </c>
      <c r="L1867" t="s">
        <v>166</v>
      </c>
      <c r="M1867" t="s">
        <v>177</v>
      </c>
      <c r="N1867">
        <v>8</v>
      </c>
      <c r="O1867" s="4">
        <v>1700</v>
      </c>
      <c r="P1867" s="4">
        <v>2600</v>
      </c>
      <c r="Q1867" s="7">
        <v>0.05</v>
      </c>
      <c r="R1867" t="s">
        <v>204</v>
      </c>
      <c r="S1867">
        <v>6</v>
      </c>
      <c r="T1867">
        <v>20800</v>
      </c>
      <c r="U1867">
        <v>1040</v>
      </c>
      <c r="V1867">
        <v>19760</v>
      </c>
      <c r="W1867">
        <v>13600</v>
      </c>
      <c r="X1867">
        <v>6160</v>
      </c>
      <c r="Y1867" s="8">
        <v>0.31174089068825911</v>
      </c>
      <c r="Z1867" t="s">
        <v>2997</v>
      </c>
      <c r="AA1867" t="str">
        <f>IF(AND(SalesCleanTable[[#This Row],[Discount %]]&gt;0, SalesCleanTable[[#This Row],[Profit]]&lt;0), "Discount loss", "Safe")</f>
        <v>Safe</v>
      </c>
      <c r="AB1867" s="25">
        <f>(SalesCleanTable[[#This Row],[Unit Price]] - SalesCleanTable[[#This Row],[Unit Cost]]) / SalesCleanTable[[#This Row],[Unit Price]]</f>
        <v>0.34615384615384615</v>
      </c>
      <c r="AC1867" t="str">
        <f>IF(SalesCleanTable[[#This Row],[Discount %]] &gt; SalesCleanTable[[#This Row],[Max Allowed Discount]], "Discount loss", "Safe")</f>
        <v>Safe</v>
      </c>
      <c r="AD1867" s="4">
        <f>SalesCleanTable[[#This Row],[Unit Price]] - SalesCleanTable[[#This Row],[Unit Cost]]</f>
        <v>900</v>
      </c>
      <c r="AE1867" s="41">
        <f>(SalesCleanTable[[#This Row],[Unit Price]] - SalesCleanTable[[#This Row],[Unit Cost]]) / SalesCleanTable[[#This Row],[Unit Price]]</f>
        <v>0.34615384615384615</v>
      </c>
    </row>
    <row r="1868" spans="1:31">
      <c r="A1868" t="s">
        <v>2054</v>
      </c>
      <c r="B1868" s="6">
        <v>45696</v>
      </c>
      <c r="C1868" t="s">
        <v>53</v>
      </c>
      <c r="D1868" t="s">
        <v>54</v>
      </c>
      <c r="E1868" t="s">
        <v>38</v>
      </c>
      <c r="F1868" t="s">
        <v>55</v>
      </c>
      <c r="G1868" t="s">
        <v>56</v>
      </c>
      <c r="H1868" t="s">
        <v>145</v>
      </c>
      <c r="I1868" t="s">
        <v>146</v>
      </c>
      <c r="J1868" t="s">
        <v>147</v>
      </c>
      <c r="K1868" t="s">
        <v>148</v>
      </c>
      <c r="L1868" t="s">
        <v>166</v>
      </c>
      <c r="M1868" t="s">
        <v>171</v>
      </c>
      <c r="N1868">
        <v>6</v>
      </c>
      <c r="O1868" s="4">
        <v>330</v>
      </c>
      <c r="P1868" s="4">
        <v>550</v>
      </c>
      <c r="Q1868" s="7">
        <v>0.15</v>
      </c>
      <c r="R1868" t="s">
        <v>175</v>
      </c>
      <c r="S1868">
        <v>3</v>
      </c>
      <c r="T1868">
        <v>3300</v>
      </c>
      <c r="U1868">
        <v>495</v>
      </c>
      <c r="V1868">
        <v>2805</v>
      </c>
      <c r="W1868">
        <v>1980</v>
      </c>
      <c r="X1868">
        <v>825</v>
      </c>
      <c r="Y1868" s="8">
        <v>0.29411764705882354</v>
      </c>
      <c r="Z1868" t="s">
        <v>2996</v>
      </c>
      <c r="AA1868" t="str">
        <f>IF(AND(SalesCleanTable[[#This Row],[Discount %]]&gt;0, SalesCleanTable[[#This Row],[Profit]]&lt;0), "Discount loss", "Safe")</f>
        <v>Safe</v>
      </c>
      <c r="AB1868" s="25">
        <f>(SalesCleanTable[[#This Row],[Unit Price]] - SalesCleanTable[[#This Row],[Unit Cost]]) / SalesCleanTable[[#This Row],[Unit Price]]</f>
        <v>0.4</v>
      </c>
      <c r="AC1868" t="str">
        <f>IF(SalesCleanTable[[#This Row],[Discount %]] &gt; SalesCleanTable[[#This Row],[Max Allowed Discount]], "Discount loss", "Safe")</f>
        <v>Safe</v>
      </c>
      <c r="AD1868" s="4">
        <f>SalesCleanTable[[#This Row],[Unit Price]] - SalesCleanTable[[#This Row],[Unit Cost]]</f>
        <v>220</v>
      </c>
      <c r="AE1868" s="41">
        <f>(SalesCleanTable[[#This Row],[Unit Price]] - SalesCleanTable[[#This Row],[Unit Cost]]) / SalesCleanTable[[#This Row],[Unit Price]]</f>
        <v>0.4</v>
      </c>
    </row>
    <row r="1869" spans="1:31">
      <c r="A1869" t="s">
        <v>2055</v>
      </c>
      <c r="B1869" s="6">
        <v>45941</v>
      </c>
      <c r="C1869" t="s">
        <v>45</v>
      </c>
      <c r="D1869" t="s">
        <v>46</v>
      </c>
      <c r="E1869" t="s">
        <v>38</v>
      </c>
      <c r="F1869" t="s">
        <v>47</v>
      </c>
      <c r="G1869" t="s">
        <v>48</v>
      </c>
      <c r="H1869" t="s">
        <v>135</v>
      </c>
      <c r="I1869" t="s">
        <v>136</v>
      </c>
      <c r="J1869" t="s">
        <v>137</v>
      </c>
      <c r="K1869" t="s">
        <v>138</v>
      </c>
      <c r="L1869" t="s">
        <v>166</v>
      </c>
      <c r="M1869" t="s">
        <v>171</v>
      </c>
      <c r="N1869">
        <v>3</v>
      </c>
      <c r="O1869" s="4">
        <v>230</v>
      </c>
      <c r="P1869" s="4">
        <v>400</v>
      </c>
      <c r="Q1869" s="7">
        <v>0.15</v>
      </c>
      <c r="R1869" t="s">
        <v>178</v>
      </c>
      <c r="S1869">
        <v>1</v>
      </c>
      <c r="T1869">
        <v>1200</v>
      </c>
      <c r="U1869">
        <v>180</v>
      </c>
      <c r="V1869">
        <v>1020</v>
      </c>
      <c r="W1869">
        <v>690</v>
      </c>
      <c r="X1869">
        <v>330</v>
      </c>
      <c r="Y1869" s="8">
        <v>0.3235294117647059</v>
      </c>
      <c r="Z1869" t="s">
        <v>2995</v>
      </c>
      <c r="AA1869" t="str">
        <f>IF(AND(SalesCleanTable[[#This Row],[Discount %]]&gt;0, SalesCleanTable[[#This Row],[Profit]]&lt;0), "Discount loss", "Safe")</f>
        <v>Safe</v>
      </c>
      <c r="AB1869" s="25">
        <f>(SalesCleanTable[[#This Row],[Unit Price]] - SalesCleanTable[[#This Row],[Unit Cost]]) / SalesCleanTable[[#This Row],[Unit Price]]</f>
        <v>0.42499999999999999</v>
      </c>
      <c r="AC1869" t="str">
        <f>IF(SalesCleanTable[[#This Row],[Discount %]] &gt; SalesCleanTable[[#This Row],[Max Allowed Discount]], "Discount loss", "Safe")</f>
        <v>Safe</v>
      </c>
      <c r="AD1869" s="4">
        <f>SalesCleanTable[[#This Row],[Unit Price]] - SalesCleanTable[[#This Row],[Unit Cost]]</f>
        <v>170</v>
      </c>
      <c r="AE1869" s="41">
        <f>(SalesCleanTable[[#This Row],[Unit Price]] - SalesCleanTable[[#This Row],[Unit Cost]]) / SalesCleanTable[[#This Row],[Unit Price]]</f>
        <v>0.42499999999999999</v>
      </c>
    </row>
    <row r="1870" spans="1:31">
      <c r="A1870" t="s">
        <v>2056</v>
      </c>
      <c r="B1870" s="6">
        <v>45730</v>
      </c>
      <c r="C1870" t="s">
        <v>32</v>
      </c>
      <c r="D1870" t="s">
        <v>33</v>
      </c>
      <c r="E1870" t="s">
        <v>26</v>
      </c>
      <c r="F1870" t="s">
        <v>34</v>
      </c>
      <c r="G1870" t="s">
        <v>35</v>
      </c>
      <c r="H1870" t="s">
        <v>149</v>
      </c>
      <c r="I1870" t="s">
        <v>150</v>
      </c>
      <c r="J1870" t="s">
        <v>151</v>
      </c>
      <c r="K1870" t="s">
        <v>152</v>
      </c>
      <c r="L1870" t="s">
        <v>166</v>
      </c>
      <c r="M1870" t="s">
        <v>171</v>
      </c>
      <c r="N1870">
        <v>3</v>
      </c>
      <c r="O1870" s="4">
        <v>7800</v>
      </c>
      <c r="P1870" s="4">
        <v>9800</v>
      </c>
      <c r="Q1870" s="7">
        <v>0</v>
      </c>
      <c r="R1870" t="s">
        <v>197</v>
      </c>
      <c r="S1870">
        <v>2</v>
      </c>
      <c r="T1870">
        <v>29400</v>
      </c>
      <c r="U1870">
        <v>0</v>
      </c>
      <c r="V1870">
        <v>29400</v>
      </c>
      <c r="W1870">
        <v>23400</v>
      </c>
      <c r="X1870">
        <v>6000</v>
      </c>
      <c r="Y1870" s="8">
        <v>0.20408163265306123</v>
      </c>
      <c r="Z1870" t="s">
        <v>2995</v>
      </c>
      <c r="AA1870" t="str">
        <f>IF(AND(SalesCleanTable[[#This Row],[Discount %]]&gt;0, SalesCleanTable[[#This Row],[Profit]]&lt;0), "Discount loss", "Safe")</f>
        <v>Safe</v>
      </c>
      <c r="AB1870" s="25">
        <f>(SalesCleanTable[[#This Row],[Unit Price]] - SalesCleanTable[[#This Row],[Unit Cost]]) / SalesCleanTable[[#This Row],[Unit Price]]</f>
        <v>0.20408163265306123</v>
      </c>
      <c r="AC1870" t="str">
        <f>IF(SalesCleanTable[[#This Row],[Discount %]] &gt; SalesCleanTable[[#This Row],[Max Allowed Discount]], "Discount loss", "Safe")</f>
        <v>Safe</v>
      </c>
      <c r="AD1870" s="4">
        <f>SalesCleanTable[[#This Row],[Unit Price]] - SalesCleanTable[[#This Row],[Unit Cost]]</f>
        <v>2000</v>
      </c>
      <c r="AE1870" s="41">
        <f>(SalesCleanTable[[#This Row],[Unit Price]] - SalesCleanTable[[#This Row],[Unit Cost]]) / SalesCleanTable[[#This Row],[Unit Price]]</f>
        <v>0.20408163265306123</v>
      </c>
    </row>
    <row r="1871" spans="1:31">
      <c r="A1871" t="s">
        <v>2057</v>
      </c>
      <c r="B1871" s="6">
        <v>45770</v>
      </c>
      <c r="C1871" t="s">
        <v>112</v>
      </c>
      <c r="D1871" t="s">
        <v>113</v>
      </c>
      <c r="E1871" t="s">
        <v>109</v>
      </c>
      <c r="F1871" t="s">
        <v>114</v>
      </c>
      <c r="G1871" t="s">
        <v>115</v>
      </c>
      <c r="H1871" t="s">
        <v>149</v>
      </c>
      <c r="I1871" t="s">
        <v>150</v>
      </c>
      <c r="J1871" t="s">
        <v>151</v>
      </c>
      <c r="K1871" t="s">
        <v>152</v>
      </c>
      <c r="L1871" t="s">
        <v>166</v>
      </c>
      <c r="M1871" t="s">
        <v>167</v>
      </c>
      <c r="N1871">
        <v>2</v>
      </c>
      <c r="O1871" s="4">
        <v>1300</v>
      </c>
      <c r="P1871" s="4">
        <v>2100</v>
      </c>
      <c r="Q1871" s="7">
        <v>0.2</v>
      </c>
      <c r="R1871" t="s">
        <v>235</v>
      </c>
      <c r="S1871">
        <v>5</v>
      </c>
      <c r="T1871">
        <v>4200</v>
      </c>
      <c r="U1871">
        <v>840</v>
      </c>
      <c r="V1871">
        <v>3360</v>
      </c>
      <c r="W1871">
        <v>2600</v>
      </c>
      <c r="X1871">
        <v>760</v>
      </c>
      <c r="Y1871" s="8">
        <v>0.22619047619047619</v>
      </c>
      <c r="Z1871" t="s">
        <v>2995</v>
      </c>
      <c r="AA1871" t="str">
        <f>IF(AND(SalesCleanTable[[#This Row],[Discount %]]&gt;0, SalesCleanTable[[#This Row],[Profit]]&lt;0), "Discount loss", "Safe")</f>
        <v>Safe</v>
      </c>
      <c r="AB1871" s="25">
        <f>(SalesCleanTable[[#This Row],[Unit Price]] - SalesCleanTable[[#This Row],[Unit Cost]]) / SalesCleanTable[[#This Row],[Unit Price]]</f>
        <v>0.38095238095238093</v>
      </c>
      <c r="AC1871" t="str">
        <f>IF(SalesCleanTable[[#This Row],[Discount %]] &gt; SalesCleanTable[[#This Row],[Max Allowed Discount]], "Discount loss", "Safe")</f>
        <v>Safe</v>
      </c>
      <c r="AD1871" s="4">
        <f>SalesCleanTable[[#This Row],[Unit Price]] - SalesCleanTable[[#This Row],[Unit Cost]]</f>
        <v>800</v>
      </c>
      <c r="AE1871" s="41">
        <f>(SalesCleanTable[[#This Row],[Unit Price]] - SalesCleanTable[[#This Row],[Unit Cost]]) / SalesCleanTable[[#This Row],[Unit Price]]</f>
        <v>0.38095238095238093</v>
      </c>
    </row>
    <row r="1872" spans="1:31">
      <c r="A1872" t="s">
        <v>2058</v>
      </c>
      <c r="B1872" s="6">
        <v>45898</v>
      </c>
      <c r="C1872" t="s">
        <v>120</v>
      </c>
      <c r="D1872" t="s">
        <v>121</v>
      </c>
      <c r="E1872" t="s">
        <v>109</v>
      </c>
      <c r="F1872" t="s">
        <v>93</v>
      </c>
      <c r="G1872" t="s">
        <v>122</v>
      </c>
      <c r="H1872" t="s">
        <v>139</v>
      </c>
      <c r="I1872" t="s">
        <v>140</v>
      </c>
      <c r="J1872" t="s">
        <v>137</v>
      </c>
      <c r="K1872" t="s">
        <v>138</v>
      </c>
      <c r="L1872" t="s">
        <v>183</v>
      </c>
      <c r="M1872" t="s">
        <v>171</v>
      </c>
      <c r="N1872">
        <v>6</v>
      </c>
      <c r="O1872" s="4">
        <v>1700</v>
      </c>
      <c r="P1872" s="4">
        <v>2800</v>
      </c>
      <c r="Q1872" s="7">
        <v>0.2</v>
      </c>
      <c r="R1872" t="s">
        <v>220</v>
      </c>
      <c r="S1872">
        <v>1</v>
      </c>
      <c r="T1872">
        <v>16800</v>
      </c>
      <c r="U1872">
        <v>3360</v>
      </c>
      <c r="V1872">
        <v>13440</v>
      </c>
      <c r="W1872">
        <v>10200</v>
      </c>
      <c r="X1872">
        <v>3240</v>
      </c>
      <c r="Y1872" s="8">
        <v>0.24107142857142858</v>
      </c>
      <c r="Z1872" t="s">
        <v>2997</v>
      </c>
      <c r="AA1872" t="str">
        <f>IF(AND(SalesCleanTable[[#This Row],[Discount %]]&gt;0, SalesCleanTable[[#This Row],[Profit]]&lt;0), "Discount loss", "Safe")</f>
        <v>Safe</v>
      </c>
      <c r="AB1872" s="25">
        <f>(SalesCleanTable[[#This Row],[Unit Price]] - SalesCleanTable[[#This Row],[Unit Cost]]) / SalesCleanTable[[#This Row],[Unit Price]]</f>
        <v>0.39285714285714285</v>
      </c>
      <c r="AC1872" t="str">
        <f>IF(SalesCleanTable[[#This Row],[Discount %]] &gt; SalesCleanTable[[#This Row],[Max Allowed Discount]], "Discount loss", "Safe")</f>
        <v>Safe</v>
      </c>
      <c r="AD1872" s="4">
        <f>SalesCleanTable[[#This Row],[Unit Price]] - SalesCleanTable[[#This Row],[Unit Cost]]</f>
        <v>1100</v>
      </c>
      <c r="AE1872" s="41">
        <f>(SalesCleanTable[[#This Row],[Unit Price]] - SalesCleanTable[[#This Row],[Unit Cost]]) / SalesCleanTable[[#This Row],[Unit Price]]</f>
        <v>0.39285714285714285</v>
      </c>
    </row>
    <row r="1873" spans="1:31">
      <c r="A1873" t="s">
        <v>2059</v>
      </c>
      <c r="B1873" s="6">
        <v>45906</v>
      </c>
      <c r="C1873" t="s">
        <v>57</v>
      </c>
      <c r="D1873" t="s">
        <v>58</v>
      </c>
      <c r="E1873" t="s">
        <v>59</v>
      </c>
      <c r="F1873" t="s">
        <v>60</v>
      </c>
      <c r="G1873" t="s">
        <v>61</v>
      </c>
      <c r="H1873" t="s">
        <v>153</v>
      </c>
      <c r="I1873" t="s">
        <v>154</v>
      </c>
      <c r="J1873" t="s">
        <v>155</v>
      </c>
      <c r="K1873" t="s">
        <v>131</v>
      </c>
      <c r="L1873" t="s">
        <v>183</v>
      </c>
      <c r="M1873" t="s">
        <v>171</v>
      </c>
      <c r="N1873">
        <v>5</v>
      </c>
      <c r="O1873" s="4">
        <v>2400</v>
      </c>
      <c r="P1873" s="4">
        <v>3400</v>
      </c>
      <c r="Q1873" s="7">
        <v>0</v>
      </c>
      <c r="R1873" t="s">
        <v>192</v>
      </c>
      <c r="S1873">
        <v>2</v>
      </c>
      <c r="T1873">
        <v>17000</v>
      </c>
      <c r="U1873">
        <v>0</v>
      </c>
      <c r="V1873">
        <v>17000</v>
      </c>
      <c r="W1873">
        <v>12000</v>
      </c>
      <c r="X1873">
        <v>5000</v>
      </c>
      <c r="Y1873" s="8">
        <v>0.29411764705882354</v>
      </c>
      <c r="Z1873" t="s">
        <v>2996</v>
      </c>
      <c r="AA1873" t="str">
        <f>IF(AND(SalesCleanTable[[#This Row],[Discount %]]&gt;0, SalesCleanTable[[#This Row],[Profit]]&lt;0), "Discount loss", "Safe")</f>
        <v>Safe</v>
      </c>
      <c r="AB1873" s="25">
        <f>(SalesCleanTable[[#This Row],[Unit Price]] - SalesCleanTable[[#This Row],[Unit Cost]]) / SalesCleanTable[[#This Row],[Unit Price]]</f>
        <v>0.29411764705882354</v>
      </c>
      <c r="AC1873" t="str">
        <f>IF(SalesCleanTable[[#This Row],[Discount %]] &gt; SalesCleanTable[[#This Row],[Max Allowed Discount]], "Discount loss", "Safe")</f>
        <v>Safe</v>
      </c>
      <c r="AD1873" s="4">
        <f>SalesCleanTable[[#This Row],[Unit Price]] - SalesCleanTable[[#This Row],[Unit Cost]]</f>
        <v>1000</v>
      </c>
      <c r="AE1873" s="41">
        <f>(SalesCleanTable[[#This Row],[Unit Price]] - SalesCleanTable[[#This Row],[Unit Cost]]) / SalesCleanTable[[#This Row],[Unit Price]]</f>
        <v>0.29411764705882354</v>
      </c>
    </row>
    <row r="1874" spans="1:31">
      <c r="A1874" t="s">
        <v>2060</v>
      </c>
      <c r="B1874" s="6">
        <v>45872</v>
      </c>
      <c r="C1874" t="s">
        <v>29</v>
      </c>
      <c r="D1874" t="s">
        <v>30</v>
      </c>
      <c r="E1874" t="s">
        <v>26</v>
      </c>
      <c r="F1874" t="s">
        <v>27</v>
      </c>
      <c r="G1874" t="s">
        <v>31</v>
      </c>
      <c r="H1874" t="s">
        <v>153</v>
      </c>
      <c r="I1874" t="s">
        <v>154</v>
      </c>
      <c r="J1874" t="s">
        <v>155</v>
      </c>
      <c r="K1874" t="s">
        <v>131</v>
      </c>
      <c r="L1874" t="s">
        <v>183</v>
      </c>
      <c r="M1874" t="s">
        <v>177</v>
      </c>
      <c r="N1874">
        <v>3</v>
      </c>
      <c r="O1874" s="4">
        <v>6200</v>
      </c>
      <c r="P1874" s="4">
        <v>7900</v>
      </c>
      <c r="Q1874" s="7">
        <v>0.2</v>
      </c>
      <c r="R1874" t="s">
        <v>197</v>
      </c>
      <c r="S1874">
        <v>1</v>
      </c>
      <c r="T1874">
        <v>23700</v>
      </c>
      <c r="U1874">
        <v>4740</v>
      </c>
      <c r="V1874">
        <v>18960</v>
      </c>
      <c r="W1874">
        <v>18600</v>
      </c>
      <c r="X1874">
        <v>360</v>
      </c>
      <c r="Y1874" s="8">
        <v>1.8987341772151899E-2</v>
      </c>
      <c r="Z1874" t="s">
        <v>2996</v>
      </c>
      <c r="AA1874" t="str">
        <f>IF(AND(SalesCleanTable[[#This Row],[Discount %]]&gt;0, SalesCleanTable[[#This Row],[Profit]]&lt;0), "Discount loss", "Safe")</f>
        <v>Safe</v>
      </c>
      <c r="AB1874" s="25">
        <f>(SalesCleanTable[[#This Row],[Unit Price]] - SalesCleanTable[[#This Row],[Unit Cost]]) / SalesCleanTable[[#This Row],[Unit Price]]</f>
        <v>0.21518987341772153</v>
      </c>
      <c r="AC1874" t="str">
        <f>IF(SalesCleanTable[[#This Row],[Discount %]] &gt; SalesCleanTable[[#This Row],[Max Allowed Discount]], "Discount loss", "Safe")</f>
        <v>Safe</v>
      </c>
      <c r="AD1874" s="4">
        <f>SalesCleanTable[[#This Row],[Unit Price]] - SalesCleanTable[[#This Row],[Unit Cost]]</f>
        <v>1700</v>
      </c>
      <c r="AE1874" s="41">
        <f>(SalesCleanTable[[#This Row],[Unit Price]] - SalesCleanTable[[#This Row],[Unit Cost]]) / SalesCleanTable[[#This Row],[Unit Price]]</f>
        <v>0.21518987341772153</v>
      </c>
    </row>
    <row r="1875" spans="1:31">
      <c r="A1875" t="s">
        <v>2061</v>
      </c>
      <c r="B1875" s="6">
        <v>45945</v>
      </c>
      <c r="C1875" t="s">
        <v>73</v>
      </c>
      <c r="D1875" t="s">
        <v>74</v>
      </c>
      <c r="E1875" t="s">
        <v>75</v>
      </c>
      <c r="F1875" t="s">
        <v>76</v>
      </c>
      <c r="G1875" t="s">
        <v>77</v>
      </c>
      <c r="H1875" t="s">
        <v>145</v>
      </c>
      <c r="I1875" t="s">
        <v>146</v>
      </c>
      <c r="J1875" t="s">
        <v>147</v>
      </c>
      <c r="K1875" t="s">
        <v>148</v>
      </c>
      <c r="L1875" t="s">
        <v>166</v>
      </c>
      <c r="M1875" t="s">
        <v>177</v>
      </c>
      <c r="N1875">
        <v>1</v>
      </c>
      <c r="O1875" s="4">
        <v>3500</v>
      </c>
      <c r="P1875" s="4">
        <v>5200</v>
      </c>
      <c r="Q1875" s="7">
        <v>0</v>
      </c>
      <c r="R1875" t="s">
        <v>187</v>
      </c>
      <c r="S1875">
        <v>14</v>
      </c>
      <c r="T1875">
        <v>5200</v>
      </c>
      <c r="U1875">
        <v>0</v>
      </c>
      <c r="V1875">
        <v>5200</v>
      </c>
      <c r="W1875">
        <v>3500</v>
      </c>
      <c r="X1875">
        <v>1700</v>
      </c>
      <c r="Y1875" s="8">
        <v>0.32692307692307693</v>
      </c>
      <c r="Z1875" t="s">
        <v>2996</v>
      </c>
      <c r="AA1875" t="str">
        <f>IF(AND(SalesCleanTable[[#This Row],[Discount %]]&gt;0, SalesCleanTable[[#This Row],[Profit]]&lt;0), "Discount loss", "Safe")</f>
        <v>Safe</v>
      </c>
      <c r="AB1875" s="25">
        <f>(SalesCleanTable[[#This Row],[Unit Price]] - SalesCleanTable[[#This Row],[Unit Cost]]) / SalesCleanTable[[#This Row],[Unit Price]]</f>
        <v>0.32692307692307693</v>
      </c>
      <c r="AC1875" t="str">
        <f>IF(SalesCleanTable[[#This Row],[Discount %]] &gt; SalesCleanTable[[#This Row],[Max Allowed Discount]], "Discount loss", "Safe")</f>
        <v>Safe</v>
      </c>
      <c r="AD1875" s="4">
        <f>SalesCleanTable[[#This Row],[Unit Price]] - SalesCleanTable[[#This Row],[Unit Cost]]</f>
        <v>1700</v>
      </c>
      <c r="AE1875" s="41">
        <f>(SalesCleanTable[[#This Row],[Unit Price]] - SalesCleanTable[[#This Row],[Unit Cost]]) / SalesCleanTable[[#This Row],[Unit Price]]</f>
        <v>0.32692307692307693</v>
      </c>
    </row>
    <row r="1876" spans="1:31">
      <c r="A1876" t="s">
        <v>2062</v>
      </c>
      <c r="B1876" s="6">
        <v>45713</v>
      </c>
      <c r="C1876" t="s">
        <v>116</v>
      </c>
      <c r="D1876" t="s">
        <v>117</v>
      </c>
      <c r="E1876" t="s">
        <v>109</v>
      </c>
      <c r="F1876" t="s">
        <v>118</v>
      </c>
      <c r="G1876" t="s">
        <v>119</v>
      </c>
      <c r="H1876" t="s">
        <v>141</v>
      </c>
      <c r="I1876" t="s">
        <v>142</v>
      </c>
      <c r="J1876" t="s">
        <v>143</v>
      </c>
      <c r="K1876" t="s">
        <v>144</v>
      </c>
      <c r="L1876" t="s">
        <v>183</v>
      </c>
      <c r="M1876" t="s">
        <v>177</v>
      </c>
      <c r="N1876">
        <v>2</v>
      </c>
      <c r="O1876" s="4">
        <v>2800</v>
      </c>
      <c r="P1876" s="4">
        <v>4200</v>
      </c>
      <c r="Q1876" s="7">
        <v>0.05</v>
      </c>
      <c r="R1876" t="s">
        <v>220</v>
      </c>
      <c r="S1876">
        <v>4</v>
      </c>
      <c r="T1876">
        <v>8400</v>
      </c>
      <c r="U1876">
        <v>420</v>
      </c>
      <c r="V1876">
        <v>7980</v>
      </c>
      <c r="W1876">
        <v>5600</v>
      </c>
      <c r="X1876">
        <v>2380</v>
      </c>
      <c r="Y1876" s="8">
        <v>0.2982456140350877</v>
      </c>
      <c r="Z1876" t="s">
        <v>2995</v>
      </c>
      <c r="AA1876" t="str">
        <f>IF(AND(SalesCleanTable[[#This Row],[Discount %]]&gt;0, SalesCleanTable[[#This Row],[Profit]]&lt;0), "Discount loss", "Safe")</f>
        <v>Safe</v>
      </c>
      <c r="AB1876" s="25">
        <f>(SalesCleanTable[[#This Row],[Unit Price]] - SalesCleanTable[[#This Row],[Unit Cost]]) / SalesCleanTable[[#This Row],[Unit Price]]</f>
        <v>0.33333333333333331</v>
      </c>
      <c r="AC1876" t="str">
        <f>IF(SalesCleanTable[[#This Row],[Discount %]] &gt; SalesCleanTable[[#This Row],[Max Allowed Discount]], "Discount loss", "Safe")</f>
        <v>Safe</v>
      </c>
      <c r="AD1876" s="4">
        <f>SalesCleanTable[[#This Row],[Unit Price]] - SalesCleanTable[[#This Row],[Unit Cost]]</f>
        <v>1400</v>
      </c>
      <c r="AE1876" s="41">
        <f>(SalesCleanTable[[#This Row],[Unit Price]] - SalesCleanTable[[#This Row],[Unit Cost]]) / SalesCleanTable[[#This Row],[Unit Price]]</f>
        <v>0.33333333333333331</v>
      </c>
    </row>
    <row r="1877" spans="1:31">
      <c r="A1877" t="s">
        <v>2063</v>
      </c>
      <c r="B1877" s="6">
        <v>45883</v>
      </c>
      <c r="C1877" t="s">
        <v>24</v>
      </c>
      <c r="D1877" t="s">
        <v>25</v>
      </c>
      <c r="E1877" t="s">
        <v>26</v>
      </c>
      <c r="F1877" t="s">
        <v>27</v>
      </c>
      <c r="G1877" t="s">
        <v>28</v>
      </c>
      <c r="H1877" t="s">
        <v>139</v>
      </c>
      <c r="I1877" t="s">
        <v>140</v>
      </c>
      <c r="J1877" t="s">
        <v>137</v>
      </c>
      <c r="K1877" t="s">
        <v>138</v>
      </c>
      <c r="L1877" t="s">
        <v>166</v>
      </c>
      <c r="M1877" t="s">
        <v>186</v>
      </c>
      <c r="N1877">
        <v>-1</v>
      </c>
      <c r="O1877" s="4">
        <v>14500</v>
      </c>
      <c r="P1877" s="4">
        <v>17500</v>
      </c>
      <c r="Q1877" s="7">
        <v>0</v>
      </c>
      <c r="R1877" t="s">
        <v>194</v>
      </c>
      <c r="S1877">
        <v>11</v>
      </c>
      <c r="T1877">
        <v>-17500</v>
      </c>
      <c r="U1877">
        <v>0</v>
      </c>
      <c r="V1877">
        <v>-17500</v>
      </c>
      <c r="W1877">
        <v>-14500</v>
      </c>
      <c r="X1877">
        <v>-3000</v>
      </c>
      <c r="Y1877" s="8">
        <v>0.17142857142857143</v>
      </c>
      <c r="Z1877" t="s">
        <v>2995</v>
      </c>
      <c r="AA1877" t="str">
        <f>IF(AND(SalesCleanTable[[#This Row],[Discount %]]&gt;0, SalesCleanTable[[#This Row],[Profit]]&lt;0), "Discount loss", "Safe")</f>
        <v>Safe</v>
      </c>
      <c r="AB1877" s="25">
        <f>(SalesCleanTable[[#This Row],[Unit Price]] - SalesCleanTable[[#This Row],[Unit Cost]]) / SalesCleanTable[[#This Row],[Unit Price]]</f>
        <v>0.17142857142857143</v>
      </c>
      <c r="AC1877" t="str">
        <f>IF(SalesCleanTable[[#This Row],[Discount %]] &gt; SalesCleanTable[[#This Row],[Max Allowed Discount]], "Discount loss", "Safe")</f>
        <v>Safe</v>
      </c>
      <c r="AD1877" s="4">
        <f>SalesCleanTable[[#This Row],[Unit Price]] - SalesCleanTable[[#This Row],[Unit Cost]]</f>
        <v>3000</v>
      </c>
      <c r="AE1877" s="41">
        <f>(SalesCleanTable[[#This Row],[Unit Price]] - SalesCleanTable[[#This Row],[Unit Cost]]) / SalesCleanTable[[#This Row],[Unit Price]]</f>
        <v>0.17142857142857143</v>
      </c>
    </row>
    <row r="1878" spans="1:31">
      <c r="A1878" t="s">
        <v>2064</v>
      </c>
      <c r="B1878" s="6">
        <v>45789</v>
      </c>
      <c r="C1878" t="s">
        <v>107</v>
      </c>
      <c r="D1878" t="s">
        <v>108</v>
      </c>
      <c r="E1878" t="s">
        <v>109</v>
      </c>
      <c r="F1878" t="s">
        <v>110</v>
      </c>
      <c r="G1878" t="s">
        <v>111</v>
      </c>
      <c r="H1878" t="s">
        <v>149</v>
      </c>
      <c r="I1878" t="s">
        <v>150</v>
      </c>
      <c r="J1878" t="s">
        <v>151</v>
      </c>
      <c r="K1878" t="s">
        <v>152</v>
      </c>
      <c r="L1878" t="s">
        <v>166</v>
      </c>
      <c r="M1878" t="s">
        <v>167</v>
      </c>
      <c r="N1878">
        <v>4</v>
      </c>
      <c r="O1878" s="4">
        <v>5200</v>
      </c>
      <c r="P1878" s="4">
        <v>7000</v>
      </c>
      <c r="Q1878" s="7">
        <v>0.25</v>
      </c>
      <c r="R1878" t="s">
        <v>184</v>
      </c>
      <c r="S1878">
        <v>6</v>
      </c>
      <c r="T1878">
        <v>28000</v>
      </c>
      <c r="U1878">
        <v>7000</v>
      </c>
      <c r="V1878">
        <v>21000</v>
      </c>
      <c r="W1878">
        <v>20800</v>
      </c>
      <c r="X1878">
        <v>200</v>
      </c>
      <c r="Y1878" s="8">
        <v>9.5238095238095247E-3</v>
      </c>
      <c r="Z1878" t="s">
        <v>2997</v>
      </c>
      <c r="AA1878" t="str">
        <f>IF(AND(SalesCleanTable[[#This Row],[Discount %]]&gt;0, SalesCleanTable[[#This Row],[Profit]]&lt;0), "Discount loss", "Safe")</f>
        <v>Safe</v>
      </c>
      <c r="AB1878" s="25">
        <f>(SalesCleanTable[[#This Row],[Unit Price]] - SalesCleanTable[[#This Row],[Unit Cost]]) / SalesCleanTable[[#This Row],[Unit Price]]</f>
        <v>0.25714285714285712</v>
      </c>
      <c r="AC1878" t="str">
        <f>IF(SalesCleanTable[[#This Row],[Discount %]] &gt; SalesCleanTable[[#This Row],[Max Allowed Discount]], "Discount loss", "Safe")</f>
        <v>Safe</v>
      </c>
      <c r="AD1878" s="4">
        <f>SalesCleanTable[[#This Row],[Unit Price]] - SalesCleanTable[[#This Row],[Unit Cost]]</f>
        <v>1800</v>
      </c>
      <c r="AE1878" s="41">
        <f>(SalesCleanTable[[#This Row],[Unit Price]] - SalesCleanTable[[#This Row],[Unit Cost]]) / SalesCleanTable[[#This Row],[Unit Price]]</f>
        <v>0.25714285714285712</v>
      </c>
    </row>
    <row r="1879" spans="1:31">
      <c r="A1879" t="s">
        <v>2065</v>
      </c>
      <c r="B1879" s="6">
        <v>45774</v>
      </c>
      <c r="C1879" t="s">
        <v>95</v>
      </c>
      <c r="D1879" t="s">
        <v>96</v>
      </c>
      <c r="E1879" t="s">
        <v>92</v>
      </c>
      <c r="F1879" t="s">
        <v>97</v>
      </c>
      <c r="G1879" t="s">
        <v>98</v>
      </c>
      <c r="H1879" t="s">
        <v>133</v>
      </c>
      <c r="I1879" t="s">
        <v>134</v>
      </c>
      <c r="J1879" t="s">
        <v>130</v>
      </c>
      <c r="K1879" t="s">
        <v>131</v>
      </c>
      <c r="L1879" t="s">
        <v>183</v>
      </c>
      <c r="M1879" t="s">
        <v>171</v>
      </c>
      <c r="N1879">
        <v>3</v>
      </c>
      <c r="O1879" s="4">
        <v>18000</v>
      </c>
      <c r="P1879" s="4">
        <v>24500</v>
      </c>
      <c r="Q1879" s="7">
        <v>0.05</v>
      </c>
      <c r="R1879" t="s">
        <v>217</v>
      </c>
      <c r="S1879">
        <v>6</v>
      </c>
      <c r="T1879">
        <v>73500</v>
      </c>
      <c r="U1879">
        <v>3675</v>
      </c>
      <c r="V1879">
        <v>69825</v>
      </c>
      <c r="W1879">
        <v>54000</v>
      </c>
      <c r="X1879">
        <v>15825</v>
      </c>
      <c r="Y1879" s="8">
        <v>0.22663802363050484</v>
      </c>
      <c r="Z1879" t="s">
        <v>2995</v>
      </c>
      <c r="AA1879" t="str">
        <f>IF(AND(SalesCleanTable[[#This Row],[Discount %]]&gt;0, SalesCleanTable[[#This Row],[Profit]]&lt;0), "Discount loss", "Safe")</f>
        <v>Safe</v>
      </c>
      <c r="AB1879" s="25">
        <f>(SalesCleanTable[[#This Row],[Unit Price]] - SalesCleanTable[[#This Row],[Unit Cost]]) / SalesCleanTable[[#This Row],[Unit Price]]</f>
        <v>0.26530612244897961</v>
      </c>
      <c r="AC1879" t="str">
        <f>IF(SalesCleanTable[[#This Row],[Discount %]] &gt; SalesCleanTable[[#This Row],[Max Allowed Discount]], "Discount loss", "Safe")</f>
        <v>Safe</v>
      </c>
      <c r="AD1879" s="4">
        <f>SalesCleanTable[[#This Row],[Unit Price]] - SalesCleanTable[[#This Row],[Unit Cost]]</f>
        <v>6500</v>
      </c>
      <c r="AE1879" s="41">
        <f>(SalesCleanTable[[#This Row],[Unit Price]] - SalesCleanTable[[#This Row],[Unit Cost]]) / SalesCleanTable[[#This Row],[Unit Price]]</f>
        <v>0.26530612244897961</v>
      </c>
    </row>
    <row r="1880" spans="1:31">
      <c r="A1880" t="s">
        <v>2066</v>
      </c>
      <c r="B1880" s="6">
        <v>45789</v>
      </c>
      <c r="C1880" t="s">
        <v>45</v>
      </c>
      <c r="D1880" t="s">
        <v>46</v>
      </c>
      <c r="E1880" t="s">
        <v>38</v>
      </c>
      <c r="F1880" t="s">
        <v>47</v>
      </c>
      <c r="G1880" t="s">
        <v>48</v>
      </c>
      <c r="H1880" t="s">
        <v>139</v>
      </c>
      <c r="I1880" t="s">
        <v>140</v>
      </c>
      <c r="J1880" t="s">
        <v>137</v>
      </c>
      <c r="K1880" t="s">
        <v>138</v>
      </c>
      <c r="L1880" t="s">
        <v>166</v>
      </c>
      <c r="M1880" t="s">
        <v>171</v>
      </c>
      <c r="N1880">
        <v>1</v>
      </c>
      <c r="O1880" s="4">
        <v>230</v>
      </c>
      <c r="P1880" s="4">
        <v>400</v>
      </c>
      <c r="Q1880" s="7">
        <v>0.15</v>
      </c>
      <c r="R1880" t="s">
        <v>168</v>
      </c>
      <c r="S1880">
        <v>9</v>
      </c>
      <c r="T1880">
        <v>400</v>
      </c>
      <c r="U1880">
        <v>60</v>
      </c>
      <c r="V1880">
        <v>340</v>
      </c>
      <c r="W1880">
        <v>230</v>
      </c>
      <c r="X1880">
        <v>110</v>
      </c>
      <c r="Y1880" s="8">
        <v>0.3235294117647059</v>
      </c>
      <c r="Z1880" t="s">
        <v>2995</v>
      </c>
      <c r="AA1880" t="str">
        <f>IF(AND(SalesCleanTable[[#This Row],[Discount %]]&gt;0, SalesCleanTable[[#This Row],[Profit]]&lt;0), "Discount loss", "Safe")</f>
        <v>Safe</v>
      </c>
      <c r="AB1880" s="25">
        <f>(SalesCleanTable[[#This Row],[Unit Price]] - SalesCleanTable[[#This Row],[Unit Cost]]) / SalesCleanTable[[#This Row],[Unit Price]]</f>
        <v>0.42499999999999999</v>
      </c>
      <c r="AC1880" t="str">
        <f>IF(SalesCleanTable[[#This Row],[Discount %]] &gt; SalesCleanTable[[#This Row],[Max Allowed Discount]], "Discount loss", "Safe")</f>
        <v>Safe</v>
      </c>
      <c r="AD1880" s="4">
        <f>SalesCleanTable[[#This Row],[Unit Price]] - SalesCleanTable[[#This Row],[Unit Cost]]</f>
        <v>170</v>
      </c>
      <c r="AE1880" s="41">
        <f>(SalesCleanTable[[#This Row],[Unit Price]] - SalesCleanTable[[#This Row],[Unit Cost]]) / SalesCleanTable[[#This Row],[Unit Price]]</f>
        <v>0.42499999999999999</v>
      </c>
    </row>
    <row r="1881" spans="1:31">
      <c r="A1881" t="s">
        <v>2067</v>
      </c>
      <c r="B1881" s="6">
        <v>45900</v>
      </c>
      <c r="C1881" t="s">
        <v>41</v>
      </c>
      <c r="D1881" t="s">
        <v>42</v>
      </c>
      <c r="E1881" t="s">
        <v>26</v>
      </c>
      <c r="F1881" t="s">
        <v>43</v>
      </c>
      <c r="G1881" t="s">
        <v>44</v>
      </c>
      <c r="H1881" t="s">
        <v>135</v>
      </c>
      <c r="I1881" t="s">
        <v>136</v>
      </c>
      <c r="J1881" t="s">
        <v>137</v>
      </c>
      <c r="K1881" t="s">
        <v>138</v>
      </c>
      <c r="L1881" t="s">
        <v>183</v>
      </c>
      <c r="M1881" t="s">
        <v>171</v>
      </c>
      <c r="N1881">
        <v>3</v>
      </c>
      <c r="O1881" s="4">
        <v>850</v>
      </c>
      <c r="P1881" s="4">
        <v>1300</v>
      </c>
      <c r="Q1881" s="7">
        <v>0</v>
      </c>
      <c r="R1881" t="s">
        <v>197</v>
      </c>
      <c r="S1881">
        <v>5</v>
      </c>
      <c r="T1881">
        <v>3900</v>
      </c>
      <c r="U1881">
        <v>0</v>
      </c>
      <c r="V1881">
        <v>3900</v>
      </c>
      <c r="W1881">
        <v>2550</v>
      </c>
      <c r="X1881">
        <v>1350</v>
      </c>
      <c r="Y1881" s="8">
        <v>0.34615384615384615</v>
      </c>
      <c r="Z1881" t="s">
        <v>2995</v>
      </c>
      <c r="AA1881" t="str">
        <f>IF(AND(SalesCleanTable[[#This Row],[Discount %]]&gt;0, SalesCleanTable[[#This Row],[Profit]]&lt;0), "Discount loss", "Safe")</f>
        <v>Safe</v>
      </c>
      <c r="AB1881" s="25">
        <f>(SalesCleanTable[[#This Row],[Unit Price]] - SalesCleanTable[[#This Row],[Unit Cost]]) / SalesCleanTable[[#This Row],[Unit Price]]</f>
        <v>0.34615384615384615</v>
      </c>
      <c r="AC1881" t="str">
        <f>IF(SalesCleanTable[[#This Row],[Discount %]] &gt; SalesCleanTable[[#This Row],[Max Allowed Discount]], "Discount loss", "Safe")</f>
        <v>Safe</v>
      </c>
      <c r="AD1881" s="4">
        <f>SalesCleanTable[[#This Row],[Unit Price]] - SalesCleanTable[[#This Row],[Unit Cost]]</f>
        <v>450</v>
      </c>
      <c r="AE1881" s="41">
        <f>(SalesCleanTable[[#This Row],[Unit Price]] - SalesCleanTable[[#This Row],[Unit Cost]]) / SalesCleanTable[[#This Row],[Unit Price]]</f>
        <v>0.34615384615384615</v>
      </c>
    </row>
    <row r="1882" spans="1:31">
      <c r="A1882" t="s">
        <v>2068</v>
      </c>
      <c r="B1882" s="6">
        <v>45736</v>
      </c>
      <c r="C1882" t="s">
        <v>45</v>
      </c>
      <c r="D1882" t="s">
        <v>46</v>
      </c>
      <c r="E1882" t="s">
        <v>38</v>
      </c>
      <c r="F1882" t="s">
        <v>47</v>
      </c>
      <c r="G1882" t="s">
        <v>48</v>
      </c>
      <c r="H1882" t="s">
        <v>139</v>
      </c>
      <c r="I1882" t="s">
        <v>140</v>
      </c>
      <c r="J1882" t="s">
        <v>137</v>
      </c>
      <c r="K1882" t="s">
        <v>138</v>
      </c>
      <c r="L1882" t="s">
        <v>166</v>
      </c>
      <c r="M1882" t="s">
        <v>186</v>
      </c>
      <c r="N1882">
        <v>3</v>
      </c>
      <c r="O1882" s="4">
        <v>230</v>
      </c>
      <c r="P1882" s="4">
        <v>400</v>
      </c>
      <c r="Q1882" s="7">
        <v>0</v>
      </c>
      <c r="R1882" t="s">
        <v>175</v>
      </c>
      <c r="S1882">
        <v>4</v>
      </c>
      <c r="T1882">
        <v>1200</v>
      </c>
      <c r="U1882">
        <v>0</v>
      </c>
      <c r="V1882">
        <v>1200</v>
      </c>
      <c r="W1882">
        <v>690</v>
      </c>
      <c r="X1882">
        <v>510</v>
      </c>
      <c r="Y1882" s="8">
        <v>0.42499999999999999</v>
      </c>
      <c r="Z1882" t="s">
        <v>2995</v>
      </c>
      <c r="AA1882" t="str">
        <f>IF(AND(SalesCleanTable[[#This Row],[Discount %]]&gt;0, SalesCleanTable[[#This Row],[Profit]]&lt;0), "Discount loss", "Safe")</f>
        <v>Safe</v>
      </c>
      <c r="AB1882" s="25">
        <f>(SalesCleanTable[[#This Row],[Unit Price]] - SalesCleanTable[[#This Row],[Unit Cost]]) / SalesCleanTable[[#This Row],[Unit Price]]</f>
        <v>0.42499999999999999</v>
      </c>
      <c r="AC1882" t="str">
        <f>IF(SalesCleanTable[[#This Row],[Discount %]] &gt; SalesCleanTable[[#This Row],[Max Allowed Discount]], "Discount loss", "Safe")</f>
        <v>Safe</v>
      </c>
      <c r="AD1882" s="4">
        <f>SalesCleanTable[[#This Row],[Unit Price]] - SalesCleanTable[[#This Row],[Unit Cost]]</f>
        <v>170</v>
      </c>
      <c r="AE1882" s="41">
        <f>(SalesCleanTable[[#This Row],[Unit Price]] - SalesCleanTable[[#This Row],[Unit Cost]]) / SalesCleanTable[[#This Row],[Unit Price]]</f>
        <v>0.42499999999999999</v>
      </c>
    </row>
    <row r="1883" spans="1:31">
      <c r="A1883" t="s">
        <v>2069</v>
      </c>
      <c r="B1883" s="6">
        <v>45842</v>
      </c>
      <c r="C1883" t="s">
        <v>53</v>
      </c>
      <c r="D1883" t="s">
        <v>54</v>
      </c>
      <c r="E1883" t="s">
        <v>38</v>
      </c>
      <c r="F1883" t="s">
        <v>55</v>
      </c>
      <c r="G1883" t="s">
        <v>56</v>
      </c>
      <c r="H1883" t="s">
        <v>139</v>
      </c>
      <c r="I1883" t="s">
        <v>140</v>
      </c>
      <c r="J1883" t="s">
        <v>137</v>
      </c>
      <c r="K1883" t="s">
        <v>138</v>
      </c>
      <c r="L1883" t="s">
        <v>183</v>
      </c>
      <c r="M1883" t="s">
        <v>177</v>
      </c>
      <c r="N1883">
        <v>6</v>
      </c>
      <c r="O1883" s="4">
        <v>330</v>
      </c>
      <c r="P1883" s="4">
        <v>550</v>
      </c>
      <c r="Q1883" s="7">
        <v>0</v>
      </c>
      <c r="R1883" t="s">
        <v>168</v>
      </c>
      <c r="S1883">
        <v>1</v>
      </c>
      <c r="T1883">
        <v>3300</v>
      </c>
      <c r="U1883">
        <v>0</v>
      </c>
      <c r="V1883">
        <v>3300</v>
      </c>
      <c r="W1883">
        <v>1980</v>
      </c>
      <c r="X1883">
        <v>1320</v>
      </c>
      <c r="Y1883" s="8">
        <v>0.4</v>
      </c>
      <c r="Z1883" t="s">
        <v>2996</v>
      </c>
      <c r="AA1883" t="str">
        <f>IF(AND(SalesCleanTable[[#This Row],[Discount %]]&gt;0, SalesCleanTable[[#This Row],[Profit]]&lt;0), "Discount loss", "Safe")</f>
        <v>Safe</v>
      </c>
      <c r="AB1883" s="25">
        <f>(SalesCleanTable[[#This Row],[Unit Price]] - SalesCleanTable[[#This Row],[Unit Cost]]) / SalesCleanTable[[#This Row],[Unit Price]]</f>
        <v>0.4</v>
      </c>
      <c r="AC1883" t="str">
        <f>IF(SalesCleanTable[[#This Row],[Discount %]] &gt; SalesCleanTable[[#This Row],[Max Allowed Discount]], "Discount loss", "Safe")</f>
        <v>Safe</v>
      </c>
      <c r="AD1883" s="4">
        <f>SalesCleanTable[[#This Row],[Unit Price]] - SalesCleanTable[[#This Row],[Unit Cost]]</f>
        <v>220</v>
      </c>
      <c r="AE1883" s="41">
        <f>(SalesCleanTable[[#This Row],[Unit Price]] - SalesCleanTable[[#This Row],[Unit Cost]]) / SalesCleanTable[[#This Row],[Unit Price]]</f>
        <v>0.4</v>
      </c>
    </row>
    <row r="1884" spans="1:31">
      <c r="A1884" t="s">
        <v>2070</v>
      </c>
      <c r="B1884" s="6">
        <v>45797</v>
      </c>
      <c r="C1884" t="s">
        <v>116</v>
      </c>
      <c r="D1884" t="s">
        <v>117</v>
      </c>
      <c r="E1884" t="s">
        <v>109</v>
      </c>
      <c r="F1884" t="s">
        <v>118</v>
      </c>
      <c r="G1884" t="s">
        <v>119</v>
      </c>
      <c r="H1884" t="s">
        <v>135</v>
      </c>
      <c r="I1884" t="s">
        <v>136</v>
      </c>
      <c r="J1884" t="s">
        <v>137</v>
      </c>
      <c r="K1884" t="s">
        <v>138</v>
      </c>
      <c r="L1884" t="s">
        <v>183</v>
      </c>
      <c r="M1884" t="s">
        <v>167</v>
      </c>
      <c r="N1884">
        <v>4</v>
      </c>
      <c r="O1884" s="4">
        <v>2800</v>
      </c>
      <c r="P1884" s="4">
        <v>4200</v>
      </c>
      <c r="Q1884" s="7">
        <v>0.05</v>
      </c>
      <c r="R1884" t="s">
        <v>184</v>
      </c>
      <c r="S1884">
        <v>5</v>
      </c>
      <c r="T1884">
        <v>16800</v>
      </c>
      <c r="U1884">
        <v>840</v>
      </c>
      <c r="V1884">
        <v>15960</v>
      </c>
      <c r="W1884">
        <v>11200</v>
      </c>
      <c r="X1884">
        <v>4760</v>
      </c>
      <c r="Y1884" s="8">
        <v>0.2982456140350877</v>
      </c>
      <c r="Z1884" t="s">
        <v>2995</v>
      </c>
      <c r="AA1884" t="str">
        <f>IF(AND(SalesCleanTable[[#This Row],[Discount %]]&gt;0, SalesCleanTable[[#This Row],[Profit]]&lt;0), "Discount loss", "Safe")</f>
        <v>Safe</v>
      </c>
      <c r="AB1884" s="25">
        <f>(SalesCleanTable[[#This Row],[Unit Price]] - SalesCleanTable[[#This Row],[Unit Cost]]) / SalesCleanTable[[#This Row],[Unit Price]]</f>
        <v>0.33333333333333331</v>
      </c>
      <c r="AC1884" t="str">
        <f>IF(SalesCleanTable[[#This Row],[Discount %]] &gt; SalesCleanTable[[#This Row],[Max Allowed Discount]], "Discount loss", "Safe")</f>
        <v>Safe</v>
      </c>
      <c r="AD1884" s="4">
        <f>SalesCleanTable[[#This Row],[Unit Price]] - SalesCleanTable[[#This Row],[Unit Cost]]</f>
        <v>1400</v>
      </c>
      <c r="AE1884" s="41">
        <f>(SalesCleanTable[[#This Row],[Unit Price]] - SalesCleanTable[[#This Row],[Unit Cost]]) / SalesCleanTable[[#This Row],[Unit Price]]</f>
        <v>0.33333333333333331</v>
      </c>
    </row>
    <row r="1885" spans="1:31">
      <c r="A1885" t="s">
        <v>2071</v>
      </c>
      <c r="B1885" s="6">
        <v>45935</v>
      </c>
      <c r="C1885" t="s">
        <v>57</v>
      </c>
      <c r="D1885" t="s">
        <v>58</v>
      </c>
      <c r="E1885" t="s">
        <v>59</v>
      </c>
      <c r="F1885" t="s">
        <v>60</v>
      </c>
      <c r="G1885" t="s">
        <v>61</v>
      </c>
      <c r="H1885" t="s">
        <v>139</v>
      </c>
      <c r="I1885" t="s">
        <v>140</v>
      </c>
      <c r="J1885" t="s">
        <v>137</v>
      </c>
      <c r="K1885" t="s">
        <v>138</v>
      </c>
      <c r="L1885" t="s">
        <v>166</v>
      </c>
      <c r="M1885" t="s">
        <v>171</v>
      </c>
      <c r="N1885">
        <v>8</v>
      </c>
      <c r="O1885" s="4">
        <v>2400</v>
      </c>
      <c r="P1885" s="4">
        <v>3400</v>
      </c>
      <c r="Q1885" s="7">
        <v>0.05</v>
      </c>
      <c r="R1885" t="s">
        <v>173</v>
      </c>
      <c r="S1885">
        <v>14</v>
      </c>
      <c r="T1885">
        <v>27200</v>
      </c>
      <c r="U1885">
        <v>1360</v>
      </c>
      <c r="V1885">
        <v>25840</v>
      </c>
      <c r="W1885">
        <v>19200</v>
      </c>
      <c r="X1885">
        <v>6640</v>
      </c>
      <c r="Y1885" s="8">
        <v>0.25696594427244585</v>
      </c>
      <c r="Z1885" t="s">
        <v>2996</v>
      </c>
      <c r="AA1885" t="str">
        <f>IF(AND(SalesCleanTable[[#This Row],[Discount %]]&gt;0, SalesCleanTable[[#This Row],[Profit]]&lt;0), "Discount loss", "Safe")</f>
        <v>Safe</v>
      </c>
      <c r="AB1885" s="25">
        <f>(SalesCleanTable[[#This Row],[Unit Price]] - SalesCleanTable[[#This Row],[Unit Cost]]) / SalesCleanTable[[#This Row],[Unit Price]]</f>
        <v>0.29411764705882354</v>
      </c>
      <c r="AC1885" t="str">
        <f>IF(SalesCleanTable[[#This Row],[Discount %]] &gt; SalesCleanTable[[#This Row],[Max Allowed Discount]], "Discount loss", "Safe")</f>
        <v>Safe</v>
      </c>
      <c r="AD1885" s="4">
        <f>SalesCleanTable[[#This Row],[Unit Price]] - SalesCleanTable[[#This Row],[Unit Cost]]</f>
        <v>1000</v>
      </c>
      <c r="AE1885" s="41">
        <f>(SalesCleanTable[[#This Row],[Unit Price]] - SalesCleanTable[[#This Row],[Unit Cost]]) / SalesCleanTable[[#This Row],[Unit Price]]</f>
        <v>0.29411764705882354</v>
      </c>
    </row>
    <row r="1886" spans="1:31">
      <c r="A1886" t="s">
        <v>2072</v>
      </c>
      <c r="B1886" s="6">
        <v>45728</v>
      </c>
      <c r="C1886" t="s">
        <v>57</v>
      </c>
      <c r="D1886" t="s">
        <v>58</v>
      </c>
      <c r="E1886" t="s">
        <v>59</v>
      </c>
      <c r="F1886" t="s">
        <v>60</v>
      </c>
      <c r="G1886" t="s">
        <v>61</v>
      </c>
      <c r="H1886" t="s">
        <v>135</v>
      </c>
      <c r="I1886" t="s">
        <v>136</v>
      </c>
      <c r="J1886" t="s">
        <v>137</v>
      </c>
      <c r="K1886" t="s">
        <v>138</v>
      </c>
      <c r="L1886" t="s">
        <v>170</v>
      </c>
      <c r="M1886" t="s">
        <v>171</v>
      </c>
      <c r="N1886">
        <v>1</v>
      </c>
      <c r="O1886" s="4">
        <v>2400</v>
      </c>
      <c r="P1886" s="4">
        <v>3400</v>
      </c>
      <c r="Q1886" s="7">
        <v>0.15</v>
      </c>
      <c r="R1886" t="s">
        <v>204</v>
      </c>
      <c r="S1886">
        <v>6</v>
      </c>
      <c r="T1886">
        <v>3400</v>
      </c>
      <c r="U1886">
        <v>510</v>
      </c>
      <c r="V1886">
        <v>2890</v>
      </c>
      <c r="W1886">
        <v>2400</v>
      </c>
      <c r="X1886">
        <v>490</v>
      </c>
      <c r="Y1886" s="8">
        <v>0.16955017301038061</v>
      </c>
      <c r="Z1886" t="s">
        <v>2996</v>
      </c>
      <c r="AA1886" t="str">
        <f>IF(AND(SalesCleanTable[[#This Row],[Discount %]]&gt;0, SalesCleanTable[[#This Row],[Profit]]&lt;0), "Discount loss", "Safe")</f>
        <v>Safe</v>
      </c>
      <c r="AB1886" s="25">
        <f>(SalesCleanTable[[#This Row],[Unit Price]] - SalesCleanTable[[#This Row],[Unit Cost]]) / SalesCleanTable[[#This Row],[Unit Price]]</f>
        <v>0.29411764705882354</v>
      </c>
      <c r="AC1886" t="str">
        <f>IF(SalesCleanTable[[#This Row],[Discount %]] &gt; SalesCleanTable[[#This Row],[Max Allowed Discount]], "Discount loss", "Safe")</f>
        <v>Safe</v>
      </c>
      <c r="AD1886" s="4">
        <f>SalesCleanTable[[#This Row],[Unit Price]] - SalesCleanTable[[#This Row],[Unit Cost]]</f>
        <v>1000</v>
      </c>
      <c r="AE1886" s="41">
        <f>(SalesCleanTable[[#This Row],[Unit Price]] - SalesCleanTable[[#This Row],[Unit Cost]]) / SalesCleanTable[[#This Row],[Unit Price]]</f>
        <v>0.29411764705882354</v>
      </c>
    </row>
    <row r="1887" spans="1:31">
      <c r="A1887" t="s">
        <v>2073</v>
      </c>
      <c r="B1887" s="6">
        <v>45829</v>
      </c>
      <c r="C1887" t="s">
        <v>45</v>
      </c>
      <c r="D1887" t="s">
        <v>46</v>
      </c>
      <c r="E1887" t="s">
        <v>38</v>
      </c>
      <c r="F1887" t="s">
        <v>47</v>
      </c>
      <c r="G1887" t="s">
        <v>48</v>
      </c>
      <c r="H1887" t="s">
        <v>135</v>
      </c>
      <c r="I1887" t="s">
        <v>136</v>
      </c>
      <c r="J1887" t="s">
        <v>137</v>
      </c>
      <c r="K1887" t="s">
        <v>138</v>
      </c>
      <c r="L1887" t="s">
        <v>166</v>
      </c>
      <c r="M1887" t="s">
        <v>171</v>
      </c>
      <c r="N1887">
        <v>2</v>
      </c>
      <c r="O1887" s="4">
        <v>230</v>
      </c>
      <c r="P1887" s="4">
        <v>400</v>
      </c>
      <c r="Q1887" s="7">
        <v>0</v>
      </c>
      <c r="R1887" t="s">
        <v>168</v>
      </c>
      <c r="S1887">
        <v>1</v>
      </c>
      <c r="T1887">
        <v>800</v>
      </c>
      <c r="U1887">
        <v>0</v>
      </c>
      <c r="V1887">
        <v>800</v>
      </c>
      <c r="W1887">
        <v>460</v>
      </c>
      <c r="X1887">
        <v>340</v>
      </c>
      <c r="Y1887" s="8">
        <v>0.42499999999999999</v>
      </c>
      <c r="Z1887" t="s">
        <v>2995</v>
      </c>
      <c r="AA1887" t="str">
        <f>IF(AND(SalesCleanTable[[#This Row],[Discount %]]&gt;0, SalesCleanTable[[#This Row],[Profit]]&lt;0), "Discount loss", "Safe")</f>
        <v>Safe</v>
      </c>
      <c r="AB1887" s="25">
        <f>(SalesCleanTable[[#This Row],[Unit Price]] - SalesCleanTable[[#This Row],[Unit Cost]]) / SalesCleanTable[[#This Row],[Unit Price]]</f>
        <v>0.42499999999999999</v>
      </c>
      <c r="AC1887" t="str">
        <f>IF(SalesCleanTable[[#This Row],[Discount %]] &gt; SalesCleanTable[[#This Row],[Max Allowed Discount]], "Discount loss", "Safe")</f>
        <v>Safe</v>
      </c>
      <c r="AD1887" s="4">
        <f>SalesCleanTable[[#This Row],[Unit Price]] - SalesCleanTable[[#This Row],[Unit Cost]]</f>
        <v>170</v>
      </c>
      <c r="AE1887" s="41">
        <f>(SalesCleanTable[[#This Row],[Unit Price]] - SalesCleanTable[[#This Row],[Unit Cost]]) / SalesCleanTable[[#This Row],[Unit Price]]</f>
        <v>0.42499999999999999</v>
      </c>
    </row>
    <row r="1888" spans="1:31">
      <c r="A1888" t="s">
        <v>2074</v>
      </c>
      <c r="B1888" s="6">
        <v>45828</v>
      </c>
      <c r="C1888" t="s">
        <v>107</v>
      </c>
      <c r="D1888" t="s">
        <v>108</v>
      </c>
      <c r="E1888" t="s">
        <v>109</v>
      </c>
      <c r="F1888" t="s">
        <v>110</v>
      </c>
      <c r="G1888" t="s">
        <v>111</v>
      </c>
      <c r="H1888" t="s">
        <v>135</v>
      </c>
      <c r="I1888" t="s">
        <v>136</v>
      </c>
      <c r="J1888" t="s">
        <v>137</v>
      </c>
      <c r="K1888" t="s">
        <v>138</v>
      </c>
      <c r="L1888" t="s">
        <v>166</v>
      </c>
      <c r="M1888" t="s">
        <v>177</v>
      </c>
      <c r="N1888">
        <v>1</v>
      </c>
      <c r="O1888" s="4">
        <v>5200</v>
      </c>
      <c r="P1888" s="4">
        <v>7000</v>
      </c>
      <c r="Q1888" s="7">
        <v>0.2</v>
      </c>
      <c r="R1888" t="s">
        <v>184</v>
      </c>
      <c r="S1888">
        <v>2</v>
      </c>
      <c r="T1888">
        <v>7000</v>
      </c>
      <c r="U1888">
        <v>1400</v>
      </c>
      <c r="V1888">
        <v>5600</v>
      </c>
      <c r="W1888">
        <v>5200</v>
      </c>
      <c r="X1888">
        <v>400</v>
      </c>
      <c r="Y1888" s="8">
        <v>7.1428571428571425E-2</v>
      </c>
      <c r="Z1888" t="s">
        <v>2997</v>
      </c>
      <c r="AA1888" t="str">
        <f>IF(AND(SalesCleanTable[[#This Row],[Discount %]]&gt;0, SalesCleanTable[[#This Row],[Profit]]&lt;0), "Discount loss", "Safe")</f>
        <v>Safe</v>
      </c>
      <c r="AB1888" s="25">
        <f>(SalesCleanTable[[#This Row],[Unit Price]] - SalesCleanTable[[#This Row],[Unit Cost]]) / SalesCleanTable[[#This Row],[Unit Price]]</f>
        <v>0.25714285714285712</v>
      </c>
      <c r="AC1888" t="str">
        <f>IF(SalesCleanTable[[#This Row],[Discount %]] &gt; SalesCleanTable[[#This Row],[Max Allowed Discount]], "Discount loss", "Safe")</f>
        <v>Safe</v>
      </c>
      <c r="AD1888" s="4">
        <f>SalesCleanTable[[#This Row],[Unit Price]] - SalesCleanTable[[#This Row],[Unit Cost]]</f>
        <v>1800</v>
      </c>
      <c r="AE1888" s="41">
        <f>(SalesCleanTable[[#This Row],[Unit Price]] - SalesCleanTable[[#This Row],[Unit Cost]]) / SalesCleanTable[[#This Row],[Unit Price]]</f>
        <v>0.25714285714285712</v>
      </c>
    </row>
    <row r="1889" spans="1:31">
      <c r="A1889" t="s">
        <v>2075</v>
      </c>
      <c r="B1889" s="6">
        <v>45709</v>
      </c>
      <c r="C1889" t="s">
        <v>112</v>
      </c>
      <c r="D1889" t="s">
        <v>113</v>
      </c>
      <c r="E1889" t="s">
        <v>109</v>
      </c>
      <c r="F1889" t="s">
        <v>114</v>
      </c>
      <c r="G1889" t="s">
        <v>115</v>
      </c>
      <c r="H1889" t="s">
        <v>153</v>
      </c>
      <c r="I1889" t="s">
        <v>154</v>
      </c>
      <c r="J1889" t="s">
        <v>155</v>
      </c>
      <c r="K1889" t="s">
        <v>131</v>
      </c>
      <c r="L1889" t="s">
        <v>166</v>
      </c>
      <c r="M1889" t="s">
        <v>171</v>
      </c>
      <c r="N1889">
        <v>2</v>
      </c>
      <c r="O1889" s="4">
        <v>1300</v>
      </c>
      <c r="P1889" s="4">
        <v>2100</v>
      </c>
      <c r="Q1889" s="7">
        <v>0.05</v>
      </c>
      <c r="R1889" t="s">
        <v>184</v>
      </c>
      <c r="S1889">
        <v>1</v>
      </c>
      <c r="T1889">
        <v>4200</v>
      </c>
      <c r="U1889">
        <v>210</v>
      </c>
      <c r="V1889">
        <v>3990</v>
      </c>
      <c r="W1889">
        <v>2600</v>
      </c>
      <c r="X1889">
        <v>1390</v>
      </c>
      <c r="Y1889" s="8">
        <v>0.34837092731829572</v>
      </c>
      <c r="Z1889" t="s">
        <v>2995</v>
      </c>
      <c r="AA1889" t="str">
        <f>IF(AND(SalesCleanTable[[#This Row],[Discount %]]&gt;0, SalesCleanTable[[#This Row],[Profit]]&lt;0), "Discount loss", "Safe")</f>
        <v>Safe</v>
      </c>
      <c r="AB1889" s="25">
        <f>(SalesCleanTable[[#This Row],[Unit Price]] - SalesCleanTable[[#This Row],[Unit Cost]]) / SalesCleanTable[[#This Row],[Unit Price]]</f>
        <v>0.38095238095238093</v>
      </c>
      <c r="AC1889" t="str">
        <f>IF(SalesCleanTable[[#This Row],[Discount %]] &gt; SalesCleanTable[[#This Row],[Max Allowed Discount]], "Discount loss", "Safe")</f>
        <v>Safe</v>
      </c>
      <c r="AD1889" s="4">
        <f>SalesCleanTable[[#This Row],[Unit Price]] - SalesCleanTable[[#This Row],[Unit Cost]]</f>
        <v>800</v>
      </c>
      <c r="AE1889" s="41">
        <f>(SalesCleanTable[[#This Row],[Unit Price]] - SalesCleanTable[[#This Row],[Unit Cost]]) / SalesCleanTable[[#This Row],[Unit Price]]</f>
        <v>0.38095238095238093</v>
      </c>
    </row>
    <row r="1890" spans="1:31">
      <c r="A1890" t="s">
        <v>2076</v>
      </c>
      <c r="B1890" s="6">
        <v>45809</v>
      </c>
      <c r="C1890" t="s">
        <v>82</v>
      </c>
      <c r="D1890" t="s">
        <v>83</v>
      </c>
      <c r="E1890" t="s">
        <v>75</v>
      </c>
      <c r="F1890" t="s">
        <v>84</v>
      </c>
      <c r="G1890" t="s">
        <v>85</v>
      </c>
      <c r="H1890" t="s">
        <v>135</v>
      </c>
      <c r="I1890" t="s">
        <v>136</v>
      </c>
      <c r="J1890" t="s">
        <v>137</v>
      </c>
      <c r="K1890" t="s">
        <v>138</v>
      </c>
      <c r="L1890" t="s">
        <v>166</v>
      </c>
      <c r="M1890" t="s">
        <v>171</v>
      </c>
      <c r="N1890">
        <v>2</v>
      </c>
      <c r="O1890" s="4">
        <v>600</v>
      </c>
      <c r="P1890" s="4">
        <v>950</v>
      </c>
      <c r="Q1890" s="7">
        <v>0.1</v>
      </c>
      <c r="R1890" t="s">
        <v>208</v>
      </c>
      <c r="S1890">
        <v>12</v>
      </c>
      <c r="T1890">
        <v>1900</v>
      </c>
      <c r="U1890">
        <v>190</v>
      </c>
      <c r="V1890">
        <v>1710</v>
      </c>
      <c r="W1890">
        <v>1200</v>
      </c>
      <c r="X1890">
        <v>510</v>
      </c>
      <c r="Y1890" s="8">
        <v>0.2982456140350877</v>
      </c>
      <c r="Z1890" t="s">
        <v>2996</v>
      </c>
      <c r="AA1890" t="str">
        <f>IF(AND(SalesCleanTable[[#This Row],[Discount %]]&gt;0, SalesCleanTable[[#This Row],[Profit]]&lt;0), "Discount loss", "Safe")</f>
        <v>Safe</v>
      </c>
      <c r="AB1890" s="25">
        <f>(SalesCleanTable[[#This Row],[Unit Price]] - SalesCleanTable[[#This Row],[Unit Cost]]) / SalesCleanTable[[#This Row],[Unit Price]]</f>
        <v>0.36842105263157893</v>
      </c>
      <c r="AC1890" t="str">
        <f>IF(SalesCleanTable[[#This Row],[Discount %]] &gt; SalesCleanTable[[#This Row],[Max Allowed Discount]], "Discount loss", "Safe")</f>
        <v>Safe</v>
      </c>
      <c r="AD1890" s="4">
        <f>SalesCleanTable[[#This Row],[Unit Price]] - SalesCleanTable[[#This Row],[Unit Cost]]</f>
        <v>350</v>
      </c>
      <c r="AE1890" s="41">
        <f>(SalesCleanTable[[#This Row],[Unit Price]] - SalesCleanTable[[#This Row],[Unit Cost]]) / SalesCleanTable[[#This Row],[Unit Price]]</f>
        <v>0.36842105263157893</v>
      </c>
    </row>
    <row r="1891" spans="1:31">
      <c r="A1891" t="s">
        <v>2077</v>
      </c>
      <c r="B1891" s="6">
        <v>45777</v>
      </c>
      <c r="C1891" t="s">
        <v>45</v>
      </c>
      <c r="D1891" t="s">
        <v>46</v>
      </c>
      <c r="E1891" t="s">
        <v>38</v>
      </c>
      <c r="F1891" t="s">
        <v>47</v>
      </c>
      <c r="G1891" t="s">
        <v>48</v>
      </c>
      <c r="H1891" t="s">
        <v>149</v>
      </c>
      <c r="I1891" t="s">
        <v>150</v>
      </c>
      <c r="J1891" t="s">
        <v>151</v>
      </c>
      <c r="K1891" t="s">
        <v>152</v>
      </c>
      <c r="L1891" t="s">
        <v>183</v>
      </c>
      <c r="M1891" t="s">
        <v>171</v>
      </c>
      <c r="N1891">
        <v>2</v>
      </c>
      <c r="O1891" s="4">
        <v>230</v>
      </c>
      <c r="P1891" s="4">
        <v>400</v>
      </c>
      <c r="Q1891" s="7">
        <v>0.2</v>
      </c>
      <c r="R1891" t="s">
        <v>178</v>
      </c>
      <c r="S1891">
        <v>11</v>
      </c>
      <c r="T1891">
        <v>800</v>
      </c>
      <c r="U1891">
        <v>160</v>
      </c>
      <c r="V1891">
        <v>640</v>
      </c>
      <c r="W1891">
        <v>460</v>
      </c>
      <c r="X1891">
        <v>180</v>
      </c>
      <c r="Y1891" s="8">
        <v>0.28125</v>
      </c>
      <c r="Z1891" t="s">
        <v>2995</v>
      </c>
      <c r="AA1891" t="str">
        <f>IF(AND(SalesCleanTable[[#This Row],[Discount %]]&gt;0, SalesCleanTable[[#This Row],[Profit]]&lt;0), "Discount loss", "Safe")</f>
        <v>Safe</v>
      </c>
      <c r="AB1891" s="25">
        <f>(SalesCleanTable[[#This Row],[Unit Price]] - SalesCleanTable[[#This Row],[Unit Cost]]) / SalesCleanTable[[#This Row],[Unit Price]]</f>
        <v>0.42499999999999999</v>
      </c>
      <c r="AC1891" t="str">
        <f>IF(SalesCleanTable[[#This Row],[Discount %]] &gt; SalesCleanTable[[#This Row],[Max Allowed Discount]], "Discount loss", "Safe")</f>
        <v>Safe</v>
      </c>
      <c r="AD1891" s="4">
        <f>SalesCleanTable[[#This Row],[Unit Price]] - SalesCleanTable[[#This Row],[Unit Cost]]</f>
        <v>170</v>
      </c>
      <c r="AE1891" s="41">
        <f>(SalesCleanTable[[#This Row],[Unit Price]] - SalesCleanTable[[#This Row],[Unit Cost]]) / SalesCleanTable[[#This Row],[Unit Price]]</f>
        <v>0.42499999999999999</v>
      </c>
    </row>
    <row r="1892" spans="1:31">
      <c r="A1892" t="s">
        <v>2078</v>
      </c>
      <c r="B1892" s="6">
        <v>45882</v>
      </c>
      <c r="C1892" t="s">
        <v>107</v>
      </c>
      <c r="D1892" t="s">
        <v>108</v>
      </c>
      <c r="E1892" t="s">
        <v>109</v>
      </c>
      <c r="F1892" t="s">
        <v>110</v>
      </c>
      <c r="G1892" t="s">
        <v>111</v>
      </c>
      <c r="H1892" t="s">
        <v>145</v>
      </c>
      <c r="I1892" t="s">
        <v>146</v>
      </c>
      <c r="J1892" t="s">
        <v>147</v>
      </c>
      <c r="K1892" t="s">
        <v>148</v>
      </c>
      <c r="L1892" t="s">
        <v>170</v>
      </c>
      <c r="M1892" t="s">
        <v>177</v>
      </c>
      <c r="N1892">
        <v>6</v>
      </c>
      <c r="O1892" s="4">
        <v>5200</v>
      </c>
      <c r="P1892" s="4">
        <v>7000</v>
      </c>
      <c r="Q1892" s="7">
        <v>0.1</v>
      </c>
      <c r="R1892" t="s">
        <v>220</v>
      </c>
      <c r="S1892">
        <v>13</v>
      </c>
      <c r="T1892">
        <v>42000</v>
      </c>
      <c r="U1892">
        <v>4200</v>
      </c>
      <c r="V1892">
        <v>37800</v>
      </c>
      <c r="W1892">
        <v>31200</v>
      </c>
      <c r="X1892">
        <v>6600</v>
      </c>
      <c r="Y1892" s="8">
        <v>0.17460317460317459</v>
      </c>
      <c r="Z1892" t="s">
        <v>2997</v>
      </c>
      <c r="AA1892" t="str">
        <f>IF(AND(SalesCleanTable[[#This Row],[Discount %]]&gt;0, SalesCleanTable[[#This Row],[Profit]]&lt;0), "Discount loss", "Safe")</f>
        <v>Safe</v>
      </c>
      <c r="AB1892" s="25">
        <f>(SalesCleanTable[[#This Row],[Unit Price]] - SalesCleanTable[[#This Row],[Unit Cost]]) / SalesCleanTable[[#This Row],[Unit Price]]</f>
        <v>0.25714285714285712</v>
      </c>
      <c r="AC1892" t="str">
        <f>IF(SalesCleanTable[[#This Row],[Discount %]] &gt; SalesCleanTable[[#This Row],[Max Allowed Discount]], "Discount loss", "Safe")</f>
        <v>Safe</v>
      </c>
      <c r="AD1892" s="4">
        <f>SalesCleanTable[[#This Row],[Unit Price]] - SalesCleanTable[[#This Row],[Unit Cost]]</f>
        <v>1800</v>
      </c>
      <c r="AE1892" s="41">
        <f>(SalesCleanTable[[#This Row],[Unit Price]] - SalesCleanTable[[#This Row],[Unit Cost]]) / SalesCleanTable[[#This Row],[Unit Price]]</f>
        <v>0.25714285714285712</v>
      </c>
    </row>
    <row r="1893" spans="1:31">
      <c r="A1893" t="s">
        <v>2079</v>
      </c>
      <c r="B1893" s="6">
        <v>45683</v>
      </c>
      <c r="C1893" t="s">
        <v>29</v>
      </c>
      <c r="D1893" t="s">
        <v>30</v>
      </c>
      <c r="E1893" t="s">
        <v>26</v>
      </c>
      <c r="F1893" t="s">
        <v>27</v>
      </c>
      <c r="G1893" t="s">
        <v>31</v>
      </c>
      <c r="H1893" t="s">
        <v>128</v>
      </c>
      <c r="I1893" t="s">
        <v>129</v>
      </c>
      <c r="J1893" t="s">
        <v>130</v>
      </c>
      <c r="K1893" t="s">
        <v>131</v>
      </c>
      <c r="L1893" t="s">
        <v>166</v>
      </c>
      <c r="M1893" t="s">
        <v>171</v>
      </c>
      <c r="N1893">
        <v>1</v>
      </c>
      <c r="O1893" s="4">
        <v>6200</v>
      </c>
      <c r="P1893" s="4">
        <v>7900</v>
      </c>
      <c r="Q1893" s="7">
        <v>0.1</v>
      </c>
      <c r="R1893" t="s">
        <v>173</v>
      </c>
      <c r="S1893">
        <v>11</v>
      </c>
      <c r="T1893">
        <v>7900</v>
      </c>
      <c r="U1893">
        <v>790</v>
      </c>
      <c r="V1893">
        <v>7110</v>
      </c>
      <c r="W1893">
        <v>6200</v>
      </c>
      <c r="X1893">
        <v>910</v>
      </c>
      <c r="Y1893" s="8">
        <v>0.12798874824191281</v>
      </c>
      <c r="Z1893" t="s">
        <v>2996</v>
      </c>
      <c r="AA1893" t="str">
        <f>IF(AND(SalesCleanTable[[#This Row],[Discount %]]&gt;0, SalesCleanTable[[#This Row],[Profit]]&lt;0), "Discount loss", "Safe")</f>
        <v>Safe</v>
      </c>
      <c r="AB1893" s="25">
        <f>(SalesCleanTable[[#This Row],[Unit Price]] - SalesCleanTable[[#This Row],[Unit Cost]]) / SalesCleanTable[[#This Row],[Unit Price]]</f>
        <v>0.21518987341772153</v>
      </c>
      <c r="AC1893" t="str">
        <f>IF(SalesCleanTable[[#This Row],[Discount %]] &gt; SalesCleanTable[[#This Row],[Max Allowed Discount]], "Discount loss", "Safe")</f>
        <v>Safe</v>
      </c>
      <c r="AD1893" s="4">
        <f>SalesCleanTable[[#This Row],[Unit Price]] - SalesCleanTable[[#This Row],[Unit Cost]]</f>
        <v>1700</v>
      </c>
      <c r="AE1893" s="41">
        <f>(SalesCleanTable[[#This Row],[Unit Price]] - SalesCleanTable[[#This Row],[Unit Cost]]) / SalesCleanTable[[#This Row],[Unit Price]]</f>
        <v>0.21518987341772153</v>
      </c>
    </row>
    <row r="1894" spans="1:31">
      <c r="A1894" t="s">
        <v>2080</v>
      </c>
      <c r="B1894" s="6">
        <v>45790</v>
      </c>
      <c r="C1894" t="s">
        <v>53</v>
      </c>
      <c r="D1894" t="s">
        <v>54</v>
      </c>
      <c r="E1894" t="s">
        <v>38</v>
      </c>
      <c r="F1894" t="s">
        <v>55</v>
      </c>
      <c r="G1894" t="s">
        <v>56</v>
      </c>
      <c r="H1894" t="s">
        <v>149</v>
      </c>
      <c r="I1894" t="s">
        <v>150</v>
      </c>
      <c r="J1894" t="s">
        <v>151</v>
      </c>
      <c r="K1894" t="s">
        <v>152</v>
      </c>
      <c r="L1894" t="s">
        <v>166</v>
      </c>
      <c r="M1894" t="s">
        <v>171</v>
      </c>
      <c r="N1894">
        <v>2</v>
      </c>
      <c r="O1894" s="4">
        <v>330</v>
      </c>
      <c r="P1894" s="4">
        <v>550</v>
      </c>
      <c r="Q1894" s="7">
        <v>0.05</v>
      </c>
      <c r="R1894" t="s">
        <v>178</v>
      </c>
      <c r="S1894">
        <v>13</v>
      </c>
      <c r="T1894">
        <v>1100</v>
      </c>
      <c r="U1894">
        <v>55</v>
      </c>
      <c r="V1894">
        <v>1045</v>
      </c>
      <c r="W1894">
        <v>660</v>
      </c>
      <c r="X1894">
        <v>385</v>
      </c>
      <c r="Y1894" s="8">
        <v>0.36842105263157893</v>
      </c>
      <c r="Z1894" t="s">
        <v>2996</v>
      </c>
      <c r="AA1894" t="str">
        <f>IF(AND(SalesCleanTable[[#This Row],[Discount %]]&gt;0, SalesCleanTable[[#This Row],[Profit]]&lt;0), "Discount loss", "Safe")</f>
        <v>Safe</v>
      </c>
      <c r="AB1894" s="25">
        <f>(SalesCleanTable[[#This Row],[Unit Price]] - SalesCleanTable[[#This Row],[Unit Cost]]) / SalesCleanTable[[#This Row],[Unit Price]]</f>
        <v>0.4</v>
      </c>
      <c r="AC1894" t="str">
        <f>IF(SalesCleanTable[[#This Row],[Discount %]] &gt; SalesCleanTable[[#This Row],[Max Allowed Discount]], "Discount loss", "Safe")</f>
        <v>Safe</v>
      </c>
      <c r="AD1894" s="4">
        <f>SalesCleanTable[[#This Row],[Unit Price]] - SalesCleanTable[[#This Row],[Unit Cost]]</f>
        <v>220</v>
      </c>
      <c r="AE1894" s="41">
        <f>(SalesCleanTable[[#This Row],[Unit Price]] - SalesCleanTable[[#This Row],[Unit Cost]]) / SalesCleanTable[[#This Row],[Unit Price]]</f>
        <v>0.4</v>
      </c>
    </row>
    <row r="1895" spans="1:31">
      <c r="A1895" t="s">
        <v>2081</v>
      </c>
      <c r="B1895" s="6">
        <v>45755</v>
      </c>
      <c r="C1895" t="s">
        <v>99</v>
      </c>
      <c r="D1895" t="s">
        <v>100</v>
      </c>
      <c r="E1895" t="s">
        <v>92</v>
      </c>
      <c r="F1895" t="s">
        <v>101</v>
      </c>
      <c r="G1895" t="s">
        <v>102</v>
      </c>
      <c r="H1895" t="s">
        <v>139</v>
      </c>
      <c r="I1895" t="s">
        <v>140</v>
      </c>
      <c r="J1895" t="s">
        <v>137</v>
      </c>
      <c r="K1895" t="s">
        <v>138</v>
      </c>
      <c r="L1895" t="s">
        <v>183</v>
      </c>
      <c r="M1895" t="s">
        <v>171</v>
      </c>
      <c r="N1895">
        <v>3</v>
      </c>
      <c r="O1895" s="4">
        <v>12500</v>
      </c>
      <c r="P1895" s="4">
        <v>18500</v>
      </c>
      <c r="Q1895" s="7">
        <v>0.2</v>
      </c>
      <c r="R1895" t="s">
        <v>217</v>
      </c>
      <c r="S1895">
        <v>11</v>
      </c>
      <c r="T1895">
        <v>55500</v>
      </c>
      <c r="U1895">
        <v>11100</v>
      </c>
      <c r="V1895">
        <v>44400</v>
      </c>
      <c r="W1895">
        <v>37500</v>
      </c>
      <c r="X1895">
        <v>6900</v>
      </c>
      <c r="Y1895" s="8">
        <v>0.1554054054054054</v>
      </c>
      <c r="Z1895" t="s">
        <v>2995</v>
      </c>
      <c r="AA1895" t="str">
        <f>IF(AND(SalesCleanTable[[#This Row],[Discount %]]&gt;0, SalesCleanTable[[#This Row],[Profit]]&lt;0), "Discount loss", "Safe")</f>
        <v>Safe</v>
      </c>
      <c r="AB1895" s="25">
        <f>(SalesCleanTable[[#This Row],[Unit Price]] - SalesCleanTable[[#This Row],[Unit Cost]]) / SalesCleanTable[[#This Row],[Unit Price]]</f>
        <v>0.32432432432432434</v>
      </c>
      <c r="AC1895" t="str">
        <f>IF(SalesCleanTable[[#This Row],[Discount %]] &gt; SalesCleanTable[[#This Row],[Max Allowed Discount]], "Discount loss", "Safe")</f>
        <v>Safe</v>
      </c>
      <c r="AD1895" s="4">
        <f>SalesCleanTable[[#This Row],[Unit Price]] - SalesCleanTable[[#This Row],[Unit Cost]]</f>
        <v>6000</v>
      </c>
      <c r="AE1895" s="41">
        <f>(SalesCleanTable[[#This Row],[Unit Price]] - SalesCleanTable[[#This Row],[Unit Cost]]) / SalesCleanTable[[#This Row],[Unit Price]]</f>
        <v>0.32432432432432434</v>
      </c>
    </row>
    <row r="1896" spans="1:31">
      <c r="A1896" t="s">
        <v>2082</v>
      </c>
      <c r="B1896" s="6">
        <v>45776</v>
      </c>
      <c r="C1896" t="s">
        <v>78</v>
      </c>
      <c r="D1896" t="s">
        <v>79</v>
      </c>
      <c r="E1896" t="s">
        <v>75</v>
      </c>
      <c r="F1896" t="s">
        <v>80</v>
      </c>
      <c r="G1896" t="s">
        <v>81</v>
      </c>
      <c r="H1896" t="s">
        <v>149</v>
      </c>
      <c r="I1896" t="s">
        <v>150</v>
      </c>
      <c r="J1896" t="s">
        <v>151</v>
      </c>
      <c r="K1896" t="s">
        <v>152</v>
      </c>
      <c r="L1896" t="s">
        <v>166</v>
      </c>
      <c r="M1896" t="s">
        <v>171</v>
      </c>
      <c r="N1896">
        <v>1</v>
      </c>
      <c r="O1896" s="4">
        <v>1200</v>
      </c>
      <c r="P1896" s="4">
        <v>1900</v>
      </c>
      <c r="Q1896" s="7">
        <v>0.2</v>
      </c>
      <c r="R1896" t="s">
        <v>187</v>
      </c>
      <c r="S1896">
        <v>5</v>
      </c>
      <c r="T1896">
        <v>1900</v>
      </c>
      <c r="U1896">
        <v>380</v>
      </c>
      <c r="V1896">
        <v>1520</v>
      </c>
      <c r="W1896">
        <v>1200</v>
      </c>
      <c r="X1896">
        <v>320</v>
      </c>
      <c r="Y1896" s="8">
        <v>0.21052631578947367</v>
      </c>
      <c r="Z1896" t="s">
        <v>2996</v>
      </c>
      <c r="AA1896" t="str">
        <f>IF(AND(SalesCleanTable[[#This Row],[Discount %]]&gt;0, SalesCleanTable[[#This Row],[Profit]]&lt;0), "Discount loss", "Safe")</f>
        <v>Safe</v>
      </c>
      <c r="AB1896" s="25">
        <f>(SalesCleanTable[[#This Row],[Unit Price]] - SalesCleanTable[[#This Row],[Unit Cost]]) / SalesCleanTable[[#This Row],[Unit Price]]</f>
        <v>0.36842105263157893</v>
      </c>
      <c r="AC1896" t="str">
        <f>IF(SalesCleanTable[[#This Row],[Discount %]] &gt; SalesCleanTable[[#This Row],[Max Allowed Discount]], "Discount loss", "Safe")</f>
        <v>Safe</v>
      </c>
      <c r="AD1896" s="4">
        <f>SalesCleanTable[[#This Row],[Unit Price]] - SalesCleanTable[[#This Row],[Unit Cost]]</f>
        <v>700</v>
      </c>
      <c r="AE1896" s="41">
        <f>(SalesCleanTable[[#This Row],[Unit Price]] - SalesCleanTable[[#This Row],[Unit Cost]]) / SalesCleanTable[[#This Row],[Unit Price]]</f>
        <v>0.36842105263157893</v>
      </c>
    </row>
    <row r="1897" spans="1:31">
      <c r="A1897" t="s">
        <v>2083</v>
      </c>
      <c r="B1897" s="6">
        <v>45664</v>
      </c>
      <c r="C1897" t="s">
        <v>41</v>
      </c>
      <c r="D1897" t="s">
        <v>42</v>
      </c>
      <c r="E1897" t="s">
        <v>26</v>
      </c>
      <c r="F1897" t="s">
        <v>43</v>
      </c>
      <c r="G1897" t="s">
        <v>44</v>
      </c>
      <c r="H1897" t="s">
        <v>149</v>
      </c>
      <c r="I1897" t="s">
        <v>150</v>
      </c>
      <c r="J1897" t="s">
        <v>151</v>
      </c>
      <c r="K1897" t="s">
        <v>152</v>
      </c>
      <c r="L1897" t="s">
        <v>166</v>
      </c>
      <c r="M1897" t="s">
        <v>177</v>
      </c>
      <c r="N1897">
        <v>1</v>
      </c>
      <c r="O1897" s="4">
        <v>850</v>
      </c>
      <c r="P1897" s="4">
        <v>1300</v>
      </c>
      <c r="Q1897" s="7">
        <v>0</v>
      </c>
      <c r="R1897" t="s">
        <v>197</v>
      </c>
      <c r="S1897">
        <v>7</v>
      </c>
      <c r="T1897">
        <v>1300</v>
      </c>
      <c r="U1897">
        <v>0</v>
      </c>
      <c r="V1897">
        <v>1300</v>
      </c>
      <c r="W1897">
        <v>850</v>
      </c>
      <c r="X1897">
        <v>450</v>
      </c>
      <c r="Y1897" s="8">
        <v>0.34615384615384615</v>
      </c>
      <c r="Z1897" t="s">
        <v>2995</v>
      </c>
      <c r="AA1897" t="str">
        <f>IF(AND(SalesCleanTable[[#This Row],[Discount %]]&gt;0, SalesCleanTable[[#This Row],[Profit]]&lt;0), "Discount loss", "Safe")</f>
        <v>Safe</v>
      </c>
      <c r="AB1897" s="25">
        <f>(SalesCleanTable[[#This Row],[Unit Price]] - SalesCleanTable[[#This Row],[Unit Cost]]) / SalesCleanTable[[#This Row],[Unit Price]]</f>
        <v>0.34615384615384615</v>
      </c>
      <c r="AC1897" t="str">
        <f>IF(SalesCleanTable[[#This Row],[Discount %]] &gt; SalesCleanTable[[#This Row],[Max Allowed Discount]], "Discount loss", "Safe")</f>
        <v>Safe</v>
      </c>
      <c r="AD1897" s="4">
        <f>SalesCleanTable[[#This Row],[Unit Price]] - SalesCleanTable[[#This Row],[Unit Cost]]</f>
        <v>450</v>
      </c>
      <c r="AE1897" s="41">
        <f>(SalesCleanTable[[#This Row],[Unit Price]] - SalesCleanTable[[#This Row],[Unit Cost]]) / SalesCleanTable[[#This Row],[Unit Price]]</f>
        <v>0.34615384615384615</v>
      </c>
    </row>
    <row r="1898" spans="1:31">
      <c r="A1898" t="s">
        <v>2084</v>
      </c>
      <c r="B1898" s="6">
        <v>45971</v>
      </c>
      <c r="C1898" t="s">
        <v>82</v>
      </c>
      <c r="D1898" t="s">
        <v>83</v>
      </c>
      <c r="E1898" t="s">
        <v>75</v>
      </c>
      <c r="F1898" t="s">
        <v>84</v>
      </c>
      <c r="G1898" t="s">
        <v>85</v>
      </c>
      <c r="H1898" t="s">
        <v>145</v>
      </c>
      <c r="I1898" t="s">
        <v>146</v>
      </c>
      <c r="J1898" t="s">
        <v>147</v>
      </c>
      <c r="K1898" t="s">
        <v>148</v>
      </c>
      <c r="L1898" t="s">
        <v>183</v>
      </c>
      <c r="M1898" t="s">
        <v>171</v>
      </c>
      <c r="N1898">
        <v>1</v>
      </c>
      <c r="O1898" s="4">
        <v>600</v>
      </c>
      <c r="P1898" s="4">
        <v>950</v>
      </c>
      <c r="Q1898" s="7">
        <v>0.05</v>
      </c>
      <c r="R1898" t="s">
        <v>187</v>
      </c>
      <c r="S1898">
        <v>11</v>
      </c>
      <c r="T1898">
        <v>950</v>
      </c>
      <c r="U1898">
        <v>47.5</v>
      </c>
      <c r="V1898">
        <v>902.5</v>
      </c>
      <c r="W1898">
        <v>600</v>
      </c>
      <c r="X1898">
        <v>302.5</v>
      </c>
      <c r="Y1898" s="8">
        <v>0.33518005540166207</v>
      </c>
      <c r="Z1898" t="s">
        <v>2996</v>
      </c>
      <c r="AA1898" t="str">
        <f>IF(AND(SalesCleanTable[[#This Row],[Discount %]]&gt;0, SalesCleanTable[[#This Row],[Profit]]&lt;0), "Discount loss", "Safe")</f>
        <v>Safe</v>
      </c>
      <c r="AB1898" s="25">
        <f>(SalesCleanTable[[#This Row],[Unit Price]] - SalesCleanTable[[#This Row],[Unit Cost]]) / SalesCleanTable[[#This Row],[Unit Price]]</f>
        <v>0.36842105263157893</v>
      </c>
      <c r="AC1898" t="str">
        <f>IF(SalesCleanTable[[#This Row],[Discount %]] &gt; SalesCleanTable[[#This Row],[Max Allowed Discount]], "Discount loss", "Safe")</f>
        <v>Safe</v>
      </c>
      <c r="AD1898" s="4">
        <f>SalesCleanTable[[#This Row],[Unit Price]] - SalesCleanTable[[#This Row],[Unit Cost]]</f>
        <v>350</v>
      </c>
      <c r="AE1898" s="41">
        <f>(SalesCleanTable[[#This Row],[Unit Price]] - SalesCleanTable[[#This Row],[Unit Cost]]) / SalesCleanTable[[#This Row],[Unit Price]]</f>
        <v>0.36842105263157893</v>
      </c>
    </row>
    <row r="1899" spans="1:31">
      <c r="A1899" t="s">
        <v>2085</v>
      </c>
      <c r="B1899" s="6">
        <v>45973</v>
      </c>
      <c r="C1899" t="s">
        <v>73</v>
      </c>
      <c r="D1899" t="s">
        <v>74</v>
      </c>
      <c r="E1899" t="s">
        <v>75</v>
      </c>
      <c r="F1899" t="s">
        <v>76</v>
      </c>
      <c r="G1899" t="s">
        <v>77</v>
      </c>
      <c r="H1899" t="s">
        <v>133</v>
      </c>
      <c r="I1899" t="s">
        <v>134</v>
      </c>
      <c r="J1899" t="s">
        <v>130</v>
      </c>
      <c r="K1899" t="s">
        <v>131</v>
      </c>
      <c r="L1899" t="s">
        <v>183</v>
      </c>
      <c r="M1899" t="s">
        <v>171</v>
      </c>
      <c r="N1899">
        <v>3</v>
      </c>
      <c r="O1899" s="4">
        <v>3500</v>
      </c>
      <c r="P1899" s="4">
        <v>5200</v>
      </c>
      <c r="Q1899" s="7">
        <v>0.05</v>
      </c>
      <c r="R1899" t="s">
        <v>204</v>
      </c>
      <c r="S1899">
        <v>10</v>
      </c>
      <c r="T1899">
        <v>15600</v>
      </c>
      <c r="U1899">
        <v>780</v>
      </c>
      <c r="V1899">
        <v>14820</v>
      </c>
      <c r="W1899">
        <v>10500</v>
      </c>
      <c r="X1899">
        <v>4320</v>
      </c>
      <c r="Y1899" s="8">
        <v>0.291497975708502</v>
      </c>
      <c r="Z1899" t="s">
        <v>2996</v>
      </c>
      <c r="AA1899" t="str">
        <f>IF(AND(SalesCleanTable[[#This Row],[Discount %]]&gt;0, SalesCleanTable[[#This Row],[Profit]]&lt;0), "Discount loss", "Safe")</f>
        <v>Safe</v>
      </c>
      <c r="AB1899" s="25">
        <f>(SalesCleanTable[[#This Row],[Unit Price]] - SalesCleanTable[[#This Row],[Unit Cost]]) / SalesCleanTable[[#This Row],[Unit Price]]</f>
        <v>0.32692307692307693</v>
      </c>
      <c r="AC1899" t="str">
        <f>IF(SalesCleanTable[[#This Row],[Discount %]] &gt; SalesCleanTable[[#This Row],[Max Allowed Discount]], "Discount loss", "Safe")</f>
        <v>Safe</v>
      </c>
      <c r="AD1899" s="4">
        <f>SalesCleanTable[[#This Row],[Unit Price]] - SalesCleanTable[[#This Row],[Unit Cost]]</f>
        <v>1700</v>
      </c>
      <c r="AE1899" s="41">
        <f>(SalesCleanTable[[#This Row],[Unit Price]] - SalesCleanTable[[#This Row],[Unit Cost]]) / SalesCleanTable[[#This Row],[Unit Price]]</f>
        <v>0.32692307692307693</v>
      </c>
    </row>
    <row r="1900" spans="1:31">
      <c r="A1900" t="s">
        <v>2086</v>
      </c>
      <c r="B1900" s="6">
        <v>45681</v>
      </c>
      <c r="C1900" t="s">
        <v>49</v>
      </c>
      <c r="D1900" t="s">
        <v>50</v>
      </c>
      <c r="E1900" t="s">
        <v>38</v>
      </c>
      <c r="F1900" t="s">
        <v>51</v>
      </c>
      <c r="G1900" t="s">
        <v>52</v>
      </c>
      <c r="H1900" t="s">
        <v>128</v>
      </c>
      <c r="I1900" t="s">
        <v>129</v>
      </c>
      <c r="J1900" t="s">
        <v>130</v>
      </c>
      <c r="K1900" t="s">
        <v>131</v>
      </c>
      <c r="L1900" t="s">
        <v>166</v>
      </c>
      <c r="M1900" t="s">
        <v>171</v>
      </c>
      <c r="N1900">
        <v>1</v>
      </c>
      <c r="O1900" s="4">
        <v>550</v>
      </c>
      <c r="P1900" s="4">
        <v>850</v>
      </c>
      <c r="Q1900" s="7">
        <v>0.2</v>
      </c>
      <c r="R1900" t="s">
        <v>168</v>
      </c>
      <c r="S1900">
        <v>1</v>
      </c>
      <c r="T1900">
        <v>850</v>
      </c>
      <c r="U1900">
        <v>170</v>
      </c>
      <c r="V1900">
        <v>680</v>
      </c>
      <c r="W1900">
        <v>550</v>
      </c>
      <c r="X1900">
        <v>130</v>
      </c>
      <c r="Y1900" s="8">
        <v>0.19117647058823528</v>
      </c>
      <c r="Z1900" t="s">
        <v>2996</v>
      </c>
      <c r="AA1900" t="str">
        <f>IF(AND(SalesCleanTable[[#This Row],[Discount %]]&gt;0, SalesCleanTable[[#This Row],[Profit]]&lt;0), "Discount loss", "Safe")</f>
        <v>Safe</v>
      </c>
      <c r="AB1900" s="25">
        <f>(SalesCleanTable[[#This Row],[Unit Price]] - SalesCleanTable[[#This Row],[Unit Cost]]) / SalesCleanTable[[#This Row],[Unit Price]]</f>
        <v>0.35294117647058826</v>
      </c>
      <c r="AC1900" t="str">
        <f>IF(SalesCleanTable[[#This Row],[Discount %]] &gt; SalesCleanTable[[#This Row],[Max Allowed Discount]], "Discount loss", "Safe")</f>
        <v>Safe</v>
      </c>
      <c r="AD1900" s="4">
        <f>SalesCleanTable[[#This Row],[Unit Price]] - SalesCleanTable[[#This Row],[Unit Cost]]</f>
        <v>300</v>
      </c>
      <c r="AE1900" s="41">
        <f>(SalesCleanTable[[#This Row],[Unit Price]] - SalesCleanTable[[#This Row],[Unit Cost]]) / SalesCleanTable[[#This Row],[Unit Price]]</f>
        <v>0.35294117647058826</v>
      </c>
    </row>
    <row r="1901" spans="1:31">
      <c r="A1901" t="s">
        <v>2087</v>
      </c>
      <c r="B1901" s="6">
        <v>45877</v>
      </c>
      <c r="C1901" t="s">
        <v>112</v>
      </c>
      <c r="D1901" t="s">
        <v>113</v>
      </c>
      <c r="E1901" t="s">
        <v>109</v>
      </c>
      <c r="F1901" t="s">
        <v>114</v>
      </c>
      <c r="G1901" t="s">
        <v>115</v>
      </c>
      <c r="H1901" t="s">
        <v>149</v>
      </c>
      <c r="I1901" t="s">
        <v>150</v>
      </c>
      <c r="J1901" t="s">
        <v>151</v>
      </c>
      <c r="K1901" t="s">
        <v>152</v>
      </c>
      <c r="L1901" t="s">
        <v>166</v>
      </c>
      <c r="M1901" t="s">
        <v>186</v>
      </c>
      <c r="N1901">
        <v>3</v>
      </c>
      <c r="O1901" s="4">
        <v>1300</v>
      </c>
      <c r="P1901" s="4">
        <v>2100</v>
      </c>
      <c r="Q1901" s="7">
        <v>0</v>
      </c>
      <c r="R1901" t="s">
        <v>220</v>
      </c>
      <c r="S1901">
        <v>1</v>
      </c>
      <c r="T1901">
        <v>6300</v>
      </c>
      <c r="U1901">
        <v>0</v>
      </c>
      <c r="V1901">
        <v>6300</v>
      </c>
      <c r="W1901">
        <v>3900</v>
      </c>
      <c r="X1901">
        <v>2400</v>
      </c>
      <c r="Y1901" s="8">
        <v>0.38095238095238093</v>
      </c>
      <c r="Z1901" t="s">
        <v>2995</v>
      </c>
      <c r="AA1901" t="str">
        <f>IF(AND(SalesCleanTable[[#This Row],[Discount %]]&gt;0, SalesCleanTable[[#This Row],[Profit]]&lt;0), "Discount loss", "Safe")</f>
        <v>Safe</v>
      </c>
      <c r="AB1901" s="25">
        <f>(SalesCleanTable[[#This Row],[Unit Price]] - SalesCleanTable[[#This Row],[Unit Cost]]) / SalesCleanTable[[#This Row],[Unit Price]]</f>
        <v>0.38095238095238093</v>
      </c>
      <c r="AC1901" t="str">
        <f>IF(SalesCleanTable[[#This Row],[Discount %]] &gt; SalesCleanTable[[#This Row],[Max Allowed Discount]], "Discount loss", "Safe")</f>
        <v>Safe</v>
      </c>
      <c r="AD1901" s="4">
        <f>SalesCleanTable[[#This Row],[Unit Price]] - SalesCleanTable[[#This Row],[Unit Cost]]</f>
        <v>800</v>
      </c>
      <c r="AE1901" s="41">
        <f>(SalesCleanTable[[#This Row],[Unit Price]] - SalesCleanTable[[#This Row],[Unit Cost]]) / SalesCleanTable[[#This Row],[Unit Price]]</f>
        <v>0.38095238095238093</v>
      </c>
    </row>
    <row r="1902" spans="1:31">
      <c r="A1902" t="s">
        <v>2088</v>
      </c>
      <c r="B1902" s="6">
        <v>45781</v>
      </c>
      <c r="C1902" t="s">
        <v>120</v>
      </c>
      <c r="D1902" t="s">
        <v>121</v>
      </c>
      <c r="E1902" t="s">
        <v>109</v>
      </c>
      <c r="F1902" t="s">
        <v>93</v>
      </c>
      <c r="G1902" t="s">
        <v>122</v>
      </c>
      <c r="H1902" t="s">
        <v>139</v>
      </c>
      <c r="I1902" t="s">
        <v>140</v>
      </c>
      <c r="J1902" t="s">
        <v>137</v>
      </c>
      <c r="K1902" t="s">
        <v>138</v>
      </c>
      <c r="L1902" t="s">
        <v>183</v>
      </c>
      <c r="M1902" t="s">
        <v>167</v>
      </c>
      <c r="N1902">
        <v>4</v>
      </c>
      <c r="O1902" s="4">
        <v>1700</v>
      </c>
      <c r="P1902" s="4">
        <v>2800</v>
      </c>
      <c r="Q1902" s="7">
        <v>0.05</v>
      </c>
      <c r="R1902" t="s">
        <v>235</v>
      </c>
      <c r="S1902">
        <v>10</v>
      </c>
      <c r="T1902">
        <v>11200</v>
      </c>
      <c r="U1902">
        <v>560</v>
      </c>
      <c r="V1902">
        <v>10640</v>
      </c>
      <c r="W1902">
        <v>6800</v>
      </c>
      <c r="X1902">
        <v>3840</v>
      </c>
      <c r="Y1902" s="8">
        <v>0.36090225563909772</v>
      </c>
      <c r="Z1902" t="s">
        <v>2997</v>
      </c>
      <c r="AA1902" t="str">
        <f>IF(AND(SalesCleanTable[[#This Row],[Discount %]]&gt;0, SalesCleanTable[[#This Row],[Profit]]&lt;0), "Discount loss", "Safe")</f>
        <v>Safe</v>
      </c>
      <c r="AB1902" s="25">
        <f>(SalesCleanTable[[#This Row],[Unit Price]] - SalesCleanTable[[#This Row],[Unit Cost]]) / SalesCleanTable[[#This Row],[Unit Price]]</f>
        <v>0.39285714285714285</v>
      </c>
      <c r="AC1902" t="str">
        <f>IF(SalesCleanTable[[#This Row],[Discount %]] &gt; SalesCleanTable[[#This Row],[Max Allowed Discount]], "Discount loss", "Safe")</f>
        <v>Safe</v>
      </c>
      <c r="AD1902" s="4">
        <f>SalesCleanTable[[#This Row],[Unit Price]] - SalesCleanTable[[#This Row],[Unit Cost]]</f>
        <v>1100</v>
      </c>
      <c r="AE1902" s="41">
        <f>(SalesCleanTable[[#This Row],[Unit Price]] - SalesCleanTable[[#This Row],[Unit Cost]]) / SalesCleanTable[[#This Row],[Unit Price]]</f>
        <v>0.39285714285714285</v>
      </c>
    </row>
    <row r="1903" spans="1:31">
      <c r="A1903" t="s">
        <v>2089</v>
      </c>
      <c r="B1903" s="6">
        <v>45815</v>
      </c>
      <c r="C1903" t="s">
        <v>66</v>
      </c>
      <c r="D1903" t="s">
        <v>67</v>
      </c>
      <c r="E1903" t="s">
        <v>59</v>
      </c>
      <c r="F1903" t="s">
        <v>60</v>
      </c>
      <c r="G1903" t="s">
        <v>68</v>
      </c>
      <c r="H1903" t="s">
        <v>153</v>
      </c>
      <c r="I1903" t="s">
        <v>154</v>
      </c>
      <c r="J1903" t="s">
        <v>155</v>
      </c>
      <c r="K1903" t="s">
        <v>131</v>
      </c>
      <c r="L1903" t="s">
        <v>166</v>
      </c>
      <c r="M1903" t="s">
        <v>186</v>
      </c>
      <c r="N1903">
        <v>2</v>
      </c>
      <c r="O1903" s="4">
        <v>2800</v>
      </c>
      <c r="P1903" s="4">
        <v>3900</v>
      </c>
      <c r="Q1903" s="7">
        <v>0</v>
      </c>
      <c r="R1903" t="s">
        <v>204</v>
      </c>
      <c r="S1903">
        <v>13</v>
      </c>
      <c r="T1903">
        <v>7800</v>
      </c>
      <c r="U1903">
        <v>0</v>
      </c>
      <c r="V1903">
        <v>7800</v>
      </c>
      <c r="W1903">
        <v>5600</v>
      </c>
      <c r="X1903">
        <v>2200</v>
      </c>
      <c r="Y1903" s="8">
        <v>0.28205128205128205</v>
      </c>
      <c r="Z1903" t="s">
        <v>2996</v>
      </c>
      <c r="AA1903" t="str">
        <f>IF(AND(SalesCleanTable[[#This Row],[Discount %]]&gt;0, SalesCleanTable[[#This Row],[Profit]]&lt;0), "Discount loss", "Safe")</f>
        <v>Safe</v>
      </c>
      <c r="AB1903" s="25">
        <f>(SalesCleanTable[[#This Row],[Unit Price]] - SalesCleanTable[[#This Row],[Unit Cost]]) / SalesCleanTable[[#This Row],[Unit Price]]</f>
        <v>0.28205128205128205</v>
      </c>
      <c r="AC1903" t="str">
        <f>IF(SalesCleanTable[[#This Row],[Discount %]] &gt; SalesCleanTable[[#This Row],[Max Allowed Discount]], "Discount loss", "Safe")</f>
        <v>Safe</v>
      </c>
      <c r="AD1903" s="4">
        <f>SalesCleanTable[[#This Row],[Unit Price]] - SalesCleanTable[[#This Row],[Unit Cost]]</f>
        <v>1100</v>
      </c>
      <c r="AE1903" s="41">
        <f>(SalesCleanTable[[#This Row],[Unit Price]] - SalesCleanTable[[#This Row],[Unit Cost]]) / SalesCleanTable[[#This Row],[Unit Price]]</f>
        <v>0.28205128205128205</v>
      </c>
    </row>
    <row r="1904" spans="1:31">
      <c r="A1904" t="s">
        <v>2090</v>
      </c>
      <c r="B1904" s="6">
        <v>45738</v>
      </c>
      <c r="C1904" t="s">
        <v>45</v>
      </c>
      <c r="D1904" t="s">
        <v>46</v>
      </c>
      <c r="E1904" t="s">
        <v>38</v>
      </c>
      <c r="F1904" t="s">
        <v>47</v>
      </c>
      <c r="G1904" t="s">
        <v>48</v>
      </c>
      <c r="H1904" t="s">
        <v>128</v>
      </c>
      <c r="I1904" t="s">
        <v>129</v>
      </c>
      <c r="J1904" t="s">
        <v>130</v>
      </c>
      <c r="K1904" t="s">
        <v>131</v>
      </c>
      <c r="L1904" t="s">
        <v>166</v>
      </c>
      <c r="M1904" t="s">
        <v>186</v>
      </c>
      <c r="N1904">
        <v>1</v>
      </c>
      <c r="O1904" s="4">
        <v>230</v>
      </c>
      <c r="P1904" s="4">
        <v>400</v>
      </c>
      <c r="Q1904" s="7">
        <v>0.05</v>
      </c>
      <c r="R1904" t="s">
        <v>175</v>
      </c>
      <c r="S1904">
        <v>6</v>
      </c>
      <c r="T1904">
        <v>400</v>
      </c>
      <c r="U1904">
        <v>20</v>
      </c>
      <c r="V1904">
        <v>380</v>
      </c>
      <c r="W1904">
        <v>230</v>
      </c>
      <c r="X1904">
        <v>150</v>
      </c>
      <c r="Y1904" s="8">
        <v>0.39473684210526316</v>
      </c>
      <c r="Z1904" t="s">
        <v>2995</v>
      </c>
      <c r="AA1904" t="str">
        <f>IF(AND(SalesCleanTable[[#This Row],[Discount %]]&gt;0, SalesCleanTable[[#This Row],[Profit]]&lt;0), "Discount loss", "Safe")</f>
        <v>Safe</v>
      </c>
      <c r="AB1904" s="25">
        <f>(SalesCleanTable[[#This Row],[Unit Price]] - SalesCleanTable[[#This Row],[Unit Cost]]) / SalesCleanTable[[#This Row],[Unit Price]]</f>
        <v>0.42499999999999999</v>
      </c>
      <c r="AC1904" t="str">
        <f>IF(SalesCleanTable[[#This Row],[Discount %]] &gt; SalesCleanTable[[#This Row],[Max Allowed Discount]], "Discount loss", "Safe")</f>
        <v>Safe</v>
      </c>
      <c r="AD1904" s="4">
        <f>SalesCleanTable[[#This Row],[Unit Price]] - SalesCleanTable[[#This Row],[Unit Cost]]</f>
        <v>170</v>
      </c>
      <c r="AE1904" s="41">
        <f>(SalesCleanTable[[#This Row],[Unit Price]] - SalesCleanTable[[#This Row],[Unit Cost]]) / SalesCleanTable[[#This Row],[Unit Price]]</f>
        <v>0.42499999999999999</v>
      </c>
    </row>
    <row r="1905" spans="1:31">
      <c r="A1905" t="s">
        <v>2091</v>
      </c>
      <c r="B1905" s="6">
        <v>45858</v>
      </c>
      <c r="C1905" t="s">
        <v>36</v>
      </c>
      <c r="D1905" t="s">
        <v>37</v>
      </c>
      <c r="E1905" t="s">
        <v>38</v>
      </c>
      <c r="F1905" t="s">
        <v>39</v>
      </c>
      <c r="G1905" t="s">
        <v>40</v>
      </c>
      <c r="H1905" t="s">
        <v>128</v>
      </c>
      <c r="I1905" t="s">
        <v>129</v>
      </c>
      <c r="J1905" t="s">
        <v>130</v>
      </c>
      <c r="K1905" t="s">
        <v>131</v>
      </c>
      <c r="L1905" t="s">
        <v>166</v>
      </c>
      <c r="M1905" t="s">
        <v>177</v>
      </c>
      <c r="N1905">
        <v>3</v>
      </c>
      <c r="O1905" s="4">
        <v>1650</v>
      </c>
      <c r="P1905" s="4">
        <v>2200</v>
      </c>
      <c r="Q1905" s="7">
        <v>0</v>
      </c>
      <c r="R1905" t="s">
        <v>168</v>
      </c>
      <c r="S1905">
        <v>12</v>
      </c>
      <c r="T1905">
        <v>6600</v>
      </c>
      <c r="U1905">
        <v>0</v>
      </c>
      <c r="V1905">
        <v>6600</v>
      </c>
      <c r="W1905">
        <v>4950</v>
      </c>
      <c r="X1905">
        <v>1650</v>
      </c>
      <c r="Y1905" s="8">
        <v>0.25</v>
      </c>
      <c r="Z1905" t="s">
        <v>2995</v>
      </c>
      <c r="AA1905" t="str">
        <f>IF(AND(SalesCleanTable[[#This Row],[Discount %]]&gt;0, SalesCleanTable[[#This Row],[Profit]]&lt;0), "Discount loss", "Safe")</f>
        <v>Safe</v>
      </c>
      <c r="AB1905" s="25">
        <f>(SalesCleanTable[[#This Row],[Unit Price]] - SalesCleanTable[[#This Row],[Unit Cost]]) / SalesCleanTable[[#This Row],[Unit Price]]</f>
        <v>0.25</v>
      </c>
      <c r="AC1905" t="str">
        <f>IF(SalesCleanTable[[#This Row],[Discount %]] &gt; SalesCleanTable[[#This Row],[Max Allowed Discount]], "Discount loss", "Safe")</f>
        <v>Safe</v>
      </c>
      <c r="AD1905" s="4">
        <f>SalesCleanTable[[#This Row],[Unit Price]] - SalesCleanTable[[#This Row],[Unit Cost]]</f>
        <v>550</v>
      </c>
      <c r="AE1905" s="41">
        <f>(SalesCleanTable[[#This Row],[Unit Price]] - SalesCleanTable[[#This Row],[Unit Cost]]) / SalesCleanTable[[#This Row],[Unit Price]]</f>
        <v>0.25</v>
      </c>
    </row>
    <row r="1906" spans="1:31">
      <c r="A1906" t="s">
        <v>2092</v>
      </c>
      <c r="B1906" s="6">
        <v>45770</v>
      </c>
      <c r="C1906" t="s">
        <v>95</v>
      </c>
      <c r="D1906" t="s">
        <v>96</v>
      </c>
      <c r="E1906" t="s">
        <v>92</v>
      </c>
      <c r="F1906" t="s">
        <v>97</v>
      </c>
      <c r="G1906" t="s">
        <v>98</v>
      </c>
      <c r="H1906" t="s">
        <v>135</v>
      </c>
      <c r="I1906" t="s">
        <v>136</v>
      </c>
      <c r="J1906" t="s">
        <v>137</v>
      </c>
      <c r="K1906" t="s">
        <v>138</v>
      </c>
      <c r="L1906" t="s">
        <v>183</v>
      </c>
      <c r="M1906" t="s">
        <v>177</v>
      </c>
      <c r="N1906">
        <v>5</v>
      </c>
      <c r="O1906" s="4">
        <v>18000</v>
      </c>
      <c r="P1906" s="4">
        <v>24500</v>
      </c>
      <c r="Q1906" s="7">
        <v>0</v>
      </c>
      <c r="R1906" t="s">
        <v>181</v>
      </c>
      <c r="S1906">
        <v>11</v>
      </c>
      <c r="T1906">
        <v>122500</v>
      </c>
      <c r="U1906">
        <v>0</v>
      </c>
      <c r="V1906">
        <v>122500</v>
      </c>
      <c r="W1906">
        <v>90000</v>
      </c>
      <c r="X1906">
        <v>32500</v>
      </c>
      <c r="Y1906" s="8">
        <v>0.26530612244897961</v>
      </c>
      <c r="Z1906" t="s">
        <v>2995</v>
      </c>
      <c r="AA1906" t="str">
        <f>IF(AND(SalesCleanTable[[#This Row],[Discount %]]&gt;0, SalesCleanTable[[#This Row],[Profit]]&lt;0), "Discount loss", "Safe")</f>
        <v>Safe</v>
      </c>
      <c r="AB1906" s="25">
        <f>(SalesCleanTable[[#This Row],[Unit Price]] - SalesCleanTable[[#This Row],[Unit Cost]]) / SalesCleanTable[[#This Row],[Unit Price]]</f>
        <v>0.26530612244897961</v>
      </c>
      <c r="AC1906" t="str">
        <f>IF(SalesCleanTable[[#This Row],[Discount %]] &gt; SalesCleanTable[[#This Row],[Max Allowed Discount]], "Discount loss", "Safe")</f>
        <v>Safe</v>
      </c>
      <c r="AD1906" s="4">
        <f>SalesCleanTable[[#This Row],[Unit Price]] - SalesCleanTable[[#This Row],[Unit Cost]]</f>
        <v>6500</v>
      </c>
      <c r="AE1906" s="41">
        <f>(SalesCleanTable[[#This Row],[Unit Price]] - SalesCleanTable[[#This Row],[Unit Cost]]) / SalesCleanTable[[#This Row],[Unit Price]]</f>
        <v>0.26530612244897961</v>
      </c>
    </row>
    <row r="1907" spans="1:31">
      <c r="A1907" t="s">
        <v>2093</v>
      </c>
      <c r="B1907" s="6">
        <v>45873</v>
      </c>
      <c r="C1907" t="s">
        <v>99</v>
      </c>
      <c r="D1907" t="s">
        <v>100</v>
      </c>
      <c r="E1907" t="s">
        <v>92</v>
      </c>
      <c r="F1907" t="s">
        <v>101</v>
      </c>
      <c r="G1907" t="s">
        <v>102</v>
      </c>
      <c r="H1907" t="s">
        <v>128</v>
      </c>
      <c r="I1907" t="s">
        <v>129</v>
      </c>
      <c r="J1907" t="s">
        <v>130</v>
      </c>
      <c r="K1907" t="s">
        <v>131</v>
      </c>
      <c r="L1907" t="s">
        <v>170</v>
      </c>
      <c r="M1907" t="s">
        <v>171</v>
      </c>
      <c r="N1907">
        <v>2</v>
      </c>
      <c r="O1907" s="4">
        <v>12500</v>
      </c>
      <c r="P1907" s="4">
        <v>18500</v>
      </c>
      <c r="Q1907" s="7">
        <v>0.1</v>
      </c>
      <c r="R1907" t="s">
        <v>217</v>
      </c>
      <c r="S1907">
        <v>9</v>
      </c>
      <c r="T1907">
        <v>37000</v>
      </c>
      <c r="U1907">
        <v>3700</v>
      </c>
      <c r="V1907">
        <v>33300</v>
      </c>
      <c r="W1907">
        <v>25000</v>
      </c>
      <c r="X1907">
        <v>8300</v>
      </c>
      <c r="Y1907" s="8">
        <v>0.24924924924924924</v>
      </c>
      <c r="Z1907" t="s">
        <v>2995</v>
      </c>
      <c r="AA1907" t="str">
        <f>IF(AND(SalesCleanTable[[#This Row],[Discount %]]&gt;0, SalesCleanTable[[#This Row],[Profit]]&lt;0), "Discount loss", "Safe")</f>
        <v>Safe</v>
      </c>
      <c r="AB1907" s="25">
        <f>(SalesCleanTable[[#This Row],[Unit Price]] - SalesCleanTable[[#This Row],[Unit Cost]]) / SalesCleanTable[[#This Row],[Unit Price]]</f>
        <v>0.32432432432432434</v>
      </c>
      <c r="AC1907" t="str">
        <f>IF(SalesCleanTable[[#This Row],[Discount %]] &gt; SalesCleanTable[[#This Row],[Max Allowed Discount]], "Discount loss", "Safe")</f>
        <v>Safe</v>
      </c>
      <c r="AD1907" s="4">
        <f>SalesCleanTable[[#This Row],[Unit Price]] - SalesCleanTable[[#This Row],[Unit Cost]]</f>
        <v>6000</v>
      </c>
      <c r="AE1907" s="41">
        <f>(SalesCleanTable[[#This Row],[Unit Price]] - SalesCleanTable[[#This Row],[Unit Cost]]) / SalesCleanTable[[#This Row],[Unit Price]]</f>
        <v>0.32432432432432434</v>
      </c>
    </row>
    <row r="1908" spans="1:31">
      <c r="A1908" t="s">
        <v>2094</v>
      </c>
      <c r="B1908" s="6">
        <v>45665</v>
      </c>
      <c r="C1908" t="s">
        <v>36</v>
      </c>
      <c r="D1908" t="s">
        <v>37</v>
      </c>
      <c r="E1908" t="s">
        <v>38</v>
      </c>
      <c r="F1908" t="s">
        <v>39</v>
      </c>
      <c r="G1908" t="s">
        <v>40</v>
      </c>
      <c r="H1908" t="s">
        <v>149</v>
      </c>
      <c r="I1908" t="s">
        <v>150</v>
      </c>
      <c r="J1908" t="s">
        <v>151</v>
      </c>
      <c r="K1908" t="s">
        <v>152</v>
      </c>
      <c r="L1908" t="s">
        <v>166</v>
      </c>
      <c r="M1908" t="s">
        <v>177</v>
      </c>
      <c r="N1908">
        <v>1</v>
      </c>
      <c r="O1908" s="4">
        <v>1650</v>
      </c>
      <c r="P1908" s="4">
        <v>2200</v>
      </c>
      <c r="Q1908" s="7">
        <v>0.05</v>
      </c>
      <c r="R1908" t="s">
        <v>178</v>
      </c>
      <c r="S1908">
        <v>5</v>
      </c>
      <c r="T1908">
        <v>2200</v>
      </c>
      <c r="U1908">
        <v>110</v>
      </c>
      <c r="V1908">
        <v>2090</v>
      </c>
      <c r="W1908">
        <v>1650</v>
      </c>
      <c r="X1908">
        <v>440</v>
      </c>
      <c r="Y1908" s="8">
        <v>0.21052631578947367</v>
      </c>
      <c r="Z1908" t="s">
        <v>2995</v>
      </c>
      <c r="AA1908" t="str">
        <f>IF(AND(SalesCleanTable[[#This Row],[Discount %]]&gt;0, SalesCleanTable[[#This Row],[Profit]]&lt;0), "Discount loss", "Safe")</f>
        <v>Safe</v>
      </c>
      <c r="AB1908" s="25">
        <f>(SalesCleanTable[[#This Row],[Unit Price]] - SalesCleanTable[[#This Row],[Unit Cost]]) / SalesCleanTable[[#This Row],[Unit Price]]</f>
        <v>0.25</v>
      </c>
      <c r="AC1908" t="str">
        <f>IF(SalesCleanTable[[#This Row],[Discount %]] &gt; SalesCleanTable[[#This Row],[Max Allowed Discount]], "Discount loss", "Safe")</f>
        <v>Safe</v>
      </c>
      <c r="AD1908" s="4">
        <f>SalesCleanTable[[#This Row],[Unit Price]] - SalesCleanTable[[#This Row],[Unit Cost]]</f>
        <v>550</v>
      </c>
      <c r="AE1908" s="41">
        <f>(SalesCleanTable[[#This Row],[Unit Price]] - SalesCleanTable[[#This Row],[Unit Cost]]) / SalesCleanTable[[#This Row],[Unit Price]]</f>
        <v>0.25</v>
      </c>
    </row>
    <row r="1909" spans="1:31">
      <c r="A1909" t="s">
        <v>2095</v>
      </c>
      <c r="B1909" s="6">
        <v>45829</v>
      </c>
      <c r="C1909" t="s">
        <v>116</v>
      </c>
      <c r="D1909" t="s">
        <v>117</v>
      </c>
      <c r="E1909" t="s">
        <v>109</v>
      </c>
      <c r="F1909" t="s">
        <v>118</v>
      </c>
      <c r="G1909" t="s">
        <v>119</v>
      </c>
      <c r="H1909" t="s">
        <v>153</v>
      </c>
      <c r="I1909" t="s">
        <v>154</v>
      </c>
      <c r="J1909" t="s">
        <v>155</v>
      </c>
      <c r="K1909" t="s">
        <v>131</v>
      </c>
      <c r="L1909" t="s">
        <v>170</v>
      </c>
      <c r="M1909" t="s">
        <v>171</v>
      </c>
      <c r="N1909">
        <v>2</v>
      </c>
      <c r="O1909" s="4">
        <v>2800</v>
      </c>
      <c r="P1909" s="4">
        <v>4200</v>
      </c>
      <c r="Q1909" s="7">
        <v>0.1</v>
      </c>
      <c r="R1909" t="s">
        <v>184</v>
      </c>
      <c r="S1909">
        <v>8</v>
      </c>
      <c r="T1909">
        <v>8400</v>
      </c>
      <c r="U1909">
        <v>840</v>
      </c>
      <c r="V1909">
        <v>7560</v>
      </c>
      <c r="W1909">
        <v>5600</v>
      </c>
      <c r="X1909">
        <v>1960</v>
      </c>
      <c r="Y1909" s="8">
        <v>0.25925925925925924</v>
      </c>
      <c r="Z1909" t="s">
        <v>2995</v>
      </c>
      <c r="AA1909" t="str">
        <f>IF(AND(SalesCleanTable[[#This Row],[Discount %]]&gt;0, SalesCleanTable[[#This Row],[Profit]]&lt;0), "Discount loss", "Safe")</f>
        <v>Safe</v>
      </c>
      <c r="AB1909" s="25">
        <f>(SalesCleanTable[[#This Row],[Unit Price]] - SalesCleanTable[[#This Row],[Unit Cost]]) / SalesCleanTable[[#This Row],[Unit Price]]</f>
        <v>0.33333333333333331</v>
      </c>
      <c r="AC1909" t="str">
        <f>IF(SalesCleanTable[[#This Row],[Discount %]] &gt; SalesCleanTable[[#This Row],[Max Allowed Discount]], "Discount loss", "Safe")</f>
        <v>Safe</v>
      </c>
      <c r="AD1909" s="4">
        <f>SalesCleanTable[[#This Row],[Unit Price]] - SalesCleanTable[[#This Row],[Unit Cost]]</f>
        <v>1400</v>
      </c>
      <c r="AE1909" s="41">
        <f>(SalesCleanTable[[#This Row],[Unit Price]] - SalesCleanTable[[#This Row],[Unit Cost]]) / SalesCleanTable[[#This Row],[Unit Price]]</f>
        <v>0.33333333333333331</v>
      </c>
    </row>
    <row r="1910" spans="1:31">
      <c r="A1910" t="s">
        <v>2096</v>
      </c>
      <c r="B1910" s="6">
        <v>45947</v>
      </c>
      <c r="C1910" t="s">
        <v>103</v>
      </c>
      <c r="D1910" t="s">
        <v>104</v>
      </c>
      <c r="E1910" t="s">
        <v>92</v>
      </c>
      <c r="F1910" t="s">
        <v>105</v>
      </c>
      <c r="G1910" t="s">
        <v>106</v>
      </c>
      <c r="H1910" t="s">
        <v>128</v>
      </c>
      <c r="I1910" t="s">
        <v>129</v>
      </c>
      <c r="J1910" t="s">
        <v>130</v>
      </c>
      <c r="K1910" t="s">
        <v>131</v>
      </c>
      <c r="L1910" t="s">
        <v>166</v>
      </c>
      <c r="M1910" t="s">
        <v>177</v>
      </c>
      <c r="N1910">
        <v>3</v>
      </c>
      <c r="O1910" s="4">
        <v>1500</v>
      </c>
      <c r="P1910" s="4">
        <v>2500</v>
      </c>
      <c r="Q1910" s="7">
        <v>0.1</v>
      </c>
      <c r="R1910" t="s">
        <v>181</v>
      </c>
      <c r="S1910">
        <v>4</v>
      </c>
      <c r="T1910">
        <v>7500</v>
      </c>
      <c r="U1910">
        <v>750</v>
      </c>
      <c r="V1910">
        <v>6750</v>
      </c>
      <c r="W1910">
        <v>4500</v>
      </c>
      <c r="X1910">
        <v>2250</v>
      </c>
      <c r="Y1910" s="8">
        <v>0.33333333333333331</v>
      </c>
      <c r="Z1910" t="s">
        <v>2996</v>
      </c>
      <c r="AA1910" t="str">
        <f>IF(AND(SalesCleanTable[[#This Row],[Discount %]]&gt;0, SalesCleanTable[[#This Row],[Profit]]&lt;0), "Discount loss", "Safe")</f>
        <v>Safe</v>
      </c>
      <c r="AB1910" s="25">
        <f>(SalesCleanTable[[#This Row],[Unit Price]] - SalesCleanTable[[#This Row],[Unit Cost]]) / SalesCleanTable[[#This Row],[Unit Price]]</f>
        <v>0.4</v>
      </c>
      <c r="AC1910" t="str">
        <f>IF(SalesCleanTable[[#This Row],[Discount %]] &gt; SalesCleanTable[[#This Row],[Max Allowed Discount]], "Discount loss", "Safe")</f>
        <v>Safe</v>
      </c>
      <c r="AD1910" s="4">
        <f>SalesCleanTable[[#This Row],[Unit Price]] - SalesCleanTable[[#This Row],[Unit Cost]]</f>
        <v>1000</v>
      </c>
      <c r="AE1910" s="41">
        <f>(SalesCleanTable[[#This Row],[Unit Price]] - SalesCleanTable[[#This Row],[Unit Cost]]) / SalesCleanTable[[#This Row],[Unit Price]]</f>
        <v>0.4</v>
      </c>
    </row>
    <row r="1911" spans="1:31">
      <c r="A1911" t="s">
        <v>2097</v>
      </c>
      <c r="B1911" s="6">
        <v>45781</v>
      </c>
      <c r="C1911" t="s">
        <v>53</v>
      </c>
      <c r="D1911" t="s">
        <v>54</v>
      </c>
      <c r="E1911" t="s">
        <v>38</v>
      </c>
      <c r="F1911" t="s">
        <v>55</v>
      </c>
      <c r="G1911" t="s">
        <v>56</v>
      </c>
      <c r="H1911" t="s">
        <v>145</v>
      </c>
      <c r="I1911" t="s">
        <v>146</v>
      </c>
      <c r="J1911" t="s">
        <v>147</v>
      </c>
      <c r="K1911" t="s">
        <v>148</v>
      </c>
      <c r="L1911" t="s">
        <v>183</v>
      </c>
      <c r="M1911" t="s">
        <v>186</v>
      </c>
      <c r="N1911">
        <v>1</v>
      </c>
      <c r="O1911" s="4">
        <v>330</v>
      </c>
      <c r="P1911" s="4">
        <v>550</v>
      </c>
      <c r="Q1911" s="7">
        <v>0</v>
      </c>
      <c r="R1911" t="s">
        <v>175</v>
      </c>
      <c r="S1911">
        <v>9</v>
      </c>
      <c r="T1911">
        <v>550</v>
      </c>
      <c r="U1911">
        <v>0</v>
      </c>
      <c r="V1911">
        <v>550</v>
      </c>
      <c r="W1911">
        <v>330</v>
      </c>
      <c r="X1911">
        <v>220</v>
      </c>
      <c r="Y1911" s="8">
        <v>0.4</v>
      </c>
      <c r="Z1911" t="s">
        <v>2996</v>
      </c>
      <c r="AA1911" t="str">
        <f>IF(AND(SalesCleanTable[[#This Row],[Discount %]]&gt;0, SalesCleanTable[[#This Row],[Profit]]&lt;0), "Discount loss", "Safe")</f>
        <v>Safe</v>
      </c>
      <c r="AB1911" s="25">
        <f>(SalesCleanTable[[#This Row],[Unit Price]] - SalesCleanTable[[#This Row],[Unit Cost]]) / SalesCleanTable[[#This Row],[Unit Price]]</f>
        <v>0.4</v>
      </c>
      <c r="AC1911" t="str">
        <f>IF(SalesCleanTable[[#This Row],[Discount %]] &gt; SalesCleanTable[[#This Row],[Max Allowed Discount]], "Discount loss", "Safe")</f>
        <v>Safe</v>
      </c>
      <c r="AD1911" s="4">
        <f>SalesCleanTable[[#This Row],[Unit Price]] - SalesCleanTable[[#This Row],[Unit Cost]]</f>
        <v>220</v>
      </c>
      <c r="AE1911" s="41">
        <f>(SalesCleanTable[[#This Row],[Unit Price]] - SalesCleanTable[[#This Row],[Unit Cost]]) / SalesCleanTable[[#This Row],[Unit Price]]</f>
        <v>0.4</v>
      </c>
    </row>
    <row r="1912" spans="1:31">
      <c r="A1912" t="s">
        <v>2098</v>
      </c>
      <c r="B1912" s="6">
        <v>45788</v>
      </c>
      <c r="C1912" t="s">
        <v>53</v>
      </c>
      <c r="D1912" t="s">
        <v>54</v>
      </c>
      <c r="E1912" t="s">
        <v>38</v>
      </c>
      <c r="F1912" t="s">
        <v>55</v>
      </c>
      <c r="G1912" t="s">
        <v>56</v>
      </c>
      <c r="H1912" t="s">
        <v>139</v>
      </c>
      <c r="I1912" t="s">
        <v>140</v>
      </c>
      <c r="J1912" t="s">
        <v>137</v>
      </c>
      <c r="K1912" t="s">
        <v>138</v>
      </c>
      <c r="L1912" t="s">
        <v>166</v>
      </c>
      <c r="M1912" t="s">
        <v>186</v>
      </c>
      <c r="N1912">
        <v>1</v>
      </c>
      <c r="O1912" s="4">
        <v>330</v>
      </c>
      <c r="P1912" s="4">
        <v>550</v>
      </c>
      <c r="Q1912" s="7">
        <v>0.1</v>
      </c>
      <c r="R1912" t="s">
        <v>178</v>
      </c>
      <c r="S1912">
        <v>13</v>
      </c>
      <c r="T1912">
        <v>550</v>
      </c>
      <c r="U1912">
        <v>55</v>
      </c>
      <c r="V1912">
        <v>495</v>
      </c>
      <c r="W1912">
        <v>330</v>
      </c>
      <c r="X1912">
        <v>165</v>
      </c>
      <c r="Y1912" s="8">
        <v>0.33333333333333331</v>
      </c>
      <c r="Z1912" t="s">
        <v>2996</v>
      </c>
      <c r="AA1912" t="str">
        <f>IF(AND(SalesCleanTable[[#This Row],[Discount %]]&gt;0, SalesCleanTable[[#This Row],[Profit]]&lt;0), "Discount loss", "Safe")</f>
        <v>Safe</v>
      </c>
      <c r="AB1912" s="25">
        <f>(SalesCleanTable[[#This Row],[Unit Price]] - SalesCleanTable[[#This Row],[Unit Cost]]) / SalesCleanTable[[#This Row],[Unit Price]]</f>
        <v>0.4</v>
      </c>
      <c r="AC1912" t="str">
        <f>IF(SalesCleanTable[[#This Row],[Discount %]] &gt; SalesCleanTable[[#This Row],[Max Allowed Discount]], "Discount loss", "Safe")</f>
        <v>Safe</v>
      </c>
      <c r="AD1912" s="4">
        <f>SalesCleanTable[[#This Row],[Unit Price]] - SalesCleanTable[[#This Row],[Unit Cost]]</f>
        <v>220</v>
      </c>
      <c r="AE1912" s="41">
        <f>(SalesCleanTable[[#This Row],[Unit Price]] - SalesCleanTable[[#This Row],[Unit Cost]]) / SalesCleanTable[[#This Row],[Unit Price]]</f>
        <v>0.4</v>
      </c>
    </row>
    <row r="1913" spans="1:31">
      <c r="A1913" t="s">
        <v>2099</v>
      </c>
      <c r="B1913" s="6">
        <v>45740</v>
      </c>
      <c r="C1913" t="s">
        <v>41</v>
      </c>
      <c r="D1913" t="s">
        <v>42</v>
      </c>
      <c r="E1913" t="s">
        <v>26</v>
      </c>
      <c r="F1913" t="s">
        <v>43</v>
      </c>
      <c r="G1913" t="s">
        <v>44</v>
      </c>
      <c r="H1913" t="s">
        <v>145</v>
      </c>
      <c r="I1913" t="s">
        <v>146</v>
      </c>
      <c r="J1913" t="s">
        <v>147</v>
      </c>
      <c r="K1913" t="s">
        <v>148</v>
      </c>
      <c r="L1913" t="s">
        <v>183</v>
      </c>
      <c r="M1913" t="s">
        <v>177</v>
      </c>
      <c r="N1913">
        <v>1</v>
      </c>
      <c r="O1913" s="4">
        <v>850</v>
      </c>
      <c r="P1913" s="4">
        <v>1300</v>
      </c>
      <c r="Q1913" s="7">
        <v>0</v>
      </c>
      <c r="R1913" t="s">
        <v>173</v>
      </c>
      <c r="S1913">
        <v>13</v>
      </c>
      <c r="T1913">
        <v>1300</v>
      </c>
      <c r="U1913">
        <v>0</v>
      </c>
      <c r="V1913">
        <v>1300</v>
      </c>
      <c r="W1913">
        <v>850</v>
      </c>
      <c r="X1913">
        <v>450</v>
      </c>
      <c r="Y1913" s="8">
        <v>0.34615384615384615</v>
      </c>
      <c r="Z1913" t="s">
        <v>2995</v>
      </c>
      <c r="AA1913" t="str">
        <f>IF(AND(SalesCleanTable[[#This Row],[Discount %]]&gt;0, SalesCleanTable[[#This Row],[Profit]]&lt;0), "Discount loss", "Safe")</f>
        <v>Safe</v>
      </c>
      <c r="AB1913" s="25">
        <f>(SalesCleanTable[[#This Row],[Unit Price]] - SalesCleanTable[[#This Row],[Unit Cost]]) / SalesCleanTable[[#This Row],[Unit Price]]</f>
        <v>0.34615384615384615</v>
      </c>
      <c r="AC1913" t="str">
        <f>IF(SalesCleanTable[[#This Row],[Discount %]] &gt; SalesCleanTable[[#This Row],[Max Allowed Discount]], "Discount loss", "Safe")</f>
        <v>Safe</v>
      </c>
      <c r="AD1913" s="4">
        <f>SalesCleanTable[[#This Row],[Unit Price]] - SalesCleanTable[[#This Row],[Unit Cost]]</f>
        <v>450</v>
      </c>
      <c r="AE1913" s="41">
        <f>(SalesCleanTable[[#This Row],[Unit Price]] - SalesCleanTable[[#This Row],[Unit Cost]]) / SalesCleanTable[[#This Row],[Unit Price]]</f>
        <v>0.34615384615384615</v>
      </c>
    </row>
    <row r="1914" spans="1:31">
      <c r="A1914" t="s">
        <v>2100</v>
      </c>
      <c r="B1914" s="6">
        <v>45996</v>
      </c>
      <c r="C1914" t="s">
        <v>36</v>
      </c>
      <c r="D1914" t="s">
        <v>37</v>
      </c>
      <c r="E1914" t="s">
        <v>38</v>
      </c>
      <c r="F1914" t="s">
        <v>39</v>
      </c>
      <c r="G1914" t="s">
        <v>40</v>
      </c>
      <c r="H1914" t="s">
        <v>135</v>
      </c>
      <c r="I1914" t="s">
        <v>136</v>
      </c>
      <c r="J1914" t="s">
        <v>137</v>
      </c>
      <c r="K1914" t="s">
        <v>138</v>
      </c>
      <c r="L1914" t="s">
        <v>166</v>
      </c>
      <c r="M1914" t="s">
        <v>171</v>
      </c>
      <c r="N1914">
        <v>6</v>
      </c>
      <c r="O1914" s="4">
        <v>1650</v>
      </c>
      <c r="P1914" s="4">
        <v>2200</v>
      </c>
      <c r="Q1914" s="7">
        <v>0.15</v>
      </c>
      <c r="R1914" t="s">
        <v>168</v>
      </c>
      <c r="S1914">
        <v>1</v>
      </c>
      <c r="T1914">
        <v>13200</v>
      </c>
      <c r="U1914">
        <v>1980</v>
      </c>
      <c r="V1914">
        <v>11220</v>
      </c>
      <c r="W1914">
        <v>9900</v>
      </c>
      <c r="X1914">
        <v>1320</v>
      </c>
      <c r="Y1914" s="8">
        <v>0.11764705882352941</v>
      </c>
      <c r="Z1914" t="s">
        <v>2995</v>
      </c>
      <c r="AA1914" t="str">
        <f>IF(AND(SalesCleanTable[[#This Row],[Discount %]]&gt;0, SalesCleanTable[[#This Row],[Profit]]&lt;0), "Discount loss", "Safe")</f>
        <v>Safe</v>
      </c>
      <c r="AB1914" s="25">
        <f>(SalesCleanTable[[#This Row],[Unit Price]] - SalesCleanTable[[#This Row],[Unit Cost]]) / SalesCleanTable[[#This Row],[Unit Price]]</f>
        <v>0.25</v>
      </c>
      <c r="AC1914" t="str">
        <f>IF(SalesCleanTable[[#This Row],[Discount %]] &gt; SalesCleanTable[[#This Row],[Max Allowed Discount]], "Discount loss", "Safe")</f>
        <v>Safe</v>
      </c>
      <c r="AD1914" s="4">
        <f>SalesCleanTable[[#This Row],[Unit Price]] - SalesCleanTable[[#This Row],[Unit Cost]]</f>
        <v>550</v>
      </c>
      <c r="AE1914" s="41">
        <f>(SalesCleanTable[[#This Row],[Unit Price]] - SalesCleanTable[[#This Row],[Unit Cost]]) / SalesCleanTable[[#This Row],[Unit Price]]</f>
        <v>0.25</v>
      </c>
    </row>
    <row r="1915" spans="1:31">
      <c r="A1915" t="s">
        <v>2101</v>
      </c>
      <c r="B1915" s="6">
        <v>45947</v>
      </c>
      <c r="C1915" t="s">
        <v>29</v>
      </c>
      <c r="D1915" t="s">
        <v>30</v>
      </c>
      <c r="E1915" t="s">
        <v>26</v>
      </c>
      <c r="F1915" t="s">
        <v>27</v>
      </c>
      <c r="G1915" t="s">
        <v>31</v>
      </c>
      <c r="H1915" t="s">
        <v>128</v>
      </c>
      <c r="I1915" t="s">
        <v>129</v>
      </c>
      <c r="J1915" t="s">
        <v>130</v>
      </c>
      <c r="K1915" t="s">
        <v>131</v>
      </c>
      <c r="L1915" t="s">
        <v>166</v>
      </c>
      <c r="M1915" t="s">
        <v>186</v>
      </c>
      <c r="N1915">
        <v>1</v>
      </c>
      <c r="O1915" s="4">
        <v>6200</v>
      </c>
      <c r="P1915" s="4">
        <v>7900</v>
      </c>
      <c r="Q1915" s="7">
        <v>0.05</v>
      </c>
      <c r="R1915" t="s">
        <v>173</v>
      </c>
      <c r="S1915">
        <v>2</v>
      </c>
      <c r="T1915">
        <v>7900</v>
      </c>
      <c r="U1915">
        <v>395</v>
      </c>
      <c r="V1915">
        <v>7505</v>
      </c>
      <c r="W1915">
        <v>6200</v>
      </c>
      <c r="X1915">
        <v>1305</v>
      </c>
      <c r="Y1915" s="8">
        <v>0.17388407728181213</v>
      </c>
      <c r="Z1915" t="s">
        <v>2996</v>
      </c>
      <c r="AA1915" t="str">
        <f>IF(AND(SalesCleanTable[[#This Row],[Discount %]]&gt;0, SalesCleanTable[[#This Row],[Profit]]&lt;0), "Discount loss", "Safe")</f>
        <v>Safe</v>
      </c>
      <c r="AB1915" s="25">
        <f>(SalesCleanTable[[#This Row],[Unit Price]] - SalesCleanTable[[#This Row],[Unit Cost]]) / SalesCleanTable[[#This Row],[Unit Price]]</f>
        <v>0.21518987341772153</v>
      </c>
      <c r="AC1915" t="str">
        <f>IF(SalesCleanTable[[#This Row],[Discount %]] &gt; SalesCleanTable[[#This Row],[Max Allowed Discount]], "Discount loss", "Safe")</f>
        <v>Safe</v>
      </c>
      <c r="AD1915" s="4">
        <f>SalesCleanTable[[#This Row],[Unit Price]] - SalesCleanTable[[#This Row],[Unit Cost]]</f>
        <v>1700</v>
      </c>
      <c r="AE1915" s="41">
        <f>(SalesCleanTable[[#This Row],[Unit Price]] - SalesCleanTable[[#This Row],[Unit Cost]]) / SalesCleanTable[[#This Row],[Unit Price]]</f>
        <v>0.21518987341772153</v>
      </c>
    </row>
    <row r="1916" spans="1:31">
      <c r="A1916" t="s">
        <v>2102</v>
      </c>
      <c r="B1916" s="6">
        <v>45818</v>
      </c>
      <c r="C1916" t="s">
        <v>62</v>
      </c>
      <c r="D1916" t="s">
        <v>63</v>
      </c>
      <c r="E1916" t="s">
        <v>59</v>
      </c>
      <c r="F1916" t="s">
        <v>64</v>
      </c>
      <c r="G1916" t="s">
        <v>65</v>
      </c>
      <c r="H1916" t="s">
        <v>139</v>
      </c>
      <c r="I1916" t="s">
        <v>140</v>
      </c>
      <c r="J1916" t="s">
        <v>137</v>
      </c>
      <c r="K1916" t="s">
        <v>138</v>
      </c>
      <c r="L1916" t="s">
        <v>183</v>
      </c>
      <c r="M1916" t="s">
        <v>186</v>
      </c>
      <c r="N1916">
        <v>10</v>
      </c>
      <c r="O1916" s="4">
        <v>3200</v>
      </c>
      <c r="P1916" s="4">
        <v>4500</v>
      </c>
      <c r="Q1916" s="7">
        <v>0</v>
      </c>
      <c r="R1916" t="s">
        <v>173</v>
      </c>
      <c r="S1916">
        <v>1</v>
      </c>
      <c r="T1916">
        <v>45000</v>
      </c>
      <c r="U1916">
        <v>0</v>
      </c>
      <c r="V1916">
        <v>45000</v>
      </c>
      <c r="W1916">
        <v>32000</v>
      </c>
      <c r="X1916">
        <v>13000</v>
      </c>
      <c r="Y1916" s="8">
        <v>0.28888888888888886</v>
      </c>
      <c r="Z1916" t="s">
        <v>2996</v>
      </c>
      <c r="AA1916" t="str">
        <f>IF(AND(SalesCleanTable[[#This Row],[Discount %]]&gt;0, SalesCleanTable[[#This Row],[Profit]]&lt;0), "Discount loss", "Safe")</f>
        <v>Safe</v>
      </c>
      <c r="AB1916" s="25">
        <f>(SalesCleanTable[[#This Row],[Unit Price]] - SalesCleanTable[[#This Row],[Unit Cost]]) / SalesCleanTable[[#This Row],[Unit Price]]</f>
        <v>0.28888888888888886</v>
      </c>
      <c r="AC1916" t="str">
        <f>IF(SalesCleanTable[[#This Row],[Discount %]] &gt; SalesCleanTable[[#This Row],[Max Allowed Discount]], "Discount loss", "Safe")</f>
        <v>Safe</v>
      </c>
      <c r="AD1916" s="4">
        <f>SalesCleanTable[[#This Row],[Unit Price]] - SalesCleanTable[[#This Row],[Unit Cost]]</f>
        <v>1300</v>
      </c>
      <c r="AE1916" s="41">
        <f>(SalesCleanTable[[#This Row],[Unit Price]] - SalesCleanTable[[#This Row],[Unit Cost]]) / SalesCleanTable[[#This Row],[Unit Price]]</f>
        <v>0.28888888888888886</v>
      </c>
    </row>
    <row r="1917" spans="1:31">
      <c r="A1917" t="s">
        <v>2103</v>
      </c>
      <c r="B1917" s="6">
        <v>45831</v>
      </c>
      <c r="C1917" t="s">
        <v>112</v>
      </c>
      <c r="D1917" t="s">
        <v>113</v>
      </c>
      <c r="E1917" t="s">
        <v>109</v>
      </c>
      <c r="F1917" t="s">
        <v>114</v>
      </c>
      <c r="G1917" t="s">
        <v>115</v>
      </c>
      <c r="H1917" t="s">
        <v>139</v>
      </c>
      <c r="I1917" t="s">
        <v>140</v>
      </c>
      <c r="J1917" t="s">
        <v>137</v>
      </c>
      <c r="K1917" t="s">
        <v>138</v>
      </c>
      <c r="L1917" t="s">
        <v>183</v>
      </c>
      <c r="M1917" t="s">
        <v>177</v>
      </c>
      <c r="N1917">
        <v>4</v>
      </c>
      <c r="O1917" s="4">
        <v>1300</v>
      </c>
      <c r="P1917" s="4">
        <v>2100</v>
      </c>
      <c r="Q1917" s="7">
        <v>0.1</v>
      </c>
      <c r="R1917" t="s">
        <v>220</v>
      </c>
      <c r="S1917">
        <v>10</v>
      </c>
      <c r="T1917">
        <v>8400</v>
      </c>
      <c r="U1917">
        <v>840</v>
      </c>
      <c r="V1917">
        <v>7560</v>
      </c>
      <c r="W1917">
        <v>5200</v>
      </c>
      <c r="X1917">
        <v>2360</v>
      </c>
      <c r="Y1917" s="8">
        <v>0.31216931216931215</v>
      </c>
      <c r="Z1917" t="s">
        <v>2995</v>
      </c>
      <c r="AA1917" t="str">
        <f>IF(AND(SalesCleanTable[[#This Row],[Discount %]]&gt;0, SalesCleanTable[[#This Row],[Profit]]&lt;0), "Discount loss", "Safe")</f>
        <v>Safe</v>
      </c>
      <c r="AB1917" s="25">
        <f>(SalesCleanTable[[#This Row],[Unit Price]] - SalesCleanTable[[#This Row],[Unit Cost]]) / SalesCleanTable[[#This Row],[Unit Price]]</f>
        <v>0.38095238095238093</v>
      </c>
      <c r="AC1917" t="str">
        <f>IF(SalesCleanTable[[#This Row],[Discount %]] &gt; SalesCleanTable[[#This Row],[Max Allowed Discount]], "Discount loss", "Safe")</f>
        <v>Safe</v>
      </c>
      <c r="AD1917" s="4">
        <f>SalesCleanTable[[#This Row],[Unit Price]] - SalesCleanTable[[#This Row],[Unit Cost]]</f>
        <v>800</v>
      </c>
      <c r="AE1917" s="41">
        <f>(SalesCleanTable[[#This Row],[Unit Price]] - SalesCleanTable[[#This Row],[Unit Cost]]) / SalesCleanTable[[#This Row],[Unit Price]]</f>
        <v>0.38095238095238093</v>
      </c>
    </row>
    <row r="1918" spans="1:31">
      <c r="A1918" t="s">
        <v>2104</v>
      </c>
      <c r="B1918" s="6">
        <v>45918</v>
      </c>
      <c r="C1918" t="s">
        <v>107</v>
      </c>
      <c r="D1918" t="s">
        <v>108</v>
      </c>
      <c r="E1918" t="s">
        <v>109</v>
      </c>
      <c r="F1918" t="s">
        <v>110</v>
      </c>
      <c r="G1918" t="s">
        <v>111</v>
      </c>
      <c r="H1918" t="s">
        <v>139</v>
      </c>
      <c r="I1918" t="s">
        <v>140</v>
      </c>
      <c r="J1918" t="s">
        <v>137</v>
      </c>
      <c r="K1918" t="s">
        <v>138</v>
      </c>
      <c r="L1918" t="s">
        <v>166</v>
      </c>
      <c r="M1918" t="s">
        <v>171</v>
      </c>
      <c r="N1918">
        <v>1</v>
      </c>
      <c r="O1918" s="4">
        <v>5200</v>
      </c>
      <c r="P1918" s="4">
        <v>7000</v>
      </c>
      <c r="Q1918" s="7">
        <v>0.15</v>
      </c>
      <c r="R1918" t="s">
        <v>235</v>
      </c>
      <c r="S1918">
        <v>11</v>
      </c>
      <c r="T1918">
        <v>7000</v>
      </c>
      <c r="U1918">
        <v>1050</v>
      </c>
      <c r="V1918">
        <v>5950</v>
      </c>
      <c r="W1918">
        <v>5200</v>
      </c>
      <c r="X1918">
        <v>750</v>
      </c>
      <c r="Y1918" s="8">
        <v>0.12605042016806722</v>
      </c>
      <c r="Z1918" t="s">
        <v>2997</v>
      </c>
      <c r="AA1918" t="str">
        <f>IF(AND(SalesCleanTable[[#This Row],[Discount %]]&gt;0, SalesCleanTable[[#This Row],[Profit]]&lt;0), "Discount loss", "Safe")</f>
        <v>Safe</v>
      </c>
      <c r="AB1918" s="25">
        <f>(SalesCleanTable[[#This Row],[Unit Price]] - SalesCleanTable[[#This Row],[Unit Cost]]) / SalesCleanTable[[#This Row],[Unit Price]]</f>
        <v>0.25714285714285712</v>
      </c>
      <c r="AC1918" t="str">
        <f>IF(SalesCleanTable[[#This Row],[Discount %]] &gt; SalesCleanTable[[#This Row],[Max Allowed Discount]], "Discount loss", "Safe")</f>
        <v>Safe</v>
      </c>
      <c r="AD1918" s="4">
        <f>SalesCleanTable[[#This Row],[Unit Price]] - SalesCleanTable[[#This Row],[Unit Cost]]</f>
        <v>1800</v>
      </c>
      <c r="AE1918" s="41">
        <f>(SalesCleanTable[[#This Row],[Unit Price]] - SalesCleanTable[[#This Row],[Unit Cost]]) / SalesCleanTable[[#This Row],[Unit Price]]</f>
        <v>0.25714285714285712</v>
      </c>
    </row>
    <row r="1919" spans="1:31">
      <c r="A1919" t="s">
        <v>2105</v>
      </c>
      <c r="B1919" s="6">
        <v>45921</v>
      </c>
      <c r="C1919" t="s">
        <v>32</v>
      </c>
      <c r="D1919" t="s">
        <v>33</v>
      </c>
      <c r="E1919" t="s">
        <v>26</v>
      </c>
      <c r="F1919" t="s">
        <v>34</v>
      </c>
      <c r="G1919" t="s">
        <v>35</v>
      </c>
      <c r="H1919" t="s">
        <v>145</v>
      </c>
      <c r="I1919" t="s">
        <v>146</v>
      </c>
      <c r="J1919" t="s">
        <v>147</v>
      </c>
      <c r="K1919" t="s">
        <v>148</v>
      </c>
      <c r="L1919" t="s">
        <v>166</v>
      </c>
      <c r="M1919" t="s">
        <v>167</v>
      </c>
      <c r="N1919">
        <v>3</v>
      </c>
      <c r="O1919" s="4">
        <v>7800</v>
      </c>
      <c r="P1919" s="4">
        <v>9800</v>
      </c>
      <c r="Q1919" s="7">
        <v>0</v>
      </c>
      <c r="R1919" t="s">
        <v>194</v>
      </c>
      <c r="S1919">
        <v>9</v>
      </c>
      <c r="T1919">
        <v>29400</v>
      </c>
      <c r="U1919">
        <v>0</v>
      </c>
      <c r="V1919">
        <v>29400</v>
      </c>
      <c r="W1919">
        <v>23400</v>
      </c>
      <c r="X1919">
        <v>6000</v>
      </c>
      <c r="Y1919" s="8">
        <v>0.20408163265306123</v>
      </c>
      <c r="Z1919" t="s">
        <v>2995</v>
      </c>
      <c r="AA1919" t="str">
        <f>IF(AND(SalesCleanTable[[#This Row],[Discount %]]&gt;0, SalesCleanTable[[#This Row],[Profit]]&lt;0), "Discount loss", "Safe")</f>
        <v>Safe</v>
      </c>
      <c r="AB1919" s="25">
        <f>(SalesCleanTable[[#This Row],[Unit Price]] - SalesCleanTable[[#This Row],[Unit Cost]]) / SalesCleanTable[[#This Row],[Unit Price]]</f>
        <v>0.20408163265306123</v>
      </c>
      <c r="AC1919" t="str">
        <f>IF(SalesCleanTable[[#This Row],[Discount %]] &gt; SalesCleanTable[[#This Row],[Max Allowed Discount]], "Discount loss", "Safe")</f>
        <v>Safe</v>
      </c>
      <c r="AD1919" s="4">
        <f>SalesCleanTable[[#This Row],[Unit Price]] - SalesCleanTable[[#This Row],[Unit Cost]]</f>
        <v>2000</v>
      </c>
      <c r="AE1919" s="41">
        <f>(SalesCleanTable[[#This Row],[Unit Price]] - SalesCleanTable[[#This Row],[Unit Cost]]) / SalesCleanTable[[#This Row],[Unit Price]]</f>
        <v>0.20408163265306123</v>
      </c>
    </row>
    <row r="1920" spans="1:31">
      <c r="A1920" t="s">
        <v>2106</v>
      </c>
      <c r="B1920" s="6">
        <v>45775</v>
      </c>
      <c r="C1920" t="s">
        <v>32</v>
      </c>
      <c r="D1920" t="s">
        <v>33</v>
      </c>
      <c r="E1920" t="s">
        <v>26</v>
      </c>
      <c r="F1920" t="s">
        <v>34</v>
      </c>
      <c r="G1920" t="s">
        <v>35</v>
      </c>
      <c r="H1920" t="s">
        <v>153</v>
      </c>
      <c r="I1920" t="s">
        <v>154</v>
      </c>
      <c r="J1920" t="s">
        <v>155</v>
      </c>
      <c r="K1920" t="s">
        <v>131</v>
      </c>
      <c r="L1920" t="s">
        <v>166</v>
      </c>
      <c r="M1920" t="s">
        <v>171</v>
      </c>
      <c r="N1920">
        <v>1</v>
      </c>
      <c r="O1920" s="4">
        <v>7800</v>
      </c>
      <c r="P1920" s="4">
        <v>9800</v>
      </c>
      <c r="Q1920" s="7">
        <v>0</v>
      </c>
      <c r="R1920" t="s">
        <v>173</v>
      </c>
      <c r="S1920">
        <v>4</v>
      </c>
      <c r="T1920">
        <v>9800</v>
      </c>
      <c r="U1920">
        <v>0</v>
      </c>
      <c r="V1920">
        <v>9800</v>
      </c>
      <c r="W1920">
        <v>7800</v>
      </c>
      <c r="X1920">
        <v>2000</v>
      </c>
      <c r="Y1920" s="8">
        <v>0.20408163265306123</v>
      </c>
      <c r="Z1920" t="s">
        <v>2995</v>
      </c>
      <c r="AA1920" t="str">
        <f>IF(AND(SalesCleanTable[[#This Row],[Discount %]]&gt;0, SalesCleanTable[[#This Row],[Profit]]&lt;0), "Discount loss", "Safe")</f>
        <v>Safe</v>
      </c>
      <c r="AB1920" s="25">
        <f>(SalesCleanTable[[#This Row],[Unit Price]] - SalesCleanTable[[#This Row],[Unit Cost]]) / SalesCleanTable[[#This Row],[Unit Price]]</f>
        <v>0.20408163265306123</v>
      </c>
      <c r="AC1920" t="str">
        <f>IF(SalesCleanTable[[#This Row],[Discount %]] &gt; SalesCleanTable[[#This Row],[Max Allowed Discount]], "Discount loss", "Safe")</f>
        <v>Safe</v>
      </c>
      <c r="AD1920" s="4">
        <f>SalesCleanTable[[#This Row],[Unit Price]] - SalesCleanTable[[#This Row],[Unit Cost]]</f>
        <v>2000</v>
      </c>
      <c r="AE1920" s="41">
        <f>(SalesCleanTable[[#This Row],[Unit Price]] - SalesCleanTable[[#This Row],[Unit Cost]]) / SalesCleanTable[[#This Row],[Unit Price]]</f>
        <v>0.20408163265306123</v>
      </c>
    </row>
    <row r="1921" spans="1:31">
      <c r="A1921" t="s">
        <v>2107</v>
      </c>
      <c r="B1921" s="6">
        <v>45926</v>
      </c>
      <c r="C1921" t="s">
        <v>82</v>
      </c>
      <c r="D1921" t="s">
        <v>83</v>
      </c>
      <c r="E1921" t="s">
        <v>75</v>
      </c>
      <c r="F1921" t="s">
        <v>84</v>
      </c>
      <c r="G1921" t="s">
        <v>85</v>
      </c>
      <c r="H1921" t="s">
        <v>128</v>
      </c>
      <c r="I1921" t="s">
        <v>129</v>
      </c>
      <c r="J1921" t="s">
        <v>130</v>
      </c>
      <c r="K1921" t="s">
        <v>131</v>
      </c>
      <c r="L1921" t="s">
        <v>166</v>
      </c>
      <c r="M1921" t="s">
        <v>171</v>
      </c>
      <c r="N1921">
        <v>10</v>
      </c>
      <c r="O1921" s="4">
        <v>600</v>
      </c>
      <c r="P1921" s="4">
        <v>950</v>
      </c>
      <c r="Q1921" s="7">
        <v>0.2</v>
      </c>
      <c r="R1921" t="s">
        <v>204</v>
      </c>
      <c r="S1921">
        <v>1</v>
      </c>
      <c r="T1921">
        <v>9500</v>
      </c>
      <c r="U1921">
        <v>1900</v>
      </c>
      <c r="V1921">
        <v>7600</v>
      </c>
      <c r="W1921">
        <v>6000</v>
      </c>
      <c r="X1921">
        <v>1600</v>
      </c>
      <c r="Y1921" s="8">
        <v>0.21052631578947367</v>
      </c>
      <c r="Z1921" t="s">
        <v>2996</v>
      </c>
      <c r="AA1921" t="str">
        <f>IF(AND(SalesCleanTable[[#This Row],[Discount %]]&gt;0, SalesCleanTable[[#This Row],[Profit]]&lt;0), "Discount loss", "Safe")</f>
        <v>Safe</v>
      </c>
      <c r="AB1921" s="25">
        <f>(SalesCleanTable[[#This Row],[Unit Price]] - SalesCleanTable[[#This Row],[Unit Cost]]) / SalesCleanTable[[#This Row],[Unit Price]]</f>
        <v>0.36842105263157893</v>
      </c>
      <c r="AC1921" t="str">
        <f>IF(SalesCleanTable[[#This Row],[Discount %]] &gt; SalesCleanTable[[#This Row],[Max Allowed Discount]], "Discount loss", "Safe")</f>
        <v>Safe</v>
      </c>
      <c r="AD1921" s="4">
        <f>SalesCleanTable[[#This Row],[Unit Price]] - SalesCleanTable[[#This Row],[Unit Cost]]</f>
        <v>350</v>
      </c>
      <c r="AE1921" s="41">
        <f>(SalesCleanTable[[#This Row],[Unit Price]] - SalesCleanTable[[#This Row],[Unit Cost]]) / SalesCleanTable[[#This Row],[Unit Price]]</f>
        <v>0.36842105263157893</v>
      </c>
    </row>
    <row r="1922" spans="1:31">
      <c r="A1922" t="s">
        <v>2108</v>
      </c>
      <c r="B1922" s="6">
        <v>45979</v>
      </c>
      <c r="C1922" t="s">
        <v>82</v>
      </c>
      <c r="D1922" t="s">
        <v>83</v>
      </c>
      <c r="E1922" t="s">
        <v>75</v>
      </c>
      <c r="F1922" t="s">
        <v>84</v>
      </c>
      <c r="G1922" t="s">
        <v>85</v>
      </c>
      <c r="H1922" t="s">
        <v>128</v>
      </c>
      <c r="I1922" t="s">
        <v>129</v>
      </c>
      <c r="J1922" t="s">
        <v>130</v>
      </c>
      <c r="K1922" t="s">
        <v>131</v>
      </c>
      <c r="L1922" t="s">
        <v>166</v>
      </c>
      <c r="M1922" t="s">
        <v>171</v>
      </c>
      <c r="N1922">
        <v>3</v>
      </c>
      <c r="O1922" s="4">
        <v>600</v>
      </c>
      <c r="P1922" s="4">
        <v>950</v>
      </c>
      <c r="Q1922" s="7">
        <v>0.2</v>
      </c>
      <c r="R1922" t="s">
        <v>187</v>
      </c>
      <c r="S1922">
        <v>4</v>
      </c>
      <c r="T1922">
        <v>2850</v>
      </c>
      <c r="U1922">
        <v>570</v>
      </c>
      <c r="V1922">
        <v>2280</v>
      </c>
      <c r="W1922">
        <v>1800</v>
      </c>
      <c r="X1922">
        <v>480</v>
      </c>
      <c r="Y1922" s="8">
        <v>0.21052631578947367</v>
      </c>
      <c r="Z1922" t="s">
        <v>2996</v>
      </c>
      <c r="AA1922" t="str">
        <f>IF(AND(SalesCleanTable[[#This Row],[Discount %]]&gt;0, SalesCleanTable[[#This Row],[Profit]]&lt;0), "Discount loss", "Safe")</f>
        <v>Safe</v>
      </c>
      <c r="AB1922" s="25">
        <f>(SalesCleanTable[[#This Row],[Unit Price]] - SalesCleanTable[[#This Row],[Unit Cost]]) / SalesCleanTable[[#This Row],[Unit Price]]</f>
        <v>0.36842105263157893</v>
      </c>
      <c r="AC1922" t="str">
        <f>IF(SalesCleanTable[[#This Row],[Discount %]] &gt; SalesCleanTable[[#This Row],[Max Allowed Discount]], "Discount loss", "Safe")</f>
        <v>Safe</v>
      </c>
      <c r="AD1922" s="4">
        <f>SalesCleanTable[[#This Row],[Unit Price]] - SalesCleanTable[[#This Row],[Unit Cost]]</f>
        <v>350</v>
      </c>
      <c r="AE1922" s="41">
        <f>(SalesCleanTable[[#This Row],[Unit Price]] - SalesCleanTable[[#This Row],[Unit Cost]]) / SalesCleanTable[[#This Row],[Unit Price]]</f>
        <v>0.36842105263157893</v>
      </c>
    </row>
    <row r="1923" spans="1:31">
      <c r="A1923" t="s">
        <v>2109</v>
      </c>
      <c r="B1923" s="6">
        <v>45724</v>
      </c>
      <c r="C1923" t="s">
        <v>82</v>
      </c>
      <c r="D1923" t="s">
        <v>83</v>
      </c>
      <c r="E1923" t="s">
        <v>75</v>
      </c>
      <c r="F1923" t="s">
        <v>84</v>
      </c>
      <c r="G1923" t="s">
        <v>85</v>
      </c>
      <c r="H1923" t="s">
        <v>139</v>
      </c>
      <c r="I1923" t="s">
        <v>140</v>
      </c>
      <c r="J1923" t="s">
        <v>137</v>
      </c>
      <c r="K1923" t="s">
        <v>138</v>
      </c>
      <c r="L1923" t="s">
        <v>183</v>
      </c>
      <c r="M1923" t="s">
        <v>167</v>
      </c>
      <c r="N1923">
        <v>5</v>
      </c>
      <c r="O1923" s="4">
        <v>600</v>
      </c>
      <c r="P1923" s="4">
        <v>950</v>
      </c>
      <c r="Q1923" s="7">
        <v>0</v>
      </c>
      <c r="R1923" t="s">
        <v>204</v>
      </c>
      <c r="S1923">
        <v>4</v>
      </c>
      <c r="T1923">
        <v>4750</v>
      </c>
      <c r="U1923">
        <v>0</v>
      </c>
      <c r="V1923">
        <v>4750</v>
      </c>
      <c r="W1923">
        <v>3000</v>
      </c>
      <c r="X1923">
        <v>1750</v>
      </c>
      <c r="Y1923" s="8">
        <v>0.36842105263157893</v>
      </c>
      <c r="Z1923" t="s">
        <v>2996</v>
      </c>
      <c r="AA1923" t="str">
        <f>IF(AND(SalesCleanTable[[#This Row],[Discount %]]&gt;0, SalesCleanTable[[#This Row],[Profit]]&lt;0), "Discount loss", "Safe")</f>
        <v>Safe</v>
      </c>
      <c r="AB1923" s="25">
        <f>(SalesCleanTable[[#This Row],[Unit Price]] - SalesCleanTable[[#This Row],[Unit Cost]]) / SalesCleanTable[[#This Row],[Unit Price]]</f>
        <v>0.36842105263157893</v>
      </c>
      <c r="AC1923" t="str">
        <f>IF(SalesCleanTable[[#This Row],[Discount %]] &gt; SalesCleanTable[[#This Row],[Max Allowed Discount]], "Discount loss", "Safe")</f>
        <v>Safe</v>
      </c>
      <c r="AD1923" s="4">
        <f>SalesCleanTable[[#This Row],[Unit Price]] - SalesCleanTable[[#This Row],[Unit Cost]]</f>
        <v>350</v>
      </c>
      <c r="AE1923" s="41">
        <f>(SalesCleanTable[[#This Row],[Unit Price]] - SalesCleanTable[[#This Row],[Unit Cost]]) / SalesCleanTable[[#This Row],[Unit Price]]</f>
        <v>0.36842105263157893</v>
      </c>
    </row>
    <row r="1924" spans="1:31">
      <c r="A1924" t="s">
        <v>2110</v>
      </c>
      <c r="B1924" s="6">
        <v>45724</v>
      </c>
      <c r="C1924" t="s">
        <v>57</v>
      </c>
      <c r="D1924" t="s">
        <v>58</v>
      </c>
      <c r="E1924" t="s">
        <v>59</v>
      </c>
      <c r="F1924" t="s">
        <v>60</v>
      </c>
      <c r="G1924" t="s">
        <v>61</v>
      </c>
      <c r="H1924" t="s">
        <v>135</v>
      </c>
      <c r="I1924" t="s">
        <v>136</v>
      </c>
      <c r="J1924" t="s">
        <v>137</v>
      </c>
      <c r="K1924" t="s">
        <v>138</v>
      </c>
      <c r="L1924" t="s">
        <v>166</v>
      </c>
      <c r="M1924" t="s">
        <v>177</v>
      </c>
      <c r="N1924">
        <v>6</v>
      </c>
      <c r="O1924" s="4">
        <v>2400</v>
      </c>
      <c r="P1924" s="4">
        <v>3400</v>
      </c>
      <c r="Q1924" s="7">
        <v>0.05</v>
      </c>
      <c r="R1924" t="s">
        <v>192</v>
      </c>
      <c r="S1924">
        <v>6</v>
      </c>
      <c r="T1924">
        <v>20400</v>
      </c>
      <c r="U1924">
        <v>1020</v>
      </c>
      <c r="V1924">
        <v>19380</v>
      </c>
      <c r="W1924">
        <v>14400</v>
      </c>
      <c r="X1924">
        <v>4980</v>
      </c>
      <c r="Y1924" s="8">
        <v>0.25696594427244585</v>
      </c>
      <c r="Z1924" t="s">
        <v>2996</v>
      </c>
      <c r="AA1924" t="str">
        <f>IF(AND(SalesCleanTable[[#This Row],[Discount %]]&gt;0, SalesCleanTable[[#This Row],[Profit]]&lt;0), "Discount loss", "Safe")</f>
        <v>Safe</v>
      </c>
      <c r="AB1924" s="25">
        <f>(SalesCleanTable[[#This Row],[Unit Price]] - SalesCleanTable[[#This Row],[Unit Cost]]) / SalesCleanTable[[#This Row],[Unit Price]]</f>
        <v>0.29411764705882354</v>
      </c>
      <c r="AC1924" t="str">
        <f>IF(SalesCleanTable[[#This Row],[Discount %]] &gt; SalesCleanTable[[#This Row],[Max Allowed Discount]], "Discount loss", "Safe")</f>
        <v>Safe</v>
      </c>
      <c r="AD1924" s="4">
        <f>SalesCleanTable[[#This Row],[Unit Price]] - SalesCleanTable[[#This Row],[Unit Cost]]</f>
        <v>1000</v>
      </c>
      <c r="AE1924" s="41">
        <f>(SalesCleanTable[[#This Row],[Unit Price]] - SalesCleanTable[[#This Row],[Unit Cost]]) / SalesCleanTable[[#This Row],[Unit Price]]</f>
        <v>0.29411764705882354</v>
      </c>
    </row>
    <row r="1925" spans="1:31">
      <c r="A1925" t="s">
        <v>2111</v>
      </c>
      <c r="B1925" s="6">
        <v>45962</v>
      </c>
      <c r="C1925" t="s">
        <v>41</v>
      </c>
      <c r="D1925" t="s">
        <v>42</v>
      </c>
      <c r="E1925" t="s">
        <v>26</v>
      </c>
      <c r="F1925" t="s">
        <v>43</v>
      </c>
      <c r="G1925" t="s">
        <v>44</v>
      </c>
      <c r="H1925" t="s">
        <v>149</v>
      </c>
      <c r="I1925" t="s">
        <v>150</v>
      </c>
      <c r="J1925" t="s">
        <v>151</v>
      </c>
      <c r="K1925" t="s">
        <v>152</v>
      </c>
      <c r="L1925" t="s">
        <v>183</v>
      </c>
      <c r="M1925" t="s">
        <v>177</v>
      </c>
      <c r="N1925">
        <v>2</v>
      </c>
      <c r="O1925" s="4">
        <v>850</v>
      </c>
      <c r="P1925" s="4">
        <v>1300</v>
      </c>
      <c r="Q1925" s="7">
        <v>0.05</v>
      </c>
      <c r="R1925" t="s">
        <v>173</v>
      </c>
      <c r="S1925">
        <v>4</v>
      </c>
      <c r="T1925">
        <v>2600</v>
      </c>
      <c r="U1925">
        <v>130</v>
      </c>
      <c r="V1925">
        <v>2470</v>
      </c>
      <c r="W1925">
        <v>1700</v>
      </c>
      <c r="X1925">
        <v>770</v>
      </c>
      <c r="Y1925" s="8">
        <v>0.31174089068825911</v>
      </c>
      <c r="Z1925" t="s">
        <v>2995</v>
      </c>
      <c r="AA1925" t="str">
        <f>IF(AND(SalesCleanTable[[#This Row],[Discount %]]&gt;0, SalesCleanTable[[#This Row],[Profit]]&lt;0), "Discount loss", "Safe")</f>
        <v>Safe</v>
      </c>
      <c r="AB1925" s="25">
        <f>(SalesCleanTable[[#This Row],[Unit Price]] - SalesCleanTable[[#This Row],[Unit Cost]]) / SalesCleanTable[[#This Row],[Unit Price]]</f>
        <v>0.34615384615384615</v>
      </c>
      <c r="AC1925" t="str">
        <f>IF(SalesCleanTable[[#This Row],[Discount %]] &gt; SalesCleanTable[[#This Row],[Max Allowed Discount]], "Discount loss", "Safe")</f>
        <v>Safe</v>
      </c>
      <c r="AD1925" s="4">
        <f>SalesCleanTable[[#This Row],[Unit Price]] - SalesCleanTable[[#This Row],[Unit Cost]]</f>
        <v>450</v>
      </c>
      <c r="AE1925" s="41">
        <f>(SalesCleanTable[[#This Row],[Unit Price]] - SalesCleanTable[[#This Row],[Unit Cost]]) / SalesCleanTable[[#This Row],[Unit Price]]</f>
        <v>0.34615384615384615</v>
      </c>
    </row>
    <row r="1926" spans="1:31">
      <c r="A1926" t="s">
        <v>2112</v>
      </c>
      <c r="B1926" s="6">
        <v>45694</v>
      </c>
      <c r="C1926" t="s">
        <v>78</v>
      </c>
      <c r="D1926" t="s">
        <v>79</v>
      </c>
      <c r="E1926" t="s">
        <v>75</v>
      </c>
      <c r="F1926" t="s">
        <v>80</v>
      </c>
      <c r="G1926" t="s">
        <v>81</v>
      </c>
      <c r="H1926" t="s">
        <v>141</v>
      </c>
      <c r="I1926" t="s">
        <v>142</v>
      </c>
      <c r="J1926" t="s">
        <v>143</v>
      </c>
      <c r="K1926" t="s">
        <v>144</v>
      </c>
      <c r="L1926" t="s">
        <v>183</v>
      </c>
      <c r="M1926" t="s">
        <v>171</v>
      </c>
      <c r="N1926">
        <v>10</v>
      </c>
      <c r="O1926" s="4">
        <v>1200</v>
      </c>
      <c r="P1926" s="4">
        <v>1900</v>
      </c>
      <c r="Q1926" s="7">
        <v>0</v>
      </c>
      <c r="R1926" t="s">
        <v>204</v>
      </c>
      <c r="S1926">
        <v>2</v>
      </c>
      <c r="T1926">
        <v>19000</v>
      </c>
      <c r="U1926">
        <v>0</v>
      </c>
      <c r="V1926">
        <v>19000</v>
      </c>
      <c r="W1926">
        <v>12000</v>
      </c>
      <c r="X1926">
        <v>7000</v>
      </c>
      <c r="Y1926" s="8">
        <v>0.36842105263157893</v>
      </c>
      <c r="Z1926" t="s">
        <v>2996</v>
      </c>
      <c r="AA1926" t="str">
        <f>IF(AND(SalesCleanTable[[#This Row],[Discount %]]&gt;0, SalesCleanTable[[#This Row],[Profit]]&lt;0), "Discount loss", "Safe")</f>
        <v>Safe</v>
      </c>
      <c r="AB1926" s="25">
        <f>(SalesCleanTable[[#This Row],[Unit Price]] - SalesCleanTable[[#This Row],[Unit Cost]]) / SalesCleanTable[[#This Row],[Unit Price]]</f>
        <v>0.36842105263157893</v>
      </c>
      <c r="AC1926" t="str">
        <f>IF(SalesCleanTable[[#This Row],[Discount %]] &gt; SalesCleanTable[[#This Row],[Max Allowed Discount]], "Discount loss", "Safe")</f>
        <v>Safe</v>
      </c>
      <c r="AD1926" s="4">
        <f>SalesCleanTable[[#This Row],[Unit Price]] - SalesCleanTable[[#This Row],[Unit Cost]]</f>
        <v>700</v>
      </c>
      <c r="AE1926" s="41">
        <f>(SalesCleanTable[[#This Row],[Unit Price]] - SalesCleanTable[[#This Row],[Unit Cost]]) / SalesCleanTable[[#This Row],[Unit Price]]</f>
        <v>0.36842105263157893</v>
      </c>
    </row>
    <row r="1927" spans="1:31">
      <c r="A1927" t="s">
        <v>2113</v>
      </c>
      <c r="B1927" s="6">
        <v>45851</v>
      </c>
      <c r="C1927" t="s">
        <v>103</v>
      </c>
      <c r="D1927" t="s">
        <v>104</v>
      </c>
      <c r="E1927" t="s">
        <v>92</v>
      </c>
      <c r="F1927" t="s">
        <v>105</v>
      </c>
      <c r="G1927" t="s">
        <v>106</v>
      </c>
      <c r="H1927" t="s">
        <v>128</v>
      </c>
      <c r="I1927" t="s">
        <v>129</v>
      </c>
      <c r="J1927" t="s">
        <v>130</v>
      </c>
      <c r="K1927" t="s">
        <v>131</v>
      </c>
      <c r="L1927" t="s">
        <v>170</v>
      </c>
      <c r="M1927" t="s">
        <v>167</v>
      </c>
      <c r="N1927">
        <v>8</v>
      </c>
      <c r="O1927" s="4">
        <v>1500</v>
      </c>
      <c r="P1927" s="4">
        <v>2500</v>
      </c>
      <c r="Q1927" s="7">
        <v>0.1</v>
      </c>
      <c r="R1927" t="s">
        <v>181</v>
      </c>
      <c r="S1927">
        <v>5</v>
      </c>
      <c r="T1927">
        <v>20000</v>
      </c>
      <c r="U1927">
        <v>2000</v>
      </c>
      <c r="V1927">
        <v>18000</v>
      </c>
      <c r="W1927">
        <v>12000</v>
      </c>
      <c r="X1927">
        <v>6000</v>
      </c>
      <c r="Y1927" s="8">
        <v>0.33333333333333331</v>
      </c>
      <c r="Z1927" t="s">
        <v>2996</v>
      </c>
      <c r="AA1927" t="str">
        <f>IF(AND(SalesCleanTable[[#This Row],[Discount %]]&gt;0, SalesCleanTable[[#This Row],[Profit]]&lt;0), "Discount loss", "Safe")</f>
        <v>Safe</v>
      </c>
      <c r="AB1927" s="25">
        <f>(SalesCleanTable[[#This Row],[Unit Price]] - SalesCleanTable[[#This Row],[Unit Cost]]) / SalesCleanTable[[#This Row],[Unit Price]]</f>
        <v>0.4</v>
      </c>
      <c r="AC1927" t="str">
        <f>IF(SalesCleanTable[[#This Row],[Discount %]] &gt; SalesCleanTable[[#This Row],[Max Allowed Discount]], "Discount loss", "Safe")</f>
        <v>Safe</v>
      </c>
      <c r="AD1927" s="4">
        <f>SalesCleanTable[[#This Row],[Unit Price]] - SalesCleanTable[[#This Row],[Unit Cost]]</f>
        <v>1000</v>
      </c>
      <c r="AE1927" s="41">
        <f>(SalesCleanTable[[#This Row],[Unit Price]] - SalesCleanTable[[#This Row],[Unit Cost]]) / SalesCleanTable[[#This Row],[Unit Price]]</f>
        <v>0.4</v>
      </c>
    </row>
    <row r="1928" spans="1:31">
      <c r="A1928" t="s">
        <v>2114</v>
      </c>
      <c r="B1928" s="6">
        <v>45935</v>
      </c>
      <c r="C1928" t="s">
        <v>99</v>
      </c>
      <c r="D1928" t="s">
        <v>100</v>
      </c>
      <c r="E1928" t="s">
        <v>92</v>
      </c>
      <c r="F1928" t="s">
        <v>101</v>
      </c>
      <c r="G1928" t="s">
        <v>102</v>
      </c>
      <c r="H1928" t="s">
        <v>128</v>
      </c>
      <c r="I1928" t="s">
        <v>129</v>
      </c>
      <c r="J1928" t="s">
        <v>130</v>
      </c>
      <c r="K1928" t="s">
        <v>131</v>
      </c>
      <c r="L1928" t="s">
        <v>166</v>
      </c>
      <c r="M1928" t="s">
        <v>171</v>
      </c>
      <c r="N1928">
        <v>2</v>
      </c>
      <c r="O1928" s="4">
        <v>12500</v>
      </c>
      <c r="P1928" s="4">
        <v>18500</v>
      </c>
      <c r="Q1928" s="7">
        <v>0</v>
      </c>
      <c r="R1928" t="s">
        <v>181</v>
      </c>
      <c r="S1928">
        <v>2</v>
      </c>
      <c r="T1928">
        <v>37000</v>
      </c>
      <c r="U1928">
        <v>0</v>
      </c>
      <c r="V1928">
        <v>37000</v>
      </c>
      <c r="W1928">
        <v>25000</v>
      </c>
      <c r="X1928">
        <v>12000</v>
      </c>
      <c r="Y1928" s="8">
        <v>0.32432432432432434</v>
      </c>
      <c r="Z1928" t="s">
        <v>2995</v>
      </c>
      <c r="AA1928" t="str">
        <f>IF(AND(SalesCleanTable[[#This Row],[Discount %]]&gt;0, SalesCleanTable[[#This Row],[Profit]]&lt;0), "Discount loss", "Safe")</f>
        <v>Safe</v>
      </c>
      <c r="AB1928" s="25">
        <f>(SalesCleanTable[[#This Row],[Unit Price]] - SalesCleanTable[[#This Row],[Unit Cost]]) / SalesCleanTable[[#This Row],[Unit Price]]</f>
        <v>0.32432432432432434</v>
      </c>
      <c r="AC1928" t="str">
        <f>IF(SalesCleanTable[[#This Row],[Discount %]] &gt; SalesCleanTable[[#This Row],[Max Allowed Discount]], "Discount loss", "Safe")</f>
        <v>Safe</v>
      </c>
      <c r="AD1928" s="4">
        <f>SalesCleanTable[[#This Row],[Unit Price]] - SalesCleanTable[[#This Row],[Unit Cost]]</f>
        <v>6000</v>
      </c>
      <c r="AE1928" s="41">
        <f>(SalesCleanTable[[#This Row],[Unit Price]] - SalesCleanTable[[#This Row],[Unit Cost]]) / SalesCleanTable[[#This Row],[Unit Price]]</f>
        <v>0.32432432432432434</v>
      </c>
    </row>
    <row r="1929" spans="1:31">
      <c r="A1929" t="s">
        <v>2115</v>
      </c>
      <c r="B1929" s="6">
        <v>45665</v>
      </c>
      <c r="C1929" t="s">
        <v>57</v>
      </c>
      <c r="D1929" t="s">
        <v>58</v>
      </c>
      <c r="E1929" t="s">
        <v>59</v>
      </c>
      <c r="F1929" t="s">
        <v>60</v>
      </c>
      <c r="G1929" t="s">
        <v>61</v>
      </c>
      <c r="H1929" t="s">
        <v>135</v>
      </c>
      <c r="I1929" t="s">
        <v>136</v>
      </c>
      <c r="J1929" t="s">
        <v>137</v>
      </c>
      <c r="K1929" t="s">
        <v>138</v>
      </c>
      <c r="L1929" t="s">
        <v>183</v>
      </c>
      <c r="M1929" t="s">
        <v>171</v>
      </c>
      <c r="N1929">
        <v>3</v>
      </c>
      <c r="O1929" s="4">
        <v>2400</v>
      </c>
      <c r="P1929" s="4">
        <v>3400</v>
      </c>
      <c r="Q1929" s="7">
        <v>0.05</v>
      </c>
      <c r="R1929" t="s">
        <v>204</v>
      </c>
      <c r="S1929">
        <v>8</v>
      </c>
      <c r="T1929">
        <v>10200</v>
      </c>
      <c r="U1929">
        <v>510</v>
      </c>
      <c r="V1929">
        <v>9690</v>
      </c>
      <c r="W1929">
        <v>7200</v>
      </c>
      <c r="X1929">
        <v>2490</v>
      </c>
      <c r="Y1929" s="8">
        <v>0.25696594427244585</v>
      </c>
      <c r="Z1929" t="s">
        <v>2996</v>
      </c>
      <c r="AA1929" t="str">
        <f>IF(AND(SalesCleanTable[[#This Row],[Discount %]]&gt;0, SalesCleanTable[[#This Row],[Profit]]&lt;0), "Discount loss", "Safe")</f>
        <v>Safe</v>
      </c>
      <c r="AB1929" s="25">
        <f>(SalesCleanTable[[#This Row],[Unit Price]] - SalesCleanTable[[#This Row],[Unit Cost]]) / SalesCleanTable[[#This Row],[Unit Price]]</f>
        <v>0.29411764705882354</v>
      </c>
      <c r="AC1929" t="str">
        <f>IF(SalesCleanTable[[#This Row],[Discount %]] &gt; SalesCleanTable[[#This Row],[Max Allowed Discount]], "Discount loss", "Safe")</f>
        <v>Safe</v>
      </c>
      <c r="AD1929" s="4">
        <f>SalesCleanTable[[#This Row],[Unit Price]] - SalesCleanTable[[#This Row],[Unit Cost]]</f>
        <v>1000</v>
      </c>
      <c r="AE1929" s="41">
        <f>(SalesCleanTable[[#This Row],[Unit Price]] - SalesCleanTable[[#This Row],[Unit Cost]]) / SalesCleanTable[[#This Row],[Unit Price]]</f>
        <v>0.29411764705882354</v>
      </c>
    </row>
    <row r="1930" spans="1:31">
      <c r="A1930" t="s">
        <v>2116</v>
      </c>
      <c r="B1930" s="6">
        <v>45678</v>
      </c>
      <c r="C1930" t="s">
        <v>49</v>
      </c>
      <c r="D1930" t="s">
        <v>50</v>
      </c>
      <c r="E1930" t="s">
        <v>38</v>
      </c>
      <c r="F1930" t="s">
        <v>51</v>
      </c>
      <c r="G1930" t="s">
        <v>52</v>
      </c>
      <c r="H1930" t="s">
        <v>145</v>
      </c>
      <c r="I1930" t="s">
        <v>146</v>
      </c>
      <c r="J1930" t="s">
        <v>147</v>
      </c>
      <c r="K1930" t="s">
        <v>148</v>
      </c>
      <c r="L1930" t="s">
        <v>166</v>
      </c>
      <c r="M1930" t="s">
        <v>186</v>
      </c>
      <c r="N1930">
        <v>8</v>
      </c>
      <c r="O1930" s="4">
        <v>550</v>
      </c>
      <c r="P1930" s="4">
        <v>850</v>
      </c>
      <c r="Q1930" s="7">
        <v>0</v>
      </c>
      <c r="R1930" t="s">
        <v>175</v>
      </c>
      <c r="S1930">
        <v>1</v>
      </c>
      <c r="T1930">
        <v>6800</v>
      </c>
      <c r="U1930">
        <v>0</v>
      </c>
      <c r="V1930">
        <v>6800</v>
      </c>
      <c r="W1930">
        <v>4400</v>
      </c>
      <c r="X1930">
        <v>2400</v>
      </c>
      <c r="Y1930" s="8">
        <v>0.35294117647058826</v>
      </c>
      <c r="Z1930" t="s">
        <v>2996</v>
      </c>
      <c r="AA1930" t="str">
        <f>IF(AND(SalesCleanTable[[#This Row],[Discount %]]&gt;0, SalesCleanTable[[#This Row],[Profit]]&lt;0), "Discount loss", "Safe")</f>
        <v>Safe</v>
      </c>
      <c r="AB1930" s="25">
        <f>(SalesCleanTable[[#This Row],[Unit Price]] - SalesCleanTable[[#This Row],[Unit Cost]]) / SalesCleanTable[[#This Row],[Unit Price]]</f>
        <v>0.35294117647058826</v>
      </c>
      <c r="AC1930" t="str">
        <f>IF(SalesCleanTable[[#This Row],[Discount %]] &gt; SalesCleanTable[[#This Row],[Max Allowed Discount]], "Discount loss", "Safe")</f>
        <v>Safe</v>
      </c>
      <c r="AD1930" s="4">
        <f>SalesCleanTable[[#This Row],[Unit Price]] - SalesCleanTable[[#This Row],[Unit Cost]]</f>
        <v>300</v>
      </c>
      <c r="AE1930" s="41">
        <f>(SalesCleanTable[[#This Row],[Unit Price]] - SalesCleanTable[[#This Row],[Unit Cost]]) / SalesCleanTable[[#This Row],[Unit Price]]</f>
        <v>0.35294117647058826</v>
      </c>
    </row>
    <row r="1931" spans="1:31">
      <c r="A1931" t="s">
        <v>2117</v>
      </c>
      <c r="B1931" s="6">
        <v>45804</v>
      </c>
      <c r="C1931" t="s">
        <v>90</v>
      </c>
      <c r="D1931" t="s">
        <v>91</v>
      </c>
      <c r="E1931" t="s">
        <v>92</v>
      </c>
      <c r="F1931" t="s">
        <v>93</v>
      </c>
      <c r="G1931" t="s">
        <v>94</v>
      </c>
      <c r="H1931" t="s">
        <v>145</v>
      </c>
      <c r="I1931" t="s">
        <v>146</v>
      </c>
      <c r="J1931" t="s">
        <v>147</v>
      </c>
      <c r="K1931" t="s">
        <v>148</v>
      </c>
      <c r="L1931" t="s">
        <v>170</v>
      </c>
      <c r="M1931" t="s">
        <v>186</v>
      </c>
      <c r="N1931">
        <v>2</v>
      </c>
      <c r="O1931" s="4">
        <v>7500</v>
      </c>
      <c r="P1931" s="4">
        <v>10500</v>
      </c>
      <c r="Q1931" s="7">
        <v>0</v>
      </c>
      <c r="R1931" t="s">
        <v>181</v>
      </c>
      <c r="S1931">
        <v>11</v>
      </c>
      <c r="T1931">
        <v>21000</v>
      </c>
      <c r="U1931">
        <v>0</v>
      </c>
      <c r="V1931">
        <v>21000</v>
      </c>
      <c r="W1931">
        <v>15000</v>
      </c>
      <c r="X1931">
        <v>6000</v>
      </c>
      <c r="Y1931" s="8">
        <v>0.2857142857142857</v>
      </c>
      <c r="Z1931" t="s">
        <v>2996</v>
      </c>
      <c r="AA1931" t="str">
        <f>IF(AND(SalesCleanTable[[#This Row],[Discount %]]&gt;0, SalesCleanTable[[#This Row],[Profit]]&lt;0), "Discount loss", "Safe")</f>
        <v>Safe</v>
      </c>
      <c r="AB1931" s="25">
        <f>(SalesCleanTable[[#This Row],[Unit Price]] - SalesCleanTable[[#This Row],[Unit Cost]]) / SalesCleanTable[[#This Row],[Unit Price]]</f>
        <v>0.2857142857142857</v>
      </c>
      <c r="AC1931" t="str">
        <f>IF(SalesCleanTable[[#This Row],[Discount %]] &gt; SalesCleanTable[[#This Row],[Max Allowed Discount]], "Discount loss", "Safe")</f>
        <v>Safe</v>
      </c>
      <c r="AD1931" s="4">
        <f>SalesCleanTable[[#This Row],[Unit Price]] - SalesCleanTable[[#This Row],[Unit Cost]]</f>
        <v>3000</v>
      </c>
      <c r="AE1931" s="41">
        <f>(SalesCleanTable[[#This Row],[Unit Price]] - SalesCleanTable[[#This Row],[Unit Cost]]) / SalesCleanTable[[#This Row],[Unit Price]]</f>
        <v>0.2857142857142857</v>
      </c>
    </row>
    <row r="1932" spans="1:31">
      <c r="A1932" t="s">
        <v>2118</v>
      </c>
      <c r="B1932" s="6">
        <v>45754</v>
      </c>
      <c r="C1932" t="s">
        <v>82</v>
      </c>
      <c r="D1932" t="s">
        <v>83</v>
      </c>
      <c r="E1932" t="s">
        <v>75</v>
      </c>
      <c r="F1932" t="s">
        <v>84</v>
      </c>
      <c r="G1932" t="s">
        <v>85</v>
      </c>
      <c r="H1932" t="s">
        <v>139</v>
      </c>
      <c r="I1932" t="s">
        <v>140</v>
      </c>
      <c r="J1932" t="s">
        <v>137</v>
      </c>
      <c r="K1932" t="s">
        <v>138</v>
      </c>
      <c r="L1932" t="s">
        <v>183</v>
      </c>
      <c r="M1932" t="s">
        <v>177</v>
      </c>
      <c r="N1932">
        <v>2</v>
      </c>
      <c r="O1932" s="4">
        <v>600</v>
      </c>
      <c r="P1932" s="4">
        <v>950</v>
      </c>
      <c r="Q1932" s="7">
        <v>0.05</v>
      </c>
      <c r="R1932" t="s">
        <v>187</v>
      </c>
      <c r="S1932">
        <v>3</v>
      </c>
      <c r="T1932">
        <v>1900</v>
      </c>
      <c r="U1932">
        <v>95</v>
      </c>
      <c r="V1932">
        <v>1805</v>
      </c>
      <c r="W1932">
        <v>1200</v>
      </c>
      <c r="X1932">
        <v>605</v>
      </c>
      <c r="Y1932" s="8">
        <v>0.33518005540166207</v>
      </c>
      <c r="Z1932" t="s">
        <v>2996</v>
      </c>
      <c r="AA1932" t="str">
        <f>IF(AND(SalesCleanTable[[#This Row],[Discount %]]&gt;0, SalesCleanTable[[#This Row],[Profit]]&lt;0), "Discount loss", "Safe")</f>
        <v>Safe</v>
      </c>
      <c r="AB1932" s="25">
        <f>(SalesCleanTable[[#This Row],[Unit Price]] - SalesCleanTable[[#This Row],[Unit Cost]]) / SalesCleanTable[[#This Row],[Unit Price]]</f>
        <v>0.36842105263157893</v>
      </c>
      <c r="AC1932" t="str">
        <f>IF(SalesCleanTable[[#This Row],[Discount %]] &gt; SalesCleanTable[[#This Row],[Max Allowed Discount]], "Discount loss", "Safe")</f>
        <v>Safe</v>
      </c>
      <c r="AD1932" s="4">
        <f>SalesCleanTable[[#This Row],[Unit Price]] - SalesCleanTable[[#This Row],[Unit Cost]]</f>
        <v>350</v>
      </c>
      <c r="AE1932" s="41">
        <f>(SalesCleanTable[[#This Row],[Unit Price]] - SalesCleanTable[[#This Row],[Unit Cost]]) / SalesCleanTable[[#This Row],[Unit Price]]</f>
        <v>0.36842105263157893</v>
      </c>
    </row>
    <row r="1933" spans="1:31">
      <c r="A1933" t="s">
        <v>2119</v>
      </c>
      <c r="B1933" s="6">
        <v>45855</v>
      </c>
      <c r="C1933" t="s">
        <v>32</v>
      </c>
      <c r="D1933" t="s">
        <v>33</v>
      </c>
      <c r="E1933" t="s">
        <v>26</v>
      </c>
      <c r="F1933" t="s">
        <v>34</v>
      </c>
      <c r="G1933" t="s">
        <v>35</v>
      </c>
      <c r="H1933" t="s">
        <v>149</v>
      </c>
      <c r="I1933" t="s">
        <v>150</v>
      </c>
      <c r="J1933" t="s">
        <v>151</v>
      </c>
      <c r="K1933" t="s">
        <v>152</v>
      </c>
      <c r="L1933" t="s">
        <v>166</v>
      </c>
      <c r="M1933" t="s">
        <v>167</v>
      </c>
      <c r="N1933">
        <v>1</v>
      </c>
      <c r="O1933" s="4">
        <v>7800</v>
      </c>
      <c r="P1933" s="4">
        <v>9800</v>
      </c>
      <c r="Q1933" s="7">
        <v>0</v>
      </c>
      <c r="R1933" t="s">
        <v>194</v>
      </c>
      <c r="S1933">
        <v>11</v>
      </c>
      <c r="T1933">
        <v>9800</v>
      </c>
      <c r="U1933">
        <v>0</v>
      </c>
      <c r="V1933">
        <v>9800</v>
      </c>
      <c r="W1933">
        <v>7800</v>
      </c>
      <c r="X1933">
        <v>2000</v>
      </c>
      <c r="Y1933" s="8">
        <v>0.20408163265306123</v>
      </c>
      <c r="Z1933" t="s">
        <v>2995</v>
      </c>
      <c r="AA1933" t="str">
        <f>IF(AND(SalesCleanTable[[#This Row],[Discount %]]&gt;0, SalesCleanTable[[#This Row],[Profit]]&lt;0), "Discount loss", "Safe")</f>
        <v>Safe</v>
      </c>
      <c r="AB1933" s="25">
        <f>(SalesCleanTable[[#This Row],[Unit Price]] - SalesCleanTable[[#This Row],[Unit Cost]]) / SalesCleanTable[[#This Row],[Unit Price]]</f>
        <v>0.20408163265306123</v>
      </c>
      <c r="AC1933" t="str">
        <f>IF(SalesCleanTable[[#This Row],[Discount %]] &gt; SalesCleanTable[[#This Row],[Max Allowed Discount]], "Discount loss", "Safe")</f>
        <v>Safe</v>
      </c>
      <c r="AD1933" s="4">
        <f>SalesCleanTable[[#This Row],[Unit Price]] - SalesCleanTable[[#This Row],[Unit Cost]]</f>
        <v>2000</v>
      </c>
      <c r="AE1933" s="41">
        <f>(SalesCleanTable[[#This Row],[Unit Price]] - SalesCleanTable[[#This Row],[Unit Cost]]) / SalesCleanTable[[#This Row],[Unit Price]]</f>
        <v>0.20408163265306123</v>
      </c>
    </row>
    <row r="1934" spans="1:31">
      <c r="A1934" t="s">
        <v>2120</v>
      </c>
      <c r="B1934" s="6">
        <v>45833</v>
      </c>
      <c r="C1934" t="s">
        <v>112</v>
      </c>
      <c r="D1934" t="s">
        <v>113</v>
      </c>
      <c r="E1934" t="s">
        <v>109</v>
      </c>
      <c r="F1934" t="s">
        <v>114</v>
      </c>
      <c r="G1934" t="s">
        <v>115</v>
      </c>
      <c r="H1934" t="s">
        <v>139</v>
      </c>
      <c r="I1934" t="s">
        <v>140</v>
      </c>
      <c r="J1934" t="s">
        <v>137</v>
      </c>
      <c r="K1934" t="s">
        <v>138</v>
      </c>
      <c r="L1934" t="s">
        <v>166</v>
      </c>
      <c r="M1934" t="s">
        <v>186</v>
      </c>
      <c r="N1934">
        <v>2</v>
      </c>
      <c r="O1934" s="4">
        <v>1300</v>
      </c>
      <c r="P1934" s="4">
        <v>2100</v>
      </c>
      <c r="Q1934" s="7">
        <v>0.1</v>
      </c>
      <c r="R1934" t="s">
        <v>184</v>
      </c>
      <c r="S1934">
        <v>11</v>
      </c>
      <c r="T1934">
        <v>4200</v>
      </c>
      <c r="U1934">
        <v>420</v>
      </c>
      <c r="V1934">
        <v>3780</v>
      </c>
      <c r="W1934">
        <v>2600</v>
      </c>
      <c r="X1934">
        <v>1180</v>
      </c>
      <c r="Y1934" s="8">
        <v>0.31216931216931215</v>
      </c>
      <c r="Z1934" t="s">
        <v>2995</v>
      </c>
      <c r="AA1934" t="str">
        <f>IF(AND(SalesCleanTable[[#This Row],[Discount %]]&gt;0, SalesCleanTable[[#This Row],[Profit]]&lt;0), "Discount loss", "Safe")</f>
        <v>Safe</v>
      </c>
      <c r="AB1934" s="25">
        <f>(SalesCleanTable[[#This Row],[Unit Price]] - SalesCleanTable[[#This Row],[Unit Cost]]) / SalesCleanTable[[#This Row],[Unit Price]]</f>
        <v>0.38095238095238093</v>
      </c>
      <c r="AC1934" t="str">
        <f>IF(SalesCleanTable[[#This Row],[Discount %]] &gt; SalesCleanTable[[#This Row],[Max Allowed Discount]], "Discount loss", "Safe")</f>
        <v>Safe</v>
      </c>
      <c r="AD1934" s="4">
        <f>SalesCleanTable[[#This Row],[Unit Price]] - SalesCleanTable[[#This Row],[Unit Cost]]</f>
        <v>800</v>
      </c>
      <c r="AE1934" s="41">
        <f>(SalesCleanTable[[#This Row],[Unit Price]] - SalesCleanTable[[#This Row],[Unit Cost]]) / SalesCleanTable[[#This Row],[Unit Price]]</f>
        <v>0.38095238095238093</v>
      </c>
    </row>
    <row r="1935" spans="1:31">
      <c r="A1935" t="s">
        <v>2121</v>
      </c>
      <c r="B1935" s="6">
        <v>45678</v>
      </c>
      <c r="C1935" t="s">
        <v>57</v>
      </c>
      <c r="D1935" t="s">
        <v>58</v>
      </c>
      <c r="E1935" t="s">
        <v>59</v>
      </c>
      <c r="F1935" t="s">
        <v>60</v>
      </c>
      <c r="G1935" t="s">
        <v>61</v>
      </c>
      <c r="H1935" t="s">
        <v>139</v>
      </c>
      <c r="I1935" t="s">
        <v>140</v>
      </c>
      <c r="J1935" t="s">
        <v>137</v>
      </c>
      <c r="K1935" t="s">
        <v>138</v>
      </c>
      <c r="L1935" t="s">
        <v>183</v>
      </c>
      <c r="M1935" t="s">
        <v>171</v>
      </c>
      <c r="N1935">
        <v>10</v>
      </c>
      <c r="O1935" s="4">
        <v>2400</v>
      </c>
      <c r="P1935" s="4">
        <v>3400</v>
      </c>
      <c r="Q1935" s="7">
        <v>0.2</v>
      </c>
      <c r="R1935" t="s">
        <v>204</v>
      </c>
      <c r="S1935">
        <v>3</v>
      </c>
      <c r="T1935">
        <v>34000</v>
      </c>
      <c r="U1935">
        <v>6800</v>
      </c>
      <c r="V1935">
        <v>27200</v>
      </c>
      <c r="W1935">
        <v>24000</v>
      </c>
      <c r="X1935">
        <v>3200</v>
      </c>
      <c r="Y1935" s="8">
        <v>0.11764705882352941</v>
      </c>
      <c r="Z1935" t="s">
        <v>2996</v>
      </c>
      <c r="AA1935" t="str">
        <f>IF(AND(SalesCleanTable[[#This Row],[Discount %]]&gt;0, SalesCleanTable[[#This Row],[Profit]]&lt;0), "Discount loss", "Safe")</f>
        <v>Safe</v>
      </c>
      <c r="AB1935" s="25">
        <f>(SalesCleanTable[[#This Row],[Unit Price]] - SalesCleanTable[[#This Row],[Unit Cost]]) / SalesCleanTable[[#This Row],[Unit Price]]</f>
        <v>0.29411764705882354</v>
      </c>
      <c r="AC1935" t="str">
        <f>IF(SalesCleanTable[[#This Row],[Discount %]] &gt; SalesCleanTable[[#This Row],[Max Allowed Discount]], "Discount loss", "Safe")</f>
        <v>Safe</v>
      </c>
      <c r="AD1935" s="4">
        <f>SalesCleanTable[[#This Row],[Unit Price]] - SalesCleanTable[[#This Row],[Unit Cost]]</f>
        <v>1000</v>
      </c>
      <c r="AE1935" s="41">
        <f>(SalesCleanTable[[#This Row],[Unit Price]] - SalesCleanTable[[#This Row],[Unit Cost]]) / SalesCleanTable[[#This Row],[Unit Price]]</f>
        <v>0.29411764705882354</v>
      </c>
    </row>
    <row r="1936" spans="1:31">
      <c r="A1936" t="s">
        <v>2122</v>
      </c>
      <c r="B1936" s="6">
        <v>45817</v>
      </c>
      <c r="C1936" t="s">
        <v>107</v>
      </c>
      <c r="D1936" t="s">
        <v>108</v>
      </c>
      <c r="E1936" t="s">
        <v>109</v>
      </c>
      <c r="F1936" t="s">
        <v>110</v>
      </c>
      <c r="G1936" t="s">
        <v>111</v>
      </c>
      <c r="H1936" t="s">
        <v>145</v>
      </c>
      <c r="I1936" t="s">
        <v>146</v>
      </c>
      <c r="J1936" t="s">
        <v>147</v>
      </c>
      <c r="K1936" t="s">
        <v>148</v>
      </c>
      <c r="L1936" t="s">
        <v>166</v>
      </c>
      <c r="M1936" t="s">
        <v>167</v>
      </c>
      <c r="N1936">
        <v>4</v>
      </c>
      <c r="O1936" s="4">
        <v>5200</v>
      </c>
      <c r="P1936" s="4">
        <v>7000</v>
      </c>
      <c r="Q1936" s="7">
        <v>0.15</v>
      </c>
      <c r="R1936" t="s">
        <v>184</v>
      </c>
      <c r="S1936">
        <v>6</v>
      </c>
      <c r="T1936">
        <v>28000</v>
      </c>
      <c r="U1936">
        <v>4200</v>
      </c>
      <c r="V1936">
        <v>23800</v>
      </c>
      <c r="W1936">
        <v>20800</v>
      </c>
      <c r="X1936">
        <v>3000</v>
      </c>
      <c r="Y1936" s="8">
        <v>0.12605042016806722</v>
      </c>
      <c r="Z1936" t="s">
        <v>2997</v>
      </c>
      <c r="AA1936" t="str">
        <f>IF(AND(SalesCleanTable[[#This Row],[Discount %]]&gt;0, SalesCleanTable[[#This Row],[Profit]]&lt;0), "Discount loss", "Safe")</f>
        <v>Safe</v>
      </c>
      <c r="AB1936" s="25">
        <f>(SalesCleanTable[[#This Row],[Unit Price]] - SalesCleanTable[[#This Row],[Unit Cost]]) / SalesCleanTable[[#This Row],[Unit Price]]</f>
        <v>0.25714285714285712</v>
      </c>
      <c r="AC1936" t="str">
        <f>IF(SalesCleanTable[[#This Row],[Discount %]] &gt; SalesCleanTable[[#This Row],[Max Allowed Discount]], "Discount loss", "Safe")</f>
        <v>Safe</v>
      </c>
      <c r="AD1936" s="4">
        <f>SalesCleanTable[[#This Row],[Unit Price]] - SalesCleanTable[[#This Row],[Unit Cost]]</f>
        <v>1800</v>
      </c>
      <c r="AE1936" s="41">
        <f>(SalesCleanTable[[#This Row],[Unit Price]] - SalesCleanTable[[#This Row],[Unit Cost]]) / SalesCleanTable[[#This Row],[Unit Price]]</f>
        <v>0.25714285714285712</v>
      </c>
    </row>
    <row r="1937" spans="1:31">
      <c r="A1937" t="s">
        <v>2123</v>
      </c>
      <c r="B1937" s="6">
        <v>45726</v>
      </c>
      <c r="C1937" t="s">
        <v>82</v>
      </c>
      <c r="D1937" t="s">
        <v>83</v>
      </c>
      <c r="E1937" t="s">
        <v>75</v>
      </c>
      <c r="F1937" t="s">
        <v>84</v>
      </c>
      <c r="G1937" t="s">
        <v>85</v>
      </c>
      <c r="H1937" t="s">
        <v>153</v>
      </c>
      <c r="I1937" t="s">
        <v>154</v>
      </c>
      <c r="J1937" t="s">
        <v>155</v>
      </c>
      <c r="K1937" t="s">
        <v>131</v>
      </c>
      <c r="L1937" t="s">
        <v>170</v>
      </c>
      <c r="M1937" t="s">
        <v>171</v>
      </c>
      <c r="N1937">
        <v>2</v>
      </c>
      <c r="O1937" s="4">
        <v>600</v>
      </c>
      <c r="P1937" s="4">
        <v>950</v>
      </c>
      <c r="Q1937" s="7">
        <v>0.05</v>
      </c>
      <c r="R1937" t="s">
        <v>204</v>
      </c>
      <c r="S1937">
        <v>1</v>
      </c>
      <c r="T1937">
        <v>1900</v>
      </c>
      <c r="U1937">
        <v>95</v>
      </c>
      <c r="V1937">
        <v>1805</v>
      </c>
      <c r="W1937">
        <v>1200</v>
      </c>
      <c r="X1937">
        <v>605</v>
      </c>
      <c r="Y1937" s="8">
        <v>0.33518005540166207</v>
      </c>
      <c r="Z1937" t="s">
        <v>2996</v>
      </c>
      <c r="AA1937" t="str">
        <f>IF(AND(SalesCleanTable[[#This Row],[Discount %]]&gt;0, SalesCleanTable[[#This Row],[Profit]]&lt;0), "Discount loss", "Safe")</f>
        <v>Safe</v>
      </c>
      <c r="AB1937" s="25">
        <f>(SalesCleanTable[[#This Row],[Unit Price]] - SalesCleanTable[[#This Row],[Unit Cost]]) / SalesCleanTable[[#This Row],[Unit Price]]</f>
        <v>0.36842105263157893</v>
      </c>
      <c r="AC1937" t="str">
        <f>IF(SalesCleanTable[[#This Row],[Discount %]] &gt; SalesCleanTable[[#This Row],[Max Allowed Discount]], "Discount loss", "Safe")</f>
        <v>Safe</v>
      </c>
      <c r="AD1937" s="4">
        <f>SalesCleanTable[[#This Row],[Unit Price]] - SalesCleanTable[[#This Row],[Unit Cost]]</f>
        <v>350</v>
      </c>
      <c r="AE1937" s="41">
        <f>(SalesCleanTable[[#This Row],[Unit Price]] - SalesCleanTable[[#This Row],[Unit Cost]]) / SalesCleanTable[[#This Row],[Unit Price]]</f>
        <v>0.36842105263157893</v>
      </c>
    </row>
    <row r="1938" spans="1:31">
      <c r="A1938" t="s">
        <v>2124</v>
      </c>
      <c r="B1938" s="6">
        <v>45778</v>
      </c>
      <c r="C1938" t="s">
        <v>41</v>
      </c>
      <c r="D1938" t="s">
        <v>42</v>
      </c>
      <c r="E1938" t="s">
        <v>26</v>
      </c>
      <c r="F1938" t="s">
        <v>43</v>
      </c>
      <c r="G1938" t="s">
        <v>44</v>
      </c>
      <c r="H1938" t="s">
        <v>135</v>
      </c>
      <c r="I1938" t="s">
        <v>136</v>
      </c>
      <c r="J1938" t="s">
        <v>137</v>
      </c>
      <c r="K1938" t="s">
        <v>138</v>
      </c>
      <c r="L1938" t="s">
        <v>183</v>
      </c>
      <c r="M1938" t="s">
        <v>167</v>
      </c>
      <c r="N1938">
        <v>1</v>
      </c>
      <c r="O1938" s="4">
        <v>850</v>
      </c>
      <c r="P1938" s="4">
        <v>1300</v>
      </c>
      <c r="Q1938" s="7">
        <v>0.15</v>
      </c>
      <c r="R1938" t="s">
        <v>197</v>
      </c>
      <c r="S1938">
        <v>12</v>
      </c>
      <c r="T1938">
        <v>1300</v>
      </c>
      <c r="U1938">
        <v>195</v>
      </c>
      <c r="V1938">
        <v>1105</v>
      </c>
      <c r="W1938">
        <v>850</v>
      </c>
      <c r="X1938">
        <v>255</v>
      </c>
      <c r="Y1938" s="8">
        <v>0.23076923076923078</v>
      </c>
      <c r="Z1938" t="s">
        <v>2995</v>
      </c>
      <c r="AA1938" t="str">
        <f>IF(AND(SalesCleanTable[[#This Row],[Discount %]]&gt;0, SalesCleanTable[[#This Row],[Profit]]&lt;0), "Discount loss", "Safe")</f>
        <v>Safe</v>
      </c>
      <c r="AB1938" s="25">
        <f>(SalesCleanTable[[#This Row],[Unit Price]] - SalesCleanTable[[#This Row],[Unit Cost]]) / SalesCleanTable[[#This Row],[Unit Price]]</f>
        <v>0.34615384615384615</v>
      </c>
      <c r="AC1938" t="str">
        <f>IF(SalesCleanTable[[#This Row],[Discount %]] &gt; SalesCleanTable[[#This Row],[Max Allowed Discount]], "Discount loss", "Safe")</f>
        <v>Safe</v>
      </c>
      <c r="AD1938" s="4">
        <f>SalesCleanTable[[#This Row],[Unit Price]] - SalesCleanTable[[#This Row],[Unit Cost]]</f>
        <v>450</v>
      </c>
      <c r="AE1938" s="41">
        <f>(SalesCleanTable[[#This Row],[Unit Price]] - SalesCleanTable[[#This Row],[Unit Cost]]) / SalesCleanTable[[#This Row],[Unit Price]]</f>
        <v>0.34615384615384615</v>
      </c>
    </row>
    <row r="1939" spans="1:31">
      <c r="A1939" t="s">
        <v>2125</v>
      </c>
      <c r="B1939" s="6">
        <v>46000</v>
      </c>
      <c r="C1939" t="s">
        <v>57</v>
      </c>
      <c r="D1939" t="s">
        <v>58</v>
      </c>
      <c r="E1939" t="s">
        <v>59</v>
      </c>
      <c r="F1939" t="s">
        <v>60</v>
      </c>
      <c r="G1939" t="s">
        <v>61</v>
      </c>
      <c r="H1939" t="s">
        <v>135</v>
      </c>
      <c r="I1939" t="s">
        <v>136</v>
      </c>
      <c r="J1939" t="s">
        <v>137</v>
      </c>
      <c r="K1939" t="s">
        <v>138</v>
      </c>
      <c r="L1939" t="s">
        <v>166</v>
      </c>
      <c r="M1939" t="s">
        <v>186</v>
      </c>
      <c r="N1939">
        <v>2</v>
      </c>
      <c r="O1939" s="4">
        <v>2400</v>
      </c>
      <c r="P1939" s="4">
        <v>3400</v>
      </c>
      <c r="Q1939" s="7">
        <v>0.1</v>
      </c>
      <c r="R1939" t="s">
        <v>173</v>
      </c>
      <c r="S1939">
        <v>7</v>
      </c>
      <c r="T1939">
        <v>6800</v>
      </c>
      <c r="U1939">
        <v>680</v>
      </c>
      <c r="V1939">
        <v>6120</v>
      </c>
      <c r="W1939">
        <v>4800</v>
      </c>
      <c r="X1939">
        <v>1320</v>
      </c>
      <c r="Y1939" s="8">
        <v>0.21568627450980393</v>
      </c>
      <c r="Z1939" t="s">
        <v>2996</v>
      </c>
      <c r="AA1939" t="str">
        <f>IF(AND(SalesCleanTable[[#This Row],[Discount %]]&gt;0, SalesCleanTable[[#This Row],[Profit]]&lt;0), "Discount loss", "Safe")</f>
        <v>Safe</v>
      </c>
      <c r="AB1939" s="25">
        <f>(SalesCleanTable[[#This Row],[Unit Price]] - SalesCleanTable[[#This Row],[Unit Cost]]) / SalesCleanTable[[#This Row],[Unit Price]]</f>
        <v>0.29411764705882354</v>
      </c>
      <c r="AC1939" t="str">
        <f>IF(SalesCleanTable[[#This Row],[Discount %]] &gt; SalesCleanTable[[#This Row],[Max Allowed Discount]], "Discount loss", "Safe")</f>
        <v>Safe</v>
      </c>
      <c r="AD1939" s="4">
        <f>SalesCleanTable[[#This Row],[Unit Price]] - SalesCleanTable[[#This Row],[Unit Cost]]</f>
        <v>1000</v>
      </c>
      <c r="AE1939" s="41">
        <f>(SalesCleanTable[[#This Row],[Unit Price]] - SalesCleanTable[[#This Row],[Unit Cost]]) / SalesCleanTable[[#This Row],[Unit Price]]</f>
        <v>0.29411764705882354</v>
      </c>
    </row>
    <row r="1940" spans="1:31">
      <c r="A1940" t="s">
        <v>2126</v>
      </c>
      <c r="B1940" s="6">
        <v>45946</v>
      </c>
      <c r="C1940" t="s">
        <v>78</v>
      </c>
      <c r="D1940" t="s">
        <v>79</v>
      </c>
      <c r="E1940" t="s">
        <v>75</v>
      </c>
      <c r="F1940" t="s">
        <v>80</v>
      </c>
      <c r="G1940" t="s">
        <v>81</v>
      </c>
      <c r="H1940" t="s">
        <v>139</v>
      </c>
      <c r="I1940" t="s">
        <v>140</v>
      </c>
      <c r="J1940" t="s">
        <v>137</v>
      </c>
      <c r="K1940" t="s">
        <v>138</v>
      </c>
      <c r="L1940" t="s">
        <v>183</v>
      </c>
      <c r="M1940" t="s">
        <v>171</v>
      </c>
      <c r="N1940">
        <v>5</v>
      </c>
      <c r="O1940" s="4">
        <v>1200</v>
      </c>
      <c r="P1940" s="4">
        <v>1900</v>
      </c>
      <c r="Q1940" s="7">
        <v>0.05</v>
      </c>
      <c r="R1940" t="s">
        <v>208</v>
      </c>
      <c r="S1940">
        <v>12</v>
      </c>
      <c r="T1940">
        <v>9500</v>
      </c>
      <c r="U1940">
        <v>475</v>
      </c>
      <c r="V1940">
        <v>9025</v>
      </c>
      <c r="W1940">
        <v>6000</v>
      </c>
      <c r="X1940">
        <v>3025</v>
      </c>
      <c r="Y1940" s="8">
        <v>0.33518005540166207</v>
      </c>
      <c r="Z1940" t="s">
        <v>2996</v>
      </c>
      <c r="AA1940" t="str">
        <f>IF(AND(SalesCleanTable[[#This Row],[Discount %]]&gt;0, SalesCleanTable[[#This Row],[Profit]]&lt;0), "Discount loss", "Safe")</f>
        <v>Safe</v>
      </c>
      <c r="AB1940" s="25">
        <f>(SalesCleanTable[[#This Row],[Unit Price]] - SalesCleanTable[[#This Row],[Unit Cost]]) / SalesCleanTable[[#This Row],[Unit Price]]</f>
        <v>0.36842105263157893</v>
      </c>
      <c r="AC1940" t="str">
        <f>IF(SalesCleanTable[[#This Row],[Discount %]] &gt; SalesCleanTable[[#This Row],[Max Allowed Discount]], "Discount loss", "Safe")</f>
        <v>Safe</v>
      </c>
      <c r="AD1940" s="4">
        <f>SalesCleanTable[[#This Row],[Unit Price]] - SalesCleanTable[[#This Row],[Unit Cost]]</f>
        <v>700</v>
      </c>
      <c r="AE1940" s="41">
        <f>(SalesCleanTable[[#This Row],[Unit Price]] - SalesCleanTable[[#This Row],[Unit Cost]]) / SalesCleanTable[[#This Row],[Unit Price]]</f>
        <v>0.36842105263157893</v>
      </c>
    </row>
    <row r="1941" spans="1:31">
      <c r="A1941" t="s">
        <v>2127</v>
      </c>
      <c r="B1941" s="6">
        <v>45983</v>
      </c>
      <c r="C1941" t="s">
        <v>45</v>
      </c>
      <c r="D1941" t="s">
        <v>46</v>
      </c>
      <c r="E1941" t="s">
        <v>38</v>
      </c>
      <c r="F1941" t="s">
        <v>47</v>
      </c>
      <c r="G1941" t="s">
        <v>48</v>
      </c>
      <c r="H1941" t="s">
        <v>133</v>
      </c>
      <c r="I1941" t="s">
        <v>134</v>
      </c>
      <c r="J1941" t="s">
        <v>130</v>
      </c>
      <c r="K1941" t="s">
        <v>131</v>
      </c>
      <c r="L1941" t="s">
        <v>166</v>
      </c>
      <c r="M1941" t="s">
        <v>171</v>
      </c>
      <c r="N1941">
        <v>8</v>
      </c>
      <c r="O1941" s="4">
        <v>230</v>
      </c>
      <c r="P1941" s="4">
        <v>400</v>
      </c>
      <c r="Q1941" s="7">
        <v>0.05</v>
      </c>
      <c r="R1941" t="s">
        <v>175</v>
      </c>
      <c r="S1941">
        <v>7</v>
      </c>
      <c r="T1941">
        <v>3200</v>
      </c>
      <c r="U1941">
        <v>160</v>
      </c>
      <c r="V1941">
        <v>3040</v>
      </c>
      <c r="W1941">
        <v>1840</v>
      </c>
      <c r="X1941">
        <v>1200</v>
      </c>
      <c r="Y1941" s="8">
        <v>0.39473684210526316</v>
      </c>
      <c r="Z1941" t="s">
        <v>2995</v>
      </c>
      <c r="AA1941" t="str">
        <f>IF(AND(SalesCleanTable[[#This Row],[Discount %]]&gt;0, SalesCleanTable[[#This Row],[Profit]]&lt;0), "Discount loss", "Safe")</f>
        <v>Safe</v>
      </c>
      <c r="AB1941" s="25">
        <f>(SalesCleanTable[[#This Row],[Unit Price]] - SalesCleanTable[[#This Row],[Unit Cost]]) / SalesCleanTable[[#This Row],[Unit Price]]</f>
        <v>0.42499999999999999</v>
      </c>
      <c r="AC1941" t="str">
        <f>IF(SalesCleanTable[[#This Row],[Discount %]] &gt; SalesCleanTable[[#This Row],[Max Allowed Discount]], "Discount loss", "Safe")</f>
        <v>Safe</v>
      </c>
      <c r="AD1941" s="4">
        <f>SalesCleanTable[[#This Row],[Unit Price]] - SalesCleanTable[[#This Row],[Unit Cost]]</f>
        <v>170</v>
      </c>
      <c r="AE1941" s="41">
        <f>(SalesCleanTable[[#This Row],[Unit Price]] - SalesCleanTable[[#This Row],[Unit Cost]]) / SalesCleanTable[[#This Row],[Unit Price]]</f>
        <v>0.42499999999999999</v>
      </c>
    </row>
    <row r="1942" spans="1:31">
      <c r="A1942" t="s">
        <v>2128</v>
      </c>
      <c r="B1942" s="6">
        <v>45962</v>
      </c>
      <c r="C1942" t="s">
        <v>90</v>
      </c>
      <c r="D1942" t="s">
        <v>91</v>
      </c>
      <c r="E1942" t="s">
        <v>92</v>
      </c>
      <c r="F1942" t="s">
        <v>93</v>
      </c>
      <c r="G1942" t="s">
        <v>94</v>
      </c>
      <c r="H1942" t="s">
        <v>135</v>
      </c>
      <c r="I1942" t="s">
        <v>136</v>
      </c>
      <c r="J1942" t="s">
        <v>137</v>
      </c>
      <c r="K1942" t="s">
        <v>138</v>
      </c>
      <c r="L1942" t="s">
        <v>183</v>
      </c>
      <c r="M1942" t="s">
        <v>177</v>
      </c>
      <c r="N1942">
        <v>5</v>
      </c>
      <c r="O1942" s="4">
        <v>7500</v>
      </c>
      <c r="P1942" s="4">
        <v>10500</v>
      </c>
      <c r="Q1942" s="7">
        <v>0.15</v>
      </c>
      <c r="R1942" t="s">
        <v>181</v>
      </c>
      <c r="S1942">
        <v>6</v>
      </c>
      <c r="T1942">
        <v>52500</v>
      </c>
      <c r="U1942">
        <v>7875</v>
      </c>
      <c r="V1942">
        <v>44625</v>
      </c>
      <c r="W1942">
        <v>37500</v>
      </c>
      <c r="X1942">
        <v>7125</v>
      </c>
      <c r="Y1942" s="8">
        <v>0.15966386554621848</v>
      </c>
      <c r="Z1942" t="s">
        <v>2996</v>
      </c>
      <c r="AA1942" t="str">
        <f>IF(AND(SalesCleanTable[[#This Row],[Discount %]]&gt;0, SalesCleanTable[[#This Row],[Profit]]&lt;0), "Discount loss", "Safe")</f>
        <v>Safe</v>
      </c>
      <c r="AB1942" s="25">
        <f>(SalesCleanTable[[#This Row],[Unit Price]] - SalesCleanTable[[#This Row],[Unit Cost]]) / SalesCleanTable[[#This Row],[Unit Price]]</f>
        <v>0.2857142857142857</v>
      </c>
      <c r="AC1942" t="str">
        <f>IF(SalesCleanTable[[#This Row],[Discount %]] &gt; SalesCleanTable[[#This Row],[Max Allowed Discount]], "Discount loss", "Safe")</f>
        <v>Safe</v>
      </c>
      <c r="AD1942" s="4">
        <f>SalesCleanTable[[#This Row],[Unit Price]] - SalesCleanTable[[#This Row],[Unit Cost]]</f>
        <v>3000</v>
      </c>
      <c r="AE1942" s="41">
        <f>(SalesCleanTable[[#This Row],[Unit Price]] - SalesCleanTable[[#This Row],[Unit Cost]]) / SalesCleanTable[[#This Row],[Unit Price]]</f>
        <v>0.2857142857142857</v>
      </c>
    </row>
    <row r="1943" spans="1:31">
      <c r="A1943" t="s">
        <v>2129</v>
      </c>
      <c r="B1943" s="6">
        <v>45669</v>
      </c>
      <c r="C1943" t="s">
        <v>57</v>
      </c>
      <c r="D1943" t="s">
        <v>58</v>
      </c>
      <c r="E1943" t="s">
        <v>59</v>
      </c>
      <c r="F1943" t="s">
        <v>60</v>
      </c>
      <c r="G1943" t="s">
        <v>61</v>
      </c>
      <c r="H1943" t="s">
        <v>149</v>
      </c>
      <c r="I1943" t="s">
        <v>150</v>
      </c>
      <c r="J1943" t="s">
        <v>151</v>
      </c>
      <c r="K1943" t="s">
        <v>152</v>
      </c>
      <c r="L1943" t="s">
        <v>170</v>
      </c>
      <c r="M1943" t="s">
        <v>171</v>
      </c>
      <c r="N1943">
        <v>3</v>
      </c>
      <c r="O1943" s="4">
        <v>2400</v>
      </c>
      <c r="P1943" s="4">
        <v>3400</v>
      </c>
      <c r="Q1943" s="7">
        <v>0.2</v>
      </c>
      <c r="R1943" t="s">
        <v>204</v>
      </c>
      <c r="S1943">
        <v>9</v>
      </c>
      <c r="T1943">
        <v>10200</v>
      </c>
      <c r="U1943">
        <v>2040</v>
      </c>
      <c r="V1943">
        <v>8160</v>
      </c>
      <c r="W1943">
        <v>7200</v>
      </c>
      <c r="X1943">
        <v>960</v>
      </c>
      <c r="Y1943" s="8">
        <v>0.11764705882352941</v>
      </c>
      <c r="Z1943" t="s">
        <v>2996</v>
      </c>
      <c r="AA1943" t="str">
        <f>IF(AND(SalesCleanTable[[#This Row],[Discount %]]&gt;0, SalesCleanTable[[#This Row],[Profit]]&lt;0), "Discount loss", "Safe")</f>
        <v>Safe</v>
      </c>
      <c r="AB1943" s="25">
        <f>(SalesCleanTable[[#This Row],[Unit Price]] - SalesCleanTable[[#This Row],[Unit Cost]]) / SalesCleanTable[[#This Row],[Unit Price]]</f>
        <v>0.29411764705882354</v>
      </c>
      <c r="AC1943" t="str">
        <f>IF(SalesCleanTable[[#This Row],[Discount %]] &gt; SalesCleanTable[[#This Row],[Max Allowed Discount]], "Discount loss", "Safe")</f>
        <v>Safe</v>
      </c>
      <c r="AD1943" s="4">
        <f>SalesCleanTable[[#This Row],[Unit Price]] - SalesCleanTable[[#This Row],[Unit Cost]]</f>
        <v>1000</v>
      </c>
      <c r="AE1943" s="41">
        <f>(SalesCleanTable[[#This Row],[Unit Price]] - SalesCleanTable[[#This Row],[Unit Cost]]) / SalesCleanTable[[#This Row],[Unit Price]]</f>
        <v>0.29411764705882354</v>
      </c>
    </row>
    <row r="1944" spans="1:31">
      <c r="A1944" t="s">
        <v>2130</v>
      </c>
      <c r="B1944" s="6">
        <v>45832</v>
      </c>
      <c r="C1944" t="s">
        <v>36</v>
      </c>
      <c r="D1944" t="s">
        <v>37</v>
      </c>
      <c r="E1944" t="s">
        <v>38</v>
      </c>
      <c r="F1944" t="s">
        <v>39</v>
      </c>
      <c r="G1944" t="s">
        <v>40</v>
      </c>
      <c r="H1944" t="s">
        <v>135</v>
      </c>
      <c r="I1944" t="s">
        <v>136</v>
      </c>
      <c r="J1944" t="s">
        <v>137</v>
      </c>
      <c r="K1944" t="s">
        <v>138</v>
      </c>
      <c r="L1944" t="s">
        <v>166</v>
      </c>
      <c r="M1944" t="s">
        <v>186</v>
      </c>
      <c r="N1944">
        <v>1</v>
      </c>
      <c r="O1944" s="4">
        <v>1650</v>
      </c>
      <c r="P1944" s="4">
        <v>2200</v>
      </c>
      <c r="Q1944" s="7">
        <v>0.15</v>
      </c>
      <c r="R1944" t="s">
        <v>175</v>
      </c>
      <c r="S1944">
        <v>14</v>
      </c>
      <c r="T1944">
        <v>2200</v>
      </c>
      <c r="U1944">
        <v>330</v>
      </c>
      <c r="V1944">
        <v>1870</v>
      </c>
      <c r="W1944">
        <v>1650</v>
      </c>
      <c r="X1944">
        <v>220</v>
      </c>
      <c r="Y1944" s="8">
        <v>0.11764705882352941</v>
      </c>
      <c r="Z1944" t="s">
        <v>2995</v>
      </c>
      <c r="AA1944" t="str">
        <f>IF(AND(SalesCleanTable[[#This Row],[Discount %]]&gt;0, SalesCleanTable[[#This Row],[Profit]]&lt;0), "Discount loss", "Safe")</f>
        <v>Safe</v>
      </c>
      <c r="AB1944" s="25">
        <f>(SalesCleanTable[[#This Row],[Unit Price]] - SalesCleanTable[[#This Row],[Unit Cost]]) / SalesCleanTable[[#This Row],[Unit Price]]</f>
        <v>0.25</v>
      </c>
      <c r="AC1944" t="str">
        <f>IF(SalesCleanTable[[#This Row],[Discount %]] &gt; SalesCleanTable[[#This Row],[Max Allowed Discount]], "Discount loss", "Safe")</f>
        <v>Safe</v>
      </c>
      <c r="AD1944" s="4">
        <f>SalesCleanTable[[#This Row],[Unit Price]] - SalesCleanTable[[#This Row],[Unit Cost]]</f>
        <v>550</v>
      </c>
      <c r="AE1944" s="41">
        <f>(SalesCleanTable[[#This Row],[Unit Price]] - SalesCleanTable[[#This Row],[Unit Cost]]) / SalesCleanTable[[#This Row],[Unit Price]]</f>
        <v>0.25</v>
      </c>
    </row>
    <row r="1945" spans="1:31">
      <c r="A1945" t="s">
        <v>2131</v>
      </c>
      <c r="B1945" s="6">
        <v>45715</v>
      </c>
      <c r="C1945" t="s">
        <v>103</v>
      </c>
      <c r="D1945" t="s">
        <v>104</v>
      </c>
      <c r="E1945" t="s">
        <v>92</v>
      </c>
      <c r="F1945" t="s">
        <v>105</v>
      </c>
      <c r="G1945" t="s">
        <v>106</v>
      </c>
      <c r="H1945" t="s">
        <v>133</v>
      </c>
      <c r="I1945" t="s">
        <v>134</v>
      </c>
      <c r="J1945" t="s">
        <v>130</v>
      </c>
      <c r="K1945" t="s">
        <v>131</v>
      </c>
      <c r="L1945" t="s">
        <v>166</v>
      </c>
      <c r="M1945" t="s">
        <v>186</v>
      </c>
      <c r="N1945">
        <v>2</v>
      </c>
      <c r="O1945" s="4">
        <v>1500</v>
      </c>
      <c r="P1945" s="4">
        <v>2500</v>
      </c>
      <c r="Q1945" s="7">
        <v>0.2</v>
      </c>
      <c r="R1945" t="s">
        <v>215</v>
      </c>
      <c r="S1945">
        <v>10</v>
      </c>
      <c r="T1945">
        <v>5000</v>
      </c>
      <c r="U1945">
        <v>1000</v>
      </c>
      <c r="V1945">
        <v>4000</v>
      </c>
      <c r="W1945">
        <v>3000</v>
      </c>
      <c r="X1945">
        <v>1000</v>
      </c>
      <c r="Y1945" s="8">
        <v>0.25</v>
      </c>
      <c r="Z1945" t="s">
        <v>2996</v>
      </c>
      <c r="AA1945" t="str">
        <f>IF(AND(SalesCleanTable[[#This Row],[Discount %]]&gt;0, SalesCleanTable[[#This Row],[Profit]]&lt;0), "Discount loss", "Safe")</f>
        <v>Safe</v>
      </c>
      <c r="AB1945" s="25">
        <f>(SalesCleanTable[[#This Row],[Unit Price]] - SalesCleanTable[[#This Row],[Unit Cost]]) / SalesCleanTable[[#This Row],[Unit Price]]</f>
        <v>0.4</v>
      </c>
      <c r="AC1945" t="str">
        <f>IF(SalesCleanTable[[#This Row],[Discount %]] &gt; SalesCleanTable[[#This Row],[Max Allowed Discount]], "Discount loss", "Safe")</f>
        <v>Safe</v>
      </c>
      <c r="AD1945" s="4">
        <f>SalesCleanTable[[#This Row],[Unit Price]] - SalesCleanTable[[#This Row],[Unit Cost]]</f>
        <v>1000</v>
      </c>
      <c r="AE1945" s="41">
        <f>(SalesCleanTable[[#This Row],[Unit Price]] - SalesCleanTable[[#This Row],[Unit Cost]]) / SalesCleanTable[[#This Row],[Unit Price]]</f>
        <v>0.4</v>
      </c>
    </row>
    <row r="1946" spans="1:31">
      <c r="A1946" t="s">
        <v>2132</v>
      </c>
      <c r="B1946" s="6">
        <v>45794</v>
      </c>
      <c r="C1946" t="s">
        <v>36</v>
      </c>
      <c r="D1946" t="s">
        <v>37</v>
      </c>
      <c r="E1946" t="s">
        <v>38</v>
      </c>
      <c r="F1946" t="s">
        <v>39</v>
      </c>
      <c r="G1946" t="s">
        <v>40</v>
      </c>
      <c r="H1946" t="s">
        <v>128</v>
      </c>
      <c r="I1946" t="s">
        <v>129</v>
      </c>
      <c r="J1946" t="s">
        <v>130</v>
      </c>
      <c r="K1946" t="s">
        <v>131</v>
      </c>
      <c r="L1946" t="s">
        <v>183</v>
      </c>
      <c r="M1946" t="s">
        <v>167</v>
      </c>
      <c r="N1946">
        <v>5</v>
      </c>
      <c r="O1946" s="4">
        <v>1650</v>
      </c>
      <c r="P1946" s="4">
        <v>2200</v>
      </c>
      <c r="Q1946" s="7">
        <v>0</v>
      </c>
      <c r="R1946" t="s">
        <v>168</v>
      </c>
      <c r="S1946">
        <v>10</v>
      </c>
      <c r="T1946">
        <v>11000</v>
      </c>
      <c r="U1946">
        <v>0</v>
      </c>
      <c r="V1946">
        <v>11000</v>
      </c>
      <c r="W1946">
        <v>8250</v>
      </c>
      <c r="X1946">
        <v>2750</v>
      </c>
      <c r="Y1946" s="8">
        <v>0.25</v>
      </c>
      <c r="Z1946" t="s">
        <v>2995</v>
      </c>
      <c r="AA1946" t="str">
        <f>IF(AND(SalesCleanTable[[#This Row],[Discount %]]&gt;0, SalesCleanTable[[#This Row],[Profit]]&lt;0), "Discount loss", "Safe")</f>
        <v>Safe</v>
      </c>
      <c r="AB1946" s="25">
        <f>(SalesCleanTable[[#This Row],[Unit Price]] - SalesCleanTable[[#This Row],[Unit Cost]]) / SalesCleanTable[[#This Row],[Unit Price]]</f>
        <v>0.25</v>
      </c>
      <c r="AC1946" t="str">
        <f>IF(SalesCleanTable[[#This Row],[Discount %]] &gt; SalesCleanTable[[#This Row],[Max Allowed Discount]], "Discount loss", "Safe")</f>
        <v>Safe</v>
      </c>
      <c r="AD1946" s="4">
        <f>SalesCleanTable[[#This Row],[Unit Price]] - SalesCleanTable[[#This Row],[Unit Cost]]</f>
        <v>550</v>
      </c>
      <c r="AE1946" s="41">
        <f>(SalesCleanTable[[#This Row],[Unit Price]] - SalesCleanTable[[#This Row],[Unit Cost]]) / SalesCleanTable[[#This Row],[Unit Price]]</f>
        <v>0.25</v>
      </c>
    </row>
    <row r="1947" spans="1:31">
      <c r="A1947" t="s">
        <v>2133</v>
      </c>
      <c r="B1947" s="6">
        <v>45738</v>
      </c>
      <c r="C1947" t="s">
        <v>112</v>
      </c>
      <c r="D1947" t="s">
        <v>113</v>
      </c>
      <c r="E1947" t="s">
        <v>109</v>
      </c>
      <c r="F1947" t="s">
        <v>114</v>
      </c>
      <c r="G1947" t="s">
        <v>115</v>
      </c>
      <c r="H1947" t="s">
        <v>149</v>
      </c>
      <c r="I1947" t="s">
        <v>150</v>
      </c>
      <c r="J1947" t="s">
        <v>151</v>
      </c>
      <c r="K1947" t="s">
        <v>152</v>
      </c>
      <c r="L1947" t="s">
        <v>166</v>
      </c>
      <c r="M1947" t="s">
        <v>171</v>
      </c>
      <c r="N1947">
        <v>2</v>
      </c>
      <c r="O1947" s="4">
        <v>1300</v>
      </c>
      <c r="P1947" s="4">
        <v>2100</v>
      </c>
      <c r="Q1947" s="7">
        <v>0.05</v>
      </c>
      <c r="R1947" t="s">
        <v>235</v>
      </c>
      <c r="S1947">
        <v>8</v>
      </c>
      <c r="T1947">
        <v>4200</v>
      </c>
      <c r="U1947">
        <v>210</v>
      </c>
      <c r="V1947">
        <v>3990</v>
      </c>
      <c r="W1947">
        <v>2600</v>
      </c>
      <c r="X1947">
        <v>1390</v>
      </c>
      <c r="Y1947" s="8">
        <v>0.34837092731829572</v>
      </c>
      <c r="Z1947" t="s">
        <v>2995</v>
      </c>
      <c r="AA1947" t="str">
        <f>IF(AND(SalesCleanTable[[#This Row],[Discount %]]&gt;0, SalesCleanTable[[#This Row],[Profit]]&lt;0), "Discount loss", "Safe")</f>
        <v>Safe</v>
      </c>
      <c r="AB1947" s="25">
        <f>(SalesCleanTable[[#This Row],[Unit Price]] - SalesCleanTable[[#This Row],[Unit Cost]]) / SalesCleanTable[[#This Row],[Unit Price]]</f>
        <v>0.38095238095238093</v>
      </c>
      <c r="AC1947" t="str">
        <f>IF(SalesCleanTable[[#This Row],[Discount %]] &gt; SalesCleanTable[[#This Row],[Max Allowed Discount]], "Discount loss", "Safe")</f>
        <v>Safe</v>
      </c>
      <c r="AD1947" s="4">
        <f>SalesCleanTable[[#This Row],[Unit Price]] - SalesCleanTable[[#This Row],[Unit Cost]]</f>
        <v>800</v>
      </c>
      <c r="AE1947" s="41">
        <f>(SalesCleanTable[[#This Row],[Unit Price]] - SalesCleanTable[[#This Row],[Unit Cost]]) / SalesCleanTable[[#This Row],[Unit Price]]</f>
        <v>0.38095238095238093</v>
      </c>
    </row>
    <row r="1948" spans="1:31">
      <c r="A1948" t="s">
        <v>2134</v>
      </c>
      <c r="B1948" s="6">
        <v>45770</v>
      </c>
      <c r="C1948" t="s">
        <v>78</v>
      </c>
      <c r="D1948" t="s">
        <v>79</v>
      </c>
      <c r="E1948" t="s">
        <v>75</v>
      </c>
      <c r="F1948" t="s">
        <v>80</v>
      </c>
      <c r="G1948" t="s">
        <v>81</v>
      </c>
      <c r="H1948" t="s">
        <v>139</v>
      </c>
      <c r="I1948" t="s">
        <v>140</v>
      </c>
      <c r="J1948" t="s">
        <v>137</v>
      </c>
      <c r="K1948" t="s">
        <v>138</v>
      </c>
      <c r="L1948" t="s">
        <v>183</v>
      </c>
      <c r="M1948" t="s">
        <v>177</v>
      </c>
      <c r="N1948">
        <v>1</v>
      </c>
      <c r="O1948" s="4">
        <v>1200</v>
      </c>
      <c r="P1948" s="4">
        <v>1900</v>
      </c>
      <c r="Q1948" s="7">
        <v>0.15</v>
      </c>
      <c r="R1948" t="s">
        <v>204</v>
      </c>
      <c r="S1948">
        <v>11</v>
      </c>
      <c r="T1948">
        <v>1900</v>
      </c>
      <c r="U1948">
        <v>285</v>
      </c>
      <c r="V1948">
        <v>1615</v>
      </c>
      <c r="W1948">
        <v>1200</v>
      </c>
      <c r="X1948">
        <v>415</v>
      </c>
      <c r="Y1948" s="8">
        <v>0.25696594427244585</v>
      </c>
      <c r="Z1948" t="s">
        <v>2996</v>
      </c>
      <c r="AA1948" t="str">
        <f>IF(AND(SalesCleanTable[[#This Row],[Discount %]]&gt;0, SalesCleanTable[[#This Row],[Profit]]&lt;0), "Discount loss", "Safe")</f>
        <v>Safe</v>
      </c>
      <c r="AB1948" s="25">
        <f>(SalesCleanTable[[#This Row],[Unit Price]] - SalesCleanTable[[#This Row],[Unit Cost]]) / SalesCleanTable[[#This Row],[Unit Price]]</f>
        <v>0.36842105263157893</v>
      </c>
      <c r="AC1948" t="str">
        <f>IF(SalesCleanTable[[#This Row],[Discount %]] &gt; SalesCleanTable[[#This Row],[Max Allowed Discount]], "Discount loss", "Safe")</f>
        <v>Safe</v>
      </c>
      <c r="AD1948" s="4">
        <f>SalesCleanTable[[#This Row],[Unit Price]] - SalesCleanTable[[#This Row],[Unit Cost]]</f>
        <v>700</v>
      </c>
      <c r="AE1948" s="41">
        <f>(SalesCleanTable[[#This Row],[Unit Price]] - SalesCleanTable[[#This Row],[Unit Cost]]) / SalesCleanTable[[#This Row],[Unit Price]]</f>
        <v>0.36842105263157893</v>
      </c>
    </row>
    <row r="1949" spans="1:31">
      <c r="A1949" t="s">
        <v>2135</v>
      </c>
      <c r="B1949" s="6">
        <v>45911</v>
      </c>
      <c r="C1949" t="s">
        <v>112</v>
      </c>
      <c r="D1949" t="s">
        <v>113</v>
      </c>
      <c r="E1949" t="s">
        <v>109</v>
      </c>
      <c r="F1949" t="s">
        <v>114</v>
      </c>
      <c r="G1949" t="s">
        <v>115</v>
      </c>
      <c r="H1949" t="s">
        <v>149</v>
      </c>
      <c r="I1949" t="s">
        <v>150</v>
      </c>
      <c r="J1949" t="s">
        <v>151</v>
      </c>
      <c r="K1949" t="s">
        <v>152</v>
      </c>
      <c r="L1949" t="s">
        <v>166</v>
      </c>
      <c r="M1949" t="s">
        <v>186</v>
      </c>
      <c r="N1949">
        <v>6</v>
      </c>
      <c r="O1949" s="4">
        <v>1300</v>
      </c>
      <c r="P1949" s="4">
        <v>2100</v>
      </c>
      <c r="Q1949" s="7">
        <v>0</v>
      </c>
      <c r="R1949" t="s">
        <v>184</v>
      </c>
      <c r="S1949">
        <v>8</v>
      </c>
      <c r="T1949">
        <v>12600</v>
      </c>
      <c r="U1949">
        <v>0</v>
      </c>
      <c r="V1949">
        <v>12600</v>
      </c>
      <c r="W1949">
        <v>7800</v>
      </c>
      <c r="X1949">
        <v>4800</v>
      </c>
      <c r="Y1949" s="8">
        <v>0.38095238095238093</v>
      </c>
      <c r="Z1949" t="s">
        <v>2995</v>
      </c>
      <c r="AA1949" t="str">
        <f>IF(AND(SalesCleanTable[[#This Row],[Discount %]]&gt;0, SalesCleanTable[[#This Row],[Profit]]&lt;0), "Discount loss", "Safe")</f>
        <v>Safe</v>
      </c>
      <c r="AB1949" s="25">
        <f>(SalesCleanTable[[#This Row],[Unit Price]] - SalesCleanTable[[#This Row],[Unit Cost]]) / SalesCleanTable[[#This Row],[Unit Price]]</f>
        <v>0.38095238095238093</v>
      </c>
      <c r="AC1949" t="str">
        <f>IF(SalesCleanTable[[#This Row],[Discount %]] &gt; SalesCleanTable[[#This Row],[Max Allowed Discount]], "Discount loss", "Safe")</f>
        <v>Safe</v>
      </c>
      <c r="AD1949" s="4">
        <f>SalesCleanTable[[#This Row],[Unit Price]] - SalesCleanTable[[#This Row],[Unit Cost]]</f>
        <v>800</v>
      </c>
      <c r="AE1949" s="41">
        <f>(SalesCleanTable[[#This Row],[Unit Price]] - SalesCleanTable[[#This Row],[Unit Cost]]) / SalesCleanTable[[#This Row],[Unit Price]]</f>
        <v>0.38095238095238093</v>
      </c>
    </row>
    <row r="1950" spans="1:31">
      <c r="A1950" t="s">
        <v>2136</v>
      </c>
      <c r="B1950" s="6">
        <v>45943</v>
      </c>
      <c r="C1950" t="s">
        <v>45</v>
      </c>
      <c r="D1950" t="s">
        <v>46</v>
      </c>
      <c r="E1950" t="s">
        <v>38</v>
      </c>
      <c r="F1950" t="s">
        <v>47</v>
      </c>
      <c r="G1950" t="s">
        <v>48</v>
      </c>
      <c r="H1950" t="s">
        <v>133</v>
      </c>
      <c r="I1950" t="s">
        <v>134</v>
      </c>
      <c r="J1950" t="s">
        <v>130</v>
      </c>
      <c r="K1950" t="s">
        <v>131</v>
      </c>
      <c r="L1950" t="s">
        <v>166</v>
      </c>
      <c r="M1950" t="s">
        <v>171</v>
      </c>
      <c r="N1950">
        <v>2</v>
      </c>
      <c r="O1950" s="4">
        <v>230</v>
      </c>
      <c r="P1950" s="4">
        <v>400</v>
      </c>
      <c r="Q1950" s="7">
        <v>0.2</v>
      </c>
      <c r="R1950" t="s">
        <v>175</v>
      </c>
      <c r="S1950">
        <v>9</v>
      </c>
      <c r="T1950">
        <v>800</v>
      </c>
      <c r="U1950">
        <v>160</v>
      </c>
      <c r="V1950">
        <v>640</v>
      </c>
      <c r="W1950">
        <v>460</v>
      </c>
      <c r="X1950">
        <v>180</v>
      </c>
      <c r="Y1950" s="8">
        <v>0.28125</v>
      </c>
      <c r="Z1950" t="s">
        <v>2995</v>
      </c>
      <c r="AA1950" t="str">
        <f>IF(AND(SalesCleanTable[[#This Row],[Discount %]]&gt;0, SalesCleanTable[[#This Row],[Profit]]&lt;0), "Discount loss", "Safe")</f>
        <v>Safe</v>
      </c>
      <c r="AB1950" s="25">
        <f>(SalesCleanTable[[#This Row],[Unit Price]] - SalesCleanTable[[#This Row],[Unit Cost]]) / SalesCleanTable[[#This Row],[Unit Price]]</f>
        <v>0.42499999999999999</v>
      </c>
      <c r="AC1950" t="str">
        <f>IF(SalesCleanTable[[#This Row],[Discount %]] &gt; SalesCleanTable[[#This Row],[Max Allowed Discount]], "Discount loss", "Safe")</f>
        <v>Safe</v>
      </c>
      <c r="AD1950" s="4">
        <f>SalesCleanTable[[#This Row],[Unit Price]] - SalesCleanTable[[#This Row],[Unit Cost]]</f>
        <v>170</v>
      </c>
      <c r="AE1950" s="41">
        <f>(SalesCleanTable[[#This Row],[Unit Price]] - SalesCleanTable[[#This Row],[Unit Cost]]) / SalesCleanTable[[#This Row],[Unit Price]]</f>
        <v>0.42499999999999999</v>
      </c>
    </row>
    <row r="1951" spans="1:31">
      <c r="A1951" t="s">
        <v>2137</v>
      </c>
      <c r="B1951" s="6">
        <v>45790</v>
      </c>
      <c r="C1951" t="s">
        <v>45</v>
      </c>
      <c r="D1951" t="s">
        <v>46</v>
      </c>
      <c r="E1951" t="s">
        <v>38</v>
      </c>
      <c r="F1951" t="s">
        <v>47</v>
      </c>
      <c r="G1951" t="s">
        <v>48</v>
      </c>
      <c r="H1951" t="s">
        <v>141</v>
      </c>
      <c r="I1951" t="s">
        <v>142</v>
      </c>
      <c r="J1951" t="s">
        <v>143</v>
      </c>
      <c r="K1951" t="s">
        <v>144</v>
      </c>
      <c r="L1951" t="s">
        <v>166</v>
      </c>
      <c r="M1951" t="s">
        <v>177</v>
      </c>
      <c r="N1951">
        <v>6</v>
      </c>
      <c r="O1951" s="4">
        <v>230</v>
      </c>
      <c r="P1951" s="4">
        <v>400</v>
      </c>
      <c r="Q1951" s="7">
        <v>0.05</v>
      </c>
      <c r="R1951" t="s">
        <v>178</v>
      </c>
      <c r="S1951">
        <v>14</v>
      </c>
      <c r="T1951">
        <v>2400</v>
      </c>
      <c r="U1951">
        <v>120</v>
      </c>
      <c r="V1951">
        <v>2280</v>
      </c>
      <c r="W1951">
        <v>1380</v>
      </c>
      <c r="X1951">
        <v>900</v>
      </c>
      <c r="Y1951" s="8">
        <v>0.39473684210526316</v>
      </c>
      <c r="Z1951" t="s">
        <v>2995</v>
      </c>
      <c r="AA1951" t="str">
        <f>IF(AND(SalesCleanTable[[#This Row],[Discount %]]&gt;0, SalesCleanTable[[#This Row],[Profit]]&lt;0), "Discount loss", "Safe")</f>
        <v>Safe</v>
      </c>
      <c r="AB1951" s="25">
        <f>(SalesCleanTable[[#This Row],[Unit Price]] - SalesCleanTable[[#This Row],[Unit Cost]]) / SalesCleanTable[[#This Row],[Unit Price]]</f>
        <v>0.42499999999999999</v>
      </c>
      <c r="AC1951" t="str">
        <f>IF(SalesCleanTable[[#This Row],[Discount %]] &gt; SalesCleanTable[[#This Row],[Max Allowed Discount]], "Discount loss", "Safe")</f>
        <v>Safe</v>
      </c>
      <c r="AD1951" s="4">
        <f>SalesCleanTable[[#This Row],[Unit Price]] - SalesCleanTable[[#This Row],[Unit Cost]]</f>
        <v>170</v>
      </c>
      <c r="AE1951" s="41">
        <f>(SalesCleanTable[[#This Row],[Unit Price]] - SalesCleanTable[[#This Row],[Unit Cost]]) / SalesCleanTable[[#This Row],[Unit Price]]</f>
        <v>0.42499999999999999</v>
      </c>
    </row>
    <row r="1952" spans="1:31">
      <c r="A1952" t="s">
        <v>2138</v>
      </c>
      <c r="B1952" s="6">
        <v>46004</v>
      </c>
      <c r="C1952" t="s">
        <v>24</v>
      </c>
      <c r="D1952" t="s">
        <v>25</v>
      </c>
      <c r="E1952" t="s">
        <v>26</v>
      </c>
      <c r="F1952" t="s">
        <v>27</v>
      </c>
      <c r="G1952" t="s">
        <v>28</v>
      </c>
      <c r="H1952" t="s">
        <v>139</v>
      </c>
      <c r="I1952" t="s">
        <v>140</v>
      </c>
      <c r="J1952" t="s">
        <v>137</v>
      </c>
      <c r="K1952" t="s">
        <v>138</v>
      </c>
      <c r="L1952" t="s">
        <v>183</v>
      </c>
      <c r="M1952" t="s">
        <v>167</v>
      </c>
      <c r="N1952">
        <v>5</v>
      </c>
      <c r="O1952" s="4">
        <v>14500</v>
      </c>
      <c r="P1952" s="4">
        <v>17500</v>
      </c>
      <c r="Q1952" s="7">
        <v>0.15</v>
      </c>
      <c r="R1952" t="s">
        <v>194</v>
      </c>
      <c r="S1952">
        <v>8</v>
      </c>
      <c r="T1952">
        <v>87500</v>
      </c>
      <c r="U1952">
        <v>13125</v>
      </c>
      <c r="V1952">
        <v>74375</v>
      </c>
      <c r="W1952">
        <v>72500</v>
      </c>
      <c r="X1952">
        <v>1875</v>
      </c>
      <c r="Y1952" s="8">
        <v>2.5210084033613446E-2</v>
      </c>
      <c r="Z1952" t="s">
        <v>2995</v>
      </c>
      <c r="AA1952" t="str">
        <f>IF(AND(SalesCleanTable[[#This Row],[Discount %]]&gt;0, SalesCleanTable[[#This Row],[Profit]]&lt;0), "Discount loss", "Safe")</f>
        <v>Safe</v>
      </c>
      <c r="AB1952" s="25">
        <f>(SalesCleanTable[[#This Row],[Unit Price]] - SalesCleanTable[[#This Row],[Unit Cost]]) / SalesCleanTable[[#This Row],[Unit Price]]</f>
        <v>0.17142857142857143</v>
      </c>
      <c r="AC1952" t="str">
        <f>IF(SalesCleanTable[[#This Row],[Discount %]] &gt; SalesCleanTable[[#This Row],[Max Allowed Discount]], "Discount loss", "Safe")</f>
        <v>Safe</v>
      </c>
      <c r="AD1952" s="4">
        <f>SalesCleanTable[[#This Row],[Unit Price]] - SalesCleanTable[[#This Row],[Unit Cost]]</f>
        <v>3000</v>
      </c>
      <c r="AE1952" s="41">
        <f>(SalesCleanTable[[#This Row],[Unit Price]] - SalesCleanTable[[#This Row],[Unit Cost]]) / SalesCleanTable[[#This Row],[Unit Price]]</f>
        <v>0.17142857142857143</v>
      </c>
    </row>
    <row r="1953" spans="1:31">
      <c r="A1953" t="s">
        <v>2139</v>
      </c>
      <c r="B1953" s="6">
        <v>45953</v>
      </c>
      <c r="C1953" t="s">
        <v>53</v>
      </c>
      <c r="D1953" t="s">
        <v>54</v>
      </c>
      <c r="E1953" t="s">
        <v>38</v>
      </c>
      <c r="F1953" t="s">
        <v>55</v>
      </c>
      <c r="G1953" t="s">
        <v>56</v>
      </c>
      <c r="H1953" t="s">
        <v>141</v>
      </c>
      <c r="I1953" t="s">
        <v>142</v>
      </c>
      <c r="J1953" t="s">
        <v>143</v>
      </c>
      <c r="K1953" t="s">
        <v>144</v>
      </c>
      <c r="L1953" t="s">
        <v>166</v>
      </c>
      <c r="M1953" t="s">
        <v>167</v>
      </c>
      <c r="N1953">
        <v>2</v>
      </c>
      <c r="O1953" s="4">
        <v>330</v>
      </c>
      <c r="P1953" s="4">
        <v>550</v>
      </c>
      <c r="Q1953" s="7">
        <v>0</v>
      </c>
      <c r="R1953" t="s">
        <v>178</v>
      </c>
      <c r="S1953">
        <v>11</v>
      </c>
      <c r="T1953">
        <v>1100</v>
      </c>
      <c r="U1953">
        <v>0</v>
      </c>
      <c r="V1953">
        <v>1100</v>
      </c>
      <c r="W1953">
        <v>660</v>
      </c>
      <c r="X1953">
        <v>440</v>
      </c>
      <c r="Y1953" s="8">
        <v>0.4</v>
      </c>
      <c r="Z1953" t="s">
        <v>2996</v>
      </c>
      <c r="AA1953" t="str">
        <f>IF(AND(SalesCleanTable[[#This Row],[Discount %]]&gt;0, SalesCleanTable[[#This Row],[Profit]]&lt;0), "Discount loss", "Safe")</f>
        <v>Safe</v>
      </c>
      <c r="AB1953" s="25">
        <f>(SalesCleanTable[[#This Row],[Unit Price]] - SalesCleanTable[[#This Row],[Unit Cost]]) / SalesCleanTable[[#This Row],[Unit Price]]</f>
        <v>0.4</v>
      </c>
      <c r="AC1953" t="str">
        <f>IF(SalesCleanTable[[#This Row],[Discount %]] &gt; SalesCleanTable[[#This Row],[Max Allowed Discount]], "Discount loss", "Safe")</f>
        <v>Safe</v>
      </c>
      <c r="AD1953" s="4">
        <f>SalesCleanTable[[#This Row],[Unit Price]] - SalesCleanTable[[#This Row],[Unit Cost]]</f>
        <v>220</v>
      </c>
      <c r="AE1953" s="41">
        <f>(SalesCleanTable[[#This Row],[Unit Price]] - SalesCleanTable[[#This Row],[Unit Cost]]) / SalesCleanTable[[#This Row],[Unit Price]]</f>
        <v>0.4</v>
      </c>
    </row>
    <row r="1954" spans="1:31">
      <c r="A1954" t="s">
        <v>2140</v>
      </c>
      <c r="B1954" s="6">
        <v>45980</v>
      </c>
      <c r="C1954" t="s">
        <v>82</v>
      </c>
      <c r="D1954" t="s">
        <v>83</v>
      </c>
      <c r="E1954" t="s">
        <v>75</v>
      </c>
      <c r="F1954" t="s">
        <v>84</v>
      </c>
      <c r="G1954" t="s">
        <v>85</v>
      </c>
      <c r="H1954" t="s">
        <v>145</v>
      </c>
      <c r="I1954" t="s">
        <v>146</v>
      </c>
      <c r="J1954" t="s">
        <v>147</v>
      </c>
      <c r="K1954" t="s">
        <v>148</v>
      </c>
      <c r="L1954" t="s">
        <v>166</v>
      </c>
      <c r="M1954" t="s">
        <v>171</v>
      </c>
      <c r="N1954">
        <v>5</v>
      </c>
      <c r="O1954" s="4">
        <v>600</v>
      </c>
      <c r="P1954" s="4">
        <v>950</v>
      </c>
      <c r="Q1954" s="7">
        <v>0.2</v>
      </c>
      <c r="R1954" t="s">
        <v>208</v>
      </c>
      <c r="S1954">
        <v>6</v>
      </c>
      <c r="T1954">
        <v>4750</v>
      </c>
      <c r="U1954">
        <v>950</v>
      </c>
      <c r="V1954">
        <v>3800</v>
      </c>
      <c r="W1954">
        <v>3000</v>
      </c>
      <c r="X1954">
        <v>800</v>
      </c>
      <c r="Y1954" s="8">
        <v>0.21052631578947367</v>
      </c>
      <c r="Z1954" t="s">
        <v>2996</v>
      </c>
      <c r="AA1954" t="str">
        <f>IF(AND(SalesCleanTable[[#This Row],[Discount %]]&gt;0, SalesCleanTable[[#This Row],[Profit]]&lt;0), "Discount loss", "Safe")</f>
        <v>Safe</v>
      </c>
      <c r="AB1954" s="25">
        <f>(SalesCleanTable[[#This Row],[Unit Price]] - SalesCleanTable[[#This Row],[Unit Cost]]) / SalesCleanTable[[#This Row],[Unit Price]]</f>
        <v>0.36842105263157893</v>
      </c>
      <c r="AC1954" t="str">
        <f>IF(SalesCleanTable[[#This Row],[Discount %]] &gt; SalesCleanTable[[#This Row],[Max Allowed Discount]], "Discount loss", "Safe")</f>
        <v>Safe</v>
      </c>
      <c r="AD1954" s="4">
        <f>SalesCleanTable[[#This Row],[Unit Price]] - SalesCleanTable[[#This Row],[Unit Cost]]</f>
        <v>350</v>
      </c>
      <c r="AE1954" s="41">
        <f>(SalesCleanTable[[#This Row],[Unit Price]] - SalesCleanTable[[#This Row],[Unit Cost]]) / SalesCleanTable[[#This Row],[Unit Price]]</f>
        <v>0.36842105263157893</v>
      </c>
    </row>
    <row r="1955" spans="1:31">
      <c r="A1955" t="s">
        <v>2141</v>
      </c>
      <c r="B1955" s="6">
        <v>45995</v>
      </c>
      <c r="C1955" t="s">
        <v>116</v>
      </c>
      <c r="D1955" t="s">
        <v>117</v>
      </c>
      <c r="E1955" t="s">
        <v>109</v>
      </c>
      <c r="F1955" t="s">
        <v>118</v>
      </c>
      <c r="G1955" t="s">
        <v>119</v>
      </c>
      <c r="H1955" t="s">
        <v>128</v>
      </c>
      <c r="I1955" t="s">
        <v>129</v>
      </c>
      <c r="J1955" t="s">
        <v>130</v>
      </c>
      <c r="K1955" t="s">
        <v>131</v>
      </c>
      <c r="L1955" t="s">
        <v>183</v>
      </c>
      <c r="M1955" t="s">
        <v>171</v>
      </c>
      <c r="N1955">
        <v>8</v>
      </c>
      <c r="O1955" s="4">
        <v>2800</v>
      </c>
      <c r="P1955" s="4">
        <v>4200</v>
      </c>
      <c r="Q1955" s="7">
        <v>0.05</v>
      </c>
      <c r="R1955" t="s">
        <v>235</v>
      </c>
      <c r="S1955">
        <v>5</v>
      </c>
      <c r="T1955">
        <v>33600</v>
      </c>
      <c r="U1955">
        <v>1680</v>
      </c>
      <c r="V1955">
        <v>31920</v>
      </c>
      <c r="W1955">
        <v>22400</v>
      </c>
      <c r="X1955">
        <v>9520</v>
      </c>
      <c r="Y1955" s="8">
        <v>0.2982456140350877</v>
      </c>
      <c r="Z1955" t="s">
        <v>2995</v>
      </c>
      <c r="AA1955" t="str">
        <f>IF(AND(SalesCleanTable[[#This Row],[Discount %]]&gt;0, SalesCleanTable[[#This Row],[Profit]]&lt;0), "Discount loss", "Safe")</f>
        <v>Safe</v>
      </c>
      <c r="AB1955" s="25">
        <f>(SalesCleanTable[[#This Row],[Unit Price]] - SalesCleanTable[[#This Row],[Unit Cost]]) / SalesCleanTable[[#This Row],[Unit Price]]</f>
        <v>0.33333333333333331</v>
      </c>
      <c r="AC1955" t="str">
        <f>IF(SalesCleanTable[[#This Row],[Discount %]] &gt; SalesCleanTable[[#This Row],[Max Allowed Discount]], "Discount loss", "Safe")</f>
        <v>Safe</v>
      </c>
      <c r="AD1955" s="4">
        <f>SalesCleanTable[[#This Row],[Unit Price]] - SalesCleanTable[[#This Row],[Unit Cost]]</f>
        <v>1400</v>
      </c>
      <c r="AE1955" s="41">
        <f>(SalesCleanTable[[#This Row],[Unit Price]] - SalesCleanTable[[#This Row],[Unit Cost]]) / SalesCleanTable[[#This Row],[Unit Price]]</f>
        <v>0.33333333333333331</v>
      </c>
    </row>
    <row r="1956" spans="1:31">
      <c r="A1956" t="s">
        <v>2142</v>
      </c>
      <c r="B1956" s="6">
        <v>45895</v>
      </c>
      <c r="C1956" t="s">
        <v>78</v>
      </c>
      <c r="D1956" t="s">
        <v>79</v>
      </c>
      <c r="E1956" t="s">
        <v>75</v>
      </c>
      <c r="F1956" t="s">
        <v>80</v>
      </c>
      <c r="G1956" t="s">
        <v>81</v>
      </c>
      <c r="H1956" t="s">
        <v>153</v>
      </c>
      <c r="I1956" t="s">
        <v>154</v>
      </c>
      <c r="J1956" t="s">
        <v>155</v>
      </c>
      <c r="K1956" t="s">
        <v>131</v>
      </c>
      <c r="L1956" t="s">
        <v>166</v>
      </c>
      <c r="M1956" t="s">
        <v>171</v>
      </c>
      <c r="N1956">
        <v>1</v>
      </c>
      <c r="O1956" s="4">
        <v>1200</v>
      </c>
      <c r="P1956" s="4">
        <v>1900</v>
      </c>
      <c r="Q1956" s="7">
        <v>0</v>
      </c>
      <c r="R1956" t="s">
        <v>204</v>
      </c>
      <c r="S1956">
        <v>13</v>
      </c>
      <c r="T1956">
        <v>1900</v>
      </c>
      <c r="U1956">
        <v>0</v>
      </c>
      <c r="V1956">
        <v>1900</v>
      </c>
      <c r="W1956">
        <v>1200</v>
      </c>
      <c r="X1956">
        <v>700</v>
      </c>
      <c r="Y1956" s="8">
        <v>0.36842105263157893</v>
      </c>
      <c r="Z1956" t="s">
        <v>2996</v>
      </c>
      <c r="AA1956" t="str">
        <f>IF(AND(SalesCleanTable[[#This Row],[Discount %]]&gt;0, SalesCleanTable[[#This Row],[Profit]]&lt;0), "Discount loss", "Safe")</f>
        <v>Safe</v>
      </c>
      <c r="AB1956" s="25">
        <f>(SalesCleanTable[[#This Row],[Unit Price]] - SalesCleanTable[[#This Row],[Unit Cost]]) / SalesCleanTable[[#This Row],[Unit Price]]</f>
        <v>0.36842105263157893</v>
      </c>
      <c r="AC1956" t="str">
        <f>IF(SalesCleanTable[[#This Row],[Discount %]] &gt; SalesCleanTable[[#This Row],[Max Allowed Discount]], "Discount loss", "Safe")</f>
        <v>Safe</v>
      </c>
      <c r="AD1956" s="4">
        <f>SalesCleanTable[[#This Row],[Unit Price]] - SalesCleanTable[[#This Row],[Unit Cost]]</f>
        <v>700</v>
      </c>
      <c r="AE1956" s="41">
        <f>(SalesCleanTable[[#This Row],[Unit Price]] - SalesCleanTable[[#This Row],[Unit Cost]]) / SalesCleanTable[[#This Row],[Unit Price]]</f>
        <v>0.36842105263157893</v>
      </c>
    </row>
    <row r="1957" spans="1:31">
      <c r="A1957" t="s">
        <v>2143</v>
      </c>
      <c r="B1957" s="6">
        <v>45769</v>
      </c>
      <c r="C1957" t="s">
        <v>86</v>
      </c>
      <c r="D1957" t="s">
        <v>87</v>
      </c>
      <c r="E1957" t="s">
        <v>75</v>
      </c>
      <c r="F1957" t="s">
        <v>88</v>
      </c>
      <c r="G1957" t="s">
        <v>89</v>
      </c>
      <c r="H1957" t="s">
        <v>139</v>
      </c>
      <c r="I1957" t="s">
        <v>140</v>
      </c>
      <c r="J1957" t="s">
        <v>137</v>
      </c>
      <c r="K1957" t="s">
        <v>138</v>
      </c>
      <c r="L1957" t="s">
        <v>170</v>
      </c>
      <c r="M1957" t="s">
        <v>171</v>
      </c>
      <c r="N1957">
        <v>3</v>
      </c>
      <c r="O1957" s="4">
        <v>8500</v>
      </c>
      <c r="P1957" s="4">
        <v>12500</v>
      </c>
      <c r="Q1957" s="7">
        <v>0</v>
      </c>
      <c r="R1957" t="s">
        <v>187</v>
      </c>
      <c r="S1957">
        <v>2</v>
      </c>
      <c r="T1957">
        <v>37500</v>
      </c>
      <c r="U1957">
        <v>0</v>
      </c>
      <c r="V1957">
        <v>37500</v>
      </c>
      <c r="W1957">
        <v>25500</v>
      </c>
      <c r="X1957">
        <v>12000</v>
      </c>
      <c r="Y1957" s="8">
        <v>0.32</v>
      </c>
      <c r="Z1957" t="s">
        <v>2997</v>
      </c>
      <c r="AA1957" t="str">
        <f>IF(AND(SalesCleanTable[[#This Row],[Discount %]]&gt;0, SalesCleanTable[[#This Row],[Profit]]&lt;0), "Discount loss", "Safe")</f>
        <v>Safe</v>
      </c>
      <c r="AB1957" s="25">
        <f>(SalesCleanTable[[#This Row],[Unit Price]] - SalesCleanTable[[#This Row],[Unit Cost]]) / SalesCleanTable[[#This Row],[Unit Price]]</f>
        <v>0.32</v>
      </c>
      <c r="AC1957" t="str">
        <f>IF(SalesCleanTable[[#This Row],[Discount %]] &gt; SalesCleanTable[[#This Row],[Max Allowed Discount]], "Discount loss", "Safe")</f>
        <v>Safe</v>
      </c>
      <c r="AD1957" s="4">
        <f>SalesCleanTable[[#This Row],[Unit Price]] - SalesCleanTable[[#This Row],[Unit Cost]]</f>
        <v>4000</v>
      </c>
      <c r="AE1957" s="41">
        <f>(SalesCleanTable[[#This Row],[Unit Price]] - SalesCleanTable[[#This Row],[Unit Cost]]) / SalesCleanTable[[#This Row],[Unit Price]]</f>
        <v>0.32</v>
      </c>
    </row>
    <row r="1958" spans="1:31">
      <c r="A1958" t="s">
        <v>2144</v>
      </c>
      <c r="B1958" s="6">
        <v>45976</v>
      </c>
      <c r="C1958" t="s">
        <v>45</v>
      </c>
      <c r="D1958" t="s">
        <v>46</v>
      </c>
      <c r="E1958" t="s">
        <v>38</v>
      </c>
      <c r="F1958" t="s">
        <v>47</v>
      </c>
      <c r="G1958" t="s">
        <v>48</v>
      </c>
      <c r="H1958" t="s">
        <v>145</v>
      </c>
      <c r="I1958" t="s">
        <v>146</v>
      </c>
      <c r="J1958" t="s">
        <v>147</v>
      </c>
      <c r="K1958" t="s">
        <v>148</v>
      </c>
      <c r="L1958" t="s">
        <v>183</v>
      </c>
      <c r="M1958" t="s">
        <v>177</v>
      </c>
      <c r="N1958">
        <v>3</v>
      </c>
      <c r="O1958" s="4">
        <v>230</v>
      </c>
      <c r="P1958" s="4">
        <v>400</v>
      </c>
      <c r="Q1958" s="7">
        <v>0.05</v>
      </c>
      <c r="R1958" t="s">
        <v>168</v>
      </c>
      <c r="S1958">
        <v>3</v>
      </c>
      <c r="T1958">
        <v>1200</v>
      </c>
      <c r="U1958">
        <v>60</v>
      </c>
      <c r="V1958">
        <v>1140</v>
      </c>
      <c r="W1958">
        <v>690</v>
      </c>
      <c r="X1958">
        <v>450</v>
      </c>
      <c r="Y1958" s="8">
        <v>0.39473684210526316</v>
      </c>
      <c r="Z1958" t="s">
        <v>2995</v>
      </c>
      <c r="AA1958" t="str">
        <f>IF(AND(SalesCleanTable[[#This Row],[Discount %]]&gt;0, SalesCleanTable[[#This Row],[Profit]]&lt;0), "Discount loss", "Safe")</f>
        <v>Safe</v>
      </c>
      <c r="AB1958" s="25">
        <f>(SalesCleanTable[[#This Row],[Unit Price]] - SalesCleanTable[[#This Row],[Unit Cost]]) / SalesCleanTable[[#This Row],[Unit Price]]</f>
        <v>0.42499999999999999</v>
      </c>
      <c r="AC1958" t="str">
        <f>IF(SalesCleanTable[[#This Row],[Discount %]] &gt; SalesCleanTable[[#This Row],[Max Allowed Discount]], "Discount loss", "Safe")</f>
        <v>Safe</v>
      </c>
      <c r="AD1958" s="4">
        <f>SalesCleanTable[[#This Row],[Unit Price]] - SalesCleanTable[[#This Row],[Unit Cost]]</f>
        <v>170</v>
      </c>
      <c r="AE1958" s="41">
        <f>(SalesCleanTable[[#This Row],[Unit Price]] - SalesCleanTable[[#This Row],[Unit Cost]]) / SalesCleanTable[[#This Row],[Unit Price]]</f>
        <v>0.42499999999999999</v>
      </c>
    </row>
    <row r="1959" spans="1:31">
      <c r="A1959" t="s">
        <v>2145</v>
      </c>
      <c r="B1959" s="6">
        <v>45981</v>
      </c>
      <c r="C1959" t="s">
        <v>103</v>
      </c>
      <c r="D1959" t="s">
        <v>104</v>
      </c>
      <c r="E1959" t="s">
        <v>92</v>
      </c>
      <c r="F1959" t="s">
        <v>105</v>
      </c>
      <c r="G1959" t="s">
        <v>106</v>
      </c>
      <c r="H1959" t="s">
        <v>145</v>
      </c>
      <c r="I1959" t="s">
        <v>146</v>
      </c>
      <c r="J1959" t="s">
        <v>147</v>
      </c>
      <c r="K1959" t="s">
        <v>148</v>
      </c>
      <c r="L1959" t="s">
        <v>170</v>
      </c>
      <c r="M1959" t="s">
        <v>186</v>
      </c>
      <c r="N1959">
        <v>2</v>
      </c>
      <c r="O1959" s="4">
        <v>1500</v>
      </c>
      <c r="P1959" s="4">
        <v>2500</v>
      </c>
      <c r="Q1959" s="7">
        <v>0.1</v>
      </c>
      <c r="R1959" t="s">
        <v>215</v>
      </c>
      <c r="S1959">
        <v>11</v>
      </c>
      <c r="T1959">
        <v>5000</v>
      </c>
      <c r="U1959">
        <v>500</v>
      </c>
      <c r="V1959">
        <v>4500</v>
      </c>
      <c r="W1959">
        <v>3000</v>
      </c>
      <c r="X1959">
        <v>1500</v>
      </c>
      <c r="Y1959" s="8">
        <v>0.33333333333333331</v>
      </c>
      <c r="Z1959" t="s">
        <v>2996</v>
      </c>
      <c r="AA1959" t="str">
        <f>IF(AND(SalesCleanTable[[#This Row],[Discount %]]&gt;0, SalesCleanTable[[#This Row],[Profit]]&lt;0), "Discount loss", "Safe")</f>
        <v>Safe</v>
      </c>
      <c r="AB1959" s="25">
        <f>(SalesCleanTable[[#This Row],[Unit Price]] - SalesCleanTable[[#This Row],[Unit Cost]]) / SalesCleanTable[[#This Row],[Unit Price]]</f>
        <v>0.4</v>
      </c>
      <c r="AC1959" t="str">
        <f>IF(SalesCleanTable[[#This Row],[Discount %]] &gt; SalesCleanTable[[#This Row],[Max Allowed Discount]], "Discount loss", "Safe")</f>
        <v>Safe</v>
      </c>
      <c r="AD1959" s="4">
        <f>SalesCleanTable[[#This Row],[Unit Price]] - SalesCleanTable[[#This Row],[Unit Cost]]</f>
        <v>1000</v>
      </c>
      <c r="AE1959" s="41">
        <f>(SalesCleanTable[[#This Row],[Unit Price]] - SalesCleanTable[[#This Row],[Unit Cost]]) / SalesCleanTable[[#This Row],[Unit Price]]</f>
        <v>0.4</v>
      </c>
    </row>
    <row r="1960" spans="1:31">
      <c r="A1960" t="s">
        <v>2146</v>
      </c>
      <c r="B1960" s="6">
        <v>45778</v>
      </c>
      <c r="C1960" t="s">
        <v>32</v>
      </c>
      <c r="D1960" t="s">
        <v>33</v>
      </c>
      <c r="E1960" t="s">
        <v>26</v>
      </c>
      <c r="F1960" t="s">
        <v>34</v>
      </c>
      <c r="G1960" t="s">
        <v>35</v>
      </c>
      <c r="H1960" t="s">
        <v>133</v>
      </c>
      <c r="I1960" t="s">
        <v>134</v>
      </c>
      <c r="J1960" t="s">
        <v>130</v>
      </c>
      <c r="K1960" t="s">
        <v>131</v>
      </c>
      <c r="L1960" t="s">
        <v>166</v>
      </c>
      <c r="M1960" t="s">
        <v>171</v>
      </c>
      <c r="N1960">
        <v>4</v>
      </c>
      <c r="O1960" s="4">
        <v>7800</v>
      </c>
      <c r="P1960" s="4">
        <v>9800</v>
      </c>
      <c r="Q1960" s="7">
        <v>0.15</v>
      </c>
      <c r="R1960" t="s">
        <v>173</v>
      </c>
      <c r="S1960">
        <v>10</v>
      </c>
      <c r="T1960">
        <v>39200</v>
      </c>
      <c r="U1960">
        <v>5880</v>
      </c>
      <c r="V1960">
        <v>33320</v>
      </c>
      <c r="W1960">
        <v>31200</v>
      </c>
      <c r="X1960">
        <v>2120</v>
      </c>
      <c r="Y1960" s="8">
        <v>6.3625450180072027E-2</v>
      </c>
      <c r="Z1960" t="s">
        <v>2995</v>
      </c>
      <c r="AA1960" t="str">
        <f>IF(AND(SalesCleanTable[[#This Row],[Discount %]]&gt;0, SalesCleanTable[[#This Row],[Profit]]&lt;0), "Discount loss", "Safe")</f>
        <v>Safe</v>
      </c>
      <c r="AB1960" s="25">
        <f>(SalesCleanTable[[#This Row],[Unit Price]] - SalesCleanTable[[#This Row],[Unit Cost]]) / SalesCleanTable[[#This Row],[Unit Price]]</f>
        <v>0.20408163265306123</v>
      </c>
      <c r="AC1960" t="str">
        <f>IF(SalesCleanTable[[#This Row],[Discount %]] &gt; SalesCleanTable[[#This Row],[Max Allowed Discount]], "Discount loss", "Safe")</f>
        <v>Safe</v>
      </c>
      <c r="AD1960" s="4">
        <f>SalesCleanTable[[#This Row],[Unit Price]] - SalesCleanTable[[#This Row],[Unit Cost]]</f>
        <v>2000</v>
      </c>
      <c r="AE1960" s="41">
        <f>(SalesCleanTable[[#This Row],[Unit Price]] - SalesCleanTable[[#This Row],[Unit Cost]]) / SalesCleanTable[[#This Row],[Unit Price]]</f>
        <v>0.20408163265306123</v>
      </c>
    </row>
    <row r="1961" spans="1:31">
      <c r="A1961" t="s">
        <v>2147</v>
      </c>
      <c r="B1961" s="6">
        <v>45658</v>
      </c>
      <c r="C1961" t="s">
        <v>45</v>
      </c>
      <c r="D1961" t="s">
        <v>46</v>
      </c>
      <c r="E1961" t="s">
        <v>38</v>
      </c>
      <c r="F1961" t="s">
        <v>47</v>
      </c>
      <c r="G1961" t="s">
        <v>48</v>
      </c>
      <c r="H1961" t="s">
        <v>149</v>
      </c>
      <c r="I1961" t="s">
        <v>150</v>
      </c>
      <c r="J1961" t="s">
        <v>151</v>
      </c>
      <c r="K1961" t="s">
        <v>152</v>
      </c>
      <c r="L1961" t="s">
        <v>183</v>
      </c>
      <c r="M1961" t="s">
        <v>167</v>
      </c>
      <c r="N1961">
        <v>4</v>
      </c>
      <c r="O1961" s="4">
        <v>230</v>
      </c>
      <c r="P1961" s="4">
        <v>400</v>
      </c>
      <c r="Q1961" s="7">
        <v>0.15</v>
      </c>
      <c r="R1961" t="s">
        <v>175</v>
      </c>
      <c r="S1961">
        <v>4</v>
      </c>
      <c r="T1961">
        <v>1600</v>
      </c>
      <c r="U1961">
        <v>240</v>
      </c>
      <c r="V1961">
        <v>1360</v>
      </c>
      <c r="W1961">
        <v>920</v>
      </c>
      <c r="X1961">
        <v>440</v>
      </c>
      <c r="Y1961" s="8">
        <v>0.3235294117647059</v>
      </c>
      <c r="Z1961" t="s">
        <v>2995</v>
      </c>
      <c r="AA1961" t="str">
        <f>IF(AND(SalesCleanTable[[#This Row],[Discount %]]&gt;0, SalesCleanTable[[#This Row],[Profit]]&lt;0), "Discount loss", "Safe")</f>
        <v>Safe</v>
      </c>
      <c r="AB1961" s="25">
        <f>(SalesCleanTable[[#This Row],[Unit Price]] - SalesCleanTable[[#This Row],[Unit Cost]]) / SalesCleanTable[[#This Row],[Unit Price]]</f>
        <v>0.42499999999999999</v>
      </c>
      <c r="AC1961" t="str">
        <f>IF(SalesCleanTable[[#This Row],[Discount %]] &gt; SalesCleanTable[[#This Row],[Max Allowed Discount]], "Discount loss", "Safe")</f>
        <v>Safe</v>
      </c>
      <c r="AD1961" s="4">
        <f>SalesCleanTable[[#This Row],[Unit Price]] - SalesCleanTable[[#This Row],[Unit Cost]]</f>
        <v>170</v>
      </c>
      <c r="AE1961" s="41">
        <f>(SalesCleanTable[[#This Row],[Unit Price]] - SalesCleanTable[[#This Row],[Unit Cost]]) / SalesCleanTable[[#This Row],[Unit Price]]</f>
        <v>0.42499999999999999</v>
      </c>
    </row>
    <row r="1962" spans="1:31">
      <c r="A1962" t="s">
        <v>2148</v>
      </c>
      <c r="B1962" s="6">
        <v>45874</v>
      </c>
      <c r="C1962" t="s">
        <v>53</v>
      </c>
      <c r="D1962" t="s">
        <v>54</v>
      </c>
      <c r="E1962" t="s">
        <v>38</v>
      </c>
      <c r="F1962" t="s">
        <v>55</v>
      </c>
      <c r="G1962" t="s">
        <v>56</v>
      </c>
      <c r="H1962" t="s">
        <v>139</v>
      </c>
      <c r="I1962" t="s">
        <v>140</v>
      </c>
      <c r="J1962" t="s">
        <v>137</v>
      </c>
      <c r="K1962" t="s">
        <v>138</v>
      </c>
      <c r="L1962" t="s">
        <v>166</v>
      </c>
      <c r="M1962" t="s">
        <v>177</v>
      </c>
      <c r="N1962">
        <v>10</v>
      </c>
      <c r="O1962" s="4">
        <v>330</v>
      </c>
      <c r="P1962" s="4">
        <v>550</v>
      </c>
      <c r="Q1962" s="7">
        <v>0.05</v>
      </c>
      <c r="R1962" t="s">
        <v>175</v>
      </c>
      <c r="S1962">
        <v>1</v>
      </c>
      <c r="T1962">
        <v>5500</v>
      </c>
      <c r="U1962">
        <v>275</v>
      </c>
      <c r="V1962">
        <v>5225</v>
      </c>
      <c r="W1962">
        <v>3300</v>
      </c>
      <c r="X1962">
        <v>1925</v>
      </c>
      <c r="Y1962" s="8">
        <v>0.36842105263157893</v>
      </c>
      <c r="Z1962" t="s">
        <v>2996</v>
      </c>
      <c r="AA1962" t="str">
        <f>IF(AND(SalesCleanTable[[#This Row],[Discount %]]&gt;0, SalesCleanTable[[#This Row],[Profit]]&lt;0), "Discount loss", "Safe")</f>
        <v>Safe</v>
      </c>
      <c r="AB1962" s="25">
        <f>(SalesCleanTable[[#This Row],[Unit Price]] - SalesCleanTable[[#This Row],[Unit Cost]]) / SalesCleanTable[[#This Row],[Unit Price]]</f>
        <v>0.4</v>
      </c>
      <c r="AC1962" t="str">
        <f>IF(SalesCleanTable[[#This Row],[Discount %]] &gt; SalesCleanTable[[#This Row],[Max Allowed Discount]], "Discount loss", "Safe")</f>
        <v>Safe</v>
      </c>
      <c r="AD1962" s="4">
        <f>SalesCleanTable[[#This Row],[Unit Price]] - SalesCleanTable[[#This Row],[Unit Cost]]</f>
        <v>220</v>
      </c>
      <c r="AE1962" s="41">
        <f>(SalesCleanTable[[#This Row],[Unit Price]] - SalesCleanTable[[#This Row],[Unit Cost]]) / SalesCleanTable[[#This Row],[Unit Price]]</f>
        <v>0.4</v>
      </c>
    </row>
    <row r="1963" spans="1:31">
      <c r="A1963" t="s">
        <v>2149</v>
      </c>
      <c r="B1963" s="6">
        <v>45857</v>
      </c>
      <c r="C1963" t="s">
        <v>69</v>
      </c>
      <c r="D1963" t="s">
        <v>70</v>
      </c>
      <c r="E1963" t="s">
        <v>59</v>
      </c>
      <c r="F1963" t="s">
        <v>71</v>
      </c>
      <c r="G1963" t="s">
        <v>72</v>
      </c>
      <c r="H1963" t="s">
        <v>145</v>
      </c>
      <c r="I1963" t="s">
        <v>146</v>
      </c>
      <c r="J1963" t="s">
        <v>147</v>
      </c>
      <c r="K1963" t="s">
        <v>148</v>
      </c>
      <c r="L1963" t="s">
        <v>166</v>
      </c>
      <c r="M1963" t="s">
        <v>171</v>
      </c>
      <c r="N1963">
        <v>1</v>
      </c>
      <c r="O1963" s="4">
        <v>1700</v>
      </c>
      <c r="P1963" s="4">
        <v>2600</v>
      </c>
      <c r="Q1963" s="7">
        <v>0.05</v>
      </c>
      <c r="R1963" t="s">
        <v>204</v>
      </c>
      <c r="S1963">
        <v>1</v>
      </c>
      <c r="T1963">
        <v>2600</v>
      </c>
      <c r="U1963">
        <v>130</v>
      </c>
      <c r="V1963">
        <v>2470</v>
      </c>
      <c r="W1963">
        <v>1700</v>
      </c>
      <c r="X1963">
        <v>770</v>
      </c>
      <c r="Y1963" s="8">
        <v>0.31174089068825911</v>
      </c>
      <c r="Z1963" t="s">
        <v>2997</v>
      </c>
      <c r="AA1963" t="str">
        <f>IF(AND(SalesCleanTable[[#This Row],[Discount %]]&gt;0, SalesCleanTable[[#This Row],[Profit]]&lt;0), "Discount loss", "Safe")</f>
        <v>Safe</v>
      </c>
      <c r="AB1963" s="25">
        <f>(SalesCleanTable[[#This Row],[Unit Price]] - SalesCleanTable[[#This Row],[Unit Cost]]) / SalesCleanTable[[#This Row],[Unit Price]]</f>
        <v>0.34615384615384615</v>
      </c>
      <c r="AC1963" t="str">
        <f>IF(SalesCleanTable[[#This Row],[Discount %]] &gt; SalesCleanTable[[#This Row],[Max Allowed Discount]], "Discount loss", "Safe")</f>
        <v>Safe</v>
      </c>
      <c r="AD1963" s="4">
        <f>SalesCleanTable[[#This Row],[Unit Price]] - SalesCleanTable[[#This Row],[Unit Cost]]</f>
        <v>900</v>
      </c>
      <c r="AE1963" s="41">
        <f>(SalesCleanTable[[#This Row],[Unit Price]] - SalesCleanTable[[#This Row],[Unit Cost]]) / SalesCleanTable[[#This Row],[Unit Price]]</f>
        <v>0.34615384615384615</v>
      </c>
    </row>
    <row r="1964" spans="1:31">
      <c r="A1964" t="s">
        <v>2150</v>
      </c>
      <c r="B1964" s="6">
        <v>45909</v>
      </c>
      <c r="C1964" t="s">
        <v>32</v>
      </c>
      <c r="D1964" t="s">
        <v>33</v>
      </c>
      <c r="E1964" t="s">
        <v>26</v>
      </c>
      <c r="F1964" t="s">
        <v>34</v>
      </c>
      <c r="G1964" t="s">
        <v>35</v>
      </c>
      <c r="H1964" t="s">
        <v>135</v>
      </c>
      <c r="I1964" t="s">
        <v>136</v>
      </c>
      <c r="J1964" t="s">
        <v>137</v>
      </c>
      <c r="K1964" t="s">
        <v>138</v>
      </c>
      <c r="L1964" t="s">
        <v>183</v>
      </c>
      <c r="M1964" t="s">
        <v>171</v>
      </c>
      <c r="N1964">
        <v>2</v>
      </c>
      <c r="O1964" s="4">
        <v>7800</v>
      </c>
      <c r="P1964" s="4">
        <v>9800</v>
      </c>
      <c r="Q1964" s="7">
        <v>0.15</v>
      </c>
      <c r="R1964" t="s">
        <v>197</v>
      </c>
      <c r="S1964">
        <v>11</v>
      </c>
      <c r="T1964">
        <v>19600</v>
      </c>
      <c r="U1964">
        <v>2940</v>
      </c>
      <c r="V1964">
        <v>16660</v>
      </c>
      <c r="W1964">
        <v>15600</v>
      </c>
      <c r="X1964">
        <v>1060</v>
      </c>
      <c r="Y1964" s="8">
        <v>6.3625450180072027E-2</v>
      </c>
      <c r="Z1964" t="s">
        <v>2995</v>
      </c>
      <c r="AA1964" t="str">
        <f>IF(AND(SalesCleanTable[[#This Row],[Discount %]]&gt;0, SalesCleanTable[[#This Row],[Profit]]&lt;0), "Discount loss", "Safe")</f>
        <v>Safe</v>
      </c>
      <c r="AB1964" s="25">
        <f>(SalesCleanTable[[#This Row],[Unit Price]] - SalesCleanTable[[#This Row],[Unit Cost]]) / SalesCleanTable[[#This Row],[Unit Price]]</f>
        <v>0.20408163265306123</v>
      </c>
      <c r="AC1964" t="str">
        <f>IF(SalesCleanTable[[#This Row],[Discount %]] &gt; SalesCleanTable[[#This Row],[Max Allowed Discount]], "Discount loss", "Safe")</f>
        <v>Safe</v>
      </c>
      <c r="AD1964" s="4">
        <f>SalesCleanTable[[#This Row],[Unit Price]] - SalesCleanTable[[#This Row],[Unit Cost]]</f>
        <v>2000</v>
      </c>
      <c r="AE1964" s="41">
        <f>(SalesCleanTable[[#This Row],[Unit Price]] - SalesCleanTable[[#This Row],[Unit Cost]]) / SalesCleanTable[[#This Row],[Unit Price]]</f>
        <v>0.20408163265306123</v>
      </c>
    </row>
    <row r="1965" spans="1:31">
      <c r="A1965" t="s">
        <v>2151</v>
      </c>
      <c r="B1965" s="6">
        <v>45751</v>
      </c>
      <c r="C1965" t="s">
        <v>82</v>
      </c>
      <c r="D1965" t="s">
        <v>83</v>
      </c>
      <c r="E1965" t="s">
        <v>75</v>
      </c>
      <c r="F1965" t="s">
        <v>84</v>
      </c>
      <c r="G1965" t="s">
        <v>85</v>
      </c>
      <c r="H1965" t="s">
        <v>153</v>
      </c>
      <c r="I1965" t="s">
        <v>154</v>
      </c>
      <c r="J1965" t="s">
        <v>155</v>
      </c>
      <c r="K1965" t="s">
        <v>131</v>
      </c>
      <c r="L1965" t="s">
        <v>183</v>
      </c>
      <c r="M1965" t="s">
        <v>171</v>
      </c>
      <c r="N1965">
        <v>3</v>
      </c>
      <c r="O1965" s="4">
        <v>600</v>
      </c>
      <c r="P1965" s="4">
        <v>950</v>
      </c>
      <c r="Q1965" s="7">
        <v>0.15</v>
      </c>
      <c r="R1965" t="s">
        <v>208</v>
      </c>
      <c r="S1965">
        <v>9</v>
      </c>
      <c r="T1965">
        <v>2850</v>
      </c>
      <c r="U1965">
        <v>427.5</v>
      </c>
      <c r="V1965">
        <v>2422.5</v>
      </c>
      <c r="W1965">
        <v>1800</v>
      </c>
      <c r="X1965">
        <v>622.5</v>
      </c>
      <c r="Y1965" s="8">
        <v>0.25696594427244585</v>
      </c>
      <c r="Z1965" t="s">
        <v>2996</v>
      </c>
      <c r="AA1965" t="str">
        <f>IF(AND(SalesCleanTable[[#This Row],[Discount %]]&gt;0, SalesCleanTable[[#This Row],[Profit]]&lt;0), "Discount loss", "Safe")</f>
        <v>Safe</v>
      </c>
      <c r="AB1965" s="25">
        <f>(SalesCleanTable[[#This Row],[Unit Price]] - SalesCleanTable[[#This Row],[Unit Cost]]) / SalesCleanTable[[#This Row],[Unit Price]]</f>
        <v>0.36842105263157893</v>
      </c>
      <c r="AC1965" t="str">
        <f>IF(SalesCleanTable[[#This Row],[Discount %]] &gt; SalesCleanTable[[#This Row],[Max Allowed Discount]], "Discount loss", "Safe")</f>
        <v>Safe</v>
      </c>
      <c r="AD1965" s="4">
        <f>SalesCleanTable[[#This Row],[Unit Price]] - SalesCleanTable[[#This Row],[Unit Cost]]</f>
        <v>350</v>
      </c>
      <c r="AE1965" s="41">
        <f>(SalesCleanTable[[#This Row],[Unit Price]] - SalesCleanTable[[#This Row],[Unit Cost]]) / SalesCleanTable[[#This Row],[Unit Price]]</f>
        <v>0.36842105263157893</v>
      </c>
    </row>
    <row r="1966" spans="1:31">
      <c r="A1966" t="s">
        <v>2152</v>
      </c>
      <c r="B1966" s="6">
        <v>45864</v>
      </c>
      <c r="C1966" t="s">
        <v>53</v>
      </c>
      <c r="D1966" t="s">
        <v>54</v>
      </c>
      <c r="E1966" t="s">
        <v>38</v>
      </c>
      <c r="F1966" t="s">
        <v>55</v>
      </c>
      <c r="G1966" t="s">
        <v>56</v>
      </c>
      <c r="H1966" t="s">
        <v>135</v>
      </c>
      <c r="I1966" t="s">
        <v>136</v>
      </c>
      <c r="J1966" t="s">
        <v>137</v>
      </c>
      <c r="K1966" t="s">
        <v>138</v>
      </c>
      <c r="L1966" t="s">
        <v>166</v>
      </c>
      <c r="M1966" t="s">
        <v>171</v>
      </c>
      <c r="N1966">
        <v>4</v>
      </c>
      <c r="O1966" s="4">
        <v>330</v>
      </c>
      <c r="P1966" s="4">
        <v>550</v>
      </c>
      <c r="Q1966" s="7">
        <v>0</v>
      </c>
      <c r="R1966" t="s">
        <v>178</v>
      </c>
      <c r="S1966">
        <v>12</v>
      </c>
      <c r="T1966">
        <v>2200</v>
      </c>
      <c r="U1966">
        <v>0</v>
      </c>
      <c r="V1966">
        <v>2200</v>
      </c>
      <c r="W1966">
        <v>1320</v>
      </c>
      <c r="X1966">
        <v>880</v>
      </c>
      <c r="Y1966" s="8">
        <v>0.4</v>
      </c>
      <c r="Z1966" t="s">
        <v>2996</v>
      </c>
      <c r="AA1966" t="str">
        <f>IF(AND(SalesCleanTable[[#This Row],[Discount %]]&gt;0, SalesCleanTable[[#This Row],[Profit]]&lt;0), "Discount loss", "Safe")</f>
        <v>Safe</v>
      </c>
      <c r="AB1966" s="25">
        <f>(SalesCleanTable[[#This Row],[Unit Price]] - SalesCleanTable[[#This Row],[Unit Cost]]) / SalesCleanTable[[#This Row],[Unit Price]]</f>
        <v>0.4</v>
      </c>
      <c r="AC1966" t="str">
        <f>IF(SalesCleanTable[[#This Row],[Discount %]] &gt; SalesCleanTable[[#This Row],[Max Allowed Discount]], "Discount loss", "Safe")</f>
        <v>Safe</v>
      </c>
      <c r="AD1966" s="4">
        <f>SalesCleanTable[[#This Row],[Unit Price]] - SalesCleanTable[[#This Row],[Unit Cost]]</f>
        <v>220</v>
      </c>
      <c r="AE1966" s="41">
        <f>(SalesCleanTable[[#This Row],[Unit Price]] - SalesCleanTable[[#This Row],[Unit Cost]]) / SalesCleanTable[[#This Row],[Unit Price]]</f>
        <v>0.4</v>
      </c>
    </row>
    <row r="1967" spans="1:31">
      <c r="A1967" t="s">
        <v>2153</v>
      </c>
      <c r="B1967" s="6">
        <v>45730</v>
      </c>
      <c r="C1967" t="s">
        <v>112</v>
      </c>
      <c r="D1967" t="s">
        <v>113</v>
      </c>
      <c r="E1967" t="s">
        <v>109</v>
      </c>
      <c r="F1967" t="s">
        <v>114</v>
      </c>
      <c r="G1967" t="s">
        <v>115</v>
      </c>
      <c r="H1967" t="s">
        <v>149</v>
      </c>
      <c r="I1967" t="s">
        <v>150</v>
      </c>
      <c r="J1967" t="s">
        <v>151</v>
      </c>
      <c r="K1967" t="s">
        <v>152</v>
      </c>
      <c r="L1967" t="s">
        <v>183</v>
      </c>
      <c r="M1967" t="s">
        <v>167</v>
      </c>
      <c r="N1967">
        <v>3</v>
      </c>
      <c r="O1967" s="4">
        <v>1300</v>
      </c>
      <c r="P1967" s="4">
        <v>2100</v>
      </c>
      <c r="Q1967" s="7">
        <v>0.1</v>
      </c>
      <c r="R1967" t="s">
        <v>235</v>
      </c>
      <c r="S1967">
        <v>6</v>
      </c>
      <c r="T1967">
        <v>6300</v>
      </c>
      <c r="U1967">
        <v>630</v>
      </c>
      <c r="V1967">
        <v>5670</v>
      </c>
      <c r="W1967">
        <v>3900</v>
      </c>
      <c r="X1967">
        <v>1770</v>
      </c>
      <c r="Y1967" s="8">
        <v>0.31216931216931215</v>
      </c>
      <c r="Z1967" t="s">
        <v>2995</v>
      </c>
      <c r="AA1967" t="str">
        <f>IF(AND(SalesCleanTable[[#This Row],[Discount %]]&gt;0, SalesCleanTable[[#This Row],[Profit]]&lt;0), "Discount loss", "Safe")</f>
        <v>Safe</v>
      </c>
      <c r="AB1967" s="25">
        <f>(SalesCleanTable[[#This Row],[Unit Price]] - SalesCleanTable[[#This Row],[Unit Cost]]) / SalesCleanTable[[#This Row],[Unit Price]]</f>
        <v>0.38095238095238093</v>
      </c>
      <c r="AC1967" t="str">
        <f>IF(SalesCleanTable[[#This Row],[Discount %]] &gt; SalesCleanTable[[#This Row],[Max Allowed Discount]], "Discount loss", "Safe")</f>
        <v>Safe</v>
      </c>
      <c r="AD1967" s="4">
        <f>SalesCleanTable[[#This Row],[Unit Price]] - SalesCleanTable[[#This Row],[Unit Cost]]</f>
        <v>800</v>
      </c>
      <c r="AE1967" s="41">
        <f>(SalesCleanTable[[#This Row],[Unit Price]] - SalesCleanTable[[#This Row],[Unit Cost]]) / SalesCleanTable[[#This Row],[Unit Price]]</f>
        <v>0.38095238095238093</v>
      </c>
    </row>
    <row r="1968" spans="1:31">
      <c r="A1968" t="s">
        <v>2154</v>
      </c>
      <c r="B1968" s="6">
        <v>46001</v>
      </c>
      <c r="C1968" t="s">
        <v>103</v>
      </c>
      <c r="D1968" t="s">
        <v>104</v>
      </c>
      <c r="E1968" t="s">
        <v>92</v>
      </c>
      <c r="F1968" t="s">
        <v>105</v>
      </c>
      <c r="G1968" t="s">
        <v>106</v>
      </c>
      <c r="H1968" t="s">
        <v>139</v>
      </c>
      <c r="I1968" t="s">
        <v>140</v>
      </c>
      <c r="J1968" t="s">
        <v>137</v>
      </c>
      <c r="K1968" t="s">
        <v>138</v>
      </c>
      <c r="L1968" t="s">
        <v>183</v>
      </c>
      <c r="M1968" t="s">
        <v>171</v>
      </c>
      <c r="N1968">
        <v>4</v>
      </c>
      <c r="O1968" s="4">
        <v>1500</v>
      </c>
      <c r="P1968" s="4">
        <v>2500</v>
      </c>
      <c r="Q1968" s="7">
        <v>0.1</v>
      </c>
      <c r="R1968" t="s">
        <v>181</v>
      </c>
      <c r="S1968">
        <v>12</v>
      </c>
      <c r="T1968">
        <v>10000</v>
      </c>
      <c r="U1968">
        <v>1000</v>
      </c>
      <c r="V1968">
        <v>9000</v>
      </c>
      <c r="W1968">
        <v>6000</v>
      </c>
      <c r="X1968">
        <v>3000</v>
      </c>
      <c r="Y1968" s="8">
        <v>0.33333333333333331</v>
      </c>
      <c r="Z1968" t="s">
        <v>2996</v>
      </c>
      <c r="AA1968" t="str">
        <f>IF(AND(SalesCleanTable[[#This Row],[Discount %]]&gt;0, SalesCleanTable[[#This Row],[Profit]]&lt;0), "Discount loss", "Safe")</f>
        <v>Safe</v>
      </c>
      <c r="AB1968" s="25">
        <f>(SalesCleanTable[[#This Row],[Unit Price]] - SalesCleanTable[[#This Row],[Unit Cost]]) / SalesCleanTable[[#This Row],[Unit Price]]</f>
        <v>0.4</v>
      </c>
      <c r="AC1968" t="str">
        <f>IF(SalesCleanTable[[#This Row],[Discount %]] &gt; SalesCleanTable[[#This Row],[Max Allowed Discount]], "Discount loss", "Safe")</f>
        <v>Safe</v>
      </c>
      <c r="AD1968" s="4">
        <f>SalesCleanTable[[#This Row],[Unit Price]] - SalesCleanTable[[#This Row],[Unit Cost]]</f>
        <v>1000</v>
      </c>
      <c r="AE1968" s="41">
        <f>(SalesCleanTable[[#This Row],[Unit Price]] - SalesCleanTable[[#This Row],[Unit Cost]]) / SalesCleanTable[[#This Row],[Unit Price]]</f>
        <v>0.4</v>
      </c>
    </row>
    <row r="1969" spans="1:31">
      <c r="A1969" t="s">
        <v>2155</v>
      </c>
      <c r="B1969" s="6">
        <v>45865</v>
      </c>
      <c r="C1969" t="s">
        <v>29</v>
      </c>
      <c r="D1969" t="s">
        <v>30</v>
      </c>
      <c r="E1969" t="s">
        <v>26</v>
      </c>
      <c r="F1969" t="s">
        <v>27</v>
      </c>
      <c r="G1969" t="s">
        <v>31</v>
      </c>
      <c r="H1969" t="s">
        <v>133</v>
      </c>
      <c r="I1969" t="s">
        <v>134</v>
      </c>
      <c r="J1969" t="s">
        <v>130</v>
      </c>
      <c r="K1969" t="s">
        <v>131</v>
      </c>
      <c r="L1969" t="s">
        <v>166</v>
      </c>
      <c r="M1969" t="s">
        <v>186</v>
      </c>
      <c r="N1969">
        <v>6</v>
      </c>
      <c r="O1969" s="4">
        <v>6200</v>
      </c>
      <c r="P1969" s="4">
        <v>7900</v>
      </c>
      <c r="Q1969" s="7">
        <v>0.2</v>
      </c>
      <c r="R1969" t="s">
        <v>197</v>
      </c>
      <c r="S1969">
        <v>7</v>
      </c>
      <c r="T1969">
        <v>47400</v>
      </c>
      <c r="U1969">
        <v>9480</v>
      </c>
      <c r="V1969">
        <v>37920</v>
      </c>
      <c r="W1969">
        <v>37200</v>
      </c>
      <c r="X1969">
        <v>720</v>
      </c>
      <c r="Y1969" s="8">
        <v>1.8987341772151899E-2</v>
      </c>
      <c r="Z1969" t="s">
        <v>2996</v>
      </c>
      <c r="AA1969" t="str">
        <f>IF(AND(SalesCleanTable[[#This Row],[Discount %]]&gt;0, SalesCleanTable[[#This Row],[Profit]]&lt;0), "Discount loss", "Safe")</f>
        <v>Safe</v>
      </c>
      <c r="AB1969" s="25">
        <f>(SalesCleanTable[[#This Row],[Unit Price]] - SalesCleanTable[[#This Row],[Unit Cost]]) / SalesCleanTable[[#This Row],[Unit Price]]</f>
        <v>0.21518987341772153</v>
      </c>
      <c r="AC1969" t="str">
        <f>IF(SalesCleanTable[[#This Row],[Discount %]] &gt; SalesCleanTable[[#This Row],[Max Allowed Discount]], "Discount loss", "Safe")</f>
        <v>Safe</v>
      </c>
      <c r="AD1969" s="4">
        <f>SalesCleanTable[[#This Row],[Unit Price]] - SalesCleanTable[[#This Row],[Unit Cost]]</f>
        <v>1700</v>
      </c>
      <c r="AE1969" s="41">
        <f>(SalesCleanTable[[#This Row],[Unit Price]] - SalesCleanTable[[#This Row],[Unit Cost]]) / SalesCleanTable[[#This Row],[Unit Price]]</f>
        <v>0.21518987341772153</v>
      </c>
    </row>
    <row r="1970" spans="1:31">
      <c r="A1970" t="s">
        <v>2156</v>
      </c>
      <c r="B1970" s="6">
        <v>45983</v>
      </c>
      <c r="C1970" t="s">
        <v>95</v>
      </c>
      <c r="D1970" t="s">
        <v>96</v>
      </c>
      <c r="E1970" t="s">
        <v>92</v>
      </c>
      <c r="F1970" t="s">
        <v>97</v>
      </c>
      <c r="G1970" t="s">
        <v>98</v>
      </c>
      <c r="H1970" t="s">
        <v>139</v>
      </c>
      <c r="I1970" t="s">
        <v>140</v>
      </c>
      <c r="J1970" t="s">
        <v>137</v>
      </c>
      <c r="K1970" t="s">
        <v>138</v>
      </c>
      <c r="L1970" t="s">
        <v>183</v>
      </c>
      <c r="M1970" t="s">
        <v>171</v>
      </c>
      <c r="N1970">
        <v>5</v>
      </c>
      <c r="O1970" s="4">
        <v>18000</v>
      </c>
      <c r="P1970" s="4">
        <v>24500</v>
      </c>
      <c r="Q1970" s="7">
        <v>0</v>
      </c>
      <c r="R1970" t="s">
        <v>217</v>
      </c>
      <c r="S1970">
        <v>7</v>
      </c>
      <c r="T1970">
        <v>122500</v>
      </c>
      <c r="U1970">
        <v>0</v>
      </c>
      <c r="V1970">
        <v>122500</v>
      </c>
      <c r="W1970">
        <v>90000</v>
      </c>
      <c r="X1970">
        <v>32500</v>
      </c>
      <c r="Y1970" s="8">
        <v>0.26530612244897961</v>
      </c>
      <c r="Z1970" t="s">
        <v>2995</v>
      </c>
      <c r="AA1970" t="str">
        <f>IF(AND(SalesCleanTable[[#This Row],[Discount %]]&gt;0, SalesCleanTable[[#This Row],[Profit]]&lt;0), "Discount loss", "Safe")</f>
        <v>Safe</v>
      </c>
      <c r="AB1970" s="25">
        <f>(SalesCleanTable[[#This Row],[Unit Price]] - SalesCleanTable[[#This Row],[Unit Cost]]) / SalesCleanTable[[#This Row],[Unit Price]]</f>
        <v>0.26530612244897961</v>
      </c>
      <c r="AC1970" t="str">
        <f>IF(SalesCleanTable[[#This Row],[Discount %]] &gt; SalesCleanTable[[#This Row],[Max Allowed Discount]], "Discount loss", "Safe")</f>
        <v>Safe</v>
      </c>
      <c r="AD1970" s="4">
        <f>SalesCleanTable[[#This Row],[Unit Price]] - SalesCleanTable[[#This Row],[Unit Cost]]</f>
        <v>6500</v>
      </c>
      <c r="AE1970" s="41">
        <f>(SalesCleanTable[[#This Row],[Unit Price]] - SalesCleanTable[[#This Row],[Unit Cost]]) / SalesCleanTable[[#This Row],[Unit Price]]</f>
        <v>0.26530612244897961</v>
      </c>
    </row>
    <row r="1971" spans="1:31">
      <c r="A1971" t="s">
        <v>2157</v>
      </c>
      <c r="B1971" s="6">
        <v>45909</v>
      </c>
      <c r="C1971" t="s">
        <v>45</v>
      </c>
      <c r="D1971" t="s">
        <v>46</v>
      </c>
      <c r="E1971" t="s">
        <v>38</v>
      </c>
      <c r="F1971" t="s">
        <v>47</v>
      </c>
      <c r="G1971" t="s">
        <v>48</v>
      </c>
      <c r="H1971" t="s">
        <v>149</v>
      </c>
      <c r="I1971" t="s">
        <v>150</v>
      </c>
      <c r="J1971" t="s">
        <v>151</v>
      </c>
      <c r="K1971" t="s">
        <v>152</v>
      </c>
      <c r="L1971" t="s">
        <v>166</v>
      </c>
      <c r="M1971" t="s">
        <v>171</v>
      </c>
      <c r="N1971">
        <v>1</v>
      </c>
      <c r="O1971" s="4">
        <v>230</v>
      </c>
      <c r="P1971" s="4">
        <v>400</v>
      </c>
      <c r="Q1971" s="7">
        <v>0.1</v>
      </c>
      <c r="R1971" t="s">
        <v>175</v>
      </c>
      <c r="S1971">
        <v>13</v>
      </c>
      <c r="T1971">
        <v>400</v>
      </c>
      <c r="U1971">
        <v>40</v>
      </c>
      <c r="V1971">
        <v>360</v>
      </c>
      <c r="W1971">
        <v>230</v>
      </c>
      <c r="X1971">
        <v>130</v>
      </c>
      <c r="Y1971" s="8">
        <v>0.3611111111111111</v>
      </c>
      <c r="Z1971" t="s">
        <v>2995</v>
      </c>
      <c r="AA1971" t="str">
        <f>IF(AND(SalesCleanTable[[#This Row],[Discount %]]&gt;0, SalesCleanTable[[#This Row],[Profit]]&lt;0), "Discount loss", "Safe")</f>
        <v>Safe</v>
      </c>
      <c r="AB1971" s="25">
        <f>(SalesCleanTable[[#This Row],[Unit Price]] - SalesCleanTable[[#This Row],[Unit Cost]]) / SalesCleanTable[[#This Row],[Unit Price]]</f>
        <v>0.42499999999999999</v>
      </c>
      <c r="AC1971" t="str">
        <f>IF(SalesCleanTable[[#This Row],[Discount %]] &gt; SalesCleanTable[[#This Row],[Max Allowed Discount]], "Discount loss", "Safe")</f>
        <v>Safe</v>
      </c>
      <c r="AD1971" s="4">
        <f>SalesCleanTable[[#This Row],[Unit Price]] - SalesCleanTable[[#This Row],[Unit Cost]]</f>
        <v>170</v>
      </c>
      <c r="AE1971" s="41">
        <f>(SalesCleanTable[[#This Row],[Unit Price]] - SalesCleanTable[[#This Row],[Unit Cost]]) / SalesCleanTable[[#This Row],[Unit Price]]</f>
        <v>0.42499999999999999</v>
      </c>
    </row>
    <row r="1972" spans="1:31">
      <c r="A1972" t="s">
        <v>2158</v>
      </c>
      <c r="B1972" s="6">
        <v>45945</v>
      </c>
      <c r="C1972" t="s">
        <v>45</v>
      </c>
      <c r="D1972" t="s">
        <v>46</v>
      </c>
      <c r="E1972" t="s">
        <v>38</v>
      </c>
      <c r="F1972" t="s">
        <v>47</v>
      </c>
      <c r="G1972" t="s">
        <v>48</v>
      </c>
      <c r="H1972" t="s">
        <v>128</v>
      </c>
      <c r="I1972" t="s">
        <v>129</v>
      </c>
      <c r="J1972" t="s">
        <v>130</v>
      </c>
      <c r="K1972" t="s">
        <v>131</v>
      </c>
      <c r="L1972" t="s">
        <v>166</v>
      </c>
      <c r="M1972" t="s">
        <v>186</v>
      </c>
      <c r="N1972">
        <v>4</v>
      </c>
      <c r="O1972" s="4">
        <v>230</v>
      </c>
      <c r="P1972" s="4">
        <v>400</v>
      </c>
      <c r="Q1972" s="7">
        <v>0</v>
      </c>
      <c r="R1972" t="s">
        <v>178</v>
      </c>
      <c r="S1972">
        <v>9</v>
      </c>
      <c r="T1972">
        <v>1600</v>
      </c>
      <c r="U1972">
        <v>0</v>
      </c>
      <c r="V1972">
        <v>1600</v>
      </c>
      <c r="W1972">
        <v>920</v>
      </c>
      <c r="X1972">
        <v>680</v>
      </c>
      <c r="Y1972" s="8">
        <v>0.42499999999999999</v>
      </c>
      <c r="Z1972" t="s">
        <v>2995</v>
      </c>
      <c r="AA1972" t="str">
        <f>IF(AND(SalesCleanTable[[#This Row],[Discount %]]&gt;0, SalesCleanTable[[#This Row],[Profit]]&lt;0), "Discount loss", "Safe")</f>
        <v>Safe</v>
      </c>
      <c r="AB1972" s="25">
        <f>(SalesCleanTable[[#This Row],[Unit Price]] - SalesCleanTable[[#This Row],[Unit Cost]]) / SalesCleanTable[[#This Row],[Unit Price]]</f>
        <v>0.42499999999999999</v>
      </c>
      <c r="AC1972" t="str">
        <f>IF(SalesCleanTable[[#This Row],[Discount %]] &gt; SalesCleanTable[[#This Row],[Max Allowed Discount]], "Discount loss", "Safe")</f>
        <v>Safe</v>
      </c>
      <c r="AD1972" s="4">
        <f>SalesCleanTable[[#This Row],[Unit Price]] - SalesCleanTable[[#This Row],[Unit Cost]]</f>
        <v>170</v>
      </c>
      <c r="AE1972" s="41">
        <f>(SalesCleanTable[[#This Row],[Unit Price]] - SalesCleanTable[[#This Row],[Unit Cost]]) / SalesCleanTable[[#This Row],[Unit Price]]</f>
        <v>0.42499999999999999</v>
      </c>
    </row>
    <row r="1973" spans="1:31">
      <c r="A1973" t="s">
        <v>2159</v>
      </c>
      <c r="B1973" s="6">
        <v>45997</v>
      </c>
      <c r="C1973" t="s">
        <v>49</v>
      </c>
      <c r="D1973" t="s">
        <v>50</v>
      </c>
      <c r="E1973" t="s">
        <v>38</v>
      </c>
      <c r="F1973" t="s">
        <v>51</v>
      </c>
      <c r="G1973" t="s">
        <v>52</v>
      </c>
      <c r="H1973" t="s">
        <v>139</v>
      </c>
      <c r="I1973" t="s">
        <v>140</v>
      </c>
      <c r="J1973" t="s">
        <v>137</v>
      </c>
      <c r="K1973" t="s">
        <v>138</v>
      </c>
      <c r="L1973" t="s">
        <v>166</v>
      </c>
      <c r="M1973" t="s">
        <v>167</v>
      </c>
      <c r="N1973">
        <v>4</v>
      </c>
      <c r="O1973" s="4">
        <v>550</v>
      </c>
      <c r="P1973" s="4">
        <v>850</v>
      </c>
      <c r="Q1973" s="7">
        <v>0.1</v>
      </c>
      <c r="R1973" t="s">
        <v>175</v>
      </c>
      <c r="S1973">
        <v>13</v>
      </c>
      <c r="T1973">
        <v>3400</v>
      </c>
      <c r="U1973">
        <v>340</v>
      </c>
      <c r="V1973">
        <v>3060</v>
      </c>
      <c r="W1973">
        <v>2200</v>
      </c>
      <c r="X1973">
        <v>860</v>
      </c>
      <c r="Y1973" s="8">
        <v>0.28104575163398693</v>
      </c>
      <c r="Z1973" t="s">
        <v>2996</v>
      </c>
      <c r="AA1973" t="str">
        <f>IF(AND(SalesCleanTable[[#This Row],[Discount %]]&gt;0, SalesCleanTable[[#This Row],[Profit]]&lt;0), "Discount loss", "Safe")</f>
        <v>Safe</v>
      </c>
      <c r="AB1973" s="25">
        <f>(SalesCleanTable[[#This Row],[Unit Price]] - SalesCleanTable[[#This Row],[Unit Cost]]) / SalesCleanTable[[#This Row],[Unit Price]]</f>
        <v>0.35294117647058826</v>
      </c>
      <c r="AC1973" t="str">
        <f>IF(SalesCleanTable[[#This Row],[Discount %]] &gt; SalesCleanTable[[#This Row],[Max Allowed Discount]], "Discount loss", "Safe")</f>
        <v>Safe</v>
      </c>
      <c r="AD1973" s="4">
        <f>SalesCleanTable[[#This Row],[Unit Price]] - SalesCleanTable[[#This Row],[Unit Cost]]</f>
        <v>300</v>
      </c>
      <c r="AE1973" s="41">
        <f>(SalesCleanTable[[#This Row],[Unit Price]] - SalesCleanTable[[#This Row],[Unit Cost]]) / SalesCleanTable[[#This Row],[Unit Price]]</f>
        <v>0.35294117647058826</v>
      </c>
    </row>
    <row r="1974" spans="1:31">
      <c r="A1974" t="s">
        <v>2160</v>
      </c>
      <c r="B1974" s="6">
        <v>45843</v>
      </c>
      <c r="C1974" t="s">
        <v>45</v>
      </c>
      <c r="D1974" t="s">
        <v>46</v>
      </c>
      <c r="E1974" t="s">
        <v>38</v>
      </c>
      <c r="F1974" t="s">
        <v>47</v>
      </c>
      <c r="G1974" t="s">
        <v>48</v>
      </c>
      <c r="H1974" t="s">
        <v>139</v>
      </c>
      <c r="I1974" t="s">
        <v>140</v>
      </c>
      <c r="J1974" t="s">
        <v>137</v>
      </c>
      <c r="K1974" t="s">
        <v>138</v>
      </c>
      <c r="L1974" t="s">
        <v>183</v>
      </c>
      <c r="M1974" t="s">
        <v>186</v>
      </c>
      <c r="N1974">
        <v>5</v>
      </c>
      <c r="O1974" s="4">
        <v>230</v>
      </c>
      <c r="P1974" s="4">
        <v>400</v>
      </c>
      <c r="Q1974" s="7">
        <v>0.2</v>
      </c>
      <c r="R1974" t="s">
        <v>175</v>
      </c>
      <c r="S1974">
        <v>12</v>
      </c>
      <c r="T1974">
        <v>2000</v>
      </c>
      <c r="U1974">
        <v>400</v>
      </c>
      <c r="V1974">
        <v>1600</v>
      </c>
      <c r="W1974">
        <v>1150</v>
      </c>
      <c r="X1974">
        <v>450</v>
      </c>
      <c r="Y1974" s="8">
        <v>0.28125</v>
      </c>
      <c r="Z1974" t="s">
        <v>2995</v>
      </c>
      <c r="AA1974" t="str">
        <f>IF(AND(SalesCleanTable[[#This Row],[Discount %]]&gt;0, SalesCleanTable[[#This Row],[Profit]]&lt;0), "Discount loss", "Safe")</f>
        <v>Safe</v>
      </c>
      <c r="AB1974" s="25">
        <f>(SalesCleanTable[[#This Row],[Unit Price]] - SalesCleanTable[[#This Row],[Unit Cost]]) / SalesCleanTable[[#This Row],[Unit Price]]</f>
        <v>0.42499999999999999</v>
      </c>
      <c r="AC1974" t="str">
        <f>IF(SalesCleanTable[[#This Row],[Discount %]] &gt; SalesCleanTable[[#This Row],[Max Allowed Discount]], "Discount loss", "Safe")</f>
        <v>Safe</v>
      </c>
      <c r="AD1974" s="4">
        <f>SalesCleanTable[[#This Row],[Unit Price]] - SalesCleanTable[[#This Row],[Unit Cost]]</f>
        <v>170</v>
      </c>
      <c r="AE1974" s="41">
        <f>(SalesCleanTable[[#This Row],[Unit Price]] - SalesCleanTable[[#This Row],[Unit Cost]]) / SalesCleanTable[[#This Row],[Unit Price]]</f>
        <v>0.42499999999999999</v>
      </c>
    </row>
    <row r="1975" spans="1:31">
      <c r="A1975" t="s">
        <v>2161</v>
      </c>
      <c r="B1975" s="6">
        <v>45697</v>
      </c>
      <c r="C1975" t="s">
        <v>62</v>
      </c>
      <c r="D1975" t="s">
        <v>63</v>
      </c>
      <c r="E1975" t="s">
        <v>59</v>
      </c>
      <c r="F1975" t="s">
        <v>64</v>
      </c>
      <c r="G1975" t="s">
        <v>65</v>
      </c>
      <c r="H1975" t="s">
        <v>149</v>
      </c>
      <c r="I1975" t="s">
        <v>150</v>
      </c>
      <c r="J1975" t="s">
        <v>151</v>
      </c>
      <c r="K1975" t="s">
        <v>152</v>
      </c>
      <c r="L1975" t="s">
        <v>166</v>
      </c>
      <c r="M1975" t="s">
        <v>171</v>
      </c>
      <c r="N1975">
        <v>2</v>
      </c>
      <c r="O1975" s="4">
        <v>3200</v>
      </c>
      <c r="P1975" s="4">
        <v>4500</v>
      </c>
      <c r="Q1975" s="7">
        <v>0.05</v>
      </c>
      <c r="R1975" t="s">
        <v>192</v>
      </c>
      <c r="S1975">
        <v>10</v>
      </c>
      <c r="T1975">
        <v>9000</v>
      </c>
      <c r="U1975">
        <v>450</v>
      </c>
      <c r="V1975">
        <v>8550</v>
      </c>
      <c r="W1975">
        <v>6400</v>
      </c>
      <c r="X1975">
        <v>2150</v>
      </c>
      <c r="Y1975" s="8">
        <v>0.25146198830409355</v>
      </c>
      <c r="Z1975" t="s">
        <v>2996</v>
      </c>
      <c r="AA1975" t="str">
        <f>IF(AND(SalesCleanTable[[#This Row],[Discount %]]&gt;0, SalesCleanTable[[#This Row],[Profit]]&lt;0), "Discount loss", "Safe")</f>
        <v>Safe</v>
      </c>
      <c r="AB1975" s="25">
        <f>(SalesCleanTable[[#This Row],[Unit Price]] - SalesCleanTable[[#This Row],[Unit Cost]]) / SalesCleanTable[[#This Row],[Unit Price]]</f>
        <v>0.28888888888888886</v>
      </c>
      <c r="AC1975" t="str">
        <f>IF(SalesCleanTable[[#This Row],[Discount %]] &gt; SalesCleanTable[[#This Row],[Max Allowed Discount]], "Discount loss", "Safe")</f>
        <v>Safe</v>
      </c>
      <c r="AD1975" s="4">
        <f>SalesCleanTable[[#This Row],[Unit Price]] - SalesCleanTable[[#This Row],[Unit Cost]]</f>
        <v>1300</v>
      </c>
      <c r="AE1975" s="41">
        <f>(SalesCleanTable[[#This Row],[Unit Price]] - SalesCleanTable[[#This Row],[Unit Cost]]) / SalesCleanTable[[#This Row],[Unit Price]]</f>
        <v>0.28888888888888886</v>
      </c>
    </row>
    <row r="1976" spans="1:31">
      <c r="A1976" t="s">
        <v>2162</v>
      </c>
      <c r="B1976" s="6">
        <v>45961</v>
      </c>
      <c r="C1976" t="s">
        <v>116</v>
      </c>
      <c r="D1976" t="s">
        <v>117</v>
      </c>
      <c r="E1976" t="s">
        <v>109</v>
      </c>
      <c r="F1976" t="s">
        <v>118</v>
      </c>
      <c r="G1976" t="s">
        <v>119</v>
      </c>
      <c r="H1976" t="s">
        <v>139</v>
      </c>
      <c r="I1976" t="s">
        <v>140</v>
      </c>
      <c r="J1976" t="s">
        <v>137</v>
      </c>
      <c r="K1976" t="s">
        <v>138</v>
      </c>
      <c r="L1976" t="s">
        <v>183</v>
      </c>
      <c r="M1976" t="s">
        <v>177</v>
      </c>
      <c r="N1976">
        <v>2</v>
      </c>
      <c r="O1976" s="4">
        <v>2800</v>
      </c>
      <c r="P1976" s="4">
        <v>4200</v>
      </c>
      <c r="Q1976" s="7">
        <v>0.05</v>
      </c>
      <c r="R1976" t="s">
        <v>235</v>
      </c>
      <c r="S1976">
        <v>13</v>
      </c>
      <c r="T1976">
        <v>8400</v>
      </c>
      <c r="U1976">
        <v>420</v>
      </c>
      <c r="V1976">
        <v>7980</v>
      </c>
      <c r="W1976">
        <v>5600</v>
      </c>
      <c r="X1976">
        <v>2380</v>
      </c>
      <c r="Y1976" s="8">
        <v>0.2982456140350877</v>
      </c>
      <c r="Z1976" t="s">
        <v>2995</v>
      </c>
      <c r="AA1976" t="str">
        <f>IF(AND(SalesCleanTable[[#This Row],[Discount %]]&gt;0, SalesCleanTable[[#This Row],[Profit]]&lt;0), "Discount loss", "Safe")</f>
        <v>Safe</v>
      </c>
      <c r="AB1976" s="25">
        <f>(SalesCleanTable[[#This Row],[Unit Price]] - SalesCleanTable[[#This Row],[Unit Cost]]) / SalesCleanTable[[#This Row],[Unit Price]]</f>
        <v>0.33333333333333331</v>
      </c>
      <c r="AC1976" t="str">
        <f>IF(SalesCleanTable[[#This Row],[Discount %]] &gt; SalesCleanTable[[#This Row],[Max Allowed Discount]], "Discount loss", "Safe")</f>
        <v>Safe</v>
      </c>
      <c r="AD1976" s="4">
        <f>SalesCleanTable[[#This Row],[Unit Price]] - SalesCleanTable[[#This Row],[Unit Cost]]</f>
        <v>1400</v>
      </c>
      <c r="AE1976" s="41">
        <f>(SalesCleanTable[[#This Row],[Unit Price]] - SalesCleanTable[[#This Row],[Unit Cost]]) / SalesCleanTable[[#This Row],[Unit Price]]</f>
        <v>0.33333333333333331</v>
      </c>
    </row>
    <row r="1977" spans="1:31">
      <c r="A1977" t="s">
        <v>2163</v>
      </c>
      <c r="B1977" s="6">
        <v>45787</v>
      </c>
      <c r="C1977" t="s">
        <v>36</v>
      </c>
      <c r="D1977" t="s">
        <v>37</v>
      </c>
      <c r="E1977" t="s">
        <v>38</v>
      </c>
      <c r="F1977" t="s">
        <v>39</v>
      </c>
      <c r="G1977" t="s">
        <v>40</v>
      </c>
      <c r="H1977" t="s">
        <v>153</v>
      </c>
      <c r="I1977" t="s">
        <v>154</v>
      </c>
      <c r="J1977" t="s">
        <v>155</v>
      </c>
      <c r="K1977" t="s">
        <v>131</v>
      </c>
      <c r="L1977" t="s">
        <v>183</v>
      </c>
      <c r="M1977" t="s">
        <v>186</v>
      </c>
      <c r="N1977">
        <v>4</v>
      </c>
      <c r="O1977" s="4">
        <v>1650</v>
      </c>
      <c r="P1977" s="4">
        <v>2200</v>
      </c>
      <c r="Q1977" s="7">
        <v>0</v>
      </c>
      <c r="R1977" t="s">
        <v>178</v>
      </c>
      <c r="S1977">
        <v>12</v>
      </c>
      <c r="T1977">
        <v>8800</v>
      </c>
      <c r="U1977">
        <v>0</v>
      </c>
      <c r="V1977">
        <v>8800</v>
      </c>
      <c r="W1977">
        <v>6600</v>
      </c>
      <c r="X1977">
        <v>2200</v>
      </c>
      <c r="Y1977" s="8">
        <v>0.25</v>
      </c>
      <c r="Z1977" t="s">
        <v>2995</v>
      </c>
      <c r="AA1977" t="str">
        <f>IF(AND(SalesCleanTable[[#This Row],[Discount %]]&gt;0, SalesCleanTable[[#This Row],[Profit]]&lt;0), "Discount loss", "Safe")</f>
        <v>Safe</v>
      </c>
      <c r="AB1977" s="25">
        <f>(SalesCleanTable[[#This Row],[Unit Price]] - SalesCleanTable[[#This Row],[Unit Cost]]) / SalesCleanTable[[#This Row],[Unit Price]]</f>
        <v>0.25</v>
      </c>
      <c r="AC1977" t="str">
        <f>IF(SalesCleanTable[[#This Row],[Discount %]] &gt; SalesCleanTable[[#This Row],[Max Allowed Discount]], "Discount loss", "Safe")</f>
        <v>Safe</v>
      </c>
      <c r="AD1977" s="4">
        <f>SalesCleanTable[[#This Row],[Unit Price]] - SalesCleanTable[[#This Row],[Unit Cost]]</f>
        <v>550</v>
      </c>
      <c r="AE1977" s="41">
        <f>(SalesCleanTable[[#This Row],[Unit Price]] - SalesCleanTable[[#This Row],[Unit Cost]]) / SalesCleanTable[[#This Row],[Unit Price]]</f>
        <v>0.25</v>
      </c>
    </row>
    <row r="1978" spans="1:31">
      <c r="A1978" t="s">
        <v>2164</v>
      </c>
      <c r="B1978" s="6">
        <v>45734</v>
      </c>
      <c r="C1978" t="s">
        <v>45</v>
      </c>
      <c r="D1978" t="s">
        <v>46</v>
      </c>
      <c r="E1978" t="s">
        <v>38</v>
      </c>
      <c r="F1978" t="s">
        <v>47</v>
      </c>
      <c r="G1978" t="s">
        <v>48</v>
      </c>
      <c r="H1978" t="s">
        <v>153</v>
      </c>
      <c r="I1978" t="s">
        <v>154</v>
      </c>
      <c r="J1978" t="s">
        <v>155</v>
      </c>
      <c r="K1978" t="s">
        <v>131</v>
      </c>
      <c r="L1978" t="s">
        <v>166</v>
      </c>
      <c r="M1978" t="s">
        <v>171</v>
      </c>
      <c r="N1978">
        <v>3</v>
      </c>
      <c r="O1978" s="4">
        <v>230</v>
      </c>
      <c r="P1978" s="4">
        <v>400</v>
      </c>
      <c r="Q1978" s="7">
        <v>0.1</v>
      </c>
      <c r="R1978" t="s">
        <v>175</v>
      </c>
      <c r="S1978">
        <v>8</v>
      </c>
      <c r="T1978">
        <v>1200</v>
      </c>
      <c r="U1978">
        <v>120</v>
      </c>
      <c r="V1978">
        <v>1080</v>
      </c>
      <c r="W1978">
        <v>690</v>
      </c>
      <c r="X1978">
        <v>390</v>
      </c>
      <c r="Y1978" s="8">
        <v>0.3611111111111111</v>
      </c>
      <c r="Z1978" t="s">
        <v>2995</v>
      </c>
      <c r="AA1978" t="str">
        <f>IF(AND(SalesCleanTable[[#This Row],[Discount %]]&gt;0, SalesCleanTable[[#This Row],[Profit]]&lt;0), "Discount loss", "Safe")</f>
        <v>Safe</v>
      </c>
      <c r="AB1978" s="25">
        <f>(SalesCleanTable[[#This Row],[Unit Price]] - SalesCleanTable[[#This Row],[Unit Cost]]) / SalesCleanTable[[#This Row],[Unit Price]]</f>
        <v>0.42499999999999999</v>
      </c>
      <c r="AC1978" t="str">
        <f>IF(SalesCleanTable[[#This Row],[Discount %]] &gt; SalesCleanTable[[#This Row],[Max Allowed Discount]], "Discount loss", "Safe")</f>
        <v>Safe</v>
      </c>
      <c r="AD1978" s="4">
        <f>SalesCleanTable[[#This Row],[Unit Price]] - SalesCleanTable[[#This Row],[Unit Cost]]</f>
        <v>170</v>
      </c>
      <c r="AE1978" s="41">
        <f>(SalesCleanTable[[#This Row],[Unit Price]] - SalesCleanTable[[#This Row],[Unit Cost]]) / SalesCleanTable[[#This Row],[Unit Price]]</f>
        <v>0.42499999999999999</v>
      </c>
    </row>
    <row r="1979" spans="1:31">
      <c r="A1979" t="s">
        <v>2165</v>
      </c>
      <c r="B1979" s="6">
        <v>45989</v>
      </c>
      <c r="C1979" t="s">
        <v>53</v>
      </c>
      <c r="D1979" t="s">
        <v>54</v>
      </c>
      <c r="E1979" t="s">
        <v>38</v>
      </c>
      <c r="F1979" t="s">
        <v>55</v>
      </c>
      <c r="G1979" t="s">
        <v>56</v>
      </c>
      <c r="H1979" t="s">
        <v>128</v>
      </c>
      <c r="I1979" t="s">
        <v>129</v>
      </c>
      <c r="J1979" t="s">
        <v>130</v>
      </c>
      <c r="K1979" t="s">
        <v>131</v>
      </c>
      <c r="L1979" t="s">
        <v>166</v>
      </c>
      <c r="M1979" t="s">
        <v>186</v>
      </c>
      <c r="N1979">
        <v>8</v>
      </c>
      <c r="O1979" s="4">
        <v>330</v>
      </c>
      <c r="P1979" s="4">
        <v>550</v>
      </c>
      <c r="Q1979" s="7">
        <v>0.05</v>
      </c>
      <c r="R1979" t="s">
        <v>175</v>
      </c>
      <c r="S1979">
        <v>4</v>
      </c>
      <c r="T1979">
        <v>4400</v>
      </c>
      <c r="U1979">
        <v>220</v>
      </c>
      <c r="V1979">
        <v>4180</v>
      </c>
      <c r="W1979">
        <v>2640</v>
      </c>
      <c r="X1979">
        <v>1540</v>
      </c>
      <c r="Y1979" s="8">
        <v>0.36842105263157893</v>
      </c>
      <c r="Z1979" t="s">
        <v>2996</v>
      </c>
      <c r="AA1979" t="str">
        <f>IF(AND(SalesCleanTable[[#This Row],[Discount %]]&gt;0, SalesCleanTable[[#This Row],[Profit]]&lt;0), "Discount loss", "Safe")</f>
        <v>Safe</v>
      </c>
      <c r="AB1979" s="25">
        <f>(SalesCleanTable[[#This Row],[Unit Price]] - SalesCleanTable[[#This Row],[Unit Cost]]) / SalesCleanTable[[#This Row],[Unit Price]]</f>
        <v>0.4</v>
      </c>
      <c r="AC1979" t="str">
        <f>IF(SalesCleanTable[[#This Row],[Discount %]] &gt; SalesCleanTable[[#This Row],[Max Allowed Discount]], "Discount loss", "Safe")</f>
        <v>Safe</v>
      </c>
      <c r="AD1979" s="4">
        <f>SalesCleanTable[[#This Row],[Unit Price]] - SalesCleanTable[[#This Row],[Unit Cost]]</f>
        <v>220</v>
      </c>
      <c r="AE1979" s="41">
        <f>(SalesCleanTable[[#This Row],[Unit Price]] - SalesCleanTable[[#This Row],[Unit Cost]]) / SalesCleanTable[[#This Row],[Unit Price]]</f>
        <v>0.4</v>
      </c>
    </row>
    <row r="1980" spans="1:31">
      <c r="A1980" t="s">
        <v>2166</v>
      </c>
      <c r="B1980" s="6">
        <v>45966</v>
      </c>
      <c r="C1980" t="s">
        <v>116</v>
      </c>
      <c r="D1980" t="s">
        <v>117</v>
      </c>
      <c r="E1980" t="s">
        <v>109</v>
      </c>
      <c r="F1980" t="s">
        <v>118</v>
      </c>
      <c r="G1980" t="s">
        <v>119</v>
      </c>
      <c r="H1980" t="s">
        <v>133</v>
      </c>
      <c r="I1980" t="s">
        <v>134</v>
      </c>
      <c r="J1980" t="s">
        <v>130</v>
      </c>
      <c r="K1980" t="s">
        <v>131</v>
      </c>
      <c r="L1980" t="s">
        <v>183</v>
      </c>
      <c r="M1980" t="s">
        <v>186</v>
      </c>
      <c r="N1980">
        <v>2</v>
      </c>
      <c r="O1980" s="4">
        <v>2800</v>
      </c>
      <c r="P1980" s="4">
        <v>4200</v>
      </c>
      <c r="Q1980" s="7">
        <v>0.05</v>
      </c>
      <c r="R1980" t="s">
        <v>220</v>
      </c>
      <c r="S1980">
        <v>12</v>
      </c>
      <c r="T1980">
        <v>8400</v>
      </c>
      <c r="U1980">
        <v>420</v>
      </c>
      <c r="V1980">
        <v>7980</v>
      </c>
      <c r="W1980">
        <v>5600</v>
      </c>
      <c r="X1980">
        <v>2380</v>
      </c>
      <c r="Y1980" s="8">
        <v>0.2982456140350877</v>
      </c>
      <c r="Z1980" t="s">
        <v>2995</v>
      </c>
      <c r="AA1980" t="str">
        <f>IF(AND(SalesCleanTable[[#This Row],[Discount %]]&gt;0, SalesCleanTable[[#This Row],[Profit]]&lt;0), "Discount loss", "Safe")</f>
        <v>Safe</v>
      </c>
      <c r="AB1980" s="25">
        <f>(SalesCleanTable[[#This Row],[Unit Price]] - SalesCleanTable[[#This Row],[Unit Cost]]) / SalesCleanTable[[#This Row],[Unit Price]]</f>
        <v>0.33333333333333331</v>
      </c>
      <c r="AC1980" t="str">
        <f>IF(SalesCleanTable[[#This Row],[Discount %]] &gt; SalesCleanTable[[#This Row],[Max Allowed Discount]], "Discount loss", "Safe")</f>
        <v>Safe</v>
      </c>
      <c r="AD1980" s="4">
        <f>SalesCleanTable[[#This Row],[Unit Price]] - SalesCleanTable[[#This Row],[Unit Cost]]</f>
        <v>1400</v>
      </c>
      <c r="AE1980" s="41">
        <f>(SalesCleanTable[[#This Row],[Unit Price]] - SalesCleanTable[[#This Row],[Unit Cost]]) / SalesCleanTable[[#This Row],[Unit Price]]</f>
        <v>0.33333333333333331</v>
      </c>
    </row>
    <row r="1981" spans="1:31">
      <c r="A1981" t="s">
        <v>2167</v>
      </c>
      <c r="B1981" s="6">
        <v>45929</v>
      </c>
      <c r="C1981" t="s">
        <v>57</v>
      </c>
      <c r="D1981" t="s">
        <v>58</v>
      </c>
      <c r="E1981" t="s">
        <v>59</v>
      </c>
      <c r="F1981" t="s">
        <v>60</v>
      </c>
      <c r="G1981" t="s">
        <v>61</v>
      </c>
      <c r="H1981" t="s">
        <v>139</v>
      </c>
      <c r="I1981" t="s">
        <v>140</v>
      </c>
      <c r="J1981" t="s">
        <v>137</v>
      </c>
      <c r="K1981" t="s">
        <v>138</v>
      </c>
      <c r="L1981" t="s">
        <v>183</v>
      </c>
      <c r="M1981" t="s">
        <v>171</v>
      </c>
      <c r="N1981">
        <v>3</v>
      </c>
      <c r="O1981" s="4">
        <v>2400</v>
      </c>
      <c r="P1981" s="4">
        <v>3400</v>
      </c>
      <c r="Q1981" s="7">
        <v>0.05</v>
      </c>
      <c r="R1981" t="s">
        <v>173</v>
      </c>
      <c r="S1981">
        <v>11</v>
      </c>
      <c r="T1981">
        <v>10200</v>
      </c>
      <c r="U1981">
        <v>510</v>
      </c>
      <c r="V1981">
        <v>9690</v>
      </c>
      <c r="W1981">
        <v>7200</v>
      </c>
      <c r="X1981">
        <v>2490</v>
      </c>
      <c r="Y1981" s="8">
        <v>0.25696594427244585</v>
      </c>
      <c r="Z1981" t="s">
        <v>2996</v>
      </c>
      <c r="AA1981" t="str">
        <f>IF(AND(SalesCleanTable[[#This Row],[Discount %]]&gt;0, SalesCleanTable[[#This Row],[Profit]]&lt;0), "Discount loss", "Safe")</f>
        <v>Safe</v>
      </c>
      <c r="AB1981" s="25">
        <f>(SalesCleanTable[[#This Row],[Unit Price]] - SalesCleanTable[[#This Row],[Unit Cost]]) / SalesCleanTable[[#This Row],[Unit Price]]</f>
        <v>0.29411764705882354</v>
      </c>
      <c r="AC1981" t="str">
        <f>IF(SalesCleanTable[[#This Row],[Discount %]] &gt; SalesCleanTable[[#This Row],[Max Allowed Discount]], "Discount loss", "Safe")</f>
        <v>Safe</v>
      </c>
      <c r="AD1981" s="4">
        <f>SalesCleanTable[[#This Row],[Unit Price]] - SalesCleanTable[[#This Row],[Unit Cost]]</f>
        <v>1000</v>
      </c>
      <c r="AE1981" s="41">
        <f>(SalesCleanTable[[#This Row],[Unit Price]] - SalesCleanTable[[#This Row],[Unit Cost]]) / SalesCleanTable[[#This Row],[Unit Price]]</f>
        <v>0.29411764705882354</v>
      </c>
    </row>
    <row r="1982" spans="1:31">
      <c r="A1982" t="s">
        <v>2168</v>
      </c>
      <c r="B1982" s="6">
        <v>46015</v>
      </c>
      <c r="C1982" t="s">
        <v>82</v>
      </c>
      <c r="D1982" t="s">
        <v>83</v>
      </c>
      <c r="E1982" t="s">
        <v>75</v>
      </c>
      <c r="F1982" t="s">
        <v>84</v>
      </c>
      <c r="G1982" t="s">
        <v>85</v>
      </c>
      <c r="H1982" t="s">
        <v>133</v>
      </c>
      <c r="I1982" t="s">
        <v>134</v>
      </c>
      <c r="J1982" t="s">
        <v>130</v>
      </c>
      <c r="K1982" t="s">
        <v>131</v>
      </c>
      <c r="L1982" t="s">
        <v>166</v>
      </c>
      <c r="M1982" t="s">
        <v>167</v>
      </c>
      <c r="N1982">
        <v>3</v>
      </c>
      <c r="O1982" s="4">
        <v>600</v>
      </c>
      <c r="P1982" s="4">
        <v>950</v>
      </c>
      <c r="Q1982" s="7">
        <v>0.1</v>
      </c>
      <c r="R1982" t="s">
        <v>187</v>
      </c>
      <c r="S1982">
        <v>9</v>
      </c>
      <c r="T1982">
        <v>2850</v>
      </c>
      <c r="U1982">
        <v>285</v>
      </c>
      <c r="V1982">
        <v>2565</v>
      </c>
      <c r="W1982">
        <v>1800</v>
      </c>
      <c r="X1982">
        <v>765</v>
      </c>
      <c r="Y1982" s="8">
        <v>0.2982456140350877</v>
      </c>
      <c r="Z1982" t="s">
        <v>2996</v>
      </c>
      <c r="AA1982" t="str">
        <f>IF(AND(SalesCleanTable[[#This Row],[Discount %]]&gt;0, SalesCleanTable[[#This Row],[Profit]]&lt;0), "Discount loss", "Safe")</f>
        <v>Safe</v>
      </c>
      <c r="AB1982" s="25">
        <f>(SalesCleanTable[[#This Row],[Unit Price]] - SalesCleanTable[[#This Row],[Unit Cost]]) / SalesCleanTable[[#This Row],[Unit Price]]</f>
        <v>0.36842105263157893</v>
      </c>
      <c r="AC1982" t="str">
        <f>IF(SalesCleanTable[[#This Row],[Discount %]] &gt; SalesCleanTable[[#This Row],[Max Allowed Discount]], "Discount loss", "Safe")</f>
        <v>Safe</v>
      </c>
      <c r="AD1982" s="4">
        <f>SalesCleanTable[[#This Row],[Unit Price]] - SalesCleanTable[[#This Row],[Unit Cost]]</f>
        <v>350</v>
      </c>
      <c r="AE1982" s="41">
        <f>(SalesCleanTable[[#This Row],[Unit Price]] - SalesCleanTable[[#This Row],[Unit Cost]]) / SalesCleanTable[[#This Row],[Unit Price]]</f>
        <v>0.36842105263157893</v>
      </c>
    </row>
    <row r="1983" spans="1:31">
      <c r="A1983" t="s">
        <v>2169</v>
      </c>
      <c r="B1983" s="6">
        <v>45954</v>
      </c>
      <c r="C1983" t="s">
        <v>73</v>
      </c>
      <c r="D1983" t="s">
        <v>74</v>
      </c>
      <c r="E1983" t="s">
        <v>75</v>
      </c>
      <c r="F1983" t="s">
        <v>76</v>
      </c>
      <c r="G1983" t="s">
        <v>77</v>
      </c>
      <c r="H1983" t="s">
        <v>133</v>
      </c>
      <c r="I1983" t="s">
        <v>134</v>
      </c>
      <c r="J1983" t="s">
        <v>130</v>
      </c>
      <c r="K1983" t="s">
        <v>131</v>
      </c>
      <c r="L1983" t="s">
        <v>166</v>
      </c>
      <c r="M1983" t="s">
        <v>177</v>
      </c>
      <c r="N1983">
        <v>1</v>
      </c>
      <c r="O1983" s="4">
        <v>3500</v>
      </c>
      <c r="P1983" s="4">
        <v>5200</v>
      </c>
      <c r="Q1983" s="7">
        <v>0</v>
      </c>
      <c r="R1983" t="s">
        <v>187</v>
      </c>
      <c r="S1983">
        <v>13</v>
      </c>
      <c r="T1983">
        <v>5200</v>
      </c>
      <c r="U1983">
        <v>0</v>
      </c>
      <c r="V1983">
        <v>5200</v>
      </c>
      <c r="W1983">
        <v>3500</v>
      </c>
      <c r="X1983">
        <v>1700</v>
      </c>
      <c r="Y1983" s="8">
        <v>0.32692307692307693</v>
      </c>
      <c r="Z1983" t="s">
        <v>2996</v>
      </c>
      <c r="AA1983" t="str">
        <f>IF(AND(SalesCleanTable[[#This Row],[Discount %]]&gt;0, SalesCleanTable[[#This Row],[Profit]]&lt;0), "Discount loss", "Safe")</f>
        <v>Safe</v>
      </c>
      <c r="AB1983" s="25">
        <f>(SalesCleanTable[[#This Row],[Unit Price]] - SalesCleanTable[[#This Row],[Unit Cost]]) / SalesCleanTable[[#This Row],[Unit Price]]</f>
        <v>0.32692307692307693</v>
      </c>
      <c r="AC1983" t="str">
        <f>IF(SalesCleanTable[[#This Row],[Discount %]] &gt; SalesCleanTable[[#This Row],[Max Allowed Discount]], "Discount loss", "Safe")</f>
        <v>Safe</v>
      </c>
      <c r="AD1983" s="4">
        <f>SalesCleanTable[[#This Row],[Unit Price]] - SalesCleanTable[[#This Row],[Unit Cost]]</f>
        <v>1700</v>
      </c>
      <c r="AE1983" s="41">
        <f>(SalesCleanTable[[#This Row],[Unit Price]] - SalesCleanTable[[#This Row],[Unit Cost]]) / SalesCleanTable[[#This Row],[Unit Price]]</f>
        <v>0.32692307692307693</v>
      </c>
    </row>
    <row r="1984" spans="1:31">
      <c r="A1984" t="s">
        <v>2170</v>
      </c>
      <c r="B1984" s="6">
        <v>45851</v>
      </c>
      <c r="C1984" t="s">
        <v>45</v>
      </c>
      <c r="D1984" t="s">
        <v>46</v>
      </c>
      <c r="E1984" t="s">
        <v>38</v>
      </c>
      <c r="F1984" t="s">
        <v>47</v>
      </c>
      <c r="G1984" t="s">
        <v>48</v>
      </c>
      <c r="H1984" t="s">
        <v>135</v>
      </c>
      <c r="I1984" t="s">
        <v>136</v>
      </c>
      <c r="J1984" t="s">
        <v>137</v>
      </c>
      <c r="K1984" t="s">
        <v>138</v>
      </c>
      <c r="L1984" t="s">
        <v>166</v>
      </c>
      <c r="M1984" t="s">
        <v>177</v>
      </c>
      <c r="N1984">
        <v>3</v>
      </c>
      <c r="O1984" s="4">
        <v>230</v>
      </c>
      <c r="P1984" s="4">
        <v>400</v>
      </c>
      <c r="Q1984" s="7">
        <v>0.15</v>
      </c>
      <c r="R1984" t="s">
        <v>178</v>
      </c>
      <c r="S1984">
        <v>1</v>
      </c>
      <c r="T1984">
        <v>1200</v>
      </c>
      <c r="U1984">
        <v>180</v>
      </c>
      <c r="V1984">
        <v>1020</v>
      </c>
      <c r="W1984">
        <v>690</v>
      </c>
      <c r="X1984">
        <v>330</v>
      </c>
      <c r="Y1984" s="8">
        <v>0.3235294117647059</v>
      </c>
      <c r="Z1984" t="s">
        <v>2995</v>
      </c>
      <c r="AA1984" t="str">
        <f>IF(AND(SalesCleanTable[[#This Row],[Discount %]]&gt;0, SalesCleanTable[[#This Row],[Profit]]&lt;0), "Discount loss", "Safe")</f>
        <v>Safe</v>
      </c>
      <c r="AB1984" s="25">
        <f>(SalesCleanTable[[#This Row],[Unit Price]] - SalesCleanTable[[#This Row],[Unit Cost]]) / SalesCleanTable[[#This Row],[Unit Price]]</f>
        <v>0.42499999999999999</v>
      </c>
      <c r="AC1984" t="str">
        <f>IF(SalesCleanTable[[#This Row],[Discount %]] &gt; SalesCleanTable[[#This Row],[Max Allowed Discount]], "Discount loss", "Safe")</f>
        <v>Safe</v>
      </c>
      <c r="AD1984" s="4">
        <f>SalesCleanTable[[#This Row],[Unit Price]] - SalesCleanTable[[#This Row],[Unit Cost]]</f>
        <v>170</v>
      </c>
      <c r="AE1984" s="41">
        <f>(SalesCleanTable[[#This Row],[Unit Price]] - SalesCleanTable[[#This Row],[Unit Cost]]) / SalesCleanTable[[#This Row],[Unit Price]]</f>
        <v>0.42499999999999999</v>
      </c>
    </row>
    <row r="1985" spans="1:31">
      <c r="A1985" t="s">
        <v>2171</v>
      </c>
      <c r="B1985" s="6">
        <v>45945</v>
      </c>
      <c r="C1985" t="s">
        <v>53</v>
      </c>
      <c r="D1985" t="s">
        <v>54</v>
      </c>
      <c r="E1985" t="s">
        <v>38</v>
      </c>
      <c r="F1985" t="s">
        <v>55</v>
      </c>
      <c r="G1985" t="s">
        <v>56</v>
      </c>
      <c r="H1985" t="s">
        <v>135</v>
      </c>
      <c r="I1985" t="s">
        <v>136</v>
      </c>
      <c r="J1985" t="s">
        <v>137</v>
      </c>
      <c r="K1985" t="s">
        <v>138</v>
      </c>
      <c r="L1985" t="s">
        <v>166</v>
      </c>
      <c r="M1985" t="s">
        <v>167</v>
      </c>
      <c r="N1985">
        <v>3</v>
      </c>
      <c r="O1985" s="4">
        <v>330</v>
      </c>
      <c r="P1985" s="4">
        <v>550</v>
      </c>
      <c r="Q1985" s="7">
        <v>0.1</v>
      </c>
      <c r="R1985" t="s">
        <v>175</v>
      </c>
      <c r="S1985">
        <v>10</v>
      </c>
      <c r="T1985">
        <v>1650</v>
      </c>
      <c r="U1985">
        <v>165</v>
      </c>
      <c r="V1985">
        <v>1485</v>
      </c>
      <c r="W1985">
        <v>990</v>
      </c>
      <c r="X1985">
        <v>495</v>
      </c>
      <c r="Y1985" s="8">
        <v>0.33333333333333331</v>
      </c>
      <c r="Z1985" t="s">
        <v>2996</v>
      </c>
      <c r="AA1985" t="str">
        <f>IF(AND(SalesCleanTable[[#This Row],[Discount %]]&gt;0, SalesCleanTable[[#This Row],[Profit]]&lt;0), "Discount loss", "Safe")</f>
        <v>Safe</v>
      </c>
      <c r="AB1985" s="25">
        <f>(SalesCleanTable[[#This Row],[Unit Price]] - SalesCleanTable[[#This Row],[Unit Cost]]) / SalesCleanTable[[#This Row],[Unit Price]]</f>
        <v>0.4</v>
      </c>
      <c r="AC1985" t="str">
        <f>IF(SalesCleanTable[[#This Row],[Discount %]] &gt; SalesCleanTable[[#This Row],[Max Allowed Discount]], "Discount loss", "Safe")</f>
        <v>Safe</v>
      </c>
      <c r="AD1985" s="4">
        <f>SalesCleanTable[[#This Row],[Unit Price]] - SalesCleanTable[[#This Row],[Unit Cost]]</f>
        <v>220</v>
      </c>
      <c r="AE1985" s="41">
        <f>(SalesCleanTable[[#This Row],[Unit Price]] - SalesCleanTable[[#This Row],[Unit Cost]]) / SalesCleanTable[[#This Row],[Unit Price]]</f>
        <v>0.4</v>
      </c>
    </row>
    <row r="1986" spans="1:31">
      <c r="A1986" t="s">
        <v>2172</v>
      </c>
      <c r="B1986" s="6">
        <v>45816</v>
      </c>
      <c r="C1986" t="s">
        <v>103</v>
      </c>
      <c r="D1986" t="s">
        <v>104</v>
      </c>
      <c r="E1986" t="s">
        <v>92</v>
      </c>
      <c r="F1986" t="s">
        <v>105</v>
      </c>
      <c r="G1986" t="s">
        <v>106</v>
      </c>
      <c r="H1986" t="s">
        <v>128</v>
      </c>
      <c r="I1986" t="s">
        <v>129</v>
      </c>
      <c r="J1986" t="s">
        <v>130</v>
      </c>
      <c r="K1986" t="s">
        <v>131</v>
      </c>
      <c r="L1986" t="s">
        <v>166</v>
      </c>
      <c r="M1986" t="s">
        <v>171</v>
      </c>
      <c r="N1986">
        <v>5</v>
      </c>
      <c r="O1986" s="4">
        <v>1500</v>
      </c>
      <c r="P1986" s="4">
        <v>2500</v>
      </c>
      <c r="Q1986" s="7">
        <v>0.05</v>
      </c>
      <c r="R1986" t="s">
        <v>181</v>
      </c>
      <c r="S1986">
        <v>5</v>
      </c>
      <c r="T1986">
        <v>12500</v>
      </c>
      <c r="U1986">
        <v>625</v>
      </c>
      <c r="V1986">
        <v>11875</v>
      </c>
      <c r="W1986">
        <v>7500</v>
      </c>
      <c r="X1986">
        <v>4375</v>
      </c>
      <c r="Y1986" s="8">
        <v>0.36842105263157893</v>
      </c>
      <c r="Z1986" t="s">
        <v>2996</v>
      </c>
      <c r="AA1986" t="str">
        <f>IF(AND(SalesCleanTable[[#This Row],[Discount %]]&gt;0, SalesCleanTable[[#This Row],[Profit]]&lt;0), "Discount loss", "Safe")</f>
        <v>Safe</v>
      </c>
      <c r="AB1986" s="25">
        <f>(SalesCleanTable[[#This Row],[Unit Price]] - SalesCleanTable[[#This Row],[Unit Cost]]) / SalesCleanTable[[#This Row],[Unit Price]]</f>
        <v>0.4</v>
      </c>
      <c r="AC1986" t="str">
        <f>IF(SalesCleanTable[[#This Row],[Discount %]] &gt; SalesCleanTable[[#This Row],[Max Allowed Discount]], "Discount loss", "Safe")</f>
        <v>Safe</v>
      </c>
      <c r="AD1986" s="4">
        <f>SalesCleanTable[[#This Row],[Unit Price]] - SalesCleanTable[[#This Row],[Unit Cost]]</f>
        <v>1000</v>
      </c>
      <c r="AE1986" s="41">
        <f>(SalesCleanTable[[#This Row],[Unit Price]] - SalesCleanTable[[#This Row],[Unit Cost]]) / SalesCleanTable[[#This Row],[Unit Price]]</f>
        <v>0.4</v>
      </c>
    </row>
    <row r="1987" spans="1:31">
      <c r="A1987" t="s">
        <v>2173</v>
      </c>
      <c r="B1987" s="6">
        <v>45674</v>
      </c>
      <c r="C1987" t="s">
        <v>24</v>
      </c>
      <c r="D1987" t="s">
        <v>25</v>
      </c>
      <c r="E1987" t="s">
        <v>26</v>
      </c>
      <c r="F1987" t="s">
        <v>27</v>
      </c>
      <c r="G1987" t="s">
        <v>28</v>
      </c>
      <c r="H1987" t="s">
        <v>133</v>
      </c>
      <c r="I1987" t="s">
        <v>134</v>
      </c>
      <c r="J1987" t="s">
        <v>130</v>
      </c>
      <c r="K1987" t="s">
        <v>131</v>
      </c>
      <c r="L1987" t="s">
        <v>166</v>
      </c>
      <c r="M1987" t="s">
        <v>171</v>
      </c>
      <c r="N1987">
        <v>2</v>
      </c>
      <c r="O1987" s="4">
        <v>14500</v>
      </c>
      <c r="P1987" s="4">
        <v>17500</v>
      </c>
      <c r="Q1987" s="7">
        <v>0</v>
      </c>
      <c r="R1987" t="s">
        <v>194</v>
      </c>
      <c r="S1987">
        <v>5</v>
      </c>
      <c r="T1987">
        <v>35000</v>
      </c>
      <c r="U1987">
        <v>0</v>
      </c>
      <c r="V1987">
        <v>35000</v>
      </c>
      <c r="W1987">
        <v>29000</v>
      </c>
      <c r="X1987">
        <v>6000</v>
      </c>
      <c r="Y1987" s="8">
        <v>0.17142857142857143</v>
      </c>
      <c r="Z1987" t="s">
        <v>2995</v>
      </c>
      <c r="AA1987" t="str">
        <f>IF(AND(SalesCleanTable[[#This Row],[Discount %]]&gt;0, SalesCleanTable[[#This Row],[Profit]]&lt;0), "Discount loss", "Safe")</f>
        <v>Safe</v>
      </c>
      <c r="AB1987" s="25">
        <f>(SalesCleanTable[[#This Row],[Unit Price]] - SalesCleanTable[[#This Row],[Unit Cost]]) / SalesCleanTable[[#This Row],[Unit Price]]</f>
        <v>0.17142857142857143</v>
      </c>
      <c r="AC1987" t="str">
        <f>IF(SalesCleanTable[[#This Row],[Discount %]] &gt; SalesCleanTable[[#This Row],[Max Allowed Discount]], "Discount loss", "Safe")</f>
        <v>Safe</v>
      </c>
      <c r="AD1987" s="4">
        <f>SalesCleanTable[[#This Row],[Unit Price]] - SalesCleanTable[[#This Row],[Unit Cost]]</f>
        <v>3000</v>
      </c>
      <c r="AE1987" s="41">
        <f>(SalesCleanTable[[#This Row],[Unit Price]] - SalesCleanTable[[#This Row],[Unit Cost]]) / SalesCleanTable[[#This Row],[Unit Price]]</f>
        <v>0.17142857142857143</v>
      </c>
    </row>
    <row r="1988" spans="1:31">
      <c r="A1988" t="s">
        <v>2174</v>
      </c>
      <c r="B1988" s="6">
        <v>45973</v>
      </c>
      <c r="C1988" t="s">
        <v>36</v>
      </c>
      <c r="D1988" t="s">
        <v>37</v>
      </c>
      <c r="E1988" t="s">
        <v>38</v>
      </c>
      <c r="F1988" t="s">
        <v>39</v>
      </c>
      <c r="G1988" t="s">
        <v>40</v>
      </c>
      <c r="H1988" t="s">
        <v>139</v>
      </c>
      <c r="I1988" t="s">
        <v>140</v>
      </c>
      <c r="J1988" t="s">
        <v>137</v>
      </c>
      <c r="K1988" t="s">
        <v>138</v>
      </c>
      <c r="L1988" t="s">
        <v>166</v>
      </c>
      <c r="M1988" t="s">
        <v>186</v>
      </c>
      <c r="N1988">
        <v>1</v>
      </c>
      <c r="O1988" s="4">
        <v>1650</v>
      </c>
      <c r="P1988" s="4">
        <v>2200</v>
      </c>
      <c r="Q1988" s="7">
        <v>0.15</v>
      </c>
      <c r="R1988" t="s">
        <v>168</v>
      </c>
      <c r="S1988">
        <v>12</v>
      </c>
      <c r="T1988">
        <v>2200</v>
      </c>
      <c r="U1988">
        <v>330</v>
      </c>
      <c r="V1988">
        <v>1870</v>
      </c>
      <c r="W1988">
        <v>1650</v>
      </c>
      <c r="X1988">
        <v>220</v>
      </c>
      <c r="Y1988" s="8">
        <v>0.11764705882352941</v>
      </c>
      <c r="Z1988" t="s">
        <v>2995</v>
      </c>
      <c r="AA1988" t="str">
        <f>IF(AND(SalesCleanTable[[#This Row],[Discount %]]&gt;0, SalesCleanTable[[#This Row],[Profit]]&lt;0), "Discount loss", "Safe")</f>
        <v>Safe</v>
      </c>
      <c r="AB1988" s="25">
        <f>(SalesCleanTable[[#This Row],[Unit Price]] - SalesCleanTable[[#This Row],[Unit Cost]]) / SalesCleanTable[[#This Row],[Unit Price]]</f>
        <v>0.25</v>
      </c>
      <c r="AC1988" t="str">
        <f>IF(SalesCleanTable[[#This Row],[Discount %]] &gt; SalesCleanTable[[#This Row],[Max Allowed Discount]], "Discount loss", "Safe")</f>
        <v>Safe</v>
      </c>
      <c r="AD1988" s="4">
        <f>SalesCleanTable[[#This Row],[Unit Price]] - SalesCleanTable[[#This Row],[Unit Cost]]</f>
        <v>550</v>
      </c>
      <c r="AE1988" s="41">
        <f>(SalesCleanTable[[#This Row],[Unit Price]] - SalesCleanTable[[#This Row],[Unit Cost]]) / SalesCleanTable[[#This Row],[Unit Price]]</f>
        <v>0.25</v>
      </c>
    </row>
    <row r="1989" spans="1:31">
      <c r="A1989" t="s">
        <v>2175</v>
      </c>
      <c r="B1989" s="6">
        <v>45822</v>
      </c>
      <c r="C1989" t="s">
        <v>41</v>
      </c>
      <c r="D1989" t="s">
        <v>42</v>
      </c>
      <c r="E1989" t="s">
        <v>26</v>
      </c>
      <c r="F1989" t="s">
        <v>43</v>
      </c>
      <c r="G1989" t="s">
        <v>44</v>
      </c>
      <c r="H1989" t="s">
        <v>145</v>
      </c>
      <c r="I1989" t="s">
        <v>146</v>
      </c>
      <c r="J1989" t="s">
        <v>147</v>
      </c>
      <c r="K1989" t="s">
        <v>148</v>
      </c>
      <c r="L1989" t="s">
        <v>166</v>
      </c>
      <c r="M1989" t="s">
        <v>186</v>
      </c>
      <c r="N1989">
        <v>3</v>
      </c>
      <c r="O1989" s="4">
        <v>850</v>
      </c>
      <c r="P1989" s="4">
        <v>1300</v>
      </c>
      <c r="Q1989" s="7">
        <v>0.1</v>
      </c>
      <c r="R1989" t="s">
        <v>197</v>
      </c>
      <c r="S1989">
        <v>9</v>
      </c>
      <c r="T1989">
        <v>3900</v>
      </c>
      <c r="U1989">
        <v>390</v>
      </c>
      <c r="V1989">
        <v>3510</v>
      </c>
      <c r="W1989">
        <v>2550</v>
      </c>
      <c r="X1989">
        <v>960</v>
      </c>
      <c r="Y1989" s="8">
        <v>0.27350427350427353</v>
      </c>
      <c r="Z1989" t="s">
        <v>2995</v>
      </c>
      <c r="AA1989" t="str">
        <f>IF(AND(SalesCleanTable[[#This Row],[Discount %]]&gt;0, SalesCleanTable[[#This Row],[Profit]]&lt;0), "Discount loss", "Safe")</f>
        <v>Safe</v>
      </c>
      <c r="AB1989" s="25">
        <f>(SalesCleanTable[[#This Row],[Unit Price]] - SalesCleanTable[[#This Row],[Unit Cost]]) / SalesCleanTable[[#This Row],[Unit Price]]</f>
        <v>0.34615384615384615</v>
      </c>
      <c r="AC1989" t="str">
        <f>IF(SalesCleanTable[[#This Row],[Discount %]] &gt; SalesCleanTable[[#This Row],[Max Allowed Discount]], "Discount loss", "Safe")</f>
        <v>Safe</v>
      </c>
      <c r="AD1989" s="4">
        <f>SalesCleanTable[[#This Row],[Unit Price]] - SalesCleanTable[[#This Row],[Unit Cost]]</f>
        <v>450</v>
      </c>
      <c r="AE1989" s="41">
        <f>(SalesCleanTable[[#This Row],[Unit Price]] - SalesCleanTable[[#This Row],[Unit Cost]]) / SalesCleanTable[[#This Row],[Unit Price]]</f>
        <v>0.34615384615384615</v>
      </c>
    </row>
    <row r="1990" spans="1:31">
      <c r="A1990" t="s">
        <v>2176</v>
      </c>
      <c r="B1990" s="6">
        <v>45869</v>
      </c>
      <c r="C1990" t="s">
        <v>78</v>
      </c>
      <c r="D1990" t="s">
        <v>79</v>
      </c>
      <c r="E1990" t="s">
        <v>75</v>
      </c>
      <c r="F1990" t="s">
        <v>80</v>
      </c>
      <c r="G1990" t="s">
        <v>81</v>
      </c>
      <c r="H1990" t="s">
        <v>135</v>
      </c>
      <c r="I1990" t="s">
        <v>136</v>
      </c>
      <c r="J1990" t="s">
        <v>137</v>
      </c>
      <c r="K1990" t="s">
        <v>138</v>
      </c>
      <c r="L1990" t="s">
        <v>166</v>
      </c>
      <c r="M1990" t="s">
        <v>167</v>
      </c>
      <c r="N1990">
        <v>2</v>
      </c>
      <c r="O1990" s="4">
        <v>1200</v>
      </c>
      <c r="P1990" s="4">
        <v>1900</v>
      </c>
      <c r="Q1990" s="7">
        <v>0</v>
      </c>
      <c r="R1990" t="s">
        <v>204</v>
      </c>
      <c r="S1990">
        <v>10</v>
      </c>
      <c r="T1990">
        <v>3800</v>
      </c>
      <c r="U1990">
        <v>0</v>
      </c>
      <c r="V1990">
        <v>3800</v>
      </c>
      <c r="W1990">
        <v>2400</v>
      </c>
      <c r="X1990">
        <v>1400</v>
      </c>
      <c r="Y1990" s="8">
        <v>0.36842105263157893</v>
      </c>
      <c r="Z1990" t="s">
        <v>2996</v>
      </c>
      <c r="AA1990" t="str">
        <f>IF(AND(SalesCleanTable[[#This Row],[Discount %]]&gt;0, SalesCleanTable[[#This Row],[Profit]]&lt;0), "Discount loss", "Safe")</f>
        <v>Safe</v>
      </c>
      <c r="AB1990" s="25">
        <f>(SalesCleanTable[[#This Row],[Unit Price]] - SalesCleanTable[[#This Row],[Unit Cost]]) / SalesCleanTable[[#This Row],[Unit Price]]</f>
        <v>0.36842105263157893</v>
      </c>
      <c r="AC1990" t="str">
        <f>IF(SalesCleanTable[[#This Row],[Discount %]] &gt; SalesCleanTable[[#This Row],[Max Allowed Discount]], "Discount loss", "Safe")</f>
        <v>Safe</v>
      </c>
      <c r="AD1990" s="4">
        <f>SalesCleanTable[[#This Row],[Unit Price]] - SalesCleanTable[[#This Row],[Unit Cost]]</f>
        <v>700</v>
      </c>
      <c r="AE1990" s="41">
        <f>(SalesCleanTable[[#This Row],[Unit Price]] - SalesCleanTable[[#This Row],[Unit Cost]]) / SalesCleanTable[[#This Row],[Unit Price]]</f>
        <v>0.36842105263157893</v>
      </c>
    </row>
    <row r="1991" spans="1:31">
      <c r="A1991" t="s">
        <v>2177</v>
      </c>
      <c r="B1991" s="6">
        <v>45949</v>
      </c>
      <c r="C1991" t="s">
        <v>86</v>
      </c>
      <c r="D1991" t="s">
        <v>87</v>
      </c>
      <c r="E1991" t="s">
        <v>75</v>
      </c>
      <c r="F1991" t="s">
        <v>88</v>
      </c>
      <c r="G1991" t="s">
        <v>89</v>
      </c>
      <c r="H1991" t="s">
        <v>141</v>
      </c>
      <c r="I1991" t="s">
        <v>142</v>
      </c>
      <c r="J1991" t="s">
        <v>143</v>
      </c>
      <c r="K1991" t="s">
        <v>144</v>
      </c>
      <c r="L1991" t="s">
        <v>183</v>
      </c>
      <c r="M1991" t="s">
        <v>167</v>
      </c>
      <c r="N1991">
        <v>2</v>
      </c>
      <c r="O1991" s="4">
        <v>8500</v>
      </c>
      <c r="P1991" s="4">
        <v>12500</v>
      </c>
      <c r="Q1991" s="7">
        <v>0.1</v>
      </c>
      <c r="R1991" t="s">
        <v>208</v>
      </c>
      <c r="S1991">
        <v>13</v>
      </c>
      <c r="T1991">
        <v>25000</v>
      </c>
      <c r="U1991">
        <v>2500</v>
      </c>
      <c r="V1991">
        <v>22500</v>
      </c>
      <c r="W1991">
        <v>17000</v>
      </c>
      <c r="X1991">
        <v>5500</v>
      </c>
      <c r="Y1991" s="8">
        <v>0.24444444444444444</v>
      </c>
      <c r="Z1991" t="s">
        <v>2997</v>
      </c>
      <c r="AA1991" t="str">
        <f>IF(AND(SalesCleanTable[[#This Row],[Discount %]]&gt;0, SalesCleanTable[[#This Row],[Profit]]&lt;0), "Discount loss", "Safe")</f>
        <v>Safe</v>
      </c>
      <c r="AB1991" s="25">
        <f>(SalesCleanTable[[#This Row],[Unit Price]] - SalesCleanTable[[#This Row],[Unit Cost]]) / SalesCleanTable[[#This Row],[Unit Price]]</f>
        <v>0.32</v>
      </c>
      <c r="AC1991" t="str">
        <f>IF(SalesCleanTable[[#This Row],[Discount %]] &gt; SalesCleanTable[[#This Row],[Max Allowed Discount]], "Discount loss", "Safe")</f>
        <v>Safe</v>
      </c>
      <c r="AD1991" s="4">
        <f>SalesCleanTable[[#This Row],[Unit Price]] - SalesCleanTable[[#This Row],[Unit Cost]]</f>
        <v>4000</v>
      </c>
      <c r="AE1991" s="41">
        <f>(SalesCleanTable[[#This Row],[Unit Price]] - SalesCleanTable[[#This Row],[Unit Cost]]) / SalesCleanTable[[#This Row],[Unit Price]]</f>
        <v>0.32</v>
      </c>
    </row>
    <row r="1992" spans="1:31">
      <c r="A1992" t="s">
        <v>2178</v>
      </c>
      <c r="B1992" s="6">
        <v>45807</v>
      </c>
      <c r="C1992" t="s">
        <v>82</v>
      </c>
      <c r="D1992" t="s">
        <v>83</v>
      </c>
      <c r="E1992" t="s">
        <v>75</v>
      </c>
      <c r="F1992" t="s">
        <v>84</v>
      </c>
      <c r="G1992" t="s">
        <v>85</v>
      </c>
      <c r="H1992" t="s">
        <v>135</v>
      </c>
      <c r="I1992" t="s">
        <v>136</v>
      </c>
      <c r="J1992" t="s">
        <v>137</v>
      </c>
      <c r="K1992" t="s">
        <v>138</v>
      </c>
      <c r="L1992" t="s">
        <v>183</v>
      </c>
      <c r="M1992" t="s">
        <v>171</v>
      </c>
      <c r="N1992">
        <v>2</v>
      </c>
      <c r="O1992" s="4">
        <v>600</v>
      </c>
      <c r="P1992" s="4">
        <v>950</v>
      </c>
      <c r="Q1992" s="7">
        <v>0</v>
      </c>
      <c r="R1992" t="s">
        <v>208</v>
      </c>
      <c r="S1992">
        <v>10</v>
      </c>
      <c r="T1992">
        <v>1900</v>
      </c>
      <c r="U1992">
        <v>0</v>
      </c>
      <c r="V1992">
        <v>1900</v>
      </c>
      <c r="W1992">
        <v>1200</v>
      </c>
      <c r="X1992">
        <v>700</v>
      </c>
      <c r="Y1992" s="8">
        <v>0.36842105263157893</v>
      </c>
      <c r="Z1992" t="s">
        <v>2996</v>
      </c>
      <c r="AA1992" t="str">
        <f>IF(AND(SalesCleanTable[[#This Row],[Discount %]]&gt;0, SalesCleanTable[[#This Row],[Profit]]&lt;0), "Discount loss", "Safe")</f>
        <v>Safe</v>
      </c>
      <c r="AB1992" s="25">
        <f>(SalesCleanTable[[#This Row],[Unit Price]] - SalesCleanTable[[#This Row],[Unit Cost]]) / SalesCleanTable[[#This Row],[Unit Price]]</f>
        <v>0.36842105263157893</v>
      </c>
      <c r="AC1992" t="str">
        <f>IF(SalesCleanTable[[#This Row],[Discount %]] &gt; SalesCleanTable[[#This Row],[Max Allowed Discount]], "Discount loss", "Safe")</f>
        <v>Safe</v>
      </c>
      <c r="AD1992" s="4">
        <f>SalesCleanTable[[#This Row],[Unit Price]] - SalesCleanTable[[#This Row],[Unit Cost]]</f>
        <v>350</v>
      </c>
      <c r="AE1992" s="41">
        <f>(SalesCleanTable[[#This Row],[Unit Price]] - SalesCleanTable[[#This Row],[Unit Cost]]) / SalesCleanTable[[#This Row],[Unit Price]]</f>
        <v>0.36842105263157893</v>
      </c>
    </row>
    <row r="1993" spans="1:31">
      <c r="A1993" t="s">
        <v>2179</v>
      </c>
      <c r="B1993" s="6">
        <v>45959</v>
      </c>
      <c r="C1993" t="s">
        <v>41</v>
      </c>
      <c r="D1993" t="s">
        <v>42</v>
      </c>
      <c r="E1993" t="s">
        <v>26</v>
      </c>
      <c r="F1993" t="s">
        <v>43</v>
      </c>
      <c r="G1993" t="s">
        <v>44</v>
      </c>
      <c r="H1993" t="s">
        <v>141</v>
      </c>
      <c r="I1993" t="s">
        <v>142</v>
      </c>
      <c r="J1993" t="s">
        <v>143</v>
      </c>
      <c r="K1993" t="s">
        <v>144</v>
      </c>
      <c r="L1993" t="s">
        <v>166</v>
      </c>
      <c r="M1993" t="s">
        <v>171</v>
      </c>
      <c r="N1993">
        <v>5</v>
      </c>
      <c r="O1993" s="4">
        <v>850</v>
      </c>
      <c r="P1993" s="4">
        <v>1300</v>
      </c>
      <c r="Q1993" s="7">
        <v>0.2</v>
      </c>
      <c r="R1993" t="s">
        <v>194</v>
      </c>
      <c r="S1993">
        <v>4</v>
      </c>
      <c r="T1993">
        <v>6500</v>
      </c>
      <c r="U1993">
        <v>1300</v>
      </c>
      <c r="V1993">
        <v>5200</v>
      </c>
      <c r="W1993">
        <v>4250</v>
      </c>
      <c r="X1993">
        <v>950</v>
      </c>
      <c r="Y1993" s="8">
        <v>0.18269230769230768</v>
      </c>
      <c r="Z1993" t="s">
        <v>2995</v>
      </c>
      <c r="AA1993" t="str">
        <f>IF(AND(SalesCleanTable[[#This Row],[Discount %]]&gt;0, SalesCleanTable[[#This Row],[Profit]]&lt;0), "Discount loss", "Safe")</f>
        <v>Safe</v>
      </c>
      <c r="AB1993" s="25">
        <f>(SalesCleanTable[[#This Row],[Unit Price]] - SalesCleanTable[[#This Row],[Unit Cost]]) / SalesCleanTable[[#This Row],[Unit Price]]</f>
        <v>0.34615384615384615</v>
      </c>
      <c r="AC1993" t="str">
        <f>IF(SalesCleanTable[[#This Row],[Discount %]] &gt; SalesCleanTable[[#This Row],[Max Allowed Discount]], "Discount loss", "Safe")</f>
        <v>Safe</v>
      </c>
      <c r="AD1993" s="4">
        <f>SalesCleanTable[[#This Row],[Unit Price]] - SalesCleanTable[[#This Row],[Unit Cost]]</f>
        <v>450</v>
      </c>
      <c r="AE1993" s="41">
        <f>(SalesCleanTable[[#This Row],[Unit Price]] - SalesCleanTable[[#This Row],[Unit Cost]]) / SalesCleanTable[[#This Row],[Unit Price]]</f>
        <v>0.34615384615384615</v>
      </c>
    </row>
    <row r="1994" spans="1:31">
      <c r="A1994" t="s">
        <v>2180</v>
      </c>
      <c r="B1994" s="6">
        <v>45796</v>
      </c>
      <c r="C1994" t="s">
        <v>103</v>
      </c>
      <c r="D1994" t="s">
        <v>104</v>
      </c>
      <c r="E1994" t="s">
        <v>92</v>
      </c>
      <c r="F1994" t="s">
        <v>105</v>
      </c>
      <c r="G1994" t="s">
        <v>106</v>
      </c>
      <c r="H1994" t="s">
        <v>135</v>
      </c>
      <c r="I1994" t="s">
        <v>136</v>
      </c>
      <c r="J1994" t="s">
        <v>137</v>
      </c>
      <c r="K1994" t="s">
        <v>138</v>
      </c>
      <c r="L1994" t="s">
        <v>183</v>
      </c>
      <c r="M1994" t="s">
        <v>171</v>
      </c>
      <c r="N1994">
        <v>3</v>
      </c>
      <c r="O1994" s="4">
        <v>1500</v>
      </c>
      <c r="P1994" s="4">
        <v>2500</v>
      </c>
      <c r="Q1994" s="7">
        <v>0.1</v>
      </c>
      <c r="R1994" t="s">
        <v>181</v>
      </c>
      <c r="S1994">
        <v>4</v>
      </c>
      <c r="T1994">
        <v>7500</v>
      </c>
      <c r="U1994">
        <v>750</v>
      </c>
      <c r="V1994">
        <v>6750</v>
      </c>
      <c r="W1994">
        <v>4500</v>
      </c>
      <c r="X1994">
        <v>2250</v>
      </c>
      <c r="Y1994" s="8">
        <v>0.33333333333333331</v>
      </c>
      <c r="Z1994" t="s">
        <v>2996</v>
      </c>
      <c r="AA1994" t="str">
        <f>IF(AND(SalesCleanTable[[#This Row],[Discount %]]&gt;0, SalesCleanTable[[#This Row],[Profit]]&lt;0), "Discount loss", "Safe")</f>
        <v>Safe</v>
      </c>
      <c r="AB1994" s="25">
        <f>(SalesCleanTable[[#This Row],[Unit Price]] - SalesCleanTable[[#This Row],[Unit Cost]]) / SalesCleanTable[[#This Row],[Unit Price]]</f>
        <v>0.4</v>
      </c>
      <c r="AC1994" t="str">
        <f>IF(SalesCleanTable[[#This Row],[Discount %]] &gt; SalesCleanTable[[#This Row],[Max Allowed Discount]], "Discount loss", "Safe")</f>
        <v>Safe</v>
      </c>
      <c r="AD1994" s="4">
        <f>SalesCleanTable[[#This Row],[Unit Price]] - SalesCleanTable[[#This Row],[Unit Cost]]</f>
        <v>1000</v>
      </c>
      <c r="AE1994" s="41">
        <f>(SalesCleanTable[[#This Row],[Unit Price]] - SalesCleanTable[[#This Row],[Unit Cost]]) / SalesCleanTable[[#This Row],[Unit Price]]</f>
        <v>0.4</v>
      </c>
    </row>
    <row r="1995" spans="1:31">
      <c r="A1995" t="s">
        <v>2181</v>
      </c>
      <c r="B1995" s="6">
        <v>45826</v>
      </c>
      <c r="C1995" t="s">
        <v>57</v>
      </c>
      <c r="D1995" t="s">
        <v>58</v>
      </c>
      <c r="E1995" t="s">
        <v>59</v>
      </c>
      <c r="F1995" t="s">
        <v>60</v>
      </c>
      <c r="G1995" t="s">
        <v>61</v>
      </c>
      <c r="H1995" t="s">
        <v>128</v>
      </c>
      <c r="I1995" t="s">
        <v>129</v>
      </c>
      <c r="J1995" t="s">
        <v>130</v>
      </c>
      <c r="K1995" t="s">
        <v>131</v>
      </c>
      <c r="L1995" t="s">
        <v>166</v>
      </c>
      <c r="M1995" t="s">
        <v>171</v>
      </c>
      <c r="N1995">
        <v>4</v>
      </c>
      <c r="O1995" s="4">
        <v>2400</v>
      </c>
      <c r="P1995" s="4">
        <v>3400</v>
      </c>
      <c r="Q1995" s="7">
        <v>0.1</v>
      </c>
      <c r="R1995" t="s">
        <v>173</v>
      </c>
      <c r="S1995">
        <v>11</v>
      </c>
      <c r="T1995">
        <v>13600</v>
      </c>
      <c r="U1995">
        <v>1360</v>
      </c>
      <c r="V1995">
        <v>12240</v>
      </c>
      <c r="W1995">
        <v>9600</v>
      </c>
      <c r="X1995">
        <v>2640</v>
      </c>
      <c r="Y1995" s="8">
        <v>0.21568627450980393</v>
      </c>
      <c r="Z1995" t="s">
        <v>2996</v>
      </c>
      <c r="AA1995" t="str">
        <f>IF(AND(SalesCleanTable[[#This Row],[Discount %]]&gt;0, SalesCleanTable[[#This Row],[Profit]]&lt;0), "Discount loss", "Safe")</f>
        <v>Safe</v>
      </c>
      <c r="AB1995" s="25">
        <f>(SalesCleanTable[[#This Row],[Unit Price]] - SalesCleanTable[[#This Row],[Unit Cost]]) / SalesCleanTable[[#This Row],[Unit Price]]</f>
        <v>0.29411764705882354</v>
      </c>
      <c r="AC1995" t="str">
        <f>IF(SalesCleanTable[[#This Row],[Discount %]] &gt; SalesCleanTable[[#This Row],[Max Allowed Discount]], "Discount loss", "Safe")</f>
        <v>Safe</v>
      </c>
      <c r="AD1995" s="4">
        <f>SalesCleanTable[[#This Row],[Unit Price]] - SalesCleanTable[[#This Row],[Unit Cost]]</f>
        <v>1000</v>
      </c>
      <c r="AE1995" s="41">
        <f>(SalesCleanTable[[#This Row],[Unit Price]] - SalesCleanTable[[#This Row],[Unit Cost]]) / SalesCleanTable[[#This Row],[Unit Price]]</f>
        <v>0.29411764705882354</v>
      </c>
    </row>
    <row r="1996" spans="1:31">
      <c r="A1996" t="s">
        <v>2182</v>
      </c>
      <c r="B1996" s="6">
        <v>45925</v>
      </c>
      <c r="C1996" t="s">
        <v>66</v>
      </c>
      <c r="D1996" t="s">
        <v>67</v>
      </c>
      <c r="E1996" t="s">
        <v>59</v>
      </c>
      <c r="F1996" t="s">
        <v>60</v>
      </c>
      <c r="G1996" t="s">
        <v>68</v>
      </c>
      <c r="H1996" t="s">
        <v>153</v>
      </c>
      <c r="I1996" t="s">
        <v>154</v>
      </c>
      <c r="J1996" t="s">
        <v>155</v>
      </c>
      <c r="K1996" t="s">
        <v>131</v>
      </c>
      <c r="L1996" t="s">
        <v>170</v>
      </c>
      <c r="M1996" t="s">
        <v>171</v>
      </c>
      <c r="N1996">
        <v>1</v>
      </c>
      <c r="O1996" s="4">
        <v>2800</v>
      </c>
      <c r="P1996" s="4">
        <v>3900</v>
      </c>
      <c r="Q1996" s="7">
        <v>0</v>
      </c>
      <c r="R1996" t="s">
        <v>173</v>
      </c>
      <c r="S1996">
        <v>8</v>
      </c>
      <c r="T1996">
        <v>3900</v>
      </c>
      <c r="U1996">
        <v>0</v>
      </c>
      <c r="V1996">
        <v>3900</v>
      </c>
      <c r="W1996">
        <v>2800</v>
      </c>
      <c r="X1996">
        <v>1100</v>
      </c>
      <c r="Y1996" s="8">
        <v>0.28205128205128205</v>
      </c>
      <c r="Z1996" t="s">
        <v>2996</v>
      </c>
      <c r="AA1996" t="str">
        <f>IF(AND(SalesCleanTable[[#This Row],[Discount %]]&gt;0, SalesCleanTable[[#This Row],[Profit]]&lt;0), "Discount loss", "Safe")</f>
        <v>Safe</v>
      </c>
      <c r="AB1996" s="25">
        <f>(SalesCleanTable[[#This Row],[Unit Price]] - SalesCleanTable[[#This Row],[Unit Cost]]) / SalesCleanTable[[#This Row],[Unit Price]]</f>
        <v>0.28205128205128205</v>
      </c>
      <c r="AC1996" t="str">
        <f>IF(SalesCleanTable[[#This Row],[Discount %]] &gt; SalesCleanTable[[#This Row],[Max Allowed Discount]], "Discount loss", "Safe")</f>
        <v>Safe</v>
      </c>
      <c r="AD1996" s="4">
        <f>SalesCleanTable[[#This Row],[Unit Price]] - SalesCleanTable[[#This Row],[Unit Cost]]</f>
        <v>1100</v>
      </c>
      <c r="AE1996" s="41">
        <f>(SalesCleanTable[[#This Row],[Unit Price]] - SalesCleanTable[[#This Row],[Unit Cost]]) / SalesCleanTable[[#This Row],[Unit Price]]</f>
        <v>0.28205128205128205</v>
      </c>
    </row>
    <row r="1997" spans="1:31">
      <c r="A1997" t="s">
        <v>2183</v>
      </c>
      <c r="B1997" s="6">
        <v>46011</v>
      </c>
      <c r="C1997" t="s">
        <v>36</v>
      </c>
      <c r="D1997" t="s">
        <v>37</v>
      </c>
      <c r="E1997" t="s">
        <v>38</v>
      </c>
      <c r="F1997" t="s">
        <v>39</v>
      </c>
      <c r="G1997" t="s">
        <v>40</v>
      </c>
      <c r="H1997" t="s">
        <v>149</v>
      </c>
      <c r="I1997" t="s">
        <v>150</v>
      </c>
      <c r="J1997" t="s">
        <v>151</v>
      </c>
      <c r="K1997" t="s">
        <v>152</v>
      </c>
      <c r="L1997" t="s">
        <v>166</v>
      </c>
      <c r="M1997" t="s">
        <v>171</v>
      </c>
      <c r="N1997">
        <v>4</v>
      </c>
      <c r="O1997" s="4">
        <v>1650</v>
      </c>
      <c r="P1997" s="4">
        <v>2200</v>
      </c>
      <c r="Q1997" s="7">
        <v>0.05</v>
      </c>
      <c r="R1997" t="s">
        <v>175</v>
      </c>
      <c r="S1997">
        <v>4</v>
      </c>
      <c r="T1997">
        <v>8800</v>
      </c>
      <c r="U1997">
        <v>440</v>
      </c>
      <c r="V1997">
        <v>8360</v>
      </c>
      <c r="W1997">
        <v>6600</v>
      </c>
      <c r="X1997">
        <v>1760</v>
      </c>
      <c r="Y1997" s="8">
        <v>0.21052631578947367</v>
      </c>
      <c r="Z1997" t="s">
        <v>2995</v>
      </c>
      <c r="AA1997" t="str">
        <f>IF(AND(SalesCleanTable[[#This Row],[Discount %]]&gt;0, SalesCleanTable[[#This Row],[Profit]]&lt;0), "Discount loss", "Safe")</f>
        <v>Safe</v>
      </c>
      <c r="AB1997" s="25">
        <f>(SalesCleanTable[[#This Row],[Unit Price]] - SalesCleanTable[[#This Row],[Unit Cost]]) / SalesCleanTable[[#This Row],[Unit Price]]</f>
        <v>0.25</v>
      </c>
      <c r="AC1997" t="str">
        <f>IF(SalesCleanTable[[#This Row],[Discount %]] &gt; SalesCleanTable[[#This Row],[Max Allowed Discount]], "Discount loss", "Safe")</f>
        <v>Safe</v>
      </c>
      <c r="AD1997" s="4">
        <f>SalesCleanTable[[#This Row],[Unit Price]] - SalesCleanTable[[#This Row],[Unit Cost]]</f>
        <v>550</v>
      </c>
      <c r="AE1997" s="41">
        <f>(SalesCleanTable[[#This Row],[Unit Price]] - SalesCleanTable[[#This Row],[Unit Cost]]) / SalesCleanTable[[#This Row],[Unit Price]]</f>
        <v>0.25</v>
      </c>
    </row>
    <row r="1998" spans="1:31">
      <c r="A1998" t="s">
        <v>2184</v>
      </c>
      <c r="B1998" s="6">
        <v>46021</v>
      </c>
      <c r="C1998" t="s">
        <v>95</v>
      </c>
      <c r="D1998" t="s">
        <v>96</v>
      </c>
      <c r="E1998" t="s">
        <v>92</v>
      </c>
      <c r="F1998" t="s">
        <v>97</v>
      </c>
      <c r="G1998" t="s">
        <v>98</v>
      </c>
      <c r="H1998" t="s">
        <v>135</v>
      </c>
      <c r="I1998" t="s">
        <v>136</v>
      </c>
      <c r="J1998" t="s">
        <v>137</v>
      </c>
      <c r="K1998" t="s">
        <v>138</v>
      </c>
      <c r="L1998" t="s">
        <v>183</v>
      </c>
      <c r="M1998" t="s">
        <v>177</v>
      </c>
      <c r="N1998">
        <v>3</v>
      </c>
      <c r="O1998" s="4">
        <v>18000</v>
      </c>
      <c r="P1998" s="4">
        <v>24500</v>
      </c>
      <c r="Q1998" s="7">
        <v>0.1</v>
      </c>
      <c r="R1998" t="s">
        <v>181</v>
      </c>
      <c r="S1998">
        <v>1</v>
      </c>
      <c r="T1998">
        <v>73500</v>
      </c>
      <c r="U1998">
        <v>7350</v>
      </c>
      <c r="V1998">
        <v>66150</v>
      </c>
      <c r="W1998">
        <v>54000</v>
      </c>
      <c r="X1998">
        <v>12150</v>
      </c>
      <c r="Y1998" s="8">
        <v>0.18367346938775511</v>
      </c>
      <c r="Z1998" t="s">
        <v>2995</v>
      </c>
      <c r="AA1998" t="str">
        <f>IF(AND(SalesCleanTable[[#This Row],[Discount %]]&gt;0, SalesCleanTable[[#This Row],[Profit]]&lt;0), "Discount loss", "Safe")</f>
        <v>Safe</v>
      </c>
      <c r="AB1998" s="25">
        <f>(SalesCleanTable[[#This Row],[Unit Price]] - SalesCleanTable[[#This Row],[Unit Cost]]) / SalesCleanTable[[#This Row],[Unit Price]]</f>
        <v>0.26530612244897961</v>
      </c>
      <c r="AC1998" t="str">
        <f>IF(SalesCleanTable[[#This Row],[Discount %]] &gt; SalesCleanTable[[#This Row],[Max Allowed Discount]], "Discount loss", "Safe")</f>
        <v>Safe</v>
      </c>
      <c r="AD1998" s="4">
        <f>SalesCleanTable[[#This Row],[Unit Price]] - SalesCleanTable[[#This Row],[Unit Cost]]</f>
        <v>6500</v>
      </c>
      <c r="AE1998" s="41">
        <f>(SalesCleanTable[[#This Row],[Unit Price]] - SalesCleanTable[[#This Row],[Unit Cost]]) / SalesCleanTable[[#This Row],[Unit Price]]</f>
        <v>0.26530612244897961</v>
      </c>
    </row>
    <row r="1999" spans="1:31">
      <c r="A1999" t="s">
        <v>2185</v>
      </c>
      <c r="B1999" s="6">
        <v>45800</v>
      </c>
      <c r="C1999" t="s">
        <v>62</v>
      </c>
      <c r="D1999" t="s">
        <v>63</v>
      </c>
      <c r="E1999" t="s">
        <v>59</v>
      </c>
      <c r="F1999" t="s">
        <v>64</v>
      </c>
      <c r="G1999" t="s">
        <v>65</v>
      </c>
      <c r="H1999" t="s">
        <v>149</v>
      </c>
      <c r="I1999" t="s">
        <v>150</v>
      </c>
      <c r="J1999" t="s">
        <v>151</v>
      </c>
      <c r="K1999" t="s">
        <v>152</v>
      </c>
      <c r="L1999" t="s">
        <v>183</v>
      </c>
      <c r="M1999" t="s">
        <v>167</v>
      </c>
      <c r="N1999">
        <v>2</v>
      </c>
      <c r="O1999" s="4">
        <v>3200</v>
      </c>
      <c r="P1999" s="4">
        <v>4500</v>
      </c>
      <c r="Q1999" s="7">
        <v>0</v>
      </c>
      <c r="R1999" t="s">
        <v>192</v>
      </c>
      <c r="S1999">
        <v>14</v>
      </c>
      <c r="T1999">
        <v>9000</v>
      </c>
      <c r="U1999">
        <v>0</v>
      </c>
      <c r="V1999">
        <v>9000</v>
      </c>
      <c r="W1999">
        <v>6400</v>
      </c>
      <c r="X1999">
        <v>2600</v>
      </c>
      <c r="Y1999" s="8">
        <v>0.28888888888888886</v>
      </c>
      <c r="Z1999" t="s">
        <v>2996</v>
      </c>
      <c r="AA1999" t="str">
        <f>IF(AND(SalesCleanTable[[#This Row],[Discount %]]&gt;0, SalesCleanTable[[#This Row],[Profit]]&lt;0), "Discount loss", "Safe")</f>
        <v>Safe</v>
      </c>
      <c r="AB1999" s="25">
        <f>(SalesCleanTable[[#This Row],[Unit Price]] - SalesCleanTable[[#This Row],[Unit Cost]]) / SalesCleanTable[[#This Row],[Unit Price]]</f>
        <v>0.28888888888888886</v>
      </c>
      <c r="AC1999" t="str">
        <f>IF(SalesCleanTable[[#This Row],[Discount %]] &gt; SalesCleanTable[[#This Row],[Max Allowed Discount]], "Discount loss", "Safe")</f>
        <v>Safe</v>
      </c>
      <c r="AD1999" s="4">
        <f>SalesCleanTable[[#This Row],[Unit Price]] - SalesCleanTable[[#This Row],[Unit Cost]]</f>
        <v>1300</v>
      </c>
      <c r="AE1999" s="41">
        <f>(SalesCleanTable[[#This Row],[Unit Price]] - SalesCleanTable[[#This Row],[Unit Cost]]) / SalesCleanTable[[#This Row],[Unit Price]]</f>
        <v>0.28888888888888886</v>
      </c>
    </row>
    <row r="2000" spans="1:31">
      <c r="A2000" t="s">
        <v>2186</v>
      </c>
      <c r="B2000" s="6">
        <v>45840</v>
      </c>
      <c r="C2000" t="s">
        <v>32</v>
      </c>
      <c r="D2000" t="s">
        <v>33</v>
      </c>
      <c r="E2000" t="s">
        <v>26</v>
      </c>
      <c r="F2000" t="s">
        <v>34</v>
      </c>
      <c r="G2000" t="s">
        <v>35</v>
      </c>
      <c r="H2000" t="s">
        <v>145</v>
      </c>
      <c r="I2000" t="s">
        <v>146</v>
      </c>
      <c r="J2000" t="s">
        <v>147</v>
      </c>
      <c r="K2000" t="s">
        <v>148</v>
      </c>
      <c r="L2000" t="s">
        <v>166</v>
      </c>
      <c r="M2000" t="s">
        <v>186</v>
      </c>
      <c r="N2000">
        <v>1</v>
      </c>
      <c r="O2000" s="4">
        <v>7800</v>
      </c>
      <c r="P2000" s="4">
        <v>9800</v>
      </c>
      <c r="Q2000" s="7">
        <v>0.15</v>
      </c>
      <c r="R2000" t="s">
        <v>194</v>
      </c>
      <c r="S2000">
        <v>9</v>
      </c>
      <c r="T2000">
        <v>9800</v>
      </c>
      <c r="U2000">
        <v>1470</v>
      </c>
      <c r="V2000">
        <v>8330</v>
      </c>
      <c r="W2000">
        <v>7800</v>
      </c>
      <c r="X2000">
        <v>530</v>
      </c>
      <c r="Y2000" s="8">
        <v>6.3625450180072027E-2</v>
      </c>
      <c r="Z2000" t="s">
        <v>2995</v>
      </c>
      <c r="AA2000" t="str">
        <f>IF(AND(SalesCleanTable[[#This Row],[Discount %]]&gt;0, SalesCleanTable[[#This Row],[Profit]]&lt;0), "Discount loss", "Safe")</f>
        <v>Safe</v>
      </c>
      <c r="AB2000" s="25">
        <f>(SalesCleanTable[[#This Row],[Unit Price]] - SalesCleanTable[[#This Row],[Unit Cost]]) / SalesCleanTable[[#This Row],[Unit Price]]</f>
        <v>0.20408163265306123</v>
      </c>
      <c r="AC2000" t="str">
        <f>IF(SalesCleanTable[[#This Row],[Discount %]] &gt; SalesCleanTable[[#This Row],[Max Allowed Discount]], "Discount loss", "Safe")</f>
        <v>Safe</v>
      </c>
      <c r="AD2000" s="4">
        <f>SalesCleanTable[[#This Row],[Unit Price]] - SalesCleanTable[[#This Row],[Unit Cost]]</f>
        <v>2000</v>
      </c>
      <c r="AE2000" s="41">
        <f>(SalesCleanTable[[#This Row],[Unit Price]] - SalesCleanTable[[#This Row],[Unit Cost]]) / SalesCleanTable[[#This Row],[Unit Price]]</f>
        <v>0.20408163265306123</v>
      </c>
    </row>
    <row r="2001" spans="1:31">
      <c r="A2001" t="s">
        <v>2187</v>
      </c>
      <c r="B2001" s="6">
        <v>45858</v>
      </c>
      <c r="C2001" t="s">
        <v>36</v>
      </c>
      <c r="D2001" t="s">
        <v>37</v>
      </c>
      <c r="E2001" t="s">
        <v>38</v>
      </c>
      <c r="F2001" t="s">
        <v>39</v>
      </c>
      <c r="G2001" t="s">
        <v>40</v>
      </c>
      <c r="H2001" t="s">
        <v>139</v>
      </c>
      <c r="I2001" t="s">
        <v>140</v>
      </c>
      <c r="J2001" t="s">
        <v>137</v>
      </c>
      <c r="K2001" t="s">
        <v>138</v>
      </c>
      <c r="L2001" t="s">
        <v>170</v>
      </c>
      <c r="M2001" t="s">
        <v>171</v>
      </c>
      <c r="N2001">
        <v>3</v>
      </c>
      <c r="O2001" s="4">
        <v>1650</v>
      </c>
      <c r="P2001" s="4">
        <v>2200</v>
      </c>
      <c r="Q2001" s="7">
        <v>0.15</v>
      </c>
      <c r="R2001" t="s">
        <v>175</v>
      </c>
      <c r="S2001">
        <v>13</v>
      </c>
      <c r="T2001">
        <v>6600</v>
      </c>
      <c r="U2001">
        <v>990</v>
      </c>
      <c r="V2001">
        <v>5610</v>
      </c>
      <c r="W2001">
        <v>4950</v>
      </c>
      <c r="X2001">
        <v>660</v>
      </c>
      <c r="Y2001" s="8">
        <v>0.11764705882352941</v>
      </c>
      <c r="Z2001" t="s">
        <v>2995</v>
      </c>
      <c r="AA2001" t="str">
        <f>IF(AND(SalesCleanTable[[#This Row],[Discount %]]&gt;0, SalesCleanTable[[#This Row],[Profit]]&lt;0), "Discount loss", "Safe")</f>
        <v>Safe</v>
      </c>
      <c r="AB2001" s="25">
        <f>(SalesCleanTable[[#This Row],[Unit Price]] - SalesCleanTable[[#This Row],[Unit Cost]]) / SalesCleanTable[[#This Row],[Unit Price]]</f>
        <v>0.25</v>
      </c>
      <c r="AC2001" t="str">
        <f>IF(SalesCleanTable[[#This Row],[Discount %]] &gt; SalesCleanTable[[#This Row],[Max Allowed Discount]], "Discount loss", "Safe")</f>
        <v>Safe</v>
      </c>
      <c r="AD2001" s="4">
        <f>SalesCleanTable[[#This Row],[Unit Price]] - SalesCleanTable[[#This Row],[Unit Cost]]</f>
        <v>550</v>
      </c>
      <c r="AE2001" s="41">
        <f>(SalesCleanTable[[#This Row],[Unit Price]] - SalesCleanTable[[#This Row],[Unit Cost]]) / SalesCleanTable[[#This Row],[Unit Price]]</f>
        <v>0.25</v>
      </c>
    </row>
    <row r="2002" spans="1:31">
      <c r="A2002" t="s">
        <v>2188</v>
      </c>
      <c r="B2002" s="6">
        <v>45951</v>
      </c>
      <c r="C2002" t="s">
        <v>69</v>
      </c>
      <c r="D2002" t="s">
        <v>70</v>
      </c>
      <c r="E2002" t="s">
        <v>59</v>
      </c>
      <c r="F2002" t="s">
        <v>71</v>
      </c>
      <c r="G2002" t="s">
        <v>72</v>
      </c>
      <c r="H2002" t="s">
        <v>153</v>
      </c>
      <c r="I2002" t="s">
        <v>154</v>
      </c>
      <c r="J2002" t="s">
        <v>155</v>
      </c>
      <c r="K2002" t="s">
        <v>131</v>
      </c>
      <c r="L2002" t="s">
        <v>166</v>
      </c>
      <c r="M2002" t="s">
        <v>167</v>
      </c>
      <c r="N2002">
        <v>2</v>
      </c>
      <c r="O2002" s="4">
        <v>1700</v>
      </c>
      <c r="P2002" s="4">
        <v>2600</v>
      </c>
      <c r="Q2002" s="7">
        <v>0.05</v>
      </c>
      <c r="R2002" t="s">
        <v>204</v>
      </c>
      <c r="S2002">
        <v>7</v>
      </c>
      <c r="T2002">
        <v>5200</v>
      </c>
      <c r="U2002">
        <v>260</v>
      </c>
      <c r="V2002">
        <v>4940</v>
      </c>
      <c r="W2002">
        <v>3400</v>
      </c>
      <c r="X2002">
        <v>1540</v>
      </c>
      <c r="Y2002" s="8">
        <v>0.31174089068825911</v>
      </c>
      <c r="Z2002" t="s">
        <v>2997</v>
      </c>
      <c r="AA2002" t="str">
        <f>IF(AND(SalesCleanTable[[#This Row],[Discount %]]&gt;0, SalesCleanTable[[#This Row],[Profit]]&lt;0), "Discount loss", "Safe")</f>
        <v>Safe</v>
      </c>
      <c r="AB2002" s="25">
        <f>(SalesCleanTable[[#This Row],[Unit Price]] - SalesCleanTable[[#This Row],[Unit Cost]]) / SalesCleanTable[[#This Row],[Unit Price]]</f>
        <v>0.34615384615384615</v>
      </c>
      <c r="AC2002" t="str">
        <f>IF(SalesCleanTable[[#This Row],[Discount %]] &gt; SalesCleanTable[[#This Row],[Max Allowed Discount]], "Discount loss", "Safe")</f>
        <v>Safe</v>
      </c>
      <c r="AD2002" s="4">
        <f>SalesCleanTable[[#This Row],[Unit Price]] - SalesCleanTable[[#This Row],[Unit Cost]]</f>
        <v>900</v>
      </c>
      <c r="AE2002" s="41">
        <f>(SalesCleanTable[[#This Row],[Unit Price]] - SalesCleanTable[[#This Row],[Unit Cost]]) / SalesCleanTable[[#This Row],[Unit Price]]</f>
        <v>0.34615384615384615</v>
      </c>
    </row>
    <row r="2003" spans="1:31">
      <c r="A2003" t="s">
        <v>2189</v>
      </c>
      <c r="B2003" s="6">
        <v>45701</v>
      </c>
      <c r="C2003" t="s">
        <v>29</v>
      </c>
      <c r="D2003" t="s">
        <v>30</v>
      </c>
      <c r="E2003" t="s">
        <v>26</v>
      </c>
      <c r="F2003" t="s">
        <v>27</v>
      </c>
      <c r="G2003" t="s">
        <v>31</v>
      </c>
      <c r="H2003" t="s">
        <v>153</v>
      </c>
      <c r="I2003" t="s">
        <v>154</v>
      </c>
      <c r="J2003" t="s">
        <v>155</v>
      </c>
      <c r="K2003" t="s">
        <v>131</v>
      </c>
      <c r="L2003" t="s">
        <v>166</v>
      </c>
      <c r="M2003" t="s">
        <v>171</v>
      </c>
      <c r="N2003">
        <v>3</v>
      </c>
      <c r="O2003" s="4">
        <v>6200</v>
      </c>
      <c r="P2003" s="4">
        <v>7900</v>
      </c>
      <c r="Q2003" s="7">
        <v>0</v>
      </c>
      <c r="R2003" t="s">
        <v>197</v>
      </c>
      <c r="S2003">
        <v>14</v>
      </c>
      <c r="T2003">
        <v>23700</v>
      </c>
      <c r="U2003">
        <v>0</v>
      </c>
      <c r="V2003">
        <v>23700</v>
      </c>
      <c r="W2003">
        <v>18600</v>
      </c>
      <c r="X2003">
        <v>5100</v>
      </c>
      <c r="Y2003" s="8">
        <v>0.21518987341772153</v>
      </c>
      <c r="Z2003" t="s">
        <v>2996</v>
      </c>
      <c r="AA2003" t="str">
        <f>IF(AND(SalesCleanTable[[#This Row],[Discount %]]&gt;0, SalesCleanTable[[#This Row],[Profit]]&lt;0), "Discount loss", "Safe")</f>
        <v>Safe</v>
      </c>
      <c r="AB2003" s="25">
        <f>(SalesCleanTable[[#This Row],[Unit Price]] - SalesCleanTable[[#This Row],[Unit Cost]]) / SalesCleanTable[[#This Row],[Unit Price]]</f>
        <v>0.21518987341772153</v>
      </c>
      <c r="AC2003" t="str">
        <f>IF(SalesCleanTable[[#This Row],[Discount %]] &gt; SalesCleanTable[[#This Row],[Max Allowed Discount]], "Discount loss", "Safe")</f>
        <v>Safe</v>
      </c>
      <c r="AD2003" s="4">
        <f>SalesCleanTable[[#This Row],[Unit Price]] - SalesCleanTable[[#This Row],[Unit Cost]]</f>
        <v>1700</v>
      </c>
      <c r="AE2003" s="41">
        <f>(SalesCleanTable[[#This Row],[Unit Price]] - SalesCleanTable[[#This Row],[Unit Cost]]) / SalesCleanTable[[#This Row],[Unit Price]]</f>
        <v>0.21518987341772153</v>
      </c>
    </row>
    <row r="2004" spans="1:31">
      <c r="A2004" t="s">
        <v>2190</v>
      </c>
      <c r="B2004" s="6">
        <v>46001</v>
      </c>
      <c r="C2004" t="s">
        <v>82</v>
      </c>
      <c r="D2004" t="s">
        <v>83</v>
      </c>
      <c r="E2004" t="s">
        <v>75</v>
      </c>
      <c r="F2004" t="s">
        <v>84</v>
      </c>
      <c r="G2004" t="s">
        <v>85</v>
      </c>
      <c r="H2004" t="s">
        <v>128</v>
      </c>
      <c r="I2004" t="s">
        <v>129</v>
      </c>
      <c r="J2004" t="s">
        <v>130</v>
      </c>
      <c r="K2004" t="s">
        <v>131</v>
      </c>
      <c r="L2004" t="s">
        <v>166</v>
      </c>
      <c r="M2004" t="s">
        <v>167</v>
      </c>
      <c r="N2004">
        <v>2</v>
      </c>
      <c r="O2004" s="4">
        <v>600</v>
      </c>
      <c r="P2004" s="4">
        <v>950</v>
      </c>
      <c r="Q2004" s="7">
        <v>0.05</v>
      </c>
      <c r="R2004" t="s">
        <v>187</v>
      </c>
      <c r="S2004">
        <v>11</v>
      </c>
      <c r="T2004">
        <v>1900</v>
      </c>
      <c r="U2004">
        <v>95</v>
      </c>
      <c r="V2004">
        <v>1805</v>
      </c>
      <c r="W2004">
        <v>1200</v>
      </c>
      <c r="X2004">
        <v>605</v>
      </c>
      <c r="Y2004" s="8">
        <v>0.33518005540166207</v>
      </c>
      <c r="Z2004" t="s">
        <v>2996</v>
      </c>
      <c r="AA2004" t="str">
        <f>IF(AND(SalesCleanTable[[#This Row],[Discount %]]&gt;0, SalesCleanTable[[#This Row],[Profit]]&lt;0), "Discount loss", "Safe")</f>
        <v>Safe</v>
      </c>
      <c r="AB2004" s="25">
        <f>(SalesCleanTable[[#This Row],[Unit Price]] - SalesCleanTable[[#This Row],[Unit Cost]]) / SalesCleanTable[[#This Row],[Unit Price]]</f>
        <v>0.36842105263157893</v>
      </c>
      <c r="AC2004" t="str">
        <f>IF(SalesCleanTable[[#This Row],[Discount %]] &gt; SalesCleanTable[[#This Row],[Max Allowed Discount]], "Discount loss", "Safe")</f>
        <v>Safe</v>
      </c>
      <c r="AD2004" s="4">
        <f>SalesCleanTable[[#This Row],[Unit Price]] - SalesCleanTable[[#This Row],[Unit Cost]]</f>
        <v>350</v>
      </c>
      <c r="AE2004" s="41">
        <f>(SalesCleanTable[[#This Row],[Unit Price]] - SalesCleanTable[[#This Row],[Unit Cost]]) / SalesCleanTable[[#This Row],[Unit Price]]</f>
        <v>0.36842105263157893</v>
      </c>
    </row>
    <row r="2005" spans="1:31">
      <c r="A2005" t="s">
        <v>2191</v>
      </c>
      <c r="B2005" s="6">
        <v>45812</v>
      </c>
      <c r="C2005" t="s">
        <v>41</v>
      </c>
      <c r="D2005" t="s">
        <v>42</v>
      </c>
      <c r="E2005" t="s">
        <v>26</v>
      </c>
      <c r="F2005" t="s">
        <v>43</v>
      </c>
      <c r="G2005" t="s">
        <v>44</v>
      </c>
      <c r="H2005" t="s">
        <v>139</v>
      </c>
      <c r="I2005" t="s">
        <v>140</v>
      </c>
      <c r="J2005" t="s">
        <v>137</v>
      </c>
      <c r="K2005" t="s">
        <v>138</v>
      </c>
      <c r="L2005" t="s">
        <v>183</v>
      </c>
      <c r="M2005" t="s">
        <v>171</v>
      </c>
      <c r="N2005">
        <v>3</v>
      </c>
      <c r="O2005" s="4">
        <v>850</v>
      </c>
      <c r="P2005" s="4">
        <v>1300</v>
      </c>
      <c r="Q2005" s="7">
        <v>0.05</v>
      </c>
      <c r="R2005" t="s">
        <v>194</v>
      </c>
      <c r="S2005">
        <v>13</v>
      </c>
      <c r="T2005">
        <v>3900</v>
      </c>
      <c r="U2005">
        <v>195</v>
      </c>
      <c r="V2005">
        <v>3705</v>
      </c>
      <c r="W2005">
        <v>2550</v>
      </c>
      <c r="X2005">
        <v>1155</v>
      </c>
      <c r="Y2005" s="8">
        <v>0.31174089068825911</v>
      </c>
      <c r="Z2005" t="s">
        <v>2995</v>
      </c>
      <c r="AA2005" t="str">
        <f>IF(AND(SalesCleanTable[[#This Row],[Discount %]]&gt;0, SalesCleanTable[[#This Row],[Profit]]&lt;0), "Discount loss", "Safe")</f>
        <v>Safe</v>
      </c>
      <c r="AB2005" s="25">
        <f>(SalesCleanTable[[#This Row],[Unit Price]] - SalesCleanTable[[#This Row],[Unit Cost]]) / SalesCleanTable[[#This Row],[Unit Price]]</f>
        <v>0.34615384615384615</v>
      </c>
      <c r="AC2005" t="str">
        <f>IF(SalesCleanTable[[#This Row],[Discount %]] &gt; SalesCleanTable[[#This Row],[Max Allowed Discount]], "Discount loss", "Safe")</f>
        <v>Safe</v>
      </c>
      <c r="AD2005" s="4">
        <f>SalesCleanTable[[#This Row],[Unit Price]] - SalesCleanTable[[#This Row],[Unit Cost]]</f>
        <v>450</v>
      </c>
      <c r="AE2005" s="41">
        <f>(SalesCleanTable[[#This Row],[Unit Price]] - SalesCleanTable[[#This Row],[Unit Cost]]) / SalesCleanTable[[#This Row],[Unit Price]]</f>
        <v>0.34615384615384615</v>
      </c>
    </row>
    <row r="2006" spans="1:31">
      <c r="A2006" t="s">
        <v>2192</v>
      </c>
      <c r="B2006" s="6">
        <v>45672</v>
      </c>
      <c r="C2006" t="s">
        <v>24</v>
      </c>
      <c r="D2006" t="s">
        <v>25</v>
      </c>
      <c r="E2006" t="s">
        <v>26</v>
      </c>
      <c r="F2006" t="s">
        <v>27</v>
      </c>
      <c r="G2006" t="s">
        <v>28</v>
      </c>
      <c r="H2006" t="s">
        <v>145</v>
      </c>
      <c r="I2006" t="s">
        <v>146</v>
      </c>
      <c r="J2006" t="s">
        <v>147</v>
      </c>
      <c r="K2006" t="s">
        <v>148</v>
      </c>
      <c r="L2006" t="s">
        <v>183</v>
      </c>
      <c r="M2006" t="s">
        <v>171</v>
      </c>
      <c r="N2006">
        <v>10</v>
      </c>
      <c r="O2006" s="4">
        <v>14500</v>
      </c>
      <c r="P2006" s="4">
        <v>17500</v>
      </c>
      <c r="Q2006" s="7">
        <v>0.1</v>
      </c>
      <c r="R2006" t="s">
        <v>173</v>
      </c>
      <c r="S2006">
        <v>14</v>
      </c>
      <c r="T2006">
        <v>175000</v>
      </c>
      <c r="U2006">
        <v>17500</v>
      </c>
      <c r="V2006">
        <v>157500</v>
      </c>
      <c r="W2006">
        <v>145000</v>
      </c>
      <c r="X2006">
        <v>12500</v>
      </c>
      <c r="Y2006" s="8">
        <v>7.9365079365079361E-2</v>
      </c>
      <c r="Z2006" t="s">
        <v>2995</v>
      </c>
      <c r="AA2006" t="str">
        <f>IF(AND(SalesCleanTable[[#This Row],[Discount %]]&gt;0, SalesCleanTable[[#This Row],[Profit]]&lt;0), "Discount loss", "Safe")</f>
        <v>Safe</v>
      </c>
      <c r="AB2006" s="25">
        <f>(SalesCleanTable[[#This Row],[Unit Price]] - SalesCleanTable[[#This Row],[Unit Cost]]) / SalesCleanTable[[#This Row],[Unit Price]]</f>
        <v>0.17142857142857143</v>
      </c>
      <c r="AC2006" t="str">
        <f>IF(SalesCleanTable[[#This Row],[Discount %]] &gt; SalesCleanTable[[#This Row],[Max Allowed Discount]], "Discount loss", "Safe")</f>
        <v>Safe</v>
      </c>
      <c r="AD2006" s="4">
        <f>SalesCleanTable[[#This Row],[Unit Price]] - SalesCleanTable[[#This Row],[Unit Cost]]</f>
        <v>3000</v>
      </c>
      <c r="AE2006" s="41">
        <f>(SalesCleanTable[[#This Row],[Unit Price]] - SalesCleanTable[[#This Row],[Unit Cost]]) / SalesCleanTable[[#This Row],[Unit Price]]</f>
        <v>0.17142857142857143</v>
      </c>
    </row>
    <row r="2007" spans="1:31">
      <c r="A2007" t="s">
        <v>2193</v>
      </c>
      <c r="B2007" s="6">
        <v>45956</v>
      </c>
      <c r="C2007" t="s">
        <v>116</v>
      </c>
      <c r="D2007" t="s">
        <v>117</v>
      </c>
      <c r="E2007" t="s">
        <v>109</v>
      </c>
      <c r="F2007" t="s">
        <v>118</v>
      </c>
      <c r="G2007" t="s">
        <v>119</v>
      </c>
      <c r="H2007" t="s">
        <v>133</v>
      </c>
      <c r="I2007" t="s">
        <v>134</v>
      </c>
      <c r="J2007" t="s">
        <v>130</v>
      </c>
      <c r="K2007" t="s">
        <v>131</v>
      </c>
      <c r="L2007" t="s">
        <v>183</v>
      </c>
      <c r="M2007" t="s">
        <v>186</v>
      </c>
      <c r="N2007">
        <v>5</v>
      </c>
      <c r="O2007" s="4">
        <v>2800</v>
      </c>
      <c r="P2007" s="4">
        <v>4200</v>
      </c>
      <c r="Q2007" s="7">
        <v>0</v>
      </c>
      <c r="R2007" t="s">
        <v>220</v>
      </c>
      <c r="S2007">
        <v>2</v>
      </c>
      <c r="T2007">
        <v>21000</v>
      </c>
      <c r="U2007">
        <v>0</v>
      </c>
      <c r="V2007">
        <v>21000</v>
      </c>
      <c r="W2007">
        <v>14000</v>
      </c>
      <c r="X2007">
        <v>7000</v>
      </c>
      <c r="Y2007" s="8">
        <v>0.33333333333333331</v>
      </c>
      <c r="Z2007" t="s">
        <v>2995</v>
      </c>
      <c r="AA2007" t="str">
        <f>IF(AND(SalesCleanTable[[#This Row],[Discount %]]&gt;0, SalesCleanTable[[#This Row],[Profit]]&lt;0), "Discount loss", "Safe")</f>
        <v>Safe</v>
      </c>
      <c r="AB2007" s="25">
        <f>(SalesCleanTable[[#This Row],[Unit Price]] - SalesCleanTable[[#This Row],[Unit Cost]]) / SalesCleanTable[[#This Row],[Unit Price]]</f>
        <v>0.33333333333333331</v>
      </c>
      <c r="AC2007" t="str">
        <f>IF(SalesCleanTable[[#This Row],[Discount %]] &gt; SalesCleanTable[[#This Row],[Max Allowed Discount]], "Discount loss", "Safe")</f>
        <v>Safe</v>
      </c>
      <c r="AD2007" s="4">
        <f>SalesCleanTable[[#This Row],[Unit Price]] - SalesCleanTable[[#This Row],[Unit Cost]]</f>
        <v>1400</v>
      </c>
      <c r="AE2007" s="41">
        <f>(SalesCleanTable[[#This Row],[Unit Price]] - SalesCleanTable[[#This Row],[Unit Cost]]) / SalesCleanTable[[#This Row],[Unit Price]]</f>
        <v>0.33333333333333331</v>
      </c>
    </row>
    <row r="2008" spans="1:31">
      <c r="A2008" t="s">
        <v>2194</v>
      </c>
      <c r="B2008" s="6">
        <v>45754</v>
      </c>
      <c r="C2008" t="s">
        <v>120</v>
      </c>
      <c r="D2008" t="s">
        <v>121</v>
      </c>
      <c r="E2008" t="s">
        <v>109</v>
      </c>
      <c r="F2008" t="s">
        <v>93</v>
      </c>
      <c r="G2008" t="s">
        <v>122</v>
      </c>
      <c r="H2008" t="s">
        <v>135</v>
      </c>
      <c r="I2008" t="s">
        <v>136</v>
      </c>
      <c r="J2008" t="s">
        <v>137</v>
      </c>
      <c r="K2008" t="s">
        <v>138</v>
      </c>
      <c r="L2008" t="s">
        <v>166</v>
      </c>
      <c r="M2008" t="s">
        <v>171</v>
      </c>
      <c r="N2008">
        <v>5</v>
      </c>
      <c r="O2008" s="4">
        <v>1700</v>
      </c>
      <c r="P2008" s="4">
        <v>2800</v>
      </c>
      <c r="Q2008" s="7">
        <v>0</v>
      </c>
      <c r="R2008" t="s">
        <v>220</v>
      </c>
      <c r="S2008">
        <v>1</v>
      </c>
      <c r="T2008">
        <v>14000</v>
      </c>
      <c r="U2008">
        <v>0</v>
      </c>
      <c r="V2008">
        <v>14000</v>
      </c>
      <c r="W2008">
        <v>8500</v>
      </c>
      <c r="X2008">
        <v>5500</v>
      </c>
      <c r="Y2008" s="8">
        <v>0.39285714285714285</v>
      </c>
      <c r="Z2008" t="s">
        <v>2997</v>
      </c>
      <c r="AA2008" t="str">
        <f>IF(AND(SalesCleanTable[[#This Row],[Discount %]]&gt;0, SalesCleanTable[[#This Row],[Profit]]&lt;0), "Discount loss", "Safe")</f>
        <v>Safe</v>
      </c>
      <c r="AB2008" s="25">
        <f>(SalesCleanTable[[#This Row],[Unit Price]] - SalesCleanTable[[#This Row],[Unit Cost]]) / SalesCleanTable[[#This Row],[Unit Price]]</f>
        <v>0.39285714285714285</v>
      </c>
      <c r="AC2008" t="str">
        <f>IF(SalesCleanTable[[#This Row],[Discount %]] &gt; SalesCleanTable[[#This Row],[Max Allowed Discount]], "Discount loss", "Safe")</f>
        <v>Safe</v>
      </c>
      <c r="AD2008" s="4">
        <f>SalesCleanTable[[#This Row],[Unit Price]] - SalesCleanTable[[#This Row],[Unit Cost]]</f>
        <v>1100</v>
      </c>
      <c r="AE2008" s="41">
        <f>(SalesCleanTable[[#This Row],[Unit Price]] - SalesCleanTable[[#This Row],[Unit Cost]]) / SalesCleanTable[[#This Row],[Unit Price]]</f>
        <v>0.39285714285714285</v>
      </c>
    </row>
    <row r="2009" spans="1:31">
      <c r="A2009" t="s">
        <v>2195</v>
      </c>
      <c r="B2009" s="6">
        <v>45944</v>
      </c>
      <c r="C2009" t="s">
        <v>69</v>
      </c>
      <c r="D2009" t="s">
        <v>70</v>
      </c>
      <c r="E2009" t="s">
        <v>59</v>
      </c>
      <c r="F2009" t="s">
        <v>71</v>
      </c>
      <c r="G2009" t="s">
        <v>72</v>
      </c>
      <c r="H2009" t="s">
        <v>135</v>
      </c>
      <c r="I2009" t="s">
        <v>136</v>
      </c>
      <c r="J2009" t="s">
        <v>137</v>
      </c>
      <c r="K2009" t="s">
        <v>138</v>
      </c>
      <c r="L2009" t="s">
        <v>183</v>
      </c>
      <c r="M2009" t="s">
        <v>171</v>
      </c>
      <c r="N2009">
        <v>2</v>
      </c>
      <c r="O2009" s="4">
        <v>1700</v>
      </c>
      <c r="P2009" s="4">
        <v>2600</v>
      </c>
      <c r="Q2009" s="7">
        <v>0</v>
      </c>
      <c r="R2009" t="s">
        <v>192</v>
      </c>
      <c r="S2009">
        <v>4</v>
      </c>
      <c r="T2009">
        <v>5200</v>
      </c>
      <c r="U2009">
        <v>0</v>
      </c>
      <c r="V2009">
        <v>5200</v>
      </c>
      <c r="W2009">
        <v>3400</v>
      </c>
      <c r="X2009">
        <v>1800</v>
      </c>
      <c r="Y2009" s="8">
        <v>0.34615384615384615</v>
      </c>
      <c r="Z2009" t="s">
        <v>2997</v>
      </c>
      <c r="AA2009" t="str">
        <f>IF(AND(SalesCleanTable[[#This Row],[Discount %]]&gt;0, SalesCleanTable[[#This Row],[Profit]]&lt;0), "Discount loss", "Safe")</f>
        <v>Safe</v>
      </c>
      <c r="AB2009" s="25">
        <f>(SalesCleanTable[[#This Row],[Unit Price]] - SalesCleanTable[[#This Row],[Unit Cost]]) / SalesCleanTable[[#This Row],[Unit Price]]</f>
        <v>0.34615384615384615</v>
      </c>
      <c r="AC2009" t="str">
        <f>IF(SalesCleanTable[[#This Row],[Discount %]] &gt; SalesCleanTable[[#This Row],[Max Allowed Discount]], "Discount loss", "Safe")</f>
        <v>Safe</v>
      </c>
      <c r="AD2009" s="4">
        <f>SalesCleanTable[[#This Row],[Unit Price]] - SalesCleanTable[[#This Row],[Unit Cost]]</f>
        <v>900</v>
      </c>
      <c r="AE2009" s="41">
        <f>(SalesCleanTable[[#This Row],[Unit Price]] - SalesCleanTable[[#This Row],[Unit Cost]]) / SalesCleanTable[[#This Row],[Unit Price]]</f>
        <v>0.34615384615384615</v>
      </c>
    </row>
    <row r="2010" spans="1:31">
      <c r="A2010" t="s">
        <v>2196</v>
      </c>
      <c r="B2010" s="6">
        <v>45924</v>
      </c>
      <c r="C2010" t="s">
        <v>120</v>
      </c>
      <c r="D2010" t="s">
        <v>121</v>
      </c>
      <c r="E2010" t="s">
        <v>109</v>
      </c>
      <c r="F2010" t="s">
        <v>93</v>
      </c>
      <c r="G2010" t="s">
        <v>122</v>
      </c>
      <c r="H2010" t="s">
        <v>141</v>
      </c>
      <c r="I2010" t="s">
        <v>142</v>
      </c>
      <c r="J2010" t="s">
        <v>143</v>
      </c>
      <c r="K2010" t="s">
        <v>144</v>
      </c>
      <c r="L2010" t="s">
        <v>166</v>
      </c>
      <c r="M2010" t="s">
        <v>186</v>
      </c>
      <c r="N2010">
        <v>2</v>
      </c>
      <c r="O2010" s="4">
        <v>1700</v>
      </c>
      <c r="P2010" s="4">
        <v>2800</v>
      </c>
      <c r="Q2010" s="7">
        <v>0.05</v>
      </c>
      <c r="R2010" t="s">
        <v>235</v>
      </c>
      <c r="S2010">
        <v>4</v>
      </c>
      <c r="T2010">
        <v>5600</v>
      </c>
      <c r="U2010">
        <v>280</v>
      </c>
      <c r="V2010">
        <v>5320</v>
      </c>
      <c r="W2010">
        <v>3400</v>
      </c>
      <c r="X2010">
        <v>1920</v>
      </c>
      <c r="Y2010" s="8">
        <v>0.36090225563909772</v>
      </c>
      <c r="Z2010" t="s">
        <v>2997</v>
      </c>
      <c r="AA2010" t="str">
        <f>IF(AND(SalesCleanTable[[#This Row],[Discount %]]&gt;0, SalesCleanTable[[#This Row],[Profit]]&lt;0), "Discount loss", "Safe")</f>
        <v>Safe</v>
      </c>
      <c r="AB2010" s="25">
        <f>(SalesCleanTable[[#This Row],[Unit Price]] - SalesCleanTable[[#This Row],[Unit Cost]]) / SalesCleanTable[[#This Row],[Unit Price]]</f>
        <v>0.39285714285714285</v>
      </c>
      <c r="AC2010" t="str">
        <f>IF(SalesCleanTable[[#This Row],[Discount %]] &gt; SalesCleanTable[[#This Row],[Max Allowed Discount]], "Discount loss", "Safe")</f>
        <v>Safe</v>
      </c>
      <c r="AD2010" s="4">
        <f>SalesCleanTable[[#This Row],[Unit Price]] - SalesCleanTable[[#This Row],[Unit Cost]]</f>
        <v>1100</v>
      </c>
      <c r="AE2010" s="41">
        <f>(SalesCleanTable[[#This Row],[Unit Price]] - SalesCleanTable[[#This Row],[Unit Cost]]) / SalesCleanTable[[#This Row],[Unit Price]]</f>
        <v>0.39285714285714285</v>
      </c>
    </row>
    <row r="2011" spans="1:31">
      <c r="A2011" t="s">
        <v>2197</v>
      </c>
      <c r="B2011" s="6">
        <v>45663</v>
      </c>
      <c r="C2011" t="s">
        <v>41</v>
      </c>
      <c r="D2011" t="s">
        <v>42</v>
      </c>
      <c r="E2011" t="s">
        <v>26</v>
      </c>
      <c r="F2011" t="s">
        <v>43</v>
      </c>
      <c r="G2011" t="s">
        <v>44</v>
      </c>
      <c r="H2011" t="s">
        <v>133</v>
      </c>
      <c r="I2011" t="s">
        <v>134</v>
      </c>
      <c r="J2011" t="s">
        <v>130</v>
      </c>
      <c r="K2011" t="s">
        <v>131</v>
      </c>
      <c r="L2011" t="s">
        <v>166</v>
      </c>
      <c r="M2011" t="s">
        <v>171</v>
      </c>
      <c r="N2011">
        <v>2</v>
      </c>
      <c r="O2011" s="4">
        <v>850</v>
      </c>
      <c r="P2011" s="4">
        <v>1300</v>
      </c>
      <c r="Q2011" s="7">
        <v>0.05</v>
      </c>
      <c r="R2011" t="s">
        <v>173</v>
      </c>
      <c r="S2011">
        <v>7</v>
      </c>
      <c r="T2011">
        <v>2600</v>
      </c>
      <c r="U2011">
        <v>130</v>
      </c>
      <c r="V2011">
        <v>2470</v>
      </c>
      <c r="W2011">
        <v>1700</v>
      </c>
      <c r="X2011">
        <v>770</v>
      </c>
      <c r="Y2011" s="8">
        <v>0.31174089068825911</v>
      </c>
      <c r="Z2011" t="s">
        <v>2995</v>
      </c>
      <c r="AA2011" t="str">
        <f>IF(AND(SalesCleanTable[[#This Row],[Discount %]]&gt;0, SalesCleanTable[[#This Row],[Profit]]&lt;0), "Discount loss", "Safe")</f>
        <v>Safe</v>
      </c>
      <c r="AB2011" s="25">
        <f>(SalesCleanTable[[#This Row],[Unit Price]] - SalesCleanTable[[#This Row],[Unit Cost]]) / SalesCleanTable[[#This Row],[Unit Price]]</f>
        <v>0.34615384615384615</v>
      </c>
      <c r="AC2011" t="str">
        <f>IF(SalesCleanTable[[#This Row],[Discount %]] &gt; SalesCleanTable[[#This Row],[Max Allowed Discount]], "Discount loss", "Safe")</f>
        <v>Safe</v>
      </c>
      <c r="AD2011" s="4">
        <f>SalesCleanTable[[#This Row],[Unit Price]] - SalesCleanTable[[#This Row],[Unit Cost]]</f>
        <v>450</v>
      </c>
      <c r="AE2011" s="41">
        <f>(SalesCleanTable[[#This Row],[Unit Price]] - SalesCleanTable[[#This Row],[Unit Cost]]) / SalesCleanTable[[#This Row],[Unit Price]]</f>
        <v>0.34615384615384615</v>
      </c>
    </row>
    <row r="2012" spans="1:31">
      <c r="A2012" t="s">
        <v>2198</v>
      </c>
      <c r="B2012" s="6">
        <v>45844</v>
      </c>
      <c r="C2012" t="s">
        <v>112</v>
      </c>
      <c r="D2012" t="s">
        <v>113</v>
      </c>
      <c r="E2012" t="s">
        <v>109</v>
      </c>
      <c r="F2012" t="s">
        <v>114</v>
      </c>
      <c r="G2012" t="s">
        <v>115</v>
      </c>
      <c r="H2012" t="s">
        <v>128</v>
      </c>
      <c r="I2012" t="s">
        <v>129</v>
      </c>
      <c r="J2012" t="s">
        <v>130</v>
      </c>
      <c r="K2012" t="s">
        <v>131</v>
      </c>
      <c r="L2012" t="s">
        <v>166</v>
      </c>
      <c r="M2012" t="s">
        <v>171</v>
      </c>
      <c r="N2012">
        <v>5</v>
      </c>
      <c r="O2012" s="4">
        <v>1300</v>
      </c>
      <c r="P2012" s="4">
        <v>2100</v>
      </c>
      <c r="Q2012" s="7">
        <v>0</v>
      </c>
      <c r="R2012" t="s">
        <v>220</v>
      </c>
      <c r="S2012">
        <v>4</v>
      </c>
      <c r="T2012">
        <v>10500</v>
      </c>
      <c r="U2012">
        <v>0</v>
      </c>
      <c r="V2012">
        <v>10500</v>
      </c>
      <c r="W2012">
        <v>6500</v>
      </c>
      <c r="X2012">
        <v>4000</v>
      </c>
      <c r="Y2012" s="8">
        <v>0.38095238095238093</v>
      </c>
      <c r="Z2012" t="s">
        <v>2995</v>
      </c>
      <c r="AA2012" t="str">
        <f>IF(AND(SalesCleanTable[[#This Row],[Discount %]]&gt;0, SalesCleanTable[[#This Row],[Profit]]&lt;0), "Discount loss", "Safe")</f>
        <v>Safe</v>
      </c>
      <c r="AB2012" s="25">
        <f>(SalesCleanTable[[#This Row],[Unit Price]] - SalesCleanTable[[#This Row],[Unit Cost]]) / SalesCleanTable[[#This Row],[Unit Price]]</f>
        <v>0.38095238095238093</v>
      </c>
      <c r="AC2012" t="str">
        <f>IF(SalesCleanTable[[#This Row],[Discount %]] &gt; SalesCleanTable[[#This Row],[Max Allowed Discount]], "Discount loss", "Safe")</f>
        <v>Safe</v>
      </c>
      <c r="AD2012" s="4">
        <f>SalesCleanTable[[#This Row],[Unit Price]] - SalesCleanTable[[#This Row],[Unit Cost]]</f>
        <v>800</v>
      </c>
      <c r="AE2012" s="41">
        <f>(SalesCleanTable[[#This Row],[Unit Price]] - SalesCleanTable[[#This Row],[Unit Cost]]) / SalesCleanTable[[#This Row],[Unit Price]]</f>
        <v>0.38095238095238093</v>
      </c>
    </row>
    <row r="2013" spans="1:31">
      <c r="A2013" t="s">
        <v>2199</v>
      </c>
      <c r="B2013" s="6">
        <v>45687</v>
      </c>
      <c r="C2013" t="s">
        <v>36</v>
      </c>
      <c r="D2013" t="s">
        <v>37</v>
      </c>
      <c r="E2013" t="s">
        <v>38</v>
      </c>
      <c r="F2013" t="s">
        <v>39</v>
      </c>
      <c r="G2013" t="s">
        <v>40</v>
      </c>
      <c r="H2013" t="s">
        <v>141</v>
      </c>
      <c r="I2013" t="s">
        <v>142</v>
      </c>
      <c r="J2013" t="s">
        <v>143</v>
      </c>
      <c r="K2013" t="s">
        <v>144</v>
      </c>
      <c r="L2013" t="s">
        <v>183</v>
      </c>
      <c r="M2013" t="s">
        <v>171</v>
      </c>
      <c r="N2013">
        <v>1</v>
      </c>
      <c r="O2013" s="4">
        <v>1650</v>
      </c>
      <c r="P2013" s="4">
        <v>2200</v>
      </c>
      <c r="Q2013" s="7">
        <v>0</v>
      </c>
      <c r="R2013" t="s">
        <v>168</v>
      </c>
      <c r="S2013">
        <v>10</v>
      </c>
      <c r="T2013">
        <v>2200</v>
      </c>
      <c r="U2013">
        <v>0</v>
      </c>
      <c r="V2013">
        <v>2200</v>
      </c>
      <c r="W2013">
        <v>1650</v>
      </c>
      <c r="X2013">
        <v>550</v>
      </c>
      <c r="Y2013" s="8">
        <v>0.25</v>
      </c>
      <c r="Z2013" t="s">
        <v>2995</v>
      </c>
      <c r="AA2013" t="str">
        <f>IF(AND(SalesCleanTable[[#This Row],[Discount %]]&gt;0, SalesCleanTable[[#This Row],[Profit]]&lt;0), "Discount loss", "Safe")</f>
        <v>Safe</v>
      </c>
      <c r="AB2013" s="25">
        <f>(SalesCleanTable[[#This Row],[Unit Price]] - SalesCleanTable[[#This Row],[Unit Cost]]) / SalesCleanTable[[#This Row],[Unit Price]]</f>
        <v>0.25</v>
      </c>
      <c r="AC2013" t="str">
        <f>IF(SalesCleanTable[[#This Row],[Discount %]] &gt; SalesCleanTable[[#This Row],[Max Allowed Discount]], "Discount loss", "Safe")</f>
        <v>Safe</v>
      </c>
      <c r="AD2013" s="4">
        <f>SalesCleanTable[[#This Row],[Unit Price]] - SalesCleanTable[[#This Row],[Unit Cost]]</f>
        <v>550</v>
      </c>
      <c r="AE2013" s="41">
        <f>(SalesCleanTable[[#This Row],[Unit Price]] - SalesCleanTable[[#This Row],[Unit Cost]]) / SalesCleanTable[[#This Row],[Unit Price]]</f>
        <v>0.25</v>
      </c>
    </row>
    <row r="2014" spans="1:31">
      <c r="A2014" t="s">
        <v>2200</v>
      </c>
      <c r="B2014" s="6">
        <v>45790</v>
      </c>
      <c r="C2014" t="s">
        <v>95</v>
      </c>
      <c r="D2014" t="s">
        <v>96</v>
      </c>
      <c r="E2014" t="s">
        <v>92</v>
      </c>
      <c r="F2014" t="s">
        <v>97</v>
      </c>
      <c r="G2014" t="s">
        <v>98</v>
      </c>
      <c r="H2014" t="s">
        <v>133</v>
      </c>
      <c r="I2014" t="s">
        <v>134</v>
      </c>
      <c r="J2014" t="s">
        <v>130</v>
      </c>
      <c r="K2014" t="s">
        <v>131</v>
      </c>
      <c r="L2014" t="s">
        <v>183</v>
      </c>
      <c r="M2014" t="s">
        <v>171</v>
      </c>
      <c r="N2014">
        <v>1</v>
      </c>
      <c r="O2014" s="4">
        <v>18000</v>
      </c>
      <c r="P2014" s="4">
        <v>24500</v>
      </c>
      <c r="Q2014" s="7">
        <v>0</v>
      </c>
      <c r="R2014" t="s">
        <v>181</v>
      </c>
      <c r="S2014">
        <v>3</v>
      </c>
      <c r="T2014">
        <v>24500</v>
      </c>
      <c r="U2014">
        <v>0</v>
      </c>
      <c r="V2014">
        <v>24500</v>
      </c>
      <c r="W2014">
        <v>18000</v>
      </c>
      <c r="X2014">
        <v>6500</v>
      </c>
      <c r="Y2014" s="8">
        <v>0.26530612244897961</v>
      </c>
      <c r="Z2014" t="s">
        <v>2995</v>
      </c>
      <c r="AA2014" t="str">
        <f>IF(AND(SalesCleanTable[[#This Row],[Discount %]]&gt;0, SalesCleanTable[[#This Row],[Profit]]&lt;0), "Discount loss", "Safe")</f>
        <v>Safe</v>
      </c>
      <c r="AB2014" s="25">
        <f>(SalesCleanTable[[#This Row],[Unit Price]] - SalesCleanTable[[#This Row],[Unit Cost]]) / SalesCleanTable[[#This Row],[Unit Price]]</f>
        <v>0.26530612244897961</v>
      </c>
      <c r="AC2014" t="str">
        <f>IF(SalesCleanTable[[#This Row],[Discount %]] &gt; SalesCleanTable[[#This Row],[Max Allowed Discount]], "Discount loss", "Safe")</f>
        <v>Safe</v>
      </c>
      <c r="AD2014" s="4">
        <f>SalesCleanTable[[#This Row],[Unit Price]] - SalesCleanTable[[#This Row],[Unit Cost]]</f>
        <v>6500</v>
      </c>
      <c r="AE2014" s="41">
        <f>(SalesCleanTable[[#This Row],[Unit Price]] - SalesCleanTable[[#This Row],[Unit Cost]]) / SalesCleanTable[[#This Row],[Unit Price]]</f>
        <v>0.26530612244897961</v>
      </c>
    </row>
    <row r="2015" spans="1:31">
      <c r="A2015" t="s">
        <v>2201</v>
      </c>
      <c r="B2015" s="6">
        <v>45892</v>
      </c>
      <c r="C2015" t="s">
        <v>29</v>
      </c>
      <c r="D2015" t="s">
        <v>30</v>
      </c>
      <c r="E2015" t="s">
        <v>26</v>
      </c>
      <c r="F2015" t="s">
        <v>27</v>
      </c>
      <c r="G2015" t="s">
        <v>31</v>
      </c>
      <c r="H2015" t="s">
        <v>153</v>
      </c>
      <c r="I2015" t="s">
        <v>154</v>
      </c>
      <c r="J2015" t="s">
        <v>155</v>
      </c>
      <c r="K2015" t="s">
        <v>131</v>
      </c>
      <c r="L2015" t="s">
        <v>170</v>
      </c>
      <c r="M2015" t="s">
        <v>171</v>
      </c>
      <c r="N2015">
        <v>3</v>
      </c>
      <c r="O2015" s="4">
        <v>6200</v>
      </c>
      <c r="P2015" s="4">
        <v>7900</v>
      </c>
      <c r="Q2015" s="7">
        <v>0.1</v>
      </c>
      <c r="R2015" t="s">
        <v>197</v>
      </c>
      <c r="S2015">
        <v>8</v>
      </c>
      <c r="T2015">
        <v>23700</v>
      </c>
      <c r="U2015">
        <v>2370</v>
      </c>
      <c r="V2015">
        <v>21330</v>
      </c>
      <c r="W2015">
        <v>18600</v>
      </c>
      <c r="X2015">
        <v>2730</v>
      </c>
      <c r="Y2015" s="8">
        <v>0.12798874824191281</v>
      </c>
      <c r="Z2015" t="s">
        <v>2996</v>
      </c>
      <c r="AA2015" t="str">
        <f>IF(AND(SalesCleanTable[[#This Row],[Discount %]]&gt;0, SalesCleanTable[[#This Row],[Profit]]&lt;0), "Discount loss", "Safe")</f>
        <v>Safe</v>
      </c>
      <c r="AB2015" s="25">
        <f>(SalesCleanTable[[#This Row],[Unit Price]] - SalesCleanTable[[#This Row],[Unit Cost]]) / SalesCleanTable[[#This Row],[Unit Price]]</f>
        <v>0.21518987341772153</v>
      </c>
      <c r="AC2015" t="str">
        <f>IF(SalesCleanTable[[#This Row],[Discount %]] &gt; SalesCleanTable[[#This Row],[Max Allowed Discount]], "Discount loss", "Safe")</f>
        <v>Safe</v>
      </c>
      <c r="AD2015" s="4">
        <f>SalesCleanTable[[#This Row],[Unit Price]] - SalesCleanTable[[#This Row],[Unit Cost]]</f>
        <v>1700</v>
      </c>
      <c r="AE2015" s="41">
        <f>(SalesCleanTable[[#This Row],[Unit Price]] - SalesCleanTable[[#This Row],[Unit Cost]]) / SalesCleanTable[[#This Row],[Unit Price]]</f>
        <v>0.21518987341772153</v>
      </c>
    </row>
    <row r="2016" spans="1:31">
      <c r="A2016" t="s">
        <v>2202</v>
      </c>
      <c r="B2016" s="6">
        <v>45741</v>
      </c>
      <c r="C2016" t="s">
        <v>78</v>
      </c>
      <c r="D2016" t="s">
        <v>79</v>
      </c>
      <c r="E2016" t="s">
        <v>75</v>
      </c>
      <c r="F2016" t="s">
        <v>80</v>
      </c>
      <c r="G2016" t="s">
        <v>81</v>
      </c>
      <c r="H2016" t="s">
        <v>128</v>
      </c>
      <c r="I2016" t="s">
        <v>129</v>
      </c>
      <c r="J2016" t="s">
        <v>130</v>
      </c>
      <c r="K2016" t="s">
        <v>131</v>
      </c>
      <c r="L2016" t="s">
        <v>166</v>
      </c>
      <c r="M2016" t="s">
        <v>171</v>
      </c>
      <c r="N2016">
        <v>1</v>
      </c>
      <c r="O2016" s="4">
        <v>1200</v>
      </c>
      <c r="P2016" s="4">
        <v>1900</v>
      </c>
      <c r="Q2016" s="7">
        <v>0.05</v>
      </c>
      <c r="R2016" t="s">
        <v>208</v>
      </c>
      <c r="S2016">
        <v>14</v>
      </c>
      <c r="T2016">
        <v>1900</v>
      </c>
      <c r="U2016">
        <v>95</v>
      </c>
      <c r="V2016">
        <v>1805</v>
      </c>
      <c r="W2016">
        <v>1200</v>
      </c>
      <c r="X2016">
        <v>605</v>
      </c>
      <c r="Y2016" s="8">
        <v>0.33518005540166207</v>
      </c>
      <c r="Z2016" t="s">
        <v>2996</v>
      </c>
      <c r="AA2016" t="str">
        <f>IF(AND(SalesCleanTable[[#This Row],[Discount %]]&gt;0, SalesCleanTable[[#This Row],[Profit]]&lt;0), "Discount loss", "Safe")</f>
        <v>Safe</v>
      </c>
      <c r="AB2016" s="25">
        <f>(SalesCleanTable[[#This Row],[Unit Price]] - SalesCleanTable[[#This Row],[Unit Cost]]) / SalesCleanTable[[#This Row],[Unit Price]]</f>
        <v>0.36842105263157893</v>
      </c>
      <c r="AC2016" t="str">
        <f>IF(SalesCleanTable[[#This Row],[Discount %]] &gt; SalesCleanTable[[#This Row],[Max Allowed Discount]], "Discount loss", "Safe")</f>
        <v>Safe</v>
      </c>
      <c r="AD2016" s="4">
        <f>SalesCleanTable[[#This Row],[Unit Price]] - SalesCleanTable[[#This Row],[Unit Cost]]</f>
        <v>700</v>
      </c>
      <c r="AE2016" s="41">
        <f>(SalesCleanTable[[#This Row],[Unit Price]] - SalesCleanTable[[#This Row],[Unit Cost]]) / SalesCleanTable[[#This Row],[Unit Price]]</f>
        <v>0.36842105263157893</v>
      </c>
    </row>
    <row r="2017" spans="1:31">
      <c r="A2017" t="s">
        <v>2203</v>
      </c>
      <c r="B2017" s="6">
        <v>45937</v>
      </c>
      <c r="C2017" t="s">
        <v>53</v>
      </c>
      <c r="D2017" t="s">
        <v>54</v>
      </c>
      <c r="E2017" t="s">
        <v>38</v>
      </c>
      <c r="F2017" t="s">
        <v>55</v>
      </c>
      <c r="G2017" t="s">
        <v>56</v>
      </c>
      <c r="H2017" t="s">
        <v>145</v>
      </c>
      <c r="I2017" t="s">
        <v>146</v>
      </c>
      <c r="J2017" t="s">
        <v>147</v>
      </c>
      <c r="K2017" t="s">
        <v>148</v>
      </c>
      <c r="L2017" t="s">
        <v>183</v>
      </c>
      <c r="M2017" t="s">
        <v>171</v>
      </c>
      <c r="N2017">
        <v>1</v>
      </c>
      <c r="O2017" s="4">
        <v>330</v>
      </c>
      <c r="P2017" s="4">
        <v>550</v>
      </c>
      <c r="Q2017" s="7">
        <v>0.15</v>
      </c>
      <c r="R2017" t="s">
        <v>175</v>
      </c>
      <c r="S2017">
        <v>14</v>
      </c>
      <c r="T2017">
        <v>550</v>
      </c>
      <c r="U2017">
        <v>82.5</v>
      </c>
      <c r="V2017">
        <v>467.5</v>
      </c>
      <c r="W2017">
        <v>330</v>
      </c>
      <c r="X2017">
        <v>137.5</v>
      </c>
      <c r="Y2017" s="8">
        <v>0.29411764705882354</v>
      </c>
      <c r="Z2017" t="s">
        <v>2996</v>
      </c>
      <c r="AA2017" t="str">
        <f>IF(AND(SalesCleanTable[[#This Row],[Discount %]]&gt;0, SalesCleanTable[[#This Row],[Profit]]&lt;0), "Discount loss", "Safe")</f>
        <v>Safe</v>
      </c>
      <c r="AB2017" s="25">
        <f>(SalesCleanTable[[#This Row],[Unit Price]] - SalesCleanTable[[#This Row],[Unit Cost]]) / SalesCleanTable[[#This Row],[Unit Price]]</f>
        <v>0.4</v>
      </c>
      <c r="AC2017" t="str">
        <f>IF(SalesCleanTable[[#This Row],[Discount %]] &gt; SalesCleanTable[[#This Row],[Max Allowed Discount]], "Discount loss", "Safe")</f>
        <v>Safe</v>
      </c>
      <c r="AD2017" s="4">
        <f>SalesCleanTable[[#This Row],[Unit Price]] - SalesCleanTable[[#This Row],[Unit Cost]]</f>
        <v>220</v>
      </c>
      <c r="AE2017" s="41">
        <f>(SalesCleanTable[[#This Row],[Unit Price]] - SalesCleanTable[[#This Row],[Unit Cost]]) / SalesCleanTable[[#This Row],[Unit Price]]</f>
        <v>0.4</v>
      </c>
    </row>
    <row r="2018" spans="1:31">
      <c r="A2018" t="s">
        <v>2204</v>
      </c>
      <c r="B2018" s="6">
        <v>45712</v>
      </c>
      <c r="C2018" t="s">
        <v>73</v>
      </c>
      <c r="D2018" t="s">
        <v>74</v>
      </c>
      <c r="E2018" t="s">
        <v>75</v>
      </c>
      <c r="F2018" t="s">
        <v>76</v>
      </c>
      <c r="G2018" t="s">
        <v>77</v>
      </c>
      <c r="H2018" t="s">
        <v>149</v>
      </c>
      <c r="I2018" t="s">
        <v>150</v>
      </c>
      <c r="J2018" t="s">
        <v>151</v>
      </c>
      <c r="K2018" t="s">
        <v>152</v>
      </c>
      <c r="L2018" t="s">
        <v>166</v>
      </c>
      <c r="M2018" t="s">
        <v>186</v>
      </c>
      <c r="N2018">
        <v>8</v>
      </c>
      <c r="O2018" s="4">
        <v>3500</v>
      </c>
      <c r="P2018" s="4">
        <v>5200</v>
      </c>
      <c r="Q2018" s="7">
        <v>0</v>
      </c>
      <c r="R2018" t="s">
        <v>204</v>
      </c>
      <c r="S2018">
        <v>9</v>
      </c>
      <c r="T2018">
        <v>41600</v>
      </c>
      <c r="U2018">
        <v>0</v>
      </c>
      <c r="V2018">
        <v>41600</v>
      </c>
      <c r="W2018">
        <v>28000</v>
      </c>
      <c r="X2018">
        <v>13600</v>
      </c>
      <c r="Y2018" s="8">
        <v>0.32692307692307693</v>
      </c>
      <c r="Z2018" t="s">
        <v>2996</v>
      </c>
      <c r="AA2018" t="str">
        <f>IF(AND(SalesCleanTable[[#This Row],[Discount %]]&gt;0, SalesCleanTable[[#This Row],[Profit]]&lt;0), "Discount loss", "Safe")</f>
        <v>Safe</v>
      </c>
      <c r="AB2018" s="25">
        <f>(SalesCleanTable[[#This Row],[Unit Price]] - SalesCleanTable[[#This Row],[Unit Cost]]) / SalesCleanTable[[#This Row],[Unit Price]]</f>
        <v>0.32692307692307693</v>
      </c>
      <c r="AC2018" t="str">
        <f>IF(SalesCleanTable[[#This Row],[Discount %]] &gt; SalesCleanTable[[#This Row],[Max Allowed Discount]], "Discount loss", "Safe")</f>
        <v>Safe</v>
      </c>
      <c r="AD2018" s="4">
        <f>SalesCleanTable[[#This Row],[Unit Price]] - SalesCleanTable[[#This Row],[Unit Cost]]</f>
        <v>1700</v>
      </c>
      <c r="AE2018" s="41">
        <f>(SalesCleanTable[[#This Row],[Unit Price]] - SalesCleanTable[[#This Row],[Unit Cost]]) / SalesCleanTable[[#This Row],[Unit Price]]</f>
        <v>0.32692307692307693</v>
      </c>
    </row>
    <row r="2019" spans="1:31">
      <c r="A2019" t="s">
        <v>2205</v>
      </c>
      <c r="B2019" s="6">
        <v>45883</v>
      </c>
      <c r="C2019" t="s">
        <v>36</v>
      </c>
      <c r="D2019" t="s">
        <v>37</v>
      </c>
      <c r="E2019" t="s">
        <v>38</v>
      </c>
      <c r="F2019" t="s">
        <v>39</v>
      </c>
      <c r="G2019" t="s">
        <v>40</v>
      </c>
      <c r="H2019" t="s">
        <v>141</v>
      </c>
      <c r="I2019" t="s">
        <v>142</v>
      </c>
      <c r="J2019" t="s">
        <v>143</v>
      </c>
      <c r="K2019" t="s">
        <v>144</v>
      </c>
      <c r="L2019" t="s">
        <v>183</v>
      </c>
      <c r="M2019" t="s">
        <v>177</v>
      </c>
      <c r="N2019">
        <v>3</v>
      </c>
      <c r="O2019" s="4">
        <v>1650</v>
      </c>
      <c r="P2019" s="4">
        <v>2200</v>
      </c>
      <c r="Q2019" s="7">
        <v>0.05</v>
      </c>
      <c r="R2019" t="s">
        <v>178</v>
      </c>
      <c r="S2019">
        <v>6</v>
      </c>
      <c r="T2019">
        <v>6600</v>
      </c>
      <c r="U2019">
        <v>330</v>
      </c>
      <c r="V2019">
        <v>6270</v>
      </c>
      <c r="W2019">
        <v>4950</v>
      </c>
      <c r="X2019">
        <v>1320</v>
      </c>
      <c r="Y2019" s="8">
        <v>0.21052631578947367</v>
      </c>
      <c r="Z2019" t="s">
        <v>2995</v>
      </c>
      <c r="AA2019" t="str">
        <f>IF(AND(SalesCleanTable[[#This Row],[Discount %]]&gt;0, SalesCleanTable[[#This Row],[Profit]]&lt;0), "Discount loss", "Safe")</f>
        <v>Safe</v>
      </c>
      <c r="AB2019" s="25">
        <f>(SalesCleanTable[[#This Row],[Unit Price]] - SalesCleanTable[[#This Row],[Unit Cost]]) / SalesCleanTable[[#This Row],[Unit Price]]</f>
        <v>0.25</v>
      </c>
      <c r="AC2019" t="str">
        <f>IF(SalesCleanTable[[#This Row],[Discount %]] &gt; SalesCleanTable[[#This Row],[Max Allowed Discount]], "Discount loss", "Safe")</f>
        <v>Safe</v>
      </c>
      <c r="AD2019" s="4">
        <f>SalesCleanTable[[#This Row],[Unit Price]] - SalesCleanTable[[#This Row],[Unit Cost]]</f>
        <v>550</v>
      </c>
      <c r="AE2019" s="41">
        <f>(SalesCleanTable[[#This Row],[Unit Price]] - SalesCleanTable[[#This Row],[Unit Cost]]) / SalesCleanTable[[#This Row],[Unit Price]]</f>
        <v>0.25</v>
      </c>
    </row>
    <row r="2020" spans="1:31">
      <c r="A2020" t="s">
        <v>2206</v>
      </c>
      <c r="B2020" s="6">
        <v>45957</v>
      </c>
      <c r="C2020" t="s">
        <v>90</v>
      </c>
      <c r="D2020" t="s">
        <v>91</v>
      </c>
      <c r="E2020" t="s">
        <v>92</v>
      </c>
      <c r="F2020" t="s">
        <v>93</v>
      </c>
      <c r="G2020" t="s">
        <v>94</v>
      </c>
      <c r="H2020" t="s">
        <v>135</v>
      </c>
      <c r="I2020" t="s">
        <v>136</v>
      </c>
      <c r="J2020" t="s">
        <v>137</v>
      </c>
      <c r="K2020" t="s">
        <v>138</v>
      </c>
      <c r="L2020" t="s">
        <v>183</v>
      </c>
      <c r="M2020" t="s">
        <v>171</v>
      </c>
      <c r="N2020">
        <v>2</v>
      </c>
      <c r="O2020" s="4">
        <v>7500</v>
      </c>
      <c r="P2020" s="4">
        <v>10500</v>
      </c>
      <c r="Q2020" s="7">
        <v>0.15</v>
      </c>
      <c r="R2020" t="s">
        <v>215</v>
      </c>
      <c r="S2020">
        <v>12</v>
      </c>
      <c r="T2020">
        <v>21000</v>
      </c>
      <c r="U2020">
        <v>3150</v>
      </c>
      <c r="V2020">
        <v>17850</v>
      </c>
      <c r="W2020">
        <v>15000</v>
      </c>
      <c r="X2020">
        <v>2850</v>
      </c>
      <c r="Y2020" s="8">
        <v>0.15966386554621848</v>
      </c>
      <c r="Z2020" t="s">
        <v>2996</v>
      </c>
      <c r="AA2020" t="str">
        <f>IF(AND(SalesCleanTable[[#This Row],[Discount %]]&gt;0, SalesCleanTable[[#This Row],[Profit]]&lt;0), "Discount loss", "Safe")</f>
        <v>Safe</v>
      </c>
      <c r="AB2020" s="25">
        <f>(SalesCleanTable[[#This Row],[Unit Price]] - SalesCleanTable[[#This Row],[Unit Cost]]) / SalesCleanTable[[#This Row],[Unit Price]]</f>
        <v>0.2857142857142857</v>
      </c>
      <c r="AC2020" t="str">
        <f>IF(SalesCleanTable[[#This Row],[Discount %]] &gt; SalesCleanTable[[#This Row],[Max Allowed Discount]], "Discount loss", "Safe")</f>
        <v>Safe</v>
      </c>
      <c r="AD2020" s="4">
        <f>SalesCleanTable[[#This Row],[Unit Price]] - SalesCleanTable[[#This Row],[Unit Cost]]</f>
        <v>3000</v>
      </c>
      <c r="AE2020" s="41">
        <f>(SalesCleanTable[[#This Row],[Unit Price]] - SalesCleanTable[[#This Row],[Unit Cost]]) / SalesCleanTable[[#This Row],[Unit Price]]</f>
        <v>0.2857142857142857</v>
      </c>
    </row>
    <row r="2021" spans="1:31">
      <c r="A2021" t="s">
        <v>2207</v>
      </c>
      <c r="B2021" s="6">
        <v>45784</v>
      </c>
      <c r="C2021" t="s">
        <v>53</v>
      </c>
      <c r="D2021" t="s">
        <v>54</v>
      </c>
      <c r="E2021" t="s">
        <v>38</v>
      </c>
      <c r="F2021" t="s">
        <v>55</v>
      </c>
      <c r="G2021" t="s">
        <v>56</v>
      </c>
      <c r="H2021" t="s">
        <v>141</v>
      </c>
      <c r="I2021" t="s">
        <v>142</v>
      </c>
      <c r="J2021" t="s">
        <v>143</v>
      </c>
      <c r="K2021" t="s">
        <v>144</v>
      </c>
      <c r="L2021" t="s">
        <v>166</v>
      </c>
      <c r="M2021" t="s">
        <v>177</v>
      </c>
      <c r="N2021">
        <v>2</v>
      </c>
      <c r="O2021" s="4">
        <v>330</v>
      </c>
      <c r="P2021" s="4">
        <v>550</v>
      </c>
      <c r="Q2021" s="7">
        <v>0.1</v>
      </c>
      <c r="R2021" t="s">
        <v>178</v>
      </c>
      <c r="S2021">
        <v>2</v>
      </c>
      <c r="T2021">
        <v>1100</v>
      </c>
      <c r="U2021">
        <v>110</v>
      </c>
      <c r="V2021">
        <v>990</v>
      </c>
      <c r="W2021">
        <v>660</v>
      </c>
      <c r="X2021">
        <v>330</v>
      </c>
      <c r="Y2021" s="8">
        <v>0.33333333333333331</v>
      </c>
      <c r="Z2021" t="s">
        <v>2996</v>
      </c>
      <c r="AA2021" t="str">
        <f>IF(AND(SalesCleanTable[[#This Row],[Discount %]]&gt;0, SalesCleanTable[[#This Row],[Profit]]&lt;0), "Discount loss", "Safe")</f>
        <v>Safe</v>
      </c>
      <c r="AB2021" s="25">
        <f>(SalesCleanTable[[#This Row],[Unit Price]] - SalesCleanTable[[#This Row],[Unit Cost]]) / SalesCleanTable[[#This Row],[Unit Price]]</f>
        <v>0.4</v>
      </c>
      <c r="AC2021" t="str">
        <f>IF(SalesCleanTable[[#This Row],[Discount %]] &gt; SalesCleanTable[[#This Row],[Max Allowed Discount]], "Discount loss", "Safe")</f>
        <v>Safe</v>
      </c>
      <c r="AD2021" s="4">
        <f>SalesCleanTable[[#This Row],[Unit Price]] - SalesCleanTable[[#This Row],[Unit Cost]]</f>
        <v>220</v>
      </c>
      <c r="AE2021" s="41">
        <f>(SalesCleanTable[[#This Row],[Unit Price]] - SalesCleanTable[[#This Row],[Unit Cost]]) / SalesCleanTable[[#This Row],[Unit Price]]</f>
        <v>0.4</v>
      </c>
    </row>
    <row r="2022" spans="1:31">
      <c r="A2022" t="s">
        <v>2208</v>
      </c>
      <c r="B2022" s="6">
        <v>45682</v>
      </c>
      <c r="C2022" t="s">
        <v>32</v>
      </c>
      <c r="D2022" t="s">
        <v>33</v>
      </c>
      <c r="E2022" t="s">
        <v>26</v>
      </c>
      <c r="F2022" t="s">
        <v>34</v>
      </c>
      <c r="G2022" t="s">
        <v>35</v>
      </c>
      <c r="H2022" t="s">
        <v>139</v>
      </c>
      <c r="I2022" t="s">
        <v>140</v>
      </c>
      <c r="J2022" t="s">
        <v>137</v>
      </c>
      <c r="K2022" t="s">
        <v>138</v>
      </c>
      <c r="L2022" t="s">
        <v>166</v>
      </c>
      <c r="M2022" t="s">
        <v>171</v>
      </c>
      <c r="N2022">
        <v>3</v>
      </c>
      <c r="O2022" s="4">
        <v>7800</v>
      </c>
      <c r="P2022" s="4">
        <v>9800</v>
      </c>
      <c r="Q2022" s="7">
        <v>0</v>
      </c>
      <c r="R2022" t="s">
        <v>194</v>
      </c>
      <c r="S2022">
        <v>13</v>
      </c>
      <c r="T2022">
        <v>29400</v>
      </c>
      <c r="U2022">
        <v>0</v>
      </c>
      <c r="V2022">
        <v>29400</v>
      </c>
      <c r="W2022">
        <v>23400</v>
      </c>
      <c r="X2022">
        <v>6000</v>
      </c>
      <c r="Y2022" s="8">
        <v>0.20408163265306123</v>
      </c>
      <c r="Z2022" t="s">
        <v>2995</v>
      </c>
      <c r="AA2022" t="str">
        <f>IF(AND(SalesCleanTable[[#This Row],[Discount %]]&gt;0, SalesCleanTable[[#This Row],[Profit]]&lt;0), "Discount loss", "Safe")</f>
        <v>Safe</v>
      </c>
      <c r="AB2022" s="25">
        <f>(SalesCleanTable[[#This Row],[Unit Price]] - SalesCleanTable[[#This Row],[Unit Cost]]) / SalesCleanTable[[#This Row],[Unit Price]]</f>
        <v>0.20408163265306123</v>
      </c>
      <c r="AC2022" t="str">
        <f>IF(SalesCleanTable[[#This Row],[Discount %]] &gt; SalesCleanTable[[#This Row],[Max Allowed Discount]], "Discount loss", "Safe")</f>
        <v>Safe</v>
      </c>
      <c r="AD2022" s="4">
        <f>SalesCleanTable[[#This Row],[Unit Price]] - SalesCleanTable[[#This Row],[Unit Cost]]</f>
        <v>2000</v>
      </c>
      <c r="AE2022" s="41">
        <f>(SalesCleanTable[[#This Row],[Unit Price]] - SalesCleanTable[[#This Row],[Unit Cost]]) / SalesCleanTable[[#This Row],[Unit Price]]</f>
        <v>0.20408163265306123</v>
      </c>
    </row>
    <row r="2023" spans="1:31">
      <c r="A2023" t="s">
        <v>2209</v>
      </c>
      <c r="B2023" s="6">
        <v>45972</v>
      </c>
      <c r="C2023" t="s">
        <v>24</v>
      </c>
      <c r="D2023" t="s">
        <v>25</v>
      </c>
      <c r="E2023" t="s">
        <v>26</v>
      </c>
      <c r="F2023" t="s">
        <v>27</v>
      </c>
      <c r="G2023" t="s">
        <v>28</v>
      </c>
      <c r="H2023" t="s">
        <v>149</v>
      </c>
      <c r="I2023" t="s">
        <v>150</v>
      </c>
      <c r="J2023" t="s">
        <v>151</v>
      </c>
      <c r="K2023" t="s">
        <v>152</v>
      </c>
      <c r="L2023" t="s">
        <v>183</v>
      </c>
      <c r="M2023" t="s">
        <v>171</v>
      </c>
      <c r="N2023">
        <v>10</v>
      </c>
      <c r="O2023" s="4">
        <v>14500</v>
      </c>
      <c r="P2023" s="4">
        <v>17500</v>
      </c>
      <c r="Q2023" s="7">
        <v>0</v>
      </c>
      <c r="R2023" t="s">
        <v>194</v>
      </c>
      <c r="S2023">
        <v>5</v>
      </c>
      <c r="T2023">
        <v>175000</v>
      </c>
      <c r="U2023">
        <v>0</v>
      </c>
      <c r="V2023">
        <v>175000</v>
      </c>
      <c r="W2023">
        <v>145000</v>
      </c>
      <c r="X2023">
        <v>30000</v>
      </c>
      <c r="Y2023" s="8">
        <v>0.17142857142857143</v>
      </c>
      <c r="Z2023" t="s">
        <v>2995</v>
      </c>
      <c r="AA2023" t="str">
        <f>IF(AND(SalesCleanTable[[#This Row],[Discount %]]&gt;0, SalesCleanTable[[#This Row],[Profit]]&lt;0), "Discount loss", "Safe")</f>
        <v>Safe</v>
      </c>
      <c r="AB2023" s="25">
        <f>(SalesCleanTable[[#This Row],[Unit Price]] - SalesCleanTable[[#This Row],[Unit Cost]]) / SalesCleanTable[[#This Row],[Unit Price]]</f>
        <v>0.17142857142857143</v>
      </c>
      <c r="AC2023" t="str">
        <f>IF(SalesCleanTable[[#This Row],[Discount %]] &gt; SalesCleanTable[[#This Row],[Max Allowed Discount]], "Discount loss", "Safe")</f>
        <v>Safe</v>
      </c>
      <c r="AD2023" s="4">
        <f>SalesCleanTable[[#This Row],[Unit Price]] - SalesCleanTable[[#This Row],[Unit Cost]]</f>
        <v>3000</v>
      </c>
      <c r="AE2023" s="41">
        <f>(SalesCleanTable[[#This Row],[Unit Price]] - SalesCleanTable[[#This Row],[Unit Cost]]) / SalesCleanTable[[#This Row],[Unit Price]]</f>
        <v>0.17142857142857143</v>
      </c>
    </row>
    <row r="2024" spans="1:31">
      <c r="A2024" t="s">
        <v>2210</v>
      </c>
      <c r="B2024" s="6">
        <v>45980</v>
      </c>
      <c r="C2024" t="s">
        <v>112</v>
      </c>
      <c r="D2024" t="s">
        <v>113</v>
      </c>
      <c r="E2024" t="s">
        <v>109</v>
      </c>
      <c r="F2024" t="s">
        <v>114</v>
      </c>
      <c r="G2024" t="s">
        <v>115</v>
      </c>
      <c r="H2024" t="s">
        <v>139</v>
      </c>
      <c r="I2024" t="s">
        <v>140</v>
      </c>
      <c r="J2024" t="s">
        <v>137</v>
      </c>
      <c r="K2024" t="s">
        <v>138</v>
      </c>
      <c r="L2024" t="s">
        <v>183</v>
      </c>
      <c r="M2024" t="s">
        <v>167</v>
      </c>
      <c r="N2024">
        <v>2</v>
      </c>
      <c r="O2024" s="4">
        <v>1300</v>
      </c>
      <c r="P2024" s="4">
        <v>2100</v>
      </c>
      <c r="Q2024" s="7">
        <v>0.1</v>
      </c>
      <c r="R2024" t="s">
        <v>220</v>
      </c>
      <c r="S2024">
        <v>3</v>
      </c>
      <c r="T2024">
        <v>4200</v>
      </c>
      <c r="U2024">
        <v>420</v>
      </c>
      <c r="V2024">
        <v>3780</v>
      </c>
      <c r="W2024">
        <v>2600</v>
      </c>
      <c r="X2024">
        <v>1180</v>
      </c>
      <c r="Y2024" s="8">
        <v>0.31216931216931215</v>
      </c>
      <c r="Z2024" t="s">
        <v>2995</v>
      </c>
      <c r="AA2024" t="str">
        <f>IF(AND(SalesCleanTable[[#This Row],[Discount %]]&gt;0, SalesCleanTable[[#This Row],[Profit]]&lt;0), "Discount loss", "Safe")</f>
        <v>Safe</v>
      </c>
      <c r="AB2024" s="25">
        <f>(SalesCleanTable[[#This Row],[Unit Price]] - SalesCleanTable[[#This Row],[Unit Cost]]) / SalesCleanTable[[#This Row],[Unit Price]]</f>
        <v>0.38095238095238093</v>
      </c>
      <c r="AC2024" t="str">
        <f>IF(SalesCleanTable[[#This Row],[Discount %]] &gt; SalesCleanTable[[#This Row],[Max Allowed Discount]], "Discount loss", "Safe")</f>
        <v>Safe</v>
      </c>
      <c r="AD2024" s="4">
        <f>SalesCleanTable[[#This Row],[Unit Price]] - SalesCleanTable[[#This Row],[Unit Cost]]</f>
        <v>800</v>
      </c>
      <c r="AE2024" s="41">
        <f>(SalesCleanTable[[#This Row],[Unit Price]] - SalesCleanTable[[#This Row],[Unit Cost]]) / SalesCleanTable[[#This Row],[Unit Price]]</f>
        <v>0.38095238095238093</v>
      </c>
    </row>
    <row r="2025" spans="1:31">
      <c r="A2025" t="s">
        <v>2211</v>
      </c>
      <c r="B2025" s="6">
        <v>45714</v>
      </c>
      <c r="C2025" t="s">
        <v>53</v>
      </c>
      <c r="D2025" t="s">
        <v>54</v>
      </c>
      <c r="E2025" t="s">
        <v>38</v>
      </c>
      <c r="F2025" t="s">
        <v>55</v>
      </c>
      <c r="G2025" t="s">
        <v>56</v>
      </c>
      <c r="H2025" t="s">
        <v>133</v>
      </c>
      <c r="I2025" t="s">
        <v>134</v>
      </c>
      <c r="J2025" t="s">
        <v>130</v>
      </c>
      <c r="K2025" t="s">
        <v>131</v>
      </c>
      <c r="L2025" t="s">
        <v>166</v>
      </c>
      <c r="M2025" t="s">
        <v>167</v>
      </c>
      <c r="N2025">
        <v>1</v>
      </c>
      <c r="O2025" s="4">
        <v>330</v>
      </c>
      <c r="P2025" s="4">
        <v>550</v>
      </c>
      <c r="Q2025" s="7">
        <v>0.05</v>
      </c>
      <c r="R2025" t="s">
        <v>178</v>
      </c>
      <c r="S2025">
        <v>9</v>
      </c>
      <c r="T2025">
        <v>550</v>
      </c>
      <c r="U2025">
        <v>27.5</v>
      </c>
      <c r="V2025">
        <v>522.5</v>
      </c>
      <c r="W2025">
        <v>330</v>
      </c>
      <c r="X2025">
        <v>192.5</v>
      </c>
      <c r="Y2025" s="8">
        <v>0.36842105263157893</v>
      </c>
      <c r="Z2025" t="s">
        <v>2996</v>
      </c>
      <c r="AA2025" t="str">
        <f>IF(AND(SalesCleanTable[[#This Row],[Discount %]]&gt;0, SalesCleanTable[[#This Row],[Profit]]&lt;0), "Discount loss", "Safe")</f>
        <v>Safe</v>
      </c>
      <c r="AB2025" s="25">
        <f>(SalesCleanTable[[#This Row],[Unit Price]] - SalesCleanTable[[#This Row],[Unit Cost]]) / SalesCleanTable[[#This Row],[Unit Price]]</f>
        <v>0.4</v>
      </c>
      <c r="AC2025" t="str">
        <f>IF(SalesCleanTable[[#This Row],[Discount %]] &gt; SalesCleanTable[[#This Row],[Max Allowed Discount]], "Discount loss", "Safe")</f>
        <v>Safe</v>
      </c>
      <c r="AD2025" s="4">
        <f>SalesCleanTable[[#This Row],[Unit Price]] - SalesCleanTable[[#This Row],[Unit Cost]]</f>
        <v>220</v>
      </c>
      <c r="AE2025" s="41">
        <f>(SalesCleanTable[[#This Row],[Unit Price]] - SalesCleanTable[[#This Row],[Unit Cost]]) / SalesCleanTable[[#This Row],[Unit Price]]</f>
        <v>0.4</v>
      </c>
    </row>
    <row r="2026" spans="1:31">
      <c r="A2026" t="s">
        <v>2212</v>
      </c>
      <c r="B2026" s="6">
        <v>45741</v>
      </c>
      <c r="C2026" t="s">
        <v>24</v>
      </c>
      <c r="D2026" t="s">
        <v>25</v>
      </c>
      <c r="E2026" t="s">
        <v>26</v>
      </c>
      <c r="F2026" t="s">
        <v>27</v>
      </c>
      <c r="G2026" t="s">
        <v>28</v>
      </c>
      <c r="H2026" t="s">
        <v>149</v>
      </c>
      <c r="I2026" t="s">
        <v>150</v>
      </c>
      <c r="J2026" t="s">
        <v>151</v>
      </c>
      <c r="K2026" t="s">
        <v>152</v>
      </c>
      <c r="L2026" t="s">
        <v>166</v>
      </c>
      <c r="M2026" t="s">
        <v>171</v>
      </c>
      <c r="N2026">
        <v>1</v>
      </c>
      <c r="O2026" s="4">
        <v>14500</v>
      </c>
      <c r="P2026" s="4">
        <v>17500</v>
      </c>
      <c r="Q2026" s="7">
        <v>0</v>
      </c>
      <c r="R2026" t="s">
        <v>173</v>
      </c>
      <c r="S2026">
        <v>13</v>
      </c>
      <c r="T2026">
        <v>17500</v>
      </c>
      <c r="U2026">
        <v>0</v>
      </c>
      <c r="V2026">
        <v>17500</v>
      </c>
      <c r="W2026">
        <v>14500</v>
      </c>
      <c r="X2026">
        <v>3000</v>
      </c>
      <c r="Y2026" s="8">
        <v>0.17142857142857143</v>
      </c>
      <c r="Z2026" t="s">
        <v>2995</v>
      </c>
      <c r="AA2026" t="str">
        <f>IF(AND(SalesCleanTable[[#This Row],[Discount %]]&gt;0, SalesCleanTable[[#This Row],[Profit]]&lt;0), "Discount loss", "Safe")</f>
        <v>Safe</v>
      </c>
      <c r="AB2026" s="25">
        <f>(SalesCleanTable[[#This Row],[Unit Price]] - SalesCleanTable[[#This Row],[Unit Cost]]) / SalesCleanTable[[#This Row],[Unit Price]]</f>
        <v>0.17142857142857143</v>
      </c>
      <c r="AC2026" t="str">
        <f>IF(SalesCleanTable[[#This Row],[Discount %]] &gt; SalesCleanTable[[#This Row],[Max Allowed Discount]], "Discount loss", "Safe")</f>
        <v>Safe</v>
      </c>
      <c r="AD2026" s="4">
        <f>SalesCleanTable[[#This Row],[Unit Price]] - SalesCleanTable[[#This Row],[Unit Cost]]</f>
        <v>3000</v>
      </c>
      <c r="AE2026" s="41">
        <f>(SalesCleanTable[[#This Row],[Unit Price]] - SalesCleanTable[[#This Row],[Unit Cost]]) / SalesCleanTable[[#This Row],[Unit Price]]</f>
        <v>0.17142857142857143</v>
      </c>
    </row>
    <row r="2027" spans="1:31">
      <c r="A2027" t="s">
        <v>2213</v>
      </c>
      <c r="B2027" s="6">
        <v>45988</v>
      </c>
      <c r="C2027" t="s">
        <v>49</v>
      </c>
      <c r="D2027" t="s">
        <v>50</v>
      </c>
      <c r="E2027" t="s">
        <v>38</v>
      </c>
      <c r="F2027" t="s">
        <v>51</v>
      </c>
      <c r="G2027" t="s">
        <v>52</v>
      </c>
      <c r="H2027" t="s">
        <v>153</v>
      </c>
      <c r="I2027" t="s">
        <v>154</v>
      </c>
      <c r="J2027" t="s">
        <v>155</v>
      </c>
      <c r="K2027" t="s">
        <v>131</v>
      </c>
      <c r="L2027" t="s">
        <v>166</v>
      </c>
      <c r="M2027" t="s">
        <v>171</v>
      </c>
      <c r="N2027">
        <v>6</v>
      </c>
      <c r="O2027" s="4">
        <v>550</v>
      </c>
      <c r="P2027" s="4">
        <v>850</v>
      </c>
      <c r="Q2027" s="7">
        <v>0.1</v>
      </c>
      <c r="R2027" t="s">
        <v>178</v>
      </c>
      <c r="S2027">
        <v>4</v>
      </c>
      <c r="T2027">
        <v>5100</v>
      </c>
      <c r="U2027">
        <v>510</v>
      </c>
      <c r="V2027">
        <v>4590</v>
      </c>
      <c r="W2027">
        <v>3300</v>
      </c>
      <c r="X2027">
        <v>1290</v>
      </c>
      <c r="Y2027" s="8">
        <v>0.28104575163398693</v>
      </c>
      <c r="Z2027" t="s">
        <v>2996</v>
      </c>
      <c r="AA2027" t="str">
        <f>IF(AND(SalesCleanTable[[#This Row],[Discount %]]&gt;0, SalesCleanTable[[#This Row],[Profit]]&lt;0), "Discount loss", "Safe")</f>
        <v>Safe</v>
      </c>
      <c r="AB2027" s="25">
        <f>(SalesCleanTable[[#This Row],[Unit Price]] - SalesCleanTable[[#This Row],[Unit Cost]]) / SalesCleanTable[[#This Row],[Unit Price]]</f>
        <v>0.35294117647058826</v>
      </c>
      <c r="AC2027" t="str">
        <f>IF(SalesCleanTable[[#This Row],[Discount %]] &gt; SalesCleanTable[[#This Row],[Max Allowed Discount]], "Discount loss", "Safe")</f>
        <v>Safe</v>
      </c>
      <c r="AD2027" s="4">
        <f>SalesCleanTable[[#This Row],[Unit Price]] - SalesCleanTable[[#This Row],[Unit Cost]]</f>
        <v>300</v>
      </c>
      <c r="AE2027" s="41">
        <f>(SalesCleanTable[[#This Row],[Unit Price]] - SalesCleanTable[[#This Row],[Unit Cost]]) / SalesCleanTable[[#This Row],[Unit Price]]</f>
        <v>0.35294117647058826</v>
      </c>
    </row>
    <row r="2028" spans="1:31">
      <c r="A2028" t="s">
        <v>2214</v>
      </c>
      <c r="B2028" s="6">
        <v>45808</v>
      </c>
      <c r="C2028" t="s">
        <v>45</v>
      </c>
      <c r="D2028" t="s">
        <v>46</v>
      </c>
      <c r="E2028" t="s">
        <v>38</v>
      </c>
      <c r="F2028" t="s">
        <v>47</v>
      </c>
      <c r="G2028" t="s">
        <v>48</v>
      </c>
      <c r="H2028" t="s">
        <v>149</v>
      </c>
      <c r="I2028" t="s">
        <v>150</v>
      </c>
      <c r="J2028" t="s">
        <v>151</v>
      </c>
      <c r="K2028" t="s">
        <v>152</v>
      </c>
      <c r="L2028" t="s">
        <v>183</v>
      </c>
      <c r="M2028" t="s">
        <v>186</v>
      </c>
      <c r="N2028">
        <v>5</v>
      </c>
      <c r="O2028" s="4">
        <v>230</v>
      </c>
      <c r="P2028" s="4">
        <v>400</v>
      </c>
      <c r="Q2028" s="7">
        <v>0.05</v>
      </c>
      <c r="R2028" t="s">
        <v>168</v>
      </c>
      <c r="S2028">
        <v>10</v>
      </c>
      <c r="T2028">
        <v>2000</v>
      </c>
      <c r="U2028">
        <v>100</v>
      </c>
      <c r="V2028">
        <v>1900</v>
      </c>
      <c r="W2028">
        <v>1150</v>
      </c>
      <c r="X2028">
        <v>750</v>
      </c>
      <c r="Y2028" s="8">
        <v>0.39473684210526316</v>
      </c>
      <c r="Z2028" t="s">
        <v>2995</v>
      </c>
      <c r="AA2028" t="str">
        <f>IF(AND(SalesCleanTable[[#This Row],[Discount %]]&gt;0, SalesCleanTable[[#This Row],[Profit]]&lt;0), "Discount loss", "Safe")</f>
        <v>Safe</v>
      </c>
      <c r="AB2028" s="25">
        <f>(SalesCleanTable[[#This Row],[Unit Price]] - SalesCleanTable[[#This Row],[Unit Cost]]) / SalesCleanTable[[#This Row],[Unit Price]]</f>
        <v>0.42499999999999999</v>
      </c>
      <c r="AC2028" t="str">
        <f>IF(SalesCleanTable[[#This Row],[Discount %]] &gt; SalesCleanTable[[#This Row],[Max Allowed Discount]], "Discount loss", "Safe")</f>
        <v>Safe</v>
      </c>
      <c r="AD2028" s="4">
        <f>SalesCleanTable[[#This Row],[Unit Price]] - SalesCleanTable[[#This Row],[Unit Cost]]</f>
        <v>170</v>
      </c>
      <c r="AE2028" s="41">
        <f>(SalesCleanTable[[#This Row],[Unit Price]] - SalesCleanTable[[#This Row],[Unit Cost]]) / SalesCleanTable[[#This Row],[Unit Price]]</f>
        <v>0.42499999999999999</v>
      </c>
    </row>
    <row r="2029" spans="1:31">
      <c r="A2029" t="s">
        <v>2215</v>
      </c>
      <c r="B2029" s="6">
        <v>45664</v>
      </c>
      <c r="C2029" t="s">
        <v>45</v>
      </c>
      <c r="D2029" t="s">
        <v>46</v>
      </c>
      <c r="E2029" t="s">
        <v>38</v>
      </c>
      <c r="F2029" t="s">
        <v>47</v>
      </c>
      <c r="G2029" t="s">
        <v>48</v>
      </c>
      <c r="H2029" t="s">
        <v>128</v>
      </c>
      <c r="I2029" t="s">
        <v>129</v>
      </c>
      <c r="J2029" t="s">
        <v>130</v>
      </c>
      <c r="K2029" t="s">
        <v>131</v>
      </c>
      <c r="L2029" t="s">
        <v>183</v>
      </c>
      <c r="M2029" t="s">
        <v>186</v>
      </c>
      <c r="N2029">
        <v>1</v>
      </c>
      <c r="O2029" s="4">
        <v>230</v>
      </c>
      <c r="P2029" s="4">
        <v>400</v>
      </c>
      <c r="Q2029" s="7">
        <v>0.15</v>
      </c>
      <c r="R2029" t="s">
        <v>168</v>
      </c>
      <c r="S2029">
        <v>11</v>
      </c>
      <c r="T2029">
        <v>400</v>
      </c>
      <c r="U2029">
        <v>60</v>
      </c>
      <c r="V2029">
        <v>340</v>
      </c>
      <c r="W2029">
        <v>230</v>
      </c>
      <c r="X2029">
        <v>110</v>
      </c>
      <c r="Y2029" s="8">
        <v>0.3235294117647059</v>
      </c>
      <c r="Z2029" t="s">
        <v>2995</v>
      </c>
      <c r="AA2029" t="str">
        <f>IF(AND(SalesCleanTable[[#This Row],[Discount %]]&gt;0, SalesCleanTable[[#This Row],[Profit]]&lt;0), "Discount loss", "Safe")</f>
        <v>Safe</v>
      </c>
      <c r="AB2029" s="25">
        <f>(SalesCleanTable[[#This Row],[Unit Price]] - SalesCleanTable[[#This Row],[Unit Cost]]) / SalesCleanTable[[#This Row],[Unit Price]]</f>
        <v>0.42499999999999999</v>
      </c>
      <c r="AC2029" t="str">
        <f>IF(SalesCleanTable[[#This Row],[Discount %]] &gt; SalesCleanTable[[#This Row],[Max Allowed Discount]], "Discount loss", "Safe")</f>
        <v>Safe</v>
      </c>
      <c r="AD2029" s="4">
        <f>SalesCleanTable[[#This Row],[Unit Price]] - SalesCleanTable[[#This Row],[Unit Cost]]</f>
        <v>170</v>
      </c>
      <c r="AE2029" s="41">
        <f>(SalesCleanTable[[#This Row],[Unit Price]] - SalesCleanTable[[#This Row],[Unit Cost]]) / SalesCleanTable[[#This Row],[Unit Price]]</f>
        <v>0.42499999999999999</v>
      </c>
    </row>
    <row r="2030" spans="1:31">
      <c r="A2030" t="s">
        <v>2216</v>
      </c>
      <c r="B2030" s="6">
        <v>45971</v>
      </c>
      <c r="C2030" t="s">
        <v>90</v>
      </c>
      <c r="D2030" t="s">
        <v>91</v>
      </c>
      <c r="E2030" t="s">
        <v>92</v>
      </c>
      <c r="F2030" t="s">
        <v>93</v>
      </c>
      <c r="G2030" t="s">
        <v>94</v>
      </c>
      <c r="H2030" t="s">
        <v>135</v>
      </c>
      <c r="I2030" t="s">
        <v>136</v>
      </c>
      <c r="J2030" t="s">
        <v>137</v>
      </c>
      <c r="K2030" t="s">
        <v>138</v>
      </c>
      <c r="L2030" t="s">
        <v>166</v>
      </c>
      <c r="M2030" t="s">
        <v>171</v>
      </c>
      <c r="N2030">
        <v>5</v>
      </c>
      <c r="O2030" s="4">
        <v>7500</v>
      </c>
      <c r="P2030" s="4">
        <v>10500</v>
      </c>
      <c r="Q2030" s="7">
        <v>0.15</v>
      </c>
      <c r="R2030" t="s">
        <v>181</v>
      </c>
      <c r="S2030">
        <v>7</v>
      </c>
      <c r="T2030">
        <v>52500</v>
      </c>
      <c r="U2030">
        <v>7875</v>
      </c>
      <c r="V2030">
        <v>44625</v>
      </c>
      <c r="W2030">
        <v>37500</v>
      </c>
      <c r="X2030">
        <v>7125</v>
      </c>
      <c r="Y2030" s="8">
        <v>0.15966386554621848</v>
      </c>
      <c r="Z2030" t="s">
        <v>2996</v>
      </c>
      <c r="AA2030" t="str">
        <f>IF(AND(SalesCleanTable[[#This Row],[Discount %]]&gt;0, SalesCleanTable[[#This Row],[Profit]]&lt;0), "Discount loss", "Safe")</f>
        <v>Safe</v>
      </c>
      <c r="AB2030" s="25">
        <f>(SalesCleanTable[[#This Row],[Unit Price]] - SalesCleanTable[[#This Row],[Unit Cost]]) / SalesCleanTable[[#This Row],[Unit Price]]</f>
        <v>0.2857142857142857</v>
      </c>
      <c r="AC2030" t="str">
        <f>IF(SalesCleanTable[[#This Row],[Discount %]] &gt; SalesCleanTable[[#This Row],[Max Allowed Discount]], "Discount loss", "Safe")</f>
        <v>Safe</v>
      </c>
      <c r="AD2030" s="4">
        <f>SalesCleanTable[[#This Row],[Unit Price]] - SalesCleanTable[[#This Row],[Unit Cost]]</f>
        <v>3000</v>
      </c>
      <c r="AE2030" s="41">
        <f>(SalesCleanTable[[#This Row],[Unit Price]] - SalesCleanTable[[#This Row],[Unit Cost]]) / SalesCleanTable[[#This Row],[Unit Price]]</f>
        <v>0.2857142857142857</v>
      </c>
    </row>
    <row r="2031" spans="1:31">
      <c r="A2031" t="s">
        <v>2217</v>
      </c>
      <c r="B2031" s="6">
        <v>45994</v>
      </c>
      <c r="C2031" t="s">
        <v>41</v>
      </c>
      <c r="D2031" t="s">
        <v>42</v>
      </c>
      <c r="E2031" t="s">
        <v>26</v>
      </c>
      <c r="F2031" t="s">
        <v>43</v>
      </c>
      <c r="G2031" t="s">
        <v>44</v>
      </c>
      <c r="H2031" t="s">
        <v>153</v>
      </c>
      <c r="I2031" t="s">
        <v>154</v>
      </c>
      <c r="J2031" t="s">
        <v>155</v>
      </c>
      <c r="K2031" t="s">
        <v>131</v>
      </c>
      <c r="L2031" t="s">
        <v>166</v>
      </c>
      <c r="M2031" t="s">
        <v>177</v>
      </c>
      <c r="N2031">
        <v>3</v>
      </c>
      <c r="O2031" s="4">
        <v>850</v>
      </c>
      <c r="P2031" s="4">
        <v>1300</v>
      </c>
      <c r="Q2031" s="7">
        <v>0.05</v>
      </c>
      <c r="R2031" t="s">
        <v>194</v>
      </c>
      <c r="S2031">
        <v>8</v>
      </c>
      <c r="T2031">
        <v>3900</v>
      </c>
      <c r="U2031">
        <v>195</v>
      </c>
      <c r="V2031">
        <v>3705</v>
      </c>
      <c r="W2031">
        <v>2550</v>
      </c>
      <c r="X2031">
        <v>1155</v>
      </c>
      <c r="Y2031" s="8">
        <v>0.31174089068825911</v>
      </c>
      <c r="Z2031" t="s">
        <v>2995</v>
      </c>
      <c r="AA2031" t="str">
        <f>IF(AND(SalesCleanTable[[#This Row],[Discount %]]&gt;0, SalesCleanTable[[#This Row],[Profit]]&lt;0), "Discount loss", "Safe")</f>
        <v>Safe</v>
      </c>
      <c r="AB2031" s="25">
        <f>(SalesCleanTable[[#This Row],[Unit Price]] - SalesCleanTable[[#This Row],[Unit Cost]]) / SalesCleanTable[[#This Row],[Unit Price]]</f>
        <v>0.34615384615384615</v>
      </c>
      <c r="AC2031" t="str">
        <f>IF(SalesCleanTable[[#This Row],[Discount %]] &gt; SalesCleanTable[[#This Row],[Max Allowed Discount]], "Discount loss", "Safe")</f>
        <v>Safe</v>
      </c>
      <c r="AD2031" s="4">
        <f>SalesCleanTable[[#This Row],[Unit Price]] - SalesCleanTable[[#This Row],[Unit Cost]]</f>
        <v>450</v>
      </c>
      <c r="AE2031" s="41">
        <f>(SalesCleanTable[[#This Row],[Unit Price]] - SalesCleanTable[[#This Row],[Unit Cost]]) / SalesCleanTable[[#This Row],[Unit Price]]</f>
        <v>0.34615384615384615</v>
      </c>
    </row>
    <row r="2032" spans="1:31">
      <c r="A2032" t="s">
        <v>2218</v>
      </c>
      <c r="B2032" s="6">
        <v>45745</v>
      </c>
      <c r="C2032" t="s">
        <v>36</v>
      </c>
      <c r="D2032" t="s">
        <v>37</v>
      </c>
      <c r="E2032" t="s">
        <v>38</v>
      </c>
      <c r="F2032" t="s">
        <v>39</v>
      </c>
      <c r="G2032" t="s">
        <v>40</v>
      </c>
      <c r="H2032" t="s">
        <v>135</v>
      </c>
      <c r="I2032" t="s">
        <v>136</v>
      </c>
      <c r="J2032" t="s">
        <v>137</v>
      </c>
      <c r="K2032" t="s">
        <v>138</v>
      </c>
      <c r="L2032" t="s">
        <v>183</v>
      </c>
      <c r="M2032" t="s">
        <v>186</v>
      </c>
      <c r="N2032">
        <v>1</v>
      </c>
      <c r="O2032" s="4">
        <v>1650</v>
      </c>
      <c r="P2032" s="4">
        <v>2200</v>
      </c>
      <c r="Q2032" s="7">
        <v>0.05</v>
      </c>
      <c r="R2032" t="s">
        <v>178</v>
      </c>
      <c r="S2032">
        <v>3</v>
      </c>
      <c r="T2032">
        <v>2200</v>
      </c>
      <c r="U2032">
        <v>110</v>
      </c>
      <c r="V2032">
        <v>2090</v>
      </c>
      <c r="W2032">
        <v>1650</v>
      </c>
      <c r="X2032">
        <v>440</v>
      </c>
      <c r="Y2032" s="8">
        <v>0.21052631578947367</v>
      </c>
      <c r="Z2032" t="s">
        <v>2995</v>
      </c>
      <c r="AA2032" t="str">
        <f>IF(AND(SalesCleanTable[[#This Row],[Discount %]]&gt;0, SalesCleanTable[[#This Row],[Profit]]&lt;0), "Discount loss", "Safe")</f>
        <v>Safe</v>
      </c>
      <c r="AB2032" s="25">
        <f>(SalesCleanTable[[#This Row],[Unit Price]] - SalesCleanTable[[#This Row],[Unit Cost]]) / SalesCleanTable[[#This Row],[Unit Price]]</f>
        <v>0.25</v>
      </c>
      <c r="AC2032" t="str">
        <f>IF(SalesCleanTable[[#This Row],[Discount %]] &gt; SalesCleanTable[[#This Row],[Max Allowed Discount]], "Discount loss", "Safe")</f>
        <v>Safe</v>
      </c>
      <c r="AD2032" s="4">
        <f>SalesCleanTable[[#This Row],[Unit Price]] - SalesCleanTable[[#This Row],[Unit Cost]]</f>
        <v>550</v>
      </c>
      <c r="AE2032" s="41">
        <f>(SalesCleanTable[[#This Row],[Unit Price]] - SalesCleanTable[[#This Row],[Unit Cost]]) / SalesCleanTable[[#This Row],[Unit Price]]</f>
        <v>0.25</v>
      </c>
    </row>
    <row r="2033" spans="1:31">
      <c r="A2033" t="s">
        <v>2219</v>
      </c>
      <c r="B2033" s="6">
        <v>45726</v>
      </c>
      <c r="C2033" t="s">
        <v>24</v>
      </c>
      <c r="D2033" t="s">
        <v>25</v>
      </c>
      <c r="E2033" t="s">
        <v>26</v>
      </c>
      <c r="F2033" t="s">
        <v>27</v>
      </c>
      <c r="G2033" t="s">
        <v>28</v>
      </c>
      <c r="H2033" t="s">
        <v>135</v>
      </c>
      <c r="I2033" t="s">
        <v>136</v>
      </c>
      <c r="J2033" t="s">
        <v>137</v>
      </c>
      <c r="K2033" t="s">
        <v>138</v>
      </c>
      <c r="L2033" t="s">
        <v>183</v>
      </c>
      <c r="M2033" t="s">
        <v>177</v>
      </c>
      <c r="N2033">
        <v>4</v>
      </c>
      <c r="O2033" s="4">
        <v>14500</v>
      </c>
      <c r="P2033" s="4">
        <v>17500</v>
      </c>
      <c r="Q2033" s="7">
        <v>0</v>
      </c>
      <c r="R2033" t="s">
        <v>194</v>
      </c>
      <c r="S2033">
        <v>14</v>
      </c>
      <c r="T2033">
        <v>70000</v>
      </c>
      <c r="U2033">
        <v>0</v>
      </c>
      <c r="V2033">
        <v>70000</v>
      </c>
      <c r="W2033">
        <v>58000</v>
      </c>
      <c r="X2033">
        <v>12000</v>
      </c>
      <c r="Y2033" s="8">
        <v>0.17142857142857143</v>
      </c>
      <c r="Z2033" t="s">
        <v>2995</v>
      </c>
      <c r="AA2033" t="str">
        <f>IF(AND(SalesCleanTable[[#This Row],[Discount %]]&gt;0, SalesCleanTable[[#This Row],[Profit]]&lt;0), "Discount loss", "Safe")</f>
        <v>Safe</v>
      </c>
      <c r="AB2033" s="25">
        <f>(SalesCleanTable[[#This Row],[Unit Price]] - SalesCleanTable[[#This Row],[Unit Cost]]) / SalesCleanTable[[#This Row],[Unit Price]]</f>
        <v>0.17142857142857143</v>
      </c>
      <c r="AC2033" t="str">
        <f>IF(SalesCleanTable[[#This Row],[Discount %]] &gt; SalesCleanTable[[#This Row],[Max Allowed Discount]], "Discount loss", "Safe")</f>
        <v>Safe</v>
      </c>
      <c r="AD2033" s="4">
        <f>SalesCleanTable[[#This Row],[Unit Price]] - SalesCleanTable[[#This Row],[Unit Cost]]</f>
        <v>3000</v>
      </c>
      <c r="AE2033" s="41">
        <f>(SalesCleanTable[[#This Row],[Unit Price]] - SalesCleanTable[[#This Row],[Unit Cost]]) / SalesCleanTable[[#This Row],[Unit Price]]</f>
        <v>0.17142857142857143</v>
      </c>
    </row>
    <row r="2034" spans="1:31">
      <c r="A2034" t="s">
        <v>2220</v>
      </c>
      <c r="B2034" s="6">
        <v>45868</v>
      </c>
      <c r="C2034" t="s">
        <v>41</v>
      </c>
      <c r="D2034" t="s">
        <v>42</v>
      </c>
      <c r="E2034" t="s">
        <v>26</v>
      </c>
      <c r="F2034" t="s">
        <v>43</v>
      </c>
      <c r="G2034" t="s">
        <v>44</v>
      </c>
      <c r="H2034" t="s">
        <v>133</v>
      </c>
      <c r="I2034" t="s">
        <v>134</v>
      </c>
      <c r="J2034" t="s">
        <v>130</v>
      </c>
      <c r="K2034" t="s">
        <v>131</v>
      </c>
      <c r="L2034" t="s">
        <v>183</v>
      </c>
      <c r="M2034" t="s">
        <v>186</v>
      </c>
      <c r="N2034">
        <v>2</v>
      </c>
      <c r="O2034" s="4">
        <v>850</v>
      </c>
      <c r="P2034" s="4">
        <v>1300</v>
      </c>
      <c r="Q2034" s="7">
        <v>0.1</v>
      </c>
      <c r="R2034" t="s">
        <v>194</v>
      </c>
      <c r="S2034">
        <v>4</v>
      </c>
      <c r="T2034">
        <v>2600</v>
      </c>
      <c r="U2034">
        <v>260</v>
      </c>
      <c r="V2034">
        <v>2340</v>
      </c>
      <c r="W2034">
        <v>1700</v>
      </c>
      <c r="X2034">
        <v>640</v>
      </c>
      <c r="Y2034" s="8">
        <v>0.27350427350427353</v>
      </c>
      <c r="Z2034" t="s">
        <v>2995</v>
      </c>
      <c r="AA2034" t="str">
        <f>IF(AND(SalesCleanTable[[#This Row],[Discount %]]&gt;0, SalesCleanTable[[#This Row],[Profit]]&lt;0), "Discount loss", "Safe")</f>
        <v>Safe</v>
      </c>
      <c r="AB2034" s="25">
        <f>(SalesCleanTable[[#This Row],[Unit Price]] - SalesCleanTable[[#This Row],[Unit Cost]]) / SalesCleanTable[[#This Row],[Unit Price]]</f>
        <v>0.34615384615384615</v>
      </c>
      <c r="AC2034" t="str">
        <f>IF(SalesCleanTable[[#This Row],[Discount %]] &gt; SalesCleanTable[[#This Row],[Max Allowed Discount]], "Discount loss", "Safe")</f>
        <v>Safe</v>
      </c>
      <c r="AD2034" s="4">
        <f>SalesCleanTable[[#This Row],[Unit Price]] - SalesCleanTable[[#This Row],[Unit Cost]]</f>
        <v>450</v>
      </c>
      <c r="AE2034" s="41">
        <f>(SalesCleanTable[[#This Row],[Unit Price]] - SalesCleanTable[[#This Row],[Unit Cost]]) / SalesCleanTable[[#This Row],[Unit Price]]</f>
        <v>0.34615384615384615</v>
      </c>
    </row>
    <row r="2035" spans="1:31">
      <c r="A2035" t="s">
        <v>2221</v>
      </c>
      <c r="B2035" s="6">
        <v>45736</v>
      </c>
      <c r="C2035" t="s">
        <v>78</v>
      </c>
      <c r="D2035" t="s">
        <v>79</v>
      </c>
      <c r="E2035" t="s">
        <v>75</v>
      </c>
      <c r="F2035" t="s">
        <v>80</v>
      </c>
      <c r="G2035" t="s">
        <v>81</v>
      </c>
      <c r="H2035" t="s">
        <v>133</v>
      </c>
      <c r="I2035" t="s">
        <v>134</v>
      </c>
      <c r="J2035" t="s">
        <v>130</v>
      </c>
      <c r="K2035" t="s">
        <v>131</v>
      </c>
      <c r="L2035" t="s">
        <v>183</v>
      </c>
      <c r="M2035" t="s">
        <v>177</v>
      </c>
      <c r="N2035">
        <v>3</v>
      </c>
      <c r="O2035" s="4">
        <v>1200</v>
      </c>
      <c r="P2035" s="4">
        <v>1900</v>
      </c>
      <c r="Q2035" s="7">
        <v>0</v>
      </c>
      <c r="R2035" t="s">
        <v>208</v>
      </c>
      <c r="S2035">
        <v>7</v>
      </c>
      <c r="T2035">
        <v>5700</v>
      </c>
      <c r="U2035">
        <v>0</v>
      </c>
      <c r="V2035">
        <v>5700</v>
      </c>
      <c r="W2035">
        <v>3600</v>
      </c>
      <c r="X2035">
        <v>2100</v>
      </c>
      <c r="Y2035" s="8">
        <v>0.36842105263157893</v>
      </c>
      <c r="Z2035" t="s">
        <v>2996</v>
      </c>
      <c r="AA2035" t="str">
        <f>IF(AND(SalesCleanTable[[#This Row],[Discount %]]&gt;0, SalesCleanTable[[#This Row],[Profit]]&lt;0), "Discount loss", "Safe")</f>
        <v>Safe</v>
      </c>
      <c r="AB2035" s="25">
        <f>(SalesCleanTable[[#This Row],[Unit Price]] - SalesCleanTable[[#This Row],[Unit Cost]]) / SalesCleanTable[[#This Row],[Unit Price]]</f>
        <v>0.36842105263157893</v>
      </c>
      <c r="AC2035" t="str">
        <f>IF(SalesCleanTable[[#This Row],[Discount %]] &gt; SalesCleanTable[[#This Row],[Max Allowed Discount]], "Discount loss", "Safe")</f>
        <v>Safe</v>
      </c>
      <c r="AD2035" s="4">
        <f>SalesCleanTable[[#This Row],[Unit Price]] - SalesCleanTable[[#This Row],[Unit Cost]]</f>
        <v>700</v>
      </c>
      <c r="AE2035" s="41">
        <f>(SalesCleanTable[[#This Row],[Unit Price]] - SalesCleanTable[[#This Row],[Unit Cost]]) / SalesCleanTable[[#This Row],[Unit Price]]</f>
        <v>0.36842105263157893</v>
      </c>
    </row>
    <row r="2036" spans="1:31">
      <c r="A2036" t="s">
        <v>2222</v>
      </c>
      <c r="B2036" s="6">
        <v>45997</v>
      </c>
      <c r="C2036" t="s">
        <v>41</v>
      </c>
      <c r="D2036" t="s">
        <v>42</v>
      </c>
      <c r="E2036" t="s">
        <v>26</v>
      </c>
      <c r="F2036" t="s">
        <v>43</v>
      </c>
      <c r="G2036" t="s">
        <v>44</v>
      </c>
      <c r="H2036" t="s">
        <v>139</v>
      </c>
      <c r="I2036" t="s">
        <v>140</v>
      </c>
      <c r="J2036" t="s">
        <v>137</v>
      </c>
      <c r="K2036" t="s">
        <v>138</v>
      </c>
      <c r="L2036" t="s">
        <v>166</v>
      </c>
      <c r="M2036" t="s">
        <v>167</v>
      </c>
      <c r="N2036">
        <v>3</v>
      </c>
      <c r="O2036" s="4">
        <v>850</v>
      </c>
      <c r="P2036" s="4">
        <v>1300</v>
      </c>
      <c r="Q2036" s="7">
        <v>0.1</v>
      </c>
      <c r="R2036" t="s">
        <v>197</v>
      </c>
      <c r="S2036">
        <v>4</v>
      </c>
      <c r="T2036">
        <v>3900</v>
      </c>
      <c r="U2036">
        <v>390</v>
      </c>
      <c r="V2036">
        <v>3510</v>
      </c>
      <c r="W2036">
        <v>2550</v>
      </c>
      <c r="X2036">
        <v>960</v>
      </c>
      <c r="Y2036" s="8">
        <v>0.27350427350427353</v>
      </c>
      <c r="Z2036" t="s">
        <v>2995</v>
      </c>
      <c r="AA2036" t="str">
        <f>IF(AND(SalesCleanTable[[#This Row],[Discount %]]&gt;0, SalesCleanTable[[#This Row],[Profit]]&lt;0), "Discount loss", "Safe")</f>
        <v>Safe</v>
      </c>
      <c r="AB2036" s="25">
        <f>(SalesCleanTable[[#This Row],[Unit Price]] - SalesCleanTable[[#This Row],[Unit Cost]]) / SalesCleanTable[[#This Row],[Unit Price]]</f>
        <v>0.34615384615384615</v>
      </c>
      <c r="AC2036" t="str">
        <f>IF(SalesCleanTable[[#This Row],[Discount %]] &gt; SalesCleanTable[[#This Row],[Max Allowed Discount]], "Discount loss", "Safe")</f>
        <v>Safe</v>
      </c>
      <c r="AD2036" s="4">
        <f>SalesCleanTable[[#This Row],[Unit Price]] - SalesCleanTable[[#This Row],[Unit Cost]]</f>
        <v>450</v>
      </c>
      <c r="AE2036" s="41">
        <f>(SalesCleanTable[[#This Row],[Unit Price]] - SalesCleanTable[[#This Row],[Unit Cost]]) / SalesCleanTable[[#This Row],[Unit Price]]</f>
        <v>0.34615384615384615</v>
      </c>
    </row>
    <row r="2037" spans="1:31">
      <c r="A2037" t="s">
        <v>2223</v>
      </c>
      <c r="B2037" s="6">
        <v>45678</v>
      </c>
      <c r="C2037" t="s">
        <v>24</v>
      </c>
      <c r="D2037" t="s">
        <v>25</v>
      </c>
      <c r="E2037" t="s">
        <v>26</v>
      </c>
      <c r="F2037" t="s">
        <v>27</v>
      </c>
      <c r="G2037" t="s">
        <v>28</v>
      </c>
      <c r="H2037" t="s">
        <v>139</v>
      </c>
      <c r="I2037" t="s">
        <v>140</v>
      </c>
      <c r="J2037" t="s">
        <v>137</v>
      </c>
      <c r="K2037" t="s">
        <v>138</v>
      </c>
      <c r="L2037" t="s">
        <v>183</v>
      </c>
      <c r="M2037" t="s">
        <v>177</v>
      </c>
      <c r="N2037">
        <v>5</v>
      </c>
      <c r="O2037" s="4">
        <v>14500</v>
      </c>
      <c r="P2037" s="4">
        <v>17500</v>
      </c>
      <c r="Q2037" s="7">
        <v>0</v>
      </c>
      <c r="R2037" t="s">
        <v>173</v>
      </c>
      <c r="S2037">
        <v>2</v>
      </c>
      <c r="T2037">
        <v>87500</v>
      </c>
      <c r="U2037">
        <v>0</v>
      </c>
      <c r="V2037">
        <v>87500</v>
      </c>
      <c r="W2037">
        <v>72500</v>
      </c>
      <c r="X2037">
        <v>15000</v>
      </c>
      <c r="Y2037" s="8">
        <v>0.17142857142857143</v>
      </c>
      <c r="Z2037" t="s">
        <v>2995</v>
      </c>
      <c r="AA2037" t="str">
        <f>IF(AND(SalesCleanTable[[#This Row],[Discount %]]&gt;0, SalesCleanTable[[#This Row],[Profit]]&lt;0), "Discount loss", "Safe")</f>
        <v>Safe</v>
      </c>
      <c r="AB2037" s="25">
        <f>(SalesCleanTable[[#This Row],[Unit Price]] - SalesCleanTable[[#This Row],[Unit Cost]]) / SalesCleanTable[[#This Row],[Unit Price]]</f>
        <v>0.17142857142857143</v>
      </c>
      <c r="AC2037" t="str">
        <f>IF(SalesCleanTable[[#This Row],[Discount %]] &gt; SalesCleanTable[[#This Row],[Max Allowed Discount]], "Discount loss", "Safe")</f>
        <v>Safe</v>
      </c>
      <c r="AD2037" s="4">
        <f>SalesCleanTable[[#This Row],[Unit Price]] - SalesCleanTable[[#This Row],[Unit Cost]]</f>
        <v>3000</v>
      </c>
      <c r="AE2037" s="41">
        <f>(SalesCleanTable[[#This Row],[Unit Price]] - SalesCleanTable[[#This Row],[Unit Cost]]) / SalesCleanTable[[#This Row],[Unit Price]]</f>
        <v>0.17142857142857143</v>
      </c>
    </row>
    <row r="2038" spans="1:31">
      <c r="A2038" t="s">
        <v>2224</v>
      </c>
      <c r="B2038" s="6">
        <v>45735</v>
      </c>
      <c r="C2038" t="s">
        <v>29</v>
      </c>
      <c r="D2038" t="s">
        <v>30</v>
      </c>
      <c r="E2038" t="s">
        <v>26</v>
      </c>
      <c r="F2038" t="s">
        <v>27</v>
      </c>
      <c r="G2038" t="s">
        <v>31</v>
      </c>
      <c r="H2038" t="s">
        <v>149</v>
      </c>
      <c r="I2038" t="s">
        <v>150</v>
      </c>
      <c r="J2038" t="s">
        <v>151</v>
      </c>
      <c r="K2038" t="s">
        <v>152</v>
      </c>
      <c r="L2038" t="s">
        <v>166</v>
      </c>
      <c r="M2038" t="s">
        <v>171</v>
      </c>
      <c r="N2038">
        <v>5</v>
      </c>
      <c r="O2038" s="4">
        <v>6200</v>
      </c>
      <c r="P2038" s="4">
        <v>7900</v>
      </c>
      <c r="Q2038" s="7">
        <v>0.05</v>
      </c>
      <c r="R2038" t="s">
        <v>197</v>
      </c>
      <c r="S2038">
        <v>12</v>
      </c>
      <c r="T2038">
        <v>39500</v>
      </c>
      <c r="U2038">
        <v>1975</v>
      </c>
      <c r="V2038">
        <v>37525</v>
      </c>
      <c r="W2038">
        <v>31000</v>
      </c>
      <c r="X2038">
        <v>6525</v>
      </c>
      <c r="Y2038" s="8">
        <v>0.17388407728181213</v>
      </c>
      <c r="Z2038" t="s">
        <v>2996</v>
      </c>
      <c r="AA2038" t="str">
        <f>IF(AND(SalesCleanTable[[#This Row],[Discount %]]&gt;0, SalesCleanTable[[#This Row],[Profit]]&lt;0), "Discount loss", "Safe")</f>
        <v>Safe</v>
      </c>
      <c r="AB2038" s="25">
        <f>(SalesCleanTable[[#This Row],[Unit Price]] - SalesCleanTable[[#This Row],[Unit Cost]]) / SalesCleanTable[[#This Row],[Unit Price]]</f>
        <v>0.21518987341772153</v>
      </c>
      <c r="AC2038" t="str">
        <f>IF(SalesCleanTable[[#This Row],[Discount %]] &gt; SalesCleanTable[[#This Row],[Max Allowed Discount]], "Discount loss", "Safe")</f>
        <v>Safe</v>
      </c>
      <c r="AD2038" s="4">
        <f>SalesCleanTable[[#This Row],[Unit Price]] - SalesCleanTable[[#This Row],[Unit Cost]]</f>
        <v>1700</v>
      </c>
      <c r="AE2038" s="41">
        <f>(SalesCleanTable[[#This Row],[Unit Price]] - SalesCleanTable[[#This Row],[Unit Cost]]) / SalesCleanTable[[#This Row],[Unit Price]]</f>
        <v>0.21518987341772153</v>
      </c>
    </row>
    <row r="2039" spans="1:31">
      <c r="A2039" t="s">
        <v>2225</v>
      </c>
      <c r="B2039" s="6">
        <v>45736</v>
      </c>
      <c r="C2039" t="s">
        <v>103</v>
      </c>
      <c r="D2039" t="s">
        <v>104</v>
      </c>
      <c r="E2039" t="s">
        <v>92</v>
      </c>
      <c r="F2039" t="s">
        <v>105</v>
      </c>
      <c r="G2039" t="s">
        <v>106</v>
      </c>
      <c r="H2039" t="s">
        <v>139</v>
      </c>
      <c r="I2039" t="s">
        <v>140</v>
      </c>
      <c r="J2039" t="s">
        <v>137</v>
      </c>
      <c r="K2039" t="s">
        <v>138</v>
      </c>
      <c r="L2039" t="s">
        <v>166</v>
      </c>
      <c r="M2039" t="s">
        <v>177</v>
      </c>
      <c r="N2039">
        <v>3</v>
      </c>
      <c r="O2039" s="4">
        <v>1500</v>
      </c>
      <c r="P2039" s="4">
        <v>2500</v>
      </c>
      <c r="Q2039" s="7">
        <v>0.2</v>
      </c>
      <c r="R2039" t="s">
        <v>215</v>
      </c>
      <c r="S2039">
        <v>2</v>
      </c>
      <c r="T2039">
        <v>7500</v>
      </c>
      <c r="U2039">
        <v>1500</v>
      </c>
      <c r="V2039">
        <v>6000</v>
      </c>
      <c r="W2039">
        <v>4500</v>
      </c>
      <c r="X2039">
        <v>1500</v>
      </c>
      <c r="Y2039" s="8">
        <v>0.25</v>
      </c>
      <c r="Z2039" t="s">
        <v>2996</v>
      </c>
      <c r="AA2039" t="str">
        <f>IF(AND(SalesCleanTable[[#This Row],[Discount %]]&gt;0, SalesCleanTable[[#This Row],[Profit]]&lt;0), "Discount loss", "Safe")</f>
        <v>Safe</v>
      </c>
      <c r="AB2039" s="25">
        <f>(SalesCleanTable[[#This Row],[Unit Price]] - SalesCleanTable[[#This Row],[Unit Cost]]) / SalesCleanTable[[#This Row],[Unit Price]]</f>
        <v>0.4</v>
      </c>
      <c r="AC2039" t="str">
        <f>IF(SalesCleanTable[[#This Row],[Discount %]] &gt; SalesCleanTable[[#This Row],[Max Allowed Discount]], "Discount loss", "Safe")</f>
        <v>Safe</v>
      </c>
      <c r="AD2039" s="4">
        <f>SalesCleanTable[[#This Row],[Unit Price]] - SalesCleanTable[[#This Row],[Unit Cost]]</f>
        <v>1000</v>
      </c>
      <c r="AE2039" s="41">
        <f>(SalesCleanTable[[#This Row],[Unit Price]] - SalesCleanTable[[#This Row],[Unit Cost]]) / SalesCleanTable[[#This Row],[Unit Price]]</f>
        <v>0.4</v>
      </c>
    </row>
    <row r="2040" spans="1:31">
      <c r="A2040" t="s">
        <v>2226</v>
      </c>
      <c r="B2040" s="6">
        <v>45792</v>
      </c>
      <c r="C2040" t="s">
        <v>62</v>
      </c>
      <c r="D2040" t="s">
        <v>63</v>
      </c>
      <c r="E2040" t="s">
        <v>59</v>
      </c>
      <c r="F2040" t="s">
        <v>64</v>
      </c>
      <c r="G2040" t="s">
        <v>65</v>
      </c>
      <c r="H2040" t="s">
        <v>128</v>
      </c>
      <c r="I2040" t="s">
        <v>129</v>
      </c>
      <c r="J2040" t="s">
        <v>130</v>
      </c>
      <c r="K2040" t="s">
        <v>131</v>
      </c>
      <c r="L2040" t="s">
        <v>166</v>
      </c>
      <c r="M2040" t="s">
        <v>171</v>
      </c>
      <c r="N2040">
        <v>2</v>
      </c>
      <c r="O2040" s="4">
        <v>3200</v>
      </c>
      <c r="P2040" s="4">
        <v>4500</v>
      </c>
      <c r="Q2040" s="7">
        <v>0.05</v>
      </c>
      <c r="R2040" t="s">
        <v>192</v>
      </c>
      <c r="S2040">
        <v>1</v>
      </c>
      <c r="T2040">
        <v>9000</v>
      </c>
      <c r="U2040">
        <v>450</v>
      </c>
      <c r="V2040">
        <v>8550</v>
      </c>
      <c r="W2040">
        <v>6400</v>
      </c>
      <c r="X2040">
        <v>2150</v>
      </c>
      <c r="Y2040" s="8">
        <v>0.25146198830409355</v>
      </c>
      <c r="Z2040" t="s">
        <v>2996</v>
      </c>
      <c r="AA2040" t="str">
        <f>IF(AND(SalesCleanTable[[#This Row],[Discount %]]&gt;0, SalesCleanTable[[#This Row],[Profit]]&lt;0), "Discount loss", "Safe")</f>
        <v>Safe</v>
      </c>
      <c r="AB2040" s="25">
        <f>(SalesCleanTable[[#This Row],[Unit Price]] - SalesCleanTable[[#This Row],[Unit Cost]]) / SalesCleanTable[[#This Row],[Unit Price]]</f>
        <v>0.28888888888888886</v>
      </c>
      <c r="AC2040" t="str">
        <f>IF(SalesCleanTable[[#This Row],[Discount %]] &gt; SalesCleanTable[[#This Row],[Max Allowed Discount]], "Discount loss", "Safe")</f>
        <v>Safe</v>
      </c>
      <c r="AD2040" s="4">
        <f>SalesCleanTable[[#This Row],[Unit Price]] - SalesCleanTable[[#This Row],[Unit Cost]]</f>
        <v>1300</v>
      </c>
      <c r="AE2040" s="41">
        <f>(SalesCleanTable[[#This Row],[Unit Price]] - SalesCleanTable[[#This Row],[Unit Cost]]) / SalesCleanTable[[#This Row],[Unit Price]]</f>
        <v>0.28888888888888886</v>
      </c>
    </row>
    <row r="2041" spans="1:31">
      <c r="A2041" t="s">
        <v>2227</v>
      </c>
      <c r="B2041" s="6">
        <v>45748</v>
      </c>
      <c r="C2041" t="s">
        <v>62</v>
      </c>
      <c r="D2041" t="s">
        <v>63</v>
      </c>
      <c r="E2041" t="s">
        <v>59</v>
      </c>
      <c r="F2041" t="s">
        <v>64</v>
      </c>
      <c r="G2041" t="s">
        <v>65</v>
      </c>
      <c r="H2041" t="s">
        <v>139</v>
      </c>
      <c r="I2041" t="s">
        <v>140</v>
      </c>
      <c r="J2041" t="s">
        <v>137</v>
      </c>
      <c r="K2041" t="s">
        <v>138</v>
      </c>
      <c r="L2041" t="s">
        <v>166</v>
      </c>
      <c r="M2041" t="s">
        <v>167</v>
      </c>
      <c r="N2041">
        <v>8</v>
      </c>
      <c r="O2041" s="4">
        <v>3200</v>
      </c>
      <c r="P2041" s="4">
        <v>4500</v>
      </c>
      <c r="Q2041" s="7">
        <v>0.05</v>
      </c>
      <c r="R2041" t="s">
        <v>204</v>
      </c>
      <c r="S2041">
        <v>9</v>
      </c>
      <c r="T2041">
        <v>36000</v>
      </c>
      <c r="U2041">
        <v>1800</v>
      </c>
      <c r="V2041">
        <v>34200</v>
      </c>
      <c r="W2041">
        <v>25600</v>
      </c>
      <c r="X2041">
        <v>8600</v>
      </c>
      <c r="Y2041" s="8">
        <v>0.25146198830409355</v>
      </c>
      <c r="Z2041" t="s">
        <v>2996</v>
      </c>
      <c r="AA2041" t="str">
        <f>IF(AND(SalesCleanTable[[#This Row],[Discount %]]&gt;0, SalesCleanTable[[#This Row],[Profit]]&lt;0), "Discount loss", "Safe")</f>
        <v>Safe</v>
      </c>
      <c r="AB2041" s="25">
        <f>(SalesCleanTable[[#This Row],[Unit Price]] - SalesCleanTable[[#This Row],[Unit Cost]]) / SalesCleanTable[[#This Row],[Unit Price]]</f>
        <v>0.28888888888888886</v>
      </c>
      <c r="AC2041" t="str">
        <f>IF(SalesCleanTable[[#This Row],[Discount %]] &gt; SalesCleanTable[[#This Row],[Max Allowed Discount]], "Discount loss", "Safe")</f>
        <v>Safe</v>
      </c>
      <c r="AD2041" s="4">
        <f>SalesCleanTable[[#This Row],[Unit Price]] - SalesCleanTable[[#This Row],[Unit Cost]]</f>
        <v>1300</v>
      </c>
      <c r="AE2041" s="41">
        <f>(SalesCleanTable[[#This Row],[Unit Price]] - SalesCleanTable[[#This Row],[Unit Cost]]) / SalesCleanTable[[#This Row],[Unit Price]]</f>
        <v>0.28888888888888886</v>
      </c>
    </row>
    <row r="2042" spans="1:31">
      <c r="A2042" t="s">
        <v>2228</v>
      </c>
      <c r="B2042" s="6">
        <v>45856</v>
      </c>
      <c r="C2042" t="s">
        <v>73</v>
      </c>
      <c r="D2042" t="s">
        <v>74</v>
      </c>
      <c r="E2042" t="s">
        <v>75</v>
      </c>
      <c r="F2042" t="s">
        <v>76</v>
      </c>
      <c r="G2042" t="s">
        <v>77</v>
      </c>
      <c r="H2042" t="s">
        <v>135</v>
      </c>
      <c r="I2042" t="s">
        <v>136</v>
      </c>
      <c r="J2042" t="s">
        <v>137</v>
      </c>
      <c r="K2042" t="s">
        <v>138</v>
      </c>
      <c r="L2042" t="s">
        <v>183</v>
      </c>
      <c r="M2042" t="s">
        <v>177</v>
      </c>
      <c r="N2042">
        <v>6</v>
      </c>
      <c r="O2042" s="4">
        <v>3500</v>
      </c>
      <c r="P2042" s="4">
        <v>5200</v>
      </c>
      <c r="Q2042" s="7">
        <v>0.1</v>
      </c>
      <c r="R2042" t="s">
        <v>208</v>
      </c>
      <c r="S2042">
        <v>12</v>
      </c>
      <c r="T2042">
        <v>31200</v>
      </c>
      <c r="U2042">
        <v>3120</v>
      </c>
      <c r="V2042">
        <v>28080</v>
      </c>
      <c r="W2042">
        <v>21000</v>
      </c>
      <c r="X2042">
        <v>7080</v>
      </c>
      <c r="Y2042" s="8">
        <v>0.25213675213675213</v>
      </c>
      <c r="Z2042" t="s">
        <v>2996</v>
      </c>
      <c r="AA2042" t="str">
        <f>IF(AND(SalesCleanTable[[#This Row],[Discount %]]&gt;0, SalesCleanTable[[#This Row],[Profit]]&lt;0), "Discount loss", "Safe")</f>
        <v>Safe</v>
      </c>
      <c r="AB2042" s="25">
        <f>(SalesCleanTable[[#This Row],[Unit Price]] - SalesCleanTable[[#This Row],[Unit Cost]]) / SalesCleanTable[[#This Row],[Unit Price]]</f>
        <v>0.32692307692307693</v>
      </c>
      <c r="AC2042" t="str">
        <f>IF(SalesCleanTable[[#This Row],[Discount %]] &gt; SalesCleanTable[[#This Row],[Max Allowed Discount]], "Discount loss", "Safe")</f>
        <v>Safe</v>
      </c>
      <c r="AD2042" s="4">
        <f>SalesCleanTable[[#This Row],[Unit Price]] - SalesCleanTable[[#This Row],[Unit Cost]]</f>
        <v>1700</v>
      </c>
      <c r="AE2042" s="41">
        <f>(SalesCleanTable[[#This Row],[Unit Price]] - SalesCleanTable[[#This Row],[Unit Cost]]) / SalesCleanTable[[#This Row],[Unit Price]]</f>
        <v>0.32692307692307693</v>
      </c>
    </row>
    <row r="2043" spans="1:31">
      <c r="A2043" t="s">
        <v>2229</v>
      </c>
      <c r="B2043" s="6">
        <v>45809</v>
      </c>
      <c r="C2043" t="s">
        <v>78</v>
      </c>
      <c r="D2043" t="s">
        <v>79</v>
      </c>
      <c r="E2043" t="s">
        <v>75</v>
      </c>
      <c r="F2043" t="s">
        <v>80</v>
      </c>
      <c r="G2043" t="s">
        <v>81</v>
      </c>
      <c r="H2043" t="s">
        <v>128</v>
      </c>
      <c r="I2043" t="s">
        <v>129</v>
      </c>
      <c r="J2043" t="s">
        <v>130</v>
      </c>
      <c r="K2043" t="s">
        <v>131</v>
      </c>
      <c r="L2043" t="s">
        <v>183</v>
      </c>
      <c r="M2043" t="s">
        <v>177</v>
      </c>
      <c r="N2043">
        <v>-2</v>
      </c>
      <c r="O2043" s="4">
        <v>1200</v>
      </c>
      <c r="P2043" s="4">
        <v>1900</v>
      </c>
      <c r="Q2043" s="7">
        <v>0.2</v>
      </c>
      <c r="R2043" t="s">
        <v>187</v>
      </c>
      <c r="S2043">
        <v>3</v>
      </c>
      <c r="T2043">
        <v>-3800</v>
      </c>
      <c r="U2043">
        <v>-760</v>
      </c>
      <c r="V2043">
        <v>-3040</v>
      </c>
      <c r="W2043">
        <v>-2400</v>
      </c>
      <c r="X2043">
        <v>-640</v>
      </c>
      <c r="Y2043" s="8">
        <v>0.21052631578947367</v>
      </c>
      <c r="Z2043" t="s">
        <v>2996</v>
      </c>
      <c r="AA2043" t="str">
        <f>IF(AND(SalesCleanTable[[#This Row],[Discount %]]&gt;0, SalesCleanTable[[#This Row],[Profit]]&lt;0), "Discount loss", "Safe")</f>
        <v>Discount loss</v>
      </c>
      <c r="AB2043" s="25">
        <f>(SalesCleanTable[[#This Row],[Unit Price]] - SalesCleanTable[[#This Row],[Unit Cost]]) / SalesCleanTable[[#This Row],[Unit Price]]</f>
        <v>0.36842105263157893</v>
      </c>
      <c r="AC2043" t="str">
        <f>IF(SalesCleanTable[[#This Row],[Discount %]] &gt; SalesCleanTable[[#This Row],[Max Allowed Discount]], "Discount loss", "Safe")</f>
        <v>Safe</v>
      </c>
      <c r="AD2043" s="4">
        <f>SalesCleanTable[[#This Row],[Unit Price]] - SalesCleanTable[[#This Row],[Unit Cost]]</f>
        <v>700</v>
      </c>
      <c r="AE2043" s="41">
        <f>(SalesCleanTable[[#This Row],[Unit Price]] - SalesCleanTable[[#This Row],[Unit Cost]]) / SalesCleanTable[[#This Row],[Unit Price]]</f>
        <v>0.36842105263157893</v>
      </c>
    </row>
    <row r="2044" spans="1:31">
      <c r="A2044" t="s">
        <v>2230</v>
      </c>
      <c r="B2044" s="6">
        <v>45690</v>
      </c>
      <c r="C2044" t="s">
        <v>24</v>
      </c>
      <c r="D2044" t="s">
        <v>25</v>
      </c>
      <c r="E2044" t="s">
        <v>26</v>
      </c>
      <c r="F2044" t="s">
        <v>27</v>
      </c>
      <c r="G2044" t="s">
        <v>28</v>
      </c>
      <c r="H2044" t="s">
        <v>133</v>
      </c>
      <c r="I2044" t="s">
        <v>134</v>
      </c>
      <c r="J2044" t="s">
        <v>130</v>
      </c>
      <c r="K2044" t="s">
        <v>131</v>
      </c>
      <c r="L2044" t="s">
        <v>170</v>
      </c>
      <c r="M2044" t="s">
        <v>167</v>
      </c>
      <c r="N2044">
        <v>2</v>
      </c>
      <c r="O2044" s="4">
        <v>14500</v>
      </c>
      <c r="P2044" s="4">
        <v>17500</v>
      </c>
      <c r="Q2044" s="7">
        <v>0</v>
      </c>
      <c r="R2044" t="s">
        <v>194</v>
      </c>
      <c r="S2044">
        <v>9</v>
      </c>
      <c r="T2044">
        <v>35000</v>
      </c>
      <c r="U2044">
        <v>0</v>
      </c>
      <c r="V2044">
        <v>35000</v>
      </c>
      <c r="W2044">
        <v>29000</v>
      </c>
      <c r="X2044">
        <v>6000</v>
      </c>
      <c r="Y2044" s="8">
        <v>0.17142857142857143</v>
      </c>
      <c r="Z2044" t="s">
        <v>2995</v>
      </c>
      <c r="AA2044" t="str">
        <f>IF(AND(SalesCleanTable[[#This Row],[Discount %]]&gt;0, SalesCleanTable[[#This Row],[Profit]]&lt;0), "Discount loss", "Safe")</f>
        <v>Safe</v>
      </c>
      <c r="AB2044" s="25">
        <f>(SalesCleanTable[[#This Row],[Unit Price]] - SalesCleanTable[[#This Row],[Unit Cost]]) / SalesCleanTable[[#This Row],[Unit Price]]</f>
        <v>0.17142857142857143</v>
      </c>
      <c r="AC2044" t="str">
        <f>IF(SalesCleanTable[[#This Row],[Discount %]] &gt; SalesCleanTable[[#This Row],[Max Allowed Discount]], "Discount loss", "Safe")</f>
        <v>Safe</v>
      </c>
      <c r="AD2044" s="4">
        <f>SalesCleanTable[[#This Row],[Unit Price]] - SalesCleanTable[[#This Row],[Unit Cost]]</f>
        <v>3000</v>
      </c>
      <c r="AE2044" s="41">
        <f>(SalesCleanTable[[#This Row],[Unit Price]] - SalesCleanTable[[#This Row],[Unit Cost]]) / SalesCleanTable[[#This Row],[Unit Price]]</f>
        <v>0.17142857142857143</v>
      </c>
    </row>
    <row r="2045" spans="1:31">
      <c r="A2045" t="s">
        <v>2231</v>
      </c>
      <c r="B2045" s="6">
        <v>45948</v>
      </c>
      <c r="C2045" t="s">
        <v>90</v>
      </c>
      <c r="D2045" t="s">
        <v>91</v>
      </c>
      <c r="E2045" t="s">
        <v>92</v>
      </c>
      <c r="F2045" t="s">
        <v>93</v>
      </c>
      <c r="G2045" t="s">
        <v>94</v>
      </c>
      <c r="H2045" t="s">
        <v>145</v>
      </c>
      <c r="I2045" t="s">
        <v>146</v>
      </c>
      <c r="J2045" t="s">
        <v>147</v>
      </c>
      <c r="K2045" t="s">
        <v>148</v>
      </c>
      <c r="L2045" t="s">
        <v>183</v>
      </c>
      <c r="M2045" t="s">
        <v>177</v>
      </c>
      <c r="N2045">
        <v>1</v>
      </c>
      <c r="O2045" s="4">
        <v>7500</v>
      </c>
      <c r="P2045" s="4">
        <v>10500</v>
      </c>
      <c r="Q2045" s="7">
        <v>0.15</v>
      </c>
      <c r="R2045" t="s">
        <v>217</v>
      </c>
      <c r="S2045">
        <v>10</v>
      </c>
      <c r="T2045">
        <v>10500</v>
      </c>
      <c r="U2045">
        <v>1575</v>
      </c>
      <c r="V2045">
        <v>8925</v>
      </c>
      <c r="W2045">
        <v>7500</v>
      </c>
      <c r="X2045">
        <v>1425</v>
      </c>
      <c r="Y2045" s="8">
        <v>0.15966386554621848</v>
      </c>
      <c r="Z2045" t="s">
        <v>2996</v>
      </c>
      <c r="AA2045" t="str">
        <f>IF(AND(SalesCleanTable[[#This Row],[Discount %]]&gt;0, SalesCleanTable[[#This Row],[Profit]]&lt;0), "Discount loss", "Safe")</f>
        <v>Safe</v>
      </c>
      <c r="AB2045" s="25">
        <f>(SalesCleanTable[[#This Row],[Unit Price]] - SalesCleanTable[[#This Row],[Unit Cost]]) / SalesCleanTable[[#This Row],[Unit Price]]</f>
        <v>0.2857142857142857</v>
      </c>
      <c r="AC2045" t="str">
        <f>IF(SalesCleanTable[[#This Row],[Discount %]] &gt; SalesCleanTable[[#This Row],[Max Allowed Discount]], "Discount loss", "Safe")</f>
        <v>Safe</v>
      </c>
      <c r="AD2045" s="4">
        <f>SalesCleanTable[[#This Row],[Unit Price]] - SalesCleanTable[[#This Row],[Unit Cost]]</f>
        <v>3000</v>
      </c>
      <c r="AE2045" s="41">
        <f>(SalesCleanTable[[#This Row],[Unit Price]] - SalesCleanTable[[#This Row],[Unit Cost]]) / SalesCleanTable[[#This Row],[Unit Price]]</f>
        <v>0.2857142857142857</v>
      </c>
    </row>
    <row r="2046" spans="1:31">
      <c r="A2046" t="s">
        <v>2232</v>
      </c>
      <c r="B2046" s="6">
        <v>45971</v>
      </c>
      <c r="C2046" t="s">
        <v>45</v>
      </c>
      <c r="D2046" t="s">
        <v>46</v>
      </c>
      <c r="E2046" t="s">
        <v>38</v>
      </c>
      <c r="F2046" t="s">
        <v>47</v>
      </c>
      <c r="G2046" t="s">
        <v>48</v>
      </c>
      <c r="H2046" t="s">
        <v>141</v>
      </c>
      <c r="I2046" t="s">
        <v>142</v>
      </c>
      <c r="J2046" t="s">
        <v>143</v>
      </c>
      <c r="K2046" t="s">
        <v>144</v>
      </c>
      <c r="L2046" t="s">
        <v>183</v>
      </c>
      <c r="M2046" t="s">
        <v>177</v>
      </c>
      <c r="N2046">
        <v>1</v>
      </c>
      <c r="O2046" s="4">
        <v>230</v>
      </c>
      <c r="P2046" s="4">
        <v>400</v>
      </c>
      <c r="Q2046" s="7">
        <v>0</v>
      </c>
      <c r="R2046" t="s">
        <v>168</v>
      </c>
      <c r="S2046">
        <v>1</v>
      </c>
      <c r="T2046">
        <v>400</v>
      </c>
      <c r="U2046">
        <v>0</v>
      </c>
      <c r="V2046">
        <v>400</v>
      </c>
      <c r="W2046">
        <v>230</v>
      </c>
      <c r="X2046">
        <v>170</v>
      </c>
      <c r="Y2046" s="8">
        <v>0.42499999999999999</v>
      </c>
      <c r="Z2046" t="s">
        <v>2995</v>
      </c>
      <c r="AA2046" t="str">
        <f>IF(AND(SalesCleanTable[[#This Row],[Discount %]]&gt;0, SalesCleanTable[[#This Row],[Profit]]&lt;0), "Discount loss", "Safe")</f>
        <v>Safe</v>
      </c>
      <c r="AB2046" s="25">
        <f>(SalesCleanTable[[#This Row],[Unit Price]] - SalesCleanTable[[#This Row],[Unit Cost]]) / SalesCleanTable[[#This Row],[Unit Price]]</f>
        <v>0.42499999999999999</v>
      </c>
      <c r="AC2046" t="str">
        <f>IF(SalesCleanTable[[#This Row],[Discount %]] &gt; SalesCleanTable[[#This Row],[Max Allowed Discount]], "Discount loss", "Safe")</f>
        <v>Safe</v>
      </c>
      <c r="AD2046" s="4">
        <f>SalesCleanTable[[#This Row],[Unit Price]] - SalesCleanTable[[#This Row],[Unit Cost]]</f>
        <v>170</v>
      </c>
      <c r="AE2046" s="41">
        <f>(SalesCleanTable[[#This Row],[Unit Price]] - SalesCleanTable[[#This Row],[Unit Cost]]) / SalesCleanTable[[#This Row],[Unit Price]]</f>
        <v>0.42499999999999999</v>
      </c>
    </row>
    <row r="2047" spans="1:31">
      <c r="A2047" t="s">
        <v>2233</v>
      </c>
      <c r="B2047" s="6">
        <v>45879</v>
      </c>
      <c r="C2047" t="s">
        <v>53</v>
      </c>
      <c r="D2047" t="s">
        <v>54</v>
      </c>
      <c r="E2047" t="s">
        <v>38</v>
      </c>
      <c r="F2047" t="s">
        <v>55</v>
      </c>
      <c r="G2047" t="s">
        <v>56</v>
      </c>
      <c r="H2047" t="s">
        <v>128</v>
      </c>
      <c r="I2047" t="s">
        <v>129</v>
      </c>
      <c r="J2047" t="s">
        <v>130</v>
      </c>
      <c r="K2047" t="s">
        <v>131</v>
      </c>
      <c r="L2047" t="s">
        <v>166</v>
      </c>
      <c r="M2047" t="s">
        <v>177</v>
      </c>
      <c r="N2047">
        <v>4</v>
      </c>
      <c r="O2047" s="4">
        <v>330</v>
      </c>
      <c r="P2047" s="4">
        <v>550</v>
      </c>
      <c r="Q2047" s="7">
        <v>0</v>
      </c>
      <c r="R2047" t="s">
        <v>178</v>
      </c>
      <c r="S2047">
        <v>12</v>
      </c>
      <c r="T2047">
        <v>2200</v>
      </c>
      <c r="U2047">
        <v>0</v>
      </c>
      <c r="V2047">
        <v>2200</v>
      </c>
      <c r="W2047">
        <v>1320</v>
      </c>
      <c r="X2047">
        <v>880</v>
      </c>
      <c r="Y2047" s="8">
        <v>0.4</v>
      </c>
      <c r="Z2047" t="s">
        <v>2996</v>
      </c>
      <c r="AA2047" t="str">
        <f>IF(AND(SalesCleanTable[[#This Row],[Discount %]]&gt;0, SalesCleanTable[[#This Row],[Profit]]&lt;0), "Discount loss", "Safe")</f>
        <v>Safe</v>
      </c>
      <c r="AB2047" s="25">
        <f>(SalesCleanTable[[#This Row],[Unit Price]] - SalesCleanTable[[#This Row],[Unit Cost]]) / SalesCleanTable[[#This Row],[Unit Price]]</f>
        <v>0.4</v>
      </c>
      <c r="AC2047" t="str">
        <f>IF(SalesCleanTable[[#This Row],[Discount %]] &gt; SalesCleanTable[[#This Row],[Max Allowed Discount]], "Discount loss", "Safe")</f>
        <v>Safe</v>
      </c>
      <c r="AD2047" s="4">
        <f>SalesCleanTable[[#This Row],[Unit Price]] - SalesCleanTable[[#This Row],[Unit Cost]]</f>
        <v>220</v>
      </c>
      <c r="AE2047" s="41">
        <f>(SalesCleanTable[[#This Row],[Unit Price]] - SalesCleanTable[[#This Row],[Unit Cost]]) / SalesCleanTable[[#This Row],[Unit Price]]</f>
        <v>0.4</v>
      </c>
    </row>
    <row r="2048" spans="1:31">
      <c r="A2048" t="s">
        <v>2234</v>
      </c>
      <c r="B2048" s="6">
        <v>45830</v>
      </c>
      <c r="C2048" t="s">
        <v>36</v>
      </c>
      <c r="D2048" t="s">
        <v>37</v>
      </c>
      <c r="E2048" t="s">
        <v>38</v>
      </c>
      <c r="F2048" t="s">
        <v>39</v>
      </c>
      <c r="G2048" t="s">
        <v>40</v>
      </c>
      <c r="H2048" t="s">
        <v>135</v>
      </c>
      <c r="I2048" t="s">
        <v>136</v>
      </c>
      <c r="J2048" t="s">
        <v>137</v>
      </c>
      <c r="K2048" t="s">
        <v>138</v>
      </c>
      <c r="L2048" t="s">
        <v>183</v>
      </c>
      <c r="M2048" t="s">
        <v>186</v>
      </c>
      <c r="N2048">
        <v>6</v>
      </c>
      <c r="O2048" s="4">
        <v>1650</v>
      </c>
      <c r="P2048" s="4">
        <v>2200</v>
      </c>
      <c r="Q2048" s="7">
        <v>0</v>
      </c>
      <c r="R2048" t="s">
        <v>178</v>
      </c>
      <c r="S2048">
        <v>5</v>
      </c>
      <c r="T2048">
        <v>13200</v>
      </c>
      <c r="U2048">
        <v>0</v>
      </c>
      <c r="V2048">
        <v>13200</v>
      </c>
      <c r="W2048">
        <v>9900</v>
      </c>
      <c r="X2048">
        <v>3300</v>
      </c>
      <c r="Y2048" s="8">
        <v>0.25</v>
      </c>
      <c r="Z2048" t="s">
        <v>2995</v>
      </c>
      <c r="AA2048" t="str">
        <f>IF(AND(SalesCleanTable[[#This Row],[Discount %]]&gt;0, SalesCleanTable[[#This Row],[Profit]]&lt;0), "Discount loss", "Safe")</f>
        <v>Safe</v>
      </c>
      <c r="AB2048" s="25">
        <f>(SalesCleanTable[[#This Row],[Unit Price]] - SalesCleanTable[[#This Row],[Unit Cost]]) / SalesCleanTable[[#This Row],[Unit Price]]</f>
        <v>0.25</v>
      </c>
      <c r="AC2048" t="str">
        <f>IF(SalesCleanTable[[#This Row],[Discount %]] &gt; SalesCleanTable[[#This Row],[Max Allowed Discount]], "Discount loss", "Safe")</f>
        <v>Safe</v>
      </c>
      <c r="AD2048" s="4">
        <f>SalesCleanTable[[#This Row],[Unit Price]] - SalesCleanTable[[#This Row],[Unit Cost]]</f>
        <v>550</v>
      </c>
      <c r="AE2048" s="41">
        <f>(SalesCleanTable[[#This Row],[Unit Price]] - SalesCleanTable[[#This Row],[Unit Cost]]) / SalesCleanTable[[#This Row],[Unit Price]]</f>
        <v>0.25</v>
      </c>
    </row>
    <row r="2049" spans="1:31">
      <c r="A2049" t="s">
        <v>2235</v>
      </c>
      <c r="B2049" s="6">
        <v>45929</v>
      </c>
      <c r="C2049" t="s">
        <v>107</v>
      </c>
      <c r="D2049" t="s">
        <v>108</v>
      </c>
      <c r="E2049" t="s">
        <v>109</v>
      </c>
      <c r="F2049" t="s">
        <v>110</v>
      </c>
      <c r="G2049" t="s">
        <v>111</v>
      </c>
      <c r="H2049" t="s">
        <v>139</v>
      </c>
      <c r="I2049" t="s">
        <v>140</v>
      </c>
      <c r="J2049" t="s">
        <v>137</v>
      </c>
      <c r="K2049" t="s">
        <v>138</v>
      </c>
      <c r="L2049" t="s">
        <v>183</v>
      </c>
      <c r="M2049" t="s">
        <v>171</v>
      </c>
      <c r="N2049">
        <v>1</v>
      </c>
      <c r="O2049" s="4">
        <v>5200</v>
      </c>
      <c r="P2049" s="4">
        <v>7000</v>
      </c>
      <c r="Q2049" s="7">
        <v>0.1</v>
      </c>
      <c r="R2049" t="s">
        <v>184</v>
      </c>
      <c r="S2049">
        <v>3</v>
      </c>
      <c r="T2049">
        <v>7000</v>
      </c>
      <c r="U2049">
        <v>700</v>
      </c>
      <c r="V2049">
        <v>6300</v>
      </c>
      <c r="W2049">
        <v>5200</v>
      </c>
      <c r="X2049">
        <v>1100</v>
      </c>
      <c r="Y2049" s="8">
        <v>0.17460317460317459</v>
      </c>
      <c r="Z2049" t="s">
        <v>2997</v>
      </c>
      <c r="AA2049" t="str">
        <f>IF(AND(SalesCleanTable[[#This Row],[Discount %]]&gt;0, SalesCleanTable[[#This Row],[Profit]]&lt;0), "Discount loss", "Safe")</f>
        <v>Safe</v>
      </c>
      <c r="AB2049" s="25">
        <f>(SalesCleanTable[[#This Row],[Unit Price]] - SalesCleanTable[[#This Row],[Unit Cost]]) / SalesCleanTable[[#This Row],[Unit Price]]</f>
        <v>0.25714285714285712</v>
      </c>
      <c r="AC2049" t="str">
        <f>IF(SalesCleanTable[[#This Row],[Discount %]] &gt; SalesCleanTable[[#This Row],[Max Allowed Discount]], "Discount loss", "Safe")</f>
        <v>Safe</v>
      </c>
      <c r="AD2049" s="4">
        <f>SalesCleanTable[[#This Row],[Unit Price]] - SalesCleanTable[[#This Row],[Unit Cost]]</f>
        <v>1800</v>
      </c>
      <c r="AE2049" s="41">
        <f>(SalesCleanTable[[#This Row],[Unit Price]] - SalesCleanTable[[#This Row],[Unit Cost]]) / SalesCleanTable[[#This Row],[Unit Price]]</f>
        <v>0.25714285714285712</v>
      </c>
    </row>
    <row r="2050" spans="1:31">
      <c r="A2050" t="s">
        <v>2236</v>
      </c>
      <c r="B2050" s="6">
        <v>45947</v>
      </c>
      <c r="C2050" t="s">
        <v>90</v>
      </c>
      <c r="D2050" t="s">
        <v>91</v>
      </c>
      <c r="E2050" t="s">
        <v>92</v>
      </c>
      <c r="F2050" t="s">
        <v>93</v>
      </c>
      <c r="G2050" t="s">
        <v>94</v>
      </c>
      <c r="H2050" t="s">
        <v>128</v>
      </c>
      <c r="I2050" t="s">
        <v>129</v>
      </c>
      <c r="J2050" t="s">
        <v>130</v>
      </c>
      <c r="K2050" t="s">
        <v>131</v>
      </c>
      <c r="L2050" t="s">
        <v>166</v>
      </c>
      <c r="M2050" t="s">
        <v>171</v>
      </c>
      <c r="N2050">
        <v>2</v>
      </c>
      <c r="O2050" s="4">
        <v>7500</v>
      </c>
      <c r="P2050" s="4">
        <v>10500</v>
      </c>
      <c r="Q2050" s="7">
        <v>0.15</v>
      </c>
      <c r="R2050" t="s">
        <v>217</v>
      </c>
      <c r="S2050">
        <v>4</v>
      </c>
      <c r="T2050">
        <v>21000</v>
      </c>
      <c r="U2050">
        <v>3150</v>
      </c>
      <c r="V2050">
        <v>17850</v>
      </c>
      <c r="W2050">
        <v>15000</v>
      </c>
      <c r="X2050">
        <v>2850</v>
      </c>
      <c r="Y2050" s="8">
        <v>0.15966386554621848</v>
      </c>
      <c r="Z2050" t="s">
        <v>2996</v>
      </c>
      <c r="AA2050" t="str">
        <f>IF(AND(SalesCleanTable[[#This Row],[Discount %]]&gt;0, SalesCleanTable[[#This Row],[Profit]]&lt;0), "Discount loss", "Safe")</f>
        <v>Safe</v>
      </c>
      <c r="AB2050" s="25">
        <f>(SalesCleanTable[[#This Row],[Unit Price]] - SalesCleanTable[[#This Row],[Unit Cost]]) / SalesCleanTable[[#This Row],[Unit Price]]</f>
        <v>0.2857142857142857</v>
      </c>
      <c r="AC2050" t="str">
        <f>IF(SalesCleanTable[[#This Row],[Discount %]] &gt; SalesCleanTable[[#This Row],[Max Allowed Discount]], "Discount loss", "Safe")</f>
        <v>Safe</v>
      </c>
      <c r="AD2050" s="4">
        <f>SalesCleanTable[[#This Row],[Unit Price]] - SalesCleanTable[[#This Row],[Unit Cost]]</f>
        <v>3000</v>
      </c>
      <c r="AE2050" s="41">
        <f>(SalesCleanTable[[#This Row],[Unit Price]] - SalesCleanTable[[#This Row],[Unit Cost]]) / SalesCleanTable[[#This Row],[Unit Price]]</f>
        <v>0.2857142857142857</v>
      </c>
    </row>
    <row r="2051" spans="1:31">
      <c r="A2051" t="s">
        <v>2237</v>
      </c>
      <c r="B2051" s="6">
        <v>45748</v>
      </c>
      <c r="C2051" t="s">
        <v>99</v>
      </c>
      <c r="D2051" t="s">
        <v>100</v>
      </c>
      <c r="E2051" t="s">
        <v>92</v>
      </c>
      <c r="F2051" t="s">
        <v>101</v>
      </c>
      <c r="G2051" t="s">
        <v>102</v>
      </c>
      <c r="H2051" t="s">
        <v>153</v>
      </c>
      <c r="I2051" t="s">
        <v>154</v>
      </c>
      <c r="J2051" t="s">
        <v>155</v>
      </c>
      <c r="K2051" t="s">
        <v>131</v>
      </c>
      <c r="L2051" t="s">
        <v>183</v>
      </c>
      <c r="M2051" t="s">
        <v>186</v>
      </c>
      <c r="N2051">
        <v>1</v>
      </c>
      <c r="O2051" s="4">
        <v>12500</v>
      </c>
      <c r="P2051" s="4">
        <v>18500</v>
      </c>
      <c r="Q2051" s="7">
        <v>0.15</v>
      </c>
      <c r="R2051" t="s">
        <v>181</v>
      </c>
      <c r="S2051">
        <v>4</v>
      </c>
      <c r="T2051">
        <v>18500</v>
      </c>
      <c r="U2051">
        <v>2775</v>
      </c>
      <c r="V2051">
        <v>15725</v>
      </c>
      <c r="W2051">
        <v>12500</v>
      </c>
      <c r="X2051">
        <v>3225</v>
      </c>
      <c r="Y2051" s="8">
        <v>0.20508744038155802</v>
      </c>
      <c r="Z2051" t="s">
        <v>2995</v>
      </c>
      <c r="AA2051" t="str">
        <f>IF(AND(SalesCleanTable[[#This Row],[Discount %]]&gt;0, SalesCleanTable[[#This Row],[Profit]]&lt;0), "Discount loss", "Safe")</f>
        <v>Safe</v>
      </c>
      <c r="AB2051" s="25">
        <f>(SalesCleanTable[[#This Row],[Unit Price]] - SalesCleanTable[[#This Row],[Unit Cost]]) / SalesCleanTable[[#This Row],[Unit Price]]</f>
        <v>0.32432432432432434</v>
      </c>
      <c r="AC2051" t="str">
        <f>IF(SalesCleanTable[[#This Row],[Discount %]] &gt; SalesCleanTable[[#This Row],[Max Allowed Discount]], "Discount loss", "Safe")</f>
        <v>Safe</v>
      </c>
      <c r="AD2051" s="4">
        <f>SalesCleanTable[[#This Row],[Unit Price]] - SalesCleanTable[[#This Row],[Unit Cost]]</f>
        <v>6000</v>
      </c>
      <c r="AE2051" s="41">
        <f>(SalesCleanTable[[#This Row],[Unit Price]] - SalesCleanTable[[#This Row],[Unit Cost]]) / SalesCleanTable[[#This Row],[Unit Price]]</f>
        <v>0.32432432432432434</v>
      </c>
    </row>
    <row r="2052" spans="1:31">
      <c r="A2052" t="s">
        <v>2238</v>
      </c>
      <c r="B2052" s="6">
        <v>45866</v>
      </c>
      <c r="C2052" t="s">
        <v>107</v>
      </c>
      <c r="D2052" t="s">
        <v>108</v>
      </c>
      <c r="E2052" t="s">
        <v>109</v>
      </c>
      <c r="F2052" t="s">
        <v>110</v>
      </c>
      <c r="G2052" t="s">
        <v>111</v>
      </c>
      <c r="H2052" t="s">
        <v>128</v>
      </c>
      <c r="I2052" t="s">
        <v>129</v>
      </c>
      <c r="J2052" t="s">
        <v>130</v>
      </c>
      <c r="K2052" t="s">
        <v>131</v>
      </c>
      <c r="L2052" t="s">
        <v>183</v>
      </c>
      <c r="M2052" t="s">
        <v>171</v>
      </c>
      <c r="N2052">
        <v>2</v>
      </c>
      <c r="O2052" s="4">
        <v>5200</v>
      </c>
      <c r="P2052" s="4">
        <v>7000</v>
      </c>
      <c r="Q2052" s="7">
        <v>0.05</v>
      </c>
      <c r="R2052" t="s">
        <v>220</v>
      </c>
      <c r="S2052">
        <v>3</v>
      </c>
      <c r="T2052">
        <v>14000</v>
      </c>
      <c r="U2052">
        <v>700</v>
      </c>
      <c r="V2052">
        <v>13300</v>
      </c>
      <c r="W2052">
        <v>10400</v>
      </c>
      <c r="X2052">
        <v>2900</v>
      </c>
      <c r="Y2052" s="8">
        <v>0.21804511278195488</v>
      </c>
      <c r="Z2052" t="s">
        <v>2997</v>
      </c>
      <c r="AA2052" t="str">
        <f>IF(AND(SalesCleanTable[[#This Row],[Discount %]]&gt;0, SalesCleanTable[[#This Row],[Profit]]&lt;0), "Discount loss", "Safe")</f>
        <v>Safe</v>
      </c>
      <c r="AB2052" s="25">
        <f>(SalesCleanTable[[#This Row],[Unit Price]] - SalesCleanTable[[#This Row],[Unit Cost]]) / SalesCleanTable[[#This Row],[Unit Price]]</f>
        <v>0.25714285714285712</v>
      </c>
      <c r="AC2052" t="str">
        <f>IF(SalesCleanTable[[#This Row],[Discount %]] &gt; SalesCleanTable[[#This Row],[Max Allowed Discount]], "Discount loss", "Safe")</f>
        <v>Safe</v>
      </c>
      <c r="AD2052" s="4">
        <f>SalesCleanTable[[#This Row],[Unit Price]] - SalesCleanTable[[#This Row],[Unit Cost]]</f>
        <v>1800</v>
      </c>
      <c r="AE2052" s="41">
        <f>(SalesCleanTable[[#This Row],[Unit Price]] - SalesCleanTable[[#This Row],[Unit Cost]]) / SalesCleanTable[[#This Row],[Unit Price]]</f>
        <v>0.25714285714285712</v>
      </c>
    </row>
    <row r="2053" spans="1:31">
      <c r="A2053" t="s">
        <v>2239</v>
      </c>
      <c r="B2053" s="6">
        <v>45711</v>
      </c>
      <c r="C2053" t="s">
        <v>41</v>
      </c>
      <c r="D2053" t="s">
        <v>42</v>
      </c>
      <c r="E2053" t="s">
        <v>26</v>
      </c>
      <c r="F2053" t="s">
        <v>43</v>
      </c>
      <c r="G2053" t="s">
        <v>44</v>
      </c>
      <c r="H2053" t="s">
        <v>139</v>
      </c>
      <c r="I2053" t="s">
        <v>140</v>
      </c>
      <c r="J2053" t="s">
        <v>137</v>
      </c>
      <c r="K2053" t="s">
        <v>138</v>
      </c>
      <c r="L2053" t="s">
        <v>170</v>
      </c>
      <c r="M2053" t="s">
        <v>177</v>
      </c>
      <c r="N2053">
        <v>8</v>
      </c>
      <c r="O2053" s="4">
        <v>850</v>
      </c>
      <c r="P2053" s="4">
        <v>1300</v>
      </c>
      <c r="Q2053" s="7">
        <v>0</v>
      </c>
      <c r="R2053" t="s">
        <v>173</v>
      </c>
      <c r="S2053">
        <v>9</v>
      </c>
      <c r="T2053">
        <v>10400</v>
      </c>
      <c r="U2053">
        <v>0</v>
      </c>
      <c r="V2053">
        <v>10400</v>
      </c>
      <c r="W2053">
        <v>6800</v>
      </c>
      <c r="X2053">
        <v>3600</v>
      </c>
      <c r="Y2053" s="8">
        <v>0.34615384615384615</v>
      </c>
      <c r="Z2053" t="s">
        <v>2995</v>
      </c>
      <c r="AA2053" t="str">
        <f>IF(AND(SalesCleanTable[[#This Row],[Discount %]]&gt;0, SalesCleanTable[[#This Row],[Profit]]&lt;0), "Discount loss", "Safe")</f>
        <v>Safe</v>
      </c>
      <c r="AB2053" s="25">
        <f>(SalesCleanTable[[#This Row],[Unit Price]] - SalesCleanTable[[#This Row],[Unit Cost]]) / SalesCleanTable[[#This Row],[Unit Price]]</f>
        <v>0.34615384615384615</v>
      </c>
      <c r="AC2053" t="str">
        <f>IF(SalesCleanTable[[#This Row],[Discount %]] &gt; SalesCleanTable[[#This Row],[Max Allowed Discount]], "Discount loss", "Safe")</f>
        <v>Safe</v>
      </c>
      <c r="AD2053" s="4">
        <f>SalesCleanTable[[#This Row],[Unit Price]] - SalesCleanTable[[#This Row],[Unit Cost]]</f>
        <v>450</v>
      </c>
      <c r="AE2053" s="41">
        <f>(SalesCleanTable[[#This Row],[Unit Price]] - SalesCleanTable[[#This Row],[Unit Cost]]) / SalesCleanTable[[#This Row],[Unit Price]]</f>
        <v>0.34615384615384615</v>
      </c>
    </row>
    <row r="2054" spans="1:31">
      <c r="A2054" t="s">
        <v>2240</v>
      </c>
      <c r="B2054" s="6">
        <v>45760</v>
      </c>
      <c r="C2054" t="s">
        <v>107</v>
      </c>
      <c r="D2054" t="s">
        <v>108</v>
      </c>
      <c r="E2054" t="s">
        <v>109</v>
      </c>
      <c r="F2054" t="s">
        <v>110</v>
      </c>
      <c r="G2054" t="s">
        <v>111</v>
      </c>
      <c r="H2054" t="s">
        <v>145</v>
      </c>
      <c r="I2054" t="s">
        <v>146</v>
      </c>
      <c r="J2054" t="s">
        <v>147</v>
      </c>
      <c r="K2054" t="s">
        <v>148</v>
      </c>
      <c r="L2054" t="s">
        <v>183</v>
      </c>
      <c r="M2054" t="s">
        <v>171</v>
      </c>
      <c r="N2054">
        <v>1</v>
      </c>
      <c r="O2054" s="4">
        <v>5200</v>
      </c>
      <c r="P2054" s="4">
        <v>7000</v>
      </c>
      <c r="Q2054" s="7">
        <v>0.2</v>
      </c>
      <c r="R2054" t="s">
        <v>235</v>
      </c>
      <c r="S2054">
        <v>6</v>
      </c>
      <c r="T2054">
        <v>7000</v>
      </c>
      <c r="U2054">
        <v>1400</v>
      </c>
      <c r="V2054">
        <v>5600</v>
      </c>
      <c r="W2054">
        <v>5200</v>
      </c>
      <c r="X2054">
        <v>400</v>
      </c>
      <c r="Y2054" s="8">
        <v>7.1428571428571425E-2</v>
      </c>
      <c r="Z2054" t="s">
        <v>2997</v>
      </c>
      <c r="AA2054" t="str">
        <f>IF(AND(SalesCleanTable[[#This Row],[Discount %]]&gt;0, SalesCleanTable[[#This Row],[Profit]]&lt;0), "Discount loss", "Safe")</f>
        <v>Safe</v>
      </c>
      <c r="AB2054" s="25">
        <f>(SalesCleanTable[[#This Row],[Unit Price]] - SalesCleanTable[[#This Row],[Unit Cost]]) / SalesCleanTable[[#This Row],[Unit Price]]</f>
        <v>0.25714285714285712</v>
      </c>
      <c r="AC2054" t="str">
        <f>IF(SalesCleanTable[[#This Row],[Discount %]] &gt; SalesCleanTable[[#This Row],[Max Allowed Discount]], "Discount loss", "Safe")</f>
        <v>Safe</v>
      </c>
      <c r="AD2054" s="4">
        <f>SalesCleanTable[[#This Row],[Unit Price]] - SalesCleanTable[[#This Row],[Unit Cost]]</f>
        <v>1800</v>
      </c>
      <c r="AE2054" s="41">
        <f>(SalesCleanTable[[#This Row],[Unit Price]] - SalesCleanTable[[#This Row],[Unit Cost]]) / SalesCleanTable[[#This Row],[Unit Price]]</f>
        <v>0.25714285714285712</v>
      </c>
    </row>
    <row r="2055" spans="1:31">
      <c r="A2055" t="s">
        <v>2241</v>
      </c>
      <c r="B2055" s="6">
        <v>45894</v>
      </c>
      <c r="C2055" t="s">
        <v>82</v>
      </c>
      <c r="D2055" t="s">
        <v>83</v>
      </c>
      <c r="E2055" t="s">
        <v>75</v>
      </c>
      <c r="F2055" t="s">
        <v>84</v>
      </c>
      <c r="G2055" t="s">
        <v>85</v>
      </c>
      <c r="H2055" t="s">
        <v>145</v>
      </c>
      <c r="I2055" t="s">
        <v>146</v>
      </c>
      <c r="J2055" t="s">
        <v>147</v>
      </c>
      <c r="K2055" t="s">
        <v>148</v>
      </c>
      <c r="L2055" t="s">
        <v>183</v>
      </c>
      <c r="M2055" t="s">
        <v>171</v>
      </c>
      <c r="N2055">
        <v>1</v>
      </c>
      <c r="O2055" s="4">
        <v>600</v>
      </c>
      <c r="P2055" s="4">
        <v>950</v>
      </c>
      <c r="Q2055" s="7">
        <v>0.05</v>
      </c>
      <c r="R2055" t="s">
        <v>204</v>
      </c>
      <c r="S2055">
        <v>1</v>
      </c>
      <c r="T2055">
        <v>950</v>
      </c>
      <c r="U2055">
        <v>47.5</v>
      </c>
      <c r="V2055">
        <v>902.5</v>
      </c>
      <c r="W2055">
        <v>600</v>
      </c>
      <c r="X2055">
        <v>302.5</v>
      </c>
      <c r="Y2055" s="8">
        <v>0.33518005540166207</v>
      </c>
      <c r="Z2055" t="s">
        <v>2996</v>
      </c>
      <c r="AA2055" t="str">
        <f>IF(AND(SalesCleanTable[[#This Row],[Discount %]]&gt;0, SalesCleanTable[[#This Row],[Profit]]&lt;0), "Discount loss", "Safe")</f>
        <v>Safe</v>
      </c>
      <c r="AB2055" s="25">
        <f>(SalesCleanTable[[#This Row],[Unit Price]] - SalesCleanTable[[#This Row],[Unit Cost]]) / SalesCleanTable[[#This Row],[Unit Price]]</f>
        <v>0.36842105263157893</v>
      </c>
      <c r="AC2055" t="str">
        <f>IF(SalesCleanTable[[#This Row],[Discount %]] &gt; SalesCleanTable[[#This Row],[Max Allowed Discount]], "Discount loss", "Safe")</f>
        <v>Safe</v>
      </c>
      <c r="AD2055" s="4">
        <f>SalesCleanTable[[#This Row],[Unit Price]] - SalesCleanTable[[#This Row],[Unit Cost]]</f>
        <v>350</v>
      </c>
      <c r="AE2055" s="41">
        <f>(SalesCleanTable[[#This Row],[Unit Price]] - SalesCleanTable[[#This Row],[Unit Cost]]) / SalesCleanTable[[#This Row],[Unit Price]]</f>
        <v>0.36842105263157893</v>
      </c>
    </row>
    <row r="2056" spans="1:31">
      <c r="A2056" t="s">
        <v>2242</v>
      </c>
      <c r="B2056" s="6">
        <v>45904</v>
      </c>
      <c r="C2056" t="s">
        <v>53</v>
      </c>
      <c r="D2056" t="s">
        <v>54</v>
      </c>
      <c r="E2056" t="s">
        <v>38</v>
      </c>
      <c r="F2056" t="s">
        <v>55</v>
      </c>
      <c r="G2056" t="s">
        <v>56</v>
      </c>
      <c r="H2056" t="s">
        <v>128</v>
      </c>
      <c r="I2056" t="s">
        <v>129</v>
      </c>
      <c r="J2056" t="s">
        <v>130</v>
      </c>
      <c r="K2056" t="s">
        <v>131</v>
      </c>
      <c r="L2056" t="s">
        <v>183</v>
      </c>
      <c r="M2056" t="s">
        <v>171</v>
      </c>
      <c r="N2056">
        <v>1</v>
      </c>
      <c r="O2056" s="4">
        <v>330</v>
      </c>
      <c r="P2056" s="4">
        <v>550</v>
      </c>
      <c r="Q2056" s="7">
        <v>0.1</v>
      </c>
      <c r="R2056" t="s">
        <v>178</v>
      </c>
      <c r="S2056">
        <v>1</v>
      </c>
      <c r="T2056">
        <v>550</v>
      </c>
      <c r="U2056">
        <v>55</v>
      </c>
      <c r="V2056">
        <v>495</v>
      </c>
      <c r="W2056">
        <v>330</v>
      </c>
      <c r="X2056">
        <v>165</v>
      </c>
      <c r="Y2056" s="8">
        <v>0.33333333333333331</v>
      </c>
      <c r="Z2056" t="s">
        <v>2996</v>
      </c>
      <c r="AA2056" t="str">
        <f>IF(AND(SalesCleanTable[[#This Row],[Discount %]]&gt;0, SalesCleanTable[[#This Row],[Profit]]&lt;0), "Discount loss", "Safe")</f>
        <v>Safe</v>
      </c>
      <c r="AB2056" s="25">
        <f>(SalesCleanTable[[#This Row],[Unit Price]] - SalesCleanTable[[#This Row],[Unit Cost]]) / SalesCleanTable[[#This Row],[Unit Price]]</f>
        <v>0.4</v>
      </c>
      <c r="AC2056" t="str">
        <f>IF(SalesCleanTable[[#This Row],[Discount %]] &gt; SalesCleanTable[[#This Row],[Max Allowed Discount]], "Discount loss", "Safe")</f>
        <v>Safe</v>
      </c>
      <c r="AD2056" s="4">
        <f>SalesCleanTable[[#This Row],[Unit Price]] - SalesCleanTable[[#This Row],[Unit Cost]]</f>
        <v>220</v>
      </c>
      <c r="AE2056" s="41">
        <f>(SalesCleanTable[[#This Row],[Unit Price]] - SalesCleanTable[[#This Row],[Unit Cost]]) / SalesCleanTable[[#This Row],[Unit Price]]</f>
        <v>0.4</v>
      </c>
    </row>
    <row r="2057" spans="1:31">
      <c r="A2057" t="s">
        <v>2243</v>
      </c>
      <c r="B2057" s="6">
        <v>45933</v>
      </c>
      <c r="C2057" t="s">
        <v>57</v>
      </c>
      <c r="D2057" t="s">
        <v>58</v>
      </c>
      <c r="E2057" t="s">
        <v>59</v>
      </c>
      <c r="F2057" t="s">
        <v>60</v>
      </c>
      <c r="G2057" t="s">
        <v>61</v>
      </c>
      <c r="H2057" t="s">
        <v>149</v>
      </c>
      <c r="I2057" t="s">
        <v>150</v>
      </c>
      <c r="J2057" t="s">
        <v>151</v>
      </c>
      <c r="K2057" t="s">
        <v>152</v>
      </c>
      <c r="L2057" t="s">
        <v>166</v>
      </c>
      <c r="M2057" t="s">
        <v>177</v>
      </c>
      <c r="N2057">
        <v>5</v>
      </c>
      <c r="O2057" s="4">
        <v>2400</v>
      </c>
      <c r="P2057" s="4">
        <v>3400</v>
      </c>
      <c r="Q2057" s="7">
        <v>0</v>
      </c>
      <c r="R2057" t="s">
        <v>173</v>
      </c>
      <c r="S2057">
        <v>8</v>
      </c>
      <c r="T2057">
        <v>17000</v>
      </c>
      <c r="U2057">
        <v>0</v>
      </c>
      <c r="V2057">
        <v>17000</v>
      </c>
      <c r="W2057">
        <v>12000</v>
      </c>
      <c r="X2057">
        <v>5000</v>
      </c>
      <c r="Y2057" s="8">
        <v>0.29411764705882354</v>
      </c>
      <c r="Z2057" t="s">
        <v>2996</v>
      </c>
      <c r="AA2057" t="str">
        <f>IF(AND(SalesCleanTable[[#This Row],[Discount %]]&gt;0, SalesCleanTable[[#This Row],[Profit]]&lt;0), "Discount loss", "Safe")</f>
        <v>Safe</v>
      </c>
      <c r="AB2057" s="25">
        <f>(SalesCleanTable[[#This Row],[Unit Price]] - SalesCleanTable[[#This Row],[Unit Cost]]) / SalesCleanTable[[#This Row],[Unit Price]]</f>
        <v>0.29411764705882354</v>
      </c>
      <c r="AC2057" t="str">
        <f>IF(SalesCleanTable[[#This Row],[Discount %]] &gt; SalesCleanTable[[#This Row],[Max Allowed Discount]], "Discount loss", "Safe")</f>
        <v>Safe</v>
      </c>
      <c r="AD2057" s="4">
        <f>SalesCleanTable[[#This Row],[Unit Price]] - SalesCleanTable[[#This Row],[Unit Cost]]</f>
        <v>1000</v>
      </c>
      <c r="AE2057" s="41">
        <f>(SalesCleanTable[[#This Row],[Unit Price]] - SalesCleanTable[[#This Row],[Unit Cost]]) / SalesCleanTable[[#This Row],[Unit Price]]</f>
        <v>0.29411764705882354</v>
      </c>
    </row>
    <row r="2058" spans="1:31">
      <c r="A2058" t="s">
        <v>2244</v>
      </c>
      <c r="B2058" s="6">
        <v>45717</v>
      </c>
      <c r="C2058" t="s">
        <v>53</v>
      </c>
      <c r="D2058" t="s">
        <v>54</v>
      </c>
      <c r="E2058" t="s">
        <v>38</v>
      </c>
      <c r="F2058" t="s">
        <v>55</v>
      </c>
      <c r="G2058" t="s">
        <v>56</v>
      </c>
      <c r="H2058" t="s">
        <v>139</v>
      </c>
      <c r="I2058" t="s">
        <v>140</v>
      </c>
      <c r="J2058" t="s">
        <v>137</v>
      </c>
      <c r="K2058" t="s">
        <v>138</v>
      </c>
      <c r="L2058" t="s">
        <v>166</v>
      </c>
      <c r="M2058" t="s">
        <v>171</v>
      </c>
      <c r="N2058">
        <v>1</v>
      </c>
      <c r="O2058" s="4">
        <v>330</v>
      </c>
      <c r="P2058" s="4">
        <v>550</v>
      </c>
      <c r="Q2058" s="7">
        <v>0.2</v>
      </c>
      <c r="R2058" t="s">
        <v>168</v>
      </c>
      <c r="S2058">
        <v>4</v>
      </c>
      <c r="T2058">
        <v>550</v>
      </c>
      <c r="U2058">
        <v>110</v>
      </c>
      <c r="V2058">
        <v>440</v>
      </c>
      <c r="W2058">
        <v>330</v>
      </c>
      <c r="X2058">
        <v>110</v>
      </c>
      <c r="Y2058" s="8">
        <v>0.25</v>
      </c>
      <c r="Z2058" t="s">
        <v>2996</v>
      </c>
      <c r="AA2058" t="str">
        <f>IF(AND(SalesCleanTable[[#This Row],[Discount %]]&gt;0, SalesCleanTable[[#This Row],[Profit]]&lt;0), "Discount loss", "Safe")</f>
        <v>Safe</v>
      </c>
      <c r="AB2058" s="25">
        <f>(SalesCleanTable[[#This Row],[Unit Price]] - SalesCleanTable[[#This Row],[Unit Cost]]) / SalesCleanTable[[#This Row],[Unit Price]]</f>
        <v>0.4</v>
      </c>
      <c r="AC2058" t="str">
        <f>IF(SalesCleanTable[[#This Row],[Discount %]] &gt; SalesCleanTable[[#This Row],[Max Allowed Discount]], "Discount loss", "Safe")</f>
        <v>Safe</v>
      </c>
      <c r="AD2058" s="4">
        <f>SalesCleanTable[[#This Row],[Unit Price]] - SalesCleanTable[[#This Row],[Unit Cost]]</f>
        <v>220</v>
      </c>
      <c r="AE2058" s="41">
        <f>(SalesCleanTable[[#This Row],[Unit Price]] - SalesCleanTable[[#This Row],[Unit Cost]]) / SalesCleanTable[[#This Row],[Unit Price]]</f>
        <v>0.4</v>
      </c>
    </row>
    <row r="2059" spans="1:31">
      <c r="A2059" t="s">
        <v>2245</v>
      </c>
      <c r="B2059" s="6">
        <v>45811</v>
      </c>
      <c r="C2059" t="s">
        <v>45</v>
      </c>
      <c r="D2059" t="s">
        <v>46</v>
      </c>
      <c r="E2059" t="s">
        <v>38</v>
      </c>
      <c r="F2059" t="s">
        <v>47</v>
      </c>
      <c r="G2059" t="s">
        <v>48</v>
      </c>
      <c r="H2059" t="s">
        <v>139</v>
      </c>
      <c r="I2059" t="s">
        <v>140</v>
      </c>
      <c r="J2059" t="s">
        <v>137</v>
      </c>
      <c r="K2059" t="s">
        <v>138</v>
      </c>
      <c r="L2059" t="s">
        <v>183</v>
      </c>
      <c r="M2059" t="s">
        <v>171</v>
      </c>
      <c r="N2059">
        <v>4</v>
      </c>
      <c r="O2059" s="4">
        <v>230</v>
      </c>
      <c r="P2059" s="4">
        <v>400</v>
      </c>
      <c r="Q2059" s="7">
        <v>0</v>
      </c>
      <c r="R2059" t="s">
        <v>168</v>
      </c>
      <c r="S2059">
        <v>7</v>
      </c>
      <c r="T2059">
        <v>1600</v>
      </c>
      <c r="U2059">
        <v>0</v>
      </c>
      <c r="V2059">
        <v>1600</v>
      </c>
      <c r="W2059">
        <v>920</v>
      </c>
      <c r="X2059">
        <v>680</v>
      </c>
      <c r="Y2059" s="8">
        <v>0.42499999999999999</v>
      </c>
      <c r="Z2059" t="s">
        <v>2995</v>
      </c>
      <c r="AA2059" t="str">
        <f>IF(AND(SalesCleanTable[[#This Row],[Discount %]]&gt;0, SalesCleanTable[[#This Row],[Profit]]&lt;0), "Discount loss", "Safe")</f>
        <v>Safe</v>
      </c>
      <c r="AB2059" s="25">
        <f>(SalesCleanTable[[#This Row],[Unit Price]] - SalesCleanTable[[#This Row],[Unit Cost]]) / SalesCleanTable[[#This Row],[Unit Price]]</f>
        <v>0.42499999999999999</v>
      </c>
      <c r="AC2059" t="str">
        <f>IF(SalesCleanTable[[#This Row],[Discount %]] &gt; SalesCleanTable[[#This Row],[Max Allowed Discount]], "Discount loss", "Safe")</f>
        <v>Safe</v>
      </c>
      <c r="AD2059" s="4">
        <f>SalesCleanTable[[#This Row],[Unit Price]] - SalesCleanTable[[#This Row],[Unit Cost]]</f>
        <v>170</v>
      </c>
      <c r="AE2059" s="41">
        <f>(SalesCleanTable[[#This Row],[Unit Price]] - SalesCleanTable[[#This Row],[Unit Cost]]) / SalesCleanTable[[#This Row],[Unit Price]]</f>
        <v>0.42499999999999999</v>
      </c>
    </row>
    <row r="2060" spans="1:31">
      <c r="A2060" t="s">
        <v>2246</v>
      </c>
      <c r="B2060" s="6">
        <v>46014</v>
      </c>
      <c r="C2060" t="s">
        <v>116</v>
      </c>
      <c r="D2060" t="s">
        <v>117</v>
      </c>
      <c r="E2060" t="s">
        <v>109</v>
      </c>
      <c r="F2060" t="s">
        <v>118</v>
      </c>
      <c r="G2060" t="s">
        <v>119</v>
      </c>
      <c r="H2060" t="s">
        <v>135</v>
      </c>
      <c r="I2060" t="s">
        <v>136</v>
      </c>
      <c r="J2060" t="s">
        <v>137</v>
      </c>
      <c r="K2060" t="s">
        <v>138</v>
      </c>
      <c r="L2060" t="s">
        <v>183</v>
      </c>
      <c r="M2060" t="s">
        <v>171</v>
      </c>
      <c r="N2060">
        <v>2</v>
      </c>
      <c r="O2060" s="4">
        <v>2800</v>
      </c>
      <c r="P2060" s="4">
        <v>4200</v>
      </c>
      <c r="Q2060" s="7">
        <v>0</v>
      </c>
      <c r="R2060" t="s">
        <v>235</v>
      </c>
      <c r="S2060">
        <v>3</v>
      </c>
      <c r="T2060">
        <v>8400</v>
      </c>
      <c r="U2060">
        <v>0</v>
      </c>
      <c r="V2060">
        <v>8400</v>
      </c>
      <c r="W2060">
        <v>5600</v>
      </c>
      <c r="X2060">
        <v>2800</v>
      </c>
      <c r="Y2060" s="8">
        <v>0.33333333333333331</v>
      </c>
      <c r="Z2060" t="s">
        <v>2995</v>
      </c>
      <c r="AA2060" t="str">
        <f>IF(AND(SalesCleanTable[[#This Row],[Discount %]]&gt;0, SalesCleanTable[[#This Row],[Profit]]&lt;0), "Discount loss", "Safe")</f>
        <v>Safe</v>
      </c>
      <c r="AB2060" s="25">
        <f>(SalesCleanTable[[#This Row],[Unit Price]] - SalesCleanTable[[#This Row],[Unit Cost]]) / SalesCleanTable[[#This Row],[Unit Price]]</f>
        <v>0.33333333333333331</v>
      </c>
      <c r="AC2060" t="str">
        <f>IF(SalesCleanTable[[#This Row],[Discount %]] &gt; SalesCleanTable[[#This Row],[Max Allowed Discount]], "Discount loss", "Safe")</f>
        <v>Safe</v>
      </c>
      <c r="AD2060" s="4">
        <f>SalesCleanTable[[#This Row],[Unit Price]] - SalesCleanTable[[#This Row],[Unit Cost]]</f>
        <v>1400</v>
      </c>
      <c r="AE2060" s="41">
        <f>(SalesCleanTable[[#This Row],[Unit Price]] - SalesCleanTable[[#This Row],[Unit Cost]]) / SalesCleanTable[[#This Row],[Unit Price]]</f>
        <v>0.33333333333333331</v>
      </c>
    </row>
    <row r="2061" spans="1:31">
      <c r="A2061" t="s">
        <v>2247</v>
      </c>
      <c r="B2061" s="6">
        <v>45762</v>
      </c>
      <c r="C2061" t="s">
        <v>45</v>
      </c>
      <c r="D2061" t="s">
        <v>46</v>
      </c>
      <c r="E2061" t="s">
        <v>38</v>
      </c>
      <c r="F2061" t="s">
        <v>47</v>
      </c>
      <c r="G2061" t="s">
        <v>48</v>
      </c>
      <c r="H2061" t="s">
        <v>139</v>
      </c>
      <c r="I2061" t="s">
        <v>140</v>
      </c>
      <c r="J2061" t="s">
        <v>137</v>
      </c>
      <c r="K2061" t="s">
        <v>138</v>
      </c>
      <c r="L2061" t="s">
        <v>166</v>
      </c>
      <c r="M2061" t="s">
        <v>167</v>
      </c>
      <c r="N2061">
        <v>3</v>
      </c>
      <c r="O2061" s="4">
        <v>230</v>
      </c>
      <c r="P2061" s="4">
        <v>400</v>
      </c>
      <c r="Q2061" s="7">
        <v>0.2</v>
      </c>
      <c r="R2061" t="s">
        <v>175</v>
      </c>
      <c r="S2061">
        <v>11</v>
      </c>
      <c r="T2061">
        <v>1200</v>
      </c>
      <c r="U2061">
        <v>240</v>
      </c>
      <c r="V2061">
        <v>960</v>
      </c>
      <c r="W2061">
        <v>690</v>
      </c>
      <c r="X2061">
        <v>270</v>
      </c>
      <c r="Y2061" s="8">
        <v>0.28125</v>
      </c>
      <c r="Z2061" t="s">
        <v>2995</v>
      </c>
      <c r="AA2061" t="str">
        <f>IF(AND(SalesCleanTable[[#This Row],[Discount %]]&gt;0, SalesCleanTable[[#This Row],[Profit]]&lt;0), "Discount loss", "Safe")</f>
        <v>Safe</v>
      </c>
      <c r="AB2061" s="25">
        <f>(SalesCleanTable[[#This Row],[Unit Price]] - SalesCleanTable[[#This Row],[Unit Cost]]) / SalesCleanTable[[#This Row],[Unit Price]]</f>
        <v>0.42499999999999999</v>
      </c>
      <c r="AC2061" t="str">
        <f>IF(SalesCleanTable[[#This Row],[Discount %]] &gt; SalesCleanTable[[#This Row],[Max Allowed Discount]], "Discount loss", "Safe")</f>
        <v>Safe</v>
      </c>
      <c r="AD2061" s="4">
        <f>SalesCleanTable[[#This Row],[Unit Price]] - SalesCleanTable[[#This Row],[Unit Cost]]</f>
        <v>170</v>
      </c>
      <c r="AE2061" s="41">
        <f>(SalesCleanTable[[#This Row],[Unit Price]] - SalesCleanTable[[#This Row],[Unit Cost]]) / SalesCleanTable[[#This Row],[Unit Price]]</f>
        <v>0.42499999999999999</v>
      </c>
    </row>
    <row r="2062" spans="1:31">
      <c r="A2062" t="s">
        <v>2248</v>
      </c>
      <c r="B2062" s="6">
        <v>45983</v>
      </c>
      <c r="C2062" t="s">
        <v>24</v>
      </c>
      <c r="D2062" t="s">
        <v>25</v>
      </c>
      <c r="E2062" t="s">
        <v>26</v>
      </c>
      <c r="F2062" t="s">
        <v>27</v>
      </c>
      <c r="G2062" t="s">
        <v>28</v>
      </c>
      <c r="H2062" t="s">
        <v>135</v>
      </c>
      <c r="I2062" t="s">
        <v>136</v>
      </c>
      <c r="J2062" t="s">
        <v>137</v>
      </c>
      <c r="K2062" t="s">
        <v>138</v>
      </c>
      <c r="L2062" t="s">
        <v>183</v>
      </c>
      <c r="M2062" t="s">
        <v>177</v>
      </c>
      <c r="N2062">
        <v>2</v>
      </c>
      <c r="O2062" s="4">
        <v>14500</v>
      </c>
      <c r="P2062" s="4">
        <v>17500</v>
      </c>
      <c r="Q2062" s="7">
        <v>0</v>
      </c>
      <c r="R2062" t="s">
        <v>194</v>
      </c>
      <c r="S2062">
        <v>11</v>
      </c>
      <c r="T2062">
        <v>35000</v>
      </c>
      <c r="U2062">
        <v>0</v>
      </c>
      <c r="V2062">
        <v>35000</v>
      </c>
      <c r="W2062">
        <v>29000</v>
      </c>
      <c r="X2062">
        <v>6000</v>
      </c>
      <c r="Y2062" s="8">
        <v>0.17142857142857143</v>
      </c>
      <c r="Z2062" t="s">
        <v>2995</v>
      </c>
      <c r="AA2062" t="str">
        <f>IF(AND(SalesCleanTable[[#This Row],[Discount %]]&gt;0, SalesCleanTable[[#This Row],[Profit]]&lt;0), "Discount loss", "Safe")</f>
        <v>Safe</v>
      </c>
      <c r="AB2062" s="25">
        <f>(SalesCleanTable[[#This Row],[Unit Price]] - SalesCleanTable[[#This Row],[Unit Cost]]) / SalesCleanTable[[#This Row],[Unit Price]]</f>
        <v>0.17142857142857143</v>
      </c>
      <c r="AC2062" t="str">
        <f>IF(SalesCleanTable[[#This Row],[Discount %]] &gt; SalesCleanTable[[#This Row],[Max Allowed Discount]], "Discount loss", "Safe")</f>
        <v>Safe</v>
      </c>
      <c r="AD2062" s="4">
        <f>SalesCleanTable[[#This Row],[Unit Price]] - SalesCleanTable[[#This Row],[Unit Cost]]</f>
        <v>3000</v>
      </c>
      <c r="AE2062" s="41">
        <f>(SalesCleanTable[[#This Row],[Unit Price]] - SalesCleanTable[[#This Row],[Unit Cost]]) / SalesCleanTable[[#This Row],[Unit Price]]</f>
        <v>0.17142857142857143</v>
      </c>
    </row>
    <row r="2063" spans="1:31">
      <c r="A2063" t="s">
        <v>2249</v>
      </c>
      <c r="B2063" s="6">
        <v>45974</v>
      </c>
      <c r="C2063" t="s">
        <v>49</v>
      </c>
      <c r="D2063" t="s">
        <v>50</v>
      </c>
      <c r="E2063" t="s">
        <v>38</v>
      </c>
      <c r="F2063" t="s">
        <v>51</v>
      </c>
      <c r="G2063" t="s">
        <v>52</v>
      </c>
      <c r="H2063" t="s">
        <v>139</v>
      </c>
      <c r="I2063" t="s">
        <v>140</v>
      </c>
      <c r="J2063" t="s">
        <v>137</v>
      </c>
      <c r="K2063" t="s">
        <v>138</v>
      </c>
      <c r="L2063" t="s">
        <v>166</v>
      </c>
      <c r="M2063" t="s">
        <v>171</v>
      </c>
      <c r="N2063">
        <v>10</v>
      </c>
      <c r="O2063" s="4">
        <v>550</v>
      </c>
      <c r="P2063" s="4">
        <v>850</v>
      </c>
      <c r="Q2063" s="7">
        <v>0</v>
      </c>
      <c r="R2063" t="s">
        <v>175</v>
      </c>
      <c r="S2063">
        <v>1</v>
      </c>
      <c r="T2063">
        <v>8500</v>
      </c>
      <c r="U2063">
        <v>0</v>
      </c>
      <c r="V2063">
        <v>8500</v>
      </c>
      <c r="W2063">
        <v>5500</v>
      </c>
      <c r="X2063">
        <v>3000</v>
      </c>
      <c r="Y2063" s="8">
        <v>0.35294117647058826</v>
      </c>
      <c r="Z2063" t="s">
        <v>2996</v>
      </c>
      <c r="AA2063" t="str">
        <f>IF(AND(SalesCleanTable[[#This Row],[Discount %]]&gt;0, SalesCleanTable[[#This Row],[Profit]]&lt;0), "Discount loss", "Safe")</f>
        <v>Safe</v>
      </c>
      <c r="AB2063" s="25">
        <f>(SalesCleanTable[[#This Row],[Unit Price]] - SalesCleanTable[[#This Row],[Unit Cost]]) / SalesCleanTable[[#This Row],[Unit Price]]</f>
        <v>0.35294117647058826</v>
      </c>
      <c r="AC2063" t="str">
        <f>IF(SalesCleanTable[[#This Row],[Discount %]] &gt; SalesCleanTable[[#This Row],[Max Allowed Discount]], "Discount loss", "Safe")</f>
        <v>Safe</v>
      </c>
      <c r="AD2063" s="4">
        <f>SalesCleanTable[[#This Row],[Unit Price]] - SalesCleanTable[[#This Row],[Unit Cost]]</f>
        <v>300</v>
      </c>
      <c r="AE2063" s="41">
        <f>(SalesCleanTable[[#This Row],[Unit Price]] - SalesCleanTable[[#This Row],[Unit Cost]]) / SalesCleanTable[[#This Row],[Unit Price]]</f>
        <v>0.35294117647058826</v>
      </c>
    </row>
    <row r="2064" spans="1:31">
      <c r="A2064" t="s">
        <v>2250</v>
      </c>
      <c r="B2064" s="6">
        <v>45941</v>
      </c>
      <c r="C2064" t="s">
        <v>90</v>
      </c>
      <c r="D2064" t="s">
        <v>91</v>
      </c>
      <c r="E2064" t="s">
        <v>92</v>
      </c>
      <c r="F2064" t="s">
        <v>93</v>
      </c>
      <c r="G2064" t="s">
        <v>94</v>
      </c>
      <c r="H2064" t="s">
        <v>139</v>
      </c>
      <c r="I2064" t="s">
        <v>140</v>
      </c>
      <c r="J2064" t="s">
        <v>137</v>
      </c>
      <c r="K2064" t="s">
        <v>138</v>
      </c>
      <c r="L2064" t="s">
        <v>166</v>
      </c>
      <c r="M2064" t="s">
        <v>171</v>
      </c>
      <c r="N2064">
        <v>4</v>
      </c>
      <c r="O2064" s="4">
        <v>7500</v>
      </c>
      <c r="P2064" s="4">
        <v>10500</v>
      </c>
      <c r="Q2064" s="7">
        <v>0.15</v>
      </c>
      <c r="R2064" t="s">
        <v>215</v>
      </c>
      <c r="S2064">
        <v>5</v>
      </c>
      <c r="T2064">
        <v>42000</v>
      </c>
      <c r="U2064">
        <v>6300</v>
      </c>
      <c r="V2064">
        <v>35700</v>
      </c>
      <c r="W2064">
        <v>30000</v>
      </c>
      <c r="X2064">
        <v>5700</v>
      </c>
      <c r="Y2064" s="8">
        <v>0.15966386554621848</v>
      </c>
      <c r="Z2064" t="s">
        <v>2996</v>
      </c>
      <c r="AA2064" t="str">
        <f>IF(AND(SalesCleanTable[[#This Row],[Discount %]]&gt;0, SalesCleanTable[[#This Row],[Profit]]&lt;0), "Discount loss", "Safe")</f>
        <v>Safe</v>
      </c>
      <c r="AB2064" s="25">
        <f>(SalesCleanTable[[#This Row],[Unit Price]] - SalesCleanTable[[#This Row],[Unit Cost]]) / SalesCleanTable[[#This Row],[Unit Price]]</f>
        <v>0.2857142857142857</v>
      </c>
      <c r="AC2064" t="str">
        <f>IF(SalesCleanTable[[#This Row],[Discount %]] &gt; SalesCleanTable[[#This Row],[Max Allowed Discount]], "Discount loss", "Safe")</f>
        <v>Safe</v>
      </c>
      <c r="AD2064" s="4">
        <f>SalesCleanTable[[#This Row],[Unit Price]] - SalesCleanTable[[#This Row],[Unit Cost]]</f>
        <v>3000</v>
      </c>
      <c r="AE2064" s="41">
        <f>(SalesCleanTable[[#This Row],[Unit Price]] - SalesCleanTable[[#This Row],[Unit Cost]]) / SalesCleanTable[[#This Row],[Unit Price]]</f>
        <v>0.2857142857142857</v>
      </c>
    </row>
    <row r="2065" spans="1:31">
      <c r="A2065" t="s">
        <v>2251</v>
      </c>
      <c r="B2065" s="6">
        <v>45696</v>
      </c>
      <c r="C2065" t="s">
        <v>116</v>
      </c>
      <c r="D2065" t="s">
        <v>117</v>
      </c>
      <c r="E2065" t="s">
        <v>109</v>
      </c>
      <c r="F2065" t="s">
        <v>118</v>
      </c>
      <c r="G2065" t="s">
        <v>119</v>
      </c>
      <c r="H2065" t="s">
        <v>133</v>
      </c>
      <c r="I2065" t="s">
        <v>134</v>
      </c>
      <c r="J2065" t="s">
        <v>130</v>
      </c>
      <c r="K2065" t="s">
        <v>131</v>
      </c>
      <c r="L2065" t="s">
        <v>166</v>
      </c>
      <c r="M2065" t="s">
        <v>186</v>
      </c>
      <c r="N2065">
        <v>3</v>
      </c>
      <c r="O2065" s="4">
        <v>2800</v>
      </c>
      <c r="P2065" s="4">
        <v>4200</v>
      </c>
      <c r="Q2065" s="7">
        <v>0.05</v>
      </c>
      <c r="R2065" t="s">
        <v>235</v>
      </c>
      <c r="S2065">
        <v>5</v>
      </c>
      <c r="T2065">
        <v>12600</v>
      </c>
      <c r="U2065">
        <v>630</v>
      </c>
      <c r="V2065">
        <v>11970</v>
      </c>
      <c r="W2065">
        <v>8400</v>
      </c>
      <c r="X2065">
        <v>3570</v>
      </c>
      <c r="Y2065" s="8">
        <v>0.2982456140350877</v>
      </c>
      <c r="Z2065" t="s">
        <v>2995</v>
      </c>
      <c r="AA2065" t="str">
        <f>IF(AND(SalesCleanTable[[#This Row],[Discount %]]&gt;0, SalesCleanTable[[#This Row],[Profit]]&lt;0), "Discount loss", "Safe")</f>
        <v>Safe</v>
      </c>
      <c r="AB2065" s="25">
        <f>(SalesCleanTable[[#This Row],[Unit Price]] - SalesCleanTable[[#This Row],[Unit Cost]]) / SalesCleanTable[[#This Row],[Unit Price]]</f>
        <v>0.33333333333333331</v>
      </c>
      <c r="AC2065" t="str">
        <f>IF(SalesCleanTable[[#This Row],[Discount %]] &gt; SalesCleanTable[[#This Row],[Max Allowed Discount]], "Discount loss", "Safe")</f>
        <v>Safe</v>
      </c>
      <c r="AD2065" s="4">
        <f>SalesCleanTable[[#This Row],[Unit Price]] - SalesCleanTable[[#This Row],[Unit Cost]]</f>
        <v>1400</v>
      </c>
      <c r="AE2065" s="41">
        <f>(SalesCleanTable[[#This Row],[Unit Price]] - SalesCleanTable[[#This Row],[Unit Cost]]) / SalesCleanTable[[#This Row],[Unit Price]]</f>
        <v>0.33333333333333331</v>
      </c>
    </row>
    <row r="2066" spans="1:31">
      <c r="A2066" t="s">
        <v>2252</v>
      </c>
      <c r="B2066" s="6">
        <v>45923</v>
      </c>
      <c r="C2066" t="s">
        <v>112</v>
      </c>
      <c r="D2066" t="s">
        <v>113</v>
      </c>
      <c r="E2066" t="s">
        <v>109</v>
      </c>
      <c r="F2066" t="s">
        <v>114</v>
      </c>
      <c r="G2066" t="s">
        <v>115</v>
      </c>
      <c r="H2066" t="s">
        <v>135</v>
      </c>
      <c r="I2066" t="s">
        <v>136</v>
      </c>
      <c r="J2066" t="s">
        <v>137</v>
      </c>
      <c r="K2066" t="s">
        <v>138</v>
      </c>
      <c r="L2066" t="s">
        <v>183</v>
      </c>
      <c r="M2066" t="s">
        <v>177</v>
      </c>
      <c r="N2066">
        <v>2</v>
      </c>
      <c r="O2066" s="4">
        <v>1300</v>
      </c>
      <c r="P2066" s="4">
        <v>2100</v>
      </c>
      <c r="Q2066" s="7">
        <v>0.1</v>
      </c>
      <c r="R2066" t="s">
        <v>220</v>
      </c>
      <c r="S2066">
        <v>5</v>
      </c>
      <c r="T2066">
        <v>4200</v>
      </c>
      <c r="U2066">
        <v>420</v>
      </c>
      <c r="V2066">
        <v>3780</v>
      </c>
      <c r="W2066">
        <v>2600</v>
      </c>
      <c r="X2066">
        <v>1180</v>
      </c>
      <c r="Y2066" s="8">
        <v>0.31216931216931215</v>
      </c>
      <c r="Z2066" t="s">
        <v>2995</v>
      </c>
      <c r="AA2066" t="str">
        <f>IF(AND(SalesCleanTable[[#This Row],[Discount %]]&gt;0, SalesCleanTable[[#This Row],[Profit]]&lt;0), "Discount loss", "Safe")</f>
        <v>Safe</v>
      </c>
      <c r="AB2066" s="25">
        <f>(SalesCleanTable[[#This Row],[Unit Price]] - SalesCleanTable[[#This Row],[Unit Cost]]) / SalesCleanTable[[#This Row],[Unit Price]]</f>
        <v>0.38095238095238093</v>
      </c>
      <c r="AC2066" t="str">
        <f>IF(SalesCleanTable[[#This Row],[Discount %]] &gt; SalesCleanTable[[#This Row],[Max Allowed Discount]], "Discount loss", "Safe")</f>
        <v>Safe</v>
      </c>
      <c r="AD2066" s="4">
        <f>SalesCleanTable[[#This Row],[Unit Price]] - SalesCleanTable[[#This Row],[Unit Cost]]</f>
        <v>800</v>
      </c>
      <c r="AE2066" s="41">
        <f>(SalesCleanTable[[#This Row],[Unit Price]] - SalesCleanTable[[#This Row],[Unit Cost]]) / SalesCleanTable[[#This Row],[Unit Price]]</f>
        <v>0.38095238095238093</v>
      </c>
    </row>
    <row r="2067" spans="1:31">
      <c r="A2067" t="s">
        <v>2253</v>
      </c>
      <c r="B2067" s="6">
        <v>45931</v>
      </c>
      <c r="C2067" t="s">
        <v>24</v>
      </c>
      <c r="D2067" t="s">
        <v>25</v>
      </c>
      <c r="E2067" t="s">
        <v>26</v>
      </c>
      <c r="F2067" t="s">
        <v>27</v>
      </c>
      <c r="G2067" t="s">
        <v>28</v>
      </c>
      <c r="H2067" t="s">
        <v>135</v>
      </c>
      <c r="I2067" t="s">
        <v>136</v>
      </c>
      <c r="J2067" t="s">
        <v>137</v>
      </c>
      <c r="K2067" t="s">
        <v>138</v>
      </c>
      <c r="L2067" t="s">
        <v>183</v>
      </c>
      <c r="M2067" t="s">
        <v>186</v>
      </c>
      <c r="N2067">
        <v>1</v>
      </c>
      <c r="O2067" s="4">
        <v>14500</v>
      </c>
      <c r="P2067" s="4">
        <v>17500</v>
      </c>
      <c r="Q2067" s="7">
        <v>0.1</v>
      </c>
      <c r="R2067" t="s">
        <v>194</v>
      </c>
      <c r="S2067">
        <v>1</v>
      </c>
      <c r="T2067">
        <v>17500</v>
      </c>
      <c r="U2067">
        <v>1750</v>
      </c>
      <c r="V2067">
        <v>15750</v>
      </c>
      <c r="W2067">
        <v>14500</v>
      </c>
      <c r="X2067">
        <v>1250</v>
      </c>
      <c r="Y2067" s="8">
        <v>7.9365079365079361E-2</v>
      </c>
      <c r="Z2067" t="s">
        <v>2995</v>
      </c>
      <c r="AA2067" t="str">
        <f>IF(AND(SalesCleanTable[[#This Row],[Discount %]]&gt;0, SalesCleanTable[[#This Row],[Profit]]&lt;0), "Discount loss", "Safe")</f>
        <v>Safe</v>
      </c>
      <c r="AB2067" s="25">
        <f>(SalesCleanTable[[#This Row],[Unit Price]] - SalesCleanTable[[#This Row],[Unit Cost]]) / SalesCleanTable[[#This Row],[Unit Price]]</f>
        <v>0.17142857142857143</v>
      </c>
      <c r="AC2067" t="str">
        <f>IF(SalesCleanTable[[#This Row],[Discount %]] &gt; SalesCleanTable[[#This Row],[Max Allowed Discount]], "Discount loss", "Safe")</f>
        <v>Safe</v>
      </c>
      <c r="AD2067" s="4">
        <f>SalesCleanTable[[#This Row],[Unit Price]] - SalesCleanTable[[#This Row],[Unit Cost]]</f>
        <v>3000</v>
      </c>
      <c r="AE2067" s="41">
        <f>(SalesCleanTable[[#This Row],[Unit Price]] - SalesCleanTable[[#This Row],[Unit Cost]]) / SalesCleanTable[[#This Row],[Unit Price]]</f>
        <v>0.17142857142857143</v>
      </c>
    </row>
    <row r="2068" spans="1:31">
      <c r="A2068" t="s">
        <v>2254</v>
      </c>
      <c r="B2068" s="6">
        <v>45745</v>
      </c>
      <c r="C2068" t="s">
        <v>32</v>
      </c>
      <c r="D2068" t="s">
        <v>33</v>
      </c>
      <c r="E2068" t="s">
        <v>26</v>
      </c>
      <c r="F2068" t="s">
        <v>34</v>
      </c>
      <c r="G2068" t="s">
        <v>35</v>
      </c>
      <c r="H2068" t="s">
        <v>149</v>
      </c>
      <c r="I2068" t="s">
        <v>150</v>
      </c>
      <c r="J2068" t="s">
        <v>151</v>
      </c>
      <c r="K2068" t="s">
        <v>152</v>
      </c>
      <c r="L2068" t="s">
        <v>170</v>
      </c>
      <c r="M2068" t="s">
        <v>177</v>
      </c>
      <c r="N2068">
        <v>1</v>
      </c>
      <c r="O2068" s="4">
        <v>7800</v>
      </c>
      <c r="P2068" s="4">
        <v>9800</v>
      </c>
      <c r="Q2068" s="7">
        <v>0.05</v>
      </c>
      <c r="R2068" t="s">
        <v>194</v>
      </c>
      <c r="S2068">
        <v>5</v>
      </c>
      <c r="T2068">
        <v>9800</v>
      </c>
      <c r="U2068">
        <v>490</v>
      </c>
      <c r="V2068">
        <v>9310</v>
      </c>
      <c r="W2068">
        <v>7800</v>
      </c>
      <c r="X2068">
        <v>1510</v>
      </c>
      <c r="Y2068" s="8">
        <v>0.16219119226638024</v>
      </c>
      <c r="Z2068" t="s">
        <v>2995</v>
      </c>
      <c r="AA2068" t="str">
        <f>IF(AND(SalesCleanTable[[#This Row],[Discount %]]&gt;0, SalesCleanTable[[#This Row],[Profit]]&lt;0), "Discount loss", "Safe")</f>
        <v>Safe</v>
      </c>
      <c r="AB2068" s="25">
        <f>(SalesCleanTable[[#This Row],[Unit Price]] - SalesCleanTable[[#This Row],[Unit Cost]]) / SalesCleanTable[[#This Row],[Unit Price]]</f>
        <v>0.20408163265306123</v>
      </c>
      <c r="AC2068" t="str">
        <f>IF(SalesCleanTable[[#This Row],[Discount %]] &gt; SalesCleanTable[[#This Row],[Max Allowed Discount]], "Discount loss", "Safe")</f>
        <v>Safe</v>
      </c>
      <c r="AD2068" s="4">
        <f>SalesCleanTable[[#This Row],[Unit Price]] - SalesCleanTable[[#This Row],[Unit Cost]]</f>
        <v>2000</v>
      </c>
      <c r="AE2068" s="41">
        <f>(SalesCleanTable[[#This Row],[Unit Price]] - SalesCleanTable[[#This Row],[Unit Cost]]) / SalesCleanTable[[#This Row],[Unit Price]]</f>
        <v>0.20408163265306123</v>
      </c>
    </row>
    <row r="2069" spans="1:31">
      <c r="A2069" t="s">
        <v>2255</v>
      </c>
      <c r="B2069" s="6">
        <v>45689</v>
      </c>
      <c r="C2069" t="s">
        <v>24</v>
      </c>
      <c r="D2069" t="s">
        <v>25</v>
      </c>
      <c r="E2069" t="s">
        <v>26</v>
      </c>
      <c r="F2069" t="s">
        <v>27</v>
      </c>
      <c r="G2069" t="s">
        <v>28</v>
      </c>
      <c r="H2069" t="s">
        <v>139</v>
      </c>
      <c r="I2069" t="s">
        <v>140</v>
      </c>
      <c r="J2069" t="s">
        <v>137</v>
      </c>
      <c r="K2069" t="s">
        <v>138</v>
      </c>
      <c r="L2069" t="s">
        <v>166</v>
      </c>
      <c r="M2069" t="s">
        <v>177</v>
      </c>
      <c r="N2069">
        <v>2</v>
      </c>
      <c r="O2069" s="4">
        <v>14500</v>
      </c>
      <c r="P2069" s="4">
        <v>17500</v>
      </c>
      <c r="Q2069" s="7">
        <v>0.15</v>
      </c>
      <c r="R2069" t="s">
        <v>197</v>
      </c>
      <c r="S2069">
        <v>1</v>
      </c>
      <c r="T2069">
        <v>35000</v>
      </c>
      <c r="U2069">
        <v>5250</v>
      </c>
      <c r="V2069">
        <v>29750</v>
      </c>
      <c r="W2069">
        <v>29000</v>
      </c>
      <c r="X2069">
        <v>750</v>
      </c>
      <c r="Y2069" s="8">
        <v>2.5210084033613446E-2</v>
      </c>
      <c r="Z2069" t="s">
        <v>2995</v>
      </c>
      <c r="AA2069" t="str">
        <f>IF(AND(SalesCleanTable[[#This Row],[Discount %]]&gt;0, SalesCleanTable[[#This Row],[Profit]]&lt;0), "Discount loss", "Safe")</f>
        <v>Safe</v>
      </c>
      <c r="AB2069" s="25">
        <f>(SalesCleanTable[[#This Row],[Unit Price]] - SalesCleanTable[[#This Row],[Unit Cost]]) / SalesCleanTable[[#This Row],[Unit Price]]</f>
        <v>0.17142857142857143</v>
      </c>
      <c r="AC2069" t="str">
        <f>IF(SalesCleanTable[[#This Row],[Discount %]] &gt; SalesCleanTable[[#This Row],[Max Allowed Discount]], "Discount loss", "Safe")</f>
        <v>Safe</v>
      </c>
      <c r="AD2069" s="4">
        <f>SalesCleanTable[[#This Row],[Unit Price]] - SalesCleanTable[[#This Row],[Unit Cost]]</f>
        <v>3000</v>
      </c>
      <c r="AE2069" s="41">
        <f>(SalesCleanTable[[#This Row],[Unit Price]] - SalesCleanTable[[#This Row],[Unit Cost]]) / SalesCleanTable[[#This Row],[Unit Price]]</f>
        <v>0.17142857142857143</v>
      </c>
    </row>
    <row r="2070" spans="1:31">
      <c r="A2070" t="s">
        <v>2256</v>
      </c>
      <c r="B2070" s="6">
        <v>45934</v>
      </c>
      <c r="C2070" t="s">
        <v>62</v>
      </c>
      <c r="D2070" t="s">
        <v>63</v>
      </c>
      <c r="E2070" t="s">
        <v>59</v>
      </c>
      <c r="F2070" t="s">
        <v>64</v>
      </c>
      <c r="G2070" t="s">
        <v>65</v>
      </c>
      <c r="H2070" t="s">
        <v>133</v>
      </c>
      <c r="I2070" t="s">
        <v>134</v>
      </c>
      <c r="J2070" t="s">
        <v>130</v>
      </c>
      <c r="K2070" t="s">
        <v>131</v>
      </c>
      <c r="L2070" t="s">
        <v>166</v>
      </c>
      <c r="M2070" t="s">
        <v>171</v>
      </c>
      <c r="N2070">
        <v>4</v>
      </c>
      <c r="O2070" s="4">
        <v>3200</v>
      </c>
      <c r="P2070" s="4">
        <v>4500</v>
      </c>
      <c r="Q2070" s="7">
        <v>0</v>
      </c>
      <c r="R2070" t="s">
        <v>173</v>
      </c>
      <c r="S2070">
        <v>9</v>
      </c>
      <c r="T2070">
        <v>18000</v>
      </c>
      <c r="U2070">
        <v>0</v>
      </c>
      <c r="V2070">
        <v>18000</v>
      </c>
      <c r="W2070">
        <v>12800</v>
      </c>
      <c r="X2070">
        <v>5200</v>
      </c>
      <c r="Y2070" s="8">
        <v>0.28888888888888886</v>
      </c>
      <c r="Z2070" t="s">
        <v>2996</v>
      </c>
      <c r="AA2070" t="str">
        <f>IF(AND(SalesCleanTable[[#This Row],[Discount %]]&gt;0, SalesCleanTable[[#This Row],[Profit]]&lt;0), "Discount loss", "Safe")</f>
        <v>Safe</v>
      </c>
      <c r="AB2070" s="25">
        <f>(SalesCleanTable[[#This Row],[Unit Price]] - SalesCleanTable[[#This Row],[Unit Cost]]) / SalesCleanTable[[#This Row],[Unit Price]]</f>
        <v>0.28888888888888886</v>
      </c>
      <c r="AC2070" t="str">
        <f>IF(SalesCleanTable[[#This Row],[Discount %]] &gt; SalesCleanTable[[#This Row],[Max Allowed Discount]], "Discount loss", "Safe")</f>
        <v>Safe</v>
      </c>
      <c r="AD2070" s="4">
        <f>SalesCleanTable[[#This Row],[Unit Price]] - SalesCleanTable[[#This Row],[Unit Cost]]</f>
        <v>1300</v>
      </c>
      <c r="AE2070" s="41">
        <f>(SalesCleanTable[[#This Row],[Unit Price]] - SalesCleanTable[[#This Row],[Unit Cost]]) / SalesCleanTable[[#This Row],[Unit Price]]</f>
        <v>0.28888888888888886</v>
      </c>
    </row>
    <row r="2071" spans="1:31">
      <c r="A2071" t="s">
        <v>2257</v>
      </c>
      <c r="B2071" s="6">
        <v>45962</v>
      </c>
      <c r="C2071" t="s">
        <v>82</v>
      </c>
      <c r="D2071" t="s">
        <v>83</v>
      </c>
      <c r="E2071" t="s">
        <v>75</v>
      </c>
      <c r="F2071" t="s">
        <v>84</v>
      </c>
      <c r="G2071" t="s">
        <v>85</v>
      </c>
      <c r="H2071" t="s">
        <v>135</v>
      </c>
      <c r="I2071" t="s">
        <v>136</v>
      </c>
      <c r="J2071" t="s">
        <v>137</v>
      </c>
      <c r="K2071" t="s">
        <v>138</v>
      </c>
      <c r="L2071" t="s">
        <v>166</v>
      </c>
      <c r="M2071" t="s">
        <v>186</v>
      </c>
      <c r="N2071">
        <v>5</v>
      </c>
      <c r="O2071" s="4">
        <v>600</v>
      </c>
      <c r="P2071" s="4">
        <v>950</v>
      </c>
      <c r="Q2071" s="7">
        <v>0.2</v>
      </c>
      <c r="R2071" t="s">
        <v>187</v>
      </c>
      <c r="S2071">
        <v>1</v>
      </c>
      <c r="T2071">
        <v>4750</v>
      </c>
      <c r="U2071">
        <v>950</v>
      </c>
      <c r="V2071">
        <v>3800</v>
      </c>
      <c r="W2071">
        <v>3000</v>
      </c>
      <c r="X2071">
        <v>800</v>
      </c>
      <c r="Y2071" s="8">
        <v>0.21052631578947367</v>
      </c>
      <c r="Z2071" t="s">
        <v>2996</v>
      </c>
      <c r="AA2071" t="str">
        <f>IF(AND(SalesCleanTable[[#This Row],[Discount %]]&gt;0, SalesCleanTable[[#This Row],[Profit]]&lt;0), "Discount loss", "Safe")</f>
        <v>Safe</v>
      </c>
      <c r="AB2071" s="25">
        <f>(SalesCleanTable[[#This Row],[Unit Price]] - SalesCleanTable[[#This Row],[Unit Cost]]) / SalesCleanTable[[#This Row],[Unit Price]]</f>
        <v>0.36842105263157893</v>
      </c>
      <c r="AC2071" t="str">
        <f>IF(SalesCleanTable[[#This Row],[Discount %]] &gt; SalesCleanTable[[#This Row],[Max Allowed Discount]], "Discount loss", "Safe")</f>
        <v>Safe</v>
      </c>
      <c r="AD2071" s="4">
        <f>SalesCleanTable[[#This Row],[Unit Price]] - SalesCleanTable[[#This Row],[Unit Cost]]</f>
        <v>350</v>
      </c>
      <c r="AE2071" s="41">
        <f>(SalesCleanTable[[#This Row],[Unit Price]] - SalesCleanTable[[#This Row],[Unit Cost]]) / SalesCleanTable[[#This Row],[Unit Price]]</f>
        <v>0.36842105263157893</v>
      </c>
    </row>
    <row r="2072" spans="1:31">
      <c r="A2072" t="s">
        <v>2258</v>
      </c>
      <c r="B2072" s="6">
        <v>45886</v>
      </c>
      <c r="C2072" t="s">
        <v>95</v>
      </c>
      <c r="D2072" t="s">
        <v>96</v>
      </c>
      <c r="E2072" t="s">
        <v>92</v>
      </c>
      <c r="F2072" t="s">
        <v>97</v>
      </c>
      <c r="G2072" t="s">
        <v>98</v>
      </c>
      <c r="H2072" t="s">
        <v>149</v>
      </c>
      <c r="I2072" t="s">
        <v>150</v>
      </c>
      <c r="J2072" t="s">
        <v>151</v>
      </c>
      <c r="K2072" t="s">
        <v>152</v>
      </c>
      <c r="L2072" t="s">
        <v>183</v>
      </c>
      <c r="M2072" t="s">
        <v>171</v>
      </c>
      <c r="N2072">
        <v>1</v>
      </c>
      <c r="O2072" s="4">
        <v>18000</v>
      </c>
      <c r="P2072" s="4">
        <v>24500</v>
      </c>
      <c r="Q2072" s="7">
        <v>0</v>
      </c>
      <c r="R2072" t="s">
        <v>215</v>
      </c>
      <c r="S2072">
        <v>7</v>
      </c>
      <c r="T2072">
        <v>24500</v>
      </c>
      <c r="U2072">
        <v>0</v>
      </c>
      <c r="V2072">
        <v>24500</v>
      </c>
      <c r="W2072">
        <v>18000</v>
      </c>
      <c r="X2072">
        <v>6500</v>
      </c>
      <c r="Y2072" s="8">
        <v>0.26530612244897961</v>
      </c>
      <c r="Z2072" t="s">
        <v>2995</v>
      </c>
      <c r="AA2072" t="str">
        <f>IF(AND(SalesCleanTable[[#This Row],[Discount %]]&gt;0, SalesCleanTable[[#This Row],[Profit]]&lt;0), "Discount loss", "Safe")</f>
        <v>Safe</v>
      </c>
      <c r="AB2072" s="25">
        <f>(SalesCleanTable[[#This Row],[Unit Price]] - SalesCleanTable[[#This Row],[Unit Cost]]) / SalesCleanTable[[#This Row],[Unit Price]]</f>
        <v>0.26530612244897961</v>
      </c>
      <c r="AC2072" t="str">
        <f>IF(SalesCleanTable[[#This Row],[Discount %]] &gt; SalesCleanTable[[#This Row],[Max Allowed Discount]], "Discount loss", "Safe")</f>
        <v>Safe</v>
      </c>
      <c r="AD2072" s="4">
        <f>SalesCleanTable[[#This Row],[Unit Price]] - SalesCleanTable[[#This Row],[Unit Cost]]</f>
        <v>6500</v>
      </c>
      <c r="AE2072" s="41">
        <f>(SalesCleanTable[[#This Row],[Unit Price]] - SalesCleanTable[[#This Row],[Unit Cost]]) / SalesCleanTable[[#This Row],[Unit Price]]</f>
        <v>0.26530612244897961</v>
      </c>
    </row>
    <row r="2073" spans="1:31">
      <c r="A2073" t="s">
        <v>2259</v>
      </c>
      <c r="B2073" s="6">
        <v>45963</v>
      </c>
      <c r="C2073" t="s">
        <v>45</v>
      </c>
      <c r="D2073" t="s">
        <v>46</v>
      </c>
      <c r="E2073" t="s">
        <v>38</v>
      </c>
      <c r="F2073" t="s">
        <v>47</v>
      </c>
      <c r="G2073" t="s">
        <v>48</v>
      </c>
      <c r="H2073" t="s">
        <v>133</v>
      </c>
      <c r="I2073" t="s">
        <v>134</v>
      </c>
      <c r="J2073" t="s">
        <v>130</v>
      </c>
      <c r="K2073" t="s">
        <v>131</v>
      </c>
      <c r="L2073" t="s">
        <v>166</v>
      </c>
      <c r="M2073" t="s">
        <v>177</v>
      </c>
      <c r="N2073">
        <v>6</v>
      </c>
      <c r="O2073" s="4">
        <v>230</v>
      </c>
      <c r="P2073" s="4">
        <v>400</v>
      </c>
      <c r="Q2073" s="7">
        <v>0.2</v>
      </c>
      <c r="R2073" t="s">
        <v>175</v>
      </c>
      <c r="S2073">
        <v>13</v>
      </c>
      <c r="T2073">
        <v>2400</v>
      </c>
      <c r="U2073">
        <v>480</v>
      </c>
      <c r="V2073">
        <v>1920</v>
      </c>
      <c r="W2073">
        <v>1380</v>
      </c>
      <c r="X2073">
        <v>540</v>
      </c>
      <c r="Y2073" s="8">
        <v>0.28125</v>
      </c>
      <c r="Z2073" t="s">
        <v>2995</v>
      </c>
      <c r="AA2073" t="str">
        <f>IF(AND(SalesCleanTable[[#This Row],[Discount %]]&gt;0, SalesCleanTable[[#This Row],[Profit]]&lt;0), "Discount loss", "Safe")</f>
        <v>Safe</v>
      </c>
      <c r="AB2073" s="25">
        <f>(SalesCleanTable[[#This Row],[Unit Price]] - SalesCleanTable[[#This Row],[Unit Cost]]) / SalesCleanTable[[#This Row],[Unit Price]]</f>
        <v>0.42499999999999999</v>
      </c>
      <c r="AC2073" t="str">
        <f>IF(SalesCleanTable[[#This Row],[Discount %]] &gt; SalesCleanTable[[#This Row],[Max Allowed Discount]], "Discount loss", "Safe")</f>
        <v>Safe</v>
      </c>
      <c r="AD2073" s="4">
        <f>SalesCleanTable[[#This Row],[Unit Price]] - SalesCleanTable[[#This Row],[Unit Cost]]</f>
        <v>170</v>
      </c>
      <c r="AE2073" s="41">
        <f>(SalesCleanTable[[#This Row],[Unit Price]] - SalesCleanTable[[#This Row],[Unit Cost]]) / SalesCleanTable[[#This Row],[Unit Price]]</f>
        <v>0.42499999999999999</v>
      </c>
    </row>
    <row r="2074" spans="1:31">
      <c r="A2074" t="s">
        <v>2260</v>
      </c>
      <c r="B2074" s="6">
        <v>45882</v>
      </c>
      <c r="C2074" t="s">
        <v>116</v>
      </c>
      <c r="D2074" t="s">
        <v>117</v>
      </c>
      <c r="E2074" t="s">
        <v>109</v>
      </c>
      <c r="F2074" t="s">
        <v>118</v>
      </c>
      <c r="G2074" t="s">
        <v>119</v>
      </c>
      <c r="H2074" t="s">
        <v>141</v>
      </c>
      <c r="I2074" t="s">
        <v>142</v>
      </c>
      <c r="J2074" t="s">
        <v>143</v>
      </c>
      <c r="K2074" t="s">
        <v>144</v>
      </c>
      <c r="L2074" t="s">
        <v>166</v>
      </c>
      <c r="M2074" t="s">
        <v>177</v>
      </c>
      <c r="N2074">
        <v>6</v>
      </c>
      <c r="O2074" s="4">
        <v>2800</v>
      </c>
      <c r="P2074" s="4">
        <v>4200</v>
      </c>
      <c r="Q2074" s="7">
        <v>0</v>
      </c>
      <c r="R2074" t="s">
        <v>220</v>
      </c>
      <c r="S2074">
        <v>12</v>
      </c>
      <c r="T2074">
        <v>25200</v>
      </c>
      <c r="U2074">
        <v>0</v>
      </c>
      <c r="V2074">
        <v>25200</v>
      </c>
      <c r="W2074">
        <v>16800</v>
      </c>
      <c r="X2074">
        <v>8400</v>
      </c>
      <c r="Y2074" s="8">
        <v>0.33333333333333331</v>
      </c>
      <c r="Z2074" t="s">
        <v>2995</v>
      </c>
      <c r="AA2074" t="str">
        <f>IF(AND(SalesCleanTable[[#This Row],[Discount %]]&gt;0, SalesCleanTable[[#This Row],[Profit]]&lt;0), "Discount loss", "Safe")</f>
        <v>Safe</v>
      </c>
      <c r="AB2074" s="25">
        <f>(SalesCleanTable[[#This Row],[Unit Price]] - SalesCleanTable[[#This Row],[Unit Cost]]) / SalesCleanTable[[#This Row],[Unit Price]]</f>
        <v>0.33333333333333331</v>
      </c>
      <c r="AC2074" t="str">
        <f>IF(SalesCleanTable[[#This Row],[Discount %]] &gt; SalesCleanTable[[#This Row],[Max Allowed Discount]], "Discount loss", "Safe")</f>
        <v>Safe</v>
      </c>
      <c r="AD2074" s="4">
        <f>SalesCleanTable[[#This Row],[Unit Price]] - SalesCleanTable[[#This Row],[Unit Cost]]</f>
        <v>1400</v>
      </c>
      <c r="AE2074" s="41">
        <f>(SalesCleanTable[[#This Row],[Unit Price]] - SalesCleanTable[[#This Row],[Unit Cost]]) / SalesCleanTable[[#This Row],[Unit Price]]</f>
        <v>0.33333333333333331</v>
      </c>
    </row>
    <row r="2075" spans="1:31">
      <c r="A2075" t="s">
        <v>2261</v>
      </c>
      <c r="B2075" s="6">
        <v>45992</v>
      </c>
      <c r="C2075" t="s">
        <v>32</v>
      </c>
      <c r="D2075" t="s">
        <v>33</v>
      </c>
      <c r="E2075" t="s">
        <v>26</v>
      </c>
      <c r="F2075" t="s">
        <v>34</v>
      </c>
      <c r="G2075" t="s">
        <v>35</v>
      </c>
      <c r="H2075" t="s">
        <v>139</v>
      </c>
      <c r="I2075" t="s">
        <v>140</v>
      </c>
      <c r="J2075" t="s">
        <v>137</v>
      </c>
      <c r="K2075" t="s">
        <v>138</v>
      </c>
      <c r="L2075" t="s">
        <v>166</v>
      </c>
      <c r="M2075" t="s">
        <v>177</v>
      </c>
      <c r="N2075">
        <v>2</v>
      </c>
      <c r="O2075" s="4">
        <v>7800</v>
      </c>
      <c r="P2075" s="4">
        <v>9800</v>
      </c>
      <c r="Q2075" s="7">
        <v>0.1</v>
      </c>
      <c r="R2075" t="s">
        <v>197</v>
      </c>
      <c r="S2075">
        <v>7</v>
      </c>
      <c r="T2075">
        <v>19600</v>
      </c>
      <c r="U2075">
        <v>1960</v>
      </c>
      <c r="V2075">
        <v>17640</v>
      </c>
      <c r="W2075">
        <v>15600</v>
      </c>
      <c r="X2075">
        <v>2040</v>
      </c>
      <c r="Y2075" s="8">
        <v>0.11564625850340136</v>
      </c>
      <c r="Z2075" t="s">
        <v>2995</v>
      </c>
      <c r="AA2075" t="str">
        <f>IF(AND(SalesCleanTable[[#This Row],[Discount %]]&gt;0, SalesCleanTable[[#This Row],[Profit]]&lt;0), "Discount loss", "Safe")</f>
        <v>Safe</v>
      </c>
      <c r="AB2075" s="25">
        <f>(SalesCleanTable[[#This Row],[Unit Price]] - SalesCleanTable[[#This Row],[Unit Cost]]) / SalesCleanTable[[#This Row],[Unit Price]]</f>
        <v>0.20408163265306123</v>
      </c>
      <c r="AC2075" t="str">
        <f>IF(SalesCleanTable[[#This Row],[Discount %]] &gt; SalesCleanTable[[#This Row],[Max Allowed Discount]], "Discount loss", "Safe")</f>
        <v>Safe</v>
      </c>
      <c r="AD2075" s="4">
        <f>SalesCleanTable[[#This Row],[Unit Price]] - SalesCleanTable[[#This Row],[Unit Cost]]</f>
        <v>2000</v>
      </c>
      <c r="AE2075" s="41">
        <f>(SalesCleanTable[[#This Row],[Unit Price]] - SalesCleanTable[[#This Row],[Unit Cost]]) / SalesCleanTable[[#This Row],[Unit Price]]</f>
        <v>0.20408163265306123</v>
      </c>
    </row>
    <row r="2076" spans="1:31">
      <c r="A2076" t="s">
        <v>2262</v>
      </c>
      <c r="B2076" s="6">
        <v>46010</v>
      </c>
      <c r="C2076" t="s">
        <v>32</v>
      </c>
      <c r="D2076" t="s">
        <v>33</v>
      </c>
      <c r="E2076" t="s">
        <v>26</v>
      </c>
      <c r="F2076" t="s">
        <v>34</v>
      </c>
      <c r="G2076" t="s">
        <v>35</v>
      </c>
      <c r="H2076" t="s">
        <v>133</v>
      </c>
      <c r="I2076" t="s">
        <v>134</v>
      </c>
      <c r="J2076" t="s">
        <v>130</v>
      </c>
      <c r="K2076" t="s">
        <v>131</v>
      </c>
      <c r="L2076" t="s">
        <v>170</v>
      </c>
      <c r="M2076" t="s">
        <v>177</v>
      </c>
      <c r="N2076">
        <v>6</v>
      </c>
      <c r="O2076" s="4">
        <v>7800</v>
      </c>
      <c r="P2076" s="4">
        <v>9800</v>
      </c>
      <c r="Q2076" s="7">
        <v>0.05</v>
      </c>
      <c r="R2076" t="s">
        <v>173</v>
      </c>
      <c r="S2076">
        <v>1</v>
      </c>
      <c r="T2076">
        <v>58800</v>
      </c>
      <c r="U2076">
        <v>2940</v>
      </c>
      <c r="V2076">
        <v>55860</v>
      </c>
      <c r="W2076">
        <v>46800</v>
      </c>
      <c r="X2076">
        <v>9060</v>
      </c>
      <c r="Y2076" s="8">
        <v>0.16219119226638024</v>
      </c>
      <c r="Z2076" t="s">
        <v>2995</v>
      </c>
      <c r="AA2076" t="str">
        <f>IF(AND(SalesCleanTable[[#This Row],[Discount %]]&gt;0, SalesCleanTable[[#This Row],[Profit]]&lt;0), "Discount loss", "Safe")</f>
        <v>Safe</v>
      </c>
      <c r="AB2076" s="25">
        <f>(SalesCleanTable[[#This Row],[Unit Price]] - SalesCleanTable[[#This Row],[Unit Cost]]) / SalesCleanTable[[#This Row],[Unit Price]]</f>
        <v>0.20408163265306123</v>
      </c>
      <c r="AC2076" t="str">
        <f>IF(SalesCleanTable[[#This Row],[Discount %]] &gt; SalesCleanTable[[#This Row],[Max Allowed Discount]], "Discount loss", "Safe")</f>
        <v>Safe</v>
      </c>
      <c r="AD2076" s="4">
        <f>SalesCleanTable[[#This Row],[Unit Price]] - SalesCleanTable[[#This Row],[Unit Cost]]</f>
        <v>2000</v>
      </c>
      <c r="AE2076" s="41">
        <f>(SalesCleanTable[[#This Row],[Unit Price]] - SalesCleanTable[[#This Row],[Unit Cost]]) / SalesCleanTable[[#This Row],[Unit Price]]</f>
        <v>0.20408163265306123</v>
      </c>
    </row>
    <row r="2077" spans="1:31">
      <c r="A2077" t="s">
        <v>2263</v>
      </c>
      <c r="B2077" s="6">
        <v>45798</v>
      </c>
      <c r="C2077" t="s">
        <v>78</v>
      </c>
      <c r="D2077" t="s">
        <v>79</v>
      </c>
      <c r="E2077" t="s">
        <v>75</v>
      </c>
      <c r="F2077" t="s">
        <v>80</v>
      </c>
      <c r="G2077" t="s">
        <v>81</v>
      </c>
      <c r="H2077" t="s">
        <v>153</v>
      </c>
      <c r="I2077" t="s">
        <v>154</v>
      </c>
      <c r="J2077" t="s">
        <v>155</v>
      </c>
      <c r="K2077" t="s">
        <v>131</v>
      </c>
      <c r="L2077" t="s">
        <v>183</v>
      </c>
      <c r="M2077" t="s">
        <v>186</v>
      </c>
      <c r="N2077">
        <v>3</v>
      </c>
      <c r="O2077" s="4">
        <v>1200</v>
      </c>
      <c r="P2077" s="4">
        <v>1900</v>
      </c>
      <c r="Q2077" s="7">
        <v>0.2</v>
      </c>
      <c r="R2077" t="s">
        <v>208</v>
      </c>
      <c r="S2077">
        <v>1</v>
      </c>
      <c r="T2077">
        <v>5700</v>
      </c>
      <c r="U2077">
        <v>1140</v>
      </c>
      <c r="V2077">
        <v>4560</v>
      </c>
      <c r="W2077">
        <v>3600</v>
      </c>
      <c r="X2077">
        <v>960</v>
      </c>
      <c r="Y2077" s="8">
        <v>0.21052631578947367</v>
      </c>
      <c r="Z2077" t="s">
        <v>2996</v>
      </c>
      <c r="AA2077" t="str">
        <f>IF(AND(SalesCleanTable[[#This Row],[Discount %]]&gt;0, SalesCleanTable[[#This Row],[Profit]]&lt;0), "Discount loss", "Safe")</f>
        <v>Safe</v>
      </c>
      <c r="AB2077" s="25">
        <f>(SalesCleanTable[[#This Row],[Unit Price]] - SalesCleanTable[[#This Row],[Unit Cost]]) / SalesCleanTable[[#This Row],[Unit Price]]</f>
        <v>0.36842105263157893</v>
      </c>
      <c r="AC2077" t="str">
        <f>IF(SalesCleanTable[[#This Row],[Discount %]] &gt; SalesCleanTable[[#This Row],[Max Allowed Discount]], "Discount loss", "Safe")</f>
        <v>Safe</v>
      </c>
      <c r="AD2077" s="4">
        <f>SalesCleanTable[[#This Row],[Unit Price]] - SalesCleanTable[[#This Row],[Unit Cost]]</f>
        <v>700</v>
      </c>
      <c r="AE2077" s="41">
        <f>(SalesCleanTable[[#This Row],[Unit Price]] - SalesCleanTable[[#This Row],[Unit Cost]]) / SalesCleanTable[[#This Row],[Unit Price]]</f>
        <v>0.36842105263157893</v>
      </c>
    </row>
    <row r="2078" spans="1:31">
      <c r="A2078" t="s">
        <v>2264</v>
      </c>
      <c r="B2078" s="6">
        <v>45722</v>
      </c>
      <c r="C2078" t="s">
        <v>32</v>
      </c>
      <c r="D2078" t="s">
        <v>33</v>
      </c>
      <c r="E2078" t="s">
        <v>26</v>
      </c>
      <c r="F2078" t="s">
        <v>34</v>
      </c>
      <c r="G2078" t="s">
        <v>35</v>
      </c>
      <c r="H2078" t="s">
        <v>149</v>
      </c>
      <c r="I2078" t="s">
        <v>150</v>
      </c>
      <c r="J2078" t="s">
        <v>151</v>
      </c>
      <c r="K2078" t="s">
        <v>152</v>
      </c>
      <c r="L2078" t="s">
        <v>166</v>
      </c>
      <c r="M2078" t="s">
        <v>167</v>
      </c>
      <c r="N2078">
        <v>3</v>
      </c>
      <c r="O2078" s="4">
        <v>7800</v>
      </c>
      <c r="P2078" s="4">
        <v>9800</v>
      </c>
      <c r="Q2078" s="7">
        <v>0.05</v>
      </c>
      <c r="R2078" t="s">
        <v>194</v>
      </c>
      <c r="S2078">
        <v>13</v>
      </c>
      <c r="T2078">
        <v>29400</v>
      </c>
      <c r="U2078">
        <v>1470</v>
      </c>
      <c r="V2078">
        <v>27930</v>
      </c>
      <c r="W2078">
        <v>23400</v>
      </c>
      <c r="X2078">
        <v>4530</v>
      </c>
      <c r="Y2078" s="8">
        <v>0.16219119226638024</v>
      </c>
      <c r="Z2078" t="s">
        <v>2995</v>
      </c>
      <c r="AA2078" t="str">
        <f>IF(AND(SalesCleanTable[[#This Row],[Discount %]]&gt;0, SalesCleanTable[[#This Row],[Profit]]&lt;0), "Discount loss", "Safe")</f>
        <v>Safe</v>
      </c>
      <c r="AB2078" s="25">
        <f>(SalesCleanTable[[#This Row],[Unit Price]] - SalesCleanTable[[#This Row],[Unit Cost]]) / SalesCleanTable[[#This Row],[Unit Price]]</f>
        <v>0.20408163265306123</v>
      </c>
      <c r="AC2078" t="str">
        <f>IF(SalesCleanTable[[#This Row],[Discount %]] &gt; SalesCleanTable[[#This Row],[Max Allowed Discount]], "Discount loss", "Safe")</f>
        <v>Safe</v>
      </c>
      <c r="AD2078" s="4">
        <f>SalesCleanTable[[#This Row],[Unit Price]] - SalesCleanTable[[#This Row],[Unit Cost]]</f>
        <v>2000</v>
      </c>
      <c r="AE2078" s="41">
        <f>(SalesCleanTable[[#This Row],[Unit Price]] - SalesCleanTable[[#This Row],[Unit Cost]]) / SalesCleanTable[[#This Row],[Unit Price]]</f>
        <v>0.20408163265306123</v>
      </c>
    </row>
    <row r="2079" spans="1:31">
      <c r="A2079" t="s">
        <v>2265</v>
      </c>
      <c r="B2079" s="6">
        <v>45750</v>
      </c>
      <c r="C2079" t="s">
        <v>32</v>
      </c>
      <c r="D2079" t="s">
        <v>33</v>
      </c>
      <c r="E2079" t="s">
        <v>26</v>
      </c>
      <c r="F2079" t="s">
        <v>34</v>
      </c>
      <c r="G2079" t="s">
        <v>35</v>
      </c>
      <c r="H2079" t="s">
        <v>128</v>
      </c>
      <c r="I2079" t="s">
        <v>129</v>
      </c>
      <c r="J2079" t="s">
        <v>130</v>
      </c>
      <c r="K2079" t="s">
        <v>131</v>
      </c>
      <c r="L2079" t="s">
        <v>183</v>
      </c>
      <c r="M2079" t="s">
        <v>167</v>
      </c>
      <c r="N2079">
        <v>2</v>
      </c>
      <c r="O2079" s="4">
        <v>7800</v>
      </c>
      <c r="P2079" s="4">
        <v>9800</v>
      </c>
      <c r="Q2079" s="7">
        <v>0.2</v>
      </c>
      <c r="R2079" t="s">
        <v>197</v>
      </c>
      <c r="S2079">
        <v>5</v>
      </c>
      <c r="T2079">
        <v>19600</v>
      </c>
      <c r="U2079">
        <v>3920</v>
      </c>
      <c r="V2079">
        <v>15680</v>
      </c>
      <c r="W2079">
        <v>15600</v>
      </c>
      <c r="X2079">
        <v>80</v>
      </c>
      <c r="Y2079" s="8">
        <v>5.1020408163265302E-3</v>
      </c>
      <c r="Z2079" t="s">
        <v>2995</v>
      </c>
      <c r="AA2079" t="str">
        <f>IF(AND(SalesCleanTable[[#This Row],[Discount %]]&gt;0, SalesCleanTable[[#This Row],[Profit]]&lt;0), "Discount loss", "Safe")</f>
        <v>Safe</v>
      </c>
      <c r="AB2079" s="25">
        <f>(SalesCleanTable[[#This Row],[Unit Price]] - SalesCleanTable[[#This Row],[Unit Cost]]) / SalesCleanTable[[#This Row],[Unit Price]]</f>
        <v>0.20408163265306123</v>
      </c>
      <c r="AC2079" t="str">
        <f>IF(SalesCleanTable[[#This Row],[Discount %]] &gt; SalesCleanTable[[#This Row],[Max Allowed Discount]], "Discount loss", "Safe")</f>
        <v>Safe</v>
      </c>
      <c r="AD2079" s="4">
        <f>SalesCleanTable[[#This Row],[Unit Price]] - SalesCleanTable[[#This Row],[Unit Cost]]</f>
        <v>2000</v>
      </c>
      <c r="AE2079" s="41">
        <f>(SalesCleanTable[[#This Row],[Unit Price]] - SalesCleanTable[[#This Row],[Unit Cost]]) / SalesCleanTable[[#This Row],[Unit Price]]</f>
        <v>0.20408163265306123</v>
      </c>
    </row>
    <row r="2080" spans="1:31">
      <c r="A2080" t="s">
        <v>2266</v>
      </c>
      <c r="B2080" s="6">
        <v>45903</v>
      </c>
      <c r="C2080" t="s">
        <v>107</v>
      </c>
      <c r="D2080" t="s">
        <v>108</v>
      </c>
      <c r="E2080" t="s">
        <v>109</v>
      </c>
      <c r="F2080" t="s">
        <v>110</v>
      </c>
      <c r="G2080" t="s">
        <v>111</v>
      </c>
      <c r="H2080" t="s">
        <v>135</v>
      </c>
      <c r="I2080" t="s">
        <v>136</v>
      </c>
      <c r="J2080" t="s">
        <v>137</v>
      </c>
      <c r="K2080" t="s">
        <v>138</v>
      </c>
      <c r="L2080" t="s">
        <v>166</v>
      </c>
      <c r="M2080" t="s">
        <v>167</v>
      </c>
      <c r="N2080">
        <v>2</v>
      </c>
      <c r="O2080" s="4">
        <v>5200</v>
      </c>
      <c r="P2080" s="4">
        <v>7000</v>
      </c>
      <c r="Q2080" s="7">
        <v>0.2</v>
      </c>
      <c r="R2080" t="s">
        <v>220</v>
      </c>
      <c r="S2080">
        <v>6</v>
      </c>
      <c r="T2080">
        <v>14000</v>
      </c>
      <c r="U2080">
        <v>2800</v>
      </c>
      <c r="V2080">
        <v>11200</v>
      </c>
      <c r="W2080">
        <v>10400</v>
      </c>
      <c r="X2080">
        <v>800</v>
      </c>
      <c r="Y2080" s="8">
        <v>7.1428571428571425E-2</v>
      </c>
      <c r="Z2080" t="s">
        <v>2997</v>
      </c>
      <c r="AA2080" t="str">
        <f>IF(AND(SalesCleanTable[[#This Row],[Discount %]]&gt;0, SalesCleanTable[[#This Row],[Profit]]&lt;0), "Discount loss", "Safe")</f>
        <v>Safe</v>
      </c>
      <c r="AB2080" s="25">
        <f>(SalesCleanTable[[#This Row],[Unit Price]] - SalesCleanTable[[#This Row],[Unit Cost]]) / SalesCleanTable[[#This Row],[Unit Price]]</f>
        <v>0.25714285714285712</v>
      </c>
      <c r="AC2080" t="str">
        <f>IF(SalesCleanTable[[#This Row],[Discount %]] &gt; SalesCleanTable[[#This Row],[Max Allowed Discount]], "Discount loss", "Safe")</f>
        <v>Safe</v>
      </c>
      <c r="AD2080" s="4">
        <f>SalesCleanTable[[#This Row],[Unit Price]] - SalesCleanTable[[#This Row],[Unit Cost]]</f>
        <v>1800</v>
      </c>
      <c r="AE2080" s="41">
        <f>(SalesCleanTable[[#This Row],[Unit Price]] - SalesCleanTable[[#This Row],[Unit Cost]]) / SalesCleanTable[[#This Row],[Unit Price]]</f>
        <v>0.25714285714285712</v>
      </c>
    </row>
    <row r="2081" spans="1:31">
      <c r="A2081" t="s">
        <v>2267</v>
      </c>
      <c r="B2081" s="6">
        <v>45776</v>
      </c>
      <c r="C2081" t="s">
        <v>57</v>
      </c>
      <c r="D2081" t="s">
        <v>58</v>
      </c>
      <c r="E2081" t="s">
        <v>59</v>
      </c>
      <c r="F2081" t="s">
        <v>60</v>
      </c>
      <c r="G2081" t="s">
        <v>61</v>
      </c>
      <c r="H2081" t="s">
        <v>135</v>
      </c>
      <c r="I2081" t="s">
        <v>136</v>
      </c>
      <c r="J2081" t="s">
        <v>137</v>
      </c>
      <c r="K2081" t="s">
        <v>138</v>
      </c>
      <c r="L2081" t="s">
        <v>166</v>
      </c>
      <c r="M2081" t="s">
        <v>186</v>
      </c>
      <c r="N2081">
        <v>3</v>
      </c>
      <c r="O2081" s="4">
        <v>2400</v>
      </c>
      <c r="P2081" s="4">
        <v>3400</v>
      </c>
      <c r="Q2081" s="7">
        <v>0</v>
      </c>
      <c r="R2081" t="s">
        <v>204</v>
      </c>
      <c r="S2081">
        <v>4</v>
      </c>
      <c r="T2081">
        <v>10200</v>
      </c>
      <c r="U2081">
        <v>0</v>
      </c>
      <c r="V2081">
        <v>10200</v>
      </c>
      <c r="W2081">
        <v>7200</v>
      </c>
      <c r="X2081">
        <v>3000</v>
      </c>
      <c r="Y2081" s="8">
        <v>0.29411764705882354</v>
      </c>
      <c r="Z2081" t="s">
        <v>2996</v>
      </c>
      <c r="AA2081" t="str">
        <f>IF(AND(SalesCleanTable[[#This Row],[Discount %]]&gt;0, SalesCleanTable[[#This Row],[Profit]]&lt;0), "Discount loss", "Safe")</f>
        <v>Safe</v>
      </c>
      <c r="AB2081" s="25">
        <f>(SalesCleanTable[[#This Row],[Unit Price]] - SalesCleanTable[[#This Row],[Unit Cost]]) / SalesCleanTable[[#This Row],[Unit Price]]</f>
        <v>0.29411764705882354</v>
      </c>
      <c r="AC2081" t="str">
        <f>IF(SalesCleanTable[[#This Row],[Discount %]] &gt; SalesCleanTable[[#This Row],[Max Allowed Discount]], "Discount loss", "Safe")</f>
        <v>Safe</v>
      </c>
      <c r="AD2081" s="4">
        <f>SalesCleanTable[[#This Row],[Unit Price]] - SalesCleanTable[[#This Row],[Unit Cost]]</f>
        <v>1000</v>
      </c>
      <c r="AE2081" s="41">
        <f>(SalesCleanTable[[#This Row],[Unit Price]] - SalesCleanTable[[#This Row],[Unit Cost]]) / SalesCleanTable[[#This Row],[Unit Price]]</f>
        <v>0.29411764705882354</v>
      </c>
    </row>
    <row r="2082" spans="1:31">
      <c r="A2082" t="s">
        <v>2268</v>
      </c>
      <c r="B2082" s="6">
        <v>46017</v>
      </c>
      <c r="C2082" t="s">
        <v>99</v>
      </c>
      <c r="D2082" t="s">
        <v>100</v>
      </c>
      <c r="E2082" t="s">
        <v>92</v>
      </c>
      <c r="F2082" t="s">
        <v>101</v>
      </c>
      <c r="G2082" t="s">
        <v>102</v>
      </c>
      <c r="H2082" t="s">
        <v>149</v>
      </c>
      <c r="I2082" t="s">
        <v>150</v>
      </c>
      <c r="J2082" t="s">
        <v>151</v>
      </c>
      <c r="K2082" t="s">
        <v>152</v>
      </c>
      <c r="L2082" t="s">
        <v>166</v>
      </c>
      <c r="M2082" t="s">
        <v>171</v>
      </c>
      <c r="N2082">
        <v>1</v>
      </c>
      <c r="O2082" s="4">
        <v>12500</v>
      </c>
      <c r="P2082" s="4">
        <v>18500</v>
      </c>
      <c r="Q2082" s="7">
        <v>0.1</v>
      </c>
      <c r="R2082" t="s">
        <v>181</v>
      </c>
      <c r="S2082">
        <v>14</v>
      </c>
      <c r="T2082">
        <v>18500</v>
      </c>
      <c r="U2082">
        <v>1850</v>
      </c>
      <c r="V2082">
        <v>16650</v>
      </c>
      <c r="W2082">
        <v>12500</v>
      </c>
      <c r="X2082">
        <v>4150</v>
      </c>
      <c r="Y2082" s="8">
        <v>0.24924924924924924</v>
      </c>
      <c r="Z2082" t="s">
        <v>2995</v>
      </c>
      <c r="AA2082" t="str">
        <f>IF(AND(SalesCleanTable[[#This Row],[Discount %]]&gt;0, SalesCleanTable[[#This Row],[Profit]]&lt;0), "Discount loss", "Safe")</f>
        <v>Safe</v>
      </c>
      <c r="AB2082" s="25">
        <f>(SalesCleanTable[[#This Row],[Unit Price]] - SalesCleanTable[[#This Row],[Unit Cost]]) / SalesCleanTable[[#This Row],[Unit Price]]</f>
        <v>0.32432432432432434</v>
      </c>
      <c r="AC2082" t="str">
        <f>IF(SalesCleanTable[[#This Row],[Discount %]] &gt; SalesCleanTable[[#This Row],[Max Allowed Discount]], "Discount loss", "Safe")</f>
        <v>Safe</v>
      </c>
      <c r="AD2082" s="4">
        <f>SalesCleanTable[[#This Row],[Unit Price]] - SalesCleanTable[[#This Row],[Unit Cost]]</f>
        <v>6000</v>
      </c>
      <c r="AE2082" s="41">
        <f>(SalesCleanTable[[#This Row],[Unit Price]] - SalesCleanTable[[#This Row],[Unit Cost]]) / SalesCleanTable[[#This Row],[Unit Price]]</f>
        <v>0.32432432432432434</v>
      </c>
    </row>
    <row r="2083" spans="1:31">
      <c r="A2083" t="s">
        <v>2269</v>
      </c>
      <c r="B2083" s="6">
        <v>45899</v>
      </c>
      <c r="C2083" t="s">
        <v>41</v>
      </c>
      <c r="D2083" t="s">
        <v>42</v>
      </c>
      <c r="E2083" t="s">
        <v>26</v>
      </c>
      <c r="F2083" t="s">
        <v>43</v>
      </c>
      <c r="G2083" t="s">
        <v>44</v>
      </c>
      <c r="H2083" t="s">
        <v>145</v>
      </c>
      <c r="I2083" t="s">
        <v>146</v>
      </c>
      <c r="J2083" t="s">
        <v>147</v>
      </c>
      <c r="K2083" t="s">
        <v>148</v>
      </c>
      <c r="L2083" t="s">
        <v>166</v>
      </c>
      <c r="M2083" t="s">
        <v>186</v>
      </c>
      <c r="N2083">
        <v>1</v>
      </c>
      <c r="O2083" s="4">
        <v>850</v>
      </c>
      <c r="P2083" s="4">
        <v>1300</v>
      </c>
      <c r="Q2083" s="7">
        <v>0.2</v>
      </c>
      <c r="R2083" t="s">
        <v>194</v>
      </c>
      <c r="S2083">
        <v>9</v>
      </c>
      <c r="T2083">
        <v>1300</v>
      </c>
      <c r="U2083">
        <v>260</v>
      </c>
      <c r="V2083">
        <v>1040</v>
      </c>
      <c r="W2083">
        <v>850</v>
      </c>
      <c r="X2083">
        <v>190</v>
      </c>
      <c r="Y2083" s="8">
        <v>0.18269230769230768</v>
      </c>
      <c r="Z2083" t="s">
        <v>2995</v>
      </c>
      <c r="AA2083" t="str">
        <f>IF(AND(SalesCleanTable[[#This Row],[Discount %]]&gt;0, SalesCleanTable[[#This Row],[Profit]]&lt;0), "Discount loss", "Safe")</f>
        <v>Safe</v>
      </c>
      <c r="AB2083" s="25">
        <f>(SalesCleanTable[[#This Row],[Unit Price]] - SalesCleanTable[[#This Row],[Unit Cost]]) / SalesCleanTable[[#This Row],[Unit Price]]</f>
        <v>0.34615384615384615</v>
      </c>
      <c r="AC2083" t="str">
        <f>IF(SalesCleanTable[[#This Row],[Discount %]] &gt; SalesCleanTable[[#This Row],[Max Allowed Discount]], "Discount loss", "Safe")</f>
        <v>Safe</v>
      </c>
      <c r="AD2083" s="4">
        <f>SalesCleanTable[[#This Row],[Unit Price]] - SalesCleanTable[[#This Row],[Unit Cost]]</f>
        <v>450</v>
      </c>
      <c r="AE2083" s="41">
        <f>(SalesCleanTable[[#This Row],[Unit Price]] - SalesCleanTable[[#This Row],[Unit Cost]]) / SalesCleanTable[[#This Row],[Unit Price]]</f>
        <v>0.34615384615384615</v>
      </c>
    </row>
    <row r="2084" spans="1:31">
      <c r="A2084" t="s">
        <v>2270</v>
      </c>
      <c r="B2084" s="6">
        <v>45784</v>
      </c>
      <c r="C2084" t="s">
        <v>73</v>
      </c>
      <c r="D2084" t="s">
        <v>74</v>
      </c>
      <c r="E2084" t="s">
        <v>75</v>
      </c>
      <c r="F2084" t="s">
        <v>76</v>
      </c>
      <c r="G2084" t="s">
        <v>77</v>
      </c>
      <c r="H2084" t="s">
        <v>139</v>
      </c>
      <c r="I2084" t="s">
        <v>140</v>
      </c>
      <c r="J2084" t="s">
        <v>137</v>
      </c>
      <c r="K2084" t="s">
        <v>138</v>
      </c>
      <c r="L2084" t="s">
        <v>166</v>
      </c>
      <c r="M2084" t="s">
        <v>177</v>
      </c>
      <c r="N2084">
        <v>4</v>
      </c>
      <c r="O2084" s="4">
        <v>3500</v>
      </c>
      <c r="P2084" s="4">
        <v>5200</v>
      </c>
      <c r="Q2084" s="7">
        <v>0.05</v>
      </c>
      <c r="R2084" t="s">
        <v>204</v>
      </c>
      <c r="S2084">
        <v>5</v>
      </c>
      <c r="T2084">
        <v>20800</v>
      </c>
      <c r="U2084">
        <v>1040</v>
      </c>
      <c r="V2084">
        <v>19760</v>
      </c>
      <c r="W2084">
        <v>14000</v>
      </c>
      <c r="X2084">
        <v>5760</v>
      </c>
      <c r="Y2084" s="8">
        <v>0.291497975708502</v>
      </c>
      <c r="Z2084" t="s">
        <v>2996</v>
      </c>
      <c r="AA2084" t="str">
        <f>IF(AND(SalesCleanTable[[#This Row],[Discount %]]&gt;0, SalesCleanTable[[#This Row],[Profit]]&lt;0), "Discount loss", "Safe")</f>
        <v>Safe</v>
      </c>
      <c r="AB2084" s="25">
        <f>(SalesCleanTable[[#This Row],[Unit Price]] - SalesCleanTable[[#This Row],[Unit Cost]]) / SalesCleanTable[[#This Row],[Unit Price]]</f>
        <v>0.32692307692307693</v>
      </c>
      <c r="AC2084" t="str">
        <f>IF(SalesCleanTable[[#This Row],[Discount %]] &gt; SalesCleanTable[[#This Row],[Max Allowed Discount]], "Discount loss", "Safe")</f>
        <v>Safe</v>
      </c>
      <c r="AD2084" s="4">
        <f>SalesCleanTable[[#This Row],[Unit Price]] - SalesCleanTable[[#This Row],[Unit Cost]]</f>
        <v>1700</v>
      </c>
      <c r="AE2084" s="41">
        <f>(SalesCleanTable[[#This Row],[Unit Price]] - SalesCleanTable[[#This Row],[Unit Cost]]) / SalesCleanTable[[#This Row],[Unit Price]]</f>
        <v>0.32692307692307693</v>
      </c>
    </row>
    <row r="2085" spans="1:31">
      <c r="A2085" t="s">
        <v>2271</v>
      </c>
      <c r="B2085" s="6">
        <v>45835</v>
      </c>
      <c r="C2085" t="s">
        <v>32</v>
      </c>
      <c r="D2085" t="s">
        <v>33</v>
      </c>
      <c r="E2085" t="s">
        <v>26</v>
      </c>
      <c r="F2085" t="s">
        <v>34</v>
      </c>
      <c r="G2085" t="s">
        <v>35</v>
      </c>
      <c r="H2085" t="s">
        <v>149</v>
      </c>
      <c r="I2085" t="s">
        <v>150</v>
      </c>
      <c r="J2085" t="s">
        <v>151</v>
      </c>
      <c r="K2085" t="s">
        <v>152</v>
      </c>
      <c r="L2085" t="s">
        <v>166</v>
      </c>
      <c r="M2085" t="s">
        <v>186</v>
      </c>
      <c r="N2085">
        <v>1</v>
      </c>
      <c r="O2085" s="4">
        <v>7800</v>
      </c>
      <c r="P2085" s="4">
        <v>9800</v>
      </c>
      <c r="Q2085" s="7">
        <v>0</v>
      </c>
      <c r="R2085" t="s">
        <v>173</v>
      </c>
      <c r="S2085">
        <v>2</v>
      </c>
      <c r="T2085">
        <v>9800</v>
      </c>
      <c r="U2085">
        <v>0</v>
      </c>
      <c r="V2085">
        <v>9800</v>
      </c>
      <c r="W2085">
        <v>7800</v>
      </c>
      <c r="X2085">
        <v>2000</v>
      </c>
      <c r="Y2085" s="8">
        <v>0.20408163265306123</v>
      </c>
      <c r="Z2085" t="s">
        <v>2995</v>
      </c>
      <c r="AA2085" t="str">
        <f>IF(AND(SalesCleanTable[[#This Row],[Discount %]]&gt;0, SalesCleanTable[[#This Row],[Profit]]&lt;0), "Discount loss", "Safe")</f>
        <v>Safe</v>
      </c>
      <c r="AB2085" s="25">
        <f>(SalesCleanTable[[#This Row],[Unit Price]] - SalesCleanTable[[#This Row],[Unit Cost]]) / SalesCleanTable[[#This Row],[Unit Price]]</f>
        <v>0.20408163265306123</v>
      </c>
      <c r="AC2085" t="str">
        <f>IF(SalesCleanTable[[#This Row],[Discount %]] &gt; SalesCleanTable[[#This Row],[Max Allowed Discount]], "Discount loss", "Safe")</f>
        <v>Safe</v>
      </c>
      <c r="AD2085" s="4">
        <f>SalesCleanTable[[#This Row],[Unit Price]] - SalesCleanTable[[#This Row],[Unit Cost]]</f>
        <v>2000</v>
      </c>
      <c r="AE2085" s="41">
        <f>(SalesCleanTable[[#This Row],[Unit Price]] - SalesCleanTable[[#This Row],[Unit Cost]]) / SalesCleanTable[[#This Row],[Unit Price]]</f>
        <v>0.20408163265306123</v>
      </c>
    </row>
    <row r="2086" spans="1:31">
      <c r="A2086" t="s">
        <v>2272</v>
      </c>
      <c r="B2086" s="6">
        <v>45686</v>
      </c>
      <c r="C2086" t="s">
        <v>45</v>
      </c>
      <c r="D2086" t="s">
        <v>46</v>
      </c>
      <c r="E2086" t="s">
        <v>38</v>
      </c>
      <c r="F2086" t="s">
        <v>47</v>
      </c>
      <c r="G2086" t="s">
        <v>48</v>
      </c>
      <c r="H2086" t="s">
        <v>128</v>
      </c>
      <c r="I2086" t="s">
        <v>129</v>
      </c>
      <c r="J2086" t="s">
        <v>130</v>
      </c>
      <c r="K2086" t="s">
        <v>131</v>
      </c>
      <c r="L2086" t="s">
        <v>166</v>
      </c>
      <c r="M2086" t="s">
        <v>177</v>
      </c>
      <c r="N2086">
        <v>5</v>
      </c>
      <c r="O2086" s="4">
        <v>230</v>
      </c>
      <c r="P2086" s="4">
        <v>400</v>
      </c>
      <c r="Q2086" s="7">
        <v>0</v>
      </c>
      <c r="R2086" t="s">
        <v>175</v>
      </c>
      <c r="S2086">
        <v>8</v>
      </c>
      <c r="T2086">
        <v>2000</v>
      </c>
      <c r="U2086">
        <v>0</v>
      </c>
      <c r="V2086">
        <v>2000</v>
      </c>
      <c r="W2086">
        <v>1150</v>
      </c>
      <c r="X2086">
        <v>850</v>
      </c>
      <c r="Y2086" s="8">
        <v>0.42499999999999999</v>
      </c>
      <c r="Z2086" t="s">
        <v>2995</v>
      </c>
      <c r="AA2086" t="str">
        <f>IF(AND(SalesCleanTable[[#This Row],[Discount %]]&gt;0, SalesCleanTable[[#This Row],[Profit]]&lt;0), "Discount loss", "Safe")</f>
        <v>Safe</v>
      </c>
      <c r="AB2086" s="25">
        <f>(SalesCleanTable[[#This Row],[Unit Price]] - SalesCleanTable[[#This Row],[Unit Cost]]) / SalesCleanTable[[#This Row],[Unit Price]]</f>
        <v>0.42499999999999999</v>
      </c>
      <c r="AC2086" t="str">
        <f>IF(SalesCleanTable[[#This Row],[Discount %]] &gt; SalesCleanTable[[#This Row],[Max Allowed Discount]], "Discount loss", "Safe")</f>
        <v>Safe</v>
      </c>
      <c r="AD2086" s="4">
        <f>SalesCleanTable[[#This Row],[Unit Price]] - SalesCleanTable[[#This Row],[Unit Cost]]</f>
        <v>170</v>
      </c>
      <c r="AE2086" s="41">
        <f>(SalesCleanTable[[#This Row],[Unit Price]] - SalesCleanTable[[#This Row],[Unit Cost]]) / SalesCleanTable[[#This Row],[Unit Price]]</f>
        <v>0.42499999999999999</v>
      </c>
    </row>
    <row r="2087" spans="1:31">
      <c r="A2087" t="s">
        <v>2273</v>
      </c>
      <c r="B2087" s="6">
        <v>45899</v>
      </c>
      <c r="C2087" t="s">
        <v>41</v>
      </c>
      <c r="D2087" t="s">
        <v>42</v>
      </c>
      <c r="E2087" t="s">
        <v>26</v>
      </c>
      <c r="F2087" t="s">
        <v>43</v>
      </c>
      <c r="G2087" t="s">
        <v>44</v>
      </c>
      <c r="H2087" t="s">
        <v>135</v>
      </c>
      <c r="I2087" t="s">
        <v>136</v>
      </c>
      <c r="J2087" t="s">
        <v>137</v>
      </c>
      <c r="K2087" t="s">
        <v>138</v>
      </c>
      <c r="L2087" t="s">
        <v>166</v>
      </c>
      <c r="M2087" t="s">
        <v>171</v>
      </c>
      <c r="N2087">
        <v>1</v>
      </c>
      <c r="O2087" s="4">
        <v>850</v>
      </c>
      <c r="P2087" s="4">
        <v>1300</v>
      </c>
      <c r="Q2087" s="7">
        <v>0.15</v>
      </c>
      <c r="R2087" t="s">
        <v>173</v>
      </c>
      <c r="S2087">
        <v>12</v>
      </c>
      <c r="T2087">
        <v>1300</v>
      </c>
      <c r="U2087">
        <v>195</v>
      </c>
      <c r="V2087">
        <v>1105</v>
      </c>
      <c r="W2087">
        <v>850</v>
      </c>
      <c r="X2087">
        <v>255</v>
      </c>
      <c r="Y2087" s="8">
        <v>0.23076923076923078</v>
      </c>
      <c r="Z2087" t="s">
        <v>2995</v>
      </c>
      <c r="AA2087" t="str">
        <f>IF(AND(SalesCleanTable[[#This Row],[Discount %]]&gt;0, SalesCleanTable[[#This Row],[Profit]]&lt;0), "Discount loss", "Safe")</f>
        <v>Safe</v>
      </c>
      <c r="AB2087" s="25">
        <f>(SalesCleanTable[[#This Row],[Unit Price]] - SalesCleanTable[[#This Row],[Unit Cost]]) / SalesCleanTable[[#This Row],[Unit Price]]</f>
        <v>0.34615384615384615</v>
      </c>
      <c r="AC2087" t="str">
        <f>IF(SalesCleanTable[[#This Row],[Discount %]] &gt; SalesCleanTable[[#This Row],[Max Allowed Discount]], "Discount loss", "Safe")</f>
        <v>Safe</v>
      </c>
      <c r="AD2087" s="4">
        <f>SalesCleanTable[[#This Row],[Unit Price]] - SalesCleanTable[[#This Row],[Unit Cost]]</f>
        <v>450</v>
      </c>
      <c r="AE2087" s="41">
        <f>(SalesCleanTable[[#This Row],[Unit Price]] - SalesCleanTable[[#This Row],[Unit Cost]]) / SalesCleanTable[[#This Row],[Unit Price]]</f>
        <v>0.34615384615384615</v>
      </c>
    </row>
    <row r="2088" spans="1:31">
      <c r="A2088" t="s">
        <v>2274</v>
      </c>
      <c r="B2088" s="6">
        <v>45809</v>
      </c>
      <c r="C2088" t="s">
        <v>32</v>
      </c>
      <c r="D2088" t="s">
        <v>33</v>
      </c>
      <c r="E2088" t="s">
        <v>26</v>
      </c>
      <c r="F2088" t="s">
        <v>34</v>
      </c>
      <c r="G2088" t="s">
        <v>35</v>
      </c>
      <c r="H2088" t="s">
        <v>145</v>
      </c>
      <c r="I2088" t="s">
        <v>146</v>
      </c>
      <c r="J2088" t="s">
        <v>147</v>
      </c>
      <c r="K2088" t="s">
        <v>148</v>
      </c>
      <c r="L2088" t="s">
        <v>166</v>
      </c>
      <c r="M2088" t="s">
        <v>171</v>
      </c>
      <c r="N2088">
        <v>2</v>
      </c>
      <c r="O2088" s="4">
        <v>7800</v>
      </c>
      <c r="P2088" s="4">
        <v>9800</v>
      </c>
      <c r="Q2088" s="7">
        <v>0.05</v>
      </c>
      <c r="R2088" t="s">
        <v>173</v>
      </c>
      <c r="S2088">
        <v>8</v>
      </c>
      <c r="T2088">
        <v>19600</v>
      </c>
      <c r="U2088">
        <v>980</v>
      </c>
      <c r="V2088">
        <v>18620</v>
      </c>
      <c r="W2088">
        <v>15600</v>
      </c>
      <c r="X2088">
        <v>3020</v>
      </c>
      <c r="Y2088" s="8">
        <v>0.16219119226638024</v>
      </c>
      <c r="Z2088" t="s">
        <v>2995</v>
      </c>
      <c r="AA2088" t="str">
        <f>IF(AND(SalesCleanTable[[#This Row],[Discount %]]&gt;0, SalesCleanTable[[#This Row],[Profit]]&lt;0), "Discount loss", "Safe")</f>
        <v>Safe</v>
      </c>
      <c r="AB2088" s="25">
        <f>(SalesCleanTable[[#This Row],[Unit Price]] - SalesCleanTable[[#This Row],[Unit Cost]]) / SalesCleanTable[[#This Row],[Unit Price]]</f>
        <v>0.20408163265306123</v>
      </c>
      <c r="AC2088" t="str">
        <f>IF(SalesCleanTable[[#This Row],[Discount %]] &gt; SalesCleanTable[[#This Row],[Max Allowed Discount]], "Discount loss", "Safe")</f>
        <v>Safe</v>
      </c>
      <c r="AD2088" s="4">
        <f>SalesCleanTable[[#This Row],[Unit Price]] - SalesCleanTable[[#This Row],[Unit Cost]]</f>
        <v>2000</v>
      </c>
      <c r="AE2088" s="41">
        <f>(SalesCleanTable[[#This Row],[Unit Price]] - SalesCleanTable[[#This Row],[Unit Cost]]) / SalesCleanTable[[#This Row],[Unit Price]]</f>
        <v>0.20408163265306123</v>
      </c>
    </row>
    <row r="2089" spans="1:31">
      <c r="A2089" t="s">
        <v>2275</v>
      </c>
      <c r="B2089" s="6">
        <v>45806</v>
      </c>
      <c r="C2089" t="s">
        <v>103</v>
      </c>
      <c r="D2089" t="s">
        <v>104</v>
      </c>
      <c r="E2089" t="s">
        <v>92</v>
      </c>
      <c r="F2089" t="s">
        <v>105</v>
      </c>
      <c r="G2089" t="s">
        <v>106</v>
      </c>
      <c r="H2089" t="s">
        <v>141</v>
      </c>
      <c r="I2089" t="s">
        <v>142</v>
      </c>
      <c r="J2089" t="s">
        <v>143</v>
      </c>
      <c r="K2089" t="s">
        <v>144</v>
      </c>
      <c r="L2089" t="s">
        <v>166</v>
      </c>
      <c r="M2089" t="s">
        <v>177</v>
      </c>
      <c r="N2089">
        <v>1</v>
      </c>
      <c r="O2089" s="4">
        <v>1500</v>
      </c>
      <c r="P2089" s="4">
        <v>2500</v>
      </c>
      <c r="Q2089" s="7">
        <v>0</v>
      </c>
      <c r="R2089" t="s">
        <v>181</v>
      </c>
      <c r="S2089">
        <v>2</v>
      </c>
      <c r="T2089">
        <v>2500</v>
      </c>
      <c r="U2089">
        <v>0</v>
      </c>
      <c r="V2089">
        <v>2500</v>
      </c>
      <c r="W2089">
        <v>1500</v>
      </c>
      <c r="X2089">
        <v>1000</v>
      </c>
      <c r="Y2089" s="8">
        <v>0.4</v>
      </c>
      <c r="Z2089" t="s">
        <v>2996</v>
      </c>
      <c r="AA2089" t="str">
        <f>IF(AND(SalesCleanTable[[#This Row],[Discount %]]&gt;0, SalesCleanTable[[#This Row],[Profit]]&lt;0), "Discount loss", "Safe")</f>
        <v>Safe</v>
      </c>
      <c r="AB2089" s="25">
        <f>(SalesCleanTable[[#This Row],[Unit Price]] - SalesCleanTable[[#This Row],[Unit Cost]]) / SalesCleanTable[[#This Row],[Unit Price]]</f>
        <v>0.4</v>
      </c>
      <c r="AC2089" t="str">
        <f>IF(SalesCleanTable[[#This Row],[Discount %]] &gt; SalesCleanTable[[#This Row],[Max Allowed Discount]], "Discount loss", "Safe")</f>
        <v>Safe</v>
      </c>
      <c r="AD2089" s="4">
        <f>SalesCleanTable[[#This Row],[Unit Price]] - SalesCleanTable[[#This Row],[Unit Cost]]</f>
        <v>1000</v>
      </c>
      <c r="AE2089" s="41">
        <f>(SalesCleanTable[[#This Row],[Unit Price]] - SalesCleanTable[[#This Row],[Unit Cost]]) / SalesCleanTable[[#This Row],[Unit Price]]</f>
        <v>0.4</v>
      </c>
    </row>
    <row r="2090" spans="1:31">
      <c r="A2090" t="s">
        <v>2276</v>
      </c>
      <c r="B2090" s="6">
        <v>45873</v>
      </c>
      <c r="C2090" t="s">
        <v>29</v>
      </c>
      <c r="D2090" t="s">
        <v>30</v>
      </c>
      <c r="E2090" t="s">
        <v>26</v>
      </c>
      <c r="F2090" t="s">
        <v>27</v>
      </c>
      <c r="G2090" t="s">
        <v>31</v>
      </c>
      <c r="H2090" t="s">
        <v>145</v>
      </c>
      <c r="I2090" t="s">
        <v>146</v>
      </c>
      <c r="J2090" t="s">
        <v>147</v>
      </c>
      <c r="K2090" t="s">
        <v>148</v>
      </c>
      <c r="L2090" t="s">
        <v>183</v>
      </c>
      <c r="M2090" t="s">
        <v>171</v>
      </c>
      <c r="N2090">
        <v>4</v>
      </c>
      <c r="O2090" s="4">
        <v>6200</v>
      </c>
      <c r="P2090" s="4">
        <v>7900</v>
      </c>
      <c r="Q2090" s="7">
        <v>0</v>
      </c>
      <c r="R2090" t="s">
        <v>197</v>
      </c>
      <c r="S2090">
        <v>7</v>
      </c>
      <c r="T2090">
        <v>31600</v>
      </c>
      <c r="U2090">
        <v>0</v>
      </c>
      <c r="V2090">
        <v>31600</v>
      </c>
      <c r="W2090">
        <v>24800</v>
      </c>
      <c r="X2090">
        <v>6800</v>
      </c>
      <c r="Y2090" s="8">
        <v>0.21518987341772153</v>
      </c>
      <c r="Z2090" t="s">
        <v>2996</v>
      </c>
      <c r="AA2090" t="str">
        <f>IF(AND(SalesCleanTable[[#This Row],[Discount %]]&gt;0, SalesCleanTable[[#This Row],[Profit]]&lt;0), "Discount loss", "Safe")</f>
        <v>Safe</v>
      </c>
      <c r="AB2090" s="25">
        <f>(SalesCleanTable[[#This Row],[Unit Price]] - SalesCleanTable[[#This Row],[Unit Cost]]) / SalesCleanTable[[#This Row],[Unit Price]]</f>
        <v>0.21518987341772153</v>
      </c>
      <c r="AC2090" t="str">
        <f>IF(SalesCleanTable[[#This Row],[Discount %]] &gt; SalesCleanTable[[#This Row],[Max Allowed Discount]], "Discount loss", "Safe")</f>
        <v>Safe</v>
      </c>
      <c r="AD2090" s="4">
        <f>SalesCleanTable[[#This Row],[Unit Price]] - SalesCleanTable[[#This Row],[Unit Cost]]</f>
        <v>1700</v>
      </c>
      <c r="AE2090" s="41">
        <f>(SalesCleanTable[[#This Row],[Unit Price]] - SalesCleanTable[[#This Row],[Unit Cost]]) / SalesCleanTable[[#This Row],[Unit Price]]</f>
        <v>0.21518987341772153</v>
      </c>
    </row>
    <row r="2091" spans="1:31">
      <c r="A2091" t="s">
        <v>2277</v>
      </c>
      <c r="B2091" s="6">
        <v>45920</v>
      </c>
      <c r="C2091" t="s">
        <v>53</v>
      </c>
      <c r="D2091" t="s">
        <v>54</v>
      </c>
      <c r="E2091" t="s">
        <v>38</v>
      </c>
      <c r="F2091" t="s">
        <v>55</v>
      </c>
      <c r="G2091" t="s">
        <v>56</v>
      </c>
      <c r="H2091" t="s">
        <v>139</v>
      </c>
      <c r="I2091" t="s">
        <v>140</v>
      </c>
      <c r="J2091" t="s">
        <v>137</v>
      </c>
      <c r="K2091" t="s">
        <v>138</v>
      </c>
      <c r="L2091" t="s">
        <v>166</v>
      </c>
      <c r="M2091" t="s">
        <v>171</v>
      </c>
      <c r="N2091">
        <v>1</v>
      </c>
      <c r="O2091" s="4">
        <v>330</v>
      </c>
      <c r="P2091" s="4">
        <v>550</v>
      </c>
      <c r="Q2091" s="7">
        <v>0.15</v>
      </c>
      <c r="R2091" t="s">
        <v>175</v>
      </c>
      <c r="S2091">
        <v>9</v>
      </c>
      <c r="T2091">
        <v>550</v>
      </c>
      <c r="U2091">
        <v>82.5</v>
      </c>
      <c r="V2091">
        <v>467.5</v>
      </c>
      <c r="W2091">
        <v>330</v>
      </c>
      <c r="X2091">
        <v>137.5</v>
      </c>
      <c r="Y2091" s="8">
        <v>0.29411764705882354</v>
      </c>
      <c r="Z2091" t="s">
        <v>2996</v>
      </c>
      <c r="AA2091" t="str">
        <f>IF(AND(SalesCleanTable[[#This Row],[Discount %]]&gt;0, SalesCleanTable[[#This Row],[Profit]]&lt;0), "Discount loss", "Safe")</f>
        <v>Safe</v>
      </c>
      <c r="AB2091" s="25">
        <f>(SalesCleanTable[[#This Row],[Unit Price]] - SalesCleanTable[[#This Row],[Unit Cost]]) / SalesCleanTable[[#This Row],[Unit Price]]</f>
        <v>0.4</v>
      </c>
      <c r="AC2091" t="str">
        <f>IF(SalesCleanTable[[#This Row],[Discount %]] &gt; SalesCleanTable[[#This Row],[Max Allowed Discount]], "Discount loss", "Safe")</f>
        <v>Safe</v>
      </c>
      <c r="AD2091" s="4">
        <f>SalesCleanTable[[#This Row],[Unit Price]] - SalesCleanTable[[#This Row],[Unit Cost]]</f>
        <v>220</v>
      </c>
      <c r="AE2091" s="41">
        <f>(SalesCleanTable[[#This Row],[Unit Price]] - SalesCleanTable[[#This Row],[Unit Cost]]) / SalesCleanTable[[#This Row],[Unit Price]]</f>
        <v>0.4</v>
      </c>
    </row>
    <row r="2092" spans="1:31">
      <c r="A2092" t="s">
        <v>2278</v>
      </c>
      <c r="B2092" s="6">
        <v>45662</v>
      </c>
      <c r="C2092" t="s">
        <v>45</v>
      </c>
      <c r="D2092" t="s">
        <v>46</v>
      </c>
      <c r="E2092" t="s">
        <v>38</v>
      </c>
      <c r="F2092" t="s">
        <v>47</v>
      </c>
      <c r="G2092" t="s">
        <v>48</v>
      </c>
      <c r="H2092" t="s">
        <v>139</v>
      </c>
      <c r="I2092" t="s">
        <v>140</v>
      </c>
      <c r="J2092" t="s">
        <v>137</v>
      </c>
      <c r="K2092" t="s">
        <v>138</v>
      </c>
      <c r="L2092" t="s">
        <v>166</v>
      </c>
      <c r="M2092" t="s">
        <v>177</v>
      </c>
      <c r="N2092">
        <v>1</v>
      </c>
      <c r="O2092" s="4">
        <v>230</v>
      </c>
      <c r="P2092" s="4">
        <v>400</v>
      </c>
      <c r="Q2092" s="7">
        <v>0.1</v>
      </c>
      <c r="R2092" t="s">
        <v>168</v>
      </c>
      <c r="S2092">
        <v>5</v>
      </c>
      <c r="T2092">
        <v>400</v>
      </c>
      <c r="U2092">
        <v>40</v>
      </c>
      <c r="V2092">
        <v>360</v>
      </c>
      <c r="W2092">
        <v>230</v>
      </c>
      <c r="X2092">
        <v>130</v>
      </c>
      <c r="Y2092" s="8">
        <v>0.3611111111111111</v>
      </c>
      <c r="Z2092" t="s">
        <v>2995</v>
      </c>
      <c r="AA2092" t="str">
        <f>IF(AND(SalesCleanTable[[#This Row],[Discount %]]&gt;0, SalesCleanTable[[#This Row],[Profit]]&lt;0), "Discount loss", "Safe")</f>
        <v>Safe</v>
      </c>
      <c r="AB2092" s="25">
        <f>(SalesCleanTable[[#This Row],[Unit Price]] - SalesCleanTable[[#This Row],[Unit Cost]]) / SalesCleanTable[[#This Row],[Unit Price]]</f>
        <v>0.42499999999999999</v>
      </c>
      <c r="AC2092" t="str">
        <f>IF(SalesCleanTable[[#This Row],[Discount %]] &gt; SalesCleanTable[[#This Row],[Max Allowed Discount]], "Discount loss", "Safe")</f>
        <v>Safe</v>
      </c>
      <c r="AD2092" s="4">
        <f>SalesCleanTable[[#This Row],[Unit Price]] - SalesCleanTable[[#This Row],[Unit Cost]]</f>
        <v>170</v>
      </c>
      <c r="AE2092" s="41">
        <f>(SalesCleanTable[[#This Row],[Unit Price]] - SalesCleanTable[[#This Row],[Unit Cost]]) / SalesCleanTable[[#This Row],[Unit Price]]</f>
        <v>0.42499999999999999</v>
      </c>
    </row>
    <row r="2093" spans="1:31">
      <c r="A2093" t="s">
        <v>2279</v>
      </c>
      <c r="B2093" s="6">
        <v>45996</v>
      </c>
      <c r="C2093" t="s">
        <v>41</v>
      </c>
      <c r="D2093" t="s">
        <v>42</v>
      </c>
      <c r="E2093" t="s">
        <v>26</v>
      </c>
      <c r="F2093" t="s">
        <v>43</v>
      </c>
      <c r="G2093" t="s">
        <v>44</v>
      </c>
      <c r="H2093" t="s">
        <v>135</v>
      </c>
      <c r="I2093" t="s">
        <v>136</v>
      </c>
      <c r="J2093" t="s">
        <v>137</v>
      </c>
      <c r="K2093" t="s">
        <v>138</v>
      </c>
      <c r="L2093" t="s">
        <v>183</v>
      </c>
      <c r="M2093" t="s">
        <v>177</v>
      </c>
      <c r="N2093">
        <v>2</v>
      </c>
      <c r="O2093" s="4">
        <v>850</v>
      </c>
      <c r="P2093" s="4">
        <v>1300</v>
      </c>
      <c r="Q2093" s="7">
        <v>0.15</v>
      </c>
      <c r="R2093" t="s">
        <v>173</v>
      </c>
      <c r="S2093">
        <v>10</v>
      </c>
      <c r="T2093">
        <v>2600</v>
      </c>
      <c r="U2093">
        <v>390</v>
      </c>
      <c r="V2093">
        <v>2210</v>
      </c>
      <c r="W2093">
        <v>1700</v>
      </c>
      <c r="X2093">
        <v>510</v>
      </c>
      <c r="Y2093" s="8">
        <v>0.23076923076923078</v>
      </c>
      <c r="Z2093" t="s">
        <v>2995</v>
      </c>
      <c r="AA2093" t="str">
        <f>IF(AND(SalesCleanTable[[#This Row],[Discount %]]&gt;0, SalesCleanTable[[#This Row],[Profit]]&lt;0), "Discount loss", "Safe")</f>
        <v>Safe</v>
      </c>
      <c r="AB2093" s="25">
        <f>(SalesCleanTable[[#This Row],[Unit Price]] - SalesCleanTable[[#This Row],[Unit Cost]]) / SalesCleanTable[[#This Row],[Unit Price]]</f>
        <v>0.34615384615384615</v>
      </c>
      <c r="AC2093" t="str">
        <f>IF(SalesCleanTable[[#This Row],[Discount %]] &gt; SalesCleanTable[[#This Row],[Max Allowed Discount]], "Discount loss", "Safe")</f>
        <v>Safe</v>
      </c>
      <c r="AD2093" s="4">
        <f>SalesCleanTable[[#This Row],[Unit Price]] - SalesCleanTable[[#This Row],[Unit Cost]]</f>
        <v>450</v>
      </c>
      <c r="AE2093" s="41">
        <f>(SalesCleanTable[[#This Row],[Unit Price]] - SalesCleanTable[[#This Row],[Unit Cost]]) / SalesCleanTable[[#This Row],[Unit Price]]</f>
        <v>0.34615384615384615</v>
      </c>
    </row>
    <row r="2094" spans="1:31">
      <c r="A2094" t="s">
        <v>2280</v>
      </c>
      <c r="B2094" s="6">
        <v>45840</v>
      </c>
      <c r="C2094" t="s">
        <v>53</v>
      </c>
      <c r="D2094" t="s">
        <v>54</v>
      </c>
      <c r="E2094" t="s">
        <v>38</v>
      </c>
      <c r="F2094" t="s">
        <v>55</v>
      </c>
      <c r="G2094" t="s">
        <v>56</v>
      </c>
      <c r="H2094" t="s">
        <v>139</v>
      </c>
      <c r="I2094" t="s">
        <v>140</v>
      </c>
      <c r="J2094" t="s">
        <v>137</v>
      </c>
      <c r="K2094" t="s">
        <v>138</v>
      </c>
      <c r="L2094" t="s">
        <v>166</v>
      </c>
      <c r="M2094" t="s">
        <v>171</v>
      </c>
      <c r="N2094">
        <v>2</v>
      </c>
      <c r="O2094" s="4">
        <v>330</v>
      </c>
      <c r="P2094" s="4">
        <v>550</v>
      </c>
      <c r="Q2094" s="7">
        <v>0.15</v>
      </c>
      <c r="R2094" t="s">
        <v>175</v>
      </c>
      <c r="S2094">
        <v>12</v>
      </c>
      <c r="T2094">
        <v>1100</v>
      </c>
      <c r="U2094">
        <v>165</v>
      </c>
      <c r="V2094">
        <v>935</v>
      </c>
      <c r="W2094">
        <v>660</v>
      </c>
      <c r="X2094">
        <v>275</v>
      </c>
      <c r="Y2094" s="8">
        <v>0.29411764705882354</v>
      </c>
      <c r="Z2094" t="s">
        <v>2996</v>
      </c>
      <c r="AA2094" t="str">
        <f>IF(AND(SalesCleanTable[[#This Row],[Discount %]]&gt;0, SalesCleanTable[[#This Row],[Profit]]&lt;0), "Discount loss", "Safe")</f>
        <v>Safe</v>
      </c>
      <c r="AB2094" s="25">
        <f>(SalesCleanTable[[#This Row],[Unit Price]] - SalesCleanTable[[#This Row],[Unit Cost]]) / SalesCleanTable[[#This Row],[Unit Price]]</f>
        <v>0.4</v>
      </c>
      <c r="AC2094" t="str">
        <f>IF(SalesCleanTable[[#This Row],[Discount %]] &gt; SalesCleanTable[[#This Row],[Max Allowed Discount]], "Discount loss", "Safe")</f>
        <v>Safe</v>
      </c>
      <c r="AD2094" s="4">
        <f>SalesCleanTable[[#This Row],[Unit Price]] - SalesCleanTable[[#This Row],[Unit Cost]]</f>
        <v>220</v>
      </c>
      <c r="AE2094" s="41">
        <f>(SalesCleanTable[[#This Row],[Unit Price]] - SalesCleanTable[[#This Row],[Unit Cost]]) / SalesCleanTable[[#This Row],[Unit Price]]</f>
        <v>0.4</v>
      </c>
    </row>
    <row r="2095" spans="1:31">
      <c r="A2095" t="s">
        <v>2281</v>
      </c>
      <c r="B2095" s="6">
        <v>45741</v>
      </c>
      <c r="C2095" t="s">
        <v>66</v>
      </c>
      <c r="D2095" t="s">
        <v>67</v>
      </c>
      <c r="E2095" t="s">
        <v>59</v>
      </c>
      <c r="F2095" t="s">
        <v>60</v>
      </c>
      <c r="G2095" t="s">
        <v>68</v>
      </c>
      <c r="H2095" t="s">
        <v>135</v>
      </c>
      <c r="I2095" t="s">
        <v>136</v>
      </c>
      <c r="J2095" t="s">
        <v>137</v>
      </c>
      <c r="K2095" t="s">
        <v>138</v>
      </c>
      <c r="L2095" t="s">
        <v>166</v>
      </c>
      <c r="M2095" t="s">
        <v>171</v>
      </c>
      <c r="N2095">
        <v>8</v>
      </c>
      <c r="O2095" s="4">
        <v>2800</v>
      </c>
      <c r="P2095" s="4">
        <v>3900</v>
      </c>
      <c r="Q2095" s="7">
        <v>0.2</v>
      </c>
      <c r="R2095" t="s">
        <v>192</v>
      </c>
      <c r="S2095">
        <v>10</v>
      </c>
      <c r="T2095">
        <v>31200</v>
      </c>
      <c r="U2095">
        <v>6240</v>
      </c>
      <c r="V2095">
        <v>24960</v>
      </c>
      <c r="W2095">
        <v>22400</v>
      </c>
      <c r="X2095">
        <v>2560</v>
      </c>
      <c r="Y2095" s="8">
        <v>0.10256410256410256</v>
      </c>
      <c r="Z2095" t="s">
        <v>2996</v>
      </c>
      <c r="AA2095" t="str">
        <f>IF(AND(SalesCleanTable[[#This Row],[Discount %]]&gt;0, SalesCleanTable[[#This Row],[Profit]]&lt;0), "Discount loss", "Safe")</f>
        <v>Safe</v>
      </c>
      <c r="AB2095" s="25">
        <f>(SalesCleanTable[[#This Row],[Unit Price]] - SalesCleanTable[[#This Row],[Unit Cost]]) / SalesCleanTable[[#This Row],[Unit Price]]</f>
        <v>0.28205128205128205</v>
      </c>
      <c r="AC2095" t="str">
        <f>IF(SalesCleanTable[[#This Row],[Discount %]] &gt; SalesCleanTable[[#This Row],[Max Allowed Discount]], "Discount loss", "Safe")</f>
        <v>Safe</v>
      </c>
      <c r="AD2095" s="4">
        <f>SalesCleanTable[[#This Row],[Unit Price]] - SalesCleanTable[[#This Row],[Unit Cost]]</f>
        <v>1100</v>
      </c>
      <c r="AE2095" s="41">
        <f>(SalesCleanTable[[#This Row],[Unit Price]] - SalesCleanTable[[#This Row],[Unit Cost]]) / SalesCleanTable[[#This Row],[Unit Price]]</f>
        <v>0.28205128205128205</v>
      </c>
    </row>
    <row r="2096" spans="1:31">
      <c r="A2096" t="s">
        <v>2282</v>
      </c>
      <c r="B2096" s="6">
        <v>45789</v>
      </c>
      <c r="C2096" t="s">
        <v>103</v>
      </c>
      <c r="D2096" t="s">
        <v>104</v>
      </c>
      <c r="E2096" t="s">
        <v>92</v>
      </c>
      <c r="F2096" t="s">
        <v>105</v>
      </c>
      <c r="G2096" t="s">
        <v>106</v>
      </c>
      <c r="H2096" t="s">
        <v>141</v>
      </c>
      <c r="I2096" t="s">
        <v>142</v>
      </c>
      <c r="J2096" t="s">
        <v>143</v>
      </c>
      <c r="K2096" t="s">
        <v>144</v>
      </c>
      <c r="L2096" t="s">
        <v>166</v>
      </c>
      <c r="M2096" t="s">
        <v>171</v>
      </c>
      <c r="N2096">
        <v>2</v>
      </c>
      <c r="O2096" s="4">
        <v>1500</v>
      </c>
      <c r="P2096" s="4">
        <v>2500</v>
      </c>
      <c r="Q2096" s="7">
        <v>0.2</v>
      </c>
      <c r="R2096" t="s">
        <v>215</v>
      </c>
      <c r="S2096">
        <v>10</v>
      </c>
      <c r="T2096">
        <v>5000</v>
      </c>
      <c r="U2096">
        <v>1000</v>
      </c>
      <c r="V2096">
        <v>4000</v>
      </c>
      <c r="W2096">
        <v>3000</v>
      </c>
      <c r="X2096">
        <v>1000</v>
      </c>
      <c r="Y2096" s="8">
        <v>0.25</v>
      </c>
      <c r="Z2096" t="s">
        <v>2996</v>
      </c>
      <c r="AA2096" t="str">
        <f>IF(AND(SalesCleanTable[[#This Row],[Discount %]]&gt;0, SalesCleanTable[[#This Row],[Profit]]&lt;0), "Discount loss", "Safe")</f>
        <v>Safe</v>
      </c>
      <c r="AB2096" s="25">
        <f>(SalesCleanTable[[#This Row],[Unit Price]] - SalesCleanTable[[#This Row],[Unit Cost]]) / SalesCleanTable[[#This Row],[Unit Price]]</f>
        <v>0.4</v>
      </c>
      <c r="AC2096" t="str">
        <f>IF(SalesCleanTable[[#This Row],[Discount %]] &gt; SalesCleanTable[[#This Row],[Max Allowed Discount]], "Discount loss", "Safe")</f>
        <v>Safe</v>
      </c>
      <c r="AD2096" s="4">
        <f>SalesCleanTable[[#This Row],[Unit Price]] - SalesCleanTable[[#This Row],[Unit Cost]]</f>
        <v>1000</v>
      </c>
      <c r="AE2096" s="41">
        <f>(SalesCleanTable[[#This Row],[Unit Price]] - SalesCleanTable[[#This Row],[Unit Cost]]) / SalesCleanTable[[#This Row],[Unit Price]]</f>
        <v>0.4</v>
      </c>
    </row>
    <row r="2097" spans="1:31">
      <c r="A2097" t="s">
        <v>2283</v>
      </c>
      <c r="B2097" s="6">
        <v>46011</v>
      </c>
      <c r="C2097" t="s">
        <v>24</v>
      </c>
      <c r="D2097" t="s">
        <v>25</v>
      </c>
      <c r="E2097" t="s">
        <v>26</v>
      </c>
      <c r="F2097" t="s">
        <v>27</v>
      </c>
      <c r="G2097" t="s">
        <v>28</v>
      </c>
      <c r="H2097" t="s">
        <v>128</v>
      </c>
      <c r="I2097" t="s">
        <v>129</v>
      </c>
      <c r="J2097" t="s">
        <v>130</v>
      </c>
      <c r="K2097" t="s">
        <v>131</v>
      </c>
      <c r="L2097" t="s">
        <v>166</v>
      </c>
      <c r="M2097" t="s">
        <v>177</v>
      </c>
      <c r="N2097">
        <v>3</v>
      </c>
      <c r="O2097" s="4">
        <v>14500</v>
      </c>
      <c r="P2097" s="4">
        <v>17500</v>
      </c>
      <c r="Q2097" s="7">
        <v>0.05</v>
      </c>
      <c r="R2097" t="s">
        <v>197</v>
      </c>
      <c r="S2097">
        <v>14</v>
      </c>
      <c r="T2097">
        <v>52500</v>
      </c>
      <c r="U2097">
        <v>2625</v>
      </c>
      <c r="V2097">
        <v>49875</v>
      </c>
      <c r="W2097">
        <v>43500</v>
      </c>
      <c r="X2097">
        <v>6375</v>
      </c>
      <c r="Y2097" s="8">
        <v>0.12781954887218044</v>
      </c>
      <c r="Z2097" t="s">
        <v>2995</v>
      </c>
      <c r="AA2097" t="str">
        <f>IF(AND(SalesCleanTable[[#This Row],[Discount %]]&gt;0, SalesCleanTable[[#This Row],[Profit]]&lt;0), "Discount loss", "Safe")</f>
        <v>Safe</v>
      </c>
      <c r="AB2097" s="25">
        <f>(SalesCleanTable[[#This Row],[Unit Price]] - SalesCleanTable[[#This Row],[Unit Cost]]) / SalesCleanTable[[#This Row],[Unit Price]]</f>
        <v>0.17142857142857143</v>
      </c>
      <c r="AC2097" t="str">
        <f>IF(SalesCleanTable[[#This Row],[Discount %]] &gt; SalesCleanTable[[#This Row],[Max Allowed Discount]], "Discount loss", "Safe")</f>
        <v>Safe</v>
      </c>
      <c r="AD2097" s="4">
        <f>SalesCleanTable[[#This Row],[Unit Price]] - SalesCleanTable[[#This Row],[Unit Cost]]</f>
        <v>3000</v>
      </c>
      <c r="AE2097" s="41">
        <f>(SalesCleanTable[[#This Row],[Unit Price]] - SalesCleanTable[[#This Row],[Unit Cost]]) / SalesCleanTable[[#This Row],[Unit Price]]</f>
        <v>0.17142857142857143</v>
      </c>
    </row>
    <row r="2098" spans="1:31">
      <c r="A2098" t="s">
        <v>2284</v>
      </c>
      <c r="B2098" s="6">
        <v>46020</v>
      </c>
      <c r="C2098" t="s">
        <v>45</v>
      </c>
      <c r="D2098" t="s">
        <v>46</v>
      </c>
      <c r="E2098" t="s">
        <v>38</v>
      </c>
      <c r="F2098" t="s">
        <v>47</v>
      </c>
      <c r="G2098" t="s">
        <v>48</v>
      </c>
      <c r="H2098" t="s">
        <v>128</v>
      </c>
      <c r="I2098" t="s">
        <v>129</v>
      </c>
      <c r="J2098" t="s">
        <v>130</v>
      </c>
      <c r="K2098" t="s">
        <v>131</v>
      </c>
      <c r="L2098" t="s">
        <v>183</v>
      </c>
      <c r="M2098" t="s">
        <v>167</v>
      </c>
      <c r="N2098">
        <v>1</v>
      </c>
      <c r="O2098" s="4">
        <v>230</v>
      </c>
      <c r="P2098" s="4">
        <v>400</v>
      </c>
      <c r="Q2098" s="7">
        <v>0.1</v>
      </c>
      <c r="R2098" t="s">
        <v>175</v>
      </c>
      <c r="S2098">
        <v>3</v>
      </c>
      <c r="T2098">
        <v>400</v>
      </c>
      <c r="U2098">
        <v>40</v>
      </c>
      <c r="V2098">
        <v>360</v>
      </c>
      <c r="W2098">
        <v>230</v>
      </c>
      <c r="X2098">
        <v>130</v>
      </c>
      <c r="Y2098" s="8">
        <v>0.3611111111111111</v>
      </c>
      <c r="Z2098" t="s">
        <v>2995</v>
      </c>
      <c r="AA2098" t="str">
        <f>IF(AND(SalesCleanTable[[#This Row],[Discount %]]&gt;0, SalesCleanTable[[#This Row],[Profit]]&lt;0), "Discount loss", "Safe")</f>
        <v>Safe</v>
      </c>
      <c r="AB2098" s="25">
        <f>(SalesCleanTable[[#This Row],[Unit Price]] - SalesCleanTable[[#This Row],[Unit Cost]]) / SalesCleanTable[[#This Row],[Unit Price]]</f>
        <v>0.42499999999999999</v>
      </c>
      <c r="AC2098" t="str">
        <f>IF(SalesCleanTable[[#This Row],[Discount %]] &gt; SalesCleanTable[[#This Row],[Max Allowed Discount]], "Discount loss", "Safe")</f>
        <v>Safe</v>
      </c>
      <c r="AD2098" s="4">
        <f>SalesCleanTable[[#This Row],[Unit Price]] - SalesCleanTable[[#This Row],[Unit Cost]]</f>
        <v>170</v>
      </c>
      <c r="AE2098" s="41">
        <f>(SalesCleanTable[[#This Row],[Unit Price]] - SalesCleanTable[[#This Row],[Unit Cost]]) / SalesCleanTable[[#This Row],[Unit Price]]</f>
        <v>0.42499999999999999</v>
      </c>
    </row>
    <row r="2099" spans="1:31">
      <c r="A2099" t="s">
        <v>2285</v>
      </c>
      <c r="B2099" s="6">
        <v>45857</v>
      </c>
      <c r="C2099" t="s">
        <v>45</v>
      </c>
      <c r="D2099" t="s">
        <v>46</v>
      </c>
      <c r="E2099" t="s">
        <v>38</v>
      </c>
      <c r="F2099" t="s">
        <v>47</v>
      </c>
      <c r="G2099" t="s">
        <v>48</v>
      </c>
      <c r="H2099" t="s">
        <v>153</v>
      </c>
      <c r="I2099" t="s">
        <v>154</v>
      </c>
      <c r="J2099" t="s">
        <v>155</v>
      </c>
      <c r="K2099" t="s">
        <v>131</v>
      </c>
      <c r="L2099" t="s">
        <v>183</v>
      </c>
      <c r="M2099" t="s">
        <v>171</v>
      </c>
      <c r="N2099">
        <v>5</v>
      </c>
      <c r="O2099" s="4">
        <v>230</v>
      </c>
      <c r="P2099" s="4">
        <v>400</v>
      </c>
      <c r="Q2099" s="7">
        <v>0</v>
      </c>
      <c r="R2099" t="s">
        <v>168</v>
      </c>
      <c r="S2099">
        <v>10</v>
      </c>
      <c r="T2099">
        <v>2000</v>
      </c>
      <c r="U2099">
        <v>0</v>
      </c>
      <c r="V2099">
        <v>2000</v>
      </c>
      <c r="W2099">
        <v>1150</v>
      </c>
      <c r="X2099">
        <v>850</v>
      </c>
      <c r="Y2099" s="8">
        <v>0.42499999999999999</v>
      </c>
      <c r="Z2099" t="s">
        <v>2995</v>
      </c>
      <c r="AA2099" t="str">
        <f>IF(AND(SalesCleanTable[[#This Row],[Discount %]]&gt;0, SalesCleanTable[[#This Row],[Profit]]&lt;0), "Discount loss", "Safe")</f>
        <v>Safe</v>
      </c>
      <c r="AB2099" s="25">
        <f>(SalesCleanTable[[#This Row],[Unit Price]] - SalesCleanTable[[#This Row],[Unit Cost]]) / SalesCleanTable[[#This Row],[Unit Price]]</f>
        <v>0.42499999999999999</v>
      </c>
      <c r="AC2099" t="str">
        <f>IF(SalesCleanTable[[#This Row],[Discount %]] &gt; SalesCleanTable[[#This Row],[Max Allowed Discount]], "Discount loss", "Safe")</f>
        <v>Safe</v>
      </c>
      <c r="AD2099" s="4">
        <f>SalesCleanTable[[#This Row],[Unit Price]] - SalesCleanTable[[#This Row],[Unit Cost]]</f>
        <v>170</v>
      </c>
      <c r="AE2099" s="41">
        <f>(SalesCleanTable[[#This Row],[Unit Price]] - SalesCleanTable[[#This Row],[Unit Cost]]) / SalesCleanTable[[#This Row],[Unit Price]]</f>
        <v>0.42499999999999999</v>
      </c>
    </row>
    <row r="2100" spans="1:31">
      <c r="A2100" t="s">
        <v>2286</v>
      </c>
      <c r="B2100" s="6">
        <v>45956</v>
      </c>
      <c r="C2100" t="s">
        <v>49</v>
      </c>
      <c r="D2100" t="s">
        <v>50</v>
      </c>
      <c r="E2100" t="s">
        <v>38</v>
      </c>
      <c r="F2100" t="s">
        <v>51</v>
      </c>
      <c r="G2100" t="s">
        <v>52</v>
      </c>
      <c r="H2100" t="s">
        <v>133</v>
      </c>
      <c r="I2100" t="s">
        <v>134</v>
      </c>
      <c r="J2100" t="s">
        <v>130</v>
      </c>
      <c r="K2100" t="s">
        <v>131</v>
      </c>
      <c r="L2100" t="s">
        <v>183</v>
      </c>
      <c r="M2100" t="s">
        <v>186</v>
      </c>
      <c r="N2100">
        <v>6</v>
      </c>
      <c r="O2100" s="4">
        <v>550</v>
      </c>
      <c r="P2100" s="4">
        <v>850</v>
      </c>
      <c r="Q2100" s="7">
        <v>0.05</v>
      </c>
      <c r="R2100" t="s">
        <v>168</v>
      </c>
      <c r="S2100">
        <v>12</v>
      </c>
      <c r="T2100">
        <v>5100</v>
      </c>
      <c r="U2100">
        <v>255</v>
      </c>
      <c r="V2100">
        <v>4845</v>
      </c>
      <c r="W2100">
        <v>3300</v>
      </c>
      <c r="X2100">
        <v>1545</v>
      </c>
      <c r="Y2100" s="8">
        <v>0.31888544891640869</v>
      </c>
      <c r="Z2100" t="s">
        <v>2996</v>
      </c>
      <c r="AA2100" t="str">
        <f>IF(AND(SalesCleanTable[[#This Row],[Discount %]]&gt;0, SalesCleanTable[[#This Row],[Profit]]&lt;0), "Discount loss", "Safe")</f>
        <v>Safe</v>
      </c>
      <c r="AB2100" s="25">
        <f>(SalesCleanTable[[#This Row],[Unit Price]] - SalesCleanTable[[#This Row],[Unit Cost]]) / SalesCleanTable[[#This Row],[Unit Price]]</f>
        <v>0.35294117647058826</v>
      </c>
      <c r="AC2100" t="str">
        <f>IF(SalesCleanTable[[#This Row],[Discount %]] &gt; SalesCleanTable[[#This Row],[Max Allowed Discount]], "Discount loss", "Safe")</f>
        <v>Safe</v>
      </c>
      <c r="AD2100" s="4">
        <f>SalesCleanTable[[#This Row],[Unit Price]] - SalesCleanTable[[#This Row],[Unit Cost]]</f>
        <v>300</v>
      </c>
      <c r="AE2100" s="41">
        <f>(SalesCleanTable[[#This Row],[Unit Price]] - SalesCleanTable[[#This Row],[Unit Cost]]) / SalesCleanTable[[#This Row],[Unit Price]]</f>
        <v>0.35294117647058826</v>
      </c>
    </row>
    <row r="2101" spans="1:31">
      <c r="A2101" t="s">
        <v>2287</v>
      </c>
      <c r="B2101" s="6">
        <v>45924</v>
      </c>
      <c r="C2101" t="s">
        <v>32</v>
      </c>
      <c r="D2101" t="s">
        <v>33</v>
      </c>
      <c r="E2101" t="s">
        <v>26</v>
      </c>
      <c r="F2101" t="s">
        <v>34</v>
      </c>
      <c r="G2101" t="s">
        <v>35</v>
      </c>
      <c r="H2101" t="s">
        <v>139</v>
      </c>
      <c r="I2101" t="s">
        <v>140</v>
      </c>
      <c r="J2101" t="s">
        <v>137</v>
      </c>
      <c r="K2101" t="s">
        <v>138</v>
      </c>
      <c r="L2101" t="s">
        <v>166</v>
      </c>
      <c r="M2101" t="s">
        <v>177</v>
      </c>
      <c r="N2101">
        <v>1</v>
      </c>
      <c r="O2101" s="4">
        <v>7800</v>
      </c>
      <c r="P2101" s="4">
        <v>9800</v>
      </c>
      <c r="Q2101" s="7">
        <v>0.1</v>
      </c>
      <c r="R2101" t="s">
        <v>173</v>
      </c>
      <c r="S2101">
        <v>10</v>
      </c>
      <c r="T2101">
        <v>9800</v>
      </c>
      <c r="U2101">
        <v>980</v>
      </c>
      <c r="V2101">
        <v>8820</v>
      </c>
      <c r="W2101">
        <v>7800</v>
      </c>
      <c r="X2101">
        <v>1020</v>
      </c>
      <c r="Y2101" s="8">
        <v>0.11564625850340136</v>
      </c>
      <c r="Z2101" t="s">
        <v>2995</v>
      </c>
      <c r="AA2101" t="str">
        <f>IF(AND(SalesCleanTable[[#This Row],[Discount %]]&gt;0, SalesCleanTable[[#This Row],[Profit]]&lt;0), "Discount loss", "Safe")</f>
        <v>Safe</v>
      </c>
      <c r="AB2101" s="25">
        <f>(SalesCleanTable[[#This Row],[Unit Price]] - SalesCleanTable[[#This Row],[Unit Cost]]) / SalesCleanTable[[#This Row],[Unit Price]]</f>
        <v>0.20408163265306123</v>
      </c>
      <c r="AC2101" t="str">
        <f>IF(SalesCleanTable[[#This Row],[Discount %]] &gt; SalesCleanTable[[#This Row],[Max Allowed Discount]], "Discount loss", "Safe")</f>
        <v>Safe</v>
      </c>
      <c r="AD2101" s="4">
        <f>SalesCleanTable[[#This Row],[Unit Price]] - SalesCleanTable[[#This Row],[Unit Cost]]</f>
        <v>2000</v>
      </c>
      <c r="AE2101" s="41">
        <f>(SalesCleanTable[[#This Row],[Unit Price]] - SalesCleanTable[[#This Row],[Unit Cost]]) / SalesCleanTable[[#This Row],[Unit Price]]</f>
        <v>0.20408163265306123</v>
      </c>
    </row>
    <row r="2102" spans="1:31">
      <c r="A2102" t="s">
        <v>2288</v>
      </c>
      <c r="B2102" s="6">
        <v>45933</v>
      </c>
      <c r="C2102" t="s">
        <v>69</v>
      </c>
      <c r="D2102" t="s">
        <v>70</v>
      </c>
      <c r="E2102" t="s">
        <v>59</v>
      </c>
      <c r="F2102" t="s">
        <v>71</v>
      </c>
      <c r="G2102" t="s">
        <v>72</v>
      </c>
      <c r="H2102" t="s">
        <v>149</v>
      </c>
      <c r="I2102" t="s">
        <v>150</v>
      </c>
      <c r="J2102" t="s">
        <v>151</v>
      </c>
      <c r="K2102" t="s">
        <v>152</v>
      </c>
      <c r="L2102" t="s">
        <v>183</v>
      </c>
      <c r="M2102" t="s">
        <v>167</v>
      </c>
      <c r="N2102">
        <v>5</v>
      </c>
      <c r="O2102" s="4">
        <v>1700</v>
      </c>
      <c r="P2102" s="4">
        <v>2600</v>
      </c>
      <c r="Q2102" s="7">
        <v>0.15</v>
      </c>
      <c r="R2102" t="s">
        <v>173</v>
      </c>
      <c r="S2102">
        <v>4</v>
      </c>
      <c r="T2102">
        <v>13000</v>
      </c>
      <c r="U2102">
        <v>1950</v>
      </c>
      <c r="V2102">
        <v>11050</v>
      </c>
      <c r="W2102">
        <v>8500</v>
      </c>
      <c r="X2102">
        <v>2550</v>
      </c>
      <c r="Y2102" s="8">
        <v>0.23076923076923078</v>
      </c>
      <c r="Z2102" t="s">
        <v>2997</v>
      </c>
      <c r="AA2102" t="str">
        <f>IF(AND(SalesCleanTable[[#This Row],[Discount %]]&gt;0, SalesCleanTable[[#This Row],[Profit]]&lt;0), "Discount loss", "Safe")</f>
        <v>Safe</v>
      </c>
      <c r="AB2102" s="25">
        <f>(SalesCleanTable[[#This Row],[Unit Price]] - SalesCleanTable[[#This Row],[Unit Cost]]) / SalesCleanTable[[#This Row],[Unit Price]]</f>
        <v>0.34615384615384615</v>
      </c>
      <c r="AC2102" t="str">
        <f>IF(SalesCleanTable[[#This Row],[Discount %]] &gt; SalesCleanTable[[#This Row],[Max Allowed Discount]], "Discount loss", "Safe")</f>
        <v>Safe</v>
      </c>
      <c r="AD2102" s="4">
        <f>SalesCleanTable[[#This Row],[Unit Price]] - SalesCleanTable[[#This Row],[Unit Cost]]</f>
        <v>900</v>
      </c>
      <c r="AE2102" s="41">
        <f>(SalesCleanTable[[#This Row],[Unit Price]] - SalesCleanTable[[#This Row],[Unit Cost]]) / SalesCleanTable[[#This Row],[Unit Price]]</f>
        <v>0.34615384615384615</v>
      </c>
    </row>
    <row r="2103" spans="1:31">
      <c r="A2103" t="s">
        <v>2289</v>
      </c>
      <c r="B2103" s="6">
        <v>45889</v>
      </c>
      <c r="C2103" t="s">
        <v>107</v>
      </c>
      <c r="D2103" t="s">
        <v>108</v>
      </c>
      <c r="E2103" t="s">
        <v>109</v>
      </c>
      <c r="F2103" t="s">
        <v>110</v>
      </c>
      <c r="G2103" t="s">
        <v>111</v>
      </c>
      <c r="H2103" t="s">
        <v>139</v>
      </c>
      <c r="I2103" t="s">
        <v>140</v>
      </c>
      <c r="J2103" t="s">
        <v>137</v>
      </c>
      <c r="K2103" t="s">
        <v>138</v>
      </c>
      <c r="L2103" t="s">
        <v>166</v>
      </c>
      <c r="M2103" t="s">
        <v>171</v>
      </c>
      <c r="N2103">
        <v>8</v>
      </c>
      <c r="O2103" s="4">
        <v>5200</v>
      </c>
      <c r="P2103" s="4">
        <v>7000</v>
      </c>
      <c r="Q2103" s="7">
        <v>0.2</v>
      </c>
      <c r="R2103" t="s">
        <v>220</v>
      </c>
      <c r="S2103">
        <v>6</v>
      </c>
      <c r="T2103">
        <v>56000</v>
      </c>
      <c r="U2103">
        <v>11200</v>
      </c>
      <c r="V2103">
        <v>44800</v>
      </c>
      <c r="W2103">
        <v>41600</v>
      </c>
      <c r="X2103">
        <v>3200</v>
      </c>
      <c r="Y2103" s="8">
        <v>7.1428571428571425E-2</v>
      </c>
      <c r="Z2103" t="s">
        <v>2997</v>
      </c>
      <c r="AA2103" t="str">
        <f>IF(AND(SalesCleanTable[[#This Row],[Discount %]]&gt;0, SalesCleanTable[[#This Row],[Profit]]&lt;0), "Discount loss", "Safe")</f>
        <v>Safe</v>
      </c>
      <c r="AB2103" s="25">
        <f>(SalesCleanTable[[#This Row],[Unit Price]] - SalesCleanTable[[#This Row],[Unit Cost]]) / SalesCleanTable[[#This Row],[Unit Price]]</f>
        <v>0.25714285714285712</v>
      </c>
      <c r="AC2103" t="str">
        <f>IF(SalesCleanTable[[#This Row],[Discount %]] &gt; SalesCleanTable[[#This Row],[Max Allowed Discount]], "Discount loss", "Safe")</f>
        <v>Safe</v>
      </c>
      <c r="AD2103" s="4">
        <f>SalesCleanTable[[#This Row],[Unit Price]] - SalesCleanTable[[#This Row],[Unit Cost]]</f>
        <v>1800</v>
      </c>
      <c r="AE2103" s="41">
        <f>(SalesCleanTable[[#This Row],[Unit Price]] - SalesCleanTable[[#This Row],[Unit Cost]]) / SalesCleanTable[[#This Row],[Unit Price]]</f>
        <v>0.25714285714285712</v>
      </c>
    </row>
    <row r="2104" spans="1:31">
      <c r="A2104" t="s">
        <v>2290</v>
      </c>
      <c r="B2104" s="6">
        <v>45794</v>
      </c>
      <c r="C2104" t="s">
        <v>95</v>
      </c>
      <c r="D2104" t="s">
        <v>96</v>
      </c>
      <c r="E2104" t="s">
        <v>92</v>
      </c>
      <c r="F2104" t="s">
        <v>97</v>
      </c>
      <c r="G2104" t="s">
        <v>98</v>
      </c>
      <c r="H2104" t="s">
        <v>133</v>
      </c>
      <c r="I2104" t="s">
        <v>134</v>
      </c>
      <c r="J2104" t="s">
        <v>130</v>
      </c>
      <c r="K2104" t="s">
        <v>131</v>
      </c>
      <c r="L2104" t="s">
        <v>166</v>
      </c>
      <c r="M2104" t="s">
        <v>186</v>
      </c>
      <c r="N2104">
        <v>3</v>
      </c>
      <c r="O2104" s="4">
        <v>18000</v>
      </c>
      <c r="P2104" s="4">
        <v>24500</v>
      </c>
      <c r="Q2104" s="7">
        <v>0.15</v>
      </c>
      <c r="R2104" t="s">
        <v>215</v>
      </c>
      <c r="S2104">
        <v>2</v>
      </c>
      <c r="T2104">
        <v>73500</v>
      </c>
      <c r="U2104">
        <v>11025</v>
      </c>
      <c r="V2104">
        <v>62475</v>
      </c>
      <c r="W2104">
        <v>54000</v>
      </c>
      <c r="X2104">
        <v>8475</v>
      </c>
      <c r="Y2104" s="8">
        <v>0.13565426170468187</v>
      </c>
      <c r="Z2104" t="s">
        <v>2995</v>
      </c>
      <c r="AA2104" t="str">
        <f>IF(AND(SalesCleanTable[[#This Row],[Discount %]]&gt;0, SalesCleanTable[[#This Row],[Profit]]&lt;0), "Discount loss", "Safe")</f>
        <v>Safe</v>
      </c>
      <c r="AB2104" s="25">
        <f>(SalesCleanTable[[#This Row],[Unit Price]] - SalesCleanTable[[#This Row],[Unit Cost]]) / SalesCleanTable[[#This Row],[Unit Price]]</f>
        <v>0.26530612244897961</v>
      </c>
      <c r="AC2104" t="str">
        <f>IF(SalesCleanTable[[#This Row],[Discount %]] &gt; SalesCleanTable[[#This Row],[Max Allowed Discount]], "Discount loss", "Safe")</f>
        <v>Safe</v>
      </c>
      <c r="AD2104" s="4">
        <f>SalesCleanTable[[#This Row],[Unit Price]] - SalesCleanTable[[#This Row],[Unit Cost]]</f>
        <v>6500</v>
      </c>
      <c r="AE2104" s="41">
        <f>(SalesCleanTable[[#This Row],[Unit Price]] - SalesCleanTable[[#This Row],[Unit Cost]]) / SalesCleanTable[[#This Row],[Unit Price]]</f>
        <v>0.26530612244897961</v>
      </c>
    </row>
    <row r="2105" spans="1:31">
      <c r="A2105" t="s">
        <v>2291</v>
      </c>
      <c r="B2105" s="6">
        <v>45769</v>
      </c>
      <c r="C2105" t="s">
        <v>73</v>
      </c>
      <c r="D2105" t="s">
        <v>74</v>
      </c>
      <c r="E2105" t="s">
        <v>75</v>
      </c>
      <c r="F2105" t="s">
        <v>76</v>
      </c>
      <c r="G2105" t="s">
        <v>77</v>
      </c>
      <c r="H2105" t="s">
        <v>133</v>
      </c>
      <c r="I2105" t="s">
        <v>134</v>
      </c>
      <c r="J2105" t="s">
        <v>130</v>
      </c>
      <c r="K2105" t="s">
        <v>131</v>
      </c>
      <c r="L2105" t="s">
        <v>183</v>
      </c>
      <c r="M2105" t="s">
        <v>177</v>
      </c>
      <c r="N2105">
        <v>3</v>
      </c>
      <c r="O2105" s="4">
        <v>3500</v>
      </c>
      <c r="P2105" s="4">
        <v>5200</v>
      </c>
      <c r="Q2105" s="7">
        <v>0.1</v>
      </c>
      <c r="R2105" t="s">
        <v>187</v>
      </c>
      <c r="S2105">
        <v>10</v>
      </c>
      <c r="T2105">
        <v>15600</v>
      </c>
      <c r="U2105">
        <v>1560</v>
      </c>
      <c r="V2105">
        <v>14040</v>
      </c>
      <c r="W2105">
        <v>10500</v>
      </c>
      <c r="X2105">
        <v>3540</v>
      </c>
      <c r="Y2105" s="8">
        <v>0.25213675213675213</v>
      </c>
      <c r="Z2105" t="s">
        <v>2996</v>
      </c>
      <c r="AA2105" t="str">
        <f>IF(AND(SalesCleanTable[[#This Row],[Discount %]]&gt;0, SalesCleanTable[[#This Row],[Profit]]&lt;0), "Discount loss", "Safe")</f>
        <v>Safe</v>
      </c>
      <c r="AB2105" s="25">
        <f>(SalesCleanTable[[#This Row],[Unit Price]] - SalesCleanTable[[#This Row],[Unit Cost]]) / SalesCleanTable[[#This Row],[Unit Price]]</f>
        <v>0.32692307692307693</v>
      </c>
      <c r="AC2105" t="str">
        <f>IF(SalesCleanTable[[#This Row],[Discount %]] &gt; SalesCleanTable[[#This Row],[Max Allowed Discount]], "Discount loss", "Safe")</f>
        <v>Safe</v>
      </c>
      <c r="AD2105" s="4">
        <f>SalesCleanTable[[#This Row],[Unit Price]] - SalesCleanTable[[#This Row],[Unit Cost]]</f>
        <v>1700</v>
      </c>
      <c r="AE2105" s="41">
        <f>(SalesCleanTable[[#This Row],[Unit Price]] - SalesCleanTable[[#This Row],[Unit Cost]]) / SalesCleanTable[[#This Row],[Unit Price]]</f>
        <v>0.32692307692307693</v>
      </c>
    </row>
    <row r="2106" spans="1:31">
      <c r="A2106" t="s">
        <v>2292</v>
      </c>
      <c r="B2106" s="6">
        <v>45909</v>
      </c>
      <c r="C2106" t="s">
        <v>99</v>
      </c>
      <c r="D2106" t="s">
        <v>100</v>
      </c>
      <c r="E2106" t="s">
        <v>92</v>
      </c>
      <c r="F2106" t="s">
        <v>101</v>
      </c>
      <c r="G2106" t="s">
        <v>102</v>
      </c>
      <c r="H2106" t="s">
        <v>128</v>
      </c>
      <c r="I2106" t="s">
        <v>129</v>
      </c>
      <c r="J2106" t="s">
        <v>130</v>
      </c>
      <c r="K2106" t="s">
        <v>131</v>
      </c>
      <c r="L2106" t="s">
        <v>166</v>
      </c>
      <c r="M2106" t="s">
        <v>171</v>
      </c>
      <c r="N2106">
        <v>8</v>
      </c>
      <c r="O2106" s="4">
        <v>12500</v>
      </c>
      <c r="P2106" s="4">
        <v>18500</v>
      </c>
      <c r="Q2106" s="7">
        <v>0.05</v>
      </c>
      <c r="R2106" t="s">
        <v>215</v>
      </c>
      <c r="S2106">
        <v>13</v>
      </c>
      <c r="T2106">
        <v>148000</v>
      </c>
      <c r="U2106">
        <v>7400</v>
      </c>
      <c r="V2106">
        <v>140600</v>
      </c>
      <c r="W2106">
        <v>100000</v>
      </c>
      <c r="X2106">
        <v>40600</v>
      </c>
      <c r="Y2106" s="8">
        <v>0.28876244665718348</v>
      </c>
      <c r="Z2106" t="s">
        <v>2995</v>
      </c>
      <c r="AA2106" t="str">
        <f>IF(AND(SalesCleanTable[[#This Row],[Discount %]]&gt;0, SalesCleanTable[[#This Row],[Profit]]&lt;0), "Discount loss", "Safe")</f>
        <v>Safe</v>
      </c>
      <c r="AB2106" s="25">
        <f>(SalesCleanTable[[#This Row],[Unit Price]] - SalesCleanTable[[#This Row],[Unit Cost]]) / SalesCleanTable[[#This Row],[Unit Price]]</f>
        <v>0.32432432432432434</v>
      </c>
      <c r="AC2106" t="str">
        <f>IF(SalesCleanTable[[#This Row],[Discount %]] &gt; SalesCleanTable[[#This Row],[Max Allowed Discount]], "Discount loss", "Safe")</f>
        <v>Safe</v>
      </c>
      <c r="AD2106" s="4">
        <f>SalesCleanTable[[#This Row],[Unit Price]] - SalesCleanTable[[#This Row],[Unit Cost]]</f>
        <v>6000</v>
      </c>
      <c r="AE2106" s="41">
        <f>(SalesCleanTable[[#This Row],[Unit Price]] - SalesCleanTable[[#This Row],[Unit Cost]]) / SalesCleanTable[[#This Row],[Unit Price]]</f>
        <v>0.32432432432432434</v>
      </c>
    </row>
    <row r="2107" spans="1:31">
      <c r="A2107" t="s">
        <v>2293</v>
      </c>
      <c r="B2107" s="6">
        <v>45951</v>
      </c>
      <c r="C2107" t="s">
        <v>73</v>
      </c>
      <c r="D2107" t="s">
        <v>74</v>
      </c>
      <c r="E2107" t="s">
        <v>75</v>
      </c>
      <c r="F2107" t="s">
        <v>76</v>
      </c>
      <c r="G2107" t="s">
        <v>77</v>
      </c>
      <c r="H2107" t="s">
        <v>133</v>
      </c>
      <c r="I2107" t="s">
        <v>134</v>
      </c>
      <c r="J2107" t="s">
        <v>130</v>
      </c>
      <c r="K2107" t="s">
        <v>131</v>
      </c>
      <c r="L2107" t="s">
        <v>166</v>
      </c>
      <c r="M2107" t="s">
        <v>167</v>
      </c>
      <c r="N2107">
        <v>1</v>
      </c>
      <c r="O2107" s="4">
        <v>3500</v>
      </c>
      <c r="P2107" s="4">
        <v>5200</v>
      </c>
      <c r="Q2107" s="7">
        <v>0.05</v>
      </c>
      <c r="R2107" t="s">
        <v>208</v>
      </c>
      <c r="S2107">
        <v>14</v>
      </c>
      <c r="T2107">
        <v>5200</v>
      </c>
      <c r="U2107">
        <v>260</v>
      </c>
      <c r="V2107">
        <v>4940</v>
      </c>
      <c r="W2107">
        <v>3500</v>
      </c>
      <c r="X2107">
        <v>1440</v>
      </c>
      <c r="Y2107" s="8">
        <v>0.291497975708502</v>
      </c>
      <c r="Z2107" t="s">
        <v>2996</v>
      </c>
      <c r="AA2107" t="str">
        <f>IF(AND(SalesCleanTable[[#This Row],[Discount %]]&gt;0, SalesCleanTable[[#This Row],[Profit]]&lt;0), "Discount loss", "Safe")</f>
        <v>Safe</v>
      </c>
      <c r="AB2107" s="25">
        <f>(SalesCleanTable[[#This Row],[Unit Price]] - SalesCleanTable[[#This Row],[Unit Cost]]) / SalesCleanTable[[#This Row],[Unit Price]]</f>
        <v>0.32692307692307693</v>
      </c>
      <c r="AC2107" t="str">
        <f>IF(SalesCleanTable[[#This Row],[Discount %]] &gt; SalesCleanTable[[#This Row],[Max Allowed Discount]], "Discount loss", "Safe")</f>
        <v>Safe</v>
      </c>
      <c r="AD2107" s="4">
        <f>SalesCleanTable[[#This Row],[Unit Price]] - SalesCleanTable[[#This Row],[Unit Cost]]</f>
        <v>1700</v>
      </c>
      <c r="AE2107" s="41">
        <f>(SalesCleanTable[[#This Row],[Unit Price]] - SalesCleanTable[[#This Row],[Unit Cost]]) / SalesCleanTable[[#This Row],[Unit Price]]</f>
        <v>0.32692307692307693</v>
      </c>
    </row>
    <row r="2108" spans="1:31">
      <c r="A2108" t="s">
        <v>2294</v>
      </c>
      <c r="B2108" s="6">
        <v>45874</v>
      </c>
      <c r="C2108" t="s">
        <v>66</v>
      </c>
      <c r="D2108" t="s">
        <v>67</v>
      </c>
      <c r="E2108" t="s">
        <v>59</v>
      </c>
      <c r="F2108" t="s">
        <v>60</v>
      </c>
      <c r="G2108" t="s">
        <v>68</v>
      </c>
      <c r="H2108" t="s">
        <v>133</v>
      </c>
      <c r="I2108" t="s">
        <v>134</v>
      </c>
      <c r="J2108" t="s">
        <v>130</v>
      </c>
      <c r="K2108" t="s">
        <v>131</v>
      </c>
      <c r="L2108" t="s">
        <v>183</v>
      </c>
      <c r="M2108" t="s">
        <v>167</v>
      </c>
      <c r="N2108">
        <v>5</v>
      </c>
      <c r="O2108" s="4">
        <v>2800</v>
      </c>
      <c r="P2108" s="4">
        <v>3900</v>
      </c>
      <c r="Q2108" s="7">
        <v>0</v>
      </c>
      <c r="R2108" t="s">
        <v>173</v>
      </c>
      <c r="S2108">
        <v>9</v>
      </c>
      <c r="T2108">
        <v>19500</v>
      </c>
      <c r="U2108">
        <v>0</v>
      </c>
      <c r="V2108">
        <v>19500</v>
      </c>
      <c r="W2108">
        <v>14000</v>
      </c>
      <c r="X2108">
        <v>5500</v>
      </c>
      <c r="Y2108" s="8">
        <v>0.28205128205128205</v>
      </c>
      <c r="Z2108" t="s">
        <v>2996</v>
      </c>
      <c r="AA2108" t="str">
        <f>IF(AND(SalesCleanTable[[#This Row],[Discount %]]&gt;0, SalesCleanTable[[#This Row],[Profit]]&lt;0), "Discount loss", "Safe")</f>
        <v>Safe</v>
      </c>
      <c r="AB2108" s="25">
        <f>(SalesCleanTable[[#This Row],[Unit Price]] - SalesCleanTable[[#This Row],[Unit Cost]]) / SalesCleanTable[[#This Row],[Unit Price]]</f>
        <v>0.28205128205128205</v>
      </c>
      <c r="AC2108" t="str">
        <f>IF(SalesCleanTable[[#This Row],[Discount %]] &gt; SalesCleanTable[[#This Row],[Max Allowed Discount]], "Discount loss", "Safe")</f>
        <v>Safe</v>
      </c>
      <c r="AD2108" s="4">
        <f>SalesCleanTable[[#This Row],[Unit Price]] - SalesCleanTable[[#This Row],[Unit Cost]]</f>
        <v>1100</v>
      </c>
      <c r="AE2108" s="41">
        <f>(SalesCleanTable[[#This Row],[Unit Price]] - SalesCleanTable[[#This Row],[Unit Cost]]) / SalesCleanTable[[#This Row],[Unit Price]]</f>
        <v>0.28205128205128205</v>
      </c>
    </row>
    <row r="2109" spans="1:31">
      <c r="A2109" t="s">
        <v>2295</v>
      </c>
      <c r="B2109" s="6">
        <v>45895</v>
      </c>
      <c r="C2109" t="s">
        <v>116</v>
      </c>
      <c r="D2109" t="s">
        <v>117</v>
      </c>
      <c r="E2109" t="s">
        <v>109</v>
      </c>
      <c r="F2109" t="s">
        <v>118</v>
      </c>
      <c r="G2109" t="s">
        <v>119</v>
      </c>
      <c r="H2109" t="s">
        <v>128</v>
      </c>
      <c r="I2109" t="s">
        <v>129</v>
      </c>
      <c r="J2109" t="s">
        <v>130</v>
      </c>
      <c r="K2109" t="s">
        <v>131</v>
      </c>
      <c r="L2109" t="s">
        <v>166</v>
      </c>
      <c r="M2109" t="s">
        <v>186</v>
      </c>
      <c r="N2109">
        <v>5</v>
      </c>
      <c r="O2109" s="4">
        <v>2800</v>
      </c>
      <c r="P2109" s="4">
        <v>4200</v>
      </c>
      <c r="Q2109" s="7">
        <v>0.05</v>
      </c>
      <c r="R2109" t="s">
        <v>184</v>
      </c>
      <c r="S2109">
        <v>12</v>
      </c>
      <c r="T2109">
        <v>21000</v>
      </c>
      <c r="U2109">
        <v>1050</v>
      </c>
      <c r="V2109">
        <v>19950</v>
      </c>
      <c r="W2109">
        <v>14000</v>
      </c>
      <c r="X2109">
        <v>5950</v>
      </c>
      <c r="Y2109" s="8">
        <v>0.2982456140350877</v>
      </c>
      <c r="Z2109" t="s">
        <v>2995</v>
      </c>
      <c r="AA2109" t="str">
        <f>IF(AND(SalesCleanTable[[#This Row],[Discount %]]&gt;0, SalesCleanTable[[#This Row],[Profit]]&lt;0), "Discount loss", "Safe")</f>
        <v>Safe</v>
      </c>
      <c r="AB2109" s="25">
        <f>(SalesCleanTable[[#This Row],[Unit Price]] - SalesCleanTable[[#This Row],[Unit Cost]]) / SalesCleanTable[[#This Row],[Unit Price]]</f>
        <v>0.33333333333333331</v>
      </c>
      <c r="AC2109" t="str">
        <f>IF(SalesCleanTable[[#This Row],[Discount %]] &gt; SalesCleanTable[[#This Row],[Max Allowed Discount]], "Discount loss", "Safe")</f>
        <v>Safe</v>
      </c>
      <c r="AD2109" s="4">
        <f>SalesCleanTable[[#This Row],[Unit Price]] - SalesCleanTable[[#This Row],[Unit Cost]]</f>
        <v>1400</v>
      </c>
      <c r="AE2109" s="41">
        <f>(SalesCleanTable[[#This Row],[Unit Price]] - SalesCleanTable[[#This Row],[Unit Cost]]) / SalesCleanTable[[#This Row],[Unit Price]]</f>
        <v>0.33333333333333331</v>
      </c>
    </row>
    <row r="2110" spans="1:31">
      <c r="A2110" t="s">
        <v>2296</v>
      </c>
      <c r="B2110" s="6">
        <v>45952</v>
      </c>
      <c r="C2110" t="s">
        <v>41</v>
      </c>
      <c r="D2110" t="s">
        <v>42</v>
      </c>
      <c r="E2110" t="s">
        <v>26</v>
      </c>
      <c r="F2110" t="s">
        <v>43</v>
      </c>
      <c r="G2110" t="s">
        <v>44</v>
      </c>
      <c r="H2110" t="s">
        <v>139</v>
      </c>
      <c r="I2110" t="s">
        <v>140</v>
      </c>
      <c r="J2110" t="s">
        <v>137</v>
      </c>
      <c r="K2110" t="s">
        <v>138</v>
      </c>
      <c r="L2110" t="s">
        <v>166</v>
      </c>
      <c r="M2110" t="s">
        <v>171</v>
      </c>
      <c r="N2110">
        <v>1</v>
      </c>
      <c r="O2110" s="4">
        <v>850</v>
      </c>
      <c r="P2110" s="4">
        <v>1300</v>
      </c>
      <c r="Q2110" s="7">
        <v>0.2</v>
      </c>
      <c r="R2110" t="s">
        <v>194</v>
      </c>
      <c r="S2110">
        <v>5</v>
      </c>
      <c r="T2110">
        <v>1300</v>
      </c>
      <c r="U2110">
        <v>260</v>
      </c>
      <c r="V2110">
        <v>1040</v>
      </c>
      <c r="W2110">
        <v>850</v>
      </c>
      <c r="X2110">
        <v>190</v>
      </c>
      <c r="Y2110" s="8">
        <v>0.18269230769230768</v>
      </c>
      <c r="Z2110" t="s">
        <v>2995</v>
      </c>
      <c r="AA2110" t="str">
        <f>IF(AND(SalesCleanTable[[#This Row],[Discount %]]&gt;0, SalesCleanTable[[#This Row],[Profit]]&lt;0), "Discount loss", "Safe")</f>
        <v>Safe</v>
      </c>
      <c r="AB2110" s="25">
        <f>(SalesCleanTable[[#This Row],[Unit Price]] - SalesCleanTable[[#This Row],[Unit Cost]]) / SalesCleanTable[[#This Row],[Unit Price]]</f>
        <v>0.34615384615384615</v>
      </c>
      <c r="AC2110" t="str">
        <f>IF(SalesCleanTable[[#This Row],[Discount %]] &gt; SalesCleanTable[[#This Row],[Max Allowed Discount]], "Discount loss", "Safe")</f>
        <v>Safe</v>
      </c>
      <c r="AD2110" s="4">
        <f>SalesCleanTable[[#This Row],[Unit Price]] - SalesCleanTable[[#This Row],[Unit Cost]]</f>
        <v>450</v>
      </c>
      <c r="AE2110" s="41">
        <f>(SalesCleanTable[[#This Row],[Unit Price]] - SalesCleanTable[[#This Row],[Unit Cost]]) / SalesCleanTable[[#This Row],[Unit Price]]</f>
        <v>0.34615384615384615</v>
      </c>
    </row>
    <row r="2111" spans="1:31">
      <c r="A2111" t="s">
        <v>2297</v>
      </c>
      <c r="B2111" s="6">
        <v>45819</v>
      </c>
      <c r="C2111" t="s">
        <v>45</v>
      </c>
      <c r="D2111" t="s">
        <v>46</v>
      </c>
      <c r="E2111" t="s">
        <v>38</v>
      </c>
      <c r="F2111" t="s">
        <v>47</v>
      </c>
      <c r="G2111" t="s">
        <v>48</v>
      </c>
      <c r="H2111" t="s">
        <v>133</v>
      </c>
      <c r="I2111" t="s">
        <v>134</v>
      </c>
      <c r="J2111" t="s">
        <v>130</v>
      </c>
      <c r="K2111" t="s">
        <v>131</v>
      </c>
      <c r="L2111" t="s">
        <v>183</v>
      </c>
      <c r="M2111" t="s">
        <v>186</v>
      </c>
      <c r="N2111">
        <v>2</v>
      </c>
      <c r="O2111" s="4">
        <v>230</v>
      </c>
      <c r="P2111" s="4">
        <v>400</v>
      </c>
      <c r="Q2111" s="7">
        <v>0.1</v>
      </c>
      <c r="R2111" t="s">
        <v>168</v>
      </c>
      <c r="S2111">
        <v>13</v>
      </c>
      <c r="T2111">
        <v>800</v>
      </c>
      <c r="U2111">
        <v>80</v>
      </c>
      <c r="V2111">
        <v>720</v>
      </c>
      <c r="W2111">
        <v>460</v>
      </c>
      <c r="X2111">
        <v>260</v>
      </c>
      <c r="Y2111" s="8">
        <v>0.3611111111111111</v>
      </c>
      <c r="Z2111" t="s">
        <v>2995</v>
      </c>
      <c r="AA2111" t="str">
        <f>IF(AND(SalesCleanTable[[#This Row],[Discount %]]&gt;0, SalesCleanTable[[#This Row],[Profit]]&lt;0), "Discount loss", "Safe")</f>
        <v>Safe</v>
      </c>
      <c r="AB2111" s="25">
        <f>(SalesCleanTable[[#This Row],[Unit Price]] - SalesCleanTable[[#This Row],[Unit Cost]]) / SalesCleanTable[[#This Row],[Unit Price]]</f>
        <v>0.42499999999999999</v>
      </c>
      <c r="AC2111" t="str">
        <f>IF(SalesCleanTable[[#This Row],[Discount %]] &gt; SalesCleanTable[[#This Row],[Max Allowed Discount]], "Discount loss", "Safe")</f>
        <v>Safe</v>
      </c>
      <c r="AD2111" s="4">
        <f>SalesCleanTable[[#This Row],[Unit Price]] - SalesCleanTable[[#This Row],[Unit Cost]]</f>
        <v>170</v>
      </c>
      <c r="AE2111" s="41">
        <f>(SalesCleanTable[[#This Row],[Unit Price]] - SalesCleanTable[[#This Row],[Unit Cost]]) / SalesCleanTable[[#This Row],[Unit Price]]</f>
        <v>0.42499999999999999</v>
      </c>
    </row>
    <row r="2112" spans="1:31">
      <c r="A2112" t="s">
        <v>2298</v>
      </c>
      <c r="B2112" s="6">
        <v>45915</v>
      </c>
      <c r="C2112" t="s">
        <v>82</v>
      </c>
      <c r="D2112" t="s">
        <v>83</v>
      </c>
      <c r="E2112" t="s">
        <v>75</v>
      </c>
      <c r="F2112" t="s">
        <v>84</v>
      </c>
      <c r="G2112" t="s">
        <v>85</v>
      </c>
      <c r="H2112" t="s">
        <v>128</v>
      </c>
      <c r="I2112" t="s">
        <v>129</v>
      </c>
      <c r="J2112" t="s">
        <v>130</v>
      </c>
      <c r="K2112" t="s">
        <v>131</v>
      </c>
      <c r="L2112" t="s">
        <v>166</v>
      </c>
      <c r="M2112" t="s">
        <v>171</v>
      </c>
      <c r="N2112">
        <v>2</v>
      </c>
      <c r="O2112" s="4">
        <v>600</v>
      </c>
      <c r="P2112" s="4">
        <v>950</v>
      </c>
      <c r="Q2112" s="7">
        <v>0.15</v>
      </c>
      <c r="R2112" t="s">
        <v>187</v>
      </c>
      <c r="S2112">
        <v>7</v>
      </c>
      <c r="T2112">
        <v>1900</v>
      </c>
      <c r="U2112">
        <v>285</v>
      </c>
      <c r="V2112">
        <v>1615</v>
      </c>
      <c r="W2112">
        <v>1200</v>
      </c>
      <c r="X2112">
        <v>415</v>
      </c>
      <c r="Y2112" s="8">
        <v>0.25696594427244585</v>
      </c>
      <c r="Z2112" t="s">
        <v>2996</v>
      </c>
      <c r="AA2112" t="str">
        <f>IF(AND(SalesCleanTable[[#This Row],[Discount %]]&gt;0, SalesCleanTable[[#This Row],[Profit]]&lt;0), "Discount loss", "Safe")</f>
        <v>Safe</v>
      </c>
      <c r="AB2112" s="25">
        <f>(SalesCleanTable[[#This Row],[Unit Price]] - SalesCleanTable[[#This Row],[Unit Cost]]) / SalesCleanTable[[#This Row],[Unit Price]]</f>
        <v>0.36842105263157893</v>
      </c>
      <c r="AC2112" t="str">
        <f>IF(SalesCleanTable[[#This Row],[Discount %]] &gt; SalesCleanTable[[#This Row],[Max Allowed Discount]], "Discount loss", "Safe")</f>
        <v>Safe</v>
      </c>
      <c r="AD2112" s="4">
        <f>SalesCleanTable[[#This Row],[Unit Price]] - SalesCleanTable[[#This Row],[Unit Cost]]</f>
        <v>350</v>
      </c>
      <c r="AE2112" s="41">
        <f>(SalesCleanTable[[#This Row],[Unit Price]] - SalesCleanTable[[#This Row],[Unit Cost]]) / SalesCleanTable[[#This Row],[Unit Price]]</f>
        <v>0.36842105263157893</v>
      </c>
    </row>
    <row r="2113" spans="1:31">
      <c r="A2113" t="s">
        <v>2299</v>
      </c>
      <c r="B2113" s="6">
        <v>45833</v>
      </c>
      <c r="C2113" t="s">
        <v>112</v>
      </c>
      <c r="D2113" t="s">
        <v>113</v>
      </c>
      <c r="E2113" t="s">
        <v>109</v>
      </c>
      <c r="F2113" t="s">
        <v>114</v>
      </c>
      <c r="G2113" t="s">
        <v>115</v>
      </c>
      <c r="H2113" t="s">
        <v>145</v>
      </c>
      <c r="I2113" t="s">
        <v>146</v>
      </c>
      <c r="J2113" t="s">
        <v>147</v>
      </c>
      <c r="K2113" t="s">
        <v>148</v>
      </c>
      <c r="L2113" t="s">
        <v>183</v>
      </c>
      <c r="M2113" t="s">
        <v>177</v>
      </c>
      <c r="N2113">
        <v>3</v>
      </c>
      <c r="O2113" s="4">
        <v>1300</v>
      </c>
      <c r="P2113" s="4">
        <v>2100</v>
      </c>
      <c r="Q2113" s="7">
        <v>0</v>
      </c>
      <c r="R2113" t="s">
        <v>220</v>
      </c>
      <c r="S2113">
        <v>2</v>
      </c>
      <c r="T2113">
        <v>6300</v>
      </c>
      <c r="U2113">
        <v>0</v>
      </c>
      <c r="V2113">
        <v>6300</v>
      </c>
      <c r="W2113">
        <v>3900</v>
      </c>
      <c r="X2113">
        <v>2400</v>
      </c>
      <c r="Y2113" s="8">
        <v>0.38095238095238093</v>
      </c>
      <c r="Z2113" t="s">
        <v>2995</v>
      </c>
      <c r="AA2113" t="str">
        <f>IF(AND(SalesCleanTable[[#This Row],[Discount %]]&gt;0, SalesCleanTable[[#This Row],[Profit]]&lt;0), "Discount loss", "Safe")</f>
        <v>Safe</v>
      </c>
      <c r="AB2113" s="25">
        <f>(SalesCleanTable[[#This Row],[Unit Price]] - SalesCleanTable[[#This Row],[Unit Cost]]) / SalesCleanTable[[#This Row],[Unit Price]]</f>
        <v>0.38095238095238093</v>
      </c>
      <c r="AC2113" t="str">
        <f>IF(SalesCleanTable[[#This Row],[Discount %]] &gt; SalesCleanTable[[#This Row],[Max Allowed Discount]], "Discount loss", "Safe")</f>
        <v>Safe</v>
      </c>
      <c r="AD2113" s="4">
        <f>SalesCleanTable[[#This Row],[Unit Price]] - SalesCleanTable[[#This Row],[Unit Cost]]</f>
        <v>800</v>
      </c>
      <c r="AE2113" s="41">
        <f>(SalesCleanTable[[#This Row],[Unit Price]] - SalesCleanTable[[#This Row],[Unit Cost]]) / SalesCleanTable[[#This Row],[Unit Price]]</f>
        <v>0.38095238095238093</v>
      </c>
    </row>
    <row r="2114" spans="1:31">
      <c r="A2114" t="s">
        <v>2300</v>
      </c>
      <c r="B2114" s="6">
        <v>45836</v>
      </c>
      <c r="C2114" t="s">
        <v>57</v>
      </c>
      <c r="D2114" t="s">
        <v>58</v>
      </c>
      <c r="E2114" t="s">
        <v>59</v>
      </c>
      <c r="F2114" t="s">
        <v>60</v>
      </c>
      <c r="G2114" t="s">
        <v>61</v>
      </c>
      <c r="H2114" t="s">
        <v>139</v>
      </c>
      <c r="I2114" t="s">
        <v>140</v>
      </c>
      <c r="J2114" t="s">
        <v>137</v>
      </c>
      <c r="K2114" t="s">
        <v>138</v>
      </c>
      <c r="L2114" t="s">
        <v>166</v>
      </c>
      <c r="M2114" t="s">
        <v>171</v>
      </c>
      <c r="N2114">
        <v>3</v>
      </c>
      <c r="O2114" s="4">
        <v>2400</v>
      </c>
      <c r="P2114" s="4">
        <v>3400</v>
      </c>
      <c r="Q2114" s="7">
        <v>0</v>
      </c>
      <c r="R2114" t="s">
        <v>173</v>
      </c>
      <c r="S2114">
        <v>1</v>
      </c>
      <c r="T2114">
        <v>10200</v>
      </c>
      <c r="U2114">
        <v>0</v>
      </c>
      <c r="V2114">
        <v>10200</v>
      </c>
      <c r="W2114">
        <v>7200</v>
      </c>
      <c r="X2114">
        <v>3000</v>
      </c>
      <c r="Y2114" s="8">
        <v>0.29411764705882354</v>
      </c>
      <c r="Z2114" t="s">
        <v>2996</v>
      </c>
      <c r="AA2114" t="str">
        <f>IF(AND(SalesCleanTable[[#This Row],[Discount %]]&gt;0, SalesCleanTable[[#This Row],[Profit]]&lt;0), "Discount loss", "Safe")</f>
        <v>Safe</v>
      </c>
      <c r="AB2114" s="25">
        <f>(SalesCleanTable[[#This Row],[Unit Price]] - SalesCleanTable[[#This Row],[Unit Cost]]) / SalesCleanTable[[#This Row],[Unit Price]]</f>
        <v>0.29411764705882354</v>
      </c>
      <c r="AC2114" t="str">
        <f>IF(SalesCleanTable[[#This Row],[Discount %]] &gt; SalesCleanTable[[#This Row],[Max Allowed Discount]], "Discount loss", "Safe")</f>
        <v>Safe</v>
      </c>
      <c r="AD2114" s="4">
        <f>SalesCleanTable[[#This Row],[Unit Price]] - SalesCleanTable[[#This Row],[Unit Cost]]</f>
        <v>1000</v>
      </c>
      <c r="AE2114" s="41">
        <f>(SalesCleanTable[[#This Row],[Unit Price]] - SalesCleanTable[[#This Row],[Unit Cost]]) / SalesCleanTable[[#This Row],[Unit Price]]</f>
        <v>0.29411764705882354</v>
      </c>
    </row>
    <row r="2115" spans="1:31">
      <c r="A2115" t="s">
        <v>2301</v>
      </c>
      <c r="B2115" s="6">
        <v>45936</v>
      </c>
      <c r="C2115" t="s">
        <v>45</v>
      </c>
      <c r="D2115" t="s">
        <v>46</v>
      </c>
      <c r="E2115" t="s">
        <v>38</v>
      </c>
      <c r="F2115" t="s">
        <v>47</v>
      </c>
      <c r="G2115" t="s">
        <v>48</v>
      </c>
      <c r="H2115" t="s">
        <v>149</v>
      </c>
      <c r="I2115" t="s">
        <v>150</v>
      </c>
      <c r="J2115" t="s">
        <v>151</v>
      </c>
      <c r="K2115" t="s">
        <v>152</v>
      </c>
      <c r="L2115" t="s">
        <v>166</v>
      </c>
      <c r="M2115" t="s">
        <v>171</v>
      </c>
      <c r="N2115">
        <v>4</v>
      </c>
      <c r="O2115" s="4">
        <v>230</v>
      </c>
      <c r="P2115" s="4">
        <v>400</v>
      </c>
      <c r="Q2115" s="7">
        <v>0.2</v>
      </c>
      <c r="R2115" t="s">
        <v>175</v>
      </c>
      <c r="S2115">
        <v>8</v>
      </c>
      <c r="T2115">
        <v>1600</v>
      </c>
      <c r="U2115">
        <v>320</v>
      </c>
      <c r="V2115">
        <v>1280</v>
      </c>
      <c r="W2115">
        <v>920</v>
      </c>
      <c r="X2115">
        <v>360</v>
      </c>
      <c r="Y2115" s="8">
        <v>0.28125</v>
      </c>
      <c r="Z2115" t="s">
        <v>2995</v>
      </c>
      <c r="AA2115" t="str">
        <f>IF(AND(SalesCleanTable[[#This Row],[Discount %]]&gt;0, SalesCleanTable[[#This Row],[Profit]]&lt;0), "Discount loss", "Safe")</f>
        <v>Safe</v>
      </c>
      <c r="AB2115" s="25">
        <f>(SalesCleanTable[[#This Row],[Unit Price]] - SalesCleanTable[[#This Row],[Unit Cost]]) / SalesCleanTable[[#This Row],[Unit Price]]</f>
        <v>0.42499999999999999</v>
      </c>
      <c r="AC2115" t="str">
        <f>IF(SalesCleanTable[[#This Row],[Discount %]] &gt; SalesCleanTable[[#This Row],[Max Allowed Discount]], "Discount loss", "Safe")</f>
        <v>Safe</v>
      </c>
      <c r="AD2115" s="4">
        <f>SalesCleanTable[[#This Row],[Unit Price]] - SalesCleanTable[[#This Row],[Unit Cost]]</f>
        <v>170</v>
      </c>
      <c r="AE2115" s="41">
        <f>(SalesCleanTable[[#This Row],[Unit Price]] - SalesCleanTable[[#This Row],[Unit Cost]]) / SalesCleanTable[[#This Row],[Unit Price]]</f>
        <v>0.42499999999999999</v>
      </c>
    </row>
    <row r="2116" spans="1:31">
      <c r="A2116" t="s">
        <v>2302</v>
      </c>
      <c r="B2116" s="6">
        <v>45702</v>
      </c>
      <c r="C2116" t="s">
        <v>78</v>
      </c>
      <c r="D2116" t="s">
        <v>79</v>
      </c>
      <c r="E2116" t="s">
        <v>75</v>
      </c>
      <c r="F2116" t="s">
        <v>80</v>
      </c>
      <c r="G2116" t="s">
        <v>81</v>
      </c>
      <c r="H2116" t="s">
        <v>149</v>
      </c>
      <c r="I2116" t="s">
        <v>150</v>
      </c>
      <c r="J2116" t="s">
        <v>151</v>
      </c>
      <c r="K2116" t="s">
        <v>152</v>
      </c>
      <c r="L2116" t="s">
        <v>166</v>
      </c>
      <c r="M2116" t="s">
        <v>177</v>
      </c>
      <c r="N2116">
        <v>5</v>
      </c>
      <c r="O2116" s="4">
        <v>1200</v>
      </c>
      <c r="P2116" s="4">
        <v>1900</v>
      </c>
      <c r="Q2116" s="7">
        <v>0</v>
      </c>
      <c r="R2116" t="s">
        <v>208</v>
      </c>
      <c r="S2116">
        <v>13</v>
      </c>
      <c r="T2116">
        <v>9500</v>
      </c>
      <c r="U2116">
        <v>0</v>
      </c>
      <c r="V2116">
        <v>9500</v>
      </c>
      <c r="W2116">
        <v>6000</v>
      </c>
      <c r="X2116">
        <v>3500</v>
      </c>
      <c r="Y2116" s="8">
        <v>0.36842105263157893</v>
      </c>
      <c r="Z2116" t="s">
        <v>2996</v>
      </c>
      <c r="AA2116" t="str">
        <f>IF(AND(SalesCleanTable[[#This Row],[Discount %]]&gt;0, SalesCleanTable[[#This Row],[Profit]]&lt;0), "Discount loss", "Safe")</f>
        <v>Safe</v>
      </c>
      <c r="AB2116" s="25">
        <f>(SalesCleanTable[[#This Row],[Unit Price]] - SalesCleanTable[[#This Row],[Unit Cost]]) / SalesCleanTable[[#This Row],[Unit Price]]</f>
        <v>0.36842105263157893</v>
      </c>
      <c r="AC2116" t="str">
        <f>IF(SalesCleanTable[[#This Row],[Discount %]] &gt; SalesCleanTable[[#This Row],[Max Allowed Discount]], "Discount loss", "Safe")</f>
        <v>Safe</v>
      </c>
      <c r="AD2116" s="4">
        <f>SalesCleanTable[[#This Row],[Unit Price]] - SalesCleanTable[[#This Row],[Unit Cost]]</f>
        <v>700</v>
      </c>
      <c r="AE2116" s="41">
        <f>(SalesCleanTable[[#This Row],[Unit Price]] - SalesCleanTable[[#This Row],[Unit Cost]]) / SalesCleanTable[[#This Row],[Unit Price]]</f>
        <v>0.36842105263157893</v>
      </c>
    </row>
    <row r="2117" spans="1:31">
      <c r="A2117" t="s">
        <v>2303</v>
      </c>
      <c r="B2117" s="6">
        <v>45709</v>
      </c>
      <c r="C2117" t="s">
        <v>49</v>
      </c>
      <c r="D2117" t="s">
        <v>50</v>
      </c>
      <c r="E2117" t="s">
        <v>38</v>
      </c>
      <c r="F2117" t="s">
        <v>51</v>
      </c>
      <c r="G2117" t="s">
        <v>52</v>
      </c>
      <c r="H2117" t="s">
        <v>133</v>
      </c>
      <c r="I2117" t="s">
        <v>134</v>
      </c>
      <c r="J2117" t="s">
        <v>130</v>
      </c>
      <c r="K2117" t="s">
        <v>131</v>
      </c>
      <c r="L2117" t="s">
        <v>183</v>
      </c>
      <c r="M2117" t="s">
        <v>171</v>
      </c>
      <c r="N2117">
        <v>8</v>
      </c>
      <c r="O2117" s="4">
        <v>550</v>
      </c>
      <c r="P2117" s="4">
        <v>850</v>
      </c>
      <c r="Q2117" s="7">
        <v>0.1</v>
      </c>
      <c r="R2117" t="s">
        <v>178</v>
      </c>
      <c r="S2117">
        <v>8</v>
      </c>
      <c r="T2117">
        <v>6800</v>
      </c>
      <c r="U2117">
        <v>680</v>
      </c>
      <c r="V2117">
        <v>6120</v>
      </c>
      <c r="W2117">
        <v>4400</v>
      </c>
      <c r="X2117">
        <v>1720</v>
      </c>
      <c r="Y2117" s="8">
        <v>0.28104575163398693</v>
      </c>
      <c r="Z2117" t="s">
        <v>2996</v>
      </c>
      <c r="AA2117" t="str">
        <f>IF(AND(SalesCleanTable[[#This Row],[Discount %]]&gt;0, SalesCleanTable[[#This Row],[Profit]]&lt;0), "Discount loss", "Safe")</f>
        <v>Safe</v>
      </c>
      <c r="AB2117" s="25">
        <f>(SalesCleanTable[[#This Row],[Unit Price]] - SalesCleanTable[[#This Row],[Unit Cost]]) / SalesCleanTable[[#This Row],[Unit Price]]</f>
        <v>0.35294117647058826</v>
      </c>
      <c r="AC2117" t="str">
        <f>IF(SalesCleanTable[[#This Row],[Discount %]] &gt; SalesCleanTable[[#This Row],[Max Allowed Discount]], "Discount loss", "Safe")</f>
        <v>Safe</v>
      </c>
      <c r="AD2117" s="4">
        <f>SalesCleanTable[[#This Row],[Unit Price]] - SalesCleanTable[[#This Row],[Unit Cost]]</f>
        <v>300</v>
      </c>
      <c r="AE2117" s="41">
        <f>(SalesCleanTable[[#This Row],[Unit Price]] - SalesCleanTable[[#This Row],[Unit Cost]]) / SalesCleanTable[[#This Row],[Unit Price]]</f>
        <v>0.35294117647058826</v>
      </c>
    </row>
    <row r="2118" spans="1:31">
      <c r="A2118" t="s">
        <v>2304</v>
      </c>
      <c r="B2118" s="6">
        <v>45891</v>
      </c>
      <c r="C2118" t="s">
        <v>24</v>
      </c>
      <c r="D2118" t="s">
        <v>25</v>
      </c>
      <c r="E2118" t="s">
        <v>26</v>
      </c>
      <c r="F2118" t="s">
        <v>27</v>
      </c>
      <c r="G2118" t="s">
        <v>28</v>
      </c>
      <c r="H2118" t="s">
        <v>133</v>
      </c>
      <c r="I2118" t="s">
        <v>134</v>
      </c>
      <c r="J2118" t="s">
        <v>130</v>
      </c>
      <c r="K2118" t="s">
        <v>131</v>
      </c>
      <c r="L2118" t="s">
        <v>183</v>
      </c>
      <c r="M2118" t="s">
        <v>186</v>
      </c>
      <c r="N2118">
        <v>3</v>
      </c>
      <c r="O2118" s="4">
        <v>14500</v>
      </c>
      <c r="P2118" s="4">
        <v>17500</v>
      </c>
      <c r="Q2118" s="7">
        <v>0.2</v>
      </c>
      <c r="R2118" t="s">
        <v>194</v>
      </c>
      <c r="S2118">
        <v>4</v>
      </c>
      <c r="T2118">
        <v>52500</v>
      </c>
      <c r="U2118">
        <v>10500</v>
      </c>
      <c r="V2118">
        <v>42000</v>
      </c>
      <c r="W2118">
        <v>43500</v>
      </c>
      <c r="X2118">
        <v>-1500</v>
      </c>
      <c r="Y2118" s="8">
        <v>-3.5714285714285712E-2</v>
      </c>
      <c r="Z2118" t="s">
        <v>2995</v>
      </c>
      <c r="AA2118" t="str">
        <f>IF(AND(SalesCleanTable[[#This Row],[Discount %]]&gt;0, SalesCleanTable[[#This Row],[Profit]]&lt;0), "Discount loss", "Safe")</f>
        <v>Discount loss</v>
      </c>
      <c r="AB2118" s="25">
        <f>(SalesCleanTable[[#This Row],[Unit Price]] - SalesCleanTable[[#This Row],[Unit Cost]]) / SalesCleanTable[[#This Row],[Unit Price]]</f>
        <v>0.17142857142857143</v>
      </c>
      <c r="AC2118" t="str">
        <f>IF(SalesCleanTable[[#This Row],[Discount %]] &gt; SalesCleanTable[[#This Row],[Max Allowed Discount]], "Discount loss", "Safe")</f>
        <v>Discount loss</v>
      </c>
      <c r="AD2118" s="4">
        <f>SalesCleanTable[[#This Row],[Unit Price]] - SalesCleanTable[[#This Row],[Unit Cost]]</f>
        <v>3000</v>
      </c>
      <c r="AE2118" s="41">
        <f>(SalesCleanTable[[#This Row],[Unit Price]] - SalesCleanTable[[#This Row],[Unit Cost]]) / SalesCleanTable[[#This Row],[Unit Price]]</f>
        <v>0.17142857142857143</v>
      </c>
    </row>
    <row r="2119" spans="1:31">
      <c r="A2119" t="s">
        <v>2305</v>
      </c>
      <c r="B2119" s="6">
        <v>45924</v>
      </c>
      <c r="C2119" t="s">
        <v>29</v>
      </c>
      <c r="D2119" t="s">
        <v>30</v>
      </c>
      <c r="E2119" t="s">
        <v>26</v>
      </c>
      <c r="F2119" t="s">
        <v>27</v>
      </c>
      <c r="G2119" t="s">
        <v>31</v>
      </c>
      <c r="H2119" t="s">
        <v>145</v>
      </c>
      <c r="I2119" t="s">
        <v>146</v>
      </c>
      <c r="J2119" t="s">
        <v>147</v>
      </c>
      <c r="K2119" t="s">
        <v>148</v>
      </c>
      <c r="L2119" t="s">
        <v>183</v>
      </c>
      <c r="M2119" t="s">
        <v>177</v>
      </c>
      <c r="N2119">
        <v>2</v>
      </c>
      <c r="O2119" s="4">
        <v>6200</v>
      </c>
      <c r="P2119" s="4">
        <v>7900</v>
      </c>
      <c r="Q2119" s="7">
        <v>0.15</v>
      </c>
      <c r="R2119" t="s">
        <v>197</v>
      </c>
      <c r="S2119">
        <v>10</v>
      </c>
      <c r="T2119">
        <v>15800</v>
      </c>
      <c r="U2119">
        <v>2370</v>
      </c>
      <c r="V2119">
        <v>13430</v>
      </c>
      <c r="W2119">
        <v>12400</v>
      </c>
      <c r="X2119">
        <v>1030</v>
      </c>
      <c r="Y2119" s="8">
        <v>7.6693968726731204E-2</v>
      </c>
      <c r="Z2119" t="s">
        <v>2996</v>
      </c>
      <c r="AA2119" t="str">
        <f>IF(AND(SalesCleanTable[[#This Row],[Discount %]]&gt;0, SalesCleanTable[[#This Row],[Profit]]&lt;0), "Discount loss", "Safe")</f>
        <v>Safe</v>
      </c>
      <c r="AB2119" s="25">
        <f>(SalesCleanTable[[#This Row],[Unit Price]] - SalesCleanTable[[#This Row],[Unit Cost]]) / SalesCleanTable[[#This Row],[Unit Price]]</f>
        <v>0.21518987341772153</v>
      </c>
      <c r="AC2119" t="str">
        <f>IF(SalesCleanTable[[#This Row],[Discount %]] &gt; SalesCleanTable[[#This Row],[Max Allowed Discount]], "Discount loss", "Safe")</f>
        <v>Safe</v>
      </c>
      <c r="AD2119" s="4">
        <f>SalesCleanTable[[#This Row],[Unit Price]] - SalesCleanTable[[#This Row],[Unit Cost]]</f>
        <v>1700</v>
      </c>
      <c r="AE2119" s="41">
        <f>(SalesCleanTable[[#This Row],[Unit Price]] - SalesCleanTable[[#This Row],[Unit Cost]]) / SalesCleanTable[[#This Row],[Unit Price]]</f>
        <v>0.21518987341772153</v>
      </c>
    </row>
    <row r="2120" spans="1:31">
      <c r="A2120" t="s">
        <v>2306</v>
      </c>
      <c r="B2120" s="6">
        <v>45894</v>
      </c>
      <c r="C2120" t="s">
        <v>116</v>
      </c>
      <c r="D2120" t="s">
        <v>117</v>
      </c>
      <c r="E2120" t="s">
        <v>109</v>
      </c>
      <c r="F2120" t="s">
        <v>118</v>
      </c>
      <c r="G2120" t="s">
        <v>119</v>
      </c>
      <c r="H2120" t="s">
        <v>135</v>
      </c>
      <c r="I2120" t="s">
        <v>136</v>
      </c>
      <c r="J2120" t="s">
        <v>137</v>
      </c>
      <c r="K2120" t="s">
        <v>138</v>
      </c>
      <c r="L2120" t="s">
        <v>183</v>
      </c>
      <c r="M2120" t="s">
        <v>171</v>
      </c>
      <c r="N2120">
        <v>6</v>
      </c>
      <c r="O2120" s="4">
        <v>2800</v>
      </c>
      <c r="P2120" s="4">
        <v>4200</v>
      </c>
      <c r="Q2120" s="7">
        <v>0.05</v>
      </c>
      <c r="R2120" t="s">
        <v>220</v>
      </c>
      <c r="S2120">
        <v>7</v>
      </c>
      <c r="T2120">
        <v>25200</v>
      </c>
      <c r="U2120">
        <v>1260</v>
      </c>
      <c r="V2120">
        <v>23940</v>
      </c>
      <c r="W2120">
        <v>16800</v>
      </c>
      <c r="X2120">
        <v>7140</v>
      </c>
      <c r="Y2120" s="8">
        <v>0.2982456140350877</v>
      </c>
      <c r="Z2120" t="s">
        <v>2995</v>
      </c>
      <c r="AA2120" t="str">
        <f>IF(AND(SalesCleanTable[[#This Row],[Discount %]]&gt;0, SalesCleanTable[[#This Row],[Profit]]&lt;0), "Discount loss", "Safe")</f>
        <v>Safe</v>
      </c>
      <c r="AB2120" s="25">
        <f>(SalesCleanTable[[#This Row],[Unit Price]] - SalesCleanTable[[#This Row],[Unit Cost]]) / SalesCleanTable[[#This Row],[Unit Price]]</f>
        <v>0.33333333333333331</v>
      </c>
      <c r="AC2120" t="str">
        <f>IF(SalesCleanTable[[#This Row],[Discount %]] &gt; SalesCleanTable[[#This Row],[Max Allowed Discount]], "Discount loss", "Safe")</f>
        <v>Safe</v>
      </c>
      <c r="AD2120" s="4">
        <f>SalesCleanTable[[#This Row],[Unit Price]] - SalesCleanTable[[#This Row],[Unit Cost]]</f>
        <v>1400</v>
      </c>
      <c r="AE2120" s="41">
        <f>(SalesCleanTable[[#This Row],[Unit Price]] - SalesCleanTable[[#This Row],[Unit Cost]]) / SalesCleanTable[[#This Row],[Unit Price]]</f>
        <v>0.33333333333333331</v>
      </c>
    </row>
    <row r="2121" spans="1:31">
      <c r="A2121" t="s">
        <v>2307</v>
      </c>
      <c r="B2121" s="6">
        <v>45679</v>
      </c>
      <c r="C2121" t="s">
        <v>116</v>
      </c>
      <c r="D2121" t="s">
        <v>117</v>
      </c>
      <c r="E2121" t="s">
        <v>109</v>
      </c>
      <c r="F2121" t="s">
        <v>118</v>
      </c>
      <c r="G2121" t="s">
        <v>119</v>
      </c>
      <c r="H2121" t="s">
        <v>153</v>
      </c>
      <c r="I2121" t="s">
        <v>154</v>
      </c>
      <c r="J2121" t="s">
        <v>155</v>
      </c>
      <c r="K2121" t="s">
        <v>131</v>
      </c>
      <c r="L2121" t="s">
        <v>166</v>
      </c>
      <c r="M2121" t="s">
        <v>177</v>
      </c>
      <c r="N2121">
        <v>1</v>
      </c>
      <c r="O2121" s="4">
        <v>2800</v>
      </c>
      <c r="P2121" s="4">
        <v>4200</v>
      </c>
      <c r="Q2121" s="7">
        <v>0.1</v>
      </c>
      <c r="R2121" t="s">
        <v>235</v>
      </c>
      <c r="S2121">
        <v>1</v>
      </c>
      <c r="T2121">
        <v>4200</v>
      </c>
      <c r="U2121">
        <v>420</v>
      </c>
      <c r="V2121">
        <v>3780</v>
      </c>
      <c r="W2121">
        <v>2800</v>
      </c>
      <c r="X2121">
        <v>980</v>
      </c>
      <c r="Y2121" s="8">
        <v>0.25925925925925924</v>
      </c>
      <c r="Z2121" t="s">
        <v>2995</v>
      </c>
      <c r="AA2121" t="str">
        <f>IF(AND(SalesCleanTable[[#This Row],[Discount %]]&gt;0, SalesCleanTable[[#This Row],[Profit]]&lt;0), "Discount loss", "Safe")</f>
        <v>Safe</v>
      </c>
      <c r="AB2121" s="25">
        <f>(SalesCleanTable[[#This Row],[Unit Price]] - SalesCleanTable[[#This Row],[Unit Cost]]) / SalesCleanTable[[#This Row],[Unit Price]]</f>
        <v>0.33333333333333331</v>
      </c>
      <c r="AC2121" t="str">
        <f>IF(SalesCleanTable[[#This Row],[Discount %]] &gt; SalesCleanTable[[#This Row],[Max Allowed Discount]], "Discount loss", "Safe")</f>
        <v>Safe</v>
      </c>
      <c r="AD2121" s="4">
        <f>SalesCleanTable[[#This Row],[Unit Price]] - SalesCleanTable[[#This Row],[Unit Cost]]</f>
        <v>1400</v>
      </c>
      <c r="AE2121" s="41">
        <f>(SalesCleanTable[[#This Row],[Unit Price]] - SalesCleanTable[[#This Row],[Unit Cost]]) / SalesCleanTable[[#This Row],[Unit Price]]</f>
        <v>0.33333333333333331</v>
      </c>
    </row>
    <row r="2122" spans="1:31">
      <c r="A2122" t="s">
        <v>2308</v>
      </c>
      <c r="B2122" s="6">
        <v>45907</v>
      </c>
      <c r="C2122" t="s">
        <v>53</v>
      </c>
      <c r="D2122" t="s">
        <v>54</v>
      </c>
      <c r="E2122" t="s">
        <v>38</v>
      </c>
      <c r="F2122" t="s">
        <v>55</v>
      </c>
      <c r="G2122" t="s">
        <v>56</v>
      </c>
      <c r="H2122" t="s">
        <v>135</v>
      </c>
      <c r="I2122" t="s">
        <v>136</v>
      </c>
      <c r="J2122" t="s">
        <v>137</v>
      </c>
      <c r="K2122" t="s">
        <v>138</v>
      </c>
      <c r="L2122" t="s">
        <v>166</v>
      </c>
      <c r="M2122" t="s">
        <v>171</v>
      </c>
      <c r="N2122">
        <v>8</v>
      </c>
      <c r="O2122" s="4">
        <v>330</v>
      </c>
      <c r="P2122" s="4">
        <v>550</v>
      </c>
      <c r="Q2122" s="7">
        <v>0.05</v>
      </c>
      <c r="R2122" t="s">
        <v>168</v>
      </c>
      <c r="S2122">
        <v>5</v>
      </c>
      <c r="T2122">
        <v>4400</v>
      </c>
      <c r="U2122">
        <v>220</v>
      </c>
      <c r="V2122">
        <v>4180</v>
      </c>
      <c r="W2122">
        <v>2640</v>
      </c>
      <c r="X2122">
        <v>1540</v>
      </c>
      <c r="Y2122" s="8">
        <v>0.36842105263157893</v>
      </c>
      <c r="Z2122" t="s">
        <v>2996</v>
      </c>
      <c r="AA2122" t="str">
        <f>IF(AND(SalesCleanTable[[#This Row],[Discount %]]&gt;0, SalesCleanTable[[#This Row],[Profit]]&lt;0), "Discount loss", "Safe")</f>
        <v>Safe</v>
      </c>
      <c r="AB2122" s="25">
        <f>(SalesCleanTable[[#This Row],[Unit Price]] - SalesCleanTable[[#This Row],[Unit Cost]]) / SalesCleanTable[[#This Row],[Unit Price]]</f>
        <v>0.4</v>
      </c>
      <c r="AC2122" t="str">
        <f>IF(SalesCleanTable[[#This Row],[Discount %]] &gt; SalesCleanTable[[#This Row],[Max Allowed Discount]], "Discount loss", "Safe")</f>
        <v>Safe</v>
      </c>
      <c r="AD2122" s="4">
        <f>SalesCleanTable[[#This Row],[Unit Price]] - SalesCleanTable[[#This Row],[Unit Cost]]</f>
        <v>220</v>
      </c>
      <c r="AE2122" s="41">
        <f>(SalesCleanTable[[#This Row],[Unit Price]] - SalesCleanTable[[#This Row],[Unit Cost]]) / SalesCleanTable[[#This Row],[Unit Price]]</f>
        <v>0.4</v>
      </c>
    </row>
    <row r="2123" spans="1:31">
      <c r="A2123" t="s">
        <v>2309</v>
      </c>
      <c r="B2123" s="6">
        <v>45928</v>
      </c>
      <c r="C2123" t="s">
        <v>82</v>
      </c>
      <c r="D2123" t="s">
        <v>83</v>
      </c>
      <c r="E2123" t="s">
        <v>75</v>
      </c>
      <c r="F2123" t="s">
        <v>84</v>
      </c>
      <c r="G2123" t="s">
        <v>85</v>
      </c>
      <c r="H2123" t="s">
        <v>133</v>
      </c>
      <c r="I2123" t="s">
        <v>134</v>
      </c>
      <c r="J2123" t="s">
        <v>130</v>
      </c>
      <c r="K2123" t="s">
        <v>131</v>
      </c>
      <c r="L2123" t="s">
        <v>166</v>
      </c>
      <c r="M2123" t="s">
        <v>186</v>
      </c>
      <c r="N2123">
        <v>2</v>
      </c>
      <c r="O2123" s="4">
        <v>600</v>
      </c>
      <c r="P2123" s="4">
        <v>950</v>
      </c>
      <c r="Q2123" s="7">
        <v>0</v>
      </c>
      <c r="R2123" t="s">
        <v>187</v>
      </c>
      <c r="S2123">
        <v>7</v>
      </c>
      <c r="T2123">
        <v>1900</v>
      </c>
      <c r="U2123">
        <v>0</v>
      </c>
      <c r="V2123">
        <v>1900</v>
      </c>
      <c r="W2123">
        <v>1200</v>
      </c>
      <c r="X2123">
        <v>700</v>
      </c>
      <c r="Y2123" s="8">
        <v>0.36842105263157893</v>
      </c>
      <c r="Z2123" t="s">
        <v>2996</v>
      </c>
      <c r="AA2123" t="str">
        <f>IF(AND(SalesCleanTable[[#This Row],[Discount %]]&gt;0, SalesCleanTable[[#This Row],[Profit]]&lt;0), "Discount loss", "Safe")</f>
        <v>Safe</v>
      </c>
      <c r="AB2123" s="25">
        <f>(SalesCleanTable[[#This Row],[Unit Price]] - SalesCleanTable[[#This Row],[Unit Cost]]) / SalesCleanTable[[#This Row],[Unit Price]]</f>
        <v>0.36842105263157893</v>
      </c>
      <c r="AC2123" t="str">
        <f>IF(SalesCleanTable[[#This Row],[Discount %]] &gt; SalesCleanTable[[#This Row],[Max Allowed Discount]], "Discount loss", "Safe")</f>
        <v>Safe</v>
      </c>
      <c r="AD2123" s="4">
        <f>SalesCleanTable[[#This Row],[Unit Price]] - SalesCleanTable[[#This Row],[Unit Cost]]</f>
        <v>350</v>
      </c>
      <c r="AE2123" s="41">
        <f>(SalesCleanTable[[#This Row],[Unit Price]] - SalesCleanTable[[#This Row],[Unit Cost]]) / SalesCleanTable[[#This Row],[Unit Price]]</f>
        <v>0.36842105263157893</v>
      </c>
    </row>
    <row r="2124" spans="1:31">
      <c r="A2124" t="s">
        <v>2310</v>
      </c>
      <c r="B2124" s="6">
        <v>45791</v>
      </c>
      <c r="C2124" t="s">
        <v>82</v>
      </c>
      <c r="D2124" t="s">
        <v>83</v>
      </c>
      <c r="E2124" t="s">
        <v>75</v>
      </c>
      <c r="F2124" t="s">
        <v>84</v>
      </c>
      <c r="G2124" t="s">
        <v>85</v>
      </c>
      <c r="H2124" t="s">
        <v>149</v>
      </c>
      <c r="I2124" t="s">
        <v>150</v>
      </c>
      <c r="J2124" t="s">
        <v>151</v>
      </c>
      <c r="K2124" t="s">
        <v>152</v>
      </c>
      <c r="L2124" t="s">
        <v>170</v>
      </c>
      <c r="M2124" t="s">
        <v>171</v>
      </c>
      <c r="N2124">
        <v>4</v>
      </c>
      <c r="O2124" s="4">
        <v>600</v>
      </c>
      <c r="P2124" s="4">
        <v>950</v>
      </c>
      <c r="Q2124" s="7">
        <v>0.1</v>
      </c>
      <c r="R2124" t="s">
        <v>204</v>
      </c>
      <c r="S2124">
        <v>3</v>
      </c>
      <c r="T2124">
        <v>3800</v>
      </c>
      <c r="U2124">
        <v>380</v>
      </c>
      <c r="V2124">
        <v>3420</v>
      </c>
      <c r="W2124">
        <v>2400</v>
      </c>
      <c r="X2124">
        <v>1020</v>
      </c>
      <c r="Y2124" s="8">
        <v>0.2982456140350877</v>
      </c>
      <c r="Z2124" t="s">
        <v>2996</v>
      </c>
      <c r="AA2124" t="str">
        <f>IF(AND(SalesCleanTable[[#This Row],[Discount %]]&gt;0, SalesCleanTable[[#This Row],[Profit]]&lt;0), "Discount loss", "Safe")</f>
        <v>Safe</v>
      </c>
      <c r="AB2124" s="25">
        <f>(SalesCleanTable[[#This Row],[Unit Price]] - SalesCleanTable[[#This Row],[Unit Cost]]) / SalesCleanTable[[#This Row],[Unit Price]]</f>
        <v>0.36842105263157893</v>
      </c>
      <c r="AC2124" t="str">
        <f>IF(SalesCleanTable[[#This Row],[Discount %]] &gt; SalesCleanTable[[#This Row],[Max Allowed Discount]], "Discount loss", "Safe")</f>
        <v>Safe</v>
      </c>
      <c r="AD2124" s="4">
        <f>SalesCleanTable[[#This Row],[Unit Price]] - SalesCleanTable[[#This Row],[Unit Cost]]</f>
        <v>350</v>
      </c>
      <c r="AE2124" s="41">
        <f>(SalesCleanTable[[#This Row],[Unit Price]] - SalesCleanTable[[#This Row],[Unit Cost]]) / SalesCleanTable[[#This Row],[Unit Price]]</f>
        <v>0.36842105263157893</v>
      </c>
    </row>
    <row r="2125" spans="1:31">
      <c r="A2125" t="s">
        <v>2311</v>
      </c>
      <c r="B2125" s="6">
        <v>45932</v>
      </c>
      <c r="C2125" t="s">
        <v>90</v>
      </c>
      <c r="D2125" t="s">
        <v>91</v>
      </c>
      <c r="E2125" t="s">
        <v>92</v>
      </c>
      <c r="F2125" t="s">
        <v>93</v>
      </c>
      <c r="G2125" t="s">
        <v>94</v>
      </c>
      <c r="H2125" t="s">
        <v>135</v>
      </c>
      <c r="I2125" t="s">
        <v>136</v>
      </c>
      <c r="J2125" t="s">
        <v>137</v>
      </c>
      <c r="K2125" t="s">
        <v>138</v>
      </c>
      <c r="L2125" t="s">
        <v>166</v>
      </c>
      <c r="M2125" t="s">
        <v>167</v>
      </c>
      <c r="N2125">
        <v>3</v>
      </c>
      <c r="O2125" s="4">
        <v>7500</v>
      </c>
      <c r="P2125" s="4">
        <v>10500</v>
      </c>
      <c r="Q2125" s="7">
        <v>0.15</v>
      </c>
      <c r="R2125" t="s">
        <v>217</v>
      </c>
      <c r="S2125">
        <v>2</v>
      </c>
      <c r="T2125">
        <v>31500</v>
      </c>
      <c r="U2125">
        <v>4725</v>
      </c>
      <c r="V2125">
        <v>26775</v>
      </c>
      <c r="W2125">
        <v>22500</v>
      </c>
      <c r="X2125">
        <v>4275</v>
      </c>
      <c r="Y2125" s="8">
        <v>0.15966386554621848</v>
      </c>
      <c r="Z2125" t="s">
        <v>2996</v>
      </c>
      <c r="AA2125" t="str">
        <f>IF(AND(SalesCleanTable[[#This Row],[Discount %]]&gt;0, SalesCleanTable[[#This Row],[Profit]]&lt;0), "Discount loss", "Safe")</f>
        <v>Safe</v>
      </c>
      <c r="AB2125" s="25">
        <f>(SalesCleanTable[[#This Row],[Unit Price]] - SalesCleanTable[[#This Row],[Unit Cost]]) / SalesCleanTable[[#This Row],[Unit Price]]</f>
        <v>0.2857142857142857</v>
      </c>
      <c r="AC2125" t="str">
        <f>IF(SalesCleanTable[[#This Row],[Discount %]] &gt; SalesCleanTable[[#This Row],[Max Allowed Discount]], "Discount loss", "Safe")</f>
        <v>Safe</v>
      </c>
      <c r="AD2125" s="4">
        <f>SalesCleanTable[[#This Row],[Unit Price]] - SalesCleanTable[[#This Row],[Unit Cost]]</f>
        <v>3000</v>
      </c>
      <c r="AE2125" s="41">
        <f>(SalesCleanTable[[#This Row],[Unit Price]] - SalesCleanTable[[#This Row],[Unit Cost]]) / SalesCleanTable[[#This Row],[Unit Price]]</f>
        <v>0.2857142857142857</v>
      </c>
    </row>
    <row r="2126" spans="1:31">
      <c r="A2126" t="s">
        <v>2312</v>
      </c>
      <c r="B2126" s="6">
        <v>45779</v>
      </c>
      <c r="C2126" t="s">
        <v>99</v>
      </c>
      <c r="D2126" t="s">
        <v>100</v>
      </c>
      <c r="E2126" t="s">
        <v>92</v>
      </c>
      <c r="F2126" t="s">
        <v>101</v>
      </c>
      <c r="G2126" t="s">
        <v>102</v>
      </c>
      <c r="H2126" t="s">
        <v>145</v>
      </c>
      <c r="I2126" t="s">
        <v>146</v>
      </c>
      <c r="J2126" t="s">
        <v>147</v>
      </c>
      <c r="K2126" t="s">
        <v>148</v>
      </c>
      <c r="L2126" t="s">
        <v>166</v>
      </c>
      <c r="M2126" t="s">
        <v>186</v>
      </c>
      <c r="N2126">
        <v>3</v>
      </c>
      <c r="O2126" s="4">
        <v>12500</v>
      </c>
      <c r="P2126" s="4">
        <v>18500</v>
      </c>
      <c r="Q2126" s="7">
        <v>0.15</v>
      </c>
      <c r="R2126" t="s">
        <v>217</v>
      </c>
      <c r="S2126">
        <v>5</v>
      </c>
      <c r="T2126">
        <v>55500</v>
      </c>
      <c r="U2126">
        <v>8325</v>
      </c>
      <c r="V2126">
        <v>47175</v>
      </c>
      <c r="W2126">
        <v>37500</v>
      </c>
      <c r="X2126">
        <v>9675</v>
      </c>
      <c r="Y2126" s="8">
        <v>0.20508744038155802</v>
      </c>
      <c r="Z2126" t="s">
        <v>2995</v>
      </c>
      <c r="AA2126" t="str">
        <f>IF(AND(SalesCleanTable[[#This Row],[Discount %]]&gt;0, SalesCleanTable[[#This Row],[Profit]]&lt;0), "Discount loss", "Safe")</f>
        <v>Safe</v>
      </c>
      <c r="AB2126" s="25">
        <f>(SalesCleanTable[[#This Row],[Unit Price]] - SalesCleanTable[[#This Row],[Unit Cost]]) / SalesCleanTable[[#This Row],[Unit Price]]</f>
        <v>0.32432432432432434</v>
      </c>
      <c r="AC2126" t="str">
        <f>IF(SalesCleanTable[[#This Row],[Discount %]] &gt; SalesCleanTable[[#This Row],[Max Allowed Discount]], "Discount loss", "Safe")</f>
        <v>Safe</v>
      </c>
      <c r="AD2126" s="4">
        <f>SalesCleanTable[[#This Row],[Unit Price]] - SalesCleanTable[[#This Row],[Unit Cost]]</f>
        <v>6000</v>
      </c>
      <c r="AE2126" s="41">
        <f>(SalesCleanTable[[#This Row],[Unit Price]] - SalesCleanTable[[#This Row],[Unit Cost]]) / SalesCleanTable[[#This Row],[Unit Price]]</f>
        <v>0.32432432432432434</v>
      </c>
    </row>
    <row r="2127" spans="1:31">
      <c r="A2127" t="s">
        <v>2313</v>
      </c>
      <c r="B2127" s="6">
        <v>45668</v>
      </c>
      <c r="C2127" t="s">
        <v>73</v>
      </c>
      <c r="D2127" t="s">
        <v>74</v>
      </c>
      <c r="E2127" t="s">
        <v>75</v>
      </c>
      <c r="F2127" t="s">
        <v>76</v>
      </c>
      <c r="G2127" t="s">
        <v>77</v>
      </c>
      <c r="H2127" t="s">
        <v>135</v>
      </c>
      <c r="I2127" t="s">
        <v>136</v>
      </c>
      <c r="J2127" t="s">
        <v>137</v>
      </c>
      <c r="K2127" t="s">
        <v>138</v>
      </c>
      <c r="L2127" t="s">
        <v>166</v>
      </c>
      <c r="M2127" t="s">
        <v>177</v>
      </c>
      <c r="N2127">
        <v>3</v>
      </c>
      <c r="O2127" s="4">
        <v>3500</v>
      </c>
      <c r="P2127" s="4">
        <v>5200</v>
      </c>
      <c r="Q2127" s="7">
        <v>0.1</v>
      </c>
      <c r="R2127" t="s">
        <v>208</v>
      </c>
      <c r="S2127">
        <v>14</v>
      </c>
      <c r="T2127">
        <v>15600</v>
      </c>
      <c r="U2127">
        <v>1560</v>
      </c>
      <c r="V2127">
        <v>14040</v>
      </c>
      <c r="W2127">
        <v>10500</v>
      </c>
      <c r="X2127">
        <v>3540</v>
      </c>
      <c r="Y2127" s="8">
        <v>0.25213675213675213</v>
      </c>
      <c r="Z2127" t="s">
        <v>2996</v>
      </c>
      <c r="AA2127" t="str">
        <f>IF(AND(SalesCleanTable[[#This Row],[Discount %]]&gt;0, SalesCleanTable[[#This Row],[Profit]]&lt;0), "Discount loss", "Safe")</f>
        <v>Safe</v>
      </c>
      <c r="AB2127" s="25">
        <f>(SalesCleanTable[[#This Row],[Unit Price]] - SalesCleanTable[[#This Row],[Unit Cost]]) / SalesCleanTable[[#This Row],[Unit Price]]</f>
        <v>0.32692307692307693</v>
      </c>
      <c r="AC2127" t="str">
        <f>IF(SalesCleanTable[[#This Row],[Discount %]] &gt; SalesCleanTable[[#This Row],[Max Allowed Discount]], "Discount loss", "Safe")</f>
        <v>Safe</v>
      </c>
      <c r="AD2127" s="4">
        <f>SalesCleanTable[[#This Row],[Unit Price]] - SalesCleanTable[[#This Row],[Unit Cost]]</f>
        <v>1700</v>
      </c>
      <c r="AE2127" s="41">
        <f>(SalesCleanTable[[#This Row],[Unit Price]] - SalesCleanTable[[#This Row],[Unit Cost]]) / SalesCleanTable[[#This Row],[Unit Price]]</f>
        <v>0.32692307692307693</v>
      </c>
    </row>
    <row r="2128" spans="1:31">
      <c r="A2128" t="s">
        <v>2314</v>
      </c>
      <c r="B2128" s="6">
        <v>45796</v>
      </c>
      <c r="C2128" t="s">
        <v>90</v>
      </c>
      <c r="D2128" t="s">
        <v>91</v>
      </c>
      <c r="E2128" t="s">
        <v>92</v>
      </c>
      <c r="F2128" t="s">
        <v>93</v>
      </c>
      <c r="G2128" t="s">
        <v>94</v>
      </c>
      <c r="H2128" t="s">
        <v>145</v>
      </c>
      <c r="I2128" t="s">
        <v>146</v>
      </c>
      <c r="J2128" t="s">
        <v>147</v>
      </c>
      <c r="K2128" t="s">
        <v>148</v>
      </c>
      <c r="L2128" t="s">
        <v>166</v>
      </c>
      <c r="M2128" t="s">
        <v>186</v>
      </c>
      <c r="N2128">
        <v>1</v>
      </c>
      <c r="O2128" s="4">
        <v>7500</v>
      </c>
      <c r="P2128" s="4">
        <v>10500</v>
      </c>
      <c r="Q2128" s="7">
        <v>0.1</v>
      </c>
      <c r="R2128" t="s">
        <v>215</v>
      </c>
      <c r="S2128">
        <v>2</v>
      </c>
      <c r="T2128">
        <v>10500</v>
      </c>
      <c r="U2128">
        <v>1050</v>
      </c>
      <c r="V2128">
        <v>9450</v>
      </c>
      <c r="W2128">
        <v>7500</v>
      </c>
      <c r="X2128">
        <v>1950</v>
      </c>
      <c r="Y2128" s="8">
        <v>0.20634920634920634</v>
      </c>
      <c r="Z2128" t="s">
        <v>2996</v>
      </c>
      <c r="AA2128" t="str">
        <f>IF(AND(SalesCleanTable[[#This Row],[Discount %]]&gt;0, SalesCleanTable[[#This Row],[Profit]]&lt;0), "Discount loss", "Safe")</f>
        <v>Safe</v>
      </c>
      <c r="AB2128" s="25">
        <f>(SalesCleanTable[[#This Row],[Unit Price]] - SalesCleanTable[[#This Row],[Unit Cost]]) / SalesCleanTable[[#This Row],[Unit Price]]</f>
        <v>0.2857142857142857</v>
      </c>
      <c r="AC2128" t="str">
        <f>IF(SalesCleanTable[[#This Row],[Discount %]] &gt; SalesCleanTable[[#This Row],[Max Allowed Discount]], "Discount loss", "Safe")</f>
        <v>Safe</v>
      </c>
      <c r="AD2128" s="4">
        <f>SalesCleanTable[[#This Row],[Unit Price]] - SalesCleanTable[[#This Row],[Unit Cost]]</f>
        <v>3000</v>
      </c>
      <c r="AE2128" s="41">
        <f>(SalesCleanTable[[#This Row],[Unit Price]] - SalesCleanTable[[#This Row],[Unit Cost]]) / SalesCleanTable[[#This Row],[Unit Price]]</f>
        <v>0.2857142857142857</v>
      </c>
    </row>
    <row r="2129" spans="1:31">
      <c r="A2129" t="s">
        <v>2315</v>
      </c>
      <c r="B2129" s="6">
        <v>45763</v>
      </c>
      <c r="C2129" t="s">
        <v>62</v>
      </c>
      <c r="D2129" t="s">
        <v>63</v>
      </c>
      <c r="E2129" t="s">
        <v>59</v>
      </c>
      <c r="F2129" t="s">
        <v>64</v>
      </c>
      <c r="G2129" t="s">
        <v>65</v>
      </c>
      <c r="H2129" t="s">
        <v>135</v>
      </c>
      <c r="I2129" t="s">
        <v>136</v>
      </c>
      <c r="J2129" t="s">
        <v>137</v>
      </c>
      <c r="K2129" t="s">
        <v>138</v>
      </c>
      <c r="L2129" t="s">
        <v>166</v>
      </c>
      <c r="M2129" t="s">
        <v>167</v>
      </c>
      <c r="N2129">
        <v>4</v>
      </c>
      <c r="O2129" s="4">
        <v>3200</v>
      </c>
      <c r="P2129" s="4">
        <v>4500</v>
      </c>
      <c r="Q2129" s="7">
        <v>0.2</v>
      </c>
      <c r="R2129" t="s">
        <v>204</v>
      </c>
      <c r="S2129">
        <v>5</v>
      </c>
      <c r="T2129">
        <v>18000</v>
      </c>
      <c r="U2129">
        <v>3600</v>
      </c>
      <c r="V2129">
        <v>14400</v>
      </c>
      <c r="W2129">
        <v>12800</v>
      </c>
      <c r="X2129">
        <v>1600</v>
      </c>
      <c r="Y2129" s="8">
        <v>0.1111111111111111</v>
      </c>
      <c r="Z2129" t="s">
        <v>2996</v>
      </c>
      <c r="AA2129" t="str">
        <f>IF(AND(SalesCleanTable[[#This Row],[Discount %]]&gt;0, SalesCleanTable[[#This Row],[Profit]]&lt;0), "Discount loss", "Safe")</f>
        <v>Safe</v>
      </c>
      <c r="AB2129" s="25">
        <f>(SalesCleanTable[[#This Row],[Unit Price]] - SalesCleanTable[[#This Row],[Unit Cost]]) / SalesCleanTable[[#This Row],[Unit Price]]</f>
        <v>0.28888888888888886</v>
      </c>
      <c r="AC2129" t="str">
        <f>IF(SalesCleanTable[[#This Row],[Discount %]] &gt; SalesCleanTable[[#This Row],[Max Allowed Discount]], "Discount loss", "Safe")</f>
        <v>Safe</v>
      </c>
      <c r="AD2129" s="4">
        <f>SalesCleanTable[[#This Row],[Unit Price]] - SalesCleanTable[[#This Row],[Unit Cost]]</f>
        <v>1300</v>
      </c>
      <c r="AE2129" s="41">
        <f>(SalesCleanTable[[#This Row],[Unit Price]] - SalesCleanTable[[#This Row],[Unit Cost]]) / SalesCleanTable[[#This Row],[Unit Price]]</f>
        <v>0.28888888888888886</v>
      </c>
    </row>
    <row r="2130" spans="1:31">
      <c r="A2130" t="s">
        <v>2316</v>
      </c>
      <c r="B2130" s="6">
        <v>45888</v>
      </c>
      <c r="C2130" t="s">
        <v>24</v>
      </c>
      <c r="D2130" t="s">
        <v>25</v>
      </c>
      <c r="E2130" t="s">
        <v>26</v>
      </c>
      <c r="F2130" t="s">
        <v>27</v>
      </c>
      <c r="G2130" t="s">
        <v>28</v>
      </c>
      <c r="H2130" t="s">
        <v>135</v>
      </c>
      <c r="I2130" t="s">
        <v>136</v>
      </c>
      <c r="J2130" t="s">
        <v>137</v>
      </c>
      <c r="K2130" t="s">
        <v>138</v>
      </c>
      <c r="L2130" t="s">
        <v>166</v>
      </c>
      <c r="M2130" t="s">
        <v>171</v>
      </c>
      <c r="N2130">
        <v>2</v>
      </c>
      <c r="O2130" s="4">
        <v>14500</v>
      </c>
      <c r="P2130" s="4">
        <v>17500</v>
      </c>
      <c r="Q2130" s="7">
        <v>0</v>
      </c>
      <c r="R2130" t="s">
        <v>194</v>
      </c>
      <c r="S2130">
        <v>4</v>
      </c>
      <c r="T2130">
        <v>35000</v>
      </c>
      <c r="U2130">
        <v>0</v>
      </c>
      <c r="V2130">
        <v>35000</v>
      </c>
      <c r="W2130">
        <v>29000</v>
      </c>
      <c r="X2130">
        <v>6000</v>
      </c>
      <c r="Y2130" s="8">
        <v>0.17142857142857143</v>
      </c>
      <c r="Z2130" t="s">
        <v>2995</v>
      </c>
      <c r="AA2130" t="str">
        <f>IF(AND(SalesCleanTable[[#This Row],[Discount %]]&gt;0, SalesCleanTable[[#This Row],[Profit]]&lt;0), "Discount loss", "Safe")</f>
        <v>Safe</v>
      </c>
      <c r="AB2130" s="25">
        <f>(SalesCleanTable[[#This Row],[Unit Price]] - SalesCleanTable[[#This Row],[Unit Cost]]) / SalesCleanTable[[#This Row],[Unit Price]]</f>
        <v>0.17142857142857143</v>
      </c>
      <c r="AC2130" t="str">
        <f>IF(SalesCleanTable[[#This Row],[Discount %]] &gt; SalesCleanTable[[#This Row],[Max Allowed Discount]], "Discount loss", "Safe")</f>
        <v>Safe</v>
      </c>
      <c r="AD2130" s="4">
        <f>SalesCleanTable[[#This Row],[Unit Price]] - SalesCleanTable[[#This Row],[Unit Cost]]</f>
        <v>3000</v>
      </c>
      <c r="AE2130" s="41">
        <f>(SalesCleanTable[[#This Row],[Unit Price]] - SalesCleanTable[[#This Row],[Unit Cost]]) / SalesCleanTable[[#This Row],[Unit Price]]</f>
        <v>0.17142857142857143</v>
      </c>
    </row>
    <row r="2131" spans="1:31">
      <c r="A2131" t="s">
        <v>2317</v>
      </c>
      <c r="B2131" s="6">
        <v>45984</v>
      </c>
      <c r="C2131" t="s">
        <v>103</v>
      </c>
      <c r="D2131" t="s">
        <v>104</v>
      </c>
      <c r="E2131" t="s">
        <v>92</v>
      </c>
      <c r="F2131" t="s">
        <v>105</v>
      </c>
      <c r="G2131" t="s">
        <v>106</v>
      </c>
      <c r="H2131" t="s">
        <v>153</v>
      </c>
      <c r="I2131" t="s">
        <v>154</v>
      </c>
      <c r="J2131" t="s">
        <v>155</v>
      </c>
      <c r="K2131" t="s">
        <v>131</v>
      </c>
      <c r="L2131" t="s">
        <v>166</v>
      </c>
      <c r="M2131" t="s">
        <v>167</v>
      </c>
      <c r="N2131">
        <v>1</v>
      </c>
      <c r="O2131" s="4">
        <v>1500</v>
      </c>
      <c r="P2131" s="4">
        <v>2500</v>
      </c>
      <c r="Q2131" s="7">
        <v>0</v>
      </c>
      <c r="R2131" t="s">
        <v>181</v>
      </c>
      <c r="S2131">
        <v>1</v>
      </c>
      <c r="T2131">
        <v>2500</v>
      </c>
      <c r="U2131">
        <v>0</v>
      </c>
      <c r="V2131">
        <v>2500</v>
      </c>
      <c r="W2131">
        <v>1500</v>
      </c>
      <c r="X2131">
        <v>1000</v>
      </c>
      <c r="Y2131" s="8">
        <v>0.4</v>
      </c>
      <c r="Z2131" t="s">
        <v>2996</v>
      </c>
      <c r="AA2131" t="str">
        <f>IF(AND(SalesCleanTable[[#This Row],[Discount %]]&gt;0, SalesCleanTable[[#This Row],[Profit]]&lt;0), "Discount loss", "Safe")</f>
        <v>Safe</v>
      </c>
      <c r="AB2131" s="25">
        <f>(SalesCleanTable[[#This Row],[Unit Price]] - SalesCleanTable[[#This Row],[Unit Cost]]) / SalesCleanTable[[#This Row],[Unit Price]]</f>
        <v>0.4</v>
      </c>
      <c r="AC2131" t="str">
        <f>IF(SalesCleanTable[[#This Row],[Discount %]] &gt; SalesCleanTable[[#This Row],[Max Allowed Discount]], "Discount loss", "Safe")</f>
        <v>Safe</v>
      </c>
      <c r="AD2131" s="4">
        <f>SalesCleanTable[[#This Row],[Unit Price]] - SalesCleanTable[[#This Row],[Unit Cost]]</f>
        <v>1000</v>
      </c>
      <c r="AE2131" s="41">
        <f>(SalesCleanTable[[#This Row],[Unit Price]] - SalesCleanTable[[#This Row],[Unit Cost]]) / SalesCleanTable[[#This Row],[Unit Price]]</f>
        <v>0.4</v>
      </c>
    </row>
    <row r="2132" spans="1:31">
      <c r="A2132" t="s">
        <v>2318</v>
      </c>
      <c r="B2132" s="6">
        <v>45692</v>
      </c>
      <c r="C2132" t="s">
        <v>78</v>
      </c>
      <c r="D2132" t="s">
        <v>79</v>
      </c>
      <c r="E2132" t="s">
        <v>75</v>
      </c>
      <c r="F2132" t="s">
        <v>80</v>
      </c>
      <c r="G2132" t="s">
        <v>81</v>
      </c>
      <c r="H2132" t="s">
        <v>133</v>
      </c>
      <c r="I2132" t="s">
        <v>134</v>
      </c>
      <c r="J2132" t="s">
        <v>130</v>
      </c>
      <c r="K2132" t="s">
        <v>131</v>
      </c>
      <c r="L2132" t="s">
        <v>183</v>
      </c>
      <c r="M2132" t="s">
        <v>171</v>
      </c>
      <c r="N2132">
        <v>6</v>
      </c>
      <c r="O2132" s="4">
        <v>1200</v>
      </c>
      <c r="P2132" s="4">
        <v>1900</v>
      </c>
      <c r="Q2132" s="7">
        <v>0.15</v>
      </c>
      <c r="R2132" t="s">
        <v>208</v>
      </c>
      <c r="S2132">
        <v>8</v>
      </c>
      <c r="T2132">
        <v>11400</v>
      </c>
      <c r="U2132">
        <v>1710</v>
      </c>
      <c r="V2132">
        <v>9690</v>
      </c>
      <c r="W2132">
        <v>7200</v>
      </c>
      <c r="X2132">
        <v>2490</v>
      </c>
      <c r="Y2132" s="8">
        <v>0.25696594427244585</v>
      </c>
      <c r="Z2132" t="s">
        <v>2996</v>
      </c>
      <c r="AA2132" t="str">
        <f>IF(AND(SalesCleanTable[[#This Row],[Discount %]]&gt;0, SalesCleanTable[[#This Row],[Profit]]&lt;0), "Discount loss", "Safe")</f>
        <v>Safe</v>
      </c>
      <c r="AB2132" s="25">
        <f>(SalesCleanTable[[#This Row],[Unit Price]] - SalesCleanTable[[#This Row],[Unit Cost]]) / SalesCleanTable[[#This Row],[Unit Price]]</f>
        <v>0.36842105263157893</v>
      </c>
      <c r="AC2132" t="str">
        <f>IF(SalesCleanTable[[#This Row],[Discount %]] &gt; SalesCleanTable[[#This Row],[Max Allowed Discount]], "Discount loss", "Safe")</f>
        <v>Safe</v>
      </c>
      <c r="AD2132" s="4">
        <f>SalesCleanTable[[#This Row],[Unit Price]] - SalesCleanTable[[#This Row],[Unit Cost]]</f>
        <v>700</v>
      </c>
      <c r="AE2132" s="41">
        <f>(SalesCleanTable[[#This Row],[Unit Price]] - SalesCleanTable[[#This Row],[Unit Cost]]) / SalesCleanTable[[#This Row],[Unit Price]]</f>
        <v>0.36842105263157893</v>
      </c>
    </row>
    <row r="2133" spans="1:31">
      <c r="A2133" t="s">
        <v>2319</v>
      </c>
      <c r="B2133" s="6">
        <v>45661</v>
      </c>
      <c r="C2133" t="s">
        <v>45</v>
      </c>
      <c r="D2133" t="s">
        <v>46</v>
      </c>
      <c r="E2133" t="s">
        <v>38</v>
      </c>
      <c r="F2133" t="s">
        <v>47</v>
      </c>
      <c r="G2133" t="s">
        <v>48</v>
      </c>
      <c r="H2133" t="s">
        <v>135</v>
      </c>
      <c r="I2133" t="s">
        <v>136</v>
      </c>
      <c r="J2133" t="s">
        <v>137</v>
      </c>
      <c r="K2133" t="s">
        <v>138</v>
      </c>
      <c r="L2133" t="s">
        <v>166</v>
      </c>
      <c r="M2133" t="s">
        <v>171</v>
      </c>
      <c r="N2133">
        <v>1</v>
      </c>
      <c r="O2133" s="4">
        <v>230</v>
      </c>
      <c r="P2133" s="4">
        <v>400</v>
      </c>
      <c r="Q2133" s="7">
        <v>0.1</v>
      </c>
      <c r="R2133" t="s">
        <v>168</v>
      </c>
      <c r="S2133">
        <v>5</v>
      </c>
      <c r="T2133">
        <v>400</v>
      </c>
      <c r="U2133">
        <v>40</v>
      </c>
      <c r="V2133">
        <v>360</v>
      </c>
      <c r="W2133">
        <v>230</v>
      </c>
      <c r="X2133">
        <v>130</v>
      </c>
      <c r="Y2133" s="8">
        <v>0.3611111111111111</v>
      </c>
      <c r="Z2133" t="s">
        <v>2995</v>
      </c>
      <c r="AA2133" t="str">
        <f>IF(AND(SalesCleanTable[[#This Row],[Discount %]]&gt;0, SalesCleanTable[[#This Row],[Profit]]&lt;0), "Discount loss", "Safe")</f>
        <v>Safe</v>
      </c>
      <c r="AB2133" s="25">
        <f>(SalesCleanTable[[#This Row],[Unit Price]] - SalesCleanTable[[#This Row],[Unit Cost]]) / SalesCleanTable[[#This Row],[Unit Price]]</f>
        <v>0.42499999999999999</v>
      </c>
      <c r="AC2133" t="str">
        <f>IF(SalesCleanTable[[#This Row],[Discount %]] &gt; SalesCleanTable[[#This Row],[Max Allowed Discount]], "Discount loss", "Safe")</f>
        <v>Safe</v>
      </c>
      <c r="AD2133" s="4">
        <f>SalesCleanTable[[#This Row],[Unit Price]] - SalesCleanTable[[#This Row],[Unit Cost]]</f>
        <v>170</v>
      </c>
      <c r="AE2133" s="41">
        <f>(SalesCleanTable[[#This Row],[Unit Price]] - SalesCleanTable[[#This Row],[Unit Cost]]) / SalesCleanTable[[#This Row],[Unit Price]]</f>
        <v>0.42499999999999999</v>
      </c>
    </row>
    <row r="2134" spans="1:31">
      <c r="A2134" t="s">
        <v>2320</v>
      </c>
      <c r="B2134" s="6">
        <v>45768</v>
      </c>
      <c r="C2134" t="s">
        <v>36</v>
      </c>
      <c r="D2134" t="s">
        <v>37</v>
      </c>
      <c r="E2134" t="s">
        <v>38</v>
      </c>
      <c r="F2134" t="s">
        <v>39</v>
      </c>
      <c r="G2134" t="s">
        <v>40</v>
      </c>
      <c r="H2134" t="s">
        <v>135</v>
      </c>
      <c r="I2134" t="s">
        <v>136</v>
      </c>
      <c r="J2134" t="s">
        <v>137</v>
      </c>
      <c r="K2134" t="s">
        <v>138</v>
      </c>
      <c r="L2134" t="s">
        <v>183</v>
      </c>
      <c r="M2134" t="s">
        <v>177</v>
      </c>
      <c r="N2134">
        <v>5</v>
      </c>
      <c r="O2134" s="4">
        <v>1650</v>
      </c>
      <c r="P2134" s="4">
        <v>2200</v>
      </c>
      <c r="Q2134" s="7">
        <v>0.15</v>
      </c>
      <c r="R2134" t="s">
        <v>175</v>
      </c>
      <c r="S2134">
        <v>12</v>
      </c>
      <c r="T2134">
        <v>11000</v>
      </c>
      <c r="U2134">
        <v>1650</v>
      </c>
      <c r="V2134">
        <v>9350</v>
      </c>
      <c r="W2134">
        <v>8250</v>
      </c>
      <c r="X2134">
        <v>1100</v>
      </c>
      <c r="Y2134" s="8">
        <v>0.11764705882352941</v>
      </c>
      <c r="Z2134" t="s">
        <v>2995</v>
      </c>
      <c r="AA2134" t="str">
        <f>IF(AND(SalesCleanTable[[#This Row],[Discount %]]&gt;0, SalesCleanTable[[#This Row],[Profit]]&lt;0), "Discount loss", "Safe")</f>
        <v>Safe</v>
      </c>
      <c r="AB2134" s="25">
        <f>(SalesCleanTable[[#This Row],[Unit Price]] - SalesCleanTable[[#This Row],[Unit Cost]]) / SalesCleanTable[[#This Row],[Unit Price]]</f>
        <v>0.25</v>
      </c>
      <c r="AC2134" t="str">
        <f>IF(SalesCleanTable[[#This Row],[Discount %]] &gt; SalesCleanTable[[#This Row],[Max Allowed Discount]], "Discount loss", "Safe")</f>
        <v>Safe</v>
      </c>
      <c r="AD2134" s="4">
        <f>SalesCleanTable[[#This Row],[Unit Price]] - SalesCleanTable[[#This Row],[Unit Cost]]</f>
        <v>550</v>
      </c>
      <c r="AE2134" s="41">
        <f>(SalesCleanTable[[#This Row],[Unit Price]] - SalesCleanTable[[#This Row],[Unit Cost]]) / SalesCleanTable[[#This Row],[Unit Price]]</f>
        <v>0.25</v>
      </c>
    </row>
    <row r="2135" spans="1:31">
      <c r="A2135" t="s">
        <v>2321</v>
      </c>
      <c r="B2135" s="6">
        <v>45708</v>
      </c>
      <c r="C2135" t="s">
        <v>116</v>
      </c>
      <c r="D2135" t="s">
        <v>117</v>
      </c>
      <c r="E2135" t="s">
        <v>109</v>
      </c>
      <c r="F2135" t="s">
        <v>118</v>
      </c>
      <c r="G2135" t="s">
        <v>119</v>
      </c>
      <c r="H2135" t="s">
        <v>153</v>
      </c>
      <c r="I2135" t="s">
        <v>154</v>
      </c>
      <c r="J2135" t="s">
        <v>155</v>
      </c>
      <c r="K2135" t="s">
        <v>131</v>
      </c>
      <c r="L2135" t="s">
        <v>170</v>
      </c>
      <c r="M2135" t="s">
        <v>177</v>
      </c>
      <c r="N2135">
        <v>1</v>
      </c>
      <c r="O2135" s="4">
        <v>2800</v>
      </c>
      <c r="P2135" s="4">
        <v>4200</v>
      </c>
      <c r="Q2135" s="7">
        <v>0</v>
      </c>
      <c r="R2135" t="s">
        <v>184</v>
      </c>
      <c r="S2135">
        <v>12</v>
      </c>
      <c r="T2135">
        <v>4200</v>
      </c>
      <c r="U2135">
        <v>0</v>
      </c>
      <c r="V2135">
        <v>4200</v>
      </c>
      <c r="W2135">
        <v>2800</v>
      </c>
      <c r="X2135">
        <v>1400</v>
      </c>
      <c r="Y2135" s="8">
        <v>0.33333333333333331</v>
      </c>
      <c r="Z2135" t="s">
        <v>2995</v>
      </c>
      <c r="AA2135" t="str">
        <f>IF(AND(SalesCleanTable[[#This Row],[Discount %]]&gt;0, SalesCleanTable[[#This Row],[Profit]]&lt;0), "Discount loss", "Safe")</f>
        <v>Safe</v>
      </c>
      <c r="AB2135" s="25">
        <f>(SalesCleanTable[[#This Row],[Unit Price]] - SalesCleanTable[[#This Row],[Unit Cost]]) / SalesCleanTable[[#This Row],[Unit Price]]</f>
        <v>0.33333333333333331</v>
      </c>
      <c r="AC2135" t="str">
        <f>IF(SalesCleanTable[[#This Row],[Discount %]] &gt; SalesCleanTable[[#This Row],[Max Allowed Discount]], "Discount loss", "Safe")</f>
        <v>Safe</v>
      </c>
      <c r="AD2135" s="4">
        <f>SalesCleanTable[[#This Row],[Unit Price]] - SalesCleanTable[[#This Row],[Unit Cost]]</f>
        <v>1400</v>
      </c>
      <c r="AE2135" s="41">
        <f>(SalesCleanTable[[#This Row],[Unit Price]] - SalesCleanTable[[#This Row],[Unit Cost]]) / SalesCleanTable[[#This Row],[Unit Price]]</f>
        <v>0.33333333333333331</v>
      </c>
    </row>
    <row r="2136" spans="1:31">
      <c r="A2136" t="s">
        <v>2322</v>
      </c>
      <c r="B2136" s="6">
        <v>45735</v>
      </c>
      <c r="C2136" t="s">
        <v>82</v>
      </c>
      <c r="D2136" t="s">
        <v>83</v>
      </c>
      <c r="E2136" t="s">
        <v>75</v>
      </c>
      <c r="F2136" t="s">
        <v>84</v>
      </c>
      <c r="G2136" t="s">
        <v>85</v>
      </c>
      <c r="H2136" t="s">
        <v>153</v>
      </c>
      <c r="I2136" t="s">
        <v>154</v>
      </c>
      <c r="J2136" t="s">
        <v>155</v>
      </c>
      <c r="K2136" t="s">
        <v>131</v>
      </c>
      <c r="L2136" t="s">
        <v>166</v>
      </c>
      <c r="M2136" t="s">
        <v>177</v>
      </c>
      <c r="N2136">
        <v>6</v>
      </c>
      <c r="O2136" s="4">
        <v>600</v>
      </c>
      <c r="P2136" s="4">
        <v>950</v>
      </c>
      <c r="Q2136" s="7">
        <v>0.1</v>
      </c>
      <c r="R2136" t="s">
        <v>187</v>
      </c>
      <c r="S2136">
        <v>8</v>
      </c>
      <c r="T2136">
        <v>5700</v>
      </c>
      <c r="U2136">
        <v>570</v>
      </c>
      <c r="V2136">
        <v>5130</v>
      </c>
      <c r="W2136">
        <v>3600</v>
      </c>
      <c r="X2136">
        <v>1530</v>
      </c>
      <c r="Y2136" s="8">
        <v>0.2982456140350877</v>
      </c>
      <c r="Z2136" t="s">
        <v>2996</v>
      </c>
      <c r="AA2136" t="str">
        <f>IF(AND(SalesCleanTable[[#This Row],[Discount %]]&gt;0, SalesCleanTable[[#This Row],[Profit]]&lt;0), "Discount loss", "Safe")</f>
        <v>Safe</v>
      </c>
      <c r="AB2136" s="25">
        <f>(SalesCleanTable[[#This Row],[Unit Price]] - SalesCleanTable[[#This Row],[Unit Cost]]) / SalesCleanTable[[#This Row],[Unit Price]]</f>
        <v>0.36842105263157893</v>
      </c>
      <c r="AC2136" t="str">
        <f>IF(SalesCleanTable[[#This Row],[Discount %]] &gt; SalesCleanTable[[#This Row],[Max Allowed Discount]], "Discount loss", "Safe")</f>
        <v>Safe</v>
      </c>
      <c r="AD2136" s="4">
        <f>SalesCleanTable[[#This Row],[Unit Price]] - SalesCleanTable[[#This Row],[Unit Cost]]</f>
        <v>350</v>
      </c>
      <c r="AE2136" s="41">
        <f>(SalesCleanTable[[#This Row],[Unit Price]] - SalesCleanTable[[#This Row],[Unit Cost]]) / SalesCleanTable[[#This Row],[Unit Price]]</f>
        <v>0.36842105263157893</v>
      </c>
    </row>
    <row r="2137" spans="1:31">
      <c r="A2137" t="s">
        <v>2323</v>
      </c>
      <c r="B2137" s="6">
        <v>45731</v>
      </c>
      <c r="C2137" t="s">
        <v>36</v>
      </c>
      <c r="D2137" t="s">
        <v>37</v>
      </c>
      <c r="E2137" t="s">
        <v>38</v>
      </c>
      <c r="F2137" t="s">
        <v>39</v>
      </c>
      <c r="G2137" t="s">
        <v>40</v>
      </c>
      <c r="H2137" t="s">
        <v>128</v>
      </c>
      <c r="I2137" t="s">
        <v>129</v>
      </c>
      <c r="J2137" t="s">
        <v>130</v>
      </c>
      <c r="K2137" t="s">
        <v>131</v>
      </c>
      <c r="L2137" t="s">
        <v>183</v>
      </c>
      <c r="M2137" t="s">
        <v>177</v>
      </c>
      <c r="N2137">
        <v>5</v>
      </c>
      <c r="O2137" s="4">
        <v>1650</v>
      </c>
      <c r="P2137" s="4">
        <v>2200</v>
      </c>
      <c r="Q2137" s="7">
        <v>0.1</v>
      </c>
      <c r="R2137" t="s">
        <v>178</v>
      </c>
      <c r="S2137">
        <v>2</v>
      </c>
      <c r="T2137">
        <v>11000</v>
      </c>
      <c r="U2137">
        <v>1100</v>
      </c>
      <c r="V2137">
        <v>9900</v>
      </c>
      <c r="W2137">
        <v>8250</v>
      </c>
      <c r="X2137">
        <v>1650</v>
      </c>
      <c r="Y2137" s="8">
        <v>0.16666666666666666</v>
      </c>
      <c r="Z2137" t="s">
        <v>2995</v>
      </c>
      <c r="AA2137" t="str">
        <f>IF(AND(SalesCleanTable[[#This Row],[Discount %]]&gt;0, SalesCleanTable[[#This Row],[Profit]]&lt;0), "Discount loss", "Safe")</f>
        <v>Safe</v>
      </c>
      <c r="AB2137" s="25">
        <f>(SalesCleanTable[[#This Row],[Unit Price]] - SalesCleanTable[[#This Row],[Unit Cost]]) / SalesCleanTable[[#This Row],[Unit Price]]</f>
        <v>0.25</v>
      </c>
      <c r="AC2137" t="str">
        <f>IF(SalesCleanTable[[#This Row],[Discount %]] &gt; SalesCleanTable[[#This Row],[Max Allowed Discount]], "Discount loss", "Safe")</f>
        <v>Safe</v>
      </c>
      <c r="AD2137" s="4">
        <f>SalesCleanTable[[#This Row],[Unit Price]] - SalesCleanTable[[#This Row],[Unit Cost]]</f>
        <v>550</v>
      </c>
      <c r="AE2137" s="41">
        <f>(SalesCleanTable[[#This Row],[Unit Price]] - SalesCleanTable[[#This Row],[Unit Cost]]) / SalesCleanTable[[#This Row],[Unit Price]]</f>
        <v>0.25</v>
      </c>
    </row>
    <row r="2138" spans="1:31">
      <c r="A2138" t="s">
        <v>2324</v>
      </c>
      <c r="B2138" s="6">
        <v>45976</v>
      </c>
      <c r="C2138" t="s">
        <v>24</v>
      </c>
      <c r="D2138" t="s">
        <v>25</v>
      </c>
      <c r="E2138" t="s">
        <v>26</v>
      </c>
      <c r="F2138" t="s">
        <v>27</v>
      </c>
      <c r="G2138" t="s">
        <v>28</v>
      </c>
      <c r="H2138" t="s">
        <v>133</v>
      </c>
      <c r="I2138" t="s">
        <v>134</v>
      </c>
      <c r="J2138" t="s">
        <v>130</v>
      </c>
      <c r="K2138" t="s">
        <v>131</v>
      </c>
      <c r="L2138" t="s">
        <v>183</v>
      </c>
      <c r="M2138" t="s">
        <v>167</v>
      </c>
      <c r="N2138">
        <v>2</v>
      </c>
      <c r="O2138" s="4">
        <v>14500</v>
      </c>
      <c r="P2138" s="4">
        <v>17500</v>
      </c>
      <c r="Q2138" s="7">
        <v>0.05</v>
      </c>
      <c r="R2138" t="s">
        <v>194</v>
      </c>
      <c r="S2138">
        <v>1</v>
      </c>
      <c r="T2138">
        <v>35000</v>
      </c>
      <c r="U2138">
        <v>1750</v>
      </c>
      <c r="V2138">
        <v>33250</v>
      </c>
      <c r="W2138">
        <v>29000</v>
      </c>
      <c r="X2138">
        <v>4250</v>
      </c>
      <c r="Y2138" s="8">
        <v>0.12781954887218044</v>
      </c>
      <c r="Z2138" t="s">
        <v>2995</v>
      </c>
      <c r="AA2138" t="str">
        <f>IF(AND(SalesCleanTable[[#This Row],[Discount %]]&gt;0, SalesCleanTable[[#This Row],[Profit]]&lt;0), "Discount loss", "Safe")</f>
        <v>Safe</v>
      </c>
      <c r="AB2138" s="25">
        <f>(SalesCleanTable[[#This Row],[Unit Price]] - SalesCleanTable[[#This Row],[Unit Cost]]) / SalesCleanTable[[#This Row],[Unit Price]]</f>
        <v>0.17142857142857143</v>
      </c>
      <c r="AC2138" t="str">
        <f>IF(SalesCleanTable[[#This Row],[Discount %]] &gt; SalesCleanTable[[#This Row],[Max Allowed Discount]], "Discount loss", "Safe")</f>
        <v>Safe</v>
      </c>
      <c r="AD2138" s="4">
        <f>SalesCleanTable[[#This Row],[Unit Price]] - SalesCleanTable[[#This Row],[Unit Cost]]</f>
        <v>3000</v>
      </c>
      <c r="AE2138" s="41">
        <f>(SalesCleanTable[[#This Row],[Unit Price]] - SalesCleanTable[[#This Row],[Unit Cost]]) / SalesCleanTable[[#This Row],[Unit Price]]</f>
        <v>0.17142857142857143</v>
      </c>
    </row>
    <row r="2139" spans="1:31">
      <c r="A2139" t="s">
        <v>2325</v>
      </c>
      <c r="B2139" s="6">
        <v>45862</v>
      </c>
      <c r="C2139" t="s">
        <v>53</v>
      </c>
      <c r="D2139" t="s">
        <v>54</v>
      </c>
      <c r="E2139" t="s">
        <v>38</v>
      </c>
      <c r="F2139" t="s">
        <v>55</v>
      </c>
      <c r="G2139" t="s">
        <v>56</v>
      </c>
      <c r="H2139" t="s">
        <v>141</v>
      </c>
      <c r="I2139" t="s">
        <v>142</v>
      </c>
      <c r="J2139" t="s">
        <v>143</v>
      </c>
      <c r="K2139" t="s">
        <v>144</v>
      </c>
      <c r="L2139" t="s">
        <v>183</v>
      </c>
      <c r="M2139" t="s">
        <v>177</v>
      </c>
      <c r="N2139">
        <v>1</v>
      </c>
      <c r="O2139" s="4">
        <v>330</v>
      </c>
      <c r="P2139" s="4">
        <v>550</v>
      </c>
      <c r="Q2139" s="7">
        <v>0.2</v>
      </c>
      <c r="R2139" t="s">
        <v>175</v>
      </c>
      <c r="S2139">
        <v>13</v>
      </c>
      <c r="T2139">
        <v>550</v>
      </c>
      <c r="U2139">
        <v>110</v>
      </c>
      <c r="V2139">
        <v>440</v>
      </c>
      <c r="W2139">
        <v>330</v>
      </c>
      <c r="X2139">
        <v>110</v>
      </c>
      <c r="Y2139" s="8">
        <v>0.25</v>
      </c>
      <c r="Z2139" t="s">
        <v>2996</v>
      </c>
      <c r="AA2139" t="str">
        <f>IF(AND(SalesCleanTable[[#This Row],[Discount %]]&gt;0, SalesCleanTable[[#This Row],[Profit]]&lt;0), "Discount loss", "Safe")</f>
        <v>Safe</v>
      </c>
      <c r="AB2139" s="25">
        <f>(SalesCleanTable[[#This Row],[Unit Price]] - SalesCleanTable[[#This Row],[Unit Cost]]) / SalesCleanTable[[#This Row],[Unit Price]]</f>
        <v>0.4</v>
      </c>
      <c r="AC2139" t="str">
        <f>IF(SalesCleanTable[[#This Row],[Discount %]] &gt; SalesCleanTable[[#This Row],[Max Allowed Discount]], "Discount loss", "Safe")</f>
        <v>Safe</v>
      </c>
      <c r="AD2139" s="4">
        <f>SalesCleanTable[[#This Row],[Unit Price]] - SalesCleanTable[[#This Row],[Unit Cost]]</f>
        <v>220</v>
      </c>
      <c r="AE2139" s="41">
        <f>(SalesCleanTable[[#This Row],[Unit Price]] - SalesCleanTable[[#This Row],[Unit Cost]]) / SalesCleanTable[[#This Row],[Unit Price]]</f>
        <v>0.4</v>
      </c>
    </row>
    <row r="2140" spans="1:31">
      <c r="A2140" t="s">
        <v>2326</v>
      </c>
      <c r="B2140" s="6">
        <v>45858</v>
      </c>
      <c r="C2140" t="s">
        <v>107</v>
      </c>
      <c r="D2140" t="s">
        <v>108</v>
      </c>
      <c r="E2140" t="s">
        <v>109</v>
      </c>
      <c r="F2140" t="s">
        <v>110</v>
      </c>
      <c r="G2140" t="s">
        <v>111</v>
      </c>
      <c r="H2140" t="s">
        <v>135</v>
      </c>
      <c r="I2140" t="s">
        <v>136</v>
      </c>
      <c r="J2140" t="s">
        <v>137</v>
      </c>
      <c r="K2140" t="s">
        <v>138</v>
      </c>
      <c r="L2140" t="s">
        <v>166</v>
      </c>
      <c r="M2140" t="s">
        <v>171</v>
      </c>
      <c r="N2140">
        <v>-1</v>
      </c>
      <c r="O2140" s="4">
        <v>5200</v>
      </c>
      <c r="P2140" s="4">
        <v>7000</v>
      </c>
      <c r="Q2140" s="7">
        <v>0.15</v>
      </c>
      <c r="R2140" t="s">
        <v>184</v>
      </c>
      <c r="S2140">
        <v>1</v>
      </c>
      <c r="T2140">
        <v>-7000</v>
      </c>
      <c r="U2140">
        <v>-1050</v>
      </c>
      <c r="V2140">
        <v>-5950</v>
      </c>
      <c r="W2140">
        <v>-5200</v>
      </c>
      <c r="X2140">
        <v>-750</v>
      </c>
      <c r="Y2140" s="8">
        <v>0.12605042016806722</v>
      </c>
      <c r="Z2140" t="s">
        <v>2997</v>
      </c>
      <c r="AA2140" t="str">
        <f>IF(AND(SalesCleanTable[[#This Row],[Discount %]]&gt;0, SalesCleanTable[[#This Row],[Profit]]&lt;0), "Discount loss", "Safe")</f>
        <v>Discount loss</v>
      </c>
      <c r="AB2140" s="25">
        <f>(SalesCleanTable[[#This Row],[Unit Price]] - SalesCleanTable[[#This Row],[Unit Cost]]) / SalesCleanTable[[#This Row],[Unit Price]]</f>
        <v>0.25714285714285712</v>
      </c>
      <c r="AC2140" t="str">
        <f>IF(SalesCleanTable[[#This Row],[Discount %]] &gt; SalesCleanTable[[#This Row],[Max Allowed Discount]], "Discount loss", "Safe")</f>
        <v>Safe</v>
      </c>
      <c r="AD2140" s="4">
        <f>SalesCleanTable[[#This Row],[Unit Price]] - SalesCleanTable[[#This Row],[Unit Cost]]</f>
        <v>1800</v>
      </c>
      <c r="AE2140" s="41">
        <f>(SalesCleanTable[[#This Row],[Unit Price]] - SalesCleanTable[[#This Row],[Unit Cost]]) / SalesCleanTable[[#This Row],[Unit Price]]</f>
        <v>0.25714285714285712</v>
      </c>
    </row>
    <row r="2141" spans="1:31">
      <c r="A2141" t="s">
        <v>2327</v>
      </c>
      <c r="B2141" s="6">
        <v>45901</v>
      </c>
      <c r="C2141" t="s">
        <v>69</v>
      </c>
      <c r="D2141" t="s">
        <v>70</v>
      </c>
      <c r="E2141" t="s">
        <v>59</v>
      </c>
      <c r="F2141" t="s">
        <v>71</v>
      </c>
      <c r="G2141" t="s">
        <v>72</v>
      </c>
      <c r="H2141" t="s">
        <v>128</v>
      </c>
      <c r="I2141" t="s">
        <v>129</v>
      </c>
      <c r="J2141" t="s">
        <v>130</v>
      </c>
      <c r="K2141" t="s">
        <v>131</v>
      </c>
      <c r="L2141" t="s">
        <v>166</v>
      </c>
      <c r="M2141" t="s">
        <v>171</v>
      </c>
      <c r="N2141">
        <v>1</v>
      </c>
      <c r="O2141" s="4">
        <v>1700</v>
      </c>
      <c r="P2141" s="4">
        <v>2600</v>
      </c>
      <c r="Q2141" s="7">
        <v>0</v>
      </c>
      <c r="R2141" t="s">
        <v>192</v>
      </c>
      <c r="S2141">
        <v>1</v>
      </c>
      <c r="T2141">
        <v>2600</v>
      </c>
      <c r="U2141">
        <v>0</v>
      </c>
      <c r="V2141">
        <v>2600</v>
      </c>
      <c r="W2141">
        <v>1700</v>
      </c>
      <c r="X2141">
        <v>900</v>
      </c>
      <c r="Y2141" s="8">
        <v>0.34615384615384615</v>
      </c>
      <c r="Z2141" t="s">
        <v>2997</v>
      </c>
      <c r="AA2141" t="str">
        <f>IF(AND(SalesCleanTable[[#This Row],[Discount %]]&gt;0, SalesCleanTable[[#This Row],[Profit]]&lt;0), "Discount loss", "Safe")</f>
        <v>Safe</v>
      </c>
      <c r="AB2141" s="25">
        <f>(SalesCleanTable[[#This Row],[Unit Price]] - SalesCleanTable[[#This Row],[Unit Cost]]) / SalesCleanTable[[#This Row],[Unit Price]]</f>
        <v>0.34615384615384615</v>
      </c>
      <c r="AC2141" t="str">
        <f>IF(SalesCleanTable[[#This Row],[Discount %]] &gt; SalesCleanTable[[#This Row],[Max Allowed Discount]], "Discount loss", "Safe")</f>
        <v>Safe</v>
      </c>
      <c r="AD2141" s="4">
        <f>SalesCleanTable[[#This Row],[Unit Price]] - SalesCleanTable[[#This Row],[Unit Cost]]</f>
        <v>900</v>
      </c>
      <c r="AE2141" s="41">
        <f>(SalesCleanTable[[#This Row],[Unit Price]] - SalesCleanTable[[#This Row],[Unit Cost]]) / SalesCleanTable[[#This Row],[Unit Price]]</f>
        <v>0.34615384615384615</v>
      </c>
    </row>
    <row r="2142" spans="1:31">
      <c r="A2142" t="s">
        <v>2328</v>
      </c>
      <c r="B2142" s="6">
        <v>45768</v>
      </c>
      <c r="C2142" t="s">
        <v>73</v>
      </c>
      <c r="D2142" t="s">
        <v>74</v>
      </c>
      <c r="E2142" t="s">
        <v>75</v>
      </c>
      <c r="F2142" t="s">
        <v>76</v>
      </c>
      <c r="G2142" t="s">
        <v>77</v>
      </c>
      <c r="H2142" t="s">
        <v>128</v>
      </c>
      <c r="I2142" t="s">
        <v>129</v>
      </c>
      <c r="J2142" t="s">
        <v>130</v>
      </c>
      <c r="K2142" t="s">
        <v>131</v>
      </c>
      <c r="L2142" t="s">
        <v>166</v>
      </c>
      <c r="M2142" t="s">
        <v>177</v>
      </c>
      <c r="N2142">
        <v>4</v>
      </c>
      <c r="O2142" s="4">
        <v>3500</v>
      </c>
      <c r="P2142" s="4">
        <v>5200</v>
      </c>
      <c r="Q2142" s="7">
        <v>0</v>
      </c>
      <c r="R2142" t="s">
        <v>187</v>
      </c>
      <c r="S2142">
        <v>4</v>
      </c>
      <c r="T2142">
        <v>20800</v>
      </c>
      <c r="U2142">
        <v>0</v>
      </c>
      <c r="V2142">
        <v>20800</v>
      </c>
      <c r="W2142">
        <v>14000</v>
      </c>
      <c r="X2142">
        <v>6800</v>
      </c>
      <c r="Y2142" s="8">
        <v>0.32692307692307693</v>
      </c>
      <c r="Z2142" t="s">
        <v>2996</v>
      </c>
      <c r="AA2142" t="str">
        <f>IF(AND(SalesCleanTable[[#This Row],[Discount %]]&gt;0, SalesCleanTable[[#This Row],[Profit]]&lt;0), "Discount loss", "Safe")</f>
        <v>Safe</v>
      </c>
      <c r="AB2142" s="25">
        <f>(SalesCleanTable[[#This Row],[Unit Price]] - SalesCleanTable[[#This Row],[Unit Cost]]) / SalesCleanTable[[#This Row],[Unit Price]]</f>
        <v>0.32692307692307693</v>
      </c>
      <c r="AC2142" t="str">
        <f>IF(SalesCleanTable[[#This Row],[Discount %]] &gt; SalesCleanTable[[#This Row],[Max Allowed Discount]], "Discount loss", "Safe")</f>
        <v>Safe</v>
      </c>
      <c r="AD2142" s="4">
        <f>SalesCleanTable[[#This Row],[Unit Price]] - SalesCleanTable[[#This Row],[Unit Cost]]</f>
        <v>1700</v>
      </c>
      <c r="AE2142" s="41">
        <f>(SalesCleanTable[[#This Row],[Unit Price]] - SalesCleanTable[[#This Row],[Unit Cost]]) / SalesCleanTable[[#This Row],[Unit Price]]</f>
        <v>0.32692307692307693</v>
      </c>
    </row>
    <row r="2143" spans="1:31">
      <c r="A2143" t="s">
        <v>2329</v>
      </c>
      <c r="B2143" s="6">
        <v>45852</v>
      </c>
      <c r="C2143" t="s">
        <v>62</v>
      </c>
      <c r="D2143" t="s">
        <v>63</v>
      </c>
      <c r="E2143" t="s">
        <v>59</v>
      </c>
      <c r="F2143" t="s">
        <v>64</v>
      </c>
      <c r="G2143" t="s">
        <v>65</v>
      </c>
      <c r="H2143" t="s">
        <v>145</v>
      </c>
      <c r="I2143" t="s">
        <v>146</v>
      </c>
      <c r="J2143" t="s">
        <v>147</v>
      </c>
      <c r="K2143" t="s">
        <v>148</v>
      </c>
      <c r="L2143" t="s">
        <v>166</v>
      </c>
      <c r="M2143" t="s">
        <v>177</v>
      </c>
      <c r="N2143">
        <v>3</v>
      </c>
      <c r="O2143" s="4">
        <v>3200</v>
      </c>
      <c r="P2143" s="4">
        <v>4500</v>
      </c>
      <c r="Q2143" s="7">
        <v>0</v>
      </c>
      <c r="R2143" t="s">
        <v>192</v>
      </c>
      <c r="S2143">
        <v>1</v>
      </c>
      <c r="T2143">
        <v>13500</v>
      </c>
      <c r="U2143">
        <v>0</v>
      </c>
      <c r="V2143">
        <v>13500</v>
      </c>
      <c r="W2143">
        <v>9600</v>
      </c>
      <c r="X2143">
        <v>3900</v>
      </c>
      <c r="Y2143" s="8">
        <v>0.28888888888888886</v>
      </c>
      <c r="Z2143" t="s">
        <v>2996</v>
      </c>
      <c r="AA2143" t="str">
        <f>IF(AND(SalesCleanTable[[#This Row],[Discount %]]&gt;0, SalesCleanTable[[#This Row],[Profit]]&lt;0), "Discount loss", "Safe")</f>
        <v>Safe</v>
      </c>
      <c r="AB2143" s="25">
        <f>(SalesCleanTable[[#This Row],[Unit Price]] - SalesCleanTable[[#This Row],[Unit Cost]]) / SalesCleanTable[[#This Row],[Unit Price]]</f>
        <v>0.28888888888888886</v>
      </c>
      <c r="AC2143" t="str">
        <f>IF(SalesCleanTable[[#This Row],[Discount %]] &gt; SalesCleanTable[[#This Row],[Max Allowed Discount]], "Discount loss", "Safe")</f>
        <v>Safe</v>
      </c>
      <c r="AD2143" s="4">
        <f>SalesCleanTable[[#This Row],[Unit Price]] - SalesCleanTable[[#This Row],[Unit Cost]]</f>
        <v>1300</v>
      </c>
      <c r="AE2143" s="41">
        <f>(SalesCleanTable[[#This Row],[Unit Price]] - SalesCleanTable[[#This Row],[Unit Cost]]) / SalesCleanTable[[#This Row],[Unit Price]]</f>
        <v>0.28888888888888886</v>
      </c>
    </row>
    <row r="2144" spans="1:31">
      <c r="A2144" t="s">
        <v>2330</v>
      </c>
      <c r="B2144" s="6">
        <v>45787</v>
      </c>
      <c r="C2144" t="s">
        <v>45</v>
      </c>
      <c r="D2144" t="s">
        <v>46</v>
      </c>
      <c r="E2144" t="s">
        <v>38</v>
      </c>
      <c r="F2144" t="s">
        <v>47</v>
      </c>
      <c r="G2144" t="s">
        <v>48</v>
      </c>
      <c r="H2144" t="s">
        <v>149</v>
      </c>
      <c r="I2144" t="s">
        <v>150</v>
      </c>
      <c r="J2144" t="s">
        <v>151</v>
      </c>
      <c r="K2144" t="s">
        <v>152</v>
      </c>
      <c r="L2144" t="s">
        <v>183</v>
      </c>
      <c r="M2144" t="s">
        <v>171</v>
      </c>
      <c r="N2144">
        <v>5</v>
      </c>
      <c r="O2144" s="4">
        <v>230</v>
      </c>
      <c r="P2144" s="4">
        <v>400</v>
      </c>
      <c r="Q2144" s="7">
        <v>0.1</v>
      </c>
      <c r="R2144" t="s">
        <v>178</v>
      </c>
      <c r="S2144">
        <v>10</v>
      </c>
      <c r="T2144">
        <v>2000</v>
      </c>
      <c r="U2144">
        <v>200</v>
      </c>
      <c r="V2144">
        <v>1800</v>
      </c>
      <c r="W2144">
        <v>1150</v>
      </c>
      <c r="X2144">
        <v>650</v>
      </c>
      <c r="Y2144" s="8">
        <v>0.3611111111111111</v>
      </c>
      <c r="Z2144" t="s">
        <v>2995</v>
      </c>
      <c r="AA2144" t="str">
        <f>IF(AND(SalesCleanTable[[#This Row],[Discount %]]&gt;0, SalesCleanTable[[#This Row],[Profit]]&lt;0), "Discount loss", "Safe")</f>
        <v>Safe</v>
      </c>
      <c r="AB2144" s="25">
        <f>(SalesCleanTable[[#This Row],[Unit Price]] - SalesCleanTable[[#This Row],[Unit Cost]]) / SalesCleanTable[[#This Row],[Unit Price]]</f>
        <v>0.42499999999999999</v>
      </c>
      <c r="AC2144" t="str">
        <f>IF(SalesCleanTable[[#This Row],[Discount %]] &gt; SalesCleanTable[[#This Row],[Max Allowed Discount]], "Discount loss", "Safe")</f>
        <v>Safe</v>
      </c>
      <c r="AD2144" s="4">
        <f>SalesCleanTable[[#This Row],[Unit Price]] - SalesCleanTable[[#This Row],[Unit Cost]]</f>
        <v>170</v>
      </c>
      <c r="AE2144" s="41">
        <f>(SalesCleanTable[[#This Row],[Unit Price]] - SalesCleanTable[[#This Row],[Unit Cost]]) / SalesCleanTable[[#This Row],[Unit Price]]</f>
        <v>0.42499999999999999</v>
      </c>
    </row>
    <row r="2145" spans="1:31">
      <c r="A2145" t="s">
        <v>2331</v>
      </c>
      <c r="B2145" s="6">
        <v>45693</v>
      </c>
      <c r="C2145" t="s">
        <v>53</v>
      </c>
      <c r="D2145" t="s">
        <v>54</v>
      </c>
      <c r="E2145" t="s">
        <v>38</v>
      </c>
      <c r="F2145" t="s">
        <v>55</v>
      </c>
      <c r="G2145" t="s">
        <v>56</v>
      </c>
      <c r="H2145" t="s">
        <v>128</v>
      </c>
      <c r="I2145" t="s">
        <v>129</v>
      </c>
      <c r="J2145" t="s">
        <v>130</v>
      </c>
      <c r="K2145" t="s">
        <v>131</v>
      </c>
      <c r="L2145" t="s">
        <v>166</v>
      </c>
      <c r="M2145" t="s">
        <v>171</v>
      </c>
      <c r="N2145">
        <v>2</v>
      </c>
      <c r="O2145" s="4">
        <v>330</v>
      </c>
      <c r="P2145" s="4">
        <v>550</v>
      </c>
      <c r="Q2145" s="7">
        <v>0</v>
      </c>
      <c r="R2145" t="s">
        <v>178</v>
      </c>
      <c r="S2145">
        <v>13</v>
      </c>
      <c r="T2145">
        <v>1100</v>
      </c>
      <c r="U2145">
        <v>0</v>
      </c>
      <c r="V2145">
        <v>1100</v>
      </c>
      <c r="W2145">
        <v>660</v>
      </c>
      <c r="X2145">
        <v>440</v>
      </c>
      <c r="Y2145" s="8">
        <v>0.4</v>
      </c>
      <c r="Z2145" t="s">
        <v>2996</v>
      </c>
      <c r="AA2145" t="str">
        <f>IF(AND(SalesCleanTable[[#This Row],[Discount %]]&gt;0, SalesCleanTable[[#This Row],[Profit]]&lt;0), "Discount loss", "Safe")</f>
        <v>Safe</v>
      </c>
      <c r="AB2145" s="25">
        <f>(SalesCleanTable[[#This Row],[Unit Price]] - SalesCleanTable[[#This Row],[Unit Cost]]) / SalesCleanTable[[#This Row],[Unit Price]]</f>
        <v>0.4</v>
      </c>
      <c r="AC2145" t="str">
        <f>IF(SalesCleanTable[[#This Row],[Discount %]] &gt; SalesCleanTable[[#This Row],[Max Allowed Discount]], "Discount loss", "Safe")</f>
        <v>Safe</v>
      </c>
      <c r="AD2145" s="4">
        <f>SalesCleanTable[[#This Row],[Unit Price]] - SalesCleanTable[[#This Row],[Unit Cost]]</f>
        <v>220</v>
      </c>
      <c r="AE2145" s="41">
        <f>(SalesCleanTable[[#This Row],[Unit Price]] - SalesCleanTable[[#This Row],[Unit Cost]]) / SalesCleanTable[[#This Row],[Unit Price]]</f>
        <v>0.4</v>
      </c>
    </row>
    <row r="2146" spans="1:31">
      <c r="A2146" t="s">
        <v>2332</v>
      </c>
      <c r="B2146" s="6">
        <v>45725</v>
      </c>
      <c r="C2146" t="s">
        <v>36</v>
      </c>
      <c r="D2146" t="s">
        <v>37</v>
      </c>
      <c r="E2146" t="s">
        <v>38</v>
      </c>
      <c r="F2146" t="s">
        <v>39</v>
      </c>
      <c r="G2146" t="s">
        <v>40</v>
      </c>
      <c r="H2146" t="s">
        <v>133</v>
      </c>
      <c r="I2146" t="s">
        <v>134</v>
      </c>
      <c r="J2146" t="s">
        <v>130</v>
      </c>
      <c r="K2146" t="s">
        <v>131</v>
      </c>
      <c r="L2146" t="s">
        <v>166</v>
      </c>
      <c r="M2146" t="s">
        <v>167</v>
      </c>
      <c r="N2146">
        <v>3</v>
      </c>
      <c r="O2146" s="4">
        <v>1650</v>
      </c>
      <c r="P2146" s="4">
        <v>2200</v>
      </c>
      <c r="Q2146" s="7">
        <v>0</v>
      </c>
      <c r="R2146" t="s">
        <v>168</v>
      </c>
      <c r="S2146">
        <v>5</v>
      </c>
      <c r="T2146">
        <v>6600</v>
      </c>
      <c r="U2146">
        <v>0</v>
      </c>
      <c r="V2146">
        <v>6600</v>
      </c>
      <c r="W2146">
        <v>4950</v>
      </c>
      <c r="X2146">
        <v>1650</v>
      </c>
      <c r="Y2146" s="8">
        <v>0.25</v>
      </c>
      <c r="Z2146" t="s">
        <v>2995</v>
      </c>
      <c r="AA2146" t="str">
        <f>IF(AND(SalesCleanTable[[#This Row],[Discount %]]&gt;0, SalesCleanTable[[#This Row],[Profit]]&lt;0), "Discount loss", "Safe")</f>
        <v>Safe</v>
      </c>
      <c r="AB2146" s="25">
        <f>(SalesCleanTable[[#This Row],[Unit Price]] - SalesCleanTable[[#This Row],[Unit Cost]]) / SalesCleanTable[[#This Row],[Unit Price]]</f>
        <v>0.25</v>
      </c>
      <c r="AC2146" t="str">
        <f>IF(SalesCleanTable[[#This Row],[Discount %]] &gt; SalesCleanTable[[#This Row],[Max Allowed Discount]], "Discount loss", "Safe")</f>
        <v>Safe</v>
      </c>
      <c r="AD2146" s="4">
        <f>SalesCleanTable[[#This Row],[Unit Price]] - SalesCleanTable[[#This Row],[Unit Cost]]</f>
        <v>550</v>
      </c>
      <c r="AE2146" s="41">
        <f>(SalesCleanTable[[#This Row],[Unit Price]] - SalesCleanTable[[#This Row],[Unit Cost]]) / SalesCleanTable[[#This Row],[Unit Price]]</f>
        <v>0.25</v>
      </c>
    </row>
    <row r="2147" spans="1:31">
      <c r="A2147" t="s">
        <v>2333</v>
      </c>
      <c r="B2147" s="6">
        <v>45730</v>
      </c>
      <c r="C2147" t="s">
        <v>116</v>
      </c>
      <c r="D2147" t="s">
        <v>117</v>
      </c>
      <c r="E2147" t="s">
        <v>109</v>
      </c>
      <c r="F2147" t="s">
        <v>118</v>
      </c>
      <c r="G2147" t="s">
        <v>119</v>
      </c>
      <c r="H2147" t="s">
        <v>149</v>
      </c>
      <c r="I2147" t="s">
        <v>150</v>
      </c>
      <c r="J2147" t="s">
        <v>151</v>
      </c>
      <c r="K2147" t="s">
        <v>152</v>
      </c>
      <c r="L2147" t="s">
        <v>166</v>
      </c>
      <c r="M2147" t="s">
        <v>171</v>
      </c>
      <c r="N2147">
        <v>4</v>
      </c>
      <c r="O2147" s="4">
        <v>2800</v>
      </c>
      <c r="P2147" s="4">
        <v>4200</v>
      </c>
      <c r="Q2147" s="7">
        <v>0</v>
      </c>
      <c r="R2147" t="s">
        <v>220</v>
      </c>
      <c r="S2147">
        <v>13</v>
      </c>
      <c r="T2147">
        <v>16800</v>
      </c>
      <c r="U2147">
        <v>0</v>
      </c>
      <c r="V2147">
        <v>16800</v>
      </c>
      <c r="W2147">
        <v>11200</v>
      </c>
      <c r="X2147">
        <v>5600</v>
      </c>
      <c r="Y2147" s="8">
        <v>0.33333333333333331</v>
      </c>
      <c r="Z2147" t="s">
        <v>2995</v>
      </c>
      <c r="AA2147" t="str">
        <f>IF(AND(SalesCleanTable[[#This Row],[Discount %]]&gt;0, SalesCleanTable[[#This Row],[Profit]]&lt;0), "Discount loss", "Safe")</f>
        <v>Safe</v>
      </c>
      <c r="AB2147" s="25">
        <f>(SalesCleanTable[[#This Row],[Unit Price]] - SalesCleanTable[[#This Row],[Unit Cost]]) / SalesCleanTable[[#This Row],[Unit Price]]</f>
        <v>0.33333333333333331</v>
      </c>
      <c r="AC2147" t="str">
        <f>IF(SalesCleanTable[[#This Row],[Discount %]] &gt; SalesCleanTable[[#This Row],[Max Allowed Discount]], "Discount loss", "Safe")</f>
        <v>Safe</v>
      </c>
      <c r="AD2147" s="4">
        <f>SalesCleanTable[[#This Row],[Unit Price]] - SalesCleanTable[[#This Row],[Unit Cost]]</f>
        <v>1400</v>
      </c>
      <c r="AE2147" s="41">
        <f>(SalesCleanTable[[#This Row],[Unit Price]] - SalesCleanTable[[#This Row],[Unit Cost]]) / SalesCleanTable[[#This Row],[Unit Price]]</f>
        <v>0.33333333333333331</v>
      </c>
    </row>
    <row r="2148" spans="1:31">
      <c r="A2148" t="s">
        <v>2334</v>
      </c>
      <c r="B2148" s="6">
        <v>45750</v>
      </c>
      <c r="C2148" t="s">
        <v>49</v>
      </c>
      <c r="D2148" t="s">
        <v>50</v>
      </c>
      <c r="E2148" t="s">
        <v>38</v>
      </c>
      <c r="F2148" t="s">
        <v>51</v>
      </c>
      <c r="G2148" t="s">
        <v>52</v>
      </c>
      <c r="H2148" t="s">
        <v>128</v>
      </c>
      <c r="I2148" t="s">
        <v>129</v>
      </c>
      <c r="J2148" t="s">
        <v>130</v>
      </c>
      <c r="K2148" t="s">
        <v>131</v>
      </c>
      <c r="L2148" t="s">
        <v>183</v>
      </c>
      <c r="M2148" t="s">
        <v>167</v>
      </c>
      <c r="N2148">
        <v>4</v>
      </c>
      <c r="O2148" s="4">
        <v>550</v>
      </c>
      <c r="P2148" s="4">
        <v>850</v>
      </c>
      <c r="Q2148" s="7">
        <v>0.05</v>
      </c>
      <c r="R2148" t="s">
        <v>178</v>
      </c>
      <c r="S2148">
        <v>3</v>
      </c>
      <c r="T2148">
        <v>3400</v>
      </c>
      <c r="U2148">
        <v>170</v>
      </c>
      <c r="V2148">
        <v>3230</v>
      </c>
      <c r="W2148">
        <v>2200</v>
      </c>
      <c r="X2148">
        <v>1030</v>
      </c>
      <c r="Y2148" s="8">
        <v>0.31888544891640869</v>
      </c>
      <c r="Z2148" t="s">
        <v>2996</v>
      </c>
      <c r="AA2148" t="str">
        <f>IF(AND(SalesCleanTable[[#This Row],[Discount %]]&gt;0, SalesCleanTable[[#This Row],[Profit]]&lt;0), "Discount loss", "Safe")</f>
        <v>Safe</v>
      </c>
      <c r="AB2148" s="25">
        <f>(SalesCleanTable[[#This Row],[Unit Price]] - SalesCleanTable[[#This Row],[Unit Cost]]) / SalesCleanTable[[#This Row],[Unit Price]]</f>
        <v>0.35294117647058826</v>
      </c>
      <c r="AC2148" t="str">
        <f>IF(SalesCleanTable[[#This Row],[Discount %]] &gt; SalesCleanTable[[#This Row],[Max Allowed Discount]], "Discount loss", "Safe")</f>
        <v>Safe</v>
      </c>
      <c r="AD2148" s="4">
        <f>SalesCleanTable[[#This Row],[Unit Price]] - SalesCleanTable[[#This Row],[Unit Cost]]</f>
        <v>300</v>
      </c>
      <c r="AE2148" s="41">
        <f>(SalesCleanTable[[#This Row],[Unit Price]] - SalesCleanTable[[#This Row],[Unit Cost]]) / SalesCleanTable[[#This Row],[Unit Price]]</f>
        <v>0.35294117647058826</v>
      </c>
    </row>
    <row r="2149" spans="1:31">
      <c r="A2149" t="s">
        <v>2335</v>
      </c>
      <c r="B2149" s="6">
        <v>45698</v>
      </c>
      <c r="C2149" t="s">
        <v>78</v>
      </c>
      <c r="D2149" t="s">
        <v>79</v>
      </c>
      <c r="E2149" t="s">
        <v>75</v>
      </c>
      <c r="F2149" t="s">
        <v>80</v>
      </c>
      <c r="G2149" t="s">
        <v>81</v>
      </c>
      <c r="H2149" t="s">
        <v>141</v>
      </c>
      <c r="I2149" t="s">
        <v>142</v>
      </c>
      <c r="J2149" t="s">
        <v>143</v>
      </c>
      <c r="K2149" t="s">
        <v>144</v>
      </c>
      <c r="L2149" t="s">
        <v>170</v>
      </c>
      <c r="M2149" t="s">
        <v>171</v>
      </c>
      <c r="N2149">
        <v>2</v>
      </c>
      <c r="O2149" s="4">
        <v>1200</v>
      </c>
      <c r="P2149" s="4">
        <v>1900</v>
      </c>
      <c r="Q2149" s="7">
        <v>0.1</v>
      </c>
      <c r="R2149" t="s">
        <v>208</v>
      </c>
      <c r="S2149">
        <v>6</v>
      </c>
      <c r="T2149">
        <v>3800</v>
      </c>
      <c r="U2149">
        <v>380</v>
      </c>
      <c r="V2149">
        <v>3420</v>
      </c>
      <c r="W2149">
        <v>2400</v>
      </c>
      <c r="X2149">
        <v>1020</v>
      </c>
      <c r="Y2149" s="8">
        <v>0.2982456140350877</v>
      </c>
      <c r="Z2149" t="s">
        <v>2996</v>
      </c>
      <c r="AA2149" t="str">
        <f>IF(AND(SalesCleanTable[[#This Row],[Discount %]]&gt;0, SalesCleanTable[[#This Row],[Profit]]&lt;0), "Discount loss", "Safe")</f>
        <v>Safe</v>
      </c>
      <c r="AB2149" s="25">
        <f>(SalesCleanTable[[#This Row],[Unit Price]] - SalesCleanTable[[#This Row],[Unit Cost]]) / SalesCleanTable[[#This Row],[Unit Price]]</f>
        <v>0.36842105263157893</v>
      </c>
      <c r="AC2149" t="str">
        <f>IF(SalesCleanTable[[#This Row],[Discount %]] &gt; SalesCleanTable[[#This Row],[Max Allowed Discount]], "Discount loss", "Safe")</f>
        <v>Safe</v>
      </c>
      <c r="AD2149" s="4">
        <f>SalesCleanTable[[#This Row],[Unit Price]] - SalesCleanTable[[#This Row],[Unit Cost]]</f>
        <v>700</v>
      </c>
      <c r="AE2149" s="41">
        <f>(SalesCleanTable[[#This Row],[Unit Price]] - SalesCleanTable[[#This Row],[Unit Cost]]) / SalesCleanTable[[#This Row],[Unit Price]]</f>
        <v>0.36842105263157893</v>
      </c>
    </row>
    <row r="2150" spans="1:31">
      <c r="A2150" t="s">
        <v>2336</v>
      </c>
      <c r="B2150" s="6">
        <v>45841</v>
      </c>
      <c r="C2150" t="s">
        <v>66</v>
      </c>
      <c r="D2150" t="s">
        <v>67</v>
      </c>
      <c r="E2150" t="s">
        <v>59</v>
      </c>
      <c r="F2150" t="s">
        <v>60</v>
      </c>
      <c r="G2150" t="s">
        <v>68</v>
      </c>
      <c r="H2150" t="s">
        <v>135</v>
      </c>
      <c r="I2150" t="s">
        <v>136</v>
      </c>
      <c r="J2150" t="s">
        <v>137</v>
      </c>
      <c r="K2150" t="s">
        <v>138</v>
      </c>
      <c r="L2150" t="s">
        <v>166</v>
      </c>
      <c r="M2150" t="s">
        <v>171</v>
      </c>
      <c r="N2150">
        <v>2</v>
      </c>
      <c r="O2150" s="4">
        <v>2800</v>
      </c>
      <c r="P2150" s="4">
        <v>3900</v>
      </c>
      <c r="Q2150" s="7">
        <v>0</v>
      </c>
      <c r="R2150" t="s">
        <v>204</v>
      </c>
      <c r="S2150">
        <v>9</v>
      </c>
      <c r="T2150">
        <v>7800</v>
      </c>
      <c r="U2150">
        <v>0</v>
      </c>
      <c r="V2150">
        <v>7800</v>
      </c>
      <c r="W2150">
        <v>5600</v>
      </c>
      <c r="X2150">
        <v>2200</v>
      </c>
      <c r="Y2150" s="8">
        <v>0.28205128205128205</v>
      </c>
      <c r="Z2150" t="s">
        <v>2996</v>
      </c>
      <c r="AA2150" t="str">
        <f>IF(AND(SalesCleanTable[[#This Row],[Discount %]]&gt;0, SalesCleanTable[[#This Row],[Profit]]&lt;0), "Discount loss", "Safe")</f>
        <v>Safe</v>
      </c>
      <c r="AB2150" s="25">
        <f>(SalesCleanTable[[#This Row],[Unit Price]] - SalesCleanTable[[#This Row],[Unit Cost]]) / SalesCleanTable[[#This Row],[Unit Price]]</f>
        <v>0.28205128205128205</v>
      </c>
      <c r="AC2150" t="str">
        <f>IF(SalesCleanTable[[#This Row],[Discount %]] &gt; SalesCleanTable[[#This Row],[Max Allowed Discount]], "Discount loss", "Safe")</f>
        <v>Safe</v>
      </c>
      <c r="AD2150" s="4">
        <f>SalesCleanTable[[#This Row],[Unit Price]] - SalesCleanTable[[#This Row],[Unit Cost]]</f>
        <v>1100</v>
      </c>
      <c r="AE2150" s="41">
        <f>(SalesCleanTable[[#This Row],[Unit Price]] - SalesCleanTable[[#This Row],[Unit Cost]]) / SalesCleanTable[[#This Row],[Unit Price]]</f>
        <v>0.28205128205128205</v>
      </c>
    </row>
    <row r="2151" spans="1:31">
      <c r="A2151" t="s">
        <v>2337</v>
      </c>
      <c r="B2151" s="6">
        <v>45704</v>
      </c>
      <c r="C2151" t="s">
        <v>36</v>
      </c>
      <c r="D2151" t="s">
        <v>37</v>
      </c>
      <c r="E2151" t="s">
        <v>38</v>
      </c>
      <c r="F2151" t="s">
        <v>39</v>
      </c>
      <c r="G2151" t="s">
        <v>40</v>
      </c>
      <c r="H2151" t="s">
        <v>135</v>
      </c>
      <c r="I2151" t="s">
        <v>136</v>
      </c>
      <c r="J2151" t="s">
        <v>137</v>
      </c>
      <c r="K2151" t="s">
        <v>138</v>
      </c>
      <c r="L2151" t="s">
        <v>183</v>
      </c>
      <c r="M2151" t="s">
        <v>171</v>
      </c>
      <c r="N2151">
        <v>6</v>
      </c>
      <c r="O2151" s="4">
        <v>1650</v>
      </c>
      <c r="P2151" s="4">
        <v>2200</v>
      </c>
      <c r="Q2151" s="7">
        <v>0.2</v>
      </c>
      <c r="R2151" t="s">
        <v>168</v>
      </c>
      <c r="S2151">
        <v>7</v>
      </c>
      <c r="T2151">
        <v>13200</v>
      </c>
      <c r="U2151">
        <v>2640</v>
      </c>
      <c r="V2151">
        <v>10560</v>
      </c>
      <c r="W2151">
        <v>9900</v>
      </c>
      <c r="X2151">
        <v>660</v>
      </c>
      <c r="Y2151" s="8">
        <v>6.25E-2</v>
      </c>
      <c r="Z2151" t="s">
        <v>2995</v>
      </c>
      <c r="AA2151" t="str">
        <f>IF(AND(SalesCleanTable[[#This Row],[Discount %]]&gt;0, SalesCleanTable[[#This Row],[Profit]]&lt;0), "Discount loss", "Safe")</f>
        <v>Safe</v>
      </c>
      <c r="AB2151" s="25">
        <f>(SalesCleanTable[[#This Row],[Unit Price]] - SalesCleanTable[[#This Row],[Unit Cost]]) / SalesCleanTable[[#This Row],[Unit Price]]</f>
        <v>0.25</v>
      </c>
      <c r="AC2151" t="str">
        <f>IF(SalesCleanTable[[#This Row],[Discount %]] &gt; SalesCleanTable[[#This Row],[Max Allowed Discount]], "Discount loss", "Safe")</f>
        <v>Safe</v>
      </c>
      <c r="AD2151" s="4">
        <f>SalesCleanTable[[#This Row],[Unit Price]] - SalesCleanTable[[#This Row],[Unit Cost]]</f>
        <v>550</v>
      </c>
      <c r="AE2151" s="41">
        <f>(SalesCleanTable[[#This Row],[Unit Price]] - SalesCleanTable[[#This Row],[Unit Cost]]) / SalesCleanTable[[#This Row],[Unit Price]]</f>
        <v>0.25</v>
      </c>
    </row>
    <row r="2152" spans="1:31">
      <c r="A2152" t="s">
        <v>2338</v>
      </c>
      <c r="B2152" s="6">
        <v>45942</v>
      </c>
      <c r="C2152" t="s">
        <v>53</v>
      </c>
      <c r="D2152" t="s">
        <v>54</v>
      </c>
      <c r="E2152" t="s">
        <v>38</v>
      </c>
      <c r="F2152" t="s">
        <v>55</v>
      </c>
      <c r="G2152" t="s">
        <v>56</v>
      </c>
      <c r="H2152" t="s">
        <v>149</v>
      </c>
      <c r="I2152" t="s">
        <v>150</v>
      </c>
      <c r="J2152" t="s">
        <v>151</v>
      </c>
      <c r="K2152" t="s">
        <v>152</v>
      </c>
      <c r="L2152" t="s">
        <v>166</v>
      </c>
      <c r="M2152" t="s">
        <v>186</v>
      </c>
      <c r="N2152">
        <v>10</v>
      </c>
      <c r="O2152" s="4">
        <v>330</v>
      </c>
      <c r="P2152" s="4">
        <v>550</v>
      </c>
      <c r="Q2152" s="7">
        <v>0.1</v>
      </c>
      <c r="R2152" t="s">
        <v>178</v>
      </c>
      <c r="S2152">
        <v>1</v>
      </c>
      <c r="T2152">
        <v>5500</v>
      </c>
      <c r="U2152">
        <v>550</v>
      </c>
      <c r="V2152">
        <v>4950</v>
      </c>
      <c r="W2152">
        <v>3300</v>
      </c>
      <c r="X2152">
        <v>1650</v>
      </c>
      <c r="Y2152" s="8">
        <v>0.33333333333333331</v>
      </c>
      <c r="Z2152" t="s">
        <v>2996</v>
      </c>
      <c r="AA2152" t="str">
        <f>IF(AND(SalesCleanTable[[#This Row],[Discount %]]&gt;0, SalesCleanTable[[#This Row],[Profit]]&lt;0), "Discount loss", "Safe")</f>
        <v>Safe</v>
      </c>
      <c r="AB2152" s="25">
        <f>(SalesCleanTable[[#This Row],[Unit Price]] - SalesCleanTable[[#This Row],[Unit Cost]]) / SalesCleanTable[[#This Row],[Unit Price]]</f>
        <v>0.4</v>
      </c>
      <c r="AC2152" t="str">
        <f>IF(SalesCleanTable[[#This Row],[Discount %]] &gt; SalesCleanTable[[#This Row],[Max Allowed Discount]], "Discount loss", "Safe")</f>
        <v>Safe</v>
      </c>
      <c r="AD2152" s="4">
        <f>SalesCleanTable[[#This Row],[Unit Price]] - SalesCleanTable[[#This Row],[Unit Cost]]</f>
        <v>220</v>
      </c>
      <c r="AE2152" s="41">
        <f>(SalesCleanTable[[#This Row],[Unit Price]] - SalesCleanTable[[#This Row],[Unit Cost]]) / SalesCleanTable[[#This Row],[Unit Price]]</f>
        <v>0.4</v>
      </c>
    </row>
    <row r="2153" spans="1:31">
      <c r="A2153" t="s">
        <v>2339</v>
      </c>
      <c r="B2153" s="6">
        <v>45795</v>
      </c>
      <c r="C2153" t="s">
        <v>45</v>
      </c>
      <c r="D2153" t="s">
        <v>46</v>
      </c>
      <c r="E2153" t="s">
        <v>38</v>
      </c>
      <c r="F2153" t="s">
        <v>47</v>
      </c>
      <c r="G2153" t="s">
        <v>48</v>
      </c>
      <c r="H2153" t="s">
        <v>135</v>
      </c>
      <c r="I2153" t="s">
        <v>136</v>
      </c>
      <c r="J2153" t="s">
        <v>137</v>
      </c>
      <c r="K2153" t="s">
        <v>138</v>
      </c>
      <c r="L2153" t="s">
        <v>183</v>
      </c>
      <c r="M2153" t="s">
        <v>171</v>
      </c>
      <c r="N2153">
        <v>3</v>
      </c>
      <c r="O2153" s="4">
        <v>230</v>
      </c>
      <c r="P2153" s="4">
        <v>400</v>
      </c>
      <c r="Q2153" s="7">
        <v>0</v>
      </c>
      <c r="R2153" t="s">
        <v>178</v>
      </c>
      <c r="S2153">
        <v>10</v>
      </c>
      <c r="T2153">
        <v>1200</v>
      </c>
      <c r="U2153">
        <v>0</v>
      </c>
      <c r="V2153">
        <v>1200</v>
      </c>
      <c r="W2153">
        <v>690</v>
      </c>
      <c r="X2153">
        <v>510</v>
      </c>
      <c r="Y2153" s="8">
        <v>0.42499999999999999</v>
      </c>
      <c r="Z2153" t="s">
        <v>2995</v>
      </c>
      <c r="AA2153" t="str">
        <f>IF(AND(SalesCleanTable[[#This Row],[Discount %]]&gt;0, SalesCleanTable[[#This Row],[Profit]]&lt;0), "Discount loss", "Safe")</f>
        <v>Safe</v>
      </c>
      <c r="AB2153" s="25">
        <f>(SalesCleanTable[[#This Row],[Unit Price]] - SalesCleanTable[[#This Row],[Unit Cost]]) / SalesCleanTable[[#This Row],[Unit Price]]</f>
        <v>0.42499999999999999</v>
      </c>
      <c r="AC2153" t="str">
        <f>IF(SalesCleanTable[[#This Row],[Discount %]] &gt; SalesCleanTable[[#This Row],[Max Allowed Discount]], "Discount loss", "Safe")</f>
        <v>Safe</v>
      </c>
      <c r="AD2153" s="4">
        <f>SalesCleanTable[[#This Row],[Unit Price]] - SalesCleanTable[[#This Row],[Unit Cost]]</f>
        <v>170</v>
      </c>
      <c r="AE2153" s="41">
        <f>(SalesCleanTable[[#This Row],[Unit Price]] - SalesCleanTable[[#This Row],[Unit Cost]]) / SalesCleanTable[[#This Row],[Unit Price]]</f>
        <v>0.42499999999999999</v>
      </c>
    </row>
    <row r="2154" spans="1:31">
      <c r="A2154" t="s">
        <v>2340</v>
      </c>
      <c r="B2154" s="6">
        <v>45674</v>
      </c>
      <c r="C2154" t="s">
        <v>53</v>
      </c>
      <c r="D2154" t="s">
        <v>54</v>
      </c>
      <c r="E2154" t="s">
        <v>38</v>
      </c>
      <c r="F2154" t="s">
        <v>55</v>
      </c>
      <c r="G2154" t="s">
        <v>56</v>
      </c>
      <c r="H2154" t="s">
        <v>141</v>
      </c>
      <c r="I2154" t="s">
        <v>142</v>
      </c>
      <c r="J2154" t="s">
        <v>143</v>
      </c>
      <c r="K2154" t="s">
        <v>144</v>
      </c>
      <c r="L2154" t="s">
        <v>166</v>
      </c>
      <c r="M2154" t="s">
        <v>177</v>
      </c>
      <c r="N2154">
        <v>3</v>
      </c>
      <c r="O2154" s="4">
        <v>330</v>
      </c>
      <c r="P2154" s="4">
        <v>550</v>
      </c>
      <c r="Q2154" s="7">
        <v>0</v>
      </c>
      <c r="R2154" t="s">
        <v>168</v>
      </c>
      <c r="S2154">
        <v>12</v>
      </c>
      <c r="T2154">
        <v>1650</v>
      </c>
      <c r="U2154">
        <v>0</v>
      </c>
      <c r="V2154">
        <v>1650</v>
      </c>
      <c r="W2154">
        <v>990</v>
      </c>
      <c r="X2154">
        <v>660</v>
      </c>
      <c r="Y2154" s="8">
        <v>0.4</v>
      </c>
      <c r="Z2154" t="s">
        <v>2996</v>
      </c>
      <c r="AA2154" t="str">
        <f>IF(AND(SalesCleanTable[[#This Row],[Discount %]]&gt;0, SalesCleanTable[[#This Row],[Profit]]&lt;0), "Discount loss", "Safe")</f>
        <v>Safe</v>
      </c>
      <c r="AB2154" s="25">
        <f>(SalesCleanTable[[#This Row],[Unit Price]] - SalesCleanTable[[#This Row],[Unit Cost]]) / SalesCleanTable[[#This Row],[Unit Price]]</f>
        <v>0.4</v>
      </c>
      <c r="AC2154" t="str">
        <f>IF(SalesCleanTable[[#This Row],[Discount %]] &gt; SalesCleanTable[[#This Row],[Max Allowed Discount]], "Discount loss", "Safe")</f>
        <v>Safe</v>
      </c>
      <c r="AD2154" s="4">
        <f>SalesCleanTable[[#This Row],[Unit Price]] - SalesCleanTable[[#This Row],[Unit Cost]]</f>
        <v>220</v>
      </c>
      <c r="AE2154" s="41">
        <f>(SalesCleanTable[[#This Row],[Unit Price]] - SalesCleanTable[[#This Row],[Unit Cost]]) / SalesCleanTable[[#This Row],[Unit Price]]</f>
        <v>0.4</v>
      </c>
    </row>
    <row r="2155" spans="1:31">
      <c r="A2155" t="s">
        <v>2341</v>
      </c>
      <c r="B2155" s="6">
        <v>45928</v>
      </c>
      <c r="C2155" t="s">
        <v>112</v>
      </c>
      <c r="D2155" t="s">
        <v>113</v>
      </c>
      <c r="E2155" t="s">
        <v>109</v>
      </c>
      <c r="F2155" t="s">
        <v>114</v>
      </c>
      <c r="G2155" t="s">
        <v>115</v>
      </c>
      <c r="H2155" t="s">
        <v>145</v>
      </c>
      <c r="I2155" t="s">
        <v>146</v>
      </c>
      <c r="J2155" t="s">
        <v>147</v>
      </c>
      <c r="K2155" t="s">
        <v>148</v>
      </c>
      <c r="L2155" t="s">
        <v>183</v>
      </c>
      <c r="M2155" t="s">
        <v>171</v>
      </c>
      <c r="N2155">
        <v>8</v>
      </c>
      <c r="O2155" s="4">
        <v>1300</v>
      </c>
      <c r="P2155" s="4">
        <v>2100</v>
      </c>
      <c r="Q2155" s="7">
        <v>0</v>
      </c>
      <c r="R2155" t="s">
        <v>235</v>
      </c>
      <c r="S2155">
        <v>14</v>
      </c>
      <c r="T2155">
        <v>16800</v>
      </c>
      <c r="U2155">
        <v>0</v>
      </c>
      <c r="V2155">
        <v>16800</v>
      </c>
      <c r="W2155">
        <v>10400</v>
      </c>
      <c r="X2155">
        <v>6400</v>
      </c>
      <c r="Y2155" s="8">
        <v>0.38095238095238093</v>
      </c>
      <c r="Z2155" t="s">
        <v>2995</v>
      </c>
      <c r="AA2155" t="str">
        <f>IF(AND(SalesCleanTable[[#This Row],[Discount %]]&gt;0, SalesCleanTable[[#This Row],[Profit]]&lt;0), "Discount loss", "Safe")</f>
        <v>Safe</v>
      </c>
      <c r="AB2155" s="25">
        <f>(SalesCleanTable[[#This Row],[Unit Price]] - SalesCleanTable[[#This Row],[Unit Cost]]) / SalesCleanTable[[#This Row],[Unit Price]]</f>
        <v>0.38095238095238093</v>
      </c>
      <c r="AC2155" t="str">
        <f>IF(SalesCleanTable[[#This Row],[Discount %]] &gt; SalesCleanTable[[#This Row],[Max Allowed Discount]], "Discount loss", "Safe")</f>
        <v>Safe</v>
      </c>
      <c r="AD2155" s="4">
        <f>SalesCleanTable[[#This Row],[Unit Price]] - SalesCleanTable[[#This Row],[Unit Cost]]</f>
        <v>800</v>
      </c>
      <c r="AE2155" s="41">
        <f>(SalesCleanTable[[#This Row],[Unit Price]] - SalesCleanTable[[#This Row],[Unit Cost]]) / SalesCleanTable[[#This Row],[Unit Price]]</f>
        <v>0.38095238095238093</v>
      </c>
    </row>
    <row r="2156" spans="1:31">
      <c r="A2156" t="s">
        <v>2342</v>
      </c>
      <c r="B2156" s="6">
        <v>45824</v>
      </c>
      <c r="C2156" t="s">
        <v>116</v>
      </c>
      <c r="D2156" t="s">
        <v>117</v>
      </c>
      <c r="E2156" t="s">
        <v>109</v>
      </c>
      <c r="F2156" t="s">
        <v>118</v>
      </c>
      <c r="G2156" t="s">
        <v>119</v>
      </c>
      <c r="H2156" t="s">
        <v>135</v>
      </c>
      <c r="I2156" t="s">
        <v>136</v>
      </c>
      <c r="J2156" t="s">
        <v>137</v>
      </c>
      <c r="K2156" t="s">
        <v>138</v>
      </c>
      <c r="L2156" t="s">
        <v>166</v>
      </c>
      <c r="M2156" t="s">
        <v>171</v>
      </c>
      <c r="N2156">
        <v>2</v>
      </c>
      <c r="O2156" s="4">
        <v>2800</v>
      </c>
      <c r="P2156" s="4">
        <v>4200</v>
      </c>
      <c r="Q2156" s="7">
        <v>0.05</v>
      </c>
      <c r="R2156" t="s">
        <v>184</v>
      </c>
      <c r="S2156">
        <v>3</v>
      </c>
      <c r="T2156">
        <v>8400</v>
      </c>
      <c r="U2156">
        <v>420</v>
      </c>
      <c r="V2156">
        <v>7980</v>
      </c>
      <c r="W2156">
        <v>5600</v>
      </c>
      <c r="X2156">
        <v>2380</v>
      </c>
      <c r="Y2156" s="8">
        <v>0.2982456140350877</v>
      </c>
      <c r="Z2156" t="s">
        <v>2995</v>
      </c>
      <c r="AA2156" t="str">
        <f>IF(AND(SalesCleanTable[[#This Row],[Discount %]]&gt;0, SalesCleanTable[[#This Row],[Profit]]&lt;0), "Discount loss", "Safe")</f>
        <v>Safe</v>
      </c>
      <c r="AB2156" s="25">
        <f>(SalesCleanTable[[#This Row],[Unit Price]] - SalesCleanTable[[#This Row],[Unit Cost]]) / SalesCleanTable[[#This Row],[Unit Price]]</f>
        <v>0.33333333333333331</v>
      </c>
      <c r="AC2156" t="str">
        <f>IF(SalesCleanTable[[#This Row],[Discount %]] &gt; SalesCleanTable[[#This Row],[Max Allowed Discount]], "Discount loss", "Safe")</f>
        <v>Safe</v>
      </c>
      <c r="AD2156" s="4">
        <f>SalesCleanTable[[#This Row],[Unit Price]] - SalesCleanTable[[#This Row],[Unit Cost]]</f>
        <v>1400</v>
      </c>
      <c r="AE2156" s="41">
        <f>(SalesCleanTable[[#This Row],[Unit Price]] - SalesCleanTable[[#This Row],[Unit Cost]]) / SalesCleanTable[[#This Row],[Unit Price]]</f>
        <v>0.33333333333333331</v>
      </c>
    </row>
    <row r="2157" spans="1:31">
      <c r="A2157" t="s">
        <v>2343</v>
      </c>
      <c r="B2157" s="6">
        <v>45951</v>
      </c>
      <c r="C2157" t="s">
        <v>116</v>
      </c>
      <c r="D2157" t="s">
        <v>117</v>
      </c>
      <c r="E2157" t="s">
        <v>109</v>
      </c>
      <c r="F2157" t="s">
        <v>118</v>
      </c>
      <c r="G2157" t="s">
        <v>119</v>
      </c>
      <c r="H2157" t="s">
        <v>135</v>
      </c>
      <c r="I2157" t="s">
        <v>136</v>
      </c>
      <c r="J2157" t="s">
        <v>137</v>
      </c>
      <c r="K2157" t="s">
        <v>138</v>
      </c>
      <c r="L2157" t="s">
        <v>183</v>
      </c>
      <c r="M2157" t="s">
        <v>177</v>
      </c>
      <c r="N2157">
        <v>2</v>
      </c>
      <c r="O2157" s="4">
        <v>2800</v>
      </c>
      <c r="P2157" s="4">
        <v>4200</v>
      </c>
      <c r="Q2157" s="7">
        <v>0</v>
      </c>
      <c r="R2157" t="s">
        <v>235</v>
      </c>
      <c r="S2157">
        <v>3</v>
      </c>
      <c r="T2157">
        <v>8400</v>
      </c>
      <c r="U2157">
        <v>0</v>
      </c>
      <c r="V2157">
        <v>8400</v>
      </c>
      <c r="W2157">
        <v>5600</v>
      </c>
      <c r="X2157">
        <v>2800</v>
      </c>
      <c r="Y2157" s="8">
        <v>0.33333333333333331</v>
      </c>
      <c r="Z2157" t="s">
        <v>2995</v>
      </c>
      <c r="AA2157" t="str">
        <f>IF(AND(SalesCleanTable[[#This Row],[Discount %]]&gt;0, SalesCleanTable[[#This Row],[Profit]]&lt;0), "Discount loss", "Safe")</f>
        <v>Safe</v>
      </c>
      <c r="AB2157" s="25">
        <f>(SalesCleanTable[[#This Row],[Unit Price]] - SalesCleanTable[[#This Row],[Unit Cost]]) / SalesCleanTable[[#This Row],[Unit Price]]</f>
        <v>0.33333333333333331</v>
      </c>
      <c r="AC2157" t="str">
        <f>IF(SalesCleanTable[[#This Row],[Discount %]] &gt; SalesCleanTable[[#This Row],[Max Allowed Discount]], "Discount loss", "Safe")</f>
        <v>Safe</v>
      </c>
      <c r="AD2157" s="4">
        <f>SalesCleanTable[[#This Row],[Unit Price]] - SalesCleanTable[[#This Row],[Unit Cost]]</f>
        <v>1400</v>
      </c>
      <c r="AE2157" s="41">
        <f>(SalesCleanTable[[#This Row],[Unit Price]] - SalesCleanTable[[#This Row],[Unit Cost]]) / SalesCleanTable[[#This Row],[Unit Price]]</f>
        <v>0.33333333333333331</v>
      </c>
    </row>
    <row r="2158" spans="1:31">
      <c r="A2158" t="s">
        <v>2344</v>
      </c>
      <c r="B2158" s="6">
        <v>45909</v>
      </c>
      <c r="C2158" t="s">
        <v>78</v>
      </c>
      <c r="D2158" t="s">
        <v>79</v>
      </c>
      <c r="E2158" t="s">
        <v>75</v>
      </c>
      <c r="F2158" t="s">
        <v>80</v>
      </c>
      <c r="G2158" t="s">
        <v>81</v>
      </c>
      <c r="H2158" t="s">
        <v>145</v>
      </c>
      <c r="I2158" t="s">
        <v>146</v>
      </c>
      <c r="J2158" t="s">
        <v>147</v>
      </c>
      <c r="K2158" t="s">
        <v>148</v>
      </c>
      <c r="L2158" t="s">
        <v>166</v>
      </c>
      <c r="M2158" t="s">
        <v>171</v>
      </c>
      <c r="N2158">
        <v>6</v>
      </c>
      <c r="O2158" s="4">
        <v>1200</v>
      </c>
      <c r="P2158" s="4">
        <v>1900</v>
      </c>
      <c r="Q2158" s="7">
        <v>0.05</v>
      </c>
      <c r="R2158" t="s">
        <v>187</v>
      </c>
      <c r="S2158">
        <v>1</v>
      </c>
      <c r="T2158">
        <v>11400</v>
      </c>
      <c r="U2158">
        <v>570</v>
      </c>
      <c r="V2158">
        <v>10830</v>
      </c>
      <c r="W2158">
        <v>7200</v>
      </c>
      <c r="X2158">
        <v>3630</v>
      </c>
      <c r="Y2158" s="8">
        <v>0.33518005540166207</v>
      </c>
      <c r="Z2158" t="s">
        <v>2996</v>
      </c>
      <c r="AA2158" t="str">
        <f>IF(AND(SalesCleanTable[[#This Row],[Discount %]]&gt;0, SalesCleanTable[[#This Row],[Profit]]&lt;0), "Discount loss", "Safe")</f>
        <v>Safe</v>
      </c>
      <c r="AB2158" s="25">
        <f>(SalesCleanTable[[#This Row],[Unit Price]] - SalesCleanTable[[#This Row],[Unit Cost]]) / SalesCleanTable[[#This Row],[Unit Price]]</f>
        <v>0.36842105263157893</v>
      </c>
      <c r="AC2158" t="str">
        <f>IF(SalesCleanTable[[#This Row],[Discount %]] &gt; SalesCleanTable[[#This Row],[Max Allowed Discount]], "Discount loss", "Safe")</f>
        <v>Safe</v>
      </c>
      <c r="AD2158" s="4">
        <f>SalesCleanTable[[#This Row],[Unit Price]] - SalesCleanTable[[#This Row],[Unit Cost]]</f>
        <v>700</v>
      </c>
      <c r="AE2158" s="41">
        <f>(SalesCleanTable[[#This Row],[Unit Price]] - SalesCleanTable[[#This Row],[Unit Cost]]) / SalesCleanTable[[#This Row],[Unit Price]]</f>
        <v>0.36842105263157893</v>
      </c>
    </row>
    <row r="2159" spans="1:31">
      <c r="A2159" t="s">
        <v>2345</v>
      </c>
      <c r="B2159" s="6">
        <v>45667</v>
      </c>
      <c r="C2159" t="s">
        <v>62</v>
      </c>
      <c r="D2159" t="s">
        <v>63</v>
      </c>
      <c r="E2159" t="s">
        <v>59</v>
      </c>
      <c r="F2159" t="s">
        <v>64</v>
      </c>
      <c r="G2159" t="s">
        <v>65</v>
      </c>
      <c r="H2159" t="s">
        <v>135</v>
      </c>
      <c r="I2159" t="s">
        <v>136</v>
      </c>
      <c r="J2159" t="s">
        <v>137</v>
      </c>
      <c r="K2159" t="s">
        <v>138</v>
      </c>
      <c r="L2159" t="s">
        <v>170</v>
      </c>
      <c r="M2159" t="s">
        <v>186</v>
      </c>
      <c r="N2159">
        <v>5</v>
      </c>
      <c r="O2159" s="4">
        <v>3200</v>
      </c>
      <c r="P2159" s="4">
        <v>4500</v>
      </c>
      <c r="Q2159" s="7">
        <v>0.1</v>
      </c>
      <c r="R2159" t="s">
        <v>173</v>
      </c>
      <c r="S2159">
        <v>2</v>
      </c>
      <c r="T2159">
        <v>22500</v>
      </c>
      <c r="U2159">
        <v>2250</v>
      </c>
      <c r="V2159">
        <v>20250</v>
      </c>
      <c r="W2159">
        <v>16000</v>
      </c>
      <c r="X2159">
        <v>4250</v>
      </c>
      <c r="Y2159" s="8">
        <v>0.20987654320987653</v>
      </c>
      <c r="Z2159" t="s">
        <v>2996</v>
      </c>
      <c r="AA2159" t="str">
        <f>IF(AND(SalesCleanTable[[#This Row],[Discount %]]&gt;0, SalesCleanTable[[#This Row],[Profit]]&lt;0), "Discount loss", "Safe")</f>
        <v>Safe</v>
      </c>
      <c r="AB2159" s="25">
        <f>(SalesCleanTable[[#This Row],[Unit Price]] - SalesCleanTable[[#This Row],[Unit Cost]]) / SalesCleanTable[[#This Row],[Unit Price]]</f>
        <v>0.28888888888888886</v>
      </c>
      <c r="AC2159" t="str">
        <f>IF(SalesCleanTable[[#This Row],[Discount %]] &gt; SalesCleanTable[[#This Row],[Max Allowed Discount]], "Discount loss", "Safe")</f>
        <v>Safe</v>
      </c>
      <c r="AD2159" s="4">
        <f>SalesCleanTable[[#This Row],[Unit Price]] - SalesCleanTable[[#This Row],[Unit Cost]]</f>
        <v>1300</v>
      </c>
      <c r="AE2159" s="41">
        <f>(SalesCleanTable[[#This Row],[Unit Price]] - SalesCleanTable[[#This Row],[Unit Cost]]) / SalesCleanTable[[#This Row],[Unit Price]]</f>
        <v>0.28888888888888886</v>
      </c>
    </row>
    <row r="2160" spans="1:31">
      <c r="A2160" t="s">
        <v>2346</v>
      </c>
      <c r="B2160" s="6">
        <v>45659</v>
      </c>
      <c r="C2160" t="s">
        <v>57</v>
      </c>
      <c r="D2160" t="s">
        <v>58</v>
      </c>
      <c r="E2160" t="s">
        <v>59</v>
      </c>
      <c r="F2160" t="s">
        <v>60</v>
      </c>
      <c r="G2160" t="s">
        <v>61</v>
      </c>
      <c r="H2160" t="s">
        <v>139</v>
      </c>
      <c r="I2160" t="s">
        <v>140</v>
      </c>
      <c r="J2160" t="s">
        <v>137</v>
      </c>
      <c r="K2160" t="s">
        <v>138</v>
      </c>
      <c r="L2160" t="s">
        <v>166</v>
      </c>
      <c r="M2160" t="s">
        <v>177</v>
      </c>
      <c r="N2160">
        <v>5</v>
      </c>
      <c r="O2160" s="4">
        <v>2400</v>
      </c>
      <c r="P2160" s="4">
        <v>3400</v>
      </c>
      <c r="Q2160" s="7">
        <v>0.2</v>
      </c>
      <c r="R2160" t="s">
        <v>192</v>
      </c>
      <c r="S2160">
        <v>1</v>
      </c>
      <c r="T2160">
        <v>17000</v>
      </c>
      <c r="U2160">
        <v>3400</v>
      </c>
      <c r="V2160">
        <v>13600</v>
      </c>
      <c r="W2160">
        <v>12000</v>
      </c>
      <c r="X2160">
        <v>1600</v>
      </c>
      <c r="Y2160" s="8">
        <v>0.11764705882352941</v>
      </c>
      <c r="Z2160" t="s">
        <v>2996</v>
      </c>
      <c r="AA2160" t="str">
        <f>IF(AND(SalesCleanTable[[#This Row],[Discount %]]&gt;0, SalesCleanTable[[#This Row],[Profit]]&lt;0), "Discount loss", "Safe")</f>
        <v>Safe</v>
      </c>
      <c r="AB2160" s="25">
        <f>(SalesCleanTable[[#This Row],[Unit Price]] - SalesCleanTable[[#This Row],[Unit Cost]]) / SalesCleanTable[[#This Row],[Unit Price]]</f>
        <v>0.29411764705882354</v>
      </c>
      <c r="AC2160" t="str">
        <f>IF(SalesCleanTable[[#This Row],[Discount %]] &gt; SalesCleanTable[[#This Row],[Max Allowed Discount]], "Discount loss", "Safe")</f>
        <v>Safe</v>
      </c>
      <c r="AD2160" s="4">
        <f>SalesCleanTable[[#This Row],[Unit Price]] - SalesCleanTable[[#This Row],[Unit Cost]]</f>
        <v>1000</v>
      </c>
      <c r="AE2160" s="41">
        <f>(SalesCleanTable[[#This Row],[Unit Price]] - SalesCleanTable[[#This Row],[Unit Cost]]) / SalesCleanTable[[#This Row],[Unit Price]]</f>
        <v>0.29411764705882354</v>
      </c>
    </row>
    <row r="2161" spans="1:31">
      <c r="A2161" t="s">
        <v>2347</v>
      </c>
      <c r="B2161" s="6">
        <v>45705</v>
      </c>
      <c r="C2161" t="s">
        <v>49</v>
      </c>
      <c r="D2161" t="s">
        <v>50</v>
      </c>
      <c r="E2161" t="s">
        <v>38</v>
      </c>
      <c r="F2161" t="s">
        <v>51</v>
      </c>
      <c r="G2161" t="s">
        <v>52</v>
      </c>
      <c r="H2161" t="s">
        <v>145</v>
      </c>
      <c r="I2161" t="s">
        <v>146</v>
      </c>
      <c r="J2161" t="s">
        <v>147</v>
      </c>
      <c r="K2161" t="s">
        <v>148</v>
      </c>
      <c r="L2161" t="s">
        <v>166</v>
      </c>
      <c r="M2161" t="s">
        <v>186</v>
      </c>
      <c r="N2161">
        <v>3</v>
      </c>
      <c r="O2161" s="4">
        <v>550</v>
      </c>
      <c r="P2161" s="4">
        <v>850</v>
      </c>
      <c r="Q2161" s="7">
        <v>0.15</v>
      </c>
      <c r="R2161" t="s">
        <v>175</v>
      </c>
      <c r="S2161">
        <v>12</v>
      </c>
      <c r="T2161">
        <v>2550</v>
      </c>
      <c r="U2161">
        <v>382.5</v>
      </c>
      <c r="V2161">
        <v>2167.5</v>
      </c>
      <c r="W2161">
        <v>1650</v>
      </c>
      <c r="X2161">
        <v>517.5</v>
      </c>
      <c r="Y2161" s="8">
        <v>0.23875432525951557</v>
      </c>
      <c r="Z2161" t="s">
        <v>2996</v>
      </c>
      <c r="AA2161" t="str">
        <f>IF(AND(SalesCleanTable[[#This Row],[Discount %]]&gt;0, SalesCleanTable[[#This Row],[Profit]]&lt;0), "Discount loss", "Safe")</f>
        <v>Safe</v>
      </c>
      <c r="AB2161" s="25">
        <f>(SalesCleanTable[[#This Row],[Unit Price]] - SalesCleanTable[[#This Row],[Unit Cost]]) / SalesCleanTable[[#This Row],[Unit Price]]</f>
        <v>0.35294117647058826</v>
      </c>
      <c r="AC2161" t="str">
        <f>IF(SalesCleanTable[[#This Row],[Discount %]] &gt; SalesCleanTable[[#This Row],[Max Allowed Discount]], "Discount loss", "Safe")</f>
        <v>Safe</v>
      </c>
      <c r="AD2161" s="4">
        <f>SalesCleanTable[[#This Row],[Unit Price]] - SalesCleanTable[[#This Row],[Unit Cost]]</f>
        <v>300</v>
      </c>
      <c r="AE2161" s="41">
        <f>(SalesCleanTable[[#This Row],[Unit Price]] - SalesCleanTable[[#This Row],[Unit Cost]]) / SalesCleanTable[[#This Row],[Unit Price]]</f>
        <v>0.35294117647058826</v>
      </c>
    </row>
    <row r="2162" spans="1:31">
      <c r="A2162" t="s">
        <v>2348</v>
      </c>
      <c r="B2162" s="6">
        <v>46002</v>
      </c>
      <c r="C2162" t="s">
        <v>57</v>
      </c>
      <c r="D2162" t="s">
        <v>58</v>
      </c>
      <c r="E2162" t="s">
        <v>59</v>
      </c>
      <c r="F2162" t="s">
        <v>60</v>
      </c>
      <c r="G2162" t="s">
        <v>61</v>
      </c>
      <c r="H2162" t="s">
        <v>145</v>
      </c>
      <c r="I2162" t="s">
        <v>146</v>
      </c>
      <c r="J2162" t="s">
        <v>147</v>
      </c>
      <c r="K2162" t="s">
        <v>148</v>
      </c>
      <c r="L2162" t="s">
        <v>183</v>
      </c>
      <c r="M2162" t="s">
        <v>186</v>
      </c>
      <c r="N2162">
        <v>4</v>
      </c>
      <c r="O2162" s="4">
        <v>2400</v>
      </c>
      <c r="P2162" s="4">
        <v>3400</v>
      </c>
      <c r="Q2162" s="7">
        <v>0.1</v>
      </c>
      <c r="R2162" t="s">
        <v>173</v>
      </c>
      <c r="S2162">
        <v>13</v>
      </c>
      <c r="T2162">
        <v>13600</v>
      </c>
      <c r="U2162">
        <v>1360</v>
      </c>
      <c r="V2162">
        <v>12240</v>
      </c>
      <c r="W2162">
        <v>9600</v>
      </c>
      <c r="X2162">
        <v>2640</v>
      </c>
      <c r="Y2162" s="8">
        <v>0.21568627450980393</v>
      </c>
      <c r="Z2162" t="s">
        <v>2996</v>
      </c>
      <c r="AA2162" t="str">
        <f>IF(AND(SalesCleanTable[[#This Row],[Discount %]]&gt;0, SalesCleanTable[[#This Row],[Profit]]&lt;0), "Discount loss", "Safe")</f>
        <v>Safe</v>
      </c>
      <c r="AB2162" s="25">
        <f>(SalesCleanTable[[#This Row],[Unit Price]] - SalesCleanTable[[#This Row],[Unit Cost]]) / SalesCleanTable[[#This Row],[Unit Price]]</f>
        <v>0.29411764705882354</v>
      </c>
      <c r="AC2162" t="str">
        <f>IF(SalesCleanTable[[#This Row],[Discount %]] &gt; SalesCleanTable[[#This Row],[Max Allowed Discount]], "Discount loss", "Safe")</f>
        <v>Safe</v>
      </c>
      <c r="AD2162" s="4">
        <f>SalesCleanTable[[#This Row],[Unit Price]] - SalesCleanTable[[#This Row],[Unit Cost]]</f>
        <v>1000</v>
      </c>
      <c r="AE2162" s="41">
        <f>(SalesCleanTable[[#This Row],[Unit Price]] - SalesCleanTable[[#This Row],[Unit Cost]]) / SalesCleanTable[[#This Row],[Unit Price]]</f>
        <v>0.29411764705882354</v>
      </c>
    </row>
    <row r="2163" spans="1:31">
      <c r="A2163" t="s">
        <v>2349</v>
      </c>
      <c r="B2163" s="6">
        <v>45811</v>
      </c>
      <c r="C2163" t="s">
        <v>62</v>
      </c>
      <c r="D2163" t="s">
        <v>63</v>
      </c>
      <c r="E2163" t="s">
        <v>59</v>
      </c>
      <c r="F2163" t="s">
        <v>64</v>
      </c>
      <c r="G2163" t="s">
        <v>65</v>
      </c>
      <c r="H2163" t="s">
        <v>149</v>
      </c>
      <c r="I2163" t="s">
        <v>150</v>
      </c>
      <c r="J2163" t="s">
        <v>151</v>
      </c>
      <c r="K2163" t="s">
        <v>152</v>
      </c>
      <c r="L2163" t="s">
        <v>183</v>
      </c>
      <c r="M2163" t="s">
        <v>186</v>
      </c>
      <c r="N2163">
        <v>1</v>
      </c>
      <c r="O2163" s="4">
        <v>3200</v>
      </c>
      <c r="P2163" s="4">
        <v>4500</v>
      </c>
      <c r="Q2163" s="7">
        <v>0.15</v>
      </c>
      <c r="R2163" t="s">
        <v>204</v>
      </c>
      <c r="S2163">
        <v>7</v>
      </c>
      <c r="T2163">
        <v>4500</v>
      </c>
      <c r="U2163">
        <v>675</v>
      </c>
      <c r="V2163">
        <v>3825</v>
      </c>
      <c r="W2163">
        <v>3200</v>
      </c>
      <c r="X2163">
        <v>625</v>
      </c>
      <c r="Y2163" s="8">
        <v>0.16339869281045752</v>
      </c>
      <c r="Z2163" t="s">
        <v>2996</v>
      </c>
      <c r="AA2163" t="str">
        <f>IF(AND(SalesCleanTable[[#This Row],[Discount %]]&gt;0, SalesCleanTable[[#This Row],[Profit]]&lt;0), "Discount loss", "Safe")</f>
        <v>Safe</v>
      </c>
      <c r="AB2163" s="25">
        <f>(SalesCleanTable[[#This Row],[Unit Price]] - SalesCleanTable[[#This Row],[Unit Cost]]) / SalesCleanTable[[#This Row],[Unit Price]]</f>
        <v>0.28888888888888886</v>
      </c>
      <c r="AC2163" t="str">
        <f>IF(SalesCleanTable[[#This Row],[Discount %]] &gt; SalesCleanTable[[#This Row],[Max Allowed Discount]], "Discount loss", "Safe")</f>
        <v>Safe</v>
      </c>
      <c r="AD2163" s="4">
        <f>SalesCleanTable[[#This Row],[Unit Price]] - SalesCleanTable[[#This Row],[Unit Cost]]</f>
        <v>1300</v>
      </c>
      <c r="AE2163" s="41">
        <f>(SalesCleanTable[[#This Row],[Unit Price]] - SalesCleanTable[[#This Row],[Unit Cost]]) / SalesCleanTable[[#This Row],[Unit Price]]</f>
        <v>0.28888888888888886</v>
      </c>
    </row>
    <row r="2164" spans="1:31">
      <c r="A2164" t="s">
        <v>2350</v>
      </c>
      <c r="B2164" s="6">
        <v>45683</v>
      </c>
      <c r="C2164" t="s">
        <v>24</v>
      </c>
      <c r="D2164" t="s">
        <v>25</v>
      </c>
      <c r="E2164" t="s">
        <v>26</v>
      </c>
      <c r="F2164" t="s">
        <v>27</v>
      </c>
      <c r="G2164" t="s">
        <v>28</v>
      </c>
      <c r="H2164" t="s">
        <v>139</v>
      </c>
      <c r="I2164" t="s">
        <v>140</v>
      </c>
      <c r="J2164" t="s">
        <v>137</v>
      </c>
      <c r="K2164" t="s">
        <v>138</v>
      </c>
      <c r="L2164" t="s">
        <v>166</v>
      </c>
      <c r="M2164" t="s">
        <v>167</v>
      </c>
      <c r="N2164">
        <v>5</v>
      </c>
      <c r="O2164" s="4">
        <v>14500</v>
      </c>
      <c r="P2164" s="4">
        <v>17500</v>
      </c>
      <c r="Q2164" s="7">
        <v>0.1</v>
      </c>
      <c r="R2164" t="s">
        <v>194</v>
      </c>
      <c r="S2164">
        <v>2</v>
      </c>
      <c r="T2164">
        <v>87500</v>
      </c>
      <c r="U2164">
        <v>8750</v>
      </c>
      <c r="V2164">
        <v>78750</v>
      </c>
      <c r="W2164">
        <v>72500</v>
      </c>
      <c r="X2164">
        <v>6250</v>
      </c>
      <c r="Y2164" s="8">
        <v>7.9365079365079361E-2</v>
      </c>
      <c r="Z2164" t="s">
        <v>2995</v>
      </c>
      <c r="AA2164" t="str">
        <f>IF(AND(SalesCleanTable[[#This Row],[Discount %]]&gt;0, SalesCleanTable[[#This Row],[Profit]]&lt;0), "Discount loss", "Safe")</f>
        <v>Safe</v>
      </c>
      <c r="AB2164" s="25">
        <f>(SalesCleanTable[[#This Row],[Unit Price]] - SalesCleanTable[[#This Row],[Unit Cost]]) / SalesCleanTable[[#This Row],[Unit Price]]</f>
        <v>0.17142857142857143</v>
      </c>
      <c r="AC2164" t="str">
        <f>IF(SalesCleanTable[[#This Row],[Discount %]] &gt; SalesCleanTable[[#This Row],[Max Allowed Discount]], "Discount loss", "Safe")</f>
        <v>Safe</v>
      </c>
      <c r="AD2164" s="4">
        <f>SalesCleanTable[[#This Row],[Unit Price]] - SalesCleanTable[[#This Row],[Unit Cost]]</f>
        <v>3000</v>
      </c>
      <c r="AE2164" s="41">
        <f>(SalesCleanTable[[#This Row],[Unit Price]] - SalesCleanTable[[#This Row],[Unit Cost]]) / SalesCleanTable[[#This Row],[Unit Price]]</f>
        <v>0.17142857142857143</v>
      </c>
    </row>
    <row r="2165" spans="1:31">
      <c r="A2165" t="s">
        <v>2351</v>
      </c>
      <c r="B2165" s="6">
        <v>45783</v>
      </c>
      <c r="C2165" t="s">
        <v>116</v>
      </c>
      <c r="D2165" t="s">
        <v>117</v>
      </c>
      <c r="E2165" t="s">
        <v>109</v>
      </c>
      <c r="F2165" t="s">
        <v>118</v>
      </c>
      <c r="G2165" t="s">
        <v>119</v>
      </c>
      <c r="H2165" t="s">
        <v>128</v>
      </c>
      <c r="I2165" t="s">
        <v>129</v>
      </c>
      <c r="J2165" t="s">
        <v>130</v>
      </c>
      <c r="K2165" t="s">
        <v>131</v>
      </c>
      <c r="L2165" t="s">
        <v>166</v>
      </c>
      <c r="M2165" t="s">
        <v>171</v>
      </c>
      <c r="N2165">
        <v>1</v>
      </c>
      <c r="O2165" s="4">
        <v>2800</v>
      </c>
      <c r="P2165" s="4">
        <v>4200</v>
      </c>
      <c r="Q2165" s="7">
        <v>0.15</v>
      </c>
      <c r="R2165" t="s">
        <v>184</v>
      </c>
      <c r="S2165">
        <v>11</v>
      </c>
      <c r="T2165">
        <v>4200</v>
      </c>
      <c r="U2165">
        <v>630</v>
      </c>
      <c r="V2165">
        <v>3570</v>
      </c>
      <c r="W2165">
        <v>2800</v>
      </c>
      <c r="X2165">
        <v>770</v>
      </c>
      <c r="Y2165" s="8">
        <v>0.21568627450980393</v>
      </c>
      <c r="Z2165" t="s">
        <v>2995</v>
      </c>
      <c r="AA2165" t="str">
        <f>IF(AND(SalesCleanTable[[#This Row],[Discount %]]&gt;0, SalesCleanTable[[#This Row],[Profit]]&lt;0), "Discount loss", "Safe")</f>
        <v>Safe</v>
      </c>
      <c r="AB2165" s="25">
        <f>(SalesCleanTable[[#This Row],[Unit Price]] - SalesCleanTable[[#This Row],[Unit Cost]]) / SalesCleanTable[[#This Row],[Unit Price]]</f>
        <v>0.33333333333333331</v>
      </c>
      <c r="AC2165" t="str">
        <f>IF(SalesCleanTable[[#This Row],[Discount %]] &gt; SalesCleanTable[[#This Row],[Max Allowed Discount]], "Discount loss", "Safe")</f>
        <v>Safe</v>
      </c>
      <c r="AD2165" s="4">
        <f>SalesCleanTable[[#This Row],[Unit Price]] - SalesCleanTable[[#This Row],[Unit Cost]]</f>
        <v>1400</v>
      </c>
      <c r="AE2165" s="41">
        <f>(SalesCleanTable[[#This Row],[Unit Price]] - SalesCleanTable[[#This Row],[Unit Cost]]) / SalesCleanTable[[#This Row],[Unit Price]]</f>
        <v>0.33333333333333331</v>
      </c>
    </row>
    <row r="2166" spans="1:31">
      <c r="A2166" t="s">
        <v>2352</v>
      </c>
      <c r="B2166" s="6">
        <v>45790</v>
      </c>
      <c r="C2166" t="s">
        <v>45</v>
      </c>
      <c r="D2166" t="s">
        <v>46</v>
      </c>
      <c r="E2166" t="s">
        <v>38</v>
      </c>
      <c r="F2166" t="s">
        <v>47</v>
      </c>
      <c r="G2166" t="s">
        <v>48</v>
      </c>
      <c r="H2166" t="s">
        <v>133</v>
      </c>
      <c r="I2166" t="s">
        <v>134</v>
      </c>
      <c r="J2166" t="s">
        <v>130</v>
      </c>
      <c r="K2166" t="s">
        <v>131</v>
      </c>
      <c r="L2166" t="s">
        <v>166</v>
      </c>
      <c r="M2166" t="s">
        <v>177</v>
      </c>
      <c r="N2166">
        <v>3</v>
      </c>
      <c r="O2166" s="4">
        <v>230</v>
      </c>
      <c r="P2166" s="4">
        <v>400</v>
      </c>
      <c r="Q2166" s="7">
        <v>0.15</v>
      </c>
      <c r="R2166" t="s">
        <v>168</v>
      </c>
      <c r="S2166">
        <v>5</v>
      </c>
      <c r="T2166">
        <v>1200</v>
      </c>
      <c r="U2166">
        <v>180</v>
      </c>
      <c r="V2166">
        <v>1020</v>
      </c>
      <c r="W2166">
        <v>690</v>
      </c>
      <c r="X2166">
        <v>330</v>
      </c>
      <c r="Y2166" s="8">
        <v>0.3235294117647059</v>
      </c>
      <c r="Z2166" t="s">
        <v>2995</v>
      </c>
      <c r="AA2166" t="str">
        <f>IF(AND(SalesCleanTable[[#This Row],[Discount %]]&gt;0, SalesCleanTable[[#This Row],[Profit]]&lt;0), "Discount loss", "Safe")</f>
        <v>Safe</v>
      </c>
      <c r="AB2166" s="25">
        <f>(SalesCleanTable[[#This Row],[Unit Price]] - SalesCleanTable[[#This Row],[Unit Cost]]) / SalesCleanTable[[#This Row],[Unit Price]]</f>
        <v>0.42499999999999999</v>
      </c>
      <c r="AC2166" t="str">
        <f>IF(SalesCleanTable[[#This Row],[Discount %]] &gt; SalesCleanTable[[#This Row],[Max Allowed Discount]], "Discount loss", "Safe")</f>
        <v>Safe</v>
      </c>
      <c r="AD2166" s="4">
        <f>SalesCleanTable[[#This Row],[Unit Price]] - SalesCleanTable[[#This Row],[Unit Cost]]</f>
        <v>170</v>
      </c>
      <c r="AE2166" s="41">
        <f>(SalesCleanTable[[#This Row],[Unit Price]] - SalesCleanTable[[#This Row],[Unit Cost]]) / SalesCleanTable[[#This Row],[Unit Price]]</f>
        <v>0.42499999999999999</v>
      </c>
    </row>
    <row r="2167" spans="1:31">
      <c r="A2167" t="s">
        <v>2353</v>
      </c>
      <c r="B2167" s="6">
        <v>45998</v>
      </c>
      <c r="C2167" t="s">
        <v>24</v>
      </c>
      <c r="D2167" t="s">
        <v>25</v>
      </c>
      <c r="E2167" t="s">
        <v>26</v>
      </c>
      <c r="F2167" t="s">
        <v>27</v>
      </c>
      <c r="G2167" t="s">
        <v>28</v>
      </c>
      <c r="H2167" t="s">
        <v>135</v>
      </c>
      <c r="I2167" t="s">
        <v>136</v>
      </c>
      <c r="J2167" t="s">
        <v>137</v>
      </c>
      <c r="K2167" t="s">
        <v>138</v>
      </c>
      <c r="L2167" t="s">
        <v>166</v>
      </c>
      <c r="M2167" t="s">
        <v>177</v>
      </c>
      <c r="N2167">
        <v>2</v>
      </c>
      <c r="O2167" s="4">
        <v>14500</v>
      </c>
      <c r="P2167" s="4">
        <v>17500</v>
      </c>
      <c r="Q2167" s="7">
        <v>0</v>
      </c>
      <c r="R2167" t="s">
        <v>194</v>
      </c>
      <c r="S2167">
        <v>7</v>
      </c>
      <c r="T2167">
        <v>35000</v>
      </c>
      <c r="U2167">
        <v>0</v>
      </c>
      <c r="V2167">
        <v>35000</v>
      </c>
      <c r="W2167">
        <v>29000</v>
      </c>
      <c r="X2167">
        <v>6000</v>
      </c>
      <c r="Y2167" s="8">
        <v>0.17142857142857143</v>
      </c>
      <c r="Z2167" t="s">
        <v>2995</v>
      </c>
      <c r="AA2167" t="str">
        <f>IF(AND(SalesCleanTable[[#This Row],[Discount %]]&gt;0, SalesCleanTable[[#This Row],[Profit]]&lt;0), "Discount loss", "Safe")</f>
        <v>Safe</v>
      </c>
      <c r="AB2167" s="25">
        <f>(SalesCleanTable[[#This Row],[Unit Price]] - SalesCleanTable[[#This Row],[Unit Cost]]) / SalesCleanTable[[#This Row],[Unit Price]]</f>
        <v>0.17142857142857143</v>
      </c>
      <c r="AC2167" t="str">
        <f>IF(SalesCleanTable[[#This Row],[Discount %]] &gt; SalesCleanTable[[#This Row],[Max Allowed Discount]], "Discount loss", "Safe")</f>
        <v>Safe</v>
      </c>
      <c r="AD2167" s="4">
        <f>SalesCleanTable[[#This Row],[Unit Price]] - SalesCleanTable[[#This Row],[Unit Cost]]</f>
        <v>3000</v>
      </c>
      <c r="AE2167" s="41">
        <f>(SalesCleanTable[[#This Row],[Unit Price]] - SalesCleanTable[[#This Row],[Unit Cost]]) / SalesCleanTable[[#This Row],[Unit Price]]</f>
        <v>0.17142857142857143</v>
      </c>
    </row>
    <row r="2168" spans="1:31">
      <c r="A2168" t="s">
        <v>2354</v>
      </c>
      <c r="B2168" s="6">
        <v>45968</v>
      </c>
      <c r="C2168" t="s">
        <v>66</v>
      </c>
      <c r="D2168" t="s">
        <v>67</v>
      </c>
      <c r="E2168" t="s">
        <v>59</v>
      </c>
      <c r="F2168" t="s">
        <v>60</v>
      </c>
      <c r="G2168" t="s">
        <v>68</v>
      </c>
      <c r="H2168" t="s">
        <v>135</v>
      </c>
      <c r="I2168" t="s">
        <v>136</v>
      </c>
      <c r="J2168" t="s">
        <v>137</v>
      </c>
      <c r="K2168" t="s">
        <v>138</v>
      </c>
      <c r="L2168" t="s">
        <v>166</v>
      </c>
      <c r="M2168" t="s">
        <v>186</v>
      </c>
      <c r="N2168">
        <v>6</v>
      </c>
      <c r="O2168" s="4">
        <v>2800</v>
      </c>
      <c r="P2168" s="4">
        <v>3900</v>
      </c>
      <c r="Q2168" s="7">
        <v>0</v>
      </c>
      <c r="R2168" t="s">
        <v>173</v>
      </c>
      <c r="S2168">
        <v>1</v>
      </c>
      <c r="T2168">
        <v>23400</v>
      </c>
      <c r="U2168">
        <v>0</v>
      </c>
      <c r="V2168">
        <v>23400</v>
      </c>
      <c r="W2168">
        <v>16800</v>
      </c>
      <c r="X2168">
        <v>6600</v>
      </c>
      <c r="Y2168" s="8">
        <v>0.28205128205128205</v>
      </c>
      <c r="Z2168" t="s">
        <v>2996</v>
      </c>
      <c r="AA2168" t="str">
        <f>IF(AND(SalesCleanTable[[#This Row],[Discount %]]&gt;0, SalesCleanTable[[#This Row],[Profit]]&lt;0), "Discount loss", "Safe")</f>
        <v>Safe</v>
      </c>
      <c r="AB2168" s="25">
        <f>(SalesCleanTable[[#This Row],[Unit Price]] - SalesCleanTable[[#This Row],[Unit Cost]]) / SalesCleanTable[[#This Row],[Unit Price]]</f>
        <v>0.28205128205128205</v>
      </c>
      <c r="AC2168" t="str">
        <f>IF(SalesCleanTable[[#This Row],[Discount %]] &gt; SalesCleanTable[[#This Row],[Max Allowed Discount]], "Discount loss", "Safe")</f>
        <v>Safe</v>
      </c>
      <c r="AD2168" s="4">
        <f>SalesCleanTable[[#This Row],[Unit Price]] - SalesCleanTable[[#This Row],[Unit Cost]]</f>
        <v>1100</v>
      </c>
      <c r="AE2168" s="41">
        <f>(SalesCleanTable[[#This Row],[Unit Price]] - SalesCleanTable[[#This Row],[Unit Cost]]) / SalesCleanTable[[#This Row],[Unit Price]]</f>
        <v>0.28205128205128205</v>
      </c>
    </row>
    <row r="2169" spans="1:31">
      <c r="A2169" t="s">
        <v>2355</v>
      </c>
      <c r="B2169" s="6">
        <v>45939</v>
      </c>
      <c r="C2169" t="s">
        <v>32</v>
      </c>
      <c r="D2169" t="s">
        <v>33</v>
      </c>
      <c r="E2169" t="s">
        <v>26</v>
      </c>
      <c r="F2169" t="s">
        <v>34</v>
      </c>
      <c r="G2169" t="s">
        <v>35</v>
      </c>
      <c r="H2169" t="s">
        <v>149</v>
      </c>
      <c r="I2169" t="s">
        <v>150</v>
      </c>
      <c r="J2169" t="s">
        <v>151</v>
      </c>
      <c r="K2169" t="s">
        <v>152</v>
      </c>
      <c r="L2169" t="s">
        <v>183</v>
      </c>
      <c r="M2169" t="s">
        <v>171</v>
      </c>
      <c r="N2169">
        <v>4</v>
      </c>
      <c r="O2169" s="4">
        <v>7800</v>
      </c>
      <c r="P2169" s="4">
        <v>9800</v>
      </c>
      <c r="Q2169" s="7">
        <v>0.15</v>
      </c>
      <c r="R2169" t="s">
        <v>197</v>
      </c>
      <c r="S2169">
        <v>12</v>
      </c>
      <c r="T2169">
        <v>39200</v>
      </c>
      <c r="U2169">
        <v>5880</v>
      </c>
      <c r="V2169">
        <v>33320</v>
      </c>
      <c r="W2169">
        <v>31200</v>
      </c>
      <c r="X2169">
        <v>2120</v>
      </c>
      <c r="Y2169" s="8">
        <v>6.3625450180072027E-2</v>
      </c>
      <c r="Z2169" t="s">
        <v>2995</v>
      </c>
      <c r="AA2169" t="str">
        <f>IF(AND(SalesCleanTable[[#This Row],[Discount %]]&gt;0, SalesCleanTable[[#This Row],[Profit]]&lt;0), "Discount loss", "Safe")</f>
        <v>Safe</v>
      </c>
      <c r="AB2169" s="25">
        <f>(SalesCleanTable[[#This Row],[Unit Price]] - SalesCleanTable[[#This Row],[Unit Cost]]) / SalesCleanTable[[#This Row],[Unit Price]]</f>
        <v>0.20408163265306123</v>
      </c>
      <c r="AC2169" t="str">
        <f>IF(SalesCleanTable[[#This Row],[Discount %]] &gt; SalesCleanTable[[#This Row],[Max Allowed Discount]], "Discount loss", "Safe")</f>
        <v>Safe</v>
      </c>
      <c r="AD2169" s="4">
        <f>SalesCleanTable[[#This Row],[Unit Price]] - SalesCleanTable[[#This Row],[Unit Cost]]</f>
        <v>2000</v>
      </c>
      <c r="AE2169" s="41">
        <f>(SalesCleanTable[[#This Row],[Unit Price]] - SalesCleanTable[[#This Row],[Unit Cost]]) / SalesCleanTable[[#This Row],[Unit Price]]</f>
        <v>0.20408163265306123</v>
      </c>
    </row>
    <row r="2170" spans="1:31">
      <c r="A2170" t="s">
        <v>2356</v>
      </c>
      <c r="B2170" s="6">
        <v>45728</v>
      </c>
      <c r="C2170" t="s">
        <v>78</v>
      </c>
      <c r="D2170" t="s">
        <v>79</v>
      </c>
      <c r="E2170" t="s">
        <v>75</v>
      </c>
      <c r="F2170" t="s">
        <v>80</v>
      </c>
      <c r="G2170" t="s">
        <v>81</v>
      </c>
      <c r="H2170" t="s">
        <v>139</v>
      </c>
      <c r="I2170" t="s">
        <v>140</v>
      </c>
      <c r="J2170" t="s">
        <v>137</v>
      </c>
      <c r="K2170" t="s">
        <v>138</v>
      </c>
      <c r="L2170" t="s">
        <v>170</v>
      </c>
      <c r="M2170" t="s">
        <v>177</v>
      </c>
      <c r="N2170">
        <v>3</v>
      </c>
      <c r="O2170" s="4">
        <v>1200</v>
      </c>
      <c r="P2170" s="4">
        <v>1900</v>
      </c>
      <c r="Q2170" s="7">
        <v>0.1</v>
      </c>
      <c r="R2170" t="s">
        <v>208</v>
      </c>
      <c r="S2170">
        <v>3</v>
      </c>
      <c r="T2170">
        <v>5700</v>
      </c>
      <c r="U2170">
        <v>570</v>
      </c>
      <c r="V2170">
        <v>5130</v>
      </c>
      <c r="W2170">
        <v>3600</v>
      </c>
      <c r="X2170">
        <v>1530</v>
      </c>
      <c r="Y2170" s="8">
        <v>0.2982456140350877</v>
      </c>
      <c r="Z2170" t="s">
        <v>2996</v>
      </c>
      <c r="AA2170" t="str">
        <f>IF(AND(SalesCleanTable[[#This Row],[Discount %]]&gt;0, SalesCleanTable[[#This Row],[Profit]]&lt;0), "Discount loss", "Safe")</f>
        <v>Safe</v>
      </c>
      <c r="AB2170" s="25">
        <f>(SalesCleanTable[[#This Row],[Unit Price]] - SalesCleanTable[[#This Row],[Unit Cost]]) / SalesCleanTable[[#This Row],[Unit Price]]</f>
        <v>0.36842105263157893</v>
      </c>
      <c r="AC2170" t="str">
        <f>IF(SalesCleanTable[[#This Row],[Discount %]] &gt; SalesCleanTable[[#This Row],[Max Allowed Discount]], "Discount loss", "Safe")</f>
        <v>Safe</v>
      </c>
      <c r="AD2170" s="4">
        <f>SalesCleanTable[[#This Row],[Unit Price]] - SalesCleanTable[[#This Row],[Unit Cost]]</f>
        <v>700</v>
      </c>
      <c r="AE2170" s="41">
        <f>(SalesCleanTable[[#This Row],[Unit Price]] - SalesCleanTable[[#This Row],[Unit Cost]]) / SalesCleanTable[[#This Row],[Unit Price]]</f>
        <v>0.36842105263157893</v>
      </c>
    </row>
    <row r="2171" spans="1:31">
      <c r="A2171" t="s">
        <v>2357</v>
      </c>
      <c r="B2171" s="6">
        <v>45835</v>
      </c>
      <c r="C2171" t="s">
        <v>57</v>
      </c>
      <c r="D2171" t="s">
        <v>58</v>
      </c>
      <c r="E2171" t="s">
        <v>59</v>
      </c>
      <c r="F2171" t="s">
        <v>60</v>
      </c>
      <c r="G2171" t="s">
        <v>61</v>
      </c>
      <c r="H2171" t="s">
        <v>128</v>
      </c>
      <c r="I2171" t="s">
        <v>129</v>
      </c>
      <c r="J2171" t="s">
        <v>130</v>
      </c>
      <c r="K2171" t="s">
        <v>131</v>
      </c>
      <c r="L2171" t="s">
        <v>166</v>
      </c>
      <c r="M2171" t="s">
        <v>167</v>
      </c>
      <c r="N2171">
        <v>2</v>
      </c>
      <c r="O2171" s="4">
        <v>2400</v>
      </c>
      <c r="P2171" s="4">
        <v>3400</v>
      </c>
      <c r="Q2171" s="7">
        <v>0.05</v>
      </c>
      <c r="R2171" t="s">
        <v>204</v>
      </c>
      <c r="S2171">
        <v>11</v>
      </c>
      <c r="T2171">
        <v>6800</v>
      </c>
      <c r="U2171">
        <v>340</v>
      </c>
      <c r="V2171">
        <v>6460</v>
      </c>
      <c r="W2171">
        <v>4800</v>
      </c>
      <c r="X2171">
        <v>1660</v>
      </c>
      <c r="Y2171" s="8">
        <v>0.25696594427244585</v>
      </c>
      <c r="Z2171" t="s">
        <v>2996</v>
      </c>
      <c r="AA2171" t="str">
        <f>IF(AND(SalesCleanTable[[#This Row],[Discount %]]&gt;0, SalesCleanTable[[#This Row],[Profit]]&lt;0), "Discount loss", "Safe")</f>
        <v>Safe</v>
      </c>
      <c r="AB2171" s="25">
        <f>(SalesCleanTable[[#This Row],[Unit Price]] - SalesCleanTable[[#This Row],[Unit Cost]]) / SalesCleanTable[[#This Row],[Unit Price]]</f>
        <v>0.29411764705882354</v>
      </c>
      <c r="AC2171" t="str">
        <f>IF(SalesCleanTable[[#This Row],[Discount %]] &gt; SalesCleanTable[[#This Row],[Max Allowed Discount]], "Discount loss", "Safe")</f>
        <v>Safe</v>
      </c>
      <c r="AD2171" s="4">
        <f>SalesCleanTable[[#This Row],[Unit Price]] - SalesCleanTable[[#This Row],[Unit Cost]]</f>
        <v>1000</v>
      </c>
      <c r="AE2171" s="41">
        <f>(SalesCleanTable[[#This Row],[Unit Price]] - SalesCleanTable[[#This Row],[Unit Cost]]) / SalesCleanTable[[#This Row],[Unit Price]]</f>
        <v>0.29411764705882354</v>
      </c>
    </row>
    <row r="2172" spans="1:31">
      <c r="A2172" t="s">
        <v>2358</v>
      </c>
      <c r="B2172" s="6">
        <v>45868</v>
      </c>
      <c r="C2172" t="s">
        <v>45</v>
      </c>
      <c r="D2172" t="s">
        <v>46</v>
      </c>
      <c r="E2172" t="s">
        <v>38</v>
      </c>
      <c r="F2172" t="s">
        <v>47</v>
      </c>
      <c r="G2172" t="s">
        <v>48</v>
      </c>
      <c r="H2172" t="s">
        <v>153</v>
      </c>
      <c r="I2172" t="s">
        <v>154</v>
      </c>
      <c r="J2172" t="s">
        <v>155</v>
      </c>
      <c r="K2172" t="s">
        <v>131</v>
      </c>
      <c r="L2172" t="s">
        <v>166</v>
      </c>
      <c r="M2172" t="s">
        <v>167</v>
      </c>
      <c r="N2172">
        <v>2</v>
      </c>
      <c r="O2172" s="4">
        <v>230</v>
      </c>
      <c r="P2172" s="4">
        <v>400</v>
      </c>
      <c r="Q2172" s="7">
        <v>0.2</v>
      </c>
      <c r="R2172" t="s">
        <v>178</v>
      </c>
      <c r="S2172">
        <v>10</v>
      </c>
      <c r="T2172">
        <v>800</v>
      </c>
      <c r="U2172">
        <v>160</v>
      </c>
      <c r="V2172">
        <v>640</v>
      </c>
      <c r="W2172">
        <v>460</v>
      </c>
      <c r="X2172">
        <v>180</v>
      </c>
      <c r="Y2172" s="8">
        <v>0.28125</v>
      </c>
      <c r="Z2172" t="s">
        <v>2995</v>
      </c>
      <c r="AA2172" t="str">
        <f>IF(AND(SalesCleanTable[[#This Row],[Discount %]]&gt;0, SalesCleanTable[[#This Row],[Profit]]&lt;0), "Discount loss", "Safe")</f>
        <v>Safe</v>
      </c>
      <c r="AB2172" s="25">
        <f>(SalesCleanTable[[#This Row],[Unit Price]] - SalesCleanTable[[#This Row],[Unit Cost]]) / SalesCleanTable[[#This Row],[Unit Price]]</f>
        <v>0.42499999999999999</v>
      </c>
      <c r="AC2172" t="str">
        <f>IF(SalesCleanTable[[#This Row],[Discount %]] &gt; SalesCleanTable[[#This Row],[Max Allowed Discount]], "Discount loss", "Safe")</f>
        <v>Safe</v>
      </c>
      <c r="AD2172" s="4">
        <f>SalesCleanTable[[#This Row],[Unit Price]] - SalesCleanTable[[#This Row],[Unit Cost]]</f>
        <v>170</v>
      </c>
      <c r="AE2172" s="41">
        <f>(SalesCleanTable[[#This Row],[Unit Price]] - SalesCleanTable[[#This Row],[Unit Cost]]) / SalesCleanTable[[#This Row],[Unit Price]]</f>
        <v>0.42499999999999999</v>
      </c>
    </row>
    <row r="2173" spans="1:31">
      <c r="A2173" t="s">
        <v>2359</v>
      </c>
      <c r="B2173" s="6">
        <v>45944</v>
      </c>
      <c r="C2173" t="s">
        <v>112</v>
      </c>
      <c r="D2173" t="s">
        <v>113</v>
      </c>
      <c r="E2173" t="s">
        <v>109</v>
      </c>
      <c r="F2173" t="s">
        <v>114</v>
      </c>
      <c r="G2173" t="s">
        <v>115</v>
      </c>
      <c r="H2173" t="s">
        <v>139</v>
      </c>
      <c r="I2173" t="s">
        <v>140</v>
      </c>
      <c r="J2173" t="s">
        <v>137</v>
      </c>
      <c r="K2173" t="s">
        <v>138</v>
      </c>
      <c r="L2173" t="s">
        <v>183</v>
      </c>
      <c r="M2173" t="s">
        <v>171</v>
      </c>
      <c r="N2173">
        <v>2</v>
      </c>
      <c r="O2173" s="4">
        <v>1300</v>
      </c>
      <c r="P2173" s="4">
        <v>2100</v>
      </c>
      <c r="Q2173" s="7">
        <v>0.05</v>
      </c>
      <c r="R2173" t="s">
        <v>184</v>
      </c>
      <c r="S2173">
        <v>3</v>
      </c>
      <c r="T2173">
        <v>4200</v>
      </c>
      <c r="U2173">
        <v>210</v>
      </c>
      <c r="V2173">
        <v>3990</v>
      </c>
      <c r="W2173">
        <v>2600</v>
      </c>
      <c r="X2173">
        <v>1390</v>
      </c>
      <c r="Y2173" s="8">
        <v>0.34837092731829572</v>
      </c>
      <c r="Z2173" t="s">
        <v>2995</v>
      </c>
      <c r="AA2173" t="str">
        <f>IF(AND(SalesCleanTable[[#This Row],[Discount %]]&gt;0, SalesCleanTable[[#This Row],[Profit]]&lt;0), "Discount loss", "Safe")</f>
        <v>Safe</v>
      </c>
      <c r="AB2173" s="25">
        <f>(SalesCleanTable[[#This Row],[Unit Price]] - SalesCleanTable[[#This Row],[Unit Cost]]) / SalesCleanTable[[#This Row],[Unit Price]]</f>
        <v>0.38095238095238093</v>
      </c>
      <c r="AC2173" t="str">
        <f>IF(SalesCleanTable[[#This Row],[Discount %]] &gt; SalesCleanTable[[#This Row],[Max Allowed Discount]], "Discount loss", "Safe")</f>
        <v>Safe</v>
      </c>
      <c r="AD2173" s="4">
        <f>SalesCleanTable[[#This Row],[Unit Price]] - SalesCleanTable[[#This Row],[Unit Cost]]</f>
        <v>800</v>
      </c>
      <c r="AE2173" s="41">
        <f>(SalesCleanTable[[#This Row],[Unit Price]] - SalesCleanTable[[#This Row],[Unit Cost]]) / SalesCleanTable[[#This Row],[Unit Price]]</f>
        <v>0.38095238095238093</v>
      </c>
    </row>
    <row r="2174" spans="1:31">
      <c r="A2174" t="s">
        <v>2360</v>
      </c>
      <c r="B2174" s="6">
        <v>45825</v>
      </c>
      <c r="C2174" t="s">
        <v>45</v>
      </c>
      <c r="D2174" t="s">
        <v>46</v>
      </c>
      <c r="E2174" t="s">
        <v>38</v>
      </c>
      <c r="F2174" t="s">
        <v>47</v>
      </c>
      <c r="G2174" t="s">
        <v>48</v>
      </c>
      <c r="H2174" t="s">
        <v>128</v>
      </c>
      <c r="I2174" t="s">
        <v>129</v>
      </c>
      <c r="J2174" t="s">
        <v>130</v>
      </c>
      <c r="K2174" t="s">
        <v>131</v>
      </c>
      <c r="L2174" t="s">
        <v>166</v>
      </c>
      <c r="M2174" t="s">
        <v>177</v>
      </c>
      <c r="N2174">
        <v>4</v>
      </c>
      <c r="O2174" s="4">
        <v>230</v>
      </c>
      <c r="P2174" s="4">
        <v>400</v>
      </c>
      <c r="Q2174" s="7">
        <v>0.15</v>
      </c>
      <c r="R2174" t="s">
        <v>175</v>
      </c>
      <c r="S2174">
        <v>10</v>
      </c>
      <c r="T2174">
        <v>1600</v>
      </c>
      <c r="U2174">
        <v>240</v>
      </c>
      <c r="V2174">
        <v>1360</v>
      </c>
      <c r="W2174">
        <v>920</v>
      </c>
      <c r="X2174">
        <v>440</v>
      </c>
      <c r="Y2174" s="8">
        <v>0.3235294117647059</v>
      </c>
      <c r="Z2174" t="s">
        <v>2995</v>
      </c>
      <c r="AA2174" t="str">
        <f>IF(AND(SalesCleanTable[[#This Row],[Discount %]]&gt;0, SalesCleanTable[[#This Row],[Profit]]&lt;0), "Discount loss", "Safe")</f>
        <v>Safe</v>
      </c>
      <c r="AB2174" s="25">
        <f>(SalesCleanTable[[#This Row],[Unit Price]] - SalesCleanTable[[#This Row],[Unit Cost]]) / SalesCleanTable[[#This Row],[Unit Price]]</f>
        <v>0.42499999999999999</v>
      </c>
      <c r="AC2174" t="str">
        <f>IF(SalesCleanTable[[#This Row],[Discount %]] &gt; SalesCleanTable[[#This Row],[Max Allowed Discount]], "Discount loss", "Safe")</f>
        <v>Safe</v>
      </c>
      <c r="AD2174" s="4">
        <f>SalesCleanTable[[#This Row],[Unit Price]] - SalesCleanTable[[#This Row],[Unit Cost]]</f>
        <v>170</v>
      </c>
      <c r="AE2174" s="41">
        <f>(SalesCleanTable[[#This Row],[Unit Price]] - SalesCleanTable[[#This Row],[Unit Cost]]) / SalesCleanTable[[#This Row],[Unit Price]]</f>
        <v>0.42499999999999999</v>
      </c>
    </row>
    <row r="2175" spans="1:31">
      <c r="A2175" t="s">
        <v>2361</v>
      </c>
      <c r="B2175" s="6">
        <v>45686</v>
      </c>
      <c r="C2175" t="s">
        <v>45</v>
      </c>
      <c r="D2175" t="s">
        <v>46</v>
      </c>
      <c r="E2175" t="s">
        <v>38</v>
      </c>
      <c r="F2175" t="s">
        <v>47</v>
      </c>
      <c r="G2175" t="s">
        <v>48</v>
      </c>
      <c r="H2175" t="s">
        <v>135</v>
      </c>
      <c r="I2175" t="s">
        <v>136</v>
      </c>
      <c r="J2175" t="s">
        <v>137</v>
      </c>
      <c r="K2175" t="s">
        <v>138</v>
      </c>
      <c r="L2175" t="s">
        <v>166</v>
      </c>
      <c r="M2175" t="s">
        <v>177</v>
      </c>
      <c r="N2175">
        <v>1</v>
      </c>
      <c r="O2175" s="4">
        <v>230</v>
      </c>
      <c r="P2175" s="4">
        <v>400</v>
      </c>
      <c r="Q2175" s="7">
        <v>0</v>
      </c>
      <c r="R2175" t="s">
        <v>178</v>
      </c>
      <c r="S2175">
        <v>1</v>
      </c>
      <c r="T2175">
        <v>400</v>
      </c>
      <c r="U2175">
        <v>0</v>
      </c>
      <c r="V2175">
        <v>400</v>
      </c>
      <c r="W2175">
        <v>230</v>
      </c>
      <c r="X2175">
        <v>170</v>
      </c>
      <c r="Y2175" s="8">
        <v>0.42499999999999999</v>
      </c>
      <c r="Z2175" t="s">
        <v>2995</v>
      </c>
      <c r="AA2175" t="str">
        <f>IF(AND(SalesCleanTable[[#This Row],[Discount %]]&gt;0, SalesCleanTable[[#This Row],[Profit]]&lt;0), "Discount loss", "Safe")</f>
        <v>Safe</v>
      </c>
      <c r="AB2175" s="25">
        <f>(SalesCleanTable[[#This Row],[Unit Price]] - SalesCleanTable[[#This Row],[Unit Cost]]) / SalesCleanTable[[#This Row],[Unit Price]]</f>
        <v>0.42499999999999999</v>
      </c>
      <c r="AC2175" t="str">
        <f>IF(SalesCleanTable[[#This Row],[Discount %]] &gt; SalesCleanTable[[#This Row],[Max Allowed Discount]], "Discount loss", "Safe")</f>
        <v>Safe</v>
      </c>
      <c r="AD2175" s="4">
        <f>SalesCleanTable[[#This Row],[Unit Price]] - SalesCleanTable[[#This Row],[Unit Cost]]</f>
        <v>170</v>
      </c>
      <c r="AE2175" s="41">
        <f>(SalesCleanTable[[#This Row],[Unit Price]] - SalesCleanTable[[#This Row],[Unit Cost]]) / SalesCleanTable[[#This Row],[Unit Price]]</f>
        <v>0.42499999999999999</v>
      </c>
    </row>
    <row r="2176" spans="1:31">
      <c r="A2176" t="s">
        <v>2362</v>
      </c>
      <c r="B2176" s="6">
        <v>45747</v>
      </c>
      <c r="C2176" t="s">
        <v>41</v>
      </c>
      <c r="D2176" t="s">
        <v>42</v>
      </c>
      <c r="E2176" t="s">
        <v>26</v>
      </c>
      <c r="F2176" t="s">
        <v>43</v>
      </c>
      <c r="G2176" t="s">
        <v>44</v>
      </c>
      <c r="H2176" t="s">
        <v>149</v>
      </c>
      <c r="I2176" t="s">
        <v>150</v>
      </c>
      <c r="J2176" t="s">
        <v>151</v>
      </c>
      <c r="K2176" t="s">
        <v>152</v>
      </c>
      <c r="L2176" t="s">
        <v>183</v>
      </c>
      <c r="M2176" t="s">
        <v>177</v>
      </c>
      <c r="N2176">
        <v>3</v>
      </c>
      <c r="O2176" s="4">
        <v>850</v>
      </c>
      <c r="P2176" s="4">
        <v>1300</v>
      </c>
      <c r="Q2176" s="7">
        <v>0.2</v>
      </c>
      <c r="R2176" t="s">
        <v>197</v>
      </c>
      <c r="S2176">
        <v>3</v>
      </c>
      <c r="T2176">
        <v>3900</v>
      </c>
      <c r="U2176">
        <v>780</v>
      </c>
      <c r="V2176">
        <v>3120</v>
      </c>
      <c r="W2176">
        <v>2550</v>
      </c>
      <c r="X2176">
        <v>570</v>
      </c>
      <c r="Y2176" s="8">
        <v>0.18269230769230768</v>
      </c>
      <c r="Z2176" t="s">
        <v>2995</v>
      </c>
      <c r="AA2176" t="str">
        <f>IF(AND(SalesCleanTable[[#This Row],[Discount %]]&gt;0, SalesCleanTable[[#This Row],[Profit]]&lt;0), "Discount loss", "Safe")</f>
        <v>Safe</v>
      </c>
      <c r="AB2176" s="25">
        <f>(SalesCleanTable[[#This Row],[Unit Price]] - SalesCleanTable[[#This Row],[Unit Cost]]) / SalesCleanTable[[#This Row],[Unit Price]]</f>
        <v>0.34615384615384615</v>
      </c>
      <c r="AC2176" t="str">
        <f>IF(SalesCleanTable[[#This Row],[Discount %]] &gt; SalesCleanTable[[#This Row],[Max Allowed Discount]], "Discount loss", "Safe")</f>
        <v>Safe</v>
      </c>
      <c r="AD2176" s="4">
        <f>SalesCleanTable[[#This Row],[Unit Price]] - SalesCleanTable[[#This Row],[Unit Cost]]</f>
        <v>450</v>
      </c>
      <c r="AE2176" s="41">
        <f>(SalesCleanTable[[#This Row],[Unit Price]] - SalesCleanTable[[#This Row],[Unit Cost]]) / SalesCleanTable[[#This Row],[Unit Price]]</f>
        <v>0.34615384615384615</v>
      </c>
    </row>
    <row r="2177" spans="1:31">
      <c r="A2177" t="s">
        <v>2363</v>
      </c>
      <c r="B2177" s="6">
        <v>45793</v>
      </c>
      <c r="C2177" t="s">
        <v>112</v>
      </c>
      <c r="D2177" t="s">
        <v>113</v>
      </c>
      <c r="E2177" t="s">
        <v>109</v>
      </c>
      <c r="F2177" t="s">
        <v>114</v>
      </c>
      <c r="G2177" t="s">
        <v>115</v>
      </c>
      <c r="H2177" t="s">
        <v>145</v>
      </c>
      <c r="I2177" t="s">
        <v>146</v>
      </c>
      <c r="J2177" t="s">
        <v>147</v>
      </c>
      <c r="K2177" t="s">
        <v>148</v>
      </c>
      <c r="L2177" t="s">
        <v>166</v>
      </c>
      <c r="M2177" t="s">
        <v>186</v>
      </c>
      <c r="N2177">
        <v>1</v>
      </c>
      <c r="O2177" s="4">
        <v>1300</v>
      </c>
      <c r="P2177" s="4">
        <v>2100</v>
      </c>
      <c r="Q2177" s="7">
        <v>0.1</v>
      </c>
      <c r="R2177" t="s">
        <v>184</v>
      </c>
      <c r="S2177">
        <v>13</v>
      </c>
      <c r="T2177">
        <v>2100</v>
      </c>
      <c r="U2177">
        <v>210</v>
      </c>
      <c r="V2177">
        <v>1890</v>
      </c>
      <c r="W2177">
        <v>1300</v>
      </c>
      <c r="X2177">
        <v>590</v>
      </c>
      <c r="Y2177" s="8">
        <v>0.31216931216931215</v>
      </c>
      <c r="Z2177" t="s">
        <v>2995</v>
      </c>
      <c r="AA2177" t="str">
        <f>IF(AND(SalesCleanTable[[#This Row],[Discount %]]&gt;0, SalesCleanTable[[#This Row],[Profit]]&lt;0), "Discount loss", "Safe")</f>
        <v>Safe</v>
      </c>
      <c r="AB2177" s="25">
        <f>(SalesCleanTable[[#This Row],[Unit Price]] - SalesCleanTable[[#This Row],[Unit Cost]]) / SalesCleanTable[[#This Row],[Unit Price]]</f>
        <v>0.38095238095238093</v>
      </c>
      <c r="AC2177" t="str">
        <f>IF(SalesCleanTable[[#This Row],[Discount %]] &gt; SalesCleanTable[[#This Row],[Max Allowed Discount]], "Discount loss", "Safe")</f>
        <v>Safe</v>
      </c>
      <c r="AD2177" s="4">
        <f>SalesCleanTable[[#This Row],[Unit Price]] - SalesCleanTable[[#This Row],[Unit Cost]]</f>
        <v>800</v>
      </c>
      <c r="AE2177" s="41">
        <f>(SalesCleanTable[[#This Row],[Unit Price]] - SalesCleanTable[[#This Row],[Unit Cost]]) / SalesCleanTable[[#This Row],[Unit Price]]</f>
        <v>0.38095238095238093</v>
      </c>
    </row>
    <row r="2178" spans="1:31">
      <c r="A2178" t="s">
        <v>2364</v>
      </c>
      <c r="B2178" s="6">
        <v>45853</v>
      </c>
      <c r="C2178" t="s">
        <v>82</v>
      </c>
      <c r="D2178" t="s">
        <v>83</v>
      </c>
      <c r="E2178" t="s">
        <v>75</v>
      </c>
      <c r="F2178" t="s">
        <v>84</v>
      </c>
      <c r="G2178" t="s">
        <v>85</v>
      </c>
      <c r="H2178" t="s">
        <v>153</v>
      </c>
      <c r="I2178" t="s">
        <v>154</v>
      </c>
      <c r="J2178" t="s">
        <v>155</v>
      </c>
      <c r="K2178" t="s">
        <v>131</v>
      </c>
      <c r="L2178" t="s">
        <v>166</v>
      </c>
      <c r="M2178" t="s">
        <v>186</v>
      </c>
      <c r="N2178">
        <v>2</v>
      </c>
      <c r="O2178" s="4">
        <v>600</v>
      </c>
      <c r="P2178" s="4">
        <v>950</v>
      </c>
      <c r="Q2178" s="7">
        <v>0</v>
      </c>
      <c r="R2178" t="s">
        <v>187</v>
      </c>
      <c r="S2178">
        <v>14</v>
      </c>
      <c r="T2178">
        <v>1900</v>
      </c>
      <c r="U2178">
        <v>0</v>
      </c>
      <c r="V2178">
        <v>1900</v>
      </c>
      <c r="W2178">
        <v>1200</v>
      </c>
      <c r="X2178">
        <v>700</v>
      </c>
      <c r="Y2178" s="8">
        <v>0.36842105263157893</v>
      </c>
      <c r="Z2178" t="s">
        <v>2996</v>
      </c>
      <c r="AA2178" t="str">
        <f>IF(AND(SalesCleanTable[[#This Row],[Discount %]]&gt;0, SalesCleanTable[[#This Row],[Profit]]&lt;0), "Discount loss", "Safe")</f>
        <v>Safe</v>
      </c>
      <c r="AB2178" s="25">
        <f>(SalesCleanTable[[#This Row],[Unit Price]] - SalesCleanTable[[#This Row],[Unit Cost]]) / SalesCleanTable[[#This Row],[Unit Price]]</f>
        <v>0.36842105263157893</v>
      </c>
      <c r="AC2178" t="str">
        <f>IF(SalesCleanTable[[#This Row],[Discount %]] &gt; SalesCleanTable[[#This Row],[Max Allowed Discount]], "Discount loss", "Safe")</f>
        <v>Safe</v>
      </c>
      <c r="AD2178" s="4">
        <f>SalesCleanTable[[#This Row],[Unit Price]] - SalesCleanTable[[#This Row],[Unit Cost]]</f>
        <v>350</v>
      </c>
      <c r="AE2178" s="41">
        <f>(SalesCleanTable[[#This Row],[Unit Price]] - SalesCleanTable[[#This Row],[Unit Cost]]) / SalesCleanTable[[#This Row],[Unit Price]]</f>
        <v>0.36842105263157893</v>
      </c>
    </row>
    <row r="2179" spans="1:31">
      <c r="A2179" t="s">
        <v>2365</v>
      </c>
      <c r="B2179" s="6">
        <v>45854</v>
      </c>
      <c r="C2179" t="s">
        <v>99</v>
      </c>
      <c r="D2179" t="s">
        <v>100</v>
      </c>
      <c r="E2179" t="s">
        <v>92</v>
      </c>
      <c r="F2179" t="s">
        <v>101</v>
      </c>
      <c r="G2179" t="s">
        <v>102</v>
      </c>
      <c r="H2179" t="s">
        <v>128</v>
      </c>
      <c r="I2179" t="s">
        <v>129</v>
      </c>
      <c r="J2179" t="s">
        <v>130</v>
      </c>
      <c r="K2179" t="s">
        <v>131</v>
      </c>
      <c r="L2179" t="s">
        <v>166</v>
      </c>
      <c r="M2179" t="s">
        <v>186</v>
      </c>
      <c r="N2179">
        <v>3</v>
      </c>
      <c r="O2179" s="4">
        <v>12500</v>
      </c>
      <c r="P2179" s="4">
        <v>18500</v>
      </c>
      <c r="Q2179" s="7">
        <v>0.05</v>
      </c>
      <c r="R2179" t="s">
        <v>215</v>
      </c>
      <c r="S2179">
        <v>13</v>
      </c>
      <c r="T2179">
        <v>55500</v>
      </c>
      <c r="U2179">
        <v>2775</v>
      </c>
      <c r="V2179">
        <v>52725</v>
      </c>
      <c r="W2179">
        <v>37500</v>
      </c>
      <c r="X2179">
        <v>15225</v>
      </c>
      <c r="Y2179" s="8">
        <v>0.28876244665718348</v>
      </c>
      <c r="Z2179" t="s">
        <v>2995</v>
      </c>
      <c r="AA2179" t="str">
        <f>IF(AND(SalesCleanTable[[#This Row],[Discount %]]&gt;0, SalesCleanTable[[#This Row],[Profit]]&lt;0), "Discount loss", "Safe")</f>
        <v>Safe</v>
      </c>
      <c r="AB2179" s="25">
        <f>(SalesCleanTable[[#This Row],[Unit Price]] - SalesCleanTable[[#This Row],[Unit Cost]]) / SalesCleanTable[[#This Row],[Unit Price]]</f>
        <v>0.32432432432432434</v>
      </c>
      <c r="AC2179" t="str">
        <f>IF(SalesCleanTable[[#This Row],[Discount %]] &gt; SalesCleanTable[[#This Row],[Max Allowed Discount]], "Discount loss", "Safe")</f>
        <v>Safe</v>
      </c>
      <c r="AD2179" s="4">
        <f>SalesCleanTable[[#This Row],[Unit Price]] - SalesCleanTable[[#This Row],[Unit Cost]]</f>
        <v>6000</v>
      </c>
      <c r="AE2179" s="41">
        <f>(SalesCleanTable[[#This Row],[Unit Price]] - SalesCleanTable[[#This Row],[Unit Cost]]) / SalesCleanTable[[#This Row],[Unit Price]]</f>
        <v>0.32432432432432434</v>
      </c>
    </row>
    <row r="2180" spans="1:31">
      <c r="A2180" t="s">
        <v>2366</v>
      </c>
      <c r="B2180" s="6">
        <v>45762</v>
      </c>
      <c r="C2180" t="s">
        <v>116</v>
      </c>
      <c r="D2180" t="s">
        <v>117</v>
      </c>
      <c r="E2180" t="s">
        <v>109</v>
      </c>
      <c r="F2180" t="s">
        <v>118</v>
      </c>
      <c r="G2180" t="s">
        <v>119</v>
      </c>
      <c r="H2180" t="s">
        <v>135</v>
      </c>
      <c r="I2180" t="s">
        <v>136</v>
      </c>
      <c r="J2180" t="s">
        <v>137</v>
      </c>
      <c r="K2180" t="s">
        <v>138</v>
      </c>
      <c r="L2180" t="s">
        <v>166</v>
      </c>
      <c r="M2180" t="s">
        <v>171</v>
      </c>
      <c r="N2180">
        <v>5</v>
      </c>
      <c r="O2180" s="4">
        <v>2800</v>
      </c>
      <c r="P2180" s="4">
        <v>4200</v>
      </c>
      <c r="Q2180" s="7">
        <v>0</v>
      </c>
      <c r="R2180" t="s">
        <v>235</v>
      </c>
      <c r="S2180">
        <v>8</v>
      </c>
      <c r="T2180">
        <v>21000</v>
      </c>
      <c r="U2180">
        <v>0</v>
      </c>
      <c r="V2180">
        <v>21000</v>
      </c>
      <c r="W2180">
        <v>14000</v>
      </c>
      <c r="X2180">
        <v>7000</v>
      </c>
      <c r="Y2180" s="8">
        <v>0.33333333333333331</v>
      </c>
      <c r="Z2180" t="s">
        <v>2995</v>
      </c>
      <c r="AA2180" t="str">
        <f>IF(AND(SalesCleanTable[[#This Row],[Discount %]]&gt;0, SalesCleanTable[[#This Row],[Profit]]&lt;0), "Discount loss", "Safe")</f>
        <v>Safe</v>
      </c>
      <c r="AB2180" s="25">
        <f>(SalesCleanTable[[#This Row],[Unit Price]] - SalesCleanTable[[#This Row],[Unit Cost]]) / SalesCleanTable[[#This Row],[Unit Price]]</f>
        <v>0.33333333333333331</v>
      </c>
      <c r="AC2180" t="str">
        <f>IF(SalesCleanTable[[#This Row],[Discount %]] &gt; SalesCleanTable[[#This Row],[Max Allowed Discount]], "Discount loss", "Safe")</f>
        <v>Safe</v>
      </c>
      <c r="AD2180" s="4">
        <f>SalesCleanTable[[#This Row],[Unit Price]] - SalesCleanTable[[#This Row],[Unit Cost]]</f>
        <v>1400</v>
      </c>
      <c r="AE2180" s="41">
        <f>(SalesCleanTable[[#This Row],[Unit Price]] - SalesCleanTable[[#This Row],[Unit Cost]]) / SalesCleanTable[[#This Row],[Unit Price]]</f>
        <v>0.33333333333333331</v>
      </c>
    </row>
    <row r="2181" spans="1:31">
      <c r="A2181" t="s">
        <v>2367</v>
      </c>
      <c r="B2181" s="6">
        <v>45931</v>
      </c>
      <c r="C2181" t="s">
        <v>36</v>
      </c>
      <c r="D2181" t="s">
        <v>37</v>
      </c>
      <c r="E2181" t="s">
        <v>38</v>
      </c>
      <c r="F2181" t="s">
        <v>39</v>
      </c>
      <c r="G2181" t="s">
        <v>40</v>
      </c>
      <c r="H2181" t="s">
        <v>153</v>
      </c>
      <c r="I2181" t="s">
        <v>154</v>
      </c>
      <c r="J2181" t="s">
        <v>155</v>
      </c>
      <c r="K2181" t="s">
        <v>131</v>
      </c>
      <c r="L2181" t="s">
        <v>166</v>
      </c>
      <c r="M2181" t="s">
        <v>186</v>
      </c>
      <c r="N2181">
        <v>4</v>
      </c>
      <c r="O2181" s="4">
        <v>1650</v>
      </c>
      <c r="P2181" s="4">
        <v>2200</v>
      </c>
      <c r="Q2181" s="7">
        <v>0.1</v>
      </c>
      <c r="R2181" t="s">
        <v>178</v>
      </c>
      <c r="S2181">
        <v>7</v>
      </c>
      <c r="T2181">
        <v>8800</v>
      </c>
      <c r="U2181">
        <v>880</v>
      </c>
      <c r="V2181">
        <v>7920</v>
      </c>
      <c r="W2181">
        <v>6600</v>
      </c>
      <c r="X2181">
        <v>1320</v>
      </c>
      <c r="Y2181" s="8">
        <v>0.16666666666666666</v>
      </c>
      <c r="Z2181" t="s">
        <v>2995</v>
      </c>
      <c r="AA2181" t="str">
        <f>IF(AND(SalesCleanTable[[#This Row],[Discount %]]&gt;0, SalesCleanTable[[#This Row],[Profit]]&lt;0), "Discount loss", "Safe")</f>
        <v>Safe</v>
      </c>
      <c r="AB2181" s="25">
        <f>(SalesCleanTable[[#This Row],[Unit Price]] - SalesCleanTable[[#This Row],[Unit Cost]]) / SalesCleanTable[[#This Row],[Unit Price]]</f>
        <v>0.25</v>
      </c>
      <c r="AC2181" t="str">
        <f>IF(SalesCleanTable[[#This Row],[Discount %]] &gt; SalesCleanTable[[#This Row],[Max Allowed Discount]], "Discount loss", "Safe")</f>
        <v>Safe</v>
      </c>
      <c r="AD2181" s="4">
        <f>SalesCleanTable[[#This Row],[Unit Price]] - SalesCleanTable[[#This Row],[Unit Cost]]</f>
        <v>550</v>
      </c>
      <c r="AE2181" s="41">
        <f>(SalesCleanTable[[#This Row],[Unit Price]] - SalesCleanTable[[#This Row],[Unit Cost]]) / SalesCleanTable[[#This Row],[Unit Price]]</f>
        <v>0.25</v>
      </c>
    </row>
    <row r="2182" spans="1:31">
      <c r="A2182" t="s">
        <v>2368</v>
      </c>
      <c r="B2182" s="6">
        <v>45659</v>
      </c>
      <c r="C2182" t="s">
        <v>57</v>
      </c>
      <c r="D2182" t="s">
        <v>58</v>
      </c>
      <c r="E2182" t="s">
        <v>59</v>
      </c>
      <c r="F2182" t="s">
        <v>60</v>
      </c>
      <c r="G2182" t="s">
        <v>61</v>
      </c>
      <c r="H2182" t="s">
        <v>149</v>
      </c>
      <c r="I2182" t="s">
        <v>150</v>
      </c>
      <c r="J2182" t="s">
        <v>151</v>
      </c>
      <c r="K2182" t="s">
        <v>152</v>
      </c>
      <c r="L2182" t="s">
        <v>166</v>
      </c>
      <c r="M2182" t="s">
        <v>171</v>
      </c>
      <c r="N2182">
        <v>4</v>
      </c>
      <c r="O2182" s="4">
        <v>2400</v>
      </c>
      <c r="P2182" s="4">
        <v>3400</v>
      </c>
      <c r="Q2182" s="7">
        <v>0.05</v>
      </c>
      <c r="R2182" t="s">
        <v>204</v>
      </c>
      <c r="S2182">
        <v>3</v>
      </c>
      <c r="T2182">
        <v>13600</v>
      </c>
      <c r="U2182">
        <v>680</v>
      </c>
      <c r="V2182">
        <v>12920</v>
      </c>
      <c r="W2182">
        <v>9600</v>
      </c>
      <c r="X2182">
        <v>3320</v>
      </c>
      <c r="Y2182" s="8">
        <v>0.25696594427244585</v>
      </c>
      <c r="Z2182" t="s">
        <v>2996</v>
      </c>
      <c r="AA2182" t="str">
        <f>IF(AND(SalesCleanTable[[#This Row],[Discount %]]&gt;0, SalesCleanTable[[#This Row],[Profit]]&lt;0), "Discount loss", "Safe")</f>
        <v>Safe</v>
      </c>
      <c r="AB2182" s="25">
        <f>(SalesCleanTable[[#This Row],[Unit Price]] - SalesCleanTable[[#This Row],[Unit Cost]]) / SalesCleanTable[[#This Row],[Unit Price]]</f>
        <v>0.29411764705882354</v>
      </c>
      <c r="AC2182" t="str">
        <f>IF(SalesCleanTable[[#This Row],[Discount %]] &gt; SalesCleanTable[[#This Row],[Max Allowed Discount]], "Discount loss", "Safe")</f>
        <v>Safe</v>
      </c>
      <c r="AD2182" s="4">
        <f>SalesCleanTable[[#This Row],[Unit Price]] - SalesCleanTable[[#This Row],[Unit Cost]]</f>
        <v>1000</v>
      </c>
      <c r="AE2182" s="41">
        <f>(SalesCleanTable[[#This Row],[Unit Price]] - SalesCleanTable[[#This Row],[Unit Cost]]) / SalesCleanTable[[#This Row],[Unit Price]]</f>
        <v>0.29411764705882354</v>
      </c>
    </row>
    <row r="2183" spans="1:31">
      <c r="A2183" t="s">
        <v>2369</v>
      </c>
      <c r="B2183" s="6">
        <v>45799</v>
      </c>
      <c r="C2183" t="s">
        <v>116</v>
      </c>
      <c r="D2183" t="s">
        <v>117</v>
      </c>
      <c r="E2183" t="s">
        <v>109</v>
      </c>
      <c r="F2183" t="s">
        <v>118</v>
      </c>
      <c r="G2183" t="s">
        <v>119</v>
      </c>
      <c r="H2183" t="s">
        <v>153</v>
      </c>
      <c r="I2183" t="s">
        <v>154</v>
      </c>
      <c r="J2183" t="s">
        <v>155</v>
      </c>
      <c r="K2183" t="s">
        <v>131</v>
      </c>
      <c r="L2183" t="s">
        <v>170</v>
      </c>
      <c r="M2183" t="s">
        <v>171</v>
      </c>
      <c r="N2183">
        <v>3</v>
      </c>
      <c r="O2183" s="4">
        <v>2800</v>
      </c>
      <c r="P2183" s="4">
        <v>4200</v>
      </c>
      <c r="Q2183" s="7">
        <v>0.05</v>
      </c>
      <c r="R2183" t="s">
        <v>220</v>
      </c>
      <c r="S2183">
        <v>9</v>
      </c>
      <c r="T2183">
        <v>12600</v>
      </c>
      <c r="U2183">
        <v>630</v>
      </c>
      <c r="V2183">
        <v>11970</v>
      </c>
      <c r="W2183">
        <v>8400</v>
      </c>
      <c r="X2183">
        <v>3570</v>
      </c>
      <c r="Y2183" s="8">
        <v>0.2982456140350877</v>
      </c>
      <c r="Z2183" t="s">
        <v>2995</v>
      </c>
      <c r="AA2183" t="str">
        <f>IF(AND(SalesCleanTable[[#This Row],[Discount %]]&gt;0, SalesCleanTable[[#This Row],[Profit]]&lt;0), "Discount loss", "Safe")</f>
        <v>Safe</v>
      </c>
      <c r="AB2183" s="25">
        <f>(SalesCleanTable[[#This Row],[Unit Price]] - SalesCleanTable[[#This Row],[Unit Cost]]) / SalesCleanTable[[#This Row],[Unit Price]]</f>
        <v>0.33333333333333331</v>
      </c>
      <c r="AC2183" t="str">
        <f>IF(SalesCleanTable[[#This Row],[Discount %]] &gt; SalesCleanTable[[#This Row],[Max Allowed Discount]], "Discount loss", "Safe")</f>
        <v>Safe</v>
      </c>
      <c r="AD2183" s="4">
        <f>SalesCleanTable[[#This Row],[Unit Price]] - SalesCleanTable[[#This Row],[Unit Cost]]</f>
        <v>1400</v>
      </c>
      <c r="AE2183" s="41">
        <f>(SalesCleanTable[[#This Row],[Unit Price]] - SalesCleanTable[[#This Row],[Unit Cost]]) / SalesCleanTable[[#This Row],[Unit Price]]</f>
        <v>0.33333333333333331</v>
      </c>
    </row>
    <row r="2184" spans="1:31">
      <c r="A2184" t="s">
        <v>2370</v>
      </c>
      <c r="B2184" s="6">
        <v>45796</v>
      </c>
      <c r="C2184" t="s">
        <v>95</v>
      </c>
      <c r="D2184" t="s">
        <v>96</v>
      </c>
      <c r="E2184" t="s">
        <v>92</v>
      </c>
      <c r="F2184" t="s">
        <v>97</v>
      </c>
      <c r="G2184" t="s">
        <v>98</v>
      </c>
      <c r="H2184" t="s">
        <v>135</v>
      </c>
      <c r="I2184" t="s">
        <v>136</v>
      </c>
      <c r="J2184" t="s">
        <v>137</v>
      </c>
      <c r="K2184" t="s">
        <v>138</v>
      </c>
      <c r="L2184" t="s">
        <v>166</v>
      </c>
      <c r="M2184" t="s">
        <v>177</v>
      </c>
      <c r="N2184">
        <v>-1</v>
      </c>
      <c r="O2184" s="4">
        <v>18000</v>
      </c>
      <c r="P2184" s="4">
        <v>24500</v>
      </c>
      <c r="Q2184" s="7">
        <v>0</v>
      </c>
      <c r="R2184" t="s">
        <v>181</v>
      </c>
      <c r="S2184">
        <v>6</v>
      </c>
      <c r="T2184">
        <v>-24500</v>
      </c>
      <c r="U2184">
        <v>0</v>
      </c>
      <c r="V2184">
        <v>-24500</v>
      </c>
      <c r="W2184">
        <v>-18000</v>
      </c>
      <c r="X2184">
        <v>-6500</v>
      </c>
      <c r="Y2184" s="8">
        <v>0.26530612244897961</v>
      </c>
      <c r="Z2184" t="s">
        <v>2995</v>
      </c>
      <c r="AA2184" t="str">
        <f>IF(AND(SalesCleanTable[[#This Row],[Discount %]]&gt;0, SalesCleanTable[[#This Row],[Profit]]&lt;0), "Discount loss", "Safe")</f>
        <v>Safe</v>
      </c>
      <c r="AB2184" s="25">
        <f>(SalesCleanTable[[#This Row],[Unit Price]] - SalesCleanTable[[#This Row],[Unit Cost]]) / SalesCleanTable[[#This Row],[Unit Price]]</f>
        <v>0.26530612244897961</v>
      </c>
      <c r="AC2184" t="str">
        <f>IF(SalesCleanTable[[#This Row],[Discount %]] &gt; SalesCleanTable[[#This Row],[Max Allowed Discount]], "Discount loss", "Safe")</f>
        <v>Safe</v>
      </c>
      <c r="AD2184" s="4">
        <f>SalesCleanTable[[#This Row],[Unit Price]] - SalesCleanTable[[#This Row],[Unit Cost]]</f>
        <v>6500</v>
      </c>
      <c r="AE2184" s="41">
        <f>(SalesCleanTable[[#This Row],[Unit Price]] - SalesCleanTable[[#This Row],[Unit Cost]]) / SalesCleanTable[[#This Row],[Unit Price]]</f>
        <v>0.26530612244897961</v>
      </c>
    </row>
    <row r="2185" spans="1:31">
      <c r="A2185" t="s">
        <v>2371</v>
      </c>
      <c r="B2185" s="6">
        <v>45713</v>
      </c>
      <c r="C2185" t="s">
        <v>95</v>
      </c>
      <c r="D2185" t="s">
        <v>96</v>
      </c>
      <c r="E2185" t="s">
        <v>92</v>
      </c>
      <c r="F2185" t="s">
        <v>97</v>
      </c>
      <c r="G2185" t="s">
        <v>98</v>
      </c>
      <c r="H2185" t="s">
        <v>135</v>
      </c>
      <c r="I2185" t="s">
        <v>136</v>
      </c>
      <c r="J2185" t="s">
        <v>137</v>
      </c>
      <c r="K2185" t="s">
        <v>138</v>
      </c>
      <c r="L2185" t="s">
        <v>170</v>
      </c>
      <c r="M2185" t="s">
        <v>177</v>
      </c>
      <c r="N2185">
        <v>3</v>
      </c>
      <c r="O2185" s="4">
        <v>18000</v>
      </c>
      <c r="P2185" s="4">
        <v>24500</v>
      </c>
      <c r="Q2185" s="7">
        <v>0.2</v>
      </c>
      <c r="R2185" t="s">
        <v>217</v>
      </c>
      <c r="S2185">
        <v>14</v>
      </c>
      <c r="T2185">
        <v>73500</v>
      </c>
      <c r="U2185">
        <v>14700</v>
      </c>
      <c r="V2185">
        <v>58800</v>
      </c>
      <c r="W2185">
        <v>54000</v>
      </c>
      <c r="X2185">
        <v>4800</v>
      </c>
      <c r="Y2185" s="8">
        <v>8.1632653061224483E-2</v>
      </c>
      <c r="Z2185" t="s">
        <v>2995</v>
      </c>
      <c r="AA2185" t="str">
        <f>IF(AND(SalesCleanTable[[#This Row],[Discount %]]&gt;0, SalesCleanTable[[#This Row],[Profit]]&lt;0), "Discount loss", "Safe")</f>
        <v>Safe</v>
      </c>
      <c r="AB2185" s="25">
        <f>(SalesCleanTable[[#This Row],[Unit Price]] - SalesCleanTable[[#This Row],[Unit Cost]]) / SalesCleanTable[[#This Row],[Unit Price]]</f>
        <v>0.26530612244897961</v>
      </c>
      <c r="AC2185" t="str">
        <f>IF(SalesCleanTable[[#This Row],[Discount %]] &gt; SalesCleanTable[[#This Row],[Max Allowed Discount]], "Discount loss", "Safe")</f>
        <v>Safe</v>
      </c>
      <c r="AD2185" s="4">
        <f>SalesCleanTable[[#This Row],[Unit Price]] - SalesCleanTable[[#This Row],[Unit Cost]]</f>
        <v>6500</v>
      </c>
      <c r="AE2185" s="41">
        <f>(SalesCleanTable[[#This Row],[Unit Price]] - SalesCleanTable[[#This Row],[Unit Cost]]) / SalesCleanTable[[#This Row],[Unit Price]]</f>
        <v>0.26530612244897961</v>
      </c>
    </row>
    <row r="2186" spans="1:31">
      <c r="A2186" t="s">
        <v>2372</v>
      </c>
      <c r="B2186" s="6">
        <v>45765</v>
      </c>
      <c r="C2186" t="s">
        <v>45</v>
      </c>
      <c r="D2186" t="s">
        <v>46</v>
      </c>
      <c r="E2186" t="s">
        <v>38</v>
      </c>
      <c r="F2186" t="s">
        <v>47</v>
      </c>
      <c r="G2186" t="s">
        <v>48</v>
      </c>
      <c r="H2186" t="s">
        <v>135</v>
      </c>
      <c r="I2186" t="s">
        <v>136</v>
      </c>
      <c r="J2186" t="s">
        <v>137</v>
      </c>
      <c r="K2186" t="s">
        <v>138</v>
      </c>
      <c r="L2186" t="s">
        <v>166</v>
      </c>
      <c r="M2186" t="s">
        <v>177</v>
      </c>
      <c r="N2186">
        <v>2</v>
      </c>
      <c r="O2186" s="4">
        <v>230</v>
      </c>
      <c r="P2186" s="4">
        <v>400</v>
      </c>
      <c r="Q2186" s="7">
        <v>0.1</v>
      </c>
      <c r="R2186" t="s">
        <v>178</v>
      </c>
      <c r="S2186">
        <v>3</v>
      </c>
      <c r="T2186">
        <v>800</v>
      </c>
      <c r="U2186">
        <v>80</v>
      </c>
      <c r="V2186">
        <v>720</v>
      </c>
      <c r="W2186">
        <v>460</v>
      </c>
      <c r="X2186">
        <v>260</v>
      </c>
      <c r="Y2186" s="8">
        <v>0.3611111111111111</v>
      </c>
      <c r="Z2186" t="s">
        <v>2995</v>
      </c>
      <c r="AA2186" t="str">
        <f>IF(AND(SalesCleanTable[[#This Row],[Discount %]]&gt;0, SalesCleanTable[[#This Row],[Profit]]&lt;0), "Discount loss", "Safe")</f>
        <v>Safe</v>
      </c>
      <c r="AB2186" s="25">
        <f>(SalesCleanTable[[#This Row],[Unit Price]] - SalesCleanTable[[#This Row],[Unit Cost]]) / SalesCleanTable[[#This Row],[Unit Price]]</f>
        <v>0.42499999999999999</v>
      </c>
      <c r="AC2186" t="str">
        <f>IF(SalesCleanTable[[#This Row],[Discount %]] &gt; SalesCleanTable[[#This Row],[Max Allowed Discount]], "Discount loss", "Safe")</f>
        <v>Safe</v>
      </c>
      <c r="AD2186" s="4">
        <f>SalesCleanTable[[#This Row],[Unit Price]] - SalesCleanTable[[#This Row],[Unit Cost]]</f>
        <v>170</v>
      </c>
      <c r="AE2186" s="41">
        <f>(SalesCleanTable[[#This Row],[Unit Price]] - SalesCleanTable[[#This Row],[Unit Cost]]) / SalesCleanTable[[#This Row],[Unit Price]]</f>
        <v>0.42499999999999999</v>
      </c>
    </row>
    <row r="2187" spans="1:31">
      <c r="A2187" t="s">
        <v>2373</v>
      </c>
      <c r="B2187" s="6">
        <v>45984</v>
      </c>
      <c r="C2187" t="s">
        <v>53</v>
      </c>
      <c r="D2187" t="s">
        <v>54</v>
      </c>
      <c r="E2187" t="s">
        <v>38</v>
      </c>
      <c r="F2187" t="s">
        <v>55</v>
      </c>
      <c r="G2187" t="s">
        <v>56</v>
      </c>
      <c r="H2187" t="s">
        <v>135</v>
      </c>
      <c r="I2187" t="s">
        <v>136</v>
      </c>
      <c r="J2187" t="s">
        <v>137</v>
      </c>
      <c r="K2187" t="s">
        <v>138</v>
      </c>
      <c r="L2187" t="s">
        <v>166</v>
      </c>
      <c r="M2187" t="s">
        <v>171</v>
      </c>
      <c r="N2187">
        <v>4</v>
      </c>
      <c r="O2187" s="4">
        <v>330</v>
      </c>
      <c r="P2187" s="4">
        <v>550</v>
      </c>
      <c r="Q2187" s="7">
        <v>0.05</v>
      </c>
      <c r="R2187" t="s">
        <v>178</v>
      </c>
      <c r="S2187">
        <v>1</v>
      </c>
      <c r="T2187">
        <v>2200</v>
      </c>
      <c r="U2187">
        <v>110</v>
      </c>
      <c r="V2187">
        <v>2090</v>
      </c>
      <c r="W2187">
        <v>1320</v>
      </c>
      <c r="X2187">
        <v>770</v>
      </c>
      <c r="Y2187" s="8">
        <v>0.36842105263157893</v>
      </c>
      <c r="Z2187" t="s">
        <v>2996</v>
      </c>
      <c r="AA2187" t="str">
        <f>IF(AND(SalesCleanTable[[#This Row],[Discount %]]&gt;0, SalesCleanTable[[#This Row],[Profit]]&lt;0), "Discount loss", "Safe")</f>
        <v>Safe</v>
      </c>
      <c r="AB2187" s="25">
        <f>(SalesCleanTable[[#This Row],[Unit Price]] - SalesCleanTable[[#This Row],[Unit Cost]]) / SalesCleanTable[[#This Row],[Unit Price]]</f>
        <v>0.4</v>
      </c>
      <c r="AC2187" t="str">
        <f>IF(SalesCleanTable[[#This Row],[Discount %]] &gt; SalesCleanTable[[#This Row],[Max Allowed Discount]], "Discount loss", "Safe")</f>
        <v>Safe</v>
      </c>
      <c r="AD2187" s="4">
        <f>SalesCleanTable[[#This Row],[Unit Price]] - SalesCleanTable[[#This Row],[Unit Cost]]</f>
        <v>220</v>
      </c>
      <c r="AE2187" s="41">
        <f>(SalesCleanTable[[#This Row],[Unit Price]] - SalesCleanTable[[#This Row],[Unit Cost]]) / SalesCleanTable[[#This Row],[Unit Price]]</f>
        <v>0.4</v>
      </c>
    </row>
    <row r="2188" spans="1:31">
      <c r="A2188" t="s">
        <v>2374</v>
      </c>
      <c r="B2188" s="6">
        <v>45995</v>
      </c>
      <c r="C2188" t="s">
        <v>82</v>
      </c>
      <c r="D2188" t="s">
        <v>83</v>
      </c>
      <c r="E2188" t="s">
        <v>75</v>
      </c>
      <c r="F2188" t="s">
        <v>84</v>
      </c>
      <c r="G2188" t="s">
        <v>85</v>
      </c>
      <c r="H2188" t="s">
        <v>145</v>
      </c>
      <c r="I2188" t="s">
        <v>146</v>
      </c>
      <c r="J2188" t="s">
        <v>147</v>
      </c>
      <c r="K2188" t="s">
        <v>148</v>
      </c>
      <c r="L2188" t="s">
        <v>166</v>
      </c>
      <c r="M2188" t="s">
        <v>171</v>
      </c>
      <c r="N2188">
        <v>3</v>
      </c>
      <c r="O2188" s="4">
        <v>600</v>
      </c>
      <c r="P2188" s="4">
        <v>950</v>
      </c>
      <c r="Q2188" s="7">
        <v>0</v>
      </c>
      <c r="R2188" t="s">
        <v>204</v>
      </c>
      <c r="S2188">
        <v>8</v>
      </c>
      <c r="T2188">
        <v>2850</v>
      </c>
      <c r="U2188">
        <v>0</v>
      </c>
      <c r="V2188">
        <v>2850</v>
      </c>
      <c r="W2188">
        <v>1800</v>
      </c>
      <c r="X2188">
        <v>1050</v>
      </c>
      <c r="Y2188" s="8">
        <v>0.36842105263157893</v>
      </c>
      <c r="Z2188" t="s">
        <v>2996</v>
      </c>
      <c r="AA2188" t="str">
        <f>IF(AND(SalesCleanTable[[#This Row],[Discount %]]&gt;0, SalesCleanTable[[#This Row],[Profit]]&lt;0), "Discount loss", "Safe")</f>
        <v>Safe</v>
      </c>
      <c r="AB2188" s="25">
        <f>(SalesCleanTable[[#This Row],[Unit Price]] - SalesCleanTable[[#This Row],[Unit Cost]]) / SalesCleanTable[[#This Row],[Unit Price]]</f>
        <v>0.36842105263157893</v>
      </c>
      <c r="AC2188" t="str">
        <f>IF(SalesCleanTable[[#This Row],[Discount %]] &gt; SalesCleanTable[[#This Row],[Max Allowed Discount]], "Discount loss", "Safe")</f>
        <v>Safe</v>
      </c>
      <c r="AD2188" s="4">
        <f>SalesCleanTable[[#This Row],[Unit Price]] - SalesCleanTable[[#This Row],[Unit Cost]]</f>
        <v>350</v>
      </c>
      <c r="AE2188" s="41">
        <f>(SalesCleanTable[[#This Row],[Unit Price]] - SalesCleanTable[[#This Row],[Unit Cost]]) / SalesCleanTable[[#This Row],[Unit Price]]</f>
        <v>0.36842105263157893</v>
      </c>
    </row>
    <row r="2189" spans="1:31">
      <c r="A2189" t="s">
        <v>2375</v>
      </c>
      <c r="B2189" s="6">
        <v>45937</v>
      </c>
      <c r="C2189" t="s">
        <v>62</v>
      </c>
      <c r="D2189" t="s">
        <v>63</v>
      </c>
      <c r="E2189" t="s">
        <v>59</v>
      </c>
      <c r="F2189" t="s">
        <v>64</v>
      </c>
      <c r="G2189" t="s">
        <v>65</v>
      </c>
      <c r="H2189" t="s">
        <v>139</v>
      </c>
      <c r="I2189" t="s">
        <v>140</v>
      </c>
      <c r="J2189" t="s">
        <v>137</v>
      </c>
      <c r="K2189" t="s">
        <v>138</v>
      </c>
      <c r="L2189" t="s">
        <v>183</v>
      </c>
      <c r="M2189" t="s">
        <v>167</v>
      </c>
      <c r="N2189">
        <v>2</v>
      </c>
      <c r="O2189" s="4">
        <v>3200</v>
      </c>
      <c r="P2189" s="4">
        <v>4500</v>
      </c>
      <c r="Q2189" s="7">
        <v>0</v>
      </c>
      <c r="R2189" t="s">
        <v>192</v>
      </c>
      <c r="S2189">
        <v>6</v>
      </c>
      <c r="T2189">
        <v>9000</v>
      </c>
      <c r="U2189">
        <v>0</v>
      </c>
      <c r="V2189">
        <v>9000</v>
      </c>
      <c r="W2189">
        <v>6400</v>
      </c>
      <c r="X2189">
        <v>2600</v>
      </c>
      <c r="Y2189" s="8">
        <v>0.28888888888888886</v>
      </c>
      <c r="Z2189" t="s">
        <v>2996</v>
      </c>
      <c r="AA2189" t="str">
        <f>IF(AND(SalesCleanTable[[#This Row],[Discount %]]&gt;0, SalesCleanTable[[#This Row],[Profit]]&lt;0), "Discount loss", "Safe")</f>
        <v>Safe</v>
      </c>
      <c r="AB2189" s="25">
        <f>(SalesCleanTable[[#This Row],[Unit Price]] - SalesCleanTable[[#This Row],[Unit Cost]]) / SalesCleanTable[[#This Row],[Unit Price]]</f>
        <v>0.28888888888888886</v>
      </c>
      <c r="AC2189" t="str">
        <f>IF(SalesCleanTable[[#This Row],[Discount %]] &gt; SalesCleanTable[[#This Row],[Max Allowed Discount]], "Discount loss", "Safe")</f>
        <v>Safe</v>
      </c>
      <c r="AD2189" s="4">
        <f>SalesCleanTable[[#This Row],[Unit Price]] - SalesCleanTable[[#This Row],[Unit Cost]]</f>
        <v>1300</v>
      </c>
      <c r="AE2189" s="41">
        <f>(SalesCleanTable[[#This Row],[Unit Price]] - SalesCleanTable[[#This Row],[Unit Cost]]) / SalesCleanTable[[#This Row],[Unit Price]]</f>
        <v>0.28888888888888886</v>
      </c>
    </row>
    <row r="2190" spans="1:31">
      <c r="A2190" t="s">
        <v>2376</v>
      </c>
      <c r="B2190" s="6">
        <v>45805</v>
      </c>
      <c r="C2190" t="s">
        <v>57</v>
      </c>
      <c r="D2190" t="s">
        <v>58</v>
      </c>
      <c r="E2190" t="s">
        <v>59</v>
      </c>
      <c r="F2190" t="s">
        <v>60</v>
      </c>
      <c r="G2190" t="s">
        <v>61</v>
      </c>
      <c r="H2190" t="s">
        <v>149</v>
      </c>
      <c r="I2190" t="s">
        <v>150</v>
      </c>
      <c r="J2190" t="s">
        <v>151</v>
      </c>
      <c r="K2190" t="s">
        <v>152</v>
      </c>
      <c r="L2190" t="s">
        <v>166</v>
      </c>
      <c r="M2190" t="s">
        <v>167</v>
      </c>
      <c r="N2190">
        <v>5</v>
      </c>
      <c r="O2190" s="4">
        <v>2400</v>
      </c>
      <c r="P2190" s="4">
        <v>3400</v>
      </c>
      <c r="Q2190" s="7">
        <v>0.1</v>
      </c>
      <c r="R2190" t="s">
        <v>204</v>
      </c>
      <c r="S2190">
        <v>9</v>
      </c>
      <c r="T2190">
        <v>17000</v>
      </c>
      <c r="U2190">
        <v>1700</v>
      </c>
      <c r="V2190">
        <v>15300</v>
      </c>
      <c r="W2190">
        <v>12000</v>
      </c>
      <c r="X2190">
        <v>3300</v>
      </c>
      <c r="Y2190" s="8">
        <v>0.21568627450980393</v>
      </c>
      <c r="Z2190" t="s">
        <v>2996</v>
      </c>
      <c r="AA2190" t="str">
        <f>IF(AND(SalesCleanTable[[#This Row],[Discount %]]&gt;0, SalesCleanTable[[#This Row],[Profit]]&lt;0), "Discount loss", "Safe")</f>
        <v>Safe</v>
      </c>
      <c r="AB2190" s="25">
        <f>(SalesCleanTable[[#This Row],[Unit Price]] - SalesCleanTable[[#This Row],[Unit Cost]]) / SalesCleanTable[[#This Row],[Unit Price]]</f>
        <v>0.29411764705882354</v>
      </c>
      <c r="AC2190" t="str">
        <f>IF(SalesCleanTable[[#This Row],[Discount %]] &gt; SalesCleanTable[[#This Row],[Max Allowed Discount]], "Discount loss", "Safe")</f>
        <v>Safe</v>
      </c>
      <c r="AD2190" s="4">
        <f>SalesCleanTable[[#This Row],[Unit Price]] - SalesCleanTable[[#This Row],[Unit Cost]]</f>
        <v>1000</v>
      </c>
      <c r="AE2190" s="41">
        <f>(SalesCleanTable[[#This Row],[Unit Price]] - SalesCleanTable[[#This Row],[Unit Cost]]) / SalesCleanTable[[#This Row],[Unit Price]]</f>
        <v>0.29411764705882354</v>
      </c>
    </row>
    <row r="2191" spans="1:31">
      <c r="A2191" t="s">
        <v>2377</v>
      </c>
      <c r="B2191" s="6">
        <v>45865</v>
      </c>
      <c r="C2191" t="s">
        <v>49</v>
      </c>
      <c r="D2191" t="s">
        <v>50</v>
      </c>
      <c r="E2191" t="s">
        <v>38</v>
      </c>
      <c r="F2191" t="s">
        <v>51</v>
      </c>
      <c r="G2191" t="s">
        <v>52</v>
      </c>
      <c r="H2191" t="s">
        <v>149</v>
      </c>
      <c r="I2191" t="s">
        <v>150</v>
      </c>
      <c r="J2191" t="s">
        <v>151</v>
      </c>
      <c r="K2191" t="s">
        <v>152</v>
      </c>
      <c r="L2191" t="s">
        <v>183</v>
      </c>
      <c r="M2191" t="s">
        <v>171</v>
      </c>
      <c r="N2191">
        <v>1</v>
      </c>
      <c r="O2191" s="4">
        <v>550</v>
      </c>
      <c r="P2191" s="4">
        <v>850</v>
      </c>
      <c r="Q2191" s="7">
        <v>0.15</v>
      </c>
      <c r="R2191" t="s">
        <v>178</v>
      </c>
      <c r="S2191">
        <v>2</v>
      </c>
      <c r="T2191">
        <v>850</v>
      </c>
      <c r="U2191">
        <v>127.5</v>
      </c>
      <c r="V2191">
        <v>722.5</v>
      </c>
      <c r="W2191">
        <v>550</v>
      </c>
      <c r="X2191">
        <v>172.5</v>
      </c>
      <c r="Y2191" s="8">
        <v>0.23875432525951557</v>
      </c>
      <c r="Z2191" t="s">
        <v>2996</v>
      </c>
      <c r="AA2191" t="str">
        <f>IF(AND(SalesCleanTable[[#This Row],[Discount %]]&gt;0, SalesCleanTable[[#This Row],[Profit]]&lt;0), "Discount loss", "Safe")</f>
        <v>Safe</v>
      </c>
      <c r="AB2191" s="25">
        <f>(SalesCleanTable[[#This Row],[Unit Price]] - SalesCleanTable[[#This Row],[Unit Cost]]) / SalesCleanTable[[#This Row],[Unit Price]]</f>
        <v>0.35294117647058826</v>
      </c>
      <c r="AC2191" t="str">
        <f>IF(SalesCleanTable[[#This Row],[Discount %]] &gt; SalesCleanTable[[#This Row],[Max Allowed Discount]], "Discount loss", "Safe")</f>
        <v>Safe</v>
      </c>
      <c r="AD2191" s="4">
        <f>SalesCleanTable[[#This Row],[Unit Price]] - SalesCleanTable[[#This Row],[Unit Cost]]</f>
        <v>300</v>
      </c>
      <c r="AE2191" s="41">
        <f>(SalesCleanTable[[#This Row],[Unit Price]] - SalesCleanTable[[#This Row],[Unit Cost]]) / SalesCleanTable[[#This Row],[Unit Price]]</f>
        <v>0.35294117647058826</v>
      </c>
    </row>
    <row r="2192" spans="1:31">
      <c r="A2192" t="s">
        <v>2378</v>
      </c>
      <c r="B2192" s="6">
        <v>45847</v>
      </c>
      <c r="C2192" t="s">
        <v>45</v>
      </c>
      <c r="D2192" t="s">
        <v>46</v>
      </c>
      <c r="E2192" t="s">
        <v>38</v>
      </c>
      <c r="F2192" t="s">
        <v>47</v>
      </c>
      <c r="G2192" t="s">
        <v>48</v>
      </c>
      <c r="H2192" t="s">
        <v>141</v>
      </c>
      <c r="I2192" t="s">
        <v>142</v>
      </c>
      <c r="J2192" t="s">
        <v>143</v>
      </c>
      <c r="K2192" t="s">
        <v>144</v>
      </c>
      <c r="L2192" t="s">
        <v>166</v>
      </c>
      <c r="M2192" t="s">
        <v>171</v>
      </c>
      <c r="N2192">
        <v>2</v>
      </c>
      <c r="O2192" s="4">
        <v>230</v>
      </c>
      <c r="P2192" s="4">
        <v>400</v>
      </c>
      <c r="Q2192" s="7">
        <v>0.15</v>
      </c>
      <c r="R2192" t="s">
        <v>178</v>
      </c>
      <c r="S2192">
        <v>12</v>
      </c>
      <c r="T2192">
        <v>800</v>
      </c>
      <c r="U2192">
        <v>120</v>
      </c>
      <c r="V2192">
        <v>680</v>
      </c>
      <c r="W2192">
        <v>460</v>
      </c>
      <c r="X2192">
        <v>220</v>
      </c>
      <c r="Y2192" s="8">
        <v>0.3235294117647059</v>
      </c>
      <c r="Z2192" t="s">
        <v>2995</v>
      </c>
      <c r="AA2192" t="str">
        <f>IF(AND(SalesCleanTable[[#This Row],[Discount %]]&gt;0, SalesCleanTable[[#This Row],[Profit]]&lt;0), "Discount loss", "Safe")</f>
        <v>Safe</v>
      </c>
      <c r="AB2192" s="25">
        <f>(SalesCleanTable[[#This Row],[Unit Price]] - SalesCleanTable[[#This Row],[Unit Cost]]) / SalesCleanTable[[#This Row],[Unit Price]]</f>
        <v>0.42499999999999999</v>
      </c>
      <c r="AC2192" t="str">
        <f>IF(SalesCleanTable[[#This Row],[Discount %]] &gt; SalesCleanTable[[#This Row],[Max Allowed Discount]], "Discount loss", "Safe")</f>
        <v>Safe</v>
      </c>
      <c r="AD2192" s="4">
        <f>SalesCleanTable[[#This Row],[Unit Price]] - SalesCleanTable[[#This Row],[Unit Cost]]</f>
        <v>170</v>
      </c>
      <c r="AE2192" s="41">
        <f>(SalesCleanTable[[#This Row],[Unit Price]] - SalesCleanTable[[#This Row],[Unit Cost]]) / SalesCleanTable[[#This Row],[Unit Price]]</f>
        <v>0.42499999999999999</v>
      </c>
    </row>
    <row r="2193" spans="1:31">
      <c r="A2193" t="s">
        <v>2379</v>
      </c>
      <c r="B2193" s="6">
        <v>45817</v>
      </c>
      <c r="C2193" t="s">
        <v>69</v>
      </c>
      <c r="D2193" t="s">
        <v>70</v>
      </c>
      <c r="E2193" t="s">
        <v>59</v>
      </c>
      <c r="F2193" t="s">
        <v>71</v>
      </c>
      <c r="G2193" t="s">
        <v>72</v>
      </c>
      <c r="H2193" t="s">
        <v>153</v>
      </c>
      <c r="I2193" t="s">
        <v>154</v>
      </c>
      <c r="J2193" t="s">
        <v>155</v>
      </c>
      <c r="K2193" t="s">
        <v>131</v>
      </c>
      <c r="L2193" t="s">
        <v>166</v>
      </c>
      <c r="M2193" t="s">
        <v>177</v>
      </c>
      <c r="N2193">
        <v>2</v>
      </c>
      <c r="O2193" s="4">
        <v>1700</v>
      </c>
      <c r="P2193" s="4">
        <v>2600</v>
      </c>
      <c r="Q2193" s="7">
        <v>0.15</v>
      </c>
      <c r="R2193" t="s">
        <v>173</v>
      </c>
      <c r="S2193">
        <v>12</v>
      </c>
      <c r="T2193">
        <v>5200</v>
      </c>
      <c r="U2193">
        <v>780</v>
      </c>
      <c r="V2193">
        <v>4420</v>
      </c>
      <c r="W2193">
        <v>3400</v>
      </c>
      <c r="X2193">
        <v>1020</v>
      </c>
      <c r="Y2193" s="8">
        <v>0.23076923076923078</v>
      </c>
      <c r="Z2193" t="s">
        <v>2997</v>
      </c>
      <c r="AA2193" t="str">
        <f>IF(AND(SalesCleanTable[[#This Row],[Discount %]]&gt;0, SalesCleanTable[[#This Row],[Profit]]&lt;0), "Discount loss", "Safe")</f>
        <v>Safe</v>
      </c>
      <c r="AB2193" s="25">
        <f>(SalesCleanTable[[#This Row],[Unit Price]] - SalesCleanTable[[#This Row],[Unit Cost]]) / SalesCleanTable[[#This Row],[Unit Price]]</f>
        <v>0.34615384615384615</v>
      </c>
      <c r="AC2193" t="str">
        <f>IF(SalesCleanTable[[#This Row],[Discount %]] &gt; SalesCleanTable[[#This Row],[Max Allowed Discount]], "Discount loss", "Safe")</f>
        <v>Safe</v>
      </c>
      <c r="AD2193" s="4">
        <f>SalesCleanTable[[#This Row],[Unit Price]] - SalesCleanTable[[#This Row],[Unit Cost]]</f>
        <v>900</v>
      </c>
      <c r="AE2193" s="41">
        <f>(SalesCleanTable[[#This Row],[Unit Price]] - SalesCleanTable[[#This Row],[Unit Cost]]) / SalesCleanTable[[#This Row],[Unit Price]]</f>
        <v>0.34615384615384615</v>
      </c>
    </row>
    <row r="2194" spans="1:31">
      <c r="A2194" t="s">
        <v>2380</v>
      </c>
      <c r="B2194" s="6">
        <v>45916</v>
      </c>
      <c r="C2194" t="s">
        <v>49</v>
      </c>
      <c r="D2194" t="s">
        <v>50</v>
      </c>
      <c r="E2194" t="s">
        <v>38</v>
      </c>
      <c r="F2194" t="s">
        <v>51</v>
      </c>
      <c r="G2194" t="s">
        <v>52</v>
      </c>
      <c r="H2194" t="s">
        <v>153</v>
      </c>
      <c r="I2194" t="s">
        <v>154</v>
      </c>
      <c r="J2194" t="s">
        <v>155</v>
      </c>
      <c r="K2194" t="s">
        <v>131</v>
      </c>
      <c r="L2194" t="s">
        <v>183</v>
      </c>
      <c r="M2194" t="s">
        <v>177</v>
      </c>
      <c r="N2194">
        <v>1</v>
      </c>
      <c r="O2194" s="4">
        <v>550</v>
      </c>
      <c r="P2194" s="4">
        <v>850</v>
      </c>
      <c r="Q2194" s="7">
        <v>0</v>
      </c>
      <c r="R2194" t="s">
        <v>175</v>
      </c>
      <c r="S2194">
        <v>9</v>
      </c>
      <c r="T2194">
        <v>850</v>
      </c>
      <c r="U2194">
        <v>0</v>
      </c>
      <c r="V2194">
        <v>850</v>
      </c>
      <c r="W2194">
        <v>550</v>
      </c>
      <c r="X2194">
        <v>300</v>
      </c>
      <c r="Y2194" s="8">
        <v>0.35294117647058826</v>
      </c>
      <c r="Z2194" t="s">
        <v>2996</v>
      </c>
      <c r="AA2194" t="str">
        <f>IF(AND(SalesCleanTable[[#This Row],[Discount %]]&gt;0, SalesCleanTable[[#This Row],[Profit]]&lt;0), "Discount loss", "Safe")</f>
        <v>Safe</v>
      </c>
      <c r="AB2194" s="25">
        <f>(SalesCleanTable[[#This Row],[Unit Price]] - SalesCleanTable[[#This Row],[Unit Cost]]) / SalesCleanTable[[#This Row],[Unit Price]]</f>
        <v>0.35294117647058826</v>
      </c>
      <c r="AC2194" t="str">
        <f>IF(SalesCleanTable[[#This Row],[Discount %]] &gt; SalesCleanTable[[#This Row],[Max Allowed Discount]], "Discount loss", "Safe")</f>
        <v>Safe</v>
      </c>
      <c r="AD2194" s="4">
        <f>SalesCleanTable[[#This Row],[Unit Price]] - SalesCleanTable[[#This Row],[Unit Cost]]</f>
        <v>300</v>
      </c>
      <c r="AE2194" s="41">
        <f>(SalesCleanTable[[#This Row],[Unit Price]] - SalesCleanTable[[#This Row],[Unit Cost]]) / SalesCleanTable[[#This Row],[Unit Price]]</f>
        <v>0.35294117647058826</v>
      </c>
    </row>
    <row r="2195" spans="1:31">
      <c r="A2195" t="s">
        <v>2381</v>
      </c>
      <c r="B2195" s="6">
        <v>45976</v>
      </c>
      <c r="C2195" t="s">
        <v>69</v>
      </c>
      <c r="D2195" t="s">
        <v>70</v>
      </c>
      <c r="E2195" t="s">
        <v>59</v>
      </c>
      <c r="F2195" t="s">
        <v>71</v>
      </c>
      <c r="G2195" t="s">
        <v>72</v>
      </c>
      <c r="H2195" t="s">
        <v>153</v>
      </c>
      <c r="I2195" t="s">
        <v>154</v>
      </c>
      <c r="J2195" t="s">
        <v>155</v>
      </c>
      <c r="K2195" t="s">
        <v>131</v>
      </c>
      <c r="L2195" t="s">
        <v>166</v>
      </c>
      <c r="M2195" t="s">
        <v>177</v>
      </c>
      <c r="N2195">
        <v>1</v>
      </c>
      <c r="O2195" s="4">
        <v>1700</v>
      </c>
      <c r="P2195" s="4">
        <v>2600</v>
      </c>
      <c r="Q2195" s="7">
        <v>0.15</v>
      </c>
      <c r="R2195" t="s">
        <v>204</v>
      </c>
      <c r="S2195">
        <v>8</v>
      </c>
      <c r="T2195">
        <v>2600</v>
      </c>
      <c r="U2195">
        <v>390</v>
      </c>
      <c r="V2195">
        <v>2210</v>
      </c>
      <c r="W2195">
        <v>1700</v>
      </c>
      <c r="X2195">
        <v>510</v>
      </c>
      <c r="Y2195" s="8">
        <v>0.23076923076923078</v>
      </c>
      <c r="Z2195" t="s">
        <v>2997</v>
      </c>
      <c r="AA2195" t="str">
        <f>IF(AND(SalesCleanTable[[#This Row],[Discount %]]&gt;0, SalesCleanTable[[#This Row],[Profit]]&lt;0), "Discount loss", "Safe")</f>
        <v>Safe</v>
      </c>
      <c r="AB2195" s="25">
        <f>(SalesCleanTable[[#This Row],[Unit Price]] - SalesCleanTable[[#This Row],[Unit Cost]]) / SalesCleanTable[[#This Row],[Unit Price]]</f>
        <v>0.34615384615384615</v>
      </c>
      <c r="AC2195" t="str">
        <f>IF(SalesCleanTable[[#This Row],[Discount %]] &gt; SalesCleanTable[[#This Row],[Max Allowed Discount]], "Discount loss", "Safe")</f>
        <v>Safe</v>
      </c>
      <c r="AD2195" s="4">
        <f>SalesCleanTable[[#This Row],[Unit Price]] - SalesCleanTable[[#This Row],[Unit Cost]]</f>
        <v>900</v>
      </c>
      <c r="AE2195" s="41">
        <f>(SalesCleanTable[[#This Row],[Unit Price]] - SalesCleanTable[[#This Row],[Unit Cost]]) / SalesCleanTable[[#This Row],[Unit Price]]</f>
        <v>0.34615384615384615</v>
      </c>
    </row>
    <row r="2196" spans="1:31">
      <c r="A2196" t="s">
        <v>2382</v>
      </c>
      <c r="B2196" s="6">
        <v>45781</v>
      </c>
      <c r="C2196" t="s">
        <v>32</v>
      </c>
      <c r="D2196" t="s">
        <v>33</v>
      </c>
      <c r="E2196" t="s">
        <v>26</v>
      </c>
      <c r="F2196" t="s">
        <v>34</v>
      </c>
      <c r="G2196" t="s">
        <v>35</v>
      </c>
      <c r="H2196" t="s">
        <v>141</v>
      </c>
      <c r="I2196" t="s">
        <v>142</v>
      </c>
      <c r="J2196" t="s">
        <v>143</v>
      </c>
      <c r="K2196" t="s">
        <v>144</v>
      </c>
      <c r="L2196" t="s">
        <v>166</v>
      </c>
      <c r="M2196" t="s">
        <v>171</v>
      </c>
      <c r="N2196">
        <v>4</v>
      </c>
      <c r="O2196" s="4">
        <v>7800</v>
      </c>
      <c r="P2196" s="4">
        <v>9800</v>
      </c>
      <c r="Q2196" s="7">
        <v>0.1</v>
      </c>
      <c r="R2196" t="s">
        <v>194</v>
      </c>
      <c r="S2196">
        <v>1</v>
      </c>
      <c r="T2196">
        <v>39200</v>
      </c>
      <c r="U2196">
        <v>3920</v>
      </c>
      <c r="V2196">
        <v>35280</v>
      </c>
      <c r="W2196">
        <v>31200</v>
      </c>
      <c r="X2196">
        <v>4080</v>
      </c>
      <c r="Y2196" s="8">
        <v>0.11564625850340136</v>
      </c>
      <c r="Z2196" t="s">
        <v>2995</v>
      </c>
      <c r="AA2196" t="str">
        <f>IF(AND(SalesCleanTable[[#This Row],[Discount %]]&gt;0, SalesCleanTable[[#This Row],[Profit]]&lt;0), "Discount loss", "Safe")</f>
        <v>Safe</v>
      </c>
      <c r="AB2196" s="25">
        <f>(SalesCleanTable[[#This Row],[Unit Price]] - SalesCleanTable[[#This Row],[Unit Cost]]) / SalesCleanTable[[#This Row],[Unit Price]]</f>
        <v>0.20408163265306123</v>
      </c>
      <c r="AC2196" t="str">
        <f>IF(SalesCleanTable[[#This Row],[Discount %]] &gt; SalesCleanTable[[#This Row],[Max Allowed Discount]], "Discount loss", "Safe")</f>
        <v>Safe</v>
      </c>
      <c r="AD2196" s="4">
        <f>SalesCleanTable[[#This Row],[Unit Price]] - SalesCleanTable[[#This Row],[Unit Cost]]</f>
        <v>2000</v>
      </c>
      <c r="AE2196" s="41">
        <f>(SalesCleanTable[[#This Row],[Unit Price]] - SalesCleanTable[[#This Row],[Unit Cost]]) / SalesCleanTable[[#This Row],[Unit Price]]</f>
        <v>0.20408163265306123</v>
      </c>
    </row>
    <row r="2197" spans="1:31">
      <c r="A2197" t="s">
        <v>2383</v>
      </c>
      <c r="B2197" s="6">
        <v>45711</v>
      </c>
      <c r="C2197" t="s">
        <v>103</v>
      </c>
      <c r="D2197" t="s">
        <v>104</v>
      </c>
      <c r="E2197" t="s">
        <v>92</v>
      </c>
      <c r="F2197" t="s">
        <v>105</v>
      </c>
      <c r="G2197" t="s">
        <v>106</v>
      </c>
      <c r="H2197" t="s">
        <v>145</v>
      </c>
      <c r="I2197" t="s">
        <v>146</v>
      </c>
      <c r="J2197" t="s">
        <v>147</v>
      </c>
      <c r="K2197" t="s">
        <v>148</v>
      </c>
      <c r="L2197" t="s">
        <v>170</v>
      </c>
      <c r="M2197" t="s">
        <v>186</v>
      </c>
      <c r="N2197">
        <v>6</v>
      </c>
      <c r="O2197" s="4">
        <v>1500</v>
      </c>
      <c r="P2197" s="4">
        <v>2500</v>
      </c>
      <c r="Q2197" s="7">
        <v>0</v>
      </c>
      <c r="R2197" t="s">
        <v>215</v>
      </c>
      <c r="S2197">
        <v>10</v>
      </c>
      <c r="T2197">
        <v>15000</v>
      </c>
      <c r="U2197">
        <v>0</v>
      </c>
      <c r="V2197">
        <v>15000</v>
      </c>
      <c r="W2197">
        <v>9000</v>
      </c>
      <c r="X2197">
        <v>6000</v>
      </c>
      <c r="Y2197" s="8">
        <v>0.4</v>
      </c>
      <c r="Z2197" t="s">
        <v>2996</v>
      </c>
      <c r="AA2197" t="str">
        <f>IF(AND(SalesCleanTable[[#This Row],[Discount %]]&gt;0, SalesCleanTable[[#This Row],[Profit]]&lt;0), "Discount loss", "Safe")</f>
        <v>Safe</v>
      </c>
      <c r="AB2197" s="25">
        <f>(SalesCleanTable[[#This Row],[Unit Price]] - SalesCleanTable[[#This Row],[Unit Cost]]) / SalesCleanTable[[#This Row],[Unit Price]]</f>
        <v>0.4</v>
      </c>
      <c r="AC2197" t="str">
        <f>IF(SalesCleanTable[[#This Row],[Discount %]] &gt; SalesCleanTable[[#This Row],[Max Allowed Discount]], "Discount loss", "Safe")</f>
        <v>Safe</v>
      </c>
      <c r="AD2197" s="4">
        <f>SalesCleanTable[[#This Row],[Unit Price]] - SalesCleanTable[[#This Row],[Unit Cost]]</f>
        <v>1000</v>
      </c>
      <c r="AE2197" s="41">
        <f>(SalesCleanTable[[#This Row],[Unit Price]] - SalesCleanTable[[#This Row],[Unit Cost]]) / SalesCleanTable[[#This Row],[Unit Price]]</f>
        <v>0.4</v>
      </c>
    </row>
    <row r="2198" spans="1:31">
      <c r="A2198" t="s">
        <v>2384</v>
      </c>
      <c r="B2198" s="6">
        <v>45684</v>
      </c>
      <c r="C2198" t="s">
        <v>82</v>
      </c>
      <c r="D2198" t="s">
        <v>83</v>
      </c>
      <c r="E2198" t="s">
        <v>75</v>
      </c>
      <c r="F2198" t="s">
        <v>84</v>
      </c>
      <c r="G2198" t="s">
        <v>85</v>
      </c>
      <c r="H2198" t="s">
        <v>135</v>
      </c>
      <c r="I2198" t="s">
        <v>136</v>
      </c>
      <c r="J2198" t="s">
        <v>137</v>
      </c>
      <c r="K2198" t="s">
        <v>138</v>
      </c>
      <c r="L2198" t="s">
        <v>170</v>
      </c>
      <c r="M2198" t="s">
        <v>186</v>
      </c>
      <c r="N2198">
        <v>3</v>
      </c>
      <c r="O2198" s="4">
        <v>600</v>
      </c>
      <c r="P2198" s="4">
        <v>950</v>
      </c>
      <c r="Q2198" s="7">
        <v>0</v>
      </c>
      <c r="R2198" t="s">
        <v>204</v>
      </c>
      <c r="S2198">
        <v>6</v>
      </c>
      <c r="T2198">
        <v>2850</v>
      </c>
      <c r="U2198">
        <v>0</v>
      </c>
      <c r="V2198">
        <v>2850</v>
      </c>
      <c r="W2198">
        <v>1800</v>
      </c>
      <c r="X2198">
        <v>1050</v>
      </c>
      <c r="Y2198" s="8">
        <v>0.36842105263157893</v>
      </c>
      <c r="Z2198" t="s">
        <v>2996</v>
      </c>
      <c r="AA2198" t="str">
        <f>IF(AND(SalesCleanTable[[#This Row],[Discount %]]&gt;0, SalesCleanTable[[#This Row],[Profit]]&lt;0), "Discount loss", "Safe")</f>
        <v>Safe</v>
      </c>
      <c r="AB2198" s="25">
        <f>(SalesCleanTable[[#This Row],[Unit Price]] - SalesCleanTable[[#This Row],[Unit Cost]]) / SalesCleanTable[[#This Row],[Unit Price]]</f>
        <v>0.36842105263157893</v>
      </c>
      <c r="AC2198" t="str">
        <f>IF(SalesCleanTable[[#This Row],[Discount %]] &gt; SalesCleanTable[[#This Row],[Max Allowed Discount]], "Discount loss", "Safe")</f>
        <v>Safe</v>
      </c>
      <c r="AD2198" s="4">
        <f>SalesCleanTable[[#This Row],[Unit Price]] - SalesCleanTable[[#This Row],[Unit Cost]]</f>
        <v>350</v>
      </c>
      <c r="AE2198" s="41">
        <f>(SalesCleanTable[[#This Row],[Unit Price]] - SalesCleanTable[[#This Row],[Unit Cost]]) / SalesCleanTable[[#This Row],[Unit Price]]</f>
        <v>0.36842105263157893</v>
      </c>
    </row>
    <row r="2199" spans="1:31">
      <c r="A2199" t="s">
        <v>2385</v>
      </c>
      <c r="B2199" s="6">
        <v>45662</v>
      </c>
      <c r="C2199" t="s">
        <v>73</v>
      </c>
      <c r="D2199" t="s">
        <v>74</v>
      </c>
      <c r="E2199" t="s">
        <v>75</v>
      </c>
      <c r="F2199" t="s">
        <v>76</v>
      </c>
      <c r="G2199" t="s">
        <v>77</v>
      </c>
      <c r="H2199" t="s">
        <v>128</v>
      </c>
      <c r="I2199" t="s">
        <v>129</v>
      </c>
      <c r="J2199" t="s">
        <v>130</v>
      </c>
      <c r="K2199" t="s">
        <v>131</v>
      </c>
      <c r="L2199" t="s">
        <v>166</v>
      </c>
      <c r="M2199" t="s">
        <v>177</v>
      </c>
      <c r="N2199">
        <v>8</v>
      </c>
      <c r="O2199" s="4">
        <v>3500</v>
      </c>
      <c r="P2199" s="4">
        <v>5200</v>
      </c>
      <c r="Q2199" s="7">
        <v>0.05</v>
      </c>
      <c r="R2199" t="s">
        <v>187</v>
      </c>
      <c r="S2199">
        <v>1</v>
      </c>
      <c r="T2199">
        <v>41600</v>
      </c>
      <c r="U2199">
        <v>2080</v>
      </c>
      <c r="V2199">
        <v>39520</v>
      </c>
      <c r="W2199">
        <v>28000</v>
      </c>
      <c r="X2199">
        <v>11520</v>
      </c>
      <c r="Y2199" s="8">
        <v>0.291497975708502</v>
      </c>
      <c r="Z2199" t="s">
        <v>2996</v>
      </c>
      <c r="AA2199" t="str">
        <f>IF(AND(SalesCleanTable[[#This Row],[Discount %]]&gt;0, SalesCleanTable[[#This Row],[Profit]]&lt;0), "Discount loss", "Safe")</f>
        <v>Safe</v>
      </c>
      <c r="AB2199" s="25">
        <f>(SalesCleanTable[[#This Row],[Unit Price]] - SalesCleanTable[[#This Row],[Unit Cost]]) / SalesCleanTable[[#This Row],[Unit Price]]</f>
        <v>0.32692307692307693</v>
      </c>
      <c r="AC2199" t="str">
        <f>IF(SalesCleanTable[[#This Row],[Discount %]] &gt; SalesCleanTable[[#This Row],[Max Allowed Discount]], "Discount loss", "Safe")</f>
        <v>Safe</v>
      </c>
      <c r="AD2199" s="4">
        <f>SalesCleanTable[[#This Row],[Unit Price]] - SalesCleanTable[[#This Row],[Unit Cost]]</f>
        <v>1700</v>
      </c>
      <c r="AE2199" s="41">
        <f>(SalesCleanTable[[#This Row],[Unit Price]] - SalesCleanTable[[#This Row],[Unit Cost]]) / SalesCleanTable[[#This Row],[Unit Price]]</f>
        <v>0.32692307692307693</v>
      </c>
    </row>
    <row r="2200" spans="1:31">
      <c r="A2200" t="s">
        <v>2386</v>
      </c>
      <c r="B2200" s="6">
        <v>45743</v>
      </c>
      <c r="C2200" t="s">
        <v>62</v>
      </c>
      <c r="D2200" t="s">
        <v>63</v>
      </c>
      <c r="E2200" t="s">
        <v>59</v>
      </c>
      <c r="F2200" t="s">
        <v>64</v>
      </c>
      <c r="G2200" t="s">
        <v>65</v>
      </c>
      <c r="H2200" t="s">
        <v>141</v>
      </c>
      <c r="I2200" t="s">
        <v>142</v>
      </c>
      <c r="J2200" t="s">
        <v>143</v>
      </c>
      <c r="K2200" t="s">
        <v>144</v>
      </c>
      <c r="L2200" t="s">
        <v>166</v>
      </c>
      <c r="M2200" t="s">
        <v>177</v>
      </c>
      <c r="N2200">
        <v>5</v>
      </c>
      <c r="O2200" s="4">
        <v>3200</v>
      </c>
      <c r="P2200" s="4">
        <v>4500</v>
      </c>
      <c r="Q2200" s="7">
        <v>0.05</v>
      </c>
      <c r="R2200" t="s">
        <v>204</v>
      </c>
      <c r="S2200">
        <v>10</v>
      </c>
      <c r="T2200">
        <v>22500</v>
      </c>
      <c r="U2200">
        <v>1125</v>
      </c>
      <c r="V2200">
        <v>21375</v>
      </c>
      <c r="W2200">
        <v>16000</v>
      </c>
      <c r="X2200">
        <v>5375</v>
      </c>
      <c r="Y2200" s="8">
        <v>0.25146198830409355</v>
      </c>
      <c r="Z2200" t="s">
        <v>2996</v>
      </c>
      <c r="AA2200" t="str">
        <f>IF(AND(SalesCleanTable[[#This Row],[Discount %]]&gt;0, SalesCleanTable[[#This Row],[Profit]]&lt;0), "Discount loss", "Safe")</f>
        <v>Safe</v>
      </c>
      <c r="AB2200" s="25">
        <f>(SalesCleanTable[[#This Row],[Unit Price]] - SalesCleanTable[[#This Row],[Unit Cost]]) / SalesCleanTable[[#This Row],[Unit Price]]</f>
        <v>0.28888888888888886</v>
      </c>
      <c r="AC2200" t="str">
        <f>IF(SalesCleanTable[[#This Row],[Discount %]] &gt; SalesCleanTable[[#This Row],[Max Allowed Discount]], "Discount loss", "Safe")</f>
        <v>Safe</v>
      </c>
      <c r="AD2200" s="4">
        <f>SalesCleanTable[[#This Row],[Unit Price]] - SalesCleanTable[[#This Row],[Unit Cost]]</f>
        <v>1300</v>
      </c>
      <c r="AE2200" s="41">
        <f>(SalesCleanTable[[#This Row],[Unit Price]] - SalesCleanTable[[#This Row],[Unit Cost]]) / SalesCleanTable[[#This Row],[Unit Price]]</f>
        <v>0.28888888888888886</v>
      </c>
    </row>
    <row r="2201" spans="1:31">
      <c r="A2201" t="s">
        <v>2387</v>
      </c>
      <c r="B2201" s="6">
        <v>45774</v>
      </c>
      <c r="C2201" t="s">
        <v>53</v>
      </c>
      <c r="D2201" t="s">
        <v>54</v>
      </c>
      <c r="E2201" t="s">
        <v>38</v>
      </c>
      <c r="F2201" t="s">
        <v>55</v>
      </c>
      <c r="G2201" t="s">
        <v>56</v>
      </c>
      <c r="H2201" t="s">
        <v>153</v>
      </c>
      <c r="I2201" t="s">
        <v>154</v>
      </c>
      <c r="J2201" t="s">
        <v>155</v>
      </c>
      <c r="K2201" t="s">
        <v>131</v>
      </c>
      <c r="L2201" t="s">
        <v>183</v>
      </c>
      <c r="M2201" t="s">
        <v>177</v>
      </c>
      <c r="N2201">
        <v>1</v>
      </c>
      <c r="O2201" s="4">
        <v>330</v>
      </c>
      <c r="P2201" s="4">
        <v>550</v>
      </c>
      <c r="Q2201" s="7">
        <v>0</v>
      </c>
      <c r="R2201" t="s">
        <v>168</v>
      </c>
      <c r="S2201">
        <v>8</v>
      </c>
      <c r="T2201">
        <v>550</v>
      </c>
      <c r="U2201">
        <v>0</v>
      </c>
      <c r="V2201">
        <v>550</v>
      </c>
      <c r="W2201">
        <v>330</v>
      </c>
      <c r="X2201">
        <v>220</v>
      </c>
      <c r="Y2201" s="8">
        <v>0.4</v>
      </c>
      <c r="Z2201" t="s">
        <v>2996</v>
      </c>
      <c r="AA2201" t="str">
        <f>IF(AND(SalesCleanTable[[#This Row],[Discount %]]&gt;0, SalesCleanTable[[#This Row],[Profit]]&lt;0), "Discount loss", "Safe")</f>
        <v>Safe</v>
      </c>
      <c r="AB2201" s="25">
        <f>(SalesCleanTable[[#This Row],[Unit Price]] - SalesCleanTable[[#This Row],[Unit Cost]]) / SalesCleanTable[[#This Row],[Unit Price]]</f>
        <v>0.4</v>
      </c>
      <c r="AC2201" t="str">
        <f>IF(SalesCleanTable[[#This Row],[Discount %]] &gt; SalesCleanTable[[#This Row],[Max Allowed Discount]], "Discount loss", "Safe")</f>
        <v>Safe</v>
      </c>
      <c r="AD2201" s="4">
        <f>SalesCleanTable[[#This Row],[Unit Price]] - SalesCleanTable[[#This Row],[Unit Cost]]</f>
        <v>220</v>
      </c>
      <c r="AE2201" s="41">
        <f>(SalesCleanTable[[#This Row],[Unit Price]] - SalesCleanTable[[#This Row],[Unit Cost]]) / SalesCleanTable[[#This Row],[Unit Price]]</f>
        <v>0.4</v>
      </c>
    </row>
    <row r="2202" spans="1:31">
      <c r="A2202" t="s">
        <v>2388</v>
      </c>
      <c r="B2202" s="6">
        <v>45737</v>
      </c>
      <c r="C2202" t="s">
        <v>32</v>
      </c>
      <c r="D2202" t="s">
        <v>33</v>
      </c>
      <c r="E2202" t="s">
        <v>26</v>
      </c>
      <c r="F2202" t="s">
        <v>34</v>
      </c>
      <c r="G2202" t="s">
        <v>35</v>
      </c>
      <c r="H2202" t="s">
        <v>133</v>
      </c>
      <c r="I2202" t="s">
        <v>134</v>
      </c>
      <c r="J2202" t="s">
        <v>130</v>
      </c>
      <c r="K2202" t="s">
        <v>131</v>
      </c>
      <c r="L2202" t="s">
        <v>183</v>
      </c>
      <c r="M2202" t="s">
        <v>186</v>
      </c>
      <c r="N2202">
        <v>3</v>
      </c>
      <c r="O2202" s="4">
        <v>7800</v>
      </c>
      <c r="P2202" s="4">
        <v>9800</v>
      </c>
      <c r="Q2202" s="7">
        <v>0.1</v>
      </c>
      <c r="R2202" t="s">
        <v>194</v>
      </c>
      <c r="S2202">
        <v>8</v>
      </c>
      <c r="T2202">
        <v>29400</v>
      </c>
      <c r="U2202">
        <v>2940</v>
      </c>
      <c r="V2202">
        <v>26460</v>
      </c>
      <c r="W2202">
        <v>23400</v>
      </c>
      <c r="X2202">
        <v>3060</v>
      </c>
      <c r="Y2202" s="8">
        <v>0.11564625850340136</v>
      </c>
      <c r="Z2202" t="s">
        <v>2995</v>
      </c>
      <c r="AA2202" t="str">
        <f>IF(AND(SalesCleanTable[[#This Row],[Discount %]]&gt;0, SalesCleanTable[[#This Row],[Profit]]&lt;0), "Discount loss", "Safe")</f>
        <v>Safe</v>
      </c>
      <c r="AB2202" s="25">
        <f>(SalesCleanTable[[#This Row],[Unit Price]] - SalesCleanTable[[#This Row],[Unit Cost]]) / SalesCleanTable[[#This Row],[Unit Price]]</f>
        <v>0.20408163265306123</v>
      </c>
      <c r="AC2202" t="str">
        <f>IF(SalesCleanTable[[#This Row],[Discount %]] &gt; SalesCleanTable[[#This Row],[Max Allowed Discount]], "Discount loss", "Safe")</f>
        <v>Safe</v>
      </c>
      <c r="AD2202" s="4">
        <f>SalesCleanTable[[#This Row],[Unit Price]] - SalesCleanTable[[#This Row],[Unit Cost]]</f>
        <v>2000</v>
      </c>
      <c r="AE2202" s="41">
        <f>(SalesCleanTable[[#This Row],[Unit Price]] - SalesCleanTable[[#This Row],[Unit Cost]]) / SalesCleanTable[[#This Row],[Unit Price]]</f>
        <v>0.20408163265306123</v>
      </c>
    </row>
    <row r="2203" spans="1:31">
      <c r="A2203" t="s">
        <v>2389</v>
      </c>
      <c r="B2203" s="6">
        <v>45932</v>
      </c>
      <c r="C2203" t="s">
        <v>41</v>
      </c>
      <c r="D2203" t="s">
        <v>42</v>
      </c>
      <c r="E2203" t="s">
        <v>26</v>
      </c>
      <c r="F2203" t="s">
        <v>43</v>
      </c>
      <c r="G2203" t="s">
        <v>44</v>
      </c>
      <c r="H2203" t="s">
        <v>135</v>
      </c>
      <c r="I2203" t="s">
        <v>136</v>
      </c>
      <c r="J2203" t="s">
        <v>137</v>
      </c>
      <c r="K2203" t="s">
        <v>138</v>
      </c>
      <c r="L2203" t="s">
        <v>166</v>
      </c>
      <c r="M2203" t="s">
        <v>171</v>
      </c>
      <c r="N2203">
        <v>2</v>
      </c>
      <c r="O2203" s="4">
        <v>850</v>
      </c>
      <c r="P2203" s="4">
        <v>1300</v>
      </c>
      <c r="Q2203" s="7">
        <v>0.05</v>
      </c>
      <c r="R2203" t="s">
        <v>197</v>
      </c>
      <c r="S2203">
        <v>3</v>
      </c>
      <c r="T2203">
        <v>2600</v>
      </c>
      <c r="U2203">
        <v>130</v>
      </c>
      <c r="V2203">
        <v>2470</v>
      </c>
      <c r="W2203">
        <v>1700</v>
      </c>
      <c r="X2203">
        <v>770</v>
      </c>
      <c r="Y2203" s="8">
        <v>0.31174089068825911</v>
      </c>
      <c r="Z2203" t="s">
        <v>2995</v>
      </c>
      <c r="AA2203" t="str">
        <f>IF(AND(SalesCleanTable[[#This Row],[Discount %]]&gt;0, SalesCleanTable[[#This Row],[Profit]]&lt;0), "Discount loss", "Safe")</f>
        <v>Safe</v>
      </c>
      <c r="AB2203" s="25">
        <f>(SalesCleanTable[[#This Row],[Unit Price]] - SalesCleanTable[[#This Row],[Unit Cost]]) / SalesCleanTable[[#This Row],[Unit Price]]</f>
        <v>0.34615384615384615</v>
      </c>
      <c r="AC2203" t="str">
        <f>IF(SalesCleanTable[[#This Row],[Discount %]] &gt; SalesCleanTable[[#This Row],[Max Allowed Discount]], "Discount loss", "Safe")</f>
        <v>Safe</v>
      </c>
      <c r="AD2203" s="4">
        <f>SalesCleanTable[[#This Row],[Unit Price]] - SalesCleanTable[[#This Row],[Unit Cost]]</f>
        <v>450</v>
      </c>
      <c r="AE2203" s="41">
        <f>(SalesCleanTable[[#This Row],[Unit Price]] - SalesCleanTable[[#This Row],[Unit Cost]]) / SalesCleanTable[[#This Row],[Unit Price]]</f>
        <v>0.34615384615384615</v>
      </c>
    </row>
    <row r="2204" spans="1:31">
      <c r="A2204" t="s">
        <v>2390</v>
      </c>
      <c r="B2204" s="6">
        <v>45938</v>
      </c>
      <c r="C2204" t="s">
        <v>24</v>
      </c>
      <c r="D2204" t="s">
        <v>25</v>
      </c>
      <c r="E2204" t="s">
        <v>26</v>
      </c>
      <c r="F2204" t="s">
        <v>27</v>
      </c>
      <c r="G2204" t="s">
        <v>28</v>
      </c>
      <c r="H2204" t="s">
        <v>145</v>
      </c>
      <c r="I2204" t="s">
        <v>146</v>
      </c>
      <c r="J2204" t="s">
        <v>147</v>
      </c>
      <c r="K2204" t="s">
        <v>148</v>
      </c>
      <c r="L2204" t="s">
        <v>166</v>
      </c>
      <c r="M2204" t="s">
        <v>171</v>
      </c>
      <c r="N2204">
        <v>3</v>
      </c>
      <c r="O2204" s="4">
        <v>14500</v>
      </c>
      <c r="P2204" s="4">
        <v>17500</v>
      </c>
      <c r="Q2204" s="7">
        <v>0.15</v>
      </c>
      <c r="R2204" t="s">
        <v>197</v>
      </c>
      <c r="S2204">
        <v>1</v>
      </c>
      <c r="T2204">
        <v>52500</v>
      </c>
      <c r="U2204">
        <v>7875</v>
      </c>
      <c r="V2204">
        <v>44625</v>
      </c>
      <c r="W2204">
        <v>43500</v>
      </c>
      <c r="X2204">
        <v>1125</v>
      </c>
      <c r="Y2204" s="8">
        <v>2.5210084033613446E-2</v>
      </c>
      <c r="Z2204" t="s">
        <v>2995</v>
      </c>
      <c r="AA2204" t="str">
        <f>IF(AND(SalesCleanTable[[#This Row],[Discount %]]&gt;0, SalesCleanTable[[#This Row],[Profit]]&lt;0), "Discount loss", "Safe")</f>
        <v>Safe</v>
      </c>
      <c r="AB2204" s="25">
        <f>(SalesCleanTable[[#This Row],[Unit Price]] - SalesCleanTable[[#This Row],[Unit Cost]]) / SalesCleanTable[[#This Row],[Unit Price]]</f>
        <v>0.17142857142857143</v>
      </c>
      <c r="AC2204" t="str">
        <f>IF(SalesCleanTable[[#This Row],[Discount %]] &gt; SalesCleanTable[[#This Row],[Max Allowed Discount]], "Discount loss", "Safe")</f>
        <v>Safe</v>
      </c>
      <c r="AD2204" s="4">
        <f>SalesCleanTable[[#This Row],[Unit Price]] - SalesCleanTable[[#This Row],[Unit Cost]]</f>
        <v>3000</v>
      </c>
      <c r="AE2204" s="41">
        <f>(SalesCleanTable[[#This Row],[Unit Price]] - SalesCleanTable[[#This Row],[Unit Cost]]) / SalesCleanTable[[#This Row],[Unit Price]]</f>
        <v>0.17142857142857143</v>
      </c>
    </row>
    <row r="2205" spans="1:31">
      <c r="A2205" t="s">
        <v>2391</v>
      </c>
      <c r="B2205" s="6">
        <v>45789</v>
      </c>
      <c r="C2205" t="s">
        <v>78</v>
      </c>
      <c r="D2205" t="s">
        <v>79</v>
      </c>
      <c r="E2205" t="s">
        <v>75</v>
      </c>
      <c r="F2205" t="s">
        <v>80</v>
      </c>
      <c r="G2205" t="s">
        <v>81</v>
      </c>
      <c r="H2205" t="s">
        <v>135</v>
      </c>
      <c r="I2205" t="s">
        <v>136</v>
      </c>
      <c r="J2205" t="s">
        <v>137</v>
      </c>
      <c r="K2205" t="s">
        <v>138</v>
      </c>
      <c r="L2205" t="s">
        <v>183</v>
      </c>
      <c r="M2205" t="s">
        <v>171</v>
      </c>
      <c r="N2205">
        <v>5</v>
      </c>
      <c r="O2205" s="4">
        <v>1200</v>
      </c>
      <c r="P2205" s="4">
        <v>1900</v>
      </c>
      <c r="Q2205" s="7">
        <v>0</v>
      </c>
      <c r="R2205" t="s">
        <v>187</v>
      </c>
      <c r="S2205">
        <v>14</v>
      </c>
      <c r="T2205">
        <v>9500</v>
      </c>
      <c r="U2205">
        <v>0</v>
      </c>
      <c r="V2205">
        <v>9500</v>
      </c>
      <c r="W2205">
        <v>6000</v>
      </c>
      <c r="X2205">
        <v>3500</v>
      </c>
      <c r="Y2205" s="8">
        <v>0.36842105263157893</v>
      </c>
      <c r="Z2205" t="s">
        <v>2996</v>
      </c>
      <c r="AA2205" t="str">
        <f>IF(AND(SalesCleanTable[[#This Row],[Discount %]]&gt;0, SalesCleanTable[[#This Row],[Profit]]&lt;0), "Discount loss", "Safe")</f>
        <v>Safe</v>
      </c>
      <c r="AB2205" s="25">
        <f>(SalesCleanTable[[#This Row],[Unit Price]] - SalesCleanTable[[#This Row],[Unit Cost]]) / SalesCleanTable[[#This Row],[Unit Price]]</f>
        <v>0.36842105263157893</v>
      </c>
      <c r="AC2205" t="str">
        <f>IF(SalesCleanTable[[#This Row],[Discount %]] &gt; SalesCleanTable[[#This Row],[Max Allowed Discount]], "Discount loss", "Safe")</f>
        <v>Safe</v>
      </c>
      <c r="AD2205" s="4">
        <f>SalesCleanTable[[#This Row],[Unit Price]] - SalesCleanTable[[#This Row],[Unit Cost]]</f>
        <v>700</v>
      </c>
      <c r="AE2205" s="41">
        <f>(SalesCleanTable[[#This Row],[Unit Price]] - SalesCleanTable[[#This Row],[Unit Cost]]) / SalesCleanTable[[#This Row],[Unit Price]]</f>
        <v>0.36842105263157893</v>
      </c>
    </row>
    <row r="2206" spans="1:31">
      <c r="A2206" t="s">
        <v>2392</v>
      </c>
      <c r="B2206" s="6">
        <v>45957</v>
      </c>
      <c r="C2206" t="s">
        <v>24</v>
      </c>
      <c r="D2206" t="s">
        <v>25</v>
      </c>
      <c r="E2206" t="s">
        <v>26</v>
      </c>
      <c r="F2206" t="s">
        <v>27</v>
      </c>
      <c r="G2206" t="s">
        <v>28</v>
      </c>
      <c r="H2206" t="s">
        <v>153</v>
      </c>
      <c r="I2206" t="s">
        <v>154</v>
      </c>
      <c r="J2206" t="s">
        <v>155</v>
      </c>
      <c r="K2206" t="s">
        <v>131</v>
      </c>
      <c r="L2206" t="s">
        <v>166</v>
      </c>
      <c r="M2206" t="s">
        <v>171</v>
      </c>
      <c r="N2206">
        <v>3</v>
      </c>
      <c r="O2206" s="4">
        <v>14500</v>
      </c>
      <c r="P2206" s="4">
        <v>17500</v>
      </c>
      <c r="Q2206" s="7">
        <v>0.1</v>
      </c>
      <c r="R2206" t="s">
        <v>194</v>
      </c>
      <c r="S2206">
        <v>7</v>
      </c>
      <c r="T2206">
        <v>52500</v>
      </c>
      <c r="U2206">
        <v>5250</v>
      </c>
      <c r="V2206">
        <v>47250</v>
      </c>
      <c r="W2206">
        <v>43500</v>
      </c>
      <c r="X2206">
        <v>3750</v>
      </c>
      <c r="Y2206" s="8">
        <v>7.9365079365079361E-2</v>
      </c>
      <c r="Z2206" t="s">
        <v>2995</v>
      </c>
      <c r="AA2206" t="str">
        <f>IF(AND(SalesCleanTable[[#This Row],[Discount %]]&gt;0, SalesCleanTable[[#This Row],[Profit]]&lt;0), "Discount loss", "Safe")</f>
        <v>Safe</v>
      </c>
      <c r="AB2206" s="25">
        <f>(SalesCleanTable[[#This Row],[Unit Price]] - SalesCleanTable[[#This Row],[Unit Cost]]) / SalesCleanTable[[#This Row],[Unit Price]]</f>
        <v>0.17142857142857143</v>
      </c>
      <c r="AC2206" t="str">
        <f>IF(SalesCleanTable[[#This Row],[Discount %]] &gt; SalesCleanTable[[#This Row],[Max Allowed Discount]], "Discount loss", "Safe")</f>
        <v>Safe</v>
      </c>
      <c r="AD2206" s="4">
        <f>SalesCleanTable[[#This Row],[Unit Price]] - SalesCleanTable[[#This Row],[Unit Cost]]</f>
        <v>3000</v>
      </c>
      <c r="AE2206" s="41">
        <f>(SalesCleanTable[[#This Row],[Unit Price]] - SalesCleanTable[[#This Row],[Unit Cost]]) / SalesCleanTable[[#This Row],[Unit Price]]</f>
        <v>0.17142857142857143</v>
      </c>
    </row>
    <row r="2207" spans="1:31">
      <c r="A2207" t="s">
        <v>2393</v>
      </c>
      <c r="B2207" s="6">
        <v>45668</v>
      </c>
      <c r="C2207" t="s">
        <v>49</v>
      </c>
      <c r="D2207" t="s">
        <v>50</v>
      </c>
      <c r="E2207" t="s">
        <v>38</v>
      </c>
      <c r="F2207" t="s">
        <v>51</v>
      </c>
      <c r="G2207" t="s">
        <v>52</v>
      </c>
      <c r="H2207" t="s">
        <v>135</v>
      </c>
      <c r="I2207" t="s">
        <v>136</v>
      </c>
      <c r="J2207" t="s">
        <v>137</v>
      </c>
      <c r="K2207" t="s">
        <v>138</v>
      </c>
      <c r="L2207" t="s">
        <v>183</v>
      </c>
      <c r="M2207" t="s">
        <v>177</v>
      </c>
      <c r="N2207">
        <v>4</v>
      </c>
      <c r="O2207" s="4">
        <v>550</v>
      </c>
      <c r="P2207" s="4">
        <v>850</v>
      </c>
      <c r="Q2207" s="7">
        <v>0</v>
      </c>
      <c r="R2207" t="s">
        <v>168</v>
      </c>
      <c r="S2207">
        <v>14</v>
      </c>
      <c r="T2207">
        <v>3400</v>
      </c>
      <c r="U2207">
        <v>0</v>
      </c>
      <c r="V2207">
        <v>3400</v>
      </c>
      <c r="W2207">
        <v>2200</v>
      </c>
      <c r="X2207">
        <v>1200</v>
      </c>
      <c r="Y2207" s="8">
        <v>0.35294117647058826</v>
      </c>
      <c r="Z2207" t="s">
        <v>2996</v>
      </c>
      <c r="AA2207" t="str">
        <f>IF(AND(SalesCleanTable[[#This Row],[Discount %]]&gt;0, SalesCleanTable[[#This Row],[Profit]]&lt;0), "Discount loss", "Safe")</f>
        <v>Safe</v>
      </c>
      <c r="AB2207" s="25">
        <f>(SalesCleanTable[[#This Row],[Unit Price]] - SalesCleanTable[[#This Row],[Unit Cost]]) / SalesCleanTable[[#This Row],[Unit Price]]</f>
        <v>0.35294117647058826</v>
      </c>
      <c r="AC2207" t="str">
        <f>IF(SalesCleanTable[[#This Row],[Discount %]] &gt; SalesCleanTable[[#This Row],[Max Allowed Discount]], "Discount loss", "Safe")</f>
        <v>Safe</v>
      </c>
      <c r="AD2207" s="4">
        <f>SalesCleanTable[[#This Row],[Unit Price]] - SalesCleanTable[[#This Row],[Unit Cost]]</f>
        <v>300</v>
      </c>
      <c r="AE2207" s="41">
        <f>(SalesCleanTable[[#This Row],[Unit Price]] - SalesCleanTable[[#This Row],[Unit Cost]]) / SalesCleanTable[[#This Row],[Unit Price]]</f>
        <v>0.35294117647058826</v>
      </c>
    </row>
    <row r="2208" spans="1:31">
      <c r="A2208" t="s">
        <v>2394</v>
      </c>
      <c r="B2208" s="6">
        <v>45844</v>
      </c>
      <c r="C2208" t="s">
        <v>82</v>
      </c>
      <c r="D2208" t="s">
        <v>83</v>
      </c>
      <c r="E2208" t="s">
        <v>75</v>
      </c>
      <c r="F2208" t="s">
        <v>84</v>
      </c>
      <c r="G2208" t="s">
        <v>85</v>
      </c>
      <c r="H2208" t="s">
        <v>153</v>
      </c>
      <c r="I2208" t="s">
        <v>154</v>
      </c>
      <c r="J2208" t="s">
        <v>155</v>
      </c>
      <c r="K2208" t="s">
        <v>131</v>
      </c>
      <c r="L2208" t="s">
        <v>166</v>
      </c>
      <c r="M2208" t="s">
        <v>177</v>
      </c>
      <c r="N2208">
        <v>8</v>
      </c>
      <c r="O2208" s="4">
        <v>600</v>
      </c>
      <c r="P2208" s="4">
        <v>950</v>
      </c>
      <c r="Q2208" s="7">
        <v>0</v>
      </c>
      <c r="R2208" t="s">
        <v>208</v>
      </c>
      <c r="S2208">
        <v>5</v>
      </c>
      <c r="T2208">
        <v>7600</v>
      </c>
      <c r="U2208">
        <v>0</v>
      </c>
      <c r="V2208">
        <v>7600</v>
      </c>
      <c r="W2208">
        <v>4800</v>
      </c>
      <c r="X2208">
        <v>2800</v>
      </c>
      <c r="Y2208" s="8">
        <v>0.36842105263157893</v>
      </c>
      <c r="Z2208" t="s">
        <v>2996</v>
      </c>
      <c r="AA2208" t="str">
        <f>IF(AND(SalesCleanTable[[#This Row],[Discount %]]&gt;0, SalesCleanTable[[#This Row],[Profit]]&lt;0), "Discount loss", "Safe")</f>
        <v>Safe</v>
      </c>
      <c r="AB2208" s="25">
        <f>(SalesCleanTable[[#This Row],[Unit Price]] - SalesCleanTable[[#This Row],[Unit Cost]]) / SalesCleanTable[[#This Row],[Unit Price]]</f>
        <v>0.36842105263157893</v>
      </c>
      <c r="AC2208" t="str">
        <f>IF(SalesCleanTable[[#This Row],[Discount %]] &gt; SalesCleanTable[[#This Row],[Max Allowed Discount]], "Discount loss", "Safe")</f>
        <v>Safe</v>
      </c>
      <c r="AD2208" s="4">
        <f>SalesCleanTable[[#This Row],[Unit Price]] - SalesCleanTable[[#This Row],[Unit Cost]]</f>
        <v>350</v>
      </c>
      <c r="AE2208" s="41">
        <f>(SalesCleanTable[[#This Row],[Unit Price]] - SalesCleanTable[[#This Row],[Unit Cost]]) / SalesCleanTable[[#This Row],[Unit Price]]</f>
        <v>0.36842105263157893</v>
      </c>
    </row>
    <row r="2209" spans="1:31">
      <c r="A2209" t="s">
        <v>2395</v>
      </c>
      <c r="B2209" s="6">
        <v>45856</v>
      </c>
      <c r="C2209" t="s">
        <v>29</v>
      </c>
      <c r="D2209" t="s">
        <v>30</v>
      </c>
      <c r="E2209" t="s">
        <v>26</v>
      </c>
      <c r="F2209" t="s">
        <v>27</v>
      </c>
      <c r="G2209" t="s">
        <v>31</v>
      </c>
      <c r="H2209" t="s">
        <v>139</v>
      </c>
      <c r="I2209" t="s">
        <v>140</v>
      </c>
      <c r="J2209" t="s">
        <v>137</v>
      </c>
      <c r="K2209" t="s">
        <v>138</v>
      </c>
      <c r="L2209" t="s">
        <v>166</v>
      </c>
      <c r="M2209" t="s">
        <v>171</v>
      </c>
      <c r="N2209">
        <v>1</v>
      </c>
      <c r="O2209" s="4">
        <v>6200</v>
      </c>
      <c r="P2209" s="4">
        <v>7900</v>
      </c>
      <c r="Q2209" s="7">
        <v>0</v>
      </c>
      <c r="R2209" t="s">
        <v>173</v>
      </c>
      <c r="S2209">
        <v>9</v>
      </c>
      <c r="T2209">
        <v>7900</v>
      </c>
      <c r="U2209">
        <v>0</v>
      </c>
      <c r="V2209">
        <v>7900</v>
      </c>
      <c r="W2209">
        <v>6200</v>
      </c>
      <c r="X2209">
        <v>1700</v>
      </c>
      <c r="Y2209" s="8">
        <v>0.21518987341772153</v>
      </c>
      <c r="Z2209" t="s">
        <v>2996</v>
      </c>
      <c r="AA2209" t="str">
        <f>IF(AND(SalesCleanTable[[#This Row],[Discount %]]&gt;0, SalesCleanTable[[#This Row],[Profit]]&lt;0), "Discount loss", "Safe")</f>
        <v>Safe</v>
      </c>
      <c r="AB2209" s="25">
        <f>(SalesCleanTable[[#This Row],[Unit Price]] - SalesCleanTable[[#This Row],[Unit Cost]]) / SalesCleanTable[[#This Row],[Unit Price]]</f>
        <v>0.21518987341772153</v>
      </c>
      <c r="AC2209" t="str">
        <f>IF(SalesCleanTable[[#This Row],[Discount %]] &gt; SalesCleanTable[[#This Row],[Max Allowed Discount]], "Discount loss", "Safe")</f>
        <v>Safe</v>
      </c>
      <c r="AD2209" s="4">
        <f>SalesCleanTable[[#This Row],[Unit Price]] - SalesCleanTable[[#This Row],[Unit Cost]]</f>
        <v>1700</v>
      </c>
      <c r="AE2209" s="41">
        <f>(SalesCleanTable[[#This Row],[Unit Price]] - SalesCleanTable[[#This Row],[Unit Cost]]) / SalesCleanTable[[#This Row],[Unit Price]]</f>
        <v>0.21518987341772153</v>
      </c>
    </row>
    <row r="2210" spans="1:31">
      <c r="A2210" t="s">
        <v>2396</v>
      </c>
      <c r="B2210" s="6">
        <v>45738</v>
      </c>
      <c r="C2210" t="s">
        <v>45</v>
      </c>
      <c r="D2210" t="s">
        <v>46</v>
      </c>
      <c r="E2210" t="s">
        <v>38</v>
      </c>
      <c r="F2210" t="s">
        <v>47</v>
      </c>
      <c r="G2210" t="s">
        <v>48</v>
      </c>
      <c r="H2210" t="s">
        <v>133</v>
      </c>
      <c r="I2210" t="s">
        <v>134</v>
      </c>
      <c r="J2210" t="s">
        <v>130</v>
      </c>
      <c r="K2210" t="s">
        <v>131</v>
      </c>
      <c r="L2210" t="s">
        <v>166</v>
      </c>
      <c r="M2210" t="s">
        <v>167</v>
      </c>
      <c r="N2210">
        <v>4</v>
      </c>
      <c r="O2210" s="4">
        <v>230</v>
      </c>
      <c r="P2210" s="4">
        <v>400</v>
      </c>
      <c r="Q2210" s="7">
        <v>0</v>
      </c>
      <c r="R2210" t="s">
        <v>178</v>
      </c>
      <c r="S2210">
        <v>5</v>
      </c>
      <c r="T2210">
        <v>1600</v>
      </c>
      <c r="U2210">
        <v>0</v>
      </c>
      <c r="V2210">
        <v>1600</v>
      </c>
      <c r="W2210">
        <v>920</v>
      </c>
      <c r="X2210">
        <v>680</v>
      </c>
      <c r="Y2210" s="8">
        <v>0.42499999999999999</v>
      </c>
      <c r="Z2210" t="s">
        <v>2995</v>
      </c>
      <c r="AA2210" t="str">
        <f>IF(AND(SalesCleanTable[[#This Row],[Discount %]]&gt;0, SalesCleanTable[[#This Row],[Profit]]&lt;0), "Discount loss", "Safe")</f>
        <v>Safe</v>
      </c>
      <c r="AB2210" s="25">
        <f>(SalesCleanTable[[#This Row],[Unit Price]] - SalesCleanTable[[#This Row],[Unit Cost]]) / SalesCleanTable[[#This Row],[Unit Price]]</f>
        <v>0.42499999999999999</v>
      </c>
      <c r="AC2210" t="str">
        <f>IF(SalesCleanTable[[#This Row],[Discount %]] &gt; SalesCleanTable[[#This Row],[Max Allowed Discount]], "Discount loss", "Safe")</f>
        <v>Safe</v>
      </c>
      <c r="AD2210" s="4">
        <f>SalesCleanTable[[#This Row],[Unit Price]] - SalesCleanTable[[#This Row],[Unit Cost]]</f>
        <v>170</v>
      </c>
      <c r="AE2210" s="41">
        <f>(SalesCleanTable[[#This Row],[Unit Price]] - SalesCleanTable[[#This Row],[Unit Cost]]) / SalesCleanTable[[#This Row],[Unit Price]]</f>
        <v>0.42499999999999999</v>
      </c>
    </row>
    <row r="2211" spans="1:31">
      <c r="A2211" t="s">
        <v>2397</v>
      </c>
      <c r="B2211" s="6">
        <v>45807</v>
      </c>
      <c r="C2211" t="s">
        <v>57</v>
      </c>
      <c r="D2211" t="s">
        <v>58</v>
      </c>
      <c r="E2211" t="s">
        <v>59</v>
      </c>
      <c r="F2211" t="s">
        <v>60</v>
      </c>
      <c r="G2211" t="s">
        <v>61</v>
      </c>
      <c r="H2211" t="s">
        <v>133</v>
      </c>
      <c r="I2211" t="s">
        <v>134</v>
      </c>
      <c r="J2211" t="s">
        <v>130</v>
      </c>
      <c r="K2211" t="s">
        <v>131</v>
      </c>
      <c r="L2211" t="s">
        <v>183</v>
      </c>
      <c r="M2211" t="s">
        <v>171</v>
      </c>
      <c r="N2211">
        <v>-1</v>
      </c>
      <c r="O2211" s="4">
        <v>2400</v>
      </c>
      <c r="P2211" s="4">
        <v>3400</v>
      </c>
      <c r="Q2211" s="7">
        <v>0.15</v>
      </c>
      <c r="R2211" t="s">
        <v>192</v>
      </c>
      <c r="S2211">
        <v>14</v>
      </c>
      <c r="T2211">
        <v>-3400</v>
      </c>
      <c r="U2211">
        <v>-510</v>
      </c>
      <c r="V2211">
        <v>-2890</v>
      </c>
      <c r="W2211">
        <v>-2400</v>
      </c>
      <c r="X2211">
        <v>-490</v>
      </c>
      <c r="Y2211" s="8">
        <v>0.16955017301038061</v>
      </c>
      <c r="Z2211" t="s">
        <v>2996</v>
      </c>
      <c r="AA2211" t="str">
        <f>IF(AND(SalesCleanTable[[#This Row],[Discount %]]&gt;0, SalesCleanTable[[#This Row],[Profit]]&lt;0), "Discount loss", "Safe")</f>
        <v>Discount loss</v>
      </c>
      <c r="AB2211" s="25">
        <f>(SalesCleanTable[[#This Row],[Unit Price]] - SalesCleanTable[[#This Row],[Unit Cost]]) / SalesCleanTable[[#This Row],[Unit Price]]</f>
        <v>0.29411764705882354</v>
      </c>
      <c r="AC2211" t="str">
        <f>IF(SalesCleanTable[[#This Row],[Discount %]] &gt; SalesCleanTable[[#This Row],[Max Allowed Discount]], "Discount loss", "Safe")</f>
        <v>Safe</v>
      </c>
      <c r="AD2211" s="4">
        <f>SalesCleanTable[[#This Row],[Unit Price]] - SalesCleanTable[[#This Row],[Unit Cost]]</f>
        <v>1000</v>
      </c>
      <c r="AE2211" s="41">
        <f>(SalesCleanTable[[#This Row],[Unit Price]] - SalesCleanTable[[#This Row],[Unit Cost]]) / SalesCleanTable[[#This Row],[Unit Price]]</f>
        <v>0.29411764705882354</v>
      </c>
    </row>
    <row r="2212" spans="1:31">
      <c r="A2212" t="s">
        <v>2398</v>
      </c>
      <c r="B2212" s="6">
        <v>45681</v>
      </c>
      <c r="C2212" t="s">
        <v>32</v>
      </c>
      <c r="D2212" t="s">
        <v>33</v>
      </c>
      <c r="E2212" t="s">
        <v>26</v>
      </c>
      <c r="F2212" t="s">
        <v>34</v>
      </c>
      <c r="G2212" t="s">
        <v>35</v>
      </c>
      <c r="H2212" t="s">
        <v>135</v>
      </c>
      <c r="I2212" t="s">
        <v>136</v>
      </c>
      <c r="J2212" t="s">
        <v>137</v>
      </c>
      <c r="K2212" t="s">
        <v>138</v>
      </c>
      <c r="L2212" t="s">
        <v>166</v>
      </c>
      <c r="M2212" t="s">
        <v>171</v>
      </c>
      <c r="N2212">
        <v>1</v>
      </c>
      <c r="O2212" s="4">
        <v>7800</v>
      </c>
      <c r="P2212" s="4">
        <v>9800</v>
      </c>
      <c r="Q2212" s="7">
        <v>0.05</v>
      </c>
      <c r="R2212" t="s">
        <v>173</v>
      </c>
      <c r="S2212">
        <v>7</v>
      </c>
      <c r="T2212">
        <v>9800</v>
      </c>
      <c r="U2212">
        <v>490</v>
      </c>
      <c r="V2212">
        <v>9310</v>
      </c>
      <c r="W2212">
        <v>7800</v>
      </c>
      <c r="X2212">
        <v>1510</v>
      </c>
      <c r="Y2212" s="8">
        <v>0.16219119226638024</v>
      </c>
      <c r="Z2212" t="s">
        <v>2995</v>
      </c>
      <c r="AA2212" t="str">
        <f>IF(AND(SalesCleanTable[[#This Row],[Discount %]]&gt;0, SalesCleanTable[[#This Row],[Profit]]&lt;0), "Discount loss", "Safe")</f>
        <v>Safe</v>
      </c>
      <c r="AB2212" s="25">
        <f>(SalesCleanTable[[#This Row],[Unit Price]] - SalesCleanTable[[#This Row],[Unit Cost]]) / SalesCleanTable[[#This Row],[Unit Price]]</f>
        <v>0.20408163265306123</v>
      </c>
      <c r="AC2212" t="str">
        <f>IF(SalesCleanTable[[#This Row],[Discount %]] &gt; SalesCleanTable[[#This Row],[Max Allowed Discount]], "Discount loss", "Safe")</f>
        <v>Safe</v>
      </c>
      <c r="AD2212" s="4">
        <f>SalesCleanTable[[#This Row],[Unit Price]] - SalesCleanTable[[#This Row],[Unit Cost]]</f>
        <v>2000</v>
      </c>
      <c r="AE2212" s="41">
        <f>(SalesCleanTable[[#This Row],[Unit Price]] - SalesCleanTable[[#This Row],[Unit Cost]]) / SalesCleanTable[[#This Row],[Unit Price]]</f>
        <v>0.20408163265306123</v>
      </c>
    </row>
    <row r="2213" spans="1:31">
      <c r="A2213" t="s">
        <v>2399</v>
      </c>
      <c r="B2213" s="6">
        <v>45864</v>
      </c>
      <c r="C2213" t="s">
        <v>82</v>
      </c>
      <c r="D2213" t="s">
        <v>83</v>
      </c>
      <c r="E2213" t="s">
        <v>75</v>
      </c>
      <c r="F2213" t="s">
        <v>84</v>
      </c>
      <c r="G2213" t="s">
        <v>85</v>
      </c>
      <c r="H2213" t="s">
        <v>133</v>
      </c>
      <c r="I2213" t="s">
        <v>134</v>
      </c>
      <c r="J2213" t="s">
        <v>130</v>
      </c>
      <c r="K2213" t="s">
        <v>131</v>
      </c>
      <c r="L2213" t="s">
        <v>183</v>
      </c>
      <c r="M2213" t="s">
        <v>167</v>
      </c>
      <c r="N2213">
        <v>4</v>
      </c>
      <c r="O2213" s="4">
        <v>600</v>
      </c>
      <c r="P2213" s="4">
        <v>950</v>
      </c>
      <c r="Q2213" s="7">
        <v>0.2</v>
      </c>
      <c r="R2213" t="s">
        <v>204</v>
      </c>
      <c r="S2213">
        <v>2</v>
      </c>
      <c r="T2213">
        <v>3800</v>
      </c>
      <c r="U2213">
        <v>760</v>
      </c>
      <c r="V2213">
        <v>3040</v>
      </c>
      <c r="W2213">
        <v>2400</v>
      </c>
      <c r="X2213">
        <v>640</v>
      </c>
      <c r="Y2213" s="8">
        <v>0.21052631578947367</v>
      </c>
      <c r="Z2213" t="s">
        <v>2996</v>
      </c>
      <c r="AA2213" t="str">
        <f>IF(AND(SalesCleanTable[[#This Row],[Discount %]]&gt;0, SalesCleanTable[[#This Row],[Profit]]&lt;0), "Discount loss", "Safe")</f>
        <v>Safe</v>
      </c>
      <c r="AB2213" s="25">
        <f>(SalesCleanTable[[#This Row],[Unit Price]] - SalesCleanTable[[#This Row],[Unit Cost]]) / SalesCleanTable[[#This Row],[Unit Price]]</f>
        <v>0.36842105263157893</v>
      </c>
      <c r="AC2213" t="str">
        <f>IF(SalesCleanTable[[#This Row],[Discount %]] &gt; SalesCleanTable[[#This Row],[Max Allowed Discount]], "Discount loss", "Safe")</f>
        <v>Safe</v>
      </c>
      <c r="AD2213" s="4">
        <f>SalesCleanTable[[#This Row],[Unit Price]] - SalesCleanTable[[#This Row],[Unit Cost]]</f>
        <v>350</v>
      </c>
      <c r="AE2213" s="41">
        <f>(SalesCleanTable[[#This Row],[Unit Price]] - SalesCleanTable[[#This Row],[Unit Cost]]) / SalesCleanTable[[#This Row],[Unit Price]]</f>
        <v>0.36842105263157893</v>
      </c>
    </row>
    <row r="2214" spans="1:31">
      <c r="A2214" t="s">
        <v>2400</v>
      </c>
      <c r="B2214" s="6">
        <v>45824</v>
      </c>
      <c r="C2214" t="s">
        <v>24</v>
      </c>
      <c r="D2214" t="s">
        <v>25</v>
      </c>
      <c r="E2214" t="s">
        <v>26</v>
      </c>
      <c r="F2214" t="s">
        <v>27</v>
      </c>
      <c r="G2214" t="s">
        <v>28</v>
      </c>
      <c r="H2214" t="s">
        <v>128</v>
      </c>
      <c r="I2214" t="s">
        <v>129</v>
      </c>
      <c r="J2214" t="s">
        <v>130</v>
      </c>
      <c r="K2214" t="s">
        <v>131</v>
      </c>
      <c r="L2214" t="s">
        <v>166</v>
      </c>
      <c r="M2214" t="s">
        <v>171</v>
      </c>
      <c r="N2214">
        <v>4</v>
      </c>
      <c r="O2214" s="4">
        <v>14500</v>
      </c>
      <c r="P2214" s="4">
        <v>17500</v>
      </c>
      <c r="Q2214" s="7">
        <v>0.15</v>
      </c>
      <c r="R2214" t="s">
        <v>197</v>
      </c>
      <c r="S2214">
        <v>8</v>
      </c>
      <c r="T2214">
        <v>70000</v>
      </c>
      <c r="U2214">
        <v>10500</v>
      </c>
      <c r="V2214">
        <v>59500</v>
      </c>
      <c r="W2214">
        <v>58000</v>
      </c>
      <c r="X2214">
        <v>1500</v>
      </c>
      <c r="Y2214" s="8">
        <v>2.5210084033613446E-2</v>
      </c>
      <c r="Z2214" t="s">
        <v>2995</v>
      </c>
      <c r="AA2214" t="str">
        <f>IF(AND(SalesCleanTable[[#This Row],[Discount %]]&gt;0, SalesCleanTable[[#This Row],[Profit]]&lt;0), "Discount loss", "Safe")</f>
        <v>Safe</v>
      </c>
      <c r="AB2214" s="25">
        <f>(SalesCleanTable[[#This Row],[Unit Price]] - SalesCleanTable[[#This Row],[Unit Cost]]) / SalesCleanTable[[#This Row],[Unit Price]]</f>
        <v>0.17142857142857143</v>
      </c>
      <c r="AC2214" t="str">
        <f>IF(SalesCleanTable[[#This Row],[Discount %]] &gt; SalesCleanTable[[#This Row],[Max Allowed Discount]], "Discount loss", "Safe")</f>
        <v>Safe</v>
      </c>
      <c r="AD2214" s="4">
        <f>SalesCleanTable[[#This Row],[Unit Price]] - SalesCleanTable[[#This Row],[Unit Cost]]</f>
        <v>3000</v>
      </c>
      <c r="AE2214" s="41">
        <f>(SalesCleanTable[[#This Row],[Unit Price]] - SalesCleanTable[[#This Row],[Unit Cost]]) / SalesCleanTable[[#This Row],[Unit Price]]</f>
        <v>0.17142857142857143</v>
      </c>
    </row>
    <row r="2215" spans="1:31">
      <c r="A2215" t="s">
        <v>2401</v>
      </c>
      <c r="B2215" s="6">
        <v>45957</v>
      </c>
      <c r="C2215" t="s">
        <v>95</v>
      </c>
      <c r="D2215" t="s">
        <v>96</v>
      </c>
      <c r="E2215" t="s">
        <v>92</v>
      </c>
      <c r="F2215" t="s">
        <v>97</v>
      </c>
      <c r="G2215" t="s">
        <v>98</v>
      </c>
      <c r="H2215" t="s">
        <v>149</v>
      </c>
      <c r="I2215" t="s">
        <v>150</v>
      </c>
      <c r="J2215" t="s">
        <v>151</v>
      </c>
      <c r="K2215" t="s">
        <v>152</v>
      </c>
      <c r="L2215" t="s">
        <v>166</v>
      </c>
      <c r="M2215" t="s">
        <v>186</v>
      </c>
      <c r="N2215">
        <v>1</v>
      </c>
      <c r="O2215" s="4">
        <v>18000</v>
      </c>
      <c r="P2215" s="4">
        <v>24500</v>
      </c>
      <c r="Q2215" s="7">
        <v>0.05</v>
      </c>
      <c r="R2215" t="s">
        <v>181</v>
      </c>
      <c r="S2215">
        <v>3</v>
      </c>
      <c r="T2215">
        <v>24500</v>
      </c>
      <c r="U2215">
        <v>1225</v>
      </c>
      <c r="V2215">
        <v>23275</v>
      </c>
      <c r="W2215">
        <v>18000</v>
      </c>
      <c r="X2215">
        <v>5275</v>
      </c>
      <c r="Y2215" s="8">
        <v>0.22663802363050484</v>
      </c>
      <c r="Z2215" t="s">
        <v>2995</v>
      </c>
      <c r="AA2215" t="str">
        <f>IF(AND(SalesCleanTable[[#This Row],[Discount %]]&gt;0, SalesCleanTable[[#This Row],[Profit]]&lt;0), "Discount loss", "Safe")</f>
        <v>Safe</v>
      </c>
      <c r="AB2215" s="25">
        <f>(SalesCleanTable[[#This Row],[Unit Price]] - SalesCleanTable[[#This Row],[Unit Cost]]) / SalesCleanTable[[#This Row],[Unit Price]]</f>
        <v>0.26530612244897961</v>
      </c>
      <c r="AC2215" t="str">
        <f>IF(SalesCleanTable[[#This Row],[Discount %]] &gt; SalesCleanTable[[#This Row],[Max Allowed Discount]], "Discount loss", "Safe")</f>
        <v>Safe</v>
      </c>
      <c r="AD2215" s="4">
        <f>SalesCleanTable[[#This Row],[Unit Price]] - SalesCleanTable[[#This Row],[Unit Cost]]</f>
        <v>6500</v>
      </c>
      <c r="AE2215" s="41">
        <f>(SalesCleanTable[[#This Row],[Unit Price]] - SalesCleanTable[[#This Row],[Unit Cost]]) / SalesCleanTable[[#This Row],[Unit Price]]</f>
        <v>0.26530612244897961</v>
      </c>
    </row>
    <row r="2216" spans="1:31">
      <c r="A2216" t="s">
        <v>2402</v>
      </c>
      <c r="B2216" s="6">
        <v>45697</v>
      </c>
      <c r="C2216" t="s">
        <v>107</v>
      </c>
      <c r="D2216" t="s">
        <v>108</v>
      </c>
      <c r="E2216" t="s">
        <v>109</v>
      </c>
      <c r="F2216" t="s">
        <v>110</v>
      </c>
      <c r="G2216" t="s">
        <v>111</v>
      </c>
      <c r="H2216" t="s">
        <v>149</v>
      </c>
      <c r="I2216" t="s">
        <v>150</v>
      </c>
      <c r="J2216" t="s">
        <v>151</v>
      </c>
      <c r="K2216" t="s">
        <v>152</v>
      </c>
      <c r="L2216" t="s">
        <v>166</v>
      </c>
      <c r="M2216" t="s">
        <v>186</v>
      </c>
      <c r="N2216">
        <v>2</v>
      </c>
      <c r="O2216" s="4">
        <v>5200</v>
      </c>
      <c r="P2216" s="4">
        <v>7000</v>
      </c>
      <c r="Q2216" s="7">
        <v>0</v>
      </c>
      <c r="R2216" t="s">
        <v>184</v>
      </c>
      <c r="S2216">
        <v>8</v>
      </c>
      <c r="T2216">
        <v>14000</v>
      </c>
      <c r="U2216">
        <v>0</v>
      </c>
      <c r="V2216">
        <v>14000</v>
      </c>
      <c r="W2216">
        <v>10400</v>
      </c>
      <c r="X2216">
        <v>3600</v>
      </c>
      <c r="Y2216" s="8">
        <v>0.25714285714285712</v>
      </c>
      <c r="Z2216" t="s">
        <v>2997</v>
      </c>
      <c r="AA2216" t="str">
        <f>IF(AND(SalesCleanTable[[#This Row],[Discount %]]&gt;0, SalesCleanTable[[#This Row],[Profit]]&lt;0), "Discount loss", "Safe")</f>
        <v>Safe</v>
      </c>
      <c r="AB2216" s="25">
        <f>(SalesCleanTable[[#This Row],[Unit Price]] - SalesCleanTable[[#This Row],[Unit Cost]]) / SalesCleanTable[[#This Row],[Unit Price]]</f>
        <v>0.25714285714285712</v>
      </c>
      <c r="AC2216" t="str">
        <f>IF(SalesCleanTable[[#This Row],[Discount %]] &gt; SalesCleanTable[[#This Row],[Max Allowed Discount]], "Discount loss", "Safe")</f>
        <v>Safe</v>
      </c>
      <c r="AD2216" s="4">
        <f>SalesCleanTable[[#This Row],[Unit Price]] - SalesCleanTable[[#This Row],[Unit Cost]]</f>
        <v>1800</v>
      </c>
      <c r="AE2216" s="41">
        <f>(SalesCleanTable[[#This Row],[Unit Price]] - SalesCleanTable[[#This Row],[Unit Cost]]) / SalesCleanTable[[#This Row],[Unit Price]]</f>
        <v>0.25714285714285712</v>
      </c>
    </row>
    <row r="2217" spans="1:31">
      <c r="A2217" t="s">
        <v>2403</v>
      </c>
      <c r="B2217" s="6">
        <v>45832</v>
      </c>
      <c r="C2217" t="s">
        <v>49</v>
      </c>
      <c r="D2217" t="s">
        <v>50</v>
      </c>
      <c r="E2217" t="s">
        <v>38</v>
      </c>
      <c r="F2217" t="s">
        <v>51</v>
      </c>
      <c r="G2217" t="s">
        <v>52</v>
      </c>
      <c r="H2217" t="s">
        <v>133</v>
      </c>
      <c r="I2217" t="s">
        <v>134</v>
      </c>
      <c r="J2217" t="s">
        <v>130</v>
      </c>
      <c r="K2217" t="s">
        <v>131</v>
      </c>
      <c r="L2217" t="s">
        <v>183</v>
      </c>
      <c r="M2217" t="s">
        <v>171</v>
      </c>
      <c r="N2217">
        <v>5</v>
      </c>
      <c r="O2217" s="4">
        <v>550</v>
      </c>
      <c r="P2217" s="4">
        <v>850</v>
      </c>
      <c r="Q2217" s="7">
        <v>0.1</v>
      </c>
      <c r="R2217" t="s">
        <v>175</v>
      </c>
      <c r="S2217">
        <v>3</v>
      </c>
      <c r="T2217">
        <v>4250</v>
      </c>
      <c r="U2217">
        <v>425</v>
      </c>
      <c r="V2217">
        <v>3825</v>
      </c>
      <c r="W2217">
        <v>2750</v>
      </c>
      <c r="X2217">
        <v>1075</v>
      </c>
      <c r="Y2217" s="8">
        <v>0.28104575163398693</v>
      </c>
      <c r="Z2217" t="s">
        <v>2996</v>
      </c>
      <c r="AA2217" t="str">
        <f>IF(AND(SalesCleanTable[[#This Row],[Discount %]]&gt;0, SalesCleanTable[[#This Row],[Profit]]&lt;0), "Discount loss", "Safe")</f>
        <v>Safe</v>
      </c>
      <c r="AB2217" s="25">
        <f>(SalesCleanTable[[#This Row],[Unit Price]] - SalesCleanTable[[#This Row],[Unit Cost]]) / SalesCleanTable[[#This Row],[Unit Price]]</f>
        <v>0.35294117647058826</v>
      </c>
      <c r="AC2217" t="str">
        <f>IF(SalesCleanTable[[#This Row],[Discount %]] &gt; SalesCleanTable[[#This Row],[Max Allowed Discount]], "Discount loss", "Safe")</f>
        <v>Safe</v>
      </c>
      <c r="AD2217" s="4">
        <f>SalesCleanTable[[#This Row],[Unit Price]] - SalesCleanTable[[#This Row],[Unit Cost]]</f>
        <v>300</v>
      </c>
      <c r="AE2217" s="41">
        <f>(SalesCleanTable[[#This Row],[Unit Price]] - SalesCleanTable[[#This Row],[Unit Cost]]) / SalesCleanTable[[#This Row],[Unit Price]]</f>
        <v>0.35294117647058826</v>
      </c>
    </row>
    <row r="2218" spans="1:31">
      <c r="A2218" t="s">
        <v>2404</v>
      </c>
      <c r="B2218" s="6">
        <v>45854</v>
      </c>
      <c r="C2218" t="s">
        <v>24</v>
      </c>
      <c r="D2218" t="s">
        <v>25</v>
      </c>
      <c r="E2218" t="s">
        <v>26</v>
      </c>
      <c r="F2218" t="s">
        <v>27</v>
      </c>
      <c r="G2218" t="s">
        <v>28</v>
      </c>
      <c r="H2218" t="s">
        <v>135</v>
      </c>
      <c r="I2218" t="s">
        <v>136</v>
      </c>
      <c r="J2218" t="s">
        <v>137</v>
      </c>
      <c r="K2218" t="s">
        <v>138</v>
      </c>
      <c r="L2218" t="s">
        <v>183</v>
      </c>
      <c r="M2218" t="s">
        <v>186</v>
      </c>
      <c r="N2218">
        <v>2</v>
      </c>
      <c r="O2218" s="4">
        <v>14500</v>
      </c>
      <c r="P2218" s="4">
        <v>17500</v>
      </c>
      <c r="Q2218" s="7">
        <v>0.1</v>
      </c>
      <c r="R2218" t="s">
        <v>194</v>
      </c>
      <c r="S2218">
        <v>7</v>
      </c>
      <c r="T2218">
        <v>35000</v>
      </c>
      <c r="U2218">
        <v>3500</v>
      </c>
      <c r="V2218">
        <v>31500</v>
      </c>
      <c r="W2218">
        <v>29000</v>
      </c>
      <c r="X2218">
        <v>2500</v>
      </c>
      <c r="Y2218" s="8">
        <v>7.9365079365079361E-2</v>
      </c>
      <c r="Z2218" t="s">
        <v>2995</v>
      </c>
      <c r="AA2218" t="str">
        <f>IF(AND(SalesCleanTable[[#This Row],[Discount %]]&gt;0, SalesCleanTable[[#This Row],[Profit]]&lt;0), "Discount loss", "Safe")</f>
        <v>Safe</v>
      </c>
      <c r="AB2218" s="25">
        <f>(SalesCleanTable[[#This Row],[Unit Price]] - SalesCleanTable[[#This Row],[Unit Cost]]) / SalesCleanTable[[#This Row],[Unit Price]]</f>
        <v>0.17142857142857143</v>
      </c>
      <c r="AC2218" t="str">
        <f>IF(SalesCleanTable[[#This Row],[Discount %]] &gt; SalesCleanTable[[#This Row],[Max Allowed Discount]], "Discount loss", "Safe")</f>
        <v>Safe</v>
      </c>
      <c r="AD2218" s="4">
        <f>SalesCleanTable[[#This Row],[Unit Price]] - SalesCleanTable[[#This Row],[Unit Cost]]</f>
        <v>3000</v>
      </c>
      <c r="AE2218" s="41">
        <f>(SalesCleanTable[[#This Row],[Unit Price]] - SalesCleanTable[[#This Row],[Unit Cost]]) / SalesCleanTable[[#This Row],[Unit Price]]</f>
        <v>0.17142857142857143</v>
      </c>
    </row>
    <row r="2219" spans="1:31">
      <c r="A2219" t="s">
        <v>2405</v>
      </c>
      <c r="B2219" s="6">
        <v>45897</v>
      </c>
      <c r="C2219" t="s">
        <v>32</v>
      </c>
      <c r="D2219" t="s">
        <v>33</v>
      </c>
      <c r="E2219" t="s">
        <v>26</v>
      </c>
      <c r="F2219" t="s">
        <v>34</v>
      </c>
      <c r="G2219" t="s">
        <v>35</v>
      </c>
      <c r="H2219" t="s">
        <v>135</v>
      </c>
      <c r="I2219" t="s">
        <v>136</v>
      </c>
      <c r="J2219" t="s">
        <v>137</v>
      </c>
      <c r="K2219" t="s">
        <v>138</v>
      </c>
      <c r="L2219" t="s">
        <v>166</v>
      </c>
      <c r="M2219" t="s">
        <v>171</v>
      </c>
      <c r="N2219">
        <v>2</v>
      </c>
      <c r="O2219" s="4">
        <v>7800</v>
      </c>
      <c r="P2219" s="4">
        <v>9800</v>
      </c>
      <c r="Q2219" s="7">
        <v>0</v>
      </c>
      <c r="R2219" t="s">
        <v>194</v>
      </c>
      <c r="S2219">
        <v>2</v>
      </c>
      <c r="T2219">
        <v>19600</v>
      </c>
      <c r="U2219">
        <v>0</v>
      </c>
      <c r="V2219">
        <v>19600</v>
      </c>
      <c r="W2219">
        <v>15600</v>
      </c>
      <c r="X2219">
        <v>4000</v>
      </c>
      <c r="Y2219" s="8">
        <v>0.20408163265306123</v>
      </c>
      <c r="Z2219" t="s">
        <v>2995</v>
      </c>
      <c r="AA2219" t="str">
        <f>IF(AND(SalesCleanTable[[#This Row],[Discount %]]&gt;0, SalesCleanTable[[#This Row],[Profit]]&lt;0), "Discount loss", "Safe")</f>
        <v>Safe</v>
      </c>
      <c r="AB2219" s="25">
        <f>(SalesCleanTable[[#This Row],[Unit Price]] - SalesCleanTable[[#This Row],[Unit Cost]]) / SalesCleanTable[[#This Row],[Unit Price]]</f>
        <v>0.20408163265306123</v>
      </c>
      <c r="AC2219" t="str">
        <f>IF(SalesCleanTable[[#This Row],[Discount %]] &gt; SalesCleanTable[[#This Row],[Max Allowed Discount]], "Discount loss", "Safe")</f>
        <v>Safe</v>
      </c>
      <c r="AD2219" s="4">
        <f>SalesCleanTable[[#This Row],[Unit Price]] - SalesCleanTable[[#This Row],[Unit Cost]]</f>
        <v>2000</v>
      </c>
      <c r="AE2219" s="41">
        <f>(SalesCleanTable[[#This Row],[Unit Price]] - SalesCleanTable[[#This Row],[Unit Cost]]) / SalesCleanTable[[#This Row],[Unit Price]]</f>
        <v>0.20408163265306123</v>
      </c>
    </row>
    <row r="2220" spans="1:31">
      <c r="A2220" t="s">
        <v>2406</v>
      </c>
      <c r="B2220" s="6">
        <v>45792</v>
      </c>
      <c r="C2220" t="s">
        <v>82</v>
      </c>
      <c r="D2220" t="s">
        <v>83</v>
      </c>
      <c r="E2220" t="s">
        <v>75</v>
      </c>
      <c r="F2220" t="s">
        <v>84</v>
      </c>
      <c r="G2220" t="s">
        <v>85</v>
      </c>
      <c r="H2220" t="s">
        <v>139</v>
      </c>
      <c r="I2220" t="s">
        <v>140</v>
      </c>
      <c r="J2220" t="s">
        <v>137</v>
      </c>
      <c r="K2220" t="s">
        <v>138</v>
      </c>
      <c r="L2220" t="s">
        <v>166</v>
      </c>
      <c r="M2220" t="s">
        <v>171</v>
      </c>
      <c r="N2220">
        <v>10</v>
      </c>
      <c r="O2220" s="4">
        <v>600</v>
      </c>
      <c r="P2220" s="4">
        <v>950</v>
      </c>
      <c r="Q2220" s="7">
        <v>0.1</v>
      </c>
      <c r="R2220" t="s">
        <v>187</v>
      </c>
      <c r="S2220">
        <v>2</v>
      </c>
      <c r="T2220">
        <v>9500</v>
      </c>
      <c r="U2220">
        <v>950</v>
      </c>
      <c r="V2220">
        <v>8550</v>
      </c>
      <c r="W2220">
        <v>6000</v>
      </c>
      <c r="X2220">
        <v>2550</v>
      </c>
      <c r="Y2220" s="8">
        <v>0.2982456140350877</v>
      </c>
      <c r="Z2220" t="s">
        <v>2996</v>
      </c>
      <c r="AA2220" t="str">
        <f>IF(AND(SalesCleanTable[[#This Row],[Discount %]]&gt;0, SalesCleanTable[[#This Row],[Profit]]&lt;0), "Discount loss", "Safe")</f>
        <v>Safe</v>
      </c>
      <c r="AB2220" s="25">
        <f>(SalesCleanTable[[#This Row],[Unit Price]] - SalesCleanTable[[#This Row],[Unit Cost]]) / SalesCleanTable[[#This Row],[Unit Price]]</f>
        <v>0.36842105263157893</v>
      </c>
      <c r="AC2220" t="str">
        <f>IF(SalesCleanTable[[#This Row],[Discount %]] &gt; SalesCleanTable[[#This Row],[Max Allowed Discount]], "Discount loss", "Safe")</f>
        <v>Safe</v>
      </c>
      <c r="AD2220" s="4">
        <f>SalesCleanTable[[#This Row],[Unit Price]] - SalesCleanTable[[#This Row],[Unit Cost]]</f>
        <v>350</v>
      </c>
      <c r="AE2220" s="41">
        <f>(SalesCleanTable[[#This Row],[Unit Price]] - SalesCleanTable[[#This Row],[Unit Cost]]) / SalesCleanTable[[#This Row],[Unit Price]]</f>
        <v>0.36842105263157893</v>
      </c>
    </row>
    <row r="2221" spans="1:31">
      <c r="A2221" t="s">
        <v>2407</v>
      </c>
      <c r="B2221" s="6">
        <v>45815</v>
      </c>
      <c r="C2221" t="s">
        <v>116</v>
      </c>
      <c r="D2221" t="s">
        <v>117</v>
      </c>
      <c r="E2221" t="s">
        <v>109</v>
      </c>
      <c r="F2221" t="s">
        <v>118</v>
      </c>
      <c r="G2221" t="s">
        <v>119</v>
      </c>
      <c r="H2221" t="s">
        <v>139</v>
      </c>
      <c r="I2221" t="s">
        <v>140</v>
      </c>
      <c r="J2221" t="s">
        <v>137</v>
      </c>
      <c r="K2221" t="s">
        <v>138</v>
      </c>
      <c r="L2221" t="s">
        <v>166</v>
      </c>
      <c r="M2221" t="s">
        <v>177</v>
      </c>
      <c r="N2221">
        <v>5</v>
      </c>
      <c r="O2221" s="4">
        <v>2800</v>
      </c>
      <c r="P2221" s="4">
        <v>4200</v>
      </c>
      <c r="Q2221" s="7">
        <v>0.15</v>
      </c>
      <c r="R2221" t="s">
        <v>220</v>
      </c>
      <c r="S2221">
        <v>9</v>
      </c>
      <c r="T2221">
        <v>21000</v>
      </c>
      <c r="U2221">
        <v>3150</v>
      </c>
      <c r="V2221">
        <v>17850</v>
      </c>
      <c r="W2221">
        <v>14000</v>
      </c>
      <c r="X2221">
        <v>3850</v>
      </c>
      <c r="Y2221" s="8">
        <v>0.21568627450980393</v>
      </c>
      <c r="Z2221" t="s">
        <v>2995</v>
      </c>
      <c r="AA2221" t="str">
        <f>IF(AND(SalesCleanTable[[#This Row],[Discount %]]&gt;0, SalesCleanTable[[#This Row],[Profit]]&lt;0), "Discount loss", "Safe")</f>
        <v>Safe</v>
      </c>
      <c r="AB2221" s="25">
        <f>(SalesCleanTable[[#This Row],[Unit Price]] - SalesCleanTable[[#This Row],[Unit Cost]]) / SalesCleanTable[[#This Row],[Unit Price]]</f>
        <v>0.33333333333333331</v>
      </c>
      <c r="AC2221" t="str">
        <f>IF(SalesCleanTable[[#This Row],[Discount %]] &gt; SalesCleanTable[[#This Row],[Max Allowed Discount]], "Discount loss", "Safe")</f>
        <v>Safe</v>
      </c>
      <c r="AD2221" s="4">
        <f>SalesCleanTable[[#This Row],[Unit Price]] - SalesCleanTable[[#This Row],[Unit Cost]]</f>
        <v>1400</v>
      </c>
      <c r="AE2221" s="41">
        <f>(SalesCleanTable[[#This Row],[Unit Price]] - SalesCleanTable[[#This Row],[Unit Cost]]) / SalesCleanTable[[#This Row],[Unit Price]]</f>
        <v>0.33333333333333331</v>
      </c>
    </row>
    <row r="2222" spans="1:31">
      <c r="A2222" t="s">
        <v>2408</v>
      </c>
      <c r="B2222" s="6">
        <v>46019</v>
      </c>
      <c r="C2222" t="s">
        <v>53</v>
      </c>
      <c r="D2222" t="s">
        <v>54</v>
      </c>
      <c r="E2222" t="s">
        <v>38</v>
      </c>
      <c r="F2222" t="s">
        <v>55</v>
      </c>
      <c r="G2222" t="s">
        <v>56</v>
      </c>
      <c r="H2222" t="s">
        <v>133</v>
      </c>
      <c r="I2222" t="s">
        <v>134</v>
      </c>
      <c r="J2222" t="s">
        <v>130</v>
      </c>
      <c r="K2222" t="s">
        <v>131</v>
      </c>
      <c r="L2222" t="s">
        <v>166</v>
      </c>
      <c r="M2222" t="s">
        <v>171</v>
      </c>
      <c r="N2222">
        <v>1</v>
      </c>
      <c r="O2222" s="4">
        <v>330</v>
      </c>
      <c r="P2222" s="4">
        <v>550</v>
      </c>
      <c r="Q2222" s="7">
        <v>0.1</v>
      </c>
      <c r="R2222" t="s">
        <v>175</v>
      </c>
      <c r="S2222">
        <v>11</v>
      </c>
      <c r="T2222">
        <v>550</v>
      </c>
      <c r="U2222">
        <v>55</v>
      </c>
      <c r="V2222">
        <v>495</v>
      </c>
      <c r="W2222">
        <v>330</v>
      </c>
      <c r="X2222">
        <v>165</v>
      </c>
      <c r="Y2222" s="8">
        <v>0.33333333333333331</v>
      </c>
      <c r="Z2222" t="s">
        <v>2996</v>
      </c>
      <c r="AA2222" t="str">
        <f>IF(AND(SalesCleanTable[[#This Row],[Discount %]]&gt;0, SalesCleanTable[[#This Row],[Profit]]&lt;0), "Discount loss", "Safe")</f>
        <v>Safe</v>
      </c>
      <c r="AB2222" s="25">
        <f>(SalesCleanTable[[#This Row],[Unit Price]] - SalesCleanTable[[#This Row],[Unit Cost]]) / SalesCleanTable[[#This Row],[Unit Price]]</f>
        <v>0.4</v>
      </c>
      <c r="AC2222" t="str">
        <f>IF(SalesCleanTable[[#This Row],[Discount %]] &gt; SalesCleanTable[[#This Row],[Max Allowed Discount]], "Discount loss", "Safe")</f>
        <v>Safe</v>
      </c>
      <c r="AD2222" s="4">
        <f>SalesCleanTable[[#This Row],[Unit Price]] - SalesCleanTable[[#This Row],[Unit Cost]]</f>
        <v>220</v>
      </c>
      <c r="AE2222" s="41">
        <f>(SalesCleanTable[[#This Row],[Unit Price]] - SalesCleanTable[[#This Row],[Unit Cost]]) / SalesCleanTable[[#This Row],[Unit Price]]</f>
        <v>0.4</v>
      </c>
    </row>
    <row r="2223" spans="1:31">
      <c r="A2223" t="s">
        <v>2409</v>
      </c>
      <c r="B2223" s="6">
        <v>45733</v>
      </c>
      <c r="C2223" t="s">
        <v>107</v>
      </c>
      <c r="D2223" t="s">
        <v>108</v>
      </c>
      <c r="E2223" t="s">
        <v>109</v>
      </c>
      <c r="F2223" t="s">
        <v>110</v>
      </c>
      <c r="G2223" t="s">
        <v>111</v>
      </c>
      <c r="H2223" t="s">
        <v>133</v>
      </c>
      <c r="I2223" t="s">
        <v>134</v>
      </c>
      <c r="J2223" t="s">
        <v>130</v>
      </c>
      <c r="K2223" t="s">
        <v>131</v>
      </c>
      <c r="L2223" t="s">
        <v>166</v>
      </c>
      <c r="M2223" t="s">
        <v>186</v>
      </c>
      <c r="N2223">
        <v>-2</v>
      </c>
      <c r="O2223" s="4">
        <v>5200</v>
      </c>
      <c r="P2223" s="4">
        <v>7000</v>
      </c>
      <c r="Q2223" s="7">
        <v>0.1</v>
      </c>
      <c r="R2223" t="s">
        <v>220</v>
      </c>
      <c r="S2223">
        <v>3</v>
      </c>
      <c r="T2223">
        <v>-14000</v>
      </c>
      <c r="U2223">
        <v>-1400</v>
      </c>
      <c r="V2223">
        <v>-12600</v>
      </c>
      <c r="W2223">
        <v>-10400</v>
      </c>
      <c r="X2223">
        <v>-2200</v>
      </c>
      <c r="Y2223" s="8">
        <v>0.17460317460317459</v>
      </c>
      <c r="Z2223" t="s">
        <v>2997</v>
      </c>
      <c r="AA2223" t="str">
        <f>IF(AND(SalesCleanTable[[#This Row],[Discount %]]&gt;0, SalesCleanTable[[#This Row],[Profit]]&lt;0), "Discount loss", "Safe")</f>
        <v>Discount loss</v>
      </c>
      <c r="AB2223" s="25">
        <f>(SalesCleanTable[[#This Row],[Unit Price]] - SalesCleanTable[[#This Row],[Unit Cost]]) / SalesCleanTable[[#This Row],[Unit Price]]</f>
        <v>0.25714285714285712</v>
      </c>
      <c r="AC2223" t="str">
        <f>IF(SalesCleanTable[[#This Row],[Discount %]] &gt; SalesCleanTable[[#This Row],[Max Allowed Discount]], "Discount loss", "Safe")</f>
        <v>Safe</v>
      </c>
      <c r="AD2223" s="4">
        <f>SalesCleanTable[[#This Row],[Unit Price]] - SalesCleanTable[[#This Row],[Unit Cost]]</f>
        <v>1800</v>
      </c>
      <c r="AE2223" s="41">
        <f>(SalesCleanTable[[#This Row],[Unit Price]] - SalesCleanTable[[#This Row],[Unit Cost]]) / SalesCleanTable[[#This Row],[Unit Price]]</f>
        <v>0.25714285714285712</v>
      </c>
    </row>
    <row r="2224" spans="1:31">
      <c r="A2224" t="s">
        <v>2410</v>
      </c>
      <c r="B2224" s="6">
        <v>45851</v>
      </c>
      <c r="C2224" t="s">
        <v>78</v>
      </c>
      <c r="D2224" t="s">
        <v>79</v>
      </c>
      <c r="E2224" t="s">
        <v>75</v>
      </c>
      <c r="F2224" t="s">
        <v>80</v>
      </c>
      <c r="G2224" t="s">
        <v>81</v>
      </c>
      <c r="H2224" t="s">
        <v>133</v>
      </c>
      <c r="I2224" t="s">
        <v>134</v>
      </c>
      <c r="J2224" t="s">
        <v>130</v>
      </c>
      <c r="K2224" t="s">
        <v>131</v>
      </c>
      <c r="L2224" t="s">
        <v>183</v>
      </c>
      <c r="M2224" t="s">
        <v>171</v>
      </c>
      <c r="N2224">
        <v>8</v>
      </c>
      <c r="O2224" s="4">
        <v>1200</v>
      </c>
      <c r="P2224" s="4">
        <v>1900</v>
      </c>
      <c r="Q2224" s="7">
        <v>0.15</v>
      </c>
      <c r="R2224" t="s">
        <v>187</v>
      </c>
      <c r="S2224">
        <v>12</v>
      </c>
      <c r="T2224">
        <v>15200</v>
      </c>
      <c r="U2224">
        <v>2280</v>
      </c>
      <c r="V2224">
        <v>12920</v>
      </c>
      <c r="W2224">
        <v>9600</v>
      </c>
      <c r="X2224">
        <v>3320</v>
      </c>
      <c r="Y2224" s="8">
        <v>0.25696594427244585</v>
      </c>
      <c r="Z2224" t="s">
        <v>2996</v>
      </c>
      <c r="AA2224" t="str">
        <f>IF(AND(SalesCleanTable[[#This Row],[Discount %]]&gt;0, SalesCleanTable[[#This Row],[Profit]]&lt;0), "Discount loss", "Safe")</f>
        <v>Safe</v>
      </c>
      <c r="AB2224" s="25">
        <f>(SalesCleanTable[[#This Row],[Unit Price]] - SalesCleanTable[[#This Row],[Unit Cost]]) / SalesCleanTable[[#This Row],[Unit Price]]</f>
        <v>0.36842105263157893</v>
      </c>
      <c r="AC2224" t="str">
        <f>IF(SalesCleanTable[[#This Row],[Discount %]] &gt; SalesCleanTable[[#This Row],[Max Allowed Discount]], "Discount loss", "Safe")</f>
        <v>Safe</v>
      </c>
      <c r="AD2224" s="4">
        <f>SalesCleanTable[[#This Row],[Unit Price]] - SalesCleanTable[[#This Row],[Unit Cost]]</f>
        <v>700</v>
      </c>
      <c r="AE2224" s="41">
        <f>(SalesCleanTable[[#This Row],[Unit Price]] - SalesCleanTable[[#This Row],[Unit Cost]]) / SalesCleanTable[[#This Row],[Unit Price]]</f>
        <v>0.36842105263157893</v>
      </c>
    </row>
    <row r="2225" spans="1:31">
      <c r="A2225" t="s">
        <v>2411</v>
      </c>
      <c r="B2225" s="6">
        <v>45863</v>
      </c>
      <c r="C2225" t="s">
        <v>53</v>
      </c>
      <c r="D2225" t="s">
        <v>54</v>
      </c>
      <c r="E2225" t="s">
        <v>38</v>
      </c>
      <c r="F2225" t="s">
        <v>55</v>
      </c>
      <c r="G2225" t="s">
        <v>56</v>
      </c>
      <c r="H2225" t="s">
        <v>141</v>
      </c>
      <c r="I2225" t="s">
        <v>142</v>
      </c>
      <c r="J2225" t="s">
        <v>143</v>
      </c>
      <c r="K2225" t="s">
        <v>144</v>
      </c>
      <c r="L2225" t="s">
        <v>183</v>
      </c>
      <c r="M2225" t="s">
        <v>186</v>
      </c>
      <c r="N2225">
        <v>2</v>
      </c>
      <c r="O2225" s="4">
        <v>330</v>
      </c>
      <c r="P2225" s="4">
        <v>550</v>
      </c>
      <c r="Q2225" s="7">
        <v>0</v>
      </c>
      <c r="R2225" t="s">
        <v>168</v>
      </c>
      <c r="S2225">
        <v>14</v>
      </c>
      <c r="T2225">
        <v>1100</v>
      </c>
      <c r="U2225">
        <v>0</v>
      </c>
      <c r="V2225">
        <v>1100</v>
      </c>
      <c r="W2225">
        <v>660</v>
      </c>
      <c r="X2225">
        <v>440</v>
      </c>
      <c r="Y2225" s="8">
        <v>0.4</v>
      </c>
      <c r="Z2225" t="s">
        <v>2996</v>
      </c>
      <c r="AA2225" t="str">
        <f>IF(AND(SalesCleanTable[[#This Row],[Discount %]]&gt;0, SalesCleanTable[[#This Row],[Profit]]&lt;0), "Discount loss", "Safe")</f>
        <v>Safe</v>
      </c>
      <c r="AB2225" s="25">
        <f>(SalesCleanTable[[#This Row],[Unit Price]] - SalesCleanTable[[#This Row],[Unit Cost]]) / SalesCleanTable[[#This Row],[Unit Price]]</f>
        <v>0.4</v>
      </c>
      <c r="AC2225" t="str">
        <f>IF(SalesCleanTable[[#This Row],[Discount %]] &gt; SalesCleanTable[[#This Row],[Max Allowed Discount]], "Discount loss", "Safe")</f>
        <v>Safe</v>
      </c>
      <c r="AD2225" s="4">
        <f>SalesCleanTable[[#This Row],[Unit Price]] - SalesCleanTable[[#This Row],[Unit Cost]]</f>
        <v>220</v>
      </c>
      <c r="AE2225" s="41">
        <f>(SalesCleanTable[[#This Row],[Unit Price]] - SalesCleanTable[[#This Row],[Unit Cost]]) / SalesCleanTable[[#This Row],[Unit Price]]</f>
        <v>0.4</v>
      </c>
    </row>
    <row r="2226" spans="1:31">
      <c r="A2226" t="s">
        <v>2412</v>
      </c>
      <c r="B2226" s="6">
        <v>45684</v>
      </c>
      <c r="C2226" t="s">
        <v>49</v>
      </c>
      <c r="D2226" t="s">
        <v>50</v>
      </c>
      <c r="E2226" t="s">
        <v>38</v>
      </c>
      <c r="F2226" t="s">
        <v>51</v>
      </c>
      <c r="G2226" t="s">
        <v>52</v>
      </c>
      <c r="H2226" t="s">
        <v>141</v>
      </c>
      <c r="I2226" t="s">
        <v>142</v>
      </c>
      <c r="J2226" t="s">
        <v>143</v>
      </c>
      <c r="K2226" t="s">
        <v>144</v>
      </c>
      <c r="L2226" t="s">
        <v>183</v>
      </c>
      <c r="M2226" t="s">
        <v>171</v>
      </c>
      <c r="N2226">
        <v>1</v>
      </c>
      <c r="O2226" s="4">
        <v>550</v>
      </c>
      <c r="P2226" s="4">
        <v>850</v>
      </c>
      <c r="Q2226" s="7">
        <v>0</v>
      </c>
      <c r="R2226" t="s">
        <v>175</v>
      </c>
      <c r="S2226">
        <v>10</v>
      </c>
      <c r="T2226">
        <v>850</v>
      </c>
      <c r="U2226">
        <v>0</v>
      </c>
      <c r="V2226">
        <v>850</v>
      </c>
      <c r="W2226">
        <v>550</v>
      </c>
      <c r="X2226">
        <v>300</v>
      </c>
      <c r="Y2226" s="8">
        <v>0.35294117647058826</v>
      </c>
      <c r="Z2226" t="s">
        <v>2996</v>
      </c>
      <c r="AA2226" t="str">
        <f>IF(AND(SalesCleanTable[[#This Row],[Discount %]]&gt;0, SalesCleanTable[[#This Row],[Profit]]&lt;0), "Discount loss", "Safe")</f>
        <v>Safe</v>
      </c>
      <c r="AB2226" s="25">
        <f>(SalesCleanTable[[#This Row],[Unit Price]] - SalesCleanTable[[#This Row],[Unit Cost]]) / SalesCleanTable[[#This Row],[Unit Price]]</f>
        <v>0.35294117647058826</v>
      </c>
      <c r="AC2226" t="str">
        <f>IF(SalesCleanTable[[#This Row],[Discount %]] &gt; SalesCleanTable[[#This Row],[Max Allowed Discount]], "Discount loss", "Safe")</f>
        <v>Safe</v>
      </c>
      <c r="AD2226" s="4">
        <f>SalesCleanTable[[#This Row],[Unit Price]] - SalesCleanTable[[#This Row],[Unit Cost]]</f>
        <v>300</v>
      </c>
      <c r="AE2226" s="41">
        <f>(SalesCleanTable[[#This Row],[Unit Price]] - SalesCleanTable[[#This Row],[Unit Cost]]) / SalesCleanTable[[#This Row],[Unit Price]]</f>
        <v>0.35294117647058826</v>
      </c>
    </row>
    <row r="2227" spans="1:31">
      <c r="A2227" t="s">
        <v>2413</v>
      </c>
      <c r="B2227" s="6">
        <v>45748</v>
      </c>
      <c r="C2227" t="s">
        <v>29</v>
      </c>
      <c r="D2227" t="s">
        <v>30</v>
      </c>
      <c r="E2227" t="s">
        <v>26</v>
      </c>
      <c r="F2227" t="s">
        <v>27</v>
      </c>
      <c r="G2227" t="s">
        <v>31</v>
      </c>
      <c r="H2227" t="s">
        <v>135</v>
      </c>
      <c r="I2227" t="s">
        <v>136</v>
      </c>
      <c r="J2227" t="s">
        <v>137</v>
      </c>
      <c r="K2227" t="s">
        <v>138</v>
      </c>
      <c r="L2227" t="s">
        <v>166</v>
      </c>
      <c r="M2227" t="s">
        <v>171</v>
      </c>
      <c r="N2227">
        <v>2</v>
      </c>
      <c r="O2227" s="4">
        <v>6200</v>
      </c>
      <c r="P2227" s="4">
        <v>7900</v>
      </c>
      <c r="Q2227" s="7">
        <v>0</v>
      </c>
      <c r="R2227" t="s">
        <v>173</v>
      </c>
      <c r="S2227">
        <v>9</v>
      </c>
      <c r="T2227">
        <v>15800</v>
      </c>
      <c r="U2227">
        <v>0</v>
      </c>
      <c r="V2227">
        <v>15800</v>
      </c>
      <c r="W2227">
        <v>12400</v>
      </c>
      <c r="X2227">
        <v>3400</v>
      </c>
      <c r="Y2227" s="8">
        <v>0.21518987341772153</v>
      </c>
      <c r="Z2227" t="s">
        <v>2996</v>
      </c>
      <c r="AA2227" t="str">
        <f>IF(AND(SalesCleanTable[[#This Row],[Discount %]]&gt;0, SalesCleanTable[[#This Row],[Profit]]&lt;0), "Discount loss", "Safe")</f>
        <v>Safe</v>
      </c>
      <c r="AB2227" s="25">
        <f>(SalesCleanTable[[#This Row],[Unit Price]] - SalesCleanTable[[#This Row],[Unit Cost]]) / SalesCleanTable[[#This Row],[Unit Price]]</f>
        <v>0.21518987341772153</v>
      </c>
      <c r="AC2227" t="str">
        <f>IF(SalesCleanTable[[#This Row],[Discount %]] &gt; SalesCleanTable[[#This Row],[Max Allowed Discount]], "Discount loss", "Safe")</f>
        <v>Safe</v>
      </c>
      <c r="AD2227" s="4">
        <f>SalesCleanTable[[#This Row],[Unit Price]] - SalesCleanTable[[#This Row],[Unit Cost]]</f>
        <v>1700</v>
      </c>
      <c r="AE2227" s="41">
        <f>(SalesCleanTable[[#This Row],[Unit Price]] - SalesCleanTable[[#This Row],[Unit Cost]]) / SalesCleanTable[[#This Row],[Unit Price]]</f>
        <v>0.21518987341772153</v>
      </c>
    </row>
    <row r="2228" spans="1:31">
      <c r="A2228" t="s">
        <v>2414</v>
      </c>
      <c r="B2228" s="6">
        <v>45967</v>
      </c>
      <c r="C2228" t="s">
        <v>90</v>
      </c>
      <c r="D2228" t="s">
        <v>91</v>
      </c>
      <c r="E2228" t="s">
        <v>92</v>
      </c>
      <c r="F2228" t="s">
        <v>93</v>
      </c>
      <c r="G2228" t="s">
        <v>94</v>
      </c>
      <c r="H2228" t="s">
        <v>139</v>
      </c>
      <c r="I2228" t="s">
        <v>140</v>
      </c>
      <c r="J2228" t="s">
        <v>137</v>
      </c>
      <c r="K2228" t="s">
        <v>138</v>
      </c>
      <c r="L2228" t="s">
        <v>170</v>
      </c>
      <c r="M2228" t="s">
        <v>186</v>
      </c>
      <c r="N2228">
        <v>3</v>
      </c>
      <c r="O2228" s="4">
        <v>7500</v>
      </c>
      <c r="P2228" s="4">
        <v>10500</v>
      </c>
      <c r="Q2228" s="7">
        <v>0.2</v>
      </c>
      <c r="R2228" t="s">
        <v>217</v>
      </c>
      <c r="S2228">
        <v>7</v>
      </c>
      <c r="T2228">
        <v>31500</v>
      </c>
      <c r="U2228">
        <v>6300</v>
      </c>
      <c r="V2228">
        <v>25200</v>
      </c>
      <c r="W2228">
        <v>22500</v>
      </c>
      <c r="X2228">
        <v>2700</v>
      </c>
      <c r="Y2228" s="8">
        <v>0.10714285714285714</v>
      </c>
      <c r="Z2228" t="s">
        <v>2996</v>
      </c>
      <c r="AA2228" t="str">
        <f>IF(AND(SalesCleanTable[[#This Row],[Discount %]]&gt;0, SalesCleanTable[[#This Row],[Profit]]&lt;0), "Discount loss", "Safe")</f>
        <v>Safe</v>
      </c>
      <c r="AB2228" s="25">
        <f>(SalesCleanTable[[#This Row],[Unit Price]] - SalesCleanTable[[#This Row],[Unit Cost]]) / SalesCleanTable[[#This Row],[Unit Price]]</f>
        <v>0.2857142857142857</v>
      </c>
      <c r="AC2228" t="str">
        <f>IF(SalesCleanTable[[#This Row],[Discount %]] &gt; SalesCleanTable[[#This Row],[Max Allowed Discount]], "Discount loss", "Safe")</f>
        <v>Safe</v>
      </c>
      <c r="AD2228" s="4">
        <f>SalesCleanTable[[#This Row],[Unit Price]] - SalesCleanTable[[#This Row],[Unit Cost]]</f>
        <v>3000</v>
      </c>
      <c r="AE2228" s="41">
        <f>(SalesCleanTable[[#This Row],[Unit Price]] - SalesCleanTable[[#This Row],[Unit Cost]]) / SalesCleanTable[[#This Row],[Unit Price]]</f>
        <v>0.2857142857142857</v>
      </c>
    </row>
    <row r="2229" spans="1:31">
      <c r="A2229" t="s">
        <v>2415</v>
      </c>
      <c r="B2229" s="6">
        <v>45662</v>
      </c>
      <c r="C2229" t="s">
        <v>45</v>
      </c>
      <c r="D2229" t="s">
        <v>46</v>
      </c>
      <c r="E2229" t="s">
        <v>38</v>
      </c>
      <c r="F2229" t="s">
        <v>47</v>
      </c>
      <c r="G2229" t="s">
        <v>48</v>
      </c>
      <c r="H2229" t="s">
        <v>141</v>
      </c>
      <c r="I2229" t="s">
        <v>142</v>
      </c>
      <c r="J2229" t="s">
        <v>143</v>
      </c>
      <c r="K2229" t="s">
        <v>144</v>
      </c>
      <c r="L2229" t="s">
        <v>166</v>
      </c>
      <c r="M2229" t="s">
        <v>186</v>
      </c>
      <c r="N2229">
        <v>4</v>
      </c>
      <c r="O2229" s="4">
        <v>230</v>
      </c>
      <c r="P2229" s="4">
        <v>400</v>
      </c>
      <c r="Q2229" s="7">
        <v>0.05</v>
      </c>
      <c r="R2229" t="s">
        <v>168</v>
      </c>
      <c r="S2229">
        <v>8</v>
      </c>
      <c r="T2229">
        <v>1600</v>
      </c>
      <c r="U2229">
        <v>80</v>
      </c>
      <c r="V2229">
        <v>1520</v>
      </c>
      <c r="W2229">
        <v>920</v>
      </c>
      <c r="X2229">
        <v>600</v>
      </c>
      <c r="Y2229" s="8">
        <v>0.39473684210526316</v>
      </c>
      <c r="Z2229" t="s">
        <v>2995</v>
      </c>
      <c r="AA2229" t="str">
        <f>IF(AND(SalesCleanTable[[#This Row],[Discount %]]&gt;0, SalesCleanTable[[#This Row],[Profit]]&lt;0), "Discount loss", "Safe")</f>
        <v>Safe</v>
      </c>
      <c r="AB2229" s="25">
        <f>(SalesCleanTable[[#This Row],[Unit Price]] - SalesCleanTable[[#This Row],[Unit Cost]]) / SalesCleanTable[[#This Row],[Unit Price]]</f>
        <v>0.42499999999999999</v>
      </c>
      <c r="AC2229" t="str">
        <f>IF(SalesCleanTable[[#This Row],[Discount %]] &gt; SalesCleanTable[[#This Row],[Max Allowed Discount]], "Discount loss", "Safe")</f>
        <v>Safe</v>
      </c>
      <c r="AD2229" s="4">
        <f>SalesCleanTable[[#This Row],[Unit Price]] - SalesCleanTable[[#This Row],[Unit Cost]]</f>
        <v>170</v>
      </c>
      <c r="AE2229" s="41">
        <f>(SalesCleanTable[[#This Row],[Unit Price]] - SalesCleanTable[[#This Row],[Unit Cost]]) / SalesCleanTable[[#This Row],[Unit Price]]</f>
        <v>0.42499999999999999</v>
      </c>
    </row>
    <row r="2230" spans="1:31">
      <c r="A2230" t="s">
        <v>2416</v>
      </c>
      <c r="B2230" s="6">
        <v>45831</v>
      </c>
      <c r="C2230" t="s">
        <v>45</v>
      </c>
      <c r="D2230" t="s">
        <v>46</v>
      </c>
      <c r="E2230" t="s">
        <v>38</v>
      </c>
      <c r="F2230" t="s">
        <v>47</v>
      </c>
      <c r="G2230" t="s">
        <v>48</v>
      </c>
      <c r="H2230" t="s">
        <v>133</v>
      </c>
      <c r="I2230" t="s">
        <v>134</v>
      </c>
      <c r="J2230" t="s">
        <v>130</v>
      </c>
      <c r="K2230" t="s">
        <v>131</v>
      </c>
      <c r="L2230" t="s">
        <v>183</v>
      </c>
      <c r="M2230" t="s">
        <v>167</v>
      </c>
      <c r="N2230">
        <v>5</v>
      </c>
      <c r="O2230" s="4">
        <v>230</v>
      </c>
      <c r="P2230" s="4">
        <v>400</v>
      </c>
      <c r="Q2230" s="7">
        <v>0.1</v>
      </c>
      <c r="R2230" t="s">
        <v>168</v>
      </c>
      <c r="S2230">
        <v>5</v>
      </c>
      <c r="T2230">
        <v>2000</v>
      </c>
      <c r="U2230">
        <v>200</v>
      </c>
      <c r="V2230">
        <v>1800</v>
      </c>
      <c r="W2230">
        <v>1150</v>
      </c>
      <c r="X2230">
        <v>650</v>
      </c>
      <c r="Y2230" s="8">
        <v>0.3611111111111111</v>
      </c>
      <c r="Z2230" t="s">
        <v>2995</v>
      </c>
      <c r="AA2230" t="str">
        <f>IF(AND(SalesCleanTable[[#This Row],[Discount %]]&gt;0, SalesCleanTable[[#This Row],[Profit]]&lt;0), "Discount loss", "Safe")</f>
        <v>Safe</v>
      </c>
      <c r="AB2230" s="25">
        <f>(SalesCleanTable[[#This Row],[Unit Price]] - SalesCleanTable[[#This Row],[Unit Cost]]) / SalesCleanTable[[#This Row],[Unit Price]]</f>
        <v>0.42499999999999999</v>
      </c>
      <c r="AC2230" t="str">
        <f>IF(SalesCleanTable[[#This Row],[Discount %]] &gt; SalesCleanTable[[#This Row],[Max Allowed Discount]], "Discount loss", "Safe")</f>
        <v>Safe</v>
      </c>
      <c r="AD2230" s="4">
        <f>SalesCleanTable[[#This Row],[Unit Price]] - SalesCleanTable[[#This Row],[Unit Cost]]</f>
        <v>170</v>
      </c>
      <c r="AE2230" s="41">
        <f>(SalesCleanTable[[#This Row],[Unit Price]] - SalesCleanTable[[#This Row],[Unit Cost]]) / SalesCleanTable[[#This Row],[Unit Price]]</f>
        <v>0.42499999999999999</v>
      </c>
    </row>
    <row r="2231" spans="1:31">
      <c r="A2231" t="s">
        <v>2417</v>
      </c>
      <c r="B2231" s="6">
        <v>45750</v>
      </c>
      <c r="C2231" t="s">
        <v>53</v>
      </c>
      <c r="D2231" t="s">
        <v>54</v>
      </c>
      <c r="E2231" t="s">
        <v>38</v>
      </c>
      <c r="F2231" t="s">
        <v>55</v>
      </c>
      <c r="G2231" t="s">
        <v>56</v>
      </c>
      <c r="H2231" t="s">
        <v>149</v>
      </c>
      <c r="I2231" t="s">
        <v>150</v>
      </c>
      <c r="J2231" t="s">
        <v>151</v>
      </c>
      <c r="K2231" t="s">
        <v>152</v>
      </c>
      <c r="L2231" t="s">
        <v>183</v>
      </c>
      <c r="M2231" t="s">
        <v>177</v>
      </c>
      <c r="N2231">
        <v>4</v>
      </c>
      <c r="O2231" s="4">
        <v>330</v>
      </c>
      <c r="P2231" s="4">
        <v>550</v>
      </c>
      <c r="Q2231" s="7">
        <v>0</v>
      </c>
      <c r="R2231" t="s">
        <v>168</v>
      </c>
      <c r="S2231">
        <v>3</v>
      </c>
      <c r="T2231">
        <v>2200</v>
      </c>
      <c r="U2231">
        <v>0</v>
      </c>
      <c r="V2231">
        <v>2200</v>
      </c>
      <c r="W2231">
        <v>1320</v>
      </c>
      <c r="X2231">
        <v>880</v>
      </c>
      <c r="Y2231" s="8">
        <v>0.4</v>
      </c>
      <c r="Z2231" t="s">
        <v>2996</v>
      </c>
      <c r="AA2231" t="str">
        <f>IF(AND(SalesCleanTable[[#This Row],[Discount %]]&gt;0, SalesCleanTable[[#This Row],[Profit]]&lt;0), "Discount loss", "Safe")</f>
        <v>Safe</v>
      </c>
      <c r="AB2231" s="25">
        <f>(SalesCleanTable[[#This Row],[Unit Price]] - SalesCleanTable[[#This Row],[Unit Cost]]) / SalesCleanTable[[#This Row],[Unit Price]]</f>
        <v>0.4</v>
      </c>
      <c r="AC2231" t="str">
        <f>IF(SalesCleanTable[[#This Row],[Discount %]] &gt; SalesCleanTable[[#This Row],[Max Allowed Discount]], "Discount loss", "Safe")</f>
        <v>Safe</v>
      </c>
      <c r="AD2231" s="4">
        <f>SalesCleanTable[[#This Row],[Unit Price]] - SalesCleanTable[[#This Row],[Unit Cost]]</f>
        <v>220</v>
      </c>
      <c r="AE2231" s="41">
        <f>(SalesCleanTable[[#This Row],[Unit Price]] - SalesCleanTable[[#This Row],[Unit Cost]]) / SalesCleanTable[[#This Row],[Unit Price]]</f>
        <v>0.4</v>
      </c>
    </row>
    <row r="2232" spans="1:31">
      <c r="A2232" t="s">
        <v>2418</v>
      </c>
      <c r="B2232" s="6">
        <v>45987</v>
      </c>
      <c r="C2232" t="s">
        <v>32</v>
      </c>
      <c r="D2232" t="s">
        <v>33</v>
      </c>
      <c r="E2232" t="s">
        <v>26</v>
      </c>
      <c r="F2232" t="s">
        <v>34</v>
      </c>
      <c r="G2232" t="s">
        <v>35</v>
      </c>
      <c r="H2232" t="s">
        <v>128</v>
      </c>
      <c r="I2232" t="s">
        <v>129</v>
      </c>
      <c r="J2232" t="s">
        <v>130</v>
      </c>
      <c r="K2232" t="s">
        <v>131</v>
      </c>
      <c r="L2232" t="s">
        <v>183</v>
      </c>
      <c r="M2232" t="s">
        <v>171</v>
      </c>
      <c r="N2232">
        <v>4</v>
      </c>
      <c r="O2232" s="4">
        <v>7800</v>
      </c>
      <c r="P2232" s="4">
        <v>9800</v>
      </c>
      <c r="Q2232" s="7">
        <v>0.15</v>
      </c>
      <c r="R2232" t="s">
        <v>194</v>
      </c>
      <c r="S2232">
        <v>7</v>
      </c>
      <c r="T2232">
        <v>39200</v>
      </c>
      <c r="U2232">
        <v>5880</v>
      </c>
      <c r="V2232">
        <v>33320</v>
      </c>
      <c r="W2232">
        <v>31200</v>
      </c>
      <c r="X2232">
        <v>2120</v>
      </c>
      <c r="Y2232" s="8">
        <v>6.3625450180072027E-2</v>
      </c>
      <c r="Z2232" t="s">
        <v>2995</v>
      </c>
      <c r="AA2232" t="str">
        <f>IF(AND(SalesCleanTable[[#This Row],[Discount %]]&gt;0, SalesCleanTable[[#This Row],[Profit]]&lt;0), "Discount loss", "Safe")</f>
        <v>Safe</v>
      </c>
      <c r="AB2232" s="25">
        <f>(SalesCleanTable[[#This Row],[Unit Price]] - SalesCleanTable[[#This Row],[Unit Cost]]) / SalesCleanTable[[#This Row],[Unit Price]]</f>
        <v>0.20408163265306123</v>
      </c>
      <c r="AC2232" t="str">
        <f>IF(SalesCleanTable[[#This Row],[Discount %]] &gt; SalesCleanTable[[#This Row],[Max Allowed Discount]], "Discount loss", "Safe")</f>
        <v>Safe</v>
      </c>
      <c r="AD2232" s="4">
        <f>SalesCleanTable[[#This Row],[Unit Price]] - SalesCleanTable[[#This Row],[Unit Cost]]</f>
        <v>2000</v>
      </c>
      <c r="AE2232" s="41">
        <f>(SalesCleanTable[[#This Row],[Unit Price]] - SalesCleanTable[[#This Row],[Unit Cost]]) / SalesCleanTable[[#This Row],[Unit Price]]</f>
        <v>0.20408163265306123</v>
      </c>
    </row>
    <row r="2233" spans="1:31">
      <c r="A2233" t="s">
        <v>2419</v>
      </c>
      <c r="B2233" s="6">
        <v>45909</v>
      </c>
      <c r="C2233" t="s">
        <v>32</v>
      </c>
      <c r="D2233" t="s">
        <v>33</v>
      </c>
      <c r="E2233" t="s">
        <v>26</v>
      </c>
      <c r="F2233" t="s">
        <v>34</v>
      </c>
      <c r="G2233" t="s">
        <v>35</v>
      </c>
      <c r="H2233" t="s">
        <v>133</v>
      </c>
      <c r="I2233" t="s">
        <v>134</v>
      </c>
      <c r="J2233" t="s">
        <v>130</v>
      </c>
      <c r="K2233" t="s">
        <v>131</v>
      </c>
      <c r="L2233" t="s">
        <v>183</v>
      </c>
      <c r="M2233" t="s">
        <v>186</v>
      </c>
      <c r="N2233">
        <v>5</v>
      </c>
      <c r="O2233" s="4">
        <v>7800</v>
      </c>
      <c r="P2233" s="4">
        <v>9800</v>
      </c>
      <c r="Q2233" s="7">
        <v>0</v>
      </c>
      <c r="R2233" t="s">
        <v>194</v>
      </c>
      <c r="S2233">
        <v>5</v>
      </c>
      <c r="T2233">
        <v>49000</v>
      </c>
      <c r="U2233">
        <v>0</v>
      </c>
      <c r="V2233">
        <v>49000</v>
      </c>
      <c r="W2233">
        <v>39000</v>
      </c>
      <c r="X2233">
        <v>10000</v>
      </c>
      <c r="Y2233" s="8">
        <v>0.20408163265306123</v>
      </c>
      <c r="Z2233" t="s">
        <v>2995</v>
      </c>
      <c r="AA2233" t="str">
        <f>IF(AND(SalesCleanTable[[#This Row],[Discount %]]&gt;0, SalesCleanTable[[#This Row],[Profit]]&lt;0), "Discount loss", "Safe")</f>
        <v>Safe</v>
      </c>
      <c r="AB2233" s="25">
        <f>(SalesCleanTable[[#This Row],[Unit Price]] - SalesCleanTable[[#This Row],[Unit Cost]]) / SalesCleanTable[[#This Row],[Unit Price]]</f>
        <v>0.20408163265306123</v>
      </c>
      <c r="AC2233" t="str">
        <f>IF(SalesCleanTable[[#This Row],[Discount %]] &gt; SalesCleanTable[[#This Row],[Max Allowed Discount]], "Discount loss", "Safe")</f>
        <v>Safe</v>
      </c>
      <c r="AD2233" s="4">
        <f>SalesCleanTable[[#This Row],[Unit Price]] - SalesCleanTable[[#This Row],[Unit Cost]]</f>
        <v>2000</v>
      </c>
      <c r="AE2233" s="41">
        <f>(SalesCleanTable[[#This Row],[Unit Price]] - SalesCleanTable[[#This Row],[Unit Cost]]) / SalesCleanTable[[#This Row],[Unit Price]]</f>
        <v>0.20408163265306123</v>
      </c>
    </row>
    <row r="2234" spans="1:31">
      <c r="A2234" t="s">
        <v>2420</v>
      </c>
      <c r="B2234" s="6">
        <v>45864</v>
      </c>
      <c r="C2234" t="s">
        <v>66</v>
      </c>
      <c r="D2234" t="s">
        <v>67</v>
      </c>
      <c r="E2234" t="s">
        <v>59</v>
      </c>
      <c r="F2234" t="s">
        <v>60</v>
      </c>
      <c r="G2234" t="s">
        <v>68</v>
      </c>
      <c r="H2234" t="s">
        <v>133</v>
      </c>
      <c r="I2234" t="s">
        <v>134</v>
      </c>
      <c r="J2234" t="s">
        <v>130</v>
      </c>
      <c r="K2234" t="s">
        <v>131</v>
      </c>
      <c r="L2234" t="s">
        <v>183</v>
      </c>
      <c r="M2234" t="s">
        <v>171</v>
      </c>
      <c r="N2234">
        <v>2</v>
      </c>
      <c r="O2234" s="4">
        <v>2800</v>
      </c>
      <c r="P2234" s="4">
        <v>3900</v>
      </c>
      <c r="Q2234" s="7">
        <v>0.2</v>
      </c>
      <c r="R2234" t="s">
        <v>192</v>
      </c>
      <c r="S2234">
        <v>4</v>
      </c>
      <c r="T2234">
        <v>7800</v>
      </c>
      <c r="U2234">
        <v>1560</v>
      </c>
      <c r="V2234">
        <v>6240</v>
      </c>
      <c r="W2234">
        <v>5600</v>
      </c>
      <c r="X2234">
        <v>640</v>
      </c>
      <c r="Y2234" s="8">
        <v>0.10256410256410256</v>
      </c>
      <c r="Z2234" t="s">
        <v>2996</v>
      </c>
      <c r="AA2234" t="str">
        <f>IF(AND(SalesCleanTable[[#This Row],[Discount %]]&gt;0, SalesCleanTable[[#This Row],[Profit]]&lt;0), "Discount loss", "Safe")</f>
        <v>Safe</v>
      </c>
      <c r="AB2234" s="25">
        <f>(SalesCleanTable[[#This Row],[Unit Price]] - SalesCleanTable[[#This Row],[Unit Cost]]) / SalesCleanTable[[#This Row],[Unit Price]]</f>
        <v>0.28205128205128205</v>
      </c>
      <c r="AC2234" t="str">
        <f>IF(SalesCleanTable[[#This Row],[Discount %]] &gt; SalesCleanTable[[#This Row],[Max Allowed Discount]], "Discount loss", "Safe")</f>
        <v>Safe</v>
      </c>
      <c r="AD2234" s="4">
        <f>SalesCleanTable[[#This Row],[Unit Price]] - SalesCleanTable[[#This Row],[Unit Cost]]</f>
        <v>1100</v>
      </c>
      <c r="AE2234" s="41">
        <f>(SalesCleanTable[[#This Row],[Unit Price]] - SalesCleanTable[[#This Row],[Unit Cost]]) / SalesCleanTable[[#This Row],[Unit Price]]</f>
        <v>0.28205128205128205</v>
      </c>
    </row>
    <row r="2235" spans="1:31">
      <c r="A2235" t="s">
        <v>2421</v>
      </c>
      <c r="B2235" s="6">
        <v>45749</v>
      </c>
      <c r="C2235" t="s">
        <v>36</v>
      </c>
      <c r="D2235" t="s">
        <v>37</v>
      </c>
      <c r="E2235" t="s">
        <v>38</v>
      </c>
      <c r="F2235" t="s">
        <v>39</v>
      </c>
      <c r="G2235" t="s">
        <v>40</v>
      </c>
      <c r="H2235" t="s">
        <v>149</v>
      </c>
      <c r="I2235" t="s">
        <v>150</v>
      </c>
      <c r="J2235" t="s">
        <v>151</v>
      </c>
      <c r="K2235" t="s">
        <v>152</v>
      </c>
      <c r="L2235" t="s">
        <v>170</v>
      </c>
      <c r="M2235" t="s">
        <v>171</v>
      </c>
      <c r="N2235">
        <v>4</v>
      </c>
      <c r="O2235" s="4">
        <v>1650</v>
      </c>
      <c r="P2235" s="4">
        <v>2200</v>
      </c>
      <c r="Q2235" s="7">
        <v>0.2</v>
      </c>
      <c r="R2235" t="s">
        <v>178</v>
      </c>
      <c r="S2235">
        <v>2</v>
      </c>
      <c r="T2235">
        <v>8800</v>
      </c>
      <c r="U2235">
        <v>1760</v>
      </c>
      <c r="V2235">
        <v>7040</v>
      </c>
      <c r="W2235">
        <v>6600</v>
      </c>
      <c r="X2235">
        <v>440</v>
      </c>
      <c r="Y2235" s="8">
        <v>6.25E-2</v>
      </c>
      <c r="Z2235" t="s">
        <v>2995</v>
      </c>
      <c r="AA2235" t="str">
        <f>IF(AND(SalesCleanTable[[#This Row],[Discount %]]&gt;0, SalesCleanTable[[#This Row],[Profit]]&lt;0), "Discount loss", "Safe")</f>
        <v>Safe</v>
      </c>
      <c r="AB2235" s="25">
        <f>(SalesCleanTable[[#This Row],[Unit Price]] - SalesCleanTable[[#This Row],[Unit Cost]]) / SalesCleanTable[[#This Row],[Unit Price]]</f>
        <v>0.25</v>
      </c>
      <c r="AC2235" t="str">
        <f>IF(SalesCleanTable[[#This Row],[Discount %]] &gt; SalesCleanTable[[#This Row],[Max Allowed Discount]], "Discount loss", "Safe")</f>
        <v>Safe</v>
      </c>
      <c r="AD2235" s="4">
        <f>SalesCleanTable[[#This Row],[Unit Price]] - SalesCleanTable[[#This Row],[Unit Cost]]</f>
        <v>550</v>
      </c>
      <c r="AE2235" s="41">
        <f>(SalesCleanTable[[#This Row],[Unit Price]] - SalesCleanTable[[#This Row],[Unit Cost]]) / SalesCleanTable[[#This Row],[Unit Price]]</f>
        <v>0.25</v>
      </c>
    </row>
    <row r="2236" spans="1:31">
      <c r="A2236" t="s">
        <v>2422</v>
      </c>
      <c r="B2236" s="6">
        <v>45794</v>
      </c>
      <c r="C2236" t="s">
        <v>36</v>
      </c>
      <c r="D2236" t="s">
        <v>37</v>
      </c>
      <c r="E2236" t="s">
        <v>38</v>
      </c>
      <c r="F2236" t="s">
        <v>39</v>
      </c>
      <c r="G2236" t="s">
        <v>40</v>
      </c>
      <c r="H2236" t="s">
        <v>135</v>
      </c>
      <c r="I2236" t="s">
        <v>136</v>
      </c>
      <c r="J2236" t="s">
        <v>137</v>
      </c>
      <c r="K2236" t="s">
        <v>138</v>
      </c>
      <c r="L2236" t="s">
        <v>166</v>
      </c>
      <c r="M2236" t="s">
        <v>177</v>
      </c>
      <c r="N2236">
        <v>3</v>
      </c>
      <c r="O2236" s="4">
        <v>1650</v>
      </c>
      <c r="P2236" s="4">
        <v>2200</v>
      </c>
      <c r="Q2236" s="7">
        <v>0</v>
      </c>
      <c r="R2236" t="s">
        <v>178</v>
      </c>
      <c r="S2236">
        <v>8</v>
      </c>
      <c r="T2236">
        <v>6600</v>
      </c>
      <c r="U2236">
        <v>0</v>
      </c>
      <c r="V2236">
        <v>6600</v>
      </c>
      <c r="W2236">
        <v>4950</v>
      </c>
      <c r="X2236">
        <v>1650</v>
      </c>
      <c r="Y2236" s="8">
        <v>0.25</v>
      </c>
      <c r="Z2236" t="s">
        <v>2995</v>
      </c>
      <c r="AA2236" t="str">
        <f>IF(AND(SalesCleanTable[[#This Row],[Discount %]]&gt;0, SalesCleanTable[[#This Row],[Profit]]&lt;0), "Discount loss", "Safe")</f>
        <v>Safe</v>
      </c>
      <c r="AB2236" s="25">
        <f>(SalesCleanTable[[#This Row],[Unit Price]] - SalesCleanTable[[#This Row],[Unit Cost]]) / SalesCleanTable[[#This Row],[Unit Price]]</f>
        <v>0.25</v>
      </c>
      <c r="AC2236" t="str">
        <f>IF(SalesCleanTable[[#This Row],[Discount %]] &gt; SalesCleanTable[[#This Row],[Max Allowed Discount]], "Discount loss", "Safe")</f>
        <v>Safe</v>
      </c>
      <c r="AD2236" s="4">
        <f>SalesCleanTable[[#This Row],[Unit Price]] - SalesCleanTable[[#This Row],[Unit Cost]]</f>
        <v>550</v>
      </c>
      <c r="AE2236" s="41">
        <f>(SalesCleanTable[[#This Row],[Unit Price]] - SalesCleanTable[[#This Row],[Unit Cost]]) / SalesCleanTable[[#This Row],[Unit Price]]</f>
        <v>0.25</v>
      </c>
    </row>
    <row r="2237" spans="1:31">
      <c r="A2237" t="s">
        <v>2423</v>
      </c>
      <c r="B2237" s="6">
        <v>45667</v>
      </c>
      <c r="C2237" t="s">
        <v>112</v>
      </c>
      <c r="D2237" t="s">
        <v>113</v>
      </c>
      <c r="E2237" t="s">
        <v>109</v>
      </c>
      <c r="F2237" t="s">
        <v>114</v>
      </c>
      <c r="G2237" t="s">
        <v>115</v>
      </c>
      <c r="H2237" t="s">
        <v>145</v>
      </c>
      <c r="I2237" t="s">
        <v>146</v>
      </c>
      <c r="J2237" t="s">
        <v>147</v>
      </c>
      <c r="K2237" t="s">
        <v>148</v>
      </c>
      <c r="L2237" t="s">
        <v>166</v>
      </c>
      <c r="M2237" t="s">
        <v>171</v>
      </c>
      <c r="N2237">
        <v>-1</v>
      </c>
      <c r="O2237" s="4">
        <v>1300</v>
      </c>
      <c r="P2237" s="4">
        <v>2100</v>
      </c>
      <c r="Q2237" s="7">
        <v>0.2</v>
      </c>
      <c r="R2237" t="s">
        <v>220</v>
      </c>
      <c r="S2237">
        <v>11</v>
      </c>
      <c r="T2237">
        <v>-2100</v>
      </c>
      <c r="U2237">
        <v>-420</v>
      </c>
      <c r="V2237">
        <v>-1680</v>
      </c>
      <c r="W2237">
        <v>-1300</v>
      </c>
      <c r="X2237">
        <v>-380</v>
      </c>
      <c r="Y2237" s="8">
        <v>0.22619047619047619</v>
      </c>
      <c r="Z2237" t="s">
        <v>2995</v>
      </c>
      <c r="AA2237" t="str">
        <f>IF(AND(SalesCleanTable[[#This Row],[Discount %]]&gt;0, SalesCleanTable[[#This Row],[Profit]]&lt;0), "Discount loss", "Safe")</f>
        <v>Discount loss</v>
      </c>
      <c r="AB2237" s="25">
        <f>(SalesCleanTable[[#This Row],[Unit Price]] - SalesCleanTable[[#This Row],[Unit Cost]]) / SalesCleanTable[[#This Row],[Unit Price]]</f>
        <v>0.38095238095238093</v>
      </c>
      <c r="AC2237" t="str">
        <f>IF(SalesCleanTable[[#This Row],[Discount %]] &gt; SalesCleanTable[[#This Row],[Max Allowed Discount]], "Discount loss", "Safe")</f>
        <v>Safe</v>
      </c>
      <c r="AD2237" s="4">
        <f>SalesCleanTable[[#This Row],[Unit Price]] - SalesCleanTable[[#This Row],[Unit Cost]]</f>
        <v>800</v>
      </c>
      <c r="AE2237" s="41">
        <f>(SalesCleanTable[[#This Row],[Unit Price]] - SalesCleanTable[[#This Row],[Unit Cost]]) / SalesCleanTable[[#This Row],[Unit Price]]</f>
        <v>0.38095238095238093</v>
      </c>
    </row>
    <row r="2238" spans="1:31">
      <c r="A2238" t="s">
        <v>2424</v>
      </c>
      <c r="B2238" s="6">
        <v>45807</v>
      </c>
      <c r="C2238" t="s">
        <v>66</v>
      </c>
      <c r="D2238" t="s">
        <v>67</v>
      </c>
      <c r="E2238" t="s">
        <v>59</v>
      </c>
      <c r="F2238" t="s">
        <v>60</v>
      </c>
      <c r="G2238" t="s">
        <v>68</v>
      </c>
      <c r="H2238" t="s">
        <v>133</v>
      </c>
      <c r="I2238" t="s">
        <v>134</v>
      </c>
      <c r="J2238" t="s">
        <v>130</v>
      </c>
      <c r="K2238" t="s">
        <v>131</v>
      </c>
      <c r="L2238" t="s">
        <v>166</v>
      </c>
      <c r="M2238" t="s">
        <v>167</v>
      </c>
      <c r="N2238">
        <v>2</v>
      </c>
      <c r="O2238" s="4">
        <v>2800</v>
      </c>
      <c r="P2238" s="4">
        <v>3900</v>
      </c>
      <c r="Q2238" s="7">
        <v>0.05</v>
      </c>
      <c r="R2238" t="s">
        <v>173</v>
      </c>
      <c r="S2238">
        <v>4</v>
      </c>
      <c r="T2238">
        <v>7800</v>
      </c>
      <c r="U2238">
        <v>390</v>
      </c>
      <c r="V2238">
        <v>7410</v>
      </c>
      <c r="W2238">
        <v>5600</v>
      </c>
      <c r="X2238">
        <v>1810</v>
      </c>
      <c r="Y2238" s="8">
        <v>0.24426450742240216</v>
      </c>
      <c r="Z2238" t="s">
        <v>2996</v>
      </c>
      <c r="AA2238" t="str">
        <f>IF(AND(SalesCleanTable[[#This Row],[Discount %]]&gt;0, SalesCleanTable[[#This Row],[Profit]]&lt;0), "Discount loss", "Safe")</f>
        <v>Safe</v>
      </c>
      <c r="AB2238" s="25">
        <f>(SalesCleanTable[[#This Row],[Unit Price]] - SalesCleanTable[[#This Row],[Unit Cost]]) / SalesCleanTable[[#This Row],[Unit Price]]</f>
        <v>0.28205128205128205</v>
      </c>
      <c r="AC2238" t="str">
        <f>IF(SalesCleanTable[[#This Row],[Discount %]] &gt; SalesCleanTable[[#This Row],[Max Allowed Discount]], "Discount loss", "Safe")</f>
        <v>Safe</v>
      </c>
      <c r="AD2238" s="4">
        <f>SalesCleanTable[[#This Row],[Unit Price]] - SalesCleanTable[[#This Row],[Unit Cost]]</f>
        <v>1100</v>
      </c>
      <c r="AE2238" s="41">
        <f>(SalesCleanTable[[#This Row],[Unit Price]] - SalesCleanTable[[#This Row],[Unit Cost]]) / SalesCleanTable[[#This Row],[Unit Price]]</f>
        <v>0.28205128205128205</v>
      </c>
    </row>
    <row r="2239" spans="1:31">
      <c r="A2239" t="s">
        <v>2425</v>
      </c>
      <c r="B2239" s="6">
        <v>45883</v>
      </c>
      <c r="C2239" t="s">
        <v>36</v>
      </c>
      <c r="D2239" t="s">
        <v>37</v>
      </c>
      <c r="E2239" t="s">
        <v>38</v>
      </c>
      <c r="F2239" t="s">
        <v>39</v>
      </c>
      <c r="G2239" t="s">
        <v>40</v>
      </c>
      <c r="H2239" t="s">
        <v>135</v>
      </c>
      <c r="I2239" t="s">
        <v>136</v>
      </c>
      <c r="J2239" t="s">
        <v>137</v>
      </c>
      <c r="K2239" t="s">
        <v>138</v>
      </c>
      <c r="L2239" t="s">
        <v>183</v>
      </c>
      <c r="M2239" t="s">
        <v>177</v>
      </c>
      <c r="N2239">
        <v>2</v>
      </c>
      <c r="O2239" s="4">
        <v>1650</v>
      </c>
      <c r="P2239" s="4">
        <v>2200</v>
      </c>
      <c r="Q2239" s="7">
        <v>0.2</v>
      </c>
      <c r="R2239" t="s">
        <v>178</v>
      </c>
      <c r="S2239">
        <v>10</v>
      </c>
      <c r="T2239">
        <v>4400</v>
      </c>
      <c r="U2239">
        <v>880</v>
      </c>
      <c r="V2239">
        <v>3520</v>
      </c>
      <c r="W2239">
        <v>3300</v>
      </c>
      <c r="X2239">
        <v>220</v>
      </c>
      <c r="Y2239" s="8">
        <v>6.25E-2</v>
      </c>
      <c r="Z2239" t="s">
        <v>2995</v>
      </c>
      <c r="AA2239" t="str">
        <f>IF(AND(SalesCleanTable[[#This Row],[Discount %]]&gt;0, SalesCleanTable[[#This Row],[Profit]]&lt;0), "Discount loss", "Safe")</f>
        <v>Safe</v>
      </c>
      <c r="AB2239" s="25">
        <f>(SalesCleanTable[[#This Row],[Unit Price]] - SalesCleanTable[[#This Row],[Unit Cost]]) / SalesCleanTable[[#This Row],[Unit Price]]</f>
        <v>0.25</v>
      </c>
      <c r="AC2239" t="str">
        <f>IF(SalesCleanTable[[#This Row],[Discount %]] &gt; SalesCleanTable[[#This Row],[Max Allowed Discount]], "Discount loss", "Safe")</f>
        <v>Safe</v>
      </c>
      <c r="AD2239" s="4">
        <f>SalesCleanTable[[#This Row],[Unit Price]] - SalesCleanTable[[#This Row],[Unit Cost]]</f>
        <v>550</v>
      </c>
      <c r="AE2239" s="41">
        <f>(SalesCleanTable[[#This Row],[Unit Price]] - SalesCleanTable[[#This Row],[Unit Cost]]) / SalesCleanTable[[#This Row],[Unit Price]]</f>
        <v>0.25</v>
      </c>
    </row>
    <row r="2240" spans="1:31">
      <c r="A2240" t="s">
        <v>2426</v>
      </c>
      <c r="B2240" s="6">
        <v>45861</v>
      </c>
      <c r="C2240" t="s">
        <v>82</v>
      </c>
      <c r="D2240" t="s">
        <v>83</v>
      </c>
      <c r="E2240" t="s">
        <v>75</v>
      </c>
      <c r="F2240" t="s">
        <v>84</v>
      </c>
      <c r="G2240" t="s">
        <v>85</v>
      </c>
      <c r="H2240" t="s">
        <v>135</v>
      </c>
      <c r="I2240" t="s">
        <v>136</v>
      </c>
      <c r="J2240" t="s">
        <v>137</v>
      </c>
      <c r="K2240" t="s">
        <v>138</v>
      </c>
      <c r="L2240" t="s">
        <v>183</v>
      </c>
      <c r="M2240" t="s">
        <v>171</v>
      </c>
      <c r="N2240">
        <v>1</v>
      </c>
      <c r="O2240" s="4">
        <v>600</v>
      </c>
      <c r="P2240" s="4">
        <v>950</v>
      </c>
      <c r="Q2240" s="7">
        <v>0.15</v>
      </c>
      <c r="R2240" t="s">
        <v>204</v>
      </c>
      <c r="S2240">
        <v>6</v>
      </c>
      <c r="T2240">
        <v>950</v>
      </c>
      <c r="U2240">
        <v>142.5</v>
      </c>
      <c r="V2240">
        <v>807.5</v>
      </c>
      <c r="W2240">
        <v>600</v>
      </c>
      <c r="X2240">
        <v>207.5</v>
      </c>
      <c r="Y2240" s="8">
        <v>0.25696594427244585</v>
      </c>
      <c r="Z2240" t="s">
        <v>2996</v>
      </c>
      <c r="AA2240" t="str">
        <f>IF(AND(SalesCleanTable[[#This Row],[Discount %]]&gt;0, SalesCleanTable[[#This Row],[Profit]]&lt;0), "Discount loss", "Safe")</f>
        <v>Safe</v>
      </c>
      <c r="AB2240" s="25">
        <f>(SalesCleanTable[[#This Row],[Unit Price]] - SalesCleanTable[[#This Row],[Unit Cost]]) / SalesCleanTable[[#This Row],[Unit Price]]</f>
        <v>0.36842105263157893</v>
      </c>
      <c r="AC2240" t="str">
        <f>IF(SalesCleanTable[[#This Row],[Discount %]] &gt; SalesCleanTable[[#This Row],[Max Allowed Discount]], "Discount loss", "Safe")</f>
        <v>Safe</v>
      </c>
      <c r="AD2240" s="4">
        <f>SalesCleanTable[[#This Row],[Unit Price]] - SalesCleanTable[[#This Row],[Unit Cost]]</f>
        <v>350</v>
      </c>
      <c r="AE2240" s="41">
        <f>(SalesCleanTable[[#This Row],[Unit Price]] - SalesCleanTable[[#This Row],[Unit Cost]]) / SalesCleanTable[[#This Row],[Unit Price]]</f>
        <v>0.36842105263157893</v>
      </c>
    </row>
    <row r="2241" spans="1:31">
      <c r="A2241" t="s">
        <v>2427</v>
      </c>
      <c r="B2241" s="6">
        <v>45967</v>
      </c>
      <c r="C2241" t="s">
        <v>41</v>
      </c>
      <c r="D2241" t="s">
        <v>42</v>
      </c>
      <c r="E2241" t="s">
        <v>26</v>
      </c>
      <c r="F2241" t="s">
        <v>43</v>
      </c>
      <c r="G2241" t="s">
        <v>44</v>
      </c>
      <c r="H2241" t="s">
        <v>141</v>
      </c>
      <c r="I2241" t="s">
        <v>142</v>
      </c>
      <c r="J2241" t="s">
        <v>143</v>
      </c>
      <c r="K2241" t="s">
        <v>144</v>
      </c>
      <c r="L2241" t="s">
        <v>170</v>
      </c>
      <c r="M2241" t="s">
        <v>186</v>
      </c>
      <c r="N2241">
        <v>1</v>
      </c>
      <c r="O2241" s="4">
        <v>850</v>
      </c>
      <c r="P2241" s="4">
        <v>1300</v>
      </c>
      <c r="Q2241" s="7">
        <v>0.1</v>
      </c>
      <c r="R2241" t="s">
        <v>173</v>
      </c>
      <c r="S2241">
        <v>14</v>
      </c>
      <c r="T2241">
        <v>1300</v>
      </c>
      <c r="U2241">
        <v>130</v>
      </c>
      <c r="V2241">
        <v>1170</v>
      </c>
      <c r="W2241">
        <v>850</v>
      </c>
      <c r="X2241">
        <v>320</v>
      </c>
      <c r="Y2241" s="8">
        <v>0.27350427350427353</v>
      </c>
      <c r="Z2241" t="s">
        <v>2995</v>
      </c>
      <c r="AA2241" t="str">
        <f>IF(AND(SalesCleanTable[[#This Row],[Discount %]]&gt;0, SalesCleanTable[[#This Row],[Profit]]&lt;0), "Discount loss", "Safe")</f>
        <v>Safe</v>
      </c>
      <c r="AB2241" s="25">
        <f>(SalesCleanTable[[#This Row],[Unit Price]] - SalesCleanTable[[#This Row],[Unit Cost]]) / SalesCleanTable[[#This Row],[Unit Price]]</f>
        <v>0.34615384615384615</v>
      </c>
      <c r="AC2241" t="str">
        <f>IF(SalesCleanTable[[#This Row],[Discount %]] &gt; SalesCleanTable[[#This Row],[Max Allowed Discount]], "Discount loss", "Safe")</f>
        <v>Safe</v>
      </c>
      <c r="AD2241" s="4">
        <f>SalesCleanTable[[#This Row],[Unit Price]] - SalesCleanTable[[#This Row],[Unit Cost]]</f>
        <v>450</v>
      </c>
      <c r="AE2241" s="41">
        <f>(SalesCleanTable[[#This Row],[Unit Price]] - SalesCleanTable[[#This Row],[Unit Cost]]) / SalesCleanTable[[#This Row],[Unit Price]]</f>
        <v>0.34615384615384615</v>
      </c>
    </row>
    <row r="2242" spans="1:31">
      <c r="A2242" t="s">
        <v>2428</v>
      </c>
      <c r="B2242" s="6">
        <v>45951</v>
      </c>
      <c r="C2242" t="s">
        <v>32</v>
      </c>
      <c r="D2242" t="s">
        <v>33</v>
      </c>
      <c r="E2242" t="s">
        <v>26</v>
      </c>
      <c r="F2242" t="s">
        <v>34</v>
      </c>
      <c r="G2242" t="s">
        <v>35</v>
      </c>
      <c r="H2242" t="s">
        <v>135</v>
      </c>
      <c r="I2242" t="s">
        <v>136</v>
      </c>
      <c r="J2242" t="s">
        <v>137</v>
      </c>
      <c r="K2242" t="s">
        <v>138</v>
      </c>
      <c r="L2242" t="s">
        <v>170</v>
      </c>
      <c r="M2242" t="s">
        <v>171</v>
      </c>
      <c r="N2242">
        <v>2</v>
      </c>
      <c r="O2242" s="4">
        <v>7800</v>
      </c>
      <c r="P2242" s="4">
        <v>9800</v>
      </c>
      <c r="Q2242" s="7">
        <v>0</v>
      </c>
      <c r="R2242" t="s">
        <v>194</v>
      </c>
      <c r="S2242">
        <v>1</v>
      </c>
      <c r="T2242">
        <v>19600</v>
      </c>
      <c r="U2242">
        <v>0</v>
      </c>
      <c r="V2242">
        <v>19600</v>
      </c>
      <c r="W2242">
        <v>15600</v>
      </c>
      <c r="X2242">
        <v>4000</v>
      </c>
      <c r="Y2242" s="8">
        <v>0.20408163265306123</v>
      </c>
      <c r="Z2242" t="s">
        <v>2995</v>
      </c>
      <c r="AA2242" t="str">
        <f>IF(AND(SalesCleanTable[[#This Row],[Discount %]]&gt;0, SalesCleanTable[[#This Row],[Profit]]&lt;0), "Discount loss", "Safe")</f>
        <v>Safe</v>
      </c>
      <c r="AB2242" s="25">
        <f>(SalesCleanTable[[#This Row],[Unit Price]] - SalesCleanTable[[#This Row],[Unit Cost]]) / SalesCleanTable[[#This Row],[Unit Price]]</f>
        <v>0.20408163265306123</v>
      </c>
      <c r="AC2242" t="str">
        <f>IF(SalesCleanTable[[#This Row],[Discount %]] &gt; SalesCleanTable[[#This Row],[Max Allowed Discount]], "Discount loss", "Safe")</f>
        <v>Safe</v>
      </c>
      <c r="AD2242" s="4">
        <f>SalesCleanTable[[#This Row],[Unit Price]] - SalesCleanTable[[#This Row],[Unit Cost]]</f>
        <v>2000</v>
      </c>
      <c r="AE2242" s="41">
        <f>(SalesCleanTable[[#This Row],[Unit Price]] - SalesCleanTable[[#This Row],[Unit Cost]]) / SalesCleanTable[[#This Row],[Unit Price]]</f>
        <v>0.20408163265306123</v>
      </c>
    </row>
    <row r="2243" spans="1:31">
      <c r="A2243" t="s">
        <v>2429</v>
      </c>
      <c r="B2243" s="6">
        <v>45878</v>
      </c>
      <c r="C2243" t="s">
        <v>82</v>
      </c>
      <c r="D2243" t="s">
        <v>83</v>
      </c>
      <c r="E2243" t="s">
        <v>75</v>
      </c>
      <c r="F2243" t="s">
        <v>84</v>
      </c>
      <c r="G2243" t="s">
        <v>85</v>
      </c>
      <c r="H2243" t="s">
        <v>139</v>
      </c>
      <c r="I2243" t="s">
        <v>140</v>
      </c>
      <c r="J2243" t="s">
        <v>137</v>
      </c>
      <c r="K2243" t="s">
        <v>138</v>
      </c>
      <c r="L2243" t="s">
        <v>166</v>
      </c>
      <c r="M2243" t="s">
        <v>177</v>
      </c>
      <c r="N2243">
        <v>3</v>
      </c>
      <c r="O2243" s="4">
        <v>600</v>
      </c>
      <c r="P2243" s="4">
        <v>950</v>
      </c>
      <c r="Q2243" s="7">
        <v>0.15</v>
      </c>
      <c r="R2243" t="s">
        <v>204</v>
      </c>
      <c r="S2243">
        <v>5</v>
      </c>
      <c r="T2243">
        <v>2850</v>
      </c>
      <c r="U2243">
        <v>427.5</v>
      </c>
      <c r="V2243">
        <v>2422.5</v>
      </c>
      <c r="W2243">
        <v>1800</v>
      </c>
      <c r="X2243">
        <v>622.5</v>
      </c>
      <c r="Y2243" s="8">
        <v>0.25696594427244585</v>
      </c>
      <c r="Z2243" t="s">
        <v>2996</v>
      </c>
      <c r="AA2243" t="str">
        <f>IF(AND(SalesCleanTable[[#This Row],[Discount %]]&gt;0, SalesCleanTable[[#This Row],[Profit]]&lt;0), "Discount loss", "Safe")</f>
        <v>Safe</v>
      </c>
      <c r="AB2243" s="25">
        <f>(SalesCleanTable[[#This Row],[Unit Price]] - SalesCleanTable[[#This Row],[Unit Cost]]) / SalesCleanTable[[#This Row],[Unit Price]]</f>
        <v>0.36842105263157893</v>
      </c>
      <c r="AC2243" t="str">
        <f>IF(SalesCleanTable[[#This Row],[Discount %]] &gt; SalesCleanTable[[#This Row],[Max Allowed Discount]], "Discount loss", "Safe")</f>
        <v>Safe</v>
      </c>
      <c r="AD2243" s="4">
        <f>SalesCleanTable[[#This Row],[Unit Price]] - SalesCleanTable[[#This Row],[Unit Cost]]</f>
        <v>350</v>
      </c>
      <c r="AE2243" s="41">
        <f>(SalesCleanTable[[#This Row],[Unit Price]] - SalesCleanTable[[#This Row],[Unit Cost]]) / SalesCleanTable[[#This Row],[Unit Price]]</f>
        <v>0.36842105263157893</v>
      </c>
    </row>
    <row r="2244" spans="1:31">
      <c r="A2244" t="s">
        <v>2430</v>
      </c>
      <c r="B2244" s="6">
        <v>45763</v>
      </c>
      <c r="C2244" t="s">
        <v>66</v>
      </c>
      <c r="D2244" t="s">
        <v>67</v>
      </c>
      <c r="E2244" t="s">
        <v>59</v>
      </c>
      <c r="F2244" t="s">
        <v>60</v>
      </c>
      <c r="G2244" t="s">
        <v>68</v>
      </c>
      <c r="H2244" t="s">
        <v>135</v>
      </c>
      <c r="I2244" t="s">
        <v>136</v>
      </c>
      <c r="J2244" t="s">
        <v>137</v>
      </c>
      <c r="K2244" t="s">
        <v>138</v>
      </c>
      <c r="L2244" t="s">
        <v>166</v>
      </c>
      <c r="M2244" t="s">
        <v>171</v>
      </c>
      <c r="N2244">
        <v>4</v>
      </c>
      <c r="O2244" s="4">
        <v>2800</v>
      </c>
      <c r="P2244" s="4">
        <v>3900</v>
      </c>
      <c r="Q2244" s="7">
        <v>0.1</v>
      </c>
      <c r="R2244" t="s">
        <v>173</v>
      </c>
      <c r="S2244">
        <v>14</v>
      </c>
      <c r="T2244">
        <v>15600</v>
      </c>
      <c r="U2244">
        <v>1560</v>
      </c>
      <c r="V2244">
        <v>14040</v>
      </c>
      <c r="W2244">
        <v>11200</v>
      </c>
      <c r="X2244">
        <v>2840</v>
      </c>
      <c r="Y2244" s="8">
        <v>0.20227920227920229</v>
      </c>
      <c r="Z2244" t="s">
        <v>2996</v>
      </c>
      <c r="AA2244" t="str">
        <f>IF(AND(SalesCleanTable[[#This Row],[Discount %]]&gt;0, SalesCleanTable[[#This Row],[Profit]]&lt;0), "Discount loss", "Safe")</f>
        <v>Safe</v>
      </c>
      <c r="AB2244" s="25">
        <f>(SalesCleanTable[[#This Row],[Unit Price]] - SalesCleanTable[[#This Row],[Unit Cost]]) / SalesCleanTable[[#This Row],[Unit Price]]</f>
        <v>0.28205128205128205</v>
      </c>
      <c r="AC2244" t="str">
        <f>IF(SalesCleanTable[[#This Row],[Discount %]] &gt; SalesCleanTable[[#This Row],[Max Allowed Discount]], "Discount loss", "Safe")</f>
        <v>Safe</v>
      </c>
      <c r="AD2244" s="4">
        <f>SalesCleanTable[[#This Row],[Unit Price]] - SalesCleanTable[[#This Row],[Unit Cost]]</f>
        <v>1100</v>
      </c>
      <c r="AE2244" s="41">
        <f>(SalesCleanTable[[#This Row],[Unit Price]] - SalesCleanTable[[#This Row],[Unit Cost]]) / SalesCleanTable[[#This Row],[Unit Price]]</f>
        <v>0.28205128205128205</v>
      </c>
    </row>
    <row r="2245" spans="1:31">
      <c r="A2245" t="s">
        <v>2431</v>
      </c>
      <c r="B2245" s="6">
        <v>45812</v>
      </c>
      <c r="C2245" t="s">
        <v>95</v>
      </c>
      <c r="D2245" t="s">
        <v>96</v>
      </c>
      <c r="E2245" t="s">
        <v>92</v>
      </c>
      <c r="F2245" t="s">
        <v>97</v>
      </c>
      <c r="G2245" t="s">
        <v>98</v>
      </c>
      <c r="H2245" t="s">
        <v>135</v>
      </c>
      <c r="I2245" t="s">
        <v>136</v>
      </c>
      <c r="J2245" t="s">
        <v>137</v>
      </c>
      <c r="K2245" t="s">
        <v>138</v>
      </c>
      <c r="L2245" t="s">
        <v>166</v>
      </c>
      <c r="M2245" t="s">
        <v>171</v>
      </c>
      <c r="N2245">
        <v>3</v>
      </c>
      <c r="O2245" s="4">
        <v>18000</v>
      </c>
      <c r="P2245" s="4">
        <v>24500</v>
      </c>
      <c r="Q2245" s="7">
        <v>0.05</v>
      </c>
      <c r="R2245" t="s">
        <v>181</v>
      </c>
      <c r="S2245">
        <v>1</v>
      </c>
      <c r="T2245">
        <v>73500</v>
      </c>
      <c r="U2245">
        <v>3675</v>
      </c>
      <c r="V2245">
        <v>69825</v>
      </c>
      <c r="W2245">
        <v>54000</v>
      </c>
      <c r="X2245">
        <v>15825</v>
      </c>
      <c r="Y2245" s="8">
        <v>0.22663802363050484</v>
      </c>
      <c r="Z2245" t="s">
        <v>2995</v>
      </c>
      <c r="AA2245" t="str">
        <f>IF(AND(SalesCleanTable[[#This Row],[Discount %]]&gt;0, SalesCleanTable[[#This Row],[Profit]]&lt;0), "Discount loss", "Safe")</f>
        <v>Safe</v>
      </c>
      <c r="AB2245" s="25">
        <f>(SalesCleanTable[[#This Row],[Unit Price]] - SalesCleanTable[[#This Row],[Unit Cost]]) / SalesCleanTable[[#This Row],[Unit Price]]</f>
        <v>0.26530612244897961</v>
      </c>
      <c r="AC2245" t="str">
        <f>IF(SalesCleanTable[[#This Row],[Discount %]] &gt; SalesCleanTable[[#This Row],[Max Allowed Discount]], "Discount loss", "Safe")</f>
        <v>Safe</v>
      </c>
      <c r="AD2245" s="4">
        <f>SalesCleanTable[[#This Row],[Unit Price]] - SalesCleanTable[[#This Row],[Unit Cost]]</f>
        <v>6500</v>
      </c>
      <c r="AE2245" s="41">
        <f>(SalesCleanTable[[#This Row],[Unit Price]] - SalesCleanTable[[#This Row],[Unit Cost]]) / SalesCleanTable[[#This Row],[Unit Price]]</f>
        <v>0.26530612244897961</v>
      </c>
    </row>
    <row r="2246" spans="1:31">
      <c r="A2246" t="s">
        <v>2432</v>
      </c>
      <c r="B2246" s="6">
        <v>45998</v>
      </c>
      <c r="C2246" t="s">
        <v>82</v>
      </c>
      <c r="D2246" t="s">
        <v>83</v>
      </c>
      <c r="E2246" t="s">
        <v>75</v>
      </c>
      <c r="F2246" t="s">
        <v>84</v>
      </c>
      <c r="G2246" t="s">
        <v>85</v>
      </c>
      <c r="H2246" t="s">
        <v>128</v>
      </c>
      <c r="I2246" t="s">
        <v>129</v>
      </c>
      <c r="J2246" t="s">
        <v>130</v>
      </c>
      <c r="K2246" t="s">
        <v>131</v>
      </c>
      <c r="L2246" t="s">
        <v>183</v>
      </c>
      <c r="M2246" t="s">
        <v>177</v>
      </c>
      <c r="N2246">
        <v>8</v>
      </c>
      <c r="O2246" s="4">
        <v>600</v>
      </c>
      <c r="P2246" s="4">
        <v>950</v>
      </c>
      <c r="Q2246" s="7">
        <v>0.15</v>
      </c>
      <c r="R2246" t="s">
        <v>187</v>
      </c>
      <c r="S2246">
        <v>6</v>
      </c>
      <c r="T2246">
        <v>7600</v>
      </c>
      <c r="U2246">
        <v>1140</v>
      </c>
      <c r="V2246">
        <v>6460</v>
      </c>
      <c r="W2246">
        <v>4800</v>
      </c>
      <c r="X2246">
        <v>1660</v>
      </c>
      <c r="Y2246" s="8">
        <v>0.25696594427244585</v>
      </c>
      <c r="Z2246" t="s">
        <v>2996</v>
      </c>
      <c r="AA2246" t="str">
        <f>IF(AND(SalesCleanTable[[#This Row],[Discount %]]&gt;0, SalesCleanTable[[#This Row],[Profit]]&lt;0), "Discount loss", "Safe")</f>
        <v>Safe</v>
      </c>
      <c r="AB2246" s="25">
        <f>(SalesCleanTable[[#This Row],[Unit Price]] - SalesCleanTable[[#This Row],[Unit Cost]]) / SalesCleanTable[[#This Row],[Unit Price]]</f>
        <v>0.36842105263157893</v>
      </c>
      <c r="AC2246" t="str">
        <f>IF(SalesCleanTable[[#This Row],[Discount %]] &gt; SalesCleanTable[[#This Row],[Max Allowed Discount]], "Discount loss", "Safe")</f>
        <v>Safe</v>
      </c>
      <c r="AD2246" s="4">
        <f>SalesCleanTable[[#This Row],[Unit Price]] - SalesCleanTable[[#This Row],[Unit Cost]]</f>
        <v>350</v>
      </c>
      <c r="AE2246" s="41">
        <f>(SalesCleanTable[[#This Row],[Unit Price]] - SalesCleanTable[[#This Row],[Unit Cost]]) / SalesCleanTable[[#This Row],[Unit Price]]</f>
        <v>0.36842105263157893</v>
      </c>
    </row>
    <row r="2247" spans="1:31">
      <c r="A2247" t="s">
        <v>2433</v>
      </c>
      <c r="B2247" s="6">
        <v>45811</v>
      </c>
      <c r="C2247" t="s">
        <v>103</v>
      </c>
      <c r="D2247" t="s">
        <v>104</v>
      </c>
      <c r="E2247" t="s">
        <v>92</v>
      </c>
      <c r="F2247" t="s">
        <v>105</v>
      </c>
      <c r="G2247" t="s">
        <v>106</v>
      </c>
      <c r="H2247" t="s">
        <v>133</v>
      </c>
      <c r="I2247" t="s">
        <v>134</v>
      </c>
      <c r="J2247" t="s">
        <v>130</v>
      </c>
      <c r="K2247" t="s">
        <v>131</v>
      </c>
      <c r="L2247" t="s">
        <v>166</v>
      </c>
      <c r="M2247" t="s">
        <v>177</v>
      </c>
      <c r="N2247">
        <v>1</v>
      </c>
      <c r="O2247" s="4">
        <v>1500</v>
      </c>
      <c r="P2247" s="4">
        <v>2500</v>
      </c>
      <c r="Q2247" s="7">
        <v>0</v>
      </c>
      <c r="R2247" t="s">
        <v>181</v>
      </c>
      <c r="S2247">
        <v>3</v>
      </c>
      <c r="T2247">
        <v>2500</v>
      </c>
      <c r="U2247">
        <v>0</v>
      </c>
      <c r="V2247">
        <v>2500</v>
      </c>
      <c r="W2247">
        <v>1500</v>
      </c>
      <c r="X2247">
        <v>1000</v>
      </c>
      <c r="Y2247" s="8">
        <v>0.4</v>
      </c>
      <c r="Z2247" t="s">
        <v>2996</v>
      </c>
      <c r="AA2247" t="str">
        <f>IF(AND(SalesCleanTable[[#This Row],[Discount %]]&gt;0, SalesCleanTable[[#This Row],[Profit]]&lt;0), "Discount loss", "Safe")</f>
        <v>Safe</v>
      </c>
      <c r="AB2247" s="25">
        <f>(SalesCleanTable[[#This Row],[Unit Price]] - SalesCleanTable[[#This Row],[Unit Cost]]) / SalesCleanTable[[#This Row],[Unit Price]]</f>
        <v>0.4</v>
      </c>
      <c r="AC2247" t="str">
        <f>IF(SalesCleanTable[[#This Row],[Discount %]] &gt; SalesCleanTable[[#This Row],[Max Allowed Discount]], "Discount loss", "Safe")</f>
        <v>Safe</v>
      </c>
      <c r="AD2247" s="4">
        <f>SalesCleanTable[[#This Row],[Unit Price]] - SalesCleanTable[[#This Row],[Unit Cost]]</f>
        <v>1000</v>
      </c>
      <c r="AE2247" s="41">
        <f>(SalesCleanTable[[#This Row],[Unit Price]] - SalesCleanTable[[#This Row],[Unit Cost]]) / SalesCleanTable[[#This Row],[Unit Price]]</f>
        <v>0.4</v>
      </c>
    </row>
    <row r="2248" spans="1:31">
      <c r="A2248" t="s">
        <v>2434</v>
      </c>
      <c r="B2248" s="6">
        <v>45836</v>
      </c>
      <c r="C2248" t="s">
        <v>116</v>
      </c>
      <c r="D2248" t="s">
        <v>117</v>
      </c>
      <c r="E2248" t="s">
        <v>109</v>
      </c>
      <c r="F2248" t="s">
        <v>118</v>
      </c>
      <c r="G2248" t="s">
        <v>119</v>
      </c>
      <c r="H2248" t="s">
        <v>135</v>
      </c>
      <c r="I2248" t="s">
        <v>136</v>
      </c>
      <c r="J2248" t="s">
        <v>137</v>
      </c>
      <c r="K2248" t="s">
        <v>138</v>
      </c>
      <c r="L2248" t="s">
        <v>166</v>
      </c>
      <c r="M2248" t="s">
        <v>177</v>
      </c>
      <c r="N2248">
        <v>1</v>
      </c>
      <c r="O2248" s="4">
        <v>2800</v>
      </c>
      <c r="P2248" s="4">
        <v>4200</v>
      </c>
      <c r="Q2248" s="7">
        <v>0.2</v>
      </c>
      <c r="R2248" t="s">
        <v>235</v>
      </c>
      <c r="S2248">
        <v>13</v>
      </c>
      <c r="T2248">
        <v>4200</v>
      </c>
      <c r="U2248">
        <v>840</v>
      </c>
      <c r="V2248">
        <v>3360</v>
      </c>
      <c r="W2248">
        <v>2800</v>
      </c>
      <c r="X2248">
        <v>560</v>
      </c>
      <c r="Y2248" s="8">
        <v>0.16666666666666666</v>
      </c>
      <c r="Z2248" t="s">
        <v>2995</v>
      </c>
      <c r="AA2248" t="str">
        <f>IF(AND(SalesCleanTable[[#This Row],[Discount %]]&gt;0, SalesCleanTable[[#This Row],[Profit]]&lt;0), "Discount loss", "Safe")</f>
        <v>Safe</v>
      </c>
      <c r="AB2248" s="25">
        <f>(SalesCleanTable[[#This Row],[Unit Price]] - SalesCleanTable[[#This Row],[Unit Cost]]) / SalesCleanTable[[#This Row],[Unit Price]]</f>
        <v>0.33333333333333331</v>
      </c>
      <c r="AC2248" t="str">
        <f>IF(SalesCleanTable[[#This Row],[Discount %]] &gt; SalesCleanTable[[#This Row],[Max Allowed Discount]], "Discount loss", "Safe")</f>
        <v>Safe</v>
      </c>
      <c r="AD2248" s="4">
        <f>SalesCleanTable[[#This Row],[Unit Price]] - SalesCleanTable[[#This Row],[Unit Cost]]</f>
        <v>1400</v>
      </c>
      <c r="AE2248" s="41">
        <f>(SalesCleanTable[[#This Row],[Unit Price]] - SalesCleanTable[[#This Row],[Unit Cost]]) / SalesCleanTable[[#This Row],[Unit Price]]</f>
        <v>0.33333333333333331</v>
      </c>
    </row>
    <row r="2249" spans="1:31">
      <c r="A2249" t="s">
        <v>2435</v>
      </c>
      <c r="B2249" s="6">
        <v>45991</v>
      </c>
      <c r="C2249" t="s">
        <v>95</v>
      </c>
      <c r="D2249" t="s">
        <v>96</v>
      </c>
      <c r="E2249" t="s">
        <v>92</v>
      </c>
      <c r="F2249" t="s">
        <v>97</v>
      </c>
      <c r="G2249" t="s">
        <v>98</v>
      </c>
      <c r="H2249" t="s">
        <v>135</v>
      </c>
      <c r="I2249" t="s">
        <v>136</v>
      </c>
      <c r="J2249" t="s">
        <v>137</v>
      </c>
      <c r="K2249" t="s">
        <v>138</v>
      </c>
      <c r="L2249" t="s">
        <v>183</v>
      </c>
      <c r="M2249" t="s">
        <v>167</v>
      </c>
      <c r="N2249">
        <v>10</v>
      </c>
      <c r="O2249" s="4">
        <v>18000</v>
      </c>
      <c r="P2249" s="4">
        <v>24500</v>
      </c>
      <c r="Q2249" s="7">
        <v>0</v>
      </c>
      <c r="R2249" t="s">
        <v>217</v>
      </c>
      <c r="S2249">
        <v>5</v>
      </c>
      <c r="T2249">
        <v>245000</v>
      </c>
      <c r="U2249">
        <v>0</v>
      </c>
      <c r="V2249">
        <v>245000</v>
      </c>
      <c r="W2249">
        <v>180000</v>
      </c>
      <c r="X2249">
        <v>65000</v>
      </c>
      <c r="Y2249" s="8">
        <v>0.26530612244897961</v>
      </c>
      <c r="Z2249" t="s">
        <v>2995</v>
      </c>
      <c r="AA2249" t="str">
        <f>IF(AND(SalesCleanTable[[#This Row],[Discount %]]&gt;0, SalesCleanTable[[#This Row],[Profit]]&lt;0), "Discount loss", "Safe")</f>
        <v>Safe</v>
      </c>
      <c r="AB2249" s="25">
        <f>(SalesCleanTable[[#This Row],[Unit Price]] - SalesCleanTable[[#This Row],[Unit Cost]]) / SalesCleanTable[[#This Row],[Unit Price]]</f>
        <v>0.26530612244897961</v>
      </c>
      <c r="AC2249" t="str">
        <f>IF(SalesCleanTable[[#This Row],[Discount %]] &gt; SalesCleanTable[[#This Row],[Max Allowed Discount]], "Discount loss", "Safe")</f>
        <v>Safe</v>
      </c>
      <c r="AD2249" s="4">
        <f>SalesCleanTable[[#This Row],[Unit Price]] - SalesCleanTable[[#This Row],[Unit Cost]]</f>
        <v>6500</v>
      </c>
      <c r="AE2249" s="41">
        <f>(SalesCleanTable[[#This Row],[Unit Price]] - SalesCleanTable[[#This Row],[Unit Cost]]) / SalesCleanTable[[#This Row],[Unit Price]]</f>
        <v>0.26530612244897961</v>
      </c>
    </row>
    <row r="2250" spans="1:31">
      <c r="A2250" t="s">
        <v>2436</v>
      </c>
      <c r="B2250" s="6">
        <v>46007</v>
      </c>
      <c r="C2250" t="s">
        <v>107</v>
      </c>
      <c r="D2250" t="s">
        <v>108</v>
      </c>
      <c r="E2250" t="s">
        <v>109</v>
      </c>
      <c r="F2250" t="s">
        <v>110</v>
      </c>
      <c r="G2250" t="s">
        <v>111</v>
      </c>
      <c r="H2250" t="s">
        <v>133</v>
      </c>
      <c r="I2250" t="s">
        <v>134</v>
      </c>
      <c r="J2250" t="s">
        <v>130</v>
      </c>
      <c r="K2250" t="s">
        <v>131</v>
      </c>
      <c r="L2250" t="s">
        <v>166</v>
      </c>
      <c r="M2250" t="s">
        <v>171</v>
      </c>
      <c r="N2250">
        <v>2</v>
      </c>
      <c r="O2250" s="4">
        <v>5200</v>
      </c>
      <c r="P2250" s="4">
        <v>7000</v>
      </c>
      <c r="Q2250" s="7">
        <v>0.15</v>
      </c>
      <c r="R2250" t="s">
        <v>184</v>
      </c>
      <c r="S2250">
        <v>13</v>
      </c>
      <c r="T2250">
        <v>14000</v>
      </c>
      <c r="U2250">
        <v>2100</v>
      </c>
      <c r="V2250">
        <v>11900</v>
      </c>
      <c r="W2250">
        <v>10400</v>
      </c>
      <c r="X2250">
        <v>1500</v>
      </c>
      <c r="Y2250" s="8">
        <v>0.12605042016806722</v>
      </c>
      <c r="Z2250" t="s">
        <v>2997</v>
      </c>
      <c r="AA2250" t="str">
        <f>IF(AND(SalesCleanTable[[#This Row],[Discount %]]&gt;0, SalesCleanTable[[#This Row],[Profit]]&lt;0), "Discount loss", "Safe")</f>
        <v>Safe</v>
      </c>
      <c r="AB2250" s="25">
        <f>(SalesCleanTable[[#This Row],[Unit Price]] - SalesCleanTable[[#This Row],[Unit Cost]]) / SalesCleanTable[[#This Row],[Unit Price]]</f>
        <v>0.25714285714285712</v>
      </c>
      <c r="AC2250" t="str">
        <f>IF(SalesCleanTable[[#This Row],[Discount %]] &gt; SalesCleanTable[[#This Row],[Max Allowed Discount]], "Discount loss", "Safe")</f>
        <v>Safe</v>
      </c>
      <c r="AD2250" s="4">
        <f>SalesCleanTable[[#This Row],[Unit Price]] - SalesCleanTable[[#This Row],[Unit Cost]]</f>
        <v>1800</v>
      </c>
      <c r="AE2250" s="41">
        <f>(SalesCleanTable[[#This Row],[Unit Price]] - SalesCleanTable[[#This Row],[Unit Cost]]) / SalesCleanTable[[#This Row],[Unit Price]]</f>
        <v>0.25714285714285712</v>
      </c>
    </row>
    <row r="2251" spans="1:31">
      <c r="A2251" t="s">
        <v>2437</v>
      </c>
      <c r="B2251" s="6">
        <v>45757</v>
      </c>
      <c r="C2251" t="s">
        <v>82</v>
      </c>
      <c r="D2251" t="s">
        <v>83</v>
      </c>
      <c r="E2251" t="s">
        <v>75</v>
      </c>
      <c r="F2251" t="s">
        <v>84</v>
      </c>
      <c r="G2251" t="s">
        <v>85</v>
      </c>
      <c r="H2251" t="s">
        <v>133</v>
      </c>
      <c r="I2251" t="s">
        <v>134</v>
      </c>
      <c r="J2251" t="s">
        <v>130</v>
      </c>
      <c r="K2251" t="s">
        <v>131</v>
      </c>
      <c r="L2251" t="s">
        <v>166</v>
      </c>
      <c r="M2251" t="s">
        <v>171</v>
      </c>
      <c r="N2251">
        <v>6</v>
      </c>
      <c r="O2251" s="4">
        <v>600</v>
      </c>
      <c r="P2251" s="4">
        <v>950</v>
      </c>
      <c r="Q2251" s="7">
        <v>0</v>
      </c>
      <c r="R2251" t="s">
        <v>204</v>
      </c>
      <c r="S2251">
        <v>7</v>
      </c>
      <c r="T2251">
        <v>5700</v>
      </c>
      <c r="U2251">
        <v>0</v>
      </c>
      <c r="V2251">
        <v>5700</v>
      </c>
      <c r="W2251">
        <v>3600</v>
      </c>
      <c r="X2251">
        <v>2100</v>
      </c>
      <c r="Y2251" s="8">
        <v>0.36842105263157893</v>
      </c>
      <c r="Z2251" t="s">
        <v>2996</v>
      </c>
      <c r="AA2251" t="str">
        <f>IF(AND(SalesCleanTable[[#This Row],[Discount %]]&gt;0, SalesCleanTable[[#This Row],[Profit]]&lt;0), "Discount loss", "Safe")</f>
        <v>Safe</v>
      </c>
      <c r="AB2251" s="25">
        <f>(SalesCleanTable[[#This Row],[Unit Price]] - SalesCleanTable[[#This Row],[Unit Cost]]) / SalesCleanTable[[#This Row],[Unit Price]]</f>
        <v>0.36842105263157893</v>
      </c>
      <c r="AC2251" t="str">
        <f>IF(SalesCleanTable[[#This Row],[Discount %]] &gt; SalesCleanTable[[#This Row],[Max Allowed Discount]], "Discount loss", "Safe")</f>
        <v>Safe</v>
      </c>
      <c r="AD2251" s="4">
        <f>SalesCleanTable[[#This Row],[Unit Price]] - SalesCleanTable[[#This Row],[Unit Cost]]</f>
        <v>350</v>
      </c>
      <c r="AE2251" s="41">
        <f>(SalesCleanTable[[#This Row],[Unit Price]] - SalesCleanTable[[#This Row],[Unit Cost]]) / SalesCleanTable[[#This Row],[Unit Price]]</f>
        <v>0.36842105263157893</v>
      </c>
    </row>
    <row r="2252" spans="1:31">
      <c r="A2252" t="s">
        <v>2438</v>
      </c>
      <c r="B2252" s="6">
        <v>45933</v>
      </c>
      <c r="C2252" t="s">
        <v>24</v>
      </c>
      <c r="D2252" t="s">
        <v>25</v>
      </c>
      <c r="E2252" t="s">
        <v>26</v>
      </c>
      <c r="F2252" t="s">
        <v>27</v>
      </c>
      <c r="G2252" t="s">
        <v>28</v>
      </c>
      <c r="H2252" t="s">
        <v>139</v>
      </c>
      <c r="I2252" t="s">
        <v>140</v>
      </c>
      <c r="J2252" t="s">
        <v>137</v>
      </c>
      <c r="K2252" t="s">
        <v>138</v>
      </c>
      <c r="L2252" t="s">
        <v>166</v>
      </c>
      <c r="M2252" t="s">
        <v>177</v>
      </c>
      <c r="N2252">
        <v>4</v>
      </c>
      <c r="O2252" s="4">
        <v>14500</v>
      </c>
      <c r="P2252" s="4">
        <v>17500</v>
      </c>
      <c r="Q2252" s="7">
        <v>0.2</v>
      </c>
      <c r="R2252" t="s">
        <v>194</v>
      </c>
      <c r="S2252">
        <v>13</v>
      </c>
      <c r="T2252">
        <v>70000</v>
      </c>
      <c r="U2252">
        <v>14000</v>
      </c>
      <c r="V2252">
        <v>56000</v>
      </c>
      <c r="W2252">
        <v>58000</v>
      </c>
      <c r="X2252">
        <v>-2000</v>
      </c>
      <c r="Y2252" s="8">
        <v>-3.5714285714285712E-2</v>
      </c>
      <c r="Z2252" t="s">
        <v>2995</v>
      </c>
      <c r="AA2252" t="str">
        <f>IF(AND(SalesCleanTable[[#This Row],[Discount %]]&gt;0, SalesCleanTable[[#This Row],[Profit]]&lt;0), "Discount loss", "Safe")</f>
        <v>Discount loss</v>
      </c>
      <c r="AB2252" s="25">
        <f>(SalesCleanTable[[#This Row],[Unit Price]] - SalesCleanTable[[#This Row],[Unit Cost]]) / SalesCleanTable[[#This Row],[Unit Price]]</f>
        <v>0.17142857142857143</v>
      </c>
      <c r="AC2252" t="str">
        <f>IF(SalesCleanTable[[#This Row],[Discount %]] &gt; SalesCleanTable[[#This Row],[Max Allowed Discount]], "Discount loss", "Safe")</f>
        <v>Discount loss</v>
      </c>
      <c r="AD2252" s="4">
        <f>SalesCleanTable[[#This Row],[Unit Price]] - SalesCleanTable[[#This Row],[Unit Cost]]</f>
        <v>3000</v>
      </c>
      <c r="AE2252" s="41">
        <f>(SalesCleanTable[[#This Row],[Unit Price]] - SalesCleanTable[[#This Row],[Unit Cost]]) / SalesCleanTable[[#This Row],[Unit Price]]</f>
        <v>0.17142857142857143</v>
      </c>
    </row>
    <row r="2253" spans="1:31">
      <c r="A2253" t="s">
        <v>2439</v>
      </c>
      <c r="B2253" s="6">
        <v>45740</v>
      </c>
      <c r="C2253" t="s">
        <v>103</v>
      </c>
      <c r="D2253" t="s">
        <v>104</v>
      </c>
      <c r="E2253" t="s">
        <v>92</v>
      </c>
      <c r="F2253" t="s">
        <v>105</v>
      </c>
      <c r="G2253" t="s">
        <v>106</v>
      </c>
      <c r="H2253" t="s">
        <v>128</v>
      </c>
      <c r="I2253" t="s">
        <v>129</v>
      </c>
      <c r="J2253" t="s">
        <v>130</v>
      </c>
      <c r="K2253" t="s">
        <v>131</v>
      </c>
      <c r="L2253" t="s">
        <v>166</v>
      </c>
      <c r="M2253" t="s">
        <v>171</v>
      </c>
      <c r="N2253">
        <v>5</v>
      </c>
      <c r="O2253" s="4">
        <v>1500</v>
      </c>
      <c r="P2253" s="4">
        <v>2500</v>
      </c>
      <c r="Q2253" s="7">
        <v>0.1</v>
      </c>
      <c r="R2253" t="s">
        <v>215</v>
      </c>
      <c r="S2253">
        <v>10</v>
      </c>
      <c r="T2253">
        <v>12500</v>
      </c>
      <c r="U2253">
        <v>1250</v>
      </c>
      <c r="V2253">
        <v>11250</v>
      </c>
      <c r="W2253">
        <v>7500</v>
      </c>
      <c r="X2253">
        <v>3750</v>
      </c>
      <c r="Y2253" s="8">
        <v>0.33333333333333331</v>
      </c>
      <c r="Z2253" t="s">
        <v>2996</v>
      </c>
      <c r="AA2253" t="str">
        <f>IF(AND(SalesCleanTable[[#This Row],[Discount %]]&gt;0, SalesCleanTable[[#This Row],[Profit]]&lt;0), "Discount loss", "Safe")</f>
        <v>Safe</v>
      </c>
      <c r="AB2253" s="25">
        <f>(SalesCleanTable[[#This Row],[Unit Price]] - SalesCleanTable[[#This Row],[Unit Cost]]) / SalesCleanTable[[#This Row],[Unit Price]]</f>
        <v>0.4</v>
      </c>
      <c r="AC2253" t="str">
        <f>IF(SalesCleanTable[[#This Row],[Discount %]] &gt; SalesCleanTable[[#This Row],[Max Allowed Discount]], "Discount loss", "Safe")</f>
        <v>Safe</v>
      </c>
      <c r="AD2253" s="4">
        <f>SalesCleanTable[[#This Row],[Unit Price]] - SalesCleanTable[[#This Row],[Unit Cost]]</f>
        <v>1000</v>
      </c>
      <c r="AE2253" s="41">
        <f>(SalesCleanTable[[#This Row],[Unit Price]] - SalesCleanTable[[#This Row],[Unit Cost]]) / SalesCleanTable[[#This Row],[Unit Price]]</f>
        <v>0.4</v>
      </c>
    </row>
    <row r="2254" spans="1:31">
      <c r="A2254" t="s">
        <v>2440</v>
      </c>
      <c r="B2254" s="6">
        <v>45686</v>
      </c>
      <c r="C2254" t="s">
        <v>32</v>
      </c>
      <c r="D2254" t="s">
        <v>33</v>
      </c>
      <c r="E2254" t="s">
        <v>26</v>
      </c>
      <c r="F2254" t="s">
        <v>34</v>
      </c>
      <c r="G2254" t="s">
        <v>35</v>
      </c>
      <c r="H2254" t="s">
        <v>133</v>
      </c>
      <c r="I2254" t="s">
        <v>134</v>
      </c>
      <c r="J2254" t="s">
        <v>130</v>
      </c>
      <c r="K2254" t="s">
        <v>131</v>
      </c>
      <c r="L2254" t="s">
        <v>166</v>
      </c>
      <c r="M2254" t="s">
        <v>167</v>
      </c>
      <c r="N2254">
        <v>3</v>
      </c>
      <c r="O2254" s="4">
        <v>7800</v>
      </c>
      <c r="P2254" s="4">
        <v>9800</v>
      </c>
      <c r="Q2254" s="7">
        <v>0</v>
      </c>
      <c r="R2254" t="s">
        <v>194</v>
      </c>
      <c r="S2254">
        <v>5</v>
      </c>
      <c r="T2254">
        <v>29400</v>
      </c>
      <c r="U2254">
        <v>0</v>
      </c>
      <c r="V2254">
        <v>29400</v>
      </c>
      <c r="W2254">
        <v>23400</v>
      </c>
      <c r="X2254">
        <v>6000</v>
      </c>
      <c r="Y2254" s="8">
        <v>0.20408163265306123</v>
      </c>
      <c r="Z2254" t="s">
        <v>2995</v>
      </c>
      <c r="AA2254" t="str">
        <f>IF(AND(SalesCleanTable[[#This Row],[Discount %]]&gt;0, SalesCleanTable[[#This Row],[Profit]]&lt;0), "Discount loss", "Safe")</f>
        <v>Safe</v>
      </c>
      <c r="AB2254" s="25">
        <f>(SalesCleanTable[[#This Row],[Unit Price]] - SalesCleanTable[[#This Row],[Unit Cost]]) / SalesCleanTable[[#This Row],[Unit Price]]</f>
        <v>0.20408163265306123</v>
      </c>
      <c r="AC2254" t="str">
        <f>IF(SalesCleanTable[[#This Row],[Discount %]] &gt; SalesCleanTable[[#This Row],[Max Allowed Discount]], "Discount loss", "Safe")</f>
        <v>Safe</v>
      </c>
      <c r="AD2254" s="4">
        <f>SalesCleanTable[[#This Row],[Unit Price]] - SalesCleanTable[[#This Row],[Unit Cost]]</f>
        <v>2000</v>
      </c>
      <c r="AE2254" s="41">
        <f>(SalesCleanTable[[#This Row],[Unit Price]] - SalesCleanTable[[#This Row],[Unit Cost]]) / SalesCleanTable[[#This Row],[Unit Price]]</f>
        <v>0.20408163265306123</v>
      </c>
    </row>
    <row r="2255" spans="1:31">
      <c r="A2255" t="s">
        <v>2441</v>
      </c>
      <c r="B2255" s="6">
        <v>45665</v>
      </c>
      <c r="C2255" t="s">
        <v>49</v>
      </c>
      <c r="D2255" t="s">
        <v>50</v>
      </c>
      <c r="E2255" t="s">
        <v>38</v>
      </c>
      <c r="F2255" t="s">
        <v>51</v>
      </c>
      <c r="G2255" t="s">
        <v>52</v>
      </c>
      <c r="H2255" t="s">
        <v>139</v>
      </c>
      <c r="I2255" t="s">
        <v>140</v>
      </c>
      <c r="J2255" t="s">
        <v>137</v>
      </c>
      <c r="K2255" t="s">
        <v>138</v>
      </c>
      <c r="L2255" t="s">
        <v>166</v>
      </c>
      <c r="M2255" t="s">
        <v>171</v>
      </c>
      <c r="N2255">
        <v>6</v>
      </c>
      <c r="O2255" s="4">
        <v>550</v>
      </c>
      <c r="P2255" s="4">
        <v>850</v>
      </c>
      <c r="Q2255" s="7">
        <v>0.1</v>
      </c>
      <c r="R2255" t="s">
        <v>175</v>
      </c>
      <c r="S2255">
        <v>10</v>
      </c>
      <c r="T2255">
        <v>5100</v>
      </c>
      <c r="U2255">
        <v>510</v>
      </c>
      <c r="V2255">
        <v>4590</v>
      </c>
      <c r="W2255">
        <v>3300</v>
      </c>
      <c r="X2255">
        <v>1290</v>
      </c>
      <c r="Y2255" s="8">
        <v>0.28104575163398693</v>
      </c>
      <c r="Z2255" t="s">
        <v>2996</v>
      </c>
      <c r="AA2255" t="str">
        <f>IF(AND(SalesCleanTable[[#This Row],[Discount %]]&gt;0, SalesCleanTable[[#This Row],[Profit]]&lt;0), "Discount loss", "Safe")</f>
        <v>Safe</v>
      </c>
      <c r="AB2255" s="25">
        <f>(SalesCleanTable[[#This Row],[Unit Price]] - SalesCleanTable[[#This Row],[Unit Cost]]) / SalesCleanTable[[#This Row],[Unit Price]]</f>
        <v>0.35294117647058826</v>
      </c>
      <c r="AC2255" t="str">
        <f>IF(SalesCleanTable[[#This Row],[Discount %]] &gt; SalesCleanTable[[#This Row],[Max Allowed Discount]], "Discount loss", "Safe")</f>
        <v>Safe</v>
      </c>
      <c r="AD2255" s="4">
        <f>SalesCleanTable[[#This Row],[Unit Price]] - SalesCleanTable[[#This Row],[Unit Cost]]</f>
        <v>300</v>
      </c>
      <c r="AE2255" s="41">
        <f>(SalesCleanTable[[#This Row],[Unit Price]] - SalesCleanTable[[#This Row],[Unit Cost]]) / SalesCleanTable[[#This Row],[Unit Price]]</f>
        <v>0.35294117647058826</v>
      </c>
    </row>
    <row r="2256" spans="1:31">
      <c r="A2256" t="s">
        <v>2442</v>
      </c>
      <c r="B2256" s="6">
        <v>45708</v>
      </c>
      <c r="C2256" t="s">
        <v>66</v>
      </c>
      <c r="D2256" t="s">
        <v>67</v>
      </c>
      <c r="E2256" t="s">
        <v>59</v>
      </c>
      <c r="F2256" t="s">
        <v>60</v>
      </c>
      <c r="G2256" t="s">
        <v>68</v>
      </c>
      <c r="H2256" t="s">
        <v>133</v>
      </c>
      <c r="I2256" t="s">
        <v>134</v>
      </c>
      <c r="J2256" t="s">
        <v>130</v>
      </c>
      <c r="K2256" t="s">
        <v>131</v>
      </c>
      <c r="L2256" t="s">
        <v>166</v>
      </c>
      <c r="M2256" t="s">
        <v>186</v>
      </c>
      <c r="N2256">
        <v>2</v>
      </c>
      <c r="O2256" s="4">
        <v>2800</v>
      </c>
      <c r="P2256" s="4">
        <v>3900</v>
      </c>
      <c r="Q2256" s="7">
        <v>0.1</v>
      </c>
      <c r="R2256" t="s">
        <v>173</v>
      </c>
      <c r="S2256">
        <v>7</v>
      </c>
      <c r="T2256">
        <v>7800</v>
      </c>
      <c r="U2256">
        <v>780</v>
      </c>
      <c r="V2256">
        <v>7020</v>
      </c>
      <c r="W2256">
        <v>5600</v>
      </c>
      <c r="X2256">
        <v>1420</v>
      </c>
      <c r="Y2256" s="8">
        <v>0.20227920227920229</v>
      </c>
      <c r="Z2256" t="s">
        <v>2996</v>
      </c>
      <c r="AA2256" t="str">
        <f>IF(AND(SalesCleanTable[[#This Row],[Discount %]]&gt;0, SalesCleanTable[[#This Row],[Profit]]&lt;0), "Discount loss", "Safe")</f>
        <v>Safe</v>
      </c>
      <c r="AB2256" s="25">
        <f>(SalesCleanTable[[#This Row],[Unit Price]] - SalesCleanTable[[#This Row],[Unit Cost]]) / SalesCleanTable[[#This Row],[Unit Price]]</f>
        <v>0.28205128205128205</v>
      </c>
      <c r="AC2256" t="str">
        <f>IF(SalesCleanTable[[#This Row],[Discount %]] &gt; SalesCleanTable[[#This Row],[Max Allowed Discount]], "Discount loss", "Safe")</f>
        <v>Safe</v>
      </c>
      <c r="AD2256" s="4">
        <f>SalesCleanTable[[#This Row],[Unit Price]] - SalesCleanTable[[#This Row],[Unit Cost]]</f>
        <v>1100</v>
      </c>
      <c r="AE2256" s="41">
        <f>(SalesCleanTable[[#This Row],[Unit Price]] - SalesCleanTable[[#This Row],[Unit Cost]]) / SalesCleanTable[[#This Row],[Unit Price]]</f>
        <v>0.28205128205128205</v>
      </c>
    </row>
    <row r="2257" spans="1:31">
      <c r="A2257" t="s">
        <v>2443</v>
      </c>
      <c r="B2257" s="6">
        <v>45874</v>
      </c>
      <c r="C2257" t="s">
        <v>103</v>
      </c>
      <c r="D2257" t="s">
        <v>104</v>
      </c>
      <c r="E2257" t="s">
        <v>92</v>
      </c>
      <c r="F2257" t="s">
        <v>105</v>
      </c>
      <c r="G2257" t="s">
        <v>106</v>
      </c>
      <c r="H2257" t="s">
        <v>135</v>
      </c>
      <c r="I2257" t="s">
        <v>136</v>
      </c>
      <c r="J2257" t="s">
        <v>137</v>
      </c>
      <c r="K2257" t="s">
        <v>138</v>
      </c>
      <c r="L2257" t="s">
        <v>166</v>
      </c>
      <c r="M2257" t="s">
        <v>171</v>
      </c>
      <c r="N2257">
        <v>2</v>
      </c>
      <c r="O2257" s="4">
        <v>1500</v>
      </c>
      <c r="P2257" s="4">
        <v>2500</v>
      </c>
      <c r="Q2257" s="7">
        <v>0.1</v>
      </c>
      <c r="R2257" t="s">
        <v>217</v>
      </c>
      <c r="S2257">
        <v>7</v>
      </c>
      <c r="T2257">
        <v>5000</v>
      </c>
      <c r="U2257">
        <v>500</v>
      </c>
      <c r="V2257">
        <v>4500</v>
      </c>
      <c r="W2257">
        <v>3000</v>
      </c>
      <c r="X2257">
        <v>1500</v>
      </c>
      <c r="Y2257" s="8">
        <v>0.33333333333333331</v>
      </c>
      <c r="Z2257" t="s">
        <v>2996</v>
      </c>
      <c r="AA2257" t="str">
        <f>IF(AND(SalesCleanTable[[#This Row],[Discount %]]&gt;0, SalesCleanTable[[#This Row],[Profit]]&lt;0), "Discount loss", "Safe")</f>
        <v>Safe</v>
      </c>
      <c r="AB2257" s="25">
        <f>(SalesCleanTable[[#This Row],[Unit Price]] - SalesCleanTable[[#This Row],[Unit Cost]]) / SalesCleanTable[[#This Row],[Unit Price]]</f>
        <v>0.4</v>
      </c>
      <c r="AC2257" t="str">
        <f>IF(SalesCleanTable[[#This Row],[Discount %]] &gt; SalesCleanTable[[#This Row],[Max Allowed Discount]], "Discount loss", "Safe")</f>
        <v>Safe</v>
      </c>
      <c r="AD2257" s="4">
        <f>SalesCleanTable[[#This Row],[Unit Price]] - SalesCleanTable[[#This Row],[Unit Cost]]</f>
        <v>1000</v>
      </c>
      <c r="AE2257" s="41">
        <f>(SalesCleanTable[[#This Row],[Unit Price]] - SalesCleanTable[[#This Row],[Unit Cost]]) / SalesCleanTable[[#This Row],[Unit Price]]</f>
        <v>0.4</v>
      </c>
    </row>
    <row r="2258" spans="1:31">
      <c r="A2258" t="s">
        <v>2444</v>
      </c>
      <c r="B2258" s="6">
        <v>45730</v>
      </c>
      <c r="C2258" t="s">
        <v>82</v>
      </c>
      <c r="D2258" t="s">
        <v>83</v>
      </c>
      <c r="E2258" t="s">
        <v>75</v>
      </c>
      <c r="F2258" t="s">
        <v>84</v>
      </c>
      <c r="G2258" t="s">
        <v>85</v>
      </c>
      <c r="H2258" t="s">
        <v>149</v>
      </c>
      <c r="I2258" t="s">
        <v>150</v>
      </c>
      <c r="J2258" t="s">
        <v>151</v>
      </c>
      <c r="K2258" t="s">
        <v>152</v>
      </c>
      <c r="L2258" t="s">
        <v>183</v>
      </c>
      <c r="M2258" t="s">
        <v>177</v>
      </c>
      <c r="N2258">
        <v>2</v>
      </c>
      <c r="O2258" s="4">
        <v>600</v>
      </c>
      <c r="P2258" s="4">
        <v>950</v>
      </c>
      <c r="Q2258" s="7">
        <v>0.05</v>
      </c>
      <c r="R2258" t="s">
        <v>204</v>
      </c>
      <c r="S2258">
        <v>10</v>
      </c>
      <c r="T2258">
        <v>1900</v>
      </c>
      <c r="U2258">
        <v>95</v>
      </c>
      <c r="V2258">
        <v>1805</v>
      </c>
      <c r="W2258">
        <v>1200</v>
      </c>
      <c r="X2258">
        <v>605</v>
      </c>
      <c r="Y2258" s="8">
        <v>0.33518005540166207</v>
      </c>
      <c r="Z2258" t="s">
        <v>2996</v>
      </c>
      <c r="AA2258" t="str">
        <f>IF(AND(SalesCleanTable[[#This Row],[Discount %]]&gt;0, SalesCleanTable[[#This Row],[Profit]]&lt;0), "Discount loss", "Safe")</f>
        <v>Safe</v>
      </c>
      <c r="AB2258" s="25">
        <f>(SalesCleanTable[[#This Row],[Unit Price]] - SalesCleanTable[[#This Row],[Unit Cost]]) / SalesCleanTable[[#This Row],[Unit Price]]</f>
        <v>0.36842105263157893</v>
      </c>
      <c r="AC2258" t="str">
        <f>IF(SalesCleanTable[[#This Row],[Discount %]] &gt; SalesCleanTable[[#This Row],[Max Allowed Discount]], "Discount loss", "Safe")</f>
        <v>Safe</v>
      </c>
      <c r="AD2258" s="4">
        <f>SalesCleanTable[[#This Row],[Unit Price]] - SalesCleanTable[[#This Row],[Unit Cost]]</f>
        <v>350</v>
      </c>
      <c r="AE2258" s="41">
        <f>(SalesCleanTable[[#This Row],[Unit Price]] - SalesCleanTable[[#This Row],[Unit Cost]]) / SalesCleanTable[[#This Row],[Unit Price]]</f>
        <v>0.36842105263157893</v>
      </c>
    </row>
    <row r="2259" spans="1:31">
      <c r="A2259" t="s">
        <v>2445</v>
      </c>
      <c r="B2259" s="6">
        <v>45930</v>
      </c>
      <c r="C2259" t="s">
        <v>107</v>
      </c>
      <c r="D2259" t="s">
        <v>108</v>
      </c>
      <c r="E2259" t="s">
        <v>109</v>
      </c>
      <c r="F2259" t="s">
        <v>110</v>
      </c>
      <c r="G2259" t="s">
        <v>111</v>
      </c>
      <c r="H2259" t="s">
        <v>135</v>
      </c>
      <c r="I2259" t="s">
        <v>136</v>
      </c>
      <c r="J2259" t="s">
        <v>137</v>
      </c>
      <c r="K2259" t="s">
        <v>138</v>
      </c>
      <c r="L2259" t="s">
        <v>166</v>
      </c>
      <c r="M2259" t="s">
        <v>177</v>
      </c>
      <c r="N2259">
        <v>1</v>
      </c>
      <c r="O2259" s="4">
        <v>5200</v>
      </c>
      <c r="P2259" s="4">
        <v>7000</v>
      </c>
      <c r="Q2259" s="7">
        <v>0</v>
      </c>
      <c r="R2259" t="s">
        <v>220</v>
      </c>
      <c r="S2259">
        <v>12</v>
      </c>
      <c r="T2259">
        <v>7000</v>
      </c>
      <c r="U2259">
        <v>0</v>
      </c>
      <c r="V2259">
        <v>7000</v>
      </c>
      <c r="W2259">
        <v>5200</v>
      </c>
      <c r="X2259">
        <v>1800</v>
      </c>
      <c r="Y2259" s="8">
        <v>0.25714285714285712</v>
      </c>
      <c r="Z2259" t="s">
        <v>2997</v>
      </c>
      <c r="AA2259" t="str">
        <f>IF(AND(SalesCleanTable[[#This Row],[Discount %]]&gt;0, SalesCleanTable[[#This Row],[Profit]]&lt;0), "Discount loss", "Safe")</f>
        <v>Safe</v>
      </c>
      <c r="AB2259" s="25">
        <f>(SalesCleanTable[[#This Row],[Unit Price]] - SalesCleanTable[[#This Row],[Unit Cost]]) / SalesCleanTable[[#This Row],[Unit Price]]</f>
        <v>0.25714285714285712</v>
      </c>
      <c r="AC2259" t="str">
        <f>IF(SalesCleanTable[[#This Row],[Discount %]] &gt; SalesCleanTable[[#This Row],[Max Allowed Discount]], "Discount loss", "Safe")</f>
        <v>Safe</v>
      </c>
      <c r="AD2259" s="4">
        <f>SalesCleanTable[[#This Row],[Unit Price]] - SalesCleanTable[[#This Row],[Unit Cost]]</f>
        <v>1800</v>
      </c>
      <c r="AE2259" s="41">
        <f>(SalesCleanTable[[#This Row],[Unit Price]] - SalesCleanTable[[#This Row],[Unit Cost]]) / SalesCleanTable[[#This Row],[Unit Price]]</f>
        <v>0.25714285714285712</v>
      </c>
    </row>
    <row r="2260" spans="1:31">
      <c r="A2260" t="s">
        <v>2446</v>
      </c>
      <c r="B2260" s="6">
        <v>45827</v>
      </c>
      <c r="C2260" t="s">
        <v>45</v>
      </c>
      <c r="D2260" t="s">
        <v>46</v>
      </c>
      <c r="E2260" t="s">
        <v>38</v>
      </c>
      <c r="F2260" t="s">
        <v>47</v>
      </c>
      <c r="G2260" t="s">
        <v>48</v>
      </c>
      <c r="H2260" t="s">
        <v>135</v>
      </c>
      <c r="I2260" t="s">
        <v>136</v>
      </c>
      <c r="J2260" t="s">
        <v>137</v>
      </c>
      <c r="K2260" t="s">
        <v>138</v>
      </c>
      <c r="L2260" t="s">
        <v>166</v>
      </c>
      <c r="M2260" t="s">
        <v>171</v>
      </c>
      <c r="N2260">
        <v>2</v>
      </c>
      <c r="O2260" s="4">
        <v>230</v>
      </c>
      <c r="P2260" s="4">
        <v>400</v>
      </c>
      <c r="Q2260" s="7">
        <v>0.1</v>
      </c>
      <c r="R2260" t="s">
        <v>178</v>
      </c>
      <c r="S2260">
        <v>5</v>
      </c>
      <c r="T2260">
        <v>800</v>
      </c>
      <c r="U2260">
        <v>80</v>
      </c>
      <c r="V2260">
        <v>720</v>
      </c>
      <c r="W2260">
        <v>460</v>
      </c>
      <c r="X2260">
        <v>260</v>
      </c>
      <c r="Y2260" s="8">
        <v>0.3611111111111111</v>
      </c>
      <c r="Z2260" t="s">
        <v>2995</v>
      </c>
      <c r="AA2260" t="str">
        <f>IF(AND(SalesCleanTable[[#This Row],[Discount %]]&gt;0, SalesCleanTable[[#This Row],[Profit]]&lt;0), "Discount loss", "Safe")</f>
        <v>Safe</v>
      </c>
      <c r="AB2260" s="25">
        <f>(SalesCleanTable[[#This Row],[Unit Price]] - SalesCleanTable[[#This Row],[Unit Cost]]) / SalesCleanTable[[#This Row],[Unit Price]]</f>
        <v>0.42499999999999999</v>
      </c>
      <c r="AC2260" t="str">
        <f>IF(SalesCleanTable[[#This Row],[Discount %]] &gt; SalesCleanTable[[#This Row],[Max Allowed Discount]], "Discount loss", "Safe")</f>
        <v>Safe</v>
      </c>
      <c r="AD2260" s="4">
        <f>SalesCleanTable[[#This Row],[Unit Price]] - SalesCleanTable[[#This Row],[Unit Cost]]</f>
        <v>170</v>
      </c>
      <c r="AE2260" s="41">
        <f>(SalesCleanTable[[#This Row],[Unit Price]] - SalesCleanTable[[#This Row],[Unit Cost]]) / SalesCleanTable[[#This Row],[Unit Price]]</f>
        <v>0.42499999999999999</v>
      </c>
    </row>
    <row r="2261" spans="1:31">
      <c r="A2261" t="s">
        <v>2447</v>
      </c>
      <c r="B2261" s="6">
        <v>45683</v>
      </c>
      <c r="C2261" t="s">
        <v>57</v>
      </c>
      <c r="D2261" t="s">
        <v>58</v>
      </c>
      <c r="E2261" t="s">
        <v>59</v>
      </c>
      <c r="F2261" t="s">
        <v>60</v>
      </c>
      <c r="G2261" t="s">
        <v>61</v>
      </c>
      <c r="H2261" t="s">
        <v>135</v>
      </c>
      <c r="I2261" t="s">
        <v>136</v>
      </c>
      <c r="J2261" t="s">
        <v>137</v>
      </c>
      <c r="K2261" t="s">
        <v>138</v>
      </c>
      <c r="L2261" t="s">
        <v>166</v>
      </c>
      <c r="M2261" t="s">
        <v>186</v>
      </c>
      <c r="N2261">
        <v>6</v>
      </c>
      <c r="O2261" s="4">
        <v>2400</v>
      </c>
      <c r="P2261" s="4">
        <v>3400</v>
      </c>
      <c r="Q2261" s="7">
        <v>0.05</v>
      </c>
      <c r="R2261" t="s">
        <v>192</v>
      </c>
      <c r="S2261">
        <v>6</v>
      </c>
      <c r="T2261">
        <v>20400</v>
      </c>
      <c r="U2261">
        <v>1020</v>
      </c>
      <c r="V2261">
        <v>19380</v>
      </c>
      <c r="W2261">
        <v>14400</v>
      </c>
      <c r="X2261">
        <v>4980</v>
      </c>
      <c r="Y2261" s="8">
        <v>0.25696594427244585</v>
      </c>
      <c r="Z2261" t="s">
        <v>2996</v>
      </c>
      <c r="AA2261" t="str">
        <f>IF(AND(SalesCleanTable[[#This Row],[Discount %]]&gt;0, SalesCleanTable[[#This Row],[Profit]]&lt;0), "Discount loss", "Safe")</f>
        <v>Safe</v>
      </c>
      <c r="AB2261" s="25">
        <f>(SalesCleanTable[[#This Row],[Unit Price]] - SalesCleanTable[[#This Row],[Unit Cost]]) / SalesCleanTable[[#This Row],[Unit Price]]</f>
        <v>0.29411764705882354</v>
      </c>
      <c r="AC2261" t="str">
        <f>IF(SalesCleanTable[[#This Row],[Discount %]] &gt; SalesCleanTable[[#This Row],[Max Allowed Discount]], "Discount loss", "Safe")</f>
        <v>Safe</v>
      </c>
      <c r="AD2261" s="4">
        <f>SalesCleanTable[[#This Row],[Unit Price]] - SalesCleanTable[[#This Row],[Unit Cost]]</f>
        <v>1000</v>
      </c>
      <c r="AE2261" s="41">
        <f>(SalesCleanTable[[#This Row],[Unit Price]] - SalesCleanTable[[#This Row],[Unit Cost]]) / SalesCleanTable[[#This Row],[Unit Price]]</f>
        <v>0.29411764705882354</v>
      </c>
    </row>
    <row r="2262" spans="1:31">
      <c r="A2262" t="s">
        <v>2448</v>
      </c>
      <c r="B2262" s="6">
        <v>45786</v>
      </c>
      <c r="C2262" t="s">
        <v>103</v>
      </c>
      <c r="D2262" t="s">
        <v>104</v>
      </c>
      <c r="E2262" t="s">
        <v>92</v>
      </c>
      <c r="F2262" t="s">
        <v>105</v>
      </c>
      <c r="G2262" t="s">
        <v>106</v>
      </c>
      <c r="H2262" t="s">
        <v>133</v>
      </c>
      <c r="I2262" t="s">
        <v>134</v>
      </c>
      <c r="J2262" t="s">
        <v>130</v>
      </c>
      <c r="K2262" t="s">
        <v>131</v>
      </c>
      <c r="L2262" t="s">
        <v>183</v>
      </c>
      <c r="M2262" t="s">
        <v>167</v>
      </c>
      <c r="N2262">
        <v>1</v>
      </c>
      <c r="O2262" s="4">
        <v>1500</v>
      </c>
      <c r="P2262" s="4">
        <v>2500</v>
      </c>
      <c r="Q2262" s="7">
        <v>0.05</v>
      </c>
      <c r="R2262" t="s">
        <v>215</v>
      </c>
      <c r="S2262">
        <v>6</v>
      </c>
      <c r="T2262">
        <v>2500</v>
      </c>
      <c r="U2262">
        <v>125</v>
      </c>
      <c r="V2262">
        <v>2375</v>
      </c>
      <c r="W2262">
        <v>1500</v>
      </c>
      <c r="X2262">
        <v>875</v>
      </c>
      <c r="Y2262" s="8">
        <v>0.36842105263157893</v>
      </c>
      <c r="Z2262" t="s">
        <v>2996</v>
      </c>
      <c r="AA2262" t="str">
        <f>IF(AND(SalesCleanTable[[#This Row],[Discount %]]&gt;0, SalesCleanTable[[#This Row],[Profit]]&lt;0), "Discount loss", "Safe")</f>
        <v>Safe</v>
      </c>
      <c r="AB2262" s="25">
        <f>(SalesCleanTable[[#This Row],[Unit Price]] - SalesCleanTable[[#This Row],[Unit Cost]]) / SalesCleanTable[[#This Row],[Unit Price]]</f>
        <v>0.4</v>
      </c>
      <c r="AC2262" t="str">
        <f>IF(SalesCleanTable[[#This Row],[Discount %]] &gt; SalesCleanTable[[#This Row],[Max Allowed Discount]], "Discount loss", "Safe")</f>
        <v>Safe</v>
      </c>
      <c r="AD2262" s="4">
        <f>SalesCleanTable[[#This Row],[Unit Price]] - SalesCleanTable[[#This Row],[Unit Cost]]</f>
        <v>1000</v>
      </c>
      <c r="AE2262" s="41">
        <f>(SalesCleanTable[[#This Row],[Unit Price]] - SalesCleanTable[[#This Row],[Unit Cost]]) / SalesCleanTable[[#This Row],[Unit Price]]</f>
        <v>0.4</v>
      </c>
    </row>
    <row r="2263" spans="1:31">
      <c r="A2263" t="s">
        <v>2449</v>
      </c>
      <c r="B2263" s="6">
        <v>45934</v>
      </c>
      <c r="C2263" t="s">
        <v>95</v>
      </c>
      <c r="D2263" t="s">
        <v>96</v>
      </c>
      <c r="E2263" t="s">
        <v>92</v>
      </c>
      <c r="F2263" t="s">
        <v>97</v>
      </c>
      <c r="G2263" t="s">
        <v>98</v>
      </c>
      <c r="H2263" t="s">
        <v>139</v>
      </c>
      <c r="I2263" t="s">
        <v>140</v>
      </c>
      <c r="J2263" t="s">
        <v>137</v>
      </c>
      <c r="K2263" t="s">
        <v>138</v>
      </c>
      <c r="L2263" t="s">
        <v>166</v>
      </c>
      <c r="M2263" t="s">
        <v>171</v>
      </c>
      <c r="N2263">
        <v>4</v>
      </c>
      <c r="O2263" s="4">
        <v>18000</v>
      </c>
      <c r="P2263" s="4">
        <v>24500</v>
      </c>
      <c r="Q2263" s="7">
        <v>0.2</v>
      </c>
      <c r="R2263" t="s">
        <v>217</v>
      </c>
      <c r="S2263">
        <v>1</v>
      </c>
      <c r="T2263">
        <v>98000</v>
      </c>
      <c r="U2263">
        <v>19600</v>
      </c>
      <c r="V2263">
        <v>78400</v>
      </c>
      <c r="W2263">
        <v>72000</v>
      </c>
      <c r="X2263">
        <v>6400</v>
      </c>
      <c r="Y2263" s="8">
        <v>8.1632653061224483E-2</v>
      </c>
      <c r="Z2263" t="s">
        <v>2995</v>
      </c>
      <c r="AA2263" t="str">
        <f>IF(AND(SalesCleanTable[[#This Row],[Discount %]]&gt;0, SalesCleanTable[[#This Row],[Profit]]&lt;0), "Discount loss", "Safe")</f>
        <v>Safe</v>
      </c>
      <c r="AB2263" s="25">
        <f>(SalesCleanTable[[#This Row],[Unit Price]] - SalesCleanTable[[#This Row],[Unit Cost]]) / SalesCleanTable[[#This Row],[Unit Price]]</f>
        <v>0.26530612244897961</v>
      </c>
      <c r="AC2263" t="str">
        <f>IF(SalesCleanTable[[#This Row],[Discount %]] &gt; SalesCleanTable[[#This Row],[Max Allowed Discount]], "Discount loss", "Safe")</f>
        <v>Safe</v>
      </c>
      <c r="AD2263" s="4">
        <f>SalesCleanTable[[#This Row],[Unit Price]] - SalesCleanTable[[#This Row],[Unit Cost]]</f>
        <v>6500</v>
      </c>
      <c r="AE2263" s="41">
        <f>(SalesCleanTable[[#This Row],[Unit Price]] - SalesCleanTable[[#This Row],[Unit Cost]]) / SalesCleanTable[[#This Row],[Unit Price]]</f>
        <v>0.26530612244897961</v>
      </c>
    </row>
    <row r="2264" spans="1:31">
      <c r="A2264" t="s">
        <v>2450</v>
      </c>
      <c r="B2264" s="6">
        <v>45982</v>
      </c>
      <c r="C2264" t="s">
        <v>49</v>
      </c>
      <c r="D2264" t="s">
        <v>50</v>
      </c>
      <c r="E2264" t="s">
        <v>38</v>
      </c>
      <c r="F2264" t="s">
        <v>51</v>
      </c>
      <c r="G2264" t="s">
        <v>52</v>
      </c>
      <c r="H2264" t="s">
        <v>139</v>
      </c>
      <c r="I2264" t="s">
        <v>140</v>
      </c>
      <c r="J2264" t="s">
        <v>137</v>
      </c>
      <c r="K2264" t="s">
        <v>138</v>
      </c>
      <c r="L2264" t="s">
        <v>183</v>
      </c>
      <c r="M2264" t="s">
        <v>171</v>
      </c>
      <c r="N2264">
        <v>8</v>
      </c>
      <c r="O2264" s="4">
        <v>550</v>
      </c>
      <c r="P2264" s="4">
        <v>850</v>
      </c>
      <c r="Q2264" s="7">
        <v>0.15</v>
      </c>
      <c r="R2264" t="s">
        <v>168</v>
      </c>
      <c r="S2264">
        <v>7</v>
      </c>
      <c r="T2264">
        <v>6800</v>
      </c>
      <c r="U2264">
        <v>1020</v>
      </c>
      <c r="V2264">
        <v>5780</v>
      </c>
      <c r="W2264">
        <v>4400</v>
      </c>
      <c r="X2264">
        <v>1380</v>
      </c>
      <c r="Y2264" s="8">
        <v>0.23875432525951557</v>
      </c>
      <c r="Z2264" t="s">
        <v>2996</v>
      </c>
      <c r="AA2264" t="str">
        <f>IF(AND(SalesCleanTable[[#This Row],[Discount %]]&gt;0, SalesCleanTable[[#This Row],[Profit]]&lt;0), "Discount loss", "Safe")</f>
        <v>Safe</v>
      </c>
      <c r="AB2264" s="25">
        <f>(SalesCleanTable[[#This Row],[Unit Price]] - SalesCleanTable[[#This Row],[Unit Cost]]) / SalesCleanTable[[#This Row],[Unit Price]]</f>
        <v>0.35294117647058826</v>
      </c>
      <c r="AC2264" t="str">
        <f>IF(SalesCleanTable[[#This Row],[Discount %]] &gt; SalesCleanTable[[#This Row],[Max Allowed Discount]], "Discount loss", "Safe")</f>
        <v>Safe</v>
      </c>
      <c r="AD2264" s="4">
        <f>SalesCleanTable[[#This Row],[Unit Price]] - SalesCleanTable[[#This Row],[Unit Cost]]</f>
        <v>300</v>
      </c>
      <c r="AE2264" s="41">
        <f>(SalesCleanTable[[#This Row],[Unit Price]] - SalesCleanTable[[#This Row],[Unit Cost]]) / SalesCleanTable[[#This Row],[Unit Price]]</f>
        <v>0.35294117647058826</v>
      </c>
    </row>
    <row r="2265" spans="1:31">
      <c r="A2265" t="s">
        <v>2451</v>
      </c>
      <c r="B2265" s="6">
        <v>45841</v>
      </c>
      <c r="C2265" t="s">
        <v>103</v>
      </c>
      <c r="D2265" t="s">
        <v>104</v>
      </c>
      <c r="E2265" t="s">
        <v>92</v>
      </c>
      <c r="F2265" t="s">
        <v>105</v>
      </c>
      <c r="G2265" t="s">
        <v>106</v>
      </c>
      <c r="H2265" t="s">
        <v>153</v>
      </c>
      <c r="I2265" t="s">
        <v>154</v>
      </c>
      <c r="J2265" t="s">
        <v>155</v>
      </c>
      <c r="K2265" t="s">
        <v>131</v>
      </c>
      <c r="L2265" t="s">
        <v>166</v>
      </c>
      <c r="M2265" t="s">
        <v>167</v>
      </c>
      <c r="N2265">
        <v>1</v>
      </c>
      <c r="O2265" s="4">
        <v>1500</v>
      </c>
      <c r="P2265" s="4">
        <v>2500</v>
      </c>
      <c r="Q2265" s="7">
        <v>0.05</v>
      </c>
      <c r="R2265" t="s">
        <v>217</v>
      </c>
      <c r="S2265">
        <v>5</v>
      </c>
      <c r="T2265">
        <v>2500</v>
      </c>
      <c r="U2265">
        <v>125</v>
      </c>
      <c r="V2265">
        <v>2375</v>
      </c>
      <c r="W2265">
        <v>1500</v>
      </c>
      <c r="X2265">
        <v>875</v>
      </c>
      <c r="Y2265" s="8">
        <v>0.36842105263157893</v>
      </c>
      <c r="Z2265" t="s">
        <v>2996</v>
      </c>
      <c r="AA2265" t="str">
        <f>IF(AND(SalesCleanTable[[#This Row],[Discount %]]&gt;0, SalesCleanTable[[#This Row],[Profit]]&lt;0), "Discount loss", "Safe")</f>
        <v>Safe</v>
      </c>
      <c r="AB2265" s="25">
        <f>(SalesCleanTable[[#This Row],[Unit Price]] - SalesCleanTable[[#This Row],[Unit Cost]]) / SalesCleanTable[[#This Row],[Unit Price]]</f>
        <v>0.4</v>
      </c>
      <c r="AC2265" t="str">
        <f>IF(SalesCleanTable[[#This Row],[Discount %]] &gt; SalesCleanTable[[#This Row],[Max Allowed Discount]], "Discount loss", "Safe")</f>
        <v>Safe</v>
      </c>
      <c r="AD2265" s="4">
        <f>SalesCleanTable[[#This Row],[Unit Price]] - SalesCleanTable[[#This Row],[Unit Cost]]</f>
        <v>1000</v>
      </c>
      <c r="AE2265" s="41">
        <f>(SalesCleanTable[[#This Row],[Unit Price]] - SalesCleanTable[[#This Row],[Unit Cost]]) / SalesCleanTable[[#This Row],[Unit Price]]</f>
        <v>0.4</v>
      </c>
    </row>
    <row r="2266" spans="1:31">
      <c r="A2266" t="s">
        <v>2452</v>
      </c>
      <c r="B2266" s="6">
        <v>45924</v>
      </c>
      <c r="C2266" t="s">
        <v>45</v>
      </c>
      <c r="D2266" t="s">
        <v>46</v>
      </c>
      <c r="E2266" t="s">
        <v>38</v>
      </c>
      <c r="F2266" t="s">
        <v>47</v>
      </c>
      <c r="G2266" t="s">
        <v>48</v>
      </c>
      <c r="H2266" t="s">
        <v>139</v>
      </c>
      <c r="I2266" t="s">
        <v>140</v>
      </c>
      <c r="J2266" t="s">
        <v>137</v>
      </c>
      <c r="K2266" t="s">
        <v>138</v>
      </c>
      <c r="L2266" t="s">
        <v>166</v>
      </c>
      <c r="M2266" t="s">
        <v>171</v>
      </c>
      <c r="N2266">
        <v>5</v>
      </c>
      <c r="O2266" s="4">
        <v>230</v>
      </c>
      <c r="P2266" s="4">
        <v>400</v>
      </c>
      <c r="Q2266" s="7">
        <v>0.1</v>
      </c>
      <c r="R2266" t="s">
        <v>168</v>
      </c>
      <c r="S2266">
        <v>3</v>
      </c>
      <c r="T2266">
        <v>2000</v>
      </c>
      <c r="U2266">
        <v>200</v>
      </c>
      <c r="V2266">
        <v>1800</v>
      </c>
      <c r="W2266">
        <v>1150</v>
      </c>
      <c r="X2266">
        <v>650</v>
      </c>
      <c r="Y2266" s="8">
        <v>0.3611111111111111</v>
      </c>
      <c r="Z2266" t="s">
        <v>2995</v>
      </c>
      <c r="AA2266" t="str">
        <f>IF(AND(SalesCleanTable[[#This Row],[Discount %]]&gt;0, SalesCleanTable[[#This Row],[Profit]]&lt;0), "Discount loss", "Safe")</f>
        <v>Safe</v>
      </c>
      <c r="AB2266" s="25">
        <f>(SalesCleanTable[[#This Row],[Unit Price]] - SalesCleanTable[[#This Row],[Unit Cost]]) / SalesCleanTable[[#This Row],[Unit Price]]</f>
        <v>0.42499999999999999</v>
      </c>
      <c r="AC2266" t="str">
        <f>IF(SalesCleanTable[[#This Row],[Discount %]] &gt; SalesCleanTable[[#This Row],[Max Allowed Discount]], "Discount loss", "Safe")</f>
        <v>Safe</v>
      </c>
      <c r="AD2266" s="4">
        <f>SalesCleanTable[[#This Row],[Unit Price]] - SalesCleanTable[[#This Row],[Unit Cost]]</f>
        <v>170</v>
      </c>
      <c r="AE2266" s="41">
        <f>(SalesCleanTable[[#This Row],[Unit Price]] - SalesCleanTable[[#This Row],[Unit Cost]]) / SalesCleanTable[[#This Row],[Unit Price]]</f>
        <v>0.42499999999999999</v>
      </c>
    </row>
    <row r="2267" spans="1:31">
      <c r="A2267" t="s">
        <v>2453</v>
      </c>
      <c r="B2267" s="6">
        <v>45822</v>
      </c>
      <c r="C2267" t="s">
        <v>82</v>
      </c>
      <c r="D2267" t="s">
        <v>83</v>
      </c>
      <c r="E2267" t="s">
        <v>75</v>
      </c>
      <c r="F2267" t="s">
        <v>84</v>
      </c>
      <c r="G2267" t="s">
        <v>85</v>
      </c>
      <c r="H2267" t="s">
        <v>145</v>
      </c>
      <c r="I2267" t="s">
        <v>146</v>
      </c>
      <c r="J2267" t="s">
        <v>147</v>
      </c>
      <c r="K2267" t="s">
        <v>148</v>
      </c>
      <c r="L2267" t="s">
        <v>166</v>
      </c>
      <c r="M2267" t="s">
        <v>171</v>
      </c>
      <c r="N2267">
        <v>3</v>
      </c>
      <c r="O2267" s="4">
        <v>600</v>
      </c>
      <c r="P2267" s="4">
        <v>950</v>
      </c>
      <c r="Q2267" s="7">
        <v>0.05</v>
      </c>
      <c r="R2267" t="s">
        <v>208</v>
      </c>
      <c r="S2267">
        <v>7</v>
      </c>
      <c r="T2267">
        <v>2850</v>
      </c>
      <c r="U2267">
        <v>142.5</v>
      </c>
      <c r="V2267">
        <v>2707.5</v>
      </c>
      <c r="W2267">
        <v>1800</v>
      </c>
      <c r="X2267">
        <v>907.5</v>
      </c>
      <c r="Y2267" s="8">
        <v>0.33518005540166207</v>
      </c>
      <c r="Z2267" t="s">
        <v>2996</v>
      </c>
      <c r="AA2267" t="str">
        <f>IF(AND(SalesCleanTable[[#This Row],[Discount %]]&gt;0, SalesCleanTable[[#This Row],[Profit]]&lt;0), "Discount loss", "Safe")</f>
        <v>Safe</v>
      </c>
      <c r="AB2267" s="25">
        <f>(SalesCleanTable[[#This Row],[Unit Price]] - SalesCleanTable[[#This Row],[Unit Cost]]) / SalesCleanTable[[#This Row],[Unit Price]]</f>
        <v>0.36842105263157893</v>
      </c>
      <c r="AC2267" t="str">
        <f>IF(SalesCleanTable[[#This Row],[Discount %]] &gt; SalesCleanTable[[#This Row],[Max Allowed Discount]], "Discount loss", "Safe")</f>
        <v>Safe</v>
      </c>
      <c r="AD2267" s="4">
        <f>SalesCleanTable[[#This Row],[Unit Price]] - SalesCleanTable[[#This Row],[Unit Cost]]</f>
        <v>350</v>
      </c>
      <c r="AE2267" s="41">
        <f>(SalesCleanTable[[#This Row],[Unit Price]] - SalesCleanTable[[#This Row],[Unit Cost]]) / SalesCleanTable[[#This Row],[Unit Price]]</f>
        <v>0.36842105263157893</v>
      </c>
    </row>
    <row r="2268" spans="1:31">
      <c r="A2268" t="s">
        <v>2454</v>
      </c>
      <c r="B2268" s="6">
        <v>45995</v>
      </c>
      <c r="C2268" t="s">
        <v>66</v>
      </c>
      <c r="D2268" t="s">
        <v>67</v>
      </c>
      <c r="E2268" t="s">
        <v>59</v>
      </c>
      <c r="F2268" t="s">
        <v>60</v>
      </c>
      <c r="G2268" t="s">
        <v>68</v>
      </c>
      <c r="H2268" t="s">
        <v>133</v>
      </c>
      <c r="I2268" t="s">
        <v>134</v>
      </c>
      <c r="J2268" t="s">
        <v>130</v>
      </c>
      <c r="K2268" t="s">
        <v>131</v>
      </c>
      <c r="L2268" t="s">
        <v>183</v>
      </c>
      <c r="M2268" t="s">
        <v>171</v>
      </c>
      <c r="N2268">
        <v>2</v>
      </c>
      <c r="O2268" s="4">
        <v>2800</v>
      </c>
      <c r="P2268" s="4">
        <v>3900</v>
      </c>
      <c r="Q2268" s="7">
        <v>0</v>
      </c>
      <c r="R2268" t="s">
        <v>173</v>
      </c>
      <c r="S2268">
        <v>6</v>
      </c>
      <c r="T2268">
        <v>7800</v>
      </c>
      <c r="U2268">
        <v>0</v>
      </c>
      <c r="V2268">
        <v>7800</v>
      </c>
      <c r="W2268">
        <v>5600</v>
      </c>
      <c r="X2268">
        <v>2200</v>
      </c>
      <c r="Y2268" s="8">
        <v>0.28205128205128205</v>
      </c>
      <c r="Z2268" t="s">
        <v>2996</v>
      </c>
      <c r="AA2268" t="str">
        <f>IF(AND(SalesCleanTable[[#This Row],[Discount %]]&gt;0, SalesCleanTable[[#This Row],[Profit]]&lt;0), "Discount loss", "Safe")</f>
        <v>Safe</v>
      </c>
      <c r="AB2268" s="25">
        <f>(SalesCleanTable[[#This Row],[Unit Price]] - SalesCleanTable[[#This Row],[Unit Cost]]) / SalesCleanTable[[#This Row],[Unit Price]]</f>
        <v>0.28205128205128205</v>
      </c>
      <c r="AC2268" t="str">
        <f>IF(SalesCleanTable[[#This Row],[Discount %]] &gt; SalesCleanTable[[#This Row],[Max Allowed Discount]], "Discount loss", "Safe")</f>
        <v>Safe</v>
      </c>
      <c r="AD2268" s="4">
        <f>SalesCleanTable[[#This Row],[Unit Price]] - SalesCleanTable[[#This Row],[Unit Cost]]</f>
        <v>1100</v>
      </c>
      <c r="AE2268" s="41">
        <f>(SalesCleanTable[[#This Row],[Unit Price]] - SalesCleanTable[[#This Row],[Unit Cost]]) / SalesCleanTable[[#This Row],[Unit Price]]</f>
        <v>0.28205128205128205</v>
      </c>
    </row>
    <row r="2269" spans="1:31">
      <c r="A2269" t="s">
        <v>2455</v>
      </c>
      <c r="B2269" s="6">
        <v>45957</v>
      </c>
      <c r="C2269" t="s">
        <v>49</v>
      </c>
      <c r="D2269" t="s">
        <v>50</v>
      </c>
      <c r="E2269" t="s">
        <v>38</v>
      </c>
      <c r="F2269" t="s">
        <v>51</v>
      </c>
      <c r="G2269" t="s">
        <v>52</v>
      </c>
      <c r="H2269" t="s">
        <v>139</v>
      </c>
      <c r="I2269" t="s">
        <v>140</v>
      </c>
      <c r="J2269" t="s">
        <v>137</v>
      </c>
      <c r="K2269" t="s">
        <v>138</v>
      </c>
      <c r="L2269" t="s">
        <v>166</v>
      </c>
      <c r="M2269" t="s">
        <v>177</v>
      </c>
      <c r="N2269">
        <v>1</v>
      </c>
      <c r="O2269" s="4">
        <v>550</v>
      </c>
      <c r="P2269" s="4">
        <v>850</v>
      </c>
      <c r="Q2269" s="7">
        <v>0.15</v>
      </c>
      <c r="R2269" t="s">
        <v>178</v>
      </c>
      <c r="S2269">
        <v>6</v>
      </c>
      <c r="T2269">
        <v>850</v>
      </c>
      <c r="U2269">
        <v>127.5</v>
      </c>
      <c r="V2269">
        <v>722.5</v>
      </c>
      <c r="W2269">
        <v>550</v>
      </c>
      <c r="X2269">
        <v>172.5</v>
      </c>
      <c r="Y2269" s="8">
        <v>0.23875432525951557</v>
      </c>
      <c r="Z2269" t="s">
        <v>2996</v>
      </c>
      <c r="AA2269" t="str">
        <f>IF(AND(SalesCleanTable[[#This Row],[Discount %]]&gt;0, SalesCleanTable[[#This Row],[Profit]]&lt;0), "Discount loss", "Safe")</f>
        <v>Safe</v>
      </c>
      <c r="AB2269" s="25">
        <f>(SalesCleanTable[[#This Row],[Unit Price]] - SalesCleanTable[[#This Row],[Unit Cost]]) / SalesCleanTable[[#This Row],[Unit Price]]</f>
        <v>0.35294117647058826</v>
      </c>
      <c r="AC2269" t="str">
        <f>IF(SalesCleanTable[[#This Row],[Discount %]] &gt; SalesCleanTable[[#This Row],[Max Allowed Discount]], "Discount loss", "Safe")</f>
        <v>Safe</v>
      </c>
      <c r="AD2269" s="4">
        <f>SalesCleanTable[[#This Row],[Unit Price]] - SalesCleanTable[[#This Row],[Unit Cost]]</f>
        <v>300</v>
      </c>
      <c r="AE2269" s="41">
        <f>(SalesCleanTable[[#This Row],[Unit Price]] - SalesCleanTable[[#This Row],[Unit Cost]]) / SalesCleanTable[[#This Row],[Unit Price]]</f>
        <v>0.35294117647058826</v>
      </c>
    </row>
    <row r="2270" spans="1:31">
      <c r="A2270" t="s">
        <v>2456</v>
      </c>
      <c r="B2270" s="6">
        <v>45997</v>
      </c>
      <c r="C2270" t="s">
        <v>112</v>
      </c>
      <c r="D2270" t="s">
        <v>113</v>
      </c>
      <c r="E2270" t="s">
        <v>109</v>
      </c>
      <c r="F2270" t="s">
        <v>114</v>
      </c>
      <c r="G2270" t="s">
        <v>115</v>
      </c>
      <c r="H2270" t="s">
        <v>135</v>
      </c>
      <c r="I2270" t="s">
        <v>136</v>
      </c>
      <c r="J2270" t="s">
        <v>137</v>
      </c>
      <c r="K2270" t="s">
        <v>138</v>
      </c>
      <c r="L2270" t="s">
        <v>166</v>
      </c>
      <c r="M2270" t="s">
        <v>171</v>
      </c>
      <c r="N2270">
        <v>4</v>
      </c>
      <c r="O2270" s="4">
        <v>1300</v>
      </c>
      <c r="P2270" s="4">
        <v>2100</v>
      </c>
      <c r="Q2270" s="7">
        <v>0.2</v>
      </c>
      <c r="R2270" t="s">
        <v>235</v>
      </c>
      <c r="S2270">
        <v>10</v>
      </c>
      <c r="T2270">
        <v>8400</v>
      </c>
      <c r="U2270">
        <v>1680</v>
      </c>
      <c r="V2270">
        <v>6720</v>
      </c>
      <c r="W2270">
        <v>5200</v>
      </c>
      <c r="X2270">
        <v>1520</v>
      </c>
      <c r="Y2270" s="8">
        <v>0.22619047619047619</v>
      </c>
      <c r="Z2270" t="s">
        <v>2995</v>
      </c>
      <c r="AA2270" t="str">
        <f>IF(AND(SalesCleanTable[[#This Row],[Discount %]]&gt;0, SalesCleanTable[[#This Row],[Profit]]&lt;0), "Discount loss", "Safe")</f>
        <v>Safe</v>
      </c>
      <c r="AB2270" s="25">
        <f>(SalesCleanTable[[#This Row],[Unit Price]] - SalesCleanTable[[#This Row],[Unit Cost]]) / SalesCleanTable[[#This Row],[Unit Price]]</f>
        <v>0.38095238095238093</v>
      </c>
      <c r="AC2270" t="str">
        <f>IF(SalesCleanTable[[#This Row],[Discount %]] &gt; SalesCleanTable[[#This Row],[Max Allowed Discount]], "Discount loss", "Safe")</f>
        <v>Safe</v>
      </c>
      <c r="AD2270" s="4">
        <f>SalesCleanTable[[#This Row],[Unit Price]] - SalesCleanTable[[#This Row],[Unit Cost]]</f>
        <v>800</v>
      </c>
      <c r="AE2270" s="41">
        <f>(SalesCleanTable[[#This Row],[Unit Price]] - SalesCleanTable[[#This Row],[Unit Cost]]) / SalesCleanTable[[#This Row],[Unit Price]]</f>
        <v>0.38095238095238093</v>
      </c>
    </row>
    <row r="2271" spans="1:31">
      <c r="A2271" t="s">
        <v>2457</v>
      </c>
      <c r="B2271" s="6">
        <v>45750</v>
      </c>
      <c r="C2271" t="s">
        <v>78</v>
      </c>
      <c r="D2271" t="s">
        <v>79</v>
      </c>
      <c r="E2271" t="s">
        <v>75</v>
      </c>
      <c r="F2271" t="s">
        <v>80</v>
      </c>
      <c r="G2271" t="s">
        <v>81</v>
      </c>
      <c r="H2271" t="s">
        <v>128</v>
      </c>
      <c r="I2271" t="s">
        <v>129</v>
      </c>
      <c r="J2271" t="s">
        <v>130</v>
      </c>
      <c r="K2271" t="s">
        <v>131</v>
      </c>
      <c r="L2271" t="s">
        <v>166</v>
      </c>
      <c r="M2271" t="s">
        <v>167</v>
      </c>
      <c r="N2271">
        <v>8</v>
      </c>
      <c r="O2271" s="4">
        <v>1200</v>
      </c>
      <c r="P2271" s="4">
        <v>1900</v>
      </c>
      <c r="Q2271" s="7">
        <v>0.15</v>
      </c>
      <c r="R2271" t="s">
        <v>208</v>
      </c>
      <c r="S2271">
        <v>10</v>
      </c>
      <c r="T2271">
        <v>15200</v>
      </c>
      <c r="U2271">
        <v>2280</v>
      </c>
      <c r="V2271">
        <v>12920</v>
      </c>
      <c r="W2271">
        <v>9600</v>
      </c>
      <c r="X2271">
        <v>3320</v>
      </c>
      <c r="Y2271" s="8">
        <v>0.25696594427244585</v>
      </c>
      <c r="Z2271" t="s">
        <v>2996</v>
      </c>
      <c r="AA2271" t="str">
        <f>IF(AND(SalesCleanTable[[#This Row],[Discount %]]&gt;0, SalesCleanTable[[#This Row],[Profit]]&lt;0), "Discount loss", "Safe")</f>
        <v>Safe</v>
      </c>
      <c r="AB2271" s="25">
        <f>(SalesCleanTable[[#This Row],[Unit Price]] - SalesCleanTable[[#This Row],[Unit Cost]]) / SalesCleanTable[[#This Row],[Unit Price]]</f>
        <v>0.36842105263157893</v>
      </c>
      <c r="AC2271" t="str">
        <f>IF(SalesCleanTable[[#This Row],[Discount %]] &gt; SalesCleanTable[[#This Row],[Max Allowed Discount]], "Discount loss", "Safe")</f>
        <v>Safe</v>
      </c>
      <c r="AD2271" s="4">
        <f>SalesCleanTable[[#This Row],[Unit Price]] - SalesCleanTable[[#This Row],[Unit Cost]]</f>
        <v>700</v>
      </c>
      <c r="AE2271" s="41">
        <f>(SalesCleanTable[[#This Row],[Unit Price]] - SalesCleanTable[[#This Row],[Unit Cost]]) / SalesCleanTable[[#This Row],[Unit Price]]</f>
        <v>0.36842105263157893</v>
      </c>
    </row>
    <row r="2272" spans="1:31">
      <c r="A2272" t="s">
        <v>2458</v>
      </c>
      <c r="B2272" s="6">
        <v>45962</v>
      </c>
      <c r="C2272" t="s">
        <v>24</v>
      </c>
      <c r="D2272" t="s">
        <v>25</v>
      </c>
      <c r="E2272" t="s">
        <v>26</v>
      </c>
      <c r="F2272" t="s">
        <v>27</v>
      </c>
      <c r="G2272" t="s">
        <v>28</v>
      </c>
      <c r="H2272" t="s">
        <v>128</v>
      </c>
      <c r="I2272" t="s">
        <v>129</v>
      </c>
      <c r="J2272" t="s">
        <v>130</v>
      </c>
      <c r="K2272" t="s">
        <v>131</v>
      </c>
      <c r="L2272" t="s">
        <v>166</v>
      </c>
      <c r="M2272" t="s">
        <v>171</v>
      </c>
      <c r="N2272">
        <v>4</v>
      </c>
      <c r="O2272" s="4">
        <v>14500</v>
      </c>
      <c r="P2272" s="4">
        <v>17500</v>
      </c>
      <c r="Q2272" s="7">
        <v>0.05</v>
      </c>
      <c r="R2272" t="s">
        <v>197</v>
      </c>
      <c r="S2272">
        <v>3</v>
      </c>
      <c r="T2272">
        <v>70000</v>
      </c>
      <c r="U2272">
        <v>3500</v>
      </c>
      <c r="V2272">
        <v>66500</v>
      </c>
      <c r="W2272">
        <v>58000</v>
      </c>
      <c r="X2272">
        <v>8500</v>
      </c>
      <c r="Y2272" s="8">
        <v>0.12781954887218044</v>
      </c>
      <c r="Z2272" t="s">
        <v>2995</v>
      </c>
      <c r="AA2272" t="str">
        <f>IF(AND(SalesCleanTable[[#This Row],[Discount %]]&gt;0, SalesCleanTable[[#This Row],[Profit]]&lt;0), "Discount loss", "Safe")</f>
        <v>Safe</v>
      </c>
      <c r="AB2272" s="25">
        <f>(SalesCleanTable[[#This Row],[Unit Price]] - SalesCleanTable[[#This Row],[Unit Cost]]) / SalesCleanTable[[#This Row],[Unit Price]]</f>
        <v>0.17142857142857143</v>
      </c>
      <c r="AC2272" t="str">
        <f>IF(SalesCleanTable[[#This Row],[Discount %]] &gt; SalesCleanTable[[#This Row],[Max Allowed Discount]], "Discount loss", "Safe")</f>
        <v>Safe</v>
      </c>
      <c r="AD2272" s="4">
        <f>SalesCleanTable[[#This Row],[Unit Price]] - SalesCleanTable[[#This Row],[Unit Cost]]</f>
        <v>3000</v>
      </c>
      <c r="AE2272" s="41">
        <f>(SalesCleanTable[[#This Row],[Unit Price]] - SalesCleanTable[[#This Row],[Unit Cost]]) / SalesCleanTable[[#This Row],[Unit Price]]</f>
        <v>0.17142857142857143</v>
      </c>
    </row>
    <row r="2273" spans="1:31">
      <c r="A2273" t="s">
        <v>2459</v>
      </c>
      <c r="B2273" s="6">
        <v>45658</v>
      </c>
      <c r="C2273" t="s">
        <v>41</v>
      </c>
      <c r="D2273" t="s">
        <v>42</v>
      </c>
      <c r="E2273" t="s">
        <v>26</v>
      </c>
      <c r="F2273" t="s">
        <v>43</v>
      </c>
      <c r="G2273" t="s">
        <v>44</v>
      </c>
      <c r="H2273" t="s">
        <v>149</v>
      </c>
      <c r="I2273" t="s">
        <v>150</v>
      </c>
      <c r="J2273" t="s">
        <v>151</v>
      </c>
      <c r="K2273" t="s">
        <v>152</v>
      </c>
      <c r="L2273" t="s">
        <v>170</v>
      </c>
      <c r="M2273" t="s">
        <v>186</v>
      </c>
      <c r="N2273">
        <v>2</v>
      </c>
      <c r="O2273" s="4">
        <v>850</v>
      </c>
      <c r="P2273" s="4">
        <v>1300</v>
      </c>
      <c r="Q2273" s="7">
        <v>0.15</v>
      </c>
      <c r="R2273" t="s">
        <v>197</v>
      </c>
      <c r="S2273">
        <v>3</v>
      </c>
      <c r="T2273">
        <v>2600</v>
      </c>
      <c r="U2273">
        <v>390</v>
      </c>
      <c r="V2273">
        <v>2210</v>
      </c>
      <c r="W2273">
        <v>1700</v>
      </c>
      <c r="X2273">
        <v>510</v>
      </c>
      <c r="Y2273" s="8">
        <v>0.23076923076923078</v>
      </c>
      <c r="Z2273" t="s">
        <v>2995</v>
      </c>
      <c r="AA2273" t="str">
        <f>IF(AND(SalesCleanTable[[#This Row],[Discount %]]&gt;0, SalesCleanTable[[#This Row],[Profit]]&lt;0), "Discount loss", "Safe")</f>
        <v>Safe</v>
      </c>
      <c r="AB2273" s="25">
        <f>(SalesCleanTable[[#This Row],[Unit Price]] - SalesCleanTable[[#This Row],[Unit Cost]]) / SalesCleanTable[[#This Row],[Unit Price]]</f>
        <v>0.34615384615384615</v>
      </c>
      <c r="AC2273" t="str">
        <f>IF(SalesCleanTable[[#This Row],[Discount %]] &gt; SalesCleanTable[[#This Row],[Max Allowed Discount]], "Discount loss", "Safe")</f>
        <v>Safe</v>
      </c>
      <c r="AD2273" s="4">
        <f>SalesCleanTable[[#This Row],[Unit Price]] - SalesCleanTable[[#This Row],[Unit Cost]]</f>
        <v>450</v>
      </c>
      <c r="AE2273" s="41">
        <f>(SalesCleanTable[[#This Row],[Unit Price]] - SalesCleanTable[[#This Row],[Unit Cost]]) / SalesCleanTable[[#This Row],[Unit Price]]</f>
        <v>0.34615384615384615</v>
      </c>
    </row>
    <row r="2274" spans="1:31">
      <c r="A2274" t="s">
        <v>2460</v>
      </c>
      <c r="B2274" s="6">
        <v>45803</v>
      </c>
      <c r="C2274" t="s">
        <v>78</v>
      </c>
      <c r="D2274" t="s">
        <v>79</v>
      </c>
      <c r="E2274" t="s">
        <v>75</v>
      </c>
      <c r="F2274" t="s">
        <v>80</v>
      </c>
      <c r="G2274" t="s">
        <v>81</v>
      </c>
      <c r="H2274" t="s">
        <v>128</v>
      </c>
      <c r="I2274" t="s">
        <v>129</v>
      </c>
      <c r="J2274" t="s">
        <v>130</v>
      </c>
      <c r="K2274" t="s">
        <v>131</v>
      </c>
      <c r="L2274" t="s">
        <v>183</v>
      </c>
      <c r="M2274" t="s">
        <v>177</v>
      </c>
      <c r="N2274">
        <v>2</v>
      </c>
      <c r="O2274" s="4">
        <v>1200</v>
      </c>
      <c r="P2274" s="4">
        <v>1900</v>
      </c>
      <c r="Q2274" s="7">
        <v>0</v>
      </c>
      <c r="R2274" t="s">
        <v>187</v>
      </c>
      <c r="S2274">
        <v>4</v>
      </c>
      <c r="T2274">
        <v>3800</v>
      </c>
      <c r="U2274">
        <v>0</v>
      </c>
      <c r="V2274">
        <v>3800</v>
      </c>
      <c r="W2274">
        <v>2400</v>
      </c>
      <c r="X2274">
        <v>1400</v>
      </c>
      <c r="Y2274" s="8">
        <v>0.36842105263157893</v>
      </c>
      <c r="Z2274" t="s">
        <v>2996</v>
      </c>
      <c r="AA2274" t="str">
        <f>IF(AND(SalesCleanTable[[#This Row],[Discount %]]&gt;0, SalesCleanTable[[#This Row],[Profit]]&lt;0), "Discount loss", "Safe")</f>
        <v>Safe</v>
      </c>
      <c r="AB2274" s="25">
        <f>(SalesCleanTable[[#This Row],[Unit Price]] - SalesCleanTable[[#This Row],[Unit Cost]]) / SalesCleanTable[[#This Row],[Unit Price]]</f>
        <v>0.36842105263157893</v>
      </c>
      <c r="AC2274" t="str">
        <f>IF(SalesCleanTable[[#This Row],[Discount %]] &gt; SalesCleanTable[[#This Row],[Max Allowed Discount]], "Discount loss", "Safe")</f>
        <v>Safe</v>
      </c>
      <c r="AD2274" s="4">
        <f>SalesCleanTable[[#This Row],[Unit Price]] - SalesCleanTable[[#This Row],[Unit Cost]]</f>
        <v>700</v>
      </c>
      <c r="AE2274" s="41">
        <f>(SalesCleanTable[[#This Row],[Unit Price]] - SalesCleanTable[[#This Row],[Unit Cost]]) / SalesCleanTable[[#This Row],[Unit Price]]</f>
        <v>0.36842105263157893</v>
      </c>
    </row>
    <row r="2275" spans="1:31">
      <c r="A2275" t="s">
        <v>2461</v>
      </c>
      <c r="B2275" s="6">
        <v>45760</v>
      </c>
      <c r="C2275" t="s">
        <v>57</v>
      </c>
      <c r="D2275" t="s">
        <v>58</v>
      </c>
      <c r="E2275" t="s">
        <v>59</v>
      </c>
      <c r="F2275" t="s">
        <v>60</v>
      </c>
      <c r="G2275" t="s">
        <v>61</v>
      </c>
      <c r="H2275" t="s">
        <v>133</v>
      </c>
      <c r="I2275" t="s">
        <v>134</v>
      </c>
      <c r="J2275" t="s">
        <v>130</v>
      </c>
      <c r="K2275" t="s">
        <v>131</v>
      </c>
      <c r="L2275" t="s">
        <v>166</v>
      </c>
      <c r="M2275" t="s">
        <v>171</v>
      </c>
      <c r="N2275">
        <v>1</v>
      </c>
      <c r="O2275" s="4">
        <v>2400</v>
      </c>
      <c r="P2275" s="4">
        <v>3400</v>
      </c>
      <c r="Q2275" s="7">
        <v>0.15</v>
      </c>
      <c r="R2275" t="s">
        <v>192</v>
      </c>
      <c r="S2275">
        <v>7</v>
      </c>
      <c r="T2275">
        <v>3400</v>
      </c>
      <c r="U2275">
        <v>510</v>
      </c>
      <c r="V2275">
        <v>2890</v>
      </c>
      <c r="W2275">
        <v>2400</v>
      </c>
      <c r="X2275">
        <v>490</v>
      </c>
      <c r="Y2275" s="8">
        <v>0.16955017301038061</v>
      </c>
      <c r="Z2275" t="s">
        <v>2996</v>
      </c>
      <c r="AA2275" t="str">
        <f>IF(AND(SalesCleanTable[[#This Row],[Discount %]]&gt;0, SalesCleanTable[[#This Row],[Profit]]&lt;0), "Discount loss", "Safe")</f>
        <v>Safe</v>
      </c>
      <c r="AB2275" s="25">
        <f>(SalesCleanTable[[#This Row],[Unit Price]] - SalesCleanTable[[#This Row],[Unit Cost]]) / SalesCleanTable[[#This Row],[Unit Price]]</f>
        <v>0.29411764705882354</v>
      </c>
      <c r="AC2275" t="str">
        <f>IF(SalesCleanTable[[#This Row],[Discount %]] &gt; SalesCleanTable[[#This Row],[Max Allowed Discount]], "Discount loss", "Safe")</f>
        <v>Safe</v>
      </c>
      <c r="AD2275" s="4">
        <f>SalesCleanTable[[#This Row],[Unit Price]] - SalesCleanTable[[#This Row],[Unit Cost]]</f>
        <v>1000</v>
      </c>
      <c r="AE2275" s="41">
        <f>(SalesCleanTable[[#This Row],[Unit Price]] - SalesCleanTable[[#This Row],[Unit Cost]]) / SalesCleanTable[[#This Row],[Unit Price]]</f>
        <v>0.29411764705882354</v>
      </c>
    </row>
    <row r="2276" spans="1:31">
      <c r="A2276" t="s">
        <v>2462</v>
      </c>
      <c r="B2276" s="6">
        <v>46013</v>
      </c>
      <c r="C2276" t="s">
        <v>24</v>
      </c>
      <c r="D2276" t="s">
        <v>25</v>
      </c>
      <c r="E2276" t="s">
        <v>26</v>
      </c>
      <c r="F2276" t="s">
        <v>27</v>
      </c>
      <c r="G2276" t="s">
        <v>28</v>
      </c>
      <c r="H2276" t="s">
        <v>153</v>
      </c>
      <c r="I2276" t="s">
        <v>154</v>
      </c>
      <c r="J2276" t="s">
        <v>155</v>
      </c>
      <c r="K2276" t="s">
        <v>131</v>
      </c>
      <c r="L2276" t="s">
        <v>166</v>
      </c>
      <c r="M2276" t="s">
        <v>177</v>
      </c>
      <c r="N2276">
        <v>8</v>
      </c>
      <c r="O2276" s="4">
        <v>14500</v>
      </c>
      <c r="P2276" s="4">
        <v>17500</v>
      </c>
      <c r="Q2276" s="7">
        <v>0</v>
      </c>
      <c r="R2276" t="s">
        <v>194</v>
      </c>
      <c r="S2276">
        <v>5</v>
      </c>
      <c r="T2276">
        <v>140000</v>
      </c>
      <c r="U2276">
        <v>0</v>
      </c>
      <c r="V2276">
        <v>140000</v>
      </c>
      <c r="W2276">
        <v>116000</v>
      </c>
      <c r="X2276">
        <v>24000</v>
      </c>
      <c r="Y2276" s="8">
        <v>0.17142857142857143</v>
      </c>
      <c r="Z2276" t="s">
        <v>2995</v>
      </c>
      <c r="AA2276" t="str">
        <f>IF(AND(SalesCleanTable[[#This Row],[Discount %]]&gt;0, SalesCleanTable[[#This Row],[Profit]]&lt;0), "Discount loss", "Safe")</f>
        <v>Safe</v>
      </c>
      <c r="AB2276" s="25">
        <f>(SalesCleanTable[[#This Row],[Unit Price]] - SalesCleanTable[[#This Row],[Unit Cost]]) / SalesCleanTable[[#This Row],[Unit Price]]</f>
        <v>0.17142857142857143</v>
      </c>
      <c r="AC2276" t="str">
        <f>IF(SalesCleanTable[[#This Row],[Discount %]] &gt; SalesCleanTable[[#This Row],[Max Allowed Discount]], "Discount loss", "Safe")</f>
        <v>Safe</v>
      </c>
      <c r="AD2276" s="4">
        <f>SalesCleanTable[[#This Row],[Unit Price]] - SalesCleanTable[[#This Row],[Unit Cost]]</f>
        <v>3000</v>
      </c>
      <c r="AE2276" s="41">
        <f>(SalesCleanTable[[#This Row],[Unit Price]] - SalesCleanTable[[#This Row],[Unit Cost]]) / SalesCleanTable[[#This Row],[Unit Price]]</f>
        <v>0.17142857142857143</v>
      </c>
    </row>
    <row r="2277" spans="1:31">
      <c r="A2277" t="s">
        <v>2463</v>
      </c>
      <c r="B2277" s="6">
        <v>46008</v>
      </c>
      <c r="C2277" t="s">
        <v>82</v>
      </c>
      <c r="D2277" t="s">
        <v>83</v>
      </c>
      <c r="E2277" t="s">
        <v>75</v>
      </c>
      <c r="F2277" t="s">
        <v>84</v>
      </c>
      <c r="G2277" t="s">
        <v>85</v>
      </c>
      <c r="H2277" t="s">
        <v>149</v>
      </c>
      <c r="I2277" t="s">
        <v>150</v>
      </c>
      <c r="J2277" t="s">
        <v>151</v>
      </c>
      <c r="K2277" t="s">
        <v>152</v>
      </c>
      <c r="L2277" t="s">
        <v>183</v>
      </c>
      <c r="M2277" t="s">
        <v>186</v>
      </c>
      <c r="N2277">
        <v>1</v>
      </c>
      <c r="O2277" s="4">
        <v>600</v>
      </c>
      <c r="P2277" s="4">
        <v>950</v>
      </c>
      <c r="Q2277" s="7">
        <v>0.2</v>
      </c>
      <c r="R2277" t="s">
        <v>187</v>
      </c>
      <c r="S2277">
        <v>12</v>
      </c>
      <c r="T2277">
        <v>950</v>
      </c>
      <c r="U2277">
        <v>190</v>
      </c>
      <c r="V2277">
        <v>760</v>
      </c>
      <c r="W2277">
        <v>600</v>
      </c>
      <c r="X2277">
        <v>160</v>
      </c>
      <c r="Y2277" s="8">
        <v>0.21052631578947367</v>
      </c>
      <c r="Z2277" t="s">
        <v>2996</v>
      </c>
      <c r="AA2277" t="str">
        <f>IF(AND(SalesCleanTable[[#This Row],[Discount %]]&gt;0, SalesCleanTable[[#This Row],[Profit]]&lt;0), "Discount loss", "Safe")</f>
        <v>Safe</v>
      </c>
      <c r="AB2277" s="25">
        <f>(SalesCleanTable[[#This Row],[Unit Price]] - SalesCleanTable[[#This Row],[Unit Cost]]) / SalesCleanTable[[#This Row],[Unit Price]]</f>
        <v>0.36842105263157893</v>
      </c>
      <c r="AC2277" t="str">
        <f>IF(SalesCleanTable[[#This Row],[Discount %]] &gt; SalesCleanTable[[#This Row],[Max Allowed Discount]], "Discount loss", "Safe")</f>
        <v>Safe</v>
      </c>
      <c r="AD2277" s="4">
        <f>SalesCleanTable[[#This Row],[Unit Price]] - SalesCleanTable[[#This Row],[Unit Cost]]</f>
        <v>350</v>
      </c>
      <c r="AE2277" s="41">
        <f>(SalesCleanTable[[#This Row],[Unit Price]] - SalesCleanTable[[#This Row],[Unit Cost]]) / SalesCleanTable[[#This Row],[Unit Price]]</f>
        <v>0.36842105263157893</v>
      </c>
    </row>
    <row r="2278" spans="1:31">
      <c r="A2278" t="s">
        <v>2464</v>
      </c>
      <c r="B2278" s="6">
        <v>45839</v>
      </c>
      <c r="C2278" t="s">
        <v>24</v>
      </c>
      <c r="D2278" t="s">
        <v>25</v>
      </c>
      <c r="E2278" t="s">
        <v>26</v>
      </c>
      <c r="F2278" t="s">
        <v>27</v>
      </c>
      <c r="G2278" t="s">
        <v>28</v>
      </c>
      <c r="H2278" t="s">
        <v>139</v>
      </c>
      <c r="I2278" t="s">
        <v>140</v>
      </c>
      <c r="J2278" t="s">
        <v>137</v>
      </c>
      <c r="K2278" t="s">
        <v>138</v>
      </c>
      <c r="L2278" t="s">
        <v>166</v>
      </c>
      <c r="M2278" t="s">
        <v>177</v>
      </c>
      <c r="N2278">
        <v>2</v>
      </c>
      <c r="O2278" s="4">
        <v>14500</v>
      </c>
      <c r="P2278" s="4">
        <v>17500</v>
      </c>
      <c r="Q2278" s="7">
        <v>0</v>
      </c>
      <c r="R2278" t="s">
        <v>194</v>
      </c>
      <c r="S2278">
        <v>11</v>
      </c>
      <c r="T2278">
        <v>35000</v>
      </c>
      <c r="U2278">
        <v>0</v>
      </c>
      <c r="V2278">
        <v>35000</v>
      </c>
      <c r="W2278">
        <v>29000</v>
      </c>
      <c r="X2278">
        <v>6000</v>
      </c>
      <c r="Y2278" s="8">
        <v>0.17142857142857143</v>
      </c>
      <c r="Z2278" t="s">
        <v>2995</v>
      </c>
      <c r="AA2278" t="str">
        <f>IF(AND(SalesCleanTable[[#This Row],[Discount %]]&gt;0, SalesCleanTable[[#This Row],[Profit]]&lt;0), "Discount loss", "Safe")</f>
        <v>Safe</v>
      </c>
      <c r="AB2278" s="25">
        <f>(SalesCleanTable[[#This Row],[Unit Price]] - SalesCleanTable[[#This Row],[Unit Cost]]) / SalesCleanTable[[#This Row],[Unit Price]]</f>
        <v>0.17142857142857143</v>
      </c>
      <c r="AC2278" t="str">
        <f>IF(SalesCleanTable[[#This Row],[Discount %]] &gt; SalesCleanTable[[#This Row],[Max Allowed Discount]], "Discount loss", "Safe")</f>
        <v>Safe</v>
      </c>
      <c r="AD2278" s="4">
        <f>SalesCleanTable[[#This Row],[Unit Price]] - SalesCleanTable[[#This Row],[Unit Cost]]</f>
        <v>3000</v>
      </c>
      <c r="AE2278" s="41">
        <f>(SalesCleanTable[[#This Row],[Unit Price]] - SalesCleanTable[[#This Row],[Unit Cost]]) / SalesCleanTable[[#This Row],[Unit Price]]</f>
        <v>0.17142857142857143</v>
      </c>
    </row>
    <row r="2279" spans="1:31">
      <c r="A2279" t="s">
        <v>2465</v>
      </c>
      <c r="B2279" s="6">
        <v>45772</v>
      </c>
      <c r="C2279" t="s">
        <v>78</v>
      </c>
      <c r="D2279" t="s">
        <v>79</v>
      </c>
      <c r="E2279" t="s">
        <v>75</v>
      </c>
      <c r="F2279" t="s">
        <v>80</v>
      </c>
      <c r="G2279" t="s">
        <v>81</v>
      </c>
      <c r="H2279" t="s">
        <v>133</v>
      </c>
      <c r="I2279" t="s">
        <v>134</v>
      </c>
      <c r="J2279" t="s">
        <v>130</v>
      </c>
      <c r="K2279" t="s">
        <v>131</v>
      </c>
      <c r="L2279" t="s">
        <v>166</v>
      </c>
      <c r="M2279" t="s">
        <v>177</v>
      </c>
      <c r="N2279">
        <v>6</v>
      </c>
      <c r="O2279" s="4">
        <v>1200</v>
      </c>
      <c r="P2279" s="4">
        <v>1900</v>
      </c>
      <c r="Q2279" s="7">
        <v>0</v>
      </c>
      <c r="R2279" t="s">
        <v>204</v>
      </c>
      <c r="S2279">
        <v>5</v>
      </c>
      <c r="T2279">
        <v>11400</v>
      </c>
      <c r="U2279">
        <v>0</v>
      </c>
      <c r="V2279">
        <v>11400</v>
      </c>
      <c r="W2279">
        <v>7200</v>
      </c>
      <c r="X2279">
        <v>4200</v>
      </c>
      <c r="Y2279" s="8">
        <v>0.36842105263157893</v>
      </c>
      <c r="Z2279" t="s">
        <v>2996</v>
      </c>
      <c r="AA2279" t="str">
        <f>IF(AND(SalesCleanTable[[#This Row],[Discount %]]&gt;0, SalesCleanTable[[#This Row],[Profit]]&lt;0), "Discount loss", "Safe")</f>
        <v>Safe</v>
      </c>
      <c r="AB2279" s="25">
        <f>(SalesCleanTable[[#This Row],[Unit Price]] - SalesCleanTable[[#This Row],[Unit Cost]]) / SalesCleanTable[[#This Row],[Unit Price]]</f>
        <v>0.36842105263157893</v>
      </c>
      <c r="AC2279" t="str">
        <f>IF(SalesCleanTable[[#This Row],[Discount %]] &gt; SalesCleanTable[[#This Row],[Max Allowed Discount]], "Discount loss", "Safe")</f>
        <v>Safe</v>
      </c>
      <c r="AD2279" s="4">
        <f>SalesCleanTable[[#This Row],[Unit Price]] - SalesCleanTable[[#This Row],[Unit Cost]]</f>
        <v>700</v>
      </c>
      <c r="AE2279" s="41">
        <f>(SalesCleanTable[[#This Row],[Unit Price]] - SalesCleanTable[[#This Row],[Unit Cost]]) / SalesCleanTable[[#This Row],[Unit Price]]</f>
        <v>0.36842105263157893</v>
      </c>
    </row>
    <row r="2280" spans="1:31">
      <c r="A2280" t="s">
        <v>2466</v>
      </c>
      <c r="B2280" s="6">
        <v>45705</v>
      </c>
      <c r="C2280" t="s">
        <v>116</v>
      </c>
      <c r="D2280" t="s">
        <v>117</v>
      </c>
      <c r="E2280" t="s">
        <v>109</v>
      </c>
      <c r="F2280" t="s">
        <v>118</v>
      </c>
      <c r="G2280" t="s">
        <v>119</v>
      </c>
      <c r="H2280" t="s">
        <v>135</v>
      </c>
      <c r="I2280" t="s">
        <v>136</v>
      </c>
      <c r="J2280" t="s">
        <v>137</v>
      </c>
      <c r="K2280" t="s">
        <v>138</v>
      </c>
      <c r="L2280" t="s">
        <v>166</v>
      </c>
      <c r="M2280" t="s">
        <v>167</v>
      </c>
      <c r="N2280">
        <v>8</v>
      </c>
      <c r="O2280" s="4">
        <v>2800</v>
      </c>
      <c r="P2280" s="4">
        <v>4200</v>
      </c>
      <c r="Q2280" s="7">
        <v>0.1</v>
      </c>
      <c r="R2280" t="s">
        <v>220</v>
      </c>
      <c r="S2280">
        <v>2</v>
      </c>
      <c r="T2280">
        <v>33600</v>
      </c>
      <c r="U2280">
        <v>3360</v>
      </c>
      <c r="V2280">
        <v>30240</v>
      </c>
      <c r="W2280">
        <v>22400</v>
      </c>
      <c r="X2280">
        <v>7840</v>
      </c>
      <c r="Y2280" s="8">
        <v>0.25925925925925924</v>
      </c>
      <c r="Z2280" t="s">
        <v>2995</v>
      </c>
      <c r="AA2280" t="str">
        <f>IF(AND(SalesCleanTable[[#This Row],[Discount %]]&gt;0, SalesCleanTable[[#This Row],[Profit]]&lt;0), "Discount loss", "Safe")</f>
        <v>Safe</v>
      </c>
      <c r="AB2280" s="25">
        <f>(SalesCleanTable[[#This Row],[Unit Price]] - SalesCleanTable[[#This Row],[Unit Cost]]) / SalesCleanTable[[#This Row],[Unit Price]]</f>
        <v>0.33333333333333331</v>
      </c>
      <c r="AC2280" t="str">
        <f>IF(SalesCleanTable[[#This Row],[Discount %]] &gt; SalesCleanTable[[#This Row],[Max Allowed Discount]], "Discount loss", "Safe")</f>
        <v>Safe</v>
      </c>
      <c r="AD2280" s="4">
        <f>SalesCleanTable[[#This Row],[Unit Price]] - SalesCleanTable[[#This Row],[Unit Cost]]</f>
        <v>1400</v>
      </c>
      <c r="AE2280" s="41">
        <f>(SalesCleanTable[[#This Row],[Unit Price]] - SalesCleanTable[[#This Row],[Unit Cost]]) / SalesCleanTable[[#This Row],[Unit Price]]</f>
        <v>0.33333333333333331</v>
      </c>
    </row>
    <row r="2281" spans="1:31">
      <c r="A2281" t="s">
        <v>2467</v>
      </c>
      <c r="B2281" s="6">
        <v>45758</v>
      </c>
      <c r="C2281" t="s">
        <v>53</v>
      </c>
      <c r="D2281" t="s">
        <v>54</v>
      </c>
      <c r="E2281" t="s">
        <v>38</v>
      </c>
      <c r="F2281" t="s">
        <v>55</v>
      </c>
      <c r="G2281" t="s">
        <v>56</v>
      </c>
      <c r="H2281" t="s">
        <v>139</v>
      </c>
      <c r="I2281" t="s">
        <v>140</v>
      </c>
      <c r="J2281" t="s">
        <v>137</v>
      </c>
      <c r="K2281" t="s">
        <v>138</v>
      </c>
      <c r="L2281" t="s">
        <v>166</v>
      </c>
      <c r="M2281" t="s">
        <v>171</v>
      </c>
      <c r="N2281">
        <v>4</v>
      </c>
      <c r="O2281" s="4">
        <v>330</v>
      </c>
      <c r="P2281" s="4">
        <v>550</v>
      </c>
      <c r="Q2281" s="7">
        <v>0.05</v>
      </c>
      <c r="R2281" t="s">
        <v>178</v>
      </c>
      <c r="S2281">
        <v>7</v>
      </c>
      <c r="T2281">
        <v>2200</v>
      </c>
      <c r="U2281">
        <v>110</v>
      </c>
      <c r="V2281">
        <v>2090</v>
      </c>
      <c r="W2281">
        <v>1320</v>
      </c>
      <c r="X2281">
        <v>770</v>
      </c>
      <c r="Y2281" s="8">
        <v>0.36842105263157893</v>
      </c>
      <c r="Z2281" t="s">
        <v>2996</v>
      </c>
      <c r="AA2281" t="str">
        <f>IF(AND(SalesCleanTable[[#This Row],[Discount %]]&gt;0, SalesCleanTable[[#This Row],[Profit]]&lt;0), "Discount loss", "Safe")</f>
        <v>Safe</v>
      </c>
      <c r="AB2281" s="25">
        <f>(SalesCleanTable[[#This Row],[Unit Price]] - SalesCleanTable[[#This Row],[Unit Cost]]) / SalesCleanTable[[#This Row],[Unit Price]]</f>
        <v>0.4</v>
      </c>
      <c r="AC2281" t="str">
        <f>IF(SalesCleanTable[[#This Row],[Discount %]] &gt; SalesCleanTable[[#This Row],[Max Allowed Discount]], "Discount loss", "Safe")</f>
        <v>Safe</v>
      </c>
      <c r="AD2281" s="4">
        <f>SalesCleanTable[[#This Row],[Unit Price]] - SalesCleanTable[[#This Row],[Unit Cost]]</f>
        <v>220</v>
      </c>
      <c r="AE2281" s="41">
        <f>(SalesCleanTable[[#This Row],[Unit Price]] - SalesCleanTable[[#This Row],[Unit Cost]]) / SalesCleanTable[[#This Row],[Unit Price]]</f>
        <v>0.4</v>
      </c>
    </row>
    <row r="2282" spans="1:31">
      <c r="A2282" t="s">
        <v>2468</v>
      </c>
      <c r="B2282" s="6">
        <v>45764</v>
      </c>
      <c r="C2282" t="s">
        <v>95</v>
      </c>
      <c r="D2282" t="s">
        <v>96</v>
      </c>
      <c r="E2282" t="s">
        <v>92</v>
      </c>
      <c r="F2282" t="s">
        <v>97</v>
      </c>
      <c r="G2282" t="s">
        <v>98</v>
      </c>
      <c r="H2282" t="s">
        <v>141</v>
      </c>
      <c r="I2282" t="s">
        <v>142</v>
      </c>
      <c r="J2282" t="s">
        <v>143</v>
      </c>
      <c r="K2282" t="s">
        <v>144</v>
      </c>
      <c r="L2282" t="s">
        <v>183</v>
      </c>
      <c r="M2282" t="s">
        <v>171</v>
      </c>
      <c r="N2282">
        <v>1</v>
      </c>
      <c r="O2282" s="4">
        <v>18000</v>
      </c>
      <c r="P2282" s="4">
        <v>24500</v>
      </c>
      <c r="Q2282" s="7">
        <v>0.2</v>
      </c>
      <c r="R2282" t="s">
        <v>181</v>
      </c>
      <c r="S2282">
        <v>8</v>
      </c>
      <c r="T2282">
        <v>24500</v>
      </c>
      <c r="U2282">
        <v>4900</v>
      </c>
      <c r="V2282">
        <v>19600</v>
      </c>
      <c r="W2282">
        <v>18000</v>
      </c>
      <c r="X2282">
        <v>1600</v>
      </c>
      <c r="Y2282" s="8">
        <v>8.1632653061224483E-2</v>
      </c>
      <c r="Z2282" t="s">
        <v>2995</v>
      </c>
      <c r="AA2282" t="str">
        <f>IF(AND(SalesCleanTable[[#This Row],[Discount %]]&gt;0, SalesCleanTable[[#This Row],[Profit]]&lt;0), "Discount loss", "Safe")</f>
        <v>Safe</v>
      </c>
      <c r="AB2282" s="25">
        <f>(SalesCleanTable[[#This Row],[Unit Price]] - SalesCleanTable[[#This Row],[Unit Cost]]) / SalesCleanTable[[#This Row],[Unit Price]]</f>
        <v>0.26530612244897961</v>
      </c>
      <c r="AC2282" t="str">
        <f>IF(SalesCleanTable[[#This Row],[Discount %]] &gt; SalesCleanTable[[#This Row],[Max Allowed Discount]], "Discount loss", "Safe")</f>
        <v>Safe</v>
      </c>
      <c r="AD2282" s="4">
        <f>SalesCleanTable[[#This Row],[Unit Price]] - SalesCleanTable[[#This Row],[Unit Cost]]</f>
        <v>6500</v>
      </c>
      <c r="AE2282" s="41">
        <f>(SalesCleanTable[[#This Row],[Unit Price]] - SalesCleanTable[[#This Row],[Unit Cost]]) / SalesCleanTable[[#This Row],[Unit Price]]</f>
        <v>0.26530612244897961</v>
      </c>
    </row>
    <row r="2283" spans="1:31">
      <c r="A2283" t="s">
        <v>2469</v>
      </c>
      <c r="B2283" s="6">
        <v>45832</v>
      </c>
      <c r="C2283" t="s">
        <v>32</v>
      </c>
      <c r="D2283" t="s">
        <v>33</v>
      </c>
      <c r="E2283" t="s">
        <v>26</v>
      </c>
      <c r="F2283" t="s">
        <v>34</v>
      </c>
      <c r="G2283" t="s">
        <v>35</v>
      </c>
      <c r="H2283" t="s">
        <v>139</v>
      </c>
      <c r="I2283" t="s">
        <v>140</v>
      </c>
      <c r="J2283" t="s">
        <v>137</v>
      </c>
      <c r="K2283" t="s">
        <v>138</v>
      </c>
      <c r="L2283" t="s">
        <v>183</v>
      </c>
      <c r="M2283" t="s">
        <v>171</v>
      </c>
      <c r="N2283">
        <v>1</v>
      </c>
      <c r="O2283" s="4">
        <v>7800</v>
      </c>
      <c r="P2283" s="4">
        <v>9800</v>
      </c>
      <c r="Q2283" s="7">
        <v>0</v>
      </c>
      <c r="R2283" t="s">
        <v>173</v>
      </c>
      <c r="S2283">
        <v>4</v>
      </c>
      <c r="T2283">
        <v>9800</v>
      </c>
      <c r="U2283">
        <v>0</v>
      </c>
      <c r="V2283">
        <v>9800</v>
      </c>
      <c r="W2283">
        <v>7800</v>
      </c>
      <c r="X2283">
        <v>2000</v>
      </c>
      <c r="Y2283" s="8">
        <v>0.20408163265306123</v>
      </c>
      <c r="Z2283" t="s">
        <v>2995</v>
      </c>
      <c r="AA2283" t="str">
        <f>IF(AND(SalesCleanTable[[#This Row],[Discount %]]&gt;0, SalesCleanTable[[#This Row],[Profit]]&lt;0), "Discount loss", "Safe")</f>
        <v>Safe</v>
      </c>
      <c r="AB2283" s="25">
        <f>(SalesCleanTable[[#This Row],[Unit Price]] - SalesCleanTable[[#This Row],[Unit Cost]]) / SalesCleanTable[[#This Row],[Unit Price]]</f>
        <v>0.20408163265306123</v>
      </c>
      <c r="AC2283" t="str">
        <f>IF(SalesCleanTable[[#This Row],[Discount %]] &gt; SalesCleanTable[[#This Row],[Max Allowed Discount]], "Discount loss", "Safe")</f>
        <v>Safe</v>
      </c>
      <c r="AD2283" s="4">
        <f>SalesCleanTable[[#This Row],[Unit Price]] - SalesCleanTable[[#This Row],[Unit Cost]]</f>
        <v>2000</v>
      </c>
      <c r="AE2283" s="41">
        <f>(SalesCleanTable[[#This Row],[Unit Price]] - SalesCleanTable[[#This Row],[Unit Cost]]) / SalesCleanTable[[#This Row],[Unit Price]]</f>
        <v>0.20408163265306123</v>
      </c>
    </row>
    <row r="2284" spans="1:31">
      <c r="A2284" t="s">
        <v>2470</v>
      </c>
      <c r="B2284" s="6">
        <v>46015</v>
      </c>
      <c r="C2284" t="s">
        <v>36</v>
      </c>
      <c r="D2284" t="s">
        <v>37</v>
      </c>
      <c r="E2284" t="s">
        <v>38</v>
      </c>
      <c r="F2284" t="s">
        <v>39</v>
      </c>
      <c r="G2284" t="s">
        <v>40</v>
      </c>
      <c r="H2284" t="s">
        <v>149</v>
      </c>
      <c r="I2284" t="s">
        <v>150</v>
      </c>
      <c r="J2284" t="s">
        <v>151</v>
      </c>
      <c r="K2284" t="s">
        <v>152</v>
      </c>
      <c r="L2284" t="s">
        <v>166</v>
      </c>
      <c r="M2284" t="s">
        <v>171</v>
      </c>
      <c r="N2284">
        <v>2</v>
      </c>
      <c r="O2284" s="4">
        <v>1650</v>
      </c>
      <c r="P2284" s="4">
        <v>2200</v>
      </c>
      <c r="Q2284" s="7">
        <v>0</v>
      </c>
      <c r="R2284" t="s">
        <v>178</v>
      </c>
      <c r="S2284">
        <v>13</v>
      </c>
      <c r="T2284">
        <v>4400</v>
      </c>
      <c r="U2284">
        <v>0</v>
      </c>
      <c r="V2284">
        <v>4400</v>
      </c>
      <c r="W2284">
        <v>3300</v>
      </c>
      <c r="X2284">
        <v>1100</v>
      </c>
      <c r="Y2284" s="8">
        <v>0.25</v>
      </c>
      <c r="Z2284" t="s">
        <v>2995</v>
      </c>
      <c r="AA2284" t="str">
        <f>IF(AND(SalesCleanTable[[#This Row],[Discount %]]&gt;0, SalesCleanTable[[#This Row],[Profit]]&lt;0), "Discount loss", "Safe")</f>
        <v>Safe</v>
      </c>
      <c r="AB2284" s="25">
        <f>(SalesCleanTable[[#This Row],[Unit Price]] - SalesCleanTable[[#This Row],[Unit Cost]]) / SalesCleanTable[[#This Row],[Unit Price]]</f>
        <v>0.25</v>
      </c>
      <c r="AC2284" t="str">
        <f>IF(SalesCleanTable[[#This Row],[Discount %]] &gt; SalesCleanTable[[#This Row],[Max Allowed Discount]], "Discount loss", "Safe")</f>
        <v>Safe</v>
      </c>
      <c r="AD2284" s="4">
        <f>SalesCleanTable[[#This Row],[Unit Price]] - SalesCleanTable[[#This Row],[Unit Cost]]</f>
        <v>550</v>
      </c>
      <c r="AE2284" s="41">
        <f>(SalesCleanTable[[#This Row],[Unit Price]] - SalesCleanTable[[#This Row],[Unit Cost]]) / SalesCleanTable[[#This Row],[Unit Price]]</f>
        <v>0.25</v>
      </c>
    </row>
    <row r="2285" spans="1:31">
      <c r="A2285" t="s">
        <v>2471</v>
      </c>
      <c r="B2285" s="6">
        <v>45770</v>
      </c>
      <c r="C2285" t="s">
        <v>45</v>
      </c>
      <c r="D2285" t="s">
        <v>46</v>
      </c>
      <c r="E2285" t="s">
        <v>38</v>
      </c>
      <c r="F2285" t="s">
        <v>47</v>
      </c>
      <c r="G2285" t="s">
        <v>48</v>
      </c>
      <c r="H2285" t="s">
        <v>135</v>
      </c>
      <c r="I2285" t="s">
        <v>136</v>
      </c>
      <c r="J2285" t="s">
        <v>137</v>
      </c>
      <c r="K2285" t="s">
        <v>138</v>
      </c>
      <c r="L2285" t="s">
        <v>183</v>
      </c>
      <c r="M2285" t="s">
        <v>171</v>
      </c>
      <c r="N2285">
        <v>2</v>
      </c>
      <c r="O2285" s="4">
        <v>230</v>
      </c>
      <c r="P2285" s="4">
        <v>400</v>
      </c>
      <c r="Q2285" s="7">
        <v>0</v>
      </c>
      <c r="R2285" t="s">
        <v>175</v>
      </c>
      <c r="S2285">
        <v>10</v>
      </c>
      <c r="T2285">
        <v>800</v>
      </c>
      <c r="U2285">
        <v>0</v>
      </c>
      <c r="V2285">
        <v>800</v>
      </c>
      <c r="W2285">
        <v>460</v>
      </c>
      <c r="X2285">
        <v>340</v>
      </c>
      <c r="Y2285" s="8">
        <v>0.42499999999999999</v>
      </c>
      <c r="Z2285" t="s">
        <v>2995</v>
      </c>
      <c r="AA2285" t="str">
        <f>IF(AND(SalesCleanTable[[#This Row],[Discount %]]&gt;0, SalesCleanTable[[#This Row],[Profit]]&lt;0), "Discount loss", "Safe")</f>
        <v>Safe</v>
      </c>
      <c r="AB2285" s="25">
        <f>(SalesCleanTable[[#This Row],[Unit Price]] - SalesCleanTable[[#This Row],[Unit Cost]]) / SalesCleanTable[[#This Row],[Unit Price]]</f>
        <v>0.42499999999999999</v>
      </c>
      <c r="AC2285" t="str">
        <f>IF(SalesCleanTable[[#This Row],[Discount %]] &gt; SalesCleanTable[[#This Row],[Max Allowed Discount]], "Discount loss", "Safe")</f>
        <v>Safe</v>
      </c>
      <c r="AD2285" s="4">
        <f>SalesCleanTable[[#This Row],[Unit Price]] - SalesCleanTable[[#This Row],[Unit Cost]]</f>
        <v>170</v>
      </c>
      <c r="AE2285" s="41">
        <f>(SalesCleanTable[[#This Row],[Unit Price]] - SalesCleanTable[[#This Row],[Unit Cost]]) / SalesCleanTable[[#This Row],[Unit Price]]</f>
        <v>0.42499999999999999</v>
      </c>
    </row>
    <row r="2286" spans="1:31">
      <c r="A2286" t="s">
        <v>2472</v>
      </c>
      <c r="B2286" s="6">
        <v>45663</v>
      </c>
      <c r="C2286" t="s">
        <v>36</v>
      </c>
      <c r="D2286" t="s">
        <v>37</v>
      </c>
      <c r="E2286" t="s">
        <v>38</v>
      </c>
      <c r="F2286" t="s">
        <v>39</v>
      </c>
      <c r="G2286" t="s">
        <v>40</v>
      </c>
      <c r="H2286" t="s">
        <v>149</v>
      </c>
      <c r="I2286" t="s">
        <v>150</v>
      </c>
      <c r="J2286" t="s">
        <v>151</v>
      </c>
      <c r="K2286" t="s">
        <v>152</v>
      </c>
      <c r="L2286" t="s">
        <v>166</v>
      </c>
      <c r="M2286" t="s">
        <v>171</v>
      </c>
      <c r="N2286">
        <v>5</v>
      </c>
      <c r="O2286" s="4">
        <v>1650</v>
      </c>
      <c r="P2286" s="4">
        <v>2200</v>
      </c>
      <c r="Q2286" s="7">
        <v>0.05</v>
      </c>
      <c r="R2286" t="s">
        <v>178</v>
      </c>
      <c r="S2286">
        <v>7</v>
      </c>
      <c r="T2286">
        <v>11000</v>
      </c>
      <c r="U2286">
        <v>550</v>
      </c>
      <c r="V2286">
        <v>10450</v>
      </c>
      <c r="W2286">
        <v>8250</v>
      </c>
      <c r="X2286">
        <v>2200</v>
      </c>
      <c r="Y2286" s="8">
        <v>0.21052631578947367</v>
      </c>
      <c r="Z2286" t="s">
        <v>2995</v>
      </c>
      <c r="AA2286" t="str">
        <f>IF(AND(SalesCleanTable[[#This Row],[Discount %]]&gt;0, SalesCleanTable[[#This Row],[Profit]]&lt;0), "Discount loss", "Safe")</f>
        <v>Safe</v>
      </c>
      <c r="AB2286" s="25">
        <f>(SalesCleanTable[[#This Row],[Unit Price]] - SalesCleanTable[[#This Row],[Unit Cost]]) / SalesCleanTable[[#This Row],[Unit Price]]</f>
        <v>0.25</v>
      </c>
      <c r="AC2286" t="str">
        <f>IF(SalesCleanTable[[#This Row],[Discount %]] &gt; SalesCleanTable[[#This Row],[Max Allowed Discount]], "Discount loss", "Safe")</f>
        <v>Safe</v>
      </c>
      <c r="AD2286" s="4">
        <f>SalesCleanTable[[#This Row],[Unit Price]] - SalesCleanTable[[#This Row],[Unit Cost]]</f>
        <v>550</v>
      </c>
      <c r="AE2286" s="41">
        <f>(SalesCleanTable[[#This Row],[Unit Price]] - SalesCleanTable[[#This Row],[Unit Cost]]) / SalesCleanTable[[#This Row],[Unit Price]]</f>
        <v>0.25</v>
      </c>
    </row>
    <row r="2287" spans="1:31">
      <c r="A2287" t="s">
        <v>2473</v>
      </c>
      <c r="B2287" s="6">
        <v>45679</v>
      </c>
      <c r="C2287" t="s">
        <v>45</v>
      </c>
      <c r="D2287" t="s">
        <v>46</v>
      </c>
      <c r="E2287" t="s">
        <v>38</v>
      </c>
      <c r="F2287" t="s">
        <v>47</v>
      </c>
      <c r="G2287" t="s">
        <v>48</v>
      </c>
      <c r="H2287" t="s">
        <v>139</v>
      </c>
      <c r="I2287" t="s">
        <v>140</v>
      </c>
      <c r="J2287" t="s">
        <v>137</v>
      </c>
      <c r="K2287" t="s">
        <v>138</v>
      </c>
      <c r="L2287" t="s">
        <v>183</v>
      </c>
      <c r="M2287" t="s">
        <v>177</v>
      </c>
      <c r="N2287">
        <v>1</v>
      </c>
      <c r="O2287" s="4">
        <v>230</v>
      </c>
      <c r="P2287" s="4">
        <v>400</v>
      </c>
      <c r="Q2287" s="7">
        <v>0.05</v>
      </c>
      <c r="R2287" t="s">
        <v>178</v>
      </c>
      <c r="S2287">
        <v>1</v>
      </c>
      <c r="T2287">
        <v>400</v>
      </c>
      <c r="U2287">
        <v>20</v>
      </c>
      <c r="V2287">
        <v>380</v>
      </c>
      <c r="W2287">
        <v>230</v>
      </c>
      <c r="X2287">
        <v>150</v>
      </c>
      <c r="Y2287" s="8">
        <v>0.39473684210526316</v>
      </c>
      <c r="Z2287" t="s">
        <v>2995</v>
      </c>
      <c r="AA2287" t="str">
        <f>IF(AND(SalesCleanTable[[#This Row],[Discount %]]&gt;0, SalesCleanTable[[#This Row],[Profit]]&lt;0), "Discount loss", "Safe")</f>
        <v>Safe</v>
      </c>
      <c r="AB2287" s="25">
        <f>(SalesCleanTable[[#This Row],[Unit Price]] - SalesCleanTable[[#This Row],[Unit Cost]]) / SalesCleanTable[[#This Row],[Unit Price]]</f>
        <v>0.42499999999999999</v>
      </c>
      <c r="AC2287" t="str">
        <f>IF(SalesCleanTable[[#This Row],[Discount %]] &gt; SalesCleanTable[[#This Row],[Max Allowed Discount]], "Discount loss", "Safe")</f>
        <v>Safe</v>
      </c>
      <c r="AD2287" s="4">
        <f>SalesCleanTable[[#This Row],[Unit Price]] - SalesCleanTable[[#This Row],[Unit Cost]]</f>
        <v>170</v>
      </c>
      <c r="AE2287" s="41">
        <f>(SalesCleanTable[[#This Row],[Unit Price]] - SalesCleanTable[[#This Row],[Unit Cost]]) / SalesCleanTable[[#This Row],[Unit Price]]</f>
        <v>0.42499999999999999</v>
      </c>
    </row>
    <row r="2288" spans="1:31">
      <c r="A2288" t="s">
        <v>2474</v>
      </c>
      <c r="B2288" s="6">
        <v>45774</v>
      </c>
      <c r="C2288" t="s">
        <v>57</v>
      </c>
      <c r="D2288" t="s">
        <v>58</v>
      </c>
      <c r="E2288" t="s">
        <v>59</v>
      </c>
      <c r="F2288" t="s">
        <v>60</v>
      </c>
      <c r="G2288" t="s">
        <v>61</v>
      </c>
      <c r="H2288" t="s">
        <v>135</v>
      </c>
      <c r="I2288" t="s">
        <v>136</v>
      </c>
      <c r="J2288" t="s">
        <v>137</v>
      </c>
      <c r="K2288" t="s">
        <v>138</v>
      </c>
      <c r="L2288" t="s">
        <v>170</v>
      </c>
      <c r="M2288" t="s">
        <v>177</v>
      </c>
      <c r="N2288">
        <v>6</v>
      </c>
      <c r="O2288" s="4">
        <v>2400</v>
      </c>
      <c r="P2288" s="4">
        <v>3400</v>
      </c>
      <c r="Q2288" s="7">
        <v>0.05</v>
      </c>
      <c r="R2288" t="s">
        <v>204</v>
      </c>
      <c r="S2288">
        <v>12</v>
      </c>
      <c r="T2288">
        <v>20400</v>
      </c>
      <c r="U2288">
        <v>1020</v>
      </c>
      <c r="V2288">
        <v>19380</v>
      </c>
      <c r="W2288">
        <v>14400</v>
      </c>
      <c r="X2288">
        <v>4980</v>
      </c>
      <c r="Y2288" s="8">
        <v>0.25696594427244585</v>
      </c>
      <c r="Z2288" t="s">
        <v>2996</v>
      </c>
      <c r="AA2288" t="str">
        <f>IF(AND(SalesCleanTable[[#This Row],[Discount %]]&gt;0, SalesCleanTable[[#This Row],[Profit]]&lt;0), "Discount loss", "Safe")</f>
        <v>Safe</v>
      </c>
      <c r="AB2288" s="25">
        <f>(SalesCleanTable[[#This Row],[Unit Price]] - SalesCleanTable[[#This Row],[Unit Cost]]) / SalesCleanTable[[#This Row],[Unit Price]]</f>
        <v>0.29411764705882354</v>
      </c>
      <c r="AC2288" t="str">
        <f>IF(SalesCleanTable[[#This Row],[Discount %]] &gt; SalesCleanTable[[#This Row],[Max Allowed Discount]], "Discount loss", "Safe")</f>
        <v>Safe</v>
      </c>
      <c r="AD2288" s="4">
        <f>SalesCleanTable[[#This Row],[Unit Price]] - SalesCleanTable[[#This Row],[Unit Cost]]</f>
        <v>1000</v>
      </c>
      <c r="AE2288" s="41">
        <f>(SalesCleanTable[[#This Row],[Unit Price]] - SalesCleanTable[[#This Row],[Unit Cost]]) / SalesCleanTable[[#This Row],[Unit Price]]</f>
        <v>0.29411764705882354</v>
      </c>
    </row>
    <row r="2289" spans="1:31">
      <c r="A2289" t="s">
        <v>2475</v>
      </c>
      <c r="B2289" s="6">
        <v>45822</v>
      </c>
      <c r="C2289" t="s">
        <v>90</v>
      </c>
      <c r="D2289" t="s">
        <v>91</v>
      </c>
      <c r="E2289" t="s">
        <v>92</v>
      </c>
      <c r="F2289" t="s">
        <v>93</v>
      </c>
      <c r="G2289" t="s">
        <v>94</v>
      </c>
      <c r="H2289" t="s">
        <v>141</v>
      </c>
      <c r="I2289" t="s">
        <v>142</v>
      </c>
      <c r="J2289" t="s">
        <v>143</v>
      </c>
      <c r="K2289" t="s">
        <v>144</v>
      </c>
      <c r="L2289" t="s">
        <v>183</v>
      </c>
      <c r="M2289" t="s">
        <v>186</v>
      </c>
      <c r="N2289">
        <v>5</v>
      </c>
      <c r="O2289" s="4">
        <v>7500</v>
      </c>
      <c r="P2289" s="4">
        <v>10500</v>
      </c>
      <c r="Q2289" s="7">
        <v>0</v>
      </c>
      <c r="R2289" t="s">
        <v>181</v>
      </c>
      <c r="S2289">
        <v>5</v>
      </c>
      <c r="T2289">
        <v>52500</v>
      </c>
      <c r="U2289">
        <v>0</v>
      </c>
      <c r="V2289">
        <v>52500</v>
      </c>
      <c r="W2289">
        <v>37500</v>
      </c>
      <c r="X2289">
        <v>15000</v>
      </c>
      <c r="Y2289" s="8">
        <v>0.2857142857142857</v>
      </c>
      <c r="Z2289" t="s">
        <v>2996</v>
      </c>
      <c r="AA2289" t="str">
        <f>IF(AND(SalesCleanTable[[#This Row],[Discount %]]&gt;0, SalesCleanTable[[#This Row],[Profit]]&lt;0), "Discount loss", "Safe")</f>
        <v>Safe</v>
      </c>
      <c r="AB2289" s="25">
        <f>(SalesCleanTable[[#This Row],[Unit Price]] - SalesCleanTable[[#This Row],[Unit Cost]]) / SalesCleanTable[[#This Row],[Unit Price]]</f>
        <v>0.2857142857142857</v>
      </c>
      <c r="AC2289" t="str">
        <f>IF(SalesCleanTable[[#This Row],[Discount %]] &gt; SalesCleanTable[[#This Row],[Max Allowed Discount]], "Discount loss", "Safe")</f>
        <v>Safe</v>
      </c>
      <c r="AD2289" s="4">
        <f>SalesCleanTable[[#This Row],[Unit Price]] - SalesCleanTable[[#This Row],[Unit Cost]]</f>
        <v>3000</v>
      </c>
      <c r="AE2289" s="41">
        <f>(SalesCleanTable[[#This Row],[Unit Price]] - SalesCleanTable[[#This Row],[Unit Cost]]) / SalesCleanTable[[#This Row],[Unit Price]]</f>
        <v>0.2857142857142857</v>
      </c>
    </row>
    <row r="2290" spans="1:31">
      <c r="A2290" t="s">
        <v>2476</v>
      </c>
      <c r="B2290" s="6">
        <v>45683</v>
      </c>
      <c r="C2290" t="s">
        <v>45</v>
      </c>
      <c r="D2290" t="s">
        <v>46</v>
      </c>
      <c r="E2290" t="s">
        <v>38</v>
      </c>
      <c r="F2290" t="s">
        <v>47</v>
      </c>
      <c r="G2290" t="s">
        <v>48</v>
      </c>
      <c r="H2290" t="s">
        <v>149</v>
      </c>
      <c r="I2290" t="s">
        <v>150</v>
      </c>
      <c r="J2290" t="s">
        <v>151</v>
      </c>
      <c r="K2290" t="s">
        <v>152</v>
      </c>
      <c r="L2290" t="s">
        <v>166</v>
      </c>
      <c r="M2290" t="s">
        <v>186</v>
      </c>
      <c r="N2290">
        <v>3</v>
      </c>
      <c r="O2290" s="4">
        <v>230</v>
      </c>
      <c r="P2290" s="4">
        <v>400</v>
      </c>
      <c r="Q2290" s="7">
        <v>0.1</v>
      </c>
      <c r="R2290" t="s">
        <v>168</v>
      </c>
      <c r="S2290">
        <v>5</v>
      </c>
      <c r="T2290">
        <v>1200</v>
      </c>
      <c r="U2290">
        <v>120</v>
      </c>
      <c r="V2290">
        <v>1080</v>
      </c>
      <c r="W2290">
        <v>690</v>
      </c>
      <c r="X2290">
        <v>390</v>
      </c>
      <c r="Y2290" s="8">
        <v>0.3611111111111111</v>
      </c>
      <c r="Z2290" t="s">
        <v>2995</v>
      </c>
      <c r="AA2290" t="str">
        <f>IF(AND(SalesCleanTable[[#This Row],[Discount %]]&gt;0, SalesCleanTable[[#This Row],[Profit]]&lt;0), "Discount loss", "Safe")</f>
        <v>Safe</v>
      </c>
      <c r="AB2290" s="25">
        <f>(SalesCleanTable[[#This Row],[Unit Price]] - SalesCleanTable[[#This Row],[Unit Cost]]) / SalesCleanTable[[#This Row],[Unit Price]]</f>
        <v>0.42499999999999999</v>
      </c>
      <c r="AC2290" t="str">
        <f>IF(SalesCleanTable[[#This Row],[Discount %]] &gt; SalesCleanTable[[#This Row],[Max Allowed Discount]], "Discount loss", "Safe")</f>
        <v>Safe</v>
      </c>
      <c r="AD2290" s="4">
        <f>SalesCleanTable[[#This Row],[Unit Price]] - SalesCleanTable[[#This Row],[Unit Cost]]</f>
        <v>170</v>
      </c>
      <c r="AE2290" s="41">
        <f>(SalesCleanTable[[#This Row],[Unit Price]] - SalesCleanTable[[#This Row],[Unit Cost]]) / SalesCleanTable[[#This Row],[Unit Price]]</f>
        <v>0.42499999999999999</v>
      </c>
    </row>
    <row r="2291" spans="1:31">
      <c r="A2291" t="s">
        <v>2477</v>
      </c>
      <c r="B2291" s="6">
        <v>45892</v>
      </c>
      <c r="C2291" t="s">
        <v>24</v>
      </c>
      <c r="D2291" t="s">
        <v>25</v>
      </c>
      <c r="E2291" t="s">
        <v>26</v>
      </c>
      <c r="F2291" t="s">
        <v>27</v>
      </c>
      <c r="G2291" t="s">
        <v>28</v>
      </c>
      <c r="H2291" t="s">
        <v>145</v>
      </c>
      <c r="I2291" t="s">
        <v>146</v>
      </c>
      <c r="J2291" t="s">
        <v>147</v>
      </c>
      <c r="K2291" t="s">
        <v>148</v>
      </c>
      <c r="L2291" t="s">
        <v>183</v>
      </c>
      <c r="M2291" t="s">
        <v>171</v>
      </c>
      <c r="N2291">
        <v>1</v>
      </c>
      <c r="O2291" s="4">
        <v>14500</v>
      </c>
      <c r="P2291" s="4">
        <v>17500</v>
      </c>
      <c r="Q2291" s="7">
        <v>0.1</v>
      </c>
      <c r="R2291" t="s">
        <v>194</v>
      </c>
      <c r="S2291">
        <v>7</v>
      </c>
      <c r="T2291">
        <v>17500</v>
      </c>
      <c r="U2291">
        <v>1750</v>
      </c>
      <c r="V2291">
        <v>15750</v>
      </c>
      <c r="W2291">
        <v>14500</v>
      </c>
      <c r="X2291">
        <v>1250</v>
      </c>
      <c r="Y2291" s="8">
        <v>7.9365079365079361E-2</v>
      </c>
      <c r="Z2291" t="s">
        <v>2995</v>
      </c>
      <c r="AA2291" t="str">
        <f>IF(AND(SalesCleanTable[[#This Row],[Discount %]]&gt;0, SalesCleanTable[[#This Row],[Profit]]&lt;0), "Discount loss", "Safe")</f>
        <v>Safe</v>
      </c>
      <c r="AB2291" s="25">
        <f>(SalesCleanTable[[#This Row],[Unit Price]] - SalesCleanTable[[#This Row],[Unit Cost]]) / SalesCleanTable[[#This Row],[Unit Price]]</f>
        <v>0.17142857142857143</v>
      </c>
      <c r="AC2291" t="str">
        <f>IF(SalesCleanTable[[#This Row],[Discount %]] &gt; SalesCleanTable[[#This Row],[Max Allowed Discount]], "Discount loss", "Safe")</f>
        <v>Safe</v>
      </c>
      <c r="AD2291" s="4">
        <f>SalesCleanTable[[#This Row],[Unit Price]] - SalesCleanTable[[#This Row],[Unit Cost]]</f>
        <v>3000</v>
      </c>
      <c r="AE2291" s="41">
        <f>(SalesCleanTable[[#This Row],[Unit Price]] - SalesCleanTable[[#This Row],[Unit Cost]]) / SalesCleanTable[[#This Row],[Unit Price]]</f>
        <v>0.17142857142857143</v>
      </c>
    </row>
    <row r="2292" spans="1:31">
      <c r="A2292" t="s">
        <v>2478</v>
      </c>
      <c r="B2292" s="6">
        <v>45870</v>
      </c>
      <c r="C2292" t="s">
        <v>103</v>
      </c>
      <c r="D2292" t="s">
        <v>104</v>
      </c>
      <c r="E2292" t="s">
        <v>92</v>
      </c>
      <c r="F2292" t="s">
        <v>105</v>
      </c>
      <c r="G2292" t="s">
        <v>106</v>
      </c>
      <c r="H2292" t="s">
        <v>128</v>
      </c>
      <c r="I2292" t="s">
        <v>129</v>
      </c>
      <c r="J2292" t="s">
        <v>130</v>
      </c>
      <c r="K2292" t="s">
        <v>131</v>
      </c>
      <c r="L2292" t="s">
        <v>166</v>
      </c>
      <c r="M2292" t="s">
        <v>171</v>
      </c>
      <c r="N2292">
        <v>6</v>
      </c>
      <c r="O2292" s="4">
        <v>1500</v>
      </c>
      <c r="P2292" s="4">
        <v>2500</v>
      </c>
      <c r="Q2292" s="7">
        <v>0.1</v>
      </c>
      <c r="R2292" t="s">
        <v>181</v>
      </c>
      <c r="S2292">
        <v>6</v>
      </c>
      <c r="T2292">
        <v>15000</v>
      </c>
      <c r="U2292">
        <v>1500</v>
      </c>
      <c r="V2292">
        <v>13500</v>
      </c>
      <c r="W2292">
        <v>9000</v>
      </c>
      <c r="X2292">
        <v>4500</v>
      </c>
      <c r="Y2292" s="8">
        <v>0.33333333333333331</v>
      </c>
      <c r="Z2292" t="s">
        <v>2996</v>
      </c>
      <c r="AA2292" t="str">
        <f>IF(AND(SalesCleanTable[[#This Row],[Discount %]]&gt;0, SalesCleanTable[[#This Row],[Profit]]&lt;0), "Discount loss", "Safe")</f>
        <v>Safe</v>
      </c>
      <c r="AB2292" s="25">
        <f>(SalesCleanTable[[#This Row],[Unit Price]] - SalesCleanTable[[#This Row],[Unit Cost]]) / SalesCleanTable[[#This Row],[Unit Price]]</f>
        <v>0.4</v>
      </c>
      <c r="AC2292" t="str">
        <f>IF(SalesCleanTable[[#This Row],[Discount %]] &gt; SalesCleanTable[[#This Row],[Max Allowed Discount]], "Discount loss", "Safe")</f>
        <v>Safe</v>
      </c>
      <c r="AD2292" s="4">
        <f>SalesCleanTable[[#This Row],[Unit Price]] - SalesCleanTable[[#This Row],[Unit Cost]]</f>
        <v>1000</v>
      </c>
      <c r="AE2292" s="41">
        <f>(SalesCleanTable[[#This Row],[Unit Price]] - SalesCleanTable[[#This Row],[Unit Cost]]) / SalesCleanTable[[#This Row],[Unit Price]]</f>
        <v>0.4</v>
      </c>
    </row>
    <row r="2293" spans="1:31">
      <c r="A2293" t="s">
        <v>2479</v>
      </c>
      <c r="B2293" s="6">
        <v>46013</v>
      </c>
      <c r="C2293" t="s">
        <v>29</v>
      </c>
      <c r="D2293" t="s">
        <v>30</v>
      </c>
      <c r="E2293" t="s">
        <v>26</v>
      </c>
      <c r="F2293" t="s">
        <v>27</v>
      </c>
      <c r="G2293" t="s">
        <v>31</v>
      </c>
      <c r="H2293" t="s">
        <v>135</v>
      </c>
      <c r="I2293" t="s">
        <v>136</v>
      </c>
      <c r="J2293" t="s">
        <v>137</v>
      </c>
      <c r="K2293" t="s">
        <v>138</v>
      </c>
      <c r="L2293" t="s">
        <v>166</v>
      </c>
      <c r="M2293" t="s">
        <v>177</v>
      </c>
      <c r="N2293">
        <v>3</v>
      </c>
      <c r="O2293" s="4">
        <v>6200</v>
      </c>
      <c r="P2293" s="4">
        <v>7900</v>
      </c>
      <c r="Q2293" s="7">
        <v>0.1</v>
      </c>
      <c r="R2293" t="s">
        <v>194</v>
      </c>
      <c r="S2293">
        <v>8</v>
      </c>
      <c r="T2293">
        <v>23700</v>
      </c>
      <c r="U2293">
        <v>2370</v>
      </c>
      <c r="V2293">
        <v>21330</v>
      </c>
      <c r="W2293">
        <v>18600</v>
      </c>
      <c r="X2293">
        <v>2730</v>
      </c>
      <c r="Y2293" s="8">
        <v>0.12798874824191281</v>
      </c>
      <c r="Z2293" t="s">
        <v>2996</v>
      </c>
      <c r="AA2293" t="str">
        <f>IF(AND(SalesCleanTable[[#This Row],[Discount %]]&gt;0, SalesCleanTable[[#This Row],[Profit]]&lt;0), "Discount loss", "Safe")</f>
        <v>Safe</v>
      </c>
      <c r="AB2293" s="25">
        <f>(SalesCleanTable[[#This Row],[Unit Price]] - SalesCleanTable[[#This Row],[Unit Cost]]) / SalesCleanTable[[#This Row],[Unit Price]]</f>
        <v>0.21518987341772153</v>
      </c>
      <c r="AC2293" t="str">
        <f>IF(SalesCleanTable[[#This Row],[Discount %]] &gt; SalesCleanTable[[#This Row],[Max Allowed Discount]], "Discount loss", "Safe")</f>
        <v>Safe</v>
      </c>
      <c r="AD2293" s="4">
        <f>SalesCleanTable[[#This Row],[Unit Price]] - SalesCleanTable[[#This Row],[Unit Cost]]</f>
        <v>1700</v>
      </c>
      <c r="AE2293" s="41">
        <f>(SalesCleanTable[[#This Row],[Unit Price]] - SalesCleanTable[[#This Row],[Unit Cost]]) / SalesCleanTable[[#This Row],[Unit Price]]</f>
        <v>0.21518987341772153</v>
      </c>
    </row>
    <row r="2294" spans="1:31">
      <c r="A2294" t="s">
        <v>2480</v>
      </c>
      <c r="B2294" s="6">
        <v>45743</v>
      </c>
      <c r="C2294" t="s">
        <v>66</v>
      </c>
      <c r="D2294" t="s">
        <v>67</v>
      </c>
      <c r="E2294" t="s">
        <v>59</v>
      </c>
      <c r="F2294" t="s">
        <v>60</v>
      </c>
      <c r="G2294" t="s">
        <v>68</v>
      </c>
      <c r="H2294" t="s">
        <v>128</v>
      </c>
      <c r="I2294" t="s">
        <v>129</v>
      </c>
      <c r="J2294" t="s">
        <v>130</v>
      </c>
      <c r="K2294" t="s">
        <v>131</v>
      </c>
      <c r="L2294" t="s">
        <v>166</v>
      </c>
      <c r="M2294" t="s">
        <v>186</v>
      </c>
      <c r="N2294">
        <v>5</v>
      </c>
      <c r="O2294" s="4">
        <v>2800</v>
      </c>
      <c r="P2294" s="4">
        <v>3900</v>
      </c>
      <c r="Q2294" s="7">
        <v>0.05</v>
      </c>
      <c r="R2294" t="s">
        <v>173</v>
      </c>
      <c r="S2294">
        <v>7</v>
      </c>
      <c r="T2294">
        <v>19500</v>
      </c>
      <c r="U2294">
        <v>975</v>
      </c>
      <c r="V2294">
        <v>18525</v>
      </c>
      <c r="W2294">
        <v>14000</v>
      </c>
      <c r="X2294">
        <v>4525</v>
      </c>
      <c r="Y2294" s="8">
        <v>0.24426450742240216</v>
      </c>
      <c r="Z2294" t="s">
        <v>2996</v>
      </c>
      <c r="AA2294" t="str">
        <f>IF(AND(SalesCleanTable[[#This Row],[Discount %]]&gt;0, SalesCleanTable[[#This Row],[Profit]]&lt;0), "Discount loss", "Safe")</f>
        <v>Safe</v>
      </c>
      <c r="AB2294" s="25">
        <f>(SalesCleanTable[[#This Row],[Unit Price]] - SalesCleanTable[[#This Row],[Unit Cost]]) / SalesCleanTable[[#This Row],[Unit Price]]</f>
        <v>0.28205128205128205</v>
      </c>
      <c r="AC2294" t="str">
        <f>IF(SalesCleanTable[[#This Row],[Discount %]] &gt; SalesCleanTable[[#This Row],[Max Allowed Discount]], "Discount loss", "Safe")</f>
        <v>Safe</v>
      </c>
      <c r="AD2294" s="4">
        <f>SalesCleanTable[[#This Row],[Unit Price]] - SalesCleanTable[[#This Row],[Unit Cost]]</f>
        <v>1100</v>
      </c>
      <c r="AE2294" s="41">
        <f>(SalesCleanTable[[#This Row],[Unit Price]] - SalesCleanTable[[#This Row],[Unit Cost]]) / SalesCleanTable[[#This Row],[Unit Price]]</f>
        <v>0.28205128205128205</v>
      </c>
    </row>
    <row r="2295" spans="1:31">
      <c r="A2295" t="s">
        <v>2481</v>
      </c>
      <c r="B2295" s="6">
        <v>45778</v>
      </c>
      <c r="C2295" t="s">
        <v>49</v>
      </c>
      <c r="D2295" t="s">
        <v>50</v>
      </c>
      <c r="E2295" t="s">
        <v>38</v>
      </c>
      <c r="F2295" t="s">
        <v>51</v>
      </c>
      <c r="G2295" t="s">
        <v>52</v>
      </c>
      <c r="H2295" t="s">
        <v>145</v>
      </c>
      <c r="I2295" t="s">
        <v>146</v>
      </c>
      <c r="J2295" t="s">
        <v>147</v>
      </c>
      <c r="K2295" t="s">
        <v>148</v>
      </c>
      <c r="L2295" t="s">
        <v>166</v>
      </c>
      <c r="M2295" t="s">
        <v>171</v>
      </c>
      <c r="N2295">
        <v>2</v>
      </c>
      <c r="O2295" s="4">
        <v>550</v>
      </c>
      <c r="P2295" s="4">
        <v>850</v>
      </c>
      <c r="Q2295" s="7">
        <v>0.05</v>
      </c>
      <c r="R2295" t="s">
        <v>175</v>
      </c>
      <c r="S2295">
        <v>5</v>
      </c>
      <c r="T2295">
        <v>1700</v>
      </c>
      <c r="U2295">
        <v>85</v>
      </c>
      <c r="V2295">
        <v>1615</v>
      </c>
      <c r="W2295">
        <v>1100</v>
      </c>
      <c r="X2295">
        <v>515</v>
      </c>
      <c r="Y2295" s="8">
        <v>0.31888544891640869</v>
      </c>
      <c r="Z2295" t="s">
        <v>2996</v>
      </c>
      <c r="AA2295" t="str">
        <f>IF(AND(SalesCleanTable[[#This Row],[Discount %]]&gt;0, SalesCleanTable[[#This Row],[Profit]]&lt;0), "Discount loss", "Safe")</f>
        <v>Safe</v>
      </c>
      <c r="AB2295" s="25">
        <f>(SalesCleanTable[[#This Row],[Unit Price]] - SalesCleanTable[[#This Row],[Unit Cost]]) / SalesCleanTable[[#This Row],[Unit Price]]</f>
        <v>0.35294117647058826</v>
      </c>
      <c r="AC2295" t="str">
        <f>IF(SalesCleanTable[[#This Row],[Discount %]] &gt; SalesCleanTable[[#This Row],[Max Allowed Discount]], "Discount loss", "Safe")</f>
        <v>Safe</v>
      </c>
      <c r="AD2295" s="4">
        <f>SalesCleanTable[[#This Row],[Unit Price]] - SalesCleanTable[[#This Row],[Unit Cost]]</f>
        <v>300</v>
      </c>
      <c r="AE2295" s="41">
        <f>(SalesCleanTable[[#This Row],[Unit Price]] - SalesCleanTable[[#This Row],[Unit Cost]]) / SalesCleanTable[[#This Row],[Unit Price]]</f>
        <v>0.35294117647058826</v>
      </c>
    </row>
    <row r="2296" spans="1:31">
      <c r="A2296" t="s">
        <v>2482</v>
      </c>
      <c r="B2296" s="6">
        <v>45961</v>
      </c>
      <c r="C2296" t="s">
        <v>57</v>
      </c>
      <c r="D2296" t="s">
        <v>58</v>
      </c>
      <c r="E2296" t="s">
        <v>59</v>
      </c>
      <c r="F2296" t="s">
        <v>60</v>
      </c>
      <c r="G2296" t="s">
        <v>61</v>
      </c>
      <c r="H2296" t="s">
        <v>133</v>
      </c>
      <c r="I2296" t="s">
        <v>134</v>
      </c>
      <c r="J2296" t="s">
        <v>130</v>
      </c>
      <c r="K2296" t="s">
        <v>131</v>
      </c>
      <c r="L2296" t="s">
        <v>183</v>
      </c>
      <c r="M2296" t="s">
        <v>177</v>
      </c>
      <c r="N2296">
        <v>2</v>
      </c>
      <c r="O2296" s="4">
        <v>2400</v>
      </c>
      <c r="P2296" s="4">
        <v>3400</v>
      </c>
      <c r="Q2296" s="7">
        <v>0.1</v>
      </c>
      <c r="R2296" t="s">
        <v>204</v>
      </c>
      <c r="S2296">
        <v>8</v>
      </c>
      <c r="T2296">
        <v>6800</v>
      </c>
      <c r="U2296">
        <v>680</v>
      </c>
      <c r="V2296">
        <v>6120</v>
      </c>
      <c r="W2296">
        <v>4800</v>
      </c>
      <c r="X2296">
        <v>1320</v>
      </c>
      <c r="Y2296" s="8">
        <v>0.21568627450980393</v>
      </c>
      <c r="Z2296" t="s">
        <v>2996</v>
      </c>
      <c r="AA2296" t="str">
        <f>IF(AND(SalesCleanTable[[#This Row],[Discount %]]&gt;0, SalesCleanTable[[#This Row],[Profit]]&lt;0), "Discount loss", "Safe")</f>
        <v>Safe</v>
      </c>
      <c r="AB2296" s="25">
        <f>(SalesCleanTable[[#This Row],[Unit Price]] - SalesCleanTable[[#This Row],[Unit Cost]]) / SalesCleanTable[[#This Row],[Unit Price]]</f>
        <v>0.29411764705882354</v>
      </c>
      <c r="AC2296" t="str">
        <f>IF(SalesCleanTable[[#This Row],[Discount %]] &gt; SalesCleanTable[[#This Row],[Max Allowed Discount]], "Discount loss", "Safe")</f>
        <v>Safe</v>
      </c>
      <c r="AD2296" s="4">
        <f>SalesCleanTable[[#This Row],[Unit Price]] - SalesCleanTable[[#This Row],[Unit Cost]]</f>
        <v>1000</v>
      </c>
      <c r="AE2296" s="41">
        <f>(SalesCleanTable[[#This Row],[Unit Price]] - SalesCleanTable[[#This Row],[Unit Cost]]) / SalesCleanTable[[#This Row],[Unit Price]]</f>
        <v>0.29411764705882354</v>
      </c>
    </row>
    <row r="2297" spans="1:31">
      <c r="A2297" t="s">
        <v>2483</v>
      </c>
      <c r="B2297" s="6">
        <v>45719</v>
      </c>
      <c r="C2297" t="s">
        <v>62</v>
      </c>
      <c r="D2297" t="s">
        <v>63</v>
      </c>
      <c r="E2297" t="s">
        <v>59</v>
      </c>
      <c r="F2297" t="s">
        <v>64</v>
      </c>
      <c r="G2297" t="s">
        <v>65</v>
      </c>
      <c r="H2297" t="s">
        <v>128</v>
      </c>
      <c r="I2297" t="s">
        <v>129</v>
      </c>
      <c r="J2297" t="s">
        <v>130</v>
      </c>
      <c r="K2297" t="s">
        <v>131</v>
      </c>
      <c r="L2297" t="s">
        <v>183</v>
      </c>
      <c r="M2297" t="s">
        <v>186</v>
      </c>
      <c r="N2297">
        <v>4</v>
      </c>
      <c r="O2297" s="4">
        <v>3200</v>
      </c>
      <c r="P2297" s="4">
        <v>4500</v>
      </c>
      <c r="Q2297" s="7">
        <v>0.05</v>
      </c>
      <c r="R2297" t="s">
        <v>173</v>
      </c>
      <c r="S2297">
        <v>11</v>
      </c>
      <c r="T2297">
        <v>18000</v>
      </c>
      <c r="U2297">
        <v>900</v>
      </c>
      <c r="V2297">
        <v>17100</v>
      </c>
      <c r="W2297">
        <v>12800</v>
      </c>
      <c r="X2297">
        <v>4300</v>
      </c>
      <c r="Y2297" s="8">
        <v>0.25146198830409355</v>
      </c>
      <c r="Z2297" t="s">
        <v>2996</v>
      </c>
      <c r="AA2297" t="str">
        <f>IF(AND(SalesCleanTable[[#This Row],[Discount %]]&gt;0, SalesCleanTable[[#This Row],[Profit]]&lt;0), "Discount loss", "Safe")</f>
        <v>Safe</v>
      </c>
      <c r="AB2297" s="25">
        <f>(SalesCleanTable[[#This Row],[Unit Price]] - SalesCleanTable[[#This Row],[Unit Cost]]) / SalesCleanTable[[#This Row],[Unit Price]]</f>
        <v>0.28888888888888886</v>
      </c>
      <c r="AC2297" t="str">
        <f>IF(SalesCleanTable[[#This Row],[Discount %]] &gt; SalesCleanTable[[#This Row],[Max Allowed Discount]], "Discount loss", "Safe")</f>
        <v>Safe</v>
      </c>
      <c r="AD2297" s="4">
        <f>SalesCleanTable[[#This Row],[Unit Price]] - SalesCleanTable[[#This Row],[Unit Cost]]</f>
        <v>1300</v>
      </c>
      <c r="AE2297" s="41">
        <f>(SalesCleanTable[[#This Row],[Unit Price]] - SalesCleanTable[[#This Row],[Unit Cost]]) / SalesCleanTable[[#This Row],[Unit Price]]</f>
        <v>0.28888888888888886</v>
      </c>
    </row>
    <row r="2298" spans="1:31">
      <c r="A2298" t="s">
        <v>2484</v>
      </c>
      <c r="B2298" s="6">
        <v>45699</v>
      </c>
      <c r="C2298" t="s">
        <v>69</v>
      </c>
      <c r="D2298" t="s">
        <v>70</v>
      </c>
      <c r="E2298" t="s">
        <v>59</v>
      </c>
      <c r="F2298" t="s">
        <v>71</v>
      </c>
      <c r="G2298" t="s">
        <v>72</v>
      </c>
      <c r="H2298" t="s">
        <v>145</v>
      </c>
      <c r="I2298" t="s">
        <v>146</v>
      </c>
      <c r="J2298" t="s">
        <v>147</v>
      </c>
      <c r="K2298" t="s">
        <v>148</v>
      </c>
      <c r="L2298" t="s">
        <v>166</v>
      </c>
      <c r="M2298" t="s">
        <v>167</v>
      </c>
      <c r="N2298">
        <v>2</v>
      </c>
      <c r="O2298" s="4">
        <v>1700</v>
      </c>
      <c r="P2298" s="4">
        <v>2600</v>
      </c>
      <c r="Q2298" s="7">
        <v>0.1</v>
      </c>
      <c r="R2298" t="s">
        <v>204</v>
      </c>
      <c r="S2298">
        <v>11</v>
      </c>
      <c r="T2298">
        <v>5200</v>
      </c>
      <c r="U2298">
        <v>520</v>
      </c>
      <c r="V2298">
        <v>4680</v>
      </c>
      <c r="W2298">
        <v>3400</v>
      </c>
      <c r="X2298">
        <v>1280</v>
      </c>
      <c r="Y2298" s="8">
        <v>0.27350427350427353</v>
      </c>
      <c r="Z2298" t="s">
        <v>2997</v>
      </c>
      <c r="AA2298" t="str">
        <f>IF(AND(SalesCleanTable[[#This Row],[Discount %]]&gt;0, SalesCleanTable[[#This Row],[Profit]]&lt;0), "Discount loss", "Safe")</f>
        <v>Safe</v>
      </c>
      <c r="AB2298" s="25">
        <f>(SalesCleanTable[[#This Row],[Unit Price]] - SalesCleanTable[[#This Row],[Unit Cost]]) / SalesCleanTable[[#This Row],[Unit Price]]</f>
        <v>0.34615384615384615</v>
      </c>
      <c r="AC2298" t="str">
        <f>IF(SalesCleanTable[[#This Row],[Discount %]] &gt; SalesCleanTable[[#This Row],[Max Allowed Discount]], "Discount loss", "Safe")</f>
        <v>Safe</v>
      </c>
      <c r="AD2298" s="4">
        <f>SalesCleanTable[[#This Row],[Unit Price]] - SalesCleanTable[[#This Row],[Unit Cost]]</f>
        <v>900</v>
      </c>
      <c r="AE2298" s="41">
        <f>(SalesCleanTable[[#This Row],[Unit Price]] - SalesCleanTable[[#This Row],[Unit Cost]]) / SalesCleanTable[[#This Row],[Unit Price]]</f>
        <v>0.34615384615384615</v>
      </c>
    </row>
    <row r="2299" spans="1:31">
      <c r="A2299" t="s">
        <v>2485</v>
      </c>
      <c r="B2299" s="6">
        <v>45681</v>
      </c>
      <c r="C2299" t="s">
        <v>49</v>
      </c>
      <c r="D2299" t="s">
        <v>50</v>
      </c>
      <c r="E2299" t="s">
        <v>38</v>
      </c>
      <c r="F2299" t="s">
        <v>51</v>
      </c>
      <c r="G2299" t="s">
        <v>52</v>
      </c>
      <c r="H2299" t="s">
        <v>145</v>
      </c>
      <c r="I2299" t="s">
        <v>146</v>
      </c>
      <c r="J2299" t="s">
        <v>147</v>
      </c>
      <c r="K2299" t="s">
        <v>148</v>
      </c>
      <c r="L2299" t="s">
        <v>183</v>
      </c>
      <c r="M2299" t="s">
        <v>177</v>
      </c>
      <c r="N2299">
        <v>3</v>
      </c>
      <c r="O2299" s="4">
        <v>550</v>
      </c>
      <c r="P2299" s="4">
        <v>850</v>
      </c>
      <c r="Q2299" s="7">
        <v>0</v>
      </c>
      <c r="R2299" t="s">
        <v>168</v>
      </c>
      <c r="S2299">
        <v>12</v>
      </c>
      <c r="T2299">
        <v>2550</v>
      </c>
      <c r="U2299">
        <v>0</v>
      </c>
      <c r="V2299">
        <v>2550</v>
      </c>
      <c r="W2299">
        <v>1650</v>
      </c>
      <c r="X2299">
        <v>900</v>
      </c>
      <c r="Y2299" s="8">
        <v>0.35294117647058826</v>
      </c>
      <c r="Z2299" t="s">
        <v>2996</v>
      </c>
      <c r="AA2299" t="str">
        <f>IF(AND(SalesCleanTable[[#This Row],[Discount %]]&gt;0, SalesCleanTable[[#This Row],[Profit]]&lt;0), "Discount loss", "Safe")</f>
        <v>Safe</v>
      </c>
      <c r="AB2299" s="25">
        <f>(SalesCleanTable[[#This Row],[Unit Price]] - SalesCleanTable[[#This Row],[Unit Cost]]) / SalesCleanTable[[#This Row],[Unit Price]]</f>
        <v>0.35294117647058826</v>
      </c>
      <c r="AC2299" t="str">
        <f>IF(SalesCleanTable[[#This Row],[Discount %]] &gt; SalesCleanTable[[#This Row],[Max Allowed Discount]], "Discount loss", "Safe")</f>
        <v>Safe</v>
      </c>
      <c r="AD2299" s="4">
        <f>SalesCleanTable[[#This Row],[Unit Price]] - SalesCleanTable[[#This Row],[Unit Cost]]</f>
        <v>300</v>
      </c>
      <c r="AE2299" s="41">
        <f>(SalesCleanTable[[#This Row],[Unit Price]] - SalesCleanTable[[#This Row],[Unit Cost]]) / SalesCleanTable[[#This Row],[Unit Price]]</f>
        <v>0.35294117647058826</v>
      </c>
    </row>
    <row r="2300" spans="1:31">
      <c r="A2300" t="s">
        <v>2486</v>
      </c>
      <c r="B2300" s="6">
        <v>45915</v>
      </c>
      <c r="C2300" t="s">
        <v>82</v>
      </c>
      <c r="D2300" t="s">
        <v>83</v>
      </c>
      <c r="E2300" t="s">
        <v>75</v>
      </c>
      <c r="F2300" t="s">
        <v>84</v>
      </c>
      <c r="G2300" t="s">
        <v>85</v>
      </c>
      <c r="H2300" t="s">
        <v>153</v>
      </c>
      <c r="I2300" t="s">
        <v>154</v>
      </c>
      <c r="J2300" t="s">
        <v>155</v>
      </c>
      <c r="K2300" t="s">
        <v>131</v>
      </c>
      <c r="L2300" t="s">
        <v>183</v>
      </c>
      <c r="M2300" t="s">
        <v>171</v>
      </c>
      <c r="N2300">
        <v>1</v>
      </c>
      <c r="O2300" s="4">
        <v>600</v>
      </c>
      <c r="P2300" s="4">
        <v>950</v>
      </c>
      <c r="Q2300" s="7">
        <v>0.15</v>
      </c>
      <c r="R2300" t="s">
        <v>187</v>
      </c>
      <c r="S2300">
        <v>14</v>
      </c>
      <c r="T2300">
        <v>950</v>
      </c>
      <c r="U2300">
        <v>142.5</v>
      </c>
      <c r="V2300">
        <v>807.5</v>
      </c>
      <c r="W2300">
        <v>600</v>
      </c>
      <c r="X2300">
        <v>207.5</v>
      </c>
      <c r="Y2300" s="8">
        <v>0.25696594427244585</v>
      </c>
      <c r="Z2300" t="s">
        <v>2996</v>
      </c>
      <c r="AA2300" t="str">
        <f>IF(AND(SalesCleanTable[[#This Row],[Discount %]]&gt;0, SalesCleanTable[[#This Row],[Profit]]&lt;0), "Discount loss", "Safe")</f>
        <v>Safe</v>
      </c>
      <c r="AB2300" s="25">
        <f>(SalesCleanTable[[#This Row],[Unit Price]] - SalesCleanTable[[#This Row],[Unit Cost]]) / SalesCleanTable[[#This Row],[Unit Price]]</f>
        <v>0.36842105263157893</v>
      </c>
      <c r="AC2300" t="str">
        <f>IF(SalesCleanTable[[#This Row],[Discount %]] &gt; SalesCleanTable[[#This Row],[Max Allowed Discount]], "Discount loss", "Safe")</f>
        <v>Safe</v>
      </c>
      <c r="AD2300" s="4">
        <f>SalesCleanTable[[#This Row],[Unit Price]] - SalesCleanTable[[#This Row],[Unit Cost]]</f>
        <v>350</v>
      </c>
      <c r="AE2300" s="41">
        <f>(SalesCleanTable[[#This Row],[Unit Price]] - SalesCleanTable[[#This Row],[Unit Cost]]) / SalesCleanTable[[#This Row],[Unit Price]]</f>
        <v>0.36842105263157893</v>
      </c>
    </row>
    <row r="2301" spans="1:31">
      <c r="A2301" t="s">
        <v>2487</v>
      </c>
      <c r="B2301" s="6">
        <v>45812</v>
      </c>
      <c r="C2301" t="s">
        <v>62</v>
      </c>
      <c r="D2301" t="s">
        <v>63</v>
      </c>
      <c r="E2301" t="s">
        <v>59</v>
      </c>
      <c r="F2301" t="s">
        <v>64</v>
      </c>
      <c r="G2301" t="s">
        <v>65</v>
      </c>
      <c r="H2301" t="s">
        <v>133</v>
      </c>
      <c r="I2301" t="s">
        <v>134</v>
      </c>
      <c r="J2301" t="s">
        <v>130</v>
      </c>
      <c r="K2301" t="s">
        <v>131</v>
      </c>
      <c r="L2301" t="s">
        <v>166</v>
      </c>
      <c r="M2301" t="s">
        <v>171</v>
      </c>
      <c r="N2301">
        <v>1</v>
      </c>
      <c r="O2301" s="4">
        <v>3200</v>
      </c>
      <c r="P2301" s="4">
        <v>4500</v>
      </c>
      <c r="Q2301" s="7">
        <v>0.05</v>
      </c>
      <c r="R2301" t="s">
        <v>204</v>
      </c>
      <c r="S2301">
        <v>13</v>
      </c>
      <c r="T2301">
        <v>4500</v>
      </c>
      <c r="U2301">
        <v>225</v>
      </c>
      <c r="V2301">
        <v>4275</v>
      </c>
      <c r="W2301">
        <v>3200</v>
      </c>
      <c r="X2301">
        <v>1075</v>
      </c>
      <c r="Y2301" s="8">
        <v>0.25146198830409355</v>
      </c>
      <c r="Z2301" t="s">
        <v>2996</v>
      </c>
      <c r="AA2301" t="str">
        <f>IF(AND(SalesCleanTable[[#This Row],[Discount %]]&gt;0, SalesCleanTable[[#This Row],[Profit]]&lt;0), "Discount loss", "Safe")</f>
        <v>Safe</v>
      </c>
      <c r="AB2301" s="25">
        <f>(SalesCleanTable[[#This Row],[Unit Price]] - SalesCleanTable[[#This Row],[Unit Cost]]) / SalesCleanTable[[#This Row],[Unit Price]]</f>
        <v>0.28888888888888886</v>
      </c>
      <c r="AC2301" t="str">
        <f>IF(SalesCleanTable[[#This Row],[Discount %]] &gt; SalesCleanTable[[#This Row],[Max Allowed Discount]], "Discount loss", "Safe")</f>
        <v>Safe</v>
      </c>
      <c r="AD2301" s="4">
        <f>SalesCleanTable[[#This Row],[Unit Price]] - SalesCleanTable[[#This Row],[Unit Cost]]</f>
        <v>1300</v>
      </c>
      <c r="AE2301" s="41">
        <f>(SalesCleanTable[[#This Row],[Unit Price]] - SalesCleanTable[[#This Row],[Unit Cost]]) / SalesCleanTable[[#This Row],[Unit Price]]</f>
        <v>0.28888888888888886</v>
      </c>
    </row>
    <row r="2302" spans="1:31">
      <c r="A2302" t="s">
        <v>2488</v>
      </c>
      <c r="B2302" s="6">
        <v>45697</v>
      </c>
      <c r="C2302" t="s">
        <v>62</v>
      </c>
      <c r="D2302" t="s">
        <v>63</v>
      </c>
      <c r="E2302" t="s">
        <v>59</v>
      </c>
      <c r="F2302" t="s">
        <v>64</v>
      </c>
      <c r="G2302" t="s">
        <v>65</v>
      </c>
      <c r="H2302" t="s">
        <v>135</v>
      </c>
      <c r="I2302" t="s">
        <v>136</v>
      </c>
      <c r="J2302" t="s">
        <v>137</v>
      </c>
      <c r="K2302" t="s">
        <v>138</v>
      </c>
      <c r="L2302" t="s">
        <v>166</v>
      </c>
      <c r="M2302" t="s">
        <v>177</v>
      </c>
      <c r="N2302">
        <v>4</v>
      </c>
      <c r="O2302" s="4">
        <v>3200</v>
      </c>
      <c r="P2302" s="4">
        <v>4500</v>
      </c>
      <c r="Q2302" s="7">
        <v>0</v>
      </c>
      <c r="R2302" t="s">
        <v>192</v>
      </c>
      <c r="S2302">
        <v>13</v>
      </c>
      <c r="T2302">
        <v>18000</v>
      </c>
      <c r="U2302">
        <v>0</v>
      </c>
      <c r="V2302">
        <v>18000</v>
      </c>
      <c r="W2302">
        <v>12800</v>
      </c>
      <c r="X2302">
        <v>5200</v>
      </c>
      <c r="Y2302" s="8">
        <v>0.28888888888888886</v>
      </c>
      <c r="Z2302" t="s">
        <v>2996</v>
      </c>
      <c r="AA2302" t="str">
        <f>IF(AND(SalesCleanTable[[#This Row],[Discount %]]&gt;0, SalesCleanTable[[#This Row],[Profit]]&lt;0), "Discount loss", "Safe")</f>
        <v>Safe</v>
      </c>
      <c r="AB2302" s="25">
        <f>(SalesCleanTable[[#This Row],[Unit Price]] - SalesCleanTable[[#This Row],[Unit Cost]]) / SalesCleanTable[[#This Row],[Unit Price]]</f>
        <v>0.28888888888888886</v>
      </c>
      <c r="AC2302" t="str">
        <f>IF(SalesCleanTable[[#This Row],[Discount %]] &gt; SalesCleanTable[[#This Row],[Max Allowed Discount]], "Discount loss", "Safe")</f>
        <v>Safe</v>
      </c>
      <c r="AD2302" s="4">
        <f>SalesCleanTable[[#This Row],[Unit Price]] - SalesCleanTable[[#This Row],[Unit Cost]]</f>
        <v>1300</v>
      </c>
      <c r="AE2302" s="41">
        <f>(SalesCleanTable[[#This Row],[Unit Price]] - SalesCleanTable[[#This Row],[Unit Cost]]) / SalesCleanTable[[#This Row],[Unit Price]]</f>
        <v>0.28888888888888886</v>
      </c>
    </row>
    <row r="2303" spans="1:31">
      <c r="A2303" t="s">
        <v>2489</v>
      </c>
      <c r="B2303" s="6">
        <v>45741</v>
      </c>
      <c r="C2303" t="s">
        <v>66</v>
      </c>
      <c r="D2303" t="s">
        <v>67</v>
      </c>
      <c r="E2303" t="s">
        <v>59</v>
      </c>
      <c r="F2303" t="s">
        <v>60</v>
      </c>
      <c r="G2303" t="s">
        <v>68</v>
      </c>
      <c r="H2303" t="s">
        <v>153</v>
      </c>
      <c r="I2303" t="s">
        <v>154</v>
      </c>
      <c r="J2303" t="s">
        <v>155</v>
      </c>
      <c r="K2303" t="s">
        <v>131</v>
      </c>
      <c r="L2303" t="s">
        <v>166</v>
      </c>
      <c r="M2303" t="s">
        <v>171</v>
      </c>
      <c r="N2303">
        <v>6</v>
      </c>
      <c r="O2303" s="4">
        <v>2800</v>
      </c>
      <c r="P2303" s="4">
        <v>3900</v>
      </c>
      <c r="Q2303" s="7">
        <v>0</v>
      </c>
      <c r="R2303" t="s">
        <v>173</v>
      </c>
      <c r="S2303">
        <v>3</v>
      </c>
      <c r="T2303">
        <v>23400</v>
      </c>
      <c r="U2303">
        <v>0</v>
      </c>
      <c r="V2303">
        <v>23400</v>
      </c>
      <c r="W2303">
        <v>16800</v>
      </c>
      <c r="X2303">
        <v>6600</v>
      </c>
      <c r="Y2303" s="8">
        <v>0.28205128205128205</v>
      </c>
      <c r="Z2303" t="s">
        <v>2996</v>
      </c>
      <c r="AA2303" t="str">
        <f>IF(AND(SalesCleanTable[[#This Row],[Discount %]]&gt;0, SalesCleanTable[[#This Row],[Profit]]&lt;0), "Discount loss", "Safe")</f>
        <v>Safe</v>
      </c>
      <c r="AB2303" s="25">
        <f>(SalesCleanTable[[#This Row],[Unit Price]] - SalesCleanTable[[#This Row],[Unit Cost]]) / SalesCleanTable[[#This Row],[Unit Price]]</f>
        <v>0.28205128205128205</v>
      </c>
      <c r="AC2303" t="str">
        <f>IF(SalesCleanTable[[#This Row],[Discount %]] &gt; SalesCleanTable[[#This Row],[Max Allowed Discount]], "Discount loss", "Safe")</f>
        <v>Safe</v>
      </c>
      <c r="AD2303" s="4">
        <f>SalesCleanTable[[#This Row],[Unit Price]] - SalesCleanTable[[#This Row],[Unit Cost]]</f>
        <v>1100</v>
      </c>
      <c r="AE2303" s="41">
        <f>(SalesCleanTable[[#This Row],[Unit Price]] - SalesCleanTable[[#This Row],[Unit Cost]]) / SalesCleanTable[[#This Row],[Unit Price]]</f>
        <v>0.28205128205128205</v>
      </c>
    </row>
    <row r="2304" spans="1:31">
      <c r="A2304" t="s">
        <v>2490</v>
      </c>
      <c r="B2304" s="6">
        <v>45918</v>
      </c>
      <c r="C2304" t="s">
        <v>99</v>
      </c>
      <c r="D2304" t="s">
        <v>100</v>
      </c>
      <c r="E2304" t="s">
        <v>92</v>
      </c>
      <c r="F2304" t="s">
        <v>101</v>
      </c>
      <c r="G2304" t="s">
        <v>102</v>
      </c>
      <c r="H2304" t="s">
        <v>128</v>
      </c>
      <c r="I2304" t="s">
        <v>129</v>
      </c>
      <c r="J2304" t="s">
        <v>130</v>
      </c>
      <c r="K2304" t="s">
        <v>131</v>
      </c>
      <c r="L2304" t="s">
        <v>170</v>
      </c>
      <c r="M2304" t="s">
        <v>186</v>
      </c>
      <c r="N2304">
        <v>10</v>
      </c>
      <c r="O2304" s="4">
        <v>12500</v>
      </c>
      <c r="P2304" s="4">
        <v>18500</v>
      </c>
      <c r="Q2304" s="7">
        <v>0.15</v>
      </c>
      <c r="R2304" t="s">
        <v>215</v>
      </c>
      <c r="S2304">
        <v>3</v>
      </c>
      <c r="T2304">
        <v>185000</v>
      </c>
      <c r="U2304">
        <v>27750</v>
      </c>
      <c r="V2304">
        <v>157250</v>
      </c>
      <c r="W2304">
        <v>125000</v>
      </c>
      <c r="X2304">
        <v>32250</v>
      </c>
      <c r="Y2304" s="8">
        <v>0.20508744038155802</v>
      </c>
      <c r="Z2304" t="s">
        <v>2995</v>
      </c>
      <c r="AA2304" t="str">
        <f>IF(AND(SalesCleanTable[[#This Row],[Discount %]]&gt;0, SalesCleanTable[[#This Row],[Profit]]&lt;0), "Discount loss", "Safe")</f>
        <v>Safe</v>
      </c>
      <c r="AB2304" s="25">
        <f>(SalesCleanTable[[#This Row],[Unit Price]] - SalesCleanTable[[#This Row],[Unit Cost]]) / SalesCleanTable[[#This Row],[Unit Price]]</f>
        <v>0.32432432432432434</v>
      </c>
      <c r="AC2304" t="str">
        <f>IF(SalesCleanTable[[#This Row],[Discount %]] &gt; SalesCleanTable[[#This Row],[Max Allowed Discount]], "Discount loss", "Safe")</f>
        <v>Safe</v>
      </c>
      <c r="AD2304" s="4">
        <f>SalesCleanTable[[#This Row],[Unit Price]] - SalesCleanTable[[#This Row],[Unit Cost]]</f>
        <v>6000</v>
      </c>
      <c r="AE2304" s="41">
        <f>(SalesCleanTable[[#This Row],[Unit Price]] - SalesCleanTable[[#This Row],[Unit Cost]]) / SalesCleanTable[[#This Row],[Unit Price]]</f>
        <v>0.32432432432432434</v>
      </c>
    </row>
    <row r="2305" spans="1:31">
      <c r="A2305" t="s">
        <v>2491</v>
      </c>
      <c r="B2305" s="6">
        <v>45823</v>
      </c>
      <c r="C2305" t="s">
        <v>116</v>
      </c>
      <c r="D2305" t="s">
        <v>117</v>
      </c>
      <c r="E2305" t="s">
        <v>109</v>
      </c>
      <c r="F2305" t="s">
        <v>118</v>
      </c>
      <c r="G2305" t="s">
        <v>119</v>
      </c>
      <c r="H2305" t="s">
        <v>145</v>
      </c>
      <c r="I2305" t="s">
        <v>146</v>
      </c>
      <c r="J2305" t="s">
        <v>147</v>
      </c>
      <c r="K2305" t="s">
        <v>148</v>
      </c>
      <c r="L2305" t="s">
        <v>166</v>
      </c>
      <c r="M2305" t="s">
        <v>171</v>
      </c>
      <c r="N2305">
        <v>5</v>
      </c>
      <c r="O2305" s="4">
        <v>2800</v>
      </c>
      <c r="P2305" s="4">
        <v>4200</v>
      </c>
      <c r="Q2305" s="7">
        <v>0</v>
      </c>
      <c r="R2305" t="s">
        <v>235</v>
      </c>
      <c r="S2305">
        <v>9</v>
      </c>
      <c r="T2305">
        <v>21000</v>
      </c>
      <c r="U2305">
        <v>0</v>
      </c>
      <c r="V2305">
        <v>21000</v>
      </c>
      <c r="W2305">
        <v>14000</v>
      </c>
      <c r="X2305">
        <v>7000</v>
      </c>
      <c r="Y2305" s="8">
        <v>0.33333333333333331</v>
      </c>
      <c r="Z2305" t="s">
        <v>2995</v>
      </c>
      <c r="AA2305" t="str">
        <f>IF(AND(SalesCleanTable[[#This Row],[Discount %]]&gt;0, SalesCleanTable[[#This Row],[Profit]]&lt;0), "Discount loss", "Safe")</f>
        <v>Safe</v>
      </c>
      <c r="AB2305" s="25">
        <f>(SalesCleanTable[[#This Row],[Unit Price]] - SalesCleanTable[[#This Row],[Unit Cost]]) / SalesCleanTable[[#This Row],[Unit Price]]</f>
        <v>0.33333333333333331</v>
      </c>
      <c r="AC2305" t="str">
        <f>IF(SalesCleanTable[[#This Row],[Discount %]] &gt; SalesCleanTable[[#This Row],[Max Allowed Discount]], "Discount loss", "Safe")</f>
        <v>Safe</v>
      </c>
      <c r="AD2305" s="4">
        <f>SalesCleanTable[[#This Row],[Unit Price]] - SalesCleanTable[[#This Row],[Unit Cost]]</f>
        <v>1400</v>
      </c>
      <c r="AE2305" s="41">
        <f>(SalesCleanTable[[#This Row],[Unit Price]] - SalesCleanTable[[#This Row],[Unit Cost]]) / SalesCleanTable[[#This Row],[Unit Price]]</f>
        <v>0.33333333333333331</v>
      </c>
    </row>
    <row r="2306" spans="1:31">
      <c r="A2306" t="s">
        <v>2492</v>
      </c>
      <c r="B2306" s="6">
        <v>45815</v>
      </c>
      <c r="C2306" t="s">
        <v>69</v>
      </c>
      <c r="D2306" t="s">
        <v>70</v>
      </c>
      <c r="E2306" t="s">
        <v>59</v>
      </c>
      <c r="F2306" t="s">
        <v>71</v>
      </c>
      <c r="G2306" t="s">
        <v>72</v>
      </c>
      <c r="H2306" t="s">
        <v>133</v>
      </c>
      <c r="I2306" t="s">
        <v>134</v>
      </c>
      <c r="J2306" t="s">
        <v>130</v>
      </c>
      <c r="K2306" t="s">
        <v>131</v>
      </c>
      <c r="L2306" t="s">
        <v>166</v>
      </c>
      <c r="M2306" t="s">
        <v>171</v>
      </c>
      <c r="N2306">
        <v>3</v>
      </c>
      <c r="O2306" s="4">
        <v>1700</v>
      </c>
      <c r="P2306" s="4">
        <v>2600</v>
      </c>
      <c r="Q2306" s="7">
        <v>0</v>
      </c>
      <c r="R2306" t="s">
        <v>173</v>
      </c>
      <c r="S2306">
        <v>11</v>
      </c>
      <c r="T2306">
        <v>7800</v>
      </c>
      <c r="U2306">
        <v>0</v>
      </c>
      <c r="V2306">
        <v>7800</v>
      </c>
      <c r="W2306">
        <v>5100</v>
      </c>
      <c r="X2306">
        <v>2700</v>
      </c>
      <c r="Y2306" s="8">
        <v>0.34615384615384615</v>
      </c>
      <c r="Z2306" t="s">
        <v>2997</v>
      </c>
      <c r="AA2306" t="str">
        <f>IF(AND(SalesCleanTable[[#This Row],[Discount %]]&gt;0, SalesCleanTable[[#This Row],[Profit]]&lt;0), "Discount loss", "Safe")</f>
        <v>Safe</v>
      </c>
      <c r="AB2306" s="25">
        <f>(SalesCleanTable[[#This Row],[Unit Price]] - SalesCleanTable[[#This Row],[Unit Cost]]) / SalesCleanTable[[#This Row],[Unit Price]]</f>
        <v>0.34615384615384615</v>
      </c>
      <c r="AC2306" t="str">
        <f>IF(SalesCleanTable[[#This Row],[Discount %]] &gt; SalesCleanTable[[#This Row],[Max Allowed Discount]], "Discount loss", "Safe")</f>
        <v>Safe</v>
      </c>
      <c r="AD2306" s="4">
        <f>SalesCleanTable[[#This Row],[Unit Price]] - SalesCleanTable[[#This Row],[Unit Cost]]</f>
        <v>900</v>
      </c>
      <c r="AE2306" s="41">
        <f>(SalesCleanTable[[#This Row],[Unit Price]] - SalesCleanTable[[#This Row],[Unit Cost]]) / SalesCleanTable[[#This Row],[Unit Price]]</f>
        <v>0.34615384615384615</v>
      </c>
    </row>
    <row r="2307" spans="1:31">
      <c r="A2307" t="s">
        <v>2493</v>
      </c>
      <c r="B2307" s="6">
        <v>45778</v>
      </c>
      <c r="C2307" t="s">
        <v>116</v>
      </c>
      <c r="D2307" t="s">
        <v>117</v>
      </c>
      <c r="E2307" t="s">
        <v>109</v>
      </c>
      <c r="F2307" t="s">
        <v>118</v>
      </c>
      <c r="G2307" t="s">
        <v>119</v>
      </c>
      <c r="H2307" t="s">
        <v>128</v>
      </c>
      <c r="I2307" t="s">
        <v>129</v>
      </c>
      <c r="J2307" t="s">
        <v>130</v>
      </c>
      <c r="K2307" t="s">
        <v>131</v>
      </c>
      <c r="L2307" t="s">
        <v>166</v>
      </c>
      <c r="M2307" t="s">
        <v>171</v>
      </c>
      <c r="N2307">
        <v>5</v>
      </c>
      <c r="O2307" s="4">
        <v>2800</v>
      </c>
      <c r="P2307" s="4">
        <v>4200</v>
      </c>
      <c r="Q2307" s="7">
        <v>0.2</v>
      </c>
      <c r="R2307" t="s">
        <v>184</v>
      </c>
      <c r="S2307">
        <v>12</v>
      </c>
      <c r="T2307">
        <v>21000</v>
      </c>
      <c r="U2307">
        <v>4200</v>
      </c>
      <c r="V2307">
        <v>16800</v>
      </c>
      <c r="W2307">
        <v>14000</v>
      </c>
      <c r="X2307">
        <v>2800</v>
      </c>
      <c r="Y2307" s="8">
        <v>0.16666666666666666</v>
      </c>
      <c r="Z2307" t="s">
        <v>2995</v>
      </c>
      <c r="AA2307" t="str">
        <f>IF(AND(SalesCleanTable[[#This Row],[Discount %]]&gt;0, SalesCleanTable[[#This Row],[Profit]]&lt;0), "Discount loss", "Safe")</f>
        <v>Safe</v>
      </c>
      <c r="AB2307" s="25">
        <f>(SalesCleanTable[[#This Row],[Unit Price]] - SalesCleanTable[[#This Row],[Unit Cost]]) / SalesCleanTable[[#This Row],[Unit Price]]</f>
        <v>0.33333333333333331</v>
      </c>
      <c r="AC2307" t="str">
        <f>IF(SalesCleanTable[[#This Row],[Discount %]] &gt; SalesCleanTable[[#This Row],[Max Allowed Discount]], "Discount loss", "Safe")</f>
        <v>Safe</v>
      </c>
      <c r="AD2307" s="4">
        <f>SalesCleanTable[[#This Row],[Unit Price]] - SalesCleanTable[[#This Row],[Unit Cost]]</f>
        <v>1400</v>
      </c>
      <c r="AE2307" s="41">
        <f>(SalesCleanTable[[#This Row],[Unit Price]] - SalesCleanTable[[#This Row],[Unit Cost]]) / SalesCleanTable[[#This Row],[Unit Price]]</f>
        <v>0.33333333333333331</v>
      </c>
    </row>
    <row r="2308" spans="1:31">
      <c r="A2308" t="s">
        <v>2494</v>
      </c>
      <c r="B2308" s="6">
        <v>45802</v>
      </c>
      <c r="C2308" t="s">
        <v>49</v>
      </c>
      <c r="D2308" t="s">
        <v>50</v>
      </c>
      <c r="E2308" t="s">
        <v>38</v>
      </c>
      <c r="F2308" t="s">
        <v>51</v>
      </c>
      <c r="G2308" t="s">
        <v>52</v>
      </c>
      <c r="H2308" t="s">
        <v>139</v>
      </c>
      <c r="I2308" t="s">
        <v>140</v>
      </c>
      <c r="J2308" t="s">
        <v>137</v>
      </c>
      <c r="K2308" t="s">
        <v>138</v>
      </c>
      <c r="L2308" t="s">
        <v>170</v>
      </c>
      <c r="M2308" t="s">
        <v>171</v>
      </c>
      <c r="N2308">
        <v>10</v>
      </c>
      <c r="O2308" s="4">
        <v>550</v>
      </c>
      <c r="P2308" s="4">
        <v>850</v>
      </c>
      <c r="Q2308" s="7">
        <v>0.05</v>
      </c>
      <c r="R2308" t="s">
        <v>178</v>
      </c>
      <c r="S2308">
        <v>10</v>
      </c>
      <c r="T2308">
        <v>8500</v>
      </c>
      <c r="U2308">
        <v>425</v>
      </c>
      <c r="V2308">
        <v>8075</v>
      </c>
      <c r="W2308">
        <v>5500</v>
      </c>
      <c r="X2308">
        <v>2575</v>
      </c>
      <c r="Y2308" s="8">
        <v>0.31888544891640869</v>
      </c>
      <c r="Z2308" t="s">
        <v>2996</v>
      </c>
      <c r="AA2308" t="str">
        <f>IF(AND(SalesCleanTable[[#This Row],[Discount %]]&gt;0, SalesCleanTable[[#This Row],[Profit]]&lt;0), "Discount loss", "Safe")</f>
        <v>Safe</v>
      </c>
      <c r="AB2308" s="25">
        <f>(SalesCleanTable[[#This Row],[Unit Price]] - SalesCleanTable[[#This Row],[Unit Cost]]) / SalesCleanTable[[#This Row],[Unit Price]]</f>
        <v>0.35294117647058826</v>
      </c>
      <c r="AC2308" t="str">
        <f>IF(SalesCleanTable[[#This Row],[Discount %]] &gt; SalesCleanTable[[#This Row],[Max Allowed Discount]], "Discount loss", "Safe")</f>
        <v>Safe</v>
      </c>
      <c r="AD2308" s="4">
        <f>SalesCleanTable[[#This Row],[Unit Price]] - SalesCleanTable[[#This Row],[Unit Cost]]</f>
        <v>300</v>
      </c>
      <c r="AE2308" s="41">
        <f>(SalesCleanTable[[#This Row],[Unit Price]] - SalesCleanTable[[#This Row],[Unit Cost]]) / SalesCleanTable[[#This Row],[Unit Price]]</f>
        <v>0.35294117647058826</v>
      </c>
    </row>
    <row r="2309" spans="1:31">
      <c r="A2309" t="s">
        <v>2495</v>
      </c>
      <c r="B2309" s="6">
        <v>45933</v>
      </c>
      <c r="C2309" t="s">
        <v>53</v>
      </c>
      <c r="D2309" t="s">
        <v>54</v>
      </c>
      <c r="E2309" t="s">
        <v>38</v>
      </c>
      <c r="F2309" t="s">
        <v>55</v>
      </c>
      <c r="G2309" t="s">
        <v>56</v>
      </c>
      <c r="H2309" t="s">
        <v>128</v>
      </c>
      <c r="I2309" t="s">
        <v>129</v>
      </c>
      <c r="J2309" t="s">
        <v>130</v>
      </c>
      <c r="K2309" t="s">
        <v>131</v>
      </c>
      <c r="L2309" t="s">
        <v>166</v>
      </c>
      <c r="M2309" t="s">
        <v>171</v>
      </c>
      <c r="N2309">
        <v>2</v>
      </c>
      <c r="O2309" s="4">
        <v>330</v>
      </c>
      <c r="P2309" s="4">
        <v>550</v>
      </c>
      <c r="Q2309" s="7">
        <v>0.1</v>
      </c>
      <c r="R2309" t="s">
        <v>178</v>
      </c>
      <c r="S2309">
        <v>9</v>
      </c>
      <c r="T2309">
        <v>1100</v>
      </c>
      <c r="U2309">
        <v>110</v>
      </c>
      <c r="V2309">
        <v>990</v>
      </c>
      <c r="W2309">
        <v>660</v>
      </c>
      <c r="X2309">
        <v>330</v>
      </c>
      <c r="Y2309" s="8">
        <v>0.33333333333333331</v>
      </c>
      <c r="Z2309" t="s">
        <v>2996</v>
      </c>
      <c r="AA2309" t="str">
        <f>IF(AND(SalesCleanTable[[#This Row],[Discount %]]&gt;0, SalesCleanTable[[#This Row],[Profit]]&lt;0), "Discount loss", "Safe")</f>
        <v>Safe</v>
      </c>
      <c r="AB2309" s="25">
        <f>(SalesCleanTable[[#This Row],[Unit Price]] - SalesCleanTable[[#This Row],[Unit Cost]]) / SalesCleanTable[[#This Row],[Unit Price]]</f>
        <v>0.4</v>
      </c>
      <c r="AC2309" t="str">
        <f>IF(SalesCleanTable[[#This Row],[Discount %]] &gt; SalesCleanTable[[#This Row],[Max Allowed Discount]], "Discount loss", "Safe")</f>
        <v>Safe</v>
      </c>
      <c r="AD2309" s="4">
        <f>SalesCleanTable[[#This Row],[Unit Price]] - SalesCleanTable[[#This Row],[Unit Cost]]</f>
        <v>220</v>
      </c>
      <c r="AE2309" s="41">
        <f>(SalesCleanTable[[#This Row],[Unit Price]] - SalesCleanTable[[#This Row],[Unit Cost]]) / SalesCleanTable[[#This Row],[Unit Price]]</f>
        <v>0.4</v>
      </c>
    </row>
    <row r="2310" spans="1:31">
      <c r="A2310" t="s">
        <v>2496</v>
      </c>
      <c r="B2310" s="6">
        <v>45800</v>
      </c>
      <c r="C2310" t="s">
        <v>78</v>
      </c>
      <c r="D2310" t="s">
        <v>79</v>
      </c>
      <c r="E2310" t="s">
        <v>75</v>
      </c>
      <c r="F2310" t="s">
        <v>80</v>
      </c>
      <c r="G2310" t="s">
        <v>81</v>
      </c>
      <c r="H2310" t="s">
        <v>133</v>
      </c>
      <c r="I2310" t="s">
        <v>134</v>
      </c>
      <c r="J2310" t="s">
        <v>130</v>
      </c>
      <c r="K2310" t="s">
        <v>131</v>
      </c>
      <c r="L2310" t="s">
        <v>183</v>
      </c>
      <c r="M2310" t="s">
        <v>171</v>
      </c>
      <c r="N2310">
        <v>1</v>
      </c>
      <c r="O2310" s="4">
        <v>1200</v>
      </c>
      <c r="P2310" s="4">
        <v>1900</v>
      </c>
      <c r="Q2310" s="7">
        <v>0</v>
      </c>
      <c r="R2310" t="s">
        <v>204</v>
      </c>
      <c r="S2310">
        <v>2</v>
      </c>
      <c r="T2310">
        <v>1900</v>
      </c>
      <c r="U2310">
        <v>0</v>
      </c>
      <c r="V2310">
        <v>1900</v>
      </c>
      <c r="W2310">
        <v>1200</v>
      </c>
      <c r="X2310">
        <v>700</v>
      </c>
      <c r="Y2310" s="8">
        <v>0.36842105263157893</v>
      </c>
      <c r="Z2310" t="s">
        <v>2996</v>
      </c>
      <c r="AA2310" t="str">
        <f>IF(AND(SalesCleanTable[[#This Row],[Discount %]]&gt;0, SalesCleanTable[[#This Row],[Profit]]&lt;0), "Discount loss", "Safe")</f>
        <v>Safe</v>
      </c>
      <c r="AB2310" s="25">
        <f>(SalesCleanTable[[#This Row],[Unit Price]] - SalesCleanTable[[#This Row],[Unit Cost]]) / SalesCleanTable[[#This Row],[Unit Price]]</f>
        <v>0.36842105263157893</v>
      </c>
      <c r="AC2310" t="str">
        <f>IF(SalesCleanTable[[#This Row],[Discount %]] &gt; SalesCleanTable[[#This Row],[Max Allowed Discount]], "Discount loss", "Safe")</f>
        <v>Safe</v>
      </c>
      <c r="AD2310" s="4">
        <f>SalesCleanTable[[#This Row],[Unit Price]] - SalesCleanTable[[#This Row],[Unit Cost]]</f>
        <v>700</v>
      </c>
      <c r="AE2310" s="41">
        <f>(SalesCleanTable[[#This Row],[Unit Price]] - SalesCleanTable[[#This Row],[Unit Cost]]) / SalesCleanTable[[#This Row],[Unit Price]]</f>
        <v>0.36842105263157893</v>
      </c>
    </row>
    <row r="2311" spans="1:31">
      <c r="A2311" t="s">
        <v>2497</v>
      </c>
      <c r="B2311" s="6">
        <v>45933</v>
      </c>
      <c r="C2311" t="s">
        <v>32</v>
      </c>
      <c r="D2311" t="s">
        <v>33</v>
      </c>
      <c r="E2311" t="s">
        <v>26</v>
      </c>
      <c r="F2311" t="s">
        <v>34</v>
      </c>
      <c r="G2311" t="s">
        <v>35</v>
      </c>
      <c r="H2311" t="s">
        <v>139</v>
      </c>
      <c r="I2311" t="s">
        <v>140</v>
      </c>
      <c r="J2311" t="s">
        <v>137</v>
      </c>
      <c r="K2311" t="s">
        <v>138</v>
      </c>
      <c r="L2311" t="s">
        <v>183</v>
      </c>
      <c r="M2311" t="s">
        <v>171</v>
      </c>
      <c r="N2311">
        <v>6</v>
      </c>
      <c r="O2311" s="4">
        <v>7800</v>
      </c>
      <c r="P2311" s="4">
        <v>9800</v>
      </c>
      <c r="Q2311" s="7">
        <v>0</v>
      </c>
      <c r="R2311" t="s">
        <v>194</v>
      </c>
      <c r="S2311">
        <v>11</v>
      </c>
      <c r="T2311">
        <v>58800</v>
      </c>
      <c r="U2311">
        <v>0</v>
      </c>
      <c r="V2311">
        <v>58800</v>
      </c>
      <c r="W2311">
        <v>46800</v>
      </c>
      <c r="X2311">
        <v>12000</v>
      </c>
      <c r="Y2311" s="8">
        <v>0.20408163265306123</v>
      </c>
      <c r="Z2311" t="s">
        <v>2995</v>
      </c>
      <c r="AA2311" t="str">
        <f>IF(AND(SalesCleanTable[[#This Row],[Discount %]]&gt;0, SalesCleanTable[[#This Row],[Profit]]&lt;0), "Discount loss", "Safe")</f>
        <v>Safe</v>
      </c>
      <c r="AB2311" s="25">
        <f>(SalesCleanTable[[#This Row],[Unit Price]] - SalesCleanTable[[#This Row],[Unit Cost]]) / SalesCleanTable[[#This Row],[Unit Price]]</f>
        <v>0.20408163265306123</v>
      </c>
      <c r="AC2311" t="str">
        <f>IF(SalesCleanTable[[#This Row],[Discount %]] &gt; SalesCleanTable[[#This Row],[Max Allowed Discount]], "Discount loss", "Safe")</f>
        <v>Safe</v>
      </c>
      <c r="AD2311" s="4">
        <f>SalesCleanTable[[#This Row],[Unit Price]] - SalesCleanTable[[#This Row],[Unit Cost]]</f>
        <v>2000</v>
      </c>
      <c r="AE2311" s="41">
        <f>(SalesCleanTable[[#This Row],[Unit Price]] - SalesCleanTable[[#This Row],[Unit Cost]]) / SalesCleanTable[[#This Row],[Unit Price]]</f>
        <v>0.20408163265306123</v>
      </c>
    </row>
    <row r="2312" spans="1:31">
      <c r="A2312" t="s">
        <v>2498</v>
      </c>
      <c r="B2312" s="6">
        <v>45716</v>
      </c>
      <c r="C2312" t="s">
        <v>45</v>
      </c>
      <c r="D2312" t="s">
        <v>46</v>
      </c>
      <c r="E2312" t="s">
        <v>38</v>
      </c>
      <c r="F2312" t="s">
        <v>47</v>
      </c>
      <c r="G2312" t="s">
        <v>48</v>
      </c>
      <c r="H2312" t="s">
        <v>141</v>
      </c>
      <c r="I2312" t="s">
        <v>142</v>
      </c>
      <c r="J2312" t="s">
        <v>143</v>
      </c>
      <c r="K2312" t="s">
        <v>144</v>
      </c>
      <c r="L2312" t="s">
        <v>183</v>
      </c>
      <c r="M2312" t="s">
        <v>177</v>
      </c>
      <c r="N2312">
        <v>3</v>
      </c>
      <c r="O2312" s="4">
        <v>230</v>
      </c>
      <c r="P2312" s="4">
        <v>400</v>
      </c>
      <c r="Q2312" s="7">
        <v>0.1</v>
      </c>
      <c r="R2312" t="s">
        <v>175</v>
      </c>
      <c r="S2312">
        <v>11</v>
      </c>
      <c r="T2312">
        <v>1200</v>
      </c>
      <c r="U2312">
        <v>120</v>
      </c>
      <c r="V2312">
        <v>1080</v>
      </c>
      <c r="W2312">
        <v>690</v>
      </c>
      <c r="X2312">
        <v>390</v>
      </c>
      <c r="Y2312" s="8">
        <v>0.3611111111111111</v>
      </c>
      <c r="Z2312" t="s">
        <v>2995</v>
      </c>
      <c r="AA2312" t="str">
        <f>IF(AND(SalesCleanTable[[#This Row],[Discount %]]&gt;0, SalesCleanTable[[#This Row],[Profit]]&lt;0), "Discount loss", "Safe")</f>
        <v>Safe</v>
      </c>
      <c r="AB2312" s="25">
        <f>(SalesCleanTable[[#This Row],[Unit Price]] - SalesCleanTable[[#This Row],[Unit Cost]]) / SalesCleanTable[[#This Row],[Unit Price]]</f>
        <v>0.42499999999999999</v>
      </c>
      <c r="AC2312" t="str">
        <f>IF(SalesCleanTable[[#This Row],[Discount %]] &gt; SalesCleanTable[[#This Row],[Max Allowed Discount]], "Discount loss", "Safe")</f>
        <v>Safe</v>
      </c>
      <c r="AD2312" s="4">
        <f>SalesCleanTable[[#This Row],[Unit Price]] - SalesCleanTable[[#This Row],[Unit Cost]]</f>
        <v>170</v>
      </c>
      <c r="AE2312" s="41">
        <f>(SalesCleanTable[[#This Row],[Unit Price]] - SalesCleanTable[[#This Row],[Unit Cost]]) / SalesCleanTable[[#This Row],[Unit Price]]</f>
        <v>0.42499999999999999</v>
      </c>
    </row>
    <row r="2313" spans="1:31">
      <c r="A2313" t="s">
        <v>2499</v>
      </c>
      <c r="B2313" s="6">
        <v>45955</v>
      </c>
      <c r="C2313" t="s">
        <v>112</v>
      </c>
      <c r="D2313" t="s">
        <v>113</v>
      </c>
      <c r="E2313" t="s">
        <v>109</v>
      </c>
      <c r="F2313" t="s">
        <v>114</v>
      </c>
      <c r="G2313" t="s">
        <v>115</v>
      </c>
      <c r="H2313" t="s">
        <v>141</v>
      </c>
      <c r="I2313" t="s">
        <v>142</v>
      </c>
      <c r="J2313" t="s">
        <v>143</v>
      </c>
      <c r="K2313" t="s">
        <v>144</v>
      </c>
      <c r="L2313" t="s">
        <v>166</v>
      </c>
      <c r="M2313" t="s">
        <v>177</v>
      </c>
      <c r="N2313">
        <v>6</v>
      </c>
      <c r="O2313" s="4">
        <v>1300</v>
      </c>
      <c r="P2313" s="4">
        <v>2100</v>
      </c>
      <c r="Q2313" s="7">
        <v>0.1</v>
      </c>
      <c r="R2313" t="s">
        <v>220</v>
      </c>
      <c r="S2313">
        <v>13</v>
      </c>
      <c r="T2313">
        <v>12600</v>
      </c>
      <c r="U2313">
        <v>1260</v>
      </c>
      <c r="V2313">
        <v>11340</v>
      </c>
      <c r="W2313">
        <v>7800</v>
      </c>
      <c r="X2313">
        <v>3540</v>
      </c>
      <c r="Y2313" s="8">
        <v>0.31216931216931215</v>
      </c>
      <c r="Z2313" t="s">
        <v>2995</v>
      </c>
      <c r="AA2313" t="str">
        <f>IF(AND(SalesCleanTable[[#This Row],[Discount %]]&gt;0, SalesCleanTable[[#This Row],[Profit]]&lt;0), "Discount loss", "Safe")</f>
        <v>Safe</v>
      </c>
      <c r="AB2313" s="25">
        <f>(SalesCleanTable[[#This Row],[Unit Price]] - SalesCleanTable[[#This Row],[Unit Cost]]) / SalesCleanTable[[#This Row],[Unit Price]]</f>
        <v>0.38095238095238093</v>
      </c>
      <c r="AC2313" t="str">
        <f>IF(SalesCleanTable[[#This Row],[Discount %]] &gt; SalesCleanTable[[#This Row],[Max Allowed Discount]], "Discount loss", "Safe")</f>
        <v>Safe</v>
      </c>
      <c r="AD2313" s="4">
        <f>SalesCleanTable[[#This Row],[Unit Price]] - SalesCleanTable[[#This Row],[Unit Cost]]</f>
        <v>800</v>
      </c>
      <c r="AE2313" s="41">
        <f>(SalesCleanTable[[#This Row],[Unit Price]] - SalesCleanTable[[#This Row],[Unit Cost]]) / SalesCleanTable[[#This Row],[Unit Price]]</f>
        <v>0.38095238095238093</v>
      </c>
    </row>
    <row r="2314" spans="1:31">
      <c r="A2314" t="s">
        <v>2500</v>
      </c>
      <c r="B2314" s="6">
        <v>45901</v>
      </c>
      <c r="C2314" t="s">
        <v>29</v>
      </c>
      <c r="D2314" t="s">
        <v>30</v>
      </c>
      <c r="E2314" t="s">
        <v>26</v>
      </c>
      <c r="F2314" t="s">
        <v>27</v>
      </c>
      <c r="G2314" t="s">
        <v>31</v>
      </c>
      <c r="H2314" t="s">
        <v>139</v>
      </c>
      <c r="I2314" t="s">
        <v>140</v>
      </c>
      <c r="J2314" t="s">
        <v>137</v>
      </c>
      <c r="K2314" t="s">
        <v>138</v>
      </c>
      <c r="L2314" t="s">
        <v>166</v>
      </c>
      <c r="M2314" t="s">
        <v>171</v>
      </c>
      <c r="N2314">
        <v>1</v>
      </c>
      <c r="O2314" s="4">
        <v>6200</v>
      </c>
      <c r="P2314" s="4">
        <v>7900</v>
      </c>
      <c r="Q2314" s="7">
        <v>0.1</v>
      </c>
      <c r="R2314" t="s">
        <v>197</v>
      </c>
      <c r="S2314">
        <v>1</v>
      </c>
      <c r="T2314">
        <v>7900</v>
      </c>
      <c r="U2314">
        <v>790</v>
      </c>
      <c r="V2314">
        <v>7110</v>
      </c>
      <c r="W2314">
        <v>6200</v>
      </c>
      <c r="X2314">
        <v>910</v>
      </c>
      <c r="Y2314" s="8">
        <v>0.12798874824191281</v>
      </c>
      <c r="Z2314" t="s">
        <v>2996</v>
      </c>
      <c r="AA2314" t="str">
        <f>IF(AND(SalesCleanTable[[#This Row],[Discount %]]&gt;0, SalesCleanTable[[#This Row],[Profit]]&lt;0), "Discount loss", "Safe")</f>
        <v>Safe</v>
      </c>
      <c r="AB2314" s="25">
        <f>(SalesCleanTable[[#This Row],[Unit Price]] - SalesCleanTable[[#This Row],[Unit Cost]]) / SalesCleanTable[[#This Row],[Unit Price]]</f>
        <v>0.21518987341772153</v>
      </c>
      <c r="AC2314" t="str">
        <f>IF(SalesCleanTable[[#This Row],[Discount %]] &gt; SalesCleanTable[[#This Row],[Max Allowed Discount]], "Discount loss", "Safe")</f>
        <v>Safe</v>
      </c>
      <c r="AD2314" s="4">
        <f>SalesCleanTable[[#This Row],[Unit Price]] - SalesCleanTable[[#This Row],[Unit Cost]]</f>
        <v>1700</v>
      </c>
      <c r="AE2314" s="41">
        <f>(SalesCleanTable[[#This Row],[Unit Price]] - SalesCleanTable[[#This Row],[Unit Cost]]) / SalesCleanTable[[#This Row],[Unit Price]]</f>
        <v>0.21518987341772153</v>
      </c>
    </row>
    <row r="2315" spans="1:31">
      <c r="A2315" t="s">
        <v>2501</v>
      </c>
      <c r="B2315" s="6">
        <v>45934</v>
      </c>
      <c r="C2315" t="s">
        <v>24</v>
      </c>
      <c r="D2315" t="s">
        <v>25</v>
      </c>
      <c r="E2315" t="s">
        <v>26</v>
      </c>
      <c r="F2315" t="s">
        <v>27</v>
      </c>
      <c r="G2315" t="s">
        <v>28</v>
      </c>
      <c r="H2315" t="s">
        <v>141</v>
      </c>
      <c r="I2315" t="s">
        <v>142</v>
      </c>
      <c r="J2315" t="s">
        <v>143</v>
      </c>
      <c r="K2315" t="s">
        <v>144</v>
      </c>
      <c r="L2315" t="s">
        <v>166</v>
      </c>
      <c r="M2315" t="s">
        <v>186</v>
      </c>
      <c r="N2315">
        <v>6</v>
      </c>
      <c r="O2315" s="4">
        <v>14500</v>
      </c>
      <c r="P2315" s="4">
        <v>17500</v>
      </c>
      <c r="Q2315" s="7">
        <v>0.15</v>
      </c>
      <c r="R2315" t="s">
        <v>173</v>
      </c>
      <c r="S2315">
        <v>3</v>
      </c>
      <c r="T2315">
        <v>105000</v>
      </c>
      <c r="U2315">
        <v>15750</v>
      </c>
      <c r="V2315">
        <v>89250</v>
      </c>
      <c r="W2315">
        <v>87000</v>
      </c>
      <c r="X2315">
        <v>2250</v>
      </c>
      <c r="Y2315" s="8">
        <v>2.5210084033613446E-2</v>
      </c>
      <c r="Z2315" t="s">
        <v>2995</v>
      </c>
      <c r="AA2315" t="str">
        <f>IF(AND(SalesCleanTable[[#This Row],[Discount %]]&gt;0, SalesCleanTable[[#This Row],[Profit]]&lt;0), "Discount loss", "Safe")</f>
        <v>Safe</v>
      </c>
      <c r="AB2315" s="25">
        <f>(SalesCleanTable[[#This Row],[Unit Price]] - SalesCleanTable[[#This Row],[Unit Cost]]) / SalesCleanTable[[#This Row],[Unit Price]]</f>
        <v>0.17142857142857143</v>
      </c>
      <c r="AC2315" t="str">
        <f>IF(SalesCleanTable[[#This Row],[Discount %]] &gt; SalesCleanTable[[#This Row],[Max Allowed Discount]], "Discount loss", "Safe")</f>
        <v>Safe</v>
      </c>
      <c r="AD2315" s="4">
        <f>SalesCleanTable[[#This Row],[Unit Price]] - SalesCleanTable[[#This Row],[Unit Cost]]</f>
        <v>3000</v>
      </c>
      <c r="AE2315" s="41">
        <f>(SalesCleanTable[[#This Row],[Unit Price]] - SalesCleanTable[[#This Row],[Unit Cost]]) / SalesCleanTable[[#This Row],[Unit Price]]</f>
        <v>0.17142857142857143</v>
      </c>
    </row>
    <row r="2316" spans="1:31">
      <c r="A2316" t="s">
        <v>2502</v>
      </c>
      <c r="B2316" s="6">
        <v>45870</v>
      </c>
      <c r="C2316" t="s">
        <v>62</v>
      </c>
      <c r="D2316" t="s">
        <v>63</v>
      </c>
      <c r="E2316" t="s">
        <v>59</v>
      </c>
      <c r="F2316" t="s">
        <v>64</v>
      </c>
      <c r="G2316" t="s">
        <v>65</v>
      </c>
      <c r="H2316" t="s">
        <v>141</v>
      </c>
      <c r="I2316" t="s">
        <v>142</v>
      </c>
      <c r="J2316" t="s">
        <v>143</v>
      </c>
      <c r="K2316" t="s">
        <v>144</v>
      </c>
      <c r="L2316" t="s">
        <v>183</v>
      </c>
      <c r="M2316" t="s">
        <v>186</v>
      </c>
      <c r="N2316">
        <v>5</v>
      </c>
      <c r="O2316" s="4">
        <v>3200</v>
      </c>
      <c r="P2316" s="4">
        <v>4500</v>
      </c>
      <c r="Q2316" s="7">
        <v>0.15</v>
      </c>
      <c r="R2316" t="s">
        <v>192</v>
      </c>
      <c r="S2316">
        <v>11</v>
      </c>
      <c r="T2316">
        <v>22500</v>
      </c>
      <c r="U2316">
        <v>3375</v>
      </c>
      <c r="V2316">
        <v>19125</v>
      </c>
      <c r="W2316">
        <v>16000</v>
      </c>
      <c r="X2316">
        <v>3125</v>
      </c>
      <c r="Y2316" s="8">
        <v>0.16339869281045752</v>
      </c>
      <c r="Z2316" t="s">
        <v>2996</v>
      </c>
      <c r="AA2316" t="str">
        <f>IF(AND(SalesCleanTable[[#This Row],[Discount %]]&gt;0, SalesCleanTable[[#This Row],[Profit]]&lt;0), "Discount loss", "Safe")</f>
        <v>Safe</v>
      </c>
      <c r="AB2316" s="25">
        <f>(SalesCleanTable[[#This Row],[Unit Price]] - SalesCleanTable[[#This Row],[Unit Cost]]) / SalesCleanTable[[#This Row],[Unit Price]]</f>
        <v>0.28888888888888886</v>
      </c>
      <c r="AC2316" t="str">
        <f>IF(SalesCleanTable[[#This Row],[Discount %]] &gt; SalesCleanTable[[#This Row],[Max Allowed Discount]], "Discount loss", "Safe")</f>
        <v>Safe</v>
      </c>
      <c r="AD2316" s="4">
        <f>SalesCleanTable[[#This Row],[Unit Price]] - SalesCleanTable[[#This Row],[Unit Cost]]</f>
        <v>1300</v>
      </c>
      <c r="AE2316" s="41">
        <f>(SalesCleanTable[[#This Row],[Unit Price]] - SalesCleanTable[[#This Row],[Unit Cost]]) / SalesCleanTable[[#This Row],[Unit Price]]</f>
        <v>0.28888888888888886</v>
      </c>
    </row>
    <row r="2317" spans="1:31">
      <c r="A2317" t="s">
        <v>2503</v>
      </c>
      <c r="B2317" s="6">
        <v>45892</v>
      </c>
      <c r="C2317" t="s">
        <v>32</v>
      </c>
      <c r="D2317" t="s">
        <v>33</v>
      </c>
      <c r="E2317" t="s">
        <v>26</v>
      </c>
      <c r="F2317" t="s">
        <v>34</v>
      </c>
      <c r="G2317" t="s">
        <v>35</v>
      </c>
      <c r="H2317" t="s">
        <v>139</v>
      </c>
      <c r="I2317" t="s">
        <v>140</v>
      </c>
      <c r="J2317" t="s">
        <v>137</v>
      </c>
      <c r="K2317" t="s">
        <v>138</v>
      </c>
      <c r="L2317" t="s">
        <v>166</v>
      </c>
      <c r="M2317" t="s">
        <v>171</v>
      </c>
      <c r="N2317">
        <v>3</v>
      </c>
      <c r="O2317" s="4">
        <v>7800</v>
      </c>
      <c r="P2317" s="4">
        <v>9800</v>
      </c>
      <c r="Q2317" s="7">
        <v>0.05</v>
      </c>
      <c r="R2317" t="s">
        <v>194</v>
      </c>
      <c r="S2317">
        <v>11</v>
      </c>
      <c r="T2317">
        <v>29400</v>
      </c>
      <c r="U2317">
        <v>1470</v>
      </c>
      <c r="V2317">
        <v>27930</v>
      </c>
      <c r="W2317">
        <v>23400</v>
      </c>
      <c r="X2317">
        <v>4530</v>
      </c>
      <c r="Y2317" s="8">
        <v>0.16219119226638024</v>
      </c>
      <c r="Z2317" t="s">
        <v>2995</v>
      </c>
      <c r="AA2317" t="str">
        <f>IF(AND(SalesCleanTable[[#This Row],[Discount %]]&gt;0, SalesCleanTable[[#This Row],[Profit]]&lt;0), "Discount loss", "Safe")</f>
        <v>Safe</v>
      </c>
      <c r="AB2317" s="25">
        <f>(SalesCleanTable[[#This Row],[Unit Price]] - SalesCleanTable[[#This Row],[Unit Cost]]) / SalesCleanTable[[#This Row],[Unit Price]]</f>
        <v>0.20408163265306123</v>
      </c>
      <c r="AC2317" t="str">
        <f>IF(SalesCleanTable[[#This Row],[Discount %]] &gt; SalesCleanTable[[#This Row],[Max Allowed Discount]], "Discount loss", "Safe")</f>
        <v>Safe</v>
      </c>
      <c r="AD2317" s="4">
        <f>SalesCleanTable[[#This Row],[Unit Price]] - SalesCleanTable[[#This Row],[Unit Cost]]</f>
        <v>2000</v>
      </c>
      <c r="AE2317" s="41">
        <f>(SalesCleanTable[[#This Row],[Unit Price]] - SalesCleanTable[[#This Row],[Unit Cost]]) / SalesCleanTable[[#This Row],[Unit Price]]</f>
        <v>0.20408163265306123</v>
      </c>
    </row>
    <row r="2318" spans="1:31">
      <c r="A2318" t="s">
        <v>2504</v>
      </c>
      <c r="B2318" s="6">
        <v>45696</v>
      </c>
      <c r="C2318" t="s">
        <v>53</v>
      </c>
      <c r="D2318" t="s">
        <v>54</v>
      </c>
      <c r="E2318" t="s">
        <v>38</v>
      </c>
      <c r="F2318" t="s">
        <v>55</v>
      </c>
      <c r="G2318" t="s">
        <v>56</v>
      </c>
      <c r="H2318" t="s">
        <v>128</v>
      </c>
      <c r="I2318" t="s">
        <v>129</v>
      </c>
      <c r="J2318" t="s">
        <v>130</v>
      </c>
      <c r="K2318" t="s">
        <v>131</v>
      </c>
      <c r="L2318" t="s">
        <v>183</v>
      </c>
      <c r="M2318" t="s">
        <v>171</v>
      </c>
      <c r="N2318">
        <v>8</v>
      </c>
      <c r="O2318" s="4">
        <v>330</v>
      </c>
      <c r="P2318" s="4">
        <v>550</v>
      </c>
      <c r="Q2318" s="7">
        <v>0.1</v>
      </c>
      <c r="R2318" t="s">
        <v>175</v>
      </c>
      <c r="S2318">
        <v>14</v>
      </c>
      <c r="T2318">
        <v>4400</v>
      </c>
      <c r="U2318">
        <v>440</v>
      </c>
      <c r="V2318">
        <v>3960</v>
      </c>
      <c r="W2318">
        <v>2640</v>
      </c>
      <c r="X2318">
        <v>1320</v>
      </c>
      <c r="Y2318" s="8">
        <v>0.33333333333333331</v>
      </c>
      <c r="Z2318" t="s">
        <v>2996</v>
      </c>
      <c r="AA2318" t="str">
        <f>IF(AND(SalesCleanTable[[#This Row],[Discount %]]&gt;0, SalesCleanTable[[#This Row],[Profit]]&lt;0), "Discount loss", "Safe")</f>
        <v>Safe</v>
      </c>
      <c r="AB2318" s="25">
        <f>(SalesCleanTable[[#This Row],[Unit Price]] - SalesCleanTable[[#This Row],[Unit Cost]]) / SalesCleanTable[[#This Row],[Unit Price]]</f>
        <v>0.4</v>
      </c>
      <c r="AC2318" t="str">
        <f>IF(SalesCleanTable[[#This Row],[Discount %]] &gt; SalesCleanTable[[#This Row],[Max Allowed Discount]], "Discount loss", "Safe")</f>
        <v>Safe</v>
      </c>
      <c r="AD2318" s="4">
        <f>SalesCleanTable[[#This Row],[Unit Price]] - SalesCleanTable[[#This Row],[Unit Cost]]</f>
        <v>220</v>
      </c>
      <c r="AE2318" s="41">
        <f>(SalesCleanTable[[#This Row],[Unit Price]] - SalesCleanTable[[#This Row],[Unit Cost]]) / SalesCleanTable[[#This Row],[Unit Price]]</f>
        <v>0.4</v>
      </c>
    </row>
    <row r="2319" spans="1:31">
      <c r="A2319" t="s">
        <v>2505</v>
      </c>
      <c r="B2319" s="6">
        <v>45899</v>
      </c>
      <c r="C2319" t="s">
        <v>49</v>
      </c>
      <c r="D2319" t="s">
        <v>50</v>
      </c>
      <c r="E2319" t="s">
        <v>38</v>
      </c>
      <c r="F2319" t="s">
        <v>51</v>
      </c>
      <c r="G2319" t="s">
        <v>52</v>
      </c>
      <c r="H2319" t="s">
        <v>128</v>
      </c>
      <c r="I2319" t="s">
        <v>129</v>
      </c>
      <c r="J2319" t="s">
        <v>130</v>
      </c>
      <c r="K2319" t="s">
        <v>131</v>
      </c>
      <c r="L2319" t="s">
        <v>183</v>
      </c>
      <c r="M2319" t="s">
        <v>167</v>
      </c>
      <c r="N2319">
        <v>3</v>
      </c>
      <c r="O2319" s="4">
        <v>550</v>
      </c>
      <c r="P2319" s="4">
        <v>850</v>
      </c>
      <c r="Q2319" s="7">
        <v>0.05</v>
      </c>
      <c r="R2319" t="s">
        <v>178</v>
      </c>
      <c r="S2319">
        <v>8</v>
      </c>
      <c r="T2319">
        <v>2550</v>
      </c>
      <c r="U2319">
        <v>127.5</v>
      </c>
      <c r="V2319">
        <v>2422.5</v>
      </c>
      <c r="W2319">
        <v>1650</v>
      </c>
      <c r="X2319">
        <v>772.5</v>
      </c>
      <c r="Y2319" s="8">
        <v>0.31888544891640869</v>
      </c>
      <c r="Z2319" t="s">
        <v>2996</v>
      </c>
      <c r="AA2319" t="str">
        <f>IF(AND(SalesCleanTable[[#This Row],[Discount %]]&gt;0, SalesCleanTable[[#This Row],[Profit]]&lt;0), "Discount loss", "Safe")</f>
        <v>Safe</v>
      </c>
      <c r="AB2319" s="25">
        <f>(SalesCleanTable[[#This Row],[Unit Price]] - SalesCleanTable[[#This Row],[Unit Cost]]) / SalesCleanTable[[#This Row],[Unit Price]]</f>
        <v>0.35294117647058826</v>
      </c>
      <c r="AC2319" t="str">
        <f>IF(SalesCleanTable[[#This Row],[Discount %]] &gt; SalesCleanTable[[#This Row],[Max Allowed Discount]], "Discount loss", "Safe")</f>
        <v>Safe</v>
      </c>
      <c r="AD2319" s="4">
        <f>SalesCleanTable[[#This Row],[Unit Price]] - SalesCleanTable[[#This Row],[Unit Cost]]</f>
        <v>300</v>
      </c>
      <c r="AE2319" s="41">
        <f>(SalesCleanTable[[#This Row],[Unit Price]] - SalesCleanTable[[#This Row],[Unit Cost]]) / SalesCleanTable[[#This Row],[Unit Price]]</f>
        <v>0.35294117647058826</v>
      </c>
    </row>
    <row r="2320" spans="1:31">
      <c r="A2320" t="s">
        <v>2506</v>
      </c>
      <c r="B2320" s="6">
        <v>45747</v>
      </c>
      <c r="C2320" t="s">
        <v>120</v>
      </c>
      <c r="D2320" t="s">
        <v>121</v>
      </c>
      <c r="E2320" t="s">
        <v>109</v>
      </c>
      <c r="F2320" t="s">
        <v>93</v>
      </c>
      <c r="G2320" t="s">
        <v>122</v>
      </c>
      <c r="H2320" t="s">
        <v>135</v>
      </c>
      <c r="I2320" t="s">
        <v>136</v>
      </c>
      <c r="J2320" t="s">
        <v>137</v>
      </c>
      <c r="K2320" t="s">
        <v>138</v>
      </c>
      <c r="L2320" t="s">
        <v>166</v>
      </c>
      <c r="M2320" t="s">
        <v>167</v>
      </c>
      <c r="N2320">
        <v>4</v>
      </c>
      <c r="O2320" s="4">
        <v>1700</v>
      </c>
      <c r="P2320" s="4">
        <v>2800</v>
      </c>
      <c r="Q2320" s="7">
        <v>0.25</v>
      </c>
      <c r="R2320" t="s">
        <v>184</v>
      </c>
      <c r="S2320">
        <v>7</v>
      </c>
      <c r="T2320">
        <v>11200</v>
      </c>
      <c r="U2320">
        <v>2800</v>
      </c>
      <c r="V2320">
        <v>8400</v>
      </c>
      <c r="W2320">
        <v>6800</v>
      </c>
      <c r="X2320">
        <v>1600</v>
      </c>
      <c r="Y2320" s="8">
        <v>0.19047619047619047</v>
      </c>
      <c r="Z2320" t="s">
        <v>2997</v>
      </c>
      <c r="AA2320" t="str">
        <f>IF(AND(SalesCleanTable[[#This Row],[Discount %]]&gt;0, SalesCleanTable[[#This Row],[Profit]]&lt;0), "Discount loss", "Safe")</f>
        <v>Safe</v>
      </c>
      <c r="AB2320" s="25">
        <f>(SalesCleanTable[[#This Row],[Unit Price]] - SalesCleanTable[[#This Row],[Unit Cost]]) / SalesCleanTable[[#This Row],[Unit Price]]</f>
        <v>0.39285714285714285</v>
      </c>
      <c r="AC2320" t="str">
        <f>IF(SalesCleanTable[[#This Row],[Discount %]] &gt; SalesCleanTable[[#This Row],[Max Allowed Discount]], "Discount loss", "Safe")</f>
        <v>Safe</v>
      </c>
      <c r="AD2320" s="4">
        <f>SalesCleanTable[[#This Row],[Unit Price]] - SalesCleanTable[[#This Row],[Unit Cost]]</f>
        <v>1100</v>
      </c>
      <c r="AE2320" s="41">
        <f>(SalesCleanTable[[#This Row],[Unit Price]] - SalesCleanTable[[#This Row],[Unit Cost]]) / SalesCleanTable[[#This Row],[Unit Price]]</f>
        <v>0.39285714285714285</v>
      </c>
    </row>
    <row r="2321" spans="1:31">
      <c r="A2321" t="s">
        <v>2507</v>
      </c>
      <c r="B2321" s="6">
        <v>45752</v>
      </c>
      <c r="C2321" t="s">
        <v>78</v>
      </c>
      <c r="D2321" t="s">
        <v>79</v>
      </c>
      <c r="E2321" t="s">
        <v>75</v>
      </c>
      <c r="F2321" t="s">
        <v>80</v>
      </c>
      <c r="G2321" t="s">
        <v>81</v>
      </c>
      <c r="H2321" t="s">
        <v>135</v>
      </c>
      <c r="I2321" t="s">
        <v>136</v>
      </c>
      <c r="J2321" t="s">
        <v>137</v>
      </c>
      <c r="K2321" t="s">
        <v>138</v>
      </c>
      <c r="L2321" t="s">
        <v>166</v>
      </c>
      <c r="M2321" t="s">
        <v>177</v>
      </c>
      <c r="N2321">
        <v>3</v>
      </c>
      <c r="O2321" s="4">
        <v>1200</v>
      </c>
      <c r="P2321" s="4">
        <v>1900</v>
      </c>
      <c r="Q2321" s="7">
        <v>0.15</v>
      </c>
      <c r="R2321" t="s">
        <v>187</v>
      </c>
      <c r="S2321">
        <v>1</v>
      </c>
      <c r="T2321">
        <v>5700</v>
      </c>
      <c r="U2321">
        <v>855</v>
      </c>
      <c r="V2321">
        <v>4845</v>
      </c>
      <c r="W2321">
        <v>3600</v>
      </c>
      <c r="X2321">
        <v>1245</v>
      </c>
      <c r="Y2321" s="8">
        <v>0.25696594427244585</v>
      </c>
      <c r="Z2321" t="s">
        <v>2996</v>
      </c>
      <c r="AA2321" t="str">
        <f>IF(AND(SalesCleanTable[[#This Row],[Discount %]]&gt;0, SalesCleanTable[[#This Row],[Profit]]&lt;0), "Discount loss", "Safe")</f>
        <v>Safe</v>
      </c>
      <c r="AB2321" s="25">
        <f>(SalesCleanTable[[#This Row],[Unit Price]] - SalesCleanTable[[#This Row],[Unit Cost]]) / SalesCleanTable[[#This Row],[Unit Price]]</f>
        <v>0.36842105263157893</v>
      </c>
      <c r="AC2321" t="str">
        <f>IF(SalesCleanTable[[#This Row],[Discount %]] &gt; SalesCleanTable[[#This Row],[Max Allowed Discount]], "Discount loss", "Safe")</f>
        <v>Safe</v>
      </c>
      <c r="AD2321" s="4">
        <f>SalesCleanTable[[#This Row],[Unit Price]] - SalesCleanTable[[#This Row],[Unit Cost]]</f>
        <v>700</v>
      </c>
      <c r="AE2321" s="41">
        <f>(SalesCleanTable[[#This Row],[Unit Price]] - SalesCleanTable[[#This Row],[Unit Cost]]) / SalesCleanTable[[#This Row],[Unit Price]]</f>
        <v>0.36842105263157893</v>
      </c>
    </row>
    <row r="2322" spans="1:31">
      <c r="A2322" t="s">
        <v>2508</v>
      </c>
      <c r="B2322" s="6">
        <v>45809</v>
      </c>
      <c r="C2322" t="s">
        <v>95</v>
      </c>
      <c r="D2322" t="s">
        <v>96</v>
      </c>
      <c r="E2322" t="s">
        <v>92</v>
      </c>
      <c r="F2322" t="s">
        <v>97</v>
      </c>
      <c r="G2322" t="s">
        <v>98</v>
      </c>
      <c r="H2322" t="s">
        <v>153</v>
      </c>
      <c r="I2322" t="s">
        <v>154</v>
      </c>
      <c r="J2322" t="s">
        <v>155</v>
      </c>
      <c r="K2322" t="s">
        <v>131</v>
      </c>
      <c r="L2322" t="s">
        <v>183</v>
      </c>
      <c r="M2322" t="s">
        <v>167</v>
      </c>
      <c r="N2322">
        <v>1</v>
      </c>
      <c r="O2322" s="4">
        <v>18000</v>
      </c>
      <c r="P2322" s="4">
        <v>24500</v>
      </c>
      <c r="Q2322" s="7">
        <v>0</v>
      </c>
      <c r="R2322" t="s">
        <v>215</v>
      </c>
      <c r="S2322">
        <v>1</v>
      </c>
      <c r="T2322">
        <v>24500</v>
      </c>
      <c r="U2322">
        <v>0</v>
      </c>
      <c r="V2322">
        <v>24500</v>
      </c>
      <c r="W2322">
        <v>18000</v>
      </c>
      <c r="X2322">
        <v>6500</v>
      </c>
      <c r="Y2322" s="8">
        <v>0.26530612244897961</v>
      </c>
      <c r="Z2322" t="s">
        <v>2995</v>
      </c>
      <c r="AA2322" t="str">
        <f>IF(AND(SalesCleanTable[[#This Row],[Discount %]]&gt;0, SalesCleanTable[[#This Row],[Profit]]&lt;0), "Discount loss", "Safe")</f>
        <v>Safe</v>
      </c>
      <c r="AB2322" s="25">
        <f>(SalesCleanTable[[#This Row],[Unit Price]] - SalesCleanTable[[#This Row],[Unit Cost]]) / SalesCleanTable[[#This Row],[Unit Price]]</f>
        <v>0.26530612244897961</v>
      </c>
      <c r="AC2322" t="str">
        <f>IF(SalesCleanTable[[#This Row],[Discount %]] &gt; SalesCleanTable[[#This Row],[Max Allowed Discount]], "Discount loss", "Safe")</f>
        <v>Safe</v>
      </c>
      <c r="AD2322" s="4">
        <f>SalesCleanTable[[#This Row],[Unit Price]] - SalesCleanTable[[#This Row],[Unit Cost]]</f>
        <v>6500</v>
      </c>
      <c r="AE2322" s="41">
        <f>(SalesCleanTable[[#This Row],[Unit Price]] - SalesCleanTable[[#This Row],[Unit Cost]]) / SalesCleanTable[[#This Row],[Unit Price]]</f>
        <v>0.26530612244897961</v>
      </c>
    </row>
    <row r="2323" spans="1:31">
      <c r="A2323" t="s">
        <v>2509</v>
      </c>
      <c r="B2323" s="6">
        <v>45737</v>
      </c>
      <c r="C2323" t="s">
        <v>116</v>
      </c>
      <c r="D2323" t="s">
        <v>117</v>
      </c>
      <c r="E2323" t="s">
        <v>109</v>
      </c>
      <c r="F2323" t="s">
        <v>118</v>
      </c>
      <c r="G2323" t="s">
        <v>119</v>
      </c>
      <c r="H2323" t="s">
        <v>139</v>
      </c>
      <c r="I2323" t="s">
        <v>140</v>
      </c>
      <c r="J2323" t="s">
        <v>137</v>
      </c>
      <c r="K2323" t="s">
        <v>138</v>
      </c>
      <c r="L2323" t="s">
        <v>183</v>
      </c>
      <c r="M2323" t="s">
        <v>171</v>
      </c>
      <c r="N2323">
        <v>2</v>
      </c>
      <c r="O2323" s="4">
        <v>2800</v>
      </c>
      <c r="P2323" s="4">
        <v>4200</v>
      </c>
      <c r="Q2323" s="7">
        <v>0</v>
      </c>
      <c r="R2323" t="s">
        <v>220</v>
      </c>
      <c r="S2323">
        <v>14</v>
      </c>
      <c r="T2323">
        <v>8400</v>
      </c>
      <c r="U2323">
        <v>0</v>
      </c>
      <c r="V2323">
        <v>8400</v>
      </c>
      <c r="W2323">
        <v>5600</v>
      </c>
      <c r="X2323">
        <v>2800</v>
      </c>
      <c r="Y2323" s="8">
        <v>0.33333333333333331</v>
      </c>
      <c r="Z2323" t="s">
        <v>2995</v>
      </c>
      <c r="AA2323" t="str">
        <f>IF(AND(SalesCleanTable[[#This Row],[Discount %]]&gt;0, SalesCleanTable[[#This Row],[Profit]]&lt;0), "Discount loss", "Safe")</f>
        <v>Safe</v>
      </c>
      <c r="AB2323" s="25">
        <f>(SalesCleanTable[[#This Row],[Unit Price]] - SalesCleanTable[[#This Row],[Unit Cost]]) / SalesCleanTable[[#This Row],[Unit Price]]</f>
        <v>0.33333333333333331</v>
      </c>
      <c r="AC2323" t="str">
        <f>IF(SalesCleanTable[[#This Row],[Discount %]] &gt; SalesCleanTable[[#This Row],[Max Allowed Discount]], "Discount loss", "Safe")</f>
        <v>Safe</v>
      </c>
      <c r="AD2323" s="4">
        <f>SalesCleanTable[[#This Row],[Unit Price]] - SalesCleanTable[[#This Row],[Unit Cost]]</f>
        <v>1400</v>
      </c>
      <c r="AE2323" s="41">
        <f>(SalesCleanTable[[#This Row],[Unit Price]] - SalesCleanTable[[#This Row],[Unit Cost]]) / SalesCleanTable[[#This Row],[Unit Price]]</f>
        <v>0.33333333333333331</v>
      </c>
    </row>
    <row r="2324" spans="1:31">
      <c r="A2324" t="s">
        <v>2510</v>
      </c>
      <c r="B2324" s="6">
        <v>46018</v>
      </c>
      <c r="C2324" t="s">
        <v>29</v>
      </c>
      <c r="D2324" t="s">
        <v>30</v>
      </c>
      <c r="E2324" t="s">
        <v>26</v>
      </c>
      <c r="F2324" t="s">
        <v>27</v>
      </c>
      <c r="G2324" t="s">
        <v>31</v>
      </c>
      <c r="H2324" t="s">
        <v>141</v>
      </c>
      <c r="I2324" t="s">
        <v>142</v>
      </c>
      <c r="J2324" t="s">
        <v>143</v>
      </c>
      <c r="K2324" t="s">
        <v>144</v>
      </c>
      <c r="L2324" t="s">
        <v>166</v>
      </c>
      <c r="M2324" t="s">
        <v>171</v>
      </c>
      <c r="N2324">
        <v>3</v>
      </c>
      <c r="O2324" s="4">
        <v>6200</v>
      </c>
      <c r="P2324" s="4">
        <v>7900</v>
      </c>
      <c r="Q2324" s="7">
        <v>0.05</v>
      </c>
      <c r="R2324" t="s">
        <v>197</v>
      </c>
      <c r="S2324">
        <v>7</v>
      </c>
      <c r="T2324">
        <v>23700</v>
      </c>
      <c r="U2324">
        <v>1185</v>
      </c>
      <c r="V2324">
        <v>22515</v>
      </c>
      <c r="W2324">
        <v>18600</v>
      </c>
      <c r="X2324">
        <v>3915</v>
      </c>
      <c r="Y2324" s="8">
        <v>0.17388407728181213</v>
      </c>
      <c r="Z2324" t="s">
        <v>2996</v>
      </c>
      <c r="AA2324" t="str">
        <f>IF(AND(SalesCleanTable[[#This Row],[Discount %]]&gt;0, SalesCleanTable[[#This Row],[Profit]]&lt;0), "Discount loss", "Safe")</f>
        <v>Safe</v>
      </c>
      <c r="AB2324" s="25">
        <f>(SalesCleanTable[[#This Row],[Unit Price]] - SalesCleanTable[[#This Row],[Unit Cost]]) / SalesCleanTable[[#This Row],[Unit Price]]</f>
        <v>0.21518987341772153</v>
      </c>
      <c r="AC2324" t="str">
        <f>IF(SalesCleanTable[[#This Row],[Discount %]] &gt; SalesCleanTable[[#This Row],[Max Allowed Discount]], "Discount loss", "Safe")</f>
        <v>Safe</v>
      </c>
      <c r="AD2324" s="4">
        <f>SalesCleanTable[[#This Row],[Unit Price]] - SalesCleanTable[[#This Row],[Unit Cost]]</f>
        <v>1700</v>
      </c>
      <c r="AE2324" s="41">
        <f>(SalesCleanTable[[#This Row],[Unit Price]] - SalesCleanTable[[#This Row],[Unit Cost]]) / SalesCleanTable[[#This Row],[Unit Price]]</f>
        <v>0.21518987341772153</v>
      </c>
    </row>
    <row r="2325" spans="1:31">
      <c r="A2325" t="s">
        <v>2511</v>
      </c>
      <c r="B2325" s="6">
        <v>46011</v>
      </c>
      <c r="C2325" t="s">
        <v>45</v>
      </c>
      <c r="D2325" t="s">
        <v>46</v>
      </c>
      <c r="E2325" t="s">
        <v>38</v>
      </c>
      <c r="F2325" t="s">
        <v>47</v>
      </c>
      <c r="G2325" t="s">
        <v>48</v>
      </c>
      <c r="H2325" t="s">
        <v>135</v>
      </c>
      <c r="I2325" t="s">
        <v>136</v>
      </c>
      <c r="J2325" t="s">
        <v>137</v>
      </c>
      <c r="K2325" t="s">
        <v>138</v>
      </c>
      <c r="L2325" t="s">
        <v>166</v>
      </c>
      <c r="M2325" t="s">
        <v>171</v>
      </c>
      <c r="N2325">
        <v>2</v>
      </c>
      <c r="O2325" s="4">
        <v>230</v>
      </c>
      <c r="P2325" s="4">
        <v>400</v>
      </c>
      <c r="Q2325" s="7">
        <v>0.1</v>
      </c>
      <c r="R2325" t="s">
        <v>168</v>
      </c>
      <c r="S2325">
        <v>9</v>
      </c>
      <c r="T2325">
        <v>800</v>
      </c>
      <c r="U2325">
        <v>80</v>
      </c>
      <c r="V2325">
        <v>720</v>
      </c>
      <c r="W2325">
        <v>460</v>
      </c>
      <c r="X2325">
        <v>260</v>
      </c>
      <c r="Y2325" s="8">
        <v>0.3611111111111111</v>
      </c>
      <c r="Z2325" t="s">
        <v>2995</v>
      </c>
      <c r="AA2325" t="str">
        <f>IF(AND(SalesCleanTable[[#This Row],[Discount %]]&gt;0, SalesCleanTable[[#This Row],[Profit]]&lt;0), "Discount loss", "Safe")</f>
        <v>Safe</v>
      </c>
      <c r="AB2325" s="25">
        <f>(SalesCleanTable[[#This Row],[Unit Price]] - SalesCleanTable[[#This Row],[Unit Cost]]) / SalesCleanTable[[#This Row],[Unit Price]]</f>
        <v>0.42499999999999999</v>
      </c>
      <c r="AC2325" t="str">
        <f>IF(SalesCleanTable[[#This Row],[Discount %]] &gt; SalesCleanTable[[#This Row],[Max Allowed Discount]], "Discount loss", "Safe")</f>
        <v>Safe</v>
      </c>
      <c r="AD2325" s="4">
        <f>SalesCleanTable[[#This Row],[Unit Price]] - SalesCleanTable[[#This Row],[Unit Cost]]</f>
        <v>170</v>
      </c>
      <c r="AE2325" s="41">
        <f>(SalesCleanTable[[#This Row],[Unit Price]] - SalesCleanTable[[#This Row],[Unit Cost]]) / SalesCleanTable[[#This Row],[Unit Price]]</f>
        <v>0.42499999999999999</v>
      </c>
    </row>
    <row r="2326" spans="1:31">
      <c r="A2326" t="s">
        <v>2512</v>
      </c>
      <c r="B2326" s="6">
        <v>45846</v>
      </c>
      <c r="C2326" t="s">
        <v>90</v>
      </c>
      <c r="D2326" t="s">
        <v>91</v>
      </c>
      <c r="E2326" t="s">
        <v>92</v>
      </c>
      <c r="F2326" t="s">
        <v>93</v>
      </c>
      <c r="G2326" t="s">
        <v>94</v>
      </c>
      <c r="H2326" t="s">
        <v>135</v>
      </c>
      <c r="I2326" t="s">
        <v>136</v>
      </c>
      <c r="J2326" t="s">
        <v>137</v>
      </c>
      <c r="K2326" t="s">
        <v>138</v>
      </c>
      <c r="L2326" t="s">
        <v>166</v>
      </c>
      <c r="M2326" t="s">
        <v>171</v>
      </c>
      <c r="N2326">
        <v>1</v>
      </c>
      <c r="O2326" s="4">
        <v>7500</v>
      </c>
      <c r="P2326" s="4">
        <v>10500</v>
      </c>
      <c r="Q2326" s="7">
        <v>0.1</v>
      </c>
      <c r="R2326" t="s">
        <v>215</v>
      </c>
      <c r="S2326">
        <v>9</v>
      </c>
      <c r="T2326">
        <v>10500</v>
      </c>
      <c r="U2326">
        <v>1050</v>
      </c>
      <c r="V2326">
        <v>9450</v>
      </c>
      <c r="W2326">
        <v>7500</v>
      </c>
      <c r="X2326">
        <v>1950</v>
      </c>
      <c r="Y2326" s="8">
        <v>0.20634920634920634</v>
      </c>
      <c r="Z2326" t="s">
        <v>2996</v>
      </c>
      <c r="AA2326" t="str">
        <f>IF(AND(SalesCleanTable[[#This Row],[Discount %]]&gt;0, SalesCleanTable[[#This Row],[Profit]]&lt;0), "Discount loss", "Safe")</f>
        <v>Safe</v>
      </c>
      <c r="AB2326" s="25">
        <f>(SalesCleanTable[[#This Row],[Unit Price]] - SalesCleanTable[[#This Row],[Unit Cost]]) / SalesCleanTable[[#This Row],[Unit Price]]</f>
        <v>0.2857142857142857</v>
      </c>
      <c r="AC2326" t="str">
        <f>IF(SalesCleanTable[[#This Row],[Discount %]] &gt; SalesCleanTable[[#This Row],[Max Allowed Discount]], "Discount loss", "Safe")</f>
        <v>Safe</v>
      </c>
      <c r="AD2326" s="4">
        <f>SalesCleanTable[[#This Row],[Unit Price]] - SalesCleanTable[[#This Row],[Unit Cost]]</f>
        <v>3000</v>
      </c>
      <c r="AE2326" s="41">
        <f>(SalesCleanTable[[#This Row],[Unit Price]] - SalesCleanTable[[#This Row],[Unit Cost]]) / SalesCleanTable[[#This Row],[Unit Price]]</f>
        <v>0.2857142857142857</v>
      </c>
    </row>
    <row r="2327" spans="1:31">
      <c r="A2327" t="s">
        <v>2513</v>
      </c>
      <c r="B2327" s="6">
        <v>45838</v>
      </c>
      <c r="C2327" t="s">
        <v>103</v>
      </c>
      <c r="D2327" t="s">
        <v>104</v>
      </c>
      <c r="E2327" t="s">
        <v>92</v>
      </c>
      <c r="F2327" t="s">
        <v>105</v>
      </c>
      <c r="G2327" t="s">
        <v>106</v>
      </c>
      <c r="H2327" t="s">
        <v>139</v>
      </c>
      <c r="I2327" t="s">
        <v>140</v>
      </c>
      <c r="J2327" t="s">
        <v>137</v>
      </c>
      <c r="K2327" t="s">
        <v>138</v>
      </c>
      <c r="L2327" t="s">
        <v>166</v>
      </c>
      <c r="M2327" t="s">
        <v>171</v>
      </c>
      <c r="N2327">
        <v>10</v>
      </c>
      <c r="O2327" s="4">
        <v>1500</v>
      </c>
      <c r="P2327" s="4">
        <v>2500</v>
      </c>
      <c r="Q2327" s="7">
        <v>0</v>
      </c>
      <c r="R2327" t="s">
        <v>217</v>
      </c>
      <c r="S2327">
        <v>7</v>
      </c>
      <c r="T2327">
        <v>25000</v>
      </c>
      <c r="U2327">
        <v>0</v>
      </c>
      <c r="V2327">
        <v>25000</v>
      </c>
      <c r="W2327">
        <v>15000</v>
      </c>
      <c r="X2327">
        <v>10000</v>
      </c>
      <c r="Y2327" s="8">
        <v>0.4</v>
      </c>
      <c r="Z2327" t="s">
        <v>2996</v>
      </c>
      <c r="AA2327" t="str">
        <f>IF(AND(SalesCleanTable[[#This Row],[Discount %]]&gt;0, SalesCleanTable[[#This Row],[Profit]]&lt;0), "Discount loss", "Safe")</f>
        <v>Safe</v>
      </c>
      <c r="AB2327" s="25">
        <f>(SalesCleanTable[[#This Row],[Unit Price]] - SalesCleanTable[[#This Row],[Unit Cost]]) / SalesCleanTable[[#This Row],[Unit Price]]</f>
        <v>0.4</v>
      </c>
      <c r="AC2327" t="str">
        <f>IF(SalesCleanTable[[#This Row],[Discount %]] &gt; SalesCleanTable[[#This Row],[Max Allowed Discount]], "Discount loss", "Safe")</f>
        <v>Safe</v>
      </c>
      <c r="AD2327" s="4">
        <f>SalesCleanTable[[#This Row],[Unit Price]] - SalesCleanTable[[#This Row],[Unit Cost]]</f>
        <v>1000</v>
      </c>
      <c r="AE2327" s="41">
        <f>(SalesCleanTable[[#This Row],[Unit Price]] - SalesCleanTable[[#This Row],[Unit Cost]]) / SalesCleanTable[[#This Row],[Unit Price]]</f>
        <v>0.4</v>
      </c>
    </row>
    <row r="2328" spans="1:31">
      <c r="A2328" t="s">
        <v>2514</v>
      </c>
      <c r="B2328" s="6">
        <v>45759</v>
      </c>
      <c r="C2328" t="s">
        <v>116</v>
      </c>
      <c r="D2328" t="s">
        <v>117</v>
      </c>
      <c r="E2328" t="s">
        <v>109</v>
      </c>
      <c r="F2328" t="s">
        <v>118</v>
      </c>
      <c r="G2328" t="s">
        <v>119</v>
      </c>
      <c r="H2328" t="s">
        <v>133</v>
      </c>
      <c r="I2328" t="s">
        <v>134</v>
      </c>
      <c r="J2328" t="s">
        <v>130</v>
      </c>
      <c r="K2328" t="s">
        <v>131</v>
      </c>
      <c r="L2328" t="s">
        <v>166</v>
      </c>
      <c r="M2328" t="s">
        <v>171</v>
      </c>
      <c r="N2328">
        <v>1</v>
      </c>
      <c r="O2328" s="4">
        <v>2800</v>
      </c>
      <c r="P2328" s="4">
        <v>4200</v>
      </c>
      <c r="Q2328" s="7">
        <v>0.05</v>
      </c>
      <c r="R2328" t="s">
        <v>184</v>
      </c>
      <c r="S2328">
        <v>7</v>
      </c>
      <c r="T2328">
        <v>4200</v>
      </c>
      <c r="U2328">
        <v>210</v>
      </c>
      <c r="V2328">
        <v>3990</v>
      </c>
      <c r="W2328">
        <v>2800</v>
      </c>
      <c r="X2328">
        <v>1190</v>
      </c>
      <c r="Y2328" s="8">
        <v>0.2982456140350877</v>
      </c>
      <c r="Z2328" t="s">
        <v>2995</v>
      </c>
      <c r="AA2328" t="str">
        <f>IF(AND(SalesCleanTable[[#This Row],[Discount %]]&gt;0, SalesCleanTable[[#This Row],[Profit]]&lt;0), "Discount loss", "Safe")</f>
        <v>Safe</v>
      </c>
      <c r="AB2328" s="25">
        <f>(SalesCleanTable[[#This Row],[Unit Price]] - SalesCleanTable[[#This Row],[Unit Cost]]) / SalesCleanTable[[#This Row],[Unit Price]]</f>
        <v>0.33333333333333331</v>
      </c>
      <c r="AC2328" t="str">
        <f>IF(SalesCleanTable[[#This Row],[Discount %]] &gt; SalesCleanTable[[#This Row],[Max Allowed Discount]], "Discount loss", "Safe")</f>
        <v>Safe</v>
      </c>
      <c r="AD2328" s="4">
        <f>SalesCleanTable[[#This Row],[Unit Price]] - SalesCleanTable[[#This Row],[Unit Cost]]</f>
        <v>1400</v>
      </c>
      <c r="AE2328" s="41">
        <f>(SalesCleanTable[[#This Row],[Unit Price]] - SalesCleanTable[[#This Row],[Unit Cost]]) / SalesCleanTable[[#This Row],[Unit Price]]</f>
        <v>0.33333333333333331</v>
      </c>
    </row>
    <row r="2329" spans="1:31">
      <c r="A2329" t="s">
        <v>2515</v>
      </c>
      <c r="B2329" s="6">
        <v>45695</v>
      </c>
      <c r="C2329" t="s">
        <v>32</v>
      </c>
      <c r="D2329" t="s">
        <v>33</v>
      </c>
      <c r="E2329" t="s">
        <v>26</v>
      </c>
      <c r="F2329" t="s">
        <v>34</v>
      </c>
      <c r="G2329" t="s">
        <v>35</v>
      </c>
      <c r="H2329" t="s">
        <v>139</v>
      </c>
      <c r="I2329" t="s">
        <v>140</v>
      </c>
      <c r="J2329" t="s">
        <v>137</v>
      </c>
      <c r="K2329" t="s">
        <v>138</v>
      </c>
      <c r="L2329" t="s">
        <v>183</v>
      </c>
      <c r="M2329" t="s">
        <v>171</v>
      </c>
      <c r="N2329">
        <v>3</v>
      </c>
      <c r="O2329" s="4">
        <v>7800</v>
      </c>
      <c r="P2329" s="4">
        <v>9800</v>
      </c>
      <c r="Q2329" s="7">
        <v>0.05</v>
      </c>
      <c r="R2329" t="s">
        <v>197</v>
      </c>
      <c r="S2329">
        <v>3</v>
      </c>
      <c r="T2329">
        <v>29400</v>
      </c>
      <c r="U2329">
        <v>1470</v>
      </c>
      <c r="V2329">
        <v>27930</v>
      </c>
      <c r="W2329">
        <v>23400</v>
      </c>
      <c r="X2329">
        <v>4530</v>
      </c>
      <c r="Y2329" s="8">
        <v>0.16219119226638024</v>
      </c>
      <c r="Z2329" t="s">
        <v>2995</v>
      </c>
      <c r="AA2329" t="str">
        <f>IF(AND(SalesCleanTable[[#This Row],[Discount %]]&gt;0, SalesCleanTable[[#This Row],[Profit]]&lt;0), "Discount loss", "Safe")</f>
        <v>Safe</v>
      </c>
      <c r="AB2329" s="25">
        <f>(SalesCleanTable[[#This Row],[Unit Price]] - SalesCleanTable[[#This Row],[Unit Cost]]) / SalesCleanTable[[#This Row],[Unit Price]]</f>
        <v>0.20408163265306123</v>
      </c>
      <c r="AC2329" t="str">
        <f>IF(SalesCleanTable[[#This Row],[Discount %]] &gt; SalesCleanTable[[#This Row],[Max Allowed Discount]], "Discount loss", "Safe")</f>
        <v>Safe</v>
      </c>
      <c r="AD2329" s="4">
        <f>SalesCleanTable[[#This Row],[Unit Price]] - SalesCleanTable[[#This Row],[Unit Cost]]</f>
        <v>2000</v>
      </c>
      <c r="AE2329" s="41">
        <f>(SalesCleanTable[[#This Row],[Unit Price]] - SalesCleanTable[[#This Row],[Unit Cost]]) / SalesCleanTable[[#This Row],[Unit Price]]</f>
        <v>0.20408163265306123</v>
      </c>
    </row>
    <row r="2330" spans="1:31">
      <c r="A2330" t="s">
        <v>2516</v>
      </c>
      <c r="B2330" s="6">
        <v>45789</v>
      </c>
      <c r="C2330" t="s">
        <v>36</v>
      </c>
      <c r="D2330" t="s">
        <v>37</v>
      </c>
      <c r="E2330" t="s">
        <v>38</v>
      </c>
      <c r="F2330" t="s">
        <v>39</v>
      </c>
      <c r="G2330" t="s">
        <v>40</v>
      </c>
      <c r="H2330" t="s">
        <v>139</v>
      </c>
      <c r="I2330" t="s">
        <v>140</v>
      </c>
      <c r="J2330" t="s">
        <v>137</v>
      </c>
      <c r="K2330" t="s">
        <v>138</v>
      </c>
      <c r="L2330" t="s">
        <v>166</v>
      </c>
      <c r="M2330" t="s">
        <v>177</v>
      </c>
      <c r="N2330">
        <v>1</v>
      </c>
      <c r="O2330" s="4">
        <v>1650</v>
      </c>
      <c r="P2330" s="4">
        <v>2200</v>
      </c>
      <c r="Q2330" s="7">
        <v>0.2</v>
      </c>
      <c r="R2330" t="s">
        <v>175</v>
      </c>
      <c r="S2330">
        <v>7</v>
      </c>
      <c r="T2330">
        <v>2200</v>
      </c>
      <c r="U2330">
        <v>440</v>
      </c>
      <c r="V2330">
        <v>1760</v>
      </c>
      <c r="W2330">
        <v>1650</v>
      </c>
      <c r="X2330">
        <v>110</v>
      </c>
      <c r="Y2330" s="8">
        <v>6.25E-2</v>
      </c>
      <c r="Z2330" t="s">
        <v>2995</v>
      </c>
      <c r="AA2330" t="str">
        <f>IF(AND(SalesCleanTable[[#This Row],[Discount %]]&gt;0, SalesCleanTable[[#This Row],[Profit]]&lt;0), "Discount loss", "Safe")</f>
        <v>Safe</v>
      </c>
      <c r="AB2330" s="25">
        <f>(SalesCleanTable[[#This Row],[Unit Price]] - SalesCleanTable[[#This Row],[Unit Cost]]) / SalesCleanTable[[#This Row],[Unit Price]]</f>
        <v>0.25</v>
      </c>
      <c r="AC2330" t="str">
        <f>IF(SalesCleanTable[[#This Row],[Discount %]] &gt; SalesCleanTable[[#This Row],[Max Allowed Discount]], "Discount loss", "Safe")</f>
        <v>Safe</v>
      </c>
      <c r="AD2330" s="4">
        <f>SalesCleanTable[[#This Row],[Unit Price]] - SalesCleanTable[[#This Row],[Unit Cost]]</f>
        <v>550</v>
      </c>
      <c r="AE2330" s="41">
        <f>(SalesCleanTable[[#This Row],[Unit Price]] - SalesCleanTable[[#This Row],[Unit Cost]]) / SalesCleanTable[[#This Row],[Unit Price]]</f>
        <v>0.25</v>
      </c>
    </row>
    <row r="2331" spans="1:31">
      <c r="A2331" t="s">
        <v>2517</v>
      </c>
      <c r="B2331" s="6">
        <v>45890</v>
      </c>
      <c r="C2331" t="s">
        <v>112</v>
      </c>
      <c r="D2331" t="s">
        <v>113</v>
      </c>
      <c r="E2331" t="s">
        <v>109</v>
      </c>
      <c r="F2331" t="s">
        <v>114</v>
      </c>
      <c r="G2331" t="s">
        <v>115</v>
      </c>
      <c r="H2331" t="s">
        <v>139</v>
      </c>
      <c r="I2331" t="s">
        <v>140</v>
      </c>
      <c r="J2331" t="s">
        <v>137</v>
      </c>
      <c r="K2331" t="s">
        <v>138</v>
      </c>
      <c r="L2331" t="s">
        <v>166</v>
      </c>
      <c r="M2331" t="s">
        <v>171</v>
      </c>
      <c r="N2331">
        <v>2</v>
      </c>
      <c r="O2331" s="4">
        <v>1300</v>
      </c>
      <c r="P2331" s="4">
        <v>2100</v>
      </c>
      <c r="Q2331" s="7">
        <v>0</v>
      </c>
      <c r="R2331" t="s">
        <v>184</v>
      </c>
      <c r="S2331">
        <v>10</v>
      </c>
      <c r="T2331">
        <v>4200</v>
      </c>
      <c r="U2331">
        <v>0</v>
      </c>
      <c r="V2331">
        <v>4200</v>
      </c>
      <c r="W2331">
        <v>2600</v>
      </c>
      <c r="X2331">
        <v>1600</v>
      </c>
      <c r="Y2331" s="8">
        <v>0.38095238095238093</v>
      </c>
      <c r="Z2331" t="s">
        <v>2995</v>
      </c>
      <c r="AA2331" t="str">
        <f>IF(AND(SalesCleanTable[[#This Row],[Discount %]]&gt;0, SalesCleanTable[[#This Row],[Profit]]&lt;0), "Discount loss", "Safe")</f>
        <v>Safe</v>
      </c>
      <c r="AB2331" s="25">
        <f>(SalesCleanTable[[#This Row],[Unit Price]] - SalesCleanTable[[#This Row],[Unit Cost]]) / SalesCleanTable[[#This Row],[Unit Price]]</f>
        <v>0.38095238095238093</v>
      </c>
      <c r="AC2331" t="str">
        <f>IF(SalesCleanTable[[#This Row],[Discount %]] &gt; SalesCleanTable[[#This Row],[Max Allowed Discount]], "Discount loss", "Safe")</f>
        <v>Safe</v>
      </c>
      <c r="AD2331" s="4">
        <f>SalesCleanTable[[#This Row],[Unit Price]] - SalesCleanTable[[#This Row],[Unit Cost]]</f>
        <v>800</v>
      </c>
      <c r="AE2331" s="41">
        <f>(SalesCleanTable[[#This Row],[Unit Price]] - SalesCleanTable[[#This Row],[Unit Cost]]) / SalesCleanTable[[#This Row],[Unit Price]]</f>
        <v>0.38095238095238093</v>
      </c>
    </row>
    <row r="2332" spans="1:31">
      <c r="A2332" t="s">
        <v>2518</v>
      </c>
      <c r="B2332" s="6">
        <v>45737</v>
      </c>
      <c r="C2332" t="s">
        <v>66</v>
      </c>
      <c r="D2332" t="s">
        <v>67</v>
      </c>
      <c r="E2332" t="s">
        <v>59</v>
      </c>
      <c r="F2332" t="s">
        <v>60</v>
      </c>
      <c r="G2332" t="s">
        <v>68</v>
      </c>
      <c r="H2332" t="s">
        <v>145</v>
      </c>
      <c r="I2332" t="s">
        <v>146</v>
      </c>
      <c r="J2332" t="s">
        <v>147</v>
      </c>
      <c r="K2332" t="s">
        <v>148</v>
      </c>
      <c r="L2332" t="s">
        <v>166</v>
      </c>
      <c r="M2332" t="s">
        <v>186</v>
      </c>
      <c r="N2332">
        <v>5</v>
      </c>
      <c r="O2332" s="4">
        <v>2800</v>
      </c>
      <c r="P2332" s="4">
        <v>3900</v>
      </c>
      <c r="Q2332" s="7">
        <v>0.1</v>
      </c>
      <c r="R2332" t="s">
        <v>173</v>
      </c>
      <c r="S2332">
        <v>12</v>
      </c>
      <c r="T2332">
        <v>19500</v>
      </c>
      <c r="U2332">
        <v>1950</v>
      </c>
      <c r="V2332">
        <v>17550</v>
      </c>
      <c r="W2332">
        <v>14000</v>
      </c>
      <c r="X2332">
        <v>3550</v>
      </c>
      <c r="Y2332" s="8">
        <v>0.20227920227920229</v>
      </c>
      <c r="Z2332" t="s">
        <v>2996</v>
      </c>
      <c r="AA2332" t="str">
        <f>IF(AND(SalesCleanTable[[#This Row],[Discount %]]&gt;0, SalesCleanTable[[#This Row],[Profit]]&lt;0), "Discount loss", "Safe")</f>
        <v>Safe</v>
      </c>
      <c r="AB2332" s="25">
        <f>(SalesCleanTable[[#This Row],[Unit Price]] - SalesCleanTable[[#This Row],[Unit Cost]]) / SalesCleanTable[[#This Row],[Unit Price]]</f>
        <v>0.28205128205128205</v>
      </c>
      <c r="AC2332" t="str">
        <f>IF(SalesCleanTable[[#This Row],[Discount %]] &gt; SalesCleanTable[[#This Row],[Max Allowed Discount]], "Discount loss", "Safe")</f>
        <v>Safe</v>
      </c>
      <c r="AD2332" s="4">
        <f>SalesCleanTable[[#This Row],[Unit Price]] - SalesCleanTable[[#This Row],[Unit Cost]]</f>
        <v>1100</v>
      </c>
      <c r="AE2332" s="41">
        <f>(SalesCleanTable[[#This Row],[Unit Price]] - SalesCleanTable[[#This Row],[Unit Cost]]) / SalesCleanTable[[#This Row],[Unit Price]]</f>
        <v>0.28205128205128205</v>
      </c>
    </row>
    <row r="2333" spans="1:31">
      <c r="A2333" t="s">
        <v>2519</v>
      </c>
      <c r="B2333" s="6">
        <v>45862</v>
      </c>
      <c r="C2333" t="s">
        <v>62</v>
      </c>
      <c r="D2333" t="s">
        <v>63</v>
      </c>
      <c r="E2333" t="s">
        <v>59</v>
      </c>
      <c r="F2333" t="s">
        <v>64</v>
      </c>
      <c r="G2333" t="s">
        <v>65</v>
      </c>
      <c r="H2333" t="s">
        <v>139</v>
      </c>
      <c r="I2333" t="s">
        <v>140</v>
      </c>
      <c r="J2333" t="s">
        <v>137</v>
      </c>
      <c r="K2333" t="s">
        <v>138</v>
      </c>
      <c r="L2333" t="s">
        <v>166</v>
      </c>
      <c r="M2333" t="s">
        <v>171</v>
      </c>
      <c r="N2333">
        <v>3</v>
      </c>
      <c r="O2333" s="4">
        <v>3200</v>
      </c>
      <c r="P2333" s="4">
        <v>4500</v>
      </c>
      <c r="Q2333" s="7">
        <v>0.1</v>
      </c>
      <c r="R2333" t="s">
        <v>192</v>
      </c>
      <c r="S2333">
        <v>5</v>
      </c>
      <c r="T2333">
        <v>13500</v>
      </c>
      <c r="U2333">
        <v>1350</v>
      </c>
      <c r="V2333">
        <v>12150</v>
      </c>
      <c r="W2333">
        <v>9600</v>
      </c>
      <c r="X2333">
        <v>2550</v>
      </c>
      <c r="Y2333" s="8">
        <v>0.20987654320987653</v>
      </c>
      <c r="Z2333" t="s">
        <v>2996</v>
      </c>
      <c r="AA2333" t="str">
        <f>IF(AND(SalesCleanTable[[#This Row],[Discount %]]&gt;0, SalesCleanTable[[#This Row],[Profit]]&lt;0), "Discount loss", "Safe")</f>
        <v>Safe</v>
      </c>
      <c r="AB2333" s="25">
        <f>(SalesCleanTable[[#This Row],[Unit Price]] - SalesCleanTable[[#This Row],[Unit Cost]]) / SalesCleanTable[[#This Row],[Unit Price]]</f>
        <v>0.28888888888888886</v>
      </c>
      <c r="AC2333" t="str">
        <f>IF(SalesCleanTable[[#This Row],[Discount %]] &gt; SalesCleanTable[[#This Row],[Max Allowed Discount]], "Discount loss", "Safe")</f>
        <v>Safe</v>
      </c>
      <c r="AD2333" s="4">
        <f>SalesCleanTable[[#This Row],[Unit Price]] - SalesCleanTable[[#This Row],[Unit Cost]]</f>
        <v>1300</v>
      </c>
      <c r="AE2333" s="41">
        <f>(SalesCleanTable[[#This Row],[Unit Price]] - SalesCleanTable[[#This Row],[Unit Cost]]) / SalesCleanTable[[#This Row],[Unit Price]]</f>
        <v>0.28888888888888886</v>
      </c>
    </row>
    <row r="2334" spans="1:31">
      <c r="A2334" t="s">
        <v>2520</v>
      </c>
      <c r="B2334" s="6">
        <v>45788</v>
      </c>
      <c r="C2334" t="s">
        <v>57</v>
      </c>
      <c r="D2334" t="s">
        <v>58</v>
      </c>
      <c r="E2334" t="s">
        <v>59</v>
      </c>
      <c r="F2334" t="s">
        <v>60</v>
      </c>
      <c r="G2334" t="s">
        <v>61</v>
      </c>
      <c r="H2334" t="s">
        <v>128</v>
      </c>
      <c r="I2334" t="s">
        <v>129</v>
      </c>
      <c r="J2334" t="s">
        <v>130</v>
      </c>
      <c r="K2334" t="s">
        <v>131</v>
      </c>
      <c r="L2334" t="s">
        <v>183</v>
      </c>
      <c r="M2334" t="s">
        <v>171</v>
      </c>
      <c r="N2334">
        <v>8</v>
      </c>
      <c r="O2334" s="4">
        <v>2400</v>
      </c>
      <c r="P2334" s="4">
        <v>3400</v>
      </c>
      <c r="Q2334" s="7">
        <v>0.15</v>
      </c>
      <c r="R2334" t="s">
        <v>192</v>
      </c>
      <c r="S2334">
        <v>6</v>
      </c>
      <c r="T2334">
        <v>27200</v>
      </c>
      <c r="U2334">
        <v>4080</v>
      </c>
      <c r="V2334">
        <v>23120</v>
      </c>
      <c r="W2334">
        <v>19200</v>
      </c>
      <c r="X2334">
        <v>3920</v>
      </c>
      <c r="Y2334" s="8">
        <v>0.16955017301038061</v>
      </c>
      <c r="Z2334" t="s">
        <v>2996</v>
      </c>
      <c r="AA2334" t="str">
        <f>IF(AND(SalesCleanTable[[#This Row],[Discount %]]&gt;0, SalesCleanTable[[#This Row],[Profit]]&lt;0), "Discount loss", "Safe")</f>
        <v>Safe</v>
      </c>
      <c r="AB2334" s="25">
        <f>(SalesCleanTable[[#This Row],[Unit Price]] - SalesCleanTable[[#This Row],[Unit Cost]]) / SalesCleanTable[[#This Row],[Unit Price]]</f>
        <v>0.29411764705882354</v>
      </c>
      <c r="AC2334" t="str">
        <f>IF(SalesCleanTable[[#This Row],[Discount %]] &gt; SalesCleanTable[[#This Row],[Max Allowed Discount]], "Discount loss", "Safe")</f>
        <v>Safe</v>
      </c>
      <c r="AD2334" s="4">
        <f>SalesCleanTable[[#This Row],[Unit Price]] - SalesCleanTable[[#This Row],[Unit Cost]]</f>
        <v>1000</v>
      </c>
      <c r="AE2334" s="41">
        <f>(SalesCleanTable[[#This Row],[Unit Price]] - SalesCleanTable[[#This Row],[Unit Cost]]) / SalesCleanTable[[#This Row],[Unit Price]]</f>
        <v>0.29411764705882354</v>
      </c>
    </row>
    <row r="2335" spans="1:31">
      <c r="A2335" t="s">
        <v>2521</v>
      </c>
      <c r="B2335" s="6">
        <v>45928</v>
      </c>
      <c r="C2335" t="s">
        <v>82</v>
      </c>
      <c r="D2335" t="s">
        <v>83</v>
      </c>
      <c r="E2335" t="s">
        <v>75</v>
      </c>
      <c r="F2335" t="s">
        <v>84</v>
      </c>
      <c r="G2335" t="s">
        <v>85</v>
      </c>
      <c r="H2335" t="s">
        <v>153</v>
      </c>
      <c r="I2335" t="s">
        <v>154</v>
      </c>
      <c r="J2335" t="s">
        <v>155</v>
      </c>
      <c r="K2335" t="s">
        <v>131</v>
      </c>
      <c r="L2335" t="s">
        <v>166</v>
      </c>
      <c r="M2335" t="s">
        <v>177</v>
      </c>
      <c r="N2335">
        <v>3</v>
      </c>
      <c r="O2335" s="4">
        <v>600</v>
      </c>
      <c r="P2335" s="4">
        <v>950</v>
      </c>
      <c r="Q2335" s="7">
        <v>0</v>
      </c>
      <c r="R2335" t="s">
        <v>187</v>
      </c>
      <c r="S2335">
        <v>2</v>
      </c>
      <c r="T2335">
        <v>2850</v>
      </c>
      <c r="U2335">
        <v>0</v>
      </c>
      <c r="V2335">
        <v>2850</v>
      </c>
      <c r="W2335">
        <v>1800</v>
      </c>
      <c r="X2335">
        <v>1050</v>
      </c>
      <c r="Y2335" s="8">
        <v>0.36842105263157893</v>
      </c>
      <c r="Z2335" t="s">
        <v>2996</v>
      </c>
      <c r="AA2335" t="str">
        <f>IF(AND(SalesCleanTable[[#This Row],[Discount %]]&gt;0, SalesCleanTable[[#This Row],[Profit]]&lt;0), "Discount loss", "Safe")</f>
        <v>Safe</v>
      </c>
      <c r="AB2335" s="25">
        <f>(SalesCleanTable[[#This Row],[Unit Price]] - SalesCleanTable[[#This Row],[Unit Cost]]) / SalesCleanTable[[#This Row],[Unit Price]]</f>
        <v>0.36842105263157893</v>
      </c>
      <c r="AC2335" t="str">
        <f>IF(SalesCleanTable[[#This Row],[Discount %]] &gt; SalesCleanTable[[#This Row],[Max Allowed Discount]], "Discount loss", "Safe")</f>
        <v>Safe</v>
      </c>
      <c r="AD2335" s="4">
        <f>SalesCleanTable[[#This Row],[Unit Price]] - SalesCleanTable[[#This Row],[Unit Cost]]</f>
        <v>350</v>
      </c>
      <c r="AE2335" s="41">
        <f>(SalesCleanTable[[#This Row],[Unit Price]] - SalesCleanTable[[#This Row],[Unit Cost]]) / SalesCleanTable[[#This Row],[Unit Price]]</f>
        <v>0.36842105263157893</v>
      </c>
    </row>
    <row r="2336" spans="1:31">
      <c r="A2336" t="s">
        <v>2522</v>
      </c>
      <c r="B2336" s="6">
        <v>45683</v>
      </c>
      <c r="C2336" t="s">
        <v>78</v>
      </c>
      <c r="D2336" t="s">
        <v>79</v>
      </c>
      <c r="E2336" t="s">
        <v>75</v>
      </c>
      <c r="F2336" t="s">
        <v>80</v>
      </c>
      <c r="G2336" t="s">
        <v>81</v>
      </c>
      <c r="H2336" t="s">
        <v>141</v>
      </c>
      <c r="I2336" t="s">
        <v>142</v>
      </c>
      <c r="J2336" t="s">
        <v>143</v>
      </c>
      <c r="K2336" t="s">
        <v>144</v>
      </c>
      <c r="L2336" t="s">
        <v>183</v>
      </c>
      <c r="M2336" t="s">
        <v>171</v>
      </c>
      <c r="N2336">
        <v>2</v>
      </c>
      <c r="O2336" s="4">
        <v>1200</v>
      </c>
      <c r="P2336" s="4">
        <v>1900</v>
      </c>
      <c r="Q2336" s="7">
        <v>0.05</v>
      </c>
      <c r="R2336" t="s">
        <v>187</v>
      </c>
      <c r="S2336">
        <v>13</v>
      </c>
      <c r="T2336">
        <v>3800</v>
      </c>
      <c r="U2336">
        <v>190</v>
      </c>
      <c r="V2336">
        <v>3610</v>
      </c>
      <c r="W2336">
        <v>2400</v>
      </c>
      <c r="X2336">
        <v>1210</v>
      </c>
      <c r="Y2336" s="8">
        <v>0.33518005540166207</v>
      </c>
      <c r="Z2336" t="s">
        <v>2996</v>
      </c>
      <c r="AA2336" t="str">
        <f>IF(AND(SalesCleanTable[[#This Row],[Discount %]]&gt;0, SalesCleanTable[[#This Row],[Profit]]&lt;0), "Discount loss", "Safe")</f>
        <v>Safe</v>
      </c>
      <c r="AB2336" s="25">
        <f>(SalesCleanTable[[#This Row],[Unit Price]] - SalesCleanTable[[#This Row],[Unit Cost]]) / SalesCleanTable[[#This Row],[Unit Price]]</f>
        <v>0.36842105263157893</v>
      </c>
      <c r="AC2336" t="str">
        <f>IF(SalesCleanTable[[#This Row],[Discount %]] &gt; SalesCleanTable[[#This Row],[Max Allowed Discount]], "Discount loss", "Safe")</f>
        <v>Safe</v>
      </c>
      <c r="AD2336" s="4">
        <f>SalesCleanTable[[#This Row],[Unit Price]] - SalesCleanTable[[#This Row],[Unit Cost]]</f>
        <v>700</v>
      </c>
      <c r="AE2336" s="41">
        <f>(SalesCleanTable[[#This Row],[Unit Price]] - SalesCleanTable[[#This Row],[Unit Cost]]) / SalesCleanTable[[#This Row],[Unit Price]]</f>
        <v>0.36842105263157893</v>
      </c>
    </row>
    <row r="2337" spans="1:31">
      <c r="A2337" t="s">
        <v>2523</v>
      </c>
      <c r="B2337" s="6">
        <v>45991</v>
      </c>
      <c r="C2337" t="s">
        <v>78</v>
      </c>
      <c r="D2337" t="s">
        <v>79</v>
      </c>
      <c r="E2337" t="s">
        <v>75</v>
      </c>
      <c r="F2337" t="s">
        <v>80</v>
      </c>
      <c r="G2337" t="s">
        <v>81</v>
      </c>
      <c r="H2337" t="s">
        <v>149</v>
      </c>
      <c r="I2337" t="s">
        <v>150</v>
      </c>
      <c r="J2337" t="s">
        <v>151</v>
      </c>
      <c r="K2337" t="s">
        <v>152</v>
      </c>
      <c r="L2337" t="s">
        <v>166</v>
      </c>
      <c r="M2337" t="s">
        <v>167</v>
      </c>
      <c r="N2337">
        <v>6</v>
      </c>
      <c r="O2337" s="4">
        <v>1200</v>
      </c>
      <c r="P2337" s="4">
        <v>1900</v>
      </c>
      <c r="Q2337" s="7">
        <v>0.1</v>
      </c>
      <c r="R2337" t="s">
        <v>187</v>
      </c>
      <c r="S2337">
        <v>1</v>
      </c>
      <c r="T2337">
        <v>11400</v>
      </c>
      <c r="U2337">
        <v>1140</v>
      </c>
      <c r="V2337">
        <v>10260</v>
      </c>
      <c r="W2337">
        <v>7200</v>
      </c>
      <c r="X2337">
        <v>3060</v>
      </c>
      <c r="Y2337" s="8">
        <v>0.2982456140350877</v>
      </c>
      <c r="Z2337" t="s">
        <v>2996</v>
      </c>
      <c r="AA2337" t="str">
        <f>IF(AND(SalesCleanTable[[#This Row],[Discount %]]&gt;0, SalesCleanTable[[#This Row],[Profit]]&lt;0), "Discount loss", "Safe")</f>
        <v>Safe</v>
      </c>
      <c r="AB2337" s="25">
        <f>(SalesCleanTable[[#This Row],[Unit Price]] - SalesCleanTable[[#This Row],[Unit Cost]]) / SalesCleanTable[[#This Row],[Unit Price]]</f>
        <v>0.36842105263157893</v>
      </c>
      <c r="AC2337" t="str">
        <f>IF(SalesCleanTable[[#This Row],[Discount %]] &gt; SalesCleanTable[[#This Row],[Max Allowed Discount]], "Discount loss", "Safe")</f>
        <v>Safe</v>
      </c>
      <c r="AD2337" s="4">
        <f>SalesCleanTable[[#This Row],[Unit Price]] - SalesCleanTable[[#This Row],[Unit Cost]]</f>
        <v>700</v>
      </c>
      <c r="AE2337" s="41">
        <f>(SalesCleanTable[[#This Row],[Unit Price]] - SalesCleanTable[[#This Row],[Unit Cost]]) / SalesCleanTable[[#This Row],[Unit Price]]</f>
        <v>0.36842105263157893</v>
      </c>
    </row>
    <row r="2338" spans="1:31">
      <c r="A2338" t="s">
        <v>2524</v>
      </c>
      <c r="B2338" s="6">
        <v>45952</v>
      </c>
      <c r="C2338" t="s">
        <v>53</v>
      </c>
      <c r="D2338" t="s">
        <v>54</v>
      </c>
      <c r="E2338" t="s">
        <v>38</v>
      </c>
      <c r="F2338" t="s">
        <v>55</v>
      </c>
      <c r="G2338" t="s">
        <v>56</v>
      </c>
      <c r="H2338" t="s">
        <v>133</v>
      </c>
      <c r="I2338" t="s">
        <v>134</v>
      </c>
      <c r="J2338" t="s">
        <v>130</v>
      </c>
      <c r="K2338" t="s">
        <v>131</v>
      </c>
      <c r="L2338" t="s">
        <v>166</v>
      </c>
      <c r="M2338" t="s">
        <v>171</v>
      </c>
      <c r="N2338">
        <v>3</v>
      </c>
      <c r="O2338" s="4">
        <v>330</v>
      </c>
      <c r="P2338" s="4">
        <v>550</v>
      </c>
      <c r="Q2338" s="7">
        <v>0.05</v>
      </c>
      <c r="R2338" t="s">
        <v>168</v>
      </c>
      <c r="S2338">
        <v>7</v>
      </c>
      <c r="T2338">
        <v>1650</v>
      </c>
      <c r="U2338">
        <v>82.5</v>
      </c>
      <c r="V2338">
        <v>1567.5</v>
      </c>
      <c r="W2338">
        <v>990</v>
      </c>
      <c r="X2338">
        <v>577.5</v>
      </c>
      <c r="Y2338" s="8">
        <v>0.36842105263157893</v>
      </c>
      <c r="Z2338" t="s">
        <v>2996</v>
      </c>
      <c r="AA2338" t="str">
        <f>IF(AND(SalesCleanTable[[#This Row],[Discount %]]&gt;0, SalesCleanTable[[#This Row],[Profit]]&lt;0), "Discount loss", "Safe")</f>
        <v>Safe</v>
      </c>
      <c r="AB2338" s="25">
        <f>(SalesCleanTable[[#This Row],[Unit Price]] - SalesCleanTable[[#This Row],[Unit Cost]]) / SalesCleanTable[[#This Row],[Unit Price]]</f>
        <v>0.4</v>
      </c>
      <c r="AC2338" t="str">
        <f>IF(SalesCleanTable[[#This Row],[Discount %]] &gt; SalesCleanTable[[#This Row],[Max Allowed Discount]], "Discount loss", "Safe")</f>
        <v>Safe</v>
      </c>
      <c r="AD2338" s="4">
        <f>SalesCleanTable[[#This Row],[Unit Price]] - SalesCleanTable[[#This Row],[Unit Cost]]</f>
        <v>220</v>
      </c>
      <c r="AE2338" s="41">
        <f>(SalesCleanTable[[#This Row],[Unit Price]] - SalesCleanTable[[#This Row],[Unit Cost]]) / SalesCleanTable[[#This Row],[Unit Price]]</f>
        <v>0.4</v>
      </c>
    </row>
    <row r="2339" spans="1:31">
      <c r="A2339" t="s">
        <v>2525</v>
      </c>
      <c r="B2339" s="6">
        <v>46001</v>
      </c>
      <c r="C2339" t="s">
        <v>49</v>
      </c>
      <c r="D2339" t="s">
        <v>50</v>
      </c>
      <c r="E2339" t="s">
        <v>38</v>
      </c>
      <c r="F2339" t="s">
        <v>51</v>
      </c>
      <c r="G2339" t="s">
        <v>52</v>
      </c>
      <c r="H2339" t="s">
        <v>133</v>
      </c>
      <c r="I2339" t="s">
        <v>134</v>
      </c>
      <c r="J2339" t="s">
        <v>130</v>
      </c>
      <c r="K2339" t="s">
        <v>131</v>
      </c>
      <c r="L2339" t="s">
        <v>166</v>
      </c>
      <c r="M2339" t="s">
        <v>171</v>
      </c>
      <c r="N2339">
        <v>5</v>
      </c>
      <c r="O2339" s="4">
        <v>550</v>
      </c>
      <c r="P2339" s="4">
        <v>850</v>
      </c>
      <c r="Q2339" s="7">
        <v>0.2</v>
      </c>
      <c r="R2339" t="s">
        <v>175</v>
      </c>
      <c r="S2339">
        <v>10</v>
      </c>
      <c r="T2339">
        <v>4250</v>
      </c>
      <c r="U2339">
        <v>850</v>
      </c>
      <c r="V2339">
        <v>3400</v>
      </c>
      <c r="W2339">
        <v>2750</v>
      </c>
      <c r="X2339">
        <v>650</v>
      </c>
      <c r="Y2339" s="8">
        <v>0.19117647058823528</v>
      </c>
      <c r="Z2339" t="s">
        <v>2996</v>
      </c>
      <c r="AA2339" t="str">
        <f>IF(AND(SalesCleanTable[[#This Row],[Discount %]]&gt;0, SalesCleanTable[[#This Row],[Profit]]&lt;0), "Discount loss", "Safe")</f>
        <v>Safe</v>
      </c>
      <c r="AB2339" s="25">
        <f>(SalesCleanTable[[#This Row],[Unit Price]] - SalesCleanTable[[#This Row],[Unit Cost]]) / SalesCleanTable[[#This Row],[Unit Price]]</f>
        <v>0.35294117647058826</v>
      </c>
      <c r="AC2339" t="str">
        <f>IF(SalesCleanTable[[#This Row],[Discount %]] &gt; SalesCleanTable[[#This Row],[Max Allowed Discount]], "Discount loss", "Safe")</f>
        <v>Safe</v>
      </c>
      <c r="AD2339" s="4">
        <f>SalesCleanTable[[#This Row],[Unit Price]] - SalesCleanTable[[#This Row],[Unit Cost]]</f>
        <v>300</v>
      </c>
      <c r="AE2339" s="41">
        <f>(SalesCleanTable[[#This Row],[Unit Price]] - SalesCleanTable[[#This Row],[Unit Cost]]) / SalesCleanTable[[#This Row],[Unit Price]]</f>
        <v>0.35294117647058826</v>
      </c>
    </row>
    <row r="2340" spans="1:31">
      <c r="A2340" t="s">
        <v>2526</v>
      </c>
      <c r="B2340" s="6">
        <v>45990</v>
      </c>
      <c r="C2340" t="s">
        <v>36</v>
      </c>
      <c r="D2340" t="s">
        <v>37</v>
      </c>
      <c r="E2340" t="s">
        <v>38</v>
      </c>
      <c r="F2340" t="s">
        <v>39</v>
      </c>
      <c r="G2340" t="s">
        <v>40</v>
      </c>
      <c r="H2340" t="s">
        <v>139</v>
      </c>
      <c r="I2340" t="s">
        <v>140</v>
      </c>
      <c r="J2340" t="s">
        <v>137</v>
      </c>
      <c r="K2340" t="s">
        <v>138</v>
      </c>
      <c r="L2340" t="s">
        <v>166</v>
      </c>
      <c r="M2340" t="s">
        <v>171</v>
      </c>
      <c r="N2340">
        <v>2</v>
      </c>
      <c r="O2340" s="4">
        <v>1650</v>
      </c>
      <c r="P2340" s="4">
        <v>2200</v>
      </c>
      <c r="Q2340" s="7">
        <v>0.15</v>
      </c>
      <c r="R2340" t="s">
        <v>175</v>
      </c>
      <c r="S2340">
        <v>7</v>
      </c>
      <c r="T2340">
        <v>4400</v>
      </c>
      <c r="U2340">
        <v>660</v>
      </c>
      <c r="V2340">
        <v>3740</v>
      </c>
      <c r="W2340">
        <v>3300</v>
      </c>
      <c r="X2340">
        <v>440</v>
      </c>
      <c r="Y2340" s="8">
        <v>0.11764705882352941</v>
      </c>
      <c r="Z2340" t="s">
        <v>2995</v>
      </c>
      <c r="AA2340" t="str">
        <f>IF(AND(SalesCleanTable[[#This Row],[Discount %]]&gt;0, SalesCleanTable[[#This Row],[Profit]]&lt;0), "Discount loss", "Safe")</f>
        <v>Safe</v>
      </c>
      <c r="AB2340" s="25">
        <f>(SalesCleanTable[[#This Row],[Unit Price]] - SalesCleanTable[[#This Row],[Unit Cost]]) / SalesCleanTable[[#This Row],[Unit Price]]</f>
        <v>0.25</v>
      </c>
      <c r="AC2340" t="str">
        <f>IF(SalesCleanTable[[#This Row],[Discount %]] &gt; SalesCleanTable[[#This Row],[Max Allowed Discount]], "Discount loss", "Safe")</f>
        <v>Safe</v>
      </c>
      <c r="AD2340" s="4">
        <f>SalesCleanTable[[#This Row],[Unit Price]] - SalesCleanTable[[#This Row],[Unit Cost]]</f>
        <v>550</v>
      </c>
      <c r="AE2340" s="41">
        <f>(SalesCleanTable[[#This Row],[Unit Price]] - SalesCleanTable[[#This Row],[Unit Cost]]) / SalesCleanTable[[#This Row],[Unit Price]]</f>
        <v>0.25</v>
      </c>
    </row>
    <row r="2341" spans="1:31">
      <c r="A2341" t="s">
        <v>2527</v>
      </c>
      <c r="B2341" s="6">
        <v>45710</v>
      </c>
      <c r="C2341" t="s">
        <v>73</v>
      </c>
      <c r="D2341" t="s">
        <v>74</v>
      </c>
      <c r="E2341" t="s">
        <v>75</v>
      </c>
      <c r="F2341" t="s">
        <v>76</v>
      </c>
      <c r="G2341" t="s">
        <v>77</v>
      </c>
      <c r="H2341" t="s">
        <v>135</v>
      </c>
      <c r="I2341" t="s">
        <v>136</v>
      </c>
      <c r="J2341" t="s">
        <v>137</v>
      </c>
      <c r="K2341" t="s">
        <v>138</v>
      </c>
      <c r="L2341" t="s">
        <v>183</v>
      </c>
      <c r="M2341" t="s">
        <v>171</v>
      </c>
      <c r="N2341">
        <v>6</v>
      </c>
      <c r="O2341" s="4">
        <v>3500</v>
      </c>
      <c r="P2341" s="4">
        <v>5200</v>
      </c>
      <c r="Q2341" s="7">
        <v>0.05</v>
      </c>
      <c r="R2341" t="s">
        <v>204</v>
      </c>
      <c r="S2341">
        <v>14</v>
      </c>
      <c r="T2341">
        <v>31200</v>
      </c>
      <c r="U2341">
        <v>1560</v>
      </c>
      <c r="V2341">
        <v>29640</v>
      </c>
      <c r="W2341">
        <v>21000</v>
      </c>
      <c r="X2341">
        <v>8640</v>
      </c>
      <c r="Y2341" s="8">
        <v>0.291497975708502</v>
      </c>
      <c r="Z2341" t="s">
        <v>2996</v>
      </c>
      <c r="AA2341" t="str">
        <f>IF(AND(SalesCleanTable[[#This Row],[Discount %]]&gt;0, SalesCleanTable[[#This Row],[Profit]]&lt;0), "Discount loss", "Safe")</f>
        <v>Safe</v>
      </c>
      <c r="AB2341" s="25">
        <f>(SalesCleanTable[[#This Row],[Unit Price]] - SalesCleanTable[[#This Row],[Unit Cost]]) / SalesCleanTable[[#This Row],[Unit Price]]</f>
        <v>0.32692307692307693</v>
      </c>
      <c r="AC2341" t="str">
        <f>IF(SalesCleanTable[[#This Row],[Discount %]] &gt; SalesCleanTable[[#This Row],[Max Allowed Discount]], "Discount loss", "Safe")</f>
        <v>Safe</v>
      </c>
      <c r="AD2341" s="4">
        <f>SalesCleanTable[[#This Row],[Unit Price]] - SalesCleanTable[[#This Row],[Unit Cost]]</f>
        <v>1700</v>
      </c>
      <c r="AE2341" s="41">
        <f>(SalesCleanTable[[#This Row],[Unit Price]] - SalesCleanTable[[#This Row],[Unit Cost]]) / SalesCleanTable[[#This Row],[Unit Price]]</f>
        <v>0.32692307692307693</v>
      </c>
    </row>
    <row r="2342" spans="1:31">
      <c r="A2342" t="s">
        <v>2528</v>
      </c>
      <c r="B2342" s="6">
        <v>45847</v>
      </c>
      <c r="C2342" t="s">
        <v>49</v>
      </c>
      <c r="D2342" t="s">
        <v>50</v>
      </c>
      <c r="E2342" t="s">
        <v>38</v>
      </c>
      <c r="F2342" t="s">
        <v>51</v>
      </c>
      <c r="G2342" t="s">
        <v>52</v>
      </c>
      <c r="H2342" t="s">
        <v>128</v>
      </c>
      <c r="I2342" t="s">
        <v>129</v>
      </c>
      <c r="J2342" t="s">
        <v>130</v>
      </c>
      <c r="K2342" t="s">
        <v>131</v>
      </c>
      <c r="L2342" t="s">
        <v>166</v>
      </c>
      <c r="M2342" t="s">
        <v>171</v>
      </c>
      <c r="N2342">
        <v>1</v>
      </c>
      <c r="O2342" s="4">
        <v>550</v>
      </c>
      <c r="P2342" s="4">
        <v>850</v>
      </c>
      <c r="Q2342" s="7">
        <v>0.05</v>
      </c>
      <c r="R2342" t="s">
        <v>178</v>
      </c>
      <c r="S2342">
        <v>8</v>
      </c>
      <c r="T2342">
        <v>850</v>
      </c>
      <c r="U2342">
        <v>42.5</v>
      </c>
      <c r="V2342">
        <v>807.5</v>
      </c>
      <c r="W2342">
        <v>550</v>
      </c>
      <c r="X2342">
        <v>257.5</v>
      </c>
      <c r="Y2342" s="8">
        <v>0.31888544891640869</v>
      </c>
      <c r="Z2342" t="s">
        <v>2996</v>
      </c>
      <c r="AA2342" t="str">
        <f>IF(AND(SalesCleanTable[[#This Row],[Discount %]]&gt;0, SalesCleanTable[[#This Row],[Profit]]&lt;0), "Discount loss", "Safe")</f>
        <v>Safe</v>
      </c>
      <c r="AB2342" s="25">
        <f>(SalesCleanTable[[#This Row],[Unit Price]] - SalesCleanTable[[#This Row],[Unit Cost]]) / SalesCleanTable[[#This Row],[Unit Price]]</f>
        <v>0.35294117647058826</v>
      </c>
      <c r="AC2342" t="str">
        <f>IF(SalesCleanTable[[#This Row],[Discount %]] &gt; SalesCleanTable[[#This Row],[Max Allowed Discount]], "Discount loss", "Safe")</f>
        <v>Safe</v>
      </c>
      <c r="AD2342" s="4">
        <f>SalesCleanTable[[#This Row],[Unit Price]] - SalesCleanTable[[#This Row],[Unit Cost]]</f>
        <v>300</v>
      </c>
      <c r="AE2342" s="41">
        <f>(SalesCleanTable[[#This Row],[Unit Price]] - SalesCleanTable[[#This Row],[Unit Cost]]) / SalesCleanTable[[#This Row],[Unit Price]]</f>
        <v>0.35294117647058826</v>
      </c>
    </row>
    <row r="2343" spans="1:31">
      <c r="A2343" t="s">
        <v>2529</v>
      </c>
      <c r="B2343" s="6">
        <v>45867</v>
      </c>
      <c r="C2343" t="s">
        <v>32</v>
      </c>
      <c r="D2343" t="s">
        <v>33</v>
      </c>
      <c r="E2343" t="s">
        <v>26</v>
      </c>
      <c r="F2343" t="s">
        <v>34</v>
      </c>
      <c r="G2343" t="s">
        <v>35</v>
      </c>
      <c r="H2343" t="s">
        <v>139</v>
      </c>
      <c r="I2343" t="s">
        <v>140</v>
      </c>
      <c r="J2343" t="s">
        <v>137</v>
      </c>
      <c r="K2343" t="s">
        <v>138</v>
      </c>
      <c r="L2343" t="s">
        <v>166</v>
      </c>
      <c r="M2343" t="s">
        <v>171</v>
      </c>
      <c r="N2343">
        <v>3</v>
      </c>
      <c r="O2343" s="4">
        <v>7800</v>
      </c>
      <c r="P2343" s="4">
        <v>9800</v>
      </c>
      <c r="Q2343" s="7">
        <v>0.2</v>
      </c>
      <c r="R2343" t="s">
        <v>173</v>
      </c>
      <c r="S2343">
        <v>11</v>
      </c>
      <c r="T2343">
        <v>29400</v>
      </c>
      <c r="U2343">
        <v>5880</v>
      </c>
      <c r="V2343">
        <v>23520</v>
      </c>
      <c r="W2343">
        <v>23400</v>
      </c>
      <c r="X2343">
        <v>120</v>
      </c>
      <c r="Y2343" s="8">
        <v>5.1020408163265302E-3</v>
      </c>
      <c r="Z2343" t="s">
        <v>2995</v>
      </c>
      <c r="AA2343" t="str">
        <f>IF(AND(SalesCleanTable[[#This Row],[Discount %]]&gt;0, SalesCleanTable[[#This Row],[Profit]]&lt;0), "Discount loss", "Safe")</f>
        <v>Safe</v>
      </c>
      <c r="AB2343" s="25">
        <f>(SalesCleanTable[[#This Row],[Unit Price]] - SalesCleanTable[[#This Row],[Unit Cost]]) / SalesCleanTable[[#This Row],[Unit Price]]</f>
        <v>0.20408163265306123</v>
      </c>
      <c r="AC2343" t="str">
        <f>IF(SalesCleanTable[[#This Row],[Discount %]] &gt; SalesCleanTable[[#This Row],[Max Allowed Discount]], "Discount loss", "Safe")</f>
        <v>Safe</v>
      </c>
      <c r="AD2343" s="4">
        <f>SalesCleanTable[[#This Row],[Unit Price]] - SalesCleanTable[[#This Row],[Unit Cost]]</f>
        <v>2000</v>
      </c>
      <c r="AE2343" s="41">
        <f>(SalesCleanTable[[#This Row],[Unit Price]] - SalesCleanTable[[#This Row],[Unit Cost]]) / SalesCleanTable[[#This Row],[Unit Price]]</f>
        <v>0.20408163265306123</v>
      </c>
    </row>
    <row r="2344" spans="1:31">
      <c r="A2344" t="s">
        <v>2530</v>
      </c>
      <c r="B2344" s="6">
        <v>45806</v>
      </c>
      <c r="C2344" t="s">
        <v>103</v>
      </c>
      <c r="D2344" t="s">
        <v>104</v>
      </c>
      <c r="E2344" t="s">
        <v>92</v>
      </c>
      <c r="F2344" t="s">
        <v>105</v>
      </c>
      <c r="G2344" t="s">
        <v>106</v>
      </c>
      <c r="H2344" t="s">
        <v>128</v>
      </c>
      <c r="I2344" t="s">
        <v>129</v>
      </c>
      <c r="J2344" t="s">
        <v>130</v>
      </c>
      <c r="K2344" t="s">
        <v>131</v>
      </c>
      <c r="L2344" t="s">
        <v>166</v>
      </c>
      <c r="M2344" t="s">
        <v>177</v>
      </c>
      <c r="N2344">
        <v>2</v>
      </c>
      <c r="O2344" s="4">
        <v>1500</v>
      </c>
      <c r="P2344" s="4">
        <v>2500</v>
      </c>
      <c r="Q2344" s="7">
        <v>0.2</v>
      </c>
      <c r="R2344" t="s">
        <v>181</v>
      </c>
      <c r="S2344">
        <v>6</v>
      </c>
      <c r="T2344">
        <v>5000</v>
      </c>
      <c r="U2344">
        <v>1000</v>
      </c>
      <c r="V2344">
        <v>4000</v>
      </c>
      <c r="W2344">
        <v>3000</v>
      </c>
      <c r="X2344">
        <v>1000</v>
      </c>
      <c r="Y2344" s="8">
        <v>0.25</v>
      </c>
      <c r="Z2344" t="s">
        <v>2996</v>
      </c>
      <c r="AA2344" t="str">
        <f>IF(AND(SalesCleanTable[[#This Row],[Discount %]]&gt;0, SalesCleanTable[[#This Row],[Profit]]&lt;0), "Discount loss", "Safe")</f>
        <v>Safe</v>
      </c>
      <c r="AB2344" s="25">
        <f>(SalesCleanTable[[#This Row],[Unit Price]] - SalesCleanTable[[#This Row],[Unit Cost]]) / SalesCleanTable[[#This Row],[Unit Price]]</f>
        <v>0.4</v>
      </c>
      <c r="AC2344" t="str">
        <f>IF(SalesCleanTable[[#This Row],[Discount %]] &gt; SalesCleanTable[[#This Row],[Max Allowed Discount]], "Discount loss", "Safe")</f>
        <v>Safe</v>
      </c>
      <c r="AD2344" s="4">
        <f>SalesCleanTable[[#This Row],[Unit Price]] - SalesCleanTable[[#This Row],[Unit Cost]]</f>
        <v>1000</v>
      </c>
      <c r="AE2344" s="41">
        <f>(SalesCleanTable[[#This Row],[Unit Price]] - SalesCleanTable[[#This Row],[Unit Cost]]) / SalesCleanTable[[#This Row],[Unit Price]]</f>
        <v>0.4</v>
      </c>
    </row>
    <row r="2345" spans="1:31">
      <c r="A2345" t="s">
        <v>2531</v>
      </c>
      <c r="B2345" s="6">
        <v>45695</v>
      </c>
      <c r="C2345" t="s">
        <v>78</v>
      </c>
      <c r="D2345" t="s">
        <v>79</v>
      </c>
      <c r="E2345" t="s">
        <v>75</v>
      </c>
      <c r="F2345" t="s">
        <v>80</v>
      </c>
      <c r="G2345" t="s">
        <v>81</v>
      </c>
      <c r="H2345" t="s">
        <v>139</v>
      </c>
      <c r="I2345" t="s">
        <v>140</v>
      </c>
      <c r="J2345" t="s">
        <v>137</v>
      </c>
      <c r="K2345" t="s">
        <v>138</v>
      </c>
      <c r="L2345" t="s">
        <v>166</v>
      </c>
      <c r="M2345" t="s">
        <v>177</v>
      </c>
      <c r="N2345">
        <v>3</v>
      </c>
      <c r="O2345" s="4">
        <v>1200</v>
      </c>
      <c r="P2345" s="4">
        <v>1900</v>
      </c>
      <c r="Q2345" s="7">
        <v>0.15</v>
      </c>
      <c r="R2345" t="s">
        <v>208</v>
      </c>
      <c r="S2345">
        <v>8</v>
      </c>
      <c r="T2345">
        <v>5700</v>
      </c>
      <c r="U2345">
        <v>855</v>
      </c>
      <c r="V2345">
        <v>4845</v>
      </c>
      <c r="W2345">
        <v>3600</v>
      </c>
      <c r="X2345">
        <v>1245</v>
      </c>
      <c r="Y2345" s="8">
        <v>0.25696594427244585</v>
      </c>
      <c r="Z2345" t="s">
        <v>2996</v>
      </c>
      <c r="AA2345" t="str">
        <f>IF(AND(SalesCleanTable[[#This Row],[Discount %]]&gt;0, SalesCleanTable[[#This Row],[Profit]]&lt;0), "Discount loss", "Safe")</f>
        <v>Safe</v>
      </c>
      <c r="AB2345" s="25">
        <f>(SalesCleanTable[[#This Row],[Unit Price]] - SalesCleanTable[[#This Row],[Unit Cost]]) / SalesCleanTable[[#This Row],[Unit Price]]</f>
        <v>0.36842105263157893</v>
      </c>
      <c r="AC2345" t="str">
        <f>IF(SalesCleanTable[[#This Row],[Discount %]] &gt; SalesCleanTable[[#This Row],[Max Allowed Discount]], "Discount loss", "Safe")</f>
        <v>Safe</v>
      </c>
      <c r="AD2345" s="4">
        <f>SalesCleanTable[[#This Row],[Unit Price]] - SalesCleanTable[[#This Row],[Unit Cost]]</f>
        <v>700</v>
      </c>
      <c r="AE2345" s="41">
        <f>(SalesCleanTable[[#This Row],[Unit Price]] - SalesCleanTable[[#This Row],[Unit Cost]]) / SalesCleanTable[[#This Row],[Unit Price]]</f>
        <v>0.36842105263157893</v>
      </c>
    </row>
    <row r="2346" spans="1:31">
      <c r="A2346" t="s">
        <v>2532</v>
      </c>
      <c r="B2346" s="6">
        <v>45744</v>
      </c>
      <c r="C2346" t="s">
        <v>29</v>
      </c>
      <c r="D2346" t="s">
        <v>30</v>
      </c>
      <c r="E2346" t="s">
        <v>26</v>
      </c>
      <c r="F2346" t="s">
        <v>27</v>
      </c>
      <c r="G2346" t="s">
        <v>31</v>
      </c>
      <c r="H2346" t="s">
        <v>153</v>
      </c>
      <c r="I2346" t="s">
        <v>154</v>
      </c>
      <c r="J2346" t="s">
        <v>155</v>
      </c>
      <c r="K2346" t="s">
        <v>131</v>
      </c>
      <c r="L2346" t="s">
        <v>166</v>
      </c>
      <c r="M2346" t="s">
        <v>171</v>
      </c>
      <c r="N2346">
        <v>2</v>
      </c>
      <c r="O2346" s="4">
        <v>6200</v>
      </c>
      <c r="P2346" s="4">
        <v>7900</v>
      </c>
      <c r="Q2346" s="7">
        <v>0</v>
      </c>
      <c r="R2346" t="s">
        <v>173</v>
      </c>
      <c r="S2346">
        <v>3</v>
      </c>
      <c r="T2346">
        <v>15800</v>
      </c>
      <c r="U2346">
        <v>0</v>
      </c>
      <c r="V2346">
        <v>15800</v>
      </c>
      <c r="W2346">
        <v>12400</v>
      </c>
      <c r="X2346">
        <v>3400</v>
      </c>
      <c r="Y2346" s="8">
        <v>0.21518987341772153</v>
      </c>
      <c r="Z2346" t="s">
        <v>2996</v>
      </c>
      <c r="AA2346" t="str">
        <f>IF(AND(SalesCleanTable[[#This Row],[Discount %]]&gt;0, SalesCleanTable[[#This Row],[Profit]]&lt;0), "Discount loss", "Safe")</f>
        <v>Safe</v>
      </c>
      <c r="AB2346" s="25">
        <f>(SalesCleanTable[[#This Row],[Unit Price]] - SalesCleanTable[[#This Row],[Unit Cost]]) / SalesCleanTable[[#This Row],[Unit Price]]</f>
        <v>0.21518987341772153</v>
      </c>
      <c r="AC2346" t="str">
        <f>IF(SalesCleanTable[[#This Row],[Discount %]] &gt; SalesCleanTable[[#This Row],[Max Allowed Discount]], "Discount loss", "Safe")</f>
        <v>Safe</v>
      </c>
      <c r="AD2346" s="4">
        <f>SalesCleanTable[[#This Row],[Unit Price]] - SalesCleanTable[[#This Row],[Unit Cost]]</f>
        <v>1700</v>
      </c>
      <c r="AE2346" s="41">
        <f>(SalesCleanTable[[#This Row],[Unit Price]] - SalesCleanTable[[#This Row],[Unit Cost]]) / SalesCleanTable[[#This Row],[Unit Price]]</f>
        <v>0.21518987341772153</v>
      </c>
    </row>
    <row r="2347" spans="1:31">
      <c r="A2347" t="s">
        <v>2533</v>
      </c>
      <c r="B2347" s="6">
        <v>45733</v>
      </c>
      <c r="C2347" t="s">
        <v>82</v>
      </c>
      <c r="D2347" t="s">
        <v>83</v>
      </c>
      <c r="E2347" t="s">
        <v>75</v>
      </c>
      <c r="F2347" t="s">
        <v>84</v>
      </c>
      <c r="G2347" t="s">
        <v>85</v>
      </c>
      <c r="H2347" t="s">
        <v>149</v>
      </c>
      <c r="I2347" t="s">
        <v>150</v>
      </c>
      <c r="J2347" t="s">
        <v>151</v>
      </c>
      <c r="K2347" t="s">
        <v>152</v>
      </c>
      <c r="L2347" t="s">
        <v>183</v>
      </c>
      <c r="M2347" t="s">
        <v>171</v>
      </c>
      <c r="N2347">
        <v>4</v>
      </c>
      <c r="O2347" s="4">
        <v>600</v>
      </c>
      <c r="P2347" s="4">
        <v>950</v>
      </c>
      <c r="Q2347" s="7">
        <v>0.1</v>
      </c>
      <c r="R2347" t="s">
        <v>204</v>
      </c>
      <c r="S2347">
        <v>8</v>
      </c>
      <c r="T2347">
        <v>3800</v>
      </c>
      <c r="U2347">
        <v>380</v>
      </c>
      <c r="V2347">
        <v>3420</v>
      </c>
      <c r="W2347">
        <v>2400</v>
      </c>
      <c r="X2347">
        <v>1020</v>
      </c>
      <c r="Y2347" s="8">
        <v>0.2982456140350877</v>
      </c>
      <c r="Z2347" t="s">
        <v>2996</v>
      </c>
      <c r="AA2347" t="str">
        <f>IF(AND(SalesCleanTable[[#This Row],[Discount %]]&gt;0, SalesCleanTable[[#This Row],[Profit]]&lt;0), "Discount loss", "Safe")</f>
        <v>Safe</v>
      </c>
      <c r="AB2347" s="25">
        <f>(SalesCleanTable[[#This Row],[Unit Price]] - SalesCleanTable[[#This Row],[Unit Cost]]) / SalesCleanTable[[#This Row],[Unit Price]]</f>
        <v>0.36842105263157893</v>
      </c>
      <c r="AC2347" t="str">
        <f>IF(SalesCleanTable[[#This Row],[Discount %]] &gt; SalesCleanTable[[#This Row],[Max Allowed Discount]], "Discount loss", "Safe")</f>
        <v>Safe</v>
      </c>
      <c r="AD2347" s="4">
        <f>SalesCleanTable[[#This Row],[Unit Price]] - SalesCleanTable[[#This Row],[Unit Cost]]</f>
        <v>350</v>
      </c>
      <c r="AE2347" s="41">
        <f>(SalesCleanTable[[#This Row],[Unit Price]] - SalesCleanTable[[#This Row],[Unit Cost]]) / SalesCleanTable[[#This Row],[Unit Price]]</f>
        <v>0.36842105263157893</v>
      </c>
    </row>
    <row r="2348" spans="1:31">
      <c r="A2348" t="s">
        <v>2534</v>
      </c>
      <c r="B2348" s="6">
        <v>45893</v>
      </c>
      <c r="C2348" t="s">
        <v>24</v>
      </c>
      <c r="D2348" t="s">
        <v>25</v>
      </c>
      <c r="E2348" t="s">
        <v>26</v>
      </c>
      <c r="F2348" t="s">
        <v>27</v>
      </c>
      <c r="G2348" t="s">
        <v>28</v>
      </c>
      <c r="H2348" t="s">
        <v>135</v>
      </c>
      <c r="I2348" t="s">
        <v>136</v>
      </c>
      <c r="J2348" t="s">
        <v>137</v>
      </c>
      <c r="K2348" t="s">
        <v>138</v>
      </c>
      <c r="L2348" t="s">
        <v>170</v>
      </c>
      <c r="M2348" t="s">
        <v>167</v>
      </c>
      <c r="N2348">
        <v>1</v>
      </c>
      <c r="O2348" s="4">
        <v>14500</v>
      </c>
      <c r="P2348" s="4">
        <v>17500</v>
      </c>
      <c r="Q2348" s="7">
        <v>0</v>
      </c>
      <c r="R2348" t="s">
        <v>194</v>
      </c>
      <c r="S2348">
        <v>5</v>
      </c>
      <c r="T2348">
        <v>17500</v>
      </c>
      <c r="U2348">
        <v>0</v>
      </c>
      <c r="V2348">
        <v>17500</v>
      </c>
      <c r="W2348">
        <v>14500</v>
      </c>
      <c r="X2348">
        <v>3000</v>
      </c>
      <c r="Y2348" s="8">
        <v>0.17142857142857143</v>
      </c>
      <c r="Z2348" t="s">
        <v>2995</v>
      </c>
      <c r="AA2348" t="str">
        <f>IF(AND(SalesCleanTable[[#This Row],[Discount %]]&gt;0, SalesCleanTable[[#This Row],[Profit]]&lt;0), "Discount loss", "Safe")</f>
        <v>Safe</v>
      </c>
      <c r="AB2348" s="25">
        <f>(SalesCleanTable[[#This Row],[Unit Price]] - SalesCleanTable[[#This Row],[Unit Cost]]) / SalesCleanTable[[#This Row],[Unit Price]]</f>
        <v>0.17142857142857143</v>
      </c>
      <c r="AC2348" t="str">
        <f>IF(SalesCleanTable[[#This Row],[Discount %]] &gt; SalesCleanTable[[#This Row],[Max Allowed Discount]], "Discount loss", "Safe")</f>
        <v>Safe</v>
      </c>
      <c r="AD2348" s="4">
        <f>SalesCleanTable[[#This Row],[Unit Price]] - SalesCleanTable[[#This Row],[Unit Cost]]</f>
        <v>3000</v>
      </c>
      <c r="AE2348" s="41">
        <f>(SalesCleanTable[[#This Row],[Unit Price]] - SalesCleanTable[[#This Row],[Unit Cost]]) / SalesCleanTable[[#This Row],[Unit Price]]</f>
        <v>0.17142857142857143</v>
      </c>
    </row>
    <row r="2349" spans="1:31">
      <c r="A2349" t="s">
        <v>2535</v>
      </c>
      <c r="B2349" s="6">
        <v>45658</v>
      </c>
      <c r="C2349" t="s">
        <v>90</v>
      </c>
      <c r="D2349" t="s">
        <v>91</v>
      </c>
      <c r="E2349" t="s">
        <v>92</v>
      </c>
      <c r="F2349" t="s">
        <v>93</v>
      </c>
      <c r="G2349" t="s">
        <v>94</v>
      </c>
      <c r="H2349" t="s">
        <v>139</v>
      </c>
      <c r="I2349" t="s">
        <v>140</v>
      </c>
      <c r="J2349" t="s">
        <v>137</v>
      </c>
      <c r="K2349" t="s">
        <v>138</v>
      </c>
      <c r="L2349" t="s">
        <v>166</v>
      </c>
      <c r="M2349" t="s">
        <v>171</v>
      </c>
      <c r="N2349">
        <v>1</v>
      </c>
      <c r="O2349" s="4">
        <v>7500</v>
      </c>
      <c r="P2349" s="4">
        <v>10500</v>
      </c>
      <c r="Q2349" s="7">
        <v>0.2</v>
      </c>
      <c r="R2349" t="s">
        <v>181</v>
      </c>
      <c r="S2349">
        <v>6</v>
      </c>
      <c r="T2349">
        <v>10500</v>
      </c>
      <c r="U2349">
        <v>2100</v>
      </c>
      <c r="V2349">
        <v>8400</v>
      </c>
      <c r="W2349">
        <v>7500</v>
      </c>
      <c r="X2349">
        <v>900</v>
      </c>
      <c r="Y2349" s="8">
        <v>0.10714285714285714</v>
      </c>
      <c r="Z2349" t="s">
        <v>2996</v>
      </c>
      <c r="AA2349" t="str">
        <f>IF(AND(SalesCleanTable[[#This Row],[Discount %]]&gt;0, SalesCleanTable[[#This Row],[Profit]]&lt;0), "Discount loss", "Safe")</f>
        <v>Safe</v>
      </c>
      <c r="AB2349" s="25">
        <f>(SalesCleanTable[[#This Row],[Unit Price]] - SalesCleanTable[[#This Row],[Unit Cost]]) / SalesCleanTable[[#This Row],[Unit Price]]</f>
        <v>0.2857142857142857</v>
      </c>
      <c r="AC2349" t="str">
        <f>IF(SalesCleanTable[[#This Row],[Discount %]] &gt; SalesCleanTable[[#This Row],[Max Allowed Discount]], "Discount loss", "Safe")</f>
        <v>Safe</v>
      </c>
      <c r="AD2349" s="4">
        <f>SalesCleanTable[[#This Row],[Unit Price]] - SalesCleanTable[[#This Row],[Unit Cost]]</f>
        <v>3000</v>
      </c>
      <c r="AE2349" s="41">
        <f>(SalesCleanTable[[#This Row],[Unit Price]] - SalesCleanTable[[#This Row],[Unit Cost]]) / SalesCleanTable[[#This Row],[Unit Price]]</f>
        <v>0.2857142857142857</v>
      </c>
    </row>
    <row r="2350" spans="1:31">
      <c r="A2350" t="s">
        <v>2536</v>
      </c>
      <c r="B2350" s="6">
        <v>45660</v>
      </c>
      <c r="C2350" t="s">
        <v>82</v>
      </c>
      <c r="D2350" t="s">
        <v>83</v>
      </c>
      <c r="E2350" t="s">
        <v>75</v>
      </c>
      <c r="F2350" t="s">
        <v>84</v>
      </c>
      <c r="G2350" t="s">
        <v>85</v>
      </c>
      <c r="H2350" t="s">
        <v>139</v>
      </c>
      <c r="I2350" t="s">
        <v>140</v>
      </c>
      <c r="J2350" t="s">
        <v>137</v>
      </c>
      <c r="K2350" t="s">
        <v>138</v>
      </c>
      <c r="L2350" t="s">
        <v>183</v>
      </c>
      <c r="M2350" t="s">
        <v>171</v>
      </c>
      <c r="N2350">
        <v>2</v>
      </c>
      <c r="O2350" s="4">
        <v>600</v>
      </c>
      <c r="P2350" s="4">
        <v>950</v>
      </c>
      <c r="Q2350" s="7">
        <v>0.15</v>
      </c>
      <c r="R2350" t="s">
        <v>204</v>
      </c>
      <c r="S2350">
        <v>1</v>
      </c>
      <c r="T2350">
        <v>1900</v>
      </c>
      <c r="U2350">
        <v>285</v>
      </c>
      <c r="V2350">
        <v>1615</v>
      </c>
      <c r="W2350">
        <v>1200</v>
      </c>
      <c r="X2350">
        <v>415</v>
      </c>
      <c r="Y2350" s="8">
        <v>0.25696594427244585</v>
      </c>
      <c r="Z2350" t="s">
        <v>2996</v>
      </c>
      <c r="AA2350" t="str">
        <f>IF(AND(SalesCleanTable[[#This Row],[Discount %]]&gt;0, SalesCleanTable[[#This Row],[Profit]]&lt;0), "Discount loss", "Safe")</f>
        <v>Safe</v>
      </c>
      <c r="AB2350" s="25">
        <f>(SalesCleanTable[[#This Row],[Unit Price]] - SalesCleanTable[[#This Row],[Unit Cost]]) / SalesCleanTable[[#This Row],[Unit Price]]</f>
        <v>0.36842105263157893</v>
      </c>
      <c r="AC2350" t="str">
        <f>IF(SalesCleanTable[[#This Row],[Discount %]] &gt; SalesCleanTable[[#This Row],[Max Allowed Discount]], "Discount loss", "Safe")</f>
        <v>Safe</v>
      </c>
      <c r="AD2350" s="4">
        <f>SalesCleanTable[[#This Row],[Unit Price]] - SalesCleanTable[[#This Row],[Unit Cost]]</f>
        <v>350</v>
      </c>
      <c r="AE2350" s="41">
        <f>(SalesCleanTable[[#This Row],[Unit Price]] - SalesCleanTable[[#This Row],[Unit Cost]]) / SalesCleanTable[[#This Row],[Unit Price]]</f>
        <v>0.36842105263157893</v>
      </c>
    </row>
    <row r="2351" spans="1:31">
      <c r="A2351" t="s">
        <v>2537</v>
      </c>
      <c r="B2351" s="6">
        <v>46010</v>
      </c>
      <c r="C2351" t="s">
        <v>62</v>
      </c>
      <c r="D2351" t="s">
        <v>63</v>
      </c>
      <c r="E2351" t="s">
        <v>59</v>
      </c>
      <c r="F2351" t="s">
        <v>64</v>
      </c>
      <c r="G2351" t="s">
        <v>65</v>
      </c>
      <c r="H2351" t="s">
        <v>145</v>
      </c>
      <c r="I2351" t="s">
        <v>146</v>
      </c>
      <c r="J2351" t="s">
        <v>147</v>
      </c>
      <c r="K2351" t="s">
        <v>148</v>
      </c>
      <c r="L2351" t="s">
        <v>166</v>
      </c>
      <c r="M2351" t="s">
        <v>171</v>
      </c>
      <c r="N2351">
        <v>2</v>
      </c>
      <c r="O2351" s="4">
        <v>3200</v>
      </c>
      <c r="P2351" s="4">
        <v>4500</v>
      </c>
      <c r="Q2351" s="7">
        <v>0.05</v>
      </c>
      <c r="R2351" t="s">
        <v>173</v>
      </c>
      <c r="S2351">
        <v>10</v>
      </c>
      <c r="T2351">
        <v>9000</v>
      </c>
      <c r="U2351">
        <v>450</v>
      </c>
      <c r="V2351">
        <v>8550</v>
      </c>
      <c r="W2351">
        <v>6400</v>
      </c>
      <c r="X2351">
        <v>2150</v>
      </c>
      <c r="Y2351" s="8">
        <v>0.25146198830409355</v>
      </c>
      <c r="Z2351" t="s">
        <v>2996</v>
      </c>
      <c r="AA2351" t="str">
        <f>IF(AND(SalesCleanTable[[#This Row],[Discount %]]&gt;0, SalesCleanTable[[#This Row],[Profit]]&lt;0), "Discount loss", "Safe")</f>
        <v>Safe</v>
      </c>
      <c r="AB2351" s="25">
        <f>(SalesCleanTable[[#This Row],[Unit Price]] - SalesCleanTable[[#This Row],[Unit Cost]]) / SalesCleanTable[[#This Row],[Unit Price]]</f>
        <v>0.28888888888888886</v>
      </c>
      <c r="AC2351" t="str">
        <f>IF(SalesCleanTable[[#This Row],[Discount %]] &gt; SalesCleanTable[[#This Row],[Max Allowed Discount]], "Discount loss", "Safe")</f>
        <v>Safe</v>
      </c>
      <c r="AD2351" s="4">
        <f>SalesCleanTable[[#This Row],[Unit Price]] - SalesCleanTable[[#This Row],[Unit Cost]]</f>
        <v>1300</v>
      </c>
      <c r="AE2351" s="41">
        <f>(SalesCleanTable[[#This Row],[Unit Price]] - SalesCleanTable[[#This Row],[Unit Cost]]) / SalesCleanTable[[#This Row],[Unit Price]]</f>
        <v>0.28888888888888886</v>
      </c>
    </row>
    <row r="2352" spans="1:31">
      <c r="A2352" t="s">
        <v>2538</v>
      </c>
      <c r="B2352" s="6">
        <v>45795</v>
      </c>
      <c r="C2352" t="s">
        <v>45</v>
      </c>
      <c r="D2352" t="s">
        <v>46</v>
      </c>
      <c r="E2352" t="s">
        <v>38</v>
      </c>
      <c r="F2352" t="s">
        <v>47</v>
      </c>
      <c r="G2352" t="s">
        <v>48</v>
      </c>
      <c r="H2352" t="s">
        <v>133</v>
      </c>
      <c r="I2352" t="s">
        <v>134</v>
      </c>
      <c r="J2352" t="s">
        <v>130</v>
      </c>
      <c r="K2352" t="s">
        <v>131</v>
      </c>
      <c r="L2352" t="s">
        <v>166</v>
      </c>
      <c r="M2352" t="s">
        <v>171</v>
      </c>
      <c r="N2352">
        <v>2</v>
      </c>
      <c r="O2352" s="4">
        <v>230</v>
      </c>
      <c r="P2352" s="4">
        <v>400</v>
      </c>
      <c r="Q2352" s="7">
        <v>0.1</v>
      </c>
      <c r="R2352" t="s">
        <v>168</v>
      </c>
      <c r="S2352">
        <v>1</v>
      </c>
      <c r="T2352">
        <v>800</v>
      </c>
      <c r="U2352">
        <v>80</v>
      </c>
      <c r="V2352">
        <v>720</v>
      </c>
      <c r="W2352">
        <v>460</v>
      </c>
      <c r="X2352">
        <v>260</v>
      </c>
      <c r="Y2352" s="8">
        <v>0.3611111111111111</v>
      </c>
      <c r="Z2352" t="s">
        <v>2995</v>
      </c>
      <c r="AA2352" t="str">
        <f>IF(AND(SalesCleanTable[[#This Row],[Discount %]]&gt;0, SalesCleanTable[[#This Row],[Profit]]&lt;0), "Discount loss", "Safe")</f>
        <v>Safe</v>
      </c>
      <c r="AB2352" s="25">
        <f>(SalesCleanTable[[#This Row],[Unit Price]] - SalesCleanTable[[#This Row],[Unit Cost]]) / SalesCleanTable[[#This Row],[Unit Price]]</f>
        <v>0.42499999999999999</v>
      </c>
      <c r="AC2352" t="str">
        <f>IF(SalesCleanTable[[#This Row],[Discount %]] &gt; SalesCleanTable[[#This Row],[Max Allowed Discount]], "Discount loss", "Safe")</f>
        <v>Safe</v>
      </c>
      <c r="AD2352" s="4">
        <f>SalesCleanTable[[#This Row],[Unit Price]] - SalesCleanTable[[#This Row],[Unit Cost]]</f>
        <v>170</v>
      </c>
      <c r="AE2352" s="41">
        <f>(SalesCleanTable[[#This Row],[Unit Price]] - SalesCleanTable[[#This Row],[Unit Cost]]) / SalesCleanTable[[#This Row],[Unit Price]]</f>
        <v>0.42499999999999999</v>
      </c>
    </row>
    <row r="2353" spans="1:31">
      <c r="A2353" t="s">
        <v>2539</v>
      </c>
      <c r="B2353" s="6">
        <v>45936</v>
      </c>
      <c r="C2353" t="s">
        <v>82</v>
      </c>
      <c r="D2353" t="s">
        <v>83</v>
      </c>
      <c r="E2353" t="s">
        <v>75</v>
      </c>
      <c r="F2353" t="s">
        <v>84</v>
      </c>
      <c r="G2353" t="s">
        <v>85</v>
      </c>
      <c r="H2353" t="s">
        <v>145</v>
      </c>
      <c r="I2353" t="s">
        <v>146</v>
      </c>
      <c r="J2353" t="s">
        <v>147</v>
      </c>
      <c r="K2353" t="s">
        <v>148</v>
      </c>
      <c r="L2353" t="s">
        <v>183</v>
      </c>
      <c r="M2353" t="s">
        <v>167</v>
      </c>
      <c r="N2353">
        <v>5</v>
      </c>
      <c r="O2353" s="4">
        <v>600</v>
      </c>
      <c r="P2353" s="4">
        <v>950</v>
      </c>
      <c r="Q2353" s="7">
        <v>0.05</v>
      </c>
      <c r="R2353" t="s">
        <v>204</v>
      </c>
      <c r="S2353">
        <v>13</v>
      </c>
      <c r="T2353">
        <v>4750</v>
      </c>
      <c r="U2353">
        <v>237.5</v>
      </c>
      <c r="V2353">
        <v>4512.5</v>
      </c>
      <c r="W2353">
        <v>3000</v>
      </c>
      <c r="X2353">
        <v>1512.5</v>
      </c>
      <c r="Y2353" s="8">
        <v>0.33518005540166207</v>
      </c>
      <c r="Z2353" t="s">
        <v>2996</v>
      </c>
      <c r="AA2353" t="str">
        <f>IF(AND(SalesCleanTable[[#This Row],[Discount %]]&gt;0, SalesCleanTable[[#This Row],[Profit]]&lt;0), "Discount loss", "Safe")</f>
        <v>Safe</v>
      </c>
      <c r="AB2353" s="25">
        <f>(SalesCleanTable[[#This Row],[Unit Price]] - SalesCleanTable[[#This Row],[Unit Cost]]) / SalesCleanTable[[#This Row],[Unit Price]]</f>
        <v>0.36842105263157893</v>
      </c>
      <c r="AC2353" t="str">
        <f>IF(SalesCleanTable[[#This Row],[Discount %]] &gt; SalesCleanTable[[#This Row],[Max Allowed Discount]], "Discount loss", "Safe")</f>
        <v>Safe</v>
      </c>
      <c r="AD2353" s="4">
        <f>SalesCleanTable[[#This Row],[Unit Price]] - SalesCleanTable[[#This Row],[Unit Cost]]</f>
        <v>350</v>
      </c>
      <c r="AE2353" s="41">
        <f>(SalesCleanTable[[#This Row],[Unit Price]] - SalesCleanTable[[#This Row],[Unit Cost]]) / SalesCleanTable[[#This Row],[Unit Price]]</f>
        <v>0.36842105263157893</v>
      </c>
    </row>
    <row r="2354" spans="1:31">
      <c r="A2354" t="s">
        <v>2540</v>
      </c>
      <c r="B2354" s="6">
        <v>46000</v>
      </c>
      <c r="C2354" t="s">
        <v>49</v>
      </c>
      <c r="D2354" t="s">
        <v>50</v>
      </c>
      <c r="E2354" t="s">
        <v>38</v>
      </c>
      <c r="F2354" t="s">
        <v>51</v>
      </c>
      <c r="G2354" t="s">
        <v>52</v>
      </c>
      <c r="H2354" t="s">
        <v>141</v>
      </c>
      <c r="I2354" t="s">
        <v>142</v>
      </c>
      <c r="J2354" t="s">
        <v>143</v>
      </c>
      <c r="K2354" t="s">
        <v>144</v>
      </c>
      <c r="L2354" t="s">
        <v>183</v>
      </c>
      <c r="M2354" t="s">
        <v>171</v>
      </c>
      <c r="N2354">
        <v>1</v>
      </c>
      <c r="O2354" s="4">
        <v>550</v>
      </c>
      <c r="P2354" s="4">
        <v>850</v>
      </c>
      <c r="Q2354" s="7">
        <v>0.05</v>
      </c>
      <c r="R2354" t="s">
        <v>178</v>
      </c>
      <c r="S2354">
        <v>1</v>
      </c>
      <c r="T2354">
        <v>850</v>
      </c>
      <c r="U2354">
        <v>42.5</v>
      </c>
      <c r="V2354">
        <v>807.5</v>
      </c>
      <c r="W2354">
        <v>550</v>
      </c>
      <c r="X2354">
        <v>257.5</v>
      </c>
      <c r="Y2354" s="8">
        <v>0.31888544891640869</v>
      </c>
      <c r="Z2354" t="s">
        <v>2996</v>
      </c>
      <c r="AA2354" t="str">
        <f>IF(AND(SalesCleanTable[[#This Row],[Discount %]]&gt;0, SalesCleanTable[[#This Row],[Profit]]&lt;0), "Discount loss", "Safe")</f>
        <v>Safe</v>
      </c>
      <c r="AB2354" s="25">
        <f>(SalesCleanTable[[#This Row],[Unit Price]] - SalesCleanTable[[#This Row],[Unit Cost]]) / SalesCleanTable[[#This Row],[Unit Price]]</f>
        <v>0.35294117647058826</v>
      </c>
      <c r="AC2354" t="str">
        <f>IF(SalesCleanTable[[#This Row],[Discount %]] &gt; SalesCleanTable[[#This Row],[Max Allowed Discount]], "Discount loss", "Safe")</f>
        <v>Safe</v>
      </c>
      <c r="AD2354" s="4">
        <f>SalesCleanTable[[#This Row],[Unit Price]] - SalesCleanTable[[#This Row],[Unit Cost]]</f>
        <v>300</v>
      </c>
      <c r="AE2354" s="41">
        <f>(SalesCleanTable[[#This Row],[Unit Price]] - SalesCleanTable[[#This Row],[Unit Cost]]) / SalesCleanTable[[#This Row],[Unit Price]]</f>
        <v>0.35294117647058826</v>
      </c>
    </row>
    <row r="2355" spans="1:31">
      <c r="A2355" t="s">
        <v>2541</v>
      </c>
      <c r="B2355" s="6">
        <v>45958</v>
      </c>
      <c r="C2355" t="s">
        <v>41</v>
      </c>
      <c r="D2355" t="s">
        <v>42</v>
      </c>
      <c r="E2355" t="s">
        <v>26</v>
      </c>
      <c r="F2355" t="s">
        <v>43</v>
      </c>
      <c r="G2355" t="s">
        <v>44</v>
      </c>
      <c r="H2355" t="s">
        <v>149</v>
      </c>
      <c r="I2355" t="s">
        <v>150</v>
      </c>
      <c r="J2355" t="s">
        <v>151</v>
      </c>
      <c r="K2355" t="s">
        <v>152</v>
      </c>
      <c r="L2355" t="s">
        <v>183</v>
      </c>
      <c r="M2355" t="s">
        <v>177</v>
      </c>
      <c r="N2355">
        <v>1</v>
      </c>
      <c r="O2355" s="4">
        <v>850</v>
      </c>
      <c r="P2355" s="4">
        <v>1300</v>
      </c>
      <c r="Q2355" s="7">
        <v>0.05</v>
      </c>
      <c r="R2355" t="s">
        <v>194</v>
      </c>
      <c r="S2355">
        <v>1</v>
      </c>
      <c r="T2355">
        <v>1300</v>
      </c>
      <c r="U2355">
        <v>65</v>
      </c>
      <c r="V2355">
        <v>1235</v>
      </c>
      <c r="W2355">
        <v>850</v>
      </c>
      <c r="X2355">
        <v>385</v>
      </c>
      <c r="Y2355" s="8">
        <v>0.31174089068825911</v>
      </c>
      <c r="Z2355" t="s">
        <v>2995</v>
      </c>
      <c r="AA2355" t="str">
        <f>IF(AND(SalesCleanTable[[#This Row],[Discount %]]&gt;0, SalesCleanTable[[#This Row],[Profit]]&lt;0), "Discount loss", "Safe")</f>
        <v>Safe</v>
      </c>
      <c r="AB2355" s="25">
        <f>(SalesCleanTable[[#This Row],[Unit Price]] - SalesCleanTable[[#This Row],[Unit Cost]]) / SalesCleanTable[[#This Row],[Unit Price]]</f>
        <v>0.34615384615384615</v>
      </c>
      <c r="AC2355" t="str">
        <f>IF(SalesCleanTable[[#This Row],[Discount %]] &gt; SalesCleanTable[[#This Row],[Max Allowed Discount]], "Discount loss", "Safe")</f>
        <v>Safe</v>
      </c>
      <c r="AD2355" s="4">
        <f>SalesCleanTable[[#This Row],[Unit Price]] - SalesCleanTable[[#This Row],[Unit Cost]]</f>
        <v>450</v>
      </c>
      <c r="AE2355" s="41">
        <f>(SalesCleanTable[[#This Row],[Unit Price]] - SalesCleanTable[[#This Row],[Unit Cost]]) / SalesCleanTable[[#This Row],[Unit Price]]</f>
        <v>0.34615384615384615</v>
      </c>
    </row>
    <row r="2356" spans="1:31">
      <c r="A2356" t="s">
        <v>2542</v>
      </c>
      <c r="B2356" s="6">
        <v>45785</v>
      </c>
      <c r="C2356" t="s">
        <v>69</v>
      </c>
      <c r="D2356" t="s">
        <v>70</v>
      </c>
      <c r="E2356" t="s">
        <v>59</v>
      </c>
      <c r="F2356" t="s">
        <v>71</v>
      </c>
      <c r="G2356" t="s">
        <v>72</v>
      </c>
      <c r="H2356" t="s">
        <v>145</v>
      </c>
      <c r="I2356" t="s">
        <v>146</v>
      </c>
      <c r="J2356" t="s">
        <v>147</v>
      </c>
      <c r="K2356" t="s">
        <v>148</v>
      </c>
      <c r="L2356" t="s">
        <v>183</v>
      </c>
      <c r="M2356" t="s">
        <v>177</v>
      </c>
      <c r="N2356">
        <v>3</v>
      </c>
      <c r="O2356" s="4">
        <v>1700</v>
      </c>
      <c r="P2356" s="4">
        <v>2600</v>
      </c>
      <c r="Q2356" s="7">
        <v>0</v>
      </c>
      <c r="R2356" t="s">
        <v>192</v>
      </c>
      <c r="S2356">
        <v>10</v>
      </c>
      <c r="T2356">
        <v>7800</v>
      </c>
      <c r="U2356">
        <v>0</v>
      </c>
      <c r="V2356">
        <v>7800</v>
      </c>
      <c r="W2356">
        <v>5100</v>
      </c>
      <c r="X2356">
        <v>2700</v>
      </c>
      <c r="Y2356" s="8">
        <v>0.34615384615384615</v>
      </c>
      <c r="Z2356" t="s">
        <v>2997</v>
      </c>
      <c r="AA2356" t="str">
        <f>IF(AND(SalesCleanTable[[#This Row],[Discount %]]&gt;0, SalesCleanTable[[#This Row],[Profit]]&lt;0), "Discount loss", "Safe")</f>
        <v>Safe</v>
      </c>
      <c r="AB2356" s="25">
        <f>(SalesCleanTable[[#This Row],[Unit Price]] - SalesCleanTable[[#This Row],[Unit Cost]]) / SalesCleanTable[[#This Row],[Unit Price]]</f>
        <v>0.34615384615384615</v>
      </c>
      <c r="AC2356" t="str">
        <f>IF(SalesCleanTable[[#This Row],[Discount %]] &gt; SalesCleanTable[[#This Row],[Max Allowed Discount]], "Discount loss", "Safe")</f>
        <v>Safe</v>
      </c>
      <c r="AD2356" s="4">
        <f>SalesCleanTable[[#This Row],[Unit Price]] - SalesCleanTable[[#This Row],[Unit Cost]]</f>
        <v>900</v>
      </c>
      <c r="AE2356" s="41">
        <f>(SalesCleanTable[[#This Row],[Unit Price]] - SalesCleanTable[[#This Row],[Unit Cost]]) / SalesCleanTable[[#This Row],[Unit Price]]</f>
        <v>0.34615384615384615</v>
      </c>
    </row>
    <row r="2357" spans="1:31">
      <c r="A2357" t="s">
        <v>2543</v>
      </c>
      <c r="B2357" s="6">
        <v>45740</v>
      </c>
      <c r="C2357" t="s">
        <v>90</v>
      </c>
      <c r="D2357" t="s">
        <v>91</v>
      </c>
      <c r="E2357" t="s">
        <v>92</v>
      </c>
      <c r="F2357" t="s">
        <v>93</v>
      </c>
      <c r="G2357" t="s">
        <v>94</v>
      </c>
      <c r="H2357" t="s">
        <v>145</v>
      </c>
      <c r="I2357" t="s">
        <v>146</v>
      </c>
      <c r="J2357" t="s">
        <v>147</v>
      </c>
      <c r="K2357" t="s">
        <v>148</v>
      </c>
      <c r="L2357" t="s">
        <v>183</v>
      </c>
      <c r="M2357" t="s">
        <v>171</v>
      </c>
      <c r="N2357">
        <v>1</v>
      </c>
      <c r="O2357" s="4">
        <v>7500</v>
      </c>
      <c r="P2357" s="4">
        <v>10500</v>
      </c>
      <c r="Q2357" s="7">
        <v>0.15</v>
      </c>
      <c r="R2357" t="s">
        <v>217</v>
      </c>
      <c r="S2357">
        <v>11</v>
      </c>
      <c r="T2357">
        <v>10500</v>
      </c>
      <c r="U2357">
        <v>1575</v>
      </c>
      <c r="V2357">
        <v>8925</v>
      </c>
      <c r="W2357">
        <v>7500</v>
      </c>
      <c r="X2357">
        <v>1425</v>
      </c>
      <c r="Y2357" s="8">
        <v>0.15966386554621848</v>
      </c>
      <c r="Z2357" t="s">
        <v>2996</v>
      </c>
      <c r="AA2357" t="str">
        <f>IF(AND(SalesCleanTable[[#This Row],[Discount %]]&gt;0, SalesCleanTable[[#This Row],[Profit]]&lt;0), "Discount loss", "Safe")</f>
        <v>Safe</v>
      </c>
      <c r="AB2357" s="25">
        <f>(SalesCleanTable[[#This Row],[Unit Price]] - SalesCleanTable[[#This Row],[Unit Cost]]) / SalesCleanTable[[#This Row],[Unit Price]]</f>
        <v>0.2857142857142857</v>
      </c>
      <c r="AC2357" t="str">
        <f>IF(SalesCleanTable[[#This Row],[Discount %]] &gt; SalesCleanTable[[#This Row],[Max Allowed Discount]], "Discount loss", "Safe")</f>
        <v>Safe</v>
      </c>
      <c r="AD2357" s="4">
        <f>SalesCleanTable[[#This Row],[Unit Price]] - SalesCleanTable[[#This Row],[Unit Cost]]</f>
        <v>3000</v>
      </c>
      <c r="AE2357" s="41">
        <f>(SalesCleanTable[[#This Row],[Unit Price]] - SalesCleanTable[[#This Row],[Unit Cost]]) / SalesCleanTable[[#This Row],[Unit Price]]</f>
        <v>0.2857142857142857</v>
      </c>
    </row>
    <row r="2358" spans="1:31">
      <c r="A2358" t="s">
        <v>2544</v>
      </c>
      <c r="B2358" s="6">
        <v>45979</v>
      </c>
      <c r="C2358" t="s">
        <v>116</v>
      </c>
      <c r="D2358" t="s">
        <v>117</v>
      </c>
      <c r="E2358" t="s">
        <v>109</v>
      </c>
      <c r="F2358" t="s">
        <v>118</v>
      </c>
      <c r="G2358" t="s">
        <v>119</v>
      </c>
      <c r="H2358" t="s">
        <v>145</v>
      </c>
      <c r="I2358" t="s">
        <v>146</v>
      </c>
      <c r="J2358" t="s">
        <v>147</v>
      </c>
      <c r="K2358" t="s">
        <v>148</v>
      </c>
      <c r="L2358" t="s">
        <v>166</v>
      </c>
      <c r="M2358" t="s">
        <v>186</v>
      </c>
      <c r="N2358">
        <v>4</v>
      </c>
      <c r="O2358" s="4">
        <v>2800</v>
      </c>
      <c r="P2358" s="4">
        <v>4200</v>
      </c>
      <c r="Q2358" s="7">
        <v>0.05</v>
      </c>
      <c r="R2358" t="s">
        <v>235</v>
      </c>
      <c r="S2358">
        <v>10</v>
      </c>
      <c r="T2358">
        <v>16800</v>
      </c>
      <c r="U2358">
        <v>840</v>
      </c>
      <c r="V2358">
        <v>15960</v>
      </c>
      <c r="W2358">
        <v>11200</v>
      </c>
      <c r="X2358">
        <v>4760</v>
      </c>
      <c r="Y2358" s="8">
        <v>0.2982456140350877</v>
      </c>
      <c r="Z2358" t="s">
        <v>2995</v>
      </c>
      <c r="AA2358" t="str">
        <f>IF(AND(SalesCleanTable[[#This Row],[Discount %]]&gt;0, SalesCleanTable[[#This Row],[Profit]]&lt;0), "Discount loss", "Safe")</f>
        <v>Safe</v>
      </c>
      <c r="AB2358" s="25">
        <f>(SalesCleanTable[[#This Row],[Unit Price]] - SalesCleanTable[[#This Row],[Unit Cost]]) / SalesCleanTable[[#This Row],[Unit Price]]</f>
        <v>0.33333333333333331</v>
      </c>
      <c r="AC2358" t="str">
        <f>IF(SalesCleanTable[[#This Row],[Discount %]] &gt; SalesCleanTable[[#This Row],[Max Allowed Discount]], "Discount loss", "Safe")</f>
        <v>Safe</v>
      </c>
      <c r="AD2358" s="4">
        <f>SalesCleanTable[[#This Row],[Unit Price]] - SalesCleanTable[[#This Row],[Unit Cost]]</f>
        <v>1400</v>
      </c>
      <c r="AE2358" s="41">
        <f>(SalesCleanTable[[#This Row],[Unit Price]] - SalesCleanTable[[#This Row],[Unit Cost]]) / SalesCleanTable[[#This Row],[Unit Price]]</f>
        <v>0.33333333333333331</v>
      </c>
    </row>
    <row r="2359" spans="1:31">
      <c r="A2359" t="s">
        <v>2545</v>
      </c>
      <c r="B2359" s="6">
        <v>45704</v>
      </c>
      <c r="C2359" t="s">
        <v>116</v>
      </c>
      <c r="D2359" t="s">
        <v>117</v>
      </c>
      <c r="E2359" t="s">
        <v>109</v>
      </c>
      <c r="F2359" t="s">
        <v>118</v>
      </c>
      <c r="G2359" t="s">
        <v>119</v>
      </c>
      <c r="H2359" t="s">
        <v>135</v>
      </c>
      <c r="I2359" t="s">
        <v>136</v>
      </c>
      <c r="J2359" t="s">
        <v>137</v>
      </c>
      <c r="K2359" t="s">
        <v>138</v>
      </c>
      <c r="L2359" t="s">
        <v>166</v>
      </c>
      <c r="M2359" t="s">
        <v>167</v>
      </c>
      <c r="N2359">
        <v>4</v>
      </c>
      <c r="O2359" s="4">
        <v>2800</v>
      </c>
      <c r="P2359" s="4">
        <v>4200</v>
      </c>
      <c r="Q2359" s="7">
        <v>0.1</v>
      </c>
      <c r="R2359" t="s">
        <v>235</v>
      </c>
      <c r="S2359">
        <v>6</v>
      </c>
      <c r="T2359">
        <v>16800</v>
      </c>
      <c r="U2359">
        <v>1680</v>
      </c>
      <c r="V2359">
        <v>15120</v>
      </c>
      <c r="W2359">
        <v>11200</v>
      </c>
      <c r="X2359">
        <v>3920</v>
      </c>
      <c r="Y2359" s="8">
        <v>0.25925925925925924</v>
      </c>
      <c r="Z2359" t="s">
        <v>2995</v>
      </c>
      <c r="AA2359" t="str">
        <f>IF(AND(SalesCleanTable[[#This Row],[Discount %]]&gt;0, SalesCleanTable[[#This Row],[Profit]]&lt;0), "Discount loss", "Safe")</f>
        <v>Safe</v>
      </c>
      <c r="AB2359" s="25">
        <f>(SalesCleanTable[[#This Row],[Unit Price]] - SalesCleanTable[[#This Row],[Unit Cost]]) / SalesCleanTable[[#This Row],[Unit Price]]</f>
        <v>0.33333333333333331</v>
      </c>
      <c r="AC2359" t="str">
        <f>IF(SalesCleanTable[[#This Row],[Discount %]] &gt; SalesCleanTable[[#This Row],[Max Allowed Discount]], "Discount loss", "Safe")</f>
        <v>Safe</v>
      </c>
      <c r="AD2359" s="4">
        <f>SalesCleanTable[[#This Row],[Unit Price]] - SalesCleanTable[[#This Row],[Unit Cost]]</f>
        <v>1400</v>
      </c>
      <c r="AE2359" s="41">
        <f>(SalesCleanTable[[#This Row],[Unit Price]] - SalesCleanTable[[#This Row],[Unit Cost]]) / SalesCleanTable[[#This Row],[Unit Price]]</f>
        <v>0.33333333333333331</v>
      </c>
    </row>
    <row r="2360" spans="1:31">
      <c r="A2360" t="s">
        <v>2546</v>
      </c>
      <c r="B2360" s="6">
        <v>45725</v>
      </c>
      <c r="C2360" t="s">
        <v>41</v>
      </c>
      <c r="D2360" t="s">
        <v>42</v>
      </c>
      <c r="E2360" t="s">
        <v>26</v>
      </c>
      <c r="F2360" t="s">
        <v>43</v>
      </c>
      <c r="G2360" t="s">
        <v>44</v>
      </c>
      <c r="H2360" t="s">
        <v>153</v>
      </c>
      <c r="I2360" t="s">
        <v>154</v>
      </c>
      <c r="J2360" t="s">
        <v>155</v>
      </c>
      <c r="K2360" t="s">
        <v>131</v>
      </c>
      <c r="L2360" t="s">
        <v>166</v>
      </c>
      <c r="M2360" t="s">
        <v>177</v>
      </c>
      <c r="N2360">
        <v>3</v>
      </c>
      <c r="O2360" s="4">
        <v>850</v>
      </c>
      <c r="P2360" s="4">
        <v>1300</v>
      </c>
      <c r="Q2360" s="7">
        <v>0.05</v>
      </c>
      <c r="R2360" t="s">
        <v>173</v>
      </c>
      <c r="S2360">
        <v>1</v>
      </c>
      <c r="T2360">
        <v>3900</v>
      </c>
      <c r="U2360">
        <v>195</v>
      </c>
      <c r="V2360">
        <v>3705</v>
      </c>
      <c r="W2360">
        <v>2550</v>
      </c>
      <c r="X2360">
        <v>1155</v>
      </c>
      <c r="Y2360" s="8">
        <v>0.31174089068825911</v>
      </c>
      <c r="Z2360" t="s">
        <v>2995</v>
      </c>
      <c r="AA2360" t="str">
        <f>IF(AND(SalesCleanTable[[#This Row],[Discount %]]&gt;0, SalesCleanTable[[#This Row],[Profit]]&lt;0), "Discount loss", "Safe")</f>
        <v>Safe</v>
      </c>
      <c r="AB2360" s="25">
        <f>(SalesCleanTable[[#This Row],[Unit Price]] - SalesCleanTable[[#This Row],[Unit Cost]]) / SalesCleanTable[[#This Row],[Unit Price]]</f>
        <v>0.34615384615384615</v>
      </c>
      <c r="AC2360" t="str">
        <f>IF(SalesCleanTable[[#This Row],[Discount %]] &gt; SalesCleanTable[[#This Row],[Max Allowed Discount]], "Discount loss", "Safe")</f>
        <v>Safe</v>
      </c>
      <c r="AD2360" s="4">
        <f>SalesCleanTable[[#This Row],[Unit Price]] - SalesCleanTable[[#This Row],[Unit Cost]]</f>
        <v>450</v>
      </c>
      <c r="AE2360" s="41">
        <f>(SalesCleanTable[[#This Row],[Unit Price]] - SalesCleanTable[[#This Row],[Unit Cost]]) / SalesCleanTable[[#This Row],[Unit Price]]</f>
        <v>0.34615384615384615</v>
      </c>
    </row>
    <row r="2361" spans="1:31">
      <c r="A2361" t="s">
        <v>2547</v>
      </c>
      <c r="B2361" s="6">
        <v>45879</v>
      </c>
      <c r="C2361" t="s">
        <v>53</v>
      </c>
      <c r="D2361" t="s">
        <v>54</v>
      </c>
      <c r="E2361" t="s">
        <v>38</v>
      </c>
      <c r="F2361" t="s">
        <v>55</v>
      </c>
      <c r="G2361" t="s">
        <v>56</v>
      </c>
      <c r="H2361" t="s">
        <v>139</v>
      </c>
      <c r="I2361" t="s">
        <v>140</v>
      </c>
      <c r="J2361" t="s">
        <v>137</v>
      </c>
      <c r="K2361" t="s">
        <v>138</v>
      </c>
      <c r="L2361" t="s">
        <v>170</v>
      </c>
      <c r="M2361" t="s">
        <v>177</v>
      </c>
      <c r="N2361">
        <v>8</v>
      </c>
      <c r="O2361" s="4">
        <v>330</v>
      </c>
      <c r="P2361" s="4">
        <v>550</v>
      </c>
      <c r="Q2361" s="7">
        <v>0.1</v>
      </c>
      <c r="R2361" t="s">
        <v>178</v>
      </c>
      <c r="S2361">
        <v>1</v>
      </c>
      <c r="T2361">
        <v>4400</v>
      </c>
      <c r="U2361">
        <v>440</v>
      </c>
      <c r="V2361">
        <v>3960</v>
      </c>
      <c r="W2361">
        <v>2640</v>
      </c>
      <c r="X2361">
        <v>1320</v>
      </c>
      <c r="Y2361" s="8">
        <v>0.33333333333333331</v>
      </c>
      <c r="Z2361" t="s">
        <v>2996</v>
      </c>
      <c r="AA2361" t="str">
        <f>IF(AND(SalesCleanTable[[#This Row],[Discount %]]&gt;0, SalesCleanTable[[#This Row],[Profit]]&lt;0), "Discount loss", "Safe")</f>
        <v>Safe</v>
      </c>
      <c r="AB2361" s="25">
        <f>(SalesCleanTable[[#This Row],[Unit Price]] - SalesCleanTable[[#This Row],[Unit Cost]]) / SalesCleanTable[[#This Row],[Unit Price]]</f>
        <v>0.4</v>
      </c>
      <c r="AC2361" t="str">
        <f>IF(SalesCleanTable[[#This Row],[Discount %]] &gt; SalesCleanTable[[#This Row],[Max Allowed Discount]], "Discount loss", "Safe")</f>
        <v>Safe</v>
      </c>
      <c r="AD2361" s="4">
        <f>SalesCleanTable[[#This Row],[Unit Price]] - SalesCleanTable[[#This Row],[Unit Cost]]</f>
        <v>220</v>
      </c>
      <c r="AE2361" s="41">
        <f>(SalesCleanTable[[#This Row],[Unit Price]] - SalesCleanTable[[#This Row],[Unit Cost]]) / SalesCleanTable[[#This Row],[Unit Price]]</f>
        <v>0.4</v>
      </c>
    </row>
    <row r="2362" spans="1:31">
      <c r="A2362" t="s">
        <v>2548</v>
      </c>
      <c r="B2362" s="6">
        <v>45718</v>
      </c>
      <c r="C2362" t="s">
        <v>66</v>
      </c>
      <c r="D2362" t="s">
        <v>67</v>
      </c>
      <c r="E2362" t="s">
        <v>59</v>
      </c>
      <c r="F2362" t="s">
        <v>60</v>
      </c>
      <c r="G2362" t="s">
        <v>68</v>
      </c>
      <c r="H2362" t="s">
        <v>141</v>
      </c>
      <c r="I2362" t="s">
        <v>142</v>
      </c>
      <c r="J2362" t="s">
        <v>143</v>
      </c>
      <c r="K2362" t="s">
        <v>144</v>
      </c>
      <c r="L2362" t="s">
        <v>183</v>
      </c>
      <c r="M2362" t="s">
        <v>171</v>
      </c>
      <c r="N2362">
        <v>3</v>
      </c>
      <c r="O2362" s="4">
        <v>2800</v>
      </c>
      <c r="P2362" s="4">
        <v>3900</v>
      </c>
      <c r="Q2362" s="7">
        <v>0.1</v>
      </c>
      <c r="R2362" t="s">
        <v>204</v>
      </c>
      <c r="S2362">
        <v>14</v>
      </c>
      <c r="T2362">
        <v>11700</v>
      </c>
      <c r="U2362">
        <v>1170</v>
      </c>
      <c r="V2362">
        <v>10530</v>
      </c>
      <c r="W2362">
        <v>8400</v>
      </c>
      <c r="X2362">
        <v>2130</v>
      </c>
      <c r="Y2362" s="8">
        <v>0.20227920227920229</v>
      </c>
      <c r="Z2362" t="s">
        <v>2996</v>
      </c>
      <c r="AA2362" t="str">
        <f>IF(AND(SalesCleanTable[[#This Row],[Discount %]]&gt;0, SalesCleanTable[[#This Row],[Profit]]&lt;0), "Discount loss", "Safe")</f>
        <v>Safe</v>
      </c>
      <c r="AB2362" s="25">
        <f>(SalesCleanTable[[#This Row],[Unit Price]] - SalesCleanTable[[#This Row],[Unit Cost]]) / SalesCleanTable[[#This Row],[Unit Price]]</f>
        <v>0.28205128205128205</v>
      </c>
      <c r="AC2362" t="str">
        <f>IF(SalesCleanTable[[#This Row],[Discount %]] &gt; SalesCleanTable[[#This Row],[Max Allowed Discount]], "Discount loss", "Safe")</f>
        <v>Safe</v>
      </c>
      <c r="AD2362" s="4">
        <f>SalesCleanTable[[#This Row],[Unit Price]] - SalesCleanTable[[#This Row],[Unit Cost]]</f>
        <v>1100</v>
      </c>
      <c r="AE2362" s="41">
        <f>(SalesCleanTable[[#This Row],[Unit Price]] - SalesCleanTable[[#This Row],[Unit Cost]]) / SalesCleanTable[[#This Row],[Unit Price]]</f>
        <v>0.28205128205128205</v>
      </c>
    </row>
    <row r="2363" spans="1:31">
      <c r="A2363" t="s">
        <v>2549</v>
      </c>
      <c r="B2363" s="6">
        <v>45705</v>
      </c>
      <c r="C2363" t="s">
        <v>41</v>
      </c>
      <c r="D2363" t="s">
        <v>42</v>
      </c>
      <c r="E2363" t="s">
        <v>26</v>
      </c>
      <c r="F2363" t="s">
        <v>43</v>
      </c>
      <c r="G2363" t="s">
        <v>44</v>
      </c>
      <c r="H2363" t="s">
        <v>149</v>
      </c>
      <c r="I2363" t="s">
        <v>150</v>
      </c>
      <c r="J2363" t="s">
        <v>151</v>
      </c>
      <c r="K2363" t="s">
        <v>152</v>
      </c>
      <c r="L2363" t="s">
        <v>166</v>
      </c>
      <c r="M2363" t="s">
        <v>186</v>
      </c>
      <c r="N2363">
        <v>1</v>
      </c>
      <c r="O2363" s="4">
        <v>850</v>
      </c>
      <c r="P2363" s="4">
        <v>1300</v>
      </c>
      <c r="Q2363" s="7">
        <v>0.05</v>
      </c>
      <c r="R2363" t="s">
        <v>194</v>
      </c>
      <c r="S2363">
        <v>9</v>
      </c>
      <c r="T2363">
        <v>1300</v>
      </c>
      <c r="U2363">
        <v>65</v>
      </c>
      <c r="V2363">
        <v>1235</v>
      </c>
      <c r="W2363">
        <v>850</v>
      </c>
      <c r="X2363">
        <v>385</v>
      </c>
      <c r="Y2363" s="8">
        <v>0.31174089068825911</v>
      </c>
      <c r="Z2363" t="s">
        <v>2995</v>
      </c>
      <c r="AA2363" t="str">
        <f>IF(AND(SalesCleanTable[[#This Row],[Discount %]]&gt;0, SalesCleanTable[[#This Row],[Profit]]&lt;0), "Discount loss", "Safe")</f>
        <v>Safe</v>
      </c>
      <c r="AB2363" s="25">
        <f>(SalesCleanTable[[#This Row],[Unit Price]] - SalesCleanTable[[#This Row],[Unit Cost]]) / SalesCleanTable[[#This Row],[Unit Price]]</f>
        <v>0.34615384615384615</v>
      </c>
      <c r="AC2363" t="str">
        <f>IF(SalesCleanTable[[#This Row],[Discount %]] &gt; SalesCleanTable[[#This Row],[Max Allowed Discount]], "Discount loss", "Safe")</f>
        <v>Safe</v>
      </c>
      <c r="AD2363" s="4">
        <f>SalesCleanTable[[#This Row],[Unit Price]] - SalesCleanTable[[#This Row],[Unit Cost]]</f>
        <v>450</v>
      </c>
      <c r="AE2363" s="41">
        <f>(SalesCleanTable[[#This Row],[Unit Price]] - SalesCleanTable[[#This Row],[Unit Cost]]) / SalesCleanTable[[#This Row],[Unit Price]]</f>
        <v>0.34615384615384615</v>
      </c>
    </row>
    <row r="2364" spans="1:31">
      <c r="A2364" t="s">
        <v>2550</v>
      </c>
      <c r="B2364" s="6">
        <v>45682</v>
      </c>
      <c r="C2364" t="s">
        <v>45</v>
      </c>
      <c r="D2364" t="s">
        <v>46</v>
      </c>
      <c r="E2364" t="s">
        <v>38</v>
      </c>
      <c r="F2364" t="s">
        <v>47</v>
      </c>
      <c r="G2364" t="s">
        <v>48</v>
      </c>
      <c r="H2364" t="s">
        <v>145</v>
      </c>
      <c r="I2364" t="s">
        <v>146</v>
      </c>
      <c r="J2364" t="s">
        <v>147</v>
      </c>
      <c r="K2364" t="s">
        <v>148</v>
      </c>
      <c r="L2364" t="s">
        <v>166</v>
      </c>
      <c r="M2364" t="s">
        <v>171</v>
      </c>
      <c r="N2364">
        <v>2</v>
      </c>
      <c r="O2364" s="4">
        <v>230</v>
      </c>
      <c r="P2364" s="4">
        <v>400</v>
      </c>
      <c r="Q2364" s="7">
        <v>0.1</v>
      </c>
      <c r="R2364" t="s">
        <v>178</v>
      </c>
      <c r="S2364">
        <v>5</v>
      </c>
      <c r="T2364">
        <v>800</v>
      </c>
      <c r="U2364">
        <v>80</v>
      </c>
      <c r="V2364">
        <v>720</v>
      </c>
      <c r="W2364">
        <v>460</v>
      </c>
      <c r="X2364">
        <v>260</v>
      </c>
      <c r="Y2364" s="8">
        <v>0.3611111111111111</v>
      </c>
      <c r="Z2364" t="s">
        <v>2995</v>
      </c>
      <c r="AA2364" t="str">
        <f>IF(AND(SalesCleanTable[[#This Row],[Discount %]]&gt;0, SalesCleanTable[[#This Row],[Profit]]&lt;0), "Discount loss", "Safe")</f>
        <v>Safe</v>
      </c>
      <c r="AB2364" s="25">
        <f>(SalesCleanTable[[#This Row],[Unit Price]] - SalesCleanTable[[#This Row],[Unit Cost]]) / SalesCleanTable[[#This Row],[Unit Price]]</f>
        <v>0.42499999999999999</v>
      </c>
      <c r="AC2364" t="str">
        <f>IF(SalesCleanTable[[#This Row],[Discount %]] &gt; SalesCleanTable[[#This Row],[Max Allowed Discount]], "Discount loss", "Safe")</f>
        <v>Safe</v>
      </c>
      <c r="AD2364" s="4">
        <f>SalesCleanTable[[#This Row],[Unit Price]] - SalesCleanTable[[#This Row],[Unit Cost]]</f>
        <v>170</v>
      </c>
      <c r="AE2364" s="41">
        <f>(SalesCleanTable[[#This Row],[Unit Price]] - SalesCleanTable[[#This Row],[Unit Cost]]) / SalesCleanTable[[#This Row],[Unit Price]]</f>
        <v>0.42499999999999999</v>
      </c>
    </row>
    <row r="2365" spans="1:31">
      <c r="A2365" t="s">
        <v>2551</v>
      </c>
      <c r="B2365" s="6">
        <v>46008</v>
      </c>
      <c r="C2365" t="s">
        <v>78</v>
      </c>
      <c r="D2365" t="s">
        <v>79</v>
      </c>
      <c r="E2365" t="s">
        <v>75</v>
      </c>
      <c r="F2365" t="s">
        <v>80</v>
      </c>
      <c r="G2365" t="s">
        <v>81</v>
      </c>
      <c r="H2365" t="s">
        <v>133</v>
      </c>
      <c r="I2365" t="s">
        <v>134</v>
      </c>
      <c r="J2365" t="s">
        <v>130</v>
      </c>
      <c r="K2365" t="s">
        <v>131</v>
      </c>
      <c r="L2365" t="s">
        <v>183</v>
      </c>
      <c r="M2365" t="s">
        <v>171</v>
      </c>
      <c r="N2365">
        <v>1</v>
      </c>
      <c r="O2365" s="4">
        <v>1200</v>
      </c>
      <c r="P2365" s="4">
        <v>1900</v>
      </c>
      <c r="Q2365" s="7">
        <v>0</v>
      </c>
      <c r="R2365" t="s">
        <v>208</v>
      </c>
      <c r="S2365">
        <v>8</v>
      </c>
      <c r="T2365">
        <v>1900</v>
      </c>
      <c r="U2365">
        <v>0</v>
      </c>
      <c r="V2365">
        <v>1900</v>
      </c>
      <c r="W2365">
        <v>1200</v>
      </c>
      <c r="X2365">
        <v>700</v>
      </c>
      <c r="Y2365" s="8">
        <v>0.36842105263157893</v>
      </c>
      <c r="Z2365" t="s">
        <v>2996</v>
      </c>
      <c r="AA2365" t="str">
        <f>IF(AND(SalesCleanTable[[#This Row],[Discount %]]&gt;0, SalesCleanTable[[#This Row],[Profit]]&lt;0), "Discount loss", "Safe")</f>
        <v>Safe</v>
      </c>
      <c r="AB2365" s="25">
        <f>(SalesCleanTable[[#This Row],[Unit Price]] - SalesCleanTable[[#This Row],[Unit Cost]]) / SalesCleanTable[[#This Row],[Unit Price]]</f>
        <v>0.36842105263157893</v>
      </c>
      <c r="AC2365" t="str">
        <f>IF(SalesCleanTable[[#This Row],[Discount %]] &gt; SalesCleanTable[[#This Row],[Max Allowed Discount]], "Discount loss", "Safe")</f>
        <v>Safe</v>
      </c>
      <c r="AD2365" s="4">
        <f>SalesCleanTable[[#This Row],[Unit Price]] - SalesCleanTable[[#This Row],[Unit Cost]]</f>
        <v>700</v>
      </c>
      <c r="AE2365" s="41">
        <f>(SalesCleanTable[[#This Row],[Unit Price]] - SalesCleanTable[[#This Row],[Unit Cost]]) / SalesCleanTable[[#This Row],[Unit Price]]</f>
        <v>0.36842105263157893</v>
      </c>
    </row>
    <row r="2366" spans="1:31">
      <c r="A2366" t="s">
        <v>2552</v>
      </c>
      <c r="B2366" s="6">
        <v>45844</v>
      </c>
      <c r="C2366" t="s">
        <v>82</v>
      </c>
      <c r="D2366" t="s">
        <v>83</v>
      </c>
      <c r="E2366" t="s">
        <v>75</v>
      </c>
      <c r="F2366" t="s">
        <v>84</v>
      </c>
      <c r="G2366" t="s">
        <v>85</v>
      </c>
      <c r="H2366" t="s">
        <v>135</v>
      </c>
      <c r="I2366" t="s">
        <v>136</v>
      </c>
      <c r="J2366" t="s">
        <v>137</v>
      </c>
      <c r="K2366" t="s">
        <v>138</v>
      </c>
      <c r="L2366" t="s">
        <v>166</v>
      </c>
      <c r="M2366" t="s">
        <v>171</v>
      </c>
      <c r="N2366">
        <v>4</v>
      </c>
      <c r="O2366" s="4">
        <v>600</v>
      </c>
      <c r="P2366" s="4">
        <v>950</v>
      </c>
      <c r="Q2366" s="7">
        <v>0.2</v>
      </c>
      <c r="R2366" t="s">
        <v>204</v>
      </c>
      <c r="S2366">
        <v>13</v>
      </c>
      <c r="T2366">
        <v>3800</v>
      </c>
      <c r="U2366">
        <v>760</v>
      </c>
      <c r="V2366">
        <v>3040</v>
      </c>
      <c r="W2366">
        <v>2400</v>
      </c>
      <c r="X2366">
        <v>640</v>
      </c>
      <c r="Y2366" s="8">
        <v>0.21052631578947367</v>
      </c>
      <c r="Z2366" t="s">
        <v>2996</v>
      </c>
      <c r="AA2366" t="str">
        <f>IF(AND(SalesCleanTable[[#This Row],[Discount %]]&gt;0, SalesCleanTable[[#This Row],[Profit]]&lt;0), "Discount loss", "Safe")</f>
        <v>Safe</v>
      </c>
      <c r="AB2366" s="25">
        <f>(SalesCleanTable[[#This Row],[Unit Price]] - SalesCleanTable[[#This Row],[Unit Cost]]) / SalesCleanTable[[#This Row],[Unit Price]]</f>
        <v>0.36842105263157893</v>
      </c>
      <c r="AC2366" t="str">
        <f>IF(SalesCleanTable[[#This Row],[Discount %]] &gt; SalesCleanTable[[#This Row],[Max Allowed Discount]], "Discount loss", "Safe")</f>
        <v>Safe</v>
      </c>
      <c r="AD2366" s="4">
        <f>SalesCleanTable[[#This Row],[Unit Price]] - SalesCleanTable[[#This Row],[Unit Cost]]</f>
        <v>350</v>
      </c>
      <c r="AE2366" s="41">
        <f>(SalesCleanTable[[#This Row],[Unit Price]] - SalesCleanTable[[#This Row],[Unit Cost]]) / SalesCleanTable[[#This Row],[Unit Price]]</f>
        <v>0.36842105263157893</v>
      </c>
    </row>
    <row r="2367" spans="1:31">
      <c r="A2367" t="s">
        <v>2553</v>
      </c>
      <c r="B2367" s="6">
        <v>45985</v>
      </c>
      <c r="C2367" t="s">
        <v>107</v>
      </c>
      <c r="D2367" t="s">
        <v>108</v>
      </c>
      <c r="E2367" t="s">
        <v>109</v>
      </c>
      <c r="F2367" t="s">
        <v>110</v>
      </c>
      <c r="G2367" t="s">
        <v>111</v>
      </c>
      <c r="H2367" t="s">
        <v>128</v>
      </c>
      <c r="I2367" t="s">
        <v>129</v>
      </c>
      <c r="J2367" t="s">
        <v>130</v>
      </c>
      <c r="K2367" t="s">
        <v>131</v>
      </c>
      <c r="L2367" t="s">
        <v>183</v>
      </c>
      <c r="M2367" t="s">
        <v>171</v>
      </c>
      <c r="N2367">
        <v>4</v>
      </c>
      <c r="O2367" s="4">
        <v>5200</v>
      </c>
      <c r="P2367" s="4">
        <v>7000</v>
      </c>
      <c r="Q2367" s="7">
        <v>0.1</v>
      </c>
      <c r="R2367" t="s">
        <v>184</v>
      </c>
      <c r="S2367">
        <v>6</v>
      </c>
      <c r="T2367">
        <v>28000</v>
      </c>
      <c r="U2367">
        <v>2800</v>
      </c>
      <c r="V2367">
        <v>25200</v>
      </c>
      <c r="W2367">
        <v>20800</v>
      </c>
      <c r="X2367">
        <v>4400</v>
      </c>
      <c r="Y2367" s="8">
        <v>0.17460317460317459</v>
      </c>
      <c r="Z2367" t="s">
        <v>2997</v>
      </c>
      <c r="AA2367" t="str">
        <f>IF(AND(SalesCleanTable[[#This Row],[Discount %]]&gt;0, SalesCleanTable[[#This Row],[Profit]]&lt;0), "Discount loss", "Safe")</f>
        <v>Safe</v>
      </c>
      <c r="AB2367" s="25">
        <f>(SalesCleanTable[[#This Row],[Unit Price]] - SalesCleanTable[[#This Row],[Unit Cost]]) / SalesCleanTable[[#This Row],[Unit Price]]</f>
        <v>0.25714285714285712</v>
      </c>
      <c r="AC2367" t="str">
        <f>IF(SalesCleanTable[[#This Row],[Discount %]] &gt; SalesCleanTable[[#This Row],[Max Allowed Discount]], "Discount loss", "Safe")</f>
        <v>Safe</v>
      </c>
      <c r="AD2367" s="4">
        <f>SalesCleanTable[[#This Row],[Unit Price]] - SalesCleanTable[[#This Row],[Unit Cost]]</f>
        <v>1800</v>
      </c>
      <c r="AE2367" s="41">
        <f>(SalesCleanTable[[#This Row],[Unit Price]] - SalesCleanTable[[#This Row],[Unit Cost]]) / SalesCleanTable[[#This Row],[Unit Price]]</f>
        <v>0.25714285714285712</v>
      </c>
    </row>
    <row r="2368" spans="1:31">
      <c r="A2368" t="s">
        <v>2554</v>
      </c>
      <c r="B2368" s="6">
        <v>45953</v>
      </c>
      <c r="C2368" t="s">
        <v>45</v>
      </c>
      <c r="D2368" t="s">
        <v>46</v>
      </c>
      <c r="E2368" t="s">
        <v>38</v>
      </c>
      <c r="F2368" t="s">
        <v>47</v>
      </c>
      <c r="G2368" t="s">
        <v>48</v>
      </c>
      <c r="H2368" t="s">
        <v>149</v>
      </c>
      <c r="I2368" t="s">
        <v>150</v>
      </c>
      <c r="J2368" t="s">
        <v>151</v>
      </c>
      <c r="K2368" t="s">
        <v>152</v>
      </c>
      <c r="L2368" t="s">
        <v>166</v>
      </c>
      <c r="M2368" t="s">
        <v>171</v>
      </c>
      <c r="N2368">
        <v>3</v>
      </c>
      <c r="O2368" s="4">
        <v>230</v>
      </c>
      <c r="P2368" s="4">
        <v>400</v>
      </c>
      <c r="Q2368" s="7">
        <v>0.05</v>
      </c>
      <c r="R2368" t="s">
        <v>178</v>
      </c>
      <c r="S2368">
        <v>4</v>
      </c>
      <c r="T2368">
        <v>1200</v>
      </c>
      <c r="U2368">
        <v>60</v>
      </c>
      <c r="V2368">
        <v>1140</v>
      </c>
      <c r="W2368">
        <v>690</v>
      </c>
      <c r="X2368">
        <v>450</v>
      </c>
      <c r="Y2368" s="8">
        <v>0.39473684210526316</v>
      </c>
      <c r="Z2368" t="s">
        <v>2995</v>
      </c>
      <c r="AA2368" t="str">
        <f>IF(AND(SalesCleanTable[[#This Row],[Discount %]]&gt;0, SalesCleanTable[[#This Row],[Profit]]&lt;0), "Discount loss", "Safe")</f>
        <v>Safe</v>
      </c>
      <c r="AB2368" s="25">
        <f>(SalesCleanTable[[#This Row],[Unit Price]] - SalesCleanTable[[#This Row],[Unit Cost]]) / SalesCleanTable[[#This Row],[Unit Price]]</f>
        <v>0.42499999999999999</v>
      </c>
      <c r="AC2368" t="str">
        <f>IF(SalesCleanTable[[#This Row],[Discount %]] &gt; SalesCleanTable[[#This Row],[Max Allowed Discount]], "Discount loss", "Safe")</f>
        <v>Safe</v>
      </c>
      <c r="AD2368" s="4">
        <f>SalesCleanTable[[#This Row],[Unit Price]] - SalesCleanTable[[#This Row],[Unit Cost]]</f>
        <v>170</v>
      </c>
      <c r="AE2368" s="41">
        <f>(SalesCleanTable[[#This Row],[Unit Price]] - SalesCleanTable[[#This Row],[Unit Cost]]) / SalesCleanTable[[#This Row],[Unit Price]]</f>
        <v>0.42499999999999999</v>
      </c>
    </row>
    <row r="2369" spans="1:31">
      <c r="A2369" t="s">
        <v>2555</v>
      </c>
      <c r="B2369" s="6">
        <v>45953</v>
      </c>
      <c r="C2369" t="s">
        <v>49</v>
      </c>
      <c r="D2369" t="s">
        <v>50</v>
      </c>
      <c r="E2369" t="s">
        <v>38</v>
      </c>
      <c r="F2369" t="s">
        <v>51</v>
      </c>
      <c r="G2369" t="s">
        <v>52</v>
      </c>
      <c r="H2369" t="s">
        <v>128</v>
      </c>
      <c r="I2369" t="s">
        <v>129</v>
      </c>
      <c r="J2369" t="s">
        <v>130</v>
      </c>
      <c r="K2369" t="s">
        <v>131</v>
      </c>
      <c r="L2369" t="s">
        <v>183</v>
      </c>
      <c r="M2369" t="s">
        <v>177</v>
      </c>
      <c r="N2369">
        <v>-1</v>
      </c>
      <c r="O2369" s="4">
        <v>550</v>
      </c>
      <c r="P2369" s="4">
        <v>850</v>
      </c>
      <c r="Q2369" s="7">
        <v>0</v>
      </c>
      <c r="R2369" t="s">
        <v>168</v>
      </c>
      <c r="S2369">
        <v>5</v>
      </c>
      <c r="T2369">
        <v>-850</v>
      </c>
      <c r="U2369">
        <v>0</v>
      </c>
      <c r="V2369">
        <v>-850</v>
      </c>
      <c r="W2369">
        <v>-550</v>
      </c>
      <c r="X2369">
        <v>-300</v>
      </c>
      <c r="Y2369" s="8">
        <v>0.35294117647058826</v>
      </c>
      <c r="Z2369" t="s">
        <v>2996</v>
      </c>
      <c r="AA2369" t="str">
        <f>IF(AND(SalesCleanTable[[#This Row],[Discount %]]&gt;0, SalesCleanTable[[#This Row],[Profit]]&lt;0), "Discount loss", "Safe")</f>
        <v>Safe</v>
      </c>
      <c r="AB2369" s="25">
        <f>(SalesCleanTable[[#This Row],[Unit Price]] - SalesCleanTable[[#This Row],[Unit Cost]]) / SalesCleanTable[[#This Row],[Unit Price]]</f>
        <v>0.35294117647058826</v>
      </c>
      <c r="AC2369" t="str">
        <f>IF(SalesCleanTable[[#This Row],[Discount %]] &gt; SalesCleanTable[[#This Row],[Max Allowed Discount]], "Discount loss", "Safe")</f>
        <v>Safe</v>
      </c>
      <c r="AD2369" s="4">
        <f>SalesCleanTable[[#This Row],[Unit Price]] - SalesCleanTable[[#This Row],[Unit Cost]]</f>
        <v>300</v>
      </c>
      <c r="AE2369" s="41">
        <f>(SalesCleanTable[[#This Row],[Unit Price]] - SalesCleanTable[[#This Row],[Unit Cost]]) / SalesCleanTable[[#This Row],[Unit Price]]</f>
        <v>0.35294117647058826</v>
      </c>
    </row>
    <row r="2370" spans="1:31">
      <c r="A2370" t="s">
        <v>2556</v>
      </c>
      <c r="B2370" s="6">
        <v>45906</v>
      </c>
      <c r="C2370" t="s">
        <v>95</v>
      </c>
      <c r="D2370" t="s">
        <v>96</v>
      </c>
      <c r="E2370" t="s">
        <v>92</v>
      </c>
      <c r="F2370" t="s">
        <v>97</v>
      </c>
      <c r="G2370" t="s">
        <v>98</v>
      </c>
      <c r="H2370" t="s">
        <v>149</v>
      </c>
      <c r="I2370" t="s">
        <v>150</v>
      </c>
      <c r="J2370" t="s">
        <v>151</v>
      </c>
      <c r="K2370" t="s">
        <v>152</v>
      </c>
      <c r="L2370" t="s">
        <v>166</v>
      </c>
      <c r="M2370" t="s">
        <v>177</v>
      </c>
      <c r="N2370">
        <v>1</v>
      </c>
      <c r="O2370" s="4">
        <v>18000</v>
      </c>
      <c r="P2370" s="4">
        <v>24500</v>
      </c>
      <c r="Q2370" s="7">
        <v>0.15</v>
      </c>
      <c r="R2370" t="s">
        <v>181</v>
      </c>
      <c r="S2370">
        <v>7</v>
      </c>
      <c r="T2370">
        <v>24500</v>
      </c>
      <c r="U2370">
        <v>3675</v>
      </c>
      <c r="V2370">
        <v>20825</v>
      </c>
      <c r="W2370">
        <v>18000</v>
      </c>
      <c r="X2370">
        <v>2825</v>
      </c>
      <c r="Y2370" s="8">
        <v>0.13565426170468187</v>
      </c>
      <c r="Z2370" t="s">
        <v>2995</v>
      </c>
      <c r="AA2370" t="str">
        <f>IF(AND(SalesCleanTable[[#This Row],[Discount %]]&gt;0, SalesCleanTable[[#This Row],[Profit]]&lt;0), "Discount loss", "Safe")</f>
        <v>Safe</v>
      </c>
      <c r="AB2370" s="25">
        <f>(SalesCleanTable[[#This Row],[Unit Price]] - SalesCleanTable[[#This Row],[Unit Cost]]) / SalesCleanTable[[#This Row],[Unit Price]]</f>
        <v>0.26530612244897961</v>
      </c>
      <c r="AC2370" t="str">
        <f>IF(SalesCleanTable[[#This Row],[Discount %]] &gt; SalesCleanTable[[#This Row],[Max Allowed Discount]], "Discount loss", "Safe")</f>
        <v>Safe</v>
      </c>
      <c r="AD2370" s="4">
        <f>SalesCleanTable[[#This Row],[Unit Price]] - SalesCleanTable[[#This Row],[Unit Cost]]</f>
        <v>6500</v>
      </c>
      <c r="AE2370" s="41">
        <f>(SalesCleanTable[[#This Row],[Unit Price]] - SalesCleanTable[[#This Row],[Unit Cost]]) / SalesCleanTable[[#This Row],[Unit Price]]</f>
        <v>0.26530612244897961</v>
      </c>
    </row>
    <row r="2371" spans="1:31">
      <c r="A2371" t="s">
        <v>2557</v>
      </c>
      <c r="B2371" s="6">
        <v>45860</v>
      </c>
      <c r="C2371" t="s">
        <v>49</v>
      </c>
      <c r="D2371" t="s">
        <v>50</v>
      </c>
      <c r="E2371" t="s">
        <v>38</v>
      </c>
      <c r="F2371" t="s">
        <v>51</v>
      </c>
      <c r="G2371" t="s">
        <v>52</v>
      </c>
      <c r="H2371" t="s">
        <v>135</v>
      </c>
      <c r="I2371" t="s">
        <v>136</v>
      </c>
      <c r="J2371" t="s">
        <v>137</v>
      </c>
      <c r="K2371" t="s">
        <v>138</v>
      </c>
      <c r="L2371" t="s">
        <v>183</v>
      </c>
      <c r="M2371" t="s">
        <v>171</v>
      </c>
      <c r="N2371">
        <v>1</v>
      </c>
      <c r="O2371" s="4">
        <v>550</v>
      </c>
      <c r="P2371" s="4">
        <v>850</v>
      </c>
      <c r="Q2371" s="7">
        <v>0</v>
      </c>
      <c r="R2371" t="s">
        <v>178</v>
      </c>
      <c r="S2371">
        <v>11</v>
      </c>
      <c r="T2371">
        <v>850</v>
      </c>
      <c r="U2371">
        <v>0</v>
      </c>
      <c r="V2371">
        <v>850</v>
      </c>
      <c r="W2371">
        <v>550</v>
      </c>
      <c r="X2371">
        <v>300</v>
      </c>
      <c r="Y2371" s="8">
        <v>0.35294117647058826</v>
      </c>
      <c r="Z2371" t="s">
        <v>2996</v>
      </c>
      <c r="AA2371" t="str">
        <f>IF(AND(SalesCleanTable[[#This Row],[Discount %]]&gt;0, SalesCleanTable[[#This Row],[Profit]]&lt;0), "Discount loss", "Safe")</f>
        <v>Safe</v>
      </c>
      <c r="AB2371" s="25">
        <f>(SalesCleanTable[[#This Row],[Unit Price]] - SalesCleanTable[[#This Row],[Unit Cost]]) / SalesCleanTable[[#This Row],[Unit Price]]</f>
        <v>0.35294117647058826</v>
      </c>
      <c r="AC2371" t="str">
        <f>IF(SalesCleanTable[[#This Row],[Discount %]] &gt; SalesCleanTable[[#This Row],[Max Allowed Discount]], "Discount loss", "Safe")</f>
        <v>Safe</v>
      </c>
      <c r="AD2371" s="4">
        <f>SalesCleanTable[[#This Row],[Unit Price]] - SalesCleanTable[[#This Row],[Unit Cost]]</f>
        <v>300</v>
      </c>
      <c r="AE2371" s="41">
        <f>(SalesCleanTable[[#This Row],[Unit Price]] - SalesCleanTable[[#This Row],[Unit Cost]]) / SalesCleanTable[[#This Row],[Unit Price]]</f>
        <v>0.35294117647058826</v>
      </c>
    </row>
    <row r="2372" spans="1:31">
      <c r="A2372" t="s">
        <v>2558</v>
      </c>
      <c r="B2372" s="6">
        <v>45794</v>
      </c>
      <c r="C2372" t="s">
        <v>99</v>
      </c>
      <c r="D2372" t="s">
        <v>100</v>
      </c>
      <c r="E2372" t="s">
        <v>92</v>
      </c>
      <c r="F2372" t="s">
        <v>101</v>
      </c>
      <c r="G2372" t="s">
        <v>102</v>
      </c>
      <c r="H2372" t="s">
        <v>141</v>
      </c>
      <c r="I2372" t="s">
        <v>142</v>
      </c>
      <c r="J2372" t="s">
        <v>143</v>
      </c>
      <c r="K2372" t="s">
        <v>144</v>
      </c>
      <c r="L2372" t="s">
        <v>166</v>
      </c>
      <c r="M2372" t="s">
        <v>177</v>
      </c>
      <c r="N2372">
        <v>3</v>
      </c>
      <c r="O2372" s="4">
        <v>12500</v>
      </c>
      <c r="P2372" s="4">
        <v>18500</v>
      </c>
      <c r="Q2372" s="7">
        <v>0</v>
      </c>
      <c r="R2372" t="s">
        <v>181</v>
      </c>
      <c r="S2372">
        <v>3</v>
      </c>
      <c r="T2372">
        <v>55500</v>
      </c>
      <c r="U2372">
        <v>0</v>
      </c>
      <c r="V2372">
        <v>55500</v>
      </c>
      <c r="W2372">
        <v>37500</v>
      </c>
      <c r="X2372">
        <v>18000</v>
      </c>
      <c r="Y2372" s="8">
        <v>0.32432432432432434</v>
      </c>
      <c r="Z2372" t="s">
        <v>2995</v>
      </c>
      <c r="AA2372" t="str">
        <f>IF(AND(SalesCleanTable[[#This Row],[Discount %]]&gt;0, SalesCleanTable[[#This Row],[Profit]]&lt;0), "Discount loss", "Safe")</f>
        <v>Safe</v>
      </c>
      <c r="AB2372" s="25">
        <f>(SalesCleanTable[[#This Row],[Unit Price]] - SalesCleanTable[[#This Row],[Unit Cost]]) / SalesCleanTable[[#This Row],[Unit Price]]</f>
        <v>0.32432432432432434</v>
      </c>
      <c r="AC2372" t="str">
        <f>IF(SalesCleanTable[[#This Row],[Discount %]] &gt; SalesCleanTable[[#This Row],[Max Allowed Discount]], "Discount loss", "Safe")</f>
        <v>Safe</v>
      </c>
      <c r="AD2372" s="4">
        <f>SalesCleanTable[[#This Row],[Unit Price]] - SalesCleanTable[[#This Row],[Unit Cost]]</f>
        <v>6000</v>
      </c>
      <c r="AE2372" s="41">
        <f>(SalesCleanTable[[#This Row],[Unit Price]] - SalesCleanTable[[#This Row],[Unit Cost]]) / SalesCleanTable[[#This Row],[Unit Price]]</f>
        <v>0.32432432432432434</v>
      </c>
    </row>
    <row r="2373" spans="1:31">
      <c r="A2373" t="s">
        <v>2559</v>
      </c>
      <c r="B2373" s="6">
        <v>45779</v>
      </c>
      <c r="C2373" t="s">
        <v>73</v>
      </c>
      <c r="D2373" t="s">
        <v>74</v>
      </c>
      <c r="E2373" t="s">
        <v>75</v>
      </c>
      <c r="F2373" t="s">
        <v>76</v>
      </c>
      <c r="G2373" t="s">
        <v>77</v>
      </c>
      <c r="H2373" t="s">
        <v>133</v>
      </c>
      <c r="I2373" t="s">
        <v>134</v>
      </c>
      <c r="J2373" t="s">
        <v>130</v>
      </c>
      <c r="K2373" t="s">
        <v>131</v>
      </c>
      <c r="L2373" t="s">
        <v>166</v>
      </c>
      <c r="M2373" t="s">
        <v>171</v>
      </c>
      <c r="N2373">
        <v>1</v>
      </c>
      <c r="O2373" s="4">
        <v>3500</v>
      </c>
      <c r="P2373" s="4">
        <v>5200</v>
      </c>
      <c r="Q2373" s="7">
        <v>0.1</v>
      </c>
      <c r="R2373" t="s">
        <v>208</v>
      </c>
      <c r="S2373">
        <v>13</v>
      </c>
      <c r="T2373">
        <v>5200</v>
      </c>
      <c r="U2373">
        <v>520</v>
      </c>
      <c r="V2373">
        <v>4680</v>
      </c>
      <c r="W2373">
        <v>3500</v>
      </c>
      <c r="X2373">
        <v>1180</v>
      </c>
      <c r="Y2373" s="8">
        <v>0.25213675213675213</v>
      </c>
      <c r="Z2373" t="s">
        <v>2996</v>
      </c>
      <c r="AA2373" t="str">
        <f>IF(AND(SalesCleanTable[[#This Row],[Discount %]]&gt;0, SalesCleanTable[[#This Row],[Profit]]&lt;0), "Discount loss", "Safe")</f>
        <v>Safe</v>
      </c>
      <c r="AB2373" s="25">
        <f>(SalesCleanTable[[#This Row],[Unit Price]] - SalesCleanTable[[#This Row],[Unit Cost]]) / SalesCleanTable[[#This Row],[Unit Price]]</f>
        <v>0.32692307692307693</v>
      </c>
      <c r="AC2373" t="str">
        <f>IF(SalesCleanTable[[#This Row],[Discount %]] &gt; SalesCleanTable[[#This Row],[Max Allowed Discount]], "Discount loss", "Safe")</f>
        <v>Safe</v>
      </c>
      <c r="AD2373" s="4">
        <f>SalesCleanTable[[#This Row],[Unit Price]] - SalesCleanTable[[#This Row],[Unit Cost]]</f>
        <v>1700</v>
      </c>
      <c r="AE2373" s="41">
        <f>(SalesCleanTable[[#This Row],[Unit Price]] - SalesCleanTable[[#This Row],[Unit Cost]]) / SalesCleanTable[[#This Row],[Unit Price]]</f>
        <v>0.32692307692307693</v>
      </c>
    </row>
    <row r="2374" spans="1:31">
      <c r="A2374" t="s">
        <v>2560</v>
      </c>
      <c r="B2374" s="6">
        <v>45897</v>
      </c>
      <c r="C2374" t="s">
        <v>82</v>
      </c>
      <c r="D2374" t="s">
        <v>83</v>
      </c>
      <c r="E2374" t="s">
        <v>75</v>
      </c>
      <c r="F2374" t="s">
        <v>84</v>
      </c>
      <c r="G2374" t="s">
        <v>85</v>
      </c>
      <c r="H2374" t="s">
        <v>135</v>
      </c>
      <c r="I2374" t="s">
        <v>136</v>
      </c>
      <c r="J2374" t="s">
        <v>137</v>
      </c>
      <c r="K2374" t="s">
        <v>138</v>
      </c>
      <c r="L2374" t="s">
        <v>183</v>
      </c>
      <c r="M2374" t="s">
        <v>171</v>
      </c>
      <c r="N2374">
        <v>5</v>
      </c>
      <c r="O2374" s="4">
        <v>600</v>
      </c>
      <c r="P2374" s="4">
        <v>950</v>
      </c>
      <c r="Q2374" s="7">
        <v>0.1</v>
      </c>
      <c r="R2374" t="s">
        <v>187</v>
      </c>
      <c r="S2374">
        <v>1</v>
      </c>
      <c r="T2374">
        <v>4750</v>
      </c>
      <c r="U2374">
        <v>475</v>
      </c>
      <c r="V2374">
        <v>4275</v>
      </c>
      <c r="W2374">
        <v>3000</v>
      </c>
      <c r="X2374">
        <v>1275</v>
      </c>
      <c r="Y2374" s="8">
        <v>0.2982456140350877</v>
      </c>
      <c r="Z2374" t="s">
        <v>2996</v>
      </c>
      <c r="AA2374" t="str">
        <f>IF(AND(SalesCleanTable[[#This Row],[Discount %]]&gt;0, SalesCleanTable[[#This Row],[Profit]]&lt;0), "Discount loss", "Safe")</f>
        <v>Safe</v>
      </c>
      <c r="AB2374" s="25">
        <f>(SalesCleanTable[[#This Row],[Unit Price]] - SalesCleanTable[[#This Row],[Unit Cost]]) / SalesCleanTable[[#This Row],[Unit Price]]</f>
        <v>0.36842105263157893</v>
      </c>
      <c r="AC2374" t="str">
        <f>IF(SalesCleanTable[[#This Row],[Discount %]] &gt; SalesCleanTable[[#This Row],[Max Allowed Discount]], "Discount loss", "Safe")</f>
        <v>Safe</v>
      </c>
      <c r="AD2374" s="4">
        <f>SalesCleanTable[[#This Row],[Unit Price]] - SalesCleanTable[[#This Row],[Unit Cost]]</f>
        <v>350</v>
      </c>
      <c r="AE2374" s="41">
        <f>(SalesCleanTable[[#This Row],[Unit Price]] - SalesCleanTable[[#This Row],[Unit Cost]]) / SalesCleanTable[[#This Row],[Unit Price]]</f>
        <v>0.36842105263157893</v>
      </c>
    </row>
    <row r="2375" spans="1:31">
      <c r="A2375" t="s">
        <v>2561</v>
      </c>
      <c r="B2375" s="6">
        <v>45931</v>
      </c>
      <c r="C2375" t="s">
        <v>53</v>
      </c>
      <c r="D2375" t="s">
        <v>54</v>
      </c>
      <c r="E2375" t="s">
        <v>38</v>
      </c>
      <c r="F2375" t="s">
        <v>55</v>
      </c>
      <c r="G2375" t="s">
        <v>56</v>
      </c>
      <c r="H2375" t="s">
        <v>128</v>
      </c>
      <c r="I2375" t="s">
        <v>129</v>
      </c>
      <c r="J2375" t="s">
        <v>130</v>
      </c>
      <c r="K2375" t="s">
        <v>131</v>
      </c>
      <c r="L2375" t="s">
        <v>183</v>
      </c>
      <c r="M2375" t="s">
        <v>186</v>
      </c>
      <c r="N2375">
        <v>8</v>
      </c>
      <c r="O2375" s="4">
        <v>330</v>
      </c>
      <c r="P2375" s="4">
        <v>550</v>
      </c>
      <c r="Q2375" s="7">
        <v>0.05</v>
      </c>
      <c r="R2375" t="s">
        <v>175</v>
      </c>
      <c r="S2375">
        <v>11</v>
      </c>
      <c r="T2375">
        <v>4400</v>
      </c>
      <c r="U2375">
        <v>220</v>
      </c>
      <c r="V2375">
        <v>4180</v>
      </c>
      <c r="W2375">
        <v>2640</v>
      </c>
      <c r="X2375">
        <v>1540</v>
      </c>
      <c r="Y2375" s="8">
        <v>0.36842105263157893</v>
      </c>
      <c r="Z2375" t="s">
        <v>2996</v>
      </c>
      <c r="AA2375" t="str">
        <f>IF(AND(SalesCleanTable[[#This Row],[Discount %]]&gt;0, SalesCleanTable[[#This Row],[Profit]]&lt;0), "Discount loss", "Safe")</f>
        <v>Safe</v>
      </c>
      <c r="AB2375" s="25">
        <f>(SalesCleanTable[[#This Row],[Unit Price]] - SalesCleanTable[[#This Row],[Unit Cost]]) / SalesCleanTable[[#This Row],[Unit Price]]</f>
        <v>0.4</v>
      </c>
      <c r="AC2375" t="str">
        <f>IF(SalesCleanTable[[#This Row],[Discount %]] &gt; SalesCleanTable[[#This Row],[Max Allowed Discount]], "Discount loss", "Safe")</f>
        <v>Safe</v>
      </c>
      <c r="AD2375" s="4">
        <f>SalesCleanTable[[#This Row],[Unit Price]] - SalesCleanTable[[#This Row],[Unit Cost]]</f>
        <v>220</v>
      </c>
      <c r="AE2375" s="41">
        <f>(SalesCleanTable[[#This Row],[Unit Price]] - SalesCleanTable[[#This Row],[Unit Cost]]) / SalesCleanTable[[#This Row],[Unit Price]]</f>
        <v>0.4</v>
      </c>
    </row>
    <row r="2376" spans="1:31">
      <c r="A2376" t="s">
        <v>2562</v>
      </c>
      <c r="B2376" s="6">
        <v>45797</v>
      </c>
      <c r="C2376" t="s">
        <v>116</v>
      </c>
      <c r="D2376" t="s">
        <v>117</v>
      </c>
      <c r="E2376" t="s">
        <v>109</v>
      </c>
      <c r="F2376" t="s">
        <v>118</v>
      </c>
      <c r="G2376" t="s">
        <v>119</v>
      </c>
      <c r="H2376" t="s">
        <v>139</v>
      </c>
      <c r="I2376" t="s">
        <v>140</v>
      </c>
      <c r="J2376" t="s">
        <v>137</v>
      </c>
      <c r="K2376" t="s">
        <v>138</v>
      </c>
      <c r="L2376" t="s">
        <v>183</v>
      </c>
      <c r="M2376" t="s">
        <v>171</v>
      </c>
      <c r="N2376">
        <v>1</v>
      </c>
      <c r="O2376" s="4">
        <v>2800</v>
      </c>
      <c r="P2376" s="4">
        <v>4200</v>
      </c>
      <c r="Q2376" s="7">
        <v>0.05</v>
      </c>
      <c r="R2376" t="s">
        <v>220</v>
      </c>
      <c r="S2376">
        <v>12</v>
      </c>
      <c r="T2376">
        <v>4200</v>
      </c>
      <c r="U2376">
        <v>210</v>
      </c>
      <c r="V2376">
        <v>3990</v>
      </c>
      <c r="W2376">
        <v>2800</v>
      </c>
      <c r="X2376">
        <v>1190</v>
      </c>
      <c r="Y2376" s="8">
        <v>0.2982456140350877</v>
      </c>
      <c r="Z2376" t="s">
        <v>2995</v>
      </c>
      <c r="AA2376" t="str">
        <f>IF(AND(SalesCleanTable[[#This Row],[Discount %]]&gt;0, SalesCleanTable[[#This Row],[Profit]]&lt;0), "Discount loss", "Safe")</f>
        <v>Safe</v>
      </c>
      <c r="AB2376" s="25">
        <f>(SalesCleanTable[[#This Row],[Unit Price]] - SalesCleanTable[[#This Row],[Unit Cost]]) / SalesCleanTable[[#This Row],[Unit Price]]</f>
        <v>0.33333333333333331</v>
      </c>
      <c r="AC2376" t="str">
        <f>IF(SalesCleanTable[[#This Row],[Discount %]] &gt; SalesCleanTable[[#This Row],[Max Allowed Discount]], "Discount loss", "Safe")</f>
        <v>Safe</v>
      </c>
      <c r="AD2376" s="4">
        <f>SalesCleanTable[[#This Row],[Unit Price]] - SalesCleanTable[[#This Row],[Unit Cost]]</f>
        <v>1400</v>
      </c>
      <c r="AE2376" s="41">
        <f>(SalesCleanTable[[#This Row],[Unit Price]] - SalesCleanTable[[#This Row],[Unit Cost]]) / SalesCleanTable[[#This Row],[Unit Price]]</f>
        <v>0.33333333333333331</v>
      </c>
    </row>
    <row r="2377" spans="1:31">
      <c r="A2377" t="s">
        <v>2563</v>
      </c>
      <c r="B2377" s="6">
        <v>45826</v>
      </c>
      <c r="C2377" t="s">
        <v>41</v>
      </c>
      <c r="D2377" t="s">
        <v>42</v>
      </c>
      <c r="E2377" t="s">
        <v>26</v>
      </c>
      <c r="F2377" t="s">
        <v>43</v>
      </c>
      <c r="G2377" t="s">
        <v>44</v>
      </c>
      <c r="H2377" t="s">
        <v>128</v>
      </c>
      <c r="I2377" t="s">
        <v>129</v>
      </c>
      <c r="J2377" t="s">
        <v>130</v>
      </c>
      <c r="K2377" t="s">
        <v>131</v>
      </c>
      <c r="L2377" t="s">
        <v>166</v>
      </c>
      <c r="M2377" t="s">
        <v>171</v>
      </c>
      <c r="N2377">
        <v>3</v>
      </c>
      <c r="O2377" s="4">
        <v>850</v>
      </c>
      <c r="P2377" s="4">
        <v>1300</v>
      </c>
      <c r="Q2377" s="7">
        <v>0.1</v>
      </c>
      <c r="R2377" t="s">
        <v>194</v>
      </c>
      <c r="S2377">
        <v>6</v>
      </c>
      <c r="T2377">
        <v>3900</v>
      </c>
      <c r="U2377">
        <v>390</v>
      </c>
      <c r="V2377">
        <v>3510</v>
      </c>
      <c r="W2377">
        <v>2550</v>
      </c>
      <c r="X2377">
        <v>960</v>
      </c>
      <c r="Y2377" s="8">
        <v>0.27350427350427353</v>
      </c>
      <c r="Z2377" t="s">
        <v>2995</v>
      </c>
      <c r="AA2377" t="str">
        <f>IF(AND(SalesCleanTable[[#This Row],[Discount %]]&gt;0, SalesCleanTable[[#This Row],[Profit]]&lt;0), "Discount loss", "Safe")</f>
        <v>Safe</v>
      </c>
      <c r="AB2377" s="25">
        <f>(SalesCleanTable[[#This Row],[Unit Price]] - SalesCleanTable[[#This Row],[Unit Cost]]) / SalesCleanTable[[#This Row],[Unit Price]]</f>
        <v>0.34615384615384615</v>
      </c>
      <c r="AC2377" t="str">
        <f>IF(SalesCleanTable[[#This Row],[Discount %]] &gt; SalesCleanTable[[#This Row],[Max Allowed Discount]], "Discount loss", "Safe")</f>
        <v>Safe</v>
      </c>
      <c r="AD2377" s="4">
        <f>SalesCleanTable[[#This Row],[Unit Price]] - SalesCleanTable[[#This Row],[Unit Cost]]</f>
        <v>450</v>
      </c>
      <c r="AE2377" s="41">
        <f>(SalesCleanTable[[#This Row],[Unit Price]] - SalesCleanTable[[#This Row],[Unit Cost]]) / SalesCleanTable[[#This Row],[Unit Price]]</f>
        <v>0.34615384615384615</v>
      </c>
    </row>
    <row r="2378" spans="1:31">
      <c r="A2378" t="s">
        <v>2564</v>
      </c>
      <c r="B2378" s="6">
        <v>45929</v>
      </c>
      <c r="C2378" t="s">
        <v>41</v>
      </c>
      <c r="D2378" t="s">
        <v>42</v>
      </c>
      <c r="E2378" t="s">
        <v>26</v>
      </c>
      <c r="F2378" t="s">
        <v>43</v>
      </c>
      <c r="G2378" t="s">
        <v>44</v>
      </c>
      <c r="H2378" t="s">
        <v>149</v>
      </c>
      <c r="I2378" t="s">
        <v>150</v>
      </c>
      <c r="J2378" t="s">
        <v>151</v>
      </c>
      <c r="K2378" t="s">
        <v>152</v>
      </c>
      <c r="L2378" t="s">
        <v>166</v>
      </c>
      <c r="M2378" t="s">
        <v>186</v>
      </c>
      <c r="N2378">
        <v>5</v>
      </c>
      <c r="O2378" s="4">
        <v>850</v>
      </c>
      <c r="P2378" s="4">
        <v>1300</v>
      </c>
      <c r="Q2378" s="7">
        <v>0.1</v>
      </c>
      <c r="R2378" t="s">
        <v>197</v>
      </c>
      <c r="S2378">
        <v>10</v>
      </c>
      <c r="T2378">
        <v>6500</v>
      </c>
      <c r="U2378">
        <v>650</v>
      </c>
      <c r="V2378">
        <v>5850</v>
      </c>
      <c r="W2378">
        <v>4250</v>
      </c>
      <c r="X2378">
        <v>1600</v>
      </c>
      <c r="Y2378" s="8">
        <v>0.27350427350427353</v>
      </c>
      <c r="Z2378" t="s">
        <v>2995</v>
      </c>
      <c r="AA2378" t="str">
        <f>IF(AND(SalesCleanTable[[#This Row],[Discount %]]&gt;0, SalesCleanTable[[#This Row],[Profit]]&lt;0), "Discount loss", "Safe")</f>
        <v>Safe</v>
      </c>
      <c r="AB2378" s="25">
        <f>(SalesCleanTable[[#This Row],[Unit Price]] - SalesCleanTable[[#This Row],[Unit Cost]]) / SalesCleanTable[[#This Row],[Unit Price]]</f>
        <v>0.34615384615384615</v>
      </c>
      <c r="AC2378" t="str">
        <f>IF(SalesCleanTable[[#This Row],[Discount %]] &gt; SalesCleanTable[[#This Row],[Max Allowed Discount]], "Discount loss", "Safe")</f>
        <v>Safe</v>
      </c>
      <c r="AD2378" s="4">
        <f>SalesCleanTable[[#This Row],[Unit Price]] - SalesCleanTable[[#This Row],[Unit Cost]]</f>
        <v>450</v>
      </c>
      <c r="AE2378" s="41">
        <f>(SalesCleanTable[[#This Row],[Unit Price]] - SalesCleanTable[[#This Row],[Unit Cost]]) / SalesCleanTable[[#This Row],[Unit Price]]</f>
        <v>0.34615384615384615</v>
      </c>
    </row>
    <row r="2379" spans="1:31">
      <c r="A2379" t="s">
        <v>2565</v>
      </c>
      <c r="B2379" s="6">
        <v>45847</v>
      </c>
      <c r="C2379" t="s">
        <v>36</v>
      </c>
      <c r="D2379" t="s">
        <v>37</v>
      </c>
      <c r="E2379" t="s">
        <v>38</v>
      </c>
      <c r="F2379" t="s">
        <v>39</v>
      </c>
      <c r="G2379" t="s">
        <v>40</v>
      </c>
      <c r="H2379" t="s">
        <v>139</v>
      </c>
      <c r="I2379" t="s">
        <v>140</v>
      </c>
      <c r="J2379" t="s">
        <v>137</v>
      </c>
      <c r="K2379" t="s">
        <v>138</v>
      </c>
      <c r="L2379" t="s">
        <v>166</v>
      </c>
      <c r="M2379" t="s">
        <v>177</v>
      </c>
      <c r="N2379">
        <v>3</v>
      </c>
      <c r="O2379" s="4">
        <v>1650</v>
      </c>
      <c r="P2379" s="4">
        <v>2200</v>
      </c>
      <c r="Q2379" s="7">
        <v>0.05</v>
      </c>
      <c r="R2379" t="s">
        <v>175</v>
      </c>
      <c r="S2379">
        <v>2</v>
      </c>
      <c r="T2379">
        <v>6600</v>
      </c>
      <c r="U2379">
        <v>330</v>
      </c>
      <c r="V2379">
        <v>6270</v>
      </c>
      <c r="W2379">
        <v>4950</v>
      </c>
      <c r="X2379">
        <v>1320</v>
      </c>
      <c r="Y2379" s="8">
        <v>0.21052631578947367</v>
      </c>
      <c r="Z2379" t="s">
        <v>2995</v>
      </c>
      <c r="AA2379" t="str">
        <f>IF(AND(SalesCleanTable[[#This Row],[Discount %]]&gt;0, SalesCleanTable[[#This Row],[Profit]]&lt;0), "Discount loss", "Safe")</f>
        <v>Safe</v>
      </c>
      <c r="AB2379" s="25">
        <f>(SalesCleanTable[[#This Row],[Unit Price]] - SalesCleanTable[[#This Row],[Unit Cost]]) / SalesCleanTable[[#This Row],[Unit Price]]</f>
        <v>0.25</v>
      </c>
      <c r="AC2379" t="str">
        <f>IF(SalesCleanTable[[#This Row],[Discount %]] &gt; SalesCleanTable[[#This Row],[Max Allowed Discount]], "Discount loss", "Safe")</f>
        <v>Safe</v>
      </c>
      <c r="AD2379" s="4">
        <f>SalesCleanTable[[#This Row],[Unit Price]] - SalesCleanTable[[#This Row],[Unit Cost]]</f>
        <v>550</v>
      </c>
      <c r="AE2379" s="41">
        <f>(SalesCleanTable[[#This Row],[Unit Price]] - SalesCleanTable[[#This Row],[Unit Cost]]) / SalesCleanTable[[#This Row],[Unit Price]]</f>
        <v>0.25</v>
      </c>
    </row>
    <row r="2380" spans="1:31">
      <c r="A2380" t="s">
        <v>2566</v>
      </c>
      <c r="B2380" s="6">
        <v>45729</v>
      </c>
      <c r="C2380" t="s">
        <v>45</v>
      </c>
      <c r="D2380" t="s">
        <v>46</v>
      </c>
      <c r="E2380" t="s">
        <v>38</v>
      </c>
      <c r="F2380" t="s">
        <v>47</v>
      </c>
      <c r="G2380" t="s">
        <v>48</v>
      </c>
      <c r="H2380" t="s">
        <v>135</v>
      </c>
      <c r="I2380" t="s">
        <v>136</v>
      </c>
      <c r="J2380" t="s">
        <v>137</v>
      </c>
      <c r="K2380" t="s">
        <v>138</v>
      </c>
      <c r="L2380" t="s">
        <v>183</v>
      </c>
      <c r="M2380" t="s">
        <v>177</v>
      </c>
      <c r="N2380">
        <v>-1</v>
      </c>
      <c r="O2380" s="4">
        <v>230</v>
      </c>
      <c r="P2380" s="4">
        <v>400</v>
      </c>
      <c r="Q2380" s="7">
        <v>0</v>
      </c>
      <c r="R2380" t="s">
        <v>175</v>
      </c>
      <c r="S2380">
        <v>7</v>
      </c>
      <c r="T2380">
        <v>-400</v>
      </c>
      <c r="U2380">
        <v>0</v>
      </c>
      <c r="V2380">
        <v>-400</v>
      </c>
      <c r="W2380">
        <v>-230</v>
      </c>
      <c r="X2380">
        <v>-170</v>
      </c>
      <c r="Y2380" s="8">
        <v>0.42499999999999999</v>
      </c>
      <c r="Z2380" t="s">
        <v>2995</v>
      </c>
      <c r="AA2380" t="str">
        <f>IF(AND(SalesCleanTable[[#This Row],[Discount %]]&gt;0, SalesCleanTable[[#This Row],[Profit]]&lt;0), "Discount loss", "Safe")</f>
        <v>Safe</v>
      </c>
      <c r="AB2380" s="25">
        <f>(SalesCleanTable[[#This Row],[Unit Price]] - SalesCleanTable[[#This Row],[Unit Cost]]) / SalesCleanTable[[#This Row],[Unit Price]]</f>
        <v>0.42499999999999999</v>
      </c>
      <c r="AC2380" t="str">
        <f>IF(SalesCleanTable[[#This Row],[Discount %]] &gt; SalesCleanTable[[#This Row],[Max Allowed Discount]], "Discount loss", "Safe")</f>
        <v>Safe</v>
      </c>
      <c r="AD2380" s="4">
        <f>SalesCleanTable[[#This Row],[Unit Price]] - SalesCleanTable[[#This Row],[Unit Cost]]</f>
        <v>170</v>
      </c>
      <c r="AE2380" s="41">
        <f>(SalesCleanTable[[#This Row],[Unit Price]] - SalesCleanTable[[#This Row],[Unit Cost]]) / SalesCleanTable[[#This Row],[Unit Price]]</f>
        <v>0.42499999999999999</v>
      </c>
    </row>
    <row r="2381" spans="1:31">
      <c r="A2381" t="s">
        <v>2567</v>
      </c>
      <c r="B2381" s="6">
        <v>45838</v>
      </c>
      <c r="C2381" t="s">
        <v>95</v>
      </c>
      <c r="D2381" t="s">
        <v>96</v>
      </c>
      <c r="E2381" t="s">
        <v>92</v>
      </c>
      <c r="F2381" t="s">
        <v>97</v>
      </c>
      <c r="G2381" t="s">
        <v>98</v>
      </c>
      <c r="H2381" t="s">
        <v>128</v>
      </c>
      <c r="I2381" t="s">
        <v>129</v>
      </c>
      <c r="J2381" t="s">
        <v>130</v>
      </c>
      <c r="K2381" t="s">
        <v>131</v>
      </c>
      <c r="L2381" t="s">
        <v>166</v>
      </c>
      <c r="M2381" t="s">
        <v>177</v>
      </c>
      <c r="N2381">
        <v>3</v>
      </c>
      <c r="O2381" s="4">
        <v>18000</v>
      </c>
      <c r="P2381" s="4">
        <v>24500</v>
      </c>
      <c r="Q2381" s="7">
        <v>0</v>
      </c>
      <c r="R2381" t="s">
        <v>181</v>
      </c>
      <c r="S2381">
        <v>2</v>
      </c>
      <c r="T2381">
        <v>73500</v>
      </c>
      <c r="U2381">
        <v>0</v>
      </c>
      <c r="V2381">
        <v>73500</v>
      </c>
      <c r="W2381">
        <v>54000</v>
      </c>
      <c r="X2381">
        <v>19500</v>
      </c>
      <c r="Y2381" s="8">
        <v>0.26530612244897961</v>
      </c>
      <c r="Z2381" t="s">
        <v>2995</v>
      </c>
      <c r="AA2381" t="str">
        <f>IF(AND(SalesCleanTable[[#This Row],[Discount %]]&gt;0, SalesCleanTable[[#This Row],[Profit]]&lt;0), "Discount loss", "Safe")</f>
        <v>Safe</v>
      </c>
      <c r="AB2381" s="25">
        <f>(SalesCleanTable[[#This Row],[Unit Price]] - SalesCleanTable[[#This Row],[Unit Cost]]) / SalesCleanTable[[#This Row],[Unit Price]]</f>
        <v>0.26530612244897961</v>
      </c>
      <c r="AC2381" t="str">
        <f>IF(SalesCleanTable[[#This Row],[Discount %]] &gt; SalesCleanTable[[#This Row],[Max Allowed Discount]], "Discount loss", "Safe")</f>
        <v>Safe</v>
      </c>
      <c r="AD2381" s="4">
        <f>SalesCleanTable[[#This Row],[Unit Price]] - SalesCleanTable[[#This Row],[Unit Cost]]</f>
        <v>6500</v>
      </c>
      <c r="AE2381" s="41">
        <f>(SalesCleanTable[[#This Row],[Unit Price]] - SalesCleanTable[[#This Row],[Unit Cost]]) / SalesCleanTable[[#This Row],[Unit Price]]</f>
        <v>0.26530612244897961</v>
      </c>
    </row>
    <row r="2382" spans="1:31">
      <c r="A2382" t="s">
        <v>2568</v>
      </c>
      <c r="B2382" s="6">
        <v>46005</v>
      </c>
      <c r="C2382" t="s">
        <v>82</v>
      </c>
      <c r="D2382" t="s">
        <v>83</v>
      </c>
      <c r="E2382" t="s">
        <v>75</v>
      </c>
      <c r="F2382" t="s">
        <v>84</v>
      </c>
      <c r="G2382" t="s">
        <v>85</v>
      </c>
      <c r="H2382" t="s">
        <v>153</v>
      </c>
      <c r="I2382" t="s">
        <v>154</v>
      </c>
      <c r="J2382" t="s">
        <v>155</v>
      </c>
      <c r="K2382" t="s">
        <v>131</v>
      </c>
      <c r="L2382" t="s">
        <v>166</v>
      </c>
      <c r="M2382" t="s">
        <v>177</v>
      </c>
      <c r="N2382">
        <v>2</v>
      </c>
      <c r="O2382" s="4">
        <v>600</v>
      </c>
      <c r="P2382" s="4">
        <v>950</v>
      </c>
      <c r="Q2382" s="7">
        <v>0.15</v>
      </c>
      <c r="R2382" t="s">
        <v>204</v>
      </c>
      <c r="S2382">
        <v>8</v>
      </c>
      <c r="T2382">
        <v>1900</v>
      </c>
      <c r="U2382">
        <v>285</v>
      </c>
      <c r="V2382">
        <v>1615</v>
      </c>
      <c r="W2382">
        <v>1200</v>
      </c>
      <c r="X2382">
        <v>415</v>
      </c>
      <c r="Y2382" s="8">
        <v>0.25696594427244585</v>
      </c>
      <c r="Z2382" t="s">
        <v>2996</v>
      </c>
      <c r="AA2382" t="str">
        <f>IF(AND(SalesCleanTable[[#This Row],[Discount %]]&gt;0, SalesCleanTable[[#This Row],[Profit]]&lt;0), "Discount loss", "Safe")</f>
        <v>Safe</v>
      </c>
      <c r="AB2382" s="25">
        <f>(SalesCleanTable[[#This Row],[Unit Price]] - SalesCleanTable[[#This Row],[Unit Cost]]) / SalesCleanTable[[#This Row],[Unit Price]]</f>
        <v>0.36842105263157893</v>
      </c>
      <c r="AC2382" t="str">
        <f>IF(SalesCleanTable[[#This Row],[Discount %]] &gt; SalesCleanTable[[#This Row],[Max Allowed Discount]], "Discount loss", "Safe")</f>
        <v>Safe</v>
      </c>
      <c r="AD2382" s="4">
        <f>SalesCleanTable[[#This Row],[Unit Price]] - SalesCleanTable[[#This Row],[Unit Cost]]</f>
        <v>350</v>
      </c>
      <c r="AE2382" s="41">
        <f>(SalesCleanTable[[#This Row],[Unit Price]] - SalesCleanTable[[#This Row],[Unit Cost]]) / SalesCleanTable[[#This Row],[Unit Price]]</f>
        <v>0.36842105263157893</v>
      </c>
    </row>
    <row r="2383" spans="1:31">
      <c r="A2383" t="s">
        <v>2569</v>
      </c>
      <c r="B2383" s="6">
        <v>45849</v>
      </c>
      <c r="C2383" t="s">
        <v>32</v>
      </c>
      <c r="D2383" t="s">
        <v>33</v>
      </c>
      <c r="E2383" t="s">
        <v>26</v>
      </c>
      <c r="F2383" t="s">
        <v>34</v>
      </c>
      <c r="G2383" t="s">
        <v>35</v>
      </c>
      <c r="H2383" t="s">
        <v>135</v>
      </c>
      <c r="I2383" t="s">
        <v>136</v>
      </c>
      <c r="J2383" t="s">
        <v>137</v>
      </c>
      <c r="K2383" t="s">
        <v>138</v>
      </c>
      <c r="L2383" t="s">
        <v>166</v>
      </c>
      <c r="M2383" t="s">
        <v>186</v>
      </c>
      <c r="N2383">
        <v>1</v>
      </c>
      <c r="O2383" s="4">
        <v>7800</v>
      </c>
      <c r="P2383" s="4">
        <v>9800</v>
      </c>
      <c r="Q2383" s="7">
        <v>0</v>
      </c>
      <c r="R2383" t="s">
        <v>194</v>
      </c>
      <c r="S2383">
        <v>1</v>
      </c>
      <c r="T2383">
        <v>9800</v>
      </c>
      <c r="U2383">
        <v>0</v>
      </c>
      <c r="V2383">
        <v>9800</v>
      </c>
      <c r="W2383">
        <v>7800</v>
      </c>
      <c r="X2383">
        <v>2000</v>
      </c>
      <c r="Y2383" s="8">
        <v>0.20408163265306123</v>
      </c>
      <c r="Z2383" t="s">
        <v>2995</v>
      </c>
      <c r="AA2383" t="str">
        <f>IF(AND(SalesCleanTable[[#This Row],[Discount %]]&gt;0, SalesCleanTable[[#This Row],[Profit]]&lt;0), "Discount loss", "Safe")</f>
        <v>Safe</v>
      </c>
      <c r="AB2383" s="25">
        <f>(SalesCleanTable[[#This Row],[Unit Price]] - SalesCleanTable[[#This Row],[Unit Cost]]) / SalesCleanTable[[#This Row],[Unit Price]]</f>
        <v>0.20408163265306123</v>
      </c>
      <c r="AC2383" t="str">
        <f>IF(SalesCleanTable[[#This Row],[Discount %]] &gt; SalesCleanTable[[#This Row],[Max Allowed Discount]], "Discount loss", "Safe")</f>
        <v>Safe</v>
      </c>
      <c r="AD2383" s="4">
        <f>SalesCleanTable[[#This Row],[Unit Price]] - SalesCleanTable[[#This Row],[Unit Cost]]</f>
        <v>2000</v>
      </c>
      <c r="AE2383" s="41">
        <f>(SalesCleanTable[[#This Row],[Unit Price]] - SalesCleanTable[[#This Row],[Unit Cost]]) / SalesCleanTable[[#This Row],[Unit Price]]</f>
        <v>0.20408163265306123</v>
      </c>
    </row>
    <row r="2384" spans="1:31">
      <c r="A2384" t="s">
        <v>2570</v>
      </c>
      <c r="B2384" s="6">
        <v>45793</v>
      </c>
      <c r="C2384" t="s">
        <v>82</v>
      </c>
      <c r="D2384" t="s">
        <v>83</v>
      </c>
      <c r="E2384" t="s">
        <v>75</v>
      </c>
      <c r="F2384" t="s">
        <v>84</v>
      </c>
      <c r="G2384" t="s">
        <v>85</v>
      </c>
      <c r="H2384" t="s">
        <v>135</v>
      </c>
      <c r="I2384" t="s">
        <v>136</v>
      </c>
      <c r="J2384" t="s">
        <v>137</v>
      </c>
      <c r="K2384" t="s">
        <v>138</v>
      </c>
      <c r="L2384" t="s">
        <v>183</v>
      </c>
      <c r="M2384" t="s">
        <v>171</v>
      </c>
      <c r="N2384">
        <v>1</v>
      </c>
      <c r="O2384" s="4">
        <v>600</v>
      </c>
      <c r="P2384" s="4">
        <v>950</v>
      </c>
      <c r="Q2384" s="7">
        <v>0.15</v>
      </c>
      <c r="R2384" t="s">
        <v>208</v>
      </c>
      <c r="S2384">
        <v>10</v>
      </c>
      <c r="T2384">
        <v>950</v>
      </c>
      <c r="U2384">
        <v>142.5</v>
      </c>
      <c r="V2384">
        <v>807.5</v>
      </c>
      <c r="W2384">
        <v>600</v>
      </c>
      <c r="X2384">
        <v>207.5</v>
      </c>
      <c r="Y2384" s="8">
        <v>0.25696594427244585</v>
      </c>
      <c r="Z2384" t="s">
        <v>2996</v>
      </c>
      <c r="AA2384" t="str">
        <f>IF(AND(SalesCleanTable[[#This Row],[Discount %]]&gt;0, SalesCleanTable[[#This Row],[Profit]]&lt;0), "Discount loss", "Safe")</f>
        <v>Safe</v>
      </c>
      <c r="AB2384" s="25">
        <f>(SalesCleanTable[[#This Row],[Unit Price]] - SalesCleanTable[[#This Row],[Unit Cost]]) / SalesCleanTable[[#This Row],[Unit Price]]</f>
        <v>0.36842105263157893</v>
      </c>
      <c r="AC2384" t="str">
        <f>IF(SalesCleanTable[[#This Row],[Discount %]] &gt; SalesCleanTable[[#This Row],[Max Allowed Discount]], "Discount loss", "Safe")</f>
        <v>Safe</v>
      </c>
      <c r="AD2384" s="4">
        <f>SalesCleanTable[[#This Row],[Unit Price]] - SalesCleanTable[[#This Row],[Unit Cost]]</f>
        <v>350</v>
      </c>
      <c r="AE2384" s="41">
        <f>(SalesCleanTable[[#This Row],[Unit Price]] - SalesCleanTable[[#This Row],[Unit Cost]]) / SalesCleanTable[[#This Row],[Unit Price]]</f>
        <v>0.36842105263157893</v>
      </c>
    </row>
    <row r="2385" spans="1:31">
      <c r="A2385" t="s">
        <v>2571</v>
      </c>
      <c r="B2385" s="6">
        <v>45893</v>
      </c>
      <c r="C2385" t="s">
        <v>32</v>
      </c>
      <c r="D2385" t="s">
        <v>33</v>
      </c>
      <c r="E2385" t="s">
        <v>26</v>
      </c>
      <c r="F2385" t="s">
        <v>34</v>
      </c>
      <c r="G2385" t="s">
        <v>35</v>
      </c>
      <c r="H2385" t="s">
        <v>153</v>
      </c>
      <c r="I2385" t="s">
        <v>154</v>
      </c>
      <c r="J2385" t="s">
        <v>155</v>
      </c>
      <c r="K2385" t="s">
        <v>131</v>
      </c>
      <c r="L2385" t="s">
        <v>166</v>
      </c>
      <c r="M2385" t="s">
        <v>171</v>
      </c>
      <c r="N2385">
        <v>1</v>
      </c>
      <c r="O2385" s="4">
        <v>7800</v>
      </c>
      <c r="P2385" s="4">
        <v>9800</v>
      </c>
      <c r="Q2385" s="7">
        <v>0.1</v>
      </c>
      <c r="R2385" t="s">
        <v>194</v>
      </c>
      <c r="S2385">
        <v>7</v>
      </c>
      <c r="T2385">
        <v>9800</v>
      </c>
      <c r="U2385">
        <v>980</v>
      </c>
      <c r="V2385">
        <v>8820</v>
      </c>
      <c r="W2385">
        <v>7800</v>
      </c>
      <c r="X2385">
        <v>1020</v>
      </c>
      <c r="Y2385" s="8">
        <v>0.11564625850340136</v>
      </c>
      <c r="Z2385" t="s">
        <v>2995</v>
      </c>
      <c r="AA2385" t="str">
        <f>IF(AND(SalesCleanTable[[#This Row],[Discount %]]&gt;0, SalesCleanTable[[#This Row],[Profit]]&lt;0), "Discount loss", "Safe")</f>
        <v>Safe</v>
      </c>
      <c r="AB2385" s="25">
        <f>(SalesCleanTable[[#This Row],[Unit Price]] - SalesCleanTable[[#This Row],[Unit Cost]]) / SalesCleanTable[[#This Row],[Unit Price]]</f>
        <v>0.20408163265306123</v>
      </c>
      <c r="AC2385" t="str">
        <f>IF(SalesCleanTable[[#This Row],[Discount %]] &gt; SalesCleanTable[[#This Row],[Max Allowed Discount]], "Discount loss", "Safe")</f>
        <v>Safe</v>
      </c>
      <c r="AD2385" s="4">
        <f>SalesCleanTable[[#This Row],[Unit Price]] - SalesCleanTable[[#This Row],[Unit Cost]]</f>
        <v>2000</v>
      </c>
      <c r="AE2385" s="41">
        <f>(SalesCleanTable[[#This Row],[Unit Price]] - SalesCleanTable[[#This Row],[Unit Cost]]) / SalesCleanTable[[#This Row],[Unit Price]]</f>
        <v>0.20408163265306123</v>
      </c>
    </row>
    <row r="2386" spans="1:31">
      <c r="A2386" t="s">
        <v>2572</v>
      </c>
      <c r="B2386" s="6">
        <v>45811</v>
      </c>
      <c r="C2386" t="s">
        <v>103</v>
      </c>
      <c r="D2386" t="s">
        <v>104</v>
      </c>
      <c r="E2386" t="s">
        <v>92</v>
      </c>
      <c r="F2386" t="s">
        <v>105</v>
      </c>
      <c r="G2386" t="s">
        <v>106</v>
      </c>
      <c r="H2386" t="s">
        <v>135</v>
      </c>
      <c r="I2386" t="s">
        <v>136</v>
      </c>
      <c r="J2386" t="s">
        <v>137</v>
      </c>
      <c r="K2386" t="s">
        <v>138</v>
      </c>
      <c r="L2386" t="s">
        <v>183</v>
      </c>
      <c r="M2386" t="s">
        <v>171</v>
      </c>
      <c r="N2386">
        <v>1</v>
      </c>
      <c r="O2386" s="4">
        <v>1500</v>
      </c>
      <c r="P2386" s="4">
        <v>2500</v>
      </c>
      <c r="Q2386" s="7">
        <v>0.05</v>
      </c>
      <c r="R2386" t="s">
        <v>181</v>
      </c>
      <c r="S2386">
        <v>6</v>
      </c>
      <c r="T2386">
        <v>2500</v>
      </c>
      <c r="U2386">
        <v>125</v>
      </c>
      <c r="V2386">
        <v>2375</v>
      </c>
      <c r="W2386">
        <v>1500</v>
      </c>
      <c r="X2386">
        <v>875</v>
      </c>
      <c r="Y2386" s="8">
        <v>0.36842105263157893</v>
      </c>
      <c r="Z2386" t="s">
        <v>2996</v>
      </c>
      <c r="AA2386" t="str">
        <f>IF(AND(SalesCleanTable[[#This Row],[Discount %]]&gt;0, SalesCleanTable[[#This Row],[Profit]]&lt;0), "Discount loss", "Safe")</f>
        <v>Safe</v>
      </c>
      <c r="AB2386" s="25">
        <f>(SalesCleanTable[[#This Row],[Unit Price]] - SalesCleanTable[[#This Row],[Unit Cost]]) / SalesCleanTable[[#This Row],[Unit Price]]</f>
        <v>0.4</v>
      </c>
      <c r="AC2386" t="str">
        <f>IF(SalesCleanTable[[#This Row],[Discount %]] &gt; SalesCleanTable[[#This Row],[Max Allowed Discount]], "Discount loss", "Safe")</f>
        <v>Safe</v>
      </c>
      <c r="AD2386" s="4">
        <f>SalesCleanTable[[#This Row],[Unit Price]] - SalesCleanTable[[#This Row],[Unit Cost]]</f>
        <v>1000</v>
      </c>
      <c r="AE2386" s="41">
        <f>(SalesCleanTable[[#This Row],[Unit Price]] - SalesCleanTable[[#This Row],[Unit Cost]]) / SalesCleanTable[[#This Row],[Unit Price]]</f>
        <v>0.4</v>
      </c>
    </row>
    <row r="2387" spans="1:31">
      <c r="A2387" t="s">
        <v>2573</v>
      </c>
      <c r="B2387" s="6">
        <v>45911</v>
      </c>
      <c r="C2387" t="s">
        <v>45</v>
      </c>
      <c r="D2387" t="s">
        <v>46</v>
      </c>
      <c r="E2387" t="s">
        <v>38</v>
      </c>
      <c r="F2387" t="s">
        <v>47</v>
      </c>
      <c r="G2387" t="s">
        <v>48</v>
      </c>
      <c r="H2387" t="s">
        <v>141</v>
      </c>
      <c r="I2387" t="s">
        <v>142</v>
      </c>
      <c r="J2387" t="s">
        <v>143</v>
      </c>
      <c r="K2387" t="s">
        <v>144</v>
      </c>
      <c r="L2387" t="s">
        <v>166</v>
      </c>
      <c r="M2387" t="s">
        <v>171</v>
      </c>
      <c r="N2387">
        <v>2</v>
      </c>
      <c r="O2387" s="4">
        <v>230</v>
      </c>
      <c r="P2387" s="4">
        <v>400</v>
      </c>
      <c r="Q2387" s="7">
        <v>0.05</v>
      </c>
      <c r="R2387" t="s">
        <v>178</v>
      </c>
      <c r="S2387">
        <v>13</v>
      </c>
      <c r="T2387">
        <v>800</v>
      </c>
      <c r="U2387">
        <v>40</v>
      </c>
      <c r="V2387">
        <v>760</v>
      </c>
      <c r="W2387">
        <v>460</v>
      </c>
      <c r="X2387">
        <v>300</v>
      </c>
      <c r="Y2387" s="8">
        <v>0.39473684210526316</v>
      </c>
      <c r="Z2387" t="s">
        <v>2995</v>
      </c>
      <c r="AA2387" t="str">
        <f>IF(AND(SalesCleanTable[[#This Row],[Discount %]]&gt;0, SalesCleanTable[[#This Row],[Profit]]&lt;0), "Discount loss", "Safe")</f>
        <v>Safe</v>
      </c>
      <c r="AB2387" s="25">
        <f>(SalesCleanTable[[#This Row],[Unit Price]] - SalesCleanTable[[#This Row],[Unit Cost]]) / SalesCleanTable[[#This Row],[Unit Price]]</f>
        <v>0.42499999999999999</v>
      </c>
      <c r="AC2387" t="str">
        <f>IF(SalesCleanTable[[#This Row],[Discount %]] &gt; SalesCleanTable[[#This Row],[Max Allowed Discount]], "Discount loss", "Safe")</f>
        <v>Safe</v>
      </c>
      <c r="AD2387" s="4">
        <f>SalesCleanTable[[#This Row],[Unit Price]] - SalesCleanTable[[#This Row],[Unit Cost]]</f>
        <v>170</v>
      </c>
      <c r="AE2387" s="41">
        <f>(SalesCleanTable[[#This Row],[Unit Price]] - SalesCleanTable[[#This Row],[Unit Cost]]) / SalesCleanTable[[#This Row],[Unit Price]]</f>
        <v>0.42499999999999999</v>
      </c>
    </row>
    <row r="2388" spans="1:31">
      <c r="A2388" t="s">
        <v>2574</v>
      </c>
      <c r="B2388" s="6">
        <v>45782</v>
      </c>
      <c r="C2388" t="s">
        <v>120</v>
      </c>
      <c r="D2388" t="s">
        <v>121</v>
      </c>
      <c r="E2388" t="s">
        <v>109</v>
      </c>
      <c r="F2388" t="s">
        <v>93</v>
      </c>
      <c r="G2388" t="s">
        <v>122</v>
      </c>
      <c r="H2388" t="s">
        <v>145</v>
      </c>
      <c r="I2388" t="s">
        <v>146</v>
      </c>
      <c r="J2388" t="s">
        <v>147</v>
      </c>
      <c r="K2388" t="s">
        <v>148</v>
      </c>
      <c r="L2388" t="s">
        <v>166</v>
      </c>
      <c r="M2388" t="s">
        <v>167</v>
      </c>
      <c r="N2388">
        <v>5</v>
      </c>
      <c r="O2388" s="4">
        <v>1700</v>
      </c>
      <c r="P2388" s="4">
        <v>2800</v>
      </c>
      <c r="Q2388" s="7">
        <v>0.2</v>
      </c>
      <c r="R2388" t="s">
        <v>235</v>
      </c>
      <c r="S2388">
        <v>13</v>
      </c>
      <c r="T2388">
        <v>14000</v>
      </c>
      <c r="U2388">
        <v>2800</v>
      </c>
      <c r="V2388">
        <v>11200</v>
      </c>
      <c r="W2388">
        <v>8500</v>
      </c>
      <c r="X2388">
        <v>2700</v>
      </c>
      <c r="Y2388" s="8">
        <v>0.24107142857142858</v>
      </c>
      <c r="Z2388" t="s">
        <v>2997</v>
      </c>
      <c r="AA2388" t="str">
        <f>IF(AND(SalesCleanTable[[#This Row],[Discount %]]&gt;0, SalesCleanTable[[#This Row],[Profit]]&lt;0), "Discount loss", "Safe")</f>
        <v>Safe</v>
      </c>
      <c r="AB2388" s="25">
        <f>(SalesCleanTable[[#This Row],[Unit Price]] - SalesCleanTable[[#This Row],[Unit Cost]]) / SalesCleanTable[[#This Row],[Unit Price]]</f>
        <v>0.39285714285714285</v>
      </c>
      <c r="AC2388" t="str">
        <f>IF(SalesCleanTable[[#This Row],[Discount %]] &gt; SalesCleanTable[[#This Row],[Max Allowed Discount]], "Discount loss", "Safe")</f>
        <v>Safe</v>
      </c>
      <c r="AD2388" s="4">
        <f>SalesCleanTable[[#This Row],[Unit Price]] - SalesCleanTable[[#This Row],[Unit Cost]]</f>
        <v>1100</v>
      </c>
      <c r="AE2388" s="41">
        <f>(SalesCleanTable[[#This Row],[Unit Price]] - SalesCleanTable[[#This Row],[Unit Cost]]) / SalesCleanTable[[#This Row],[Unit Price]]</f>
        <v>0.39285714285714285</v>
      </c>
    </row>
    <row r="2389" spans="1:31">
      <c r="A2389" t="s">
        <v>2575</v>
      </c>
      <c r="B2389" s="6">
        <v>45946</v>
      </c>
      <c r="C2389" t="s">
        <v>36</v>
      </c>
      <c r="D2389" t="s">
        <v>37</v>
      </c>
      <c r="E2389" t="s">
        <v>38</v>
      </c>
      <c r="F2389" t="s">
        <v>39</v>
      </c>
      <c r="G2389" t="s">
        <v>40</v>
      </c>
      <c r="H2389" t="s">
        <v>128</v>
      </c>
      <c r="I2389" t="s">
        <v>129</v>
      </c>
      <c r="J2389" t="s">
        <v>130</v>
      </c>
      <c r="K2389" t="s">
        <v>131</v>
      </c>
      <c r="L2389" t="s">
        <v>166</v>
      </c>
      <c r="M2389" t="s">
        <v>171</v>
      </c>
      <c r="N2389">
        <v>2</v>
      </c>
      <c r="O2389" s="4">
        <v>1650</v>
      </c>
      <c r="P2389" s="4">
        <v>2200</v>
      </c>
      <c r="Q2389" s="7">
        <v>0.05</v>
      </c>
      <c r="R2389" t="s">
        <v>178</v>
      </c>
      <c r="S2389">
        <v>12</v>
      </c>
      <c r="T2389">
        <v>4400</v>
      </c>
      <c r="U2389">
        <v>220</v>
      </c>
      <c r="V2389">
        <v>4180</v>
      </c>
      <c r="W2389">
        <v>3300</v>
      </c>
      <c r="X2389">
        <v>880</v>
      </c>
      <c r="Y2389" s="8">
        <v>0.21052631578947367</v>
      </c>
      <c r="Z2389" t="s">
        <v>2995</v>
      </c>
      <c r="AA2389" t="str">
        <f>IF(AND(SalesCleanTable[[#This Row],[Discount %]]&gt;0, SalesCleanTable[[#This Row],[Profit]]&lt;0), "Discount loss", "Safe")</f>
        <v>Safe</v>
      </c>
      <c r="AB2389" s="25">
        <f>(SalesCleanTable[[#This Row],[Unit Price]] - SalesCleanTable[[#This Row],[Unit Cost]]) / SalesCleanTable[[#This Row],[Unit Price]]</f>
        <v>0.25</v>
      </c>
      <c r="AC2389" t="str">
        <f>IF(SalesCleanTable[[#This Row],[Discount %]] &gt; SalesCleanTable[[#This Row],[Max Allowed Discount]], "Discount loss", "Safe")</f>
        <v>Safe</v>
      </c>
      <c r="AD2389" s="4">
        <f>SalesCleanTable[[#This Row],[Unit Price]] - SalesCleanTable[[#This Row],[Unit Cost]]</f>
        <v>550</v>
      </c>
      <c r="AE2389" s="41">
        <f>(SalesCleanTable[[#This Row],[Unit Price]] - SalesCleanTable[[#This Row],[Unit Cost]]) / SalesCleanTable[[#This Row],[Unit Price]]</f>
        <v>0.25</v>
      </c>
    </row>
    <row r="2390" spans="1:31">
      <c r="A2390" t="s">
        <v>2576</v>
      </c>
      <c r="B2390" s="6">
        <v>46015</v>
      </c>
      <c r="C2390" t="s">
        <v>53</v>
      </c>
      <c r="D2390" t="s">
        <v>54</v>
      </c>
      <c r="E2390" t="s">
        <v>38</v>
      </c>
      <c r="F2390" t="s">
        <v>55</v>
      </c>
      <c r="G2390" t="s">
        <v>56</v>
      </c>
      <c r="H2390" t="s">
        <v>145</v>
      </c>
      <c r="I2390" t="s">
        <v>146</v>
      </c>
      <c r="J2390" t="s">
        <v>147</v>
      </c>
      <c r="K2390" t="s">
        <v>148</v>
      </c>
      <c r="L2390" t="s">
        <v>183</v>
      </c>
      <c r="M2390" t="s">
        <v>167</v>
      </c>
      <c r="N2390">
        <v>1</v>
      </c>
      <c r="O2390" s="4">
        <v>330</v>
      </c>
      <c r="P2390" s="4">
        <v>550</v>
      </c>
      <c r="Q2390" s="7">
        <v>0.1</v>
      </c>
      <c r="R2390" t="s">
        <v>178</v>
      </c>
      <c r="S2390">
        <v>3</v>
      </c>
      <c r="T2390">
        <v>550</v>
      </c>
      <c r="U2390">
        <v>55</v>
      </c>
      <c r="V2390">
        <v>495</v>
      </c>
      <c r="W2390">
        <v>330</v>
      </c>
      <c r="X2390">
        <v>165</v>
      </c>
      <c r="Y2390" s="8">
        <v>0.33333333333333331</v>
      </c>
      <c r="Z2390" t="s">
        <v>2996</v>
      </c>
      <c r="AA2390" t="str">
        <f>IF(AND(SalesCleanTable[[#This Row],[Discount %]]&gt;0, SalesCleanTable[[#This Row],[Profit]]&lt;0), "Discount loss", "Safe")</f>
        <v>Safe</v>
      </c>
      <c r="AB2390" s="25">
        <f>(SalesCleanTable[[#This Row],[Unit Price]] - SalesCleanTable[[#This Row],[Unit Cost]]) / SalesCleanTable[[#This Row],[Unit Price]]</f>
        <v>0.4</v>
      </c>
      <c r="AC2390" t="str">
        <f>IF(SalesCleanTable[[#This Row],[Discount %]] &gt; SalesCleanTable[[#This Row],[Max Allowed Discount]], "Discount loss", "Safe")</f>
        <v>Safe</v>
      </c>
      <c r="AD2390" s="4">
        <f>SalesCleanTable[[#This Row],[Unit Price]] - SalesCleanTable[[#This Row],[Unit Cost]]</f>
        <v>220</v>
      </c>
      <c r="AE2390" s="41">
        <f>(SalesCleanTable[[#This Row],[Unit Price]] - SalesCleanTable[[#This Row],[Unit Cost]]) / SalesCleanTable[[#This Row],[Unit Price]]</f>
        <v>0.4</v>
      </c>
    </row>
    <row r="2391" spans="1:31">
      <c r="A2391" t="s">
        <v>2577</v>
      </c>
      <c r="B2391" s="6">
        <v>45726</v>
      </c>
      <c r="C2391" t="s">
        <v>45</v>
      </c>
      <c r="D2391" t="s">
        <v>46</v>
      </c>
      <c r="E2391" t="s">
        <v>38</v>
      </c>
      <c r="F2391" t="s">
        <v>47</v>
      </c>
      <c r="G2391" t="s">
        <v>48</v>
      </c>
      <c r="H2391" t="s">
        <v>145</v>
      </c>
      <c r="I2391" t="s">
        <v>146</v>
      </c>
      <c r="J2391" t="s">
        <v>147</v>
      </c>
      <c r="K2391" t="s">
        <v>148</v>
      </c>
      <c r="L2391" t="s">
        <v>183</v>
      </c>
      <c r="M2391" t="s">
        <v>186</v>
      </c>
      <c r="N2391">
        <v>5</v>
      </c>
      <c r="O2391" s="4">
        <v>230</v>
      </c>
      <c r="P2391" s="4">
        <v>400</v>
      </c>
      <c r="Q2391" s="7">
        <v>0.2</v>
      </c>
      <c r="R2391" t="s">
        <v>168</v>
      </c>
      <c r="S2391">
        <v>14</v>
      </c>
      <c r="T2391">
        <v>2000</v>
      </c>
      <c r="U2391">
        <v>400</v>
      </c>
      <c r="V2391">
        <v>1600</v>
      </c>
      <c r="W2391">
        <v>1150</v>
      </c>
      <c r="X2391">
        <v>450</v>
      </c>
      <c r="Y2391" s="8">
        <v>0.28125</v>
      </c>
      <c r="Z2391" t="s">
        <v>2995</v>
      </c>
      <c r="AA2391" t="str">
        <f>IF(AND(SalesCleanTable[[#This Row],[Discount %]]&gt;0, SalesCleanTable[[#This Row],[Profit]]&lt;0), "Discount loss", "Safe")</f>
        <v>Safe</v>
      </c>
      <c r="AB2391" s="25">
        <f>(SalesCleanTable[[#This Row],[Unit Price]] - SalesCleanTable[[#This Row],[Unit Cost]]) / SalesCleanTable[[#This Row],[Unit Price]]</f>
        <v>0.42499999999999999</v>
      </c>
      <c r="AC2391" t="str">
        <f>IF(SalesCleanTable[[#This Row],[Discount %]] &gt; SalesCleanTable[[#This Row],[Max Allowed Discount]], "Discount loss", "Safe")</f>
        <v>Safe</v>
      </c>
      <c r="AD2391" s="4">
        <f>SalesCleanTable[[#This Row],[Unit Price]] - SalesCleanTable[[#This Row],[Unit Cost]]</f>
        <v>170</v>
      </c>
      <c r="AE2391" s="41">
        <f>(SalesCleanTable[[#This Row],[Unit Price]] - SalesCleanTable[[#This Row],[Unit Cost]]) / SalesCleanTable[[#This Row],[Unit Price]]</f>
        <v>0.42499999999999999</v>
      </c>
    </row>
    <row r="2392" spans="1:31">
      <c r="A2392" t="s">
        <v>2578</v>
      </c>
      <c r="B2392" s="6">
        <v>45753</v>
      </c>
      <c r="C2392" t="s">
        <v>41</v>
      </c>
      <c r="D2392" t="s">
        <v>42</v>
      </c>
      <c r="E2392" t="s">
        <v>26</v>
      </c>
      <c r="F2392" t="s">
        <v>43</v>
      </c>
      <c r="G2392" t="s">
        <v>44</v>
      </c>
      <c r="H2392" t="s">
        <v>135</v>
      </c>
      <c r="I2392" t="s">
        <v>136</v>
      </c>
      <c r="J2392" t="s">
        <v>137</v>
      </c>
      <c r="K2392" t="s">
        <v>138</v>
      </c>
      <c r="L2392" t="s">
        <v>183</v>
      </c>
      <c r="M2392" t="s">
        <v>167</v>
      </c>
      <c r="N2392">
        <v>6</v>
      </c>
      <c r="O2392" s="4">
        <v>850</v>
      </c>
      <c r="P2392" s="4">
        <v>1300</v>
      </c>
      <c r="Q2392" s="7">
        <v>0.1</v>
      </c>
      <c r="R2392" t="s">
        <v>173</v>
      </c>
      <c r="S2392">
        <v>14</v>
      </c>
      <c r="T2392">
        <v>7800</v>
      </c>
      <c r="U2392">
        <v>780</v>
      </c>
      <c r="V2392">
        <v>7020</v>
      </c>
      <c r="W2392">
        <v>5100</v>
      </c>
      <c r="X2392">
        <v>1920</v>
      </c>
      <c r="Y2392" s="8">
        <v>0.27350427350427353</v>
      </c>
      <c r="Z2392" t="s">
        <v>2995</v>
      </c>
      <c r="AA2392" t="str">
        <f>IF(AND(SalesCleanTable[[#This Row],[Discount %]]&gt;0, SalesCleanTable[[#This Row],[Profit]]&lt;0), "Discount loss", "Safe")</f>
        <v>Safe</v>
      </c>
      <c r="AB2392" s="25">
        <f>(SalesCleanTable[[#This Row],[Unit Price]] - SalesCleanTable[[#This Row],[Unit Cost]]) / SalesCleanTable[[#This Row],[Unit Price]]</f>
        <v>0.34615384615384615</v>
      </c>
      <c r="AC2392" t="str">
        <f>IF(SalesCleanTable[[#This Row],[Discount %]] &gt; SalesCleanTable[[#This Row],[Max Allowed Discount]], "Discount loss", "Safe")</f>
        <v>Safe</v>
      </c>
      <c r="AD2392" s="4">
        <f>SalesCleanTable[[#This Row],[Unit Price]] - SalesCleanTable[[#This Row],[Unit Cost]]</f>
        <v>450</v>
      </c>
      <c r="AE2392" s="41">
        <f>(SalesCleanTable[[#This Row],[Unit Price]] - SalesCleanTable[[#This Row],[Unit Cost]]) / SalesCleanTable[[#This Row],[Unit Price]]</f>
        <v>0.34615384615384615</v>
      </c>
    </row>
    <row r="2393" spans="1:31">
      <c r="A2393" t="s">
        <v>2579</v>
      </c>
      <c r="B2393" s="6">
        <v>45730</v>
      </c>
      <c r="C2393" t="s">
        <v>24</v>
      </c>
      <c r="D2393" t="s">
        <v>25</v>
      </c>
      <c r="E2393" t="s">
        <v>26</v>
      </c>
      <c r="F2393" t="s">
        <v>27</v>
      </c>
      <c r="G2393" t="s">
        <v>28</v>
      </c>
      <c r="H2393" t="s">
        <v>133</v>
      </c>
      <c r="I2393" t="s">
        <v>134</v>
      </c>
      <c r="J2393" t="s">
        <v>130</v>
      </c>
      <c r="K2393" t="s">
        <v>131</v>
      </c>
      <c r="L2393" t="s">
        <v>166</v>
      </c>
      <c r="M2393" t="s">
        <v>171</v>
      </c>
      <c r="N2393">
        <v>1</v>
      </c>
      <c r="O2393" s="4">
        <v>14500</v>
      </c>
      <c r="P2393" s="4">
        <v>17500</v>
      </c>
      <c r="Q2393" s="7">
        <v>0.1</v>
      </c>
      <c r="R2393" t="s">
        <v>197</v>
      </c>
      <c r="S2393">
        <v>7</v>
      </c>
      <c r="T2393">
        <v>17500</v>
      </c>
      <c r="U2393">
        <v>1750</v>
      </c>
      <c r="V2393">
        <v>15750</v>
      </c>
      <c r="W2393">
        <v>14500</v>
      </c>
      <c r="X2393">
        <v>1250</v>
      </c>
      <c r="Y2393" s="8">
        <v>7.9365079365079361E-2</v>
      </c>
      <c r="Z2393" t="s">
        <v>2995</v>
      </c>
      <c r="AA2393" t="str">
        <f>IF(AND(SalesCleanTable[[#This Row],[Discount %]]&gt;0, SalesCleanTable[[#This Row],[Profit]]&lt;0), "Discount loss", "Safe")</f>
        <v>Safe</v>
      </c>
      <c r="AB2393" s="25">
        <f>(SalesCleanTable[[#This Row],[Unit Price]] - SalesCleanTable[[#This Row],[Unit Cost]]) / SalesCleanTable[[#This Row],[Unit Price]]</f>
        <v>0.17142857142857143</v>
      </c>
      <c r="AC2393" t="str">
        <f>IF(SalesCleanTable[[#This Row],[Discount %]] &gt; SalesCleanTable[[#This Row],[Max Allowed Discount]], "Discount loss", "Safe")</f>
        <v>Safe</v>
      </c>
      <c r="AD2393" s="4">
        <f>SalesCleanTable[[#This Row],[Unit Price]] - SalesCleanTable[[#This Row],[Unit Cost]]</f>
        <v>3000</v>
      </c>
      <c r="AE2393" s="41">
        <f>(SalesCleanTable[[#This Row],[Unit Price]] - SalesCleanTable[[#This Row],[Unit Cost]]) / SalesCleanTable[[#This Row],[Unit Price]]</f>
        <v>0.17142857142857143</v>
      </c>
    </row>
    <row r="2394" spans="1:31">
      <c r="A2394" t="s">
        <v>2580</v>
      </c>
      <c r="B2394" s="6">
        <v>45774</v>
      </c>
      <c r="C2394" t="s">
        <v>86</v>
      </c>
      <c r="D2394" t="s">
        <v>87</v>
      </c>
      <c r="E2394" t="s">
        <v>75</v>
      </c>
      <c r="F2394" t="s">
        <v>88</v>
      </c>
      <c r="G2394" t="s">
        <v>89</v>
      </c>
      <c r="H2394" t="s">
        <v>133</v>
      </c>
      <c r="I2394" t="s">
        <v>134</v>
      </c>
      <c r="J2394" t="s">
        <v>130</v>
      </c>
      <c r="K2394" t="s">
        <v>131</v>
      </c>
      <c r="L2394" t="s">
        <v>170</v>
      </c>
      <c r="M2394" t="s">
        <v>186</v>
      </c>
      <c r="N2394">
        <v>2</v>
      </c>
      <c r="O2394" s="4">
        <v>8500</v>
      </c>
      <c r="P2394" s="4">
        <v>12500</v>
      </c>
      <c r="Q2394" s="7">
        <v>0.05</v>
      </c>
      <c r="R2394" t="s">
        <v>187</v>
      </c>
      <c r="S2394">
        <v>10</v>
      </c>
      <c r="T2394">
        <v>25000</v>
      </c>
      <c r="U2394">
        <v>1250</v>
      </c>
      <c r="V2394">
        <v>23750</v>
      </c>
      <c r="W2394">
        <v>17000</v>
      </c>
      <c r="X2394">
        <v>6750</v>
      </c>
      <c r="Y2394" s="8">
        <v>0.28421052631578947</v>
      </c>
      <c r="Z2394" t="s">
        <v>2997</v>
      </c>
      <c r="AA2394" t="str">
        <f>IF(AND(SalesCleanTable[[#This Row],[Discount %]]&gt;0, SalesCleanTable[[#This Row],[Profit]]&lt;0), "Discount loss", "Safe")</f>
        <v>Safe</v>
      </c>
      <c r="AB2394" s="25">
        <f>(SalesCleanTable[[#This Row],[Unit Price]] - SalesCleanTable[[#This Row],[Unit Cost]]) / SalesCleanTable[[#This Row],[Unit Price]]</f>
        <v>0.32</v>
      </c>
      <c r="AC2394" t="str">
        <f>IF(SalesCleanTable[[#This Row],[Discount %]] &gt; SalesCleanTable[[#This Row],[Max Allowed Discount]], "Discount loss", "Safe")</f>
        <v>Safe</v>
      </c>
      <c r="AD2394" s="4">
        <f>SalesCleanTable[[#This Row],[Unit Price]] - SalesCleanTable[[#This Row],[Unit Cost]]</f>
        <v>4000</v>
      </c>
      <c r="AE2394" s="41">
        <f>(SalesCleanTable[[#This Row],[Unit Price]] - SalesCleanTable[[#This Row],[Unit Cost]]) / SalesCleanTable[[#This Row],[Unit Price]]</f>
        <v>0.32</v>
      </c>
    </row>
    <row r="2395" spans="1:31">
      <c r="A2395" t="s">
        <v>2581</v>
      </c>
      <c r="B2395" s="6">
        <v>45734</v>
      </c>
      <c r="C2395" t="s">
        <v>103</v>
      </c>
      <c r="D2395" t="s">
        <v>104</v>
      </c>
      <c r="E2395" t="s">
        <v>92</v>
      </c>
      <c r="F2395" t="s">
        <v>105</v>
      </c>
      <c r="G2395" t="s">
        <v>106</v>
      </c>
      <c r="H2395" t="s">
        <v>128</v>
      </c>
      <c r="I2395" t="s">
        <v>129</v>
      </c>
      <c r="J2395" t="s">
        <v>130</v>
      </c>
      <c r="K2395" t="s">
        <v>131</v>
      </c>
      <c r="L2395" t="s">
        <v>166</v>
      </c>
      <c r="M2395" t="s">
        <v>177</v>
      </c>
      <c r="N2395">
        <v>4</v>
      </c>
      <c r="O2395" s="4">
        <v>1500</v>
      </c>
      <c r="P2395" s="4">
        <v>2500</v>
      </c>
      <c r="Q2395" s="7">
        <v>0.05</v>
      </c>
      <c r="R2395" t="s">
        <v>217</v>
      </c>
      <c r="S2395">
        <v>12</v>
      </c>
      <c r="T2395">
        <v>10000</v>
      </c>
      <c r="U2395">
        <v>500</v>
      </c>
      <c r="V2395">
        <v>9500</v>
      </c>
      <c r="W2395">
        <v>6000</v>
      </c>
      <c r="X2395">
        <v>3500</v>
      </c>
      <c r="Y2395" s="8">
        <v>0.36842105263157893</v>
      </c>
      <c r="Z2395" t="s">
        <v>2996</v>
      </c>
      <c r="AA2395" t="str">
        <f>IF(AND(SalesCleanTable[[#This Row],[Discount %]]&gt;0, SalesCleanTable[[#This Row],[Profit]]&lt;0), "Discount loss", "Safe")</f>
        <v>Safe</v>
      </c>
      <c r="AB2395" s="25">
        <f>(SalesCleanTable[[#This Row],[Unit Price]] - SalesCleanTable[[#This Row],[Unit Cost]]) / SalesCleanTable[[#This Row],[Unit Price]]</f>
        <v>0.4</v>
      </c>
      <c r="AC2395" t="str">
        <f>IF(SalesCleanTable[[#This Row],[Discount %]] &gt; SalesCleanTable[[#This Row],[Max Allowed Discount]], "Discount loss", "Safe")</f>
        <v>Safe</v>
      </c>
      <c r="AD2395" s="4">
        <f>SalesCleanTable[[#This Row],[Unit Price]] - SalesCleanTable[[#This Row],[Unit Cost]]</f>
        <v>1000</v>
      </c>
      <c r="AE2395" s="41">
        <f>(SalesCleanTable[[#This Row],[Unit Price]] - SalesCleanTable[[#This Row],[Unit Cost]]) / SalesCleanTable[[#This Row],[Unit Price]]</f>
        <v>0.4</v>
      </c>
    </row>
    <row r="2396" spans="1:31">
      <c r="A2396" t="s">
        <v>2582</v>
      </c>
      <c r="B2396" s="6">
        <v>45857</v>
      </c>
      <c r="C2396" t="s">
        <v>29</v>
      </c>
      <c r="D2396" t="s">
        <v>30</v>
      </c>
      <c r="E2396" t="s">
        <v>26</v>
      </c>
      <c r="F2396" t="s">
        <v>27</v>
      </c>
      <c r="G2396" t="s">
        <v>31</v>
      </c>
      <c r="H2396" t="s">
        <v>153</v>
      </c>
      <c r="I2396" t="s">
        <v>154</v>
      </c>
      <c r="J2396" t="s">
        <v>155</v>
      </c>
      <c r="K2396" t="s">
        <v>131</v>
      </c>
      <c r="L2396" t="s">
        <v>183</v>
      </c>
      <c r="M2396" t="s">
        <v>177</v>
      </c>
      <c r="N2396">
        <v>2</v>
      </c>
      <c r="O2396" s="4">
        <v>6200</v>
      </c>
      <c r="P2396" s="4">
        <v>7900</v>
      </c>
      <c r="Q2396" s="7">
        <v>0.1</v>
      </c>
      <c r="R2396" t="s">
        <v>173</v>
      </c>
      <c r="S2396">
        <v>4</v>
      </c>
      <c r="T2396">
        <v>15800</v>
      </c>
      <c r="U2396">
        <v>1580</v>
      </c>
      <c r="V2396">
        <v>14220</v>
      </c>
      <c r="W2396">
        <v>12400</v>
      </c>
      <c r="X2396">
        <v>1820</v>
      </c>
      <c r="Y2396" s="8">
        <v>0.12798874824191281</v>
      </c>
      <c r="Z2396" t="s">
        <v>2996</v>
      </c>
      <c r="AA2396" t="str">
        <f>IF(AND(SalesCleanTable[[#This Row],[Discount %]]&gt;0, SalesCleanTable[[#This Row],[Profit]]&lt;0), "Discount loss", "Safe")</f>
        <v>Safe</v>
      </c>
      <c r="AB2396" s="25">
        <f>(SalesCleanTable[[#This Row],[Unit Price]] - SalesCleanTable[[#This Row],[Unit Cost]]) / SalesCleanTable[[#This Row],[Unit Price]]</f>
        <v>0.21518987341772153</v>
      </c>
      <c r="AC2396" t="str">
        <f>IF(SalesCleanTable[[#This Row],[Discount %]] &gt; SalesCleanTable[[#This Row],[Max Allowed Discount]], "Discount loss", "Safe")</f>
        <v>Safe</v>
      </c>
      <c r="AD2396" s="4">
        <f>SalesCleanTable[[#This Row],[Unit Price]] - SalesCleanTable[[#This Row],[Unit Cost]]</f>
        <v>1700</v>
      </c>
      <c r="AE2396" s="41">
        <f>(SalesCleanTable[[#This Row],[Unit Price]] - SalesCleanTable[[#This Row],[Unit Cost]]) / SalesCleanTable[[#This Row],[Unit Price]]</f>
        <v>0.21518987341772153</v>
      </c>
    </row>
    <row r="2397" spans="1:31">
      <c r="A2397" t="s">
        <v>2583</v>
      </c>
      <c r="B2397" s="6">
        <v>45659</v>
      </c>
      <c r="C2397" t="s">
        <v>82</v>
      </c>
      <c r="D2397" t="s">
        <v>83</v>
      </c>
      <c r="E2397" t="s">
        <v>75</v>
      </c>
      <c r="F2397" t="s">
        <v>84</v>
      </c>
      <c r="G2397" t="s">
        <v>85</v>
      </c>
      <c r="H2397" t="s">
        <v>135</v>
      </c>
      <c r="I2397" t="s">
        <v>136</v>
      </c>
      <c r="J2397" t="s">
        <v>137</v>
      </c>
      <c r="K2397" t="s">
        <v>138</v>
      </c>
      <c r="L2397" t="s">
        <v>183</v>
      </c>
      <c r="M2397" t="s">
        <v>177</v>
      </c>
      <c r="N2397">
        <v>2</v>
      </c>
      <c r="O2397" s="4">
        <v>600</v>
      </c>
      <c r="P2397" s="4">
        <v>950</v>
      </c>
      <c r="Q2397" s="7">
        <v>0</v>
      </c>
      <c r="R2397" t="s">
        <v>208</v>
      </c>
      <c r="S2397">
        <v>11</v>
      </c>
      <c r="T2397">
        <v>1900</v>
      </c>
      <c r="U2397">
        <v>0</v>
      </c>
      <c r="V2397">
        <v>1900</v>
      </c>
      <c r="W2397">
        <v>1200</v>
      </c>
      <c r="X2397">
        <v>700</v>
      </c>
      <c r="Y2397" s="8">
        <v>0.36842105263157893</v>
      </c>
      <c r="Z2397" t="s">
        <v>2996</v>
      </c>
      <c r="AA2397" t="str">
        <f>IF(AND(SalesCleanTable[[#This Row],[Discount %]]&gt;0, SalesCleanTable[[#This Row],[Profit]]&lt;0), "Discount loss", "Safe")</f>
        <v>Safe</v>
      </c>
      <c r="AB2397" s="25">
        <f>(SalesCleanTable[[#This Row],[Unit Price]] - SalesCleanTable[[#This Row],[Unit Cost]]) / SalesCleanTable[[#This Row],[Unit Price]]</f>
        <v>0.36842105263157893</v>
      </c>
      <c r="AC2397" t="str">
        <f>IF(SalesCleanTable[[#This Row],[Discount %]] &gt; SalesCleanTable[[#This Row],[Max Allowed Discount]], "Discount loss", "Safe")</f>
        <v>Safe</v>
      </c>
      <c r="AD2397" s="4">
        <f>SalesCleanTable[[#This Row],[Unit Price]] - SalesCleanTable[[#This Row],[Unit Cost]]</f>
        <v>350</v>
      </c>
      <c r="AE2397" s="41">
        <f>(SalesCleanTable[[#This Row],[Unit Price]] - SalesCleanTable[[#This Row],[Unit Cost]]) / SalesCleanTable[[#This Row],[Unit Price]]</f>
        <v>0.36842105263157893</v>
      </c>
    </row>
    <row r="2398" spans="1:31">
      <c r="A2398" t="s">
        <v>2584</v>
      </c>
      <c r="B2398" s="6">
        <v>45735</v>
      </c>
      <c r="C2398" t="s">
        <v>112</v>
      </c>
      <c r="D2398" t="s">
        <v>113</v>
      </c>
      <c r="E2398" t="s">
        <v>109</v>
      </c>
      <c r="F2398" t="s">
        <v>114</v>
      </c>
      <c r="G2398" t="s">
        <v>115</v>
      </c>
      <c r="H2398" t="s">
        <v>139</v>
      </c>
      <c r="I2398" t="s">
        <v>140</v>
      </c>
      <c r="J2398" t="s">
        <v>137</v>
      </c>
      <c r="K2398" t="s">
        <v>138</v>
      </c>
      <c r="L2398" t="s">
        <v>170</v>
      </c>
      <c r="M2398" t="s">
        <v>186</v>
      </c>
      <c r="N2398">
        <v>2</v>
      </c>
      <c r="O2398" s="4">
        <v>1300</v>
      </c>
      <c r="P2398" s="4">
        <v>2100</v>
      </c>
      <c r="Q2398" s="7">
        <v>0</v>
      </c>
      <c r="R2398" t="s">
        <v>184</v>
      </c>
      <c r="S2398">
        <v>9</v>
      </c>
      <c r="T2398">
        <v>4200</v>
      </c>
      <c r="U2398">
        <v>0</v>
      </c>
      <c r="V2398">
        <v>4200</v>
      </c>
      <c r="W2398">
        <v>2600</v>
      </c>
      <c r="X2398">
        <v>1600</v>
      </c>
      <c r="Y2398" s="8">
        <v>0.38095238095238093</v>
      </c>
      <c r="Z2398" t="s">
        <v>2995</v>
      </c>
      <c r="AA2398" t="str">
        <f>IF(AND(SalesCleanTable[[#This Row],[Discount %]]&gt;0, SalesCleanTable[[#This Row],[Profit]]&lt;0), "Discount loss", "Safe")</f>
        <v>Safe</v>
      </c>
      <c r="AB2398" s="25">
        <f>(SalesCleanTable[[#This Row],[Unit Price]] - SalesCleanTable[[#This Row],[Unit Cost]]) / SalesCleanTable[[#This Row],[Unit Price]]</f>
        <v>0.38095238095238093</v>
      </c>
      <c r="AC2398" t="str">
        <f>IF(SalesCleanTable[[#This Row],[Discount %]] &gt; SalesCleanTable[[#This Row],[Max Allowed Discount]], "Discount loss", "Safe")</f>
        <v>Safe</v>
      </c>
      <c r="AD2398" s="4">
        <f>SalesCleanTable[[#This Row],[Unit Price]] - SalesCleanTable[[#This Row],[Unit Cost]]</f>
        <v>800</v>
      </c>
      <c r="AE2398" s="41">
        <f>(SalesCleanTable[[#This Row],[Unit Price]] - SalesCleanTable[[#This Row],[Unit Cost]]) / SalesCleanTable[[#This Row],[Unit Price]]</f>
        <v>0.38095238095238093</v>
      </c>
    </row>
    <row r="2399" spans="1:31">
      <c r="A2399" t="s">
        <v>2585</v>
      </c>
      <c r="B2399" s="6">
        <v>45675</v>
      </c>
      <c r="C2399" t="s">
        <v>116</v>
      </c>
      <c r="D2399" t="s">
        <v>117</v>
      </c>
      <c r="E2399" t="s">
        <v>109</v>
      </c>
      <c r="F2399" t="s">
        <v>118</v>
      </c>
      <c r="G2399" t="s">
        <v>119</v>
      </c>
      <c r="H2399" t="s">
        <v>135</v>
      </c>
      <c r="I2399" t="s">
        <v>136</v>
      </c>
      <c r="J2399" t="s">
        <v>137</v>
      </c>
      <c r="K2399" t="s">
        <v>138</v>
      </c>
      <c r="L2399" t="s">
        <v>170</v>
      </c>
      <c r="M2399" t="s">
        <v>186</v>
      </c>
      <c r="N2399">
        <v>2</v>
      </c>
      <c r="O2399" s="4">
        <v>2800</v>
      </c>
      <c r="P2399" s="4">
        <v>4200</v>
      </c>
      <c r="Q2399" s="7">
        <v>0.05</v>
      </c>
      <c r="R2399" t="s">
        <v>235</v>
      </c>
      <c r="S2399">
        <v>9</v>
      </c>
      <c r="T2399">
        <v>8400</v>
      </c>
      <c r="U2399">
        <v>420</v>
      </c>
      <c r="V2399">
        <v>7980</v>
      </c>
      <c r="W2399">
        <v>5600</v>
      </c>
      <c r="X2399">
        <v>2380</v>
      </c>
      <c r="Y2399" s="8">
        <v>0.2982456140350877</v>
      </c>
      <c r="Z2399" t="s">
        <v>2995</v>
      </c>
      <c r="AA2399" t="str">
        <f>IF(AND(SalesCleanTable[[#This Row],[Discount %]]&gt;0, SalesCleanTable[[#This Row],[Profit]]&lt;0), "Discount loss", "Safe")</f>
        <v>Safe</v>
      </c>
      <c r="AB2399" s="25">
        <f>(SalesCleanTable[[#This Row],[Unit Price]] - SalesCleanTable[[#This Row],[Unit Cost]]) / SalesCleanTable[[#This Row],[Unit Price]]</f>
        <v>0.33333333333333331</v>
      </c>
      <c r="AC2399" t="str">
        <f>IF(SalesCleanTable[[#This Row],[Discount %]] &gt; SalesCleanTable[[#This Row],[Max Allowed Discount]], "Discount loss", "Safe")</f>
        <v>Safe</v>
      </c>
      <c r="AD2399" s="4">
        <f>SalesCleanTable[[#This Row],[Unit Price]] - SalesCleanTable[[#This Row],[Unit Cost]]</f>
        <v>1400</v>
      </c>
      <c r="AE2399" s="41">
        <f>(SalesCleanTable[[#This Row],[Unit Price]] - SalesCleanTable[[#This Row],[Unit Cost]]) / SalesCleanTable[[#This Row],[Unit Price]]</f>
        <v>0.33333333333333331</v>
      </c>
    </row>
    <row r="2400" spans="1:31">
      <c r="A2400" t="s">
        <v>2586</v>
      </c>
      <c r="B2400" s="6">
        <v>45779</v>
      </c>
      <c r="C2400" t="s">
        <v>49</v>
      </c>
      <c r="D2400" t="s">
        <v>50</v>
      </c>
      <c r="E2400" t="s">
        <v>38</v>
      </c>
      <c r="F2400" t="s">
        <v>51</v>
      </c>
      <c r="G2400" t="s">
        <v>52</v>
      </c>
      <c r="H2400" t="s">
        <v>128</v>
      </c>
      <c r="I2400" t="s">
        <v>129</v>
      </c>
      <c r="J2400" t="s">
        <v>130</v>
      </c>
      <c r="K2400" t="s">
        <v>131</v>
      </c>
      <c r="L2400" t="s">
        <v>166</v>
      </c>
      <c r="M2400" t="s">
        <v>167</v>
      </c>
      <c r="N2400">
        <v>3</v>
      </c>
      <c r="O2400" s="4">
        <v>550</v>
      </c>
      <c r="P2400" s="4">
        <v>850</v>
      </c>
      <c r="Q2400" s="7">
        <v>0</v>
      </c>
      <c r="R2400" t="s">
        <v>168</v>
      </c>
      <c r="S2400">
        <v>5</v>
      </c>
      <c r="T2400">
        <v>2550</v>
      </c>
      <c r="U2400">
        <v>0</v>
      </c>
      <c r="V2400">
        <v>2550</v>
      </c>
      <c r="W2400">
        <v>1650</v>
      </c>
      <c r="X2400">
        <v>900</v>
      </c>
      <c r="Y2400" s="8">
        <v>0.35294117647058826</v>
      </c>
      <c r="Z2400" t="s">
        <v>2996</v>
      </c>
      <c r="AA2400" t="str">
        <f>IF(AND(SalesCleanTable[[#This Row],[Discount %]]&gt;0, SalesCleanTable[[#This Row],[Profit]]&lt;0), "Discount loss", "Safe")</f>
        <v>Safe</v>
      </c>
      <c r="AB2400" s="25">
        <f>(SalesCleanTable[[#This Row],[Unit Price]] - SalesCleanTable[[#This Row],[Unit Cost]]) / SalesCleanTable[[#This Row],[Unit Price]]</f>
        <v>0.35294117647058826</v>
      </c>
      <c r="AC2400" t="str">
        <f>IF(SalesCleanTable[[#This Row],[Discount %]] &gt; SalesCleanTable[[#This Row],[Max Allowed Discount]], "Discount loss", "Safe")</f>
        <v>Safe</v>
      </c>
      <c r="AD2400" s="4">
        <f>SalesCleanTable[[#This Row],[Unit Price]] - SalesCleanTable[[#This Row],[Unit Cost]]</f>
        <v>300</v>
      </c>
      <c r="AE2400" s="41">
        <f>(SalesCleanTable[[#This Row],[Unit Price]] - SalesCleanTable[[#This Row],[Unit Cost]]) / SalesCleanTable[[#This Row],[Unit Price]]</f>
        <v>0.35294117647058826</v>
      </c>
    </row>
    <row r="2401" spans="1:31">
      <c r="A2401" t="s">
        <v>2587</v>
      </c>
      <c r="B2401" s="6">
        <v>45677</v>
      </c>
      <c r="C2401" t="s">
        <v>73</v>
      </c>
      <c r="D2401" t="s">
        <v>74</v>
      </c>
      <c r="E2401" t="s">
        <v>75</v>
      </c>
      <c r="F2401" t="s">
        <v>76</v>
      </c>
      <c r="G2401" t="s">
        <v>77</v>
      </c>
      <c r="H2401" t="s">
        <v>145</v>
      </c>
      <c r="I2401" t="s">
        <v>146</v>
      </c>
      <c r="J2401" t="s">
        <v>147</v>
      </c>
      <c r="K2401" t="s">
        <v>148</v>
      </c>
      <c r="L2401" t="s">
        <v>183</v>
      </c>
      <c r="M2401" t="s">
        <v>167</v>
      </c>
      <c r="N2401">
        <v>2</v>
      </c>
      <c r="O2401" s="4">
        <v>3500</v>
      </c>
      <c r="P2401" s="4">
        <v>5200</v>
      </c>
      <c r="Q2401" s="7">
        <v>0</v>
      </c>
      <c r="R2401" t="s">
        <v>204</v>
      </c>
      <c r="S2401">
        <v>11</v>
      </c>
      <c r="T2401">
        <v>10400</v>
      </c>
      <c r="U2401">
        <v>0</v>
      </c>
      <c r="V2401">
        <v>10400</v>
      </c>
      <c r="W2401">
        <v>7000</v>
      </c>
      <c r="X2401">
        <v>3400</v>
      </c>
      <c r="Y2401" s="8">
        <v>0.32692307692307693</v>
      </c>
      <c r="Z2401" t="s">
        <v>2996</v>
      </c>
      <c r="AA2401" t="str">
        <f>IF(AND(SalesCleanTable[[#This Row],[Discount %]]&gt;0, SalesCleanTable[[#This Row],[Profit]]&lt;0), "Discount loss", "Safe")</f>
        <v>Safe</v>
      </c>
      <c r="AB2401" s="25">
        <f>(SalesCleanTable[[#This Row],[Unit Price]] - SalesCleanTable[[#This Row],[Unit Cost]]) / SalesCleanTable[[#This Row],[Unit Price]]</f>
        <v>0.32692307692307693</v>
      </c>
      <c r="AC2401" t="str">
        <f>IF(SalesCleanTable[[#This Row],[Discount %]] &gt; SalesCleanTable[[#This Row],[Max Allowed Discount]], "Discount loss", "Safe")</f>
        <v>Safe</v>
      </c>
      <c r="AD2401" s="4">
        <f>SalesCleanTable[[#This Row],[Unit Price]] - SalesCleanTable[[#This Row],[Unit Cost]]</f>
        <v>1700</v>
      </c>
      <c r="AE2401" s="41">
        <f>(SalesCleanTable[[#This Row],[Unit Price]] - SalesCleanTable[[#This Row],[Unit Cost]]) / SalesCleanTable[[#This Row],[Unit Price]]</f>
        <v>0.32692307692307693</v>
      </c>
    </row>
    <row r="2402" spans="1:31">
      <c r="A2402" t="s">
        <v>2588</v>
      </c>
      <c r="B2402" s="6">
        <v>45900</v>
      </c>
      <c r="C2402" t="s">
        <v>90</v>
      </c>
      <c r="D2402" t="s">
        <v>91</v>
      </c>
      <c r="E2402" t="s">
        <v>92</v>
      </c>
      <c r="F2402" t="s">
        <v>93</v>
      </c>
      <c r="G2402" t="s">
        <v>94</v>
      </c>
      <c r="H2402" t="s">
        <v>135</v>
      </c>
      <c r="I2402" t="s">
        <v>136</v>
      </c>
      <c r="J2402" t="s">
        <v>137</v>
      </c>
      <c r="K2402" t="s">
        <v>138</v>
      </c>
      <c r="L2402" t="s">
        <v>166</v>
      </c>
      <c r="M2402" t="s">
        <v>171</v>
      </c>
      <c r="N2402">
        <v>1</v>
      </c>
      <c r="O2402" s="4">
        <v>7500</v>
      </c>
      <c r="P2402" s="4">
        <v>10500</v>
      </c>
      <c r="Q2402" s="7">
        <v>0.15</v>
      </c>
      <c r="R2402" t="s">
        <v>181</v>
      </c>
      <c r="S2402">
        <v>14</v>
      </c>
      <c r="T2402">
        <v>10500</v>
      </c>
      <c r="U2402">
        <v>1575</v>
      </c>
      <c r="V2402">
        <v>8925</v>
      </c>
      <c r="W2402">
        <v>7500</v>
      </c>
      <c r="X2402">
        <v>1425</v>
      </c>
      <c r="Y2402" s="8">
        <v>0.15966386554621848</v>
      </c>
      <c r="Z2402" t="s">
        <v>2996</v>
      </c>
      <c r="AA2402" t="str">
        <f>IF(AND(SalesCleanTable[[#This Row],[Discount %]]&gt;0, SalesCleanTable[[#This Row],[Profit]]&lt;0), "Discount loss", "Safe")</f>
        <v>Safe</v>
      </c>
      <c r="AB2402" s="25">
        <f>(SalesCleanTable[[#This Row],[Unit Price]] - SalesCleanTable[[#This Row],[Unit Cost]]) / SalesCleanTable[[#This Row],[Unit Price]]</f>
        <v>0.2857142857142857</v>
      </c>
      <c r="AC2402" t="str">
        <f>IF(SalesCleanTable[[#This Row],[Discount %]] &gt; SalesCleanTable[[#This Row],[Max Allowed Discount]], "Discount loss", "Safe")</f>
        <v>Safe</v>
      </c>
      <c r="AD2402" s="4">
        <f>SalesCleanTable[[#This Row],[Unit Price]] - SalesCleanTable[[#This Row],[Unit Cost]]</f>
        <v>3000</v>
      </c>
      <c r="AE2402" s="41">
        <f>(SalesCleanTable[[#This Row],[Unit Price]] - SalesCleanTable[[#This Row],[Unit Cost]]) / SalesCleanTable[[#This Row],[Unit Price]]</f>
        <v>0.2857142857142857</v>
      </c>
    </row>
    <row r="2403" spans="1:31">
      <c r="A2403" t="s">
        <v>2589</v>
      </c>
      <c r="B2403" s="6">
        <v>45739</v>
      </c>
      <c r="C2403" t="s">
        <v>24</v>
      </c>
      <c r="D2403" t="s">
        <v>25</v>
      </c>
      <c r="E2403" t="s">
        <v>26</v>
      </c>
      <c r="F2403" t="s">
        <v>27</v>
      </c>
      <c r="G2403" t="s">
        <v>28</v>
      </c>
      <c r="H2403" t="s">
        <v>128</v>
      </c>
      <c r="I2403" t="s">
        <v>129</v>
      </c>
      <c r="J2403" t="s">
        <v>130</v>
      </c>
      <c r="K2403" t="s">
        <v>131</v>
      </c>
      <c r="L2403" t="s">
        <v>166</v>
      </c>
      <c r="M2403" t="s">
        <v>171</v>
      </c>
      <c r="N2403">
        <v>4</v>
      </c>
      <c r="O2403" s="4">
        <v>14500</v>
      </c>
      <c r="P2403" s="4">
        <v>17500</v>
      </c>
      <c r="Q2403" s="7">
        <v>0</v>
      </c>
      <c r="R2403" t="s">
        <v>173</v>
      </c>
      <c r="S2403">
        <v>14</v>
      </c>
      <c r="T2403">
        <v>70000</v>
      </c>
      <c r="U2403">
        <v>0</v>
      </c>
      <c r="V2403">
        <v>70000</v>
      </c>
      <c r="W2403">
        <v>58000</v>
      </c>
      <c r="X2403">
        <v>12000</v>
      </c>
      <c r="Y2403" s="8">
        <v>0.17142857142857143</v>
      </c>
      <c r="Z2403" t="s">
        <v>2995</v>
      </c>
      <c r="AA2403" t="str">
        <f>IF(AND(SalesCleanTable[[#This Row],[Discount %]]&gt;0, SalesCleanTable[[#This Row],[Profit]]&lt;0), "Discount loss", "Safe")</f>
        <v>Safe</v>
      </c>
      <c r="AB2403" s="25">
        <f>(SalesCleanTable[[#This Row],[Unit Price]] - SalesCleanTable[[#This Row],[Unit Cost]]) / SalesCleanTable[[#This Row],[Unit Price]]</f>
        <v>0.17142857142857143</v>
      </c>
      <c r="AC2403" t="str">
        <f>IF(SalesCleanTable[[#This Row],[Discount %]] &gt; SalesCleanTable[[#This Row],[Max Allowed Discount]], "Discount loss", "Safe")</f>
        <v>Safe</v>
      </c>
      <c r="AD2403" s="4">
        <f>SalesCleanTable[[#This Row],[Unit Price]] - SalesCleanTable[[#This Row],[Unit Cost]]</f>
        <v>3000</v>
      </c>
      <c r="AE2403" s="41">
        <f>(SalesCleanTable[[#This Row],[Unit Price]] - SalesCleanTable[[#This Row],[Unit Cost]]) / SalesCleanTable[[#This Row],[Unit Price]]</f>
        <v>0.17142857142857143</v>
      </c>
    </row>
    <row r="2404" spans="1:31">
      <c r="A2404" t="s">
        <v>2590</v>
      </c>
      <c r="B2404" s="6">
        <v>45864</v>
      </c>
      <c r="C2404" t="s">
        <v>103</v>
      </c>
      <c r="D2404" t="s">
        <v>104</v>
      </c>
      <c r="E2404" t="s">
        <v>92</v>
      </c>
      <c r="F2404" t="s">
        <v>105</v>
      </c>
      <c r="G2404" t="s">
        <v>106</v>
      </c>
      <c r="H2404" t="s">
        <v>145</v>
      </c>
      <c r="I2404" t="s">
        <v>146</v>
      </c>
      <c r="J2404" t="s">
        <v>147</v>
      </c>
      <c r="K2404" t="s">
        <v>148</v>
      </c>
      <c r="L2404" t="s">
        <v>166</v>
      </c>
      <c r="M2404" t="s">
        <v>186</v>
      </c>
      <c r="N2404">
        <v>8</v>
      </c>
      <c r="O2404" s="4">
        <v>1500</v>
      </c>
      <c r="P2404" s="4">
        <v>2500</v>
      </c>
      <c r="Q2404" s="7">
        <v>0.1</v>
      </c>
      <c r="R2404" t="s">
        <v>217</v>
      </c>
      <c r="S2404">
        <v>10</v>
      </c>
      <c r="T2404">
        <v>20000</v>
      </c>
      <c r="U2404">
        <v>2000</v>
      </c>
      <c r="V2404">
        <v>18000</v>
      </c>
      <c r="W2404">
        <v>12000</v>
      </c>
      <c r="X2404">
        <v>6000</v>
      </c>
      <c r="Y2404" s="8">
        <v>0.33333333333333331</v>
      </c>
      <c r="Z2404" t="s">
        <v>2996</v>
      </c>
      <c r="AA2404" t="str">
        <f>IF(AND(SalesCleanTable[[#This Row],[Discount %]]&gt;0, SalesCleanTable[[#This Row],[Profit]]&lt;0), "Discount loss", "Safe")</f>
        <v>Safe</v>
      </c>
      <c r="AB2404" s="25">
        <f>(SalesCleanTable[[#This Row],[Unit Price]] - SalesCleanTable[[#This Row],[Unit Cost]]) / SalesCleanTable[[#This Row],[Unit Price]]</f>
        <v>0.4</v>
      </c>
      <c r="AC2404" t="str">
        <f>IF(SalesCleanTable[[#This Row],[Discount %]] &gt; SalesCleanTable[[#This Row],[Max Allowed Discount]], "Discount loss", "Safe")</f>
        <v>Safe</v>
      </c>
      <c r="AD2404" s="4">
        <f>SalesCleanTable[[#This Row],[Unit Price]] - SalesCleanTable[[#This Row],[Unit Cost]]</f>
        <v>1000</v>
      </c>
      <c r="AE2404" s="41">
        <f>(SalesCleanTable[[#This Row],[Unit Price]] - SalesCleanTable[[#This Row],[Unit Cost]]) / SalesCleanTable[[#This Row],[Unit Price]]</f>
        <v>0.4</v>
      </c>
    </row>
    <row r="2405" spans="1:31">
      <c r="A2405" t="s">
        <v>2591</v>
      </c>
      <c r="B2405" s="6">
        <v>45958</v>
      </c>
      <c r="C2405" t="s">
        <v>41</v>
      </c>
      <c r="D2405" t="s">
        <v>42</v>
      </c>
      <c r="E2405" t="s">
        <v>26</v>
      </c>
      <c r="F2405" t="s">
        <v>43</v>
      </c>
      <c r="G2405" t="s">
        <v>44</v>
      </c>
      <c r="H2405" t="s">
        <v>139</v>
      </c>
      <c r="I2405" t="s">
        <v>140</v>
      </c>
      <c r="J2405" t="s">
        <v>137</v>
      </c>
      <c r="K2405" t="s">
        <v>138</v>
      </c>
      <c r="L2405" t="s">
        <v>183</v>
      </c>
      <c r="M2405" t="s">
        <v>171</v>
      </c>
      <c r="N2405">
        <v>1</v>
      </c>
      <c r="O2405" s="4">
        <v>850</v>
      </c>
      <c r="P2405" s="4">
        <v>1300</v>
      </c>
      <c r="Q2405" s="7">
        <v>0.1</v>
      </c>
      <c r="R2405" t="s">
        <v>173</v>
      </c>
      <c r="S2405">
        <v>10</v>
      </c>
      <c r="T2405">
        <v>1300</v>
      </c>
      <c r="U2405">
        <v>130</v>
      </c>
      <c r="V2405">
        <v>1170</v>
      </c>
      <c r="W2405">
        <v>850</v>
      </c>
      <c r="X2405">
        <v>320</v>
      </c>
      <c r="Y2405" s="8">
        <v>0.27350427350427353</v>
      </c>
      <c r="Z2405" t="s">
        <v>2995</v>
      </c>
      <c r="AA2405" t="str">
        <f>IF(AND(SalesCleanTable[[#This Row],[Discount %]]&gt;0, SalesCleanTable[[#This Row],[Profit]]&lt;0), "Discount loss", "Safe")</f>
        <v>Safe</v>
      </c>
      <c r="AB2405" s="25">
        <f>(SalesCleanTable[[#This Row],[Unit Price]] - SalesCleanTable[[#This Row],[Unit Cost]]) / SalesCleanTable[[#This Row],[Unit Price]]</f>
        <v>0.34615384615384615</v>
      </c>
      <c r="AC2405" t="str">
        <f>IF(SalesCleanTable[[#This Row],[Discount %]] &gt; SalesCleanTable[[#This Row],[Max Allowed Discount]], "Discount loss", "Safe")</f>
        <v>Safe</v>
      </c>
      <c r="AD2405" s="4">
        <f>SalesCleanTable[[#This Row],[Unit Price]] - SalesCleanTable[[#This Row],[Unit Cost]]</f>
        <v>450</v>
      </c>
      <c r="AE2405" s="41">
        <f>(SalesCleanTable[[#This Row],[Unit Price]] - SalesCleanTable[[#This Row],[Unit Cost]]) / SalesCleanTable[[#This Row],[Unit Price]]</f>
        <v>0.34615384615384615</v>
      </c>
    </row>
    <row r="2406" spans="1:31">
      <c r="A2406" t="s">
        <v>2592</v>
      </c>
      <c r="B2406" s="6">
        <v>46020</v>
      </c>
      <c r="C2406" t="s">
        <v>45</v>
      </c>
      <c r="D2406" t="s">
        <v>46</v>
      </c>
      <c r="E2406" t="s">
        <v>38</v>
      </c>
      <c r="F2406" t="s">
        <v>47</v>
      </c>
      <c r="G2406" t="s">
        <v>48</v>
      </c>
      <c r="H2406" t="s">
        <v>153</v>
      </c>
      <c r="I2406" t="s">
        <v>154</v>
      </c>
      <c r="J2406" t="s">
        <v>155</v>
      </c>
      <c r="K2406" t="s">
        <v>131</v>
      </c>
      <c r="L2406" t="s">
        <v>183</v>
      </c>
      <c r="M2406" t="s">
        <v>186</v>
      </c>
      <c r="N2406">
        <v>5</v>
      </c>
      <c r="O2406" s="4">
        <v>230</v>
      </c>
      <c r="P2406" s="4">
        <v>400</v>
      </c>
      <c r="Q2406" s="7">
        <v>0</v>
      </c>
      <c r="R2406" t="s">
        <v>178</v>
      </c>
      <c r="S2406">
        <v>10</v>
      </c>
      <c r="T2406">
        <v>2000</v>
      </c>
      <c r="U2406">
        <v>0</v>
      </c>
      <c r="V2406">
        <v>2000</v>
      </c>
      <c r="W2406">
        <v>1150</v>
      </c>
      <c r="X2406">
        <v>850</v>
      </c>
      <c r="Y2406" s="8">
        <v>0.42499999999999999</v>
      </c>
      <c r="Z2406" t="s">
        <v>2995</v>
      </c>
      <c r="AA2406" t="str">
        <f>IF(AND(SalesCleanTable[[#This Row],[Discount %]]&gt;0, SalesCleanTable[[#This Row],[Profit]]&lt;0), "Discount loss", "Safe")</f>
        <v>Safe</v>
      </c>
      <c r="AB2406" s="25">
        <f>(SalesCleanTable[[#This Row],[Unit Price]] - SalesCleanTable[[#This Row],[Unit Cost]]) / SalesCleanTable[[#This Row],[Unit Price]]</f>
        <v>0.42499999999999999</v>
      </c>
      <c r="AC2406" t="str">
        <f>IF(SalesCleanTable[[#This Row],[Discount %]] &gt; SalesCleanTable[[#This Row],[Max Allowed Discount]], "Discount loss", "Safe")</f>
        <v>Safe</v>
      </c>
      <c r="AD2406" s="4">
        <f>SalesCleanTable[[#This Row],[Unit Price]] - SalesCleanTable[[#This Row],[Unit Cost]]</f>
        <v>170</v>
      </c>
      <c r="AE2406" s="41">
        <f>(SalesCleanTable[[#This Row],[Unit Price]] - SalesCleanTable[[#This Row],[Unit Cost]]) / SalesCleanTable[[#This Row],[Unit Price]]</f>
        <v>0.42499999999999999</v>
      </c>
    </row>
    <row r="2407" spans="1:31">
      <c r="A2407" t="s">
        <v>2593</v>
      </c>
      <c r="B2407" s="6">
        <v>45819</v>
      </c>
      <c r="C2407" t="s">
        <v>95</v>
      </c>
      <c r="D2407" t="s">
        <v>96</v>
      </c>
      <c r="E2407" t="s">
        <v>92</v>
      </c>
      <c r="F2407" t="s">
        <v>97</v>
      </c>
      <c r="G2407" t="s">
        <v>98</v>
      </c>
      <c r="H2407" t="s">
        <v>128</v>
      </c>
      <c r="I2407" t="s">
        <v>129</v>
      </c>
      <c r="J2407" t="s">
        <v>130</v>
      </c>
      <c r="K2407" t="s">
        <v>131</v>
      </c>
      <c r="L2407" t="s">
        <v>183</v>
      </c>
      <c r="M2407" t="s">
        <v>177</v>
      </c>
      <c r="N2407">
        <v>2</v>
      </c>
      <c r="O2407" s="4">
        <v>18000</v>
      </c>
      <c r="P2407" s="4">
        <v>24500</v>
      </c>
      <c r="Q2407" s="7">
        <v>0.1</v>
      </c>
      <c r="R2407" t="s">
        <v>217</v>
      </c>
      <c r="S2407">
        <v>13</v>
      </c>
      <c r="T2407">
        <v>49000</v>
      </c>
      <c r="U2407">
        <v>4900</v>
      </c>
      <c r="V2407">
        <v>44100</v>
      </c>
      <c r="W2407">
        <v>36000</v>
      </c>
      <c r="X2407">
        <v>8100</v>
      </c>
      <c r="Y2407" s="8">
        <v>0.18367346938775511</v>
      </c>
      <c r="Z2407" t="s">
        <v>2995</v>
      </c>
      <c r="AA2407" t="str">
        <f>IF(AND(SalesCleanTable[[#This Row],[Discount %]]&gt;0, SalesCleanTable[[#This Row],[Profit]]&lt;0), "Discount loss", "Safe")</f>
        <v>Safe</v>
      </c>
      <c r="AB2407" s="25">
        <f>(SalesCleanTable[[#This Row],[Unit Price]] - SalesCleanTable[[#This Row],[Unit Cost]]) / SalesCleanTable[[#This Row],[Unit Price]]</f>
        <v>0.26530612244897961</v>
      </c>
      <c r="AC2407" t="str">
        <f>IF(SalesCleanTable[[#This Row],[Discount %]] &gt; SalesCleanTable[[#This Row],[Max Allowed Discount]], "Discount loss", "Safe")</f>
        <v>Safe</v>
      </c>
      <c r="AD2407" s="4">
        <f>SalesCleanTable[[#This Row],[Unit Price]] - SalesCleanTable[[#This Row],[Unit Cost]]</f>
        <v>6500</v>
      </c>
      <c r="AE2407" s="41">
        <f>(SalesCleanTable[[#This Row],[Unit Price]] - SalesCleanTable[[#This Row],[Unit Cost]]) / SalesCleanTable[[#This Row],[Unit Price]]</f>
        <v>0.26530612244897961</v>
      </c>
    </row>
    <row r="2408" spans="1:31">
      <c r="A2408" t="s">
        <v>2594</v>
      </c>
      <c r="B2408" s="6">
        <v>45809</v>
      </c>
      <c r="C2408" t="s">
        <v>41</v>
      </c>
      <c r="D2408" t="s">
        <v>42</v>
      </c>
      <c r="E2408" t="s">
        <v>26</v>
      </c>
      <c r="F2408" t="s">
        <v>43</v>
      </c>
      <c r="G2408" t="s">
        <v>44</v>
      </c>
      <c r="H2408" t="s">
        <v>128</v>
      </c>
      <c r="I2408" t="s">
        <v>129</v>
      </c>
      <c r="J2408" t="s">
        <v>130</v>
      </c>
      <c r="K2408" t="s">
        <v>131</v>
      </c>
      <c r="L2408" t="s">
        <v>183</v>
      </c>
      <c r="M2408" t="s">
        <v>177</v>
      </c>
      <c r="N2408">
        <v>2</v>
      </c>
      <c r="O2408" s="4">
        <v>850</v>
      </c>
      <c r="P2408" s="4">
        <v>1300</v>
      </c>
      <c r="Q2408" s="7">
        <v>0.1</v>
      </c>
      <c r="R2408" t="s">
        <v>197</v>
      </c>
      <c r="S2408">
        <v>3</v>
      </c>
      <c r="T2408">
        <v>2600</v>
      </c>
      <c r="U2408">
        <v>260</v>
      </c>
      <c r="V2408">
        <v>2340</v>
      </c>
      <c r="W2408">
        <v>1700</v>
      </c>
      <c r="X2408">
        <v>640</v>
      </c>
      <c r="Y2408" s="8">
        <v>0.27350427350427353</v>
      </c>
      <c r="Z2408" t="s">
        <v>2995</v>
      </c>
      <c r="AA2408" t="str">
        <f>IF(AND(SalesCleanTable[[#This Row],[Discount %]]&gt;0, SalesCleanTable[[#This Row],[Profit]]&lt;0), "Discount loss", "Safe")</f>
        <v>Safe</v>
      </c>
      <c r="AB2408" s="25">
        <f>(SalesCleanTable[[#This Row],[Unit Price]] - SalesCleanTable[[#This Row],[Unit Cost]]) / SalesCleanTable[[#This Row],[Unit Price]]</f>
        <v>0.34615384615384615</v>
      </c>
      <c r="AC2408" t="str">
        <f>IF(SalesCleanTable[[#This Row],[Discount %]] &gt; SalesCleanTable[[#This Row],[Max Allowed Discount]], "Discount loss", "Safe")</f>
        <v>Safe</v>
      </c>
      <c r="AD2408" s="4">
        <f>SalesCleanTable[[#This Row],[Unit Price]] - SalesCleanTable[[#This Row],[Unit Cost]]</f>
        <v>450</v>
      </c>
      <c r="AE2408" s="41">
        <f>(SalesCleanTable[[#This Row],[Unit Price]] - SalesCleanTable[[#This Row],[Unit Cost]]) / SalesCleanTable[[#This Row],[Unit Price]]</f>
        <v>0.34615384615384615</v>
      </c>
    </row>
    <row r="2409" spans="1:31">
      <c r="A2409" t="s">
        <v>2595</v>
      </c>
      <c r="B2409" s="6">
        <v>45957</v>
      </c>
      <c r="C2409" t="s">
        <v>82</v>
      </c>
      <c r="D2409" t="s">
        <v>83</v>
      </c>
      <c r="E2409" t="s">
        <v>75</v>
      </c>
      <c r="F2409" t="s">
        <v>84</v>
      </c>
      <c r="G2409" t="s">
        <v>85</v>
      </c>
      <c r="H2409" t="s">
        <v>149</v>
      </c>
      <c r="I2409" t="s">
        <v>150</v>
      </c>
      <c r="J2409" t="s">
        <v>151</v>
      </c>
      <c r="K2409" t="s">
        <v>152</v>
      </c>
      <c r="L2409" t="s">
        <v>183</v>
      </c>
      <c r="M2409" t="s">
        <v>177</v>
      </c>
      <c r="N2409">
        <v>5</v>
      </c>
      <c r="O2409" s="4">
        <v>600</v>
      </c>
      <c r="P2409" s="4">
        <v>950</v>
      </c>
      <c r="Q2409" s="7">
        <v>0</v>
      </c>
      <c r="R2409" t="s">
        <v>204</v>
      </c>
      <c r="S2409">
        <v>5</v>
      </c>
      <c r="T2409">
        <v>4750</v>
      </c>
      <c r="U2409">
        <v>0</v>
      </c>
      <c r="V2409">
        <v>4750</v>
      </c>
      <c r="W2409">
        <v>3000</v>
      </c>
      <c r="X2409">
        <v>1750</v>
      </c>
      <c r="Y2409" s="8">
        <v>0.36842105263157893</v>
      </c>
      <c r="Z2409" t="s">
        <v>2996</v>
      </c>
      <c r="AA2409" t="str">
        <f>IF(AND(SalesCleanTable[[#This Row],[Discount %]]&gt;0, SalesCleanTable[[#This Row],[Profit]]&lt;0), "Discount loss", "Safe")</f>
        <v>Safe</v>
      </c>
      <c r="AB2409" s="25">
        <f>(SalesCleanTable[[#This Row],[Unit Price]] - SalesCleanTable[[#This Row],[Unit Cost]]) / SalesCleanTable[[#This Row],[Unit Price]]</f>
        <v>0.36842105263157893</v>
      </c>
      <c r="AC2409" t="str">
        <f>IF(SalesCleanTable[[#This Row],[Discount %]] &gt; SalesCleanTable[[#This Row],[Max Allowed Discount]], "Discount loss", "Safe")</f>
        <v>Safe</v>
      </c>
      <c r="AD2409" s="4">
        <f>SalesCleanTable[[#This Row],[Unit Price]] - SalesCleanTable[[#This Row],[Unit Cost]]</f>
        <v>350</v>
      </c>
      <c r="AE2409" s="41">
        <f>(SalesCleanTable[[#This Row],[Unit Price]] - SalesCleanTable[[#This Row],[Unit Cost]]) / SalesCleanTable[[#This Row],[Unit Price]]</f>
        <v>0.36842105263157893</v>
      </c>
    </row>
    <row r="2410" spans="1:31">
      <c r="A2410" t="s">
        <v>2596</v>
      </c>
      <c r="B2410" s="6">
        <v>45831</v>
      </c>
      <c r="C2410" t="s">
        <v>41</v>
      </c>
      <c r="D2410" t="s">
        <v>42</v>
      </c>
      <c r="E2410" t="s">
        <v>26</v>
      </c>
      <c r="F2410" t="s">
        <v>43</v>
      </c>
      <c r="G2410" t="s">
        <v>44</v>
      </c>
      <c r="H2410" t="s">
        <v>128</v>
      </c>
      <c r="I2410" t="s">
        <v>129</v>
      </c>
      <c r="J2410" t="s">
        <v>130</v>
      </c>
      <c r="K2410" t="s">
        <v>131</v>
      </c>
      <c r="L2410" t="s">
        <v>166</v>
      </c>
      <c r="M2410" t="s">
        <v>171</v>
      </c>
      <c r="N2410">
        <v>4</v>
      </c>
      <c r="O2410" s="4">
        <v>850</v>
      </c>
      <c r="P2410" s="4">
        <v>1300</v>
      </c>
      <c r="Q2410" s="7">
        <v>0</v>
      </c>
      <c r="R2410" t="s">
        <v>197</v>
      </c>
      <c r="S2410">
        <v>3</v>
      </c>
      <c r="T2410">
        <v>5200</v>
      </c>
      <c r="U2410">
        <v>0</v>
      </c>
      <c r="V2410">
        <v>5200</v>
      </c>
      <c r="W2410">
        <v>3400</v>
      </c>
      <c r="X2410">
        <v>1800</v>
      </c>
      <c r="Y2410" s="8">
        <v>0.34615384615384615</v>
      </c>
      <c r="Z2410" t="s">
        <v>2995</v>
      </c>
      <c r="AA2410" t="str">
        <f>IF(AND(SalesCleanTable[[#This Row],[Discount %]]&gt;0, SalesCleanTable[[#This Row],[Profit]]&lt;0), "Discount loss", "Safe")</f>
        <v>Safe</v>
      </c>
      <c r="AB2410" s="25">
        <f>(SalesCleanTable[[#This Row],[Unit Price]] - SalesCleanTable[[#This Row],[Unit Cost]]) / SalesCleanTable[[#This Row],[Unit Price]]</f>
        <v>0.34615384615384615</v>
      </c>
      <c r="AC2410" t="str">
        <f>IF(SalesCleanTable[[#This Row],[Discount %]] &gt; SalesCleanTable[[#This Row],[Max Allowed Discount]], "Discount loss", "Safe")</f>
        <v>Safe</v>
      </c>
      <c r="AD2410" s="4">
        <f>SalesCleanTable[[#This Row],[Unit Price]] - SalesCleanTable[[#This Row],[Unit Cost]]</f>
        <v>450</v>
      </c>
      <c r="AE2410" s="41">
        <f>(SalesCleanTable[[#This Row],[Unit Price]] - SalesCleanTable[[#This Row],[Unit Cost]]) / SalesCleanTable[[#This Row],[Unit Price]]</f>
        <v>0.34615384615384615</v>
      </c>
    </row>
    <row r="2411" spans="1:31">
      <c r="A2411" t="s">
        <v>2597</v>
      </c>
      <c r="B2411" s="6">
        <v>45960</v>
      </c>
      <c r="C2411" t="s">
        <v>116</v>
      </c>
      <c r="D2411" t="s">
        <v>117</v>
      </c>
      <c r="E2411" t="s">
        <v>109</v>
      </c>
      <c r="F2411" t="s">
        <v>118</v>
      </c>
      <c r="G2411" t="s">
        <v>119</v>
      </c>
      <c r="H2411" t="s">
        <v>145</v>
      </c>
      <c r="I2411" t="s">
        <v>146</v>
      </c>
      <c r="J2411" t="s">
        <v>147</v>
      </c>
      <c r="K2411" t="s">
        <v>148</v>
      </c>
      <c r="L2411" t="s">
        <v>166</v>
      </c>
      <c r="M2411" t="s">
        <v>171</v>
      </c>
      <c r="N2411">
        <v>2</v>
      </c>
      <c r="O2411" s="4">
        <v>2800</v>
      </c>
      <c r="P2411" s="4">
        <v>4200</v>
      </c>
      <c r="Q2411" s="7">
        <v>0.05</v>
      </c>
      <c r="R2411" t="s">
        <v>184</v>
      </c>
      <c r="S2411">
        <v>3</v>
      </c>
      <c r="T2411">
        <v>8400</v>
      </c>
      <c r="U2411">
        <v>420</v>
      </c>
      <c r="V2411">
        <v>7980</v>
      </c>
      <c r="W2411">
        <v>5600</v>
      </c>
      <c r="X2411">
        <v>2380</v>
      </c>
      <c r="Y2411" s="8">
        <v>0.2982456140350877</v>
      </c>
      <c r="Z2411" t="s">
        <v>2995</v>
      </c>
      <c r="AA2411" t="str">
        <f>IF(AND(SalesCleanTable[[#This Row],[Discount %]]&gt;0, SalesCleanTable[[#This Row],[Profit]]&lt;0), "Discount loss", "Safe")</f>
        <v>Safe</v>
      </c>
      <c r="AB2411" s="25">
        <f>(SalesCleanTable[[#This Row],[Unit Price]] - SalesCleanTable[[#This Row],[Unit Cost]]) / SalesCleanTable[[#This Row],[Unit Price]]</f>
        <v>0.33333333333333331</v>
      </c>
      <c r="AC2411" t="str">
        <f>IF(SalesCleanTable[[#This Row],[Discount %]] &gt; SalesCleanTable[[#This Row],[Max Allowed Discount]], "Discount loss", "Safe")</f>
        <v>Safe</v>
      </c>
      <c r="AD2411" s="4">
        <f>SalesCleanTable[[#This Row],[Unit Price]] - SalesCleanTable[[#This Row],[Unit Cost]]</f>
        <v>1400</v>
      </c>
      <c r="AE2411" s="41">
        <f>(SalesCleanTable[[#This Row],[Unit Price]] - SalesCleanTable[[#This Row],[Unit Cost]]) / SalesCleanTable[[#This Row],[Unit Price]]</f>
        <v>0.33333333333333331</v>
      </c>
    </row>
    <row r="2412" spans="1:31">
      <c r="A2412" t="s">
        <v>2598</v>
      </c>
      <c r="B2412" s="6">
        <v>45894</v>
      </c>
      <c r="C2412" t="s">
        <v>82</v>
      </c>
      <c r="D2412" t="s">
        <v>83</v>
      </c>
      <c r="E2412" t="s">
        <v>75</v>
      </c>
      <c r="F2412" t="s">
        <v>84</v>
      </c>
      <c r="G2412" t="s">
        <v>85</v>
      </c>
      <c r="H2412" t="s">
        <v>145</v>
      </c>
      <c r="I2412" t="s">
        <v>146</v>
      </c>
      <c r="J2412" t="s">
        <v>147</v>
      </c>
      <c r="K2412" t="s">
        <v>148</v>
      </c>
      <c r="L2412" t="s">
        <v>166</v>
      </c>
      <c r="M2412" t="s">
        <v>177</v>
      </c>
      <c r="N2412">
        <v>1</v>
      </c>
      <c r="O2412" s="4">
        <v>600</v>
      </c>
      <c r="P2412" s="4">
        <v>950</v>
      </c>
      <c r="Q2412" s="7">
        <v>0.05</v>
      </c>
      <c r="R2412" t="s">
        <v>187</v>
      </c>
      <c r="S2412">
        <v>4</v>
      </c>
      <c r="T2412">
        <v>950</v>
      </c>
      <c r="U2412">
        <v>47.5</v>
      </c>
      <c r="V2412">
        <v>902.5</v>
      </c>
      <c r="W2412">
        <v>600</v>
      </c>
      <c r="X2412">
        <v>302.5</v>
      </c>
      <c r="Y2412" s="8">
        <v>0.33518005540166207</v>
      </c>
      <c r="Z2412" t="s">
        <v>2996</v>
      </c>
      <c r="AA2412" t="str">
        <f>IF(AND(SalesCleanTable[[#This Row],[Discount %]]&gt;0, SalesCleanTable[[#This Row],[Profit]]&lt;0), "Discount loss", "Safe")</f>
        <v>Safe</v>
      </c>
      <c r="AB2412" s="25">
        <f>(SalesCleanTable[[#This Row],[Unit Price]] - SalesCleanTable[[#This Row],[Unit Cost]]) / SalesCleanTable[[#This Row],[Unit Price]]</f>
        <v>0.36842105263157893</v>
      </c>
      <c r="AC2412" t="str">
        <f>IF(SalesCleanTable[[#This Row],[Discount %]] &gt; SalesCleanTable[[#This Row],[Max Allowed Discount]], "Discount loss", "Safe")</f>
        <v>Safe</v>
      </c>
      <c r="AD2412" s="4">
        <f>SalesCleanTable[[#This Row],[Unit Price]] - SalesCleanTable[[#This Row],[Unit Cost]]</f>
        <v>350</v>
      </c>
      <c r="AE2412" s="41">
        <f>(SalesCleanTable[[#This Row],[Unit Price]] - SalesCleanTable[[#This Row],[Unit Cost]]) / SalesCleanTable[[#This Row],[Unit Price]]</f>
        <v>0.36842105263157893</v>
      </c>
    </row>
    <row r="2413" spans="1:31">
      <c r="A2413" t="s">
        <v>2599</v>
      </c>
      <c r="B2413" s="6">
        <v>45987</v>
      </c>
      <c r="C2413" t="s">
        <v>62</v>
      </c>
      <c r="D2413" t="s">
        <v>63</v>
      </c>
      <c r="E2413" t="s">
        <v>59</v>
      </c>
      <c r="F2413" t="s">
        <v>64</v>
      </c>
      <c r="G2413" t="s">
        <v>65</v>
      </c>
      <c r="H2413" t="s">
        <v>139</v>
      </c>
      <c r="I2413" t="s">
        <v>140</v>
      </c>
      <c r="J2413" t="s">
        <v>137</v>
      </c>
      <c r="K2413" t="s">
        <v>138</v>
      </c>
      <c r="L2413" t="s">
        <v>183</v>
      </c>
      <c r="M2413" t="s">
        <v>177</v>
      </c>
      <c r="N2413">
        <v>2</v>
      </c>
      <c r="O2413" s="4">
        <v>3200</v>
      </c>
      <c r="P2413" s="4">
        <v>4500</v>
      </c>
      <c r="Q2413" s="7">
        <v>0.05</v>
      </c>
      <c r="R2413" t="s">
        <v>173</v>
      </c>
      <c r="S2413">
        <v>1</v>
      </c>
      <c r="T2413">
        <v>9000</v>
      </c>
      <c r="U2413">
        <v>450</v>
      </c>
      <c r="V2413">
        <v>8550</v>
      </c>
      <c r="W2413">
        <v>6400</v>
      </c>
      <c r="X2413">
        <v>2150</v>
      </c>
      <c r="Y2413" s="8">
        <v>0.25146198830409355</v>
      </c>
      <c r="Z2413" t="s">
        <v>2996</v>
      </c>
      <c r="AA2413" t="str">
        <f>IF(AND(SalesCleanTable[[#This Row],[Discount %]]&gt;0, SalesCleanTable[[#This Row],[Profit]]&lt;0), "Discount loss", "Safe")</f>
        <v>Safe</v>
      </c>
      <c r="AB2413" s="25">
        <f>(SalesCleanTable[[#This Row],[Unit Price]] - SalesCleanTable[[#This Row],[Unit Cost]]) / SalesCleanTable[[#This Row],[Unit Price]]</f>
        <v>0.28888888888888886</v>
      </c>
      <c r="AC2413" t="str">
        <f>IF(SalesCleanTable[[#This Row],[Discount %]] &gt; SalesCleanTable[[#This Row],[Max Allowed Discount]], "Discount loss", "Safe")</f>
        <v>Safe</v>
      </c>
      <c r="AD2413" s="4">
        <f>SalesCleanTable[[#This Row],[Unit Price]] - SalesCleanTable[[#This Row],[Unit Cost]]</f>
        <v>1300</v>
      </c>
      <c r="AE2413" s="41">
        <f>(SalesCleanTable[[#This Row],[Unit Price]] - SalesCleanTable[[#This Row],[Unit Cost]]) / SalesCleanTable[[#This Row],[Unit Price]]</f>
        <v>0.28888888888888886</v>
      </c>
    </row>
    <row r="2414" spans="1:31">
      <c r="A2414" t="s">
        <v>2600</v>
      </c>
      <c r="B2414" s="6">
        <v>45697</v>
      </c>
      <c r="C2414" t="s">
        <v>120</v>
      </c>
      <c r="D2414" t="s">
        <v>121</v>
      </c>
      <c r="E2414" t="s">
        <v>109</v>
      </c>
      <c r="F2414" t="s">
        <v>93</v>
      </c>
      <c r="G2414" t="s">
        <v>122</v>
      </c>
      <c r="H2414" t="s">
        <v>133</v>
      </c>
      <c r="I2414" t="s">
        <v>134</v>
      </c>
      <c r="J2414" t="s">
        <v>130</v>
      </c>
      <c r="K2414" t="s">
        <v>131</v>
      </c>
      <c r="L2414" t="s">
        <v>166</v>
      </c>
      <c r="M2414" t="s">
        <v>167</v>
      </c>
      <c r="N2414">
        <v>4</v>
      </c>
      <c r="O2414" s="4">
        <v>1700</v>
      </c>
      <c r="P2414" s="4">
        <v>2800</v>
      </c>
      <c r="Q2414" s="7">
        <v>0.15</v>
      </c>
      <c r="R2414" t="s">
        <v>184</v>
      </c>
      <c r="S2414">
        <v>10</v>
      </c>
      <c r="T2414">
        <v>11200</v>
      </c>
      <c r="U2414">
        <v>1680</v>
      </c>
      <c r="V2414">
        <v>9520</v>
      </c>
      <c r="W2414">
        <v>6800</v>
      </c>
      <c r="X2414">
        <v>2720</v>
      </c>
      <c r="Y2414" s="8">
        <v>0.2857142857142857</v>
      </c>
      <c r="Z2414" t="s">
        <v>2997</v>
      </c>
      <c r="AA2414" t="str">
        <f>IF(AND(SalesCleanTable[[#This Row],[Discount %]]&gt;0, SalesCleanTable[[#This Row],[Profit]]&lt;0), "Discount loss", "Safe")</f>
        <v>Safe</v>
      </c>
      <c r="AB2414" s="25">
        <f>(SalesCleanTable[[#This Row],[Unit Price]] - SalesCleanTable[[#This Row],[Unit Cost]]) / SalesCleanTable[[#This Row],[Unit Price]]</f>
        <v>0.39285714285714285</v>
      </c>
      <c r="AC2414" t="str">
        <f>IF(SalesCleanTable[[#This Row],[Discount %]] &gt; SalesCleanTable[[#This Row],[Max Allowed Discount]], "Discount loss", "Safe")</f>
        <v>Safe</v>
      </c>
      <c r="AD2414" s="4">
        <f>SalesCleanTable[[#This Row],[Unit Price]] - SalesCleanTable[[#This Row],[Unit Cost]]</f>
        <v>1100</v>
      </c>
      <c r="AE2414" s="41">
        <f>(SalesCleanTable[[#This Row],[Unit Price]] - SalesCleanTable[[#This Row],[Unit Cost]]) / SalesCleanTable[[#This Row],[Unit Price]]</f>
        <v>0.39285714285714285</v>
      </c>
    </row>
    <row r="2415" spans="1:31">
      <c r="A2415" t="s">
        <v>2601</v>
      </c>
      <c r="B2415" s="6">
        <v>45796</v>
      </c>
      <c r="C2415" t="s">
        <v>49</v>
      </c>
      <c r="D2415" t="s">
        <v>50</v>
      </c>
      <c r="E2415" t="s">
        <v>38</v>
      </c>
      <c r="F2415" t="s">
        <v>51</v>
      </c>
      <c r="G2415" t="s">
        <v>52</v>
      </c>
      <c r="H2415" t="s">
        <v>145</v>
      </c>
      <c r="I2415" t="s">
        <v>146</v>
      </c>
      <c r="J2415" t="s">
        <v>147</v>
      </c>
      <c r="K2415" t="s">
        <v>148</v>
      </c>
      <c r="L2415" t="s">
        <v>166</v>
      </c>
      <c r="M2415" t="s">
        <v>167</v>
      </c>
      <c r="N2415">
        <v>2</v>
      </c>
      <c r="O2415" s="4">
        <v>550</v>
      </c>
      <c r="P2415" s="4">
        <v>850</v>
      </c>
      <c r="Q2415" s="7">
        <v>0.05</v>
      </c>
      <c r="R2415" t="s">
        <v>175</v>
      </c>
      <c r="S2415">
        <v>4</v>
      </c>
      <c r="T2415">
        <v>1700</v>
      </c>
      <c r="U2415">
        <v>85</v>
      </c>
      <c r="V2415">
        <v>1615</v>
      </c>
      <c r="W2415">
        <v>1100</v>
      </c>
      <c r="X2415">
        <v>515</v>
      </c>
      <c r="Y2415" s="8">
        <v>0.31888544891640869</v>
      </c>
      <c r="Z2415" t="s">
        <v>2996</v>
      </c>
      <c r="AA2415" t="str">
        <f>IF(AND(SalesCleanTable[[#This Row],[Discount %]]&gt;0, SalesCleanTable[[#This Row],[Profit]]&lt;0), "Discount loss", "Safe")</f>
        <v>Safe</v>
      </c>
      <c r="AB2415" s="25">
        <f>(SalesCleanTable[[#This Row],[Unit Price]] - SalesCleanTable[[#This Row],[Unit Cost]]) / SalesCleanTable[[#This Row],[Unit Price]]</f>
        <v>0.35294117647058826</v>
      </c>
      <c r="AC2415" t="str">
        <f>IF(SalesCleanTable[[#This Row],[Discount %]] &gt; SalesCleanTable[[#This Row],[Max Allowed Discount]], "Discount loss", "Safe")</f>
        <v>Safe</v>
      </c>
      <c r="AD2415" s="4">
        <f>SalesCleanTable[[#This Row],[Unit Price]] - SalesCleanTable[[#This Row],[Unit Cost]]</f>
        <v>300</v>
      </c>
      <c r="AE2415" s="41">
        <f>(SalesCleanTable[[#This Row],[Unit Price]] - SalesCleanTable[[#This Row],[Unit Cost]]) / SalesCleanTable[[#This Row],[Unit Price]]</f>
        <v>0.35294117647058826</v>
      </c>
    </row>
    <row r="2416" spans="1:31">
      <c r="A2416" t="s">
        <v>2602</v>
      </c>
      <c r="B2416" s="6">
        <v>45935</v>
      </c>
      <c r="C2416" t="s">
        <v>41</v>
      </c>
      <c r="D2416" t="s">
        <v>42</v>
      </c>
      <c r="E2416" t="s">
        <v>26</v>
      </c>
      <c r="F2416" t="s">
        <v>43</v>
      </c>
      <c r="G2416" t="s">
        <v>44</v>
      </c>
      <c r="H2416" t="s">
        <v>128</v>
      </c>
      <c r="I2416" t="s">
        <v>129</v>
      </c>
      <c r="J2416" t="s">
        <v>130</v>
      </c>
      <c r="K2416" t="s">
        <v>131</v>
      </c>
      <c r="L2416" t="s">
        <v>166</v>
      </c>
      <c r="M2416" t="s">
        <v>186</v>
      </c>
      <c r="N2416">
        <v>3</v>
      </c>
      <c r="O2416" s="4">
        <v>850</v>
      </c>
      <c r="P2416" s="4">
        <v>1300</v>
      </c>
      <c r="Q2416" s="7">
        <v>0.15</v>
      </c>
      <c r="R2416" t="s">
        <v>197</v>
      </c>
      <c r="S2416">
        <v>1</v>
      </c>
      <c r="T2416">
        <v>3900</v>
      </c>
      <c r="U2416">
        <v>585</v>
      </c>
      <c r="V2416">
        <v>3315</v>
      </c>
      <c r="W2416">
        <v>2550</v>
      </c>
      <c r="X2416">
        <v>765</v>
      </c>
      <c r="Y2416" s="8">
        <v>0.23076923076923078</v>
      </c>
      <c r="Z2416" t="s">
        <v>2995</v>
      </c>
      <c r="AA2416" t="str">
        <f>IF(AND(SalesCleanTable[[#This Row],[Discount %]]&gt;0, SalesCleanTable[[#This Row],[Profit]]&lt;0), "Discount loss", "Safe")</f>
        <v>Safe</v>
      </c>
      <c r="AB2416" s="25">
        <f>(SalesCleanTable[[#This Row],[Unit Price]] - SalesCleanTable[[#This Row],[Unit Cost]]) / SalesCleanTable[[#This Row],[Unit Price]]</f>
        <v>0.34615384615384615</v>
      </c>
      <c r="AC2416" t="str">
        <f>IF(SalesCleanTable[[#This Row],[Discount %]] &gt; SalesCleanTable[[#This Row],[Max Allowed Discount]], "Discount loss", "Safe")</f>
        <v>Safe</v>
      </c>
      <c r="AD2416" s="4">
        <f>SalesCleanTable[[#This Row],[Unit Price]] - SalesCleanTable[[#This Row],[Unit Cost]]</f>
        <v>450</v>
      </c>
      <c r="AE2416" s="41">
        <f>(SalesCleanTable[[#This Row],[Unit Price]] - SalesCleanTable[[#This Row],[Unit Cost]]) / SalesCleanTable[[#This Row],[Unit Price]]</f>
        <v>0.34615384615384615</v>
      </c>
    </row>
    <row r="2417" spans="1:31">
      <c r="A2417" t="s">
        <v>2603</v>
      </c>
      <c r="B2417" s="6">
        <v>45688</v>
      </c>
      <c r="C2417" t="s">
        <v>62</v>
      </c>
      <c r="D2417" t="s">
        <v>63</v>
      </c>
      <c r="E2417" t="s">
        <v>59</v>
      </c>
      <c r="F2417" t="s">
        <v>64</v>
      </c>
      <c r="G2417" t="s">
        <v>65</v>
      </c>
      <c r="H2417" t="s">
        <v>133</v>
      </c>
      <c r="I2417" t="s">
        <v>134</v>
      </c>
      <c r="J2417" t="s">
        <v>130</v>
      </c>
      <c r="K2417" t="s">
        <v>131</v>
      </c>
      <c r="L2417" t="s">
        <v>166</v>
      </c>
      <c r="M2417" t="s">
        <v>186</v>
      </c>
      <c r="N2417">
        <v>1</v>
      </c>
      <c r="O2417" s="4">
        <v>3200</v>
      </c>
      <c r="P2417" s="4">
        <v>4500</v>
      </c>
      <c r="Q2417" s="7">
        <v>0.05</v>
      </c>
      <c r="R2417" t="s">
        <v>204</v>
      </c>
      <c r="S2417">
        <v>6</v>
      </c>
      <c r="T2417">
        <v>4500</v>
      </c>
      <c r="U2417">
        <v>225</v>
      </c>
      <c r="V2417">
        <v>4275</v>
      </c>
      <c r="W2417">
        <v>3200</v>
      </c>
      <c r="X2417">
        <v>1075</v>
      </c>
      <c r="Y2417" s="8">
        <v>0.25146198830409355</v>
      </c>
      <c r="Z2417" t="s">
        <v>2996</v>
      </c>
      <c r="AA2417" t="str">
        <f>IF(AND(SalesCleanTable[[#This Row],[Discount %]]&gt;0, SalesCleanTable[[#This Row],[Profit]]&lt;0), "Discount loss", "Safe")</f>
        <v>Safe</v>
      </c>
      <c r="AB2417" s="25">
        <f>(SalesCleanTable[[#This Row],[Unit Price]] - SalesCleanTable[[#This Row],[Unit Cost]]) / SalesCleanTable[[#This Row],[Unit Price]]</f>
        <v>0.28888888888888886</v>
      </c>
      <c r="AC2417" t="str">
        <f>IF(SalesCleanTable[[#This Row],[Discount %]] &gt; SalesCleanTable[[#This Row],[Max Allowed Discount]], "Discount loss", "Safe")</f>
        <v>Safe</v>
      </c>
      <c r="AD2417" s="4">
        <f>SalesCleanTable[[#This Row],[Unit Price]] - SalesCleanTable[[#This Row],[Unit Cost]]</f>
        <v>1300</v>
      </c>
      <c r="AE2417" s="41">
        <f>(SalesCleanTable[[#This Row],[Unit Price]] - SalesCleanTable[[#This Row],[Unit Cost]]) / SalesCleanTable[[#This Row],[Unit Price]]</f>
        <v>0.28888888888888886</v>
      </c>
    </row>
    <row r="2418" spans="1:31">
      <c r="A2418" t="s">
        <v>2604</v>
      </c>
      <c r="B2418" s="6">
        <v>46008</v>
      </c>
      <c r="C2418" t="s">
        <v>57</v>
      </c>
      <c r="D2418" t="s">
        <v>58</v>
      </c>
      <c r="E2418" t="s">
        <v>59</v>
      </c>
      <c r="F2418" t="s">
        <v>60</v>
      </c>
      <c r="G2418" t="s">
        <v>61</v>
      </c>
      <c r="H2418" t="s">
        <v>153</v>
      </c>
      <c r="I2418" t="s">
        <v>154</v>
      </c>
      <c r="J2418" t="s">
        <v>155</v>
      </c>
      <c r="K2418" t="s">
        <v>131</v>
      </c>
      <c r="L2418" t="s">
        <v>166</v>
      </c>
      <c r="M2418" t="s">
        <v>186</v>
      </c>
      <c r="N2418">
        <v>2</v>
      </c>
      <c r="O2418" s="4">
        <v>2400</v>
      </c>
      <c r="P2418" s="4">
        <v>3400</v>
      </c>
      <c r="Q2418" s="7">
        <v>0.1</v>
      </c>
      <c r="R2418" t="s">
        <v>204</v>
      </c>
      <c r="S2418">
        <v>13</v>
      </c>
      <c r="T2418">
        <v>6800</v>
      </c>
      <c r="U2418">
        <v>680</v>
      </c>
      <c r="V2418">
        <v>6120</v>
      </c>
      <c r="W2418">
        <v>4800</v>
      </c>
      <c r="X2418">
        <v>1320</v>
      </c>
      <c r="Y2418" s="8">
        <v>0.21568627450980393</v>
      </c>
      <c r="Z2418" t="s">
        <v>2996</v>
      </c>
      <c r="AA2418" t="str">
        <f>IF(AND(SalesCleanTable[[#This Row],[Discount %]]&gt;0, SalesCleanTable[[#This Row],[Profit]]&lt;0), "Discount loss", "Safe")</f>
        <v>Safe</v>
      </c>
      <c r="AB2418" s="25">
        <f>(SalesCleanTable[[#This Row],[Unit Price]] - SalesCleanTable[[#This Row],[Unit Cost]]) / SalesCleanTable[[#This Row],[Unit Price]]</f>
        <v>0.29411764705882354</v>
      </c>
      <c r="AC2418" t="str">
        <f>IF(SalesCleanTable[[#This Row],[Discount %]] &gt; SalesCleanTable[[#This Row],[Max Allowed Discount]], "Discount loss", "Safe")</f>
        <v>Safe</v>
      </c>
      <c r="AD2418" s="4">
        <f>SalesCleanTable[[#This Row],[Unit Price]] - SalesCleanTable[[#This Row],[Unit Cost]]</f>
        <v>1000</v>
      </c>
      <c r="AE2418" s="41">
        <f>(SalesCleanTable[[#This Row],[Unit Price]] - SalesCleanTable[[#This Row],[Unit Cost]]) / SalesCleanTable[[#This Row],[Unit Price]]</f>
        <v>0.29411764705882354</v>
      </c>
    </row>
    <row r="2419" spans="1:31">
      <c r="A2419" t="s">
        <v>2605</v>
      </c>
      <c r="B2419" s="6">
        <v>45910</v>
      </c>
      <c r="C2419" t="s">
        <v>45</v>
      </c>
      <c r="D2419" t="s">
        <v>46</v>
      </c>
      <c r="E2419" t="s">
        <v>38</v>
      </c>
      <c r="F2419" t="s">
        <v>47</v>
      </c>
      <c r="G2419" t="s">
        <v>48</v>
      </c>
      <c r="H2419" t="s">
        <v>153</v>
      </c>
      <c r="I2419" t="s">
        <v>154</v>
      </c>
      <c r="J2419" t="s">
        <v>155</v>
      </c>
      <c r="K2419" t="s">
        <v>131</v>
      </c>
      <c r="L2419" t="s">
        <v>166</v>
      </c>
      <c r="M2419" t="s">
        <v>177</v>
      </c>
      <c r="N2419">
        <v>1</v>
      </c>
      <c r="O2419" s="4">
        <v>230</v>
      </c>
      <c r="P2419" s="4">
        <v>400</v>
      </c>
      <c r="Q2419" s="7">
        <v>0.05</v>
      </c>
      <c r="R2419" t="s">
        <v>175</v>
      </c>
      <c r="S2419">
        <v>9</v>
      </c>
      <c r="T2419">
        <v>400</v>
      </c>
      <c r="U2419">
        <v>20</v>
      </c>
      <c r="V2419">
        <v>380</v>
      </c>
      <c r="W2419">
        <v>230</v>
      </c>
      <c r="X2419">
        <v>150</v>
      </c>
      <c r="Y2419" s="8">
        <v>0.39473684210526316</v>
      </c>
      <c r="Z2419" t="s">
        <v>2995</v>
      </c>
      <c r="AA2419" t="str">
        <f>IF(AND(SalesCleanTable[[#This Row],[Discount %]]&gt;0, SalesCleanTable[[#This Row],[Profit]]&lt;0), "Discount loss", "Safe")</f>
        <v>Safe</v>
      </c>
      <c r="AB2419" s="25">
        <f>(SalesCleanTable[[#This Row],[Unit Price]] - SalesCleanTable[[#This Row],[Unit Cost]]) / SalesCleanTable[[#This Row],[Unit Price]]</f>
        <v>0.42499999999999999</v>
      </c>
      <c r="AC2419" t="str">
        <f>IF(SalesCleanTable[[#This Row],[Discount %]] &gt; SalesCleanTable[[#This Row],[Max Allowed Discount]], "Discount loss", "Safe")</f>
        <v>Safe</v>
      </c>
      <c r="AD2419" s="4">
        <f>SalesCleanTable[[#This Row],[Unit Price]] - SalesCleanTable[[#This Row],[Unit Cost]]</f>
        <v>170</v>
      </c>
      <c r="AE2419" s="41">
        <f>(SalesCleanTable[[#This Row],[Unit Price]] - SalesCleanTable[[#This Row],[Unit Cost]]) / SalesCleanTable[[#This Row],[Unit Price]]</f>
        <v>0.42499999999999999</v>
      </c>
    </row>
    <row r="2420" spans="1:31">
      <c r="A2420" t="s">
        <v>2606</v>
      </c>
      <c r="B2420" s="6">
        <v>45924</v>
      </c>
      <c r="C2420" t="s">
        <v>95</v>
      </c>
      <c r="D2420" t="s">
        <v>96</v>
      </c>
      <c r="E2420" t="s">
        <v>92</v>
      </c>
      <c r="F2420" t="s">
        <v>97</v>
      </c>
      <c r="G2420" t="s">
        <v>98</v>
      </c>
      <c r="H2420" t="s">
        <v>135</v>
      </c>
      <c r="I2420" t="s">
        <v>136</v>
      </c>
      <c r="J2420" t="s">
        <v>137</v>
      </c>
      <c r="K2420" t="s">
        <v>138</v>
      </c>
      <c r="L2420" t="s">
        <v>183</v>
      </c>
      <c r="M2420" t="s">
        <v>186</v>
      </c>
      <c r="N2420">
        <v>3</v>
      </c>
      <c r="O2420" s="4">
        <v>18000</v>
      </c>
      <c r="P2420" s="4">
        <v>24500</v>
      </c>
      <c r="Q2420" s="7">
        <v>0</v>
      </c>
      <c r="R2420" t="s">
        <v>217</v>
      </c>
      <c r="S2420">
        <v>7</v>
      </c>
      <c r="T2420">
        <v>73500</v>
      </c>
      <c r="U2420">
        <v>0</v>
      </c>
      <c r="V2420">
        <v>73500</v>
      </c>
      <c r="W2420">
        <v>54000</v>
      </c>
      <c r="X2420">
        <v>19500</v>
      </c>
      <c r="Y2420" s="8">
        <v>0.26530612244897961</v>
      </c>
      <c r="Z2420" t="s">
        <v>2995</v>
      </c>
      <c r="AA2420" t="str">
        <f>IF(AND(SalesCleanTable[[#This Row],[Discount %]]&gt;0, SalesCleanTable[[#This Row],[Profit]]&lt;0), "Discount loss", "Safe")</f>
        <v>Safe</v>
      </c>
      <c r="AB2420" s="25">
        <f>(SalesCleanTable[[#This Row],[Unit Price]] - SalesCleanTable[[#This Row],[Unit Cost]]) / SalesCleanTable[[#This Row],[Unit Price]]</f>
        <v>0.26530612244897961</v>
      </c>
      <c r="AC2420" t="str">
        <f>IF(SalesCleanTable[[#This Row],[Discount %]] &gt; SalesCleanTable[[#This Row],[Max Allowed Discount]], "Discount loss", "Safe")</f>
        <v>Safe</v>
      </c>
      <c r="AD2420" s="4">
        <f>SalesCleanTable[[#This Row],[Unit Price]] - SalesCleanTable[[#This Row],[Unit Cost]]</f>
        <v>6500</v>
      </c>
      <c r="AE2420" s="41">
        <f>(SalesCleanTable[[#This Row],[Unit Price]] - SalesCleanTable[[#This Row],[Unit Cost]]) / SalesCleanTable[[#This Row],[Unit Price]]</f>
        <v>0.26530612244897961</v>
      </c>
    </row>
    <row r="2421" spans="1:31">
      <c r="A2421" t="s">
        <v>2607</v>
      </c>
      <c r="B2421" s="6">
        <v>45824</v>
      </c>
      <c r="C2421" t="s">
        <v>32</v>
      </c>
      <c r="D2421" t="s">
        <v>33</v>
      </c>
      <c r="E2421" t="s">
        <v>26</v>
      </c>
      <c r="F2421" t="s">
        <v>34</v>
      </c>
      <c r="G2421" t="s">
        <v>35</v>
      </c>
      <c r="H2421" t="s">
        <v>133</v>
      </c>
      <c r="I2421" t="s">
        <v>134</v>
      </c>
      <c r="J2421" t="s">
        <v>130</v>
      </c>
      <c r="K2421" t="s">
        <v>131</v>
      </c>
      <c r="L2421" t="s">
        <v>166</v>
      </c>
      <c r="M2421" t="s">
        <v>186</v>
      </c>
      <c r="N2421">
        <v>2</v>
      </c>
      <c r="O2421" s="4">
        <v>7800</v>
      </c>
      <c r="P2421" s="4">
        <v>9800</v>
      </c>
      <c r="Q2421" s="7">
        <v>0.05</v>
      </c>
      <c r="R2421" t="s">
        <v>173</v>
      </c>
      <c r="S2421">
        <v>8</v>
      </c>
      <c r="T2421">
        <v>19600</v>
      </c>
      <c r="U2421">
        <v>980</v>
      </c>
      <c r="V2421">
        <v>18620</v>
      </c>
      <c r="W2421">
        <v>15600</v>
      </c>
      <c r="X2421">
        <v>3020</v>
      </c>
      <c r="Y2421" s="8">
        <v>0.16219119226638024</v>
      </c>
      <c r="Z2421" t="s">
        <v>2995</v>
      </c>
      <c r="AA2421" t="str">
        <f>IF(AND(SalesCleanTable[[#This Row],[Discount %]]&gt;0, SalesCleanTable[[#This Row],[Profit]]&lt;0), "Discount loss", "Safe")</f>
        <v>Safe</v>
      </c>
      <c r="AB2421" s="25">
        <f>(SalesCleanTable[[#This Row],[Unit Price]] - SalesCleanTable[[#This Row],[Unit Cost]]) / SalesCleanTable[[#This Row],[Unit Price]]</f>
        <v>0.20408163265306123</v>
      </c>
      <c r="AC2421" t="str">
        <f>IF(SalesCleanTable[[#This Row],[Discount %]] &gt; SalesCleanTable[[#This Row],[Max Allowed Discount]], "Discount loss", "Safe")</f>
        <v>Safe</v>
      </c>
      <c r="AD2421" s="4">
        <f>SalesCleanTable[[#This Row],[Unit Price]] - SalesCleanTable[[#This Row],[Unit Cost]]</f>
        <v>2000</v>
      </c>
      <c r="AE2421" s="41">
        <f>(SalesCleanTable[[#This Row],[Unit Price]] - SalesCleanTable[[#This Row],[Unit Cost]]) / SalesCleanTable[[#This Row],[Unit Price]]</f>
        <v>0.20408163265306123</v>
      </c>
    </row>
    <row r="2422" spans="1:31">
      <c r="A2422" t="s">
        <v>2608</v>
      </c>
      <c r="B2422" s="6">
        <v>45660</v>
      </c>
      <c r="C2422" t="s">
        <v>32</v>
      </c>
      <c r="D2422" t="s">
        <v>33</v>
      </c>
      <c r="E2422" t="s">
        <v>26</v>
      </c>
      <c r="F2422" t="s">
        <v>34</v>
      </c>
      <c r="G2422" t="s">
        <v>35</v>
      </c>
      <c r="H2422" t="s">
        <v>149</v>
      </c>
      <c r="I2422" t="s">
        <v>150</v>
      </c>
      <c r="J2422" t="s">
        <v>151</v>
      </c>
      <c r="K2422" t="s">
        <v>152</v>
      </c>
      <c r="L2422" t="s">
        <v>183</v>
      </c>
      <c r="M2422" t="s">
        <v>171</v>
      </c>
      <c r="N2422">
        <v>1</v>
      </c>
      <c r="O2422" s="4">
        <v>7800</v>
      </c>
      <c r="P2422" s="4">
        <v>9800</v>
      </c>
      <c r="Q2422" s="7">
        <v>0.05</v>
      </c>
      <c r="R2422" t="s">
        <v>197</v>
      </c>
      <c r="S2422">
        <v>9</v>
      </c>
      <c r="T2422">
        <v>9800</v>
      </c>
      <c r="U2422">
        <v>490</v>
      </c>
      <c r="V2422">
        <v>9310</v>
      </c>
      <c r="W2422">
        <v>7800</v>
      </c>
      <c r="X2422">
        <v>1510</v>
      </c>
      <c r="Y2422" s="8">
        <v>0.16219119226638024</v>
      </c>
      <c r="Z2422" t="s">
        <v>2995</v>
      </c>
      <c r="AA2422" t="str">
        <f>IF(AND(SalesCleanTable[[#This Row],[Discount %]]&gt;0, SalesCleanTable[[#This Row],[Profit]]&lt;0), "Discount loss", "Safe")</f>
        <v>Safe</v>
      </c>
      <c r="AB2422" s="25">
        <f>(SalesCleanTable[[#This Row],[Unit Price]] - SalesCleanTable[[#This Row],[Unit Cost]]) / SalesCleanTable[[#This Row],[Unit Price]]</f>
        <v>0.20408163265306123</v>
      </c>
      <c r="AC2422" t="str">
        <f>IF(SalesCleanTable[[#This Row],[Discount %]] &gt; SalesCleanTable[[#This Row],[Max Allowed Discount]], "Discount loss", "Safe")</f>
        <v>Safe</v>
      </c>
      <c r="AD2422" s="4">
        <f>SalesCleanTable[[#This Row],[Unit Price]] - SalesCleanTable[[#This Row],[Unit Cost]]</f>
        <v>2000</v>
      </c>
      <c r="AE2422" s="41">
        <f>(SalesCleanTable[[#This Row],[Unit Price]] - SalesCleanTable[[#This Row],[Unit Cost]]) / SalesCleanTable[[#This Row],[Unit Price]]</f>
        <v>0.20408163265306123</v>
      </c>
    </row>
    <row r="2423" spans="1:31">
      <c r="A2423" t="s">
        <v>2609</v>
      </c>
      <c r="B2423" s="6">
        <v>45820</v>
      </c>
      <c r="C2423" t="s">
        <v>99</v>
      </c>
      <c r="D2423" t="s">
        <v>100</v>
      </c>
      <c r="E2423" t="s">
        <v>92</v>
      </c>
      <c r="F2423" t="s">
        <v>101</v>
      </c>
      <c r="G2423" t="s">
        <v>102</v>
      </c>
      <c r="H2423" t="s">
        <v>149</v>
      </c>
      <c r="I2423" t="s">
        <v>150</v>
      </c>
      <c r="J2423" t="s">
        <v>151</v>
      </c>
      <c r="K2423" t="s">
        <v>152</v>
      </c>
      <c r="L2423" t="s">
        <v>170</v>
      </c>
      <c r="M2423" t="s">
        <v>186</v>
      </c>
      <c r="N2423">
        <v>4</v>
      </c>
      <c r="O2423" s="4">
        <v>12500</v>
      </c>
      <c r="P2423" s="4">
        <v>18500</v>
      </c>
      <c r="Q2423" s="7">
        <v>0.05</v>
      </c>
      <c r="R2423" t="s">
        <v>181</v>
      </c>
      <c r="S2423">
        <v>10</v>
      </c>
      <c r="T2423">
        <v>74000</v>
      </c>
      <c r="U2423">
        <v>3700</v>
      </c>
      <c r="V2423">
        <v>70300</v>
      </c>
      <c r="W2423">
        <v>50000</v>
      </c>
      <c r="X2423">
        <v>20300</v>
      </c>
      <c r="Y2423" s="8">
        <v>0.28876244665718348</v>
      </c>
      <c r="Z2423" t="s">
        <v>2995</v>
      </c>
      <c r="AA2423" t="str">
        <f>IF(AND(SalesCleanTable[[#This Row],[Discount %]]&gt;0, SalesCleanTable[[#This Row],[Profit]]&lt;0), "Discount loss", "Safe")</f>
        <v>Safe</v>
      </c>
      <c r="AB2423" s="25">
        <f>(SalesCleanTable[[#This Row],[Unit Price]] - SalesCleanTable[[#This Row],[Unit Cost]]) / SalesCleanTable[[#This Row],[Unit Price]]</f>
        <v>0.32432432432432434</v>
      </c>
      <c r="AC2423" t="str">
        <f>IF(SalesCleanTable[[#This Row],[Discount %]] &gt; SalesCleanTable[[#This Row],[Max Allowed Discount]], "Discount loss", "Safe")</f>
        <v>Safe</v>
      </c>
      <c r="AD2423" s="4">
        <f>SalesCleanTable[[#This Row],[Unit Price]] - SalesCleanTable[[#This Row],[Unit Cost]]</f>
        <v>6000</v>
      </c>
      <c r="AE2423" s="41">
        <f>(SalesCleanTable[[#This Row],[Unit Price]] - SalesCleanTable[[#This Row],[Unit Cost]]) / SalesCleanTable[[#This Row],[Unit Price]]</f>
        <v>0.32432432432432434</v>
      </c>
    </row>
    <row r="2424" spans="1:31">
      <c r="A2424" t="s">
        <v>2610</v>
      </c>
      <c r="B2424" s="6">
        <v>45795</v>
      </c>
      <c r="C2424" t="s">
        <v>36</v>
      </c>
      <c r="D2424" t="s">
        <v>37</v>
      </c>
      <c r="E2424" t="s">
        <v>38</v>
      </c>
      <c r="F2424" t="s">
        <v>39</v>
      </c>
      <c r="G2424" t="s">
        <v>40</v>
      </c>
      <c r="H2424" t="s">
        <v>133</v>
      </c>
      <c r="I2424" t="s">
        <v>134</v>
      </c>
      <c r="J2424" t="s">
        <v>130</v>
      </c>
      <c r="K2424" t="s">
        <v>131</v>
      </c>
      <c r="L2424" t="s">
        <v>166</v>
      </c>
      <c r="M2424" t="s">
        <v>171</v>
      </c>
      <c r="N2424">
        <v>3</v>
      </c>
      <c r="O2424" s="4">
        <v>1650</v>
      </c>
      <c r="P2424" s="4">
        <v>2200</v>
      </c>
      <c r="Q2424" s="7">
        <v>0</v>
      </c>
      <c r="R2424" t="s">
        <v>168</v>
      </c>
      <c r="S2424">
        <v>1</v>
      </c>
      <c r="T2424">
        <v>6600</v>
      </c>
      <c r="U2424">
        <v>0</v>
      </c>
      <c r="V2424">
        <v>6600</v>
      </c>
      <c r="W2424">
        <v>4950</v>
      </c>
      <c r="X2424">
        <v>1650</v>
      </c>
      <c r="Y2424" s="8">
        <v>0.25</v>
      </c>
      <c r="Z2424" t="s">
        <v>2995</v>
      </c>
      <c r="AA2424" t="str">
        <f>IF(AND(SalesCleanTable[[#This Row],[Discount %]]&gt;0, SalesCleanTable[[#This Row],[Profit]]&lt;0), "Discount loss", "Safe")</f>
        <v>Safe</v>
      </c>
      <c r="AB2424" s="25">
        <f>(SalesCleanTable[[#This Row],[Unit Price]] - SalesCleanTable[[#This Row],[Unit Cost]]) / SalesCleanTable[[#This Row],[Unit Price]]</f>
        <v>0.25</v>
      </c>
      <c r="AC2424" t="str">
        <f>IF(SalesCleanTable[[#This Row],[Discount %]] &gt; SalesCleanTable[[#This Row],[Max Allowed Discount]], "Discount loss", "Safe")</f>
        <v>Safe</v>
      </c>
      <c r="AD2424" s="4">
        <f>SalesCleanTable[[#This Row],[Unit Price]] - SalesCleanTable[[#This Row],[Unit Cost]]</f>
        <v>550</v>
      </c>
      <c r="AE2424" s="41">
        <f>(SalesCleanTable[[#This Row],[Unit Price]] - SalesCleanTable[[#This Row],[Unit Cost]]) / SalesCleanTable[[#This Row],[Unit Price]]</f>
        <v>0.25</v>
      </c>
    </row>
    <row r="2425" spans="1:31">
      <c r="A2425" t="s">
        <v>2611</v>
      </c>
      <c r="B2425" s="6">
        <v>45931</v>
      </c>
      <c r="C2425" t="s">
        <v>41</v>
      </c>
      <c r="D2425" t="s">
        <v>42</v>
      </c>
      <c r="E2425" t="s">
        <v>26</v>
      </c>
      <c r="F2425" t="s">
        <v>43</v>
      </c>
      <c r="G2425" t="s">
        <v>44</v>
      </c>
      <c r="H2425" t="s">
        <v>153</v>
      </c>
      <c r="I2425" t="s">
        <v>154</v>
      </c>
      <c r="J2425" t="s">
        <v>155</v>
      </c>
      <c r="K2425" t="s">
        <v>131</v>
      </c>
      <c r="L2425" t="s">
        <v>166</v>
      </c>
      <c r="M2425" t="s">
        <v>167</v>
      </c>
      <c r="N2425">
        <v>5</v>
      </c>
      <c r="O2425" s="4">
        <v>850</v>
      </c>
      <c r="P2425" s="4">
        <v>1300</v>
      </c>
      <c r="Q2425" s="7">
        <v>0</v>
      </c>
      <c r="R2425" t="s">
        <v>173</v>
      </c>
      <c r="S2425">
        <v>1</v>
      </c>
      <c r="T2425">
        <v>6500</v>
      </c>
      <c r="U2425">
        <v>0</v>
      </c>
      <c r="V2425">
        <v>6500</v>
      </c>
      <c r="W2425">
        <v>4250</v>
      </c>
      <c r="X2425">
        <v>2250</v>
      </c>
      <c r="Y2425" s="8">
        <v>0.34615384615384615</v>
      </c>
      <c r="Z2425" t="s">
        <v>2995</v>
      </c>
      <c r="AA2425" t="str">
        <f>IF(AND(SalesCleanTable[[#This Row],[Discount %]]&gt;0, SalesCleanTable[[#This Row],[Profit]]&lt;0), "Discount loss", "Safe")</f>
        <v>Safe</v>
      </c>
      <c r="AB2425" s="25">
        <f>(SalesCleanTable[[#This Row],[Unit Price]] - SalesCleanTable[[#This Row],[Unit Cost]]) / SalesCleanTable[[#This Row],[Unit Price]]</f>
        <v>0.34615384615384615</v>
      </c>
      <c r="AC2425" t="str">
        <f>IF(SalesCleanTable[[#This Row],[Discount %]] &gt; SalesCleanTable[[#This Row],[Max Allowed Discount]], "Discount loss", "Safe")</f>
        <v>Safe</v>
      </c>
      <c r="AD2425" s="4">
        <f>SalesCleanTable[[#This Row],[Unit Price]] - SalesCleanTable[[#This Row],[Unit Cost]]</f>
        <v>450</v>
      </c>
      <c r="AE2425" s="41">
        <f>(SalesCleanTable[[#This Row],[Unit Price]] - SalesCleanTable[[#This Row],[Unit Cost]]) / SalesCleanTable[[#This Row],[Unit Price]]</f>
        <v>0.34615384615384615</v>
      </c>
    </row>
    <row r="2426" spans="1:31">
      <c r="A2426" t="s">
        <v>2612</v>
      </c>
      <c r="B2426" s="6">
        <v>45879</v>
      </c>
      <c r="C2426" t="s">
        <v>73</v>
      </c>
      <c r="D2426" t="s">
        <v>74</v>
      </c>
      <c r="E2426" t="s">
        <v>75</v>
      </c>
      <c r="F2426" t="s">
        <v>76</v>
      </c>
      <c r="G2426" t="s">
        <v>77</v>
      </c>
      <c r="H2426" t="s">
        <v>149</v>
      </c>
      <c r="I2426" t="s">
        <v>150</v>
      </c>
      <c r="J2426" t="s">
        <v>151</v>
      </c>
      <c r="K2426" t="s">
        <v>152</v>
      </c>
      <c r="L2426" t="s">
        <v>183</v>
      </c>
      <c r="M2426" t="s">
        <v>171</v>
      </c>
      <c r="N2426">
        <v>3</v>
      </c>
      <c r="O2426" s="4">
        <v>3500</v>
      </c>
      <c r="P2426" s="4">
        <v>5200</v>
      </c>
      <c r="Q2426" s="7">
        <v>0.05</v>
      </c>
      <c r="R2426" t="s">
        <v>204</v>
      </c>
      <c r="S2426">
        <v>8</v>
      </c>
      <c r="T2426">
        <v>15600</v>
      </c>
      <c r="U2426">
        <v>780</v>
      </c>
      <c r="V2426">
        <v>14820</v>
      </c>
      <c r="W2426">
        <v>10500</v>
      </c>
      <c r="X2426">
        <v>4320</v>
      </c>
      <c r="Y2426" s="8">
        <v>0.291497975708502</v>
      </c>
      <c r="Z2426" t="s">
        <v>2996</v>
      </c>
      <c r="AA2426" t="str">
        <f>IF(AND(SalesCleanTable[[#This Row],[Discount %]]&gt;0, SalesCleanTable[[#This Row],[Profit]]&lt;0), "Discount loss", "Safe")</f>
        <v>Safe</v>
      </c>
      <c r="AB2426" s="25">
        <f>(SalesCleanTable[[#This Row],[Unit Price]] - SalesCleanTable[[#This Row],[Unit Cost]]) / SalesCleanTable[[#This Row],[Unit Price]]</f>
        <v>0.32692307692307693</v>
      </c>
      <c r="AC2426" t="str">
        <f>IF(SalesCleanTable[[#This Row],[Discount %]] &gt; SalesCleanTable[[#This Row],[Max Allowed Discount]], "Discount loss", "Safe")</f>
        <v>Safe</v>
      </c>
      <c r="AD2426" s="4">
        <f>SalesCleanTable[[#This Row],[Unit Price]] - SalesCleanTable[[#This Row],[Unit Cost]]</f>
        <v>1700</v>
      </c>
      <c r="AE2426" s="41">
        <f>(SalesCleanTable[[#This Row],[Unit Price]] - SalesCleanTable[[#This Row],[Unit Cost]]) / SalesCleanTable[[#This Row],[Unit Price]]</f>
        <v>0.32692307692307693</v>
      </c>
    </row>
    <row r="2427" spans="1:31">
      <c r="A2427" t="s">
        <v>2613</v>
      </c>
      <c r="B2427" s="6">
        <v>45797</v>
      </c>
      <c r="C2427" t="s">
        <v>45</v>
      </c>
      <c r="D2427" t="s">
        <v>46</v>
      </c>
      <c r="E2427" t="s">
        <v>38</v>
      </c>
      <c r="F2427" t="s">
        <v>47</v>
      </c>
      <c r="G2427" t="s">
        <v>48</v>
      </c>
      <c r="H2427" t="s">
        <v>133</v>
      </c>
      <c r="I2427" t="s">
        <v>134</v>
      </c>
      <c r="J2427" t="s">
        <v>130</v>
      </c>
      <c r="K2427" t="s">
        <v>131</v>
      </c>
      <c r="L2427" t="s">
        <v>166</v>
      </c>
      <c r="M2427" t="s">
        <v>167</v>
      </c>
      <c r="N2427">
        <v>2</v>
      </c>
      <c r="O2427" s="4">
        <v>230</v>
      </c>
      <c r="P2427" s="4">
        <v>400</v>
      </c>
      <c r="Q2427" s="7">
        <v>0</v>
      </c>
      <c r="R2427" t="s">
        <v>178</v>
      </c>
      <c r="S2427">
        <v>5</v>
      </c>
      <c r="T2427">
        <v>800</v>
      </c>
      <c r="U2427">
        <v>0</v>
      </c>
      <c r="V2427">
        <v>800</v>
      </c>
      <c r="W2427">
        <v>460</v>
      </c>
      <c r="X2427">
        <v>340</v>
      </c>
      <c r="Y2427" s="8">
        <v>0.42499999999999999</v>
      </c>
      <c r="Z2427" t="s">
        <v>2995</v>
      </c>
      <c r="AA2427" t="str">
        <f>IF(AND(SalesCleanTable[[#This Row],[Discount %]]&gt;0, SalesCleanTable[[#This Row],[Profit]]&lt;0), "Discount loss", "Safe")</f>
        <v>Safe</v>
      </c>
      <c r="AB2427" s="25">
        <f>(SalesCleanTable[[#This Row],[Unit Price]] - SalesCleanTable[[#This Row],[Unit Cost]]) / SalesCleanTable[[#This Row],[Unit Price]]</f>
        <v>0.42499999999999999</v>
      </c>
      <c r="AC2427" t="str">
        <f>IF(SalesCleanTable[[#This Row],[Discount %]] &gt; SalesCleanTable[[#This Row],[Max Allowed Discount]], "Discount loss", "Safe")</f>
        <v>Safe</v>
      </c>
      <c r="AD2427" s="4">
        <f>SalesCleanTable[[#This Row],[Unit Price]] - SalesCleanTable[[#This Row],[Unit Cost]]</f>
        <v>170</v>
      </c>
      <c r="AE2427" s="41">
        <f>(SalesCleanTable[[#This Row],[Unit Price]] - SalesCleanTable[[#This Row],[Unit Cost]]) / SalesCleanTable[[#This Row],[Unit Price]]</f>
        <v>0.42499999999999999</v>
      </c>
    </row>
    <row r="2428" spans="1:31">
      <c r="A2428" t="s">
        <v>2614</v>
      </c>
      <c r="B2428" s="6">
        <v>45679</v>
      </c>
      <c r="C2428" t="s">
        <v>53</v>
      </c>
      <c r="D2428" t="s">
        <v>54</v>
      </c>
      <c r="E2428" t="s">
        <v>38</v>
      </c>
      <c r="F2428" t="s">
        <v>55</v>
      </c>
      <c r="G2428" t="s">
        <v>56</v>
      </c>
      <c r="H2428" t="s">
        <v>135</v>
      </c>
      <c r="I2428" t="s">
        <v>136</v>
      </c>
      <c r="J2428" t="s">
        <v>137</v>
      </c>
      <c r="K2428" t="s">
        <v>138</v>
      </c>
      <c r="L2428" t="s">
        <v>166</v>
      </c>
      <c r="M2428" t="s">
        <v>171</v>
      </c>
      <c r="N2428">
        <v>5</v>
      </c>
      <c r="O2428" s="4">
        <v>330</v>
      </c>
      <c r="P2428" s="4">
        <v>550</v>
      </c>
      <c r="Q2428" s="7">
        <v>0.1</v>
      </c>
      <c r="R2428" t="s">
        <v>178</v>
      </c>
      <c r="S2428">
        <v>10</v>
      </c>
      <c r="T2428">
        <v>2750</v>
      </c>
      <c r="U2428">
        <v>275</v>
      </c>
      <c r="V2428">
        <v>2475</v>
      </c>
      <c r="W2428">
        <v>1650</v>
      </c>
      <c r="X2428">
        <v>825</v>
      </c>
      <c r="Y2428" s="8">
        <v>0.33333333333333331</v>
      </c>
      <c r="Z2428" t="s">
        <v>2996</v>
      </c>
      <c r="AA2428" t="str">
        <f>IF(AND(SalesCleanTable[[#This Row],[Discount %]]&gt;0, SalesCleanTable[[#This Row],[Profit]]&lt;0), "Discount loss", "Safe")</f>
        <v>Safe</v>
      </c>
      <c r="AB2428" s="25">
        <f>(SalesCleanTable[[#This Row],[Unit Price]] - SalesCleanTable[[#This Row],[Unit Cost]]) / SalesCleanTable[[#This Row],[Unit Price]]</f>
        <v>0.4</v>
      </c>
      <c r="AC2428" t="str">
        <f>IF(SalesCleanTable[[#This Row],[Discount %]] &gt; SalesCleanTable[[#This Row],[Max Allowed Discount]], "Discount loss", "Safe")</f>
        <v>Safe</v>
      </c>
      <c r="AD2428" s="4">
        <f>SalesCleanTable[[#This Row],[Unit Price]] - SalesCleanTable[[#This Row],[Unit Cost]]</f>
        <v>220</v>
      </c>
      <c r="AE2428" s="41">
        <f>(SalesCleanTable[[#This Row],[Unit Price]] - SalesCleanTable[[#This Row],[Unit Cost]]) / SalesCleanTable[[#This Row],[Unit Price]]</f>
        <v>0.4</v>
      </c>
    </row>
    <row r="2429" spans="1:31">
      <c r="A2429" t="s">
        <v>2615</v>
      </c>
      <c r="B2429" s="6">
        <v>45985</v>
      </c>
      <c r="C2429" t="s">
        <v>73</v>
      </c>
      <c r="D2429" t="s">
        <v>74</v>
      </c>
      <c r="E2429" t="s">
        <v>75</v>
      </c>
      <c r="F2429" t="s">
        <v>76</v>
      </c>
      <c r="G2429" t="s">
        <v>77</v>
      </c>
      <c r="H2429" t="s">
        <v>133</v>
      </c>
      <c r="I2429" t="s">
        <v>134</v>
      </c>
      <c r="J2429" t="s">
        <v>130</v>
      </c>
      <c r="K2429" t="s">
        <v>131</v>
      </c>
      <c r="L2429" t="s">
        <v>166</v>
      </c>
      <c r="M2429" t="s">
        <v>171</v>
      </c>
      <c r="N2429">
        <v>2</v>
      </c>
      <c r="O2429" s="4">
        <v>3500</v>
      </c>
      <c r="P2429" s="4">
        <v>5200</v>
      </c>
      <c r="Q2429" s="7">
        <v>0</v>
      </c>
      <c r="R2429" t="s">
        <v>204</v>
      </c>
      <c r="S2429">
        <v>1</v>
      </c>
      <c r="T2429">
        <v>10400</v>
      </c>
      <c r="U2429">
        <v>0</v>
      </c>
      <c r="V2429">
        <v>10400</v>
      </c>
      <c r="W2429">
        <v>7000</v>
      </c>
      <c r="X2429">
        <v>3400</v>
      </c>
      <c r="Y2429" s="8">
        <v>0.32692307692307693</v>
      </c>
      <c r="Z2429" t="s">
        <v>2996</v>
      </c>
      <c r="AA2429" t="str">
        <f>IF(AND(SalesCleanTable[[#This Row],[Discount %]]&gt;0, SalesCleanTable[[#This Row],[Profit]]&lt;0), "Discount loss", "Safe")</f>
        <v>Safe</v>
      </c>
      <c r="AB2429" s="25">
        <f>(SalesCleanTable[[#This Row],[Unit Price]] - SalesCleanTable[[#This Row],[Unit Cost]]) / SalesCleanTable[[#This Row],[Unit Price]]</f>
        <v>0.32692307692307693</v>
      </c>
      <c r="AC2429" t="str">
        <f>IF(SalesCleanTable[[#This Row],[Discount %]] &gt; SalesCleanTable[[#This Row],[Max Allowed Discount]], "Discount loss", "Safe")</f>
        <v>Safe</v>
      </c>
      <c r="AD2429" s="4">
        <f>SalesCleanTable[[#This Row],[Unit Price]] - SalesCleanTable[[#This Row],[Unit Cost]]</f>
        <v>1700</v>
      </c>
      <c r="AE2429" s="41">
        <f>(SalesCleanTable[[#This Row],[Unit Price]] - SalesCleanTable[[#This Row],[Unit Cost]]) / SalesCleanTable[[#This Row],[Unit Price]]</f>
        <v>0.32692307692307693</v>
      </c>
    </row>
    <row r="2430" spans="1:31">
      <c r="A2430" t="s">
        <v>2616</v>
      </c>
      <c r="B2430" s="6">
        <v>45879</v>
      </c>
      <c r="C2430" t="s">
        <v>24</v>
      </c>
      <c r="D2430" t="s">
        <v>25</v>
      </c>
      <c r="E2430" t="s">
        <v>26</v>
      </c>
      <c r="F2430" t="s">
        <v>27</v>
      </c>
      <c r="G2430" t="s">
        <v>28</v>
      </c>
      <c r="H2430" t="s">
        <v>145</v>
      </c>
      <c r="I2430" t="s">
        <v>146</v>
      </c>
      <c r="J2430" t="s">
        <v>147</v>
      </c>
      <c r="K2430" t="s">
        <v>148</v>
      </c>
      <c r="L2430" t="s">
        <v>183</v>
      </c>
      <c r="M2430" t="s">
        <v>171</v>
      </c>
      <c r="N2430">
        <v>2</v>
      </c>
      <c r="O2430" s="4">
        <v>14500</v>
      </c>
      <c r="P2430" s="4">
        <v>17500</v>
      </c>
      <c r="Q2430" s="7">
        <v>0</v>
      </c>
      <c r="R2430" t="s">
        <v>197</v>
      </c>
      <c r="S2430">
        <v>2</v>
      </c>
      <c r="T2430">
        <v>35000</v>
      </c>
      <c r="U2430">
        <v>0</v>
      </c>
      <c r="V2430">
        <v>35000</v>
      </c>
      <c r="W2430">
        <v>29000</v>
      </c>
      <c r="X2430">
        <v>6000</v>
      </c>
      <c r="Y2430" s="8">
        <v>0.17142857142857143</v>
      </c>
      <c r="Z2430" t="s">
        <v>2995</v>
      </c>
      <c r="AA2430" t="str">
        <f>IF(AND(SalesCleanTable[[#This Row],[Discount %]]&gt;0, SalesCleanTable[[#This Row],[Profit]]&lt;0), "Discount loss", "Safe")</f>
        <v>Safe</v>
      </c>
      <c r="AB2430" s="25">
        <f>(SalesCleanTable[[#This Row],[Unit Price]] - SalesCleanTable[[#This Row],[Unit Cost]]) / SalesCleanTable[[#This Row],[Unit Price]]</f>
        <v>0.17142857142857143</v>
      </c>
      <c r="AC2430" t="str">
        <f>IF(SalesCleanTable[[#This Row],[Discount %]] &gt; SalesCleanTable[[#This Row],[Max Allowed Discount]], "Discount loss", "Safe")</f>
        <v>Safe</v>
      </c>
      <c r="AD2430" s="4">
        <f>SalesCleanTable[[#This Row],[Unit Price]] - SalesCleanTable[[#This Row],[Unit Cost]]</f>
        <v>3000</v>
      </c>
      <c r="AE2430" s="41">
        <f>(SalesCleanTable[[#This Row],[Unit Price]] - SalesCleanTable[[#This Row],[Unit Cost]]) / SalesCleanTable[[#This Row],[Unit Price]]</f>
        <v>0.17142857142857143</v>
      </c>
    </row>
    <row r="2431" spans="1:31">
      <c r="A2431" t="s">
        <v>2617</v>
      </c>
      <c r="B2431" s="6">
        <v>45929</v>
      </c>
      <c r="C2431" t="s">
        <v>66</v>
      </c>
      <c r="D2431" t="s">
        <v>67</v>
      </c>
      <c r="E2431" t="s">
        <v>59</v>
      </c>
      <c r="F2431" t="s">
        <v>60</v>
      </c>
      <c r="G2431" t="s">
        <v>68</v>
      </c>
      <c r="H2431" t="s">
        <v>145</v>
      </c>
      <c r="I2431" t="s">
        <v>146</v>
      </c>
      <c r="J2431" t="s">
        <v>147</v>
      </c>
      <c r="K2431" t="s">
        <v>148</v>
      </c>
      <c r="L2431" t="s">
        <v>183</v>
      </c>
      <c r="M2431" t="s">
        <v>177</v>
      </c>
      <c r="N2431">
        <v>2</v>
      </c>
      <c r="O2431" s="4">
        <v>2800</v>
      </c>
      <c r="P2431" s="4">
        <v>3900</v>
      </c>
      <c r="Q2431" s="7">
        <v>0</v>
      </c>
      <c r="R2431" t="s">
        <v>192</v>
      </c>
      <c r="S2431">
        <v>14</v>
      </c>
      <c r="T2431">
        <v>7800</v>
      </c>
      <c r="U2431">
        <v>0</v>
      </c>
      <c r="V2431">
        <v>7800</v>
      </c>
      <c r="W2431">
        <v>5600</v>
      </c>
      <c r="X2431">
        <v>2200</v>
      </c>
      <c r="Y2431" s="8">
        <v>0.28205128205128205</v>
      </c>
      <c r="Z2431" t="s">
        <v>2996</v>
      </c>
      <c r="AA2431" t="str">
        <f>IF(AND(SalesCleanTable[[#This Row],[Discount %]]&gt;0, SalesCleanTable[[#This Row],[Profit]]&lt;0), "Discount loss", "Safe")</f>
        <v>Safe</v>
      </c>
      <c r="AB2431" s="25">
        <f>(SalesCleanTable[[#This Row],[Unit Price]] - SalesCleanTable[[#This Row],[Unit Cost]]) / SalesCleanTable[[#This Row],[Unit Price]]</f>
        <v>0.28205128205128205</v>
      </c>
      <c r="AC2431" t="str">
        <f>IF(SalesCleanTable[[#This Row],[Discount %]] &gt; SalesCleanTable[[#This Row],[Max Allowed Discount]], "Discount loss", "Safe")</f>
        <v>Safe</v>
      </c>
      <c r="AD2431" s="4">
        <f>SalesCleanTable[[#This Row],[Unit Price]] - SalesCleanTable[[#This Row],[Unit Cost]]</f>
        <v>1100</v>
      </c>
      <c r="AE2431" s="41">
        <f>(SalesCleanTable[[#This Row],[Unit Price]] - SalesCleanTable[[#This Row],[Unit Cost]]) / SalesCleanTable[[#This Row],[Unit Price]]</f>
        <v>0.28205128205128205</v>
      </c>
    </row>
    <row r="2432" spans="1:31">
      <c r="A2432" t="s">
        <v>2618</v>
      </c>
      <c r="B2432" s="6">
        <v>45678</v>
      </c>
      <c r="C2432" t="s">
        <v>41</v>
      </c>
      <c r="D2432" t="s">
        <v>42</v>
      </c>
      <c r="E2432" t="s">
        <v>26</v>
      </c>
      <c r="F2432" t="s">
        <v>43</v>
      </c>
      <c r="G2432" t="s">
        <v>44</v>
      </c>
      <c r="H2432" t="s">
        <v>139</v>
      </c>
      <c r="I2432" t="s">
        <v>140</v>
      </c>
      <c r="J2432" t="s">
        <v>137</v>
      </c>
      <c r="K2432" t="s">
        <v>138</v>
      </c>
      <c r="L2432" t="s">
        <v>166</v>
      </c>
      <c r="M2432" t="s">
        <v>186</v>
      </c>
      <c r="N2432">
        <v>2</v>
      </c>
      <c r="O2432" s="4">
        <v>850</v>
      </c>
      <c r="P2432" s="4">
        <v>1300</v>
      </c>
      <c r="Q2432" s="7">
        <v>0.05</v>
      </c>
      <c r="R2432" t="s">
        <v>194</v>
      </c>
      <c r="S2432">
        <v>10</v>
      </c>
      <c r="T2432">
        <v>2600</v>
      </c>
      <c r="U2432">
        <v>130</v>
      </c>
      <c r="V2432">
        <v>2470</v>
      </c>
      <c r="W2432">
        <v>1700</v>
      </c>
      <c r="X2432">
        <v>770</v>
      </c>
      <c r="Y2432" s="8">
        <v>0.31174089068825911</v>
      </c>
      <c r="Z2432" t="s">
        <v>2995</v>
      </c>
      <c r="AA2432" t="str">
        <f>IF(AND(SalesCleanTable[[#This Row],[Discount %]]&gt;0, SalesCleanTable[[#This Row],[Profit]]&lt;0), "Discount loss", "Safe")</f>
        <v>Safe</v>
      </c>
      <c r="AB2432" s="25">
        <f>(SalesCleanTable[[#This Row],[Unit Price]] - SalesCleanTable[[#This Row],[Unit Cost]]) / SalesCleanTable[[#This Row],[Unit Price]]</f>
        <v>0.34615384615384615</v>
      </c>
      <c r="AC2432" t="str">
        <f>IF(SalesCleanTable[[#This Row],[Discount %]] &gt; SalesCleanTable[[#This Row],[Max Allowed Discount]], "Discount loss", "Safe")</f>
        <v>Safe</v>
      </c>
      <c r="AD2432" s="4">
        <f>SalesCleanTable[[#This Row],[Unit Price]] - SalesCleanTable[[#This Row],[Unit Cost]]</f>
        <v>450</v>
      </c>
      <c r="AE2432" s="41">
        <f>(SalesCleanTable[[#This Row],[Unit Price]] - SalesCleanTable[[#This Row],[Unit Cost]]) / SalesCleanTable[[#This Row],[Unit Price]]</f>
        <v>0.34615384615384615</v>
      </c>
    </row>
    <row r="2433" spans="1:31">
      <c r="A2433" t="s">
        <v>2619</v>
      </c>
      <c r="B2433" s="6">
        <v>45716</v>
      </c>
      <c r="C2433" t="s">
        <v>78</v>
      </c>
      <c r="D2433" t="s">
        <v>79</v>
      </c>
      <c r="E2433" t="s">
        <v>75</v>
      </c>
      <c r="F2433" t="s">
        <v>80</v>
      </c>
      <c r="G2433" t="s">
        <v>81</v>
      </c>
      <c r="H2433" t="s">
        <v>128</v>
      </c>
      <c r="I2433" t="s">
        <v>129</v>
      </c>
      <c r="J2433" t="s">
        <v>130</v>
      </c>
      <c r="K2433" t="s">
        <v>131</v>
      </c>
      <c r="L2433" t="s">
        <v>170</v>
      </c>
      <c r="M2433" t="s">
        <v>171</v>
      </c>
      <c r="N2433">
        <v>6</v>
      </c>
      <c r="O2433" s="4">
        <v>1200</v>
      </c>
      <c r="P2433" s="4">
        <v>1900</v>
      </c>
      <c r="Q2433" s="7">
        <v>0.1</v>
      </c>
      <c r="R2433" t="s">
        <v>204</v>
      </c>
      <c r="S2433">
        <v>3</v>
      </c>
      <c r="T2433">
        <v>11400</v>
      </c>
      <c r="U2433">
        <v>1140</v>
      </c>
      <c r="V2433">
        <v>10260</v>
      </c>
      <c r="W2433">
        <v>7200</v>
      </c>
      <c r="X2433">
        <v>3060</v>
      </c>
      <c r="Y2433" s="8">
        <v>0.2982456140350877</v>
      </c>
      <c r="Z2433" t="s">
        <v>2996</v>
      </c>
      <c r="AA2433" t="str">
        <f>IF(AND(SalesCleanTable[[#This Row],[Discount %]]&gt;0, SalesCleanTable[[#This Row],[Profit]]&lt;0), "Discount loss", "Safe")</f>
        <v>Safe</v>
      </c>
      <c r="AB2433" s="25">
        <f>(SalesCleanTable[[#This Row],[Unit Price]] - SalesCleanTable[[#This Row],[Unit Cost]]) / SalesCleanTable[[#This Row],[Unit Price]]</f>
        <v>0.36842105263157893</v>
      </c>
      <c r="AC2433" t="str">
        <f>IF(SalesCleanTable[[#This Row],[Discount %]] &gt; SalesCleanTable[[#This Row],[Max Allowed Discount]], "Discount loss", "Safe")</f>
        <v>Safe</v>
      </c>
      <c r="AD2433" s="4">
        <f>SalesCleanTable[[#This Row],[Unit Price]] - SalesCleanTable[[#This Row],[Unit Cost]]</f>
        <v>700</v>
      </c>
      <c r="AE2433" s="41">
        <f>(SalesCleanTable[[#This Row],[Unit Price]] - SalesCleanTable[[#This Row],[Unit Cost]]) / SalesCleanTable[[#This Row],[Unit Price]]</f>
        <v>0.36842105263157893</v>
      </c>
    </row>
    <row r="2434" spans="1:31">
      <c r="A2434" t="s">
        <v>2620</v>
      </c>
      <c r="B2434" s="6">
        <v>45914</v>
      </c>
      <c r="C2434" t="s">
        <v>57</v>
      </c>
      <c r="D2434" t="s">
        <v>58</v>
      </c>
      <c r="E2434" t="s">
        <v>59</v>
      </c>
      <c r="F2434" t="s">
        <v>60</v>
      </c>
      <c r="G2434" t="s">
        <v>61</v>
      </c>
      <c r="H2434" t="s">
        <v>145</v>
      </c>
      <c r="I2434" t="s">
        <v>146</v>
      </c>
      <c r="J2434" t="s">
        <v>147</v>
      </c>
      <c r="K2434" t="s">
        <v>148</v>
      </c>
      <c r="L2434" t="s">
        <v>183</v>
      </c>
      <c r="M2434" t="s">
        <v>171</v>
      </c>
      <c r="N2434">
        <v>5</v>
      </c>
      <c r="O2434" s="4">
        <v>2400</v>
      </c>
      <c r="P2434" s="4">
        <v>3400</v>
      </c>
      <c r="Q2434" s="7">
        <v>0.05</v>
      </c>
      <c r="R2434" t="s">
        <v>173</v>
      </c>
      <c r="S2434">
        <v>9</v>
      </c>
      <c r="T2434">
        <v>17000</v>
      </c>
      <c r="U2434">
        <v>850</v>
      </c>
      <c r="V2434">
        <v>16150</v>
      </c>
      <c r="W2434">
        <v>12000</v>
      </c>
      <c r="X2434">
        <v>4150</v>
      </c>
      <c r="Y2434" s="8">
        <v>0.25696594427244585</v>
      </c>
      <c r="Z2434" t="s">
        <v>2996</v>
      </c>
      <c r="AA2434" t="str">
        <f>IF(AND(SalesCleanTable[[#This Row],[Discount %]]&gt;0, SalesCleanTable[[#This Row],[Profit]]&lt;0), "Discount loss", "Safe")</f>
        <v>Safe</v>
      </c>
      <c r="AB2434" s="25">
        <f>(SalesCleanTable[[#This Row],[Unit Price]] - SalesCleanTable[[#This Row],[Unit Cost]]) / SalesCleanTable[[#This Row],[Unit Price]]</f>
        <v>0.29411764705882354</v>
      </c>
      <c r="AC2434" t="str">
        <f>IF(SalesCleanTable[[#This Row],[Discount %]] &gt; SalesCleanTable[[#This Row],[Max Allowed Discount]], "Discount loss", "Safe")</f>
        <v>Safe</v>
      </c>
      <c r="AD2434" s="4">
        <f>SalesCleanTable[[#This Row],[Unit Price]] - SalesCleanTable[[#This Row],[Unit Cost]]</f>
        <v>1000</v>
      </c>
      <c r="AE2434" s="41">
        <f>(SalesCleanTable[[#This Row],[Unit Price]] - SalesCleanTable[[#This Row],[Unit Cost]]) / SalesCleanTable[[#This Row],[Unit Price]]</f>
        <v>0.29411764705882354</v>
      </c>
    </row>
    <row r="2435" spans="1:31">
      <c r="A2435" t="s">
        <v>2621</v>
      </c>
      <c r="B2435" s="6">
        <v>45799</v>
      </c>
      <c r="C2435" t="s">
        <v>32</v>
      </c>
      <c r="D2435" t="s">
        <v>33</v>
      </c>
      <c r="E2435" t="s">
        <v>26</v>
      </c>
      <c r="F2435" t="s">
        <v>34</v>
      </c>
      <c r="G2435" t="s">
        <v>35</v>
      </c>
      <c r="H2435" t="s">
        <v>135</v>
      </c>
      <c r="I2435" t="s">
        <v>136</v>
      </c>
      <c r="J2435" t="s">
        <v>137</v>
      </c>
      <c r="K2435" t="s">
        <v>138</v>
      </c>
      <c r="L2435" t="s">
        <v>166</v>
      </c>
      <c r="M2435" t="s">
        <v>171</v>
      </c>
      <c r="N2435">
        <v>2</v>
      </c>
      <c r="O2435" s="4">
        <v>7800</v>
      </c>
      <c r="P2435" s="4">
        <v>9800</v>
      </c>
      <c r="Q2435" s="7">
        <v>0.1</v>
      </c>
      <c r="R2435" t="s">
        <v>197</v>
      </c>
      <c r="S2435">
        <v>12</v>
      </c>
      <c r="T2435">
        <v>19600</v>
      </c>
      <c r="U2435">
        <v>1960</v>
      </c>
      <c r="V2435">
        <v>17640</v>
      </c>
      <c r="W2435">
        <v>15600</v>
      </c>
      <c r="X2435">
        <v>2040</v>
      </c>
      <c r="Y2435" s="8">
        <v>0.11564625850340136</v>
      </c>
      <c r="Z2435" t="s">
        <v>2995</v>
      </c>
      <c r="AA2435" t="str">
        <f>IF(AND(SalesCleanTable[[#This Row],[Discount %]]&gt;0, SalesCleanTable[[#This Row],[Profit]]&lt;0), "Discount loss", "Safe")</f>
        <v>Safe</v>
      </c>
      <c r="AB2435" s="25">
        <f>(SalesCleanTable[[#This Row],[Unit Price]] - SalesCleanTable[[#This Row],[Unit Cost]]) / SalesCleanTable[[#This Row],[Unit Price]]</f>
        <v>0.20408163265306123</v>
      </c>
      <c r="AC2435" t="str">
        <f>IF(SalesCleanTable[[#This Row],[Discount %]] &gt; SalesCleanTable[[#This Row],[Max Allowed Discount]], "Discount loss", "Safe")</f>
        <v>Safe</v>
      </c>
      <c r="AD2435" s="4">
        <f>SalesCleanTable[[#This Row],[Unit Price]] - SalesCleanTable[[#This Row],[Unit Cost]]</f>
        <v>2000</v>
      </c>
      <c r="AE2435" s="41">
        <f>(SalesCleanTable[[#This Row],[Unit Price]] - SalesCleanTable[[#This Row],[Unit Cost]]) / SalesCleanTable[[#This Row],[Unit Price]]</f>
        <v>0.20408163265306123</v>
      </c>
    </row>
    <row r="2436" spans="1:31">
      <c r="A2436" t="s">
        <v>2622</v>
      </c>
      <c r="B2436" s="6">
        <v>45938</v>
      </c>
      <c r="C2436" t="s">
        <v>49</v>
      </c>
      <c r="D2436" t="s">
        <v>50</v>
      </c>
      <c r="E2436" t="s">
        <v>38</v>
      </c>
      <c r="F2436" t="s">
        <v>51</v>
      </c>
      <c r="G2436" t="s">
        <v>52</v>
      </c>
      <c r="H2436" t="s">
        <v>141</v>
      </c>
      <c r="I2436" t="s">
        <v>142</v>
      </c>
      <c r="J2436" t="s">
        <v>143</v>
      </c>
      <c r="K2436" t="s">
        <v>144</v>
      </c>
      <c r="L2436" t="s">
        <v>183</v>
      </c>
      <c r="M2436" t="s">
        <v>167</v>
      </c>
      <c r="N2436">
        <v>2</v>
      </c>
      <c r="O2436" s="4">
        <v>550</v>
      </c>
      <c r="P2436" s="4">
        <v>850</v>
      </c>
      <c r="Q2436" s="7">
        <v>0.05</v>
      </c>
      <c r="R2436" t="s">
        <v>168</v>
      </c>
      <c r="S2436">
        <v>4</v>
      </c>
      <c r="T2436">
        <v>1700</v>
      </c>
      <c r="U2436">
        <v>85</v>
      </c>
      <c r="V2436">
        <v>1615</v>
      </c>
      <c r="W2436">
        <v>1100</v>
      </c>
      <c r="X2436">
        <v>515</v>
      </c>
      <c r="Y2436" s="8">
        <v>0.31888544891640869</v>
      </c>
      <c r="Z2436" t="s">
        <v>2996</v>
      </c>
      <c r="AA2436" t="str">
        <f>IF(AND(SalesCleanTable[[#This Row],[Discount %]]&gt;0, SalesCleanTable[[#This Row],[Profit]]&lt;0), "Discount loss", "Safe")</f>
        <v>Safe</v>
      </c>
      <c r="AB2436" s="25">
        <f>(SalesCleanTable[[#This Row],[Unit Price]] - SalesCleanTable[[#This Row],[Unit Cost]]) / SalesCleanTable[[#This Row],[Unit Price]]</f>
        <v>0.35294117647058826</v>
      </c>
      <c r="AC2436" t="str">
        <f>IF(SalesCleanTable[[#This Row],[Discount %]] &gt; SalesCleanTable[[#This Row],[Max Allowed Discount]], "Discount loss", "Safe")</f>
        <v>Safe</v>
      </c>
      <c r="AD2436" s="4">
        <f>SalesCleanTable[[#This Row],[Unit Price]] - SalesCleanTable[[#This Row],[Unit Cost]]</f>
        <v>300</v>
      </c>
      <c r="AE2436" s="41">
        <f>(SalesCleanTable[[#This Row],[Unit Price]] - SalesCleanTable[[#This Row],[Unit Cost]]) / SalesCleanTable[[#This Row],[Unit Price]]</f>
        <v>0.35294117647058826</v>
      </c>
    </row>
    <row r="2437" spans="1:31">
      <c r="A2437" t="s">
        <v>2623</v>
      </c>
      <c r="B2437" s="6">
        <v>45885</v>
      </c>
      <c r="C2437" t="s">
        <v>36</v>
      </c>
      <c r="D2437" t="s">
        <v>37</v>
      </c>
      <c r="E2437" t="s">
        <v>38</v>
      </c>
      <c r="F2437" t="s">
        <v>39</v>
      </c>
      <c r="G2437" t="s">
        <v>40</v>
      </c>
      <c r="H2437" t="s">
        <v>128</v>
      </c>
      <c r="I2437" t="s">
        <v>129</v>
      </c>
      <c r="J2437" t="s">
        <v>130</v>
      </c>
      <c r="K2437" t="s">
        <v>131</v>
      </c>
      <c r="L2437" t="s">
        <v>166</v>
      </c>
      <c r="M2437" t="s">
        <v>171</v>
      </c>
      <c r="N2437">
        <v>2</v>
      </c>
      <c r="O2437" s="4">
        <v>1650</v>
      </c>
      <c r="P2437" s="4">
        <v>2200</v>
      </c>
      <c r="Q2437" s="7">
        <v>0.15</v>
      </c>
      <c r="R2437" t="s">
        <v>168</v>
      </c>
      <c r="S2437">
        <v>2</v>
      </c>
      <c r="T2437">
        <v>4400</v>
      </c>
      <c r="U2437">
        <v>660</v>
      </c>
      <c r="V2437">
        <v>3740</v>
      </c>
      <c r="W2437">
        <v>3300</v>
      </c>
      <c r="X2437">
        <v>440</v>
      </c>
      <c r="Y2437" s="8">
        <v>0.11764705882352941</v>
      </c>
      <c r="Z2437" t="s">
        <v>2995</v>
      </c>
      <c r="AA2437" t="str">
        <f>IF(AND(SalesCleanTable[[#This Row],[Discount %]]&gt;0, SalesCleanTable[[#This Row],[Profit]]&lt;0), "Discount loss", "Safe")</f>
        <v>Safe</v>
      </c>
      <c r="AB2437" s="25">
        <f>(SalesCleanTable[[#This Row],[Unit Price]] - SalesCleanTable[[#This Row],[Unit Cost]]) / SalesCleanTable[[#This Row],[Unit Price]]</f>
        <v>0.25</v>
      </c>
      <c r="AC2437" t="str">
        <f>IF(SalesCleanTable[[#This Row],[Discount %]] &gt; SalesCleanTable[[#This Row],[Max Allowed Discount]], "Discount loss", "Safe")</f>
        <v>Safe</v>
      </c>
      <c r="AD2437" s="4">
        <f>SalesCleanTable[[#This Row],[Unit Price]] - SalesCleanTable[[#This Row],[Unit Cost]]</f>
        <v>550</v>
      </c>
      <c r="AE2437" s="41">
        <f>(SalesCleanTable[[#This Row],[Unit Price]] - SalesCleanTable[[#This Row],[Unit Cost]]) / SalesCleanTable[[#This Row],[Unit Price]]</f>
        <v>0.25</v>
      </c>
    </row>
    <row r="2438" spans="1:31">
      <c r="A2438" t="s">
        <v>2624</v>
      </c>
      <c r="B2438" s="6">
        <v>45929</v>
      </c>
      <c r="C2438" t="s">
        <v>112</v>
      </c>
      <c r="D2438" t="s">
        <v>113</v>
      </c>
      <c r="E2438" t="s">
        <v>109</v>
      </c>
      <c r="F2438" t="s">
        <v>114</v>
      </c>
      <c r="G2438" t="s">
        <v>115</v>
      </c>
      <c r="H2438" t="s">
        <v>145</v>
      </c>
      <c r="I2438" t="s">
        <v>146</v>
      </c>
      <c r="J2438" t="s">
        <v>147</v>
      </c>
      <c r="K2438" t="s">
        <v>148</v>
      </c>
      <c r="L2438" t="s">
        <v>166</v>
      </c>
      <c r="M2438" t="s">
        <v>171</v>
      </c>
      <c r="N2438">
        <v>1</v>
      </c>
      <c r="O2438" s="4">
        <v>1300</v>
      </c>
      <c r="P2438" s="4">
        <v>2100</v>
      </c>
      <c r="Q2438" s="7">
        <v>0.05</v>
      </c>
      <c r="R2438" t="s">
        <v>220</v>
      </c>
      <c r="S2438">
        <v>14</v>
      </c>
      <c r="T2438">
        <v>2100</v>
      </c>
      <c r="U2438">
        <v>105</v>
      </c>
      <c r="V2438">
        <v>1995</v>
      </c>
      <c r="W2438">
        <v>1300</v>
      </c>
      <c r="X2438">
        <v>695</v>
      </c>
      <c r="Y2438" s="8">
        <v>0.34837092731829572</v>
      </c>
      <c r="Z2438" t="s">
        <v>2995</v>
      </c>
      <c r="AA2438" t="str">
        <f>IF(AND(SalesCleanTable[[#This Row],[Discount %]]&gt;0, SalesCleanTable[[#This Row],[Profit]]&lt;0), "Discount loss", "Safe")</f>
        <v>Safe</v>
      </c>
      <c r="AB2438" s="25">
        <f>(SalesCleanTable[[#This Row],[Unit Price]] - SalesCleanTable[[#This Row],[Unit Cost]]) / SalesCleanTable[[#This Row],[Unit Price]]</f>
        <v>0.38095238095238093</v>
      </c>
      <c r="AC2438" t="str">
        <f>IF(SalesCleanTable[[#This Row],[Discount %]] &gt; SalesCleanTable[[#This Row],[Max Allowed Discount]], "Discount loss", "Safe")</f>
        <v>Safe</v>
      </c>
      <c r="AD2438" s="4">
        <f>SalesCleanTable[[#This Row],[Unit Price]] - SalesCleanTable[[#This Row],[Unit Cost]]</f>
        <v>800</v>
      </c>
      <c r="AE2438" s="41">
        <f>(SalesCleanTable[[#This Row],[Unit Price]] - SalesCleanTable[[#This Row],[Unit Cost]]) / SalesCleanTable[[#This Row],[Unit Price]]</f>
        <v>0.38095238095238093</v>
      </c>
    </row>
    <row r="2439" spans="1:31">
      <c r="A2439" t="s">
        <v>2625</v>
      </c>
      <c r="B2439" s="6">
        <v>45832</v>
      </c>
      <c r="C2439" t="s">
        <v>62</v>
      </c>
      <c r="D2439" t="s">
        <v>63</v>
      </c>
      <c r="E2439" t="s">
        <v>59</v>
      </c>
      <c r="F2439" t="s">
        <v>64</v>
      </c>
      <c r="G2439" t="s">
        <v>65</v>
      </c>
      <c r="H2439" t="s">
        <v>135</v>
      </c>
      <c r="I2439" t="s">
        <v>136</v>
      </c>
      <c r="J2439" t="s">
        <v>137</v>
      </c>
      <c r="K2439" t="s">
        <v>138</v>
      </c>
      <c r="L2439" t="s">
        <v>170</v>
      </c>
      <c r="M2439" t="s">
        <v>171</v>
      </c>
      <c r="N2439">
        <v>3</v>
      </c>
      <c r="O2439" s="4">
        <v>3200</v>
      </c>
      <c r="P2439" s="4">
        <v>4500</v>
      </c>
      <c r="Q2439" s="7">
        <v>0.15</v>
      </c>
      <c r="R2439" t="s">
        <v>192</v>
      </c>
      <c r="S2439">
        <v>3</v>
      </c>
      <c r="T2439">
        <v>13500</v>
      </c>
      <c r="U2439">
        <v>2025</v>
      </c>
      <c r="V2439">
        <v>11475</v>
      </c>
      <c r="W2439">
        <v>9600</v>
      </c>
      <c r="X2439">
        <v>1875</v>
      </c>
      <c r="Y2439" s="8">
        <v>0.16339869281045752</v>
      </c>
      <c r="Z2439" t="s">
        <v>2996</v>
      </c>
      <c r="AA2439" t="str">
        <f>IF(AND(SalesCleanTable[[#This Row],[Discount %]]&gt;0, SalesCleanTable[[#This Row],[Profit]]&lt;0), "Discount loss", "Safe")</f>
        <v>Safe</v>
      </c>
      <c r="AB2439" s="25">
        <f>(SalesCleanTable[[#This Row],[Unit Price]] - SalesCleanTable[[#This Row],[Unit Cost]]) / SalesCleanTable[[#This Row],[Unit Price]]</f>
        <v>0.28888888888888886</v>
      </c>
      <c r="AC2439" t="str">
        <f>IF(SalesCleanTable[[#This Row],[Discount %]] &gt; SalesCleanTable[[#This Row],[Max Allowed Discount]], "Discount loss", "Safe")</f>
        <v>Safe</v>
      </c>
      <c r="AD2439" s="4">
        <f>SalesCleanTable[[#This Row],[Unit Price]] - SalesCleanTable[[#This Row],[Unit Cost]]</f>
        <v>1300</v>
      </c>
      <c r="AE2439" s="41">
        <f>(SalesCleanTable[[#This Row],[Unit Price]] - SalesCleanTable[[#This Row],[Unit Cost]]) / SalesCleanTable[[#This Row],[Unit Price]]</f>
        <v>0.28888888888888886</v>
      </c>
    </row>
    <row r="2440" spans="1:31">
      <c r="A2440" t="s">
        <v>2626</v>
      </c>
      <c r="B2440" s="6">
        <v>45731</v>
      </c>
      <c r="C2440" t="s">
        <v>41</v>
      </c>
      <c r="D2440" t="s">
        <v>42</v>
      </c>
      <c r="E2440" t="s">
        <v>26</v>
      </c>
      <c r="F2440" t="s">
        <v>43</v>
      </c>
      <c r="G2440" t="s">
        <v>44</v>
      </c>
      <c r="H2440" t="s">
        <v>139</v>
      </c>
      <c r="I2440" t="s">
        <v>140</v>
      </c>
      <c r="J2440" t="s">
        <v>137</v>
      </c>
      <c r="K2440" t="s">
        <v>138</v>
      </c>
      <c r="L2440" t="s">
        <v>166</v>
      </c>
      <c r="M2440" t="s">
        <v>171</v>
      </c>
      <c r="N2440">
        <v>2</v>
      </c>
      <c r="O2440" s="4">
        <v>850</v>
      </c>
      <c r="P2440" s="4">
        <v>1300</v>
      </c>
      <c r="Q2440" s="7">
        <v>0.05</v>
      </c>
      <c r="R2440" t="s">
        <v>197</v>
      </c>
      <c r="S2440">
        <v>4</v>
      </c>
      <c r="T2440">
        <v>2600</v>
      </c>
      <c r="U2440">
        <v>130</v>
      </c>
      <c r="V2440">
        <v>2470</v>
      </c>
      <c r="W2440">
        <v>1700</v>
      </c>
      <c r="X2440">
        <v>770</v>
      </c>
      <c r="Y2440" s="8">
        <v>0.31174089068825911</v>
      </c>
      <c r="Z2440" t="s">
        <v>2995</v>
      </c>
      <c r="AA2440" t="str">
        <f>IF(AND(SalesCleanTable[[#This Row],[Discount %]]&gt;0, SalesCleanTable[[#This Row],[Profit]]&lt;0), "Discount loss", "Safe")</f>
        <v>Safe</v>
      </c>
      <c r="AB2440" s="25">
        <f>(SalesCleanTable[[#This Row],[Unit Price]] - SalesCleanTable[[#This Row],[Unit Cost]]) / SalesCleanTable[[#This Row],[Unit Price]]</f>
        <v>0.34615384615384615</v>
      </c>
      <c r="AC2440" t="str">
        <f>IF(SalesCleanTable[[#This Row],[Discount %]] &gt; SalesCleanTable[[#This Row],[Max Allowed Discount]], "Discount loss", "Safe")</f>
        <v>Safe</v>
      </c>
      <c r="AD2440" s="4">
        <f>SalesCleanTable[[#This Row],[Unit Price]] - SalesCleanTable[[#This Row],[Unit Cost]]</f>
        <v>450</v>
      </c>
      <c r="AE2440" s="41">
        <f>(SalesCleanTable[[#This Row],[Unit Price]] - SalesCleanTable[[#This Row],[Unit Cost]]) / SalesCleanTable[[#This Row],[Unit Price]]</f>
        <v>0.34615384615384615</v>
      </c>
    </row>
    <row r="2441" spans="1:31">
      <c r="A2441" t="s">
        <v>2627</v>
      </c>
      <c r="B2441" s="6">
        <v>45951</v>
      </c>
      <c r="C2441" t="s">
        <v>29</v>
      </c>
      <c r="D2441" t="s">
        <v>30</v>
      </c>
      <c r="E2441" t="s">
        <v>26</v>
      </c>
      <c r="F2441" t="s">
        <v>27</v>
      </c>
      <c r="G2441" t="s">
        <v>31</v>
      </c>
      <c r="H2441" t="s">
        <v>145</v>
      </c>
      <c r="I2441" t="s">
        <v>146</v>
      </c>
      <c r="J2441" t="s">
        <v>147</v>
      </c>
      <c r="K2441" t="s">
        <v>148</v>
      </c>
      <c r="L2441" t="s">
        <v>166</v>
      </c>
      <c r="M2441" t="s">
        <v>167</v>
      </c>
      <c r="N2441">
        <v>5</v>
      </c>
      <c r="O2441" s="4">
        <v>6200</v>
      </c>
      <c r="P2441" s="4">
        <v>7900</v>
      </c>
      <c r="Q2441" s="7">
        <v>0.2</v>
      </c>
      <c r="R2441" t="s">
        <v>173</v>
      </c>
      <c r="S2441">
        <v>9</v>
      </c>
      <c r="T2441">
        <v>39500</v>
      </c>
      <c r="U2441">
        <v>7900</v>
      </c>
      <c r="V2441">
        <v>31600</v>
      </c>
      <c r="W2441">
        <v>31000</v>
      </c>
      <c r="X2441">
        <v>600</v>
      </c>
      <c r="Y2441" s="8">
        <v>1.8987341772151899E-2</v>
      </c>
      <c r="Z2441" t="s">
        <v>2996</v>
      </c>
      <c r="AA2441" t="str">
        <f>IF(AND(SalesCleanTable[[#This Row],[Discount %]]&gt;0, SalesCleanTable[[#This Row],[Profit]]&lt;0), "Discount loss", "Safe")</f>
        <v>Safe</v>
      </c>
      <c r="AB2441" s="25">
        <f>(SalesCleanTable[[#This Row],[Unit Price]] - SalesCleanTable[[#This Row],[Unit Cost]]) / SalesCleanTable[[#This Row],[Unit Price]]</f>
        <v>0.21518987341772153</v>
      </c>
      <c r="AC2441" t="str">
        <f>IF(SalesCleanTable[[#This Row],[Discount %]] &gt; SalesCleanTable[[#This Row],[Max Allowed Discount]], "Discount loss", "Safe")</f>
        <v>Safe</v>
      </c>
      <c r="AD2441" s="4">
        <f>SalesCleanTable[[#This Row],[Unit Price]] - SalesCleanTable[[#This Row],[Unit Cost]]</f>
        <v>1700</v>
      </c>
      <c r="AE2441" s="41">
        <f>(SalesCleanTable[[#This Row],[Unit Price]] - SalesCleanTable[[#This Row],[Unit Cost]]) / SalesCleanTable[[#This Row],[Unit Price]]</f>
        <v>0.21518987341772153</v>
      </c>
    </row>
    <row r="2442" spans="1:31">
      <c r="A2442" t="s">
        <v>2628</v>
      </c>
      <c r="B2442" s="6">
        <v>45887</v>
      </c>
      <c r="C2442" t="s">
        <v>29</v>
      </c>
      <c r="D2442" t="s">
        <v>30</v>
      </c>
      <c r="E2442" t="s">
        <v>26</v>
      </c>
      <c r="F2442" t="s">
        <v>27</v>
      </c>
      <c r="G2442" t="s">
        <v>31</v>
      </c>
      <c r="H2442" t="s">
        <v>149</v>
      </c>
      <c r="I2442" t="s">
        <v>150</v>
      </c>
      <c r="J2442" t="s">
        <v>151</v>
      </c>
      <c r="K2442" t="s">
        <v>152</v>
      </c>
      <c r="L2442" t="s">
        <v>166</v>
      </c>
      <c r="M2442" t="s">
        <v>186</v>
      </c>
      <c r="N2442">
        <v>2</v>
      </c>
      <c r="O2442" s="4">
        <v>6200</v>
      </c>
      <c r="P2442" s="4">
        <v>7900</v>
      </c>
      <c r="Q2442" s="7">
        <v>0.05</v>
      </c>
      <c r="R2442" t="s">
        <v>194</v>
      </c>
      <c r="S2442">
        <v>2</v>
      </c>
      <c r="T2442">
        <v>15800</v>
      </c>
      <c r="U2442">
        <v>790</v>
      </c>
      <c r="V2442">
        <v>15010</v>
      </c>
      <c r="W2442">
        <v>12400</v>
      </c>
      <c r="X2442">
        <v>2610</v>
      </c>
      <c r="Y2442" s="8">
        <v>0.17388407728181213</v>
      </c>
      <c r="Z2442" t="s">
        <v>2996</v>
      </c>
      <c r="AA2442" t="str">
        <f>IF(AND(SalesCleanTable[[#This Row],[Discount %]]&gt;0, SalesCleanTable[[#This Row],[Profit]]&lt;0), "Discount loss", "Safe")</f>
        <v>Safe</v>
      </c>
      <c r="AB2442" s="25">
        <f>(SalesCleanTable[[#This Row],[Unit Price]] - SalesCleanTable[[#This Row],[Unit Cost]]) / SalesCleanTable[[#This Row],[Unit Price]]</f>
        <v>0.21518987341772153</v>
      </c>
      <c r="AC2442" t="str">
        <f>IF(SalesCleanTable[[#This Row],[Discount %]] &gt; SalesCleanTable[[#This Row],[Max Allowed Discount]], "Discount loss", "Safe")</f>
        <v>Safe</v>
      </c>
      <c r="AD2442" s="4">
        <f>SalesCleanTable[[#This Row],[Unit Price]] - SalesCleanTable[[#This Row],[Unit Cost]]</f>
        <v>1700</v>
      </c>
      <c r="AE2442" s="41">
        <f>(SalesCleanTable[[#This Row],[Unit Price]] - SalesCleanTable[[#This Row],[Unit Cost]]) / SalesCleanTable[[#This Row],[Unit Price]]</f>
        <v>0.21518987341772153</v>
      </c>
    </row>
    <row r="2443" spans="1:31">
      <c r="A2443" t="s">
        <v>2629</v>
      </c>
      <c r="B2443" s="6">
        <v>45885</v>
      </c>
      <c r="C2443" t="s">
        <v>53</v>
      </c>
      <c r="D2443" t="s">
        <v>54</v>
      </c>
      <c r="E2443" t="s">
        <v>38</v>
      </c>
      <c r="F2443" t="s">
        <v>55</v>
      </c>
      <c r="G2443" t="s">
        <v>56</v>
      </c>
      <c r="H2443" t="s">
        <v>135</v>
      </c>
      <c r="I2443" t="s">
        <v>136</v>
      </c>
      <c r="J2443" t="s">
        <v>137</v>
      </c>
      <c r="K2443" t="s">
        <v>138</v>
      </c>
      <c r="L2443" t="s">
        <v>170</v>
      </c>
      <c r="M2443" t="s">
        <v>171</v>
      </c>
      <c r="N2443">
        <v>1</v>
      </c>
      <c r="O2443" s="4">
        <v>330</v>
      </c>
      <c r="P2443" s="4">
        <v>550</v>
      </c>
      <c r="Q2443" s="7">
        <v>0.05</v>
      </c>
      <c r="R2443" t="s">
        <v>168</v>
      </c>
      <c r="S2443">
        <v>9</v>
      </c>
      <c r="T2443">
        <v>550</v>
      </c>
      <c r="U2443">
        <v>27.5</v>
      </c>
      <c r="V2443">
        <v>522.5</v>
      </c>
      <c r="W2443">
        <v>330</v>
      </c>
      <c r="X2443">
        <v>192.5</v>
      </c>
      <c r="Y2443" s="8">
        <v>0.36842105263157893</v>
      </c>
      <c r="Z2443" t="s">
        <v>2996</v>
      </c>
      <c r="AA2443" t="str">
        <f>IF(AND(SalesCleanTable[[#This Row],[Discount %]]&gt;0, SalesCleanTable[[#This Row],[Profit]]&lt;0), "Discount loss", "Safe")</f>
        <v>Safe</v>
      </c>
      <c r="AB2443" s="25">
        <f>(SalesCleanTable[[#This Row],[Unit Price]] - SalesCleanTable[[#This Row],[Unit Cost]]) / SalesCleanTable[[#This Row],[Unit Price]]</f>
        <v>0.4</v>
      </c>
      <c r="AC2443" t="str">
        <f>IF(SalesCleanTable[[#This Row],[Discount %]] &gt; SalesCleanTable[[#This Row],[Max Allowed Discount]], "Discount loss", "Safe")</f>
        <v>Safe</v>
      </c>
      <c r="AD2443" s="4">
        <f>SalesCleanTable[[#This Row],[Unit Price]] - SalesCleanTable[[#This Row],[Unit Cost]]</f>
        <v>220</v>
      </c>
      <c r="AE2443" s="41">
        <f>(SalesCleanTable[[#This Row],[Unit Price]] - SalesCleanTable[[#This Row],[Unit Cost]]) / SalesCleanTable[[#This Row],[Unit Price]]</f>
        <v>0.4</v>
      </c>
    </row>
    <row r="2444" spans="1:31">
      <c r="A2444" t="s">
        <v>2630</v>
      </c>
      <c r="B2444" s="6">
        <v>45678</v>
      </c>
      <c r="C2444" t="s">
        <v>99</v>
      </c>
      <c r="D2444" t="s">
        <v>100</v>
      </c>
      <c r="E2444" t="s">
        <v>92</v>
      </c>
      <c r="F2444" t="s">
        <v>101</v>
      </c>
      <c r="G2444" t="s">
        <v>102</v>
      </c>
      <c r="H2444" t="s">
        <v>145</v>
      </c>
      <c r="I2444" t="s">
        <v>146</v>
      </c>
      <c r="J2444" t="s">
        <v>147</v>
      </c>
      <c r="K2444" t="s">
        <v>148</v>
      </c>
      <c r="L2444" t="s">
        <v>183</v>
      </c>
      <c r="M2444" t="s">
        <v>186</v>
      </c>
      <c r="N2444">
        <v>2</v>
      </c>
      <c r="O2444" s="4">
        <v>12500</v>
      </c>
      <c r="P2444" s="4">
        <v>18500</v>
      </c>
      <c r="Q2444" s="7">
        <v>0</v>
      </c>
      <c r="R2444" t="s">
        <v>215</v>
      </c>
      <c r="S2444">
        <v>1</v>
      </c>
      <c r="T2444">
        <v>37000</v>
      </c>
      <c r="U2444">
        <v>0</v>
      </c>
      <c r="V2444">
        <v>37000</v>
      </c>
      <c r="W2444">
        <v>25000</v>
      </c>
      <c r="X2444">
        <v>12000</v>
      </c>
      <c r="Y2444" s="8">
        <v>0.32432432432432434</v>
      </c>
      <c r="Z2444" t="s">
        <v>2995</v>
      </c>
      <c r="AA2444" t="str">
        <f>IF(AND(SalesCleanTable[[#This Row],[Discount %]]&gt;0, SalesCleanTable[[#This Row],[Profit]]&lt;0), "Discount loss", "Safe")</f>
        <v>Safe</v>
      </c>
      <c r="AB2444" s="25">
        <f>(SalesCleanTable[[#This Row],[Unit Price]] - SalesCleanTable[[#This Row],[Unit Cost]]) / SalesCleanTable[[#This Row],[Unit Price]]</f>
        <v>0.32432432432432434</v>
      </c>
      <c r="AC2444" t="str">
        <f>IF(SalesCleanTable[[#This Row],[Discount %]] &gt; SalesCleanTable[[#This Row],[Max Allowed Discount]], "Discount loss", "Safe")</f>
        <v>Safe</v>
      </c>
      <c r="AD2444" s="4">
        <f>SalesCleanTable[[#This Row],[Unit Price]] - SalesCleanTable[[#This Row],[Unit Cost]]</f>
        <v>6000</v>
      </c>
      <c r="AE2444" s="41">
        <f>(SalesCleanTable[[#This Row],[Unit Price]] - SalesCleanTable[[#This Row],[Unit Cost]]) / SalesCleanTable[[#This Row],[Unit Price]]</f>
        <v>0.32432432432432434</v>
      </c>
    </row>
    <row r="2445" spans="1:31">
      <c r="A2445" t="s">
        <v>2631</v>
      </c>
      <c r="B2445" s="6">
        <v>45812</v>
      </c>
      <c r="C2445" t="s">
        <v>49</v>
      </c>
      <c r="D2445" t="s">
        <v>50</v>
      </c>
      <c r="E2445" t="s">
        <v>38</v>
      </c>
      <c r="F2445" t="s">
        <v>51</v>
      </c>
      <c r="G2445" t="s">
        <v>52</v>
      </c>
      <c r="H2445" t="s">
        <v>153</v>
      </c>
      <c r="I2445" t="s">
        <v>154</v>
      </c>
      <c r="J2445" t="s">
        <v>155</v>
      </c>
      <c r="K2445" t="s">
        <v>131</v>
      </c>
      <c r="L2445" t="s">
        <v>166</v>
      </c>
      <c r="M2445" t="s">
        <v>171</v>
      </c>
      <c r="N2445">
        <v>4</v>
      </c>
      <c r="O2445" s="4">
        <v>550</v>
      </c>
      <c r="P2445" s="4">
        <v>850</v>
      </c>
      <c r="Q2445" s="7">
        <v>0.1</v>
      </c>
      <c r="R2445" t="s">
        <v>178</v>
      </c>
      <c r="S2445">
        <v>9</v>
      </c>
      <c r="T2445">
        <v>3400</v>
      </c>
      <c r="U2445">
        <v>340</v>
      </c>
      <c r="V2445">
        <v>3060</v>
      </c>
      <c r="W2445">
        <v>2200</v>
      </c>
      <c r="X2445">
        <v>860</v>
      </c>
      <c r="Y2445" s="8">
        <v>0.28104575163398693</v>
      </c>
      <c r="Z2445" t="s">
        <v>2996</v>
      </c>
      <c r="AA2445" t="str">
        <f>IF(AND(SalesCleanTable[[#This Row],[Discount %]]&gt;0, SalesCleanTable[[#This Row],[Profit]]&lt;0), "Discount loss", "Safe")</f>
        <v>Safe</v>
      </c>
      <c r="AB2445" s="25">
        <f>(SalesCleanTable[[#This Row],[Unit Price]] - SalesCleanTable[[#This Row],[Unit Cost]]) / SalesCleanTable[[#This Row],[Unit Price]]</f>
        <v>0.35294117647058826</v>
      </c>
      <c r="AC2445" t="str">
        <f>IF(SalesCleanTable[[#This Row],[Discount %]] &gt; SalesCleanTable[[#This Row],[Max Allowed Discount]], "Discount loss", "Safe")</f>
        <v>Safe</v>
      </c>
      <c r="AD2445" s="4">
        <f>SalesCleanTable[[#This Row],[Unit Price]] - SalesCleanTable[[#This Row],[Unit Cost]]</f>
        <v>300</v>
      </c>
      <c r="AE2445" s="41">
        <f>(SalesCleanTable[[#This Row],[Unit Price]] - SalesCleanTable[[#This Row],[Unit Cost]]) / SalesCleanTable[[#This Row],[Unit Price]]</f>
        <v>0.35294117647058826</v>
      </c>
    </row>
    <row r="2446" spans="1:31">
      <c r="A2446" t="s">
        <v>2632</v>
      </c>
      <c r="B2446" s="6">
        <v>45920</v>
      </c>
      <c r="C2446" t="s">
        <v>53</v>
      </c>
      <c r="D2446" t="s">
        <v>54</v>
      </c>
      <c r="E2446" t="s">
        <v>38</v>
      </c>
      <c r="F2446" t="s">
        <v>55</v>
      </c>
      <c r="G2446" t="s">
        <v>56</v>
      </c>
      <c r="H2446" t="s">
        <v>133</v>
      </c>
      <c r="I2446" t="s">
        <v>134</v>
      </c>
      <c r="J2446" t="s">
        <v>130</v>
      </c>
      <c r="K2446" t="s">
        <v>131</v>
      </c>
      <c r="L2446" t="s">
        <v>166</v>
      </c>
      <c r="M2446" t="s">
        <v>186</v>
      </c>
      <c r="N2446">
        <v>1</v>
      </c>
      <c r="O2446" s="4">
        <v>330</v>
      </c>
      <c r="P2446" s="4">
        <v>550</v>
      </c>
      <c r="Q2446" s="7">
        <v>0</v>
      </c>
      <c r="R2446" t="s">
        <v>178</v>
      </c>
      <c r="S2446">
        <v>3</v>
      </c>
      <c r="T2446">
        <v>550</v>
      </c>
      <c r="U2446">
        <v>0</v>
      </c>
      <c r="V2446">
        <v>550</v>
      </c>
      <c r="W2446">
        <v>330</v>
      </c>
      <c r="X2446">
        <v>220</v>
      </c>
      <c r="Y2446" s="8">
        <v>0.4</v>
      </c>
      <c r="Z2446" t="s">
        <v>2996</v>
      </c>
      <c r="AA2446" t="str">
        <f>IF(AND(SalesCleanTable[[#This Row],[Discount %]]&gt;0, SalesCleanTable[[#This Row],[Profit]]&lt;0), "Discount loss", "Safe")</f>
        <v>Safe</v>
      </c>
      <c r="AB2446" s="25">
        <f>(SalesCleanTable[[#This Row],[Unit Price]] - SalesCleanTable[[#This Row],[Unit Cost]]) / SalesCleanTable[[#This Row],[Unit Price]]</f>
        <v>0.4</v>
      </c>
      <c r="AC2446" t="str">
        <f>IF(SalesCleanTable[[#This Row],[Discount %]] &gt; SalesCleanTable[[#This Row],[Max Allowed Discount]], "Discount loss", "Safe")</f>
        <v>Safe</v>
      </c>
      <c r="AD2446" s="4">
        <f>SalesCleanTable[[#This Row],[Unit Price]] - SalesCleanTable[[#This Row],[Unit Cost]]</f>
        <v>220</v>
      </c>
      <c r="AE2446" s="41">
        <f>(SalesCleanTable[[#This Row],[Unit Price]] - SalesCleanTable[[#This Row],[Unit Cost]]) / SalesCleanTable[[#This Row],[Unit Price]]</f>
        <v>0.4</v>
      </c>
    </row>
    <row r="2447" spans="1:31">
      <c r="A2447" t="s">
        <v>2633</v>
      </c>
      <c r="B2447" s="6">
        <v>45862</v>
      </c>
      <c r="C2447" t="s">
        <v>78</v>
      </c>
      <c r="D2447" t="s">
        <v>79</v>
      </c>
      <c r="E2447" t="s">
        <v>75</v>
      </c>
      <c r="F2447" t="s">
        <v>80</v>
      </c>
      <c r="G2447" t="s">
        <v>81</v>
      </c>
      <c r="H2447" t="s">
        <v>133</v>
      </c>
      <c r="I2447" t="s">
        <v>134</v>
      </c>
      <c r="J2447" t="s">
        <v>130</v>
      </c>
      <c r="K2447" t="s">
        <v>131</v>
      </c>
      <c r="L2447" t="s">
        <v>183</v>
      </c>
      <c r="M2447" t="s">
        <v>171</v>
      </c>
      <c r="N2447">
        <v>8</v>
      </c>
      <c r="O2447" s="4">
        <v>1200</v>
      </c>
      <c r="P2447" s="4">
        <v>1900</v>
      </c>
      <c r="Q2447" s="7">
        <v>0.15</v>
      </c>
      <c r="R2447" t="s">
        <v>208</v>
      </c>
      <c r="S2447">
        <v>12</v>
      </c>
      <c r="T2447">
        <v>15200</v>
      </c>
      <c r="U2447">
        <v>2280</v>
      </c>
      <c r="V2447">
        <v>12920</v>
      </c>
      <c r="W2447">
        <v>9600</v>
      </c>
      <c r="X2447">
        <v>3320</v>
      </c>
      <c r="Y2447" s="8">
        <v>0.25696594427244585</v>
      </c>
      <c r="Z2447" t="s">
        <v>2996</v>
      </c>
      <c r="AA2447" t="str">
        <f>IF(AND(SalesCleanTable[[#This Row],[Discount %]]&gt;0, SalesCleanTable[[#This Row],[Profit]]&lt;0), "Discount loss", "Safe")</f>
        <v>Safe</v>
      </c>
      <c r="AB2447" s="25">
        <f>(SalesCleanTable[[#This Row],[Unit Price]] - SalesCleanTable[[#This Row],[Unit Cost]]) / SalesCleanTable[[#This Row],[Unit Price]]</f>
        <v>0.36842105263157893</v>
      </c>
      <c r="AC2447" t="str">
        <f>IF(SalesCleanTable[[#This Row],[Discount %]] &gt; SalesCleanTable[[#This Row],[Max Allowed Discount]], "Discount loss", "Safe")</f>
        <v>Safe</v>
      </c>
      <c r="AD2447" s="4">
        <f>SalesCleanTable[[#This Row],[Unit Price]] - SalesCleanTable[[#This Row],[Unit Cost]]</f>
        <v>700</v>
      </c>
      <c r="AE2447" s="41">
        <f>(SalesCleanTable[[#This Row],[Unit Price]] - SalesCleanTable[[#This Row],[Unit Cost]]) / SalesCleanTable[[#This Row],[Unit Price]]</f>
        <v>0.36842105263157893</v>
      </c>
    </row>
    <row r="2448" spans="1:31">
      <c r="A2448" t="s">
        <v>2634</v>
      </c>
      <c r="B2448" s="6">
        <v>45937</v>
      </c>
      <c r="C2448" t="s">
        <v>32</v>
      </c>
      <c r="D2448" t="s">
        <v>33</v>
      </c>
      <c r="E2448" t="s">
        <v>26</v>
      </c>
      <c r="F2448" t="s">
        <v>34</v>
      </c>
      <c r="G2448" t="s">
        <v>35</v>
      </c>
      <c r="H2448" t="s">
        <v>153</v>
      </c>
      <c r="I2448" t="s">
        <v>154</v>
      </c>
      <c r="J2448" t="s">
        <v>155</v>
      </c>
      <c r="K2448" t="s">
        <v>131</v>
      </c>
      <c r="L2448" t="s">
        <v>183</v>
      </c>
      <c r="M2448" t="s">
        <v>171</v>
      </c>
      <c r="N2448">
        <v>3</v>
      </c>
      <c r="O2448" s="4">
        <v>7800</v>
      </c>
      <c r="P2448" s="4">
        <v>9800</v>
      </c>
      <c r="Q2448" s="7">
        <v>0.05</v>
      </c>
      <c r="R2448" t="s">
        <v>197</v>
      </c>
      <c r="S2448">
        <v>9</v>
      </c>
      <c r="T2448">
        <v>29400</v>
      </c>
      <c r="U2448">
        <v>1470</v>
      </c>
      <c r="V2448">
        <v>27930</v>
      </c>
      <c r="W2448">
        <v>23400</v>
      </c>
      <c r="X2448">
        <v>4530</v>
      </c>
      <c r="Y2448" s="8">
        <v>0.16219119226638024</v>
      </c>
      <c r="Z2448" t="s">
        <v>2995</v>
      </c>
      <c r="AA2448" t="str">
        <f>IF(AND(SalesCleanTable[[#This Row],[Discount %]]&gt;0, SalesCleanTable[[#This Row],[Profit]]&lt;0), "Discount loss", "Safe")</f>
        <v>Safe</v>
      </c>
      <c r="AB2448" s="25">
        <f>(SalesCleanTable[[#This Row],[Unit Price]] - SalesCleanTable[[#This Row],[Unit Cost]]) / SalesCleanTable[[#This Row],[Unit Price]]</f>
        <v>0.20408163265306123</v>
      </c>
      <c r="AC2448" t="str">
        <f>IF(SalesCleanTable[[#This Row],[Discount %]] &gt; SalesCleanTable[[#This Row],[Max Allowed Discount]], "Discount loss", "Safe")</f>
        <v>Safe</v>
      </c>
      <c r="AD2448" s="4">
        <f>SalesCleanTable[[#This Row],[Unit Price]] - SalesCleanTable[[#This Row],[Unit Cost]]</f>
        <v>2000</v>
      </c>
      <c r="AE2448" s="41">
        <f>(SalesCleanTable[[#This Row],[Unit Price]] - SalesCleanTable[[#This Row],[Unit Cost]]) / SalesCleanTable[[#This Row],[Unit Price]]</f>
        <v>0.20408163265306123</v>
      </c>
    </row>
    <row r="2449" spans="1:31">
      <c r="A2449" t="s">
        <v>2635</v>
      </c>
      <c r="B2449" s="6">
        <v>45671</v>
      </c>
      <c r="C2449" t="s">
        <v>78</v>
      </c>
      <c r="D2449" t="s">
        <v>79</v>
      </c>
      <c r="E2449" t="s">
        <v>75</v>
      </c>
      <c r="F2449" t="s">
        <v>80</v>
      </c>
      <c r="G2449" t="s">
        <v>81</v>
      </c>
      <c r="H2449" t="s">
        <v>139</v>
      </c>
      <c r="I2449" t="s">
        <v>140</v>
      </c>
      <c r="J2449" t="s">
        <v>137</v>
      </c>
      <c r="K2449" t="s">
        <v>138</v>
      </c>
      <c r="L2449" t="s">
        <v>183</v>
      </c>
      <c r="M2449" t="s">
        <v>171</v>
      </c>
      <c r="N2449">
        <v>6</v>
      </c>
      <c r="O2449" s="4">
        <v>1200</v>
      </c>
      <c r="P2449" s="4">
        <v>1900</v>
      </c>
      <c r="Q2449" s="7">
        <v>0.05</v>
      </c>
      <c r="R2449" t="s">
        <v>187</v>
      </c>
      <c r="S2449">
        <v>14</v>
      </c>
      <c r="T2449">
        <v>11400</v>
      </c>
      <c r="U2449">
        <v>570</v>
      </c>
      <c r="V2449">
        <v>10830</v>
      </c>
      <c r="W2449">
        <v>7200</v>
      </c>
      <c r="X2449">
        <v>3630</v>
      </c>
      <c r="Y2449" s="8">
        <v>0.33518005540166207</v>
      </c>
      <c r="Z2449" t="s">
        <v>2996</v>
      </c>
      <c r="AA2449" t="str">
        <f>IF(AND(SalesCleanTable[[#This Row],[Discount %]]&gt;0, SalesCleanTable[[#This Row],[Profit]]&lt;0), "Discount loss", "Safe")</f>
        <v>Safe</v>
      </c>
      <c r="AB2449" s="25">
        <f>(SalesCleanTable[[#This Row],[Unit Price]] - SalesCleanTable[[#This Row],[Unit Cost]]) / SalesCleanTable[[#This Row],[Unit Price]]</f>
        <v>0.36842105263157893</v>
      </c>
      <c r="AC2449" t="str">
        <f>IF(SalesCleanTable[[#This Row],[Discount %]] &gt; SalesCleanTable[[#This Row],[Max Allowed Discount]], "Discount loss", "Safe")</f>
        <v>Safe</v>
      </c>
      <c r="AD2449" s="4">
        <f>SalesCleanTable[[#This Row],[Unit Price]] - SalesCleanTable[[#This Row],[Unit Cost]]</f>
        <v>700</v>
      </c>
      <c r="AE2449" s="41">
        <f>(SalesCleanTable[[#This Row],[Unit Price]] - SalesCleanTable[[#This Row],[Unit Cost]]) / SalesCleanTable[[#This Row],[Unit Price]]</f>
        <v>0.36842105263157893</v>
      </c>
    </row>
    <row r="2450" spans="1:31">
      <c r="A2450" t="s">
        <v>2636</v>
      </c>
      <c r="B2450" s="6">
        <v>45890</v>
      </c>
      <c r="C2450" t="s">
        <v>66</v>
      </c>
      <c r="D2450" t="s">
        <v>67</v>
      </c>
      <c r="E2450" t="s">
        <v>59</v>
      </c>
      <c r="F2450" t="s">
        <v>60</v>
      </c>
      <c r="G2450" t="s">
        <v>68</v>
      </c>
      <c r="H2450" t="s">
        <v>133</v>
      </c>
      <c r="I2450" t="s">
        <v>134</v>
      </c>
      <c r="J2450" t="s">
        <v>130</v>
      </c>
      <c r="K2450" t="s">
        <v>131</v>
      </c>
      <c r="L2450" t="s">
        <v>166</v>
      </c>
      <c r="M2450" t="s">
        <v>171</v>
      </c>
      <c r="N2450">
        <v>5</v>
      </c>
      <c r="O2450" s="4">
        <v>2800</v>
      </c>
      <c r="P2450" s="4">
        <v>3900</v>
      </c>
      <c r="Q2450" s="7">
        <v>0.1</v>
      </c>
      <c r="R2450" t="s">
        <v>192</v>
      </c>
      <c r="S2450">
        <v>4</v>
      </c>
      <c r="T2450">
        <v>19500</v>
      </c>
      <c r="U2450">
        <v>1950</v>
      </c>
      <c r="V2450">
        <v>17550</v>
      </c>
      <c r="W2450">
        <v>14000</v>
      </c>
      <c r="X2450">
        <v>3550</v>
      </c>
      <c r="Y2450" s="8">
        <v>0.20227920227920229</v>
      </c>
      <c r="Z2450" t="s">
        <v>2996</v>
      </c>
      <c r="AA2450" t="str">
        <f>IF(AND(SalesCleanTable[[#This Row],[Discount %]]&gt;0, SalesCleanTable[[#This Row],[Profit]]&lt;0), "Discount loss", "Safe")</f>
        <v>Safe</v>
      </c>
      <c r="AB2450" s="25">
        <f>(SalesCleanTable[[#This Row],[Unit Price]] - SalesCleanTable[[#This Row],[Unit Cost]]) / SalesCleanTable[[#This Row],[Unit Price]]</f>
        <v>0.28205128205128205</v>
      </c>
      <c r="AC2450" t="str">
        <f>IF(SalesCleanTable[[#This Row],[Discount %]] &gt; SalesCleanTable[[#This Row],[Max Allowed Discount]], "Discount loss", "Safe")</f>
        <v>Safe</v>
      </c>
      <c r="AD2450" s="4">
        <f>SalesCleanTable[[#This Row],[Unit Price]] - SalesCleanTable[[#This Row],[Unit Cost]]</f>
        <v>1100</v>
      </c>
      <c r="AE2450" s="41">
        <f>(SalesCleanTable[[#This Row],[Unit Price]] - SalesCleanTable[[#This Row],[Unit Cost]]) / SalesCleanTable[[#This Row],[Unit Price]]</f>
        <v>0.28205128205128205</v>
      </c>
    </row>
    <row r="2451" spans="1:31">
      <c r="A2451" t="s">
        <v>2637</v>
      </c>
      <c r="B2451" s="6">
        <v>46019</v>
      </c>
      <c r="C2451" t="s">
        <v>57</v>
      </c>
      <c r="D2451" t="s">
        <v>58</v>
      </c>
      <c r="E2451" t="s">
        <v>59</v>
      </c>
      <c r="F2451" t="s">
        <v>60</v>
      </c>
      <c r="G2451" t="s">
        <v>61</v>
      </c>
      <c r="H2451" t="s">
        <v>153</v>
      </c>
      <c r="I2451" t="s">
        <v>154</v>
      </c>
      <c r="J2451" t="s">
        <v>155</v>
      </c>
      <c r="K2451" t="s">
        <v>131</v>
      </c>
      <c r="L2451" t="s">
        <v>183</v>
      </c>
      <c r="M2451" t="s">
        <v>171</v>
      </c>
      <c r="N2451">
        <v>2</v>
      </c>
      <c r="O2451" s="4">
        <v>2400</v>
      </c>
      <c r="P2451" s="4">
        <v>3400</v>
      </c>
      <c r="Q2451" s="7">
        <v>0.05</v>
      </c>
      <c r="R2451" t="s">
        <v>192</v>
      </c>
      <c r="S2451">
        <v>12</v>
      </c>
      <c r="T2451">
        <v>6800</v>
      </c>
      <c r="U2451">
        <v>340</v>
      </c>
      <c r="V2451">
        <v>6460</v>
      </c>
      <c r="W2451">
        <v>4800</v>
      </c>
      <c r="X2451">
        <v>1660</v>
      </c>
      <c r="Y2451" s="8">
        <v>0.25696594427244585</v>
      </c>
      <c r="Z2451" t="s">
        <v>2996</v>
      </c>
      <c r="AA2451" t="str">
        <f>IF(AND(SalesCleanTable[[#This Row],[Discount %]]&gt;0, SalesCleanTable[[#This Row],[Profit]]&lt;0), "Discount loss", "Safe")</f>
        <v>Safe</v>
      </c>
      <c r="AB2451" s="25">
        <f>(SalesCleanTable[[#This Row],[Unit Price]] - SalesCleanTable[[#This Row],[Unit Cost]]) / SalesCleanTable[[#This Row],[Unit Price]]</f>
        <v>0.29411764705882354</v>
      </c>
      <c r="AC2451" t="str">
        <f>IF(SalesCleanTable[[#This Row],[Discount %]] &gt; SalesCleanTable[[#This Row],[Max Allowed Discount]], "Discount loss", "Safe")</f>
        <v>Safe</v>
      </c>
      <c r="AD2451" s="4">
        <f>SalesCleanTable[[#This Row],[Unit Price]] - SalesCleanTable[[#This Row],[Unit Cost]]</f>
        <v>1000</v>
      </c>
      <c r="AE2451" s="41">
        <f>(SalesCleanTable[[#This Row],[Unit Price]] - SalesCleanTable[[#This Row],[Unit Cost]]) / SalesCleanTable[[#This Row],[Unit Price]]</f>
        <v>0.29411764705882354</v>
      </c>
    </row>
    <row r="2452" spans="1:31">
      <c r="A2452" t="s">
        <v>2638</v>
      </c>
      <c r="B2452" s="6">
        <v>45873</v>
      </c>
      <c r="C2452" t="s">
        <v>53</v>
      </c>
      <c r="D2452" t="s">
        <v>54</v>
      </c>
      <c r="E2452" t="s">
        <v>38</v>
      </c>
      <c r="F2452" t="s">
        <v>55</v>
      </c>
      <c r="G2452" t="s">
        <v>56</v>
      </c>
      <c r="H2452" t="s">
        <v>139</v>
      </c>
      <c r="I2452" t="s">
        <v>140</v>
      </c>
      <c r="J2452" t="s">
        <v>137</v>
      </c>
      <c r="K2452" t="s">
        <v>138</v>
      </c>
      <c r="L2452" t="s">
        <v>183</v>
      </c>
      <c r="M2452" t="s">
        <v>171</v>
      </c>
      <c r="N2452">
        <v>3</v>
      </c>
      <c r="O2452" s="4">
        <v>330</v>
      </c>
      <c r="P2452" s="4">
        <v>550</v>
      </c>
      <c r="Q2452" s="7">
        <v>0.15</v>
      </c>
      <c r="R2452" t="s">
        <v>178</v>
      </c>
      <c r="S2452">
        <v>6</v>
      </c>
      <c r="T2452">
        <v>1650</v>
      </c>
      <c r="U2452">
        <v>247.5</v>
      </c>
      <c r="V2452">
        <v>1402.5</v>
      </c>
      <c r="W2452">
        <v>990</v>
      </c>
      <c r="X2452">
        <v>412.5</v>
      </c>
      <c r="Y2452" s="8">
        <v>0.29411764705882354</v>
      </c>
      <c r="Z2452" t="s">
        <v>2996</v>
      </c>
      <c r="AA2452" t="str">
        <f>IF(AND(SalesCleanTable[[#This Row],[Discount %]]&gt;0, SalesCleanTable[[#This Row],[Profit]]&lt;0), "Discount loss", "Safe")</f>
        <v>Safe</v>
      </c>
      <c r="AB2452" s="25">
        <f>(SalesCleanTable[[#This Row],[Unit Price]] - SalesCleanTable[[#This Row],[Unit Cost]]) / SalesCleanTable[[#This Row],[Unit Price]]</f>
        <v>0.4</v>
      </c>
      <c r="AC2452" t="str">
        <f>IF(SalesCleanTable[[#This Row],[Discount %]] &gt; SalesCleanTable[[#This Row],[Max Allowed Discount]], "Discount loss", "Safe")</f>
        <v>Safe</v>
      </c>
      <c r="AD2452" s="4">
        <f>SalesCleanTable[[#This Row],[Unit Price]] - SalesCleanTable[[#This Row],[Unit Cost]]</f>
        <v>220</v>
      </c>
      <c r="AE2452" s="41">
        <f>(SalesCleanTable[[#This Row],[Unit Price]] - SalesCleanTable[[#This Row],[Unit Cost]]) / SalesCleanTable[[#This Row],[Unit Price]]</f>
        <v>0.4</v>
      </c>
    </row>
    <row r="2453" spans="1:31">
      <c r="A2453" t="s">
        <v>2639</v>
      </c>
      <c r="B2453" s="6">
        <v>45886</v>
      </c>
      <c r="C2453" t="s">
        <v>24</v>
      </c>
      <c r="D2453" t="s">
        <v>25</v>
      </c>
      <c r="E2453" t="s">
        <v>26</v>
      </c>
      <c r="F2453" t="s">
        <v>27</v>
      </c>
      <c r="G2453" t="s">
        <v>28</v>
      </c>
      <c r="H2453" t="s">
        <v>139</v>
      </c>
      <c r="I2453" t="s">
        <v>140</v>
      </c>
      <c r="J2453" t="s">
        <v>137</v>
      </c>
      <c r="K2453" t="s">
        <v>138</v>
      </c>
      <c r="L2453" t="s">
        <v>166</v>
      </c>
      <c r="M2453" t="s">
        <v>171</v>
      </c>
      <c r="N2453">
        <v>2</v>
      </c>
      <c r="O2453" s="4">
        <v>14500</v>
      </c>
      <c r="P2453" s="4">
        <v>17500</v>
      </c>
      <c r="Q2453" s="7">
        <v>0</v>
      </c>
      <c r="R2453" t="s">
        <v>197</v>
      </c>
      <c r="S2453">
        <v>2</v>
      </c>
      <c r="T2453">
        <v>35000</v>
      </c>
      <c r="U2453">
        <v>0</v>
      </c>
      <c r="V2453">
        <v>35000</v>
      </c>
      <c r="W2453">
        <v>29000</v>
      </c>
      <c r="X2453">
        <v>6000</v>
      </c>
      <c r="Y2453" s="8">
        <v>0.17142857142857143</v>
      </c>
      <c r="Z2453" t="s">
        <v>2995</v>
      </c>
      <c r="AA2453" t="str">
        <f>IF(AND(SalesCleanTable[[#This Row],[Discount %]]&gt;0, SalesCleanTable[[#This Row],[Profit]]&lt;0), "Discount loss", "Safe")</f>
        <v>Safe</v>
      </c>
      <c r="AB2453" s="25">
        <f>(SalesCleanTable[[#This Row],[Unit Price]] - SalesCleanTable[[#This Row],[Unit Cost]]) / SalesCleanTable[[#This Row],[Unit Price]]</f>
        <v>0.17142857142857143</v>
      </c>
      <c r="AC2453" t="str">
        <f>IF(SalesCleanTable[[#This Row],[Discount %]] &gt; SalesCleanTable[[#This Row],[Max Allowed Discount]], "Discount loss", "Safe")</f>
        <v>Safe</v>
      </c>
      <c r="AD2453" s="4">
        <f>SalesCleanTable[[#This Row],[Unit Price]] - SalesCleanTable[[#This Row],[Unit Cost]]</f>
        <v>3000</v>
      </c>
      <c r="AE2453" s="41">
        <f>(SalesCleanTable[[#This Row],[Unit Price]] - SalesCleanTable[[#This Row],[Unit Cost]]) / SalesCleanTable[[#This Row],[Unit Price]]</f>
        <v>0.17142857142857143</v>
      </c>
    </row>
    <row r="2454" spans="1:31">
      <c r="A2454" t="s">
        <v>2640</v>
      </c>
      <c r="B2454" s="6">
        <v>45832</v>
      </c>
      <c r="C2454" t="s">
        <v>73</v>
      </c>
      <c r="D2454" t="s">
        <v>74</v>
      </c>
      <c r="E2454" t="s">
        <v>75</v>
      </c>
      <c r="F2454" t="s">
        <v>76</v>
      </c>
      <c r="G2454" t="s">
        <v>77</v>
      </c>
      <c r="H2454" t="s">
        <v>141</v>
      </c>
      <c r="I2454" t="s">
        <v>142</v>
      </c>
      <c r="J2454" t="s">
        <v>143</v>
      </c>
      <c r="K2454" t="s">
        <v>144</v>
      </c>
      <c r="L2454" t="s">
        <v>183</v>
      </c>
      <c r="M2454" t="s">
        <v>186</v>
      </c>
      <c r="N2454">
        <v>4</v>
      </c>
      <c r="O2454" s="4">
        <v>3500</v>
      </c>
      <c r="P2454" s="4">
        <v>5200</v>
      </c>
      <c r="Q2454" s="7">
        <v>0.05</v>
      </c>
      <c r="R2454" t="s">
        <v>204</v>
      </c>
      <c r="S2454">
        <v>2</v>
      </c>
      <c r="T2454">
        <v>20800</v>
      </c>
      <c r="U2454">
        <v>1040</v>
      </c>
      <c r="V2454">
        <v>19760</v>
      </c>
      <c r="W2454">
        <v>14000</v>
      </c>
      <c r="X2454">
        <v>5760</v>
      </c>
      <c r="Y2454" s="8">
        <v>0.291497975708502</v>
      </c>
      <c r="Z2454" t="s">
        <v>2996</v>
      </c>
      <c r="AA2454" t="str">
        <f>IF(AND(SalesCleanTable[[#This Row],[Discount %]]&gt;0, SalesCleanTable[[#This Row],[Profit]]&lt;0), "Discount loss", "Safe")</f>
        <v>Safe</v>
      </c>
      <c r="AB2454" s="25">
        <f>(SalesCleanTable[[#This Row],[Unit Price]] - SalesCleanTable[[#This Row],[Unit Cost]]) / SalesCleanTable[[#This Row],[Unit Price]]</f>
        <v>0.32692307692307693</v>
      </c>
      <c r="AC2454" t="str">
        <f>IF(SalesCleanTable[[#This Row],[Discount %]] &gt; SalesCleanTable[[#This Row],[Max Allowed Discount]], "Discount loss", "Safe")</f>
        <v>Safe</v>
      </c>
      <c r="AD2454" s="4">
        <f>SalesCleanTable[[#This Row],[Unit Price]] - SalesCleanTable[[#This Row],[Unit Cost]]</f>
        <v>1700</v>
      </c>
      <c r="AE2454" s="41">
        <f>(SalesCleanTable[[#This Row],[Unit Price]] - SalesCleanTable[[#This Row],[Unit Cost]]) / SalesCleanTable[[#This Row],[Unit Price]]</f>
        <v>0.32692307692307693</v>
      </c>
    </row>
    <row r="2455" spans="1:31">
      <c r="A2455" t="s">
        <v>2641</v>
      </c>
      <c r="B2455" s="6">
        <v>45974</v>
      </c>
      <c r="C2455" t="s">
        <v>69</v>
      </c>
      <c r="D2455" t="s">
        <v>70</v>
      </c>
      <c r="E2455" t="s">
        <v>59</v>
      </c>
      <c r="F2455" t="s">
        <v>71</v>
      </c>
      <c r="G2455" t="s">
        <v>72</v>
      </c>
      <c r="H2455" t="s">
        <v>149</v>
      </c>
      <c r="I2455" t="s">
        <v>150</v>
      </c>
      <c r="J2455" t="s">
        <v>151</v>
      </c>
      <c r="K2455" t="s">
        <v>152</v>
      </c>
      <c r="L2455" t="s">
        <v>183</v>
      </c>
      <c r="M2455" t="s">
        <v>167</v>
      </c>
      <c r="N2455">
        <v>2</v>
      </c>
      <c r="O2455" s="4">
        <v>1700</v>
      </c>
      <c r="P2455" s="4">
        <v>2600</v>
      </c>
      <c r="Q2455" s="7">
        <v>0</v>
      </c>
      <c r="R2455" t="s">
        <v>204</v>
      </c>
      <c r="S2455">
        <v>6</v>
      </c>
      <c r="T2455">
        <v>5200</v>
      </c>
      <c r="U2455">
        <v>0</v>
      </c>
      <c r="V2455">
        <v>5200</v>
      </c>
      <c r="W2455">
        <v>3400</v>
      </c>
      <c r="X2455">
        <v>1800</v>
      </c>
      <c r="Y2455" s="8">
        <v>0.34615384615384615</v>
      </c>
      <c r="Z2455" t="s">
        <v>2997</v>
      </c>
      <c r="AA2455" t="str">
        <f>IF(AND(SalesCleanTable[[#This Row],[Discount %]]&gt;0, SalesCleanTable[[#This Row],[Profit]]&lt;0), "Discount loss", "Safe")</f>
        <v>Safe</v>
      </c>
      <c r="AB2455" s="25">
        <f>(SalesCleanTable[[#This Row],[Unit Price]] - SalesCleanTable[[#This Row],[Unit Cost]]) / SalesCleanTable[[#This Row],[Unit Price]]</f>
        <v>0.34615384615384615</v>
      </c>
      <c r="AC2455" t="str">
        <f>IF(SalesCleanTable[[#This Row],[Discount %]] &gt; SalesCleanTable[[#This Row],[Max Allowed Discount]], "Discount loss", "Safe")</f>
        <v>Safe</v>
      </c>
      <c r="AD2455" s="4">
        <f>SalesCleanTable[[#This Row],[Unit Price]] - SalesCleanTable[[#This Row],[Unit Cost]]</f>
        <v>900</v>
      </c>
      <c r="AE2455" s="41">
        <f>(SalesCleanTable[[#This Row],[Unit Price]] - SalesCleanTable[[#This Row],[Unit Cost]]) / SalesCleanTable[[#This Row],[Unit Price]]</f>
        <v>0.34615384615384615</v>
      </c>
    </row>
    <row r="2456" spans="1:31">
      <c r="A2456" t="s">
        <v>2642</v>
      </c>
      <c r="B2456" s="6">
        <v>45933</v>
      </c>
      <c r="C2456" t="s">
        <v>41</v>
      </c>
      <c r="D2456" t="s">
        <v>42</v>
      </c>
      <c r="E2456" t="s">
        <v>26</v>
      </c>
      <c r="F2456" t="s">
        <v>43</v>
      </c>
      <c r="G2456" t="s">
        <v>44</v>
      </c>
      <c r="H2456" t="s">
        <v>153</v>
      </c>
      <c r="I2456" t="s">
        <v>154</v>
      </c>
      <c r="J2456" t="s">
        <v>155</v>
      </c>
      <c r="K2456" t="s">
        <v>131</v>
      </c>
      <c r="L2456" t="s">
        <v>166</v>
      </c>
      <c r="M2456" t="s">
        <v>177</v>
      </c>
      <c r="N2456">
        <v>2</v>
      </c>
      <c r="O2456" s="4">
        <v>850</v>
      </c>
      <c r="P2456" s="4">
        <v>1300</v>
      </c>
      <c r="Q2456" s="7">
        <v>0.05</v>
      </c>
      <c r="R2456" t="s">
        <v>173</v>
      </c>
      <c r="S2456">
        <v>2</v>
      </c>
      <c r="T2456">
        <v>2600</v>
      </c>
      <c r="U2456">
        <v>130</v>
      </c>
      <c r="V2456">
        <v>2470</v>
      </c>
      <c r="W2456">
        <v>1700</v>
      </c>
      <c r="X2456">
        <v>770</v>
      </c>
      <c r="Y2456" s="8">
        <v>0.31174089068825911</v>
      </c>
      <c r="Z2456" t="s">
        <v>2995</v>
      </c>
      <c r="AA2456" t="str">
        <f>IF(AND(SalesCleanTable[[#This Row],[Discount %]]&gt;0, SalesCleanTable[[#This Row],[Profit]]&lt;0), "Discount loss", "Safe")</f>
        <v>Safe</v>
      </c>
      <c r="AB2456" s="25">
        <f>(SalesCleanTable[[#This Row],[Unit Price]] - SalesCleanTable[[#This Row],[Unit Cost]]) / SalesCleanTable[[#This Row],[Unit Price]]</f>
        <v>0.34615384615384615</v>
      </c>
      <c r="AC2456" t="str">
        <f>IF(SalesCleanTable[[#This Row],[Discount %]] &gt; SalesCleanTable[[#This Row],[Max Allowed Discount]], "Discount loss", "Safe")</f>
        <v>Safe</v>
      </c>
      <c r="AD2456" s="4">
        <f>SalesCleanTable[[#This Row],[Unit Price]] - SalesCleanTable[[#This Row],[Unit Cost]]</f>
        <v>450</v>
      </c>
      <c r="AE2456" s="41">
        <f>(SalesCleanTable[[#This Row],[Unit Price]] - SalesCleanTable[[#This Row],[Unit Cost]]) / SalesCleanTable[[#This Row],[Unit Price]]</f>
        <v>0.34615384615384615</v>
      </c>
    </row>
    <row r="2457" spans="1:31">
      <c r="A2457" t="s">
        <v>2643</v>
      </c>
      <c r="B2457" s="6">
        <v>45774</v>
      </c>
      <c r="C2457" t="s">
        <v>116</v>
      </c>
      <c r="D2457" t="s">
        <v>117</v>
      </c>
      <c r="E2457" t="s">
        <v>109</v>
      </c>
      <c r="F2457" t="s">
        <v>118</v>
      </c>
      <c r="G2457" t="s">
        <v>119</v>
      </c>
      <c r="H2457" t="s">
        <v>145</v>
      </c>
      <c r="I2457" t="s">
        <v>146</v>
      </c>
      <c r="J2457" t="s">
        <v>147</v>
      </c>
      <c r="K2457" t="s">
        <v>148</v>
      </c>
      <c r="L2457" t="s">
        <v>166</v>
      </c>
      <c r="M2457" t="s">
        <v>186</v>
      </c>
      <c r="N2457">
        <v>5</v>
      </c>
      <c r="O2457" s="4">
        <v>2800</v>
      </c>
      <c r="P2457" s="4">
        <v>4200</v>
      </c>
      <c r="Q2457" s="7">
        <v>0</v>
      </c>
      <c r="R2457" t="s">
        <v>220</v>
      </c>
      <c r="S2457">
        <v>11</v>
      </c>
      <c r="T2457">
        <v>21000</v>
      </c>
      <c r="U2457">
        <v>0</v>
      </c>
      <c r="V2457">
        <v>21000</v>
      </c>
      <c r="W2457">
        <v>14000</v>
      </c>
      <c r="X2457">
        <v>7000</v>
      </c>
      <c r="Y2457" s="8">
        <v>0.33333333333333331</v>
      </c>
      <c r="Z2457" t="s">
        <v>2995</v>
      </c>
      <c r="AA2457" t="str">
        <f>IF(AND(SalesCleanTable[[#This Row],[Discount %]]&gt;0, SalesCleanTable[[#This Row],[Profit]]&lt;0), "Discount loss", "Safe")</f>
        <v>Safe</v>
      </c>
      <c r="AB2457" s="25">
        <f>(SalesCleanTable[[#This Row],[Unit Price]] - SalesCleanTable[[#This Row],[Unit Cost]]) / SalesCleanTable[[#This Row],[Unit Price]]</f>
        <v>0.33333333333333331</v>
      </c>
      <c r="AC2457" t="str">
        <f>IF(SalesCleanTable[[#This Row],[Discount %]] &gt; SalesCleanTable[[#This Row],[Max Allowed Discount]], "Discount loss", "Safe")</f>
        <v>Safe</v>
      </c>
      <c r="AD2457" s="4">
        <f>SalesCleanTable[[#This Row],[Unit Price]] - SalesCleanTable[[#This Row],[Unit Cost]]</f>
        <v>1400</v>
      </c>
      <c r="AE2457" s="41">
        <f>(SalesCleanTable[[#This Row],[Unit Price]] - SalesCleanTable[[#This Row],[Unit Cost]]) / SalesCleanTable[[#This Row],[Unit Price]]</f>
        <v>0.33333333333333331</v>
      </c>
    </row>
    <row r="2458" spans="1:31">
      <c r="A2458" t="s">
        <v>2644</v>
      </c>
      <c r="B2458" s="6">
        <v>45931</v>
      </c>
      <c r="C2458" t="s">
        <v>69</v>
      </c>
      <c r="D2458" t="s">
        <v>70</v>
      </c>
      <c r="E2458" t="s">
        <v>59</v>
      </c>
      <c r="F2458" t="s">
        <v>71</v>
      </c>
      <c r="G2458" t="s">
        <v>72</v>
      </c>
      <c r="H2458" t="s">
        <v>145</v>
      </c>
      <c r="I2458" t="s">
        <v>146</v>
      </c>
      <c r="J2458" t="s">
        <v>147</v>
      </c>
      <c r="K2458" t="s">
        <v>148</v>
      </c>
      <c r="L2458" t="s">
        <v>183</v>
      </c>
      <c r="M2458" t="s">
        <v>171</v>
      </c>
      <c r="N2458">
        <v>3</v>
      </c>
      <c r="O2458" s="4">
        <v>1700</v>
      </c>
      <c r="P2458" s="4">
        <v>2600</v>
      </c>
      <c r="Q2458" s="7">
        <v>0.05</v>
      </c>
      <c r="R2458" t="s">
        <v>173</v>
      </c>
      <c r="S2458">
        <v>1</v>
      </c>
      <c r="T2458">
        <v>7800</v>
      </c>
      <c r="U2458">
        <v>390</v>
      </c>
      <c r="V2458">
        <v>7410</v>
      </c>
      <c r="W2458">
        <v>5100</v>
      </c>
      <c r="X2458">
        <v>2310</v>
      </c>
      <c r="Y2458" s="8">
        <v>0.31174089068825911</v>
      </c>
      <c r="Z2458" t="s">
        <v>2997</v>
      </c>
      <c r="AA2458" t="str">
        <f>IF(AND(SalesCleanTable[[#This Row],[Discount %]]&gt;0, SalesCleanTable[[#This Row],[Profit]]&lt;0), "Discount loss", "Safe")</f>
        <v>Safe</v>
      </c>
      <c r="AB2458" s="25">
        <f>(SalesCleanTable[[#This Row],[Unit Price]] - SalesCleanTable[[#This Row],[Unit Cost]]) / SalesCleanTable[[#This Row],[Unit Price]]</f>
        <v>0.34615384615384615</v>
      </c>
      <c r="AC2458" t="str">
        <f>IF(SalesCleanTable[[#This Row],[Discount %]] &gt; SalesCleanTable[[#This Row],[Max Allowed Discount]], "Discount loss", "Safe")</f>
        <v>Safe</v>
      </c>
      <c r="AD2458" s="4">
        <f>SalesCleanTable[[#This Row],[Unit Price]] - SalesCleanTable[[#This Row],[Unit Cost]]</f>
        <v>900</v>
      </c>
      <c r="AE2458" s="41">
        <f>(SalesCleanTable[[#This Row],[Unit Price]] - SalesCleanTable[[#This Row],[Unit Cost]]) / SalesCleanTable[[#This Row],[Unit Price]]</f>
        <v>0.34615384615384615</v>
      </c>
    </row>
    <row r="2459" spans="1:31">
      <c r="A2459" t="s">
        <v>2645</v>
      </c>
      <c r="B2459" s="6">
        <v>45730</v>
      </c>
      <c r="C2459" t="s">
        <v>41</v>
      </c>
      <c r="D2459" t="s">
        <v>42</v>
      </c>
      <c r="E2459" t="s">
        <v>26</v>
      </c>
      <c r="F2459" t="s">
        <v>43</v>
      </c>
      <c r="G2459" t="s">
        <v>44</v>
      </c>
      <c r="H2459" t="s">
        <v>153</v>
      </c>
      <c r="I2459" t="s">
        <v>154</v>
      </c>
      <c r="J2459" t="s">
        <v>155</v>
      </c>
      <c r="K2459" t="s">
        <v>131</v>
      </c>
      <c r="L2459" t="s">
        <v>166</v>
      </c>
      <c r="M2459" t="s">
        <v>186</v>
      </c>
      <c r="N2459">
        <v>5</v>
      </c>
      <c r="O2459" s="4">
        <v>850</v>
      </c>
      <c r="P2459" s="4">
        <v>1300</v>
      </c>
      <c r="Q2459" s="7">
        <v>0.1</v>
      </c>
      <c r="R2459" t="s">
        <v>194</v>
      </c>
      <c r="S2459">
        <v>7</v>
      </c>
      <c r="T2459">
        <v>6500</v>
      </c>
      <c r="U2459">
        <v>650</v>
      </c>
      <c r="V2459">
        <v>5850</v>
      </c>
      <c r="W2459">
        <v>4250</v>
      </c>
      <c r="X2459">
        <v>1600</v>
      </c>
      <c r="Y2459" s="8">
        <v>0.27350427350427353</v>
      </c>
      <c r="Z2459" t="s">
        <v>2995</v>
      </c>
      <c r="AA2459" t="str">
        <f>IF(AND(SalesCleanTable[[#This Row],[Discount %]]&gt;0, SalesCleanTable[[#This Row],[Profit]]&lt;0), "Discount loss", "Safe")</f>
        <v>Safe</v>
      </c>
      <c r="AB2459" s="25">
        <f>(SalesCleanTable[[#This Row],[Unit Price]] - SalesCleanTable[[#This Row],[Unit Cost]]) / SalesCleanTable[[#This Row],[Unit Price]]</f>
        <v>0.34615384615384615</v>
      </c>
      <c r="AC2459" t="str">
        <f>IF(SalesCleanTable[[#This Row],[Discount %]] &gt; SalesCleanTable[[#This Row],[Max Allowed Discount]], "Discount loss", "Safe")</f>
        <v>Safe</v>
      </c>
      <c r="AD2459" s="4">
        <f>SalesCleanTable[[#This Row],[Unit Price]] - SalesCleanTable[[#This Row],[Unit Cost]]</f>
        <v>450</v>
      </c>
      <c r="AE2459" s="41">
        <f>(SalesCleanTable[[#This Row],[Unit Price]] - SalesCleanTable[[#This Row],[Unit Cost]]) / SalesCleanTable[[#This Row],[Unit Price]]</f>
        <v>0.34615384615384615</v>
      </c>
    </row>
    <row r="2460" spans="1:31">
      <c r="A2460" t="s">
        <v>2646</v>
      </c>
      <c r="B2460" s="6">
        <v>45952</v>
      </c>
      <c r="C2460" t="s">
        <v>95</v>
      </c>
      <c r="D2460" t="s">
        <v>96</v>
      </c>
      <c r="E2460" t="s">
        <v>92</v>
      </c>
      <c r="F2460" t="s">
        <v>97</v>
      </c>
      <c r="G2460" t="s">
        <v>98</v>
      </c>
      <c r="H2460" t="s">
        <v>128</v>
      </c>
      <c r="I2460" t="s">
        <v>129</v>
      </c>
      <c r="J2460" t="s">
        <v>130</v>
      </c>
      <c r="K2460" t="s">
        <v>131</v>
      </c>
      <c r="L2460" t="s">
        <v>183</v>
      </c>
      <c r="M2460" t="s">
        <v>171</v>
      </c>
      <c r="N2460">
        <v>4</v>
      </c>
      <c r="O2460" s="4">
        <v>18000</v>
      </c>
      <c r="P2460" s="4">
        <v>24500</v>
      </c>
      <c r="Q2460" s="7">
        <v>0</v>
      </c>
      <c r="R2460" t="s">
        <v>217</v>
      </c>
      <c r="S2460">
        <v>5</v>
      </c>
      <c r="T2460">
        <v>98000</v>
      </c>
      <c r="U2460">
        <v>0</v>
      </c>
      <c r="V2460">
        <v>98000</v>
      </c>
      <c r="W2460">
        <v>72000</v>
      </c>
      <c r="X2460">
        <v>26000</v>
      </c>
      <c r="Y2460" s="8">
        <v>0.26530612244897961</v>
      </c>
      <c r="Z2460" t="s">
        <v>2995</v>
      </c>
      <c r="AA2460" t="str">
        <f>IF(AND(SalesCleanTable[[#This Row],[Discount %]]&gt;0, SalesCleanTable[[#This Row],[Profit]]&lt;0), "Discount loss", "Safe")</f>
        <v>Safe</v>
      </c>
      <c r="AB2460" s="25">
        <f>(SalesCleanTable[[#This Row],[Unit Price]] - SalesCleanTable[[#This Row],[Unit Cost]]) / SalesCleanTable[[#This Row],[Unit Price]]</f>
        <v>0.26530612244897961</v>
      </c>
      <c r="AC2460" t="str">
        <f>IF(SalesCleanTable[[#This Row],[Discount %]] &gt; SalesCleanTable[[#This Row],[Max Allowed Discount]], "Discount loss", "Safe")</f>
        <v>Safe</v>
      </c>
      <c r="AD2460" s="4">
        <f>SalesCleanTable[[#This Row],[Unit Price]] - SalesCleanTable[[#This Row],[Unit Cost]]</f>
        <v>6500</v>
      </c>
      <c r="AE2460" s="41">
        <f>(SalesCleanTable[[#This Row],[Unit Price]] - SalesCleanTable[[#This Row],[Unit Cost]]) / SalesCleanTable[[#This Row],[Unit Price]]</f>
        <v>0.26530612244897961</v>
      </c>
    </row>
    <row r="2461" spans="1:31">
      <c r="A2461" t="s">
        <v>2647</v>
      </c>
      <c r="B2461" s="6">
        <v>45691</v>
      </c>
      <c r="C2461" t="s">
        <v>53</v>
      </c>
      <c r="D2461" t="s">
        <v>54</v>
      </c>
      <c r="E2461" t="s">
        <v>38</v>
      </c>
      <c r="F2461" t="s">
        <v>55</v>
      </c>
      <c r="G2461" t="s">
        <v>56</v>
      </c>
      <c r="H2461" t="s">
        <v>153</v>
      </c>
      <c r="I2461" t="s">
        <v>154</v>
      </c>
      <c r="J2461" t="s">
        <v>155</v>
      </c>
      <c r="K2461" t="s">
        <v>131</v>
      </c>
      <c r="L2461" t="s">
        <v>183</v>
      </c>
      <c r="M2461" t="s">
        <v>186</v>
      </c>
      <c r="N2461">
        <v>3</v>
      </c>
      <c r="O2461" s="4">
        <v>330</v>
      </c>
      <c r="P2461" s="4">
        <v>550</v>
      </c>
      <c r="Q2461" s="7">
        <v>0.05</v>
      </c>
      <c r="R2461" t="s">
        <v>178</v>
      </c>
      <c r="S2461">
        <v>14</v>
      </c>
      <c r="T2461">
        <v>1650</v>
      </c>
      <c r="U2461">
        <v>82.5</v>
      </c>
      <c r="V2461">
        <v>1567.5</v>
      </c>
      <c r="W2461">
        <v>990</v>
      </c>
      <c r="X2461">
        <v>577.5</v>
      </c>
      <c r="Y2461" s="8">
        <v>0.36842105263157893</v>
      </c>
      <c r="Z2461" t="s">
        <v>2996</v>
      </c>
      <c r="AA2461" t="str">
        <f>IF(AND(SalesCleanTable[[#This Row],[Discount %]]&gt;0, SalesCleanTable[[#This Row],[Profit]]&lt;0), "Discount loss", "Safe")</f>
        <v>Safe</v>
      </c>
      <c r="AB2461" s="25">
        <f>(SalesCleanTable[[#This Row],[Unit Price]] - SalesCleanTable[[#This Row],[Unit Cost]]) / SalesCleanTable[[#This Row],[Unit Price]]</f>
        <v>0.4</v>
      </c>
      <c r="AC2461" t="str">
        <f>IF(SalesCleanTable[[#This Row],[Discount %]] &gt; SalesCleanTable[[#This Row],[Max Allowed Discount]], "Discount loss", "Safe")</f>
        <v>Safe</v>
      </c>
      <c r="AD2461" s="4">
        <f>SalesCleanTable[[#This Row],[Unit Price]] - SalesCleanTable[[#This Row],[Unit Cost]]</f>
        <v>220</v>
      </c>
      <c r="AE2461" s="41">
        <f>(SalesCleanTable[[#This Row],[Unit Price]] - SalesCleanTable[[#This Row],[Unit Cost]]) / SalesCleanTable[[#This Row],[Unit Price]]</f>
        <v>0.4</v>
      </c>
    </row>
    <row r="2462" spans="1:31">
      <c r="A2462" t="s">
        <v>2648</v>
      </c>
      <c r="B2462" s="6">
        <v>45956</v>
      </c>
      <c r="C2462" t="s">
        <v>112</v>
      </c>
      <c r="D2462" t="s">
        <v>113</v>
      </c>
      <c r="E2462" t="s">
        <v>109</v>
      </c>
      <c r="F2462" t="s">
        <v>114</v>
      </c>
      <c r="G2462" t="s">
        <v>115</v>
      </c>
      <c r="H2462" t="s">
        <v>135</v>
      </c>
      <c r="I2462" t="s">
        <v>136</v>
      </c>
      <c r="J2462" t="s">
        <v>137</v>
      </c>
      <c r="K2462" t="s">
        <v>138</v>
      </c>
      <c r="L2462" t="s">
        <v>183</v>
      </c>
      <c r="M2462" t="s">
        <v>171</v>
      </c>
      <c r="N2462">
        <v>4</v>
      </c>
      <c r="O2462" s="4">
        <v>1300</v>
      </c>
      <c r="P2462" s="4">
        <v>2100</v>
      </c>
      <c r="Q2462" s="7">
        <v>0</v>
      </c>
      <c r="R2462" t="s">
        <v>184</v>
      </c>
      <c r="S2462">
        <v>8</v>
      </c>
      <c r="T2462">
        <v>8400</v>
      </c>
      <c r="U2462">
        <v>0</v>
      </c>
      <c r="V2462">
        <v>8400</v>
      </c>
      <c r="W2462">
        <v>5200</v>
      </c>
      <c r="X2462">
        <v>3200</v>
      </c>
      <c r="Y2462" s="8">
        <v>0.38095238095238093</v>
      </c>
      <c r="Z2462" t="s">
        <v>2995</v>
      </c>
      <c r="AA2462" t="str">
        <f>IF(AND(SalesCleanTable[[#This Row],[Discount %]]&gt;0, SalesCleanTable[[#This Row],[Profit]]&lt;0), "Discount loss", "Safe")</f>
        <v>Safe</v>
      </c>
      <c r="AB2462" s="25">
        <f>(SalesCleanTable[[#This Row],[Unit Price]] - SalesCleanTable[[#This Row],[Unit Cost]]) / SalesCleanTable[[#This Row],[Unit Price]]</f>
        <v>0.38095238095238093</v>
      </c>
      <c r="AC2462" t="str">
        <f>IF(SalesCleanTable[[#This Row],[Discount %]] &gt; SalesCleanTable[[#This Row],[Max Allowed Discount]], "Discount loss", "Safe")</f>
        <v>Safe</v>
      </c>
      <c r="AD2462" s="4">
        <f>SalesCleanTable[[#This Row],[Unit Price]] - SalesCleanTable[[#This Row],[Unit Cost]]</f>
        <v>800</v>
      </c>
      <c r="AE2462" s="41">
        <f>(SalesCleanTable[[#This Row],[Unit Price]] - SalesCleanTable[[#This Row],[Unit Cost]]) / SalesCleanTable[[#This Row],[Unit Price]]</f>
        <v>0.38095238095238093</v>
      </c>
    </row>
    <row r="2463" spans="1:31">
      <c r="A2463" t="s">
        <v>2649</v>
      </c>
      <c r="B2463" s="6">
        <v>45918</v>
      </c>
      <c r="C2463" t="s">
        <v>49</v>
      </c>
      <c r="D2463" t="s">
        <v>50</v>
      </c>
      <c r="E2463" t="s">
        <v>38</v>
      </c>
      <c r="F2463" t="s">
        <v>51</v>
      </c>
      <c r="G2463" t="s">
        <v>52</v>
      </c>
      <c r="H2463" t="s">
        <v>139</v>
      </c>
      <c r="I2463" t="s">
        <v>140</v>
      </c>
      <c r="J2463" t="s">
        <v>137</v>
      </c>
      <c r="K2463" t="s">
        <v>138</v>
      </c>
      <c r="L2463" t="s">
        <v>166</v>
      </c>
      <c r="M2463" t="s">
        <v>171</v>
      </c>
      <c r="N2463">
        <v>4</v>
      </c>
      <c r="O2463" s="4">
        <v>550</v>
      </c>
      <c r="P2463" s="4">
        <v>850</v>
      </c>
      <c r="Q2463" s="7">
        <v>0.1</v>
      </c>
      <c r="R2463" t="s">
        <v>175</v>
      </c>
      <c r="S2463">
        <v>9</v>
      </c>
      <c r="T2463">
        <v>3400</v>
      </c>
      <c r="U2463">
        <v>340</v>
      </c>
      <c r="V2463">
        <v>3060</v>
      </c>
      <c r="W2463">
        <v>2200</v>
      </c>
      <c r="X2463">
        <v>860</v>
      </c>
      <c r="Y2463" s="8">
        <v>0.28104575163398693</v>
      </c>
      <c r="Z2463" t="s">
        <v>2996</v>
      </c>
      <c r="AA2463" t="str">
        <f>IF(AND(SalesCleanTable[[#This Row],[Discount %]]&gt;0, SalesCleanTable[[#This Row],[Profit]]&lt;0), "Discount loss", "Safe")</f>
        <v>Safe</v>
      </c>
      <c r="AB2463" s="25">
        <f>(SalesCleanTable[[#This Row],[Unit Price]] - SalesCleanTable[[#This Row],[Unit Cost]]) / SalesCleanTable[[#This Row],[Unit Price]]</f>
        <v>0.35294117647058826</v>
      </c>
      <c r="AC2463" t="str">
        <f>IF(SalesCleanTable[[#This Row],[Discount %]] &gt; SalesCleanTable[[#This Row],[Max Allowed Discount]], "Discount loss", "Safe")</f>
        <v>Safe</v>
      </c>
      <c r="AD2463" s="4">
        <f>SalesCleanTable[[#This Row],[Unit Price]] - SalesCleanTable[[#This Row],[Unit Cost]]</f>
        <v>300</v>
      </c>
      <c r="AE2463" s="41">
        <f>(SalesCleanTable[[#This Row],[Unit Price]] - SalesCleanTable[[#This Row],[Unit Cost]]) / SalesCleanTable[[#This Row],[Unit Price]]</f>
        <v>0.35294117647058826</v>
      </c>
    </row>
    <row r="2464" spans="1:31">
      <c r="A2464" t="s">
        <v>2650</v>
      </c>
      <c r="B2464" s="6">
        <v>46019</v>
      </c>
      <c r="C2464" t="s">
        <v>78</v>
      </c>
      <c r="D2464" t="s">
        <v>79</v>
      </c>
      <c r="E2464" t="s">
        <v>75</v>
      </c>
      <c r="F2464" t="s">
        <v>80</v>
      </c>
      <c r="G2464" t="s">
        <v>81</v>
      </c>
      <c r="H2464" t="s">
        <v>141</v>
      </c>
      <c r="I2464" t="s">
        <v>142</v>
      </c>
      <c r="J2464" t="s">
        <v>143</v>
      </c>
      <c r="K2464" t="s">
        <v>144</v>
      </c>
      <c r="L2464" t="s">
        <v>166</v>
      </c>
      <c r="M2464" t="s">
        <v>177</v>
      </c>
      <c r="N2464">
        <v>10</v>
      </c>
      <c r="O2464" s="4">
        <v>1200</v>
      </c>
      <c r="P2464" s="4">
        <v>1900</v>
      </c>
      <c r="Q2464" s="7">
        <v>0</v>
      </c>
      <c r="R2464" t="s">
        <v>204</v>
      </c>
      <c r="S2464">
        <v>6</v>
      </c>
      <c r="T2464">
        <v>19000</v>
      </c>
      <c r="U2464">
        <v>0</v>
      </c>
      <c r="V2464">
        <v>19000</v>
      </c>
      <c r="W2464">
        <v>12000</v>
      </c>
      <c r="X2464">
        <v>7000</v>
      </c>
      <c r="Y2464" s="8">
        <v>0.36842105263157893</v>
      </c>
      <c r="Z2464" t="s">
        <v>2996</v>
      </c>
      <c r="AA2464" t="str">
        <f>IF(AND(SalesCleanTable[[#This Row],[Discount %]]&gt;0, SalesCleanTable[[#This Row],[Profit]]&lt;0), "Discount loss", "Safe")</f>
        <v>Safe</v>
      </c>
      <c r="AB2464" s="25">
        <f>(SalesCleanTable[[#This Row],[Unit Price]] - SalesCleanTable[[#This Row],[Unit Cost]]) / SalesCleanTable[[#This Row],[Unit Price]]</f>
        <v>0.36842105263157893</v>
      </c>
      <c r="AC2464" t="str">
        <f>IF(SalesCleanTable[[#This Row],[Discount %]] &gt; SalesCleanTable[[#This Row],[Max Allowed Discount]], "Discount loss", "Safe")</f>
        <v>Safe</v>
      </c>
      <c r="AD2464" s="4">
        <f>SalesCleanTable[[#This Row],[Unit Price]] - SalesCleanTable[[#This Row],[Unit Cost]]</f>
        <v>700</v>
      </c>
      <c r="AE2464" s="41">
        <f>(SalesCleanTable[[#This Row],[Unit Price]] - SalesCleanTable[[#This Row],[Unit Cost]]) / SalesCleanTable[[#This Row],[Unit Price]]</f>
        <v>0.36842105263157893</v>
      </c>
    </row>
    <row r="2465" spans="1:31">
      <c r="A2465" t="s">
        <v>2651</v>
      </c>
      <c r="B2465" s="6">
        <v>45835</v>
      </c>
      <c r="C2465" t="s">
        <v>73</v>
      </c>
      <c r="D2465" t="s">
        <v>74</v>
      </c>
      <c r="E2465" t="s">
        <v>75</v>
      </c>
      <c r="F2465" t="s">
        <v>76</v>
      </c>
      <c r="G2465" t="s">
        <v>77</v>
      </c>
      <c r="H2465" t="s">
        <v>135</v>
      </c>
      <c r="I2465" t="s">
        <v>136</v>
      </c>
      <c r="J2465" t="s">
        <v>137</v>
      </c>
      <c r="K2465" t="s">
        <v>138</v>
      </c>
      <c r="L2465" t="s">
        <v>166</v>
      </c>
      <c r="M2465" t="s">
        <v>171</v>
      </c>
      <c r="N2465">
        <v>2</v>
      </c>
      <c r="O2465" s="4">
        <v>3500</v>
      </c>
      <c r="P2465" s="4">
        <v>5200</v>
      </c>
      <c r="Q2465" s="7">
        <v>0.05</v>
      </c>
      <c r="R2465" t="s">
        <v>187</v>
      </c>
      <c r="S2465">
        <v>5</v>
      </c>
      <c r="T2465">
        <v>10400</v>
      </c>
      <c r="U2465">
        <v>520</v>
      </c>
      <c r="V2465">
        <v>9880</v>
      </c>
      <c r="W2465">
        <v>7000</v>
      </c>
      <c r="X2465">
        <v>2880</v>
      </c>
      <c r="Y2465" s="8">
        <v>0.291497975708502</v>
      </c>
      <c r="Z2465" t="s">
        <v>2996</v>
      </c>
      <c r="AA2465" t="str">
        <f>IF(AND(SalesCleanTable[[#This Row],[Discount %]]&gt;0, SalesCleanTable[[#This Row],[Profit]]&lt;0), "Discount loss", "Safe")</f>
        <v>Safe</v>
      </c>
      <c r="AB2465" s="25">
        <f>(SalesCleanTable[[#This Row],[Unit Price]] - SalesCleanTable[[#This Row],[Unit Cost]]) / SalesCleanTable[[#This Row],[Unit Price]]</f>
        <v>0.32692307692307693</v>
      </c>
      <c r="AC2465" t="str">
        <f>IF(SalesCleanTable[[#This Row],[Discount %]] &gt; SalesCleanTable[[#This Row],[Max Allowed Discount]], "Discount loss", "Safe")</f>
        <v>Safe</v>
      </c>
      <c r="AD2465" s="4">
        <f>SalesCleanTable[[#This Row],[Unit Price]] - SalesCleanTable[[#This Row],[Unit Cost]]</f>
        <v>1700</v>
      </c>
      <c r="AE2465" s="41">
        <f>(SalesCleanTable[[#This Row],[Unit Price]] - SalesCleanTable[[#This Row],[Unit Cost]]) / SalesCleanTable[[#This Row],[Unit Price]]</f>
        <v>0.32692307692307693</v>
      </c>
    </row>
    <row r="2466" spans="1:31">
      <c r="A2466" t="s">
        <v>2652</v>
      </c>
      <c r="B2466" s="6">
        <v>45854</v>
      </c>
      <c r="C2466" t="s">
        <v>103</v>
      </c>
      <c r="D2466" t="s">
        <v>104</v>
      </c>
      <c r="E2466" t="s">
        <v>92</v>
      </c>
      <c r="F2466" t="s">
        <v>105</v>
      </c>
      <c r="G2466" t="s">
        <v>106</v>
      </c>
      <c r="H2466" t="s">
        <v>145</v>
      </c>
      <c r="I2466" t="s">
        <v>146</v>
      </c>
      <c r="J2466" t="s">
        <v>147</v>
      </c>
      <c r="K2466" t="s">
        <v>148</v>
      </c>
      <c r="L2466" t="s">
        <v>166</v>
      </c>
      <c r="M2466" t="s">
        <v>171</v>
      </c>
      <c r="N2466">
        <v>2</v>
      </c>
      <c r="O2466" s="4">
        <v>1500</v>
      </c>
      <c r="P2466" s="4">
        <v>2500</v>
      </c>
      <c r="Q2466" s="7">
        <v>0.1</v>
      </c>
      <c r="R2466" t="s">
        <v>217</v>
      </c>
      <c r="S2466">
        <v>9</v>
      </c>
      <c r="T2466">
        <v>5000</v>
      </c>
      <c r="U2466">
        <v>500</v>
      </c>
      <c r="V2466">
        <v>4500</v>
      </c>
      <c r="W2466">
        <v>3000</v>
      </c>
      <c r="X2466">
        <v>1500</v>
      </c>
      <c r="Y2466" s="8">
        <v>0.33333333333333331</v>
      </c>
      <c r="Z2466" t="s">
        <v>2996</v>
      </c>
      <c r="AA2466" t="str">
        <f>IF(AND(SalesCleanTable[[#This Row],[Discount %]]&gt;0, SalesCleanTable[[#This Row],[Profit]]&lt;0), "Discount loss", "Safe")</f>
        <v>Safe</v>
      </c>
      <c r="AB2466" s="25">
        <f>(SalesCleanTable[[#This Row],[Unit Price]] - SalesCleanTable[[#This Row],[Unit Cost]]) / SalesCleanTable[[#This Row],[Unit Price]]</f>
        <v>0.4</v>
      </c>
      <c r="AC2466" t="str">
        <f>IF(SalesCleanTable[[#This Row],[Discount %]] &gt; SalesCleanTable[[#This Row],[Max Allowed Discount]], "Discount loss", "Safe")</f>
        <v>Safe</v>
      </c>
      <c r="AD2466" s="4">
        <f>SalesCleanTable[[#This Row],[Unit Price]] - SalesCleanTable[[#This Row],[Unit Cost]]</f>
        <v>1000</v>
      </c>
      <c r="AE2466" s="41">
        <f>(SalesCleanTable[[#This Row],[Unit Price]] - SalesCleanTable[[#This Row],[Unit Cost]]) / SalesCleanTable[[#This Row],[Unit Price]]</f>
        <v>0.4</v>
      </c>
    </row>
    <row r="2467" spans="1:31">
      <c r="A2467" t="s">
        <v>2653</v>
      </c>
      <c r="B2467" s="6">
        <v>45700</v>
      </c>
      <c r="C2467" t="s">
        <v>112</v>
      </c>
      <c r="D2467" t="s">
        <v>113</v>
      </c>
      <c r="E2467" t="s">
        <v>109</v>
      </c>
      <c r="F2467" t="s">
        <v>114</v>
      </c>
      <c r="G2467" t="s">
        <v>115</v>
      </c>
      <c r="H2467" t="s">
        <v>139</v>
      </c>
      <c r="I2467" t="s">
        <v>140</v>
      </c>
      <c r="J2467" t="s">
        <v>137</v>
      </c>
      <c r="K2467" t="s">
        <v>138</v>
      </c>
      <c r="L2467" t="s">
        <v>183</v>
      </c>
      <c r="M2467" t="s">
        <v>186</v>
      </c>
      <c r="N2467">
        <v>4</v>
      </c>
      <c r="O2467" s="4">
        <v>1300</v>
      </c>
      <c r="P2467" s="4">
        <v>2100</v>
      </c>
      <c r="Q2467" s="7">
        <v>0.2</v>
      </c>
      <c r="R2467" t="s">
        <v>220</v>
      </c>
      <c r="S2467">
        <v>1</v>
      </c>
      <c r="T2467">
        <v>8400</v>
      </c>
      <c r="U2467">
        <v>1680</v>
      </c>
      <c r="V2467">
        <v>6720</v>
      </c>
      <c r="W2467">
        <v>5200</v>
      </c>
      <c r="X2467">
        <v>1520</v>
      </c>
      <c r="Y2467" s="8">
        <v>0.22619047619047619</v>
      </c>
      <c r="Z2467" t="s">
        <v>2995</v>
      </c>
      <c r="AA2467" t="str">
        <f>IF(AND(SalesCleanTable[[#This Row],[Discount %]]&gt;0, SalesCleanTable[[#This Row],[Profit]]&lt;0), "Discount loss", "Safe")</f>
        <v>Safe</v>
      </c>
      <c r="AB2467" s="25">
        <f>(SalesCleanTable[[#This Row],[Unit Price]] - SalesCleanTable[[#This Row],[Unit Cost]]) / SalesCleanTable[[#This Row],[Unit Price]]</f>
        <v>0.38095238095238093</v>
      </c>
      <c r="AC2467" t="str">
        <f>IF(SalesCleanTable[[#This Row],[Discount %]] &gt; SalesCleanTable[[#This Row],[Max Allowed Discount]], "Discount loss", "Safe")</f>
        <v>Safe</v>
      </c>
      <c r="AD2467" s="4">
        <f>SalesCleanTable[[#This Row],[Unit Price]] - SalesCleanTable[[#This Row],[Unit Cost]]</f>
        <v>800</v>
      </c>
      <c r="AE2467" s="41">
        <f>(SalesCleanTable[[#This Row],[Unit Price]] - SalesCleanTable[[#This Row],[Unit Cost]]) / SalesCleanTable[[#This Row],[Unit Price]]</f>
        <v>0.38095238095238093</v>
      </c>
    </row>
    <row r="2468" spans="1:31">
      <c r="A2468" t="s">
        <v>2654</v>
      </c>
      <c r="B2468" s="6">
        <v>45740</v>
      </c>
      <c r="C2468" t="s">
        <v>107</v>
      </c>
      <c r="D2468" t="s">
        <v>108</v>
      </c>
      <c r="E2468" t="s">
        <v>109</v>
      </c>
      <c r="F2468" t="s">
        <v>110</v>
      </c>
      <c r="G2468" t="s">
        <v>111</v>
      </c>
      <c r="H2468" t="s">
        <v>128</v>
      </c>
      <c r="I2468" t="s">
        <v>129</v>
      </c>
      <c r="J2468" t="s">
        <v>130</v>
      </c>
      <c r="K2468" t="s">
        <v>131</v>
      </c>
      <c r="L2468" t="s">
        <v>166</v>
      </c>
      <c r="M2468" t="s">
        <v>171</v>
      </c>
      <c r="N2468">
        <v>4</v>
      </c>
      <c r="O2468" s="4">
        <v>5200</v>
      </c>
      <c r="P2468" s="4">
        <v>7000</v>
      </c>
      <c r="Q2468" s="7">
        <v>0.1</v>
      </c>
      <c r="R2468" t="s">
        <v>220</v>
      </c>
      <c r="S2468">
        <v>2</v>
      </c>
      <c r="T2468">
        <v>28000</v>
      </c>
      <c r="U2468">
        <v>2800</v>
      </c>
      <c r="V2468">
        <v>25200</v>
      </c>
      <c r="W2468">
        <v>20800</v>
      </c>
      <c r="X2468">
        <v>4400</v>
      </c>
      <c r="Y2468" s="8">
        <v>0.17460317460317459</v>
      </c>
      <c r="Z2468" t="s">
        <v>2997</v>
      </c>
      <c r="AA2468" t="str">
        <f>IF(AND(SalesCleanTable[[#This Row],[Discount %]]&gt;0, SalesCleanTable[[#This Row],[Profit]]&lt;0), "Discount loss", "Safe")</f>
        <v>Safe</v>
      </c>
      <c r="AB2468" s="25">
        <f>(SalesCleanTable[[#This Row],[Unit Price]] - SalesCleanTable[[#This Row],[Unit Cost]]) / SalesCleanTable[[#This Row],[Unit Price]]</f>
        <v>0.25714285714285712</v>
      </c>
      <c r="AC2468" t="str">
        <f>IF(SalesCleanTable[[#This Row],[Discount %]] &gt; SalesCleanTable[[#This Row],[Max Allowed Discount]], "Discount loss", "Safe")</f>
        <v>Safe</v>
      </c>
      <c r="AD2468" s="4">
        <f>SalesCleanTable[[#This Row],[Unit Price]] - SalesCleanTable[[#This Row],[Unit Cost]]</f>
        <v>1800</v>
      </c>
      <c r="AE2468" s="41">
        <f>(SalesCleanTable[[#This Row],[Unit Price]] - SalesCleanTable[[#This Row],[Unit Cost]]) / SalesCleanTable[[#This Row],[Unit Price]]</f>
        <v>0.25714285714285712</v>
      </c>
    </row>
    <row r="2469" spans="1:31">
      <c r="A2469" t="s">
        <v>2655</v>
      </c>
      <c r="B2469" s="6">
        <v>45811</v>
      </c>
      <c r="C2469" t="s">
        <v>99</v>
      </c>
      <c r="D2469" t="s">
        <v>100</v>
      </c>
      <c r="E2469" t="s">
        <v>92</v>
      </c>
      <c r="F2469" t="s">
        <v>101</v>
      </c>
      <c r="G2469" t="s">
        <v>102</v>
      </c>
      <c r="H2469" t="s">
        <v>141</v>
      </c>
      <c r="I2469" t="s">
        <v>142</v>
      </c>
      <c r="J2469" t="s">
        <v>143</v>
      </c>
      <c r="K2469" t="s">
        <v>144</v>
      </c>
      <c r="L2469" t="s">
        <v>183</v>
      </c>
      <c r="M2469" t="s">
        <v>167</v>
      </c>
      <c r="N2469">
        <v>2</v>
      </c>
      <c r="O2469" s="4">
        <v>12500</v>
      </c>
      <c r="P2469" s="4">
        <v>18500</v>
      </c>
      <c r="Q2469" s="7">
        <v>0.15</v>
      </c>
      <c r="R2469" t="s">
        <v>215</v>
      </c>
      <c r="S2469">
        <v>4</v>
      </c>
      <c r="T2469">
        <v>37000</v>
      </c>
      <c r="U2469">
        <v>5550</v>
      </c>
      <c r="V2469">
        <v>31450</v>
      </c>
      <c r="W2469">
        <v>25000</v>
      </c>
      <c r="X2469">
        <v>6450</v>
      </c>
      <c r="Y2469" s="8">
        <v>0.20508744038155802</v>
      </c>
      <c r="Z2469" t="s">
        <v>2995</v>
      </c>
      <c r="AA2469" t="str">
        <f>IF(AND(SalesCleanTable[[#This Row],[Discount %]]&gt;0, SalesCleanTable[[#This Row],[Profit]]&lt;0), "Discount loss", "Safe")</f>
        <v>Safe</v>
      </c>
      <c r="AB2469" s="25">
        <f>(SalesCleanTable[[#This Row],[Unit Price]] - SalesCleanTable[[#This Row],[Unit Cost]]) / SalesCleanTable[[#This Row],[Unit Price]]</f>
        <v>0.32432432432432434</v>
      </c>
      <c r="AC2469" t="str">
        <f>IF(SalesCleanTable[[#This Row],[Discount %]] &gt; SalesCleanTable[[#This Row],[Max Allowed Discount]], "Discount loss", "Safe")</f>
        <v>Safe</v>
      </c>
      <c r="AD2469" s="4">
        <f>SalesCleanTable[[#This Row],[Unit Price]] - SalesCleanTable[[#This Row],[Unit Cost]]</f>
        <v>6000</v>
      </c>
      <c r="AE2469" s="41">
        <f>(SalesCleanTable[[#This Row],[Unit Price]] - SalesCleanTable[[#This Row],[Unit Cost]]) / SalesCleanTable[[#This Row],[Unit Price]]</f>
        <v>0.32432432432432434</v>
      </c>
    </row>
    <row r="2470" spans="1:31">
      <c r="A2470" t="s">
        <v>2656</v>
      </c>
      <c r="B2470" s="6">
        <v>45888</v>
      </c>
      <c r="C2470" t="s">
        <v>45</v>
      </c>
      <c r="D2470" t="s">
        <v>46</v>
      </c>
      <c r="E2470" t="s">
        <v>38</v>
      </c>
      <c r="F2470" t="s">
        <v>47</v>
      </c>
      <c r="G2470" t="s">
        <v>48</v>
      </c>
      <c r="H2470" t="s">
        <v>145</v>
      </c>
      <c r="I2470" t="s">
        <v>146</v>
      </c>
      <c r="J2470" t="s">
        <v>147</v>
      </c>
      <c r="K2470" t="s">
        <v>148</v>
      </c>
      <c r="L2470" t="s">
        <v>183</v>
      </c>
      <c r="M2470" t="s">
        <v>171</v>
      </c>
      <c r="N2470">
        <v>1</v>
      </c>
      <c r="O2470" s="4">
        <v>230</v>
      </c>
      <c r="P2470" s="4">
        <v>400</v>
      </c>
      <c r="Q2470" s="7">
        <v>0.15</v>
      </c>
      <c r="R2470" t="s">
        <v>175</v>
      </c>
      <c r="S2470">
        <v>11</v>
      </c>
      <c r="T2470">
        <v>400</v>
      </c>
      <c r="U2470">
        <v>60</v>
      </c>
      <c r="V2470">
        <v>340</v>
      </c>
      <c r="W2470">
        <v>230</v>
      </c>
      <c r="X2470">
        <v>110</v>
      </c>
      <c r="Y2470" s="8">
        <v>0.3235294117647059</v>
      </c>
      <c r="Z2470" t="s">
        <v>2995</v>
      </c>
      <c r="AA2470" t="str">
        <f>IF(AND(SalesCleanTable[[#This Row],[Discount %]]&gt;0, SalesCleanTable[[#This Row],[Profit]]&lt;0), "Discount loss", "Safe")</f>
        <v>Safe</v>
      </c>
      <c r="AB2470" s="25">
        <f>(SalesCleanTable[[#This Row],[Unit Price]] - SalesCleanTable[[#This Row],[Unit Cost]]) / SalesCleanTable[[#This Row],[Unit Price]]</f>
        <v>0.42499999999999999</v>
      </c>
      <c r="AC2470" t="str">
        <f>IF(SalesCleanTable[[#This Row],[Discount %]] &gt; SalesCleanTable[[#This Row],[Max Allowed Discount]], "Discount loss", "Safe")</f>
        <v>Safe</v>
      </c>
      <c r="AD2470" s="4">
        <f>SalesCleanTable[[#This Row],[Unit Price]] - SalesCleanTable[[#This Row],[Unit Cost]]</f>
        <v>170</v>
      </c>
      <c r="AE2470" s="41">
        <f>(SalesCleanTable[[#This Row],[Unit Price]] - SalesCleanTable[[#This Row],[Unit Cost]]) / SalesCleanTable[[#This Row],[Unit Price]]</f>
        <v>0.42499999999999999</v>
      </c>
    </row>
    <row r="2471" spans="1:31">
      <c r="A2471" t="s">
        <v>2657</v>
      </c>
      <c r="B2471" s="6">
        <v>45781</v>
      </c>
      <c r="C2471" t="s">
        <v>116</v>
      </c>
      <c r="D2471" t="s">
        <v>117</v>
      </c>
      <c r="E2471" t="s">
        <v>109</v>
      </c>
      <c r="F2471" t="s">
        <v>118</v>
      </c>
      <c r="G2471" t="s">
        <v>119</v>
      </c>
      <c r="H2471" t="s">
        <v>145</v>
      </c>
      <c r="I2471" t="s">
        <v>146</v>
      </c>
      <c r="J2471" t="s">
        <v>147</v>
      </c>
      <c r="K2471" t="s">
        <v>148</v>
      </c>
      <c r="L2471" t="s">
        <v>170</v>
      </c>
      <c r="M2471" t="s">
        <v>171</v>
      </c>
      <c r="N2471">
        <v>1</v>
      </c>
      <c r="O2471" s="4">
        <v>2800</v>
      </c>
      <c r="P2471" s="4">
        <v>4200</v>
      </c>
      <c r="Q2471" s="7">
        <v>0</v>
      </c>
      <c r="R2471" t="s">
        <v>184</v>
      </c>
      <c r="S2471">
        <v>1</v>
      </c>
      <c r="T2471">
        <v>4200</v>
      </c>
      <c r="U2471">
        <v>0</v>
      </c>
      <c r="V2471">
        <v>4200</v>
      </c>
      <c r="W2471">
        <v>2800</v>
      </c>
      <c r="X2471">
        <v>1400</v>
      </c>
      <c r="Y2471" s="8">
        <v>0.33333333333333331</v>
      </c>
      <c r="Z2471" t="s">
        <v>2995</v>
      </c>
      <c r="AA2471" t="str">
        <f>IF(AND(SalesCleanTable[[#This Row],[Discount %]]&gt;0, SalesCleanTable[[#This Row],[Profit]]&lt;0), "Discount loss", "Safe")</f>
        <v>Safe</v>
      </c>
      <c r="AB2471" s="25">
        <f>(SalesCleanTable[[#This Row],[Unit Price]] - SalesCleanTable[[#This Row],[Unit Cost]]) / SalesCleanTable[[#This Row],[Unit Price]]</f>
        <v>0.33333333333333331</v>
      </c>
      <c r="AC2471" t="str">
        <f>IF(SalesCleanTable[[#This Row],[Discount %]] &gt; SalesCleanTable[[#This Row],[Max Allowed Discount]], "Discount loss", "Safe")</f>
        <v>Safe</v>
      </c>
      <c r="AD2471" s="4">
        <f>SalesCleanTable[[#This Row],[Unit Price]] - SalesCleanTable[[#This Row],[Unit Cost]]</f>
        <v>1400</v>
      </c>
      <c r="AE2471" s="41">
        <f>(SalesCleanTable[[#This Row],[Unit Price]] - SalesCleanTable[[#This Row],[Unit Cost]]) / SalesCleanTable[[#This Row],[Unit Price]]</f>
        <v>0.33333333333333331</v>
      </c>
    </row>
    <row r="2472" spans="1:31">
      <c r="A2472" t="s">
        <v>2658</v>
      </c>
      <c r="B2472" s="6">
        <v>45988</v>
      </c>
      <c r="C2472" t="s">
        <v>66</v>
      </c>
      <c r="D2472" t="s">
        <v>67</v>
      </c>
      <c r="E2472" t="s">
        <v>59</v>
      </c>
      <c r="F2472" t="s">
        <v>60</v>
      </c>
      <c r="G2472" t="s">
        <v>68</v>
      </c>
      <c r="H2472" t="s">
        <v>145</v>
      </c>
      <c r="I2472" t="s">
        <v>146</v>
      </c>
      <c r="J2472" t="s">
        <v>147</v>
      </c>
      <c r="K2472" t="s">
        <v>148</v>
      </c>
      <c r="L2472" t="s">
        <v>166</v>
      </c>
      <c r="M2472" t="s">
        <v>186</v>
      </c>
      <c r="N2472">
        <v>1</v>
      </c>
      <c r="O2472" s="4">
        <v>2800</v>
      </c>
      <c r="P2472" s="4">
        <v>3900</v>
      </c>
      <c r="Q2472" s="7">
        <v>0.1</v>
      </c>
      <c r="R2472" t="s">
        <v>204</v>
      </c>
      <c r="S2472">
        <v>2</v>
      </c>
      <c r="T2472">
        <v>3900</v>
      </c>
      <c r="U2472">
        <v>390</v>
      </c>
      <c r="V2472">
        <v>3510</v>
      </c>
      <c r="W2472">
        <v>2800</v>
      </c>
      <c r="X2472">
        <v>710</v>
      </c>
      <c r="Y2472" s="8">
        <v>0.20227920227920229</v>
      </c>
      <c r="Z2472" t="s">
        <v>2996</v>
      </c>
      <c r="AA2472" t="str">
        <f>IF(AND(SalesCleanTable[[#This Row],[Discount %]]&gt;0, SalesCleanTable[[#This Row],[Profit]]&lt;0), "Discount loss", "Safe")</f>
        <v>Safe</v>
      </c>
      <c r="AB2472" s="25">
        <f>(SalesCleanTable[[#This Row],[Unit Price]] - SalesCleanTable[[#This Row],[Unit Cost]]) / SalesCleanTable[[#This Row],[Unit Price]]</f>
        <v>0.28205128205128205</v>
      </c>
      <c r="AC2472" t="str">
        <f>IF(SalesCleanTable[[#This Row],[Discount %]] &gt; SalesCleanTable[[#This Row],[Max Allowed Discount]], "Discount loss", "Safe")</f>
        <v>Safe</v>
      </c>
      <c r="AD2472" s="4">
        <f>SalesCleanTable[[#This Row],[Unit Price]] - SalesCleanTable[[#This Row],[Unit Cost]]</f>
        <v>1100</v>
      </c>
      <c r="AE2472" s="41">
        <f>(SalesCleanTable[[#This Row],[Unit Price]] - SalesCleanTable[[#This Row],[Unit Cost]]) / SalesCleanTable[[#This Row],[Unit Price]]</f>
        <v>0.28205128205128205</v>
      </c>
    </row>
    <row r="2473" spans="1:31">
      <c r="A2473" t="s">
        <v>2659</v>
      </c>
      <c r="B2473" s="6">
        <v>45851</v>
      </c>
      <c r="C2473" t="s">
        <v>120</v>
      </c>
      <c r="D2473" t="s">
        <v>121</v>
      </c>
      <c r="E2473" t="s">
        <v>109</v>
      </c>
      <c r="F2473" t="s">
        <v>93</v>
      </c>
      <c r="G2473" t="s">
        <v>122</v>
      </c>
      <c r="H2473" t="s">
        <v>135</v>
      </c>
      <c r="I2473" t="s">
        <v>136</v>
      </c>
      <c r="J2473" t="s">
        <v>137</v>
      </c>
      <c r="K2473" t="s">
        <v>138</v>
      </c>
      <c r="L2473" t="s">
        <v>170</v>
      </c>
      <c r="M2473" t="s">
        <v>171</v>
      </c>
      <c r="N2473">
        <v>8</v>
      </c>
      <c r="O2473" s="4">
        <v>1700</v>
      </c>
      <c r="P2473" s="4">
        <v>2800</v>
      </c>
      <c r="Q2473" s="7">
        <v>0</v>
      </c>
      <c r="R2473" t="s">
        <v>235</v>
      </c>
      <c r="S2473">
        <v>5</v>
      </c>
      <c r="T2473">
        <v>22400</v>
      </c>
      <c r="U2473">
        <v>0</v>
      </c>
      <c r="V2473">
        <v>22400</v>
      </c>
      <c r="W2473">
        <v>13600</v>
      </c>
      <c r="X2473">
        <v>8800</v>
      </c>
      <c r="Y2473" s="8">
        <v>0.39285714285714285</v>
      </c>
      <c r="Z2473" t="s">
        <v>2997</v>
      </c>
      <c r="AA2473" t="str">
        <f>IF(AND(SalesCleanTable[[#This Row],[Discount %]]&gt;0, SalesCleanTable[[#This Row],[Profit]]&lt;0), "Discount loss", "Safe")</f>
        <v>Safe</v>
      </c>
      <c r="AB2473" s="25">
        <f>(SalesCleanTable[[#This Row],[Unit Price]] - SalesCleanTable[[#This Row],[Unit Cost]]) / SalesCleanTable[[#This Row],[Unit Price]]</f>
        <v>0.39285714285714285</v>
      </c>
      <c r="AC2473" t="str">
        <f>IF(SalesCleanTable[[#This Row],[Discount %]] &gt; SalesCleanTable[[#This Row],[Max Allowed Discount]], "Discount loss", "Safe")</f>
        <v>Safe</v>
      </c>
      <c r="AD2473" s="4">
        <f>SalesCleanTable[[#This Row],[Unit Price]] - SalesCleanTable[[#This Row],[Unit Cost]]</f>
        <v>1100</v>
      </c>
      <c r="AE2473" s="41">
        <f>(SalesCleanTable[[#This Row],[Unit Price]] - SalesCleanTable[[#This Row],[Unit Cost]]) / SalesCleanTable[[#This Row],[Unit Price]]</f>
        <v>0.39285714285714285</v>
      </c>
    </row>
    <row r="2474" spans="1:31">
      <c r="A2474" t="s">
        <v>2660</v>
      </c>
      <c r="B2474" s="6">
        <v>45674</v>
      </c>
      <c r="C2474" t="s">
        <v>32</v>
      </c>
      <c r="D2474" t="s">
        <v>33</v>
      </c>
      <c r="E2474" t="s">
        <v>26</v>
      </c>
      <c r="F2474" t="s">
        <v>34</v>
      </c>
      <c r="G2474" t="s">
        <v>35</v>
      </c>
      <c r="H2474" t="s">
        <v>149</v>
      </c>
      <c r="I2474" t="s">
        <v>150</v>
      </c>
      <c r="J2474" t="s">
        <v>151</v>
      </c>
      <c r="K2474" t="s">
        <v>152</v>
      </c>
      <c r="L2474" t="s">
        <v>170</v>
      </c>
      <c r="M2474" t="s">
        <v>167</v>
      </c>
      <c r="N2474">
        <v>1</v>
      </c>
      <c r="O2474" s="4">
        <v>7800</v>
      </c>
      <c r="P2474" s="4">
        <v>9800</v>
      </c>
      <c r="Q2474" s="7">
        <v>0.1</v>
      </c>
      <c r="R2474" t="s">
        <v>173</v>
      </c>
      <c r="S2474">
        <v>9</v>
      </c>
      <c r="T2474">
        <v>9800</v>
      </c>
      <c r="U2474">
        <v>980</v>
      </c>
      <c r="V2474">
        <v>8820</v>
      </c>
      <c r="W2474">
        <v>7800</v>
      </c>
      <c r="X2474">
        <v>1020</v>
      </c>
      <c r="Y2474" s="8">
        <v>0.11564625850340136</v>
      </c>
      <c r="Z2474" t="s">
        <v>2995</v>
      </c>
      <c r="AA2474" t="str">
        <f>IF(AND(SalesCleanTable[[#This Row],[Discount %]]&gt;0, SalesCleanTable[[#This Row],[Profit]]&lt;0), "Discount loss", "Safe")</f>
        <v>Safe</v>
      </c>
      <c r="AB2474" s="25">
        <f>(SalesCleanTable[[#This Row],[Unit Price]] - SalesCleanTable[[#This Row],[Unit Cost]]) / SalesCleanTable[[#This Row],[Unit Price]]</f>
        <v>0.20408163265306123</v>
      </c>
      <c r="AC2474" t="str">
        <f>IF(SalesCleanTable[[#This Row],[Discount %]] &gt; SalesCleanTable[[#This Row],[Max Allowed Discount]], "Discount loss", "Safe")</f>
        <v>Safe</v>
      </c>
      <c r="AD2474" s="4">
        <f>SalesCleanTable[[#This Row],[Unit Price]] - SalesCleanTable[[#This Row],[Unit Cost]]</f>
        <v>2000</v>
      </c>
      <c r="AE2474" s="41">
        <f>(SalesCleanTable[[#This Row],[Unit Price]] - SalesCleanTable[[#This Row],[Unit Cost]]) / SalesCleanTable[[#This Row],[Unit Price]]</f>
        <v>0.20408163265306123</v>
      </c>
    </row>
    <row r="2475" spans="1:31">
      <c r="A2475" t="s">
        <v>2661</v>
      </c>
      <c r="B2475" s="6">
        <v>45764</v>
      </c>
      <c r="C2475" t="s">
        <v>82</v>
      </c>
      <c r="D2475" t="s">
        <v>83</v>
      </c>
      <c r="E2475" t="s">
        <v>75</v>
      </c>
      <c r="F2475" t="s">
        <v>84</v>
      </c>
      <c r="G2475" t="s">
        <v>85</v>
      </c>
      <c r="H2475" t="s">
        <v>153</v>
      </c>
      <c r="I2475" t="s">
        <v>154</v>
      </c>
      <c r="J2475" t="s">
        <v>155</v>
      </c>
      <c r="K2475" t="s">
        <v>131</v>
      </c>
      <c r="L2475" t="s">
        <v>166</v>
      </c>
      <c r="M2475" t="s">
        <v>171</v>
      </c>
      <c r="N2475">
        <v>3</v>
      </c>
      <c r="O2475" s="4">
        <v>600</v>
      </c>
      <c r="P2475" s="4">
        <v>950</v>
      </c>
      <c r="Q2475" s="7">
        <v>0.15</v>
      </c>
      <c r="R2475" t="s">
        <v>187</v>
      </c>
      <c r="S2475">
        <v>2</v>
      </c>
      <c r="T2475">
        <v>2850</v>
      </c>
      <c r="U2475">
        <v>427.5</v>
      </c>
      <c r="V2475">
        <v>2422.5</v>
      </c>
      <c r="W2475">
        <v>1800</v>
      </c>
      <c r="X2475">
        <v>622.5</v>
      </c>
      <c r="Y2475" s="8">
        <v>0.25696594427244585</v>
      </c>
      <c r="Z2475" t="s">
        <v>2996</v>
      </c>
      <c r="AA2475" t="str">
        <f>IF(AND(SalesCleanTable[[#This Row],[Discount %]]&gt;0, SalesCleanTable[[#This Row],[Profit]]&lt;0), "Discount loss", "Safe")</f>
        <v>Safe</v>
      </c>
      <c r="AB2475" s="25">
        <f>(SalesCleanTable[[#This Row],[Unit Price]] - SalesCleanTable[[#This Row],[Unit Cost]]) / SalesCleanTable[[#This Row],[Unit Price]]</f>
        <v>0.36842105263157893</v>
      </c>
      <c r="AC2475" t="str">
        <f>IF(SalesCleanTable[[#This Row],[Discount %]] &gt; SalesCleanTable[[#This Row],[Max Allowed Discount]], "Discount loss", "Safe")</f>
        <v>Safe</v>
      </c>
      <c r="AD2475" s="4">
        <f>SalesCleanTable[[#This Row],[Unit Price]] - SalesCleanTable[[#This Row],[Unit Cost]]</f>
        <v>350</v>
      </c>
      <c r="AE2475" s="41">
        <f>(SalesCleanTable[[#This Row],[Unit Price]] - SalesCleanTable[[#This Row],[Unit Cost]]) / SalesCleanTable[[#This Row],[Unit Price]]</f>
        <v>0.36842105263157893</v>
      </c>
    </row>
    <row r="2476" spans="1:31">
      <c r="A2476" t="s">
        <v>2662</v>
      </c>
      <c r="B2476" s="6">
        <v>45889</v>
      </c>
      <c r="C2476" t="s">
        <v>69</v>
      </c>
      <c r="D2476" t="s">
        <v>70</v>
      </c>
      <c r="E2476" t="s">
        <v>59</v>
      </c>
      <c r="F2476" t="s">
        <v>71</v>
      </c>
      <c r="G2476" t="s">
        <v>72</v>
      </c>
      <c r="H2476" t="s">
        <v>135</v>
      </c>
      <c r="I2476" t="s">
        <v>136</v>
      </c>
      <c r="J2476" t="s">
        <v>137</v>
      </c>
      <c r="K2476" t="s">
        <v>138</v>
      </c>
      <c r="L2476" t="s">
        <v>166</v>
      </c>
      <c r="M2476" t="s">
        <v>167</v>
      </c>
      <c r="N2476">
        <v>3</v>
      </c>
      <c r="O2476" s="4">
        <v>1700</v>
      </c>
      <c r="P2476" s="4">
        <v>2600</v>
      </c>
      <c r="Q2476" s="7">
        <v>0</v>
      </c>
      <c r="R2476" t="s">
        <v>192</v>
      </c>
      <c r="S2476">
        <v>10</v>
      </c>
      <c r="T2476">
        <v>7800</v>
      </c>
      <c r="U2476">
        <v>0</v>
      </c>
      <c r="V2476">
        <v>7800</v>
      </c>
      <c r="W2476">
        <v>5100</v>
      </c>
      <c r="X2476">
        <v>2700</v>
      </c>
      <c r="Y2476" s="8">
        <v>0.34615384615384615</v>
      </c>
      <c r="Z2476" t="s">
        <v>2997</v>
      </c>
      <c r="AA2476" t="str">
        <f>IF(AND(SalesCleanTable[[#This Row],[Discount %]]&gt;0, SalesCleanTable[[#This Row],[Profit]]&lt;0), "Discount loss", "Safe")</f>
        <v>Safe</v>
      </c>
      <c r="AB2476" s="25">
        <f>(SalesCleanTable[[#This Row],[Unit Price]] - SalesCleanTable[[#This Row],[Unit Cost]]) / SalesCleanTable[[#This Row],[Unit Price]]</f>
        <v>0.34615384615384615</v>
      </c>
      <c r="AC2476" t="str">
        <f>IF(SalesCleanTable[[#This Row],[Discount %]] &gt; SalesCleanTable[[#This Row],[Max Allowed Discount]], "Discount loss", "Safe")</f>
        <v>Safe</v>
      </c>
      <c r="AD2476" s="4">
        <f>SalesCleanTable[[#This Row],[Unit Price]] - SalesCleanTable[[#This Row],[Unit Cost]]</f>
        <v>900</v>
      </c>
      <c r="AE2476" s="41">
        <f>(SalesCleanTable[[#This Row],[Unit Price]] - SalesCleanTable[[#This Row],[Unit Cost]]) / SalesCleanTable[[#This Row],[Unit Price]]</f>
        <v>0.34615384615384615</v>
      </c>
    </row>
    <row r="2477" spans="1:31">
      <c r="A2477" t="s">
        <v>2663</v>
      </c>
      <c r="B2477" s="6">
        <v>45783</v>
      </c>
      <c r="C2477" t="s">
        <v>90</v>
      </c>
      <c r="D2477" t="s">
        <v>91</v>
      </c>
      <c r="E2477" t="s">
        <v>92</v>
      </c>
      <c r="F2477" t="s">
        <v>93</v>
      </c>
      <c r="G2477" t="s">
        <v>94</v>
      </c>
      <c r="H2477" t="s">
        <v>135</v>
      </c>
      <c r="I2477" t="s">
        <v>136</v>
      </c>
      <c r="J2477" t="s">
        <v>137</v>
      </c>
      <c r="K2477" t="s">
        <v>138</v>
      </c>
      <c r="L2477" t="s">
        <v>183</v>
      </c>
      <c r="M2477" t="s">
        <v>186</v>
      </c>
      <c r="N2477">
        <v>2</v>
      </c>
      <c r="O2477" s="4">
        <v>7500</v>
      </c>
      <c r="P2477" s="4">
        <v>10500</v>
      </c>
      <c r="Q2477" s="7">
        <v>0.25</v>
      </c>
      <c r="R2477" t="s">
        <v>217</v>
      </c>
      <c r="S2477">
        <v>3</v>
      </c>
      <c r="T2477">
        <v>21000</v>
      </c>
      <c r="U2477">
        <v>5250</v>
      </c>
      <c r="V2477">
        <v>15750</v>
      </c>
      <c r="W2477">
        <v>15000</v>
      </c>
      <c r="X2477">
        <v>750</v>
      </c>
      <c r="Y2477" s="8">
        <v>4.7619047619047616E-2</v>
      </c>
      <c r="Z2477" t="s">
        <v>2996</v>
      </c>
      <c r="AA2477" t="str">
        <f>IF(AND(SalesCleanTable[[#This Row],[Discount %]]&gt;0, SalesCleanTable[[#This Row],[Profit]]&lt;0), "Discount loss", "Safe")</f>
        <v>Safe</v>
      </c>
      <c r="AB2477" s="25">
        <f>(SalesCleanTable[[#This Row],[Unit Price]] - SalesCleanTable[[#This Row],[Unit Cost]]) / SalesCleanTable[[#This Row],[Unit Price]]</f>
        <v>0.2857142857142857</v>
      </c>
      <c r="AC2477" t="str">
        <f>IF(SalesCleanTable[[#This Row],[Discount %]] &gt; SalesCleanTable[[#This Row],[Max Allowed Discount]], "Discount loss", "Safe")</f>
        <v>Safe</v>
      </c>
      <c r="AD2477" s="4">
        <f>SalesCleanTable[[#This Row],[Unit Price]] - SalesCleanTable[[#This Row],[Unit Cost]]</f>
        <v>3000</v>
      </c>
      <c r="AE2477" s="41">
        <f>(SalesCleanTable[[#This Row],[Unit Price]] - SalesCleanTable[[#This Row],[Unit Cost]]) / SalesCleanTable[[#This Row],[Unit Price]]</f>
        <v>0.2857142857142857</v>
      </c>
    </row>
    <row r="2478" spans="1:31">
      <c r="A2478" t="s">
        <v>2664</v>
      </c>
      <c r="B2478" s="6">
        <v>45850</v>
      </c>
      <c r="C2478" t="s">
        <v>95</v>
      </c>
      <c r="D2478" t="s">
        <v>96</v>
      </c>
      <c r="E2478" t="s">
        <v>92</v>
      </c>
      <c r="F2478" t="s">
        <v>97</v>
      </c>
      <c r="G2478" t="s">
        <v>98</v>
      </c>
      <c r="H2478" t="s">
        <v>128</v>
      </c>
      <c r="I2478" t="s">
        <v>129</v>
      </c>
      <c r="J2478" t="s">
        <v>130</v>
      </c>
      <c r="K2478" t="s">
        <v>131</v>
      </c>
      <c r="L2478" t="s">
        <v>166</v>
      </c>
      <c r="M2478" t="s">
        <v>167</v>
      </c>
      <c r="N2478">
        <v>2</v>
      </c>
      <c r="O2478" s="4">
        <v>18000</v>
      </c>
      <c r="P2478" s="4">
        <v>24500</v>
      </c>
      <c r="Q2478" s="7">
        <v>0.05</v>
      </c>
      <c r="R2478" t="s">
        <v>215</v>
      </c>
      <c r="S2478">
        <v>10</v>
      </c>
      <c r="T2478">
        <v>49000</v>
      </c>
      <c r="U2478">
        <v>2450</v>
      </c>
      <c r="V2478">
        <v>46550</v>
      </c>
      <c r="W2478">
        <v>36000</v>
      </c>
      <c r="X2478">
        <v>10550</v>
      </c>
      <c r="Y2478" s="8">
        <v>0.22663802363050484</v>
      </c>
      <c r="Z2478" t="s">
        <v>2995</v>
      </c>
      <c r="AA2478" t="str">
        <f>IF(AND(SalesCleanTable[[#This Row],[Discount %]]&gt;0, SalesCleanTable[[#This Row],[Profit]]&lt;0), "Discount loss", "Safe")</f>
        <v>Safe</v>
      </c>
      <c r="AB2478" s="25">
        <f>(SalesCleanTable[[#This Row],[Unit Price]] - SalesCleanTable[[#This Row],[Unit Cost]]) / SalesCleanTable[[#This Row],[Unit Price]]</f>
        <v>0.26530612244897961</v>
      </c>
      <c r="AC2478" t="str">
        <f>IF(SalesCleanTable[[#This Row],[Discount %]] &gt; SalesCleanTable[[#This Row],[Max Allowed Discount]], "Discount loss", "Safe")</f>
        <v>Safe</v>
      </c>
      <c r="AD2478" s="4">
        <f>SalesCleanTable[[#This Row],[Unit Price]] - SalesCleanTable[[#This Row],[Unit Cost]]</f>
        <v>6500</v>
      </c>
      <c r="AE2478" s="41">
        <f>(SalesCleanTable[[#This Row],[Unit Price]] - SalesCleanTable[[#This Row],[Unit Cost]]) / SalesCleanTable[[#This Row],[Unit Price]]</f>
        <v>0.26530612244897961</v>
      </c>
    </row>
    <row r="2479" spans="1:31">
      <c r="A2479" t="s">
        <v>2665</v>
      </c>
      <c r="B2479" s="6">
        <v>45840</v>
      </c>
      <c r="C2479" t="s">
        <v>82</v>
      </c>
      <c r="D2479" t="s">
        <v>83</v>
      </c>
      <c r="E2479" t="s">
        <v>75</v>
      </c>
      <c r="F2479" t="s">
        <v>84</v>
      </c>
      <c r="G2479" t="s">
        <v>85</v>
      </c>
      <c r="H2479" t="s">
        <v>141</v>
      </c>
      <c r="I2479" t="s">
        <v>142</v>
      </c>
      <c r="J2479" t="s">
        <v>143</v>
      </c>
      <c r="K2479" t="s">
        <v>144</v>
      </c>
      <c r="L2479" t="s">
        <v>166</v>
      </c>
      <c r="M2479" t="s">
        <v>171</v>
      </c>
      <c r="N2479">
        <v>6</v>
      </c>
      <c r="O2479" s="4">
        <v>600</v>
      </c>
      <c r="P2479" s="4">
        <v>950</v>
      </c>
      <c r="Q2479" s="7">
        <v>0.1</v>
      </c>
      <c r="R2479" t="s">
        <v>204</v>
      </c>
      <c r="S2479">
        <v>3</v>
      </c>
      <c r="T2479">
        <v>5700</v>
      </c>
      <c r="U2479">
        <v>570</v>
      </c>
      <c r="V2479">
        <v>5130</v>
      </c>
      <c r="W2479">
        <v>3600</v>
      </c>
      <c r="X2479">
        <v>1530</v>
      </c>
      <c r="Y2479" s="8">
        <v>0.2982456140350877</v>
      </c>
      <c r="Z2479" t="s">
        <v>2996</v>
      </c>
      <c r="AA2479" t="str">
        <f>IF(AND(SalesCleanTable[[#This Row],[Discount %]]&gt;0, SalesCleanTable[[#This Row],[Profit]]&lt;0), "Discount loss", "Safe")</f>
        <v>Safe</v>
      </c>
      <c r="AB2479" s="25">
        <f>(SalesCleanTable[[#This Row],[Unit Price]] - SalesCleanTable[[#This Row],[Unit Cost]]) / SalesCleanTable[[#This Row],[Unit Price]]</f>
        <v>0.36842105263157893</v>
      </c>
      <c r="AC2479" t="str">
        <f>IF(SalesCleanTable[[#This Row],[Discount %]] &gt; SalesCleanTable[[#This Row],[Max Allowed Discount]], "Discount loss", "Safe")</f>
        <v>Safe</v>
      </c>
      <c r="AD2479" s="4">
        <f>SalesCleanTable[[#This Row],[Unit Price]] - SalesCleanTable[[#This Row],[Unit Cost]]</f>
        <v>350</v>
      </c>
      <c r="AE2479" s="41">
        <f>(SalesCleanTable[[#This Row],[Unit Price]] - SalesCleanTable[[#This Row],[Unit Cost]]) / SalesCleanTable[[#This Row],[Unit Price]]</f>
        <v>0.36842105263157893</v>
      </c>
    </row>
    <row r="2480" spans="1:31">
      <c r="A2480" t="s">
        <v>2666</v>
      </c>
      <c r="B2480" s="6">
        <v>45882</v>
      </c>
      <c r="C2480" t="s">
        <v>49</v>
      </c>
      <c r="D2480" t="s">
        <v>50</v>
      </c>
      <c r="E2480" t="s">
        <v>38</v>
      </c>
      <c r="F2480" t="s">
        <v>51</v>
      </c>
      <c r="G2480" t="s">
        <v>52</v>
      </c>
      <c r="H2480" t="s">
        <v>149</v>
      </c>
      <c r="I2480" t="s">
        <v>150</v>
      </c>
      <c r="J2480" t="s">
        <v>151</v>
      </c>
      <c r="K2480" t="s">
        <v>152</v>
      </c>
      <c r="L2480" t="s">
        <v>166</v>
      </c>
      <c r="M2480" t="s">
        <v>167</v>
      </c>
      <c r="N2480">
        <v>-1</v>
      </c>
      <c r="O2480" s="4">
        <v>550</v>
      </c>
      <c r="P2480" s="4">
        <v>850</v>
      </c>
      <c r="Q2480" s="7">
        <v>0</v>
      </c>
      <c r="R2480" t="s">
        <v>168</v>
      </c>
      <c r="S2480">
        <v>6</v>
      </c>
      <c r="T2480">
        <v>-850</v>
      </c>
      <c r="U2480">
        <v>0</v>
      </c>
      <c r="V2480">
        <v>-850</v>
      </c>
      <c r="W2480">
        <v>-550</v>
      </c>
      <c r="X2480">
        <v>-300</v>
      </c>
      <c r="Y2480" s="8">
        <v>0.35294117647058826</v>
      </c>
      <c r="Z2480" t="s">
        <v>2996</v>
      </c>
      <c r="AA2480" t="str">
        <f>IF(AND(SalesCleanTable[[#This Row],[Discount %]]&gt;0, SalesCleanTable[[#This Row],[Profit]]&lt;0), "Discount loss", "Safe")</f>
        <v>Safe</v>
      </c>
      <c r="AB2480" s="25">
        <f>(SalesCleanTable[[#This Row],[Unit Price]] - SalesCleanTable[[#This Row],[Unit Cost]]) / SalesCleanTable[[#This Row],[Unit Price]]</f>
        <v>0.35294117647058826</v>
      </c>
      <c r="AC2480" t="str">
        <f>IF(SalesCleanTable[[#This Row],[Discount %]] &gt; SalesCleanTable[[#This Row],[Max Allowed Discount]], "Discount loss", "Safe")</f>
        <v>Safe</v>
      </c>
      <c r="AD2480" s="4">
        <f>SalesCleanTable[[#This Row],[Unit Price]] - SalesCleanTable[[#This Row],[Unit Cost]]</f>
        <v>300</v>
      </c>
      <c r="AE2480" s="41">
        <f>(SalesCleanTable[[#This Row],[Unit Price]] - SalesCleanTable[[#This Row],[Unit Cost]]) / SalesCleanTable[[#This Row],[Unit Price]]</f>
        <v>0.35294117647058826</v>
      </c>
    </row>
    <row r="2481" spans="1:31">
      <c r="A2481" t="s">
        <v>2667</v>
      </c>
      <c r="B2481" s="6">
        <v>45829</v>
      </c>
      <c r="C2481" t="s">
        <v>45</v>
      </c>
      <c r="D2481" t="s">
        <v>46</v>
      </c>
      <c r="E2481" t="s">
        <v>38</v>
      </c>
      <c r="F2481" t="s">
        <v>47</v>
      </c>
      <c r="G2481" t="s">
        <v>48</v>
      </c>
      <c r="H2481" t="s">
        <v>145</v>
      </c>
      <c r="I2481" t="s">
        <v>146</v>
      </c>
      <c r="J2481" t="s">
        <v>147</v>
      </c>
      <c r="K2481" t="s">
        <v>148</v>
      </c>
      <c r="L2481" t="s">
        <v>183</v>
      </c>
      <c r="M2481" t="s">
        <v>167</v>
      </c>
      <c r="N2481">
        <v>10</v>
      </c>
      <c r="O2481" s="4">
        <v>230</v>
      </c>
      <c r="P2481" s="4">
        <v>400</v>
      </c>
      <c r="Q2481" s="7">
        <v>0.15</v>
      </c>
      <c r="R2481" t="s">
        <v>175</v>
      </c>
      <c r="S2481">
        <v>11</v>
      </c>
      <c r="T2481">
        <v>4000</v>
      </c>
      <c r="U2481">
        <v>600</v>
      </c>
      <c r="V2481">
        <v>3400</v>
      </c>
      <c r="W2481">
        <v>2300</v>
      </c>
      <c r="X2481">
        <v>1100</v>
      </c>
      <c r="Y2481" s="8">
        <v>0.3235294117647059</v>
      </c>
      <c r="Z2481" t="s">
        <v>2995</v>
      </c>
      <c r="AA2481" t="str">
        <f>IF(AND(SalesCleanTable[[#This Row],[Discount %]]&gt;0, SalesCleanTable[[#This Row],[Profit]]&lt;0), "Discount loss", "Safe")</f>
        <v>Safe</v>
      </c>
      <c r="AB2481" s="25">
        <f>(SalesCleanTable[[#This Row],[Unit Price]] - SalesCleanTable[[#This Row],[Unit Cost]]) / SalesCleanTable[[#This Row],[Unit Price]]</f>
        <v>0.42499999999999999</v>
      </c>
      <c r="AC2481" t="str">
        <f>IF(SalesCleanTable[[#This Row],[Discount %]] &gt; SalesCleanTable[[#This Row],[Max Allowed Discount]], "Discount loss", "Safe")</f>
        <v>Safe</v>
      </c>
      <c r="AD2481" s="4">
        <f>SalesCleanTable[[#This Row],[Unit Price]] - SalesCleanTable[[#This Row],[Unit Cost]]</f>
        <v>170</v>
      </c>
      <c r="AE2481" s="41">
        <f>(SalesCleanTable[[#This Row],[Unit Price]] - SalesCleanTable[[#This Row],[Unit Cost]]) / SalesCleanTable[[#This Row],[Unit Price]]</f>
        <v>0.42499999999999999</v>
      </c>
    </row>
    <row r="2482" spans="1:31">
      <c r="A2482" t="s">
        <v>2668</v>
      </c>
      <c r="B2482" s="6">
        <v>45939</v>
      </c>
      <c r="C2482" t="s">
        <v>49</v>
      </c>
      <c r="D2482" t="s">
        <v>50</v>
      </c>
      <c r="E2482" t="s">
        <v>38</v>
      </c>
      <c r="F2482" t="s">
        <v>51</v>
      </c>
      <c r="G2482" t="s">
        <v>52</v>
      </c>
      <c r="H2482" t="s">
        <v>133</v>
      </c>
      <c r="I2482" t="s">
        <v>134</v>
      </c>
      <c r="J2482" t="s">
        <v>130</v>
      </c>
      <c r="K2482" t="s">
        <v>131</v>
      </c>
      <c r="L2482" t="s">
        <v>166</v>
      </c>
      <c r="M2482" t="s">
        <v>167</v>
      </c>
      <c r="N2482">
        <v>3</v>
      </c>
      <c r="O2482" s="4">
        <v>550</v>
      </c>
      <c r="P2482" s="4">
        <v>850</v>
      </c>
      <c r="Q2482" s="7">
        <v>0.05</v>
      </c>
      <c r="R2482" t="s">
        <v>178</v>
      </c>
      <c r="S2482">
        <v>4</v>
      </c>
      <c r="T2482">
        <v>2550</v>
      </c>
      <c r="U2482">
        <v>127.5</v>
      </c>
      <c r="V2482">
        <v>2422.5</v>
      </c>
      <c r="W2482">
        <v>1650</v>
      </c>
      <c r="X2482">
        <v>772.5</v>
      </c>
      <c r="Y2482" s="8">
        <v>0.31888544891640869</v>
      </c>
      <c r="Z2482" t="s">
        <v>2996</v>
      </c>
      <c r="AA2482" t="str">
        <f>IF(AND(SalesCleanTable[[#This Row],[Discount %]]&gt;0, SalesCleanTable[[#This Row],[Profit]]&lt;0), "Discount loss", "Safe")</f>
        <v>Safe</v>
      </c>
      <c r="AB2482" s="25">
        <f>(SalesCleanTable[[#This Row],[Unit Price]] - SalesCleanTable[[#This Row],[Unit Cost]]) / SalesCleanTable[[#This Row],[Unit Price]]</f>
        <v>0.35294117647058826</v>
      </c>
      <c r="AC2482" t="str">
        <f>IF(SalesCleanTable[[#This Row],[Discount %]] &gt; SalesCleanTable[[#This Row],[Max Allowed Discount]], "Discount loss", "Safe")</f>
        <v>Safe</v>
      </c>
      <c r="AD2482" s="4">
        <f>SalesCleanTable[[#This Row],[Unit Price]] - SalesCleanTable[[#This Row],[Unit Cost]]</f>
        <v>300</v>
      </c>
      <c r="AE2482" s="41">
        <f>(SalesCleanTable[[#This Row],[Unit Price]] - SalesCleanTable[[#This Row],[Unit Cost]]) / SalesCleanTable[[#This Row],[Unit Price]]</f>
        <v>0.35294117647058826</v>
      </c>
    </row>
    <row r="2483" spans="1:31">
      <c r="A2483" t="s">
        <v>2669</v>
      </c>
      <c r="B2483" s="6">
        <v>45842</v>
      </c>
      <c r="C2483" t="s">
        <v>45</v>
      </c>
      <c r="D2483" t="s">
        <v>46</v>
      </c>
      <c r="E2483" t="s">
        <v>38</v>
      </c>
      <c r="F2483" t="s">
        <v>47</v>
      </c>
      <c r="G2483" t="s">
        <v>48</v>
      </c>
      <c r="H2483" t="s">
        <v>145</v>
      </c>
      <c r="I2483" t="s">
        <v>146</v>
      </c>
      <c r="J2483" t="s">
        <v>147</v>
      </c>
      <c r="K2483" t="s">
        <v>148</v>
      </c>
      <c r="L2483" t="s">
        <v>166</v>
      </c>
      <c r="M2483" t="s">
        <v>171</v>
      </c>
      <c r="N2483">
        <v>4</v>
      </c>
      <c r="O2483" s="4">
        <v>230</v>
      </c>
      <c r="P2483" s="4">
        <v>400</v>
      </c>
      <c r="Q2483" s="7">
        <v>0.05</v>
      </c>
      <c r="R2483" t="s">
        <v>178</v>
      </c>
      <c r="S2483">
        <v>3</v>
      </c>
      <c r="T2483">
        <v>1600</v>
      </c>
      <c r="U2483">
        <v>80</v>
      </c>
      <c r="V2483">
        <v>1520</v>
      </c>
      <c r="W2483">
        <v>920</v>
      </c>
      <c r="X2483">
        <v>600</v>
      </c>
      <c r="Y2483" s="8">
        <v>0.39473684210526316</v>
      </c>
      <c r="Z2483" t="s">
        <v>2995</v>
      </c>
      <c r="AA2483" t="str">
        <f>IF(AND(SalesCleanTable[[#This Row],[Discount %]]&gt;0, SalesCleanTable[[#This Row],[Profit]]&lt;0), "Discount loss", "Safe")</f>
        <v>Safe</v>
      </c>
      <c r="AB2483" s="25">
        <f>(SalesCleanTable[[#This Row],[Unit Price]] - SalesCleanTable[[#This Row],[Unit Cost]]) / SalesCleanTable[[#This Row],[Unit Price]]</f>
        <v>0.42499999999999999</v>
      </c>
      <c r="AC2483" t="str">
        <f>IF(SalesCleanTable[[#This Row],[Discount %]] &gt; SalesCleanTable[[#This Row],[Max Allowed Discount]], "Discount loss", "Safe")</f>
        <v>Safe</v>
      </c>
      <c r="AD2483" s="4">
        <f>SalesCleanTable[[#This Row],[Unit Price]] - SalesCleanTable[[#This Row],[Unit Cost]]</f>
        <v>170</v>
      </c>
      <c r="AE2483" s="41">
        <f>(SalesCleanTable[[#This Row],[Unit Price]] - SalesCleanTable[[#This Row],[Unit Cost]]) / SalesCleanTable[[#This Row],[Unit Price]]</f>
        <v>0.42499999999999999</v>
      </c>
    </row>
    <row r="2484" spans="1:31">
      <c r="A2484" t="s">
        <v>2670</v>
      </c>
      <c r="B2484" s="6">
        <v>45716</v>
      </c>
      <c r="C2484" t="s">
        <v>41</v>
      </c>
      <c r="D2484" t="s">
        <v>42</v>
      </c>
      <c r="E2484" t="s">
        <v>26</v>
      </c>
      <c r="F2484" t="s">
        <v>43</v>
      </c>
      <c r="G2484" t="s">
        <v>44</v>
      </c>
      <c r="H2484" t="s">
        <v>145</v>
      </c>
      <c r="I2484" t="s">
        <v>146</v>
      </c>
      <c r="J2484" t="s">
        <v>147</v>
      </c>
      <c r="K2484" t="s">
        <v>148</v>
      </c>
      <c r="L2484" t="s">
        <v>183</v>
      </c>
      <c r="M2484" t="s">
        <v>167</v>
      </c>
      <c r="N2484">
        <v>2</v>
      </c>
      <c r="O2484" s="4">
        <v>850</v>
      </c>
      <c r="P2484" s="4">
        <v>1300</v>
      </c>
      <c r="Q2484" s="7">
        <v>0.05</v>
      </c>
      <c r="R2484" t="s">
        <v>197</v>
      </c>
      <c r="S2484">
        <v>3</v>
      </c>
      <c r="T2484">
        <v>2600</v>
      </c>
      <c r="U2484">
        <v>130</v>
      </c>
      <c r="V2484">
        <v>2470</v>
      </c>
      <c r="W2484">
        <v>1700</v>
      </c>
      <c r="X2484">
        <v>770</v>
      </c>
      <c r="Y2484" s="8">
        <v>0.31174089068825911</v>
      </c>
      <c r="Z2484" t="s">
        <v>2995</v>
      </c>
      <c r="AA2484" t="str">
        <f>IF(AND(SalesCleanTable[[#This Row],[Discount %]]&gt;0, SalesCleanTable[[#This Row],[Profit]]&lt;0), "Discount loss", "Safe")</f>
        <v>Safe</v>
      </c>
      <c r="AB2484" s="25">
        <f>(SalesCleanTable[[#This Row],[Unit Price]] - SalesCleanTable[[#This Row],[Unit Cost]]) / SalesCleanTable[[#This Row],[Unit Price]]</f>
        <v>0.34615384615384615</v>
      </c>
      <c r="AC2484" t="str">
        <f>IF(SalesCleanTable[[#This Row],[Discount %]] &gt; SalesCleanTable[[#This Row],[Max Allowed Discount]], "Discount loss", "Safe")</f>
        <v>Safe</v>
      </c>
      <c r="AD2484" s="4">
        <f>SalesCleanTable[[#This Row],[Unit Price]] - SalesCleanTable[[#This Row],[Unit Cost]]</f>
        <v>450</v>
      </c>
      <c r="AE2484" s="41">
        <f>(SalesCleanTable[[#This Row],[Unit Price]] - SalesCleanTable[[#This Row],[Unit Cost]]) / SalesCleanTable[[#This Row],[Unit Price]]</f>
        <v>0.34615384615384615</v>
      </c>
    </row>
    <row r="2485" spans="1:31">
      <c r="A2485" t="s">
        <v>2671</v>
      </c>
      <c r="B2485" s="6">
        <v>45662</v>
      </c>
      <c r="C2485" t="s">
        <v>45</v>
      </c>
      <c r="D2485" t="s">
        <v>46</v>
      </c>
      <c r="E2485" t="s">
        <v>38</v>
      </c>
      <c r="F2485" t="s">
        <v>47</v>
      </c>
      <c r="G2485" t="s">
        <v>48</v>
      </c>
      <c r="H2485" t="s">
        <v>139</v>
      </c>
      <c r="I2485" t="s">
        <v>140</v>
      </c>
      <c r="J2485" t="s">
        <v>137</v>
      </c>
      <c r="K2485" t="s">
        <v>138</v>
      </c>
      <c r="L2485" t="s">
        <v>183</v>
      </c>
      <c r="M2485" t="s">
        <v>186</v>
      </c>
      <c r="N2485">
        <v>2</v>
      </c>
      <c r="O2485" s="4">
        <v>230</v>
      </c>
      <c r="P2485" s="4">
        <v>400</v>
      </c>
      <c r="Q2485" s="7">
        <v>0.05</v>
      </c>
      <c r="R2485" t="s">
        <v>168</v>
      </c>
      <c r="S2485">
        <v>4</v>
      </c>
      <c r="T2485">
        <v>800</v>
      </c>
      <c r="U2485">
        <v>40</v>
      </c>
      <c r="V2485">
        <v>760</v>
      </c>
      <c r="W2485">
        <v>460</v>
      </c>
      <c r="X2485">
        <v>300</v>
      </c>
      <c r="Y2485" s="8">
        <v>0.39473684210526316</v>
      </c>
      <c r="Z2485" t="s">
        <v>2995</v>
      </c>
      <c r="AA2485" t="str">
        <f>IF(AND(SalesCleanTable[[#This Row],[Discount %]]&gt;0, SalesCleanTable[[#This Row],[Profit]]&lt;0), "Discount loss", "Safe")</f>
        <v>Safe</v>
      </c>
      <c r="AB2485" s="25">
        <f>(SalesCleanTable[[#This Row],[Unit Price]] - SalesCleanTable[[#This Row],[Unit Cost]]) / SalesCleanTable[[#This Row],[Unit Price]]</f>
        <v>0.42499999999999999</v>
      </c>
      <c r="AC2485" t="str">
        <f>IF(SalesCleanTable[[#This Row],[Discount %]] &gt; SalesCleanTable[[#This Row],[Max Allowed Discount]], "Discount loss", "Safe")</f>
        <v>Safe</v>
      </c>
      <c r="AD2485" s="4">
        <f>SalesCleanTable[[#This Row],[Unit Price]] - SalesCleanTable[[#This Row],[Unit Cost]]</f>
        <v>170</v>
      </c>
      <c r="AE2485" s="41">
        <f>(SalesCleanTable[[#This Row],[Unit Price]] - SalesCleanTable[[#This Row],[Unit Cost]]) / SalesCleanTable[[#This Row],[Unit Price]]</f>
        <v>0.42499999999999999</v>
      </c>
    </row>
    <row r="2486" spans="1:31">
      <c r="A2486" t="s">
        <v>2672</v>
      </c>
      <c r="B2486" s="6">
        <v>45928</v>
      </c>
      <c r="C2486" t="s">
        <v>95</v>
      </c>
      <c r="D2486" t="s">
        <v>96</v>
      </c>
      <c r="E2486" t="s">
        <v>92</v>
      </c>
      <c r="F2486" t="s">
        <v>97</v>
      </c>
      <c r="G2486" t="s">
        <v>98</v>
      </c>
      <c r="H2486" t="s">
        <v>139</v>
      </c>
      <c r="I2486" t="s">
        <v>140</v>
      </c>
      <c r="J2486" t="s">
        <v>137</v>
      </c>
      <c r="K2486" t="s">
        <v>138</v>
      </c>
      <c r="L2486" t="s">
        <v>166</v>
      </c>
      <c r="M2486" t="s">
        <v>171</v>
      </c>
      <c r="N2486">
        <v>1</v>
      </c>
      <c r="O2486" s="4">
        <v>18000</v>
      </c>
      <c r="P2486" s="4">
        <v>24500</v>
      </c>
      <c r="Q2486" s="7">
        <v>0.1</v>
      </c>
      <c r="R2486" t="s">
        <v>181</v>
      </c>
      <c r="S2486">
        <v>5</v>
      </c>
      <c r="T2486">
        <v>24500</v>
      </c>
      <c r="U2486">
        <v>2450</v>
      </c>
      <c r="V2486">
        <v>22050</v>
      </c>
      <c r="W2486">
        <v>18000</v>
      </c>
      <c r="X2486">
        <v>4050</v>
      </c>
      <c r="Y2486" s="8">
        <v>0.18367346938775511</v>
      </c>
      <c r="Z2486" t="s">
        <v>2995</v>
      </c>
      <c r="AA2486" t="str">
        <f>IF(AND(SalesCleanTable[[#This Row],[Discount %]]&gt;0, SalesCleanTable[[#This Row],[Profit]]&lt;0), "Discount loss", "Safe")</f>
        <v>Safe</v>
      </c>
      <c r="AB2486" s="25">
        <f>(SalesCleanTable[[#This Row],[Unit Price]] - SalesCleanTable[[#This Row],[Unit Cost]]) / SalesCleanTable[[#This Row],[Unit Price]]</f>
        <v>0.26530612244897961</v>
      </c>
      <c r="AC2486" t="str">
        <f>IF(SalesCleanTable[[#This Row],[Discount %]] &gt; SalesCleanTable[[#This Row],[Max Allowed Discount]], "Discount loss", "Safe")</f>
        <v>Safe</v>
      </c>
      <c r="AD2486" s="4">
        <f>SalesCleanTable[[#This Row],[Unit Price]] - SalesCleanTable[[#This Row],[Unit Cost]]</f>
        <v>6500</v>
      </c>
      <c r="AE2486" s="41">
        <f>(SalesCleanTable[[#This Row],[Unit Price]] - SalesCleanTable[[#This Row],[Unit Cost]]) / SalesCleanTable[[#This Row],[Unit Price]]</f>
        <v>0.26530612244897961</v>
      </c>
    </row>
    <row r="2487" spans="1:31">
      <c r="A2487" t="s">
        <v>2673</v>
      </c>
      <c r="B2487" s="6">
        <v>45701</v>
      </c>
      <c r="C2487" t="s">
        <v>45</v>
      </c>
      <c r="D2487" t="s">
        <v>46</v>
      </c>
      <c r="E2487" t="s">
        <v>38</v>
      </c>
      <c r="F2487" t="s">
        <v>47</v>
      </c>
      <c r="G2487" t="s">
        <v>48</v>
      </c>
      <c r="H2487" t="s">
        <v>153</v>
      </c>
      <c r="I2487" t="s">
        <v>154</v>
      </c>
      <c r="J2487" t="s">
        <v>155</v>
      </c>
      <c r="K2487" t="s">
        <v>131</v>
      </c>
      <c r="L2487" t="s">
        <v>166</v>
      </c>
      <c r="M2487" t="s">
        <v>177</v>
      </c>
      <c r="N2487">
        <v>-2</v>
      </c>
      <c r="O2487" s="4">
        <v>230</v>
      </c>
      <c r="P2487" s="4">
        <v>400</v>
      </c>
      <c r="Q2487" s="7">
        <v>0.05</v>
      </c>
      <c r="R2487" t="s">
        <v>178</v>
      </c>
      <c r="S2487">
        <v>13</v>
      </c>
      <c r="T2487">
        <v>-800</v>
      </c>
      <c r="U2487">
        <v>-40</v>
      </c>
      <c r="V2487">
        <v>-760</v>
      </c>
      <c r="W2487">
        <v>-460</v>
      </c>
      <c r="X2487">
        <v>-300</v>
      </c>
      <c r="Y2487" s="8">
        <v>0.39473684210526316</v>
      </c>
      <c r="Z2487" t="s">
        <v>2995</v>
      </c>
      <c r="AA2487" t="str">
        <f>IF(AND(SalesCleanTable[[#This Row],[Discount %]]&gt;0, SalesCleanTable[[#This Row],[Profit]]&lt;0), "Discount loss", "Safe")</f>
        <v>Discount loss</v>
      </c>
      <c r="AB2487" s="25">
        <f>(SalesCleanTable[[#This Row],[Unit Price]] - SalesCleanTable[[#This Row],[Unit Cost]]) / SalesCleanTable[[#This Row],[Unit Price]]</f>
        <v>0.42499999999999999</v>
      </c>
      <c r="AC2487" t="str">
        <f>IF(SalesCleanTable[[#This Row],[Discount %]] &gt; SalesCleanTable[[#This Row],[Max Allowed Discount]], "Discount loss", "Safe")</f>
        <v>Safe</v>
      </c>
      <c r="AD2487" s="4">
        <f>SalesCleanTable[[#This Row],[Unit Price]] - SalesCleanTable[[#This Row],[Unit Cost]]</f>
        <v>170</v>
      </c>
      <c r="AE2487" s="41">
        <f>(SalesCleanTable[[#This Row],[Unit Price]] - SalesCleanTable[[#This Row],[Unit Cost]]) / SalesCleanTable[[#This Row],[Unit Price]]</f>
        <v>0.42499999999999999</v>
      </c>
    </row>
    <row r="2488" spans="1:31">
      <c r="A2488" t="s">
        <v>2674</v>
      </c>
      <c r="B2488" s="6">
        <v>45697</v>
      </c>
      <c r="C2488" t="s">
        <v>62</v>
      </c>
      <c r="D2488" t="s">
        <v>63</v>
      </c>
      <c r="E2488" t="s">
        <v>59</v>
      </c>
      <c r="F2488" t="s">
        <v>64</v>
      </c>
      <c r="G2488" t="s">
        <v>65</v>
      </c>
      <c r="H2488" t="s">
        <v>128</v>
      </c>
      <c r="I2488" t="s">
        <v>129</v>
      </c>
      <c r="J2488" t="s">
        <v>130</v>
      </c>
      <c r="K2488" t="s">
        <v>131</v>
      </c>
      <c r="L2488" t="s">
        <v>166</v>
      </c>
      <c r="M2488" t="s">
        <v>186</v>
      </c>
      <c r="N2488">
        <v>3</v>
      </c>
      <c r="O2488" s="4">
        <v>3200</v>
      </c>
      <c r="P2488" s="4">
        <v>4500</v>
      </c>
      <c r="Q2488" s="7">
        <v>0.05</v>
      </c>
      <c r="R2488" t="s">
        <v>192</v>
      </c>
      <c r="S2488">
        <v>6</v>
      </c>
      <c r="T2488">
        <v>13500</v>
      </c>
      <c r="U2488">
        <v>675</v>
      </c>
      <c r="V2488">
        <v>12825</v>
      </c>
      <c r="W2488">
        <v>9600</v>
      </c>
      <c r="X2488">
        <v>3225</v>
      </c>
      <c r="Y2488" s="8">
        <v>0.25146198830409355</v>
      </c>
      <c r="Z2488" t="s">
        <v>2996</v>
      </c>
      <c r="AA2488" t="str">
        <f>IF(AND(SalesCleanTable[[#This Row],[Discount %]]&gt;0, SalesCleanTable[[#This Row],[Profit]]&lt;0), "Discount loss", "Safe")</f>
        <v>Safe</v>
      </c>
      <c r="AB2488" s="25">
        <f>(SalesCleanTable[[#This Row],[Unit Price]] - SalesCleanTable[[#This Row],[Unit Cost]]) / SalesCleanTable[[#This Row],[Unit Price]]</f>
        <v>0.28888888888888886</v>
      </c>
      <c r="AC2488" t="str">
        <f>IF(SalesCleanTable[[#This Row],[Discount %]] &gt; SalesCleanTable[[#This Row],[Max Allowed Discount]], "Discount loss", "Safe")</f>
        <v>Safe</v>
      </c>
      <c r="AD2488" s="4">
        <f>SalesCleanTable[[#This Row],[Unit Price]] - SalesCleanTable[[#This Row],[Unit Cost]]</f>
        <v>1300</v>
      </c>
      <c r="AE2488" s="41">
        <f>(SalesCleanTable[[#This Row],[Unit Price]] - SalesCleanTable[[#This Row],[Unit Cost]]) / SalesCleanTable[[#This Row],[Unit Price]]</f>
        <v>0.28888888888888886</v>
      </c>
    </row>
    <row r="2489" spans="1:31">
      <c r="A2489" t="s">
        <v>2675</v>
      </c>
      <c r="B2489" s="6">
        <v>45685</v>
      </c>
      <c r="C2489" t="s">
        <v>49</v>
      </c>
      <c r="D2489" t="s">
        <v>50</v>
      </c>
      <c r="E2489" t="s">
        <v>38</v>
      </c>
      <c r="F2489" t="s">
        <v>51</v>
      </c>
      <c r="G2489" t="s">
        <v>52</v>
      </c>
      <c r="H2489" t="s">
        <v>139</v>
      </c>
      <c r="I2489" t="s">
        <v>140</v>
      </c>
      <c r="J2489" t="s">
        <v>137</v>
      </c>
      <c r="K2489" t="s">
        <v>138</v>
      </c>
      <c r="L2489" t="s">
        <v>166</v>
      </c>
      <c r="M2489" t="s">
        <v>171</v>
      </c>
      <c r="N2489">
        <v>5</v>
      </c>
      <c r="O2489" s="4">
        <v>550</v>
      </c>
      <c r="P2489" s="4">
        <v>850</v>
      </c>
      <c r="Q2489" s="7">
        <v>0</v>
      </c>
      <c r="R2489" t="s">
        <v>178</v>
      </c>
      <c r="S2489">
        <v>4</v>
      </c>
      <c r="T2489">
        <v>4250</v>
      </c>
      <c r="U2489">
        <v>0</v>
      </c>
      <c r="V2489">
        <v>4250</v>
      </c>
      <c r="W2489">
        <v>2750</v>
      </c>
      <c r="X2489">
        <v>1500</v>
      </c>
      <c r="Y2489" s="8">
        <v>0.35294117647058826</v>
      </c>
      <c r="Z2489" t="s">
        <v>2996</v>
      </c>
      <c r="AA2489" t="str">
        <f>IF(AND(SalesCleanTable[[#This Row],[Discount %]]&gt;0, SalesCleanTable[[#This Row],[Profit]]&lt;0), "Discount loss", "Safe")</f>
        <v>Safe</v>
      </c>
      <c r="AB2489" s="25">
        <f>(SalesCleanTable[[#This Row],[Unit Price]] - SalesCleanTable[[#This Row],[Unit Cost]]) / SalesCleanTable[[#This Row],[Unit Price]]</f>
        <v>0.35294117647058826</v>
      </c>
      <c r="AC2489" t="str">
        <f>IF(SalesCleanTable[[#This Row],[Discount %]] &gt; SalesCleanTable[[#This Row],[Max Allowed Discount]], "Discount loss", "Safe")</f>
        <v>Safe</v>
      </c>
      <c r="AD2489" s="4">
        <f>SalesCleanTable[[#This Row],[Unit Price]] - SalesCleanTable[[#This Row],[Unit Cost]]</f>
        <v>300</v>
      </c>
      <c r="AE2489" s="41">
        <f>(SalesCleanTable[[#This Row],[Unit Price]] - SalesCleanTable[[#This Row],[Unit Cost]]) / SalesCleanTable[[#This Row],[Unit Price]]</f>
        <v>0.35294117647058826</v>
      </c>
    </row>
    <row r="2490" spans="1:31">
      <c r="A2490" t="s">
        <v>2676</v>
      </c>
      <c r="B2490" s="6">
        <v>45694</v>
      </c>
      <c r="C2490" t="s">
        <v>49</v>
      </c>
      <c r="D2490" t="s">
        <v>50</v>
      </c>
      <c r="E2490" t="s">
        <v>38</v>
      </c>
      <c r="F2490" t="s">
        <v>51</v>
      </c>
      <c r="G2490" t="s">
        <v>52</v>
      </c>
      <c r="H2490" t="s">
        <v>135</v>
      </c>
      <c r="I2490" t="s">
        <v>136</v>
      </c>
      <c r="J2490" t="s">
        <v>137</v>
      </c>
      <c r="K2490" t="s">
        <v>138</v>
      </c>
      <c r="L2490" t="s">
        <v>166</v>
      </c>
      <c r="M2490" t="s">
        <v>177</v>
      </c>
      <c r="N2490">
        <v>4</v>
      </c>
      <c r="O2490" s="4">
        <v>550</v>
      </c>
      <c r="P2490" s="4">
        <v>850</v>
      </c>
      <c r="Q2490" s="7">
        <v>0</v>
      </c>
      <c r="R2490" t="s">
        <v>178</v>
      </c>
      <c r="S2490">
        <v>1</v>
      </c>
      <c r="T2490">
        <v>3400</v>
      </c>
      <c r="U2490">
        <v>0</v>
      </c>
      <c r="V2490">
        <v>3400</v>
      </c>
      <c r="W2490">
        <v>2200</v>
      </c>
      <c r="X2490">
        <v>1200</v>
      </c>
      <c r="Y2490" s="8">
        <v>0.35294117647058826</v>
      </c>
      <c r="Z2490" t="s">
        <v>2996</v>
      </c>
      <c r="AA2490" t="str">
        <f>IF(AND(SalesCleanTable[[#This Row],[Discount %]]&gt;0, SalesCleanTable[[#This Row],[Profit]]&lt;0), "Discount loss", "Safe")</f>
        <v>Safe</v>
      </c>
      <c r="AB2490" s="25">
        <f>(SalesCleanTable[[#This Row],[Unit Price]] - SalesCleanTable[[#This Row],[Unit Cost]]) / SalesCleanTable[[#This Row],[Unit Price]]</f>
        <v>0.35294117647058826</v>
      </c>
      <c r="AC2490" t="str">
        <f>IF(SalesCleanTable[[#This Row],[Discount %]] &gt; SalesCleanTable[[#This Row],[Max Allowed Discount]], "Discount loss", "Safe")</f>
        <v>Safe</v>
      </c>
      <c r="AD2490" s="4">
        <f>SalesCleanTable[[#This Row],[Unit Price]] - SalesCleanTable[[#This Row],[Unit Cost]]</f>
        <v>300</v>
      </c>
      <c r="AE2490" s="41">
        <f>(SalesCleanTable[[#This Row],[Unit Price]] - SalesCleanTable[[#This Row],[Unit Cost]]) / SalesCleanTable[[#This Row],[Unit Price]]</f>
        <v>0.35294117647058826</v>
      </c>
    </row>
    <row r="2491" spans="1:31">
      <c r="A2491" t="s">
        <v>2677</v>
      </c>
      <c r="B2491" s="6">
        <v>45915</v>
      </c>
      <c r="C2491" t="s">
        <v>53</v>
      </c>
      <c r="D2491" t="s">
        <v>54</v>
      </c>
      <c r="E2491" t="s">
        <v>38</v>
      </c>
      <c r="F2491" t="s">
        <v>55</v>
      </c>
      <c r="G2491" t="s">
        <v>56</v>
      </c>
      <c r="H2491" t="s">
        <v>135</v>
      </c>
      <c r="I2491" t="s">
        <v>136</v>
      </c>
      <c r="J2491" t="s">
        <v>137</v>
      </c>
      <c r="K2491" t="s">
        <v>138</v>
      </c>
      <c r="L2491" t="s">
        <v>183</v>
      </c>
      <c r="M2491" t="s">
        <v>177</v>
      </c>
      <c r="N2491">
        <v>3</v>
      </c>
      <c r="O2491" s="4">
        <v>330</v>
      </c>
      <c r="P2491" s="4">
        <v>550</v>
      </c>
      <c r="Q2491" s="7">
        <v>0.2</v>
      </c>
      <c r="R2491" t="s">
        <v>175</v>
      </c>
      <c r="S2491">
        <v>14</v>
      </c>
      <c r="T2491">
        <v>1650</v>
      </c>
      <c r="U2491">
        <v>330</v>
      </c>
      <c r="V2491">
        <v>1320</v>
      </c>
      <c r="W2491">
        <v>990</v>
      </c>
      <c r="X2491">
        <v>330</v>
      </c>
      <c r="Y2491" s="8">
        <v>0.25</v>
      </c>
      <c r="Z2491" t="s">
        <v>2996</v>
      </c>
      <c r="AA2491" t="str">
        <f>IF(AND(SalesCleanTable[[#This Row],[Discount %]]&gt;0, SalesCleanTable[[#This Row],[Profit]]&lt;0), "Discount loss", "Safe")</f>
        <v>Safe</v>
      </c>
      <c r="AB2491" s="25">
        <f>(SalesCleanTable[[#This Row],[Unit Price]] - SalesCleanTable[[#This Row],[Unit Cost]]) / SalesCleanTable[[#This Row],[Unit Price]]</f>
        <v>0.4</v>
      </c>
      <c r="AC2491" t="str">
        <f>IF(SalesCleanTable[[#This Row],[Discount %]] &gt; SalesCleanTable[[#This Row],[Max Allowed Discount]], "Discount loss", "Safe")</f>
        <v>Safe</v>
      </c>
      <c r="AD2491" s="4">
        <f>SalesCleanTable[[#This Row],[Unit Price]] - SalesCleanTable[[#This Row],[Unit Cost]]</f>
        <v>220</v>
      </c>
      <c r="AE2491" s="41">
        <f>(SalesCleanTable[[#This Row],[Unit Price]] - SalesCleanTable[[#This Row],[Unit Cost]]) / SalesCleanTable[[#This Row],[Unit Price]]</f>
        <v>0.4</v>
      </c>
    </row>
    <row r="2492" spans="1:31">
      <c r="A2492" t="s">
        <v>2678</v>
      </c>
      <c r="B2492" s="6">
        <v>45805</v>
      </c>
      <c r="C2492" t="s">
        <v>82</v>
      </c>
      <c r="D2492" t="s">
        <v>83</v>
      </c>
      <c r="E2492" t="s">
        <v>75</v>
      </c>
      <c r="F2492" t="s">
        <v>84</v>
      </c>
      <c r="G2492" t="s">
        <v>85</v>
      </c>
      <c r="H2492" t="s">
        <v>128</v>
      </c>
      <c r="I2492" t="s">
        <v>129</v>
      </c>
      <c r="J2492" t="s">
        <v>130</v>
      </c>
      <c r="K2492" t="s">
        <v>131</v>
      </c>
      <c r="L2492" t="s">
        <v>166</v>
      </c>
      <c r="M2492" t="s">
        <v>177</v>
      </c>
      <c r="N2492">
        <v>5</v>
      </c>
      <c r="O2492" s="4">
        <v>600</v>
      </c>
      <c r="P2492" s="4">
        <v>950</v>
      </c>
      <c r="Q2492" s="7">
        <v>0</v>
      </c>
      <c r="R2492" t="s">
        <v>208</v>
      </c>
      <c r="S2492">
        <v>2</v>
      </c>
      <c r="T2492">
        <v>4750</v>
      </c>
      <c r="U2492">
        <v>0</v>
      </c>
      <c r="V2492">
        <v>4750</v>
      </c>
      <c r="W2492">
        <v>3000</v>
      </c>
      <c r="X2492">
        <v>1750</v>
      </c>
      <c r="Y2492" s="8">
        <v>0.36842105263157893</v>
      </c>
      <c r="Z2492" t="s">
        <v>2996</v>
      </c>
      <c r="AA2492" t="str">
        <f>IF(AND(SalesCleanTable[[#This Row],[Discount %]]&gt;0, SalesCleanTable[[#This Row],[Profit]]&lt;0), "Discount loss", "Safe")</f>
        <v>Safe</v>
      </c>
      <c r="AB2492" s="25">
        <f>(SalesCleanTable[[#This Row],[Unit Price]] - SalesCleanTable[[#This Row],[Unit Cost]]) / SalesCleanTable[[#This Row],[Unit Price]]</f>
        <v>0.36842105263157893</v>
      </c>
      <c r="AC2492" t="str">
        <f>IF(SalesCleanTable[[#This Row],[Discount %]] &gt; SalesCleanTable[[#This Row],[Max Allowed Discount]], "Discount loss", "Safe")</f>
        <v>Safe</v>
      </c>
      <c r="AD2492" s="4">
        <f>SalesCleanTable[[#This Row],[Unit Price]] - SalesCleanTable[[#This Row],[Unit Cost]]</f>
        <v>350</v>
      </c>
      <c r="AE2492" s="41">
        <f>(SalesCleanTable[[#This Row],[Unit Price]] - SalesCleanTable[[#This Row],[Unit Cost]]) / SalesCleanTable[[#This Row],[Unit Price]]</f>
        <v>0.36842105263157893</v>
      </c>
    </row>
    <row r="2493" spans="1:31">
      <c r="A2493" t="s">
        <v>2679</v>
      </c>
      <c r="B2493" s="6">
        <v>45959</v>
      </c>
      <c r="C2493" t="s">
        <v>62</v>
      </c>
      <c r="D2493" t="s">
        <v>63</v>
      </c>
      <c r="E2493" t="s">
        <v>59</v>
      </c>
      <c r="F2493" t="s">
        <v>64</v>
      </c>
      <c r="G2493" t="s">
        <v>65</v>
      </c>
      <c r="H2493" t="s">
        <v>128</v>
      </c>
      <c r="I2493" t="s">
        <v>129</v>
      </c>
      <c r="J2493" t="s">
        <v>130</v>
      </c>
      <c r="K2493" t="s">
        <v>131</v>
      </c>
      <c r="L2493" t="s">
        <v>183</v>
      </c>
      <c r="M2493" t="s">
        <v>167</v>
      </c>
      <c r="N2493">
        <v>10</v>
      </c>
      <c r="O2493" s="4">
        <v>3200</v>
      </c>
      <c r="P2493" s="4">
        <v>4500</v>
      </c>
      <c r="Q2493" s="7">
        <v>0.05</v>
      </c>
      <c r="R2493" t="s">
        <v>173</v>
      </c>
      <c r="S2493">
        <v>9</v>
      </c>
      <c r="T2493">
        <v>45000</v>
      </c>
      <c r="U2493">
        <v>2250</v>
      </c>
      <c r="V2493">
        <v>42750</v>
      </c>
      <c r="W2493">
        <v>32000</v>
      </c>
      <c r="X2493">
        <v>10750</v>
      </c>
      <c r="Y2493" s="8">
        <v>0.25146198830409355</v>
      </c>
      <c r="Z2493" t="s">
        <v>2996</v>
      </c>
      <c r="AA2493" t="str">
        <f>IF(AND(SalesCleanTable[[#This Row],[Discount %]]&gt;0, SalesCleanTable[[#This Row],[Profit]]&lt;0), "Discount loss", "Safe")</f>
        <v>Safe</v>
      </c>
      <c r="AB2493" s="25">
        <f>(SalesCleanTable[[#This Row],[Unit Price]] - SalesCleanTable[[#This Row],[Unit Cost]]) / SalesCleanTable[[#This Row],[Unit Price]]</f>
        <v>0.28888888888888886</v>
      </c>
      <c r="AC2493" t="str">
        <f>IF(SalesCleanTable[[#This Row],[Discount %]] &gt; SalesCleanTable[[#This Row],[Max Allowed Discount]], "Discount loss", "Safe")</f>
        <v>Safe</v>
      </c>
      <c r="AD2493" s="4">
        <f>SalesCleanTable[[#This Row],[Unit Price]] - SalesCleanTable[[#This Row],[Unit Cost]]</f>
        <v>1300</v>
      </c>
      <c r="AE2493" s="41">
        <f>(SalesCleanTable[[#This Row],[Unit Price]] - SalesCleanTable[[#This Row],[Unit Cost]]) / SalesCleanTable[[#This Row],[Unit Price]]</f>
        <v>0.28888888888888886</v>
      </c>
    </row>
    <row r="2494" spans="1:31">
      <c r="A2494" t="s">
        <v>2680</v>
      </c>
      <c r="B2494" s="6">
        <v>45727</v>
      </c>
      <c r="C2494" t="s">
        <v>103</v>
      </c>
      <c r="D2494" t="s">
        <v>104</v>
      </c>
      <c r="E2494" t="s">
        <v>92</v>
      </c>
      <c r="F2494" t="s">
        <v>105</v>
      </c>
      <c r="G2494" t="s">
        <v>106</v>
      </c>
      <c r="H2494" t="s">
        <v>135</v>
      </c>
      <c r="I2494" t="s">
        <v>136</v>
      </c>
      <c r="J2494" t="s">
        <v>137</v>
      </c>
      <c r="K2494" t="s">
        <v>138</v>
      </c>
      <c r="L2494" t="s">
        <v>183</v>
      </c>
      <c r="M2494" t="s">
        <v>171</v>
      </c>
      <c r="N2494">
        <v>1</v>
      </c>
      <c r="O2494" s="4">
        <v>1500</v>
      </c>
      <c r="P2494" s="4">
        <v>2500</v>
      </c>
      <c r="Q2494" s="7">
        <v>0.05</v>
      </c>
      <c r="R2494" t="s">
        <v>181</v>
      </c>
      <c r="S2494">
        <v>11</v>
      </c>
      <c r="T2494">
        <v>2500</v>
      </c>
      <c r="U2494">
        <v>125</v>
      </c>
      <c r="V2494">
        <v>2375</v>
      </c>
      <c r="W2494">
        <v>1500</v>
      </c>
      <c r="X2494">
        <v>875</v>
      </c>
      <c r="Y2494" s="8">
        <v>0.36842105263157893</v>
      </c>
      <c r="Z2494" t="s">
        <v>2996</v>
      </c>
      <c r="AA2494" t="str">
        <f>IF(AND(SalesCleanTable[[#This Row],[Discount %]]&gt;0, SalesCleanTable[[#This Row],[Profit]]&lt;0), "Discount loss", "Safe")</f>
        <v>Safe</v>
      </c>
      <c r="AB2494" s="25">
        <f>(SalesCleanTable[[#This Row],[Unit Price]] - SalesCleanTable[[#This Row],[Unit Cost]]) / SalesCleanTable[[#This Row],[Unit Price]]</f>
        <v>0.4</v>
      </c>
      <c r="AC2494" t="str">
        <f>IF(SalesCleanTable[[#This Row],[Discount %]] &gt; SalesCleanTable[[#This Row],[Max Allowed Discount]], "Discount loss", "Safe")</f>
        <v>Safe</v>
      </c>
      <c r="AD2494" s="4">
        <f>SalesCleanTable[[#This Row],[Unit Price]] - SalesCleanTable[[#This Row],[Unit Cost]]</f>
        <v>1000</v>
      </c>
      <c r="AE2494" s="41">
        <f>(SalesCleanTable[[#This Row],[Unit Price]] - SalesCleanTable[[#This Row],[Unit Cost]]) / SalesCleanTable[[#This Row],[Unit Price]]</f>
        <v>0.4</v>
      </c>
    </row>
    <row r="2495" spans="1:31">
      <c r="A2495" t="s">
        <v>2681</v>
      </c>
      <c r="B2495" s="6">
        <v>45848</v>
      </c>
      <c r="C2495" t="s">
        <v>49</v>
      </c>
      <c r="D2495" t="s">
        <v>50</v>
      </c>
      <c r="E2495" t="s">
        <v>38</v>
      </c>
      <c r="F2495" t="s">
        <v>51</v>
      </c>
      <c r="G2495" t="s">
        <v>52</v>
      </c>
      <c r="H2495" t="s">
        <v>141</v>
      </c>
      <c r="I2495" t="s">
        <v>142</v>
      </c>
      <c r="J2495" t="s">
        <v>143</v>
      </c>
      <c r="K2495" t="s">
        <v>144</v>
      </c>
      <c r="L2495" t="s">
        <v>183</v>
      </c>
      <c r="M2495" t="s">
        <v>177</v>
      </c>
      <c r="N2495">
        <v>1</v>
      </c>
      <c r="O2495" s="4">
        <v>550</v>
      </c>
      <c r="P2495" s="4">
        <v>850</v>
      </c>
      <c r="Q2495" s="7">
        <v>0.1</v>
      </c>
      <c r="R2495" t="s">
        <v>178</v>
      </c>
      <c r="S2495">
        <v>2</v>
      </c>
      <c r="T2495">
        <v>850</v>
      </c>
      <c r="U2495">
        <v>85</v>
      </c>
      <c r="V2495">
        <v>765</v>
      </c>
      <c r="W2495">
        <v>550</v>
      </c>
      <c r="X2495">
        <v>215</v>
      </c>
      <c r="Y2495" s="8">
        <v>0.28104575163398693</v>
      </c>
      <c r="Z2495" t="s">
        <v>2996</v>
      </c>
      <c r="AA2495" t="str">
        <f>IF(AND(SalesCleanTable[[#This Row],[Discount %]]&gt;0, SalesCleanTable[[#This Row],[Profit]]&lt;0), "Discount loss", "Safe")</f>
        <v>Safe</v>
      </c>
      <c r="AB2495" s="25">
        <f>(SalesCleanTable[[#This Row],[Unit Price]] - SalesCleanTable[[#This Row],[Unit Cost]]) / SalesCleanTable[[#This Row],[Unit Price]]</f>
        <v>0.35294117647058826</v>
      </c>
      <c r="AC2495" t="str">
        <f>IF(SalesCleanTable[[#This Row],[Discount %]] &gt; SalesCleanTable[[#This Row],[Max Allowed Discount]], "Discount loss", "Safe")</f>
        <v>Safe</v>
      </c>
      <c r="AD2495" s="4">
        <f>SalesCleanTable[[#This Row],[Unit Price]] - SalesCleanTable[[#This Row],[Unit Cost]]</f>
        <v>300</v>
      </c>
      <c r="AE2495" s="41">
        <f>(SalesCleanTable[[#This Row],[Unit Price]] - SalesCleanTable[[#This Row],[Unit Cost]]) / SalesCleanTable[[#This Row],[Unit Price]]</f>
        <v>0.35294117647058826</v>
      </c>
    </row>
    <row r="2496" spans="1:31">
      <c r="A2496" t="s">
        <v>2682</v>
      </c>
      <c r="B2496" s="6">
        <v>45789</v>
      </c>
      <c r="C2496" t="s">
        <v>57</v>
      </c>
      <c r="D2496" t="s">
        <v>58</v>
      </c>
      <c r="E2496" t="s">
        <v>59</v>
      </c>
      <c r="F2496" t="s">
        <v>60</v>
      </c>
      <c r="G2496" t="s">
        <v>61</v>
      </c>
      <c r="H2496" t="s">
        <v>133</v>
      </c>
      <c r="I2496" t="s">
        <v>134</v>
      </c>
      <c r="J2496" t="s">
        <v>130</v>
      </c>
      <c r="K2496" t="s">
        <v>131</v>
      </c>
      <c r="L2496" t="s">
        <v>183</v>
      </c>
      <c r="M2496" t="s">
        <v>186</v>
      </c>
      <c r="N2496">
        <v>3</v>
      </c>
      <c r="O2496" s="4">
        <v>2400</v>
      </c>
      <c r="P2496" s="4">
        <v>3400</v>
      </c>
      <c r="Q2496" s="7">
        <v>0</v>
      </c>
      <c r="R2496" t="s">
        <v>173</v>
      </c>
      <c r="S2496">
        <v>7</v>
      </c>
      <c r="T2496">
        <v>10200</v>
      </c>
      <c r="U2496">
        <v>0</v>
      </c>
      <c r="V2496">
        <v>10200</v>
      </c>
      <c r="W2496">
        <v>7200</v>
      </c>
      <c r="X2496">
        <v>3000</v>
      </c>
      <c r="Y2496" s="8">
        <v>0.29411764705882354</v>
      </c>
      <c r="Z2496" t="s">
        <v>2996</v>
      </c>
      <c r="AA2496" t="str">
        <f>IF(AND(SalesCleanTable[[#This Row],[Discount %]]&gt;0, SalesCleanTable[[#This Row],[Profit]]&lt;0), "Discount loss", "Safe")</f>
        <v>Safe</v>
      </c>
      <c r="AB2496" s="25">
        <f>(SalesCleanTable[[#This Row],[Unit Price]] - SalesCleanTable[[#This Row],[Unit Cost]]) / SalesCleanTable[[#This Row],[Unit Price]]</f>
        <v>0.29411764705882354</v>
      </c>
      <c r="AC2496" t="str">
        <f>IF(SalesCleanTable[[#This Row],[Discount %]] &gt; SalesCleanTable[[#This Row],[Max Allowed Discount]], "Discount loss", "Safe")</f>
        <v>Safe</v>
      </c>
      <c r="AD2496" s="4">
        <f>SalesCleanTable[[#This Row],[Unit Price]] - SalesCleanTable[[#This Row],[Unit Cost]]</f>
        <v>1000</v>
      </c>
      <c r="AE2496" s="41">
        <f>(SalesCleanTable[[#This Row],[Unit Price]] - SalesCleanTable[[#This Row],[Unit Cost]]) / SalesCleanTable[[#This Row],[Unit Price]]</f>
        <v>0.29411764705882354</v>
      </c>
    </row>
    <row r="2497" spans="1:31">
      <c r="A2497" t="s">
        <v>2683</v>
      </c>
      <c r="B2497" s="6">
        <v>45717</v>
      </c>
      <c r="C2497" t="s">
        <v>95</v>
      </c>
      <c r="D2497" t="s">
        <v>96</v>
      </c>
      <c r="E2497" t="s">
        <v>92</v>
      </c>
      <c r="F2497" t="s">
        <v>97</v>
      </c>
      <c r="G2497" t="s">
        <v>98</v>
      </c>
      <c r="H2497" t="s">
        <v>133</v>
      </c>
      <c r="I2497" t="s">
        <v>134</v>
      </c>
      <c r="J2497" t="s">
        <v>130</v>
      </c>
      <c r="K2497" t="s">
        <v>131</v>
      </c>
      <c r="L2497" t="s">
        <v>183</v>
      </c>
      <c r="M2497" t="s">
        <v>186</v>
      </c>
      <c r="N2497">
        <v>4</v>
      </c>
      <c r="O2497" s="4">
        <v>18000</v>
      </c>
      <c r="P2497" s="4">
        <v>24500</v>
      </c>
      <c r="Q2497" s="7">
        <v>0</v>
      </c>
      <c r="R2497" t="s">
        <v>217</v>
      </c>
      <c r="S2497">
        <v>6</v>
      </c>
      <c r="T2497">
        <v>98000</v>
      </c>
      <c r="U2497">
        <v>0</v>
      </c>
      <c r="V2497">
        <v>98000</v>
      </c>
      <c r="W2497">
        <v>72000</v>
      </c>
      <c r="X2497">
        <v>26000</v>
      </c>
      <c r="Y2497" s="8">
        <v>0.26530612244897961</v>
      </c>
      <c r="Z2497" t="s">
        <v>2995</v>
      </c>
      <c r="AA2497" t="str">
        <f>IF(AND(SalesCleanTable[[#This Row],[Discount %]]&gt;0, SalesCleanTable[[#This Row],[Profit]]&lt;0), "Discount loss", "Safe")</f>
        <v>Safe</v>
      </c>
      <c r="AB2497" s="25">
        <f>(SalesCleanTable[[#This Row],[Unit Price]] - SalesCleanTable[[#This Row],[Unit Cost]]) / SalesCleanTable[[#This Row],[Unit Price]]</f>
        <v>0.26530612244897961</v>
      </c>
      <c r="AC2497" t="str">
        <f>IF(SalesCleanTable[[#This Row],[Discount %]] &gt; SalesCleanTable[[#This Row],[Max Allowed Discount]], "Discount loss", "Safe")</f>
        <v>Safe</v>
      </c>
      <c r="AD2497" s="4">
        <f>SalesCleanTable[[#This Row],[Unit Price]] - SalesCleanTable[[#This Row],[Unit Cost]]</f>
        <v>6500</v>
      </c>
      <c r="AE2497" s="41">
        <f>(SalesCleanTable[[#This Row],[Unit Price]] - SalesCleanTable[[#This Row],[Unit Cost]]) / SalesCleanTable[[#This Row],[Unit Price]]</f>
        <v>0.26530612244897961</v>
      </c>
    </row>
    <row r="2498" spans="1:31">
      <c r="A2498" t="s">
        <v>2684</v>
      </c>
      <c r="B2498" s="6">
        <v>45813</v>
      </c>
      <c r="C2498" t="s">
        <v>36</v>
      </c>
      <c r="D2498" t="s">
        <v>37</v>
      </c>
      <c r="E2498" t="s">
        <v>38</v>
      </c>
      <c r="F2498" t="s">
        <v>39</v>
      </c>
      <c r="G2498" t="s">
        <v>40</v>
      </c>
      <c r="H2498" t="s">
        <v>135</v>
      </c>
      <c r="I2498" t="s">
        <v>136</v>
      </c>
      <c r="J2498" t="s">
        <v>137</v>
      </c>
      <c r="K2498" t="s">
        <v>138</v>
      </c>
      <c r="L2498" t="s">
        <v>166</v>
      </c>
      <c r="M2498" t="s">
        <v>171</v>
      </c>
      <c r="N2498">
        <v>5</v>
      </c>
      <c r="O2498" s="4">
        <v>1650</v>
      </c>
      <c r="P2498" s="4">
        <v>2200</v>
      </c>
      <c r="Q2498" s="7">
        <v>0</v>
      </c>
      <c r="R2498" t="s">
        <v>178</v>
      </c>
      <c r="S2498">
        <v>5</v>
      </c>
      <c r="T2498">
        <v>11000</v>
      </c>
      <c r="U2498">
        <v>0</v>
      </c>
      <c r="V2498">
        <v>11000</v>
      </c>
      <c r="W2498">
        <v>8250</v>
      </c>
      <c r="X2498">
        <v>2750</v>
      </c>
      <c r="Y2498" s="8">
        <v>0.25</v>
      </c>
      <c r="Z2498" t="s">
        <v>2995</v>
      </c>
      <c r="AA2498" t="str">
        <f>IF(AND(SalesCleanTable[[#This Row],[Discount %]]&gt;0, SalesCleanTable[[#This Row],[Profit]]&lt;0), "Discount loss", "Safe")</f>
        <v>Safe</v>
      </c>
      <c r="AB2498" s="25">
        <f>(SalesCleanTable[[#This Row],[Unit Price]] - SalesCleanTable[[#This Row],[Unit Cost]]) / SalesCleanTable[[#This Row],[Unit Price]]</f>
        <v>0.25</v>
      </c>
      <c r="AC2498" t="str">
        <f>IF(SalesCleanTable[[#This Row],[Discount %]] &gt; SalesCleanTable[[#This Row],[Max Allowed Discount]], "Discount loss", "Safe")</f>
        <v>Safe</v>
      </c>
      <c r="AD2498" s="4">
        <f>SalesCleanTable[[#This Row],[Unit Price]] - SalesCleanTable[[#This Row],[Unit Cost]]</f>
        <v>550</v>
      </c>
      <c r="AE2498" s="41">
        <f>(SalesCleanTable[[#This Row],[Unit Price]] - SalesCleanTable[[#This Row],[Unit Cost]]) / SalesCleanTable[[#This Row],[Unit Price]]</f>
        <v>0.25</v>
      </c>
    </row>
    <row r="2499" spans="1:31">
      <c r="A2499" t="s">
        <v>2685</v>
      </c>
      <c r="B2499" s="6">
        <v>45878</v>
      </c>
      <c r="C2499" t="s">
        <v>53</v>
      </c>
      <c r="D2499" t="s">
        <v>54</v>
      </c>
      <c r="E2499" t="s">
        <v>38</v>
      </c>
      <c r="F2499" t="s">
        <v>55</v>
      </c>
      <c r="G2499" t="s">
        <v>56</v>
      </c>
      <c r="H2499" t="s">
        <v>135</v>
      </c>
      <c r="I2499" t="s">
        <v>136</v>
      </c>
      <c r="J2499" t="s">
        <v>137</v>
      </c>
      <c r="K2499" t="s">
        <v>138</v>
      </c>
      <c r="L2499" t="s">
        <v>183</v>
      </c>
      <c r="M2499" t="s">
        <v>186</v>
      </c>
      <c r="N2499">
        <v>4</v>
      </c>
      <c r="O2499" s="4">
        <v>330</v>
      </c>
      <c r="P2499" s="4">
        <v>550</v>
      </c>
      <c r="Q2499" s="7">
        <v>0.1</v>
      </c>
      <c r="R2499" t="s">
        <v>175</v>
      </c>
      <c r="S2499">
        <v>13</v>
      </c>
      <c r="T2499">
        <v>2200</v>
      </c>
      <c r="U2499">
        <v>220</v>
      </c>
      <c r="V2499">
        <v>1980</v>
      </c>
      <c r="W2499">
        <v>1320</v>
      </c>
      <c r="X2499">
        <v>660</v>
      </c>
      <c r="Y2499" s="8">
        <v>0.33333333333333331</v>
      </c>
      <c r="Z2499" t="s">
        <v>2996</v>
      </c>
      <c r="AA2499" t="str">
        <f>IF(AND(SalesCleanTable[[#This Row],[Discount %]]&gt;0, SalesCleanTable[[#This Row],[Profit]]&lt;0), "Discount loss", "Safe")</f>
        <v>Safe</v>
      </c>
      <c r="AB2499" s="25">
        <f>(SalesCleanTable[[#This Row],[Unit Price]] - SalesCleanTable[[#This Row],[Unit Cost]]) / SalesCleanTable[[#This Row],[Unit Price]]</f>
        <v>0.4</v>
      </c>
      <c r="AC2499" t="str">
        <f>IF(SalesCleanTable[[#This Row],[Discount %]] &gt; SalesCleanTable[[#This Row],[Max Allowed Discount]], "Discount loss", "Safe")</f>
        <v>Safe</v>
      </c>
      <c r="AD2499" s="4">
        <f>SalesCleanTable[[#This Row],[Unit Price]] - SalesCleanTable[[#This Row],[Unit Cost]]</f>
        <v>220</v>
      </c>
      <c r="AE2499" s="41">
        <f>(SalesCleanTable[[#This Row],[Unit Price]] - SalesCleanTable[[#This Row],[Unit Cost]]) / SalesCleanTable[[#This Row],[Unit Price]]</f>
        <v>0.4</v>
      </c>
    </row>
    <row r="2500" spans="1:31">
      <c r="A2500" t="s">
        <v>2686</v>
      </c>
      <c r="B2500" s="6">
        <v>46001</v>
      </c>
      <c r="C2500" t="s">
        <v>53</v>
      </c>
      <c r="D2500" t="s">
        <v>54</v>
      </c>
      <c r="E2500" t="s">
        <v>38</v>
      </c>
      <c r="F2500" t="s">
        <v>55</v>
      </c>
      <c r="G2500" t="s">
        <v>56</v>
      </c>
      <c r="H2500" t="s">
        <v>149</v>
      </c>
      <c r="I2500" t="s">
        <v>150</v>
      </c>
      <c r="J2500" t="s">
        <v>151</v>
      </c>
      <c r="K2500" t="s">
        <v>152</v>
      </c>
      <c r="L2500" t="s">
        <v>166</v>
      </c>
      <c r="M2500" t="s">
        <v>171</v>
      </c>
      <c r="N2500">
        <v>5</v>
      </c>
      <c r="O2500" s="4">
        <v>330</v>
      </c>
      <c r="P2500" s="4">
        <v>550</v>
      </c>
      <c r="Q2500" s="7">
        <v>0</v>
      </c>
      <c r="R2500" t="s">
        <v>175</v>
      </c>
      <c r="S2500">
        <v>3</v>
      </c>
      <c r="T2500">
        <v>2750</v>
      </c>
      <c r="U2500">
        <v>0</v>
      </c>
      <c r="V2500">
        <v>2750</v>
      </c>
      <c r="W2500">
        <v>1650</v>
      </c>
      <c r="X2500">
        <v>1100</v>
      </c>
      <c r="Y2500" s="8">
        <v>0.4</v>
      </c>
      <c r="Z2500" t="s">
        <v>2996</v>
      </c>
      <c r="AA2500" t="str">
        <f>IF(AND(SalesCleanTable[[#This Row],[Discount %]]&gt;0, SalesCleanTable[[#This Row],[Profit]]&lt;0), "Discount loss", "Safe")</f>
        <v>Safe</v>
      </c>
      <c r="AB2500" s="25">
        <f>(SalesCleanTable[[#This Row],[Unit Price]] - SalesCleanTable[[#This Row],[Unit Cost]]) / SalesCleanTable[[#This Row],[Unit Price]]</f>
        <v>0.4</v>
      </c>
      <c r="AC2500" t="str">
        <f>IF(SalesCleanTable[[#This Row],[Discount %]] &gt; SalesCleanTable[[#This Row],[Max Allowed Discount]], "Discount loss", "Safe")</f>
        <v>Safe</v>
      </c>
      <c r="AD2500" s="4">
        <f>SalesCleanTable[[#This Row],[Unit Price]] - SalesCleanTable[[#This Row],[Unit Cost]]</f>
        <v>220</v>
      </c>
      <c r="AE2500" s="41">
        <f>(SalesCleanTable[[#This Row],[Unit Price]] - SalesCleanTable[[#This Row],[Unit Cost]]) / SalesCleanTable[[#This Row],[Unit Price]]</f>
        <v>0.4</v>
      </c>
    </row>
    <row r="2501" spans="1:31">
      <c r="A2501" t="s">
        <v>2687</v>
      </c>
      <c r="B2501" s="6">
        <v>45776</v>
      </c>
      <c r="C2501" t="s">
        <v>45</v>
      </c>
      <c r="D2501" t="s">
        <v>46</v>
      </c>
      <c r="E2501" t="s">
        <v>38</v>
      </c>
      <c r="F2501" t="s">
        <v>47</v>
      </c>
      <c r="G2501" t="s">
        <v>48</v>
      </c>
      <c r="H2501" t="s">
        <v>149</v>
      </c>
      <c r="I2501" t="s">
        <v>150</v>
      </c>
      <c r="J2501" t="s">
        <v>151</v>
      </c>
      <c r="K2501" t="s">
        <v>152</v>
      </c>
      <c r="L2501" t="s">
        <v>170</v>
      </c>
      <c r="M2501" t="s">
        <v>171</v>
      </c>
      <c r="N2501">
        <v>1</v>
      </c>
      <c r="O2501" s="4">
        <v>230</v>
      </c>
      <c r="P2501" s="4">
        <v>400</v>
      </c>
      <c r="Q2501" s="7">
        <v>0.1</v>
      </c>
      <c r="R2501" t="s">
        <v>175</v>
      </c>
      <c r="S2501">
        <v>6</v>
      </c>
      <c r="T2501">
        <v>400</v>
      </c>
      <c r="U2501">
        <v>40</v>
      </c>
      <c r="V2501">
        <v>360</v>
      </c>
      <c r="W2501">
        <v>230</v>
      </c>
      <c r="X2501">
        <v>130</v>
      </c>
      <c r="Y2501" s="8">
        <v>0.3611111111111111</v>
      </c>
      <c r="Z2501" t="s">
        <v>2995</v>
      </c>
      <c r="AA2501" t="str">
        <f>IF(AND(SalesCleanTable[[#This Row],[Discount %]]&gt;0, SalesCleanTable[[#This Row],[Profit]]&lt;0), "Discount loss", "Safe")</f>
        <v>Safe</v>
      </c>
      <c r="AB2501" s="25">
        <f>(SalesCleanTable[[#This Row],[Unit Price]] - SalesCleanTable[[#This Row],[Unit Cost]]) / SalesCleanTable[[#This Row],[Unit Price]]</f>
        <v>0.42499999999999999</v>
      </c>
      <c r="AC2501" t="str">
        <f>IF(SalesCleanTable[[#This Row],[Discount %]] &gt; SalesCleanTable[[#This Row],[Max Allowed Discount]], "Discount loss", "Safe")</f>
        <v>Safe</v>
      </c>
      <c r="AD2501" s="4">
        <f>SalesCleanTable[[#This Row],[Unit Price]] - SalesCleanTable[[#This Row],[Unit Cost]]</f>
        <v>170</v>
      </c>
      <c r="AE2501" s="41">
        <f>(SalesCleanTable[[#This Row],[Unit Price]] - SalesCleanTable[[#This Row],[Unit Cost]]) / SalesCleanTable[[#This Row],[Unit Price]]</f>
        <v>0.42499999999999999</v>
      </c>
    </row>
    <row r="2502" spans="1:31">
      <c r="A2502" t="s">
        <v>2688</v>
      </c>
      <c r="B2502" s="6">
        <v>45946</v>
      </c>
      <c r="C2502" t="s">
        <v>103</v>
      </c>
      <c r="D2502" t="s">
        <v>104</v>
      </c>
      <c r="E2502" t="s">
        <v>92</v>
      </c>
      <c r="F2502" t="s">
        <v>105</v>
      </c>
      <c r="G2502" t="s">
        <v>106</v>
      </c>
      <c r="H2502" t="s">
        <v>135</v>
      </c>
      <c r="I2502" t="s">
        <v>136</v>
      </c>
      <c r="J2502" t="s">
        <v>137</v>
      </c>
      <c r="K2502" t="s">
        <v>138</v>
      </c>
      <c r="L2502" t="s">
        <v>166</v>
      </c>
      <c r="M2502" t="s">
        <v>171</v>
      </c>
      <c r="N2502">
        <v>4</v>
      </c>
      <c r="O2502" s="4">
        <v>1500</v>
      </c>
      <c r="P2502" s="4">
        <v>2500</v>
      </c>
      <c r="Q2502" s="7">
        <v>0.05</v>
      </c>
      <c r="R2502" t="s">
        <v>215</v>
      </c>
      <c r="S2502">
        <v>9</v>
      </c>
      <c r="T2502">
        <v>10000</v>
      </c>
      <c r="U2502">
        <v>500</v>
      </c>
      <c r="V2502">
        <v>9500</v>
      </c>
      <c r="W2502">
        <v>6000</v>
      </c>
      <c r="X2502">
        <v>3500</v>
      </c>
      <c r="Y2502" s="8">
        <v>0.36842105263157893</v>
      </c>
      <c r="Z2502" t="s">
        <v>2996</v>
      </c>
      <c r="AA2502" t="str">
        <f>IF(AND(SalesCleanTable[[#This Row],[Discount %]]&gt;0, SalesCleanTable[[#This Row],[Profit]]&lt;0), "Discount loss", "Safe")</f>
        <v>Safe</v>
      </c>
      <c r="AB2502" s="25">
        <f>(SalesCleanTable[[#This Row],[Unit Price]] - SalesCleanTable[[#This Row],[Unit Cost]]) / SalesCleanTable[[#This Row],[Unit Price]]</f>
        <v>0.4</v>
      </c>
      <c r="AC2502" t="str">
        <f>IF(SalesCleanTable[[#This Row],[Discount %]] &gt; SalesCleanTable[[#This Row],[Max Allowed Discount]], "Discount loss", "Safe")</f>
        <v>Safe</v>
      </c>
      <c r="AD2502" s="4">
        <f>SalesCleanTable[[#This Row],[Unit Price]] - SalesCleanTable[[#This Row],[Unit Cost]]</f>
        <v>1000</v>
      </c>
      <c r="AE2502" s="41">
        <f>(SalesCleanTable[[#This Row],[Unit Price]] - SalesCleanTable[[#This Row],[Unit Cost]]) / SalesCleanTable[[#This Row],[Unit Price]]</f>
        <v>0.4</v>
      </c>
    </row>
    <row r="2503" spans="1:31">
      <c r="A2503" t="s">
        <v>2689</v>
      </c>
      <c r="B2503" s="6">
        <v>45871</v>
      </c>
      <c r="C2503" t="s">
        <v>49</v>
      </c>
      <c r="D2503" t="s">
        <v>50</v>
      </c>
      <c r="E2503" t="s">
        <v>38</v>
      </c>
      <c r="F2503" t="s">
        <v>51</v>
      </c>
      <c r="G2503" t="s">
        <v>52</v>
      </c>
      <c r="H2503" t="s">
        <v>128</v>
      </c>
      <c r="I2503" t="s">
        <v>129</v>
      </c>
      <c r="J2503" t="s">
        <v>130</v>
      </c>
      <c r="K2503" t="s">
        <v>131</v>
      </c>
      <c r="L2503" t="s">
        <v>166</v>
      </c>
      <c r="M2503" t="s">
        <v>186</v>
      </c>
      <c r="N2503">
        <v>3</v>
      </c>
      <c r="O2503" s="4">
        <v>550</v>
      </c>
      <c r="P2503" s="4">
        <v>850</v>
      </c>
      <c r="Q2503" s="7">
        <v>0.2</v>
      </c>
      <c r="R2503" t="s">
        <v>168</v>
      </c>
      <c r="S2503">
        <v>12</v>
      </c>
      <c r="T2503">
        <v>2550</v>
      </c>
      <c r="U2503">
        <v>510</v>
      </c>
      <c r="V2503">
        <v>2040</v>
      </c>
      <c r="W2503">
        <v>1650</v>
      </c>
      <c r="X2503">
        <v>390</v>
      </c>
      <c r="Y2503" s="8">
        <v>0.19117647058823528</v>
      </c>
      <c r="Z2503" t="s">
        <v>2996</v>
      </c>
      <c r="AA2503" t="str">
        <f>IF(AND(SalesCleanTable[[#This Row],[Discount %]]&gt;0, SalesCleanTable[[#This Row],[Profit]]&lt;0), "Discount loss", "Safe")</f>
        <v>Safe</v>
      </c>
      <c r="AB2503" s="25">
        <f>(SalesCleanTable[[#This Row],[Unit Price]] - SalesCleanTable[[#This Row],[Unit Cost]]) / SalesCleanTable[[#This Row],[Unit Price]]</f>
        <v>0.35294117647058826</v>
      </c>
      <c r="AC2503" t="str">
        <f>IF(SalesCleanTable[[#This Row],[Discount %]] &gt; SalesCleanTable[[#This Row],[Max Allowed Discount]], "Discount loss", "Safe")</f>
        <v>Safe</v>
      </c>
      <c r="AD2503" s="4">
        <f>SalesCleanTable[[#This Row],[Unit Price]] - SalesCleanTable[[#This Row],[Unit Cost]]</f>
        <v>300</v>
      </c>
      <c r="AE2503" s="41">
        <f>(SalesCleanTable[[#This Row],[Unit Price]] - SalesCleanTable[[#This Row],[Unit Cost]]) / SalesCleanTable[[#This Row],[Unit Price]]</f>
        <v>0.35294117647058826</v>
      </c>
    </row>
    <row r="2504" spans="1:31">
      <c r="A2504" t="s">
        <v>2690</v>
      </c>
      <c r="B2504" s="6">
        <v>45805</v>
      </c>
      <c r="C2504" t="s">
        <v>103</v>
      </c>
      <c r="D2504" t="s">
        <v>104</v>
      </c>
      <c r="E2504" t="s">
        <v>92</v>
      </c>
      <c r="F2504" t="s">
        <v>105</v>
      </c>
      <c r="G2504" t="s">
        <v>106</v>
      </c>
      <c r="H2504" t="s">
        <v>145</v>
      </c>
      <c r="I2504" t="s">
        <v>146</v>
      </c>
      <c r="J2504" t="s">
        <v>147</v>
      </c>
      <c r="K2504" t="s">
        <v>148</v>
      </c>
      <c r="L2504" t="s">
        <v>166</v>
      </c>
      <c r="M2504" t="s">
        <v>171</v>
      </c>
      <c r="N2504">
        <v>8</v>
      </c>
      <c r="O2504" s="4">
        <v>1500</v>
      </c>
      <c r="P2504" s="4">
        <v>2500</v>
      </c>
      <c r="Q2504" s="7">
        <v>0.2</v>
      </c>
      <c r="R2504" t="s">
        <v>215</v>
      </c>
      <c r="S2504">
        <v>4</v>
      </c>
      <c r="T2504">
        <v>20000</v>
      </c>
      <c r="U2504">
        <v>4000</v>
      </c>
      <c r="V2504">
        <v>16000</v>
      </c>
      <c r="W2504">
        <v>12000</v>
      </c>
      <c r="X2504">
        <v>4000</v>
      </c>
      <c r="Y2504" s="8">
        <v>0.25</v>
      </c>
      <c r="Z2504" t="s">
        <v>2996</v>
      </c>
      <c r="AA2504" t="str">
        <f>IF(AND(SalesCleanTable[[#This Row],[Discount %]]&gt;0, SalesCleanTable[[#This Row],[Profit]]&lt;0), "Discount loss", "Safe")</f>
        <v>Safe</v>
      </c>
      <c r="AB2504" s="25">
        <f>(SalesCleanTable[[#This Row],[Unit Price]] - SalesCleanTable[[#This Row],[Unit Cost]]) / SalesCleanTable[[#This Row],[Unit Price]]</f>
        <v>0.4</v>
      </c>
      <c r="AC2504" t="str">
        <f>IF(SalesCleanTable[[#This Row],[Discount %]] &gt; SalesCleanTable[[#This Row],[Max Allowed Discount]], "Discount loss", "Safe")</f>
        <v>Safe</v>
      </c>
      <c r="AD2504" s="4">
        <f>SalesCleanTable[[#This Row],[Unit Price]] - SalesCleanTable[[#This Row],[Unit Cost]]</f>
        <v>1000</v>
      </c>
      <c r="AE2504" s="41">
        <f>(SalesCleanTable[[#This Row],[Unit Price]] - SalesCleanTable[[#This Row],[Unit Cost]]) / SalesCleanTable[[#This Row],[Unit Price]]</f>
        <v>0.4</v>
      </c>
    </row>
    <row r="2505" spans="1:31">
      <c r="A2505" t="s">
        <v>2691</v>
      </c>
      <c r="B2505" s="6">
        <v>45945</v>
      </c>
      <c r="C2505" t="s">
        <v>66</v>
      </c>
      <c r="D2505" t="s">
        <v>67</v>
      </c>
      <c r="E2505" t="s">
        <v>59</v>
      </c>
      <c r="F2505" t="s">
        <v>60</v>
      </c>
      <c r="G2505" t="s">
        <v>68</v>
      </c>
      <c r="H2505" t="s">
        <v>141</v>
      </c>
      <c r="I2505" t="s">
        <v>142</v>
      </c>
      <c r="J2505" t="s">
        <v>143</v>
      </c>
      <c r="K2505" t="s">
        <v>144</v>
      </c>
      <c r="L2505" t="s">
        <v>183</v>
      </c>
      <c r="M2505" t="s">
        <v>171</v>
      </c>
      <c r="N2505">
        <v>8</v>
      </c>
      <c r="O2505" s="4">
        <v>2800</v>
      </c>
      <c r="P2505" s="4">
        <v>3900</v>
      </c>
      <c r="Q2505" s="7">
        <v>0</v>
      </c>
      <c r="R2505" t="s">
        <v>173</v>
      </c>
      <c r="S2505">
        <v>6</v>
      </c>
      <c r="T2505">
        <v>31200</v>
      </c>
      <c r="U2505">
        <v>0</v>
      </c>
      <c r="V2505">
        <v>31200</v>
      </c>
      <c r="W2505">
        <v>22400</v>
      </c>
      <c r="X2505">
        <v>8800</v>
      </c>
      <c r="Y2505" s="8">
        <v>0.28205128205128205</v>
      </c>
      <c r="Z2505" t="s">
        <v>2996</v>
      </c>
      <c r="AA2505" t="str">
        <f>IF(AND(SalesCleanTable[[#This Row],[Discount %]]&gt;0, SalesCleanTable[[#This Row],[Profit]]&lt;0), "Discount loss", "Safe")</f>
        <v>Safe</v>
      </c>
      <c r="AB2505" s="25">
        <f>(SalesCleanTable[[#This Row],[Unit Price]] - SalesCleanTable[[#This Row],[Unit Cost]]) / SalesCleanTable[[#This Row],[Unit Price]]</f>
        <v>0.28205128205128205</v>
      </c>
      <c r="AC2505" t="str">
        <f>IF(SalesCleanTable[[#This Row],[Discount %]] &gt; SalesCleanTable[[#This Row],[Max Allowed Discount]], "Discount loss", "Safe")</f>
        <v>Safe</v>
      </c>
      <c r="AD2505" s="4">
        <f>SalesCleanTable[[#This Row],[Unit Price]] - SalesCleanTable[[#This Row],[Unit Cost]]</f>
        <v>1100</v>
      </c>
      <c r="AE2505" s="41">
        <f>(SalesCleanTable[[#This Row],[Unit Price]] - SalesCleanTable[[#This Row],[Unit Cost]]) / SalesCleanTable[[#This Row],[Unit Price]]</f>
        <v>0.28205128205128205</v>
      </c>
    </row>
    <row r="2506" spans="1:31">
      <c r="A2506" t="s">
        <v>2692</v>
      </c>
      <c r="B2506" s="6">
        <v>45736</v>
      </c>
      <c r="C2506" t="s">
        <v>45</v>
      </c>
      <c r="D2506" t="s">
        <v>46</v>
      </c>
      <c r="E2506" t="s">
        <v>38</v>
      </c>
      <c r="F2506" t="s">
        <v>47</v>
      </c>
      <c r="G2506" t="s">
        <v>48</v>
      </c>
      <c r="H2506" t="s">
        <v>149</v>
      </c>
      <c r="I2506" t="s">
        <v>150</v>
      </c>
      <c r="J2506" t="s">
        <v>151</v>
      </c>
      <c r="K2506" t="s">
        <v>152</v>
      </c>
      <c r="L2506" t="s">
        <v>166</v>
      </c>
      <c r="M2506" t="s">
        <v>171</v>
      </c>
      <c r="N2506">
        <v>4</v>
      </c>
      <c r="O2506" s="4">
        <v>230</v>
      </c>
      <c r="P2506" s="4">
        <v>400</v>
      </c>
      <c r="Q2506" s="7">
        <v>0.2</v>
      </c>
      <c r="R2506" t="s">
        <v>175</v>
      </c>
      <c r="S2506">
        <v>2</v>
      </c>
      <c r="T2506">
        <v>1600</v>
      </c>
      <c r="U2506">
        <v>320</v>
      </c>
      <c r="V2506">
        <v>1280</v>
      </c>
      <c r="W2506">
        <v>920</v>
      </c>
      <c r="X2506">
        <v>360</v>
      </c>
      <c r="Y2506" s="8">
        <v>0.28125</v>
      </c>
      <c r="Z2506" t="s">
        <v>2995</v>
      </c>
      <c r="AA2506" t="str">
        <f>IF(AND(SalesCleanTable[[#This Row],[Discount %]]&gt;0, SalesCleanTable[[#This Row],[Profit]]&lt;0), "Discount loss", "Safe")</f>
        <v>Safe</v>
      </c>
      <c r="AB2506" s="25">
        <f>(SalesCleanTable[[#This Row],[Unit Price]] - SalesCleanTable[[#This Row],[Unit Cost]]) / SalesCleanTable[[#This Row],[Unit Price]]</f>
        <v>0.42499999999999999</v>
      </c>
      <c r="AC2506" t="str">
        <f>IF(SalesCleanTable[[#This Row],[Discount %]] &gt; SalesCleanTable[[#This Row],[Max Allowed Discount]], "Discount loss", "Safe")</f>
        <v>Safe</v>
      </c>
      <c r="AD2506" s="4">
        <f>SalesCleanTable[[#This Row],[Unit Price]] - SalesCleanTable[[#This Row],[Unit Cost]]</f>
        <v>170</v>
      </c>
      <c r="AE2506" s="41">
        <f>(SalesCleanTable[[#This Row],[Unit Price]] - SalesCleanTable[[#This Row],[Unit Cost]]) / SalesCleanTable[[#This Row],[Unit Price]]</f>
        <v>0.42499999999999999</v>
      </c>
    </row>
    <row r="2507" spans="1:31">
      <c r="A2507" t="s">
        <v>2693</v>
      </c>
      <c r="B2507" s="6">
        <v>45699</v>
      </c>
      <c r="C2507" t="s">
        <v>36</v>
      </c>
      <c r="D2507" t="s">
        <v>37</v>
      </c>
      <c r="E2507" t="s">
        <v>38</v>
      </c>
      <c r="F2507" t="s">
        <v>39</v>
      </c>
      <c r="G2507" t="s">
        <v>40</v>
      </c>
      <c r="H2507" t="s">
        <v>139</v>
      </c>
      <c r="I2507" t="s">
        <v>140</v>
      </c>
      <c r="J2507" t="s">
        <v>137</v>
      </c>
      <c r="K2507" t="s">
        <v>138</v>
      </c>
      <c r="L2507" t="s">
        <v>170</v>
      </c>
      <c r="M2507" t="s">
        <v>171</v>
      </c>
      <c r="N2507">
        <v>3</v>
      </c>
      <c r="O2507" s="4">
        <v>1650</v>
      </c>
      <c r="P2507" s="4">
        <v>2200</v>
      </c>
      <c r="Q2507" s="7">
        <v>0.2</v>
      </c>
      <c r="R2507" t="s">
        <v>168</v>
      </c>
      <c r="S2507">
        <v>4</v>
      </c>
      <c r="T2507">
        <v>6600</v>
      </c>
      <c r="U2507">
        <v>1320</v>
      </c>
      <c r="V2507">
        <v>5280</v>
      </c>
      <c r="W2507">
        <v>4950</v>
      </c>
      <c r="X2507">
        <v>330</v>
      </c>
      <c r="Y2507" s="8">
        <v>6.25E-2</v>
      </c>
      <c r="Z2507" t="s">
        <v>2995</v>
      </c>
      <c r="AA2507" t="str">
        <f>IF(AND(SalesCleanTable[[#This Row],[Discount %]]&gt;0, SalesCleanTable[[#This Row],[Profit]]&lt;0), "Discount loss", "Safe")</f>
        <v>Safe</v>
      </c>
      <c r="AB2507" s="25">
        <f>(SalesCleanTable[[#This Row],[Unit Price]] - SalesCleanTable[[#This Row],[Unit Cost]]) / SalesCleanTable[[#This Row],[Unit Price]]</f>
        <v>0.25</v>
      </c>
      <c r="AC2507" t="str">
        <f>IF(SalesCleanTable[[#This Row],[Discount %]] &gt; SalesCleanTable[[#This Row],[Max Allowed Discount]], "Discount loss", "Safe")</f>
        <v>Safe</v>
      </c>
      <c r="AD2507" s="4">
        <f>SalesCleanTable[[#This Row],[Unit Price]] - SalesCleanTable[[#This Row],[Unit Cost]]</f>
        <v>550</v>
      </c>
      <c r="AE2507" s="41">
        <f>(SalesCleanTable[[#This Row],[Unit Price]] - SalesCleanTable[[#This Row],[Unit Cost]]) / SalesCleanTable[[#This Row],[Unit Price]]</f>
        <v>0.25</v>
      </c>
    </row>
    <row r="2508" spans="1:31">
      <c r="A2508" t="s">
        <v>2694</v>
      </c>
      <c r="B2508" s="6">
        <v>45766</v>
      </c>
      <c r="C2508" t="s">
        <v>112</v>
      </c>
      <c r="D2508" t="s">
        <v>113</v>
      </c>
      <c r="E2508" t="s">
        <v>109</v>
      </c>
      <c r="F2508" t="s">
        <v>114</v>
      </c>
      <c r="G2508" t="s">
        <v>115</v>
      </c>
      <c r="H2508" t="s">
        <v>135</v>
      </c>
      <c r="I2508" t="s">
        <v>136</v>
      </c>
      <c r="J2508" t="s">
        <v>137</v>
      </c>
      <c r="K2508" t="s">
        <v>138</v>
      </c>
      <c r="L2508" t="s">
        <v>166</v>
      </c>
      <c r="M2508" t="s">
        <v>171</v>
      </c>
      <c r="N2508">
        <v>3</v>
      </c>
      <c r="O2508" s="4">
        <v>1300</v>
      </c>
      <c r="P2508" s="4">
        <v>2100</v>
      </c>
      <c r="Q2508" s="7">
        <v>0.05</v>
      </c>
      <c r="R2508" t="s">
        <v>235</v>
      </c>
      <c r="S2508">
        <v>7</v>
      </c>
      <c r="T2508">
        <v>6300</v>
      </c>
      <c r="U2508">
        <v>315</v>
      </c>
      <c r="V2508">
        <v>5985</v>
      </c>
      <c r="W2508">
        <v>3900</v>
      </c>
      <c r="X2508">
        <v>2085</v>
      </c>
      <c r="Y2508" s="8">
        <v>0.34837092731829572</v>
      </c>
      <c r="Z2508" t="s">
        <v>2995</v>
      </c>
      <c r="AA2508" t="str">
        <f>IF(AND(SalesCleanTable[[#This Row],[Discount %]]&gt;0, SalesCleanTable[[#This Row],[Profit]]&lt;0), "Discount loss", "Safe")</f>
        <v>Safe</v>
      </c>
      <c r="AB2508" s="25">
        <f>(SalesCleanTable[[#This Row],[Unit Price]] - SalesCleanTable[[#This Row],[Unit Cost]]) / SalesCleanTable[[#This Row],[Unit Price]]</f>
        <v>0.38095238095238093</v>
      </c>
      <c r="AC2508" t="str">
        <f>IF(SalesCleanTable[[#This Row],[Discount %]] &gt; SalesCleanTable[[#This Row],[Max Allowed Discount]], "Discount loss", "Safe")</f>
        <v>Safe</v>
      </c>
      <c r="AD2508" s="4">
        <f>SalesCleanTable[[#This Row],[Unit Price]] - SalesCleanTable[[#This Row],[Unit Cost]]</f>
        <v>800</v>
      </c>
      <c r="AE2508" s="41">
        <f>(SalesCleanTable[[#This Row],[Unit Price]] - SalesCleanTable[[#This Row],[Unit Cost]]) / SalesCleanTable[[#This Row],[Unit Price]]</f>
        <v>0.38095238095238093</v>
      </c>
    </row>
    <row r="2509" spans="1:31">
      <c r="A2509" t="s">
        <v>2695</v>
      </c>
      <c r="B2509" s="6">
        <v>45859</v>
      </c>
      <c r="C2509" t="s">
        <v>82</v>
      </c>
      <c r="D2509" t="s">
        <v>83</v>
      </c>
      <c r="E2509" t="s">
        <v>75</v>
      </c>
      <c r="F2509" t="s">
        <v>84</v>
      </c>
      <c r="G2509" t="s">
        <v>85</v>
      </c>
      <c r="H2509" t="s">
        <v>133</v>
      </c>
      <c r="I2509" t="s">
        <v>134</v>
      </c>
      <c r="J2509" t="s">
        <v>130</v>
      </c>
      <c r="K2509" t="s">
        <v>131</v>
      </c>
      <c r="L2509" t="s">
        <v>166</v>
      </c>
      <c r="M2509" t="s">
        <v>171</v>
      </c>
      <c r="N2509">
        <v>3</v>
      </c>
      <c r="O2509" s="4">
        <v>600</v>
      </c>
      <c r="P2509" s="4">
        <v>950</v>
      </c>
      <c r="Q2509" s="7">
        <v>0.1</v>
      </c>
      <c r="R2509" t="s">
        <v>204</v>
      </c>
      <c r="S2509">
        <v>13</v>
      </c>
      <c r="T2509">
        <v>2850</v>
      </c>
      <c r="U2509">
        <v>285</v>
      </c>
      <c r="V2509">
        <v>2565</v>
      </c>
      <c r="W2509">
        <v>1800</v>
      </c>
      <c r="X2509">
        <v>765</v>
      </c>
      <c r="Y2509" s="8">
        <v>0.2982456140350877</v>
      </c>
      <c r="Z2509" t="s">
        <v>2996</v>
      </c>
      <c r="AA2509" t="str">
        <f>IF(AND(SalesCleanTable[[#This Row],[Discount %]]&gt;0, SalesCleanTable[[#This Row],[Profit]]&lt;0), "Discount loss", "Safe")</f>
        <v>Safe</v>
      </c>
      <c r="AB2509" s="25">
        <f>(SalesCleanTable[[#This Row],[Unit Price]] - SalesCleanTable[[#This Row],[Unit Cost]]) / SalesCleanTable[[#This Row],[Unit Price]]</f>
        <v>0.36842105263157893</v>
      </c>
      <c r="AC2509" t="str">
        <f>IF(SalesCleanTable[[#This Row],[Discount %]] &gt; SalesCleanTable[[#This Row],[Max Allowed Discount]], "Discount loss", "Safe")</f>
        <v>Safe</v>
      </c>
      <c r="AD2509" s="4">
        <f>SalesCleanTable[[#This Row],[Unit Price]] - SalesCleanTable[[#This Row],[Unit Cost]]</f>
        <v>350</v>
      </c>
      <c r="AE2509" s="41">
        <f>(SalesCleanTable[[#This Row],[Unit Price]] - SalesCleanTable[[#This Row],[Unit Cost]]) / SalesCleanTable[[#This Row],[Unit Price]]</f>
        <v>0.36842105263157893</v>
      </c>
    </row>
    <row r="2510" spans="1:31">
      <c r="A2510" t="s">
        <v>2696</v>
      </c>
      <c r="B2510" s="6">
        <v>45870</v>
      </c>
      <c r="C2510" t="s">
        <v>32</v>
      </c>
      <c r="D2510" t="s">
        <v>33</v>
      </c>
      <c r="E2510" t="s">
        <v>26</v>
      </c>
      <c r="F2510" t="s">
        <v>34</v>
      </c>
      <c r="G2510" t="s">
        <v>35</v>
      </c>
      <c r="H2510" t="s">
        <v>149</v>
      </c>
      <c r="I2510" t="s">
        <v>150</v>
      </c>
      <c r="J2510" t="s">
        <v>151</v>
      </c>
      <c r="K2510" t="s">
        <v>152</v>
      </c>
      <c r="L2510" t="s">
        <v>166</v>
      </c>
      <c r="M2510" t="s">
        <v>171</v>
      </c>
      <c r="N2510">
        <v>4</v>
      </c>
      <c r="O2510" s="4">
        <v>7800</v>
      </c>
      <c r="P2510" s="4">
        <v>9800</v>
      </c>
      <c r="Q2510" s="7">
        <v>0.05</v>
      </c>
      <c r="R2510" t="s">
        <v>173</v>
      </c>
      <c r="S2510">
        <v>11</v>
      </c>
      <c r="T2510">
        <v>39200</v>
      </c>
      <c r="U2510">
        <v>1960</v>
      </c>
      <c r="V2510">
        <v>37240</v>
      </c>
      <c r="W2510">
        <v>31200</v>
      </c>
      <c r="X2510">
        <v>6040</v>
      </c>
      <c r="Y2510" s="8">
        <v>0.16219119226638024</v>
      </c>
      <c r="Z2510" t="s">
        <v>2995</v>
      </c>
      <c r="AA2510" t="str">
        <f>IF(AND(SalesCleanTable[[#This Row],[Discount %]]&gt;0, SalesCleanTable[[#This Row],[Profit]]&lt;0), "Discount loss", "Safe")</f>
        <v>Safe</v>
      </c>
      <c r="AB2510" s="25">
        <f>(SalesCleanTable[[#This Row],[Unit Price]] - SalesCleanTable[[#This Row],[Unit Cost]]) / SalesCleanTable[[#This Row],[Unit Price]]</f>
        <v>0.20408163265306123</v>
      </c>
      <c r="AC2510" t="str">
        <f>IF(SalesCleanTable[[#This Row],[Discount %]] &gt; SalesCleanTable[[#This Row],[Max Allowed Discount]], "Discount loss", "Safe")</f>
        <v>Safe</v>
      </c>
      <c r="AD2510" s="4">
        <f>SalesCleanTable[[#This Row],[Unit Price]] - SalesCleanTable[[#This Row],[Unit Cost]]</f>
        <v>2000</v>
      </c>
      <c r="AE2510" s="41">
        <f>(SalesCleanTable[[#This Row],[Unit Price]] - SalesCleanTable[[#This Row],[Unit Cost]]) / SalesCleanTable[[#This Row],[Unit Price]]</f>
        <v>0.20408163265306123</v>
      </c>
    </row>
    <row r="2511" spans="1:31">
      <c r="A2511" t="s">
        <v>2697</v>
      </c>
      <c r="B2511" s="6">
        <v>45894</v>
      </c>
      <c r="C2511" t="s">
        <v>29</v>
      </c>
      <c r="D2511" t="s">
        <v>30</v>
      </c>
      <c r="E2511" t="s">
        <v>26</v>
      </c>
      <c r="F2511" t="s">
        <v>27</v>
      </c>
      <c r="G2511" t="s">
        <v>31</v>
      </c>
      <c r="H2511" t="s">
        <v>133</v>
      </c>
      <c r="I2511" t="s">
        <v>134</v>
      </c>
      <c r="J2511" t="s">
        <v>130</v>
      </c>
      <c r="K2511" t="s">
        <v>131</v>
      </c>
      <c r="L2511" t="s">
        <v>166</v>
      </c>
      <c r="M2511" t="s">
        <v>177</v>
      </c>
      <c r="N2511">
        <v>3</v>
      </c>
      <c r="O2511" s="4">
        <v>6200</v>
      </c>
      <c r="P2511" s="4">
        <v>7900</v>
      </c>
      <c r="Q2511" s="7">
        <v>0</v>
      </c>
      <c r="R2511" t="s">
        <v>173</v>
      </c>
      <c r="S2511">
        <v>3</v>
      </c>
      <c r="T2511">
        <v>23700</v>
      </c>
      <c r="U2511">
        <v>0</v>
      </c>
      <c r="V2511">
        <v>23700</v>
      </c>
      <c r="W2511">
        <v>18600</v>
      </c>
      <c r="X2511">
        <v>5100</v>
      </c>
      <c r="Y2511" s="8">
        <v>0.21518987341772153</v>
      </c>
      <c r="Z2511" t="s">
        <v>2996</v>
      </c>
      <c r="AA2511" t="str">
        <f>IF(AND(SalesCleanTable[[#This Row],[Discount %]]&gt;0, SalesCleanTable[[#This Row],[Profit]]&lt;0), "Discount loss", "Safe")</f>
        <v>Safe</v>
      </c>
      <c r="AB2511" s="25">
        <f>(SalesCleanTable[[#This Row],[Unit Price]] - SalesCleanTable[[#This Row],[Unit Cost]]) / SalesCleanTable[[#This Row],[Unit Price]]</f>
        <v>0.21518987341772153</v>
      </c>
      <c r="AC2511" t="str">
        <f>IF(SalesCleanTable[[#This Row],[Discount %]] &gt; SalesCleanTable[[#This Row],[Max Allowed Discount]], "Discount loss", "Safe")</f>
        <v>Safe</v>
      </c>
      <c r="AD2511" s="4">
        <f>SalesCleanTable[[#This Row],[Unit Price]] - SalesCleanTable[[#This Row],[Unit Cost]]</f>
        <v>1700</v>
      </c>
      <c r="AE2511" s="41">
        <f>(SalesCleanTable[[#This Row],[Unit Price]] - SalesCleanTable[[#This Row],[Unit Cost]]) / SalesCleanTable[[#This Row],[Unit Price]]</f>
        <v>0.21518987341772153</v>
      </c>
    </row>
    <row r="2512" spans="1:31">
      <c r="A2512" t="s">
        <v>2698</v>
      </c>
      <c r="B2512" s="6">
        <v>45660</v>
      </c>
      <c r="C2512" t="s">
        <v>112</v>
      </c>
      <c r="D2512" t="s">
        <v>113</v>
      </c>
      <c r="E2512" t="s">
        <v>109</v>
      </c>
      <c r="F2512" t="s">
        <v>114</v>
      </c>
      <c r="G2512" t="s">
        <v>115</v>
      </c>
      <c r="H2512" t="s">
        <v>135</v>
      </c>
      <c r="I2512" t="s">
        <v>136</v>
      </c>
      <c r="J2512" t="s">
        <v>137</v>
      </c>
      <c r="K2512" t="s">
        <v>138</v>
      </c>
      <c r="L2512" t="s">
        <v>170</v>
      </c>
      <c r="M2512" t="s">
        <v>171</v>
      </c>
      <c r="N2512">
        <v>3</v>
      </c>
      <c r="O2512" s="4">
        <v>1300</v>
      </c>
      <c r="P2512" s="4">
        <v>2100</v>
      </c>
      <c r="Q2512" s="7">
        <v>0.15</v>
      </c>
      <c r="R2512" t="s">
        <v>235</v>
      </c>
      <c r="S2512">
        <v>9</v>
      </c>
      <c r="T2512">
        <v>6300</v>
      </c>
      <c r="U2512">
        <v>945</v>
      </c>
      <c r="V2512">
        <v>5355</v>
      </c>
      <c r="W2512">
        <v>3900</v>
      </c>
      <c r="X2512">
        <v>1455</v>
      </c>
      <c r="Y2512" s="8">
        <v>0.27170868347338933</v>
      </c>
      <c r="Z2512" t="s">
        <v>2995</v>
      </c>
      <c r="AA2512" t="str">
        <f>IF(AND(SalesCleanTable[[#This Row],[Discount %]]&gt;0, SalesCleanTable[[#This Row],[Profit]]&lt;0), "Discount loss", "Safe")</f>
        <v>Safe</v>
      </c>
      <c r="AB2512" s="25">
        <f>(SalesCleanTable[[#This Row],[Unit Price]] - SalesCleanTable[[#This Row],[Unit Cost]]) / SalesCleanTable[[#This Row],[Unit Price]]</f>
        <v>0.38095238095238093</v>
      </c>
      <c r="AC2512" t="str">
        <f>IF(SalesCleanTable[[#This Row],[Discount %]] &gt; SalesCleanTable[[#This Row],[Max Allowed Discount]], "Discount loss", "Safe")</f>
        <v>Safe</v>
      </c>
      <c r="AD2512" s="4">
        <f>SalesCleanTable[[#This Row],[Unit Price]] - SalesCleanTable[[#This Row],[Unit Cost]]</f>
        <v>800</v>
      </c>
      <c r="AE2512" s="41">
        <f>(SalesCleanTable[[#This Row],[Unit Price]] - SalesCleanTable[[#This Row],[Unit Cost]]) / SalesCleanTable[[#This Row],[Unit Price]]</f>
        <v>0.38095238095238093</v>
      </c>
    </row>
    <row r="2513" spans="1:31">
      <c r="A2513" t="s">
        <v>2699</v>
      </c>
      <c r="B2513" s="6">
        <v>45855</v>
      </c>
      <c r="C2513" t="s">
        <v>82</v>
      </c>
      <c r="D2513" t="s">
        <v>83</v>
      </c>
      <c r="E2513" t="s">
        <v>75</v>
      </c>
      <c r="F2513" t="s">
        <v>84</v>
      </c>
      <c r="G2513" t="s">
        <v>85</v>
      </c>
      <c r="H2513" t="s">
        <v>139</v>
      </c>
      <c r="I2513" t="s">
        <v>140</v>
      </c>
      <c r="J2513" t="s">
        <v>137</v>
      </c>
      <c r="K2513" t="s">
        <v>138</v>
      </c>
      <c r="L2513" t="s">
        <v>170</v>
      </c>
      <c r="M2513" t="s">
        <v>186</v>
      </c>
      <c r="N2513">
        <v>1</v>
      </c>
      <c r="O2513" s="4">
        <v>600</v>
      </c>
      <c r="P2513" s="4">
        <v>950</v>
      </c>
      <c r="Q2513" s="7">
        <v>0.2</v>
      </c>
      <c r="R2513" t="s">
        <v>187</v>
      </c>
      <c r="S2513">
        <v>10</v>
      </c>
      <c r="T2513">
        <v>950</v>
      </c>
      <c r="U2513">
        <v>190</v>
      </c>
      <c r="V2513">
        <v>760</v>
      </c>
      <c r="W2513">
        <v>600</v>
      </c>
      <c r="X2513">
        <v>160</v>
      </c>
      <c r="Y2513" s="8">
        <v>0.21052631578947367</v>
      </c>
      <c r="Z2513" t="s">
        <v>2996</v>
      </c>
      <c r="AA2513" t="str">
        <f>IF(AND(SalesCleanTable[[#This Row],[Discount %]]&gt;0, SalesCleanTable[[#This Row],[Profit]]&lt;0), "Discount loss", "Safe")</f>
        <v>Safe</v>
      </c>
      <c r="AB2513" s="25">
        <f>(SalesCleanTable[[#This Row],[Unit Price]] - SalesCleanTable[[#This Row],[Unit Cost]]) / SalesCleanTable[[#This Row],[Unit Price]]</f>
        <v>0.36842105263157893</v>
      </c>
      <c r="AC2513" t="str">
        <f>IF(SalesCleanTable[[#This Row],[Discount %]] &gt; SalesCleanTable[[#This Row],[Max Allowed Discount]], "Discount loss", "Safe")</f>
        <v>Safe</v>
      </c>
      <c r="AD2513" s="4">
        <f>SalesCleanTable[[#This Row],[Unit Price]] - SalesCleanTable[[#This Row],[Unit Cost]]</f>
        <v>350</v>
      </c>
      <c r="AE2513" s="41">
        <f>(SalesCleanTable[[#This Row],[Unit Price]] - SalesCleanTable[[#This Row],[Unit Cost]]) / SalesCleanTable[[#This Row],[Unit Price]]</f>
        <v>0.36842105263157893</v>
      </c>
    </row>
    <row r="2514" spans="1:31">
      <c r="A2514" t="s">
        <v>2700</v>
      </c>
      <c r="B2514" s="6">
        <v>45884</v>
      </c>
      <c r="C2514" t="s">
        <v>49</v>
      </c>
      <c r="D2514" t="s">
        <v>50</v>
      </c>
      <c r="E2514" t="s">
        <v>38</v>
      </c>
      <c r="F2514" t="s">
        <v>51</v>
      </c>
      <c r="G2514" t="s">
        <v>52</v>
      </c>
      <c r="H2514" t="s">
        <v>135</v>
      </c>
      <c r="I2514" t="s">
        <v>136</v>
      </c>
      <c r="J2514" t="s">
        <v>137</v>
      </c>
      <c r="K2514" t="s">
        <v>138</v>
      </c>
      <c r="L2514" t="s">
        <v>166</v>
      </c>
      <c r="M2514" t="s">
        <v>171</v>
      </c>
      <c r="N2514">
        <v>2</v>
      </c>
      <c r="O2514" s="4">
        <v>550</v>
      </c>
      <c r="P2514" s="4">
        <v>850</v>
      </c>
      <c r="Q2514" s="7">
        <v>0</v>
      </c>
      <c r="R2514" t="s">
        <v>178</v>
      </c>
      <c r="S2514">
        <v>7</v>
      </c>
      <c r="T2514">
        <v>1700</v>
      </c>
      <c r="U2514">
        <v>0</v>
      </c>
      <c r="V2514">
        <v>1700</v>
      </c>
      <c r="W2514">
        <v>1100</v>
      </c>
      <c r="X2514">
        <v>600</v>
      </c>
      <c r="Y2514" s="8">
        <v>0.35294117647058826</v>
      </c>
      <c r="Z2514" t="s">
        <v>2996</v>
      </c>
      <c r="AA2514" t="str">
        <f>IF(AND(SalesCleanTable[[#This Row],[Discount %]]&gt;0, SalesCleanTable[[#This Row],[Profit]]&lt;0), "Discount loss", "Safe")</f>
        <v>Safe</v>
      </c>
      <c r="AB2514" s="25">
        <f>(SalesCleanTable[[#This Row],[Unit Price]] - SalesCleanTable[[#This Row],[Unit Cost]]) / SalesCleanTable[[#This Row],[Unit Price]]</f>
        <v>0.35294117647058826</v>
      </c>
      <c r="AC2514" t="str">
        <f>IF(SalesCleanTable[[#This Row],[Discount %]] &gt; SalesCleanTable[[#This Row],[Max Allowed Discount]], "Discount loss", "Safe")</f>
        <v>Safe</v>
      </c>
      <c r="AD2514" s="4">
        <f>SalesCleanTable[[#This Row],[Unit Price]] - SalesCleanTable[[#This Row],[Unit Cost]]</f>
        <v>300</v>
      </c>
      <c r="AE2514" s="41">
        <f>(SalesCleanTable[[#This Row],[Unit Price]] - SalesCleanTable[[#This Row],[Unit Cost]]) / SalesCleanTable[[#This Row],[Unit Price]]</f>
        <v>0.35294117647058826</v>
      </c>
    </row>
    <row r="2515" spans="1:31">
      <c r="A2515" t="s">
        <v>2701</v>
      </c>
      <c r="B2515" s="6">
        <v>45809</v>
      </c>
      <c r="C2515" t="s">
        <v>45</v>
      </c>
      <c r="D2515" t="s">
        <v>46</v>
      </c>
      <c r="E2515" t="s">
        <v>38</v>
      </c>
      <c r="F2515" t="s">
        <v>47</v>
      </c>
      <c r="G2515" t="s">
        <v>48</v>
      </c>
      <c r="H2515" t="s">
        <v>135</v>
      </c>
      <c r="I2515" t="s">
        <v>136</v>
      </c>
      <c r="J2515" t="s">
        <v>137</v>
      </c>
      <c r="K2515" t="s">
        <v>138</v>
      </c>
      <c r="L2515" t="s">
        <v>166</v>
      </c>
      <c r="M2515" t="s">
        <v>177</v>
      </c>
      <c r="N2515">
        <v>6</v>
      </c>
      <c r="O2515" s="4">
        <v>230</v>
      </c>
      <c r="P2515" s="4">
        <v>400</v>
      </c>
      <c r="Q2515" s="7">
        <v>0</v>
      </c>
      <c r="R2515" t="s">
        <v>168</v>
      </c>
      <c r="S2515">
        <v>14</v>
      </c>
      <c r="T2515">
        <v>2400</v>
      </c>
      <c r="U2515">
        <v>0</v>
      </c>
      <c r="V2515">
        <v>2400</v>
      </c>
      <c r="W2515">
        <v>1380</v>
      </c>
      <c r="X2515">
        <v>1020</v>
      </c>
      <c r="Y2515" s="8">
        <v>0.42499999999999999</v>
      </c>
      <c r="Z2515" t="s">
        <v>2995</v>
      </c>
      <c r="AA2515" t="str">
        <f>IF(AND(SalesCleanTable[[#This Row],[Discount %]]&gt;0, SalesCleanTable[[#This Row],[Profit]]&lt;0), "Discount loss", "Safe")</f>
        <v>Safe</v>
      </c>
      <c r="AB2515" s="25">
        <f>(SalesCleanTable[[#This Row],[Unit Price]] - SalesCleanTable[[#This Row],[Unit Cost]]) / SalesCleanTable[[#This Row],[Unit Price]]</f>
        <v>0.42499999999999999</v>
      </c>
      <c r="AC2515" t="str">
        <f>IF(SalesCleanTable[[#This Row],[Discount %]] &gt; SalesCleanTable[[#This Row],[Max Allowed Discount]], "Discount loss", "Safe")</f>
        <v>Safe</v>
      </c>
      <c r="AD2515" s="4">
        <f>SalesCleanTable[[#This Row],[Unit Price]] - SalesCleanTable[[#This Row],[Unit Cost]]</f>
        <v>170</v>
      </c>
      <c r="AE2515" s="41">
        <f>(SalesCleanTable[[#This Row],[Unit Price]] - SalesCleanTable[[#This Row],[Unit Cost]]) / SalesCleanTable[[#This Row],[Unit Price]]</f>
        <v>0.42499999999999999</v>
      </c>
    </row>
    <row r="2516" spans="1:31">
      <c r="A2516" t="s">
        <v>2702</v>
      </c>
      <c r="B2516" s="6">
        <v>45980</v>
      </c>
      <c r="C2516" t="s">
        <v>107</v>
      </c>
      <c r="D2516" t="s">
        <v>108</v>
      </c>
      <c r="E2516" t="s">
        <v>109</v>
      </c>
      <c r="F2516" t="s">
        <v>110</v>
      </c>
      <c r="G2516" t="s">
        <v>111</v>
      </c>
      <c r="H2516" t="s">
        <v>128</v>
      </c>
      <c r="I2516" t="s">
        <v>129</v>
      </c>
      <c r="J2516" t="s">
        <v>130</v>
      </c>
      <c r="K2516" t="s">
        <v>131</v>
      </c>
      <c r="L2516" t="s">
        <v>166</v>
      </c>
      <c r="M2516" t="s">
        <v>171</v>
      </c>
      <c r="N2516">
        <v>2</v>
      </c>
      <c r="O2516" s="4">
        <v>5200</v>
      </c>
      <c r="P2516" s="4">
        <v>7000</v>
      </c>
      <c r="Q2516" s="7">
        <v>0.15</v>
      </c>
      <c r="R2516" t="s">
        <v>184</v>
      </c>
      <c r="S2516">
        <v>2</v>
      </c>
      <c r="T2516">
        <v>14000</v>
      </c>
      <c r="U2516">
        <v>2100</v>
      </c>
      <c r="V2516">
        <v>11900</v>
      </c>
      <c r="W2516">
        <v>10400</v>
      </c>
      <c r="X2516">
        <v>1500</v>
      </c>
      <c r="Y2516" s="8">
        <v>0.12605042016806722</v>
      </c>
      <c r="Z2516" t="s">
        <v>2997</v>
      </c>
      <c r="AA2516" t="str">
        <f>IF(AND(SalesCleanTable[[#This Row],[Discount %]]&gt;0, SalesCleanTable[[#This Row],[Profit]]&lt;0), "Discount loss", "Safe")</f>
        <v>Safe</v>
      </c>
      <c r="AB2516" s="25">
        <f>(SalesCleanTable[[#This Row],[Unit Price]] - SalesCleanTable[[#This Row],[Unit Cost]]) / SalesCleanTable[[#This Row],[Unit Price]]</f>
        <v>0.25714285714285712</v>
      </c>
      <c r="AC2516" t="str">
        <f>IF(SalesCleanTable[[#This Row],[Discount %]] &gt; SalesCleanTable[[#This Row],[Max Allowed Discount]], "Discount loss", "Safe")</f>
        <v>Safe</v>
      </c>
      <c r="AD2516" s="4">
        <f>SalesCleanTable[[#This Row],[Unit Price]] - SalesCleanTable[[#This Row],[Unit Cost]]</f>
        <v>1800</v>
      </c>
      <c r="AE2516" s="41">
        <f>(SalesCleanTable[[#This Row],[Unit Price]] - SalesCleanTable[[#This Row],[Unit Cost]]) / SalesCleanTable[[#This Row],[Unit Price]]</f>
        <v>0.25714285714285712</v>
      </c>
    </row>
    <row r="2517" spans="1:31">
      <c r="A2517" t="s">
        <v>2703</v>
      </c>
      <c r="B2517" s="6">
        <v>45869</v>
      </c>
      <c r="C2517" t="s">
        <v>82</v>
      </c>
      <c r="D2517" t="s">
        <v>83</v>
      </c>
      <c r="E2517" t="s">
        <v>75</v>
      </c>
      <c r="F2517" t="s">
        <v>84</v>
      </c>
      <c r="G2517" t="s">
        <v>85</v>
      </c>
      <c r="H2517" t="s">
        <v>135</v>
      </c>
      <c r="I2517" t="s">
        <v>136</v>
      </c>
      <c r="J2517" t="s">
        <v>137</v>
      </c>
      <c r="K2517" t="s">
        <v>138</v>
      </c>
      <c r="L2517" t="s">
        <v>183</v>
      </c>
      <c r="M2517" t="s">
        <v>186</v>
      </c>
      <c r="N2517">
        <v>2</v>
      </c>
      <c r="O2517" s="4">
        <v>600</v>
      </c>
      <c r="P2517" s="4">
        <v>950</v>
      </c>
      <c r="Q2517" s="7">
        <v>0.05</v>
      </c>
      <c r="R2517" t="s">
        <v>204</v>
      </c>
      <c r="S2517">
        <v>1</v>
      </c>
      <c r="T2517">
        <v>1900</v>
      </c>
      <c r="U2517">
        <v>95</v>
      </c>
      <c r="V2517">
        <v>1805</v>
      </c>
      <c r="W2517">
        <v>1200</v>
      </c>
      <c r="X2517">
        <v>605</v>
      </c>
      <c r="Y2517" s="8">
        <v>0.33518005540166207</v>
      </c>
      <c r="Z2517" t="s">
        <v>2996</v>
      </c>
      <c r="AA2517" t="str">
        <f>IF(AND(SalesCleanTable[[#This Row],[Discount %]]&gt;0, SalesCleanTable[[#This Row],[Profit]]&lt;0), "Discount loss", "Safe")</f>
        <v>Safe</v>
      </c>
      <c r="AB2517" s="25">
        <f>(SalesCleanTable[[#This Row],[Unit Price]] - SalesCleanTable[[#This Row],[Unit Cost]]) / SalesCleanTable[[#This Row],[Unit Price]]</f>
        <v>0.36842105263157893</v>
      </c>
      <c r="AC2517" t="str">
        <f>IF(SalesCleanTable[[#This Row],[Discount %]] &gt; SalesCleanTable[[#This Row],[Max Allowed Discount]], "Discount loss", "Safe")</f>
        <v>Safe</v>
      </c>
      <c r="AD2517" s="4">
        <f>SalesCleanTable[[#This Row],[Unit Price]] - SalesCleanTable[[#This Row],[Unit Cost]]</f>
        <v>350</v>
      </c>
      <c r="AE2517" s="41">
        <f>(SalesCleanTable[[#This Row],[Unit Price]] - SalesCleanTable[[#This Row],[Unit Cost]]) / SalesCleanTable[[#This Row],[Unit Price]]</f>
        <v>0.36842105263157893</v>
      </c>
    </row>
    <row r="2518" spans="1:31">
      <c r="A2518" t="s">
        <v>2704</v>
      </c>
      <c r="B2518" s="6">
        <v>45939</v>
      </c>
      <c r="C2518" t="s">
        <v>41</v>
      </c>
      <c r="D2518" t="s">
        <v>42</v>
      </c>
      <c r="E2518" t="s">
        <v>26</v>
      </c>
      <c r="F2518" t="s">
        <v>43</v>
      </c>
      <c r="G2518" t="s">
        <v>44</v>
      </c>
      <c r="H2518" t="s">
        <v>135</v>
      </c>
      <c r="I2518" t="s">
        <v>136</v>
      </c>
      <c r="J2518" t="s">
        <v>137</v>
      </c>
      <c r="K2518" t="s">
        <v>138</v>
      </c>
      <c r="L2518" t="s">
        <v>170</v>
      </c>
      <c r="M2518" t="s">
        <v>177</v>
      </c>
      <c r="N2518">
        <v>3</v>
      </c>
      <c r="O2518" s="4">
        <v>850</v>
      </c>
      <c r="P2518" s="4">
        <v>1300</v>
      </c>
      <c r="Q2518" s="7">
        <v>0</v>
      </c>
      <c r="R2518" t="s">
        <v>194</v>
      </c>
      <c r="S2518">
        <v>13</v>
      </c>
      <c r="T2518">
        <v>3900</v>
      </c>
      <c r="U2518">
        <v>0</v>
      </c>
      <c r="V2518">
        <v>3900</v>
      </c>
      <c r="W2518">
        <v>2550</v>
      </c>
      <c r="X2518">
        <v>1350</v>
      </c>
      <c r="Y2518" s="8">
        <v>0.34615384615384615</v>
      </c>
      <c r="Z2518" t="s">
        <v>2995</v>
      </c>
      <c r="AA2518" t="str">
        <f>IF(AND(SalesCleanTable[[#This Row],[Discount %]]&gt;0, SalesCleanTable[[#This Row],[Profit]]&lt;0), "Discount loss", "Safe")</f>
        <v>Safe</v>
      </c>
      <c r="AB2518" s="25">
        <f>(SalesCleanTable[[#This Row],[Unit Price]] - SalesCleanTable[[#This Row],[Unit Cost]]) / SalesCleanTable[[#This Row],[Unit Price]]</f>
        <v>0.34615384615384615</v>
      </c>
      <c r="AC2518" t="str">
        <f>IF(SalesCleanTable[[#This Row],[Discount %]] &gt; SalesCleanTable[[#This Row],[Max Allowed Discount]], "Discount loss", "Safe")</f>
        <v>Safe</v>
      </c>
      <c r="AD2518" s="4">
        <f>SalesCleanTable[[#This Row],[Unit Price]] - SalesCleanTable[[#This Row],[Unit Cost]]</f>
        <v>450</v>
      </c>
      <c r="AE2518" s="41">
        <f>(SalesCleanTable[[#This Row],[Unit Price]] - SalesCleanTable[[#This Row],[Unit Cost]]) / SalesCleanTable[[#This Row],[Unit Price]]</f>
        <v>0.34615384615384615</v>
      </c>
    </row>
    <row r="2519" spans="1:31">
      <c r="A2519" t="s">
        <v>2705</v>
      </c>
      <c r="B2519" s="6">
        <v>45672</v>
      </c>
      <c r="C2519" t="s">
        <v>32</v>
      </c>
      <c r="D2519" t="s">
        <v>33</v>
      </c>
      <c r="E2519" t="s">
        <v>26</v>
      </c>
      <c r="F2519" t="s">
        <v>34</v>
      </c>
      <c r="G2519" t="s">
        <v>35</v>
      </c>
      <c r="H2519" t="s">
        <v>145</v>
      </c>
      <c r="I2519" t="s">
        <v>146</v>
      </c>
      <c r="J2519" t="s">
        <v>147</v>
      </c>
      <c r="K2519" t="s">
        <v>148</v>
      </c>
      <c r="L2519" t="s">
        <v>183</v>
      </c>
      <c r="M2519" t="s">
        <v>177</v>
      </c>
      <c r="N2519">
        <v>2</v>
      </c>
      <c r="O2519" s="4">
        <v>7800</v>
      </c>
      <c r="P2519" s="4">
        <v>9800</v>
      </c>
      <c r="Q2519" s="7">
        <v>0.1</v>
      </c>
      <c r="R2519" t="s">
        <v>197</v>
      </c>
      <c r="S2519">
        <v>4</v>
      </c>
      <c r="T2519">
        <v>19600</v>
      </c>
      <c r="U2519">
        <v>1960</v>
      </c>
      <c r="V2519">
        <v>17640</v>
      </c>
      <c r="W2519">
        <v>15600</v>
      </c>
      <c r="X2519">
        <v>2040</v>
      </c>
      <c r="Y2519" s="8">
        <v>0.11564625850340136</v>
      </c>
      <c r="Z2519" t="s">
        <v>2995</v>
      </c>
      <c r="AA2519" t="str">
        <f>IF(AND(SalesCleanTable[[#This Row],[Discount %]]&gt;0, SalesCleanTable[[#This Row],[Profit]]&lt;0), "Discount loss", "Safe")</f>
        <v>Safe</v>
      </c>
      <c r="AB2519" s="25">
        <f>(SalesCleanTable[[#This Row],[Unit Price]] - SalesCleanTable[[#This Row],[Unit Cost]]) / SalesCleanTable[[#This Row],[Unit Price]]</f>
        <v>0.20408163265306123</v>
      </c>
      <c r="AC2519" t="str">
        <f>IF(SalesCleanTable[[#This Row],[Discount %]] &gt; SalesCleanTable[[#This Row],[Max Allowed Discount]], "Discount loss", "Safe")</f>
        <v>Safe</v>
      </c>
      <c r="AD2519" s="4">
        <f>SalesCleanTable[[#This Row],[Unit Price]] - SalesCleanTable[[#This Row],[Unit Cost]]</f>
        <v>2000</v>
      </c>
      <c r="AE2519" s="41">
        <f>(SalesCleanTable[[#This Row],[Unit Price]] - SalesCleanTable[[#This Row],[Unit Cost]]) / SalesCleanTable[[#This Row],[Unit Price]]</f>
        <v>0.20408163265306123</v>
      </c>
    </row>
    <row r="2520" spans="1:31">
      <c r="A2520" t="s">
        <v>2706</v>
      </c>
      <c r="B2520" s="6">
        <v>45797</v>
      </c>
      <c r="C2520" t="s">
        <v>116</v>
      </c>
      <c r="D2520" t="s">
        <v>117</v>
      </c>
      <c r="E2520" t="s">
        <v>109</v>
      </c>
      <c r="F2520" t="s">
        <v>118</v>
      </c>
      <c r="G2520" t="s">
        <v>119</v>
      </c>
      <c r="H2520" t="s">
        <v>133</v>
      </c>
      <c r="I2520" t="s">
        <v>134</v>
      </c>
      <c r="J2520" t="s">
        <v>130</v>
      </c>
      <c r="K2520" t="s">
        <v>131</v>
      </c>
      <c r="L2520" t="s">
        <v>166</v>
      </c>
      <c r="M2520" t="s">
        <v>171</v>
      </c>
      <c r="N2520">
        <v>6</v>
      </c>
      <c r="O2520" s="4">
        <v>2800</v>
      </c>
      <c r="P2520" s="4">
        <v>4200</v>
      </c>
      <c r="Q2520" s="7">
        <v>0.05</v>
      </c>
      <c r="R2520" t="s">
        <v>184</v>
      </c>
      <c r="S2520">
        <v>5</v>
      </c>
      <c r="T2520">
        <v>25200</v>
      </c>
      <c r="U2520">
        <v>1260</v>
      </c>
      <c r="V2520">
        <v>23940</v>
      </c>
      <c r="W2520">
        <v>16800</v>
      </c>
      <c r="X2520">
        <v>7140</v>
      </c>
      <c r="Y2520" s="8">
        <v>0.2982456140350877</v>
      </c>
      <c r="Z2520" t="s">
        <v>2995</v>
      </c>
      <c r="AA2520" t="str">
        <f>IF(AND(SalesCleanTable[[#This Row],[Discount %]]&gt;0, SalesCleanTable[[#This Row],[Profit]]&lt;0), "Discount loss", "Safe")</f>
        <v>Safe</v>
      </c>
      <c r="AB2520" s="25">
        <f>(SalesCleanTable[[#This Row],[Unit Price]] - SalesCleanTable[[#This Row],[Unit Cost]]) / SalesCleanTable[[#This Row],[Unit Price]]</f>
        <v>0.33333333333333331</v>
      </c>
      <c r="AC2520" t="str">
        <f>IF(SalesCleanTable[[#This Row],[Discount %]] &gt; SalesCleanTable[[#This Row],[Max Allowed Discount]], "Discount loss", "Safe")</f>
        <v>Safe</v>
      </c>
      <c r="AD2520" s="4">
        <f>SalesCleanTable[[#This Row],[Unit Price]] - SalesCleanTable[[#This Row],[Unit Cost]]</f>
        <v>1400</v>
      </c>
      <c r="AE2520" s="41">
        <f>(SalesCleanTable[[#This Row],[Unit Price]] - SalesCleanTable[[#This Row],[Unit Cost]]) / SalesCleanTable[[#This Row],[Unit Price]]</f>
        <v>0.33333333333333331</v>
      </c>
    </row>
    <row r="2521" spans="1:31">
      <c r="A2521" t="s">
        <v>2707</v>
      </c>
      <c r="B2521" s="6">
        <v>45709</v>
      </c>
      <c r="C2521" t="s">
        <v>45</v>
      </c>
      <c r="D2521" t="s">
        <v>46</v>
      </c>
      <c r="E2521" t="s">
        <v>38</v>
      </c>
      <c r="F2521" t="s">
        <v>47</v>
      </c>
      <c r="G2521" t="s">
        <v>48</v>
      </c>
      <c r="H2521" t="s">
        <v>149</v>
      </c>
      <c r="I2521" t="s">
        <v>150</v>
      </c>
      <c r="J2521" t="s">
        <v>151</v>
      </c>
      <c r="K2521" t="s">
        <v>152</v>
      </c>
      <c r="L2521" t="s">
        <v>166</v>
      </c>
      <c r="M2521" t="s">
        <v>177</v>
      </c>
      <c r="N2521">
        <v>3</v>
      </c>
      <c r="O2521" s="4">
        <v>230</v>
      </c>
      <c r="P2521" s="4">
        <v>400</v>
      </c>
      <c r="Q2521" s="7">
        <v>0.1</v>
      </c>
      <c r="R2521" t="s">
        <v>178</v>
      </c>
      <c r="S2521">
        <v>14</v>
      </c>
      <c r="T2521">
        <v>1200</v>
      </c>
      <c r="U2521">
        <v>120</v>
      </c>
      <c r="V2521">
        <v>1080</v>
      </c>
      <c r="W2521">
        <v>690</v>
      </c>
      <c r="X2521">
        <v>390</v>
      </c>
      <c r="Y2521" s="8">
        <v>0.3611111111111111</v>
      </c>
      <c r="Z2521" t="s">
        <v>2995</v>
      </c>
      <c r="AA2521" t="str">
        <f>IF(AND(SalesCleanTable[[#This Row],[Discount %]]&gt;0, SalesCleanTable[[#This Row],[Profit]]&lt;0), "Discount loss", "Safe")</f>
        <v>Safe</v>
      </c>
      <c r="AB2521" s="25">
        <f>(SalesCleanTable[[#This Row],[Unit Price]] - SalesCleanTable[[#This Row],[Unit Cost]]) / SalesCleanTable[[#This Row],[Unit Price]]</f>
        <v>0.42499999999999999</v>
      </c>
      <c r="AC2521" t="str">
        <f>IF(SalesCleanTable[[#This Row],[Discount %]] &gt; SalesCleanTable[[#This Row],[Max Allowed Discount]], "Discount loss", "Safe")</f>
        <v>Safe</v>
      </c>
      <c r="AD2521" s="4">
        <f>SalesCleanTable[[#This Row],[Unit Price]] - SalesCleanTable[[#This Row],[Unit Cost]]</f>
        <v>170</v>
      </c>
      <c r="AE2521" s="41">
        <f>(SalesCleanTable[[#This Row],[Unit Price]] - SalesCleanTable[[#This Row],[Unit Cost]]) / SalesCleanTable[[#This Row],[Unit Price]]</f>
        <v>0.42499999999999999</v>
      </c>
    </row>
    <row r="2522" spans="1:31">
      <c r="A2522" t="s">
        <v>2708</v>
      </c>
      <c r="B2522" s="6">
        <v>45965</v>
      </c>
      <c r="C2522" t="s">
        <v>41</v>
      </c>
      <c r="D2522" t="s">
        <v>42</v>
      </c>
      <c r="E2522" t="s">
        <v>26</v>
      </c>
      <c r="F2522" t="s">
        <v>43</v>
      </c>
      <c r="G2522" t="s">
        <v>44</v>
      </c>
      <c r="H2522" t="s">
        <v>128</v>
      </c>
      <c r="I2522" t="s">
        <v>129</v>
      </c>
      <c r="J2522" t="s">
        <v>130</v>
      </c>
      <c r="K2522" t="s">
        <v>131</v>
      </c>
      <c r="L2522" t="s">
        <v>166</v>
      </c>
      <c r="M2522" t="s">
        <v>177</v>
      </c>
      <c r="N2522">
        <v>2</v>
      </c>
      <c r="O2522" s="4">
        <v>850</v>
      </c>
      <c r="P2522" s="4">
        <v>1300</v>
      </c>
      <c r="Q2522" s="7">
        <v>0.05</v>
      </c>
      <c r="R2522" t="s">
        <v>194</v>
      </c>
      <c r="S2522">
        <v>10</v>
      </c>
      <c r="T2522">
        <v>2600</v>
      </c>
      <c r="U2522">
        <v>130</v>
      </c>
      <c r="V2522">
        <v>2470</v>
      </c>
      <c r="W2522">
        <v>1700</v>
      </c>
      <c r="X2522">
        <v>770</v>
      </c>
      <c r="Y2522" s="8">
        <v>0.31174089068825911</v>
      </c>
      <c r="Z2522" t="s">
        <v>2995</v>
      </c>
      <c r="AA2522" t="str">
        <f>IF(AND(SalesCleanTable[[#This Row],[Discount %]]&gt;0, SalesCleanTable[[#This Row],[Profit]]&lt;0), "Discount loss", "Safe")</f>
        <v>Safe</v>
      </c>
      <c r="AB2522" s="25">
        <f>(SalesCleanTable[[#This Row],[Unit Price]] - SalesCleanTable[[#This Row],[Unit Cost]]) / SalesCleanTable[[#This Row],[Unit Price]]</f>
        <v>0.34615384615384615</v>
      </c>
      <c r="AC2522" t="str">
        <f>IF(SalesCleanTable[[#This Row],[Discount %]] &gt; SalesCleanTable[[#This Row],[Max Allowed Discount]], "Discount loss", "Safe")</f>
        <v>Safe</v>
      </c>
      <c r="AD2522" s="4">
        <f>SalesCleanTable[[#This Row],[Unit Price]] - SalesCleanTable[[#This Row],[Unit Cost]]</f>
        <v>450</v>
      </c>
      <c r="AE2522" s="41">
        <f>(SalesCleanTable[[#This Row],[Unit Price]] - SalesCleanTable[[#This Row],[Unit Cost]]) / SalesCleanTable[[#This Row],[Unit Price]]</f>
        <v>0.34615384615384615</v>
      </c>
    </row>
    <row r="2523" spans="1:31">
      <c r="A2523" t="s">
        <v>2709</v>
      </c>
      <c r="B2523" s="6">
        <v>45960</v>
      </c>
      <c r="C2523" t="s">
        <v>78</v>
      </c>
      <c r="D2523" t="s">
        <v>79</v>
      </c>
      <c r="E2523" t="s">
        <v>75</v>
      </c>
      <c r="F2523" t="s">
        <v>80</v>
      </c>
      <c r="G2523" t="s">
        <v>81</v>
      </c>
      <c r="H2523" t="s">
        <v>128</v>
      </c>
      <c r="I2523" t="s">
        <v>129</v>
      </c>
      <c r="J2523" t="s">
        <v>130</v>
      </c>
      <c r="K2523" t="s">
        <v>131</v>
      </c>
      <c r="L2523" t="s">
        <v>183</v>
      </c>
      <c r="M2523" t="s">
        <v>171</v>
      </c>
      <c r="N2523">
        <v>1</v>
      </c>
      <c r="O2523" s="4">
        <v>1200</v>
      </c>
      <c r="P2523" s="4">
        <v>1900</v>
      </c>
      <c r="Q2523" s="7">
        <v>0.15</v>
      </c>
      <c r="R2523" t="s">
        <v>187</v>
      </c>
      <c r="S2523">
        <v>3</v>
      </c>
      <c r="T2523">
        <v>1900</v>
      </c>
      <c r="U2523">
        <v>285</v>
      </c>
      <c r="V2523">
        <v>1615</v>
      </c>
      <c r="W2523">
        <v>1200</v>
      </c>
      <c r="X2523">
        <v>415</v>
      </c>
      <c r="Y2523" s="8">
        <v>0.25696594427244585</v>
      </c>
      <c r="Z2523" t="s">
        <v>2996</v>
      </c>
      <c r="AA2523" t="str">
        <f>IF(AND(SalesCleanTable[[#This Row],[Discount %]]&gt;0, SalesCleanTable[[#This Row],[Profit]]&lt;0), "Discount loss", "Safe")</f>
        <v>Safe</v>
      </c>
      <c r="AB2523" s="25">
        <f>(SalesCleanTable[[#This Row],[Unit Price]] - SalesCleanTable[[#This Row],[Unit Cost]]) / SalesCleanTable[[#This Row],[Unit Price]]</f>
        <v>0.36842105263157893</v>
      </c>
      <c r="AC2523" t="str">
        <f>IF(SalesCleanTable[[#This Row],[Discount %]] &gt; SalesCleanTable[[#This Row],[Max Allowed Discount]], "Discount loss", "Safe")</f>
        <v>Safe</v>
      </c>
      <c r="AD2523" s="4">
        <f>SalesCleanTable[[#This Row],[Unit Price]] - SalesCleanTable[[#This Row],[Unit Cost]]</f>
        <v>700</v>
      </c>
      <c r="AE2523" s="41">
        <f>(SalesCleanTable[[#This Row],[Unit Price]] - SalesCleanTable[[#This Row],[Unit Cost]]) / SalesCleanTable[[#This Row],[Unit Price]]</f>
        <v>0.36842105263157893</v>
      </c>
    </row>
    <row r="2524" spans="1:31">
      <c r="A2524" t="s">
        <v>2710</v>
      </c>
      <c r="B2524" s="6">
        <v>45871</v>
      </c>
      <c r="C2524" t="s">
        <v>103</v>
      </c>
      <c r="D2524" t="s">
        <v>104</v>
      </c>
      <c r="E2524" t="s">
        <v>92</v>
      </c>
      <c r="F2524" t="s">
        <v>105</v>
      </c>
      <c r="G2524" t="s">
        <v>106</v>
      </c>
      <c r="H2524" t="s">
        <v>153</v>
      </c>
      <c r="I2524" t="s">
        <v>154</v>
      </c>
      <c r="J2524" t="s">
        <v>155</v>
      </c>
      <c r="K2524" t="s">
        <v>131</v>
      </c>
      <c r="L2524" t="s">
        <v>166</v>
      </c>
      <c r="M2524" t="s">
        <v>171</v>
      </c>
      <c r="N2524">
        <v>2</v>
      </c>
      <c r="O2524" s="4">
        <v>1500</v>
      </c>
      <c r="P2524" s="4">
        <v>2500</v>
      </c>
      <c r="Q2524" s="7">
        <v>0.05</v>
      </c>
      <c r="R2524" t="s">
        <v>215</v>
      </c>
      <c r="S2524">
        <v>10</v>
      </c>
      <c r="T2524">
        <v>5000</v>
      </c>
      <c r="U2524">
        <v>250</v>
      </c>
      <c r="V2524">
        <v>4750</v>
      </c>
      <c r="W2524">
        <v>3000</v>
      </c>
      <c r="X2524">
        <v>1750</v>
      </c>
      <c r="Y2524" s="8">
        <v>0.36842105263157893</v>
      </c>
      <c r="Z2524" t="s">
        <v>2996</v>
      </c>
      <c r="AA2524" t="str">
        <f>IF(AND(SalesCleanTable[[#This Row],[Discount %]]&gt;0, SalesCleanTable[[#This Row],[Profit]]&lt;0), "Discount loss", "Safe")</f>
        <v>Safe</v>
      </c>
      <c r="AB2524" s="25">
        <f>(SalesCleanTable[[#This Row],[Unit Price]] - SalesCleanTable[[#This Row],[Unit Cost]]) / SalesCleanTable[[#This Row],[Unit Price]]</f>
        <v>0.4</v>
      </c>
      <c r="AC2524" t="str">
        <f>IF(SalesCleanTable[[#This Row],[Discount %]] &gt; SalesCleanTable[[#This Row],[Max Allowed Discount]], "Discount loss", "Safe")</f>
        <v>Safe</v>
      </c>
      <c r="AD2524" s="4">
        <f>SalesCleanTable[[#This Row],[Unit Price]] - SalesCleanTable[[#This Row],[Unit Cost]]</f>
        <v>1000</v>
      </c>
      <c r="AE2524" s="41">
        <f>(SalesCleanTable[[#This Row],[Unit Price]] - SalesCleanTable[[#This Row],[Unit Cost]]) / SalesCleanTable[[#This Row],[Unit Price]]</f>
        <v>0.4</v>
      </c>
    </row>
    <row r="2525" spans="1:31">
      <c r="A2525" t="s">
        <v>2711</v>
      </c>
      <c r="B2525" s="6">
        <v>45807</v>
      </c>
      <c r="C2525" t="s">
        <v>32</v>
      </c>
      <c r="D2525" t="s">
        <v>33</v>
      </c>
      <c r="E2525" t="s">
        <v>26</v>
      </c>
      <c r="F2525" t="s">
        <v>34</v>
      </c>
      <c r="G2525" t="s">
        <v>35</v>
      </c>
      <c r="H2525" t="s">
        <v>153</v>
      </c>
      <c r="I2525" t="s">
        <v>154</v>
      </c>
      <c r="J2525" t="s">
        <v>155</v>
      </c>
      <c r="K2525" t="s">
        <v>131</v>
      </c>
      <c r="L2525" t="s">
        <v>183</v>
      </c>
      <c r="M2525" t="s">
        <v>171</v>
      </c>
      <c r="N2525">
        <v>4</v>
      </c>
      <c r="O2525" s="4">
        <v>7800</v>
      </c>
      <c r="P2525" s="4">
        <v>9800</v>
      </c>
      <c r="Q2525" s="7">
        <v>0</v>
      </c>
      <c r="R2525" t="s">
        <v>194</v>
      </c>
      <c r="S2525">
        <v>9</v>
      </c>
      <c r="T2525">
        <v>39200</v>
      </c>
      <c r="U2525">
        <v>0</v>
      </c>
      <c r="V2525">
        <v>39200</v>
      </c>
      <c r="W2525">
        <v>31200</v>
      </c>
      <c r="X2525">
        <v>8000</v>
      </c>
      <c r="Y2525" s="8">
        <v>0.20408163265306123</v>
      </c>
      <c r="Z2525" t="s">
        <v>2995</v>
      </c>
      <c r="AA2525" t="str">
        <f>IF(AND(SalesCleanTable[[#This Row],[Discount %]]&gt;0, SalesCleanTable[[#This Row],[Profit]]&lt;0), "Discount loss", "Safe")</f>
        <v>Safe</v>
      </c>
      <c r="AB2525" s="25">
        <f>(SalesCleanTable[[#This Row],[Unit Price]] - SalesCleanTable[[#This Row],[Unit Cost]]) / SalesCleanTable[[#This Row],[Unit Price]]</f>
        <v>0.20408163265306123</v>
      </c>
      <c r="AC2525" t="str">
        <f>IF(SalesCleanTable[[#This Row],[Discount %]] &gt; SalesCleanTable[[#This Row],[Max Allowed Discount]], "Discount loss", "Safe")</f>
        <v>Safe</v>
      </c>
      <c r="AD2525" s="4">
        <f>SalesCleanTable[[#This Row],[Unit Price]] - SalesCleanTable[[#This Row],[Unit Cost]]</f>
        <v>2000</v>
      </c>
      <c r="AE2525" s="41">
        <f>(SalesCleanTable[[#This Row],[Unit Price]] - SalesCleanTable[[#This Row],[Unit Cost]]) / SalesCleanTable[[#This Row],[Unit Price]]</f>
        <v>0.20408163265306123</v>
      </c>
    </row>
    <row r="2526" spans="1:31">
      <c r="A2526" t="s">
        <v>2712</v>
      </c>
      <c r="B2526" s="6">
        <v>45737</v>
      </c>
      <c r="C2526" t="s">
        <v>120</v>
      </c>
      <c r="D2526" t="s">
        <v>121</v>
      </c>
      <c r="E2526" t="s">
        <v>109</v>
      </c>
      <c r="F2526" t="s">
        <v>93</v>
      </c>
      <c r="G2526" t="s">
        <v>122</v>
      </c>
      <c r="H2526" t="s">
        <v>133</v>
      </c>
      <c r="I2526" t="s">
        <v>134</v>
      </c>
      <c r="J2526" t="s">
        <v>130</v>
      </c>
      <c r="K2526" t="s">
        <v>131</v>
      </c>
      <c r="L2526" t="s">
        <v>183</v>
      </c>
      <c r="M2526" t="s">
        <v>171</v>
      </c>
      <c r="N2526">
        <v>1</v>
      </c>
      <c r="O2526" s="4">
        <v>1700</v>
      </c>
      <c r="P2526" s="4">
        <v>2800</v>
      </c>
      <c r="Q2526" s="7">
        <v>0.15</v>
      </c>
      <c r="R2526" t="s">
        <v>184</v>
      </c>
      <c r="S2526">
        <v>2</v>
      </c>
      <c r="T2526">
        <v>2800</v>
      </c>
      <c r="U2526">
        <v>420</v>
      </c>
      <c r="V2526">
        <v>2380</v>
      </c>
      <c r="W2526">
        <v>1700</v>
      </c>
      <c r="X2526">
        <v>680</v>
      </c>
      <c r="Y2526" s="8">
        <v>0.2857142857142857</v>
      </c>
      <c r="Z2526" t="s">
        <v>2997</v>
      </c>
      <c r="AA2526" t="str">
        <f>IF(AND(SalesCleanTable[[#This Row],[Discount %]]&gt;0, SalesCleanTable[[#This Row],[Profit]]&lt;0), "Discount loss", "Safe")</f>
        <v>Safe</v>
      </c>
      <c r="AB2526" s="25">
        <f>(SalesCleanTable[[#This Row],[Unit Price]] - SalesCleanTable[[#This Row],[Unit Cost]]) / SalesCleanTable[[#This Row],[Unit Price]]</f>
        <v>0.39285714285714285</v>
      </c>
      <c r="AC2526" t="str">
        <f>IF(SalesCleanTable[[#This Row],[Discount %]] &gt; SalesCleanTable[[#This Row],[Max Allowed Discount]], "Discount loss", "Safe")</f>
        <v>Safe</v>
      </c>
      <c r="AD2526" s="4">
        <f>SalesCleanTable[[#This Row],[Unit Price]] - SalesCleanTable[[#This Row],[Unit Cost]]</f>
        <v>1100</v>
      </c>
      <c r="AE2526" s="41">
        <f>(SalesCleanTable[[#This Row],[Unit Price]] - SalesCleanTable[[#This Row],[Unit Cost]]) / SalesCleanTable[[#This Row],[Unit Price]]</f>
        <v>0.39285714285714285</v>
      </c>
    </row>
    <row r="2527" spans="1:31">
      <c r="A2527" t="s">
        <v>2713</v>
      </c>
      <c r="B2527" s="6">
        <v>45960</v>
      </c>
      <c r="C2527" t="s">
        <v>32</v>
      </c>
      <c r="D2527" t="s">
        <v>33</v>
      </c>
      <c r="E2527" t="s">
        <v>26</v>
      </c>
      <c r="F2527" t="s">
        <v>34</v>
      </c>
      <c r="G2527" t="s">
        <v>35</v>
      </c>
      <c r="H2527" t="s">
        <v>149</v>
      </c>
      <c r="I2527" t="s">
        <v>150</v>
      </c>
      <c r="J2527" t="s">
        <v>151</v>
      </c>
      <c r="K2527" t="s">
        <v>152</v>
      </c>
      <c r="L2527" t="s">
        <v>183</v>
      </c>
      <c r="M2527" t="s">
        <v>177</v>
      </c>
      <c r="N2527">
        <v>2</v>
      </c>
      <c r="O2527" s="4">
        <v>7800</v>
      </c>
      <c r="P2527" s="4">
        <v>9800</v>
      </c>
      <c r="Q2527" s="7">
        <v>0</v>
      </c>
      <c r="R2527" t="s">
        <v>173</v>
      </c>
      <c r="S2527">
        <v>2</v>
      </c>
      <c r="T2527">
        <v>19600</v>
      </c>
      <c r="U2527">
        <v>0</v>
      </c>
      <c r="V2527">
        <v>19600</v>
      </c>
      <c r="W2527">
        <v>15600</v>
      </c>
      <c r="X2527">
        <v>4000</v>
      </c>
      <c r="Y2527" s="8">
        <v>0.20408163265306123</v>
      </c>
      <c r="Z2527" t="s">
        <v>2995</v>
      </c>
      <c r="AA2527" t="str">
        <f>IF(AND(SalesCleanTable[[#This Row],[Discount %]]&gt;0, SalesCleanTable[[#This Row],[Profit]]&lt;0), "Discount loss", "Safe")</f>
        <v>Safe</v>
      </c>
      <c r="AB2527" s="25">
        <f>(SalesCleanTable[[#This Row],[Unit Price]] - SalesCleanTable[[#This Row],[Unit Cost]]) / SalesCleanTable[[#This Row],[Unit Price]]</f>
        <v>0.20408163265306123</v>
      </c>
      <c r="AC2527" t="str">
        <f>IF(SalesCleanTable[[#This Row],[Discount %]] &gt; SalesCleanTable[[#This Row],[Max Allowed Discount]], "Discount loss", "Safe")</f>
        <v>Safe</v>
      </c>
      <c r="AD2527" s="4">
        <f>SalesCleanTable[[#This Row],[Unit Price]] - SalesCleanTable[[#This Row],[Unit Cost]]</f>
        <v>2000</v>
      </c>
      <c r="AE2527" s="41">
        <f>(SalesCleanTable[[#This Row],[Unit Price]] - SalesCleanTable[[#This Row],[Unit Cost]]) / SalesCleanTable[[#This Row],[Unit Price]]</f>
        <v>0.20408163265306123</v>
      </c>
    </row>
    <row r="2528" spans="1:31">
      <c r="A2528" t="s">
        <v>2714</v>
      </c>
      <c r="B2528" s="6">
        <v>45717</v>
      </c>
      <c r="C2528" t="s">
        <v>41</v>
      </c>
      <c r="D2528" t="s">
        <v>42</v>
      </c>
      <c r="E2528" t="s">
        <v>26</v>
      </c>
      <c r="F2528" t="s">
        <v>43</v>
      </c>
      <c r="G2528" t="s">
        <v>44</v>
      </c>
      <c r="H2528" t="s">
        <v>128</v>
      </c>
      <c r="I2528" t="s">
        <v>129</v>
      </c>
      <c r="J2528" t="s">
        <v>130</v>
      </c>
      <c r="K2528" t="s">
        <v>131</v>
      </c>
      <c r="L2528" t="s">
        <v>166</v>
      </c>
      <c r="M2528" t="s">
        <v>171</v>
      </c>
      <c r="N2528">
        <v>4</v>
      </c>
      <c r="O2528" s="4">
        <v>850</v>
      </c>
      <c r="P2528" s="4">
        <v>1300</v>
      </c>
      <c r="Q2528" s="7">
        <v>0.1</v>
      </c>
      <c r="R2528" t="s">
        <v>197</v>
      </c>
      <c r="S2528">
        <v>3</v>
      </c>
      <c r="T2528">
        <v>5200</v>
      </c>
      <c r="U2528">
        <v>520</v>
      </c>
      <c r="V2528">
        <v>4680</v>
      </c>
      <c r="W2528">
        <v>3400</v>
      </c>
      <c r="X2528">
        <v>1280</v>
      </c>
      <c r="Y2528" s="8">
        <v>0.27350427350427353</v>
      </c>
      <c r="Z2528" t="s">
        <v>2995</v>
      </c>
      <c r="AA2528" t="str">
        <f>IF(AND(SalesCleanTable[[#This Row],[Discount %]]&gt;0, SalesCleanTable[[#This Row],[Profit]]&lt;0), "Discount loss", "Safe")</f>
        <v>Safe</v>
      </c>
      <c r="AB2528" s="25">
        <f>(SalesCleanTable[[#This Row],[Unit Price]] - SalesCleanTable[[#This Row],[Unit Cost]]) / SalesCleanTable[[#This Row],[Unit Price]]</f>
        <v>0.34615384615384615</v>
      </c>
      <c r="AC2528" t="str">
        <f>IF(SalesCleanTable[[#This Row],[Discount %]] &gt; SalesCleanTable[[#This Row],[Max Allowed Discount]], "Discount loss", "Safe")</f>
        <v>Safe</v>
      </c>
      <c r="AD2528" s="4">
        <f>SalesCleanTable[[#This Row],[Unit Price]] - SalesCleanTable[[#This Row],[Unit Cost]]</f>
        <v>450</v>
      </c>
      <c r="AE2528" s="41">
        <f>(SalesCleanTable[[#This Row],[Unit Price]] - SalesCleanTable[[#This Row],[Unit Cost]]) / SalesCleanTable[[#This Row],[Unit Price]]</f>
        <v>0.34615384615384615</v>
      </c>
    </row>
    <row r="2529" spans="1:31">
      <c r="A2529" t="s">
        <v>2715</v>
      </c>
      <c r="B2529" s="6">
        <v>45895</v>
      </c>
      <c r="C2529" t="s">
        <v>78</v>
      </c>
      <c r="D2529" t="s">
        <v>79</v>
      </c>
      <c r="E2529" t="s">
        <v>75</v>
      </c>
      <c r="F2529" t="s">
        <v>80</v>
      </c>
      <c r="G2529" t="s">
        <v>81</v>
      </c>
      <c r="H2529" t="s">
        <v>128</v>
      </c>
      <c r="I2529" t="s">
        <v>129</v>
      </c>
      <c r="J2529" t="s">
        <v>130</v>
      </c>
      <c r="K2529" t="s">
        <v>131</v>
      </c>
      <c r="L2529" t="s">
        <v>183</v>
      </c>
      <c r="M2529" t="s">
        <v>177</v>
      </c>
      <c r="N2529">
        <v>10</v>
      </c>
      <c r="O2529" s="4">
        <v>1200</v>
      </c>
      <c r="P2529" s="4">
        <v>1900</v>
      </c>
      <c r="Q2529" s="7">
        <v>0.05</v>
      </c>
      <c r="R2529" t="s">
        <v>187</v>
      </c>
      <c r="S2529">
        <v>2</v>
      </c>
      <c r="T2529">
        <v>19000</v>
      </c>
      <c r="U2529">
        <v>950</v>
      </c>
      <c r="V2529">
        <v>18050</v>
      </c>
      <c r="W2529">
        <v>12000</v>
      </c>
      <c r="X2529">
        <v>6050</v>
      </c>
      <c r="Y2529" s="8">
        <v>0.33518005540166207</v>
      </c>
      <c r="Z2529" t="s">
        <v>2996</v>
      </c>
      <c r="AA2529" t="str">
        <f>IF(AND(SalesCleanTable[[#This Row],[Discount %]]&gt;0, SalesCleanTable[[#This Row],[Profit]]&lt;0), "Discount loss", "Safe")</f>
        <v>Safe</v>
      </c>
      <c r="AB2529" s="25">
        <f>(SalesCleanTable[[#This Row],[Unit Price]] - SalesCleanTable[[#This Row],[Unit Cost]]) / SalesCleanTable[[#This Row],[Unit Price]]</f>
        <v>0.36842105263157893</v>
      </c>
      <c r="AC2529" t="str">
        <f>IF(SalesCleanTable[[#This Row],[Discount %]] &gt; SalesCleanTable[[#This Row],[Max Allowed Discount]], "Discount loss", "Safe")</f>
        <v>Safe</v>
      </c>
      <c r="AD2529" s="4">
        <f>SalesCleanTable[[#This Row],[Unit Price]] - SalesCleanTable[[#This Row],[Unit Cost]]</f>
        <v>700</v>
      </c>
      <c r="AE2529" s="41">
        <f>(SalesCleanTable[[#This Row],[Unit Price]] - SalesCleanTable[[#This Row],[Unit Cost]]) / SalesCleanTable[[#This Row],[Unit Price]]</f>
        <v>0.36842105263157893</v>
      </c>
    </row>
    <row r="2530" spans="1:31">
      <c r="A2530" t="s">
        <v>2716</v>
      </c>
      <c r="B2530" s="6">
        <v>45931</v>
      </c>
      <c r="C2530" t="s">
        <v>53</v>
      </c>
      <c r="D2530" t="s">
        <v>54</v>
      </c>
      <c r="E2530" t="s">
        <v>38</v>
      </c>
      <c r="F2530" t="s">
        <v>55</v>
      </c>
      <c r="G2530" t="s">
        <v>56</v>
      </c>
      <c r="H2530" t="s">
        <v>141</v>
      </c>
      <c r="I2530" t="s">
        <v>142</v>
      </c>
      <c r="J2530" t="s">
        <v>143</v>
      </c>
      <c r="K2530" t="s">
        <v>144</v>
      </c>
      <c r="L2530" t="s">
        <v>170</v>
      </c>
      <c r="M2530" t="s">
        <v>177</v>
      </c>
      <c r="N2530">
        <v>2</v>
      </c>
      <c r="O2530" s="4">
        <v>330</v>
      </c>
      <c r="P2530" s="4">
        <v>550</v>
      </c>
      <c r="Q2530" s="7">
        <v>0.15</v>
      </c>
      <c r="R2530" t="s">
        <v>168</v>
      </c>
      <c r="S2530">
        <v>4</v>
      </c>
      <c r="T2530">
        <v>1100</v>
      </c>
      <c r="U2530">
        <v>165</v>
      </c>
      <c r="V2530">
        <v>935</v>
      </c>
      <c r="W2530">
        <v>660</v>
      </c>
      <c r="X2530">
        <v>275</v>
      </c>
      <c r="Y2530" s="8">
        <v>0.29411764705882354</v>
      </c>
      <c r="Z2530" t="s">
        <v>2996</v>
      </c>
      <c r="AA2530" t="str">
        <f>IF(AND(SalesCleanTable[[#This Row],[Discount %]]&gt;0, SalesCleanTable[[#This Row],[Profit]]&lt;0), "Discount loss", "Safe")</f>
        <v>Safe</v>
      </c>
      <c r="AB2530" s="25">
        <f>(SalesCleanTable[[#This Row],[Unit Price]] - SalesCleanTable[[#This Row],[Unit Cost]]) / SalesCleanTable[[#This Row],[Unit Price]]</f>
        <v>0.4</v>
      </c>
      <c r="AC2530" t="str">
        <f>IF(SalesCleanTable[[#This Row],[Discount %]] &gt; SalesCleanTable[[#This Row],[Max Allowed Discount]], "Discount loss", "Safe")</f>
        <v>Safe</v>
      </c>
      <c r="AD2530" s="4">
        <f>SalesCleanTable[[#This Row],[Unit Price]] - SalesCleanTable[[#This Row],[Unit Cost]]</f>
        <v>220</v>
      </c>
      <c r="AE2530" s="41">
        <f>(SalesCleanTable[[#This Row],[Unit Price]] - SalesCleanTable[[#This Row],[Unit Cost]]) / SalesCleanTable[[#This Row],[Unit Price]]</f>
        <v>0.4</v>
      </c>
    </row>
    <row r="2531" spans="1:31">
      <c r="A2531" t="s">
        <v>2717</v>
      </c>
      <c r="B2531" s="6">
        <v>45901</v>
      </c>
      <c r="C2531" t="s">
        <v>103</v>
      </c>
      <c r="D2531" t="s">
        <v>104</v>
      </c>
      <c r="E2531" t="s">
        <v>92</v>
      </c>
      <c r="F2531" t="s">
        <v>105</v>
      </c>
      <c r="G2531" t="s">
        <v>106</v>
      </c>
      <c r="H2531" t="s">
        <v>135</v>
      </c>
      <c r="I2531" t="s">
        <v>136</v>
      </c>
      <c r="J2531" t="s">
        <v>137</v>
      </c>
      <c r="K2531" t="s">
        <v>138</v>
      </c>
      <c r="L2531" t="s">
        <v>166</v>
      </c>
      <c r="M2531" t="s">
        <v>177</v>
      </c>
      <c r="N2531">
        <v>2</v>
      </c>
      <c r="O2531" s="4">
        <v>1500</v>
      </c>
      <c r="P2531" s="4">
        <v>2500</v>
      </c>
      <c r="Q2531" s="7">
        <v>0.15</v>
      </c>
      <c r="R2531" t="s">
        <v>215</v>
      </c>
      <c r="S2531">
        <v>13</v>
      </c>
      <c r="T2531">
        <v>5000</v>
      </c>
      <c r="U2531">
        <v>750</v>
      </c>
      <c r="V2531">
        <v>4250</v>
      </c>
      <c r="W2531">
        <v>3000</v>
      </c>
      <c r="X2531">
        <v>1250</v>
      </c>
      <c r="Y2531" s="8">
        <v>0.29411764705882354</v>
      </c>
      <c r="Z2531" t="s">
        <v>2996</v>
      </c>
      <c r="AA2531" t="str">
        <f>IF(AND(SalesCleanTable[[#This Row],[Discount %]]&gt;0, SalesCleanTable[[#This Row],[Profit]]&lt;0), "Discount loss", "Safe")</f>
        <v>Safe</v>
      </c>
      <c r="AB2531" s="25">
        <f>(SalesCleanTable[[#This Row],[Unit Price]] - SalesCleanTable[[#This Row],[Unit Cost]]) / SalesCleanTable[[#This Row],[Unit Price]]</f>
        <v>0.4</v>
      </c>
      <c r="AC2531" t="str">
        <f>IF(SalesCleanTable[[#This Row],[Discount %]] &gt; SalesCleanTable[[#This Row],[Max Allowed Discount]], "Discount loss", "Safe")</f>
        <v>Safe</v>
      </c>
      <c r="AD2531" s="4">
        <f>SalesCleanTable[[#This Row],[Unit Price]] - SalesCleanTable[[#This Row],[Unit Cost]]</f>
        <v>1000</v>
      </c>
      <c r="AE2531" s="41">
        <f>(SalesCleanTable[[#This Row],[Unit Price]] - SalesCleanTable[[#This Row],[Unit Cost]]) / SalesCleanTable[[#This Row],[Unit Price]]</f>
        <v>0.4</v>
      </c>
    </row>
    <row r="2532" spans="1:31">
      <c r="A2532" t="s">
        <v>2718</v>
      </c>
      <c r="B2532" s="6">
        <v>45677</v>
      </c>
      <c r="C2532" t="s">
        <v>112</v>
      </c>
      <c r="D2532" t="s">
        <v>113</v>
      </c>
      <c r="E2532" t="s">
        <v>109</v>
      </c>
      <c r="F2532" t="s">
        <v>114</v>
      </c>
      <c r="G2532" t="s">
        <v>115</v>
      </c>
      <c r="H2532" t="s">
        <v>139</v>
      </c>
      <c r="I2532" t="s">
        <v>140</v>
      </c>
      <c r="J2532" t="s">
        <v>137</v>
      </c>
      <c r="K2532" t="s">
        <v>138</v>
      </c>
      <c r="L2532" t="s">
        <v>170</v>
      </c>
      <c r="M2532" t="s">
        <v>177</v>
      </c>
      <c r="N2532">
        <v>3</v>
      </c>
      <c r="O2532" s="4">
        <v>1300</v>
      </c>
      <c r="P2532" s="4">
        <v>2100</v>
      </c>
      <c r="Q2532" s="7">
        <v>0</v>
      </c>
      <c r="R2532" t="s">
        <v>184</v>
      </c>
      <c r="S2532">
        <v>5</v>
      </c>
      <c r="T2532">
        <v>6300</v>
      </c>
      <c r="U2532">
        <v>0</v>
      </c>
      <c r="V2532">
        <v>6300</v>
      </c>
      <c r="W2532">
        <v>3900</v>
      </c>
      <c r="X2532">
        <v>2400</v>
      </c>
      <c r="Y2532" s="8">
        <v>0.38095238095238093</v>
      </c>
      <c r="Z2532" t="s">
        <v>2995</v>
      </c>
      <c r="AA2532" t="str">
        <f>IF(AND(SalesCleanTable[[#This Row],[Discount %]]&gt;0, SalesCleanTable[[#This Row],[Profit]]&lt;0), "Discount loss", "Safe")</f>
        <v>Safe</v>
      </c>
      <c r="AB2532" s="25">
        <f>(SalesCleanTable[[#This Row],[Unit Price]] - SalesCleanTable[[#This Row],[Unit Cost]]) / SalesCleanTable[[#This Row],[Unit Price]]</f>
        <v>0.38095238095238093</v>
      </c>
      <c r="AC2532" t="str">
        <f>IF(SalesCleanTable[[#This Row],[Discount %]] &gt; SalesCleanTable[[#This Row],[Max Allowed Discount]], "Discount loss", "Safe")</f>
        <v>Safe</v>
      </c>
      <c r="AD2532" s="4">
        <f>SalesCleanTable[[#This Row],[Unit Price]] - SalesCleanTable[[#This Row],[Unit Cost]]</f>
        <v>800</v>
      </c>
      <c r="AE2532" s="41">
        <f>(SalesCleanTable[[#This Row],[Unit Price]] - SalesCleanTable[[#This Row],[Unit Cost]]) / SalesCleanTable[[#This Row],[Unit Price]]</f>
        <v>0.38095238095238093</v>
      </c>
    </row>
    <row r="2533" spans="1:31">
      <c r="A2533" t="s">
        <v>2719</v>
      </c>
      <c r="B2533" s="6">
        <v>45986</v>
      </c>
      <c r="C2533" t="s">
        <v>36</v>
      </c>
      <c r="D2533" t="s">
        <v>37</v>
      </c>
      <c r="E2533" t="s">
        <v>38</v>
      </c>
      <c r="F2533" t="s">
        <v>39</v>
      </c>
      <c r="G2533" t="s">
        <v>40</v>
      </c>
      <c r="H2533" t="s">
        <v>135</v>
      </c>
      <c r="I2533" t="s">
        <v>136</v>
      </c>
      <c r="J2533" t="s">
        <v>137</v>
      </c>
      <c r="K2533" t="s">
        <v>138</v>
      </c>
      <c r="L2533" t="s">
        <v>166</v>
      </c>
      <c r="M2533" t="s">
        <v>171</v>
      </c>
      <c r="N2533">
        <v>6</v>
      </c>
      <c r="O2533" s="4">
        <v>1650</v>
      </c>
      <c r="P2533" s="4">
        <v>2200</v>
      </c>
      <c r="Q2533" s="7">
        <v>0</v>
      </c>
      <c r="R2533" t="s">
        <v>178</v>
      </c>
      <c r="S2533">
        <v>6</v>
      </c>
      <c r="T2533">
        <v>13200</v>
      </c>
      <c r="U2533">
        <v>0</v>
      </c>
      <c r="V2533">
        <v>13200</v>
      </c>
      <c r="W2533">
        <v>9900</v>
      </c>
      <c r="X2533">
        <v>3300</v>
      </c>
      <c r="Y2533" s="8">
        <v>0.25</v>
      </c>
      <c r="Z2533" t="s">
        <v>2995</v>
      </c>
      <c r="AA2533" t="str">
        <f>IF(AND(SalesCleanTable[[#This Row],[Discount %]]&gt;0, SalesCleanTable[[#This Row],[Profit]]&lt;0), "Discount loss", "Safe")</f>
        <v>Safe</v>
      </c>
      <c r="AB2533" s="25">
        <f>(SalesCleanTable[[#This Row],[Unit Price]] - SalesCleanTable[[#This Row],[Unit Cost]]) / SalesCleanTable[[#This Row],[Unit Price]]</f>
        <v>0.25</v>
      </c>
      <c r="AC2533" t="str">
        <f>IF(SalesCleanTable[[#This Row],[Discount %]] &gt; SalesCleanTable[[#This Row],[Max Allowed Discount]], "Discount loss", "Safe")</f>
        <v>Safe</v>
      </c>
      <c r="AD2533" s="4">
        <f>SalesCleanTable[[#This Row],[Unit Price]] - SalesCleanTable[[#This Row],[Unit Cost]]</f>
        <v>550</v>
      </c>
      <c r="AE2533" s="41">
        <f>(SalesCleanTable[[#This Row],[Unit Price]] - SalesCleanTable[[#This Row],[Unit Cost]]) / SalesCleanTable[[#This Row],[Unit Price]]</f>
        <v>0.25</v>
      </c>
    </row>
    <row r="2534" spans="1:31">
      <c r="A2534" t="s">
        <v>2720</v>
      </c>
      <c r="B2534" s="6">
        <v>45963</v>
      </c>
      <c r="C2534" t="s">
        <v>78</v>
      </c>
      <c r="D2534" t="s">
        <v>79</v>
      </c>
      <c r="E2534" t="s">
        <v>75</v>
      </c>
      <c r="F2534" t="s">
        <v>80</v>
      </c>
      <c r="G2534" t="s">
        <v>81</v>
      </c>
      <c r="H2534" t="s">
        <v>153</v>
      </c>
      <c r="I2534" t="s">
        <v>154</v>
      </c>
      <c r="J2534" t="s">
        <v>155</v>
      </c>
      <c r="K2534" t="s">
        <v>131</v>
      </c>
      <c r="L2534" t="s">
        <v>166</v>
      </c>
      <c r="M2534" t="s">
        <v>171</v>
      </c>
      <c r="N2534">
        <v>1</v>
      </c>
      <c r="O2534" s="4">
        <v>1200</v>
      </c>
      <c r="P2534" s="4">
        <v>1900</v>
      </c>
      <c r="Q2534" s="7">
        <v>0</v>
      </c>
      <c r="R2534" t="s">
        <v>208</v>
      </c>
      <c r="S2534">
        <v>3</v>
      </c>
      <c r="T2534">
        <v>1900</v>
      </c>
      <c r="U2534">
        <v>0</v>
      </c>
      <c r="V2534">
        <v>1900</v>
      </c>
      <c r="W2534">
        <v>1200</v>
      </c>
      <c r="X2534">
        <v>700</v>
      </c>
      <c r="Y2534" s="8">
        <v>0.36842105263157893</v>
      </c>
      <c r="Z2534" t="s">
        <v>2996</v>
      </c>
      <c r="AA2534" t="str">
        <f>IF(AND(SalesCleanTable[[#This Row],[Discount %]]&gt;0, SalesCleanTable[[#This Row],[Profit]]&lt;0), "Discount loss", "Safe")</f>
        <v>Safe</v>
      </c>
      <c r="AB2534" s="25">
        <f>(SalesCleanTable[[#This Row],[Unit Price]] - SalesCleanTable[[#This Row],[Unit Cost]]) / SalesCleanTable[[#This Row],[Unit Price]]</f>
        <v>0.36842105263157893</v>
      </c>
      <c r="AC2534" t="str">
        <f>IF(SalesCleanTable[[#This Row],[Discount %]] &gt; SalesCleanTable[[#This Row],[Max Allowed Discount]], "Discount loss", "Safe")</f>
        <v>Safe</v>
      </c>
      <c r="AD2534" s="4">
        <f>SalesCleanTable[[#This Row],[Unit Price]] - SalesCleanTable[[#This Row],[Unit Cost]]</f>
        <v>700</v>
      </c>
      <c r="AE2534" s="41">
        <f>(SalesCleanTable[[#This Row],[Unit Price]] - SalesCleanTable[[#This Row],[Unit Cost]]) / SalesCleanTable[[#This Row],[Unit Price]]</f>
        <v>0.36842105263157893</v>
      </c>
    </row>
    <row r="2535" spans="1:31">
      <c r="A2535" t="s">
        <v>2721</v>
      </c>
      <c r="B2535" s="6">
        <v>45747</v>
      </c>
      <c r="C2535" t="s">
        <v>86</v>
      </c>
      <c r="D2535" t="s">
        <v>87</v>
      </c>
      <c r="E2535" t="s">
        <v>75</v>
      </c>
      <c r="F2535" t="s">
        <v>88</v>
      </c>
      <c r="G2535" t="s">
        <v>89</v>
      </c>
      <c r="H2535" t="s">
        <v>139</v>
      </c>
      <c r="I2535" t="s">
        <v>140</v>
      </c>
      <c r="J2535" t="s">
        <v>137</v>
      </c>
      <c r="K2535" t="s">
        <v>138</v>
      </c>
      <c r="L2535" t="s">
        <v>166</v>
      </c>
      <c r="M2535" t="s">
        <v>186</v>
      </c>
      <c r="N2535">
        <v>2</v>
      </c>
      <c r="O2535" s="4">
        <v>8500</v>
      </c>
      <c r="P2535" s="4">
        <v>12500</v>
      </c>
      <c r="Q2535" s="7">
        <v>0</v>
      </c>
      <c r="R2535" t="s">
        <v>208</v>
      </c>
      <c r="S2535">
        <v>12</v>
      </c>
      <c r="T2535">
        <v>25000</v>
      </c>
      <c r="U2535">
        <v>0</v>
      </c>
      <c r="V2535">
        <v>25000</v>
      </c>
      <c r="W2535">
        <v>17000</v>
      </c>
      <c r="X2535">
        <v>8000</v>
      </c>
      <c r="Y2535" s="8">
        <v>0.32</v>
      </c>
      <c r="Z2535" t="s">
        <v>2997</v>
      </c>
      <c r="AA2535" t="str">
        <f>IF(AND(SalesCleanTable[[#This Row],[Discount %]]&gt;0, SalesCleanTable[[#This Row],[Profit]]&lt;0), "Discount loss", "Safe")</f>
        <v>Safe</v>
      </c>
      <c r="AB2535" s="25">
        <f>(SalesCleanTable[[#This Row],[Unit Price]] - SalesCleanTable[[#This Row],[Unit Cost]]) / SalesCleanTable[[#This Row],[Unit Price]]</f>
        <v>0.32</v>
      </c>
      <c r="AC2535" t="str">
        <f>IF(SalesCleanTable[[#This Row],[Discount %]] &gt; SalesCleanTable[[#This Row],[Max Allowed Discount]], "Discount loss", "Safe")</f>
        <v>Safe</v>
      </c>
      <c r="AD2535" s="4">
        <f>SalesCleanTable[[#This Row],[Unit Price]] - SalesCleanTable[[#This Row],[Unit Cost]]</f>
        <v>4000</v>
      </c>
      <c r="AE2535" s="41">
        <f>(SalesCleanTable[[#This Row],[Unit Price]] - SalesCleanTable[[#This Row],[Unit Cost]]) / SalesCleanTable[[#This Row],[Unit Price]]</f>
        <v>0.32</v>
      </c>
    </row>
    <row r="2536" spans="1:31">
      <c r="A2536" t="s">
        <v>2722</v>
      </c>
      <c r="B2536" s="6">
        <v>46020</v>
      </c>
      <c r="C2536" t="s">
        <v>53</v>
      </c>
      <c r="D2536" t="s">
        <v>54</v>
      </c>
      <c r="E2536" t="s">
        <v>38</v>
      </c>
      <c r="F2536" t="s">
        <v>55</v>
      </c>
      <c r="G2536" t="s">
        <v>56</v>
      </c>
      <c r="H2536" t="s">
        <v>139</v>
      </c>
      <c r="I2536" t="s">
        <v>140</v>
      </c>
      <c r="J2536" t="s">
        <v>137</v>
      </c>
      <c r="K2536" t="s">
        <v>138</v>
      </c>
      <c r="L2536" t="s">
        <v>166</v>
      </c>
      <c r="M2536" t="s">
        <v>171</v>
      </c>
      <c r="N2536">
        <v>4</v>
      </c>
      <c r="O2536" s="4">
        <v>330</v>
      </c>
      <c r="P2536" s="4">
        <v>550</v>
      </c>
      <c r="Q2536" s="7">
        <v>0</v>
      </c>
      <c r="R2536" t="s">
        <v>175</v>
      </c>
      <c r="S2536">
        <v>7</v>
      </c>
      <c r="T2536">
        <v>2200</v>
      </c>
      <c r="U2536">
        <v>0</v>
      </c>
      <c r="V2536">
        <v>2200</v>
      </c>
      <c r="W2536">
        <v>1320</v>
      </c>
      <c r="X2536">
        <v>880</v>
      </c>
      <c r="Y2536" s="8">
        <v>0.4</v>
      </c>
      <c r="Z2536" t="s">
        <v>2996</v>
      </c>
      <c r="AA2536" t="str">
        <f>IF(AND(SalesCleanTable[[#This Row],[Discount %]]&gt;0, SalesCleanTable[[#This Row],[Profit]]&lt;0), "Discount loss", "Safe")</f>
        <v>Safe</v>
      </c>
      <c r="AB2536" s="25">
        <f>(SalesCleanTable[[#This Row],[Unit Price]] - SalesCleanTable[[#This Row],[Unit Cost]]) / SalesCleanTable[[#This Row],[Unit Price]]</f>
        <v>0.4</v>
      </c>
      <c r="AC2536" t="str">
        <f>IF(SalesCleanTable[[#This Row],[Discount %]] &gt; SalesCleanTable[[#This Row],[Max Allowed Discount]], "Discount loss", "Safe")</f>
        <v>Safe</v>
      </c>
      <c r="AD2536" s="4">
        <f>SalesCleanTable[[#This Row],[Unit Price]] - SalesCleanTable[[#This Row],[Unit Cost]]</f>
        <v>220</v>
      </c>
      <c r="AE2536" s="41">
        <f>(SalesCleanTable[[#This Row],[Unit Price]] - SalesCleanTable[[#This Row],[Unit Cost]]) / SalesCleanTable[[#This Row],[Unit Price]]</f>
        <v>0.4</v>
      </c>
    </row>
    <row r="2537" spans="1:31">
      <c r="A2537" t="s">
        <v>2723</v>
      </c>
      <c r="B2537" s="6">
        <v>45917</v>
      </c>
      <c r="C2537" t="s">
        <v>62</v>
      </c>
      <c r="D2537" t="s">
        <v>63</v>
      </c>
      <c r="E2537" t="s">
        <v>59</v>
      </c>
      <c r="F2537" t="s">
        <v>64</v>
      </c>
      <c r="G2537" t="s">
        <v>65</v>
      </c>
      <c r="H2537" t="s">
        <v>153</v>
      </c>
      <c r="I2537" t="s">
        <v>154</v>
      </c>
      <c r="J2537" t="s">
        <v>155</v>
      </c>
      <c r="K2537" t="s">
        <v>131</v>
      </c>
      <c r="L2537" t="s">
        <v>166</v>
      </c>
      <c r="M2537" t="s">
        <v>171</v>
      </c>
      <c r="N2537">
        <v>2</v>
      </c>
      <c r="O2537" s="4">
        <v>3200</v>
      </c>
      <c r="P2537" s="4">
        <v>4500</v>
      </c>
      <c r="Q2537" s="7">
        <v>0</v>
      </c>
      <c r="R2537" t="s">
        <v>173</v>
      </c>
      <c r="S2537">
        <v>12</v>
      </c>
      <c r="T2537">
        <v>9000</v>
      </c>
      <c r="U2537">
        <v>0</v>
      </c>
      <c r="V2537">
        <v>9000</v>
      </c>
      <c r="W2537">
        <v>6400</v>
      </c>
      <c r="X2537">
        <v>2600</v>
      </c>
      <c r="Y2537" s="8">
        <v>0.28888888888888886</v>
      </c>
      <c r="Z2537" t="s">
        <v>2996</v>
      </c>
      <c r="AA2537" t="str">
        <f>IF(AND(SalesCleanTable[[#This Row],[Discount %]]&gt;0, SalesCleanTable[[#This Row],[Profit]]&lt;0), "Discount loss", "Safe")</f>
        <v>Safe</v>
      </c>
      <c r="AB2537" s="25">
        <f>(SalesCleanTable[[#This Row],[Unit Price]] - SalesCleanTable[[#This Row],[Unit Cost]]) / SalesCleanTable[[#This Row],[Unit Price]]</f>
        <v>0.28888888888888886</v>
      </c>
      <c r="AC2537" t="str">
        <f>IF(SalesCleanTable[[#This Row],[Discount %]] &gt; SalesCleanTable[[#This Row],[Max Allowed Discount]], "Discount loss", "Safe")</f>
        <v>Safe</v>
      </c>
      <c r="AD2537" s="4">
        <f>SalesCleanTable[[#This Row],[Unit Price]] - SalesCleanTable[[#This Row],[Unit Cost]]</f>
        <v>1300</v>
      </c>
      <c r="AE2537" s="41">
        <f>(SalesCleanTable[[#This Row],[Unit Price]] - SalesCleanTable[[#This Row],[Unit Cost]]) / SalesCleanTable[[#This Row],[Unit Price]]</f>
        <v>0.28888888888888886</v>
      </c>
    </row>
    <row r="2538" spans="1:31">
      <c r="A2538" t="s">
        <v>2724</v>
      </c>
      <c r="B2538" s="6">
        <v>45879</v>
      </c>
      <c r="C2538" t="s">
        <v>53</v>
      </c>
      <c r="D2538" t="s">
        <v>54</v>
      </c>
      <c r="E2538" t="s">
        <v>38</v>
      </c>
      <c r="F2538" t="s">
        <v>55</v>
      </c>
      <c r="G2538" t="s">
        <v>56</v>
      </c>
      <c r="H2538" t="s">
        <v>153</v>
      </c>
      <c r="I2538" t="s">
        <v>154</v>
      </c>
      <c r="J2538" t="s">
        <v>155</v>
      </c>
      <c r="K2538" t="s">
        <v>131</v>
      </c>
      <c r="L2538" t="s">
        <v>166</v>
      </c>
      <c r="M2538" t="s">
        <v>186</v>
      </c>
      <c r="N2538">
        <v>6</v>
      </c>
      <c r="O2538" s="4">
        <v>330</v>
      </c>
      <c r="P2538" s="4">
        <v>550</v>
      </c>
      <c r="Q2538" s="7">
        <v>0</v>
      </c>
      <c r="R2538" t="s">
        <v>178</v>
      </c>
      <c r="S2538">
        <v>14</v>
      </c>
      <c r="T2538">
        <v>3300</v>
      </c>
      <c r="U2538">
        <v>0</v>
      </c>
      <c r="V2538">
        <v>3300</v>
      </c>
      <c r="W2538">
        <v>1980</v>
      </c>
      <c r="X2538">
        <v>1320</v>
      </c>
      <c r="Y2538" s="8">
        <v>0.4</v>
      </c>
      <c r="Z2538" t="s">
        <v>2996</v>
      </c>
      <c r="AA2538" t="str">
        <f>IF(AND(SalesCleanTable[[#This Row],[Discount %]]&gt;0, SalesCleanTable[[#This Row],[Profit]]&lt;0), "Discount loss", "Safe")</f>
        <v>Safe</v>
      </c>
      <c r="AB2538" s="25">
        <f>(SalesCleanTable[[#This Row],[Unit Price]] - SalesCleanTable[[#This Row],[Unit Cost]]) / SalesCleanTable[[#This Row],[Unit Price]]</f>
        <v>0.4</v>
      </c>
      <c r="AC2538" t="str">
        <f>IF(SalesCleanTable[[#This Row],[Discount %]] &gt; SalesCleanTable[[#This Row],[Max Allowed Discount]], "Discount loss", "Safe")</f>
        <v>Safe</v>
      </c>
      <c r="AD2538" s="4">
        <f>SalesCleanTable[[#This Row],[Unit Price]] - SalesCleanTable[[#This Row],[Unit Cost]]</f>
        <v>220</v>
      </c>
      <c r="AE2538" s="41">
        <f>(SalesCleanTable[[#This Row],[Unit Price]] - SalesCleanTable[[#This Row],[Unit Cost]]) / SalesCleanTable[[#This Row],[Unit Price]]</f>
        <v>0.4</v>
      </c>
    </row>
    <row r="2539" spans="1:31">
      <c r="A2539" t="s">
        <v>2725</v>
      </c>
      <c r="B2539" s="6">
        <v>45887</v>
      </c>
      <c r="C2539" t="s">
        <v>73</v>
      </c>
      <c r="D2539" t="s">
        <v>74</v>
      </c>
      <c r="E2539" t="s">
        <v>75</v>
      </c>
      <c r="F2539" t="s">
        <v>76</v>
      </c>
      <c r="G2539" t="s">
        <v>77</v>
      </c>
      <c r="H2539" t="s">
        <v>128</v>
      </c>
      <c r="I2539" t="s">
        <v>129</v>
      </c>
      <c r="J2539" t="s">
        <v>130</v>
      </c>
      <c r="K2539" t="s">
        <v>131</v>
      </c>
      <c r="L2539" t="s">
        <v>183</v>
      </c>
      <c r="M2539" t="s">
        <v>186</v>
      </c>
      <c r="N2539">
        <v>1</v>
      </c>
      <c r="O2539" s="4">
        <v>3500</v>
      </c>
      <c r="P2539" s="4">
        <v>5200</v>
      </c>
      <c r="Q2539" s="7">
        <v>0.05</v>
      </c>
      <c r="R2539" t="s">
        <v>208</v>
      </c>
      <c r="S2539">
        <v>1</v>
      </c>
      <c r="T2539">
        <v>5200</v>
      </c>
      <c r="U2539">
        <v>260</v>
      </c>
      <c r="V2539">
        <v>4940</v>
      </c>
      <c r="W2539">
        <v>3500</v>
      </c>
      <c r="X2539">
        <v>1440</v>
      </c>
      <c r="Y2539" s="8">
        <v>0.291497975708502</v>
      </c>
      <c r="Z2539" t="s">
        <v>2996</v>
      </c>
      <c r="AA2539" t="str">
        <f>IF(AND(SalesCleanTable[[#This Row],[Discount %]]&gt;0, SalesCleanTable[[#This Row],[Profit]]&lt;0), "Discount loss", "Safe")</f>
        <v>Safe</v>
      </c>
      <c r="AB2539" s="25">
        <f>(SalesCleanTable[[#This Row],[Unit Price]] - SalesCleanTable[[#This Row],[Unit Cost]]) / SalesCleanTable[[#This Row],[Unit Price]]</f>
        <v>0.32692307692307693</v>
      </c>
      <c r="AC2539" t="str">
        <f>IF(SalesCleanTable[[#This Row],[Discount %]] &gt; SalesCleanTable[[#This Row],[Max Allowed Discount]], "Discount loss", "Safe")</f>
        <v>Safe</v>
      </c>
      <c r="AD2539" s="4">
        <f>SalesCleanTable[[#This Row],[Unit Price]] - SalesCleanTable[[#This Row],[Unit Cost]]</f>
        <v>1700</v>
      </c>
      <c r="AE2539" s="41">
        <f>(SalesCleanTable[[#This Row],[Unit Price]] - SalesCleanTable[[#This Row],[Unit Cost]]) / SalesCleanTable[[#This Row],[Unit Price]]</f>
        <v>0.32692307692307693</v>
      </c>
    </row>
    <row r="2540" spans="1:31">
      <c r="A2540" t="s">
        <v>2726</v>
      </c>
      <c r="B2540" s="6">
        <v>45662</v>
      </c>
      <c r="C2540" t="s">
        <v>53</v>
      </c>
      <c r="D2540" t="s">
        <v>54</v>
      </c>
      <c r="E2540" t="s">
        <v>38</v>
      </c>
      <c r="F2540" t="s">
        <v>55</v>
      </c>
      <c r="G2540" t="s">
        <v>56</v>
      </c>
      <c r="H2540" t="s">
        <v>141</v>
      </c>
      <c r="I2540" t="s">
        <v>142</v>
      </c>
      <c r="J2540" t="s">
        <v>143</v>
      </c>
      <c r="K2540" t="s">
        <v>144</v>
      </c>
      <c r="L2540" t="s">
        <v>183</v>
      </c>
      <c r="M2540" t="s">
        <v>167</v>
      </c>
      <c r="N2540">
        <v>1</v>
      </c>
      <c r="O2540" s="4">
        <v>330</v>
      </c>
      <c r="P2540" s="4">
        <v>550</v>
      </c>
      <c r="Q2540" s="7">
        <v>0.15</v>
      </c>
      <c r="R2540" t="s">
        <v>178</v>
      </c>
      <c r="S2540">
        <v>1</v>
      </c>
      <c r="T2540">
        <v>550</v>
      </c>
      <c r="U2540">
        <v>82.5</v>
      </c>
      <c r="V2540">
        <v>467.5</v>
      </c>
      <c r="W2540">
        <v>330</v>
      </c>
      <c r="X2540">
        <v>137.5</v>
      </c>
      <c r="Y2540" s="8">
        <v>0.29411764705882354</v>
      </c>
      <c r="Z2540" t="s">
        <v>2996</v>
      </c>
      <c r="AA2540" t="str">
        <f>IF(AND(SalesCleanTable[[#This Row],[Discount %]]&gt;0, SalesCleanTable[[#This Row],[Profit]]&lt;0), "Discount loss", "Safe")</f>
        <v>Safe</v>
      </c>
      <c r="AB2540" s="25">
        <f>(SalesCleanTable[[#This Row],[Unit Price]] - SalesCleanTable[[#This Row],[Unit Cost]]) / SalesCleanTable[[#This Row],[Unit Price]]</f>
        <v>0.4</v>
      </c>
      <c r="AC2540" t="str">
        <f>IF(SalesCleanTable[[#This Row],[Discount %]] &gt; SalesCleanTable[[#This Row],[Max Allowed Discount]], "Discount loss", "Safe")</f>
        <v>Safe</v>
      </c>
      <c r="AD2540" s="4">
        <f>SalesCleanTable[[#This Row],[Unit Price]] - SalesCleanTable[[#This Row],[Unit Cost]]</f>
        <v>220</v>
      </c>
      <c r="AE2540" s="41">
        <f>(SalesCleanTable[[#This Row],[Unit Price]] - SalesCleanTable[[#This Row],[Unit Cost]]) / SalesCleanTable[[#This Row],[Unit Price]]</f>
        <v>0.4</v>
      </c>
    </row>
    <row r="2541" spans="1:31">
      <c r="A2541" t="s">
        <v>2727</v>
      </c>
      <c r="B2541" s="6">
        <v>45851</v>
      </c>
      <c r="C2541" t="s">
        <v>57</v>
      </c>
      <c r="D2541" t="s">
        <v>58</v>
      </c>
      <c r="E2541" t="s">
        <v>59</v>
      </c>
      <c r="F2541" t="s">
        <v>60</v>
      </c>
      <c r="G2541" t="s">
        <v>61</v>
      </c>
      <c r="H2541" t="s">
        <v>153</v>
      </c>
      <c r="I2541" t="s">
        <v>154</v>
      </c>
      <c r="J2541" t="s">
        <v>155</v>
      </c>
      <c r="K2541" t="s">
        <v>131</v>
      </c>
      <c r="L2541" t="s">
        <v>166</v>
      </c>
      <c r="M2541" t="s">
        <v>171</v>
      </c>
      <c r="N2541">
        <v>2</v>
      </c>
      <c r="O2541" s="4">
        <v>2400</v>
      </c>
      <c r="P2541" s="4">
        <v>3400</v>
      </c>
      <c r="Q2541" s="7">
        <v>0</v>
      </c>
      <c r="R2541" t="s">
        <v>204</v>
      </c>
      <c r="S2541">
        <v>13</v>
      </c>
      <c r="T2541">
        <v>6800</v>
      </c>
      <c r="U2541">
        <v>0</v>
      </c>
      <c r="V2541">
        <v>6800</v>
      </c>
      <c r="W2541">
        <v>4800</v>
      </c>
      <c r="X2541">
        <v>2000</v>
      </c>
      <c r="Y2541" s="8">
        <v>0.29411764705882354</v>
      </c>
      <c r="Z2541" t="s">
        <v>2996</v>
      </c>
      <c r="AA2541" t="str">
        <f>IF(AND(SalesCleanTable[[#This Row],[Discount %]]&gt;0, SalesCleanTable[[#This Row],[Profit]]&lt;0), "Discount loss", "Safe")</f>
        <v>Safe</v>
      </c>
      <c r="AB2541" s="25">
        <f>(SalesCleanTable[[#This Row],[Unit Price]] - SalesCleanTable[[#This Row],[Unit Cost]]) / SalesCleanTable[[#This Row],[Unit Price]]</f>
        <v>0.29411764705882354</v>
      </c>
      <c r="AC2541" t="str">
        <f>IF(SalesCleanTable[[#This Row],[Discount %]] &gt; SalesCleanTable[[#This Row],[Max Allowed Discount]], "Discount loss", "Safe")</f>
        <v>Safe</v>
      </c>
      <c r="AD2541" s="4">
        <f>SalesCleanTable[[#This Row],[Unit Price]] - SalesCleanTable[[#This Row],[Unit Cost]]</f>
        <v>1000</v>
      </c>
      <c r="AE2541" s="41">
        <f>(SalesCleanTable[[#This Row],[Unit Price]] - SalesCleanTable[[#This Row],[Unit Cost]]) / SalesCleanTable[[#This Row],[Unit Price]]</f>
        <v>0.29411764705882354</v>
      </c>
    </row>
    <row r="2542" spans="1:31">
      <c r="A2542" t="s">
        <v>2728</v>
      </c>
      <c r="B2542" s="6">
        <v>45660</v>
      </c>
      <c r="C2542" t="s">
        <v>24</v>
      </c>
      <c r="D2542" t="s">
        <v>25</v>
      </c>
      <c r="E2542" t="s">
        <v>26</v>
      </c>
      <c r="F2542" t="s">
        <v>27</v>
      </c>
      <c r="G2542" t="s">
        <v>28</v>
      </c>
      <c r="H2542" t="s">
        <v>141</v>
      </c>
      <c r="I2542" t="s">
        <v>142</v>
      </c>
      <c r="J2542" t="s">
        <v>143</v>
      </c>
      <c r="K2542" t="s">
        <v>144</v>
      </c>
      <c r="L2542" t="s">
        <v>183</v>
      </c>
      <c r="M2542" t="s">
        <v>171</v>
      </c>
      <c r="N2542">
        <v>5</v>
      </c>
      <c r="O2542" s="4">
        <v>14500</v>
      </c>
      <c r="P2542" s="4">
        <v>17500</v>
      </c>
      <c r="Q2542" s="7">
        <v>0.05</v>
      </c>
      <c r="R2542" t="s">
        <v>197</v>
      </c>
      <c r="S2542">
        <v>8</v>
      </c>
      <c r="T2542">
        <v>87500</v>
      </c>
      <c r="U2542">
        <v>4375</v>
      </c>
      <c r="V2542">
        <v>83125</v>
      </c>
      <c r="W2542">
        <v>72500</v>
      </c>
      <c r="X2542">
        <v>10625</v>
      </c>
      <c r="Y2542" s="8">
        <v>0.12781954887218044</v>
      </c>
      <c r="Z2542" t="s">
        <v>2995</v>
      </c>
      <c r="AA2542" t="str">
        <f>IF(AND(SalesCleanTable[[#This Row],[Discount %]]&gt;0, SalesCleanTable[[#This Row],[Profit]]&lt;0), "Discount loss", "Safe")</f>
        <v>Safe</v>
      </c>
      <c r="AB2542" s="25">
        <f>(SalesCleanTable[[#This Row],[Unit Price]] - SalesCleanTable[[#This Row],[Unit Cost]]) / SalesCleanTable[[#This Row],[Unit Price]]</f>
        <v>0.17142857142857143</v>
      </c>
      <c r="AC2542" t="str">
        <f>IF(SalesCleanTable[[#This Row],[Discount %]] &gt; SalesCleanTable[[#This Row],[Max Allowed Discount]], "Discount loss", "Safe")</f>
        <v>Safe</v>
      </c>
      <c r="AD2542" s="4">
        <f>SalesCleanTable[[#This Row],[Unit Price]] - SalesCleanTable[[#This Row],[Unit Cost]]</f>
        <v>3000</v>
      </c>
      <c r="AE2542" s="41">
        <f>(SalesCleanTable[[#This Row],[Unit Price]] - SalesCleanTable[[#This Row],[Unit Cost]]) / SalesCleanTable[[#This Row],[Unit Price]]</f>
        <v>0.17142857142857143</v>
      </c>
    </row>
    <row r="2543" spans="1:31">
      <c r="A2543" t="s">
        <v>2729</v>
      </c>
      <c r="B2543" s="6">
        <v>45730</v>
      </c>
      <c r="C2543" t="s">
        <v>24</v>
      </c>
      <c r="D2543" t="s">
        <v>25</v>
      </c>
      <c r="E2543" t="s">
        <v>26</v>
      </c>
      <c r="F2543" t="s">
        <v>27</v>
      </c>
      <c r="G2543" t="s">
        <v>28</v>
      </c>
      <c r="H2543" t="s">
        <v>135</v>
      </c>
      <c r="I2543" t="s">
        <v>136</v>
      </c>
      <c r="J2543" t="s">
        <v>137</v>
      </c>
      <c r="K2543" t="s">
        <v>138</v>
      </c>
      <c r="L2543" t="s">
        <v>166</v>
      </c>
      <c r="M2543" t="s">
        <v>171</v>
      </c>
      <c r="N2543">
        <v>1</v>
      </c>
      <c r="O2543" s="4">
        <v>14500</v>
      </c>
      <c r="P2543" s="4">
        <v>17500</v>
      </c>
      <c r="Q2543" s="7">
        <v>0.1</v>
      </c>
      <c r="R2543" t="s">
        <v>173</v>
      </c>
      <c r="S2543">
        <v>3</v>
      </c>
      <c r="T2543">
        <v>17500</v>
      </c>
      <c r="U2543">
        <v>1750</v>
      </c>
      <c r="V2543">
        <v>15750</v>
      </c>
      <c r="W2543">
        <v>14500</v>
      </c>
      <c r="X2543">
        <v>1250</v>
      </c>
      <c r="Y2543" s="8">
        <v>7.9365079365079361E-2</v>
      </c>
      <c r="Z2543" t="s">
        <v>2995</v>
      </c>
      <c r="AA2543" t="str">
        <f>IF(AND(SalesCleanTable[[#This Row],[Discount %]]&gt;0, SalesCleanTable[[#This Row],[Profit]]&lt;0), "Discount loss", "Safe")</f>
        <v>Safe</v>
      </c>
      <c r="AB2543" s="25">
        <f>(SalesCleanTable[[#This Row],[Unit Price]] - SalesCleanTable[[#This Row],[Unit Cost]]) / SalesCleanTable[[#This Row],[Unit Price]]</f>
        <v>0.17142857142857143</v>
      </c>
      <c r="AC2543" t="str">
        <f>IF(SalesCleanTable[[#This Row],[Discount %]] &gt; SalesCleanTable[[#This Row],[Max Allowed Discount]], "Discount loss", "Safe")</f>
        <v>Safe</v>
      </c>
      <c r="AD2543" s="4">
        <f>SalesCleanTable[[#This Row],[Unit Price]] - SalesCleanTable[[#This Row],[Unit Cost]]</f>
        <v>3000</v>
      </c>
      <c r="AE2543" s="41">
        <f>(SalesCleanTable[[#This Row],[Unit Price]] - SalesCleanTable[[#This Row],[Unit Cost]]) / SalesCleanTable[[#This Row],[Unit Price]]</f>
        <v>0.17142857142857143</v>
      </c>
    </row>
    <row r="2544" spans="1:31">
      <c r="A2544" t="s">
        <v>2730</v>
      </c>
      <c r="B2544" s="6">
        <v>45731</v>
      </c>
      <c r="C2544" t="s">
        <v>62</v>
      </c>
      <c r="D2544" t="s">
        <v>63</v>
      </c>
      <c r="E2544" t="s">
        <v>59</v>
      </c>
      <c r="F2544" t="s">
        <v>64</v>
      </c>
      <c r="G2544" t="s">
        <v>65</v>
      </c>
      <c r="H2544" t="s">
        <v>133</v>
      </c>
      <c r="I2544" t="s">
        <v>134</v>
      </c>
      <c r="J2544" t="s">
        <v>130</v>
      </c>
      <c r="K2544" t="s">
        <v>131</v>
      </c>
      <c r="L2544" t="s">
        <v>166</v>
      </c>
      <c r="M2544" t="s">
        <v>186</v>
      </c>
      <c r="N2544">
        <v>3</v>
      </c>
      <c r="O2544" s="4">
        <v>3200</v>
      </c>
      <c r="P2544" s="4">
        <v>4500</v>
      </c>
      <c r="Q2544" s="7">
        <v>0</v>
      </c>
      <c r="R2544" t="s">
        <v>192</v>
      </c>
      <c r="S2544">
        <v>9</v>
      </c>
      <c r="T2544">
        <v>13500</v>
      </c>
      <c r="U2544">
        <v>0</v>
      </c>
      <c r="V2544">
        <v>13500</v>
      </c>
      <c r="W2544">
        <v>9600</v>
      </c>
      <c r="X2544">
        <v>3900</v>
      </c>
      <c r="Y2544" s="8">
        <v>0.28888888888888886</v>
      </c>
      <c r="Z2544" t="s">
        <v>2996</v>
      </c>
      <c r="AA2544" t="str">
        <f>IF(AND(SalesCleanTable[[#This Row],[Discount %]]&gt;0, SalesCleanTable[[#This Row],[Profit]]&lt;0), "Discount loss", "Safe")</f>
        <v>Safe</v>
      </c>
      <c r="AB2544" s="25">
        <f>(SalesCleanTable[[#This Row],[Unit Price]] - SalesCleanTable[[#This Row],[Unit Cost]]) / SalesCleanTable[[#This Row],[Unit Price]]</f>
        <v>0.28888888888888886</v>
      </c>
      <c r="AC2544" t="str">
        <f>IF(SalesCleanTable[[#This Row],[Discount %]] &gt; SalesCleanTable[[#This Row],[Max Allowed Discount]], "Discount loss", "Safe")</f>
        <v>Safe</v>
      </c>
      <c r="AD2544" s="4">
        <f>SalesCleanTable[[#This Row],[Unit Price]] - SalesCleanTable[[#This Row],[Unit Cost]]</f>
        <v>1300</v>
      </c>
      <c r="AE2544" s="41">
        <f>(SalesCleanTable[[#This Row],[Unit Price]] - SalesCleanTable[[#This Row],[Unit Cost]]) / SalesCleanTable[[#This Row],[Unit Price]]</f>
        <v>0.28888888888888886</v>
      </c>
    </row>
    <row r="2545" spans="1:31">
      <c r="A2545" t="s">
        <v>2731</v>
      </c>
      <c r="B2545" s="6">
        <v>45968</v>
      </c>
      <c r="C2545" t="s">
        <v>66</v>
      </c>
      <c r="D2545" t="s">
        <v>67</v>
      </c>
      <c r="E2545" t="s">
        <v>59</v>
      </c>
      <c r="F2545" t="s">
        <v>60</v>
      </c>
      <c r="G2545" t="s">
        <v>68</v>
      </c>
      <c r="H2545" t="s">
        <v>135</v>
      </c>
      <c r="I2545" t="s">
        <v>136</v>
      </c>
      <c r="J2545" t="s">
        <v>137</v>
      </c>
      <c r="K2545" t="s">
        <v>138</v>
      </c>
      <c r="L2545" t="s">
        <v>183</v>
      </c>
      <c r="M2545" t="s">
        <v>171</v>
      </c>
      <c r="N2545">
        <v>1</v>
      </c>
      <c r="O2545" s="4">
        <v>2800</v>
      </c>
      <c r="P2545" s="4">
        <v>3900</v>
      </c>
      <c r="Q2545" s="7">
        <v>0</v>
      </c>
      <c r="R2545" t="s">
        <v>204</v>
      </c>
      <c r="S2545">
        <v>10</v>
      </c>
      <c r="T2545">
        <v>3900</v>
      </c>
      <c r="U2545">
        <v>0</v>
      </c>
      <c r="V2545">
        <v>3900</v>
      </c>
      <c r="W2545">
        <v>2800</v>
      </c>
      <c r="X2545">
        <v>1100</v>
      </c>
      <c r="Y2545" s="8">
        <v>0.28205128205128205</v>
      </c>
      <c r="Z2545" t="s">
        <v>2996</v>
      </c>
      <c r="AA2545" t="str">
        <f>IF(AND(SalesCleanTable[[#This Row],[Discount %]]&gt;0, SalesCleanTable[[#This Row],[Profit]]&lt;0), "Discount loss", "Safe")</f>
        <v>Safe</v>
      </c>
      <c r="AB2545" s="25">
        <f>(SalesCleanTable[[#This Row],[Unit Price]] - SalesCleanTable[[#This Row],[Unit Cost]]) / SalesCleanTable[[#This Row],[Unit Price]]</f>
        <v>0.28205128205128205</v>
      </c>
      <c r="AC2545" t="str">
        <f>IF(SalesCleanTable[[#This Row],[Discount %]] &gt; SalesCleanTable[[#This Row],[Max Allowed Discount]], "Discount loss", "Safe")</f>
        <v>Safe</v>
      </c>
      <c r="AD2545" s="4">
        <f>SalesCleanTable[[#This Row],[Unit Price]] - SalesCleanTable[[#This Row],[Unit Cost]]</f>
        <v>1100</v>
      </c>
      <c r="AE2545" s="41">
        <f>(SalesCleanTable[[#This Row],[Unit Price]] - SalesCleanTable[[#This Row],[Unit Cost]]) / SalesCleanTable[[#This Row],[Unit Price]]</f>
        <v>0.28205128205128205</v>
      </c>
    </row>
    <row r="2546" spans="1:31">
      <c r="A2546" t="s">
        <v>2732</v>
      </c>
      <c r="B2546" s="6">
        <v>45774</v>
      </c>
      <c r="C2546" t="s">
        <v>49</v>
      </c>
      <c r="D2546" t="s">
        <v>50</v>
      </c>
      <c r="E2546" t="s">
        <v>38</v>
      </c>
      <c r="F2546" t="s">
        <v>51</v>
      </c>
      <c r="G2546" t="s">
        <v>52</v>
      </c>
      <c r="H2546" t="s">
        <v>145</v>
      </c>
      <c r="I2546" t="s">
        <v>146</v>
      </c>
      <c r="J2546" t="s">
        <v>147</v>
      </c>
      <c r="K2546" t="s">
        <v>148</v>
      </c>
      <c r="L2546" t="s">
        <v>166</v>
      </c>
      <c r="M2546" t="s">
        <v>177</v>
      </c>
      <c r="N2546">
        <v>4</v>
      </c>
      <c r="O2546" s="4">
        <v>550</v>
      </c>
      <c r="P2546" s="4">
        <v>850</v>
      </c>
      <c r="Q2546" s="7">
        <v>0.2</v>
      </c>
      <c r="R2546" t="s">
        <v>175</v>
      </c>
      <c r="S2546">
        <v>4</v>
      </c>
      <c r="T2546">
        <v>3400</v>
      </c>
      <c r="U2546">
        <v>680</v>
      </c>
      <c r="V2546">
        <v>2720</v>
      </c>
      <c r="W2546">
        <v>2200</v>
      </c>
      <c r="X2546">
        <v>520</v>
      </c>
      <c r="Y2546" s="8">
        <v>0.19117647058823528</v>
      </c>
      <c r="Z2546" t="s">
        <v>2996</v>
      </c>
      <c r="AA2546" t="str">
        <f>IF(AND(SalesCleanTable[[#This Row],[Discount %]]&gt;0, SalesCleanTable[[#This Row],[Profit]]&lt;0), "Discount loss", "Safe")</f>
        <v>Safe</v>
      </c>
      <c r="AB2546" s="25">
        <f>(SalesCleanTable[[#This Row],[Unit Price]] - SalesCleanTable[[#This Row],[Unit Cost]]) / SalesCleanTable[[#This Row],[Unit Price]]</f>
        <v>0.35294117647058826</v>
      </c>
      <c r="AC2546" t="str">
        <f>IF(SalesCleanTable[[#This Row],[Discount %]] &gt; SalesCleanTable[[#This Row],[Max Allowed Discount]], "Discount loss", "Safe")</f>
        <v>Safe</v>
      </c>
      <c r="AD2546" s="4">
        <f>SalesCleanTable[[#This Row],[Unit Price]] - SalesCleanTable[[#This Row],[Unit Cost]]</f>
        <v>300</v>
      </c>
      <c r="AE2546" s="41">
        <f>(SalesCleanTable[[#This Row],[Unit Price]] - SalesCleanTable[[#This Row],[Unit Cost]]) / SalesCleanTable[[#This Row],[Unit Price]]</f>
        <v>0.35294117647058826</v>
      </c>
    </row>
    <row r="2547" spans="1:31">
      <c r="A2547" t="s">
        <v>2733</v>
      </c>
      <c r="B2547" s="6">
        <v>45884</v>
      </c>
      <c r="C2547" t="s">
        <v>112</v>
      </c>
      <c r="D2547" t="s">
        <v>113</v>
      </c>
      <c r="E2547" t="s">
        <v>109</v>
      </c>
      <c r="F2547" t="s">
        <v>114</v>
      </c>
      <c r="G2547" t="s">
        <v>115</v>
      </c>
      <c r="H2547" t="s">
        <v>133</v>
      </c>
      <c r="I2547" t="s">
        <v>134</v>
      </c>
      <c r="J2547" t="s">
        <v>130</v>
      </c>
      <c r="K2547" t="s">
        <v>131</v>
      </c>
      <c r="L2547" t="s">
        <v>170</v>
      </c>
      <c r="M2547" t="s">
        <v>177</v>
      </c>
      <c r="N2547">
        <v>3</v>
      </c>
      <c r="O2547" s="4">
        <v>1300</v>
      </c>
      <c r="P2547" s="4">
        <v>2100</v>
      </c>
      <c r="Q2547" s="7">
        <v>0.1</v>
      </c>
      <c r="R2547" t="s">
        <v>220</v>
      </c>
      <c r="S2547">
        <v>5</v>
      </c>
      <c r="T2547">
        <v>6300</v>
      </c>
      <c r="U2547">
        <v>630</v>
      </c>
      <c r="V2547">
        <v>5670</v>
      </c>
      <c r="W2547">
        <v>3900</v>
      </c>
      <c r="X2547">
        <v>1770</v>
      </c>
      <c r="Y2547" s="8">
        <v>0.31216931216931215</v>
      </c>
      <c r="Z2547" t="s">
        <v>2995</v>
      </c>
      <c r="AA2547" t="str">
        <f>IF(AND(SalesCleanTable[[#This Row],[Discount %]]&gt;0, SalesCleanTable[[#This Row],[Profit]]&lt;0), "Discount loss", "Safe")</f>
        <v>Safe</v>
      </c>
      <c r="AB2547" s="25">
        <f>(SalesCleanTable[[#This Row],[Unit Price]] - SalesCleanTable[[#This Row],[Unit Cost]]) / SalesCleanTable[[#This Row],[Unit Price]]</f>
        <v>0.38095238095238093</v>
      </c>
      <c r="AC2547" t="str">
        <f>IF(SalesCleanTable[[#This Row],[Discount %]] &gt; SalesCleanTable[[#This Row],[Max Allowed Discount]], "Discount loss", "Safe")</f>
        <v>Safe</v>
      </c>
      <c r="AD2547" s="4">
        <f>SalesCleanTable[[#This Row],[Unit Price]] - SalesCleanTable[[#This Row],[Unit Cost]]</f>
        <v>800</v>
      </c>
      <c r="AE2547" s="41">
        <f>(SalesCleanTable[[#This Row],[Unit Price]] - SalesCleanTable[[#This Row],[Unit Cost]]) / SalesCleanTable[[#This Row],[Unit Price]]</f>
        <v>0.38095238095238093</v>
      </c>
    </row>
    <row r="2548" spans="1:31">
      <c r="A2548" t="s">
        <v>2734</v>
      </c>
      <c r="B2548" s="6">
        <v>46016</v>
      </c>
      <c r="C2548" t="s">
        <v>112</v>
      </c>
      <c r="D2548" t="s">
        <v>113</v>
      </c>
      <c r="E2548" t="s">
        <v>109</v>
      </c>
      <c r="F2548" t="s">
        <v>114</v>
      </c>
      <c r="G2548" t="s">
        <v>115</v>
      </c>
      <c r="H2548" t="s">
        <v>135</v>
      </c>
      <c r="I2548" t="s">
        <v>136</v>
      </c>
      <c r="J2548" t="s">
        <v>137</v>
      </c>
      <c r="K2548" t="s">
        <v>138</v>
      </c>
      <c r="L2548" t="s">
        <v>183</v>
      </c>
      <c r="M2548" t="s">
        <v>186</v>
      </c>
      <c r="N2548">
        <v>3</v>
      </c>
      <c r="O2548" s="4">
        <v>1300</v>
      </c>
      <c r="P2548" s="4">
        <v>2100</v>
      </c>
      <c r="Q2548" s="7">
        <v>0.2</v>
      </c>
      <c r="R2548" t="s">
        <v>235</v>
      </c>
      <c r="S2548">
        <v>1</v>
      </c>
      <c r="T2548">
        <v>6300</v>
      </c>
      <c r="U2548">
        <v>1260</v>
      </c>
      <c r="V2548">
        <v>5040</v>
      </c>
      <c r="W2548">
        <v>3900</v>
      </c>
      <c r="X2548">
        <v>1140</v>
      </c>
      <c r="Y2548" s="8">
        <v>0.22619047619047619</v>
      </c>
      <c r="Z2548" t="s">
        <v>2995</v>
      </c>
      <c r="AA2548" t="str">
        <f>IF(AND(SalesCleanTable[[#This Row],[Discount %]]&gt;0, SalesCleanTable[[#This Row],[Profit]]&lt;0), "Discount loss", "Safe")</f>
        <v>Safe</v>
      </c>
      <c r="AB2548" s="25">
        <f>(SalesCleanTable[[#This Row],[Unit Price]] - SalesCleanTable[[#This Row],[Unit Cost]]) / SalesCleanTable[[#This Row],[Unit Price]]</f>
        <v>0.38095238095238093</v>
      </c>
      <c r="AC2548" t="str">
        <f>IF(SalesCleanTable[[#This Row],[Discount %]] &gt; SalesCleanTable[[#This Row],[Max Allowed Discount]], "Discount loss", "Safe")</f>
        <v>Safe</v>
      </c>
      <c r="AD2548" s="4">
        <f>SalesCleanTable[[#This Row],[Unit Price]] - SalesCleanTable[[#This Row],[Unit Cost]]</f>
        <v>800</v>
      </c>
      <c r="AE2548" s="41">
        <f>(SalesCleanTable[[#This Row],[Unit Price]] - SalesCleanTable[[#This Row],[Unit Cost]]) / SalesCleanTable[[#This Row],[Unit Price]]</f>
        <v>0.38095238095238093</v>
      </c>
    </row>
    <row r="2549" spans="1:31">
      <c r="A2549" t="s">
        <v>2735</v>
      </c>
      <c r="B2549" s="6">
        <v>45934</v>
      </c>
      <c r="C2549" t="s">
        <v>24</v>
      </c>
      <c r="D2549" t="s">
        <v>25</v>
      </c>
      <c r="E2549" t="s">
        <v>26</v>
      </c>
      <c r="F2549" t="s">
        <v>27</v>
      </c>
      <c r="G2549" t="s">
        <v>28</v>
      </c>
      <c r="H2549" t="s">
        <v>128</v>
      </c>
      <c r="I2549" t="s">
        <v>129</v>
      </c>
      <c r="J2549" t="s">
        <v>130</v>
      </c>
      <c r="K2549" t="s">
        <v>131</v>
      </c>
      <c r="L2549" t="s">
        <v>166</v>
      </c>
      <c r="M2549" t="s">
        <v>171</v>
      </c>
      <c r="N2549">
        <v>6</v>
      </c>
      <c r="O2549" s="4">
        <v>14500</v>
      </c>
      <c r="P2549" s="4">
        <v>17500</v>
      </c>
      <c r="Q2549" s="7">
        <v>0</v>
      </c>
      <c r="R2549" t="s">
        <v>194</v>
      </c>
      <c r="S2549">
        <v>4</v>
      </c>
      <c r="T2549">
        <v>105000</v>
      </c>
      <c r="U2549">
        <v>0</v>
      </c>
      <c r="V2549">
        <v>105000</v>
      </c>
      <c r="W2549">
        <v>87000</v>
      </c>
      <c r="X2549">
        <v>18000</v>
      </c>
      <c r="Y2549" s="8">
        <v>0.17142857142857143</v>
      </c>
      <c r="Z2549" t="s">
        <v>2995</v>
      </c>
      <c r="AA2549" t="str">
        <f>IF(AND(SalesCleanTable[[#This Row],[Discount %]]&gt;0, SalesCleanTable[[#This Row],[Profit]]&lt;0), "Discount loss", "Safe")</f>
        <v>Safe</v>
      </c>
      <c r="AB2549" s="25">
        <f>(SalesCleanTable[[#This Row],[Unit Price]] - SalesCleanTable[[#This Row],[Unit Cost]]) / SalesCleanTable[[#This Row],[Unit Price]]</f>
        <v>0.17142857142857143</v>
      </c>
      <c r="AC2549" t="str">
        <f>IF(SalesCleanTable[[#This Row],[Discount %]] &gt; SalesCleanTable[[#This Row],[Max Allowed Discount]], "Discount loss", "Safe")</f>
        <v>Safe</v>
      </c>
      <c r="AD2549" s="4">
        <f>SalesCleanTable[[#This Row],[Unit Price]] - SalesCleanTable[[#This Row],[Unit Cost]]</f>
        <v>3000</v>
      </c>
      <c r="AE2549" s="41">
        <f>(SalesCleanTable[[#This Row],[Unit Price]] - SalesCleanTable[[#This Row],[Unit Cost]]) / SalesCleanTable[[#This Row],[Unit Price]]</f>
        <v>0.17142857142857143</v>
      </c>
    </row>
    <row r="2550" spans="1:31">
      <c r="A2550" t="s">
        <v>2736</v>
      </c>
      <c r="B2550" s="6">
        <v>45971</v>
      </c>
      <c r="C2550" t="s">
        <v>45</v>
      </c>
      <c r="D2550" t="s">
        <v>46</v>
      </c>
      <c r="E2550" t="s">
        <v>38</v>
      </c>
      <c r="F2550" t="s">
        <v>47</v>
      </c>
      <c r="G2550" t="s">
        <v>48</v>
      </c>
      <c r="H2550" t="s">
        <v>145</v>
      </c>
      <c r="I2550" t="s">
        <v>146</v>
      </c>
      <c r="J2550" t="s">
        <v>147</v>
      </c>
      <c r="K2550" t="s">
        <v>148</v>
      </c>
      <c r="L2550" t="s">
        <v>183</v>
      </c>
      <c r="M2550" t="s">
        <v>171</v>
      </c>
      <c r="N2550">
        <v>5</v>
      </c>
      <c r="O2550" s="4">
        <v>230</v>
      </c>
      <c r="P2550" s="4">
        <v>400</v>
      </c>
      <c r="Q2550" s="7">
        <v>0.05</v>
      </c>
      <c r="R2550" t="s">
        <v>175</v>
      </c>
      <c r="S2550">
        <v>5</v>
      </c>
      <c r="T2550">
        <v>2000</v>
      </c>
      <c r="U2550">
        <v>100</v>
      </c>
      <c r="V2550">
        <v>1900</v>
      </c>
      <c r="W2550">
        <v>1150</v>
      </c>
      <c r="X2550">
        <v>750</v>
      </c>
      <c r="Y2550" s="8">
        <v>0.39473684210526316</v>
      </c>
      <c r="Z2550" t="s">
        <v>2995</v>
      </c>
      <c r="AA2550" t="str">
        <f>IF(AND(SalesCleanTable[[#This Row],[Discount %]]&gt;0, SalesCleanTable[[#This Row],[Profit]]&lt;0), "Discount loss", "Safe")</f>
        <v>Safe</v>
      </c>
      <c r="AB2550" s="25">
        <f>(SalesCleanTable[[#This Row],[Unit Price]] - SalesCleanTable[[#This Row],[Unit Cost]]) / SalesCleanTable[[#This Row],[Unit Price]]</f>
        <v>0.42499999999999999</v>
      </c>
      <c r="AC2550" t="str">
        <f>IF(SalesCleanTable[[#This Row],[Discount %]] &gt; SalesCleanTable[[#This Row],[Max Allowed Discount]], "Discount loss", "Safe")</f>
        <v>Safe</v>
      </c>
      <c r="AD2550" s="4">
        <f>SalesCleanTable[[#This Row],[Unit Price]] - SalesCleanTable[[#This Row],[Unit Cost]]</f>
        <v>170</v>
      </c>
      <c r="AE2550" s="41">
        <f>(SalesCleanTable[[#This Row],[Unit Price]] - SalesCleanTable[[#This Row],[Unit Cost]]) / SalesCleanTable[[#This Row],[Unit Price]]</f>
        <v>0.42499999999999999</v>
      </c>
    </row>
    <row r="2551" spans="1:31">
      <c r="A2551" t="s">
        <v>2737</v>
      </c>
      <c r="B2551" s="6">
        <v>45867</v>
      </c>
      <c r="C2551" t="s">
        <v>95</v>
      </c>
      <c r="D2551" t="s">
        <v>96</v>
      </c>
      <c r="E2551" t="s">
        <v>92</v>
      </c>
      <c r="F2551" t="s">
        <v>97</v>
      </c>
      <c r="G2551" t="s">
        <v>98</v>
      </c>
      <c r="H2551" t="s">
        <v>135</v>
      </c>
      <c r="I2551" t="s">
        <v>136</v>
      </c>
      <c r="J2551" t="s">
        <v>137</v>
      </c>
      <c r="K2551" t="s">
        <v>138</v>
      </c>
      <c r="L2551" t="s">
        <v>166</v>
      </c>
      <c r="M2551" t="s">
        <v>177</v>
      </c>
      <c r="N2551">
        <v>6</v>
      </c>
      <c r="O2551" s="4">
        <v>18000</v>
      </c>
      <c r="P2551" s="4">
        <v>24500</v>
      </c>
      <c r="Q2551" s="7">
        <v>0</v>
      </c>
      <c r="R2551" t="s">
        <v>215</v>
      </c>
      <c r="S2551">
        <v>11</v>
      </c>
      <c r="T2551">
        <v>147000</v>
      </c>
      <c r="U2551">
        <v>0</v>
      </c>
      <c r="V2551">
        <v>147000</v>
      </c>
      <c r="W2551">
        <v>108000</v>
      </c>
      <c r="X2551">
        <v>39000</v>
      </c>
      <c r="Y2551" s="8">
        <v>0.26530612244897961</v>
      </c>
      <c r="Z2551" t="s">
        <v>2995</v>
      </c>
      <c r="AA2551" t="str">
        <f>IF(AND(SalesCleanTable[[#This Row],[Discount %]]&gt;0, SalesCleanTable[[#This Row],[Profit]]&lt;0), "Discount loss", "Safe")</f>
        <v>Safe</v>
      </c>
      <c r="AB2551" s="25">
        <f>(SalesCleanTable[[#This Row],[Unit Price]] - SalesCleanTable[[#This Row],[Unit Cost]]) / SalesCleanTable[[#This Row],[Unit Price]]</f>
        <v>0.26530612244897961</v>
      </c>
      <c r="AC2551" t="str">
        <f>IF(SalesCleanTable[[#This Row],[Discount %]] &gt; SalesCleanTable[[#This Row],[Max Allowed Discount]], "Discount loss", "Safe")</f>
        <v>Safe</v>
      </c>
      <c r="AD2551" s="4">
        <f>SalesCleanTable[[#This Row],[Unit Price]] - SalesCleanTable[[#This Row],[Unit Cost]]</f>
        <v>6500</v>
      </c>
      <c r="AE2551" s="41">
        <f>(SalesCleanTable[[#This Row],[Unit Price]] - SalesCleanTable[[#This Row],[Unit Cost]]) / SalesCleanTable[[#This Row],[Unit Price]]</f>
        <v>0.26530612244897961</v>
      </c>
    </row>
    <row r="2552" spans="1:31">
      <c r="A2552" t="s">
        <v>2738</v>
      </c>
      <c r="B2552" s="6">
        <v>45970</v>
      </c>
      <c r="C2552" t="s">
        <v>41</v>
      </c>
      <c r="D2552" t="s">
        <v>42</v>
      </c>
      <c r="E2552" t="s">
        <v>26</v>
      </c>
      <c r="F2552" t="s">
        <v>43</v>
      </c>
      <c r="G2552" t="s">
        <v>44</v>
      </c>
      <c r="H2552" t="s">
        <v>135</v>
      </c>
      <c r="I2552" t="s">
        <v>136</v>
      </c>
      <c r="J2552" t="s">
        <v>137</v>
      </c>
      <c r="K2552" t="s">
        <v>138</v>
      </c>
      <c r="L2552" t="s">
        <v>183</v>
      </c>
      <c r="M2552" t="s">
        <v>171</v>
      </c>
      <c r="N2552">
        <v>4</v>
      </c>
      <c r="O2552" s="4">
        <v>850</v>
      </c>
      <c r="P2552" s="4">
        <v>1300</v>
      </c>
      <c r="Q2552" s="7">
        <v>0.05</v>
      </c>
      <c r="R2552" t="s">
        <v>197</v>
      </c>
      <c r="S2552">
        <v>11</v>
      </c>
      <c r="T2552">
        <v>5200</v>
      </c>
      <c r="U2552">
        <v>260</v>
      </c>
      <c r="V2552">
        <v>4940</v>
      </c>
      <c r="W2552">
        <v>3400</v>
      </c>
      <c r="X2552">
        <v>1540</v>
      </c>
      <c r="Y2552" s="8">
        <v>0.31174089068825911</v>
      </c>
      <c r="Z2552" t="s">
        <v>2995</v>
      </c>
      <c r="AA2552" t="str">
        <f>IF(AND(SalesCleanTable[[#This Row],[Discount %]]&gt;0, SalesCleanTable[[#This Row],[Profit]]&lt;0), "Discount loss", "Safe")</f>
        <v>Safe</v>
      </c>
      <c r="AB2552" s="25">
        <f>(SalesCleanTable[[#This Row],[Unit Price]] - SalesCleanTable[[#This Row],[Unit Cost]]) / SalesCleanTable[[#This Row],[Unit Price]]</f>
        <v>0.34615384615384615</v>
      </c>
      <c r="AC2552" t="str">
        <f>IF(SalesCleanTable[[#This Row],[Discount %]] &gt; SalesCleanTable[[#This Row],[Max Allowed Discount]], "Discount loss", "Safe")</f>
        <v>Safe</v>
      </c>
      <c r="AD2552" s="4">
        <f>SalesCleanTable[[#This Row],[Unit Price]] - SalesCleanTable[[#This Row],[Unit Cost]]</f>
        <v>450</v>
      </c>
      <c r="AE2552" s="41">
        <f>(SalesCleanTable[[#This Row],[Unit Price]] - SalesCleanTable[[#This Row],[Unit Cost]]) / SalesCleanTable[[#This Row],[Unit Price]]</f>
        <v>0.34615384615384615</v>
      </c>
    </row>
    <row r="2553" spans="1:31">
      <c r="A2553" t="s">
        <v>2739</v>
      </c>
      <c r="B2553" s="6">
        <v>45895</v>
      </c>
      <c r="C2553" t="s">
        <v>62</v>
      </c>
      <c r="D2553" t="s">
        <v>63</v>
      </c>
      <c r="E2553" t="s">
        <v>59</v>
      </c>
      <c r="F2553" t="s">
        <v>64</v>
      </c>
      <c r="G2553" t="s">
        <v>65</v>
      </c>
      <c r="H2553" t="s">
        <v>145</v>
      </c>
      <c r="I2553" t="s">
        <v>146</v>
      </c>
      <c r="J2553" t="s">
        <v>147</v>
      </c>
      <c r="K2553" t="s">
        <v>148</v>
      </c>
      <c r="L2553" t="s">
        <v>183</v>
      </c>
      <c r="M2553" t="s">
        <v>171</v>
      </c>
      <c r="N2553">
        <v>4</v>
      </c>
      <c r="O2553" s="4">
        <v>3200</v>
      </c>
      <c r="P2553" s="4">
        <v>4500</v>
      </c>
      <c r="Q2553" s="7">
        <v>0</v>
      </c>
      <c r="R2553" t="s">
        <v>173</v>
      </c>
      <c r="S2553">
        <v>8</v>
      </c>
      <c r="T2553">
        <v>18000</v>
      </c>
      <c r="U2553">
        <v>0</v>
      </c>
      <c r="V2553">
        <v>18000</v>
      </c>
      <c r="W2553">
        <v>12800</v>
      </c>
      <c r="X2553">
        <v>5200</v>
      </c>
      <c r="Y2553" s="8">
        <v>0.28888888888888886</v>
      </c>
      <c r="Z2553" t="s">
        <v>2996</v>
      </c>
      <c r="AA2553" t="str">
        <f>IF(AND(SalesCleanTable[[#This Row],[Discount %]]&gt;0, SalesCleanTable[[#This Row],[Profit]]&lt;0), "Discount loss", "Safe")</f>
        <v>Safe</v>
      </c>
      <c r="AB2553" s="25">
        <f>(SalesCleanTable[[#This Row],[Unit Price]] - SalesCleanTable[[#This Row],[Unit Cost]]) / SalesCleanTable[[#This Row],[Unit Price]]</f>
        <v>0.28888888888888886</v>
      </c>
      <c r="AC2553" t="str">
        <f>IF(SalesCleanTable[[#This Row],[Discount %]] &gt; SalesCleanTable[[#This Row],[Max Allowed Discount]], "Discount loss", "Safe")</f>
        <v>Safe</v>
      </c>
      <c r="AD2553" s="4">
        <f>SalesCleanTable[[#This Row],[Unit Price]] - SalesCleanTable[[#This Row],[Unit Cost]]</f>
        <v>1300</v>
      </c>
      <c r="AE2553" s="41">
        <f>(SalesCleanTable[[#This Row],[Unit Price]] - SalesCleanTable[[#This Row],[Unit Cost]]) / SalesCleanTable[[#This Row],[Unit Price]]</f>
        <v>0.28888888888888886</v>
      </c>
    </row>
    <row r="2554" spans="1:31">
      <c r="A2554" t="s">
        <v>2740</v>
      </c>
      <c r="B2554" s="6">
        <v>45780</v>
      </c>
      <c r="C2554" t="s">
        <v>99</v>
      </c>
      <c r="D2554" t="s">
        <v>100</v>
      </c>
      <c r="E2554" t="s">
        <v>92</v>
      </c>
      <c r="F2554" t="s">
        <v>101</v>
      </c>
      <c r="G2554" t="s">
        <v>102</v>
      </c>
      <c r="H2554" t="s">
        <v>135</v>
      </c>
      <c r="I2554" t="s">
        <v>136</v>
      </c>
      <c r="J2554" t="s">
        <v>137</v>
      </c>
      <c r="K2554" t="s">
        <v>138</v>
      </c>
      <c r="L2554" t="s">
        <v>166</v>
      </c>
      <c r="M2554" t="s">
        <v>186</v>
      </c>
      <c r="N2554">
        <v>3</v>
      </c>
      <c r="O2554" s="4">
        <v>12500</v>
      </c>
      <c r="P2554" s="4">
        <v>18500</v>
      </c>
      <c r="Q2554" s="7">
        <v>0.05</v>
      </c>
      <c r="R2554" t="s">
        <v>217</v>
      </c>
      <c r="S2554">
        <v>8</v>
      </c>
      <c r="T2554">
        <v>55500</v>
      </c>
      <c r="U2554">
        <v>2775</v>
      </c>
      <c r="V2554">
        <v>52725</v>
      </c>
      <c r="W2554">
        <v>37500</v>
      </c>
      <c r="X2554">
        <v>15225</v>
      </c>
      <c r="Y2554" s="8">
        <v>0.28876244665718348</v>
      </c>
      <c r="Z2554" t="s">
        <v>2995</v>
      </c>
      <c r="AA2554" t="str">
        <f>IF(AND(SalesCleanTable[[#This Row],[Discount %]]&gt;0, SalesCleanTable[[#This Row],[Profit]]&lt;0), "Discount loss", "Safe")</f>
        <v>Safe</v>
      </c>
      <c r="AB2554" s="25">
        <f>(SalesCleanTable[[#This Row],[Unit Price]] - SalesCleanTable[[#This Row],[Unit Cost]]) / SalesCleanTable[[#This Row],[Unit Price]]</f>
        <v>0.32432432432432434</v>
      </c>
      <c r="AC2554" t="str">
        <f>IF(SalesCleanTable[[#This Row],[Discount %]] &gt; SalesCleanTable[[#This Row],[Max Allowed Discount]], "Discount loss", "Safe")</f>
        <v>Safe</v>
      </c>
      <c r="AD2554" s="4">
        <f>SalesCleanTable[[#This Row],[Unit Price]] - SalesCleanTable[[#This Row],[Unit Cost]]</f>
        <v>6000</v>
      </c>
      <c r="AE2554" s="41">
        <f>(SalesCleanTable[[#This Row],[Unit Price]] - SalesCleanTable[[#This Row],[Unit Cost]]) / SalesCleanTable[[#This Row],[Unit Price]]</f>
        <v>0.32432432432432434</v>
      </c>
    </row>
    <row r="2555" spans="1:31">
      <c r="A2555" t="s">
        <v>2741</v>
      </c>
      <c r="B2555" s="6">
        <v>45961</v>
      </c>
      <c r="C2555" t="s">
        <v>62</v>
      </c>
      <c r="D2555" t="s">
        <v>63</v>
      </c>
      <c r="E2555" t="s">
        <v>59</v>
      </c>
      <c r="F2555" t="s">
        <v>64</v>
      </c>
      <c r="G2555" t="s">
        <v>65</v>
      </c>
      <c r="H2555" t="s">
        <v>145</v>
      </c>
      <c r="I2555" t="s">
        <v>146</v>
      </c>
      <c r="J2555" t="s">
        <v>147</v>
      </c>
      <c r="K2555" t="s">
        <v>148</v>
      </c>
      <c r="L2555" t="s">
        <v>166</v>
      </c>
      <c r="M2555" t="s">
        <v>171</v>
      </c>
      <c r="N2555">
        <v>1</v>
      </c>
      <c r="O2555" s="4">
        <v>3200</v>
      </c>
      <c r="P2555" s="4">
        <v>4500</v>
      </c>
      <c r="Q2555" s="7">
        <v>0.1</v>
      </c>
      <c r="R2555" t="s">
        <v>192</v>
      </c>
      <c r="S2555">
        <v>14</v>
      </c>
      <c r="T2555">
        <v>4500</v>
      </c>
      <c r="U2555">
        <v>450</v>
      </c>
      <c r="V2555">
        <v>4050</v>
      </c>
      <c r="W2555">
        <v>3200</v>
      </c>
      <c r="X2555">
        <v>850</v>
      </c>
      <c r="Y2555" s="8">
        <v>0.20987654320987653</v>
      </c>
      <c r="Z2555" t="s">
        <v>2996</v>
      </c>
      <c r="AA2555" t="str">
        <f>IF(AND(SalesCleanTable[[#This Row],[Discount %]]&gt;0, SalesCleanTable[[#This Row],[Profit]]&lt;0), "Discount loss", "Safe")</f>
        <v>Safe</v>
      </c>
      <c r="AB2555" s="25">
        <f>(SalesCleanTable[[#This Row],[Unit Price]] - SalesCleanTable[[#This Row],[Unit Cost]]) / SalesCleanTable[[#This Row],[Unit Price]]</f>
        <v>0.28888888888888886</v>
      </c>
      <c r="AC2555" t="str">
        <f>IF(SalesCleanTable[[#This Row],[Discount %]] &gt; SalesCleanTable[[#This Row],[Max Allowed Discount]], "Discount loss", "Safe")</f>
        <v>Safe</v>
      </c>
      <c r="AD2555" s="4">
        <f>SalesCleanTable[[#This Row],[Unit Price]] - SalesCleanTable[[#This Row],[Unit Cost]]</f>
        <v>1300</v>
      </c>
      <c r="AE2555" s="41">
        <f>(SalesCleanTable[[#This Row],[Unit Price]] - SalesCleanTable[[#This Row],[Unit Cost]]) / SalesCleanTable[[#This Row],[Unit Price]]</f>
        <v>0.28888888888888886</v>
      </c>
    </row>
    <row r="2556" spans="1:31">
      <c r="A2556" t="s">
        <v>2742</v>
      </c>
      <c r="B2556" s="6">
        <v>45878</v>
      </c>
      <c r="C2556" t="s">
        <v>62</v>
      </c>
      <c r="D2556" t="s">
        <v>63</v>
      </c>
      <c r="E2556" t="s">
        <v>59</v>
      </c>
      <c r="F2556" t="s">
        <v>64</v>
      </c>
      <c r="G2556" t="s">
        <v>65</v>
      </c>
      <c r="H2556" t="s">
        <v>128</v>
      </c>
      <c r="I2556" t="s">
        <v>129</v>
      </c>
      <c r="J2556" t="s">
        <v>130</v>
      </c>
      <c r="K2556" t="s">
        <v>131</v>
      </c>
      <c r="L2556" t="s">
        <v>166</v>
      </c>
      <c r="M2556" t="s">
        <v>171</v>
      </c>
      <c r="N2556">
        <v>2</v>
      </c>
      <c r="O2556" s="4">
        <v>3200</v>
      </c>
      <c r="P2556" s="4">
        <v>4500</v>
      </c>
      <c r="Q2556" s="7">
        <v>0.15</v>
      </c>
      <c r="R2556" t="s">
        <v>204</v>
      </c>
      <c r="S2556">
        <v>1</v>
      </c>
      <c r="T2556">
        <v>9000</v>
      </c>
      <c r="U2556">
        <v>1350</v>
      </c>
      <c r="V2556">
        <v>7650</v>
      </c>
      <c r="W2556">
        <v>6400</v>
      </c>
      <c r="X2556">
        <v>1250</v>
      </c>
      <c r="Y2556" s="8">
        <v>0.16339869281045752</v>
      </c>
      <c r="Z2556" t="s">
        <v>2996</v>
      </c>
      <c r="AA2556" t="str">
        <f>IF(AND(SalesCleanTable[[#This Row],[Discount %]]&gt;0, SalesCleanTable[[#This Row],[Profit]]&lt;0), "Discount loss", "Safe")</f>
        <v>Safe</v>
      </c>
      <c r="AB2556" s="25">
        <f>(SalesCleanTable[[#This Row],[Unit Price]] - SalesCleanTable[[#This Row],[Unit Cost]]) / SalesCleanTable[[#This Row],[Unit Price]]</f>
        <v>0.28888888888888886</v>
      </c>
      <c r="AC2556" t="str">
        <f>IF(SalesCleanTable[[#This Row],[Discount %]] &gt; SalesCleanTable[[#This Row],[Max Allowed Discount]], "Discount loss", "Safe")</f>
        <v>Safe</v>
      </c>
      <c r="AD2556" s="4">
        <f>SalesCleanTable[[#This Row],[Unit Price]] - SalesCleanTable[[#This Row],[Unit Cost]]</f>
        <v>1300</v>
      </c>
      <c r="AE2556" s="41">
        <f>(SalesCleanTable[[#This Row],[Unit Price]] - SalesCleanTable[[#This Row],[Unit Cost]]) / SalesCleanTable[[#This Row],[Unit Price]]</f>
        <v>0.28888888888888886</v>
      </c>
    </row>
    <row r="2557" spans="1:31">
      <c r="A2557" t="s">
        <v>2743</v>
      </c>
      <c r="B2557" s="6">
        <v>45682</v>
      </c>
      <c r="C2557" t="s">
        <v>49</v>
      </c>
      <c r="D2557" t="s">
        <v>50</v>
      </c>
      <c r="E2557" t="s">
        <v>38</v>
      </c>
      <c r="F2557" t="s">
        <v>51</v>
      </c>
      <c r="G2557" t="s">
        <v>52</v>
      </c>
      <c r="H2557" t="s">
        <v>135</v>
      </c>
      <c r="I2557" t="s">
        <v>136</v>
      </c>
      <c r="J2557" t="s">
        <v>137</v>
      </c>
      <c r="K2557" t="s">
        <v>138</v>
      </c>
      <c r="L2557" t="s">
        <v>166</v>
      </c>
      <c r="M2557" t="s">
        <v>186</v>
      </c>
      <c r="N2557">
        <v>2</v>
      </c>
      <c r="O2557" s="4">
        <v>550</v>
      </c>
      <c r="P2557" s="4">
        <v>850</v>
      </c>
      <c r="Q2557" s="7">
        <v>0.05</v>
      </c>
      <c r="R2557" t="s">
        <v>178</v>
      </c>
      <c r="S2557">
        <v>2</v>
      </c>
      <c r="T2557">
        <v>1700</v>
      </c>
      <c r="U2557">
        <v>85</v>
      </c>
      <c r="V2557">
        <v>1615</v>
      </c>
      <c r="W2557">
        <v>1100</v>
      </c>
      <c r="X2557">
        <v>515</v>
      </c>
      <c r="Y2557" s="8">
        <v>0.31888544891640869</v>
      </c>
      <c r="Z2557" t="s">
        <v>2996</v>
      </c>
      <c r="AA2557" t="str">
        <f>IF(AND(SalesCleanTable[[#This Row],[Discount %]]&gt;0, SalesCleanTable[[#This Row],[Profit]]&lt;0), "Discount loss", "Safe")</f>
        <v>Safe</v>
      </c>
      <c r="AB2557" s="25">
        <f>(SalesCleanTable[[#This Row],[Unit Price]] - SalesCleanTable[[#This Row],[Unit Cost]]) / SalesCleanTable[[#This Row],[Unit Price]]</f>
        <v>0.35294117647058826</v>
      </c>
      <c r="AC2557" t="str">
        <f>IF(SalesCleanTable[[#This Row],[Discount %]] &gt; SalesCleanTable[[#This Row],[Max Allowed Discount]], "Discount loss", "Safe")</f>
        <v>Safe</v>
      </c>
      <c r="AD2557" s="4">
        <f>SalesCleanTable[[#This Row],[Unit Price]] - SalesCleanTable[[#This Row],[Unit Cost]]</f>
        <v>300</v>
      </c>
      <c r="AE2557" s="41">
        <f>(SalesCleanTable[[#This Row],[Unit Price]] - SalesCleanTable[[#This Row],[Unit Cost]]) / SalesCleanTable[[#This Row],[Unit Price]]</f>
        <v>0.35294117647058826</v>
      </c>
    </row>
    <row r="2558" spans="1:31">
      <c r="A2558" t="s">
        <v>2744</v>
      </c>
      <c r="B2558" s="6">
        <v>45731</v>
      </c>
      <c r="C2558" t="s">
        <v>53</v>
      </c>
      <c r="D2558" t="s">
        <v>54</v>
      </c>
      <c r="E2558" t="s">
        <v>38</v>
      </c>
      <c r="F2558" t="s">
        <v>55</v>
      </c>
      <c r="G2558" t="s">
        <v>56</v>
      </c>
      <c r="H2558" t="s">
        <v>128</v>
      </c>
      <c r="I2558" t="s">
        <v>129</v>
      </c>
      <c r="J2558" t="s">
        <v>130</v>
      </c>
      <c r="K2558" t="s">
        <v>131</v>
      </c>
      <c r="L2558" t="s">
        <v>166</v>
      </c>
      <c r="M2558" t="s">
        <v>171</v>
      </c>
      <c r="N2558">
        <v>2</v>
      </c>
      <c r="O2558" s="4">
        <v>330</v>
      </c>
      <c r="P2558" s="4">
        <v>550</v>
      </c>
      <c r="Q2558" s="7">
        <v>0.1</v>
      </c>
      <c r="R2558" t="s">
        <v>168</v>
      </c>
      <c r="S2558">
        <v>1</v>
      </c>
      <c r="T2558">
        <v>1100</v>
      </c>
      <c r="U2558">
        <v>110</v>
      </c>
      <c r="V2558">
        <v>990</v>
      </c>
      <c r="W2558">
        <v>660</v>
      </c>
      <c r="X2558">
        <v>330</v>
      </c>
      <c r="Y2558" s="8">
        <v>0.33333333333333331</v>
      </c>
      <c r="Z2558" t="s">
        <v>2996</v>
      </c>
      <c r="AA2558" t="str">
        <f>IF(AND(SalesCleanTable[[#This Row],[Discount %]]&gt;0, SalesCleanTable[[#This Row],[Profit]]&lt;0), "Discount loss", "Safe")</f>
        <v>Safe</v>
      </c>
      <c r="AB2558" s="25">
        <f>(SalesCleanTable[[#This Row],[Unit Price]] - SalesCleanTable[[#This Row],[Unit Cost]]) / SalesCleanTable[[#This Row],[Unit Price]]</f>
        <v>0.4</v>
      </c>
      <c r="AC2558" t="str">
        <f>IF(SalesCleanTable[[#This Row],[Discount %]] &gt; SalesCleanTable[[#This Row],[Max Allowed Discount]], "Discount loss", "Safe")</f>
        <v>Safe</v>
      </c>
      <c r="AD2558" s="4">
        <f>SalesCleanTable[[#This Row],[Unit Price]] - SalesCleanTable[[#This Row],[Unit Cost]]</f>
        <v>220</v>
      </c>
      <c r="AE2558" s="41">
        <f>(SalesCleanTable[[#This Row],[Unit Price]] - SalesCleanTable[[#This Row],[Unit Cost]]) / SalesCleanTable[[#This Row],[Unit Price]]</f>
        <v>0.4</v>
      </c>
    </row>
    <row r="2559" spans="1:31">
      <c r="A2559" t="s">
        <v>2745</v>
      </c>
      <c r="B2559" s="6">
        <v>45770</v>
      </c>
      <c r="C2559" t="s">
        <v>73</v>
      </c>
      <c r="D2559" t="s">
        <v>74</v>
      </c>
      <c r="E2559" t="s">
        <v>75</v>
      </c>
      <c r="F2559" t="s">
        <v>76</v>
      </c>
      <c r="G2559" t="s">
        <v>77</v>
      </c>
      <c r="H2559" t="s">
        <v>139</v>
      </c>
      <c r="I2559" t="s">
        <v>140</v>
      </c>
      <c r="J2559" t="s">
        <v>137</v>
      </c>
      <c r="K2559" t="s">
        <v>138</v>
      </c>
      <c r="L2559" t="s">
        <v>183</v>
      </c>
      <c r="M2559" t="s">
        <v>177</v>
      </c>
      <c r="N2559">
        <v>1</v>
      </c>
      <c r="O2559" s="4">
        <v>3500</v>
      </c>
      <c r="P2559" s="4">
        <v>5200</v>
      </c>
      <c r="Q2559" s="7">
        <v>0.1</v>
      </c>
      <c r="R2559" t="s">
        <v>204</v>
      </c>
      <c r="S2559">
        <v>14</v>
      </c>
      <c r="T2559">
        <v>5200</v>
      </c>
      <c r="U2559">
        <v>520</v>
      </c>
      <c r="V2559">
        <v>4680</v>
      </c>
      <c r="W2559">
        <v>3500</v>
      </c>
      <c r="X2559">
        <v>1180</v>
      </c>
      <c r="Y2559" s="8">
        <v>0.25213675213675213</v>
      </c>
      <c r="Z2559" t="s">
        <v>2996</v>
      </c>
      <c r="AA2559" t="str">
        <f>IF(AND(SalesCleanTable[[#This Row],[Discount %]]&gt;0, SalesCleanTable[[#This Row],[Profit]]&lt;0), "Discount loss", "Safe")</f>
        <v>Safe</v>
      </c>
      <c r="AB2559" s="25">
        <f>(SalesCleanTable[[#This Row],[Unit Price]] - SalesCleanTable[[#This Row],[Unit Cost]]) / SalesCleanTable[[#This Row],[Unit Price]]</f>
        <v>0.32692307692307693</v>
      </c>
      <c r="AC2559" t="str">
        <f>IF(SalesCleanTable[[#This Row],[Discount %]] &gt; SalesCleanTable[[#This Row],[Max Allowed Discount]], "Discount loss", "Safe")</f>
        <v>Safe</v>
      </c>
      <c r="AD2559" s="4">
        <f>SalesCleanTable[[#This Row],[Unit Price]] - SalesCleanTable[[#This Row],[Unit Cost]]</f>
        <v>1700</v>
      </c>
      <c r="AE2559" s="41">
        <f>(SalesCleanTable[[#This Row],[Unit Price]] - SalesCleanTable[[#This Row],[Unit Cost]]) / SalesCleanTable[[#This Row],[Unit Price]]</f>
        <v>0.32692307692307693</v>
      </c>
    </row>
    <row r="2560" spans="1:31">
      <c r="A2560" t="s">
        <v>2746</v>
      </c>
      <c r="B2560" s="6">
        <v>45795</v>
      </c>
      <c r="C2560" t="s">
        <v>45</v>
      </c>
      <c r="D2560" t="s">
        <v>46</v>
      </c>
      <c r="E2560" t="s">
        <v>38</v>
      </c>
      <c r="F2560" t="s">
        <v>47</v>
      </c>
      <c r="G2560" t="s">
        <v>48</v>
      </c>
      <c r="H2560" t="s">
        <v>145</v>
      </c>
      <c r="I2560" t="s">
        <v>146</v>
      </c>
      <c r="J2560" t="s">
        <v>147</v>
      </c>
      <c r="K2560" t="s">
        <v>148</v>
      </c>
      <c r="L2560" t="s">
        <v>166</v>
      </c>
      <c r="M2560" t="s">
        <v>171</v>
      </c>
      <c r="N2560">
        <v>3</v>
      </c>
      <c r="O2560" s="4">
        <v>230</v>
      </c>
      <c r="P2560" s="4">
        <v>400</v>
      </c>
      <c r="Q2560" s="7">
        <v>0.15</v>
      </c>
      <c r="R2560" t="s">
        <v>178</v>
      </c>
      <c r="S2560">
        <v>9</v>
      </c>
      <c r="T2560">
        <v>1200</v>
      </c>
      <c r="U2560">
        <v>180</v>
      </c>
      <c r="V2560">
        <v>1020</v>
      </c>
      <c r="W2560">
        <v>690</v>
      </c>
      <c r="X2560">
        <v>330</v>
      </c>
      <c r="Y2560" s="8">
        <v>0.3235294117647059</v>
      </c>
      <c r="Z2560" t="s">
        <v>2995</v>
      </c>
      <c r="AA2560" t="str">
        <f>IF(AND(SalesCleanTable[[#This Row],[Discount %]]&gt;0, SalesCleanTable[[#This Row],[Profit]]&lt;0), "Discount loss", "Safe")</f>
        <v>Safe</v>
      </c>
      <c r="AB2560" s="25">
        <f>(SalesCleanTable[[#This Row],[Unit Price]] - SalesCleanTable[[#This Row],[Unit Cost]]) / SalesCleanTable[[#This Row],[Unit Price]]</f>
        <v>0.42499999999999999</v>
      </c>
      <c r="AC2560" t="str">
        <f>IF(SalesCleanTable[[#This Row],[Discount %]] &gt; SalesCleanTable[[#This Row],[Max Allowed Discount]], "Discount loss", "Safe")</f>
        <v>Safe</v>
      </c>
      <c r="AD2560" s="4">
        <f>SalesCleanTable[[#This Row],[Unit Price]] - SalesCleanTable[[#This Row],[Unit Cost]]</f>
        <v>170</v>
      </c>
      <c r="AE2560" s="41">
        <f>(SalesCleanTable[[#This Row],[Unit Price]] - SalesCleanTable[[#This Row],[Unit Cost]]) / SalesCleanTable[[#This Row],[Unit Price]]</f>
        <v>0.42499999999999999</v>
      </c>
    </row>
    <row r="2561" spans="1:31">
      <c r="A2561" t="s">
        <v>2747</v>
      </c>
      <c r="B2561" s="6">
        <v>45752</v>
      </c>
      <c r="C2561" t="s">
        <v>41</v>
      </c>
      <c r="D2561" t="s">
        <v>42</v>
      </c>
      <c r="E2561" t="s">
        <v>26</v>
      </c>
      <c r="F2561" t="s">
        <v>43</v>
      </c>
      <c r="G2561" t="s">
        <v>44</v>
      </c>
      <c r="H2561" t="s">
        <v>133</v>
      </c>
      <c r="I2561" t="s">
        <v>134</v>
      </c>
      <c r="J2561" t="s">
        <v>130</v>
      </c>
      <c r="K2561" t="s">
        <v>131</v>
      </c>
      <c r="L2561" t="s">
        <v>166</v>
      </c>
      <c r="M2561" t="s">
        <v>171</v>
      </c>
      <c r="N2561">
        <v>2</v>
      </c>
      <c r="O2561" s="4">
        <v>850</v>
      </c>
      <c r="P2561" s="4">
        <v>1300</v>
      </c>
      <c r="Q2561" s="7">
        <v>0</v>
      </c>
      <c r="R2561" t="s">
        <v>194</v>
      </c>
      <c r="S2561">
        <v>2</v>
      </c>
      <c r="T2561">
        <v>2600</v>
      </c>
      <c r="U2561">
        <v>0</v>
      </c>
      <c r="V2561">
        <v>2600</v>
      </c>
      <c r="W2561">
        <v>1700</v>
      </c>
      <c r="X2561">
        <v>900</v>
      </c>
      <c r="Y2561" s="8">
        <v>0.34615384615384615</v>
      </c>
      <c r="Z2561" t="s">
        <v>2995</v>
      </c>
      <c r="AA2561" t="str">
        <f>IF(AND(SalesCleanTable[[#This Row],[Discount %]]&gt;0, SalesCleanTable[[#This Row],[Profit]]&lt;0), "Discount loss", "Safe")</f>
        <v>Safe</v>
      </c>
      <c r="AB2561" s="25">
        <f>(SalesCleanTable[[#This Row],[Unit Price]] - SalesCleanTable[[#This Row],[Unit Cost]]) / SalesCleanTable[[#This Row],[Unit Price]]</f>
        <v>0.34615384615384615</v>
      </c>
      <c r="AC2561" t="str">
        <f>IF(SalesCleanTable[[#This Row],[Discount %]] &gt; SalesCleanTable[[#This Row],[Max Allowed Discount]], "Discount loss", "Safe")</f>
        <v>Safe</v>
      </c>
      <c r="AD2561" s="4">
        <f>SalesCleanTable[[#This Row],[Unit Price]] - SalesCleanTable[[#This Row],[Unit Cost]]</f>
        <v>450</v>
      </c>
      <c r="AE2561" s="41">
        <f>(SalesCleanTable[[#This Row],[Unit Price]] - SalesCleanTable[[#This Row],[Unit Cost]]) / SalesCleanTable[[#This Row],[Unit Price]]</f>
        <v>0.34615384615384615</v>
      </c>
    </row>
    <row r="2562" spans="1:31">
      <c r="A2562" t="s">
        <v>2748</v>
      </c>
      <c r="B2562" s="6">
        <v>45722</v>
      </c>
      <c r="C2562" t="s">
        <v>45</v>
      </c>
      <c r="D2562" t="s">
        <v>46</v>
      </c>
      <c r="E2562" t="s">
        <v>38</v>
      </c>
      <c r="F2562" t="s">
        <v>47</v>
      </c>
      <c r="G2562" t="s">
        <v>48</v>
      </c>
      <c r="H2562" t="s">
        <v>145</v>
      </c>
      <c r="I2562" t="s">
        <v>146</v>
      </c>
      <c r="J2562" t="s">
        <v>147</v>
      </c>
      <c r="K2562" t="s">
        <v>148</v>
      </c>
      <c r="L2562" t="s">
        <v>166</v>
      </c>
      <c r="M2562" t="s">
        <v>177</v>
      </c>
      <c r="N2562">
        <v>2</v>
      </c>
      <c r="O2562" s="4">
        <v>230</v>
      </c>
      <c r="P2562" s="4">
        <v>400</v>
      </c>
      <c r="Q2562" s="7">
        <v>0.2</v>
      </c>
      <c r="R2562" t="s">
        <v>168</v>
      </c>
      <c r="S2562">
        <v>6</v>
      </c>
      <c r="T2562">
        <v>800</v>
      </c>
      <c r="U2562">
        <v>160</v>
      </c>
      <c r="V2562">
        <v>640</v>
      </c>
      <c r="W2562">
        <v>460</v>
      </c>
      <c r="X2562">
        <v>180</v>
      </c>
      <c r="Y2562" s="8">
        <v>0.28125</v>
      </c>
      <c r="Z2562" t="s">
        <v>2995</v>
      </c>
      <c r="AA2562" t="str">
        <f>IF(AND(SalesCleanTable[[#This Row],[Discount %]]&gt;0, SalesCleanTable[[#This Row],[Profit]]&lt;0), "Discount loss", "Safe")</f>
        <v>Safe</v>
      </c>
      <c r="AB2562" s="25">
        <f>(SalesCleanTable[[#This Row],[Unit Price]] - SalesCleanTable[[#This Row],[Unit Cost]]) / SalesCleanTable[[#This Row],[Unit Price]]</f>
        <v>0.42499999999999999</v>
      </c>
      <c r="AC2562" t="str">
        <f>IF(SalesCleanTable[[#This Row],[Discount %]] &gt; SalesCleanTable[[#This Row],[Max Allowed Discount]], "Discount loss", "Safe")</f>
        <v>Safe</v>
      </c>
      <c r="AD2562" s="4">
        <f>SalesCleanTable[[#This Row],[Unit Price]] - SalesCleanTable[[#This Row],[Unit Cost]]</f>
        <v>170</v>
      </c>
      <c r="AE2562" s="41">
        <f>(SalesCleanTable[[#This Row],[Unit Price]] - SalesCleanTable[[#This Row],[Unit Cost]]) / SalesCleanTable[[#This Row],[Unit Price]]</f>
        <v>0.42499999999999999</v>
      </c>
    </row>
    <row r="2563" spans="1:31">
      <c r="A2563" t="s">
        <v>2749</v>
      </c>
      <c r="B2563" s="6">
        <v>45802</v>
      </c>
      <c r="C2563" t="s">
        <v>103</v>
      </c>
      <c r="D2563" t="s">
        <v>104</v>
      </c>
      <c r="E2563" t="s">
        <v>92</v>
      </c>
      <c r="F2563" t="s">
        <v>105</v>
      </c>
      <c r="G2563" t="s">
        <v>106</v>
      </c>
      <c r="H2563" t="s">
        <v>139</v>
      </c>
      <c r="I2563" t="s">
        <v>140</v>
      </c>
      <c r="J2563" t="s">
        <v>137</v>
      </c>
      <c r="K2563" t="s">
        <v>138</v>
      </c>
      <c r="L2563" t="s">
        <v>166</v>
      </c>
      <c r="M2563" t="s">
        <v>171</v>
      </c>
      <c r="N2563">
        <v>1</v>
      </c>
      <c r="O2563" s="4">
        <v>1500</v>
      </c>
      <c r="P2563" s="4">
        <v>2500</v>
      </c>
      <c r="Q2563" s="7">
        <v>0</v>
      </c>
      <c r="R2563" t="s">
        <v>181</v>
      </c>
      <c r="S2563">
        <v>3</v>
      </c>
      <c r="T2563">
        <v>2500</v>
      </c>
      <c r="U2563">
        <v>0</v>
      </c>
      <c r="V2563">
        <v>2500</v>
      </c>
      <c r="W2563">
        <v>1500</v>
      </c>
      <c r="X2563">
        <v>1000</v>
      </c>
      <c r="Y2563" s="8">
        <v>0.4</v>
      </c>
      <c r="Z2563" t="s">
        <v>2996</v>
      </c>
      <c r="AA2563" t="str">
        <f>IF(AND(SalesCleanTable[[#This Row],[Discount %]]&gt;0, SalesCleanTable[[#This Row],[Profit]]&lt;0), "Discount loss", "Safe")</f>
        <v>Safe</v>
      </c>
      <c r="AB2563" s="25">
        <f>(SalesCleanTable[[#This Row],[Unit Price]] - SalesCleanTable[[#This Row],[Unit Cost]]) / SalesCleanTable[[#This Row],[Unit Price]]</f>
        <v>0.4</v>
      </c>
      <c r="AC2563" t="str">
        <f>IF(SalesCleanTable[[#This Row],[Discount %]] &gt; SalesCleanTable[[#This Row],[Max Allowed Discount]], "Discount loss", "Safe")</f>
        <v>Safe</v>
      </c>
      <c r="AD2563" s="4">
        <f>SalesCleanTable[[#This Row],[Unit Price]] - SalesCleanTable[[#This Row],[Unit Cost]]</f>
        <v>1000</v>
      </c>
      <c r="AE2563" s="41">
        <f>(SalesCleanTable[[#This Row],[Unit Price]] - SalesCleanTable[[#This Row],[Unit Cost]]) / SalesCleanTable[[#This Row],[Unit Price]]</f>
        <v>0.4</v>
      </c>
    </row>
    <row r="2564" spans="1:31">
      <c r="A2564" t="s">
        <v>2750</v>
      </c>
      <c r="B2564" s="6">
        <v>45846</v>
      </c>
      <c r="C2564" t="s">
        <v>53</v>
      </c>
      <c r="D2564" t="s">
        <v>54</v>
      </c>
      <c r="E2564" t="s">
        <v>38</v>
      </c>
      <c r="F2564" t="s">
        <v>55</v>
      </c>
      <c r="G2564" t="s">
        <v>56</v>
      </c>
      <c r="H2564" t="s">
        <v>133</v>
      </c>
      <c r="I2564" t="s">
        <v>134</v>
      </c>
      <c r="J2564" t="s">
        <v>130</v>
      </c>
      <c r="K2564" t="s">
        <v>131</v>
      </c>
      <c r="L2564" t="s">
        <v>166</v>
      </c>
      <c r="M2564" t="s">
        <v>171</v>
      </c>
      <c r="N2564">
        <v>4</v>
      </c>
      <c r="O2564" s="4">
        <v>330</v>
      </c>
      <c r="P2564" s="4">
        <v>550</v>
      </c>
      <c r="Q2564" s="7">
        <v>0</v>
      </c>
      <c r="R2564" t="s">
        <v>168</v>
      </c>
      <c r="S2564">
        <v>10</v>
      </c>
      <c r="T2564">
        <v>2200</v>
      </c>
      <c r="U2564">
        <v>0</v>
      </c>
      <c r="V2564">
        <v>2200</v>
      </c>
      <c r="W2564">
        <v>1320</v>
      </c>
      <c r="X2564">
        <v>880</v>
      </c>
      <c r="Y2564" s="8">
        <v>0.4</v>
      </c>
      <c r="Z2564" t="s">
        <v>2996</v>
      </c>
      <c r="AA2564" t="str">
        <f>IF(AND(SalesCleanTable[[#This Row],[Discount %]]&gt;0, SalesCleanTable[[#This Row],[Profit]]&lt;0), "Discount loss", "Safe")</f>
        <v>Safe</v>
      </c>
      <c r="AB2564" s="25">
        <f>(SalesCleanTable[[#This Row],[Unit Price]] - SalesCleanTable[[#This Row],[Unit Cost]]) / SalesCleanTable[[#This Row],[Unit Price]]</f>
        <v>0.4</v>
      </c>
      <c r="AC2564" t="str">
        <f>IF(SalesCleanTable[[#This Row],[Discount %]] &gt; SalesCleanTable[[#This Row],[Max Allowed Discount]], "Discount loss", "Safe")</f>
        <v>Safe</v>
      </c>
      <c r="AD2564" s="4">
        <f>SalesCleanTable[[#This Row],[Unit Price]] - SalesCleanTable[[#This Row],[Unit Cost]]</f>
        <v>220</v>
      </c>
      <c r="AE2564" s="41">
        <f>(SalesCleanTable[[#This Row],[Unit Price]] - SalesCleanTable[[#This Row],[Unit Cost]]) / SalesCleanTable[[#This Row],[Unit Price]]</f>
        <v>0.4</v>
      </c>
    </row>
    <row r="2565" spans="1:31">
      <c r="A2565" t="s">
        <v>2751</v>
      </c>
      <c r="B2565" s="6">
        <v>45750</v>
      </c>
      <c r="C2565" t="s">
        <v>112</v>
      </c>
      <c r="D2565" t="s">
        <v>113</v>
      </c>
      <c r="E2565" t="s">
        <v>109</v>
      </c>
      <c r="F2565" t="s">
        <v>114</v>
      </c>
      <c r="G2565" t="s">
        <v>115</v>
      </c>
      <c r="H2565" t="s">
        <v>149</v>
      </c>
      <c r="I2565" t="s">
        <v>150</v>
      </c>
      <c r="J2565" t="s">
        <v>151</v>
      </c>
      <c r="K2565" t="s">
        <v>152</v>
      </c>
      <c r="L2565" t="s">
        <v>183</v>
      </c>
      <c r="M2565" t="s">
        <v>171</v>
      </c>
      <c r="N2565">
        <v>2</v>
      </c>
      <c r="O2565" s="4">
        <v>1300</v>
      </c>
      <c r="P2565" s="4">
        <v>2100</v>
      </c>
      <c r="Q2565" s="7">
        <v>0.05</v>
      </c>
      <c r="R2565" t="s">
        <v>235</v>
      </c>
      <c r="S2565">
        <v>1</v>
      </c>
      <c r="T2565">
        <v>4200</v>
      </c>
      <c r="U2565">
        <v>210</v>
      </c>
      <c r="V2565">
        <v>3990</v>
      </c>
      <c r="W2565">
        <v>2600</v>
      </c>
      <c r="X2565">
        <v>1390</v>
      </c>
      <c r="Y2565" s="8">
        <v>0.34837092731829572</v>
      </c>
      <c r="Z2565" t="s">
        <v>2995</v>
      </c>
      <c r="AA2565" t="str">
        <f>IF(AND(SalesCleanTable[[#This Row],[Discount %]]&gt;0, SalesCleanTable[[#This Row],[Profit]]&lt;0), "Discount loss", "Safe")</f>
        <v>Safe</v>
      </c>
      <c r="AB2565" s="25">
        <f>(SalesCleanTable[[#This Row],[Unit Price]] - SalesCleanTable[[#This Row],[Unit Cost]]) / SalesCleanTable[[#This Row],[Unit Price]]</f>
        <v>0.38095238095238093</v>
      </c>
      <c r="AC2565" t="str">
        <f>IF(SalesCleanTable[[#This Row],[Discount %]] &gt; SalesCleanTable[[#This Row],[Max Allowed Discount]], "Discount loss", "Safe")</f>
        <v>Safe</v>
      </c>
      <c r="AD2565" s="4">
        <f>SalesCleanTable[[#This Row],[Unit Price]] - SalesCleanTable[[#This Row],[Unit Cost]]</f>
        <v>800</v>
      </c>
      <c r="AE2565" s="41">
        <f>(SalesCleanTable[[#This Row],[Unit Price]] - SalesCleanTable[[#This Row],[Unit Cost]]) / SalesCleanTable[[#This Row],[Unit Price]]</f>
        <v>0.38095238095238093</v>
      </c>
    </row>
    <row r="2566" spans="1:31">
      <c r="A2566" t="s">
        <v>2752</v>
      </c>
      <c r="B2566" s="6">
        <v>45729</v>
      </c>
      <c r="C2566" t="s">
        <v>69</v>
      </c>
      <c r="D2566" t="s">
        <v>70</v>
      </c>
      <c r="E2566" t="s">
        <v>59</v>
      </c>
      <c r="F2566" t="s">
        <v>71</v>
      </c>
      <c r="G2566" t="s">
        <v>72</v>
      </c>
      <c r="H2566" t="s">
        <v>135</v>
      </c>
      <c r="I2566" t="s">
        <v>136</v>
      </c>
      <c r="J2566" t="s">
        <v>137</v>
      </c>
      <c r="K2566" t="s">
        <v>138</v>
      </c>
      <c r="L2566" t="s">
        <v>183</v>
      </c>
      <c r="M2566" t="s">
        <v>186</v>
      </c>
      <c r="N2566">
        <v>6</v>
      </c>
      <c r="O2566" s="4">
        <v>1700</v>
      </c>
      <c r="P2566" s="4">
        <v>2600</v>
      </c>
      <c r="Q2566" s="7">
        <v>0.1</v>
      </c>
      <c r="R2566" t="s">
        <v>192</v>
      </c>
      <c r="S2566">
        <v>8</v>
      </c>
      <c r="T2566">
        <v>15600</v>
      </c>
      <c r="U2566">
        <v>1560</v>
      </c>
      <c r="V2566">
        <v>14040</v>
      </c>
      <c r="W2566">
        <v>10200</v>
      </c>
      <c r="X2566">
        <v>3840</v>
      </c>
      <c r="Y2566" s="8">
        <v>0.27350427350427353</v>
      </c>
      <c r="Z2566" t="s">
        <v>2997</v>
      </c>
      <c r="AA2566" t="str">
        <f>IF(AND(SalesCleanTable[[#This Row],[Discount %]]&gt;0, SalesCleanTable[[#This Row],[Profit]]&lt;0), "Discount loss", "Safe")</f>
        <v>Safe</v>
      </c>
      <c r="AB2566" s="25">
        <f>(SalesCleanTable[[#This Row],[Unit Price]] - SalesCleanTable[[#This Row],[Unit Cost]]) / SalesCleanTable[[#This Row],[Unit Price]]</f>
        <v>0.34615384615384615</v>
      </c>
      <c r="AC2566" t="str">
        <f>IF(SalesCleanTable[[#This Row],[Discount %]] &gt; SalesCleanTable[[#This Row],[Max Allowed Discount]], "Discount loss", "Safe")</f>
        <v>Safe</v>
      </c>
      <c r="AD2566" s="4">
        <f>SalesCleanTable[[#This Row],[Unit Price]] - SalesCleanTable[[#This Row],[Unit Cost]]</f>
        <v>900</v>
      </c>
      <c r="AE2566" s="41">
        <f>(SalesCleanTable[[#This Row],[Unit Price]] - SalesCleanTable[[#This Row],[Unit Cost]]) / SalesCleanTable[[#This Row],[Unit Price]]</f>
        <v>0.34615384615384615</v>
      </c>
    </row>
    <row r="2567" spans="1:31">
      <c r="A2567" t="s">
        <v>2753</v>
      </c>
      <c r="B2567" s="6">
        <v>45738</v>
      </c>
      <c r="C2567" t="s">
        <v>66</v>
      </c>
      <c r="D2567" t="s">
        <v>67</v>
      </c>
      <c r="E2567" t="s">
        <v>59</v>
      </c>
      <c r="F2567" t="s">
        <v>60</v>
      </c>
      <c r="G2567" t="s">
        <v>68</v>
      </c>
      <c r="H2567" t="s">
        <v>149</v>
      </c>
      <c r="I2567" t="s">
        <v>150</v>
      </c>
      <c r="J2567" t="s">
        <v>151</v>
      </c>
      <c r="K2567" t="s">
        <v>152</v>
      </c>
      <c r="L2567" t="s">
        <v>166</v>
      </c>
      <c r="M2567" t="s">
        <v>171</v>
      </c>
      <c r="N2567">
        <v>1</v>
      </c>
      <c r="O2567" s="4">
        <v>2800</v>
      </c>
      <c r="P2567" s="4">
        <v>3900</v>
      </c>
      <c r="Q2567" s="7">
        <v>0</v>
      </c>
      <c r="R2567" t="s">
        <v>192</v>
      </c>
      <c r="S2567">
        <v>2</v>
      </c>
      <c r="T2567">
        <v>3900</v>
      </c>
      <c r="U2567">
        <v>0</v>
      </c>
      <c r="V2567">
        <v>3900</v>
      </c>
      <c r="W2567">
        <v>2800</v>
      </c>
      <c r="X2567">
        <v>1100</v>
      </c>
      <c r="Y2567" s="8">
        <v>0.28205128205128205</v>
      </c>
      <c r="Z2567" t="s">
        <v>2996</v>
      </c>
      <c r="AA2567" t="str">
        <f>IF(AND(SalesCleanTable[[#This Row],[Discount %]]&gt;0, SalesCleanTable[[#This Row],[Profit]]&lt;0), "Discount loss", "Safe")</f>
        <v>Safe</v>
      </c>
      <c r="AB2567" s="25">
        <f>(SalesCleanTable[[#This Row],[Unit Price]] - SalesCleanTable[[#This Row],[Unit Cost]]) / SalesCleanTable[[#This Row],[Unit Price]]</f>
        <v>0.28205128205128205</v>
      </c>
      <c r="AC2567" t="str">
        <f>IF(SalesCleanTable[[#This Row],[Discount %]] &gt; SalesCleanTable[[#This Row],[Max Allowed Discount]], "Discount loss", "Safe")</f>
        <v>Safe</v>
      </c>
      <c r="AD2567" s="4">
        <f>SalesCleanTable[[#This Row],[Unit Price]] - SalesCleanTable[[#This Row],[Unit Cost]]</f>
        <v>1100</v>
      </c>
      <c r="AE2567" s="41">
        <f>(SalesCleanTable[[#This Row],[Unit Price]] - SalesCleanTable[[#This Row],[Unit Cost]]) / SalesCleanTable[[#This Row],[Unit Price]]</f>
        <v>0.28205128205128205</v>
      </c>
    </row>
    <row r="2568" spans="1:31">
      <c r="A2568" t="s">
        <v>2754</v>
      </c>
      <c r="B2568" s="6">
        <v>45781</v>
      </c>
      <c r="C2568" t="s">
        <v>66</v>
      </c>
      <c r="D2568" t="s">
        <v>67</v>
      </c>
      <c r="E2568" t="s">
        <v>59</v>
      </c>
      <c r="F2568" t="s">
        <v>60</v>
      </c>
      <c r="G2568" t="s">
        <v>68</v>
      </c>
      <c r="H2568" t="s">
        <v>149</v>
      </c>
      <c r="I2568" t="s">
        <v>150</v>
      </c>
      <c r="J2568" t="s">
        <v>151</v>
      </c>
      <c r="K2568" t="s">
        <v>152</v>
      </c>
      <c r="L2568" t="s">
        <v>183</v>
      </c>
      <c r="M2568" t="s">
        <v>171</v>
      </c>
      <c r="N2568">
        <v>2</v>
      </c>
      <c r="O2568" s="4">
        <v>2800</v>
      </c>
      <c r="P2568" s="4">
        <v>3900</v>
      </c>
      <c r="Q2568" s="7">
        <v>0</v>
      </c>
      <c r="R2568" t="s">
        <v>204</v>
      </c>
      <c r="S2568">
        <v>4</v>
      </c>
      <c r="T2568">
        <v>7800</v>
      </c>
      <c r="U2568">
        <v>0</v>
      </c>
      <c r="V2568">
        <v>7800</v>
      </c>
      <c r="W2568">
        <v>5600</v>
      </c>
      <c r="X2568">
        <v>2200</v>
      </c>
      <c r="Y2568" s="8">
        <v>0.28205128205128205</v>
      </c>
      <c r="Z2568" t="s">
        <v>2996</v>
      </c>
      <c r="AA2568" t="str">
        <f>IF(AND(SalesCleanTable[[#This Row],[Discount %]]&gt;0, SalesCleanTable[[#This Row],[Profit]]&lt;0), "Discount loss", "Safe")</f>
        <v>Safe</v>
      </c>
      <c r="AB2568" s="25">
        <f>(SalesCleanTable[[#This Row],[Unit Price]] - SalesCleanTable[[#This Row],[Unit Cost]]) / SalesCleanTable[[#This Row],[Unit Price]]</f>
        <v>0.28205128205128205</v>
      </c>
      <c r="AC2568" t="str">
        <f>IF(SalesCleanTable[[#This Row],[Discount %]] &gt; SalesCleanTable[[#This Row],[Max Allowed Discount]], "Discount loss", "Safe")</f>
        <v>Safe</v>
      </c>
      <c r="AD2568" s="4">
        <f>SalesCleanTable[[#This Row],[Unit Price]] - SalesCleanTable[[#This Row],[Unit Cost]]</f>
        <v>1100</v>
      </c>
      <c r="AE2568" s="41">
        <f>(SalesCleanTable[[#This Row],[Unit Price]] - SalesCleanTable[[#This Row],[Unit Cost]]) / SalesCleanTable[[#This Row],[Unit Price]]</f>
        <v>0.28205128205128205</v>
      </c>
    </row>
    <row r="2569" spans="1:31">
      <c r="A2569" t="s">
        <v>2755</v>
      </c>
      <c r="B2569" s="6">
        <v>45839</v>
      </c>
      <c r="C2569" t="s">
        <v>82</v>
      </c>
      <c r="D2569" t="s">
        <v>83</v>
      </c>
      <c r="E2569" t="s">
        <v>75</v>
      </c>
      <c r="F2569" t="s">
        <v>84</v>
      </c>
      <c r="G2569" t="s">
        <v>85</v>
      </c>
      <c r="H2569" t="s">
        <v>153</v>
      </c>
      <c r="I2569" t="s">
        <v>154</v>
      </c>
      <c r="J2569" t="s">
        <v>155</v>
      </c>
      <c r="K2569" t="s">
        <v>131</v>
      </c>
      <c r="L2569" t="s">
        <v>166</v>
      </c>
      <c r="M2569" t="s">
        <v>177</v>
      </c>
      <c r="N2569">
        <v>1</v>
      </c>
      <c r="O2569" s="4">
        <v>600</v>
      </c>
      <c r="P2569" s="4">
        <v>950</v>
      </c>
      <c r="Q2569" s="7">
        <v>0</v>
      </c>
      <c r="R2569" t="s">
        <v>204</v>
      </c>
      <c r="S2569">
        <v>13</v>
      </c>
      <c r="T2569">
        <v>950</v>
      </c>
      <c r="U2569">
        <v>0</v>
      </c>
      <c r="V2569">
        <v>950</v>
      </c>
      <c r="W2569">
        <v>600</v>
      </c>
      <c r="X2569">
        <v>350</v>
      </c>
      <c r="Y2569" s="8">
        <v>0.36842105263157893</v>
      </c>
      <c r="Z2569" t="s">
        <v>2996</v>
      </c>
      <c r="AA2569" t="str">
        <f>IF(AND(SalesCleanTable[[#This Row],[Discount %]]&gt;0, SalesCleanTable[[#This Row],[Profit]]&lt;0), "Discount loss", "Safe")</f>
        <v>Safe</v>
      </c>
      <c r="AB2569" s="25">
        <f>(SalesCleanTable[[#This Row],[Unit Price]] - SalesCleanTable[[#This Row],[Unit Cost]]) / SalesCleanTable[[#This Row],[Unit Price]]</f>
        <v>0.36842105263157893</v>
      </c>
      <c r="AC2569" t="str">
        <f>IF(SalesCleanTable[[#This Row],[Discount %]] &gt; SalesCleanTable[[#This Row],[Max Allowed Discount]], "Discount loss", "Safe")</f>
        <v>Safe</v>
      </c>
      <c r="AD2569" s="4">
        <f>SalesCleanTable[[#This Row],[Unit Price]] - SalesCleanTable[[#This Row],[Unit Cost]]</f>
        <v>350</v>
      </c>
      <c r="AE2569" s="41">
        <f>(SalesCleanTable[[#This Row],[Unit Price]] - SalesCleanTable[[#This Row],[Unit Cost]]) / SalesCleanTable[[#This Row],[Unit Price]]</f>
        <v>0.36842105263157893</v>
      </c>
    </row>
    <row r="2570" spans="1:31">
      <c r="A2570" t="s">
        <v>2756</v>
      </c>
      <c r="B2570" s="6">
        <v>45841</v>
      </c>
      <c r="C2570" t="s">
        <v>24</v>
      </c>
      <c r="D2570" t="s">
        <v>25</v>
      </c>
      <c r="E2570" t="s">
        <v>26</v>
      </c>
      <c r="F2570" t="s">
        <v>27</v>
      </c>
      <c r="G2570" t="s">
        <v>28</v>
      </c>
      <c r="H2570" t="s">
        <v>133</v>
      </c>
      <c r="I2570" t="s">
        <v>134</v>
      </c>
      <c r="J2570" t="s">
        <v>130</v>
      </c>
      <c r="K2570" t="s">
        <v>131</v>
      </c>
      <c r="L2570" t="s">
        <v>166</v>
      </c>
      <c r="M2570" t="s">
        <v>171</v>
      </c>
      <c r="N2570">
        <v>2</v>
      </c>
      <c r="O2570" s="4">
        <v>14500</v>
      </c>
      <c r="P2570" s="4">
        <v>17500</v>
      </c>
      <c r="Q2570" s="7">
        <v>0.1</v>
      </c>
      <c r="R2570" t="s">
        <v>173</v>
      </c>
      <c r="S2570">
        <v>4</v>
      </c>
      <c r="T2570">
        <v>35000</v>
      </c>
      <c r="U2570">
        <v>3500</v>
      </c>
      <c r="V2570">
        <v>31500</v>
      </c>
      <c r="W2570">
        <v>29000</v>
      </c>
      <c r="X2570">
        <v>2500</v>
      </c>
      <c r="Y2570" s="8">
        <v>7.9365079365079361E-2</v>
      </c>
      <c r="Z2570" t="s">
        <v>2995</v>
      </c>
      <c r="AA2570" t="str">
        <f>IF(AND(SalesCleanTable[[#This Row],[Discount %]]&gt;0, SalesCleanTable[[#This Row],[Profit]]&lt;0), "Discount loss", "Safe")</f>
        <v>Safe</v>
      </c>
      <c r="AB2570" s="25">
        <f>(SalesCleanTable[[#This Row],[Unit Price]] - SalesCleanTable[[#This Row],[Unit Cost]]) / SalesCleanTable[[#This Row],[Unit Price]]</f>
        <v>0.17142857142857143</v>
      </c>
      <c r="AC2570" t="str">
        <f>IF(SalesCleanTable[[#This Row],[Discount %]] &gt; SalesCleanTable[[#This Row],[Max Allowed Discount]], "Discount loss", "Safe")</f>
        <v>Safe</v>
      </c>
      <c r="AD2570" s="4">
        <f>SalesCleanTable[[#This Row],[Unit Price]] - SalesCleanTable[[#This Row],[Unit Cost]]</f>
        <v>3000</v>
      </c>
      <c r="AE2570" s="41">
        <f>(SalesCleanTable[[#This Row],[Unit Price]] - SalesCleanTable[[#This Row],[Unit Cost]]) / SalesCleanTable[[#This Row],[Unit Price]]</f>
        <v>0.17142857142857143</v>
      </c>
    </row>
    <row r="2571" spans="1:31">
      <c r="A2571" t="s">
        <v>2757</v>
      </c>
      <c r="B2571" s="6">
        <v>45974</v>
      </c>
      <c r="C2571" t="s">
        <v>41</v>
      </c>
      <c r="D2571" t="s">
        <v>42</v>
      </c>
      <c r="E2571" t="s">
        <v>26</v>
      </c>
      <c r="F2571" t="s">
        <v>43</v>
      </c>
      <c r="G2571" t="s">
        <v>44</v>
      </c>
      <c r="H2571" t="s">
        <v>141</v>
      </c>
      <c r="I2571" t="s">
        <v>142</v>
      </c>
      <c r="J2571" t="s">
        <v>143</v>
      </c>
      <c r="K2571" t="s">
        <v>144</v>
      </c>
      <c r="L2571" t="s">
        <v>166</v>
      </c>
      <c r="M2571" t="s">
        <v>177</v>
      </c>
      <c r="N2571">
        <v>1</v>
      </c>
      <c r="O2571" s="4">
        <v>850</v>
      </c>
      <c r="P2571" s="4">
        <v>1300</v>
      </c>
      <c r="Q2571" s="7">
        <v>0</v>
      </c>
      <c r="R2571" t="s">
        <v>173</v>
      </c>
      <c r="S2571">
        <v>10</v>
      </c>
      <c r="T2571">
        <v>1300</v>
      </c>
      <c r="U2571">
        <v>0</v>
      </c>
      <c r="V2571">
        <v>1300</v>
      </c>
      <c r="W2571">
        <v>850</v>
      </c>
      <c r="X2571">
        <v>450</v>
      </c>
      <c r="Y2571" s="8">
        <v>0.34615384615384615</v>
      </c>
      <c r="Z2571" t="s">
        <v>2995</v>
      </c>
      <c r="AA2571" t="str">
        <f>IF(AND(SalesCleanTable[[#This Row],[Discount %]]&gt;0, SalesCleanTable[[#This Row],[Profit]]&lt;0), "Discount loss", "Safe")</f>
        <v>Safe</v>
      </c>
      <c r="AB2571" s="25">
        <f>(SalesCleanTable[[#This Row],[Unit Price]] - SalesCleanTable[[#This Row],[Unit Cost]]) / SalesCleanTable[[#This Row],[Unit Price]]</f>
        <v>0.34615384615384615</v>
      </c>
      <c r="AC2571" t="str">
        <f>IF(SalesCleanTable[[#This Row],[Discount %]] &gt; SalesCleanTable[[#This Row],[Max Allowed Discount]], "Discount loss", "Safe")</f>
        <v>Safe</v>
      </c>
      <c r="AD2571" s="4">
        <f>SalesCleanTable[[#This Row],[Unit Price]] - SalesCleanTable[[#This Row],[Unit Cost]]</f>
        <v>450</v>
      </c>
      <c r="AE2571" s="41">
        <f>(SalesCleanTable[[#This Row],[Unit Price]] - SalesCleanTable[[#This Row],[Unit Cost]]) / SalesCleanTable[[#This Row],[Unit Price]]</f>
        <v>0.34615384615384615</v>
      </c>
    </row>
    <row r="2572" spans="1:31">
      <c r="A2572" t="s">
        <v>2758</v>
      </c>
      <c r="B2572" s="6">
        <v>45878</v>
      </c>
      <c r="C2572" t="s">
        <v>32</v>
      </c>
      <c r="D2572" t="s">
        <v>33</v>
      </c>
      <c r="E2572" t="s">
        <v>26</v>
      </c>
      <c r="F2572" t="s">
        <v>34</v>
      </c>
      <c r="G2572" t="s">
        <v>35</v>
      </c>
      <c r="H2572" t="s">
        <v>133</v>
      </c>
      <c r="I2572" t="s">
        <v>134</v>
      </c>
      <c r="J2572" t="s">
        <v>130</v>
      </c>
      <c r="K2572" t="s">
        <v>131</v>
      </c>
      <c r="L2572" t="s">
        <v>183</v>
      </c>
      <c r="M2572" t="s">
        <v>167</v>
      </c>
      <c r="N2572">
        <v>5</v>
      </c>
      <c r="O2572" s="4">
        <v>7800</v>
      </c>
      <c r="P2572" s="4">
        <v>9800</v>
      </c>
      <c r="Q2572" s="7">
        <v>0.05</v>
      </c>
      <c r="R2572" t="s">
        <v>194</v>
      </c>
      <c r="S2572">
        <v>2</v>
      </c>
      <c r="T2572">
        <v>49000</v>
      </c>
      <c r="U2572">
        <v>2450</v>
      </c>
      <c r="V2572">
        <v>46550</v>
      </c>
      <c r="W2572">
        <v>39000</v>
      </c>
      <c r="X2572">
        <v>7550</v>
      </c>
      <c r="Y2572" s="8">
        <v>0.16219119226638024</v>
      </c>
      <c r="Z2572" t="s">
        <v>2995</v>
      </c>
      <c r="AA2572" t="str">
        <f>IF(AND(SalesCleanTable[[#This Row],[Discount %]]&gt;0, SalesCleanTable[[#This Row],[Profit]]&lt;0), "Discount loss", "Safe")</f>
        <v>Safe</v>
      </c>
      <c r="AB2572" s="25">
        <f>(SalesCleanTable[[#This Row],[Unit Price]] - SalesCleanTable[[#This Row],[Unit Cost]]) / SalesCleanTable[[#This Row],[Unit Price]]</f>
        <v>0.20408163265306123</v>
      </c>
      <c r="AC2572" t="str">
        <f>IF(SalesCleanTable[[#This Row],[Discount %]] &gt; SalesCleanTable[[#This Row],[Max Allowed Discount]], "Discount loss", "Safe")</f>
        <v>Safe</v>
      </c>
      <c r="AD2572" s="4">
        <f>SalesCleanTable[[#This Row],[Unit Price]] - SalesCleanTable[[#This Row],[Unit Cost]]</f>
        <v>2000</v>
      </c>
      <c r="AE2572" s="41">
        <f>(SalesCleanTable[[#This Row],[Unit Price]] - SalesCleanTable[[#This Row],[Unit Cost]]) / SalesCleanTable[[#This Row],[Unit Price]]</f>
        <v>0.20408163265306123</v>
      </c>
    </row>
    <row r="2573" spans="1:31">
      <c r="A2573" t="s">
        <v>2759</v>
      </c>
      <c r="B2573" s="6">
        <v>45846</v>
      </c>
      <c r="C2573" t="s">
        <v>45</v>
      </c>
      <c r="D2573" t="s">
        <v>46</v>
      </c>
      <c r="E2573" t="s">
        <v>38</v>
      </c>
      <c r="F2573" t="s">
        <v>47</v>
      </c>
      <c r="G2573" t="s">
        <v>48</v>
      </c>
      <c r="H2573" t="s">
        <v>139</v>
      </c>
      <c r="I2573" t="s">
        <v>140</v>
      </c>
      <c r="J2573" t="s">
        <v>137</v>
      </c>
      <c r="K2573" t="s">
        <v>138</v>
      </c>
      <c r="L2573" t="s">
        <v>170</v>
      </c>
      <c r="M2573" t="s">
        <v>171</v>
      </c>
      <c r="N2573">
        <v>-1</v>
      </c>
      <c r="O2573" s="4">
        <v>230</v>
      </c>
      <c r="P2573" s="4">
        <v>400</v>
      </c>
      <c r="Q2573" s="7">
        <v>0.05</v>
      </c>
      <c r="R2573" t="s">
        <v>178</v>
      </c>
      <c r="S2573">
        <v>4</v>
      </c>
      <c r="T2573">
        <v>-400</v>
      </c>
      <c r="U2573">
        <v>-20</v>
      </c>
      <c r="V2573">
        <v>-380</v>
      </c>
      <c r="W2573">
        <v>-230</v>
      </c>
      <c r="X2573">
        <v>-150</v>
      </c>
      <c r="Y2573" s="8">
        <v>0.39473684210526316</v>
      </c>
      <c r="Z2573" t="s">
        <v>2995</v>
      </c>
      <c r="AA2573" t="str">
        <f>IF(AND(SalesCleanTable[[#This Row],[Discount %]]&gt;0, SalesCleanTable[[#This Row],[Profit]]&lt;0), "Discount loss", "Safe")</f>
        <v>Discount loss</v>
      </c>
      <c r="AB2573" s="25">
        <f>(SalesCleanTable[[#This Row],[Unit Price]] - SalesCleanTable[[#This Row],[Unit Cost]]) / SalesCleanTable[[#This Row],[Unit Price]]</f>
        <v>0.42499999999999999</v>
      </c>
      <c r="AC2573" t="str">
        <f>IF(SalesCleanTable[[#This Row],[Discount %]] &gt; SalesCleanTable[[#This Row],[Max Allowed Discount]], "Discount loss", "Safe")</f>
        <v>Safe</v>
      </c>
      <c r="AD2573" s="4">
        <f>SalesCleanTable[[#This Row],[Unit Price]] - SalesCleanTable[[#This Row],[Unit Cost]]</f>
        <v>170</v>
      </c>
      <c r="AE2573" s="41">
        <f>(SalesCleanTable[[#This Row],[Unit Price]] - SalesCleanTable[[#This Row],[Unit Cost]]) / SalesCleanTable[[#This Row],[Unit Price]]</f>
        <v>0.42499999999999999</v>
      </c>
    </row>
    <row r="2574" spans="1:31">
      <c r="A2574" t="s">
        <v>2760</v>
      </c>
      <c r="B2574" s="6">
        <v>45769</v>
      </c>
      <c r="C2574" t="s">
        <v>32</v>
      </c>
      <c r="D2574" t="s">
        <v>33</v>
      </c>
      <c r="E2574" t="s">
        <v>26</v>
      </c>
      <c r="F2574" t="s">
        <v>34</v>
      </c>
      <c r="G2574" t="s">
        <v>35</v>
      </c>
      <c r="H2574" t="s">
        <v>133</v>
      </c>
      <c r="I2574" t="s">
        <v>134</v>
      </c>
      <c r="J2574" t="s">
        <v>130</v>
      </c>
      <c r="K2574" t="s">
        <v>131</v>
      </c>
      <c r="L2574" t="s">
        <v>166</v>
      </c>
      <c r="M2574" t="s">
        <v>171</v>
      </c>
      <c r="N2574">
        <v>8</v>
      </c>
      <c r="O2574" s="4">
        <v>7800</v>
      </c>
      <c r="P2574" s="4">
        <v>9800</v>
      </c>
      <c r="Q2574" s="7">
        <v>0.1</v>
      </c>
      <c r="R2574" t="s">
        <v>173</v>
      </c>
      <c r="S2574">
        <v>13</v>
      </c>
      <c r="T2574">
        <v>78400</v>
      </c>
      <c r="U2574">
        <v>7840</v>
      </c>
      <c r="V2574">
        <v>70560</v>
      </c>
      <c r="W2574">
        <v>62400</v>
      </c>
      <c r="X2574">
        <v>8160</v>
      </c>
      <c r="Y2574" s="8">
        <v>0.11564625850340136</v>
      </c>
      <c r="Z2574" t="s">
        <v>2995</v>
      </c>
      <c r="AA2574" t="str">
        <f>IF(AND(SalesCleanTable[[#This Row],[Discount %]]&gt;0, SalesCleanTable[[#This Row],[Profit]]&lt;0), "Discount loss", "Safe")</f>
        <v>Safe</v>
      </c>
      <c r="AB2574" s="25">
        <f>(SalesCleanTable[[#This Row],[Unit Price]] - SalesCleanTable[[#This Row],[Unit Cost]]) / SalesCleanTable[[#This Row],[Unit Price]]</f>
        <v>0.20408163265306123</v>
      </c>
      <c r="AC2574" t="str">
        <f>IF(SalesCleanTable[[#This Row],[Discount %]] &gt; SalesCleanTable[[#This Row],[Max Allowed Discount]], "Discount loss", "Safe")</f>
        <v>Safe</v>
      </c>
      <c r="AD2574" s="4">
        <f>SalesCleanTable[[#This Row],[Unit Price]] - SalesCleanTable[[#This Row],[Unit Cost]]</f>
        <v>2000</v>
      </c>
      <c r="AE2574" s="41">
        <f>(SalesCleanTable[[#This Row],[Unit Price]] - SalesCleanTable[[#This Row],[Unit Cost]]) / SalesCleanTable[[#This Row],[Unit Price]]</f>
        <v>0.20408163265306123</v>
      </c>
    </row>
    <row r="2575" spans="1:31">
      <c r="A2575" t="s">
        <v>2761</v>
      </c>
      <c r="B2575" s="6">
        <v>45827</v>
      </c>
      <c r="C2575" t="s">
        <v>49</v>
      </c>
      <c r="D2575" t="s">
        <v>50</v>
      </c>
      <c r="E2575" t="s">
        <v>38</v>
      </c>
      <c r="F2575" t="s">
        <v>51</v>
      </c>
      <c r="G2575" t="s">
        <v>52</v>
      </c>
      <c r="H2575" t="s">
        <v>135</v>
      </c>
      <c r="I2575" t="s">
        <v>136</v>
      </c>
      <c r="J2575" t="s">
        <v>137</v>
      </c>
      <c r="K2575" t="s">
        <v>138</v>
      </c>
      <c r="L2575" t="s">
        <v>166</v>
      </c>
      <c r="M2575" t="s">
        <v>171</v>
      </c>
      <c r="N2575">
        <v>2</v>
      </c>
      <c r="O2575" s="4">
        <v>550</v>
      </c>
      <c r="P2575" s="4">
        <v>850</v>
      </c>
      <c r="Q2575" s="7">
        <v>0</v>
      </c>
      <c r="R2575" t="s">
        <v>168</v>
      </c>
      <c r="S2575">
        <v>5</v>
      </c>
      <c r="T2575">
        <v>1700</v>
      </c>
      <c r="U2575">
        <v>0</v>
      </c>
      <c r="V2575">
        <v>1700</v>
      </c>
      <c r="W2575">
        <v>1100</v>
      </c>
      <c r="X2575">
        <v>600</v>
      </c>
      <c r="Y2575" s="8">
        <v>0.35294117647058826</v>
      </c>
      <c r="Z2575" t="s">
        <v>2996</v>
      </c>
      <c r="AA2575" t="str">
        <f>IF(AND(SalesCleanTable[[#This Row],[Discount %]]&gt;0, SalesCleanTable[[#This Row],[Profit]]&lt;0), "Discount loss", "Safe")</f>
        <v>Safe</v>
      </c>
      <c r="AB2575" s="25">
        <f>(SalesCleanTable[[#This Row],[Unit Price]] - SalesCleanTable[[#This Row],[Unit Cost]]) / SalesCleanTable[[#This Row],[Unit Price]]</f>
        <v>0.35294117647058826</v>
      </c>
      <c r="AC2575" t="str">
        <f>IF(SalesCleanTable[[#This Row],[Discount %]] &gt; SalesCleanTable[[#This Row],[Max Allowed Discount]], "Discount loss", "Safe")</f>
        <v>Safe</v>
      </c>
      <c r="AD2575" s="4">
        <f>SalesCleanTable[[#This Row],[Unit Price]] - SalesCleanTable[[#This Row],[Unit Cost]]</f>
        <v>300</v>
      </c>
      <c r="AE2575" s="41">
        <f>(SalesCleanTable[[#This Row],[Unit Price]] - SalesCleanTable[[#This Row],[Unit Cost]]) / SalesCleanTable[[#This Row],[Unit Price]]</f>
        <v>0.35294117647058826</v>
      </c>
    </row>
    <row r="2576" spans="1:31">
      <c r="A2576" t="s">
        <v>2762</v>
      </c>
      <c r="B2576" s="6">
        <v>45838</v>
      </c>
      <c r="C2576" t="s">
        <v>36</v>
      </c>
      <c r="D2576" t="s">
        <v>37</v>
      </c>
      <c r="E2576" t="s">
        <v>38</v>
      </c>
      <c r="F2576" t="s">
        <v>39</v>
      </c>
      <c r="G2576" t="s">
        <v>40</v>
      </c>
      <c r="H2576" t="s">
        <v>141</v>
      </c>
      <c r="I2576" t="s">
        <v>142</v>
      </c>
      <c r="J2576" t="s">
        <v>143</v>
      </c>
      <c r="K2576" t="s">
        <v>144</v>
      </c>
      <c r="L2576" t="s">
        <v>183</v>
      </c>
      <c r="M2576" t="s">
        <v>171</v>
      </c>
      <c r="N2576">
        <v>6</v>
      </c>
      <c r="O2576" s="4">
        <v>1650</v>
      </c>
      <c r="P2576" s="4">
        <v>2200</v>
      </c>
      <c r="Q2576" s="7">
        <v>0.15</v>
      </c>
      <c r="R2576" t="s">
        <v>175</v>
      </c>
      <c r="S2576">
        <v>7</v>
      </c>
      <c r="T2576">
        <v>13200</v>
      </c>
      <c r="U2576">
        <v>1980</v>
      </c>
      <c r="V2576">
        <v>11220</v>
      </c>
      <c r="W2576">
        <v>9900</v>
      </c>
      <c r="X2576">
        <v>1320</v>
      </c>
      <c r="Y2576" s="8">
        <v>0.11764705882352941</v>
      </c>
      <c r="Z2576" t="s">
        <v>2995</v>
      </c>
      <c r="AA2576" t="str">
        <f>IF(AND(SalesCleanTable[[#This Row],[Discount %]]&gt;0, SalesCleanTable[[#This Row],[Profit]]&lt;0), "Discount loss", "Safe")</f>
        <v>Safe</v>
      </c>
      <c r="AB2576" s="25">
        <f>(SalesCleanTable[[#This Row],[Unit Price]] - SalesCleanTable[[#This Row],[Unit Cost]]) / SalesCleanTable[[#This Row],[Unit Price]]</f>
        <v>0.25</v>
      </c>
      <c r="AC2576" t="str">
        <f>IF(SalesCleanTable[[#This Row],[Discount %]] &gt; SalesCleanTable[[#This Row],[Max Allowed Discount]], "Discount loss", "Safe")</f>
        <v>Safe</v>
      </c>
      <c r="AD2576" s="4">
        <f>SalesCleanTable[[#This Row],[Unit Price]] - SalesCleanTable[[#This Row],[Unit Cost]]</f>
        <v>550</v>
      </c>
      <c r="AE2576" s="41">
        <f>(SalesCleanTable[[#This Row],[Unit Price]] - SalesCleanTable[[#This Row],[Unit Cost]]) / SalesCleanTable[[#This Row],[Unit Price]]</f>
        <v>0.25</v>
      </c>
    </row>
    <row r="2577" spans="1:31">
      <c r="A2577" t="s">
        <v>2763</v>
      </c>
      <c r="B2577" s="6">
        <v>45832</v>
      </c>
      <c r="C2577" t="s">
        <v>29</v>
      </c>
      <c r="D2577" t="s">
        <v>30</v>
      </c>
      <c r="E2577" t="s">
        <v>26</v>
      </c>
      <c r="F2577" t="s">
        <v>27</v>
      </c>
      <c r="G2577" t="s">
        <v>31</v>
      </c>
      <c r="H2577" t="s">
        <v>133</v>
      </c>
      <c r="I2577" t="s">
        <v>134</v>
      </c>
      <c r="J2577" t="s">
        <v>130</v>
      </c>
      <c r="K2577" t="s">
        <v>131</v>
      </c>
      <c r="L2577" t="s">
        <v>166</v>
      </c>
      <c r="M2577" t="s">
        <v>177</v>
      </c>
      <c r="N2577">
        <v>3</v>
      </c>
      <c r="O2577" s="4">
        <v>6200</v>
      </c>
      <c r="P2577" s="4">
        <v>7900</v>
      </c>
      <c r="Q2577" s="7">
        <v>0.15</v>
      </c>
      <c r="R2577" t="s">
        <v>173</v>
      </c>
      <c r="S2577">
        <v>3</v>
      </c>
      <c r="T2577">
        <v>23700</v>
      </c>
      <c r="U2577">
        <v>3555</v>
      </c>
      <c r="V2577">
        <v>20145</v>
      </c>
      <c r="W2577">
        <v>18600</v>
      </c>
      <c r="X2577">
        <v>1545</v>
      </c>
      <c r="Y2577" s="8">
        <v>7.6693968726731204E-2</v>
      </c>
      <c r="Z2577" t="s">
        <v>2996</v>
      </c>
      <c r="AA2577" t="str">
        <f>IF(AND(SalesCleanTable[[#This Row],[Discount %]]&gt;0, SalesCleanTable[[#This Row],[Profit]]&lt;0), "Discount loss", "Safe")</f>
        <v>Safe</v>
      </c>
      <c r="AB2577" s="25">
        <f>(SalesCleanTable[[#This Row],[Unit Price]] - SalesCleanTable[[#This Row],[Unit Cost]]) / SalesCleanTable[[#This Row],[Unit Price]]</f>
        <v>0.21518987341772153</v>
      </c>
      <c r="AC2577" t="str">
        <f>IF(SalesCleanTable[[#This Row],[Discount %]] &gt; SalesCleanTable[[#This Row],[Max Allowed Discount]], "Discount loss", "Safe")</f>
        <v>Safe</v>
      </c>
      <c r="AD2577" s="4">
        <f>SalesCleanTable[[#This Row],[Unit Price]] - SalesCleanTable[[#This Row],[Unit Cost]]</f>
        <v>1700</v>
      </c>
      <c r="AE2577" s="41">
        <f>(SalesCleanTable[[#This Row],[Unit Price]] - SalesCleanTable[[#This Row],[Unit Cost]]) / SalesCleanTable[[#This Row],[Unit Price]]</f>
        <v>0.21518987341772153</v>
      </c>
    </row>
    <row r="2578" spans="1:31">
      <c r="A2578" t="s">
        <v>2764</v>
      </c>
      <c r="B2578" s="6">
        <v>46016</v>
      </c>
      <c r="C2578" t="s">
        <v>78</v>
      </c>
      <c r="D2578" t="s">
        <v>79</v>
      </c>
      <c r="E2578" t="s">
        <v>75</v>
      </c>
      <c r="F2578" t="s">
        <v>80</v>
      </c>
      <c r="G2578" t="s">
        <v>81</v>
      </c>
      <c r="H2578" t="s">
        <v>139</v>
      </c>
      <c r="I2578" t="s">
        <v>140</v>
      </c>
      <c r="J2578" t="s">
        <v>137</v>
      </c>
      <c r="K2578" t="s">
        <v>138</v>
      </c>
      <c r="L2578" t="s">
        <v>183</v>
      </c>
      <c r="M2578" t="s">
        <v>171</v>
      </c>
      <c r="N2578">
        <v>1</v>
      </c>
      <c r="O2578" s="4">
        <v>1200</v>
      </c>
      <c r="P2578" s="4">
        <v>1900</v>
      </c>
      <c r="Q2578" s="7">
        <v>0.1</v>
      </c>
      <c r="R2578" t="s">
        <v>187</v>
      </c>
      <c r="S2578">
        <v>3</v>
      </c>
      <c r="T2578">
        <v>1900</v>
      </c>
      <c r="U2578">
        <v>190</v>
      </c>
      <c r="V2578">
        <v>1710</v>
      </c>
      <c r="W2578">
        <v>1200</v>
      </c>
      <c r="X2578">
        <v>510</v>
      </c>
      <c r="Y2578" s="8">
        <v>0.2982456140350877</v>
      </c>
      <c r="Z2578" t="s">
        <v>2996</v>
      </c>
      <c r="AA2578" t="str">
        <f>IF(AND(SalesCleanTable[[#This Row],[Discount %]]&gt;0, SalesCleanTable[[#This Row],[Profit]]&lt;0), "Discount loss", "Safe")</f>
        <v>Safe</v>
      </c>
      <c r="AB2578" s="25">
        <f>(SalesCleanTable[[#This Row],[Unit Price]] - SalesCleanTable[[#This Row],[Unit Cost]]) / SalesCleanTable[[#This Row],[Unit Price]]</f>
        <v>0.36842105263157893</v>
      </c>
      <c r="AC2578" t="str">
        <f>IF(SalesCleanTable[[#This Row],[Discount %]] &gt; SalesCleanTable[[#This Row],[Max Allowed Discount]], "Discount loss", "Safe")</f>
        <v>Safe</v>
      </c>
      <c r="AD2578" s="4">
        <f>SalesCleanTable[[#This Row],[Unit Price]] - SalesCleanTable[[#This Row],[Unit Cost]]</f>
        <v>700</v>
      </c>
      <c r="AE2578" s="41">
        <f>(SalesCleanTable[[#This Row],[Unit Price]] - SalesCleanTable[[#This Row],[Unit Cost]]) / SalesCleanTable[[#This Row],[Unit Price]]</f>
        <v>0.36842105263157893</v>
      </c>
    </row>
    <row r="2579" spans="1:31">
      <c r="A2579" t="s">
        <v>2765</v>
      </c>
      <c r="B2579" s="6">
        <v>46003</v>
      </c>
      <c r="C2579" t="s">
        <v>32</v>
      </c>
      <c r="D2579" t="s">
        <v>33</v>
      </c>
      <c r="E2579" t="s">
        <v>26</v>
      </c>
      <c r="F2579" t="s">
        <v>34</v>
      </c>
      <c r="G2579" t="s">
        <v>35</v>
      </c>
      <c r="H2579" t="s">
        <v>139</v>
      </c>
      <c r="I2579" t="s">
        <v>140</v>
      </c>
      <c r="J2579" t="s">
        <v>137</v>
      </c>
      <c r="K2579" t="s">
        <v>138</v>
      </c>
      <c r="L2579" t="s">
        <v>166</v>
      </c>
      <c r="M2579" t="s">
        <v>171</v>
      </c>
      <c r="N2579">
        <v>3</v>
      </c>
      <c r="O2579" s="4">
        <v>7800</v>
      </c>
      <c r="P2579" s="4">
        <v>9800</v>
      </c>
      <c r="Q2579" s="7">
        <v>0.2</v>
      </c>
      <c r="R2579" t="s">
        <v>194</v>
      </c>
      <c r="S2579">
        <v>11</v>
      </c>
      <c r="T2579">
        <v>29400</v>
      </c>
      <c r="U2579">
        <v>5880</v>
      </c>
      <c r="V2579">
        <v>23520</v>
      </c>
      <c r="W2579">
        <v>23400</v>
      </c>
      <c r="X2579">
        <v>120</v>
      </c>
      <c r="Y2579" s="8">
        <v>5.1020408163265302E-3</v>
      </c>
      <c r="Z2579" t="s">
        <v>2995</v>
      </c>
      <c r="AA2579" t="str">
        <f>IF(AND(SalesCleanTable[[#This Row],[Discount %]]&gt;0, SalesCleanTable[[#This Row],[Profit]]&lt;0), "Discount loss", "Safe")</f>
        <v>Safe</v>
      </c>
      <c r="AB2579" s="25">
        <f>(SalesCleanTable[[#This Row],[Unit Price]] - SalesCleanTable[[#This Row],[Unit Cost]]) / SalesCleanTable[[#This Row],[Unit Price]]</f>
        <v>0.20408163265306123</v>
      </c>
      <c r="AC2579" t="str">
        <f>IF(SalesCleanTable[[#This Row],[Discount %]] &gt; SalesCleanTable[[#This Row],[Max Allowed Discount]], "Discount loss", "Safe")</f>
        <v>Safe</v>
      </c>
      <c r="AD2579" s="4">
        <f>SalesCleanTable[[#This Row],[Unit Price]] - SalesCleanTable[[#This Row],[Unit Cost]]</f>
        <v>2000</v>
      </c>
      <c r="AE2579" s="41">
        <f>(SalesCleanTable[[#This Row],[Unit Price]] - SalesCleanTable[[#This Row],[Unit Cost]]) / SalesCleanTable[[#This Row],[Unit Price]]</f>
        <v>0.20408163265306123</v>
      </c>
    </row>
    <row r="2580" spans="1:31">
      <c r="A2580" t="s">
        <v>2766</v>
      </c>
      <c r="B2580" s="6">
        <v>45829</v>
      </c>
      <c r="C2580" t="s">
        <v>41</v>
      </c>
      <c r="D2580" t="s">
        <v>42</v>
      </c>
      <c r="E2580" t="s">
        <v>26</v>
      </c>
      <c r="F2580" t="s">
        <v>43</v>
      </c>
      <c r="G2580" t="s">
        <v>44</v>
      </c>
      <c r="H2580" t="s">
        <v>133</v>
      </c>
      <c r="I2580" t="s">
        <v>134</v>
      </c>
      <c r="J2580" t="s">
        <v>130</v>
      </c>
      <c r="K2580" t="s">
        <v>131</v>
      </c>
      <c r="L2580" t="s">
        <v>166</v>
      </c>
      <c r="M2580" t="s">
        <v>177</v>
      </c>
      <c r="N2580">
        <v>4</v>
      </c>
      <c r="O2580" s="4">
        <v>850</v>
      </c>
      <c r="P2580" s="4">
        <v>1300</v>
      </c>
      <c r="Q2580" s="7">
        <v>0</v>
      </c>
      <c r="R2580" t="s">
        <v>197</v>
      </c>
      <c r="S2580">
        <v>7</v>
      </c>
      <c r="T2580">
        <v>5200</v>
      </c>
      <c r="U2580">
        <v>0</v>
      </c>
      <c r="V2580">
        <v>5200</v>
      </c>
      <c r="W2580">
        <v>3400</v>
      </c>
      <c r="X2580">
        <v>1800</v>
      </c>
      <c r="Y2580" s="8">
        <v>0.34615384615384615</v>
      </c>
      <c r="Z2580" t="s">
        <v>2995</v>
      </c>
      <c r="AA2580" t="str">
        <f>IF(AND(SalesCleanTable[[#This Row],[Discount %]]&gt;0, SalesCleanTable[[#This Row],[Profit]]&lt;0), "Discount loss", "Safe")</f>
        <v>Safe</v>
      </c>
      <c r="AB2580" s="25">
        <f>(SalesCleanTable[[#This Row],[Unit Price]] - SalesCleanTable[[#This Row],[Unit Cost]]) / SalesCleanTable[[#This Row],[Unit Price]]</f>
        <v>0.34615384615384615</v>
      </c>
      <c r="AC2580" t="str">
        <f>IF(SalesCleanTable[[#This Row],[Discount %]] &gt; SalesCleanTable[[#This Row],[Max Allowed Discount]], "Discount loss", "Safe")</f>
        <v>Safe</v>
      </c>
      <c r="AD2580" s="4">
        <f>SalesCleanTable[[#This Row],[Unit Price]] - SalesCleanTable[[#This Row],[Unit Cost]]</f>
        <v>450</v>
      </c>
      <c r="AE2580" s="41">
        <f>(SalesCleanTable[[#This Row],[Unit Price]] - SalesCleanTable[[#This Row],[Unit Cost]]) / SalesCleanTable[[#This Row],[Unit Price]]</f>
        <v>0.34615384615384615</v>
      </c>
    </row>
    <row r="2581" spans="1:31">
      <c r="A2581" t="s">
        <v>2767</v>
      </c>
      <c r="B2581" s="6">
        <v>45922</v>
      </c>
      <c r="C2581" t="s">
        <v>82</v>
      </c>
      <c r="D2581" t="s">
        <v>83</v>
      </c>
      <c r="E2581" t="s">
        <v>75</v>
      </c>
      <c r="F2581" t="s">
        <v>84</v>
      </c>
      <c r="G2581" t="s">
        <v>85</v>
      </c>
      <c r="H2581" t="s">
        <v>141</v>
      </c>
      <c r="I2581" t="s">
        <v>142</v>
      </c>
      <c r="J2581" t="s">
        <v>143</v>
      </c>
      <c r="K2581" t="s">
        <v>144</v>
      </c>
      <c r="L2581" t="s">
        <v>166</v>
      </c>
      <c r="M2581" t="s">
        <v>177</v>
      </c>
      <c r="N2581">
        <v>2</v>
      </c>
      <c r="O2581" s="4">
        <v>600</v>
      </c>
      <c r="P2581" s="4">
        <v>950</v>
      </c>
      <c r="Q2581" s="7">
        <v>0</v>
      </c>
      <c r="R2581" t="s">
        <v>187</v>
      </c>
      <c r="S2581">
        <v>10</v>
      </c>
      <c r="T2581">
        <v>1900</v>
      </c>
      <c r="U2581">
        <v>0</v>
      </c>
      <c r="V2581">
        <v>1900</v>
      </c>
      <c r="W2581">
        <v>1200</v>
      </c>
      <c r="X2581">
        <v>700</v>
      </c>
      <c r="Y2581" s="8">
        <v>0.36842105263157893</v>
      </c>
      <c r="Z2581" t="s">
        <v>2996</v>
      </c>
      <c r="AA2581" t="str">
        <f>IF(AND(SalesCleanTable[[#This Row],[Discount %]]&gt;0, SalesCleanTable[[#This Row],[Profit]]&lt;0), "Discount loss", "Safe")</f>
        <v>Safe</v>
      </c>
      <c r="AB2581" s="25">
        <f>(SalesCleanTable[[#This Row],[Unit Price]] - SalesCleanTable[[#This Row],[Unit Cost]]) / SalesCleanTable[[#This Row],[Unit Price]]</f>
        <v>0.36842105263157893</v>
      </c>
      <c r="AC2581" t="str">
        <f>IF(SalesCleanTable[[#This Row],[Discount %]] &gt; SalesCleanTable[[#This Row],[Max Allowed Discount]], "Discount loss", "Safe")</f>
        <v>Safe</v>
      </c>
      <c r="AD2581" s="4">
        <f>SalesCleanTable[[#This Row],[Unit Price]] - SalesCleanTable[[#This Row],[Unit Cost]]</f>
        <v>350</v>
      </c>
      <c r="AE2581" s="41">
        <f>(SalesCleanTable[[#This Row],[Unit Price]] - SalesCleanTable[[#This Row],[Unit Cost]]) / SalesCleanTable[[#This Row],[Unit Price]]</f>
        <v>0.36842105263157893</v>
      </c>
    </row>
    <row r="2582" spans="1:31">
      <c r="A2582" t="s">
        <v>2768</v>
      </c>
      <c r="B2582" s="6">
        <v>45669</v>
      </c>
      <c r="C2582" t="s">
        <v>24</v>
      </c>
      <c r="D2582" t="s">
        <v>25</v>
      </c>
      <c r="E2582" t="s">
        <v>26</v>
      </c>
      <c r="F2582" t="s">
        <v>27</v>
      </c>
      <c r="G2582" t="s">
        <v>28</v>
      </c>
      <c r="H2582" t="s">
        <v>153</v>
      </c>
      <c r="I2582" t="s">
        <v>154</v>
      </c>
      <c r="J2582" t="s">
        <v>155</v>
      </c>
      <c r="K2582" t="s">
        <v>131</v>
      </c>
      <c r="L2582" t="s">
        <v>183</v>
      </c>
      <c r="M2582" t="s">
        <v>167</v>
      </c>
      <c r="N2582">
        <v>2</v>
      </c>
      <c r="O2582" s="4">
        <v>14500</v>
      </c>
      <c r="P2582" s="4">
        <v>17500</v>
      </c>
      <c r="Q2582" s="7">
        <v>0.15</v>
      </c>
      <c r="R2582" t="s">
        <v>173</v>
      </c>
      <c r="S2582">
        <v>10</v>
      </c>
      <c r="T2582">
        <v>35000</v>
      </c>
      <c r="U2582">
        <v>5250</v>
      </c>
      <c r="V2582">
        <v>29750</v>
      </c>
      <c r="W2582">
        <v>29000</v>
      </c>
      <c r="X2582">
        <v>750</v>
      </c>
      <c r="Y2582" s="8">
        <v>2.5210084033613446E-2</v>
      </c>
      <c r="Z2582" t="s">
        <v>2995</v>
      </c>
      <c r="AA2582" t="str">
        <f>IF(AND(SalesCleanTable[[#This Row],[Discount %]]&gt;0, SalesCleanTable[[#This Row],[Profit]]&lt;0), "Discount loss", "Safe")</f>
        <v>Safe</v>
      </c>
      <c r="AB2582" s="25">
        <f>(SalesCleanTable[[#This Row],[Unit Price]] - SalesCleanTable[[#This Row],[Unit Cost]]) / SalesCleanTable[[#This Row],[Unit Price]]</f>
        <v>0.17142857142857143</v>
      </c>
      <c r="AC2582" t="str">
        <f>IF(SalesCleanTable[[#This Row],[Discount %]] &gt; SalesCleanTable[[#This Row],[Max Allowed Discount]], "Discount loss", "Safe")</f>
        <v>Safe</v>
      </c>
      <c r="AD2582" s="4">
        <f>SalesCleanTable[[#This Row],[Unit Price]] - SalesCleanTable[[#This Row],[Unit Cost]]</f>
        <v>3000</v>
      </c>
      <c r="AE2582" s="41">
        <f>(SalesCleanTable[[#This Row],[Unit Price]] - SalesCleanTable[[#This Row],[Unit Cost]]) / SalesCleanTable[[#This Row],[Unit Price]]</f>
        <v>0.17142857142857143</v>
      </c>
    </row>
    <row r="2583" spans="1:31">
      <c r="A2583" t="s">
        <v>2769</v>
      </c>
      <c r="B2583" s="6">
        <v>45734</v>
      </c>
      <c r="C2583" t="s">
        <v>103</v>
      </c>
      <c r="D2583" t="s">
        <v>104</v>
      </c>
      <c r="E2583" t="s">
        <v>92</v>
      </c>
      <c r="F2583" t="s">
        <v>105</v>
      </c>
      <c r="G2583" t="s">
        <v>106</v>
      </c>
      <c r="H2583" t="s">
        <v>145</v>
      </c>
      <c r="I2583" t="s">
        <v>146</v>
      </c>
      <c r="J2583" t="s">
        <v>147</v>
      </c>
      <c r="K2583" t="s">
        <v>148</v>
      </c>
      <c r="L2583" t="s">
        <v>166</v>
      </c>
      <c r="M2583" t="s">
        <v>171</v>
      </c>
      <c r="N2583">
        <v>1</v>
      </c>
      <c r="O2583" s="4">
        <v>1500</v>
      </c>
      <c r="P2583" s="4">
        <v>2500</v>
      </c>
      <c r="Q2583" s="7">
        <v>0</v>
      </c>
      <c r="R2583" t="s">
        <v>215</v>
      </c>
      <c r="S2583">
        <v>9</v>
      </c>
      <c r="T2583">
        <v>2500</v>
      </c>
      <c r="U2583">
        <v>0</v>
      </c>
      <c r="V2583">
        <v>2500</v>
      </c>
      <c r="W2583">
        <v>1500</v>
      </c>
      <c r="X2583">
        <v>1000</v>
      </c>
      <c r="Y2583" s="8">
        <v>0.4</v>
      </c>
      <c r="Z2583" t="s">
        <v>2996</v>
      </c>
      <c r="AA2583" t="str">
        <f>IF(AND(SalesCleanTable[[#This Row],[Discount %]]&gt;0, SalesCleanTable[[#This Row],[Profit]]&lt;0), "Discount loss", "Safe")</f>
        <v>Safe</v>
      </c>
      <c r="AB2583" s="25">
        <f>(SalesCleanTable[[#This Row],[Unit Price]] - SalesCleanTable[[#This Row],[Unit Cost]]) / SalesCleanTable[[#This Row],[Unit Price]]</f>
        <v>0.4</v>
      </c>
      <c r="AC2583" t="str">
        <f>IF(SalesCleanTable[[#This Row],[Discount %]] &gt; SalesCleanTable[[#This Row],[Max Allowed Discount]], "Discount loss", "Safe")</f>
        <v>Safe</v>
      </c>
      <c r="AD2583" s="4">
        <f>SalesCleanTable[[#This Row],[Unit Price]] - SalesCleanTable[[#This Row],[Unit Cost]]</f>
        <v>1000</v>
      </c>
      <c r="AE2583" s="41">
        <f>(SalesCleanTable[[#This Row],[Unit Price]] - SalesCleanTable[[#This Row],[Unit Cost]]) / SalesCleanTable[[#This Row],[Unit Price]]</f>
        <v>0.4</v>
      </c>
    </row>
    <row r="2584" spans="1:31">
      <c r="A2584" t="s">
        <v>2770</v>
      </c>
      <c r="B2584" s="6">
        <v>45852</v>
      </c>
      <c r="C2584" t="s">
        <v>69</v>
      </c>
      <c r="D2584" t="s">
        <v>70</v>
      </c>
      <c r="E2584" t="s">
        <v>59</v>
      </c>
      <c r="F2584" t="s">
        <v>71</v>
      </c>
      <c r="G2584" t="s">
        <v>72</v>
      </c>
      <c r="H2584" t="s">
        <v>128</v>
      </c>
      <c r="I2584" t="s">
        <v>129</v>
      </c>
      <c r="J2584" t="s">
        <v>130</v>
      </c>
      <c r="K2584" t="s">
        <v>131</v>
      </c>
      <c r="L2584" t="s">
        <v>183</v>
      </c>
      <c r="M2584" t="s">
        <v>177</v>
      </c>
      <c r="N2584">
        <v>3</v>
      </c>
      <c r="O2584" s="4">
        <v>1700</v>
      </c>
      <c r="P2584" s="4">
        <v>2600</v>
      </c>
      <c r="Q2584" s="7">
        <v>0.2</v>
      </c>
      <c r="R2584" t="s">
        <v>173</v>
      </c>
      <c r="S2584">
        <v>9</v>
      </c>
      <c r="T2584">
        <v>7800</v>
      </c>
      <c r="U2584">
        <v>1560</v>
      </c>
      <c r="V2584">
        <v>6240</v>
      </c>
      <c r="W2584">
        <v>5100</v>
      </c>
      <c r="X2584">
        <v>1140</v>
      </c>
      <c r="Y2584" s="8">
        <v>0.18269230769230768</v>
      </c>
      <c r="Z2584" t="s">
        <v>2997</v>
      </c>
      <c r="AA2584" t="str">
        <f>IF(AND(SalesCleanTable[[#This Row],[Discount %]]&gt;0, SalesCleanTable[[#This Row],[Profit]]&lt;0), "Discount loss", "Safe")</f>
        <v>Safe</v>
      </c>
      <c r="AB2584" s="25">
        <f>(SalesCleanTable[[#This Row],[Unit Price]] - SalesCleanTable[[#This Row],[Unit Cost]]) / SalesCleanTable[[#This Row],[Unit Price]]</f>
        <v>0.34615384615384615</v>
      </c>
      <c r="AC2584" t="str">
        <f>IF(SalesCleanTable[[#This Row],[Discount %]] &gt; SalesCleanTable[[#This Row],[Max Allowed Discount]], "Discount loss", "Safe")</f>
        <v>Safe</v>
      </c>
      <c r="AD2584" s="4">
        <f>SalesCleanTable[[#This Row],[Unit Price]] - SalesCleanTable[[#This Row],[Unit Cost]]</f>
        <v>900</v>
      </c>
      <c r="AE2584" s="41">
        <f>(SalesCleanTable[[#This Row],[Unit Price]] - SalesCleanTable[[#This Row],[Unit Cost]]) / SalesCleanTable[[#This Row],[Unit Price]]</f>
        <v>0.34615384615384615</v>
      </c>
    </row>
    <row r="2585" spans="1:31">
      <c r="A2585" t="s">
        <v>2771</v>
      </c>
      <c r="B2585" s="6">
        <v>46007</v>
      </c>
      <c r="C2585" t="s">
        <v>53</v>
      </c>
      <c r="D2585" t="s">
        <v>54</v>
      </c>
      <c r="E2585" t="s">
        <v>38</v>
      </c>
      <c r="F2585" t="s">
        <v>55</v>
      </c>
      <c r="G2585" t="s">
        <v>56</v>
      </c>
      <c r="H2585" t="s">
        <v>135</v>
      </c>
      <c r="I2585" t="s">
        <v>136</v>
      </c>
      <c r="J2585" t="s">
        <v>137</v>
      </c>
      <c r="K2585" t="s">
        <v>138</v>
      </c>
      <c r="L2585" t="s">
        <v>183</v>
      </c>
      <c r="M2585" t="s">
        <v>171</v>
      </c>
      <c r="N2585">
        <v>1</v>
      </c>
      <c r="O2585" s="4">
        <v>330</v>
      </c>
      <c r="P2585" s="4">
        <v>550</v>
      </c>
      <c r="Q2585" s="7">
        <v>0.2</v>
      </c>
      <c r="R2585" t="s">
        <v>178</v>
      </c>
      <c r="S2585">
        <v>1</v>
      </c>
      <c r="T2585">
        <v>550</v>
      </c>
      <c r="U2585">
        <v>110</v>
      </c>
      <c r="V2585">
        <v>440</v>
      </c>
      <c r="W2585">
        <v>330</v>
      </c>
      <c r="X2585">
        <v>110</v>
      </c>
      <c r="Y2585" s="8">
        <v>0.25</v>
      </c>
      <c r="Z2585" t="s">
        <v>2996</v>
      </c>
      <c r="AA2585" t="str">
        <f>IF(AND(SalesCleanTable[[#This Row],[Discount %]]&gt;0, SalesCleanTable[[#This Row],[Profit]]&lt;0), "Discount loss", "Safe")</f>
        <v>Safe</v>
      </c>
      <c r="AB2585" s="25">
        <f>(SalesCleanTable[[#This Row],[Unit Price]] - SalesCleanTable[[#This Row],[Unit Cost]]) / SalesCleanTable[[#This Row],[Unit Price]]</f>
        <v>0.4</v>
      </c>
      <c r="AC2585" t="str">
        <f>IF(SalesCleanTable[[#This Row],[Discount %]] &gt; SalesCleanTable[[#This Row],[Max Allowed Discount]], "Discount loss", "Safe")</f>
        <v>Safe</v>
      </c>
      <c r="AD2585" s="4">
        <f>SalesCleanTable[[#This Row],[Unit Price]] - SalesCleanTable[[#This Row],[Unit Cost]]</f>
        <v>220</v>
      </c>
      <c r="AE2585" s="41">
        <f>(SalesCleanTable[[#This Row],[Unit Price]] - SalesCleanTable[[#This Row],[Unit Cost]]) / SalesCleanTable[[#This Row],[Unit Price]]</f>
        <v>0.4</v>
      </c>
    </row>
    <row r="2586" spans="1:31">
      <c r="A2586" t="s">
        <v>2772</v>
      </c>
      <c r="B2586" s="6">
        <v>45798</v>
      </c>
      <c r="C2586" t="s">
        <v>78</v>
      </c>
      <c r="D2586" t="s">
        <v>79</v>
      </c>
      <c r="E2586" t="s">
        <v>75</v>
      </c>
      <c r="F2586" t="s">
        <v>80</v>
      </c>
      <c r="G2586" t="s">
        <v>81</v>
      </c>
      <c r="H2586" t="s">
        <v>128</v>
      </c>
      <c r="I2586" t="s">
        <v>129</v>
      </c>
      <c r="J2586" t="s">
        <v>130</v>
      </c>
      <c r="K2586" t="s">
        <v>131</v>
      </c>
      <c r="L2586" t="s">
        <v>183</v>
      </c>
      <c r="M2586" t="s">
        <v>186</v>
      </c>
      <c r="N2586">
        <v>2</v>
      </c>
      <c r="O2586" s="4">
        <v>1200</v>
      </c>
      <c r="P2586" s="4">
        <v>1900</v>
      </c>
      <c r="Q2586" s="7">
        <v>0.05</v>
      </c>
      <c r="R2586" t="s">
        <v>187</v>
      </c>
      <c r="S2586">
        <v>7</v>
      </c>
      <c r="T2586">
        <v>3800</v>
      </c>
      <c r="U2586">
        <v>190</v>
      </c>
      <c r="V2586">
        <v>3610</v>
      </c>
      <c r="W2586">
        <v>2400</v>
      </c>
      <c r="X2586">
        <v>1210</v>
      </c>
      <c r="Y2586" s="8">
        <v>0.33518005540166207</v>
      </c>
      <c r="Z2586" t="s">
        <v>2996</v>
      </c>
      <c r="AA2586" t="str">
        <f>IF(AND(SalesCleanTable[[#This Row],[Discount %]]&gt;0, SalesCleanTable[[#This Row],[Profit]]&lt;0), "Discount loss", "Safe")</f>
        <v>Safe</v>
      </c>
      <c r="AB2586" s="25">
        <f>(SalesCleanTable[[#This Row],[Unit Price]] - SalesCleanTable[[#This Row],[Unit Cost]]) / SalesCleanTable[[#This Row],[Unit Price]]</f>
        <v>0.36842105263157893</v>
      </c>
      <c r="AC2586" t="str">
        <f>IF(SalesCleanTable[[#This Row],[Discount %]] &gt; SalesCleanTable[[#This Row],[Max Allowed Discount]], "Discount loss", "Safe")</f>
        <v>Safe</v>
      </c>
      <c r="AD2586" s="4">
        <f>SalesCleanTable[[#This Row],[Unit Price]] - SalesCleanTable[[#This Row],[Unit Cost]]</f>
        <v>700</v>
      </c>
      <c r="AE2586" s="41">
        <f>(SalesCleanTable[[#This Row],[Unit Price]] - SalesCleanTable[[#This Row],[Unit Cost]]) / SalesCleanTable[[#This Row],[Unit Price]]</f>
        <v>0.36842105263157893</v>
      </c>
    </row>
    <row r="2587" spans="1:31">
      <c r="A2587" t="s">
        <v>2773</v>
      </c>
      <c r="B2587" s="6">
        <v>45770</v>
      </c>
      <c r="C2587" t="s">
        <v>103</v>
      </c>
      <c r="D2587" t="s">
        <v>104</v>
      </c>
      <c r="E2587" t="s">
        <v>92</v>
      </c>
      <c r="F2587" t="s">
        <v>105</v>
      </c>
      <c r="G2587" t="s">
        <v>106</v>
      </c>
      <c r="H2587" t="s">
        <v>135</v>
      </c>
      <c r="I2587" t="s">
        <v>136</v>
      </c>
      <c r="J2587" t="s">
        <v>137</v>
      </c>
      <c r="K2587" t="s">
        <v>138</v>
      </c>
      <c r="L2587" t="s">
        <v>170</v>
      </c>
      <c r="M2587" t="s">
        <v>167</v>
      </c>
      <c r="N2587">
        <v>5</v>
      </c>
      <c r="O2587" s="4">
        <v>1500</v>
      </c>
      <c r="P2587" s="4">
        <v>2500</v>
      </c>
      <c r="Q2587" s="7">
        <v>0.05</v>
      </c>
      <c r="R2587" t="s">
        <v>217</v>
      </c>
      <c r="S2587">
        <v>4</v>
      </c>
      <c r="T2587">
        <v>12500</v>
      </c>
      <c r="U2587">
        <v>625</v>
      </c>
      <c r="V2587">
        <v>11875</v>
      </c>
      <c r="W2587">
        <v>7500</v>
      </c>
      <c r="X2587">
        <v>4375</v>
      </c>
      <c r="Y2587" s="8">
        <v>0.36842105263157893</v>
      </c>
      <c r="Z2587" t="s">
        <v>2996</v>
      </c>
      <c r="AA2587" t="str">
        <f>IF(AND(SalesCleanTable[[#This Row],[Discount %]]&gt;0, SalesCleanTable[[#This Row],[Profit]]&lt;0), "Discount loss", "Safe")</f>
        <v>Safe</v>
      </c>
      <c r="AB2587" s="25">
        <f>(SalesCleanTable[[#This Row],[Unit Price]] - SalesCleanTable[[#This Row],[Unit Cost]]) / SalesCleanTable[[#This Row],[Unit Price]]</f>
        <v>0.4</v>
      </c>
      <c r="AC2587" t="str">
        <f>IF(SalesCleanTable[[#This Row],[Discount %]] &gt; SalesCleanTable[[#This Row],[Max Allowed Discount]], "Discount loss", "Safe")</f>
        <v>Safe</v>
      </c>
      <c r="AD2587" s="4">
        <f>SalesCleanTable[[#This Row],[Unit Price]] - SalesCleanTable[[#This Row],[Unit Cost]]</f>
        <v>1000</v>
      </c>
      <c r="AE2587" s="41">
        <f>(SalesCleanTable[[#This Row],[Unit Price]] - SalesCleanTable[[#This Row],[Unit Cost]]) / SalesCleanTable[[#This Row],[Unit Price]]</f>
        <v>0.4</v>
      </c>
    </row>
    <row r="2588" spans="1:31">
      <c r="A2588" t="s">
        <v>2774</v>
      </c>
      <c r="B2588" s="6">
        <v>45785</v>
      </c>
      <c r="C2588" t="s">
        <v>53</v>
      </c>
      <c r="D2588" t="s">
        <v>54</v>
      </c>
      <c r="E2588" t="s">
        <v>38</v>
      </c>
      <c r="F2588" t="s">
        <v>55</v>
      </c>
      <c r="G2588" t="s">
        <v>56</v>
      </c>
      <c r="H2588" t="s">
        <v>149</v>
      </c>
      <c r="I2588" t="s">
        <v>150</v>
      </c>
      <c r="J2588" t="s">
        <v>151</v>
      </c>
      <c r="K2588" t="s">
        <v>152</v>
      </c>
      <c r="L2588" t="s">
        <v>183</v>
      </c>
      <c r="M2588" t="s">
        <v>171</v>
      </c>
      <c r="N2588">
        <v>4</v>
      </c>
      <c r="O2588" s="4">
        <v>330</v>
      </c>
      <c r="P2588" s="4">
        <v>550</v>
      </c>
      <c r="Q2588" s="7">
        <v>0.05</v>
      </c>
      <c r="R2588" t="s">
        <v>175</v>
      </c>
      <c r="S2588">
        <v>5</v>
      </c>
      <c r="T2588">
        <v>2200</v>
      </c>
      <c r="U2588">
        <v>110</v>
      </c>
      <c r="V2588">
        <v>2090</v>
      </c>
      <c r="W2588">
        <v>1320</v>
      </c>
      <c r="X2588">
        <v>770</v>
      </c>
      <c r="Y2588" s="8">
        <v>0.36842105263157893</v>
      </c>
      <c r="Z2588" t="s">
        <v>2996</v>
      </c>
      <c r="AA2588" t="str">
        <f>IF(AND(SalesCleanTable[[#This Row],[Discount %]]&gt;0, SalesCleanTable[[#This Row],[Profit]]&lt;0), "Discount loss", "Safe")</f>
        <v>Safe</v>
      </c>
      <c r="AB2588" s="25">
        <f>(SalesCleanTable[[#This Row],[Unit Price]] - SalesCleanTable[[#This Row],[Unit Cost]]) / SalesCleanTable[[#This Row],[Unit Price]]</f>
        <v>0.4</v>
      </c>
      <c r="AC2588" t="str">
        <f>IF(SalesCleanTable[[#This Row],[Discount %]] &gt; SalesCleanTable[[#This Row],[Max Allowed Discount]], "Discount loss", "Safe")</f>
        <v>Safe</v>
      </c>
      <c r="AD2588" s="4">
        <f>SalesCleanTable[[#This Row],[Unit Price]] - SalesCleanTable[[#This Row],[Unit Cost]]</f>
        <v>220</v>
      </c>
      <c r="AE2588" s="41">
        <f>(SalesCleanTable[[#This Row],[Unit Price]] - SalesCleanTable[[#This Row],[Unit Cost]]) / SalesCleanTable[[#This Row],[Unit Price]]</f>
        <v>0.4</v>
      </c>
    </row>
    <row r="2589" spans="1:31">
      <c r="A2589" t="s">
        <v>2775</v>
      </c>
      <c r="B2589" s="6">
        <v>45919</v>
      </c>
      <c r="C2589" t="s">
        <v>45</v>
      </c>
      <c r="D2589" t="s">
        <v>46</v>
      </c>
      <c r="E2589" t="s">
        <v>38</v>
      </c>
      <c r="F2589" t="s">
        <v>47</v>
      </c>
      <c r="G2589" t="s">
        <v>48</v>
      </c>
      <c r="H2589" t="s">
        <v>135</v>
      </c>
      <c r="I2589" t="s">
        <v>136</v>
      </c>
      <c r="J2589" t="s">
        <v>137</v>
      </c>
      <c r="K2589" t="s">
        <v>138</v>
      </c>
      <c r="L2589" t="s">
        <v>166</v>
      </c>
      <c r="M2589" t="s">
        <v>171</v>
      </c>
      <c r="N2589">
        <v>1</v>
      </c>
      <c r="O2589" s="4">
        <v>230</v>
      </c>
      <c r="P2589" s="4">
        <v>400</v>
      </c>
      <c r="Q2589" s="7">
        <v>0.15</v>
      </c>
      <c r="R2589" t="s">
        <v>178</v>
      </c>
      <c r="S2589">
        <v>1</v>
      </c>
      <c r="T2589">
        <v>400</v>
      </c>
      <c r="U2589">
        <v>60</v>
      </c>
      <c r="V2589">
        <v>340</v>
      </c>
      <c r="W2589">
        <v>230</v>
      </c>
      <c r="X2589">
        <v>110</v>
      </c>
      <c r="Y2589" s="8">
        <v>0.3235294117647059</v>
      </c>
      <c r="Z2589" t="s">
        <v>2995</v>
      </c>
      <c r="AA2589" t="str">
        <f>IF(AND(SalesCleanTable[[#This Row],[Discount %]]&gt;0, SalesCleanTable[[#This Row],[Profit]]&lt;0), "Discount loss", "Safe")</f>
        <v>Safe</v>
      </c>
      <c r="AB2589" s="25">
        <f>(SalesCleanTable[[#This Row],[Unit Price]] - SalesCleanTable[[#This Row],[Unit Cost]]) / SalesCleanTable[[#This Row],[Unit Price]]</f>
        <v>0.42499999999999999</v>
      </c>
      <c r="AC2589" t="str">
        <f>IF(SalesCleanTable[[#This Row],[Discount %]] &gt; SalesCleanTable[[#This Row],[Max Allowed Discount]], "Discount loss", "Safe")</f>
        <v>Safe</v>
      </c>
      <c r="AD2589" s="4">
        <f>SalesCleanTable[[#This Row],[Unit Price]] - SalesCleanTable[[#This Row],[Unit Cost]]</f>
        <v>170</v>
      </c>
      <c r="AE2589" s="41">
        <f>(SalesCleanTable[[#This Row],[Unit Price]] - SalesCleanTable[[#This Row],[Unit Cost]]) / SalesCleanTable[[#This Row],[Unit Price]]</f>
        <v>0.42499999999999999</v>
      </c>
    </row>
    <row r="2590" spans="1:31">
      <c r="A2590" t="s">
        <v>2776</v>
      </c>
      <c r="B2590" s="6">
        <v>45978</v>
      </c>
      <c r="C2590" t="s">
        <v>32</v>
      </c>
      <c r="D2590" t="s">
        <v>33</v>
      </c>
      <c r="E2590" t="s">
        <v>26</v>
      </c>
      <c r="F2590" t="s">
        <v>34</v>
      </c>
      <c r="G2590" t="s">
        <v>35</v>
      </c>
      <c r="H2590" t="s">
        <v>128</v>
      </c>
      <c r="I2590" t="s">
        <v>129</v>
      </c>
      <c r="J2590" t="s">
        <v>130</v>
      </c>
      <c r="K2590" t="s">
        <v>131</v>
      </c>
      <c r="L2590" t="s">
        <v>166</v>
      </c>
      <c r="M2590" t="s">
        <v>186</v>
      </c>
      <c r="N2590">
        <v>2</v>
      </c>
      <c r="O2590" s="4">
        <v>7800</v>
      </c>
      <c r="P2590" s="4">
        <v>9800</v>
      </c>
      <c r="Q2590" s="7">
        <v>0</v>
      </c>
      <c r="R2590" t="s">
        <v>173</v>
      </c>
      <c r="S2590">
        <v>6</v>
      </c>
      <c r="T2590">
        <v>19600</v>
      </c>
      <c r="U2590">
        <v>0</v>
      </c>
      <c r="V2590">
        <v>19600</v>
      </c>
      <c r="W2590">
        <v>15600</v>
      </c>
      <c r="X2590">
        <v>4000</v>
      </c>
      <c r="Y2590" s="8">
        <v>0.20408163265306123</v>
      </c>
      <c r="Z2590" t="s">
        <v>2995</v>
      </c>
      <c r="AA2590" t="str">
        <f>IF(AND(SalesCleanTable[[#This Row],[Discount %]]&gt;0, SalesCleanTable[[#This Row],[Profit]]&lt;0), "Discount loss", "Safe")</f>
        <v>Safe</v>
      </c>
      <c r="AB2590" s="25">
        <f>(SalesCleanTable[[#This Row],[Unit Price]] - SalesCleanTable[[#This Row],[Unit Cost]]) / SalesCleanTable[[#This Row],[Unit Price]]</f>
        <v>0.20408163265306123</v>
      </c>
      <c r="AC2590" t="str">
        <f>IF(SalesCleanTable[[#This Row],[Discount %]] &gt; SalesCleanTable[[#This Row],[Max Allowed Discount]], "Discount loss", "Safe")</f>
        <v>Safe</v>
      </c>
      <c r="AD2590" s="4">
        <f>SalesCleanTable[[#This Row],[Unit Price]] - SalesCleanTable[[#This Row],[Unit Cost]]</f>
        <v>2000</v>
      </c>
      <c r="AE2590" s="41">
        <f>(SalesCleanTable[[#This Row],[Unit Price]] - SalesCleanTable[[#This Row],[Unit Cost]]) / SalesCleanTable[[#This Row],[Unit Price]]</f>
        <v>0.20408163265306123</v>
      </c>
    </row>
    <row r="2591" spans="1:31">
      <c r="A2591" t="s">
        <v>2777</v>
      </c>
      <c r="B2591" s="6">
        <v>45731</v>
      </c>
      <c r="C2591" t="s">
        <v>99</v>
      </c>
      <c r="D2591" t="s">
        <v>100</v>
      </c>
      <c r="E2591" t="s">
        <v>92</v>
      </c>
      <c r="F2591" t="s">
        <v>101</v>
      </c>
      <c r="G2591" t="s">
        <v>102</v>
      </c>
      <c r="H2591" t="s">
        <v>128</v>
      </c>
      <c r="I2591" t="s">
        <v>129</v>
      </c>
      <c r="J2591" t="s">
        <v>130</v>
      </c>
      <c r="K2591" t="s">
        <v>131</v>
      </c>
      <c r="L2591" t="s">
        <v>166</v>
      </c>
      <c r="M2591" t="s">
        <v>186</v>
      </c>
      <c r="N2591">
        <v>2</v>
      </c>
      <c r="O2591" s="4">
        <v>12500</v>
      </c>
      <c r="P2591" s="4">
        <v>18500</v>
      </c>
      <c r="Q2591" s="7">
        <v>0</v>
      </c>
      <c r="R2591" t="s">
        <v>217</v>
      </c>
      <c r="S2591">
        <v>3</v>
      </c>
      <c r="T2591">
        <v>37000</v>
      </c>
      <c r="U2591">
        <v>0</v>
      </c>
      <c r="V2591">
        <v>37000</v>
      </c>
      <c r="W2591">
        <v>25000</v>
      </c>
      <c r="X2591">
        <v>12000</v>
      </c>
      <c r="Y2591" s="8">
        <v>0.32432432432432434</v>
      </c>
      <c r="Z2591" t="s">
        <v>2995</v>
      </c>
      <c r="AA2591" t="str">
        <f>IF(AND(SalesCleanTable[[#This Row],[Discount %]]&gt;0, SalesCleanTable[[#This Row],[Profit]]&lt;0), "Discount loss", "Safe")</f>
        <v>Safe</v>
      </c>
      <c r="AB2591" s="25">
        <f>(SalesCleanTable[[#This Row],[Unit Price]] - SalesCleanTable[[#This Row],[Unit Cost]]) / SalesCleanTable[[#This Row],[Unit Price]]</f>
        <v>0.32432432432432434</v>
      </c>
      <c r="AC2591" t="str">
        <f>IF(SalesCleanTable[[#This Row],[Discount %]] &gt; SalesCleanTable[[#This Row],[Max Allowed Discount]], "Discount loss", "Safe")</f>
        <v>Safe</v>
      </c>
      <c r="AD2591" s="4">
        <f>SalesCleanTable[[#This Row],[Unit Price]] - SalesCleanTable[[#This Row],[Unit Cost]]</f>
        <v>6000</v>
      </c>
      <c r="AE2591" s="41">
        <f>(SalesCleanTable[[#This Row],[Unit Price]] - SalesCleanTable[[#This Row],[Unit Cost]]) / SalesCleanTable[[#This Row],[Unit Price]]</f>
        <v>0.32432432432432434</v>
      </c>
    </row>
    <row r="2592" spans="1:31">
      <c r="A2592" t="s">
        <v>2778</v>
      </c>
      <c r="B2592" s="6">
        <v>45776</v>
      </c>
      <c r="C2592" t="s">
        <v>82</v>
      </c>
      <c r="D2592" t="s">
        <v>83</v>
      </c>
      <c r="E2592" t="s">
        <v>75</v>
      </c>
      <c r="F2592" t="s">
        <v>84</v>
      </c>
      <c r="G2592" t="s">
        <v>85</v>
      </c>
      <c r="H2592" t="s">
        <v>145</v>
      </c>
      <c r="I2592" t="s">
        <v>146</v>
      </c>
      <c r="J2592" t="s">
        <v>147</v>
      </c>
      <c r="K2592" t="s">
        <v>148</v>
      </c>
      <c r="L2592" t="s">
        <v>166</v>
      </c>
      <c r="M2592" t="s">
        <v>171</v>
      </c>
      <c r="N2592">
        <v>3</v>
      </c>
      <c r="O2592" s="4">
        <v>600</v>
      </c>
      <c r="P2592" s="4">
        <v>950</v>
      </c>
      <c r="Q2592" s="7">
        <v>0.1</v>
      </c>
      <c r="R2592" t="s">
        <v>208</v>
      </c>
      <c r="S2592">
        <v>14</v>
      </c>
      <c r="T2592">
        <v>2850</v>
      </c>
      <c r="U2592">
        <v>285</v>
      </c>
      <c r="V2592">
        <v>2565</v>
      </c>
      <c r="W2592">
        <v>1800</v>
      </c>
      <c r="X2592">
        <v>765</v>
      </c>
      <c r="Y2592" s="8">
        <v>0.2982456140350877</v>
      </c>
      <c r="Z2592" t="s">
        <v>2996</v>
      </c>
      <c r="AA2592" t="str">
        <f>IF(AND(SalesCleanTable[[#This Row],[Discount %]]&gt;0, SalesCleanTable[[#This Row],[Profit]]&lt;0), "Discount loss", "Safe")</f>
        <v>Safe</v>
      </c>
      <c r="AB2592" s="25">
        <f>(SalesCleanTable[[#This Row],[Unit Price]] - SalesCleanTable[[#This Row],[Unit Cost]]) / SalesCleanTable[[#This Row],[Unit Price]]</f>
        <v>0.36842105263157893</v>
      </c>
      <c r="AC2592" t="str">
        <f>IF(SalesCleanTable[[#This Row],[Discount %]] &gt; SalesCleanTable[[#This Row],[Max Allowed Discount]], "Discount loss", "Safe")</f>
        <v>Safe</v>
      </c>
      <c r="AD2592" s="4">
        <f>SalesCleanTable[[#This Row],[Unit Price]] - SalesCleanTable[[#This Row],[Unit Cost]]</f>
        <v>350</v>
      </c>
      <c r="AE2592" s="41">
        <f>(SalesCleanTable[[#This Row],[Unit Price]] - SalesCleanTable[[#This Row],[Unit Cost]]) / SalesCleanTable[[#This Row],[Unit Price]]</f>
        <v>0.36842105263157893</v>
      </c>
    </row>
    <row r="2593" spans="1:31">
      <c r="A2593" t="s">
        <v>2779</v>
      </c>
      <c r="B2593" s="6">
        <v>45725</v>
      </c>
      <c r="C2593" t="s">
        <v>66</v>
      </c>
      <c r="D2593" t="s">
        <v>67</v>
      </c>
      <c r="E2593" t="s">
        <v>59</v>
      </c>
      <c r="F2593" t="s">
        <v>60</v>
      </c>
      <c r="G2593" t="s">
        <v>68</v>
      </c>
      <c r="H2593" t="s">
        <v>135</v>
      </c>
      <c r="I2593" t="s">
        <v>136</v>
      </c>
      <c r="J2593" t="s">
        <v>137</v>
      </c>
      <c r="K2593" t="s">
        <v>138</v>
      </c>
      <c r="L2593" t="s">
        <v>183</v>
      </c>
      <c r="M2593" t="s">
        <v>177</v>
      </c>
      <c r="N2593">
        <v>6</v>
      </c>
      <c r="O2593" s="4">
        <v>2800</v>
      </c>
      <c r="P2593" s="4">
        <v>3900</v>
      </c>
      <c r="Q2593" s="7">
        <v>0.1</v>
      </c>
      <c r="R2593" t="s">
        <v>192</v>
      </c>
      <c r="S2593">
        <v>5</v>
      </c>
      <c r="T2593">
        <v>23400</v>
      </c>
      <c r="U2593">
        <v>2340</v>
      </c>
      <c r="V2593">
        <v>21060</v>
      </c>
      <c r="W2593">
        <v>16800</v>
      </c>
      <c r="X2593">
        <v>4260</v>
      </c>
      <c r="Y2593" s="8">
        <v>0.20227920227920229</v>
      </c>
      <c r="Z2593" t="s">
        <v>2996</v>
      </c>
      <c r="AA2593" t="str">
        <f>IF(AND(SalesCleanTable[[#This Row],[Discount %]]&gt;0, SalesCleanTable[[#This Row],[Profit]]&lt;0), "Discount loss", "Safe")</f>
        <v>Safe</v>
      </c>
      <c r="AB2593" s="25">
        <f>(SalesCleanTable[[#This Row],[Unit Price]] - SalesCleanTable[[#This Row],[Unit Cost]]) / SalesCleanTable[[#This Row],[Unit Price]]</f>
        <v>0.28205128205128205</v>
      </c>
      <c r="AC2593" t="str">
        <f>IF(SalesCleanTable[[#This Row],[Discount %]] &gt; SalesCleanTable[[#This Row],[Max Allowed Discount]], "Discount loss", "Safe")</f>
        <v>Safe</v>
      </c>
      <c r="AD2593" s="4">
        <f>SalesCleanTable[[#This Row],[Unit Price]] - SalesCleanTable[[#This Row],[Unit Cost]]</f>
        <v>1100</v>
      </c>
      <c r="AE2593" s="41">
        <f>(SalesCleanTable[[#This Row],[Unit Price]] - SalesCleanTable[[#This Row],[Unit Cost]]) / SalesCleanTable[[#This Row],[Unit Price]]</f>
        <v>0.28205128205128205</v>
      </c>
    </row>
    <row r="2594" spans="1:31">
      <c r="A2594" t="s">
        <v>2780</v>
      </c>
      <c r="B2594" s="6">
        <v>45894</v>
      </c>
      <c r="C2594" t="s">
        <v>62</v>
      </c>
      <c r="D2594" t="s">
        <v>63</v>
      </c>
      <c r="E2594" t="s">
        <v>59</v>
      </c>
      <c r="F2594" t="s">
        <v>64</v>
      </c>
      <c r="G2594" t="s">
        <v>65</v>
      </c>
      <c r="H2594" t="s">
        <v>149</v>
      </c>
      <c r="I2594" t="s">
        <v>150</v>
      </c>
      <c r="J2594" t="s">
        <v>151</v>
      </c>
      <c r="K2594" t="s">
        <v>152</v>
      </c>
      <c r="L2594" t="s">
        <v>183</v>
      </c>
      <c r="M2594" t="s">
        <v>177</v>
      </c>
      <c r="N2594">
        <v>8</v>
      </c>
      <c r="O2594" s="4">
        <v>3200</v>
      </c>
      <c r="P2594" s="4">
        <v>4500</v>
      </c>
      <c r="Q2594" s="7">
        <v>0.1</v>
      </c>
      <c r="R2594" t="s">
        <v>204</v>
      </c>
      <c r="S2594">
        <v>8</v>
      </c>
      <c r="T2594">
        <v>36000</v>
      </c>
      <c r="U2594">
        <v>3600</v>
      </c>
      <c r="V2594">
        <v>32400</v>
      </c>
      <c r="W2594">
        <v>25600</v>
      </c>
      <c r="X2594">
        <v>6800</v>
      </c>
      <c r="Y2594" s="8">
        <v>0.20987654320987653</v>
      </c>
      <c r="Z2594" t="s">
        <v>2996</v>
      </c>
      <c r="AA2594" t="str">
        <f>IF(AND(SalesCleanTable[[#This Row],[Discount %]]&gt;0, SalesCleanTable[[#This Row],[Profit]]&lt;0), "Discount loss", "Safe")</f>
        <v>Safe</v>
      </c>
      <c r="AB2594" s="25">
        <f>(SalesCleanTable[[#This Row],[Unit Price]] - SalesCleanTable[[#This Row],[Unit Cost]]) / SalesCleanTable[[#This Row],[Unit Price]]</f>
        <v>0.28888888888888886</v>
      </c>
      <c r="AC2594" t="str">
        <f>IF(SalesCleanTable[[#This Row],[Discount %]] &gt; SalesCleanTable[[#This Row],[Max Allowed Discount]], "Discount loss", "Safe")</f>
        <v>Safe</v>
      </c>
      <c r="AD2594" s="4">
        <f>SalesCleanTable[[#This Row],[Unit Price]] - SalesCleanTable[[#This Row],[Unit Cost]]</f>
        <v>1300</v>
      </c>
      <c r="AE2594" s="41">
        <f>(SalesCleanTable[[#This Row],[Unit Price]] - SalesCleanTable[[#This Row],[Unit Cost]]) / SalesCleanTable[[#This Row],[Unit Price]]</f>
        <v>0.28888888888888886</v>
      </c>
    </row>
    <row r="2595" spans="1:31">
      <c r="A2595" t="s">
        <v>2781</v>
      </c>
      <c r="B2595" s="6">
        <v>45895</v>
      </c>
      <c r="C2595" t="s">
        <v>103</v>
      </c>
      <c r="D2595" t="s">
        <v>104</v>
      </c>
      <c r="E2595" t="s">
        <v>92</v>
      </c>
      <c r="F2595" t="s">
        <v>105</v>
      </c>
      <c r="G2595" t="s">
        <v>106</v>
      </c>
      <c r="H2595" t="s">
        <v>128</v>
      </c>
      <c r="I2595" t="s">
        <v>129</v>
      </c>
      <c r="J2595" t="s">
        <v>130</v>
      </c>
      <c r="K2595" t="s">
        <v>131</v>
      </c>
      <c r="L2595" t="s">
        <v>183</v>
      </c>
      <c r="M2595" t="s">
        <v>177</v>
      </c>
      <c r="N2595">
        <v>1</v>
      </c>
      <c r="O2595" s="4">
        <v>1500</v>
      </c>
      <c r="P2595" s="4">
        <v>2500</v>
      </c>
      <c r="Q2595" s="7">
        <v>0.05</v>
      </c>
      <c r="R2595" t="s">
        <v>181</v>
      </c>
      <c r="S2595">
        <v>4</v>
      </c>
      <c r="T2595">
        <v>2500</v>
      </c>
      <c r="U2595">
        <v>125</v>
      </c>
      <c r="V2595">
        <v>2375</v>
      </c>
      <c r="W2595">
        <v>1500</v>
      </c>
      <c r="X2595">
        <v>875</v>
      </c>
      <c r="Y2595" s="8">
        <v>0.36842105263157893</v>
      </c>
      <c r="Z2595" t="s">
        <v>2996</v>
      </c>
      <c r="AA2595" t="str">
        <f>IF(AND(SalesCleanTable[[#This Row],[Discount %]]&gt;0, SalesCleanTable[[#This Row],[Profit]]&lt;0), "Discount loss", "Safe")</f>
        <v>Safe</v>
      </c>
      <c r="AB2595" s="25">
        <f>(SalesCleanTable[[#This Row],[Unit Price]] - SalesCleanTable[[#This Row],[Unit Cost]]) / SalesCleanTable[[#This Row],[Unit Price]]</f>
        <v>0.4</v>
      </c>
      <c r="AC2595" t="str">
        <f>IF(SalesCleanTable[[#This Row],[Discount %]] &gt; SalesCleanTable[[#This Row],[Max Allowed Discount]], "Discount loss", "Safe")</f>
        <v>Safe</v>
      </c>
      <c r="AD2595" s="4">
        <f>SalesCleanTable[[#This Row],[Unit Price]] - SalesCleanTable[[#This Row],[Unit Cost]]</f>
        <v>1000</v>
      </c>
      <c r="AE2595" s="41">
        <f>(SalesCleanTable[[#This Row],[Unit Price]] - SalesCleanTable[[#This Row],[Unit Cost]]) / SalesCleanTable[[#This Row],[Unit Price]]</f>
        <v>0.4</v>
      </c>
    </row>
    <row r="2596" spans="1:31">
      <c r="A2596" t="s">
        <v>2782</v>
      </c>
      <c r="B2596" s="6">
        <v>45970</v>
      </c>
      <c r="C2596" t="s">
        <v>57</v>
      </c>
      <c r="D2596" t="s">
        <v>58</v>
      </c>
      <c r="E2596" t="s">
        <v>59</v>
      </c>
      <c r="F2596" t="s">
        <v>60</v>
      </c>
      <c r="G2596" t="s">
        <v>61</v>
      </c>
      <c r="H2596" t="s">
        <v>128</v>
      </c>
      <c r="I2596" t="s">
        <v>129</v>
      </c>
      <c r="J2596" t="s">
        <v>130</v>
      </c>
      <c r="K2596" t="s">
        <v>131</v>
      </c>
      <c r="L2596" t="s">
        <v>170</v>
      </c>
      <c r="M2596" t="s">
        <v>171</v>
      </c>
      <c r="N2596">
        <v>2</v>
      </c>
      <c r="O2596" s="4">
        <v>2400</v>
      </c>
      <c r="P2596" s="4">
        <v>3400</v>
      </c>
      <c r="Q2596" s="7">
        <v>0.1</v>
      </c>
      <c r="R2596" t="s">
        <v>192</v>
      </c>
      <c r="S2596">
        <v>13</v>
      </c>
      <c r="T2596">
        <v>6800</v>
      </c>
      <c r="U2596">
        <v>680</v>
      </c>
      <c r="V2596">
        <v>6120</v>
      </c>
      <c r="W2596">
        <v>4800</v>
      </c>
      <c r="X2596">
        <v>1320</v>
      </c>
      <c r="Y2596" s="8">
        <v>0.21568627450980393</v>
      </c>
      <c r="Z2596" t="s">
        <v>2996</v>
      </c>
      <c r="AA2596" t="str">
        <f>IF(AND(SalesCleanTable[[#This Row],[Discount %]]&gt;0, SalesCleanTable[[#This Row],[Profit]]&lt;0), "Discount loss", "Safe")</f>
        <v>Safe</v>
      </c>
      <c r="AB2596" s="25">
        <f>(SalesCleanTable[[#This Row],[Unit Price]] - SalesCleanTable[[#This Row],[Unit Cost]]) / SalesCleanTable[[#This Row],[Unit Price]]</f>
        <v>0.29411764705882354</v>
      </c>
      <c r="AC2596" t="str">
        <f>IF(SalesCleanTable[[#This Row],[Discount %]] &gt; SalesCleanTable[[#This Row],[Max Allowed Discount]], "Discount loss", "Safe")</f>
        <v>Safe</v>
      </c>
      <c r="AD2596" s="4">
        <f>SalesCleanTable[[#This Row],[Unit Price]] - SalesCleanTable[[#This Row],[Unit Cost]]</f>
        <v>1000</v>
      </c>
      <c r="AE2596" s="41">
        <f>(SalesCleanTable[[#This Row],[Unit Price]] - SalesCleanTable[[#This Row],[Unit Cost]]) / SalesCleanTable[[#This Row],[Unit Price]]</f>
        <v>0.29411764705882354</v>
      </c>
    </row>
    <row r="2597" spans="1:31">
      <c r="A2597" t="s">
        <v>2783</v>
      </c>
      <c r="B2597" s="6">
        <v>45885</v>
      </c>
      <c r="C2597" t="s">
        <v>78</v>
      </c>
      <c r="D2597" t="s">
        <v>79</v>
      </c>
      <c r="E2597" t="s">
        <v>75</v>
      </c>
      <c r="F2597" t="s">
        <v>80</v>
      </c>
      <c r="G2597" t="s">
        <v>81</v>
      </c>
      <c r="H2597" t="s">
        <v>149</v>
      </c>
      <c r="I2597" t="s">
        <v>150</v>
      </c>
      <c r="J2597" t="s">
        <v>151</v>
      </c>
      <c r="K2597" t="s">
        <v>152</v>
      </c>
      <c r="L2597" t="s">
        <v>183</v>
      </c>
      <c r="M2597" t="s">
        <v>167</v>
      </c>
      <c r="N2597">
        <v>4</v>
      </c>
      <c r="O2597" s="4">
        <v>1200</v>
      </c>
      <c r="P2597" s="4">
        <v>1900</v>
      </c>
      <c r="Q2597" s="7">
        <v>0.2</v>
      </c>
      <c r="R2597" t="s">
        <v>187</v>
      </c>
      <c r="S2597">
        <v>12</v>
      </c>
      <c r="T2597">
        <v>7600</v>
      </c>
      <c r="U2597">
        <v>1520</v>
      </c>
      <c r="V2597">
        <v>6080</v>
      </c>
      <c r="W2597">
        <v>4800</v>
      </c>
      <c r="X2597">
        <v>1280</v>
      </c>
      <c r="Y2597" s="8">
        <v>0.21052631578947367</v>
      </c>
      <c r="Z2597" t="s">
        <v>2996</v>
      </c>
      <c r="AA2597" t="str">
        <f>IF(AND(SalesCleanTable[[#This Row],[Discount %]]&gt;0, SalesCleanTable[[#This Row],[Profit]]&lt;0), "Discount loss", "Safe")</f>
        <v>Safe</v>
      </c>
      <c r="AB2597" s="25">
        <f>(SalesCleanTable[[#This Row],[Unit Price]] - SalesCleanTable[[#This Row],[Unit Cost]]) / SalesCleanTable[[#This Row],[Unit Price]]</f>
        <v>0.36842105263157893</v>
      </c>
      <c r="AC2597" t="str">
        <f>IF(SalesCleanTable[[#This Row],[Discount %]] &gt; SalesCleanTable[[#This Row],[Max Allowed Discount]], "Discount loss", "Safe")</f>
        <v>Safe</v>
      </c>
      <c r="AD2597" s="4">
        <f>SalesCleanTable[[#This Row],[Unit Price]] - SalesCleanTable[[#This Row],[Unit Cost]]</f>
        <v>700</v>
      </c>
      <c r="AE2597" s="41">
        <f>(SalesCleanTable[[#This Row],[Unit Price]] - SalesCleanTable[[#This Row],[Unit Cost]]) / SalesCleanTable[[#This Row],[Unit Price]]</f>
        <v>0.36842105263157893</v>
      </c>
    </row>
    <row r="2598" spans="1:31">
      <c r="A2598" t="s">
        <v>2784</v>
      </c>
      <c r="B2598" s="6">
        <v>45907</v>
      </c>
      <c r="C2598" t="s">
        <v>49</v>
      </c>
      <c r="D2598" t="s">
        <v>50</v>
      </c>
      <c r="E2598" t="s">
        <v>38</v>
      </c>
      <c r="F2598" t="s">
        <v>51</v>
      </c>
      <c r="G2598" t="s">
        <v>52</v>
      </c>
      <c r="H2598" t="s">
        <v>145</v>
      </c>
      <c r="I2598" t="s">
        <v>146</v>
      </c>
      <c r="J2598" t="s">
        <v>147</v>
      </c>
      <c r="K2598" t="s">
        <v>148</v>
      </c>
      <c r="L2598" t="s">
        <v>183</v>
      </c>
      <c r="M2598" t="s">
        <v>171</v>
      </c>
      <c r="N2598">
        <v>1</v>
      </c>
      <c r="O2598" s="4">
        <v>550</v>
      </c>
      <c r="P2598" s="4">
        <v>850</v>
      </c>
      <c r="Q2598" s="7">
        <v>0</v>
      </c>
      <c r="R2598" t="s">
        <v>168</v>
      </c>
      <c r="S2598">
        <v>7</v>
      </c>
      <c r="T2598">
        <v>850</v>
      </c>
      <c r="U2598">
        <v>0</v>
      </c>
      <c r="V2598">
        <v>850</v>
      </c>
      <c r="W2598">
        <v>550</v>
      </c>
      <c r="X2598">
        <v>300</v>
      </c>
      <c r="Y2598" s="8">
        <v>0.35294117647058826</v>
      </c>
      <c r="Z2598" t="s">
        <v>2996</v>
      </c>
      <c r="AA2598" t="str">
        <f>IF(AND(SalesCleanTable[[#This Row],[Discount %]]&gt;0, SalesCleanTable[[#This Row],[Profit]]&lt;0), "Discount loss", "Safe")</f>
        <v>Safe</v>
      </c>
      <c r="AB2598" s="25">
        <f>(SalesCleanTable[[#This Row],[Unit Price]] - SalesCleanTable[[#This Row],[Unit Cost]]) / SalesCleanTable[[#This Row],[Unit Price]]</f>
        <v>0.35294117647058826</v>
      </c>
      <c r="AC2598" t="str">
        <f>IF(SalesCleanTable[[#This Row],[Discount %]] &gt; SalesCleanTable[[#This Row],[Max Allowed Discount]], "Discount loss", "Safe")</f>
        <v>Safe</v>
      </c>
      <c r="AD2598" s="4">
        <f>SalesCleanTable[[#This Row],[Unit Price]] - SalesCleanTable[[#This Row],[Unit Cost]]</f>
        <v>300</v>
      </c>
      <c r="AE2598" s="41">
        <f>(SalesCleanTable[[#This Row],[Unit Price]] - SalesCleanTable[[#This Row],[Unit Cost]]) / SalesCleanTable[[#This Row],[Unit Price]]</f>
        <v>0.35294117647058826</v>
      </c>
    </row>
    <row r="2599" spans="1:31">
      <c r="A2599" t="s">
        <v>2785</v>
      </c>
      <c r="B2599" s="6">
        <v>45715</v>
      </c>
      <c r="C2599" t="s">
        <v>29</v>
      </c>
      <c r="D2599" t="s">
        <v>30</v>
      </c>
      <c r="E2599" t="s">
        <v>26</v>
      </c>
      <c r="F2599" t="s">
        <v>27</v>
      </c>
      <c r="G2599" t="s">
        <v>31</v>
      </c>
      <c r="H2599" t="s">
        <v>128</v>
      </c>
      <c r="I2599" t="s">
        <v>129</v>
      </c>
      <c r="J2599" t="s">
        <v>130</v>
      </c>
      <c r="K2599" t="s">
        <v>131</v>
      </c>
      <c r="L2599" t="s">
        <v>183</v>
      </c>
      <c r="M2599" t="s">
        <v>171</v>
      </c>
      <c r="N2599">
        <v>5</v>
      </c>
      <c r="O2599" s="4">
        <v>6200</v>
      </c>
      <c r="P2599" s="4">
        <v>7900</v>
      </c>
      <c r="Q2599" s="7">
        <v>0</v>
      </c>
      <c r="R2599" t="s">
        <v>173</v>
      </c>
      <c r="S2599">
        <v>11</v>
      </c>
      <c r="T2599">
        <v>39500</v>
      </c>
      <c r="U2599">
        <v>0</v>
      </c>
      <c r="V2599">
        <v>39500</v>
      </c>
      <c r="W2599">
        <v>31000</v>
      </c>
      <c r="X2599">
        <v>8500</v>
      </c>
      <c r="Y2599" s="8">
        <v>0.21518987341772153</v>
      </c>
      <c r="Z2599" t="s">
        <v>2996</v>
      </c>
      <c r="AA2599" t="str">
        <f>IF(AND(SalesCleanTable[[#This Row],[Discount %]]&gt;0, SalesCleanTable[[#This Row],[Profit]]&lt;0), "Discount loss", "Safe")</f>
        <v>Safe</v>
      </c>
      <c r="AB2599" s="25">
        <f>(SalesCleanTable[[#This Row],[Unit Price]] - SalesCleanTable[[#This Row],[Unit Cost]]) / SalesCleanTable[[#This Row],[Unit Price]]</f>
        <v>0.21518987341772153</v>
      </c>
      <c r="AC2599" t="str">
        <f>IF(SalesCleanTable[[#This Row],[Discount %]] &gt; SalesCleanTable[[#This Row],[Max Allowed Discount]], "Discount loss", "Safe")</f>
        <v>Safe</v>
      </c>
      <c r="AD2599" s="4">
        <f>SalesCleanTable[[#This Row],[Unit Price]] - SalesCleanTable[[#This Row],[Unit Cost]]</f>
        <v>1700</v>
      </c>
      <c r="AE2599" s="41">
        <f>(SalesCleanTable[[#This Row],[Unit Price]] - SalesCleanTable[[#This Row],[Unit Cost]]) / SalesCleanTable[[#This Row],[Unit Price]]</f>
        <v>0.21518987341772153</v>
      </c>
    </row>
    <row r="2600" spans="1:31">
      <c r="A2600" t="s">
        <v>2786</v>
      </c>
      <c r="B2600" s="6">
        <v>45915</v>
      </c>
      <c r="C2600" t="s">
        <v>112</v>
      </c>
      <c r="D2600" t="s">
        <v>113</v>
      </c>
      <c r="E2600" t="s">
        <v>109</v>
      </c>
      <c r="F2600" t="s">
        <v>114</v>
      </c>
      <c r="G2600" t="s">
        <v>115</v>
      </c>
      <c r="H2600" t="s">
        <v>128</v>
      </c>
      <c r="I2600" t="s">
        <v>129</v>
      </c>
      <c r="J2600" t="s">
        <v>130</v>
      </c>
      <c r="K2600" t="s">
        <v>131</v>
      </c>
      <c r="L2600" t="s">
        <v>183</v>
      </c>
      <c r="M2600" t="s">
        <v>167</v>
      </c>
      <c r="N2600">
        <v>5</v>
      </c>
      <c r="O2600" s="4">
        <v>1300</v>
      </c>
      <c r="P2600" s="4">
        <v>2100</v>
      </c>
      <c r="Q2600" s="7">
        <v>0.15</v>
      </c>
      <c r="R2600" t="s">
        <v>235</v>
      </c>
      <c r="S2600">
        <v>7</v>
      </c>
      <c r="T2600">
        <v>10500</v>
      </c>
      <c r="U2600">
        <v>1575</v>
      </c>
      <c r="V2600">
        <v>8925</v>
      </c>
      <c r="W2600">
        <v>6500</v>
      </c>
      <c r="X2600">
        <v>2425</v>
      </c>
      <c r="Y2600" s="8">
        <v>0.27170868347338933</v>
      </c>
      <c r="Z2600" t="s">
        <v>2995</v>
      </c>
      <c r="AA2600" t="str">
        <f>IF(AND(SalesCleanTable[[#This Row],[Discount %]]&gt;0, SalesCleanTable[[#This Row],[Profit]]&lt;0), "Discount loss", "Safe")</f>
        <v>Safe</v>
      </c>
      <c r="AB2600" s="25">
        <f>(SalesCleanTable[[#This Row],[Unit Price]] - SalesCleanTable[[#This Row],[Unit Cost]]) / SalesCleanTable[[#This Row],[Unit Price]]</f>
        <v>0.38095238095238093</v>
      </c>
      <c r="AC2600" t="str">
        <f>IF(SalesCleanTable[[#This Row],[Discount %]] &gt; SalesCleanTable[[#This Row],[Max Allowed Discount]], "Discount loss", "Safe")</f>
        <v>Safe</v>
      </c>
      <c r="AD2600" s="4">
        <f>SalesCleanTable[[#This Row],[Unit Price]] - SalesCleanTable[[#This Row],[Unit Cost]]</f>
        <v>800</v>
      </c>
      <c r="AE2600" s="41">
        <f>(SalesCleanTable[[#This Row],[Unit Price]] - SalesCleanTable[[#This Row],[Unit Cost]]) / SalesCleanTable[[#This Row],[Unit Price]]</f>
        <v>0.38095238095238093</v>
      </c>
    </row>
    <row r="2601" spans="1:31">
      <c r="A2601" t="s">
        <v>2787</v>
      </c>
      <c r="B2601" s="6">
        <v>46003</v>
      </c>
      <c r="C2601" t="s">
        <v>66</v>
      </c>
      <c r="D2601" t="s">
        <v>67</v>
      </c>
      <c r="E2601" t="s">
        <v>59</v>
      </c>
      <c r="F2601" t="s">
        <v>60</v>
      </c>
      <c r="G2601" t="s">
        <v>68</v>
      </c>
      <c r="H2601" t="s">
        <v>128</v>
      </c>
      <c r="I2601" t="s">
        <v>129</v>
      </c>
      <c r="J2601" t="s">
        <v>130</v>
      </c>
      <c r="K2601" t="s">
        <v>131</v>
      </c>
      <c r="L2601" t="s">
        <v>170</v>
      </c>
      <c r="M2601" t="s">
        <v>171</v>
      </c>
      <c r="N2601">
        <v>5</v>
      </c>
      <c r="O2601" s="4">
        <v>2800</v>
      </c>
      <c r="P2601" s="4">
        <v>3900</v>
      </c>
      <c r="Q2601" s="7">
        <v>0</v>
      </c>
      <c r="R2601" t="s">
        <v>204</v>
      </c>
      <c r="S2601">
        <v>8</v>
      </c>
      <c r="T2601">
        <v>19500</v>
      </c>
      <c r="U2601">
        <v>0</v>
      </c>
      <c r="V2601">
        <v>19500</v>
      </c>
      <c r="W2601">
        <v>14000</v>
      </c>
      <c r="X2601">
        <v>5500</v>
      </c>
      <c r="Y2601" s="8">
        <v>0.28205128205128205</v>
      </c>
      <c r="Z2601" t="s">
        <v>2996</v>
      </c>
      <c r="AA2601" t="str">
        <f>IF(AND(SalesCleanTable[[#This Row],[Discount %]]&gt;0, SalesCleanTable[[#This Row],[Profit]]&lt;0), "Discount loss", "Safe")</f>
        <v>Safe</v>
      </c>
      <c r="AB2601" s="25">
        <f>(SalesCleanTable[[#This Row],[Unit Price]] - SalesCleanTable[[#This Row],[Unit Cost]]) / SalesCleanTable[[#This Row],[Unit Price]]</f>
        <v>0.28205128205128205</v>
      </c>
      <c r="AC2601" t="str">
        <f>IF(SalesCleanTable[[#This Row],[Discount %]] &gt; SalesCleanTable[[#This Row],[Max Allowed Discount]], "Discount loss", "Safe")</f>
        <v>Safe</v>
      </c>
      <c r="AD2601" s="4">
        <f>SalesCleanTable[[#This Row],[Unit Price]] - SalesCleanTable[[#This Row],[Unit Cost]]</f>
        <v>1100</v>
      </c>
      <c r="AE2601" s="41">
        <f>(SalesCleanTable[[#This Row],[Unit Price]] - SalesCleanTable[[#This Row],[Unit Cost]]) / SalesCleanTable[[#This Row],[Unit Price]]</f>
        <v>0.28205128205128205</v>
      </c>
    </row>
    <row r="2602" spans="1:31">
      <c r="A2602" t="s">
        <v>2788</v>
      </c>
      <c r="B2602" s="6">
        <v>45984</v>
      </c>
      <c r="C2602" t="s">
        <v>29</v>
      </c>
      <c r="D2602" t="s">
        <v>30</v>
      </c>
      <c r="E2602" t="s">
        <v>26</v>
      </c>
      <c r="F2602" t="s">
        <v>27</v>
      </c>
      <c r="G2602" t="s">
        <v>31</v>
      </c>
      <c r="H2602" t="s">
        <v>133</v>
      </c>
      <c r="I2602" t="s">
        <v>134</v>
      </c>
      <c r="J2602" t="s">
        <v>130</v>
      </c>
      <c r="K2602" t="s">
        <v>131</v>
      </c>
      <c r="L2602" t="s">
        <v>183</v>
      </c>
      <c r="M2602" t="s">
        <v>171</v>
      </c>
      <c r="N2602">
        <v>1</v>
      </c>
      <c r="O2602" s="4">
        <v>6200</v>
      </c>
      <c r="P2602" s="4">
        <v>7900</v>
      </c>
      <c r="Q2602" s="7">
        <v>0.05</v>
      </c>
      <c r="R2602" t="s">
        <v>194</v>
      </c>
      <c r="S2602">
        <v>7</v>
      </c>
      <c r="T2602">
        <v>7900</v>
      </c>
      <c r="U2602">
        <v>395</v>
      </c>
      <c r="V2602">
        <v>7505</v>
      </c>
      <c r="W2602">
        <v>6200</v>
      </c>
      <c r="X2602">
        <v>1305</v>
      </c>
      <c r="Y2602" s="8">
        <v>0.17388407728181213</v>
      </c>
      <c r="Z2602" t="s">
        <v>2996</v>
      </c>
      <c r="AA2602" t="str">
        <f>IF(AND(SalesCleanTable[[#This Row],[Discount %]]&gt;0, SalesCleanTable[[#This Row],[Profit]]&lt;0), "Discount loss", "Safe")</f>
        <v>Safe</v>
      </c>
      <c r="AB2602" s="25">
        <f>(SalesCleanTable[[#This Row],[Unit Price]] - SalesCleanTable[[#This Row],[Unit Cost]]) / SalesCleanTable[[#This Row],[Unit Price]]</f>
        <v>0.21518987341772153</v>
      </c>
      <c r="AC2602" t="str">
        <f>IF(SalesCleanTable[[#This Row],[Discount %]] &gt; SalesCleanTable[[#This Row],[Max Allowed Discount]], "Discount loss", "Safe")</f>
        <v>Safe</v>
      </c>
      <c r="AD2602" s="4">
        <f>SalesCleanTable[[#This Row],[Unit Price]] - SalesCleanTable[[#This Row],[Unit Cost]]</f>
        <v>1700</v>
      </c>
      <c r="AE2602" s="41">
        <f>(SalesCleanTable[[#This Row],[Unit Price]] - SalesCleanTable[[#This Row],[Unit Cost]]) / SalesCleanTable[[#This Row],[Unit Price]]</f>
        <v>0.21518987341772153</v>
      </c>
    </row>
    <row r="2603" spans="1:31">
      <c r="A2603" t="s">
        <v>2789</v>
      </c>
      <c r="B2603" s="6">
        <v>45964</v>
      </c>
      <c r="C2603" t="s">
        <v>32</v>
      </c>
      <c r="D2603" t="s">
        <v>33</v>
      </c>
      <c r="E2603" t="s">
        <v>26</v>
      </c>
      <c r="F2603" t="s">
        <v>34</v>
      </c>
      <c r="G2603" t="s">
        <v>35</v>
      </c>
      <c r="H2603" t="s">
        <v>139</v>
      </c>
      <c r="I2603" t="s">
        <v>140</v>
      </c>
      <c r="J2603" t="s">
        <v>137</v>
      </c>
      <c r="K2603" t="s">
        <v>138</v>
      </c>
      <c r="L2603" t="s">
        <v>166</v>
      </c>
      <c r="M2603" t="s">
        <v>171</v>
      </c>
      <c r="N2603">
        <v>2</v>
      </c>
      <c r="O2603" s="4">
        <v>7800</v>
      </c>
      <c r="P2603" s="4">
        <v>9800</v>
      </c>
      <c r="Q2603" s="7">
        <v>0.05</v>
      </c>
      <c r="R2603" t="s">
        <v>197</v>
      </c>
      <c r="S2603">
        <v>14</v>
      </c>
      <c r="T2603">
        <v>19600</v>
      </c>
      <c r="U2603">
        <v>980</v>
      </c>
      <c r="V2603">
        <v>18620</v>
      </c>
      <c r="W2603">
        <v>15600</v>
      </c>
      <c r="X2603">
        <v>3020</v>
      </c>
      <c r="Y2603" s="8">
        <v>0.16219119226638024</v>
      </c>
      <c r="Z2603" t="s">
        <v>2995</v>
      </c>
      <c r="AA2603" t="str">
        <f>IF(AND(SalesCleanTable[[#This Row],[Discount %]]&gt;0, SalesCleanTable[[#This Row],[Profit]]&lt;0), "Discount loss", "Safe")</f>
        <v>Safe</v>
      </c>
      <c r="AB2603" s="25">
        <f>(SalesCleanTable[[#This Row],[Unit Price]] - SalesCleanTable[[#This Row],[Unit Cost]]) / SalesCleanTable[[#This Row],[Unit Price]]</f>
        <v>0.20408163265306123</v>
      </c>
      <c r="AC2603" t="str">
        <f>IF(SalesCleanTable[[#This Row],[Discount %]] &gt; SalesCleanTable[[#This Row],[Max Allowed Discount]], "Discount loss", "Safe")</f>
        <v>Safe</v>
      </c>
      <c r="AD2603" s="4">
        <f>SalesCleanTable[[#This Row],[Unit Price]] - SalesCleanTable[[#This Row],[Unit Cost]]</f>
        <v>2000</v>
      </c>
      <c r="AE2603" s="41">
        <f>(SalesCleanTable[[#This Row],[Unit Price]] - SalesCleanTable[[#This Row],[Unit Cost]]) / SalesCleanTable[[#This Row],[Unit Price]]</f>
        <v>0.20408163265306123</v>
      </c>
    </row>
    <row r="2604" spans="1:31">
      <c r="A2604" t="s">
        <v>2790</v>
      </c>
      <c r="B2604" s="6">
        <v>45791</v>
      </c>
      <c r="C2604" t="s">
        <v>73</v>
      </c>
      <c r="D2604" t="s">
        <v>74</v>
      </c>
      <c r="E2604" t="s">
        <v>75</v>
      </c>
      <c r="F2604" t="s">
        <v>76</v>
      </c>
      <c r="G2604" t="s">
        <v>77</v>
      </c>
      <c r="H2604" t="s">
        <v>145</v>
      </c>
      <c r="I2604" t="s">
        <v>146</v>
      </c>
      <c r="J2604" t="s">
        <v>147</v>
      </c>
      <c r="K2604" t="s">
        <v>148</v>
      </c>
      <c r="L2604" t="s">
        <v>166</v>
      </c>
      <c r="M2604" t="s">
        <v>177</v>
      </c>
      <c r="N2604">
        <v>-1</v>
      </c>
      <c r="O2604" s="4">
        <v>3500</v>
      </c>
      <c r="P2604" s="4">
        <v>5200</v>
      </c>
      <c r="Q2604" s="7">
        <v>0.1</v>
      </c>
      <c r="R2604" t="s">
        <v>204</v>
      </c>
      <c r="S2604">
        <v>14</v>
      </c>
      <c r="T2604">
        <v>-5200</v>
      </c>
      <c r="U2604">
        <v>-520</v>
      </c>
      <c r="V2604">
        <v>-4680</v>
      </c>
      <c r="W2604">
        <v>-3500</v>
      </c>
      <c r="X2604">
        <v>-1180</v>
      </c>
      <c r="Y2604" s="8">
        <v>0.25213675213675213</v>
      </c>
      <c r="Z2604" t="s">
        <v>2996</v>
      </c>
      <c r="AA2604" t="str">
        <f>IF(AND(SalesCleanTable[[#This Row],[Discount %]]&gt;0, SalesCleanTable[[#This Row],[Profit]]&lt;0), "Discount loss", "Safe")</f>
        <v>Discount loss</v>
      </c>
      <c r="AB2604" s="25">
        <f>(SalesCleanTable[[#This Row],[Unit Price]] - SalesCleanTable[[#This Row],[Unit Cost]]) / SalesCleanTable[[#This Row],[Unit Price]]</f>
        <v>0.32692307692307693</v>
      </c>
      <c r="AC2604" t="str">
        <f>IF(SalesCleanTable[[#This Row],[Discount %]] &gt; SalesCleanTable[[#This Row],[Max Allowed Discount]], "Discount loss", "Safe")</f>
        <v>Safe</v>
      </c>
      <c r="AD2604" s="4">
        <f>SalesCleanTable[[#This Row],[Unit Price]] - SalesCleanTable[[#This Row],[Unit Cost]]</f>
        <v>1700</v>
      </c>
      <c r="AE2604" s="41">
        <f>(SalesCleanTable[[#This Row],[Unit Price]] - SalesCleanTable[[#This Row],[Unit Cost]]) / SalesCleanTable[[#This Row],[Unit Price]]</f>
        <v>0.32692307692307693</v>
      </c>
    </row>
    <row r="2605" spans="1:31">
      <c r="A2605" t="s">
        <v>2791</v>
      </c>
      <c r="B2605" s="6">
        <v>45827</v>
      </c>
      <c r="C2605" t="s">
        <v>45</v>
      </c>
      <c r="D2605" t="s">
        <v>46</v>
      </c>
      <c r="E2605" t="s">
        <v>38</v>
      </c>
      <c r="F2605" t="s">
        <v>47</v>
      </c>
      <c r="G2605" t="s">
        <v>48</v>
      </c>
      <c r="H2605" t="s">
        <v>128</v>
      </c>
      <c r="I2605" t="s">
        <v>129</v>
      </c>
      <c r="J2605" t="s">
        <v>130</v>
      </c>
      <c r="K2605" t="s">
        <v>131</v>
      </c>
      <c r="L2605" t="s">
        <v>183</v>
      </c>
      <c r="M2605" t="s">
        <v>171</v>
      </c>
      <c r="N2605">
        <v>2</v>
      </c>
      <c r="O2605" s="4">
        <v>230</v>
      </c>
      <c r="P2605" s="4">
        <v>400</v>
      </c>
      <c r="Q2605" s="7">
        <v>0.15</v>
      </c>
      <c r="R2605" t="s">
        <v>168</v>
      </c>
      <c r="S2605">
        <v>1</v>
      </c>
      <c r="T2605">
        <v>800</v>
      </c>
      <c r="U2605">
        <v>120</v>
      </c>
      <c r="V2605">
        <v>680</v>
      </c>
      <c r="W2605">
        <v>460</v>
      </c>
      <c r="X2605">
        <v>220</v>
      </c>
      <c r="Y2605" s="8">
        <v>0.3235294117647059</v>
      </c>
      <c r="Z2605" t="s">
        <v>2995</v>
      </c>
      <c r="AA2605" t="str">
        <f>IF(AND(SalesCleanTable[[#This Row],[Discount %]]&gt;0, SalesCleanTable[[#This Row],[Profit]]&lt;0), "Discount loss", "Safe")</f>
        <v>Safe</v>
      </c>
      <c r="AB2605" s="25">
        <f>(SalesCleanTable[[#This Row],[Unit Price]] - SalesCleanTable[[#This Row],[Unit Cost]]) / SalesCleanTable[[#This Row],[Unit Price]]</f>
        <v>0.42499999999999999</v>
      </c>
      <c r="AC2605" t="str">
        <f>IF(SalesCleanTable[[#This Row],[Discount %]] &gt; SalesCleanTable[[#This Row],[Max Allowed Discount]], "Discount loss", "Safe")</f>
        <v>Safe</v>
      </c>
      <c r="AD2605" s="4">
        <f>SalesCleanTable[[#This Row],[Unit Price]] - SalesCleanTable[[#This Row],[Unit Cost]]</f>
        <v>170</v>
      </c>
      <c r="AE2605" s="41">
        <f>(SalesCleanTable[[#This Row],[Unit Price]] - SalesCleanTable[[#This Row],[Unit Cost]]) / SalesCleanTable[[#This Row],[Unit Price]]</f>
        <v>0.42499999999999999</v>
      </c>
    </row>
    <row r="2606" spans="1:31">
      <c r="A2606" t="s">
        <v>2792</v>
      </c>
      <c r="B2606" s="6">
        <v>45682</v>
      </c>
      <c r="C2606" t="s">
        <v>41</v>
      </c>
      <c r="D2606" t="s">
        <v>42</v>
      </c>
      <c r="E2606" t="s">
        <v>26</v>
      </c>
      <c r="F2606" t="s">
        <v>43</v>
      </c>
      <c r="G2606" t="s">
        <v>44</v>
      </c>
      <c r="H2606" t="s">
        <v>139</v>
      </c>
      <c r="I2606" t="s">
        <v>140</v>
      </c>
      <c r="J2606" t="s">
        <v>137</v>
      </c>
      <c r="K2606" t="s">
        <v>138</v>
      </c>
      <c r="L2606" t="s">
        <v>183</v>
      </c>
      <c r="M2606" t="s">
        <v>177</v>
      </c>
      <c r="N2606">
        <v>3</v>
      </c>
      <c r="O2606" s="4">
        <v>850</v>
      </c>
      <c r="P2606" s="4">
        <v>1300</v>
      </c>
      <c r="Q2606" s="7">
        <v>0.1</v>
      </c>
      <c r="R2606" t="s">
        <v>194</v>
      </c>
      <c r="S2606">
        <v>11</v>
      </c>
      <c r="T2606">
        <v>3900</v>
      </c>
      <c r="U2606">
        <v>390</v>
      </c>
      <c r="V2606">
        <v>3510</v>
      </c>
      <c r="W2606">
        <v>2550</v>
      </c>
      <c r="X2606">
        <v>960</v>
      </c>
      <c r="Y2606" s="8">
        <v>0.27350427350427353</v>
      </c>
      <c r="Z2606" t="s">
        <v>2995</v>
      </c>
      <c r="AA2606" t="str">
        <f>IF(AND(SalesCleanTable[[#This Row],[Discount %]]&gt;0, SalesCleanTable[[#This Row],[Profit]]&lt;0), "Discount loss", "Safe")</f>
        <v>Safe</v>
      </c>
      <c r="AB2606" s="25">
        <f>(SalesCleanTable[[#This Row],[Unit Price]] - SalesCleanTable[[#This Row],[Unit Cost]]) / SalesCleanTable[[#This Row],[Unit Price]]</f>
        <v>0.34615384615384615</v>
      </c>
      <c r="AC2606" t="str">
        <f>IF(SalesCleanTable[[#This Row],[Discount %]] &gt; SalesCleanTable[[#This Row],[Max Allowed Discount]], "Discount loss", "Safe")</f>
        <v>Safe</v>
      </c>
      <c r="AD2606" s="4">
        <f>SalesCleanTable[[#This Row],[Unit Price]] - SalesCleanTable[[#This Row],[Unit Cost]]</f>
        <v>450</v>
      </c>
      <c r="AE2606" s="41">
        <f>(SalesCleanTable[[#This Row],[Unit Price]] - SalesCleanTable[[#This Row],[Unit Cost]]) / SalesCleanTable[[#This Row],[Unit Price]]</f>
        <v>0.34615384615384615</v>
      </c>
    </row>
    <row r="2607" spans="1:31">
      <c r="A2607" t="s">
        <v>2793</v>
      </c>
      <c r="B2607" s="6">
        <v>45802</v>
      </c>
      <c r="C2607" t="s">
        <v>29</v>
      </c>
      <c r="D2607" t="s">
        <v>30</v>
      </c>
      <c r="E2607" t="s">
        <v>26</v>
      </c>
      <c r="F2607" t="s">
        <v>27</v>
      </c>
      <c r="G2607" t="s">
        <v>31</v>
      </c>
      <c r="H2607" t="s">
        <v>133</v>
      </c>
      <c r="I2607" t="s">
        <v>134</v>
      </c>
      <c r="J2607" t="s">
        <v>130</v>
      </c>
      <c r="K2607" t="s">
        <v>131</v>
      </c>
      <c r="L2607" t="s">
        <v>166</v>
      </c>
      <c r="M2607" t="s">
        <v>177</v>
      </c>
      <c r="N2607">
        <v>2</v>
      </c>
      <c r="O2607" s="4">
        <v>6200</v>
      </c>
      <c r="P2607" s="4">
        <v>7900</v>
      </c>
      <c r="Q2607" s="7">
        <v>0.05</v>
      </c>
      <c r="R2607" t="s">
        <v>197</v>
      </c>
      <c r="S2607">
        <v>14</v>
      </c>
      <c r="T2607">
        <v>15800</v>
      </c>
      <c r="U2607">
        <v>790</v>
      </c>
      <c r="V2607">
        <v>15010</v>
      </c>
      <c r="W2607">
        <v>12400</v>
      </c>
      <c r="X2607">
        <v>2610</v>
      </c>
      <c r="Y2607" s="8">
        <v>0.17388407728181213</v>
      </c>
      <c r="Z2607" t="s">
        <v>2996</v>
      </c>
      <c r="AA2607" t="str">
        <f>IF(AND(SalesCleanTable[[#This Row],[Discount %]]&gt;0, SalesCleanTable[[#This Row],[Profit]]&lt;0), "Discount loss", "Safe")</f>
        <v>Safe</v>
      </c>
      <c r="AB2607" s="25">
        <f>(SalesCleanTable[[#This Row],[Unit Price]] - SalesCleanTable[[#This Row],[Unit Cost]]) / SalesCleanTable[[#This Row],[Unit Price]]</f>
        <v>0.21518987341772153</v>
      </c>
      <c r="AC2607" t="str">
        <f>IF(SalesCleanTable[[#This Row],[Discount %]] &gt; SalesCleanTable[[#This Row],[Max Allowed Discount]], "Discount loss", "Safe")</f>
        <v>Safe</v>
      </c>
      <c r="AD2607" s="4">
        <f>SalesCleanTable[[#This Row],[Unit Price]] - SalesCleanTable[[#This Row],[Unit Cost]]</f>
        <v>1700</v>
      </c>
      <c r="AE2607" s="41">
        <f>(SalesCleanTable[[#This Row],[Unit Price]] - SalesCleanTable[[#This Row],[Unit Cost]]) / SalesCleanTable[[#This Row],[Unit Price]]</f>
        <v>0.21518987341772153</v>
      </c>
    </row>
    <row r="2608" spans="1:31">
      <c r="A2608" t="s">
        <v>2794</v>
      </c>
      <c r="B2608" s="6">
        <v>45925</v>
      </c>
      <c r="C2608" t="s">
        <v>73</v>
      </c>
      <c r="D2608" t="s">
        <v>74</v>
      </c>
      <c r="E2608" t="s">
        <v>75</v>
      </c>
      <c r="F2608" t="s">
        <v>76</v>
      </c>
      <c r="G2608" t="s">
        <v>77</v>
      </c>
      <c r="H2608" t="s">
        <v>128</v>
      </c>
      <c r="I2608" t="s">
        <v>129</v>
      </c>
      <c r="J2608" t="s">
        <v>130</v>
      </c>
      <c r="K2608" t="s">
        <v>131</v>
      </c>
      <c r="L2608" t="s">
        <v>166</v>
      </c>
      <c r="M2608" t="s">
        <v>167</v>
      </c>
      <c r="N2608">
        <v>3</v>
      </c>
      <c r="O2608" s="4">
        <v>3500</v>
      </c>
      <c r="P2608" s="4">
        <v>5200</v>
      </c>
      <c r="Q2608" s="7">
        <v>0</v>
      </c>
      <c r="R2608" t="s">
        <v>204</v>
      </c>
      <c r="S2608">
        <v>1</v>
      </c>
      <c r="T2608">
        <v>15600</v>
      </c>
      <c r="U2608">
        <v>0</v>
      </c>
      <c r="V2608">
        <v>15600</v>
      </c>
      <c r="W2608">
        <v>10500</v>
      </c>
      <c r="X2608">
        <v>5100</v>
      </c>
      <c r="Y2608" s="8">
        <v>0.32692307692307693</v>
      </c>
      <c r="Z2608" t="s">
        <v>2996</v>
      </c>
      <c r="AA2608" t="str">
        <f>IF(AND(SalesCleanTable[[#This Row],[Discount %]]&gt;0, SalesCleanTable[[#This Row],[Profit]]&lt;0), "Discount loss", "Safe")</f>
        <v>Safe</v>
      </c>
      <c r="AB2608" s="25">
        <f>(SalesCleanTable[[#This Row],[Unit Price]] - SalesCleanTable[[#This Row],[Unit Cost]]) / SalesCleanTable[[#This Row],[Unit Price]]</f>
        <v>0.32692307692307693</v>
      </c>
      <c r="AC2608" t="str">
        <f>IF(SalesCleanTable[[#This Row],[Discount %]] &gt; SalesCleanTable[[#This Row],[Max Allowed Discount]], "Discount loss", "Safe")</f>
        <v>Safe</v>
      </c>
      <c r="AD2608" s="4">
        <f>SalesCleanTable[[#This Row],[Unit Price]] - SalesCleanTable[[#This Row],[Unit Cost]]</f>
        <v>1700</v>
      </c>
      <c r="AE2608" s="41">
        <f>(SalesCleanTable[[#This Row],[Unit Price]] - SalesCleanTable[[#This Row],[Unit Cost]]) / SalesCleanTable[[#This Row],[Unit Price]]</f>
        <v>0.32692307692307693</v>
      </c>
    </row>
    <row r="2609" spans="1:31">
      <c r="A2609" t="s">
        <v>2795</v>
      </c>
      <c r="B2609" s="6">
        <v>45977</v>
      </c>
      <c r="C2609" t="s">
        <v>73</v>
      </c>
      <c r="D2609" t="s">
        <v>74</v>
      </c>
      <c r="E2609" t="s">
        <v>75</v>
      </c>
      <c r="F2609" t="s">
        <v>76</v>
      </c>
      <c r="G2609" t="s">
        <v>77</v>
      </c>
      <c r="H2609" t="s">
        <v>128</v>
      </c>
      <c r="I2609" t="s">
        <v>129</v>
      </c>
      <c r="J2609" t="s">
        <v>130</v>
      </c>
      <c r="K2609" t="s">
        <v>131</v>
      </c>
      <c r="L2609" t="s">
        <v>166</v>
      </c>
      <c r="M2609" t="s">
        <v>186</v>
      </c>
      <c r="N2609">
        <v>2</v>
      </c>
      <c r="O2609" s="4">
        <v>3500</v>
      </c>
      <c r="P2609" s="4">
        <v>5200</v>
      </c>
      <c r="Q2609" s="7">
        <v>0.2</v>
      </c>
      <c r="R2609" t="s">
        <v>208</v>
      </c>
      <c r="S2609">
        <v>14</v>
      </c>
      <c r="T2609">
        <v>10400</v>
      </c>
      <c r="U2609">
        <v>2080</v>
      </c>
      <c r="V2609">
        <v>8320</v>
      </c>
      <c r="W2609">
        <v>7000</v>
      </c>
      <c r="X2609">
        <v>1320</v>
      </c>
      <c r="Y2609" s="8">
        <v>0.15865384615384615</v>
      </c>
      <c r="Z2609" t="s">
        <v>2996</v>
      </c>
      <c r="AA2609" t="str">
        <f>IF(AND(SalesCleanTable[[#This Row],[Discount %]]&gt;0, SalesCleanTable[[#This Row],[Profit]]&lt;0), "Discount loss", "Safe")</f>
        <v>Safe</v>
      </c>
      <c r="AB2609" s="25">
        <f>(SalesCleanTable[[#This Row],[Unit Price]] - SalesCleanTable[[#This Row],[Unit Cost]]) / SalesCleanTable[[#This Row],[Unit Price]]</f>
        <v>0.32692307692307693</v>
      </c>
      <c r="AC2609" t="str">
        <f>IF(SalesCleanTable[[#This Row],[Discount %]] &gt; SalesCleanTable[[#This Row],[Max Allowed Discount]], "Discount loss", "Safe")</f>
        <v>Safe</v>
      </c>
      <c r="AD2609" s="4">
        <f>SalesCleanTable[[#This Row],[Unit Price]] - SalesCleanTable[[#This Row],[Unit Cost]]</f>
        <v>1700</v>
      </c>
      <c r="AE2609" s="41">
        <f>(SalesCleanTable[[#This Row],[Unit Price]] - SalesCleanTable[[#This Row],[Unit Cost]]) / SalesCleanTable[[#This Row],[Unit Price]]</f>
        <v>0.32692307692307693</v>
      </c>
    </row>
    <row r="2610" spans="1:31">
      <c r="A2610" t="s">
        <v>2796</v>
      </c>
      <c r="B2610" s="6">
        <v>45939</v>
      </c>
      <c r="C2610" t="s">
        <v>41</v>
      </c>
      <c r="D2610" t="s">
        <v>42</v>
      </c>
      <c r="E2610" t="s">
        <v>26</v>
      </c>
      <c r="F2610" t="s">
        <v>43</v>
      </c>
      <c r="G2610" t="s">
        <v>44</v>
      </c>
      <c r="H2610" t="s">
        <v>128</v>
      </c>
      <c r="I2610" t="s">
        <v>129</v>
      </c>
      <c r="J2610" t="s">
        <v>130</v>
      </c>
      <c r="K2610" t="s">
        <v>131</v>
      </c>
      <c r="L2610" t="s">
        <v>183</v>
      </c>
      <c r="M2610" t="s">
        <v>171</v>
      </c>
      <c r="N2610">
        <v>8</v>
      </c>
      <c r="O2610" s="4">
        <v>850</v>
      </c>
      <c r="P2610" s="4">
        <v>1300</v>
      </c>
      <c r="Q2610" s="7">
        <v>0</v>
      </c>
      <c r="R2610" t="s">
        <v>173</v>
      </c>
      <c r="S2610">
        <v>2</v>
      </c>
      <c r="T2610">
        <v>10400</v>
      </c>
      <c r="U2610">
        <v>0</v>
      </c>
      <c r="V2610">
        <v>10400</v>
      </c>
      <c r="W2610">
        <v>6800</v>
      </c>
      <c r="X2610">
        <v>3600</v>
      </c>
      <c r="Y2610" s="8">
        <v>0.34615384615384615</v>
      </c>
      <c r="Z2610" t="s">
        <v>2995</v>
      </c>
      <c r="AA2610" t="str">
        <f>IF(AND(SalesCleanTable[[#This Row],[Discount %]]&gt;0, SalesCleanTable[[#This Row],[Profit]]&lt;0), "Discount loss", "Safe")</f>
        <v>Safe</v>
      </c>
      <c r="AB2610" s="25">
        <f>(SalesCleanTable[[#This Row],[Unit Price]] - SalesCleanTable[[#This Row],[Unit Cost]]) / SalesCleanTable[[#This Row],[Unit Price]]</f>
        <v>0.34615384615384615</v>
      </c>
      <c r="AC2610" t="str">
        <f>IF(SalesCleanTable[[#This Row],[Discount %]] &gt; SalesCleanTable[[#This Row],[Max Allowed Discount]], "Discount loss", "Safe")</f>
        <v>Safe</v>
      </c>
      <c r="AD2610" s="4">
        <f>SalesCleanTable[[#This Row],[Unit Price]] - SalesCleanTable[[#This Row],[Unit Cost]]</f>
        <v>450</v>
      </c>
      <c r="AE2610" s="41">
        <f>(SalesCleanTable[[#This Row],[Unit Price]] - SalesCleanTable[[#This Row],[Unit Cost]]) / SalesCleanTable[[#This Row],[Unit Price]]</f>
        <v>0.34615384615384615</v>
      </c>
    </row>
    <row r="2611" spans="1:31">
      <c r="A2611" t="s">
        <v>2797</v>
      </c>
      <c r="B2611" s="6">
        <v>45968</v>
      </c>
      <c r="C2611" t="s">
        <v>57</v>
      </c>
      <c r="D2611" t="s">
        <v>58</v>
      </c>
      <c r="E2611" t="s">
        <v>59</v>
      </c>
      <c r="F2611" t="s">
        <v>60</v>
      </c>
      <c r="G2611" t="s">
        <v>61</v>
      </c>
      <c r="H2611" t="s">
        <v>139</v>
      </c>
      <c r="I2611" t="s">
        <v>140</v>
      </c>
      <c r="J2611" t="s">
        <v>137</v>
      </c>
      <c r="K2611" t="s">
        <v>138</v>
      </c>
      <c r="L2611" t="s">
        <v>166</v>
      </c>
      <c r="M2611" t="s">
        <v>177</v>
      </c>
      <c r="N2611">
        <v>4</v>
      </c>
      <c r="O2611" s="4">
        <v>2400</v>
      </c>
      <c r="P2611" s="4">
        <v>3400</v>
      </c>
      <c r="Q2611" s="7">
        <v>0.05</v>
      </c>
      <c r="R2611" t="s">
        <v>204</v>
      </c>
      <c r="S2611">
        <v>9</v>
      </c>
      <c r="T2611">
        <v>13600</v>
      </c>
      <c r="U2611">
        <v>680</v>
      </c>
      <c r="V2611">
        <v>12920</v>
      </c>
      <c r="W2611">
        <v>9600</v>
      </c>
      <c r="X2611">
        <v>3320</v>
      </c>
      <c r="Y2611" s="8">
        <v>0.25696594427244585</v>
      </c>
      <c r="Z2611" t="s">
        <v>2996</v>
      </c>
      <c r="AA2611" t="str">
        <f>IF(AND(SalesCleanTable[[#This Row],[Discount %]]&gt;0, SalesCleanTable[[#This Row],[Profit]]&lt;0), "Discount loss", "Safe")</f>
        <v>Safe</v>
      </c>
      <c r="AB2611" s="25">
        <f>(SalesCleanTable[[#This Row],[Unit Price]] - SalesCleanTable[[#This Row],[Unit Cost]]) / SalesCleanTable[[#This Row],[Unit Price]]</f>
        <v>0.29411764705882354</v>
      </c>
      <c r="AC2611" t="str">
        <f>IF(SalesCleanTable[[#This Row],[Discount %]] &gt; SalesCleanTable[[#This Row],[Max Allowed Discount]], "Discount loss", "Safe")</f>
        <v>Safe</v>
      </c>
      <c r="AD2611" s="4">
        <f>SalesCleanTable[[#This Row],[Unit Price]] - SalesCleanTable[[#This Row],[Unit Cost]]</f>
        <v>1000</v>
      </c>
      <c r="AE2611" s="41">
        <f>(SalesCleanTable[[#This Row],[Unit Price]] - SalesCleanTable[[#This Row],[Unit Cost]]) / SalesCleanTable[[#This Row],[Unit Price]]</f>
        <v>0.29411764705882354</v>
      </c>
    </row>
    <row r="2612" spans="1:31">
      <c r="A2612" t="s">
        <v>2798</v>
      </c>
      <c r="B2612" s="6">
        <v>45875</v>
      </c>
      <c r="C2612" t="s">
        <v>116</v>
      </c>
      <c r="D2612" t="s">
        <v>117</v>
      </c>
      <c r="E2612" t="s">
        <v>109</v>
      </c>
      <c r="F2612" t="s">
        <v>118</v>
      </c>
      <c r="G2612" t="s">
        <v>119</v>
      </c>
      <c r="H2612" t="s">
        <v>139</v>
      </c>
      <c r="I2612" t="s">
        <v>140</v>
      </c>
      <c r="J2612" t="s">
        <v>137</v>
      </c>
      <c r="K2612" t="s">
        <v>138</v>
      </c>
      <c r="L2612" t="s">
        <v>166</v>
      </c>
      <c r="M2612" t="s">
        <v>171</v>
      </c>
      <c r="N2612">
        <v>2</v>
      </c>
      <c r="O2612" s="4">
        <v>2800</v>
      </c>
      <c r="P2612" s="4">
        <v>4200</v>
      </c>
      <c r="Q2612" s="7">
        <v>0</v>
      </c>
      <c r="R2612" t="s">
        <v>220</v>
      </c>
      <c r="S2612">
        <v>8</v>
      </c>
      <c r="T2612">
        <v>8400</v>
      </c>
      <c r="U2612">
        <v>0</v>
      </c>
      <c r="V2612">
        <v>8400</v>
      </c>
      <c r="W2612">
        <v>5600</v>
      </c>
      <c r="X2612">
        <v>2800</v>
      </c>
      <c r="Y2612" s="8">
        <v>0.33333333333333331</v>
      </c>
      <c r="Z2612" t="s">
        <v>2995</v>
      </c>
      <c r="AA2612" t="str">
        <f>IF(AND(SalesCleanTable[[#This Row],[Discount %]]&gt;0, SalesCleanTable[[#This Row],[Profit]]&lt;0), "Discount loss", "Safe")</f>
        <v>Safe</v>
      </c>
      <c r="AB2612" s="25">
        <f>(SalesCleanTable[[#This Row],[Unit Price]] - SalesCleanTable[[#This Row],[Unit Cost]]) / SalesCleanTable[[#This Row],[Unit Price]]</f>
        <v>0.33333333333333331</v>
      </c>
      <c r="AC2612" t="str">
        <f>IF(SalesCleanTable[[#This Row],[Discount %]] &gt; SalesCleanTable[[#This Row],[Max Allowed Discount]], "Discount loss", "Safe")</f>
        <v>Safe</v>
      </c>
      <c r="AD2612" s="4">
        <f>SalesCleanTable[[#This Row],[Unit Price]] - SalesCleanTable[[#This Row],[Unit Cost]]</f>
        <v>1400</v>
      </c>
      <c r="AE2612" s="41">
        <f>(SalesCleanTable[[#This Row],[Unit Price]] - SalesCleanTable[[#This Row],[Unit Cost]]) / SalesCleanTable[[#This Row],[Unit Price]]</f>
        <v>0.33333333333333331</v>
      </c>
    </row>
    <row r="2613" spans="1:31">
      <c r="A2613" t="s">
        <v>2799</v>
      </c>
      <c r="B2613" s="6">
        <v>46022</v>
      </c>
      <c r="C2613" t="s">
        <v>57</v>
      </c>
      <c r="D2613" t="s">
        <v>58</v>
      </c>
      <c r="E2613" t="s">
        <v>59</v>
      </c>
      <c r="F2613" t="s">
        <v>60</v>
      </c>
      <c r="G2613" t="s">
        <v>61</v>
      </c>
      <c r="H2613" t="s">
        <v>141</v>
      </c>
      <c r="I2613" t="s">
        <v>142</v>
      </c>
      <c r="J2613" t="s">
        <v>143</v>
      </c>
      <c r="K2613" t="s">
        <v>144</v>
      </c>
      <c r="L2613" t="s">
        <v>183</v>
      </c>
      <c r="M2613" t="s">
        <v>171</v>
      </c>
      <c r="N2613">
        <v>1</v>
      </c>
      <c r="O2613" s="4">
        <v>2400</v>
      </c>
      <c r="P2613" s="4">
        <v>3400</v>
      </c>
      <c r="Q2613" s="7">
        <v>0</v>
      </c>
      <c r="R2613" t="s">
        <v>192</v>
      </c>
      <c r="S2613">
        <v>6</v>
      </c>
      <c r="T2613">
        <v>3400</v>
      </c>
      <c r="U2613">
        <v>0</v>
      </c>
      <c r="V2613">
        <v>3400</v>
      </c>
      <c r="W2613">
        <v>2400</v>
      </c>
      <c r="X2613">
        <v>1000</v>
      </c>
      <c r="Y2613" s="8">
        <v>0.29411764705882354</v>
      </c>
      <c r="Z2613" t="s">
        <v>2996</v>
      </c>
      <c r="AA2613" t="str">
        <f>IF(AND(SalesCleanTable[[#This Row],[Discount %]]&gt;0, SalesCleanTable[[#This Row],[Profit]]&lt;0), "Discount loss", "Safe")</f>
        <v>Safe</v>
      </c>
      <c r="AB2613" s="25">
        <f>(SalesCleanTable[[#This Row],[Unit Price]] - SalesCleanTable[[#This Row],[Unit Cost]]) / SalesCleanTable[[#This Row],[Unit Price]]</f>
        <v>0.29411764705882354</v>
      </c>
      <c r="AC2613" t="str">
        <f>IF(SalesCleanTable[[#This Row],[Discount %]] &gt; SalesCleanTable[[#This Row],[Max Allowed Discount]], "Discount loss", "Safe")</f>
        <v>Safe</v>
      </c>
      <c r="AD2613" s="4">
        <f>SalesCleanTable[[#This Row],[Unit Price]] - SalesCleanTable[[#This Row],[Unit Cost]]</f>
        <v>1000</v>
      </c>
      <c r="AE2613" s="41">
        <f>(SalesCleanTable[[#This Row],[Unit Price]] - SalesCleanTable[[#This Row],[Unit Cost]]) / SalesCleanTable[[#This Row],[Unit Price]]</f>
        <v>0.29411764705882354</v>
      </c>
    </row>
    <row r="2614" spans="1:31">
      <c r="A2614" t="s">
        <v>2800</v>
      </c>
      <c r="B2614" s="6">
        <v>45932</v>
      </c>
      <c r="C2614" t="s">
        <v>41</v>
      </c>
      <c r="D2614" t="s">
        <v>42</v>
      </c>
      <c r="E2614" t="s">
        <v>26</v>
      </c>
      <c r="F2614" t="s">
        <v>43</v>
      </c>
      <c r="G2614" t="s">
        <v>44</v>
      </c>
      <c r="H2614" t="s">
        <v>133</v>
      </c>
      <c r="I2614" t="s">
        <v>134</v>
      </c>
      <c r="J2614" t="s">
        <v>130</v>
      </c>
      <c r="K2614" t="s">
        <v>131</v>
      </c>
      <c r="L2614" t="s">
        <v>183</v>
      </c>
      <c r="M2614" t="s">
        <v>186</v>
      </c>
      <c r="N2614">
        <v>2</v>
      </c>
      <c r="O2614" s="4">
        <v>850</v>
      </c>
      <c r="P2614" s="4">
        <v>1300</v>
      </c>
      <c r="Q2614" s="7">
        <v>0.05</v>
      </c>
      <c r="R2614" t="s">
        <v>194</v>
      </c>
      <c r="S2614">
        <v>12</v>
      </c>
      <c r="T2614">
        <v>2600</v>
      </c>
      <c r="U2614">
        <v>130</v>
      </c>
      <c r="V2614">
        <v>2470</v>
      </c>
      <c r="W2614">
        <v>1700</v>
      </c>
      <c r="X2614">
        <v>770</v>
      </c>
      <c r="Y2614" s="8">
        <v>0.31174089068825911</v>
      </c>
      <c r="Z2614" t="s">
        <v>2995</v>
      </c>
      <c r="AA2614" t="str">
        <f>IF(AND(SalesCleanTable[[#This Row],[Discount %]]&gt;0, SalesCleanTable[[#This Row],[Profit]]&lt;0), "Discount loss", "Safe")</f>
        <v>Safe</v>
      </c>
      <c r="AB2614" s="25">
        <f>(SalesCleanTable[[#This Row],[Unit Price]] - SalesCleanTable[[#This Row],[Unit Cost]]) / SalesCleanTable[[#This Row],[Unit Price]]</f>
        <v>0.34615384615384615</v>
      </c>
      <c r="AC2614" t="str">
        <f>IF(SalesCleanTable[[#This Row],[Discount %]] &gt; SalesCleanTable[[#This Row],[Max Allowed Discount]], "Discount loss", "Safe")</f>
        <v>Safe</v>
      </c>
      <c r="AD2614" s="4">
        <f>SalesCleanTable[[#This Row],[Unit Price]] - SalesCleanTable[[#This Row],[Unit Cost]]</f>
        <v>450</v>
      </c>
      <c r="AE2614" s="41">
        <f>(SalesCleanTable[[#This Row],[Unit Price]] - SalesCleanTable[[#This Row],[Unit Cost]]) / SalesCleanTable[[#This Row],[Unit Price]]</f>
        <v>0.34615384615384615</v>
      </c>
    </row>
    <row r="2615" spans="1:31">
      <c r="A2615" t="s">
        <v>2801</v>
      </c>
      <c r="B2615" s="6">
        <v>45847</v>
      </c>
      <c r="C2615" t="s">
        <v>41</v>
      </c>
      <c r="D2615" t="s">
        <v>42</v>
      </c>
      <c r="E2615" t="s">
        <v>26</v>
      </c>
      <c r="F2615" t="s">
        <v>43</v>
      </c>
      <c r="G2615" t="s">
        <v>44</v>
      </c>
      <c r="H2615" t="s">
        <v>153</v>
      </c>
      <c r="I2615" t="s">
        <v>154</v>
      </c>
      <c r="J2615" t="s">
        <v>155</v>
      </c>
      <c r="K2615" t="s">
        <v>131</v>
      </c>
      <c r="L2615" t="s">
        <v>183</v>
      </c>
      <c r="M2615" t="s">
        <v>171</v>
      </c>
      <c r="N2615">
        <v>10</v>
      </c>
      <c r="O2615" s="4">
        <v>850</v>
      </c>
      <c r="P2615" s="4">
        <v>1300</v>
      </c>
      <c r="Q2615" s="7">
        <v>0.1</v>
      </c>
      <c r="R2615" t="s">
        <v>197</v>
      </c>
      <c r="S2615">
        <v>5</v>
      </c>
      <c r="T2615">
        <v>13000</v>
      </c>
      <c r="U2615">
        <v>1300</v>
      </c>
      <c r="V2615">
        <v>11700</v>
      </c>
      <c r="W2615">
        <v>8500</v>
      </c>
      <c r="X2615">
        <v>3200</v>
      </c>
      <c r="Y2615" s="8">
        <v>0.27350427350427353</v>
      </c>
      <c r="Z2615" t="s">
        <v>2995</v>
      </c>
      <c r="AA2615" t="str">
        <f>IF(AND(SalesCleanTable[[#This Row],[Discount %]]&gt;0, SalesCleanTable[[#This Row],[Profit]]&lt;0), "Discount loss", "Safe")</f>
        <v>Safe</v>
      </c>
      <c r="AB2615" s="25">
        <f>(SalesCleanTable[[#This Row],[Unit Price]] - SalesCleanTable[[#This Row],[Unit Cost]]) / SalesCleanTable[[#This Row],[Unit Price]]</f>
        <v>0.34615384615384615</v>
      </c>
      <c r="AC2615" t="str">
        <f>IF(SalesCleanTable[[#This Row],[Discount %]] &gt; SalesCleanTable[[#This Row],[Max Allowed Discount]], "Discount loss", "Safe")</f>
        <v>Safe</v>
      </c>
      <c r="AD2615" s="4">
        <f>SalesCleanTable[[#This Row],[Unit Price]] - SalesCleanTable[[#This Row],[Unit Cost]]</f>
        <v>450</v>
      </c>
      <c r="AE2615" s="41">
        <f>(SalesCleanTable[[#This Row],[Unit Price]] - SalesCleanTable[[#This Row],[Unit Cost]]) / SalesCleanTable[[#This Row],[Unit Price]]</f>
        <v>0.34615384615384615</v>
      </c>
    </row>
    <row r="2616" spans="1:31">
      <c r="A2616" t="s">
        <v>2802</v>
      </c>
      <c r="B2616" s="6">
        <v>45862</v>
      </c>
      <c r="C2616" t="s">
        <v>78</v>
      </c>
      <c r="D2616" t="s">
        <v>79</v>
      </c>
      <c r="E2616" t="s">
        <v>75</v>
      </c>
      <c r="F2616" t="s">
        <v>80</v>
      </c>
      <c r="G2616" t="s">
        <v>81</v>
      </c>
      <c r="H2616" t="s">
        <v>128</v>
      </c>
      <c r="I2616" t="s">
        <v>129</v>
      </c>
      <c r="J2616" t="s">
        <v>130</v>
      </c>
      <c r="K2616" t="s">
        <v>131</v>
      </c>
      <c r="L2616" t="s">
        <v>166</v>
      </c>
      <c r="M2616" t="s">
        <v>177</v>
      </c>
      <c r="N2616">
        <v>6</v>
      </c>
      <c r="O2616" s="4">
        <v>1200</v>
      </c>
      <c r="P2616" s="4">
        <v>1900</v>
      </c>
      <c r="Q2616" s="7">
        <v>0.1</v>
      </c>
      <c r="R2616" t="s">
        <v>204</v>
      </c>
      <c r="S2616">
        <v>6</v>
      </c>
      <c r="T2616">
        <v>11400</v>
      </c>
      <c r="U2616">
        <v>1140</v>
      </c>
      <c r="V2616">
        <v>10260</v>
      </c>
      <c r="W2616">
        <v>7200</v>
      </c>
      <c r="X2616">
        <v>3060</v>
      </c>
      <c r="Y2616" s="8">
        <v>0.2982456140350877</v>
      </c>
      <c r="Z2616" t="s">
        <v>2996</v>
      </c>
      <c r="AA2616" t="str">
        <f>IF(AND(SalesCleanTable[[#This Row],[Discount %]]&gt;0, SalesCleanTable[[#This Row],[Profit]]&lt;0), "Discount loss", "Safe")</f>
        <v>Safe</v>
      </c>
      <c r="AB2616" s="25">
        <f>(SalesCleanTable[[#This Row],[Unit Price]] - SalesCleanTable[[#This Row],[Unit Cost]]) / SalesCleanTable[[#This Row],[Unit Price]]</f>
        <v>0.36842105263157893</v>
      </c>
      <c r="AC2616" t="str">
        <f>IF(SalesCleanTable[[#This Row],[Discount %]] &gt; SalesCleanTable[[#This Row],[Max Allowed Discount]], "Discount loss", "Safe")</f>
        <v>Safe</v>
      </c>
      <c r="AD2616" s="4">
        <f>SalesCleanTable[[#This Row],[Unit Price]] - SalesCleanTable[[#This Row],[Unit Cost]]</f>
        <v>700</v>
      </c>
      <c r="AE2616" s="41">
        <f>(SalesCleanTable[[#This Row],[Unit Price]] - SalesCleanTable[[#This Row],[Unit Cost]]) / SalesCleanTable[[#This Row],[Unit Price]]</f>
        <v>0.36842105263157893</v>
      </c>
    </row>
    <row r="2617" spans="1:31">
      <c r="A2617" t="s">
        <v>2803</v>
      </c>
      <c r="B2617" s="6">
        <v>45795</v>
      </c>
      <c r="C2617" t="s">
        <v>112</v>
      </c>
      <c r="D2617" t="s">
        <v>113</v>
      </c>
      <c r="E2617" t="s">
        <v>109</v>
      </c>
      <c r="F2617" t="s">
        <v>114</v>
      </c>
      <c r="G2617" t="s">
        <v>115</v>
      </c>
      <c r="H2617" t="s">
        <v>135</v>
      </c>
      <c r="I2617" t="s">
        <v>136</v>
      </c>
      <c r="J2617" t="s">
        <v>137</v>
      </c>
      <c r="K2617" t="s">
        <v>138</v>
      </c>
      <c r="L2617" t="s">
        <v>166</v>
      </c>
      <c r="M2617" t="s">
        <v>171</v>
      </c>
      <c r="N2617">
        <v>3</v>
      </c>
      <c r="O2617" s="4">
        <v>1300</v>
      </c>
      <c r="P2617" s="4">
        <v>2100</v>
      </c>
      <c r="Q2617" s="7">
        <v>0.15</v>
      </c>
      <c r="R2617" t="s">
        <v>235</v>
      </c>
      <c r="S2617">
        <v>1</v>
      </c>
      <c r="T2617">
        <v>6300</v>
      </c>
      <c r="U2617">
        <v>945</v>
      </c>
      <c r="V2617">
        <v>5355</v>
      </c>
      <c r="W2617">
        <v>3900</v>
      </c>
      <c r="X2617">
        <v>1455</v>
      </c>
      <c r="Y2617" s="8">
        <v>0.27170868347338933</v>
      </c>
      <c r="Z2617" t="s">
        <v>2995</v>
      </c>
      <c r="AA2617" t="str">
        <f>IF(AND(SalesCleanTable[[#This Row],[Discount %]]&gt;0, SalesCleanTable[[#This Row],[Profit]]&lt;0), "Discount loss", "Safe")</f>
        <v>Safe</v>
      </c>
      <c r="AB2617" s="25">
        <f>(SalesCleanTable[[#This Row],[Unit Price]] - SalesCleanTable[[#This Row],[Unit Cost]]) / SalesCleanTable[[#This Row],[Unit Price]]</f>
        <v>0.38095238095238093</v>
      </c>
      <c r="AC2617" t="str">
        <f>IF(SalesCleanTable[[#This Row],[Discount %]] &gt; SalesCleanTable[[#This Row],[Max Allowed Discount]], "Discount loss", "Safe")</f>
        <v>Safe</v>
      </c>
      <c r="AD2617" s="4">
        <f>SalesCleanTable[[#This Row],[Unit Price]] - SalesCleanTable[[#This Row],[Unit Cost]]</f>
        <v>800</v>
      </c>
      <c r="AE2617" s="41">
        <f>(SalesCleanTable[[#This Row],[Unit Price]] - SalesCleanTable[[#This Row],[Unit Cost]]) / SalesCleanTable[[#This Row],[Unit Price]]</f>
        <v>0.38095238095238093</v>
      </c>
    </row>
    <row r="2618" spans="1:31">
      <c r="A2618" t="s">
        <v>2804</v>
      </c>
      <c r="B2618" s="6">
        <v>45921</v>
      </c>
      <c r="C2618" t="s">
        <v>45</v>
      </c>
      <c r="D2618" t="s">
        <v>46</v>
      </c>
      <c r="E2618" t="s">
        <v>38</v>
      </c>
      <c r="F2618" t="s">
        <v>47</v>
      </c>
      <c r="G2618" t="s">
        <v>48</v>
      </c>
      <c r="H2618" t="s">
        <v>133</v>
      </c>
      <c r="I2618" t="s">
        <v>134</v>
      </c>
      <c r="J2618" t="s">
        <v>130</v>
      </c>
      <c r="K2618" t="s">
        <v>131</v>
      </c>
      <c r="L2618" t="s">
        <v>183</v>
      </c>
      <c r="M2618" t="s">
        <v>186</v>
      </c>
      <c r="N2618">
        <v>5</v>
      </c>
      <c r="O2618" s="4">
        <v>230</v>
      </c>
      <c r="P2618" s="4">
        <v>400</v>
      </c>
      <c r="Q2618" s="7">
        <v>0</v>
      </c>
      <c r="R2618" t="s">
        <v>168</v>
      </c>
      <c r="S2618">
        <v>13</v>
      </c>
      <c r="T2618">
        <v>2000</v>
      </c>
      <c r="U2618">
        <v>0</v>
      </c>
      <c r="V2618">
        <v>2000</v>
      </c>
      <c r="W2618">
        <v>1150</v>
      </c>
      <c r="X2618">
        <v>850</v>
      </c>
      <c r="Y2618" s="8">
        <v>0.42499999999999999</v>
      </c>
      <c r="Z2618" t="s">
        <v>2995</v>
      </c>
      <c r="AA2618" t="str">
        <f>IF(AND(SalesCleanTable[[#This Row],[Discount %]]&gt;0, SalesCleanTable[[#This Row],[Profit]]&lt;0), "Discount loss", "Safe")</f>
        <v>Safe</v>
      </c>
      <c r="AB2618" s="25">
        <f>(SalesCleanTable[[#This Row],[Unit Price]] - SalesCleanTable[[#This Row],[Unit Cost]]) / SalesCleanTable[[#This Row],[Unit Price]]</f>
        <v>0.42499999999999999</v>
      </c>
      <c r="AC2618" t="str">
        <f>IF(SalesCleanTable[[#This Row],[Discount %]] &gt; SalesCleanTable[[#This Row],[Max Allowed Discount]], "Discount loss", "Safe")</f>
        <v>Safe</v>
      </c>
      <c r="AD2618" s="4">
        <f>SalesCleanTable[[#This Row],[Unit Price]] - SalesCleanTable[[#This Row],[Unit Cost]]</f>
        <v>170</v>
      </c>
      <c r="AE2618" s="41">
        <f>(SalesCleanTable[[#This Row],[Unit Price]] - SalesCleanTable[[#This Row],[Unit Cost]]) / SalesCleanTable[[#This Row],[Unit Price]]</f>
        <v>0.42499999999999999</v>
      </c>
    </row>
    <row r="2619" spans="1:31">
      <c r="A2619" t="s">
        <v>2805</v>
      </c>
      <c r="B2619" s="6">
        <v>45788</v>
      </c>
      <c r="C2619" t="s">
        <v>45</v>
      </c>
      <c r="D2619" t="s">
        <v>46</v>
      </c>
      <c r="E2619" t="s">
        <v>38</v>
      </c>
      <c r="F2619" t="s">
        <v>47</v>
      </c>
      <c r="G2619" t="s">
        <v>48</v>
      </c>
      <c r="H2619" t="s">
        <v>141</v>
      </c>
      <c r="I2619" t="s">
        <v>142</v>
      </c>
      <c r="J2619" t="s">
        <v>143</v>
      </c>
      <c r="K2619" t="s">
        <v>144</v>
      </c>
      <c r="L2619" t="s">
        <v>166</v>
      </c>
      <c r="M2619" t="s">
        <v>177</v>
      </c>
      <c r="N2619">
        <v>5</v>
      </c>
      <c r="O2619" s="4">
        <v>230</v>
      </c>
      <c r="P2619" s="4">
        <v>400</v>
      </c>
      <c r="Q2619" s="7">
        <v>0.1</v>
      </c>
      <c r="R2619" t="s">
        <v>168</v>
      </c>
      <c r="S2619">
        <v>6</v>
      </c>
      <c r="T2619">
        <v>2000</v>
      </c>
      <c r="U2619">
        <v>200</v>
      </c>
      <c r="V2619">
        <v>1800</v>
      </c>
      <c r="W2619">
        <v>1150</v>
      </c>
      <c r="X2619">
        <v>650</v>
      </c>
      <c r="Y2619" s="8">
        <v>0.3611111111111111</v>
      </c>
      <c r="Z2619" t="s">
        <v>2995</v>
      </c>
      <c r="AA2619" t="str">
        <f>IF(AND(SalesCleanTable[[#This Row],[Discount %]]&gt;0, SalesCleanTable[[#This Row],[Profit]]&lt;0), "Discount loss", "Safe")</f>
        <v>Safe</v>
      </c>
      <c r="AB2619" s="25">
        <f>(SalesCleanTable[[#This Row],[Unit Price]] - SalesCleanTable[[#This Row],[Unit Cost]]) / SalesCleanTable[[#This Row],[Unit Price]]</f>
        <v>0.42499999999999999</v>
      </c>
      <c r="AC2619" t="str">
        <f>IF(SalesCleanTable[[#This Row],[Discount %]] &gt; SalesCleanTable[[#This Row],[Max Allowed Discount]], "Discount loss", "Safe")</f>
        <v>Safe</v>
      </c>
      <c r="AD2619" s="4">
        <f>SalesCleanTable[[#This Row],[Unit Price]] - SalesCleanTable[[#This Row],[Unit Cost]]</f>
        <v>170</v>
      </c>
      <c r="AE2619" s="41">
        <f>(SalesCleanTable[[#This Row],[Unit Price]] - SalesCleanTable[[#This Row],[Unit Cost]]) / SalesCleanTable[[#This Row],[Unit Price]]</f>
        <v>0.42499999999999999</v>
      </c>
    </row>
    <row r="2620" spans="1:31">
      <c r="A2620" t="s">
        <v>2806</v>
      </c>
      <c r="B2620" s="6">
        <v>45876</v>
      </c>
      <c r="C2620" t="s">
        <v>32</v>
      </c>
      <c r="D2620" t="s">
        <v>33</v>
      </c>
      <c r="E2620" t="s">
        <v>26</v>
      </c>
      <c r="F2620" t="s">
        <v>34</v>
      </c>
      <c r="G2620" t="s">
        <v>35</v>
      </c>
      <c r="H2620" t="s">
        <v>133</v>
      </c>
      <c r="I2620" t="s">
        <v>134</v>
      </c>
      <c r="J2620" t="s">
        <v>130</v>
      </c>
      <c r="K2620" t="s">
        <v>131</v>
      </c>
      <c r="L2620" t="s">
        <v>166</v>
      </c>
      <c r="M2620" t="s">
        <v>171</v>
      </c>
      <c r="N2620">
        <v>5</v>
      </c>
      <c r="O2620" s="4">
        <v>7800</v>
      </c>
      <c r="P2620" s="4">
        <v>9800</v>
      </c>
      <c r="Q2620" s="7">
        <v>0.05</v>
      </c>
      <c r="R2620" t="s">
        <v>173</v>
      </c>
      <c r="S2620">
        <v>10</v>
      </c>
      <c r="T2620">
        <v>49000</v>
      </c>
      <c r="U2620">
        <v>2450</v>
      </c>
      <c r="V2620">
        <v>46550</v>
      </c>
      <c r="W2620">
        <v>39000</v>
      </c>
      <c r="X2620">
        <v>7550</v>
      </c>
      <c r="Y2620" s="8">
        <v>0.16219119226638024</v>
      </c>
      <c r="Z2620" t="s">
        <v>2995</v>
      </c>
      <c r="AA2620" t="str">
        <f>IF(AND(SalesCleanTable[[#This Row],[Discount %]]&gt;0, SalesCleanTable[[#This Row],[Profit]]&lt;0), "Discount loss", "Safe")</f>
        <v>Safe</v>
      </c>
      <c r="AB2620" s="25">
        <f>(SalesCleanTable[[#This Row],[Unit Price]] - SalesCleanTable[[#This Row],[Unit Cost]]) / SalesCleanTable[[#This Row],[Unit Price]]</f>
        <v>0.20408163265306123</v>
      </c>
      <c r="AC2620" t="str">
        <f>IF(SalesCleanTable[[#This Row],[Discount %]] &gt; SalesCleanTable[[#This Row],[Max Allowed Discount]], "Discount loss", "Safe")</f>
        <v>Safe</v>
      </c>
      <c r="AD2620" s="4">
        <f>SalesCleanTable[[#This Row],[Unit Price]] - SalesCleanTable[[#This Row],[Unit Cost]]</f>
        <v>2000</v>
      </c>
      <c r="AE2620" s="41">
        <f>(SalesCleanTable[[#This Row],[Unit Price]] - SalesCleanTable[[#This Row],[Unit Cost]]) / SalesCleanTable[[#This Row],[Unit Price]]</f>
        <v>0.20408163265306123</v>
      </c>
    </row>
    <row r="2621" spans="1:31">
      <c r="A2621" t="s">
        <v>2807</v>
      </c>
      <c r="B2621" s="6">
        <v>45722</v>
      </c>
      <c r="C2621" t="s">
        <v>103</v>
      </c>
      <c r="D2621" t="s">
        <v>104</v>
      </c>
      <c r="E2621" t="s">
        <v>92</v>
      </c>
      <c r="F2621" t="s">
        <v>105</v>
      </c>
      <c r="G2621" t="s">
        <v>106</v>
      </c>
      <c r="H2621" t="s">
        <v>149</v>
      </c>
      <c r="I2621" t="s">
        <v>150</v>
      </c>
      <c r="J2621" t="s">
        <v>151</v>
      </c>
      <c r="K2621" t="s">
        <v>152</v>
      </c>
      <c r="L2621" t="s">
        <v>166</v>
      </c>
      <c r="M2621" t="s">
        <v>171</v>
      </c>
      <c r="N2621">
        <v>3</v>
      </c>
      <c r="O2621" s="4">
        <v>1500</v>
      </c>
      <c r="P2621" s="4">
        <v>2500</v>
      </c>
      <c r="Q2621" s="7">
        <v>0.1</v>
      </c>
      <c r="R2621" t="s">
        <v>181</v>
      </c>
      <c r="S2621">
        <v>8</v>
      </c>
      <c r="T2621">
        <v>7500</v>
      </c>
      <c r="U2621">
        <v>750</v>
      </c>
      <c r="V2621">
        <v>6750</v>
      </c>
      <c r="W2621">
        <v>4500</v>
      </c>
      <c r="X2621">
        <v>2250</v>
      </c>
      <c r="Y2621" s="8">
        <v>0.33333333333333331</v>
      </c>
      <c r="Z2621" t="s">
        <v>2996</v>
      </c>
      <c r="AA2621" t="str">
        <f>IF(AND(SalesCleanTable[[#This Row],[Discount %]]&gt;0, SalesCleanTable[[#This Row],[Profit]]&lt;0), "Discount loss", "Safe")</f>
        <v>Safe</v>
      </c>
      <c r="AB2621" s="25">
        <f>(SalesCleanTable[[#This Row],[Unit Price]] - SalesCleanTable[[#This Row],[Unit Cost]]) / SalesCleanTable[[#This Row],[Unit Price]]</f>
        <v>0.4</v>
      </c>
      <c r="AC2621" t="str">
        <f>IF(SalesCleanTable[[#This Row],[Discount %]] &gt; SalesCleanTable[[#This Row],[Max Allowed Discount]], "Discount loss", "Safe")</f>
        <v>Safe</v>
      </c>
      <c r="AD2621" s="4">
        <f>SalesCleanTable[[#This Row],[Unit Price]] - SalesCleanTable[[#This Row],[Unit Cost]]</f>
        <v>1000</v>
      </c>
      <c r="AE2621" s="41">
        <f>(SalesCleanTable[[#This Row],[Unit Price]] - SalesCleanTable[[#This Row],[Unit Cost]]) / SalesCleanTable[[#This Row],[Unit Price]]</f>
        <v>0.4</v>
      </c>
    </row>
    <row r="2622" spans="1:31">
      <c r="A2622" t="s">
        <v>2808</v>
      </c>
      <c r="B2622" s="6">
        <v>45898</v>
      </c>
      <c r="C2622" t="s">
        <v>53</v>
      </c>
      <c r="D2622" t="s">
        <v>54</v>
      </c>
      <c r="E2622" t="s">
        <v>38</v>
      </c>
      <c r="F2622" t="s">
        <v>55</v>
      </c>
      <c r="G2622" t="s">
        <v>56</v>
      </c>
      <c r="H2622" t="s">
        <v>145</v>
      </c>
      <c r="I2622" t="s">
        <v>146</v>
      </c>
      <c r="J2622" t="s">
        <v>147</v>
      </c>
      <c r="K2622" t="s">
        <v>148</v>
      </c>
      <c r="L2622" t="s">
        <v>183</v>
      </c>
      <c r="M2622" t="s">
        <v>167</v>
      </c>
      <c r="N2622">
        <v>4</v>
      </c>
      <c r="O2622" s="4">
        <v>330</v>
      </c>
      <c r="P2622" s="4">
        <v>550</v>
      </c>
      <c r="Q2622" s="7">
        <v>0</v>
      </c>
      <c r="R2622" t="s">
        <v>175</v>
      </c>
      <c r="S2622">
        <v>3</v>
      </c>
      <c r="T2622">
        <v>2200</v>
      </c>
      <c r="U2622">
        <v>0</v>
      </c>
      <c r="V2622">
        <v>2200</v>
      </c>
      <c r="W2622">
        <v>1320</v>
      </c>
      <c r="X2622">
        <v>880</v>
      </c>
      <c r="Y2622" s="8">
        <v>0.4</v>
      </c>
      <c r="Z2622" t="s">
        <v>2996</v>
      </c>
      <c r="AA2622" t="str">
        <f>IF(AND(SalesCleanTable[[#This Row],[Discount %]]&gt;0, SalesCleanTable[[#This Row],[Profit]]&lt;0), "Discount loss", "Safe")</f>
        <v>Safe</v>
      </c>
      <c r="AB2622" s="25">
        <f>(SalesCleanTable[[#This Row],[Unit Price]] - SalesCleanTable[[#This Row],[Unit Cost]]) / SalesCleanTable[[#This Row],[Unit Price]]</f>
        <v>0.4</v>
      </c>
      <c r="AC2622" t="str">
        <f>IF(SalesCleanTable[[#This Row],[Discount %]] &gt; SalesCleanTable[[#This Row],[Max Allowed Discount]], "Discount loss", "Safe")</f>
        <v>Safe</v>
      </c>
      <c r="AD2622" s="4">
        <f>SalesCleanTable[[#This Row],[Unit Price]] - SalesCleanTable[[#This Row],[Unit Cost]]</f>
        <v>220</v>
      </c>
      <c r="AE2622" s="41">
        <f>(SalesCleanTable[[#This Row],[Unit Price]] - SalesCleanTable[[#This Row],[Unit Cost]]) / SalesCleanTable[[#This Row],[Unit Price]]</f>
        <v>0.4</v>
      </c>
    </row>
    <row r="2623" spans="1:31">
      <c r="A2623" t="s">
        <v>2809</v>
      </c>
      <c r="B2623" s="6">
        <v>45904</v>
      </c>
      <c r="C2623" t="s">
        <v>78</v>
      </c>
      <c r="D2623" t="s">
        <v>79</v>
      </c>
      <c r="E2623" t="s">
        <v>75</v>
      </c>
      <c r="F2623" t="s">
        <v>80</v>
      </c>
      <c r="G2623" t="s">
        <v>81</v>
      </c>
      <c r="H2623" t="s">
        <v>149</v>
      </c>
      <c r="I2623" t="s">
        <v>150</v>
      </c>
      <c r="J2623" t="s">
        <v>151</v>
      </c>
      <c r="K2623" t="s">
        <v>152</v>
      </c>
      <c r="L2623" t="s">
        <v>166</v>
      </c>
      <c r="M2623" t="s">
        <v>186</v>
      </c>
      <c r="N2623">
        <v>1</v>
      </c>
      <c r="O2623" s="4">
        <v>1200</v>
      </c>
      <c r="P2623" s="4">
        <v>1900</v>
      </c>
      <c r="Q2623" s="7">
        <v>0.15</v>
      </c>
      <c r="R2623" t="s">
        <v>187</v>
      </c>
      <c r="S2623">
        <v>3</v>
      </c>
      <c r="T2623">
        <v>1900</v>
      </c>
      <c r="U2623">
        <v>285</v>
      </c>
      <c r="V2623">
        <v>1615</v>
      </c>
      <c r="W2623">
        <v>1200</v>
      </c>
      <c r="X2623">
        <v>415</v>
      </c>
      <c r="Y2623" s="8">
        <v>0.25696594427244585</v>
      </c>
      <c r="Z2623" t="s">
        <v>2996</v>
      </c>
      <c r="AA2623" t="str">
        <f>IF(AND(SalesCleanTable[[#This Row],[Discount %]]&gt;0, SalesCleanTable[[#This Row],[Profit]]&lt;0), "Discount loss", "Safe")</f>
        <v>Safe</v>
      </c>
      <c r="AB2623" s="25">
        <f>(SalesCleanTable[[#This Row],[Unit Price]] - SalesCleanTable[[#This Row],[Unit Cost]]) / SalesCleanTable[[#This Row],[Unit Price]]</f>
        <v>0.36842105263157893</v>
      </c>
      <c r="AC2623" t="str">
        <f>IF(SalesCleanTable[[#This Row],[Discount %]] &gt; SalesCleanTable[[#This Row],[Max Allowed Discount]], "Discount loss", "Safe")</f>
        <v>Safe</v>
      </c>
      <c r="AD2623" s="4">
        <f>SalesCleanTable[[#This Row],[Unit Price]] - SalesCleanTable[[#This Row],[Unit Cost]]</f>
        <v>700</v>
      </c>
      <c r="AE2623" s="41">
        <f>(SalesCleanTable[[#This Row],[Unit Price]] - SalesCleanTable[[#This Row],[Unit Cost]]) / SalesCleanTable[[#This Row],[Unit Price]]</f>
        <v>0.36842105263157893</v>
      </c>
    </row>
    <row r="2624" spans="1:31">
      <c r="A2624" t="s">
        <v>2810</v>
      </c>
      <c r="B2624" s="6">
        <v>45730</v>
      </c>
      <c r="C2624" t="s">
        <v>82</v>
      </c>
      <c r="D2624" t="s">
        <v>83</v>
      </c>
      <c r="E2624" t="s">
        <v>75</v>
      </c>
      <c r="F2624" t="s">
        <v>84</v>
      </c>
      <c r="G2624" t="s">
        <v>85</v>
      </c>
      <c r="H2624" t="s">
        <v>135</v>
      </c>
      <c r="I2624" t="s">
        <v>136</v>
      </c>
      <c r="J2624" t="s">
        <v>137</v>
      </c>
      <c r="K2624" t="s">
        <v>138</v>
      </c>
      <c r="L2624" t="s">
        <v>166</v>
      </c>
      <c r="M2624" t="s">
        <v>171</v>
      </c>
      <c r="N2624">
        <v>1</v>
      </c>
      <c r="O2624" s="4">
        <v>600</v>
      </c>
      <c r="P2624" s="4">
        <v>950</v>
      </c>
      <c r="Q2624" s="7">
        <v>0.1</v>
      </c>
      <c r="R2624" t="s">
        <v>187</v>
      </c>
      <c r="S2624">
        <v>6</v>
      </c>
      <c r="T2624">
        <v>950</v>
      </c>
      <c r="U2624">
        <v>95</v>
      </c>
      <c r="V2624">
        <v>855</v>
      </c>
      <c r="W2624">
        <v>600</v>
      </c>
      <c r="X2624">
        <v>255</v>
      </c>
      <c r="Y2624" s="8">
        <v>0.2982456140350877</v>
      </c>
      <c r="Z2624" t="s">
        <v>2996</v>
      </c>
      <c r="AA2624" t="str">
        <f>IF(AND(SalesCleanTable[[#This Row],[Discount %]]&gt;0, SalesCleanTable[[#This Row],[Profit]]&lt;0), "Discount loss", "Safe")</f>
        <v>Safe</v>
      </c>
      <c r="AB2624" s="25">
        <f>(SalesCleanTable[[#This Row],[Unit Price]] - SalesCleanTable[[#This Row],[Unit Cost]]) / SalesCleanTable[[#This Row],[Unit Price]]</f>
        <v>0.36842105263157893</v>
      </c>
      <c r="AC2624" t="str">
        <f>IF(SalesCleanTable[[#This Row],[Discount %]] &gt; SalesCleanTable[[#This Row],[Max Allowed Discount]], "Discount loss", "Safe")</f>
        <v>Safe</v>
      </c>
      <c r="AD2624" s="4">
        <f>SalesCleanTable[[#This Row],[Unit Price]] - SalesCleanTable[[#This Row],[Unit Cost]]</f>
        <v>350</v>
      </c>
      <c r="AE2624" s="41">
        <f>(SalesCleanTable[[#This Row],[Unit Price]] - SalesCleanTable[[#This Row],[Unit Cost]]) / SalesCleanTable[[#This Row],[Unit Price]]</f>
        <v>0.36842105263157893</v>
      </c>
    </row>
    <row r="2625" spans="1:31">
      <c r="A2625" t="s">
        <v>2811</v>
      </c>
      <c r="B2625" s="6">
        <v>45905</v>
      </c>
      <c r="C2625" t="s">
        <v>103</v>
      </c>
      <c r="D2625" t="s">
        <v>104</v>
      </c>
      <c r="E2625" t="s">
        <v>92</v>
      </c>
      <c r="F2625" t="s">
        <v>105</v>
      </c>
      <c r="G2625" t="s">
        <v>106</v>
      </c>
      <c r="H2625" t="s">
        <v>141</v>
      </c>
      <c r="I2625" t="s">
        <v>142</v>
      </c>
      <c r="J2625" t="s">
        <v>143</v>
      </c>
      <c r="K2625" t="s">
        <v>144</v>
      </c>
      <c r="L2625" t="s">
        <v>183</v>
      </c>
      <c r="M2625" t="s">
        <v>171</v>
      </c>
      <c r="N2625">
        <v>2</v>
      </c>
      <c r="O2625" s="4">
        <v>1500</v>
      </c>
      <c r="P2625" s="4">
        <v>2500</v>
      </c>
      <c r="Q2625" s="7">
        <v>0.05</v>
      </c>
      <c r="R2625" t="s">
        <v>215</v>
      </c>
      <c r="S2625">
        <v>7</v>
      </c>
      <c r="T2625">
        <v>5000</v>
      </c>
      <c r="U2625">
        <v>250</v>
      </c>
      <c r="V2625">
        <v>4750</v>
      </c>
      <c r="W2625">
        <v>3000</v>
      </c>
      <c r="X2625">
        <v>1750</v>
      </c>
      <c r="Y2625" s="8">
        <v>0.36842105263157893</v>
      </c>
      <c r="Z2625" t="s">
        <v>2996</v>
      </c>
      <c r="AA2625" t="str">
        <f>IF(AND(SalesCleanTable[[#This Row],[Discount %]]&gt;0, SalesCleanTable[[#This Row],[Profit]]&lt;0), "Discount loss", "Safe")</f>
        <v>Safe</v>
      </c>
      <c r="AB2625" s="25">
        <f>(SalesCleanTable[[#This Row],[Unit Price]] - SalesCleanTable[[#This Row],[Unit Cost]]) / SalesCleanTable[[#This Row],[Unit Price]]</f>
        <v>0.4</v>
      </c>
      <c r="AC2625" t="str">
        <f>IF(SalesCleanTable[[#This Row],[Discount %]] &gt; SalesCleanTable[[#This Row],[Max Allowed Discount]], "Discount loss", "Safe")</f>
        <v>Safe</v>
      </c>
      <c r="AD2625" s="4">
        <f>SalesCleanTable[[#This Row],[Unit Price]] - SalesCleanTable[[#This Row],[Unit Cost]]</f>
        <v>1000</v>
      </c>
      <c r="AE2625" s="41">
        <f>(SalesCleanTable[[#This Row],[Unit Price]] - SalesCleanTable[[#This Row],[Unit Cost]]) / SalesCleanTable[[#This Row],[Unit Price]]</f>
        <v>0.4</v>
      </c>
    </row>
    <row r="2626" spans="1:31">
      <c r="A2626" t="s">
        <v>2812</v>
      </c>
      <c r="B2626" s="6">
        <v>46005</v>
      </c>
      <c r="C2626" t="s">
        <v>66</v>
      </c>
      <c r="D2626" t="s">
        <v>67</v>
      </c>
      <c r="E2626" t="s">
        <v>59</v>
      </c>
      <c r="F2626" t="s">
        <v>60</v>
      </c>
      <c r="G2626" t="s">
        <v>68</v>
      </c>
      <c r="H2626" t="s">
        <v>141</v>
      </c>
      <c r="I2626" t="s">
        <v>142</v>
      </c>
      <c r="J2626" t="s">
        <v>143</v>
      </c>
      <c r="K2626" t="s">
        <v>144</v>
      </c>
      <c r="L2626" t="s">
        <v>183</v>
      </c>
      <c r="M2626" t="s">
        <v>186</v>
      </c>
      <c r="N2626">
        <v>1</v>
      </c>
      <c r="O2626" s="4">
        <v>2800</v>
      </c>
      <c r="P2626" s="4">
        <v>3900</v>
      </c>
      <c r="Q2626" s="7">
        <v>0.05</v>
      </c>
      <c r="R2626" t="s">
        <v>204</v>
      </c>
      <c r="S2626">
        <v>7</v>
      </c>
      <c r="T2626">
        <v>3900</v>
      </c>
      <c r="U2626">
        <v>195</v>
      </c>
      <c r="V2626">
        <v>3705</v>
      </c>
      <c r="W2626">
        <v>2800</v>
      </c>
      <c r="X2626">
        <v>905</v>
      </c>
      <c r="Y2626" s="8">
        <v>0.24426450742240216</v>
      </c>
      <c r="Z2626" t="s">
        <v>2996</v>
      </c>
      <c r="AA2626" t="str">
        <f>IF(AND(SalesCleanTable[[#This Row],[Discount %]]&gt;0, SalesCleanTable[[#This Row],[Profit]]&lt;0), "Discount loss", "Safe")</f>
        <v>Safe</v>
      </c>
      <c r="AB2626" s="25">
        <f>(SalesCleanTable[[#This Row],[Unit Price]] - SalesCleanTable[[#This Row],[Unit Cost]]) / SalesCleanTable[[#This Row],[Unit Price]]</f>
        <v>0.28205128205128205</v>
      </c>
      <c r="AC2626" t="str">
        <f>IF(SalesCleanTable[[#This Row],[Discount %]] &gt; SalesCleanTable[[#This Row],[Max Allowed Discount]], "Discount loss", "Safe")</f>
        <v>Safe</v>
      </c>
      <c r="AD2626" s="4">
        <f>SalesCleanTable[[#This Row],[Unit Price]] - SalesCleanTable[[#This Row],[Unit Cost]]</f>
        <v>1100</v>
      </c>
      <c r="AE2626" s="41">
        <f>(SalesCleanTable[[#This Row],[Unit Price]] - SalesCleanTable[[#This Row],[Unit Cost]]) / SalesCleanTable[[#This Row],[Unit Price]]</f>
        <v>0.28205128205128205</v>
      </c>
    </row>
    <row r="2627" spans="1:31">
      <c r="A2627" t="s">
        <v>2813</v>
      </c>
      <c r="B2627" s="6">
        <v>45866</v>
      </c>
      <c r="C2627" t="s">
        <v>45</v>
      </c>
      <c r="D2627" t="s">
        <v>46</v>
      </c>
      <c r="E2627" t="s">
        <v>38</v>
      </c>
      <c r="F2627" t="s">
        <v>47</v>
      </c>
      <c r="G2627" t="s">
        <v>48</v>
      </c>
      <c r="H2627" t="s">
        <v>141</v>
      </c>
      <c r="I2627" t="s">
        <v>142</v>
      </c>
      <c r="J2627" t="s">
        <v>143</v>
      </c>
      <c r="K2627" t="s">
        <v>144</v>
      </c>
      <c r="L2627" t="s">
        <v>183</v>
      </c>
      <c r="M2627" t="s">
        <v>177</v>
      </c>
      <c r="N2627">
        <v>-2</v>
      </c>
      <c r="O2627" s="4">
        <v>230</v>
      </c>
      <c r="P2627" s="4">
        <v>400</v>
      </c>
      <c r="Q2627" s="7">
        <v>0.05</v>
      </c>
      <c r="R2627" t="s">
        <v>175</v>
      </c>
      <c r="S2627">
        <v>1</v>
      </c>
      <c r="T2627">
        <v>-800</v>
      </c>
      <c r="U2627">
        <v>-40</v>
      </c>
      <c r="V2627">
        <v>-760</v>
      </c>
      <c r="W2627">
        <v>-460</v>
      </c>
      <c r="X2627">
        <v>-300</v>
      </c>
      <c r="Y2627" s="8">
        <v>0.39473684210526316</v>
      </c>
      <c r="Z2627" t="s">
        <v>2995</v>
      </c>
      <c r="AA2627" t="str">
        <f>IF(AND(SalesCleanTable[[#This Row],[Discount %]]&gt;0, SalesCleanTable[[#This Row],[Profit]]&lt;0), "Discount loss", "Safe")</f>
        <v>Discount loss</v>
      </c>
      <c r="AB2627" s="25">
        <f>(SalesCleanTable[[#This Row],[Unit Price]] - SalesCleanTable[[#This Row],[Unit Cost]]) / SalesCleanTable[[#This Row],[Unit Price]]</f>
        <v>0.42499999999999999</v>
      </c>
      <c r="AC2627" t="str">
        <f>IF(SalesCleanTable[[#This Row],[Discount %]] &gt; SalesCleanTable[[#This Row],[Max Allowed Discount]], "Discount loss", "Safe")</f>
        <v>Safe</v>
      </c>
      <c r="AD2627" s="4">
        <f>SalesCleanTable[[#This Row],[Unit Price]] - SalesCleanTable[[#This Row],[Unit Cost]]</f>
        <v>170</v>
      </c>
      <c r="AE2627" s="41">
        <f>(SalesCleanTable[[#This Row],[Unit Price]] - SalesCleanTable[[#This Row],[Unit Cost]]) / SalesCleanTable[[#This Row],[Unit Price]]</f>
        <v>0.42499999999999999</v>
      </c>
    </row>
    <row r="2628" spans="1:31">
      <c r="A2628" t="s">
        <v>2814</v>
      </c>
      <c r="B2628" s="6">
        <v>45845</v>
      </c>
      <c r="C2628" t="s">
        <v>36</v>
      </c>
      <c r="D2628" t="s">
        <v>37</v>
      </c>
      <c r="E2628" t="s">
        <v>38</v>
      </c>
      <c r="F2628" t="s">
        <v>39</v>
      </c>
      <c r="G2628" t="s">
        <v>40</v>
      </c>
      <c r="H2628" t="s">
        <v>153</v>
      </c>
      <c r="I2628" t="s">
        <v>154</v>
      </c>
      <c r="J2628" t="s">
        <v>155</v>
      </c>
      <c r="K2628" t="s">
        <v>131</v>
      </c>
      <c r="L2628" t="s">
        <v>170</v>
      </c>
      <c r="M2628" t="s">
        <v>186</v>
      </c>
      <c r="N2628">
        <v>5</v>
      </c>
      <c r="O2628" s="4">
        <v>1650</v>
      </c>
      <c r="P2628" s="4">
        <v>2200</v>
      </c>
      <c r="Q2628" s="7">
        <v>0.2</v>
      </c>
      <c r="R2628" t="s">
        <v>168</v>
      </c>
      <c r="S2628">
        <v>6</v>
      </c>
      <c r="T2628">
        <v>11000</v>
      </c>
      <c r="U2628">
        <v>2200</v>
      </c>
      <c r="V2628">
        <v>8800</v>
      </c>
      <c r="W2628">
        <v>8250</v>
      </c>
      <c r="X2628">
        <v>550</v>
      </c>
      <c r="Y2628" s="8">
        <v>6.25E-2</v>
      </c>
      <c r="Z2628" t="s">
        <v>2995</v>
      </c>
      <c r="AA2628" t="str">
        <f>IF(AND(SalesCleanTable[[#This Row],[Discount %]]&gt;0, SalesCleanTable[[#This Row],[Profit]]&lt;0), "Discount loss", "Safe")</f>
        <v>Safe</v>
      </c>
      <c r="AB2628" s="25">
        <f>(SalesCleanTable[[#This Row],[Unit Price]] - SalesCleanTable[[#This Row],[Unit Cost]]) / SalesCleanTable[[#This Row],[Unit Price]]</f>
        <v>0.25</v>
      </c>
      <c r="AC2628" t="str">
        <f>IF(SalesCleanTable[[#This Row],[Discount %]] &gt; SalesCleanTable[[#This Row],[Max Allowed Discount]], "Discount loss", "Safe")</f>
        <v>Safe</v>
      </c>
      <c r="AD2628" s="4">
        <f>SalesCleanTable[[#This Row],[Unit Price]] - SalesCleanTable[[#This Row],[Unit Cost]]</f>
        <v>550</v>
      </c>
      <c r="AE2628" s="41">
        <f>(SalesCleanTable[[#This Row],[Unit Price]] - SalesCleanTable[[#This Row],[Unit Cost]]) / SalesCleanTable[[#This Row],[Unit Price]]</f>
        <v>0.25</v>
      </c>
    </row>
    <row r="2629" spans="1:31">
      <c r="A2629" t="s">
        <v>2815</v>
      </c>
      <c r="B2629" s="6">
        <v>45892</v>
      </c>
      <c r="C2629" t="s">
        <v>73</v>
      </c>
      <c r="D2629" t="s">
        <v>74</v>
      </c>
      <c r="E2629" t="s">
        <v>75</v>
      </c>
      <c r="F2629" t="s">
        <v>76</v>
      </c>
      <c r="G2629" t="s">
        <v>77</v>
      </c>
      <c r="H2629" t="s">
        <v>153</v>
      </c>
      <c r="I2629" t="s">
        <v>154</v>
      </c>
      <c r="J2629" t="s">
        <v>155</v>
      </c>
      <c r="K2629" t="s">
        <v>131</v>
      </c>
      <c r="L2629" t="s">
        <v>166</v>
      </c>
      <c r="M2629" t="s">
        <v>171</v>
      </c>
      <c r="N2629">
        <v>1</v>
      </c>
      <c r="O2629" s="4">
        <v>3500</v>
      </c>
      <c r="P2629" s="4">
        <v>5200</v>
      </c>
      <c r="Q2629" s="7">
        <v>0.15</v>
      </c>
      <c r="R2629" t="s">
        <v>187</v>
      </c>
      <c r="S2629">
        <v>10</v>
      </c>
      <c r="T2629">
        <v>5200</v>
      </c>
      <c r="U2629">
        <v>780</v>
      </c>
      <c r="V2629">
        <v>4420</v>
      </c>
      <c r="W2629">
        <v>3500</v>
      </c>
      <c r="X2629">
        <v>920</v>
      </c>
      <c r="Y2629" s="8">
        <v>0.20814479638009051</v>
      </c>
      <c r="Z2629" t="s">
        <v>2996</v>
      </c>
      <c r="AA2629" t="str">
        <f>IF(AND(SalesCleanTable[[#This Row],[Discount %]]&gt;0, SalesCleanTable[[#This Row],[Profit]]&lt;0), "Discount loss", "Safe")</f>
        <v>Safe</v>
      </c>
      <c r="AB2629" s="25">
        <f>(SalesCleanTable[[#This Row],[Unit Price]] - SalesCleanTable[[#This Row],[Unit Cost]]) / SalesCleanTable[[#This Row],[Unit Price]]</f>
        <v>0.32692307692307693</v>
      </c>
      <c r="AC2629" t="str">
        <f>IF(SalesCleanTable[[#This Row],[Discount %]] &gt; SalesCleanTable[[#This Row],[Max Allowed Discount]], "Discount loss", "Safe")</f>
        <v>Safe</v>
      </c>
      <c r="AD2629" s="4">
        <f>SalesCleanTable[[#This Row],[Unit Price]] - SalesCleanTable[[#This Row],[Unit Cost]]</f>
        <v>1700</v>
      </c>
      <c r="AE2629" s="41">
        <f>(SalesCleanTable[[#This Row],[Unit Price]] - SalesCleanTable[[#This Row],[Unit Cost]]) / SalesCleanTable[[#This Row],[Unit Price]]</f>
        <v>0.32692307692307693</v>
      </c>
    </row>
    <row r="2630" spans="1:31">
      <c r="A2630" t="s">
        <v>2816</v>
      </c>
      <c r="B2630" s="6">
        <v>45892</v>
      </c>
      <c r="C2630" t="s">
        <v>24</v>
      </c>
      <c r="D2630" t="s">
        <v>25</v>
      </c>
      <c r="E2630" t="s">
        <v>26</v>
      </c>
      <c r="F2630" t="s">
        <v>27</v>
      </c>
      <c r="G2630" t="s">
        <v>28</v>
      </c>
      <c r="H2630" t="s">
        <v>145</v>
      </c>
      <c r="I2630" t="s">
        <v>146</v>
      </c>
      <c r="J2630" t="s">
        <v>147</v>
      </c>
      <c r="K2630" t="s">
        <v>148</v>
      </c>
      <c r="L2630" t="s">
        <v>166</v>
      </c>
      <c r="M2630" t="s">
        <v>177</v>
      </c>
      <c r="N2630">
        <v>3</v>
      </c>
      <c r="O2630" s="4">
        <v>14500</v>
      </c>
      <c r="P2630" s="4">
        <v>17500</v>
      </c>
      <c r="Q2630" s="7">
        <v>0</v>
      </c>
      <c r="R2630" t="s">
        <v>194</v>
      </c>
      <c r="S2630">
        <v>13</v>
      </c>
      <c r="T2630">
        <v>52500</v>
      </c>
      <c r="U2630">
        <v>0</v>
      </c>
      <c r="V2630">
        <v>52500</v>
      </c>
      <c r="W2630">
        <v>43500</v>
      </c>
      <c r="X2630">
        <v>9000</v>
      </c>
      <c r="Y2630" s="8">
        <v>0.17142857142857143</v>
      </c>
      <c r="Z2630" t="s">
        <v>2995</v>
      </c>
      <c r="AA2630" t="str">
        <f>IF(AND(SalesCleanTable[[#This Row],[Discount %]]&gt;0, SalesCleanTable[[#This Row],[Profit]]&lt;0), "Discount loss", "Safe")</f>
        <v>Safe</v>
      </c>
      <c r="AB2630" s="25">
        <f>(SalesCleanTable[[#This Row],[Unit Price]] - SalesCleanTable[[#This Row],[Unit Cost]]) / SalesCleanTable[[#This Row],[Unit Price]]</f>
        <v>0.17142857142857143</v>
      </c>
      <c r="AC2630" t="str">
        <f>IF(SalesCleanTable[[#This Row],[Discount %]] &gt; SalesCleanTable[[#This Row],[Max Allowed Discount]], "Discount loss", "Safe")</f>
        <v>Safe</v>
      </c>
      <c r="AD2630" s="4">
        <f>SalesCleanTable[[#This Row],[Unit Price]] - SalesCleanTable[[#This Row],[Unit Cost]]</f>
        <v>3000</v>
      </c>
      <c r="AE2630" s="41">
        <f>(SalesCleanTable[[#This Row],[Unit Price]] - SalesCleanTable[[#This Row],[Unit Cost]]) / SalesCleanTable[[#This Row],[Unit Price]]</f>
        <v>0.17142857142857143</v>
      </c>
    </row>
    <row r="2631" spans="1:31">
      <c r="A2631" t="s">
        <v>2817</v>
      </c>
      <c r="B2631" s="6">
        <v>45716</v>
      </c>
      <c r="C2631" t="s">
        <v>29</v>
      </c>
      <c r="D2631" t="s">
        <v>30</v>
      </c>
      <c r="E2631" t="s">
        <v>26</v>
      </c>
      <c r="F2631" t="s">
        <v>27</v>
      </c>
      <c r="G2631" t="s">
        <v>31</v>
      </c>
      <c r="H2631" t="s">
        <v>153</v>
      </c>
      <c r="I2631" t="s">
        <v>154</v>
      </c>
      <c r="J2631" t="s">
        <v>155</v>
      </c>
      <c r="K2631" t="s">
        <v>131</v>
      </c>
      <c r="L2631" t="s">
        <v>166</v>
      </c>
      <c r="M2631" t="s">
        <v>186</v>
      </c>
      <c r="N2631">
        <v>-2</v>
      </c>
      <c r="O2631" s="4">
        <v>6200</v>
      </c>
      <c r="P2631" s="4">
        <v>7900</v>
      </c>
      <c r="Q2631" s="7">
        <v>0.1</v>
      </c>
      <c r="R2631" t="s">
        <v>197</v>
      </c>
      <c r="S2631">
        <v>7</v>
      </c>
      <c r="T2631">
        <v>-15800</v>
      </c>
      <c r="U2631">
        <v>-1580</v>
      </c>
      <c r="V2631">
        <v>-14220</v>
      </c>
      <c r="W2631">
        <v>-12400</v>
      </c>
      <c r="X2631">
        <v>-1820</v>
      </c>
      <c r="Y2631" s="8">
        <v>0.12798874824191281</v>
      </c>
      <c r="Z2631" t="s">
        <v>2996</v>
      </c>
      <c r="AA2631" t="str">
        <f>IF(AND(SalesCleanTable[[#This Row],[Discount %]]&gt;0, SalesCleanTable[[#This Row],[Profit]]&lt;0), "Discount loss", "Safe")</f>
        <v>Discount loss</v>
      </c>
      <c r="AB2631" s="25">
        <f>(SalesCleanTable[[#This Row],[Unit Price]] - SalesCleanTable[[#This Row],[Unit Cost]]) / SalesCleanTable[[#This Row],[Unit Price]]</f>
        <v>0.21518987341772153</v>
      </c>
      <c r="AC2631" t="str">
        <f>IF(SalesCleanTable[[#This Row],[Discount %]] &gt; SalesCleanTable[[#This Row],[Max Allowed Discount]], "Discount loss", "Safe")</f>
        <v>Safe</v>
      </c>
      <c r="AD2631" s="4">
        <f>SalesCleanTable[[#This Row],[Unit Price]] - SalesCleanTable[[#This Row],[Unit Cost]]</f>
        <v>1700</v>
      </c>
      <c r="AE2631" s="41">
        <f>(SalesCleanTable[[#This Row],[Unit Price]] - SalesCleanTable[[#This Row],[Unit Cost]]) / SalesCleanTable[[#This Row],[Unit Price]]</f>
        <v>0.21518987341772153</v>
      </c>
    </row>
    <row r="2632" spans="1:31">
      <c r="A2632" t="s">
        <v>2818</v>
      </c>
      <c r="B2632" s="6">
        <v>45674</v>
      </c>
      <c r="C2632" t="s">
        <v>32</v>
      </c>
      <c r="D2632" t="s">
        <v>33</v>
      </c>
      <c r="E2632" t="s">
        <v>26</v>
      </c>
      <c r="F2632" t="s">
        <v>34</v>
      </c>
      <c r="G2632" t="s">
        <v>35</v>
      </c>
      <c r="H2632" t="s">
        <v>135</v>
      </c>
      <c r="I2632" t="s">
        <v>136</v>
      </c>
      <c r="J2632" t="s">
        <v>137</v>
      </c>
      <c r="K2632" t="s">
        <v>138</v>
      </c>
      <c r="L2632" t="s">
        <v>166</v>
      </c>
      <c r="M2632" t="s">
        <v>186</v>
      </c>
      <c r="N2632">
        <v>3</v>
      </c>
      <c r="O2632" s="4">
        <v>7800</v>
      </c>
      <c r="P2632" s="4">
        <v>9800</v>
      </c>
      <c r="Q2632" s="7">
        <v>0</v>
      </c>
      <c r="R2632" t="s">
        <v>194</v>
      </c>
      <c r="S2632">
        <v>10</v>
      </c>
      <c r="T2632">
        <v>29400</v>
      </c>
      <c r="U2632">
        <v>0</v>
      </c>
      <c r="V2632">
        <v>29400</v>
      </c>
      <c r="W2632">
        <v>23400</v>
      </c>
      <c r="X2632">
        <v>6000</v>
      </c>
      <c r="Y2632" s="8">
        <v>0.20408163265306123</v>
      </c>
      <c r="Z2632" t="s">
        <v>2995</v>
      </c>
      <c r="AA2632" t="str">
        <f>IF(AND(SalesCleanTable[[#This Row],[Discount %]]&gt;0, SalesCleanTable[[#This Row],[Profit]]&lt;0), "Discount loss", "Safe")</f>
        <v>Safe</v>
      </c>
      <c r="AB2632" s="25">
        <f>(SalesCleanTable[[#This Row],[Unit Price]] - SalesCleanTable[[#This Row],[Unit Cost]]) / SalesCleanTable[[#This Row],[Unit Price]]</f>
        <v>0.20408163265306123</v>
      </c>
      <c r="AC2632" t="str">
        <f>IF(SalesCleanTable[[#This Row],[Discount %]] &gt; SalesCleanTable[[#This Row],[Max Allowed Discount]], "Discount loss", "Safe")</f>
        <v>Safe</v>
      </c>
      <c r="AD2632" s="4">
        <f>SalesCleanTable[[#This Row],[Unit Price]] - SalesCleanTable[[#This Row],[Unit Cost]]</f>
        <v>2000</v>
      </c>
      <c r="AE2632" s="41">
        <f>(SalesCleanTable[[#This Row],[Unit Price]] - SalesCleanTable[[#This Row],[Unit Cost]]) / SalesCleanTable[[#This Row],[Unit Price]]</f>
        <v>0.20408163265306123</v>
      </c>
    </row>
    <row r="2633" spans="1:31">
      <c r="A2633" t="s">
        <v>2819</v>
      </c>
      <c r="B2633" s="6">
        <v>45942</v>
      </c>
      <c r="C2633" t="s">
        <v>112</v>
      </c>
      <c r="D2633" t="s">
        <v>113</v>
      </c>
      <c r="E2633" t="s">
        <v>109</v>
      </c>
      <c r="F2633" t="s">
        <v>114</v>
      </c>
      <c r="G2633" t="s">
        <v>115</v>
      </c>
      <c r="H2633" t="s">
        <v>133</v>
      </c>
      <c r="I2633" t="s">
        <v>134</v>
      </c>
      <c r="J2633" t="s">
        <v>130</v>
      </c>
      <c r="K2633" t="s">
        <v>131</v>
      </c>
      <c r="L2633" t="s">
        <v>183</v>
      </c>
      <c r="M2633" t="s">
        <v>186</v>
      </c>
      <c r="N2633">
        <v>2</v>
      </c>
      <c r="O2633" s="4">
        <v>1300</v>
      </c>
      <c r="P2633" s="4">
        <v>2100</v>
      </c>
      <c r="Q2633" s="7">
        <v>0.05</v>
      </c>
      <c r="R2633" t="s">
        <v>235</v>
      </c>
      <c r="S2633">
        <v>10</v>
      </c>
      <c r="T2633">
        <v>4200</v>
      </c>
      <c r="U2633">
        <v>210</v>
      </c>
      <c r="V2633">
        <v>3990</v>
      </c>
      <c r="W2633">
        <v>2600</v>
      </c>
      <c r="X2633">
        <v>1390</v>
      </c>
      <c r="Y2633" s="8">
        <v>0.34837092731829572</v>
      </c>
      <c r="Z2633" t="s">
        <v>2995</v>
      </c>
      <c r="AA2633" t="str">
        <f>IF(AND(SalesCleanTable[[#This Row],[Discount %]]&gt;0, SalesCleanTable[[#This Row],[Profit]]&lt;0), "Discount loss", "Safe")</f>
        <v>Safe</v>
      </c>
      <c r="AB2633" s="25">
        <f>(SalesCleanTable[[#This Row],[Unit Price]] - SalesCleanTable[[#This Row],[Unit Cost]]) / SalesCleanTable[[#This Row],[Unit Price]]</f>
        <v>0.38095238095238093</v>
      </c>
      <c r="AC2633" t="str">
        <f>IF(SalesCleanTable[[#This Row],[Discount %]] &gt; SalesCleanTable[[#This Row],[Max Allowed Discount]], "Discount loss", "Safe")</f>
        <v>Safe</v>
      </c>
      <c r="AD2633" s="4">
        <f>SalesCleanTable[[#This Row],[Unit Price]] - SalesCleanTable[[#This Row],[Unit Cost]]</f>
        <v>800</v>
      </c>
      <c r="AE2633" s="41">
        <f>(SalesCleanTable[[#This Row],[Unit Price]] - SalesCleanTable[[#This Row],[Unit Cost]]) / SalesCleanTable[[#This Row],[Unit Price]]</f>
        <v>0.38095238095238093</v>
      </c>
    </row>
    <row r="2634" spans="1:31">
      <c r="A2634" t="s">
        <v>2820</v>
      </c>
      <c r="B2634" s="6">
        <v>45803</v>
      </c>
      <c r="C2634" t="s">
        <v>62</v>
      </c>
      <c r="D2634" t="s">
        <v>63</v>
      </c>
      <c r="E2634" t="s">
        <v>59</v>
      </c>
      <c r="F2634" t="s">
        <v>64</v>
      </c>
      <c r="G2634" t="s">
        <v>65</v>
      </c>
      <c r="H2634" t="s">
        <v>139</v>
      </c>
      <c r="I2634" t="s">
        <v>140</v>
      </c>
      <c r="J2634" t="s">
        <v>137</v>
      </c>
      <c r="K2634" t="s">
        <v>138</v>
      </c>
      <c r="L2634" t="s">
        <v>166</v>
      </c>
      <c r="M2634" t="s">
        <v>171</v>
      </c>
      <c r="N2634">
        <v>1</v>
      </c>
      <c r="O2634" s="4">
        <v>3200</v>
      </c>
      <c r="P2634" s="4">
        <v>4500</v>
      </c>
      <c r="Q2634" s="7">
        <v>0</v>
      </c>
      <c r="R2634" t="s">
        <v>173</v>
      </c>
      <c r="S2634">
        <v>7</v>
      </c>
      <c r="T2634">
        <v>4500</v>
      </c>
      <c r="U2634">
        <v>0</v>
      </c>
      <c r="V2634">
        <v>4500</v>
      </c>
      <c r="W2634">
        <v>3200</v>
      </c>
      <c r="X2634">
        <v>1300</v>
      </c>
      <c r="Y2634" s="8">
        <v>0.28888888888888886</v>
      </c>
      <c r="Z2634" t="s">
        <v>2996</v>
      </c>
      <c r="AA2634" t="str">
        <f>IF(AND(SalesCleanTable[[#This Row],[Discount %]]&gt;0, SalesCleanTable[[#This Row],[Profit]]&lt;0), "Discount loss", "Safe")</f>
        <v>Safe</v>
      </c>
      <c r="AB2634" s="25">
        <f>(SalesCleanTable[[#This Row],[Unit Price]] - SalesCleanTable[[#This Row],[Unit Cost]]) / SalesCleanTable[[#This Row],[Unit Price]]</f>
        <v>0.28888888888888886</v>
      </c>
      <c r="AC2634" t="str">
        <f>IF(SalesCleanTable[[#This Row],[Discount %]] &gt; SalesCleanTable[[#This Row],[Max Allowed Discount]], "Discount loss", "Safe")</f>
        <v>Safe</v>
      </c>
      <c r="AD2634" s="4">
        <f>SalesCleanTable[[#This Row],[Unit Price]] - SalesCleanTable[[#This Row],[Unit Cost]]</f>
        <v>1300</v>
      </c>
      <c r="AE2634" s="41">
        <f>(SalesCleanTable[[#This Row],[Unit Price]] - SalesCleanTable[[#This Row],[Unit Cost]]) / SalesCleanTable[[#This Row],[Unit Price]]</f>
        <v>0.28888888888888886</v>
      </c>
    </row>
    <row r="2635" spans="1:31">
      <c r="A2635" t="s">
        <v>2821</v>
      </c>
      <c r="B2635" s="6">
        <v>45856</v>
      </c>
      <c r="C2635" t="s">
        <v>103</v>
      </c>
      <c r="D2635" t="s">
        <v>104</v>
      </c>
      <c r="E2635" t="s">
        <v>92</v>
      </c>
      <c r="F2635" t="s">
        <v>105</v>
      </c>
      <c r="G2635" t="s">
        <v>106</v>
      </c>
      <c r="H2635" t="s">
        <v>141</v>
      </c>
      <c r="I2635" t="s">
        <v>142</v>
      </c>
      <c r="J2635" t="s">
        <v>143</v>
      </c>
      <c r="K2635" t="s">
        <v>144</v>
      </c>
      <c r="L2635" t="s">
        <v>183</v>
      </c>
      <c r="M2635" t="s">
        <v>177</v>
      </c>
      <c r="N2635">
        <v>2</v>
      </c>
      <c r="O2635" s="4">
        <v>1500</v>
      </c>
      <c r="P2635" s="4">
        <v>2500</v>
      </c>
      <c r="Q2635" s="7">
        <v>0</v>
      </c>
      <c r="R2635" t="s">
        <v>217</v>
      </c>
      <c r="S2635">
        <v>12</v>
      </c>
      <c r="T2635">
        <v>5000</v>
      </c>
      <c r="U2635">
        <v>0</v>
      </c>
      <c r="V2635">
        <v>5000</v>
      </c>
      <c r="W2635">
        <v>3000</v>
      </c>
      <c r="X2635">
        <v>2000</v>
      </c>
      <c r="Y2635" s="8">
        <v>0.4</v>
      </c>
      <c r="Z2635" t="s">
        <v>2996</v>
      </c>
      <c r="AA2635" t="str">
        <f>IF(AND(SalesCleanTable[[#This Row],[Discount %]]&gt;0, SalesCleanTable[[#This Row],[Profit]]&lt;0), "Discount loss", "Safe")</f>
        <v>Safe</v>
      </c>
      <c r="AB2635" s="25">
        <f>(SalesCleanTable[[#This Row],[Unit Price]] - SalesCleanTable[[#This Row],[Unit Cost]]) / SalesCleanTable[[#This Row],[Unit Price]]</f>
        <v>0.4</v>
      </c>
      <c r="AC2635" t="str">
        <f>IF(SalesCleanTable[[#This Row],[Discount %]] &gt; SalesCleanTable[[#This Row],[Max Allowed Discount]], "Discount loss", "Safe")</f>
        <v>Safe</v>
      </c>
      <c r="AD2635" s="4">
        <f>SalesCleanTable[[#This Row],[Unit Price]] - SalesCleanTable[[#This Row],[Unit Cost]]</f>
        <v>1000</v>
      </c>
      <c r="AE2635" s="41">
        <f>(SalesCleanTable[[#This Row],[Unit Price]] - SalesCleanTable[[#This Row],[Unit Cost]]) / SalesCleanTable[[#This Row],[Unit Price]]</f>
        <v>0.4</v>
      </c>
    </row>
    <row r="2636" spans="1:31">
      <c r="A2636" t="s">
        <v>2822</v>
      </c>
      <c r="B2636" s="6">
        <v>45994</v>
      </c>
      <c r="C2636" t="s">
        <v>49</v>
      </c>
      <c r="D2636" t="s">
        <v>50</v>
      </c>
      <c r="E2636" t="s">
        <v>38</v>
      </c>
      <c r="F2636" t="s">
        <v>51</v>
      </c>
      <c r="G2636" t="s">
        <v>52</v>
      </c>
      <c r="H2636" t="s">
        <v>135</v>
      </c>
      <c r="I2636" t="s">
        <v>136</v>
      </c>
      <c r="J2636" t="s">
        <v>137</v>
      </c>
      <c r="K2636" t="s">
        <v>138</v>
      </c>
      <c r="L2636" t="s">
        <v>166</v>
      </c>
      <c r="M2636" t="s">
        <v>186</v>
      </c>
      <c r="N2636">
        <v>5</v>
      </c>
      <c r="O2636" s="4">
        <v>550</v>
      </c>
      <c r="P2636" s="4">
        <v>850</v>
      </c>
      <c r="Q2636" s="7">
        <v>0</v>
      </c>
      <c r="R2636" t="s">
        <v>168</v>
      </c>
      <c r="S2636">
        <v>3</v>
      </c>
      <c r="T2636">
        <v>4250</v>
      </c>
      <c r="U2636">
        <v>0</v>
      </c>
      <c r="V2636">
        <v>4250</v>
      </c>
      <c r="W2636">
        <v>2750</v>
      </c>
      <c r="X2636">
        <v>1500</v>
      </c>
      <c r="Y2636" s="8">
        <v>0.35294117647058826</v>
      </c>
      <c r="Z2636" t="s">
        <v>2996</v>
      </c>
      <c r="AA2636" t="str">
        <f>IF(AND(SalesCleanTable[[#This Row],[Discount %]]&gt;0, SalesCleanTable[[#This Row],[Profit]]&lt;0), "Discount loss", "Safe")</f>
        <v>Safe</v>
      </c>
      <c r="AB2636" s="25">
        <f>(SalesCleanTable[[#This Row],[Unit Price]] - SalesCleanTable[[#This Row],[Unit Cost]]) / SalesCleanTable[[#This Row],[Unit Price]]</f>
        <v>0.35294117647058826</v>
      </c>
      <c r="AC2636" t="str">
        <f>IF(SalesCleanTable[[#This Row],[Discount %]] &gt; SalesCleanTable[[#This Row],[Max Allowed Discount]], "Discount loss", "Safe")</f>
        <v>Safe</v>
      </c>
      <c r="AD2636" s="4">
        <f>SalesCleanTable[[#This Row],[Unit Price]] - SalesCleanTable[[#This Row],[Unit Cost]]</f>
        <v>300</v>
      </c>
      <c r="AE2636" s="41">
        <f>(SalesCleanTable[[#This Row],[Unit Price]] - SalesCleanTable[[#This Row],[Unit Cost]]) / SalesCleanTable[[#This Row],[Unit Price]]</f>
        <v>0.35294117647058826</v>
      </c>
    </row>
    <row r="2637" spans="1:31">
      <c r="A2637" t="s">
        <v>2823</v>
      </c>
      <c r="B2637" s="6">
        <v>45913</v>
      </c>
      <c r="C2637" t="s">
        <v>78</v>
      </c>
      <c r="D2637" t="s">
        <v>79</v>
      </c>
      <c r="E2637" t="s">
        <v>75</v>
      </c>
      <c r="F2637" t="s">
        <v>80</v>
      </c>
      <c r="G2637" t="s">
        <v>81</v>
      </c>
      <c r="H2637" t="s">
        <v>135</v>
      </c>
      <c r="I2637" t="s">
        <v>136</v>
      </c>
      <c r="J2637" t="s">
        <v>137</v>
      </c>
      <c r="K2637" t="s">
        <v>138</v>
      </c>
      <c r="L2637" t="s">
        <v>183</v>
      </c>
      <c r="M2637" t="s">
        <v>171</v>
      </c>
      <c r="N2637">
        <v>1</v>
      </c>
      <c r="O2637" s="4">
        <v>1200</v>
      </c>
      <c r="P2637" s="4">
        <v>1900</v>
      </c>
      <c r="Q2637" s="7">
        <v>0</v>
      </c>
      <c r="R2637" t="s">
        <v>187</v>
      </c>
      <c r="S2637">
        <v>1</v>
      </c>
      <c r="T2637">
        <v>1900</v>
      </c>
      <c r="U2637">
        <v>0</v>
      </c>
      <c r="V2637">
        <v>1900</v>
      </c>
      <c r="W2637">
        <v>1200</v>
      </c>
      <c r="X2637">
        <v>700</v>
      </c>
      <c r="Y2637" s="8">
        <v>0.36842105263157893</v>
      </c>
      <c r="Z2637" t="s">
        <v>2996</v>
      </c>
      <c r="AA2637" t="str">
        <f>IF(AND(SalesCleanTable[[#This Row],[Discount %]]&gt;0, SalesCleanTable[[#This Row],[Profit]]&lt;0), "Discount loss", "Safe")</f>
        <v>Safe</v>
      </c>
      <c r="AB2637" s="25">
        <f>(SalesCleanTable[[#This Row],[Unit Price]] - SalesCleanTable[[#This Row],[Unit Cost]]) / SalesCleanTable[[#This Row],[Unit Price]]</f>
        <v>0.36842105263157893</v>
      </c>
      <c r="AC2637" t="str">
        <f>IF(SalesCleanTable[[#This Row],[Discount %]] &gt; SalesCleanTable[[#This Row],[Max Allowed Discount]], "Discount loss", "Safe")</f>
        <v>Safe</v>
      </c>
      <c r="AD2637" s="4">
        <f>SalesCleanTable[[#This Row],[Unit Price]] - SalesCleanTable[[#This Row],[Unit Cost]]</f>
        <v>700</v>
      </c>
      <c r="AE2637" s="41">
        <f>(SalesCleanTable[[#This Row],[Unit Price]] - SalesCleanTable[[#This Row],[Unit Cost]]) / SalesCleanTable[[#This Row],[Unit Price]]</f>
        <v>0.36842105263157893</v>
      </c>
    </row>
    <row r="2638" spans="1:31">
      <c r="A2638" t="s">
        <v>2824</v>
      </c>
      <c r="B2638" s="6">
        <v>45998</v>
      </c>
      <c r="C2638" t="s">
        <v>24</v>
      </c>
      <c r="D2638" t="s">
        <v>25</v>
      </c>
      <c r="E2638" t="s">
        <v>26</v>
      </c>
      <c r="F2638" t="s">
        <v>27</v>
      </c>
      <c r="G2638" t="s">
        <v>28</v>
      </c>
      <c r="H2638" t="s">
        <v>135</v>
      </c>
      <c r="I2638" t="s">
        <v>136</v>
      </c>
      <c r="J2638" t="s">
        <v>137</v>
      </c>
      <c r="K2638" t="s">
        <v>138</v>
      </c>
      <c r="L2638" t="s">
        <v>166</v>
      </c>
      <c r="M2638" t="s">
        <v>171</v>
      </c>
      <c r="N2638">
        <v>4</v>
      </c>
      <c r="O2638" s="4">
        <v>14500</v>
      </c>
      <c r="P2638" s="4">
        <v>17500</v>
      </c>
      <c r="Q2638" s="7">
        <v>0.15</v>
      </c>
      <c r="R2638" t="s">
        <v>173</v>
      </c>
      <c r="S2638">
        <v>13</v>
      </c>
      <c r="T2638">
        <v>70000</v>
      </c>
      <c r="U2638">
        <v>10500</v>
      </c>
      <c r="V2638">
        <v>59500</v>
      </c>
      <c r="W2638">
        <v>58000</v>
      </c>
      <c r="X2638">
        <v>1500</v>
      </c>
      <c r="Y2638" s="8">
        <v>2.5210084033613446E-2</v>
      </c>
      <c r="Z2638" t="s">
        <v>2995</v>
      </c>
      <c r="AA2638" t="str">
        <f>IF(AND(SalesCleanTable[[#This Row],[Discount %]]&gt;0, SalesCleanTable[[#This Row],[Profit]]&lt;0), "Discount loss", "Safe")</f>
        <v>Safe</v>
      </c>
      <c r="AB2638" s="25">
        <f>(SalesCleanTable[[#This Row],[Unit Price]] - SalesCleanTable[[#This Row],[Unit Cost]]) / SalesCleanTable[[#This Row],[Unit Price]]</f>
        <v>0.17142857142857143</v>
      </c>
      <c r="AC2638" t="str">
        <f>IF(SalesCleanTable[[#This Row],[Discount %]] &gt; SalesCleanTable[[#This Row],[Max Allowed Discount]], "Discount loss", "Safe")</f>
        <v>Safe</v>
      </c>
      <c r="AD2638" s="4">
        <f>SalesCleanTable[[#This Row],[Unit Price]] - SalesCleanTable[[#This Row],[Unit Cost]]</f>
        <v>3000</v>
      </c>
      <c r="AE2638" s="41">
        <f>(SalesCleanTable[[#This Row],[Unit Price]] - SalesCleanTable[[#This Row],[Unit Cost]]) / SalesCleanTable[[#This Row],[Unit Price]]</f>
        <v>0.17142857142857143</v>
      </c>
    </row>
    <row r="2639" spans="1:31">
      <c r="A2639" t="s">
        <v>2825</v>
      </c>
      <c r="B2639" s="6">
        <v>45764</v>
      </c>
      <c r="C2639" t="s">
        <v>99</v>
      </c>
      <c r="D2639" t="s">
        <v>100</v>
      </c>
      <c r="E2639" t="s">
        <v>92</v>
      </c>
      <c r="F2639" t="s">
        <v>101</v>
      </c>
      <c r="G2639" t="s">
        <v>102</v>
      </c>
      <c r="H2639" t="s">
        <v>139</v>
      </c>
      <c r="I2639" t="s">
        <v>140</v>
      </c>
      <c r="J2639" t="s">
        <v>137</v>
      </c>
      <c r="K2639" t="s">
        <v>138</v>
      </c>
      <c r="L2639" t="s">
        <v>166</v>
      </c>
      <c r="M2639" t="s">
        <v>177</v>
      </c>
      <c r="N2639">
        <v>1</v>
      </c>
      <c r="O2639" s="4">
        <v>12500</v>
      </c>
      <c r="P2639" s="4">
        <v>18500</v>
      </c>
      <c r="Q2639" s="7">
        <v>0.2</v>
      </c>
      <c r="R2639" t="s">
        <v>215</v>
      </c>
      <c r="S2639">
        <v>12</v>
      </c>
      <c r="T2639">
        <v>18500</v>
      </c>
      <c r="U2639">
        <v>3700</v>
      </c>
      <c r="V2639">
        <v>14800</v>
      </c>
      <c r="W2639">
        <v>12500</v>
      </c>
      <c r="X2639">
        <v>2300</v>
      </c>
      <c r="Y2639" s="8">
        <v>0.1554054054054054</v>
      </c>
      <c r="Z2639" t="s">
        <v>2995</v>
      </c>
      <c r="AA2639" t="str">
        <f>IF(AND(SalesCleanTable[[#This Row],[Discount %]]&gt;0, SalesCleanTable[[#This Row],[Profit]]&lt;0), "Discount loss", "Safe")</f>
        <v>Safe</v>
      </c>
      <c r="AB2639" s="25">
        <f>(SalesCleanTable[[#This Row],[Unit Price]] - SalesCleanTable[[#This Row],[Unit Cost]]) / SalesCleanTable[[#This Row],[Unit Price]]</f>
        <v>0.32432432432432434</v>
      </c>
      <c r="AC2639" t="str">
        <f>IF(SalesCleanTable[[#This Row],[Discount %]] &gt; SalesCleanTable[[#This Row],[Max Allowed Discount]], "Discount loss", "Safe")</f>
        <v>Safe</v>
      </c>
      <c r="AD2639" s="4">
        <f>SalesCleanTable[[#This Row],[Unit Price]] - SalesCleanTable[[#This Row],[Unit Cost]]</f>
        <v>6000</v>
      </c>
      <c r="AE2639" s="41">
        <f>(SalesCleanTable[[#This Row],[Unit Price]] - SalesCleanTable[[#This Row],[Unit Cost]]) / SalesCleanTable[[#This Row],[Unit Price]]</f>
        <v>0.32432432432432434</v>
      </c>
    </row>
    <row r="2640" spans="1:31">
      <c r="A2640" t="s">
        <v>2826</v>
      </c>
      <c r="B2640" s="6">
        <v>45778</v>
      </c>
      <c r="C2640" t="s">
        <v>45</v>
      </c>
      <c r="D2640" t="s">
        <v>46</v>
      </c>
      <c r="E2640" t="s">
        <v>38</v>
      </c>
      <c r="F2640" t="s">
        <v>47</v>
      </c>
      <c r="G2640" t="s">
        <v>48</v>
      </c>
      <c r="H2640" t="s">
        <v>135</v>
      </c>
      <c r="I2640" t="s">
        <v>136</v>
      </c>
      <c r="J2640" t="s">
        <v>137</v>
      </c>
      <c r="K2640" t="s">
        <v>138</v>
      </c>
      <c r="L2640" t="s">
        <v>183</v>
      </c>
      <c r="M2640" t="s">
        <v>171</v>
      </c>
      <c r="N2640">
        <v>-1</v>
      </c>
      <c r="O2640" s="4">
        <v>230</v>
      </c>
      <c r="P2640" s="4">
        <v>400</v>
      </c>
      <c r="Q2640" s="7">
        <v>0</v>
      </c>
      <c r="R2640" t="s">
        <v>178</v>
      </c>
      <c r="S2640">
        <v>13</v>
      </c>
      <c r="T2640">
        <v>-400</v>
      </c>
      <c r="U2640">
        <v>0</v>
      </c>
      <c r="V2640">
        <v>-400</v>
      </c>
      <c r="W2640">
        <v>-230</v>
      </c>
      <c r="X2640">
        <v>-170</v>
      </c>
      <c r="Y2640" s="8">
        <v>0.42499999999999999</v>
      </c>
      <c r="Z2640" t="s">
        <v>2995</v>
      </c>
      <c r="AA2640" t="str">
        <f>IF(AND(SalesCleanTable[[#This Row],[Discount %]]&gt;0, SalesCleanTable[[#This Row],[Profit]]&lt;0), "Discount loss", "Safe")</f>
        <v>Safe</v>
      </c>
      <c r="AB2640" s="25">
        <f>(SalesCleanTable[[#This Row],[Unit Price]] - SalesCleanTable[[#This Row],[Unit Cost]]) / SalesCleanTable[[#This Row],[Unit Price]]</f>
        <v>0.42499999999999999</v>
      </c>
      <c r="AC2640" t="str">
        <f>IF(SalesCleanTable[[#This Row],[Discount %]] &gt; SalesCleanTable[[#This Row],[Max Allowed Discount]], "Discount loss", "Safe")</f>
        <v>Safe</v>
      </c>
      <c r="AD2640" s="4">
        <f>SalesCleanTable[[#This Row],[Unit Price]] - SalesCleanTable[[#This Row],[Unit Cost]]</f>
        <v>170</v>
      </c>
      <c r="AE2640" s="41">
        <f>(SalesCleanTable[[#This Row],[Unit Price]] - SalesCleanTable[[#This Row],[Unit Cost]]) / SalesCleanTable[[#This Row],[Unit Price]]</f>
        <v>0.42499999999999999</v>
      </c>
    </row>
    <row r="2641" spans="1:31">
      <c r="A2641" t="s">
        <v>2827</v>
      </c>
      <c r="B2641" s="6">
        <v>45687</v>
      </c>
      <c r="C2641" t="s">
        <v>82</v>
      </c>
      <c r="D2641" t="s">
        <v>83</v>
      </c>
      <c r="E2641" t="s">
        <v>75</v>
      </c>
      <c r="F2641" t="s">
        <v>84</v>
      </c>
      <c r="G2641" t="s">
        <v>85</v>
      </c>
      <c r="H2641" t="s">
        <v>139</v>
      </c>
      <c r="I2641" t="s">
        <v>140</v>
      </c>
      <c r="J2641" t="s">
        <v>137</v>
      </c>
      <c r="K2641" t="s">
        <v>138</v>
      </c>
      <c r="L2641" t="s">
        <v>166</v>
      </c>
      <c r="M2641" t="s">
        <v>171</v>
      </c>
      <c r="N2641">
        <v>3</v>
      </c>
      <c r="O2641" s="4">
        <v>600</v>
      </c>
      <c r="P2641" s="4">
        <v>950</v>
      </c>
      <c r="Q2641" s="7">
        <v>0.1</v>
      </c>
      <c r="R2641" t="s">
        <v>204</v>
      </c>
      <c r="S2641">
        <v>2</v>
      </c>
      <c r="T2641">
        <v>2850</v>
      </c>
      <c r="U2641">
        <v>285</v>
      </c>
      <c r="V2641">
        <v>2565</v>
      </c>
      <c r="W2641">
        <v>1800</v>
      </c>
      <c r="X2641">
        <v>765</v>
      </c>
      <c r="Y2641" s="8">
        <v>0.2982456140350877</v>
      </c>
      <c r="Z2641" t="s">
        <v>2996</v>
      </c>
      <c r="AA2641" t="str">
        <f>IF(AND(SalesCleanTable[[#This Row],[Discount %]]&gt;0, SalesCleanTable[[#This Row],[Profit]]&lt;0), "Discount loss", "Safe")</f>
        <v>Safe</v>
      </c>
      <c r="AB2641" s="25">
        <f>(SalesCleanTable[[#This Row],[Unit Price]] - SalesCleanTable[[#This Row],[Unit Cost]]) / SalesCleanTable[[#This Row],[Unit Price]]</f>
        <v>0.36842105263157893</v>
      </c>
      <c r="AC2641" t="str">
        <f>IF(SalesCleanTable[[#This Row],[Discount %]] &gt; SalesCleanTable[[#This Row],[Max Allowed Discount]], "Discount loss", "Safe")</f>
        <v>Safe</v>
      </c>
      <c r="AD2641" s="4">
        <f>SalesCleanTable[[#This Row],[Unit Price]] - SalesCleanTable[[#This Row],[Unit Cost]]</f>
        <v>350</v>
      </c>
      <c r="AE2641" s="41">
        <f>(SalesCleanTable[[#This Row],[Unit Price]] - SalesCleanTable[[#This Row],[Unit Cost]]) / SalesCleanTable[[#This Row],[Unit Price]]</f>
        <v>0.36842105263157893</v>
      </c>
    </row>
    <row r="2642" spans="1:31">
      <c r="A2642" t="s">
        <v>2828</v>
      </c>
      <c r="B2642" s="6">
        <v>45816</v>
      </c>
      <c r="C2642" t="s">
        <v>103</v>
      </c>
      <c r="D2642" t="s">
        <v>104</v>
      </c>
      <c r="E2642" t="s">
        <v>92</v>
      </c>
      <c r="F2642" t="s">
        <v>105</v>
      </c>
      <c r="G2642" t="s">
        <v>106</v>
      </c>
      <c r="H2642" t="s">
        <v>139</v>
      </c>
      <c r="I2642" t="s">
        <v>140</v>
      </c>
      <c r="J2642" t="s">
        <v>137</v>
      </c>
      <c r="K2642" t="s">
        <v>138</v>
      </c>
      <c r="L2642" t="s">
        <v>170</v>
      </c>
      <c r="M2642" t="s">
        <v>167</v>
      </c>
      <c r="N2642">
        <v>1</v>
      </c>
      <c r="O2642" s="4">
        <v>1500</v>
      </c>
      <c r="P2642" s="4">
        <v>2500</v>
      </c>
      <c r="Q2642" s="7">
        <v>0.05</v>
      </c>
      <c r="R2642" t="s">
        <v>215</v>
      </c>
      <c r="S2642">
        <v>5</v>
      </c>
      <c r="T2642">
        <v>2500</v>
      </c>
      <c r="U2642">
        <v>125</v>
      </c>
      <c r="V2642">
        <v>2375</v>
      </c>
      <c r="W2642">
        <v>1500</v>
      </c>
      <c r="X2642">
        <v>875</v>
      </c>
      <c r="Y2642" s="8">
        <v>0.36842105263157893</v>
      </c>
      <c r="Z2642" t="s">
        <v>2996</v>
      </c>
      <c r="AA2642" t="str">
        <f>IF(AND(SalesCleanTable[[#This Row],[Discount %]]&gt;0, SalesCleanTable[[#This Row],[Profit]]&lt;0), "Discount loss", "Safe")</f>
        <v>Safe</v>
      </c>
      <c r="AB2642" s="25">
        <f>(SalesCleanTable[[#This Row],[Unit Price]] - SalesCleanTable[[#This Row],[Unit Cost]]) / SalesCleanTable[[#This Row],[Unit Price]]</f>
        <v>0.4</v>
      </c>
      <c r="AC2642" t="str">
        <f>IF(SalesCleanTable[[#This Row],[Discount %]] &gt; SalesCleanTable[[#This Row],[Max Allowed Discount]], "Discount loss", "Safe")</f>
        <v>Safe</v>
      </c>
      <c r="AD2642" s="4">
        <f>SalesCleanTable[[#This Row],[Unit Price]] - SalesCleanTable[[#This Row],[Unit Cost]]</f>
        <v>1000</v>
      </c>
      <c r="AE2642" s="41">
        <f>(SalesCleanTable[[#This Row],[Unit Price]] - SalesCleanTable[[#This Row],[Unit Cost]]) / SalesCleanTable[[#This Row],[Unit Price]]</f>
        <v>0.4</v>
      </c>
    </row>
    <row r="2643" spans="1:31">
      <c r="A2643" t="s">
        <v>2829</v>
      </c>
      <c r="B2643" s="6">
        <v>45936</v>
      </c>
      <c r="C2643" t="s">
        <v>103</v>
      </c>
      <c r="D2643" t="s">
        <v>104</v>
      </c>
      <c r="E2643" t="s">
        <v>92</v>
      </c>
      <c r="F2643" t="s">
        <v>105</v>
      </c>
      <c r="G2643" t="s">
        <v>106</v>
      </c>
      <c r="H2643" t="s">
        <v>141</v>
      </c>
      <c r="I2643" t="s">
        <v>142</v>
      </c>
      <c r="J2643" t="s">
        <v>143</v>
      </c>
      <c r="K2643" t="s">
        <v>144</v>
      </c>
      <c r="L2643" t="s">
        <v>183</v>
      </c>
      <c r="M2643" t="s">
        <v>167</v>
      </c>
      <c r="N2643">
        <v>1</v>
      </c>
      <c r="O2643" s="4">
        <v>1500</v>
      </c>
      <c r="P2643" s="4">
        <v>2500</v>
      </c>
      <c r="Q2643" s="7">
        <v>0.1</v>
      </c>
      <c r="R2643" t="s">
        <v>217</v>
      </c>
      <c r="S2643">
        <v>12</v>
      </c>
      <c r="T2643">
        <v>2500</v>
      </c>
      <c r="U2643">
        <v>250</v>
      </c>
      <c r="V2643">
        <v>2250</v>
      </c>
      <c r="W2643">
        <v>1500</v>
      </c>
      <c r="X2643">
        <v>750</v>
      </c>
      <c r="Y2643" s="8">
        <v>0.33333333333333331</v>
      </c>
      <c r="Z2643" t="s">
        <v>2996</v>
      </c>
      <c r="AA2643" t="str">
        <f>IF(AND(SalesCleanTable[[#This Row],[Discount %]]&gt;0, SalesCleanTable[[#This Row],[Profit]]&lt;0), "Discount loss", "Safe")</f>
        <v>Safe</v>
      </c>
      <c r="AB2643" s="25">
        <f>(SalesCleanTable[[#This Row],[Unit Price]] - SalesCleanTable[[#This Row],[Unit Cost]]) / SalesCleanTable[[#This Row],[Unit Price]]</f>
        <v>0.4</v>
      </c>
      <c r="AC2643" t="str">
        <f>IF(SalesCleanTable[[#This Row],[Discount %]] &gt; SalesCleanTable[[#This Row],[Max Allowed Discount]], "Discount loss", "Safe")</f>
        <v>Safe</v>
      </c>
      <c r="AD2643" s="4">
        <f>SalesCleanTable[[#This Row],[Unit Price]] - SalesCleanTable[[#This Row],[Unit Cost]]</f>
        <v>1000</v>
      </c>
      <c r="AE2643" s="41">
        <f>(SalesCleanTable[[#This Row],[Unit Price]] - SalesCleanTable[[#This Row],[Unit Cost]]) / SalesCleanTable[[#This Row],[Unit Price]]</f>
        <v>0.4</v>
      </c>
    </row>
    <row r="2644" spans="1:31">
      <c r="A2644" t="s">
        <v>2830</v>
      </c>
      <c r="B2644" s="6">
        <v>45885</v>
      </c>
      <c r="C2644" t="s">
        <v>49</v>
      </c>
      <c r="D2644" t="s">
        <v>50</v>
      </c>
      <c r="E2644" t="s">
        <v>38</v>
      </c>
      <c r="F2644" t="s">
        <v>51</v>
      </c>
      <c r="G2644" t="s">
        <v>52</v>
      </c>
      <c r="H2644" t="s">
        <v>128</v>
      </c>
      <c r="I2644" t="s">
        <v>129</v>
      </c>
      <c r="J2644" t="s">
        <v>130</v>
      </c>
      <c r="K2644" t="s">
        <v>131</v>
      </c>
      <c r="L2644" t="s">
        <v>166</v>
      </c>
      <c r="M2644" t="s">
        <v>171</v>
      </c>
      <c r="N2644">
        <v>5</v>
      </c>
      <c r="O2644" s="4">
        <v>550</v>
      </c>
      <c r="P2644" s="4">
        <v>850</v>
      </c>
      <c r="Q2644" s="7">
        <v>0.05</v>
      </c>
      <c r="R2644" t="s">
        <v>168</v>
      </c>
      <c r="S2644">
        <v>13</v>
      </c>
      <c r="T2644">
        <v>4250</v>
      </c>
      <c r="U2644">
        <v>212.5</v>
      </c>
      <c r="V2644">
        <v>4037.5</v>
      </c>
      <c r="W2644">
        <v>2750</v>
      </c>
      <c r="X2644">
        <v>1287.5</v>
      </c>
      <c r="Y2644" s="8">
        <v>0.31888544891640869</v>
      </c>
      <c r="Z2644" t="s">
        <v>2996</v>
      </c>
      <c r="AA2644" t="str">
        <f>IF(AND(SalesCleanTable[[#This Row],[Discount %]]&gt;0, SalesCleanTable[[#This Row],[Profit]]&lt;0), "Discount loss", "Safe")</f>
        <v>Safe</v>
      </c>
      <c r="AB2644" s="25">
        <f>(SalesCleanTable[[#This Row],[Unit Price]] - SalesCleanTable[[#This Row],[Unit Cost]]) / SalesCleanTable[[#This Row],[Unit Price]]</f>
        <v>0.35294117647058826</v>
      </c>
      <c r="AC2644" t="str">
        <f>IF(SalesCleanTable[[#This Row],[Discount %]] &gt; SalesCleanTable[[#This Row],[Max Allowed Discount]], "Discount loss", "Safe")</f>
        <v>Safe</v>
      </c>
      <c r="AD2644" s="4">
        <f>SalesCleanTable[[#This Row],[Unit Price]] - SalesCleanTable[[#This Row],[Unit Cost]]</f>
        <v>300</v>
      </c>
      <c r="AE2644" s="41">
        <f>(SalesCleanTable[[#This Row],[Unit Price]] - SalesCleanTable[[#This Row],[Unit Cost]]) / SalesCleanTable[[#This Row],[Unit Price]]</f>
        <v>0.35294117647058826</v>
      </c>
    </row>
    <row r="2645" spans="1:31">
      <c r="A2645" t="s">
        <v>2831</v>
      </c>
      <c r="B2645" s="6">
        <v>45729</v>
      </c>
      <c r="C2645" t="s">
        <v>116</v>
      </c>
      <c r="D2645" t="s">
        <v>117</v>
      </c>
      <c r="E2645" t="s">
        <v>109</v>
      </c>
      <c r="F2645" t="s">
        <v>118</v>
      </c>
      <c r="G2645" t="s">
        <v>119</v>
      </c>
      <c r="H2645" t="s">
        <v>141</v>
      </c>
      <c r="I2645" t="s">
        <v>142</v>
      </c>
      <c r="J2645" t="s">
        <v>143</v>
      </c>
      <c r="K2645" t="s">
        <v>144</v>
      </c>
      <c r="L2645" t="s">
        <v>183</v>
      </c>
      <c r="M2645" t="s">
        <v>171</v>
      </c>
      <c r="N2645">
        <v>2</v>
      </c>
      <c r="O2645" s="4">
        <v>2800</v>
      </c>
      <c r="P2645" s="4">
        <v>4200</v>
      </c>
      <c r="Q2645" s="7">
        <v>0</v>
      </c>
      <c r="R2645" t="s">
        <v>184</v>
      </c>
      <c r="S2645">
        <v>5</v>
      </c>
      <c r="T2645">
        <v>8400</v>
      </c>
      <c r="U2645">
        <v>0</v>
      </c>
      <c r="V2645">
        <v>8400</v>
      </c>
      <c r="W2645">
        <v>5600</v>
      </c>
      <c r="X2645">
        <v>2800</v>
      </c>
      <c r="Y2645" s="8">
        <v>0.33333333333333331</v>
      </c>
      <c r="Z2645" t="s">
        <v>2995</v>
      </c>
      <c r="AA2645" t="str">
        <f>IF(AND(SalesCleanTable[[#This Row],[Discount %]]&gt;0, SalesCleanTable[[#This Row],[Profit]]&lt;0), "Discount loss", "Safe")</f>
        <v>Safe</v>
      </c>
      <c r="AB2645" s="25">
        <f>(SalesCleanTable[[#This Row],[Unit Price]] - SalesCleanTable[[#This Row],[Unit Cost]]) / SalesCleanTable[[#This Row],[Unit Price]]</f>
        <v>0.33333333333333331</v>
      </c>
      <c r="AC2645" t="str">
        <f>IF(SalesCleanTable[[#This Row],[Discount %]] &gt; SalesCleanTable[[#This Row],[Max Allowed Discount]], "Discount loss", "Safe")</f>
        <v>Safe</v>
      </c>
      <c r="AD2645" s="4">
        <f>SalesCleanTable[[#This Row],[Unit Price]] - SalesCleanTable[[#This Row],[Unit Cost]]</f>
        <v>1400</v>
      </c>
      <c r="AE2645" s="41">
        <f>(SalesCleanTable[[#This Row],[Unit Price]] - SalesCleanTable[[#This Row],[Unit Cost]]) / SalesCleanTable[[#This Row],[Unit Price]]</f>
        <v>0.33333333333333331</v>
      </c>
    </row>
    <row r="2646" spans="1:31">
      <c r="A2646" t="s">
        <v>2832</v>
      </c>
      <c r="B2646" s="6">
        <v>46015</v>
      </c>
      <c r="C2646" t="s">
        <v>116</v>
      </c>
      <c r="D2646" t="s">
        <v>117</v>
      </c>
      <c r="E2646" t="s">
        <v>109</v>
      </c>
      <c r="F2646" t="s">
        <v>118</v>
      </c>
      <c r="G2646" t="s">
        <v>119</v>
      </c>
      <c r="H2646" t="s">
        <v>145</v>
      </c>
      <c r="I2646" t="s">
        <v>146</v>
      </c>
      <c r="J2646" t="s">
        <v>147</v>
      </c>
      <c r="K2646" t="s">
        <v>148</v>
      </c>
      <c r="L2646" t="s">
        <v>183</v>
      </c>
      <c r="M2646" t="s">
        <v>167</v>
      </c>
      <c r="N2646">
        <v>5</v>
      </c>
      <c r="O2646" s="4">
        <v>2800</v>
      </c>
      <c r="P2646" s="4">
        <v>4200</v>
      </c>
      <c r="Q2646" s="7">
        <v>0.15</v>
      </c>
      <c r="R2646" t="s">
        <v>235</v>
      </c>
      <c r="S2646">
        <v>1</v>
      </c>
      <c r="T2646">
        <v>21000</v>
      </c>
      <c r="U2646">
        <v>3150</v>
      </c>
      <c r="V2646">
        <v>17850</v>
      </c>
      <c r="W2646">
        <v>14000</v>
      </c>
      <c r="X2646">
        <v>3850</v>
      </c>
      <c r="Y2646" s="8">
        <v>0.21568627450980393</v>
      </c>
      <c r="Z2646" t="s">
        <v>2995</v>
      </c>
      <c r="AA2646" t="str">
        <f>IF(AND(SalesCleanTable[[#This Row],[Discount %]]&gt;0, SalesCleanTable[[#This Row],[Profit]]&lt;0), "Discount loss", "Safe")</f>
        <v>Safe</v>
      </c>
      <c r="AB2646" s="25">
        <f>(SalesCleanTable[[#This Row],[Unit Price]] - SalesCleanTable[[#This Row],[Unit Cost]]) / SalesCleanTable[[#This Row],[Unit Price]]</f>
        <v>0.33333333333333331</v>
      </c>
      <c r="AC2646" t="str">
        <f>IF(SalesCleanTable[[#This Row],[Discount %]] &gt; SalesCleanTable[[#This Row],[Max Allowed Discount]], "Discount loss", "Safe")</f>
        <v>Safe</v>
      </c>
      <c r="AD2646" s="4">
        <f>SalesCleanTable[[#This Row],[Unit Price]] - SalesCleanTable[[#This Row],[Unit Cost]]</f>
        <v>1400</v>
      </c>
      <c r="AE2646" s="41">
        <f>(SalesCleanTable[[#This Row],[Unit Price]] - SalesCleanTable[[#This Row],[Unit Cost]]) / SalesCleanTable[[#This Row],[Unit Price]]</f>
        <v>0.33333333333333331</v>
      </c>
    </row>
    <row r="2647" spans="1:31">
      <c r="A2647" t="s">
        <v>2833</v>
      </c>
      <c r="B2647" s="6">
        <v>46006</v>
      </c>
      <c r="C2647" t="s">
        <v>62</v>
      </c>
      <c r="D2647" t="s">
        <v>63</v>
      </c>
      <c r="E2647" t="s">
        <v>59</v>
      </c>
      <c r="F2647" t="s">
        <v>64</v>
      </c>
      <c r="G2647" t="s">
        <v>65</v>
      </c>
      <c r="H2647" t="s">
        <v>133</v>
      </c>
      <c r="I2647" t="s">
        <v>134</v>
      </c>
      <c r="J2647" t="s">
        <v>130</v>
      </c>
      <c r="K2647" t="s">
        <v>131</v>
      </c>
      <c r="L2647" t="s">
        <v>183</v>
      </c>
      <c r="M2647" t="s">
        <v>186</v>
      </c>
      <c r="N2647">
        <v>5</v>
      </c>
      <c r="O2647" s="4">
        <v>3200</v>
      </c>
      <c r="P2647" s="4">
        <v>4500</v>
      </c>
      <c r="Q2647" s="7">
        <v>0</v>
      </c>
      <c r="R2647" t="s">
        <v>192</v>
      </c>
      <c r="S2647">
        <v>10</v>
      </c>
      <c r="T2647">
        <v>22500</v>
      </c>
      <c r="U2647">
        <v>0</v>
      </c>
      <c r="V2647">
        <v>22500</v>
      </c>
      <c r="W2647">
        <v>16000</v>
      </c>
      <c r="X2647">
        <v>6500</v>
      </c>
      <c r="Y2647" s="8">
        <v>0.28888888888888886</v>
      </c>
      <c r="Z2647" t="s">
        <v>2996</v>
      </c>
      <c r="AA2647" t="str">
        <f>IF(AND(SalesCleanTable[[#This Row],[Discount %]]&gt;0, SalesCleanTable[[#This Row],[Profit]]&lt;0), "Discount loss", "Safe")</f>
        <v>Safe</v>
      </c>
      <c r="AB2647" s="25">
        <f>(SalesCleanTable[[#This Row],[Unit Price]] - SalesCleanTable[[#This Row],[Unit Cost]]) / SalesCleanTable[[#This Row],[Unit Price]]</f>
        <v>0.28888888888888886</v>
      </c>
      <c r="AC2647" t="str">
        <f>IF(SalesCleanTable[[#This Row],[Discount %]] &gt; SalesCleanTable[[#This Row],[Max Allowed Discount]], "Discount loss", "Safe")</f>
        <v>Safe</v>
      </c>
      <c r="AD2647" s="4">
        <f>SalesCleanTable[[#This Row],[Unit Price]] - SalesCleanTable[[#This Row],[Unit Cost]]</f>
        <v>1300</v>
      </c>
      <c r="AE2647" s="41">
        <f>(SalesCleanTable[[#This Row],[Unit Price]] - SalesCleanTable[[#This Row],[Unit Cost]]) / SalesCleanTable[[#This Row],[Unit Price]]</f>
        <v>0.28888888888888886</v>
      </c>
    </row>
    <row r="2648" spans="1:31">
      <c r="A2648" t="s">
        <v>2834</v>
      </c>
      <c r="B2648" s="6">
        <v>45915</v>
      </c>
      <c r="C2648" t="s">
        <v>45</v>
      </c>
      <c r="D2648" t="s">
        <v>46</v>
      </c>
      <c r="E2648" t="s">
        <v>38</v>
      </c>
      <c r="F2648" t="s">
        <v>47</v>
      </c>
      <c r="G2648" t="s">
        <v>48</v>
      </c>
      <c r="H2648" t="s">
        <v>133</v>
      </c>
      <c r="I2648" t="s">
        <v>134</v>
      </c>
      <c r="J2648" t="s">
        <v>130</v>
      </c>
      <c r="K2648" t="s">
        <v>131</v>
      </c>
      <c r="L2648" t="s">
        <v>183</v>
      </c>
      <c r="M2648" t="s">
        <v>177</v>
      </c>
      <c r="N2648">
        <v>3</v>
      </c>
      <c r="O2648" s="4">
        <v>230</v>
      </c>
      <c r="P2648" s="4">
        <v>400</v>
      </c>
      <c r="Q2648" s="7">
        <v>0.2</v>
      </c>
      <c r="R2648" t="s">
        <v>175</v>
      </c>
      <c r="S2648">
        <v>10</v>
      </c>
      <c r="T2648">
        <v>1200</v>
      </c>
      <c r="U2648">
        <v>240</v>
      </c>
      <c r="V2648">
        <v>960</v>
      </c>
      <c r="W2648">
        <v>690</v>
      </c>
      <c r="X2648">
        <v>270</v>
      </c>
      <c r="Y2648" s="8">
        <v>0.28125</v>
      </c>
      <c r="Z2648" t="s">
        <v>2995</v>
      </c>
      <c r="AA2648" t="str">
        <f>IF(AND(SalesCleanTable[[#This Row],[Discount %]]&gt;0, SalesCleanTable[[#This Row],[Profit]]&lt;0), "Discount loss", "Safe")</f>
        <v>Safe</v>
      </c>
      <c r="AB2648" s="25">
        <f>(SalesCleanTable[[#This Row],[Unit Price]] - SalesCleanTable[[#This Row],[Unit Cost]]) / SalesCleanTable[[#This Row],[Unit Price]]</f>
        <v>0.42499999999999999</v>
      </c>
      <c r="AC2648" t="str">
        <f>IF(SalesCleanTable[[#This Row],[Discount %]] &gt; SalesCleanTable[[#This Row],[Max Allowed Discount]], "Discount loss", "Safe")</f>
        <v>Safe</v>
      </c>
      <c r="AD2648" s="4">
        <f>SalesCleanTable[[#This Row],[Unit Price]] - SalesCleanTable[[#This Row],[Unit Cost]]</f>
        <v>170</v>
      </c>
      <c r="AE2648" s="41">
        <f>(SalesCleanTable[[#This Row],[Unit Price]] - SalesCleanTable[[#This Row],[Unit Cost]]) / SalesCleanTable[[#This Row],[Unit Price]]</f>
        <v>0.42499999999999999</v>
      </c>
    </row>
    <row r="2649" spans="1:31">
      <c r="A2649" t="s">
        <v>2835</v>
      </c>
      <c r="B2649" s="6">
        <v>45866</v>
      </c>
      <c r="C2649" t="s">
        <v>82</v>
      </c>
      <c r="D2649" t="s">
        <v>83</v>
      </c>
      <c r="E2649" t="s">
        <v>75</v>
      </c>
      <c r="F2649" t="s">
        <v>84</v>
      </c>
      <c r="G2649" t="s">
        <v>85</v>
      </c>
      <c r="H2649" t="s">
        <v>135</v>
      </c>
      <c r="I2649" t="s">
        <v>136</v>
      </c>
      <c r="J2649" t="s">
        <v>137</v>
      </c>
      <c r="K2649" t="s">
        <v>138</v>
      </c>
      <c r="L2649" t="s">
        <v>166</v>
      </c>
      <c r="M2649" t="s">
        <v>186</v>
      </c>
      <c r="N2649">
        <v>1</v>
      </c>
      <c r="O2649" s="4">
        <v>600</v>
      </c>
      <c r="P2649" s="4">
        <v>950</v>
      </c>
      <c r="Q2649" s="7">
        <v>0.1</v>
      </c>
      <c r="R2649" t="s">
        <v>208</v>
      </c>
      <c r="S2649">
        <v>12</v>
      </c>
      <c r="T2649">
        <v>950</v>
      </c>
      <c r="U2649">
        <v>95</v>
      </c>
      <c r="V2649">
        <v>855</v>
      </c>
      <c r="W2649">
        <v>600</v>
      </c>
      <c r="X2649">
        <v>255</v>
      </c>
      <c r="Y2649" s="8">
        <v>0.2982456140350877</v>
      </c>
      <c r="Z2649" t="s">
        <v>2996</v>
      </c>
      <c r="AA2649" t="str">
        <f>IF(AND(SalesCleanTable[[#This Row],[Discount %]]&gt;0, SalesCleanTable[[#This Row],[Profit]]&lt;0), "Discount loss", "Safe")</f>
        <v>Safe</v>
      </c>
      <c r="AB2649" s="25">
        <f>(SalesCleanTable[[#This Row],[Unit Price]] - SalesCleanTable[[#This Row],[Unit Cost]]) / SalesCleanTable[[#This Row],[Unit Price]]</f>
        <v>0.36842105263157893</v>
      </c>
      <c r="AC2649" t="str">
        <f>IF(SalesCleanTable[[#This Row],[Discount %]] &gt; SalesCleanTable[[#This Row],[Max Allowed Discount]], "Discount loss", "Safe")</f>
        <v>Safe</v>
      </c>
      <c r="AD2649" s="4">
        <f>SalesCleanTable[[#This Row],[Unit Price]] - SalesCleanTable[[#This Row],[Unit Cost]]</f>
        <v>350</v>
      </c>
      <c r="AE2649" s="41">
        <f>(SalesCleanTable[[#This Row],[Unit Price]] - SalesCleanTable[[#This Row],[Unit Cost]]) / SalesCleanTable[[#This Row],[Unit Price]]</f>
        <v>0.36842105263157893</v>
      </c>
    </row>
    <row r="2650" spans="1:31">
      <c r="A2650" t="s">
        <v>2836</v>
      </c>
      <c r="B2650" s="6">
        <v>45918</v>
      </c>
      <c r="C2650" t="s">
        <v>53</v>
      </c>
      <c r="D2650" t="s">
        <v>54</v>
      </c>
      <c r="E2650" t="s">
        <v>38</v>
      </c>
      <c r="F2650" t="s">
        <v>55</v>
      </c>
      <c r="G2650" t="s">
        <v>56</v>
      </c>
      <c r="H2650" t="s">
        <v>135</v>
      </c>
      <c r="I2650" t="s">
        <v>136</v>
      </c>
      <c r="J2650" t="s">
        <v>137</v>
      </c>
      <c r="K2650" t="s">
        <v>138</v>
      </c>
      <c r="L2650" t="s">
        <v>166</v>
      </c>
      <c r="M2650" t="s">
        <v>171</v>
      </c>
      <c r="N2650">
        <v>6</v>
      </c>
      <c r="O2650" s="4">
        <v>330</v>
      </c>
      <c r="P2650" s="4">
        <v>550</v>
      </c>
      <c r="Q2650" s="7">
        <v>0.1</v>
      </c>
      <c r="R2650" t="s">
        <v>175</v>
      </c>
      <c r="S2650">
        <v>4</v>
      </c>
      <c r="T2650">
        <v>3300</v>
      </c>
      <c r="U2650">
        <v>330</v>
      </c>
      <c r="V2650">
        <v>2970</v>
      </c>
      <c r="W2650">
        <v>1980</v>
      </c>
      <c r="X2650">
        <v>990</v>
      </c>
      <c r="Y2650" s="8">
        <v>0.33333333333333331</v>
      </c>
      <c r="Z2650" t="s">
        <v>2996</v>
      </c>
      <c r="AA2650" t="str">
        <f>IF(AND(SalesCleanTable[[#This Row],[Discount %]]&gt;0, SalesCleanTable[[#This Row],[Profit]]&lt;0), "Discount loss", "Safe")</f>
        <v>Safe</v>
      </c>
      <c r="AB2650" s="25">
        <f>(SalesCleanTable[[#This Row],[Unit Price]] - SalesCleanTable[[#This Row],[Unit Cost]]) / SalesCleanTable[[#This Row],[Unit Price]]</f>
        <v>0.4</v>
      </c>
      <c r="AC2650" t="str">
        <f>IF(SalesCleanTable[[#This Row],[Discount %]] &gt; SalesCleanTable[[#This Row],[Max Allowed Discount]], "Discount loss", "Safe")</f>
        <v>Safe</v>
      </c>
      <c r="AD2650" s="4">
        <f>SalesCleanTable[[#This Row],[Unit Price]] - SalesCleanTable[[#This Row],[Unit Cost]]</f>
        <v>220</v>
      </c>
      <c r="AE2650" s="41">
        <f>(SalesCleanTable[[#This Row],[Unit Price]] - SalesCleanTable[[#This Row],[Unit Cost]]) / SalesCleanTable[[#This Row],[Unit Price]]</f>
        <v>0.4</v>
      </c>
    </row>
    <row r="2651" spans="1:31">
      <c r="A2651" t="s">
        <v>2837</v>
      </c>
      <c r="B2651" s="6">
        <v>45927</v>
      </c>
      <c r="C2651" t="s">
        <v>107</v>
      </c>
      <c r="D2651" t="s">
        <v>108</v>
      </c>
      <c r="E2651" t="s">
        <v>109</v>
      </c>
      <c r="F2651" t="s">
        <v>110</v>
      </c>
      <c r="G2651" t="s">
        <v>111</v>
      </c>
      <c r="H2651" t="s">
        <v>141</v>
      </c>
      <c r="I2651" t="s">
        <v>142</v>
      </c>
      <c r="J2651" t="s">
        <v>143</v>
      </c>
      <c r="K2651" t="s">
        <v>144</v>
      </c>
      <c r="L2651" t="s">
        <v>166</v>
      </c>
      <c r="M2651" t="s">
        <v>171</v>
      </c>
      <c r="N2651">
        <v>1</v>
      </c>
      <c r="O2651" s="4">
        <v>5200</v>
      </c>
      <c r="P2651" s="4">
        <v>7000</v>
      </c>
      <c r="Q2651" s="7">
        <v>0.2</v>
      </c>
      <c r="R2651" t="s">
        <v>184</v>
      </c>
      <c r="S2651">
        <v>3</v>
      </c>
      <c r="T2651">
        <v>7000</v>
      </c>
      <c r="U2651">
        <v>1400</v>
      </c>
      <c r="V2651">
        <v>5600</v>
      </c>
      <c r="W2651">
        <v>5200</v>
      </c>
      <c r="X2651">
        <v>400</v>
      </c>
      <c r="Y2651" s="8">
        <v>7.1428571428571425E-2</v>
      </c>
      <c r="Z2651" t="s">
        <v>2997</v>
      </c>
      <c r="AA2651" t="str">
        <f>IF(AND(SalesCleanTable[[#This Row],[Discount %]]&gt;0, SalesCleanTable[[#This Row],[Profit]]&lt;0), "Discount loss", "Safe")</f>
        <v>Safe</v>
      </c>
      <c r="AB2651" s="25">
        <f>(SalesCleanTable[[#This Row],[Unit Price]] - SalesCleanTable[[#This Row],[Unit Cost]]) / SalesCleanTable[[#This Row],[Unit Price]]</f>
        <v>0.25714285714285712</v>
      </c>
      <c r="AC2651" t="str">
        <f>IF(SalesCleanTable[[#This Row],[Discount %]] &gt; SalesCleanTable[[#This Row],[Max Allowed Discount]], "Discount loss", "Safe")</f>
        <v>Safe</v>
      </c>
      <c r="AD2651" s="4">
        <f>SalesCleanTable[[#This Row],[Unit Price]] - SalesCleanTable[[#This Row],[Unit Cost]]</f>
        <v>1800</v>
      </c>
      <c r="AE2651" s="41">
        <f>(SalesCleanTable[[#This Row],[Unit Price]] - SalesCleanTable[[#This Row],[Unit Cost]]) / SalesCleanTable[[#This Row],[Unit Price]]</f>
        <v>0.25714285714285712</v>
      </c>
    </row>
    <row r="2652" spans="1:31">
      <c r="A2652" t="s">
        <v>2838</v>
      </c>
      <c r="B2652" s="6">
        <v>45863</v>
      </c>
      <c r="C2652" t="s">
        <v>36</v>
      </c>
      <c r="D2652" t="s">
        <v>37</v>
      </c>
      <c r="E2652" t="s">
        <v>38</v>
      </c>
      <c r="F2652" t="s">
        <v>39</v>
      </c>
      <c r="G2652" t="s">
        <v>40</v>
      </c>
      <c r="H2652" t="s">
        <v>133</v>
      </c>
      <c r="I2652" t="s">
        <v>134</v>
      </c>
      <c r="J2652" t="s">
        <v>130</v>
      </c>
      <c r="K2652" t="s">
        <v>131</v>
      </c>
      <c r="L2652" t="s">
        <v>166</v>
      </c>
      <c r="M2652" t="s">
        <v>171</v>
      </c>
      <c r="N2652">
        <v>2</v>
      </c>
      <c r="O2652" s="4">
        <v>1650</v>
      </c>
      <c r="P2652" s="4">
        <v>2200</v>
      </c>
      <c r="Q2652" s="7">
        <v>0.05</v>
      </c>
      <c r="R2652" t="s">
        <v>178</v>
      </c>
      <c r="S2652">
        <v>10</v>
      </c>
      <c r="T2652">
        <v>4400</v>
      </c>
      <c r="U2652">
        <v>220</v>
      </c>
      <c r="V2652">
        <v>4180</v>
      </c>
      <c r="W2652">
        <v>3300</v>
      </c>
      <c r="X2652">
        <v>880</v>
      </c>
      <c r="Y2652" s="8">
        <v>0.21052631578947367</v>
      </c>
      <c r="Z2652" t="s">
        <v>2995</v>
      </c>
      <c r="AA2652" t="str">
        <f>IF(AND(SalesCleanTable[[#This Row],[Discount %]]&gt;0, SalesCleanTable[[#This Row],[Profit]]&lt;0), "Discount loss", "Safe")</f>
        <v>Safe</v>
      </c>
      <c r="AB2652" s="25">
        <f>(SalesCleanTable[[#This Row],[Unit Price]] - SalesCleanTable[[#This Row],[Unit Cost]]) / SalesCleanTable[[#This Row],[Unit Price]]</f>
        <v>0.25</v>
      </c>
      <c r="AC2652" t="str">
        <f>IF(SalesCleanTable[[#This Row],[Discount %]] &gt; SalesCleanTable[[#This Row],[Max Allowed Discount]], "Discount loss", "Safe")</f>
        <v>Safe</v>
      </c>
      <c r="AD2652" s="4">
        <f>SalesCleanTable[[#This Row],[Unit Price]] - SalesCleanTable[[#This Row],[Unit Cost]]</f>
        <v>550</v>
      </c>
      <c r="AE2652" s="41">
        <f>(SalesCleanTable[[#This Row],[Unit Price]] - SalesCleanTable[[#This Row],[Unit Cost]]) / SalesCleanTable[[#This Row],[Unit Price]]</f>
        <v>0.25</v>
      </c>
    </row>
    <row r="2653" spans="1:31">
      <c r="A2653" t="s">
        <v>2839</v>
      </c>
      <c r="B2653" s="6">
        <v>45757</v>
      </c>
      <c r="C2653" t="s">
        <v>53</v>
      </c>
      <c r="D2653" t="s">
        <v>54</v>
      </c>
      <c r="E2653" t="s">
        <v>38</v>
      </c>
      <c r="F2653" t="s">
        <v>55</v>
      </c>
      <c r="G2653" t="s">
        <v>56</v>
      </c>
      <c r="H2653" t="s">
        <v>135</v>
      </c>
      <c r="I2653" t="s">
        <v>136</v>
      </c>
      <c r="J2653" t="s">
        <v>137</v>
      </c>
      <c r="K2653" t="s">
        <v>138</v>
      </c>
      <c r="L2653" t="s">
        <v>166</v>
      </c>
      <c r="M2653" t="s">
        <v>177</v>
      </c>
      <c r="N2653">
        <v>8</v>
      </c>
      <c r="O2653" s="4">
        <v>330</v>
      </c>
      <c r="P2653" s="4">
        <v>550</v>
      </c>
      <c r="Q2653" s="7">
        <v>0.2</v>
      </c>
      <c r="R2653" t="s">
        <v>168</v>
      </c>
      <c r="S2653">
        <v>10</v>
      </c>
      <c r="T2653">
        <v>4400</v>
      </c>
      <c r="U2653">
        <v>880</v>
      </c>
      <c r="V2653">
        <v>3520</v>
      </c>
      <c r="W2653">
        <v>2640</v>
      </c>
      <c r="X2653">
        <v>880</v>
      </c>
      <c r="Y2653" s="8">
        <v>0.25</v>
      </c>
      <c r="Z2653" t="s">
        <v>2996</v>
      </c>
      <c r="AA2653" t="str">
        <f>IF(AND(SalesCleanTable[[#This Row],[Discount %]]&gt;0, SalesCleanTable[[#This Row],[Profit]]&lt;0), "Discount loss", "Safe")</f>
        <v>Safe</v>
      </c>
      <c r="AB2653" s="25">
        <f>(SalesCleanTable[[#This Row],[Unit Price]] - SalesCleanTable[[#This Row],[Unit Cost]]) / SalesCleanTable[[#This Row],[Unit Price]]</f>
        <v>0.4</v>
      </c>
      <c r="AC2653" t="str">
        <f>IF(SalesCleanTable[[#This Row],[Discount %]] &gt; SalesCleanTable[[#This Row],[Max Allowed Discount]], "Discount loss", "Safe")</f>
        <v>Safe</v>
      </c>
      <c r="AD2653" s="4">
        <f>SalesCleanTable[[#This Row],[Unit Price]] - SalesCleanTable[[#This Row],[Unit Cost]]</f>
        <v>220</v>
      </c>
      <c r="AE2653" s="41">
        <f>(SalesCleanTable[[#This Row],[Unit Price]] - SalesCleanTable[[#This Row],[Unit Cost]]) / SalesCleanTable[[#This Row],[Unit Price]]</f>
        <v>0.4</v>
      </c>
    </row>
    <row r="2654" spans="1:31">
      <c r="A2654" t="s">
        <v>2840</v>
      </c>
      <c r="B2654" s="6">
        <v>45933</v>
      </c>
      <c r="C2654" t="s">
        <v>116</v>
      </c>
      <c r="D2654" t="s">
        <v>117</v>
      </c>
      <c r="E2654" t="s">
        <v>109</v>
      </c>
      <c r="F2654" t="s">
        <v>118</v>
      </c>
      <c r="G2654" t="s">
        <v>119</v>
      </c>
      <c r="H2654" t="s">
        <v>128</v>
      </c>
      <c r="I2654" t="s">
        <v>129</v>
      </c>
      <c r="J2654" t="s">
        <v>130</v>
      </c>
      <c r="K2654" t="s">
        <v>131</v>
      </c>
      <c r="L2654" t="s">
        <v>183</v>
      </c>
      <c r="M2654" t="s">
        <v>171</v>
      </c>
      <c r="N2654">
        <v>2</v>
      </c>
      <c r="O2654" s="4">
        <v>2800</v>
      </c>
      <c r="P2654" s="4">
        <v>4200</v>
      </c>
      <c r="Q2654" s="7">
        <v>0.1</v>
      </c>
      <c r="R2654" t="s">
        <v>235</v>
      </c>
      <c r="S2654">
        <v>3</v>
      </c>
      <c r="T2654">
        <v>8400</v>
      </c>
      <c r="U2654">
        <v>840</v>
      </c>
      <c r="V2654">
        <v>7560</v>
      </c>
      <c r="W2654">
        <v>5600</v>
      </c>
      <c r="X2654">
        <v>1960</v>
      </c>
      <c r="Y2654" s="8">
        <v>0.25925925925925924</v>
      </c>
      <c r="Z2654" t="s">
        <v>2995</v>
      </c>
      <c r="AA2654" t="str">
        <f>IF(AND(SalesCleanTable[[#This Row],[Discount %]]&gt;0, SalesCleanTable[[#This Row],[Profit]]&lt;0), "Discount loss", "Safe")</f>
        <v>Safe</v>
      </c>
      <c r="AB2654" s="25">
        <f>(SalesCleanTable[[#This Row],[Unit Price]] - SalesCleanTable[[#This Row],[Unit Cost]]) / SalesCleanTable[[#This Row],[Unit Price]]</f>
        <v>0.33333333333333331</v>
      </c>
      <c r="AC2654" t="str">
        <f>IF(SalesCleanTable[[#This Row],[Discount %]] &gt; SalesCleanTable[[#This Row],[Max Allowed Discount]], "Discount loss", "Safe")</f>
        <v>Safe</v>
      </c>
      <c r="AD2654" s="4">
        <f>SalesCleanTable[[#This Row],[Unit Price]] - SalesCleanTable[[#This Row],[Unit Cost]]</f>
        <v>1400</v>
      </c>
      <c r="AE2654" s="41">
        <f>(SalesCleanTable[[#This Row],[Unit Price]] - SalesCleanTable[[#This Row],[Unit Cost]]) / SalesCleanTable[[#This Row],[Unit Price]]</f>
        <v>0.33333333333333331</v>
      </c>
    </row>
    <row r="2655" spans="1:31">
      <c r="A2655" t="s">
        <v>2841</v>
      </c>
      <c r="B2655" s="6">
        <v>45976</v>
      </c>
      <c r="C2655" t="s">
        <v>53</v>
      </c>
      <c r="D2655" t="s">
        <v>54</v>
      </c>
      <c r="E2655" t="s">
        <v>38</v>
      </c>
      <c r="F2655" t="s">
        <v>55</v>
      </c>
      <c r="G2655" t="s">
        <v>56</v>
      </c>
      <c r="H2655" t="s">
        <v>139</v>
      </c>
      <c r="I2655" t="s">
        <v>140</v>
      </c>
      <c r="J2655" t="s">
        <v>137</v>
      </c>
      <c r="K2655" t="s">
        <v>138</v>
      </c>
      <c r="L2655" t="s">
        <v>183</v>
      </c>
      <c r="M2655" t="s">
        <v>186</v>
      </c>
      <c r="N2655">
        <v>2</v>
      </c>
      <c r="O2655" s="4">
        <v>330</v>
      </c>
      <c r="P2655" s="4">
        <v>550</v>
      </c>
      <c r="Q2655" s="7">
        <v>0.2</v>
      </c>
      <c r="R2655" t="s">
        <v>178</v>
      </c>
      <c r="S2655">
        <v>9</v>
      </c>
      <c r="T2655">
        <v>1100</v>
      </c>
      <c r="U2655">
        <v>220</v>
      </c>
      <c r="V2655">
        <v>880</v>
      </c>
      <c r="W2655">
        <v>660</v>
      </c>
      <c r="X2655">
        <v>220</v>
      </c>
      <c r="Y2655" s="8">
        <v>0.25</v>
      </c>
      <c r="Z2655" t="s">
        <v>2996</v>
      </c>
      <c r="AA2655" t="str">
        <f>IF(AND(SalesCleanTable[[#This Row],[Discount %]]&gt;0, SalesCleanTable[[#This Row],[Profit]]&lt;0), "Discount loss", "Safe")</f>
        <v>Safe</v>
      </c>
      <c r="AB2655" s="25">
        <f>(SalesCleanTable[[#This Row],[Unit Price]] - SalesCleanTable[[#This Row],[Unit Cost]]) / SalesCleanTable[[#This Row],[Unit Price]]</f>
        <v>0.4</v>
      </c>
      <c r="AC2655" t="str">
        <f>IF(SalesCleanTable[[#This Row],[Discount %]] &gt; SalesCleanTable[[#This Row],[Max Allowed Discount]], "Discount loss", "Safe")</f>
        <v>Safe</v>
      </c>
      <c r="AD2655" s="4">
        <f>SalesCleanTable[[#This Row],[Unit Price]] - SalesCleanTable[[#This Row],[Unit Cost]]</f>
        <v>220</v>
      </c>
      <c r="AE2655" s="41">
        <f>(SalesCleanTable[[#This Row],[Unit Price]] - SalesCleanTable[[#This Row],[Unit Cost]]) / SalesCleanTable[[#This Row],[Unit Price]]</f>
        <v>0.4</v>
      </c>
    </row>
    <row r="2656" spans="1:31">
      <c r="A2656" t="s">
        <v>2842</v>
      </c>
      <c r="B2656" s="6">
        <v>45943</v>
      </c>
      <c r="C2656" t="s">
        <v>49</v>
      </c>
      <c r="D2656" t="s">
        <v>50</v>
      </c>
      <c r="E2656" t="s">
        <v>38</v>
      </c>
      <c r="F2656" t="s">
        <v>51</v>
      </c>
      <c r="G2656" t="s">
        <v>52</v>
      </c>
      <c r="H2656" t="s">
        <v>145</v>
      </c>
      <c r="I2656" t="s">
        <v>146</v>
      </c>
      <c r="J2656" t="s">
        <v>147</v>
      </c>
      <c r="K2656" t="s">
        <v>148</v>
      </c>
      <c r="L2656" t="s">
        <v>166</v>
      </c>
      <c r="M2656" t="s">
        <v>171</v>
      </c>
      <c r="N2656">
        <v>1</v>
      </c>
      <c r="O2656" s="4">
        <v>550</v>
      </c>
      <c r="P2656" s="4">
        <v>850</v>
      </c>
      <c r="Q2656" s="7">
        <v>0</v>
      </c>
      <c r="R2656" t="s">
        <v>175</v>
      </c>
      <c r="S2656">
        <v>2</v>
      </c>
      <c r="T2656">
        <v>850</v>
      </c>
      <c r="U2656">
        <v>0</v>
      </c>
      <c r="V2656">
        <v>850</v>
      </c>
      <c r="W2656">
        <v>550</v>
      </c>
      <c r="X2656">
        <v>300</v>
      </c>
      <c r="Y2656" s="8">
        <v>0.35294117647058826</v>
      </c>
      <c r="Z2656" t="s">
        <v>2996</v>
      </c>
      <c r="AA2656" t="str">
        <f>IF(AND(SalesCleanTable[[#This Row],[Discount %]]&gt;0, SalesCleanTable[[#This Row],[Profit]]&lt;0), "Discount loss", "Safe")</f>
        <v>Safe</v>
      </c>
      <c r="AB2656" s="25">
        <f>(SalesCleanTable[[#This Row],[Unit Price]] - SalesCleanTable[[#This Row],[Unit Cost]]) / SalesCleanTable[[#This Row],[Unit Price]]</f>
        <v>0.35294117647058826</v>
      </c>
      <c r="AC2656" t="str">
        <f>IF(SalesCleanTable[[#This Row],[Discount %]] &gt; SalesCleanTable[[#This Row],[Max Allowed Discount]], "Discount loss", "Safe")</f>
        <v>Safe</v>
      </c>
      <c r="AD2656" s="4">
        <f>SalesCleanTable[[#This Row],[Unit Price]] - SalesCleanTable[[#This Row],[Unit Cost]]</f>
        <v>300</v>
      </c>
      <c r="AE2656" s="41">
        <f>(SalesCleanTable[[#This Row],[Unit Price]] - SalesCleanTable[[#This Row],[Unit Cost]]) / SalesCleanTable[[#This Row],[Unit Price]]</f>
        <v>0.35294117647058826</v>
      </c>
    </row>
    <row r="2657" spans="1:31">
      <c r="A2657" t="s">
        <v>2843</v>
      </c>
      <c r="B2657" s="6">
        <v>45713</v>
      </c>
      <c r="C2657" t="s">
        <v>107</v>
      </c>
      <c r="D2657" t="s">
        <v>108</v>
      </c>
      <c r="E2657" t="s">
        <v>109</v>
      </c>
      <c r="F2657" t="s">
        <v>110</v>
      </c>
      <c r="G2657" t="s">
        <v>111</v>
      </c>
      <c r="H2657" t="s">
        <v>145</v>
      </c>
      <c r="I2657" t="s">
        <v>146</v>
      </c>
      <c r="J2657" t="s">
        <v>147</v>
      </c>
      <c r="K2657" t="s">
        <v>148</v>
      </c>
      <c r="L2657" t="s">
        <v>166</v>
      </c>
      <c r="M2657" t="s">
        <v>177</v>
      </c>
      <c r="N2657">
        <v>2</v>
      </c>
      <c r="O2657" s="4">
        <v>5200</v>
      </c>
      <c r="P2657" s="4">
        <v>7000</v>
      </c>
      <c r="Q2657" s="7">
        <v>0.15</v>
      </c>
      <c r="R2657" t="s">
        <v>235</v>
      </c>
      <c r="S2657">
        <v>10</v>
      </c>
      <c r="T2657">
        <v>14000</v>
      </c>
      <c r="U2657">
        <v>2100</v>
      </c>
      <c r="V2657">
        <v>11900</v>
      </c>
      <c r="W2657">
        <v>10400</v>
      </c>
      <c r="X2657">
        <v>1500</v>
      </c>
      <c r="Y2657" s="8">
        <v>0.12605042016806722</v>
      </c>
      <c r="Z2657" t="s">
        <v>2997</v>
      </c>
      <c r="AA2657" t="str">
        <f>IF(AND(SalesCleanTable[[#This Row],[Discount %]]&gt;0, SalesCleanTable[[#This Row],[Profit]]&lt;0), "Discount loss", "Safe")</f>
        <v>Safe</v>
      </c>
      <c r="AB2657" s="25">
        <f>(SalesCleanTable[[#This Row],[Unit Price]] - SalesCleanTable[[#This Row],[Unit Cost]]) / SalesCleanTable[[#This Row],[Unit Price]]</f>
        <v>0.25714285714285712</v>
      </c>
      <c r="AC2657" t="str">
        <f>IF(SalesCleanTable[[#This Row],[Discount %]] &gt; SalesCleanTable[[#This Row],[Max Allowed Discount]], "Discount loss", "Safe")</f>
        <v>Safe</v>
      </c>
      <c r="AD2657" s="4">
        <f>SalesCleanTable[[#This Row],[Unit Price]] - SalesCleanTable[[#This Row],[Unit Cost]]</f>
        <v>1800</v>
      </c>
      <c r="AE2657" s="41">
        <f>(SalesCleanTable[[#This Row],[Unit Price]] - SalesCleanTable[[#This Row],[Unit Cost]]) / SalesCleanTable[[#This Row],[Unit Price]]</f>
        <v>0.25714285714285712</v>
      </c>
    </row>
    <row r="2658" spans="1:31">
      <c r="A2658" t="s">
        <v>2844</v>
      </c>
      <c r="B2658" s="6">
        <v>45838</v>
      </c>
      <c r="C2658" t="s">
        <v>103</v>
      </c>
      <c r="D2658" t="s">
        <v>104</v>
      </c>
      <c r="E2658" t="s">
        <v>92</v>
      </c>
      <c r="F2658" t="s">
        <v>105</v>
      </c>
      <c r="G2658" t="s">
        <v>106</v>
      </c>
      <c r="H2658" t="s">
        <v>135</v>
      </c>
      <c r="I2658" t="s">
        <v>136</v>
      </c>
      <c r="J2658" t="s">
        <v>137</v>
      </c>
      <c r="K2658" t="s">
        <v>138</v>
      </c>
      <c r="L2658" t="s">
        <v>166</v>
      </c>
      <c r="M2658" t="s">
        <v>177</v>
      </c>
      <c r="N2658">
        <v>1</v>
      </c>
      <c r="O2658" s="4">
        <v>1500</v>
      </c>
      <c r="P2658" s="4">
        <v>2500</v>
      </c>
      <c r="Q2658" s="7">
        <v>0.05</v>
      </c>
      <c r="R2658" t="s">
        <v>217</v>
      </c>
      <c r="S2658">
        <v>9</v>
      </c>
      <c r="T2658">
        <v>2500</v>
      </c>
      <c r="U2658">
        <v>125</v>
      </c>
      <c r="V2658">
        <v>2375</v>
      </c>
      <c r="W2658">
        <v>1500</v>
      </c>
      <c r="X2658">
        <v>875</v>
      </c>
      <c r="Y2658" s="8">
        <v>0.36842105263157893</v>
      </c>
      <c r="Z2658" t="s">
        <v>2996</v>
      </c>
      <c r="AA2658" t="str">
        <f>IF(AND(SalesCleanTable[[#This Row],[Discount %]]&gt;0, SalesCleanTable[[#This Row],[Profit]]&lt;0), "Discount loss", "Safe")</f>
        <v>Safe</v>
      </c>
      <c r="AB2658" s="25">
        <f>(SalesCleanTable[[#This Row],[Unit Price]] - SalesCleanTable[[#This Row],[Unit Cost]]) / SalesCleanTable[[#This Row],[Unit Price]]</f>
        <v>0.4</v>
      </c>
      <c r="AC2658" t="str">
        <f>IF(SalesCleanTable[[#This Row],[Discount %]] &gt; SalesCleanTable[[#This Row],[Max Allowed Discount]], "Discount loss", "Safe")</f>
        <v>Safe</v>
      </c>
      <c r="AD2658" s="4">
        <f>SalesCleanTable[[#This Row],[Unit Price]] - SalesCleanTable[[#This Row],[Unit Cost]]</f>
        <v>1000</v>
      </c>
      <c r="AE2658" s="41">
        <f>(SalesCleanTable[[#This Row],[Unit Price]] - SalesCleanTable[[#This Row],[Unit Cost]]) / SalesCleanTable[[#This Row],[Unit Price]]</f>
        <v>0.4</v>
      </c>
    </row>
    <row r="2659" spans="1:31">
      <c r="A2659" t="s">
        <v>2845</v>
      </c>
      <c r="B2659" s="6">
        <v>45686</v>
      </c>
      <c r="C2659" t="s">
        <v>103</v>
      </c>
      <c r="D2659" t="s">
        <v>104</v>
      </c>
      <c r="E2659" t="s">
        <v>92</v>
      </c>
      <c r="F2659" t="s">
        <v>105</v>
      </c>
      <c r="G2659" t="s">
        <v>106</v>
      </c>
      <c r="H2659" t="s">
        <v>135</v>
      </c>
      <c r="I2659" t="s">
        <v>136</v>
      </c>
      <c r="J2659" t="s">
        <v>137</v>
      </c>
      <c r="K2659" t="s">
        <v>138</v>
      </c>
      <c r="L2659" t="s">
        <v>166</v>
      </c>
      <c r="M2659" t="s">
        <v>167</v>
      </c>
      <c r="N2659">
        <v>1</v>
      </c>
      <c r="O2659" s="4">
        <v>1500</v>
      </c>
      <c r="P2659" s="4">
        <v>2500</v>
      </c>
      <c r="Q2659" s="7">
        <v>0.1</v>
      </c>
      <c r="R2659" t="s">
        <v>215</v>
      </c>
      <c r="S2659">
        <v>11</v>
      </c>
      <c r="T2659">
        <v>2500</v>
      </c>
      <c r="U2659">
        <v>250</v>
      </c>
      <c r="V2659">
        <v>2250</v>
      </c>
      <c r="W2659">
        <v>1500</v>
      </c>
      <c r="X2659">
        <v>750</v>
      </c>
      <c r="Y2659" s="8">
        <v>0.33333333333333331</v>
      </c>
      <c r="Z2659" t="s">
        <v>2996</v>
      </c>
      <c r="AA2659" t="str">
        <f>IF(AND(SalesCleanTable[[#This Row],[Discount %]]&gt;0, SalesCleanTable[[#This Row],[Profit]]&lt;0), "Discount loss", "Safe")</f>
        <v>Safe</v>
      </c>
      <c r="AB2659" s="25">
        <f>(SalesCleanTable[[#This Row],[Unit Price]] - SalesCleanTable[[#This Row],[Unit Cost]]) / SalesCleanTable[[#This Row],[Unit Price]]</f>
        <v>0.4</v>
      </c>
      <c r="AC2659" t="str">
        <f>IF(SalesCleanTable[[#This Row],[Discount %]] &gt; SalesCleanTable[[#This Row],[Max Allowed Discount]], "Discount loss", "Safe")</f>
        <v>Safe</v>
      </c>
      <c r="AD2659" s="4">
        <f>SalesCleanTable[[#This Row],[Unit Price]] - SalesCleanTable[[#This Row],[Unit Cost]]</f>
        <v>1000</v>
      </c>
      <c r="AE2659" s="41">
        <f>(SalesCleanTable[[#This Row],[Unit Price]] - SalesCleanTable[[#This Row],[Unit Cost]]) / SalesCleanTable[[#This Row],[Unit Price]]</f>
        <v>0.4</v>
      </c>
    </row>
    <row r="2660" spans="1:31">
      <c r="A2660" t="s">
        <v>2846</v>
      </c>
      <c r="B2660" s="6">
        <v>45886</v>
      </c>
      <c r="C2660" t="s">
        <v>62</v>
      </c>
      <c r="D2660" t="s">
        <v>63</v>
      </c>
      <c r="E2660" t="s">
        <v>59</v>
      </c>
      <c r="F2660" t="s">
        <v>64</v>
      </c>
      <c r="G2660" t="s">
        <v>65</v>
      </c>
      <c r="H2660" t="s">
        <v>149</v>
      </c>
      <c r="I2660" t="s">
        <v>150</v>
      </c>
      <c r="J2660" t="s">
        <v>151</v>
      </c>
      <c r="K2660" t="s">
        <v>152</v>
      </c>
      <c r="L2660" t="s">
        <v>166</v>
      </c>
      <c r="M2660" t="s">
        <v>167</v>
      </c>
      <c r="N2660">
        <v>2</v>
      </c>
      <c r="O2660" s="4">
        <v>3200</v>
      </c>
      <c r="P2660" s="4">
        <v>4500</v>
      </c>
      <c r="Q2660" s="7">
        <v>0.05</v>
      </c>
      <c r="R2660" t="s">
        <v>192</v>
      </c>
      <c r="S2660">
        <v>13</v>
      </c>
      <c r="T2660">
        <v>9000</v>
      </c>
      <c r="U2660">
        <v>450</v>
      </c>
      <c r="V2660">
        <v>8550</v>
      </c>
      <c r="W2660">
        <v>6400</v>
      </c>
      <c r="X2660">
        <v>2150</v>
      </c>
      <c r="Y2660" s="8">
        <v>0.25146198830409355</v>
      </c>
      <c r="Z2660" t="s">
        <v>2996</v>
      </c>
      <c r="AA2660" t="str">
        <f>IF(AND(SalesCleanTable[[#This Row],[Discount %]]&gt;0, SalesCleanTable[[#This Row],[Profit]]&lt;0), "Discount loss", "Safe")</f>
        <v>Safe</v>
      </c>
      <c r="AB2660" s="25">
        <f>(SalesCleanTable[[#This Row],[Unit Price]] - SalesCleanTable[[#This Row],[Unit Cost]]) / SalesCleanTable[[#This Row],[Unit Price]]</f>
        <v>0.28888888888888886</v>
      </c>
      <c r="AC2660" t="str">
        <f>IF(SalesCleanTable[[#This Row],[Discount %]] &gt; SalesCleanTable[[#This Row],[Max Allowed Discount]], "Discount loss", "Safe")</f>
        <v>Safe</v>
      </c>
      <c r="AD2660" s="4">
        <f>SalesCleanTable[[#This Row],[Unit Price]] - SalesCleanTable[[#This Row],[Unit Cost]]</f>
        <v>1300</v>
      </c>
      <c r="AE2660" s="41">
        <f>(SalesCleanTable[[#This Row],[Unit Price]] - SalesCleanTable[[#This Row],[Unit Cost]]) / SalesCleanTable[[#This Row],[Unit Price]]</f>
        <v>0.28888888888888886</v>
      </c>
    </row>
    <row r="2661" spans="1:31">
      <c r="A2661" t="s">
        <v>2847</v>
      </c>
      <c r="B2661" s="6">
        <v>45758</v>
      </c>
      <c r="C2661" t="s">
        <v>24</v>
      </c>
      <c r="D2661" t="s">
        <v>25</v>
      </c>
      <c r="E2661" t="s">
        <v>26</v>
      </c>
      <c r="F2661" t="s">
        <v>27</v>
      </c>
      <c r="G2661" t="s">
        <v>28</v>
      </c>
      <c r="H2661" t="s">
        <v>128</v>
      </c>
      <c r="I2661" t="s">
        <v>129</v>
      </c>
      <c r="J2661" t="s">
        <v>130</v>
      </c>
      <c r="K2661" t="s">
        <v>131</v>
      </c>
      <c r="L2661" t="s">
        <v>166</v>
      </c>
      <c r="M2661" t="s">
        <v>171</v>
      </c>
      <c r="N2661">
        <v>6</v>
      </c>
      <c r="O2661" s="4">
        <v>14500</v>
      </c>
      <c r="P2661" s="4">
        <v>17500</v>
      </c>
      <c r="Q2661" s="7">
        <v>0.05</v>
      </c>
      <c r="R2661" t="s">
        <v>194</v>
      </c>
      <c r="S2661">
        <v>14</v>
      </c>
      <c r="T2661">
        <v>105000</v>
      </c>
      <c r="U2661">
        <v>5250</v>
      </c>
      <c r="V2661">
        <v>99750</v>
      </c>
      <c r="W2661">
        <v>87000</v>
      </c>
      <c r="X2661">
        <v>12750</v>
      </c>
      <c r="Y2661" s="8">
        <v>0.12781954887218044</v>
      </c>
      <c r="Z2661" t="s">
        <v>2995</v>
      </c>
      <c r="AA2661" t="str">
        <f>IF(AND(SalesCleanTable[[#This Row],[Discount %]]&gt;0, SalesCleanTable[[#This Row],[Profit]]&lt;0), "Discount loss", "Safe")</f>
        <v>Safe</v>
      </c>
      <c r="AB2661" s="25">
        <f>(SalesCleanTable[[#This Row],[Unit Price]] - SalesCleanTable[[#This Row],[Unit Cost]]) / SalesCleanTable[[#This Row],[Unit Price]]</f>
        <v>0.17142857142857143</v>
      </c>
      <c r="AC2661" t="str">
        <f>IF(SalesCleanTable[[#This Row],[Discount %]] &gt; SalesCleanTable[[#This Row],[Max Allowed Discount]], "Discount loss", "Safe")</f>
        <v>Safe</v>
      </c>
      <c r="AD2661" s="4">
        <f>SalesCleanTable[[#This Row],[Unit Price]] - SalesCleanTable[[#This Row],[Unit Cost]]</f>
        <v>3000</v>
      </c>
      <c r="AE2661" s="41">
        <f>(SalesCleanTable[[#This Row],[Unit Price]] - SalesCleanTable[[#This Row],[Unit Cost]]) / SalesCleanTable[[#This Row],[Unit Price]]</f>
        <v>0.17142857142857143</v>
      </c>
    </row>
    <row r="2662" spans="1:31">
      <c r="A2662" t="s">
        <v>2848</v>
      </c>
      <c r="B2662" s="6">
        <v>45910</v>
      </c>
      <c r="C2662" t="s">
        <v>45</v>
      </c>
      <c r="D2662" t="s">
        <v>46</v>
      </c>
      <c r="E2662" t="s">
        <v>38</v>
      </c>
      <c r="F2662" t="s">
        <v>47</v>
      </c>
      <c r="G2662" t="s">
        <v>48</v>
      </c>
      <c r="H2662" t="s">
        <v>139</v>
      </c>
      <c r="I2662" t="s">
        <v>140</v>
      </c>
      <c r="J2662" t="s">
        <v>137</v>
      </c>
      <c r="K2662" t="s">
        <v>138</v>
      </c>
      <c r="L2662" t="s">
        <v>183</v>
      </c>
      <c r="M2662" t="s">
        <v>186</v>
      </c>
      <c r="N2662">
        <v>8</v>
      </c>
      <c r="O2662" s="4">
        <v>230</v>
      </c>
      <c r="P2662" s="4">
        <v>400</v>
      </c>
      <c r="Q2662" s="7">
        <v>0.05</v>
      </c>
      <c r="R2662" t="s">
        <v>178</v>
      </c>
      <c r="S2662">
        <v>3</v>
      </c>
      <c r="T2662">
        <v>3200</v>
      </c>
      <c r="U2662">
        <v>160</v>
      </c>
      <c r="V2662">
        <v>3040</v>
      </c>
      <c r="W2662">
        <v>1840</v>
      </c>
      <c r="X2662">
        <v>1200</v>
      </c>
      <c r="Y2662" s="8">
        <v>0.39473684210526316</v>
      </c>
      <c r="Z2662" t="s">
        <v>2995</v>
      </c>
      <c r="AA2662" t="str">
        <f>IF(AND(SalesCleanTable[[#This Row],[Discount %]]&gt;0, SalesCleanTable[[#This Row],[Profit]]&lt;0), "Discount loss", "Safe")</f>
        <v>Safe</v>
      </c>
      <c r="AB2662" s="25">
        <f>(SalesCleanTable[[#This Row],[Unit Price]] - SalesCleanTable[[#This Row],[Unit Cost]]) / SalesCleanTable[[#This Row],[Unit Price]]</f>
        <v>0.42499999999999999</v>
      </c>
      <c r="AC2662" t="str">
        <f>IF(SalesCleanTable[[#This Row],[Discount %]] &gt; SalesCleanTable[[#This Row],[Max Allowed Discount]], "Discount loss", "Safe")</f>
        <v>Safe</v>
      </c>
      <c r="AD2662" s="4">
        <f>SalesCleanTable[[#This Row],[Unit Price]] - SalesCleanTable[[#This Row],[Unit Cost]]</f>
        <v>170</v>
      </c>
      <c r="AE2662" s="41">
        <f>(SalesCleanTable[[#This Row],[Unit Price]] - SalesCleanTable[[#This Row],[Unit Cost]]) / SalesCleanTable[[#This Row],[Unit Price]]</f>
        <v>0.42499999999999999</v>
      </c>
    </row>
    <row r="2663" spans="1:31">
      <c r="A2663" t="s">
        <v>2849</v>
      </c>
      <c r="B2663" s="6">
        <v>45754</v>
      </c>
      <c r="C2663" t="s">
        <v>49</v>
      </c>
      <c r="D2663" t="s">
        <v>50</v>
      </c>
      <c r="E2663" t="s">
        <v>38</v>
      </c>
      <c r="F2663" t="s">
        <v>51</v>
      </c>
      <c r="G2663" t="s">
        <v>52</v>
      </c>
      <c r="H2663" t="s">
        <v>133</v>
      </c>
      <c r="I2663" t="s">
        <v>134</v>
      </c>
      <c r="J2663" t="s">
        <v>130</v>
      </c>
      <c r="K2663" t="s">
        <v>131</v>
      </c>
      <c r="L2663" t="s">
        <v>166</v>
      </c>
      <c r="M2663" t="s">
        <v>171</v>
      </c>
      <c r="N2663">
        <v>1</v>
      </c>
      <c r="O2663" s="4">
        <v>550</v>
      </c>
      <c r="P2663" s="4">
        <v>850</v>
      </c>
      <c r="Q2663" s="7">
        <v>0.1</v>
      </c>
      <c r="R2663" t="s">
        <v>178</v>
      </c>
      <c r="S2663">
        <v>13</v>
      </c>
      <c r="T2663">
        <v>850</v>
      </c>
      <c r="U2663">
        <v>85</v>
      </c>
      <c r="V2663">
        <v>765</v>
      </c>
      <c r="W2663">
        <v>550</v>
      </c>
      <c r="X2663">
        <v>215</v>
      </c>
      <c r="Y2663" s="8">
        <v>0.28104575163398693</v>
      </c>
      <c r="Z2663" t="s">
        <v>2996</v>
      </c>
      <c r="AA2663" t="str">
        <f>IF(AND(SalesCleanTable[[#This Row],[Discount %]]&gt;0, SalesCleanTable[[#This Row],[Profit]]&lt;0), "Discount loss", "Safe")</f>
        <v>Safe</v>
      </c>
      <c r="AB2663" s="25">
        <f>(SalesCleanTable[[#This Row],[Unit Price]] - SalesCleanTable[[#This Row],[Unit Cost]]) / SalesCleanTable[[#This Row],[Unit Price]]</f>
        <v>0.35294117647058826</v>
      </c>
      <c r="AC2663" t="str">
        <f>IF(SalesCleanTable[[#This Row],[Discount %]] &gt; SalesCleanTable[[#This Row],[Max Allowed Discount]], "Discount loss", "Safe")</f>
        <v>Safe</v>
      </c>
      <c r="AD2663" s="4">
        <f>SalesCleanTable[[#This Row],[Unit Price]] - SalesCleanTable[[#This Row],[Unit Cost]]</f>
        <v>300</v>
      </c>
      <c r="AE2663" s="41">
        <f>(SalesCleanTable[[#This Row],[Unit Price]] - SalesCleanTable[[#This Row],[Unit Cost]]) / SalesCleanTable[[#This Row],[Unit Price]]</f>
        <v>0.35294117647058826</v>
      </c>
    </row>
    <row r="2664" spans="1:31">
      <c r="A2664" t="s">
        <v>2850</v>
      </c>
      <c r="B2664" s="6">
        <v>45985</v>
      </c>
      <c r="C2664" t="s">
        <v>36</v>
      </c>
      <c r="D2664" t="s">
        <v>37</v>
      </c>
      <c r="E2664" t="s">
        <v>38</v>
      </c>
      <c r="F2664" t="s">
        <v>39</v>
      </c>
      <c r="G2664" t="s">
        <v>40</v>
      </c>
      <c r="H2664" t="s">
        <v>153</v>
      </c>
      <c r="I2664" t="s">
        <v>154</v>
      </c>
      <c r="J2664" t="s">
        <v>155</v>
      </c>
      <c r="K2664" t="s">
        <v>131</v>
      </c>
      <c r="L2664" t="s">
        <v>183</v>
      </c>
      <c r="M2664" t="s">
        <v>171</v>
      </c>
      <c r="N2664">
        <v>5</v>
      </c>
      <c r="O2664" s="4">
        <v>1650</v>
      </c>
      <c r="P2664" s="4">
        <v>2200</v>
      </c>
      <c r="Q2664" s="7">
        <v>0.15</v>
      </c>
      <c r="R2664" t="s">
        <v>175</v>
      </c>
      <c r="S2664">
        <v>3</v>
      </c>
      <c r="T2664">
        <v>11000</v>
      </c>
      <c r="U2664">
        <v>1650</v>
      </c>
      <c r="V2664">
        <v>9350</v>
      </c>
      <c r="W2664">
        <v>8250</v>
      </c>
      <c r="X2664">
        <v>1100</v>
      </c>
      <c r="Y2664" s="8">
        <v>0.11764705882352941</v>
      </c>
      <c r="Z2664" t="s">
        <v>2995</v>
      </c>
      <c r="AA2664" t="str">
        <f>IF(AND(SalesCleanTable[[#This Row],[Discount %]]&gt;0, SalesCleanTable[[#This Row],[Profit]]&lt;0), "Discount loss", "Safe")</f>
        <v>Safe</v>
      </c>
      <c r="AB2664" s="25">
        <f>(SalesCleanTable[[#This Row],[Unit Price]] - SalesCleanTable[[#This Row],[Unit Cost]]) / SalesCleanTable[[#This Row],[Unit Price]]</f>
        <v>0.25</v>
      </c>
      <c r="AC2664" t="str">
        <f>IF(SalesCleanTable[[#This Row],[Discount %]] &gt; SalesCleanTable[[#This Row],[Max Allowed Discount]], "Discount loss", "Safe")</f>
        <v>Safe</v>
      </c>
      <c r="AD2664" s="4">
        <f>SalesCleanTable[[#This Row],[Unit Price]] - SalesCleanTable[[#This Row],[Unit Cost]]</f>
        <v>550</v>
      </c>
      <c r="AE2664" s="41">
        <f>(SalesCleanTable[[#This Row],[Unit Price]] - SalesCleanTable[[#This Row],[Unit Cost]]) / SalesCleanTable[[#This Row],[Unit Price]]</f>
        <v>0.25</v>
      </c>
    </row>
    <row r="2665" spans="1:31">
      <c r="A2665" t="s">
        <v>2851</v>
      </c>
      <c r="B2665" s="6">
        <v>45951</v>
      </c>
      <c r="C2665" t="s">
        <v>53</v>
      </c>
      <c r="D2665" t="s">
        <v>54</v>
      </c>
      <c r="E2665" t="s">
        <v>38</v>
      </c>
      <c r="F2665" t="s">
        <v>55</v>
      </c>
      <c r="G2665" t="s">
        <v>56</v>
      </c>
      <c r="H2665" t="s">
        <v>133</v>
      </c>
      <c r="I2665" t="s">
        <v>134</v>
      </c>
      <c r="J2665" t="s">
        <v>130</v>
      </c>
      <c r="K2665" t="s">
        <v>131</v>
      </c>
      <c r="L2665" t="s">
        <v>166</v>
      </c>
      <c r="M2665" t="s">
        <v>177</v>
      </c>
      <c r="N2665">
        <v>8</v>
      </c>
      <c r="O2665" s="4">
        <v>330</v>
      </c>
      <c r="P2665" s="4">
        <v>550</v>
      </c>
      <c r="Q2665" s="7">
        <v>0.1</v>
      </c>
      <c r="R2665" t="s">
        <v>175</v>
      </c>
      <c r="S2665">
        <v>8</v>
      </c>
      <c r="T2665">
        <v>4400</v>
      </c>
      <c r="U2665">
        <v>440</v>
      </c>
      <c r="V2665">
        <v>3960</v>
      </c>
      <c r="W2665">
        <v>2640</v>
      </c>
      <c r="X2665">
        <v>1320</v>
      </c>
      <c r="Y2665" s="8">
        <v>0.33333333333333331</v>
      </c>
      <c r="Z2665" t="s">
        <v>2996</v>
      </c>
      <c r="AA2665" t="str">
        <f>IF(AND(SalesCleanTable[[#This Row],[Discount %]]&gt;0, SalesCleanTable[[#This Row],[Profit]]&lt;0), "Discount loss", "Safe")</f>
        <v>Safe</v>
      </c>
      <c r="AB2665" s="25">
        <f>(SalesCleanTable[[#This Row],[Unit Price]] - SalesCleanTable[[#This Row],[Unit Cost]]) / SalesCleanTable[[#This Row],[Unit Price]]</f>
        <v>0.4</v>
      </c>
      <c r="AC2665" t="str">
        <f>IF(SalesCleanTable[[#This Row],[Discount %]] &gt; SalesCleanTable[[#This Row],[Max Allowed Discount]], "Discount loss", "Safe")</f>
        <v>Safe</v>
      </c>
      <c r="AD2665" s="4">
        <f>SalesCleanTable[[#This Row],[Unit Price]] - SalesCleanTable[[#This Row],[Unit Cost]]</f>
        <v>220</v>
      </c>
      <c r="AE2665" s="41">
        <f>(SalesCleanTable[[#This Row],[Unit Price]] - SalesCleanTable[[#This Row],[Unit Cost]]) / SalesCleanTable[[#This Row],[Unit Price]]</f>
        <v>0.4</v>
      </c>
    </row>
    <row r="2666" spans="1:31">
      <c r="A2666" t="s">
        <v>2852</v>
      </c>
      <c r="B2666" s="6">
        <v>46011</v>
      </c>
      <c r="C2666" t="s">
        <v>29</v>
      </c>
      <c r="D2666" t="s">
        <v>30</v>
      </c>
      <c r="E2666" t="s">
        <v>26</v>
      </c>
      <c r="F2666" t="s">
        <v>27</v>
      </c>
      <c r="G2666" t="s">
        <v>31</v>
      </c>
      <c r="H2666" t="s">
        <v>141</v>
      </c>
      <c r="I2666" t="s">
        <v>142</v>
      </c>
      <c r="J2666" t="s">
        <v>143</v>
      </c>
      <c r="K2666" t="s">
        <v>144</v>
      </c>
      <c r="L2666" t="s">
        <v>183</v>
      </c>
      <c r="M2666" t="s">
        <v>171</v>
      </c>
      <c r="N2666">
        <v>2</v>
      </c>
      <c r="O2666" s="4">
        <v>6200</v>
      </c>
      <c r="P2666" s="4">
        <v>7900</v>
      </c>
      <c r="Q2666" s="7">
        <v>0.05</v>
      </c>
      <c r="R2666" t="s">
        <v>194</v>
      </c>
      <c r="S2666">
        <v>11</v>
      </c>
      <c r="T2666">
        <v>15800</v>
      </c>
      <c r="U2666">
        <v>790</v>
      </c>
      <c r="V2666">
        <v>15010</v>
      </c>
      <c r="W2666">
        <v>12400</v>
      </c>
      <c r="X2666">
        <v>2610</v>
      </c>
      <c r="Y2666" s="8">
        <v>0.17388407728181213</v>
      </c>
      <c r="Z2666" t="s">
        <v>2996</v>
      </c>
      <c r="AA2666" t="str">
        <f>IF(AND(SalesCleanTable[[#This Row],[Discount %]]&gt;0, SalesCleanTable[[#This Row],[Profit]]&lt;0), "Discount loss", "Safe")</f>
        <v>Safe</v>
      </c>
      <c r="AB2666" s="25">
        <f>(SalesCleanTable[[#This Row],[Unit Price]] - SalesCleanTable[[#This Row],[Unit Cost]]) / SalesCleanTable[[#This Row],[Unit Price]]</f>
        <v>0.21518987341772153</v>
      </c>
      <c r="AC2666" t="str">
        <f>IF(SalesCleanTable[[#This Row],[Discount %]] &gt; SalesCleanTable[[#This Row],[Max Allowed Discount]], "Discount loss", "Safe")</f>
        <v>Safe</v>
      </c>
      <c r="AD2666" s="4">
        <f>SalesCleanTable[[#This Row],[Unit Price]] - SalesCleanTable[[#This Row],[Unit Cost]]</f>
        <v>1700</v>
      </c>
      <c r="AE2666" s="41">
        <f>(SalesCleanTable[[#This Row],[Unit Price]] - SalesCleanTable[[#This Row],[Unit Cost]]) / SalesCleanTable[[#This Row],[Unit Price]]</f>
        <v>0.21518987341772153</v>
      </c>
    </row>
    <row r="2667" spans="1:31">
      <c r="A2667" t="s">
        <v>2853</v>
      </c>
      <c r="B2667" s="6">
        <v>45911</v>
      </c>
      <c r="C2667" t="s">
        <v>41</v>
      </c>
      <c r="D2667" t="s">
        <v>42</v>
      </c>
      <c r="E2667" t="s">
        <v>26</v>
      </c>
      <c r="F2667" t="s">
        <v>43</v>
      </c>
      <c r="G2667" t="s">
        <v>44</v>
      </c>
      <c r="H2667" t="s">
        <v>145</v>
      </c>
      <c r="I2667" t="s">
        <v>146</v>
      </c>
      <c r="J2667" t="s">
        <v>147</v>
      </c>
      <c r="K2667" t="s">
        <v>148</v>
      </c>
      <c r="L2667" t="s">
        <v>166</v>
      </c>
      <c r="M2667" t="s">
        <v>171</v>
      </c>
      <c r="N2667">
        <v>3</v>
      </c>
      <c r="O2667" s="4">
        <v>850</v>
      </c>
      <c r="P2667" s="4">
        <v>1300</v>
      </c>
      <c r="Q2667" s="7">
        <v>0.05</v>
      </c>
      <c r="R2667" t="s">
        <v>194</v>
      </c>
      <c r="S2667">
        <v>6</v>
      </c>
      <c r="T2667">
        <v>3900</v>
      </c>
      <c r="U2667">
        <v>195</v>
      </c>
      <c r="V2667">
        <v>3705</v>
      </c>
      <c r="W2667">
        <v>2550</v>
      </c>
      <c r="X2667">
        <v>1155</v>
      </c>
      <c r="Y2667" s="8">
        <v>0.31174089068825911</v>
      </c>
      <c r="Z2667" t="s">
        <v>2995</v>
      </c>
      <c r="AA2667" t="str">
        <f>IF(AND(SalesCleanTable[[#This Row],[Discount %]]&gt;0, SalesCleanTable[[#This Row],[Profit]]&lt;0), "Discount loss", "Safe")</f>
        <v>Safe</v>
      </c>
      <c r="AB2667" s="25">
        <f>(SalesCleanTable[[#This Row],[Unit Price]] - SalesCleanTable[[#This Row],[Unit Cost]]) / SalesCleanTable[[#This Row],[Unit Price]]</f>
        <v>0.34615384615384615</v>
      </c>
      <c r="AC2667" t="str">
        <f>IF(SalesCleanTable[[#This Row],[Discount %]] &gt; SalesCleanTable[[#This Row],[Max Allowed Discount]], "Discount loss", "Safe")</f>
        <v>Safe</v>
      </c>
      <c r="AD2667" s="4">
        <f>SalesCleanTable[[#This Row],[Unit Price]] - SalesCleanTable[[#This Row],[Unit Cost]]</f>
        <v>450</v>
      </c>
      <c r="AE2667" s="41">
        <f>(SalesCleanTable[[#This Row],[Unit Price]] - SalesCleanTable[[#This Row],[Unit Cost]]) / SalesCleanTable[[#This Row],[Unit Price]]</f>
        <v>0.34615384615384615</v>
      </c>
    </row>
    <row r="2668" spans="1:31">
      <c r="A2668" t="s">
        <v>2854</v>
      </c>
      <c r="B2668" s="6">
        <v>45827</v>
      </c>
      <c r="C2668" t="s">
        <v>82</v>
      </c>
      <c r="D2668" t="s">
        <v>83</v>
      </c>
      <c r="E2668" t="s">
        <v>75</v>
      </c>
      <c r="F2668" t="s">
        <v>84</v>
      </c>
      <c r="G2668" t="s">
        <v>85</v>
      </c>
      <c r="H2668" t="s">
        <v>135</v>
      </c>
      <c r="I2668" t="s">
        <v>136</v>
      </c>
      <c r="J2668" t="s">
        <v>137</v>
      </c>
      <c r="K2668" t="s">
        <v>138</v>
      </c>
      <c r="L2668" t="s">
        <v>170</v>
      </c>
      <c r="M2668" t="s">
        <v>171</v>
      </c>
      <c r="N2668">
        <v>4</v>
      </c>
      <c r="O2668" s="4">
        <v>600</v>
      </c>
      <c r="P2668" s="4">
        <v>950</v>
      </c>
      <c r="Q2668" s="7">
        <v>0.15</v>
      </c>
      <c r="R2668" t="s">
        <v>208</v>
      </c>
      <c r="S2668">
        <v>6</v>
      </c>
      <c r="T2668">
        <v>3800</v>
      </c>
      <c r="U2668">
        <v>570</v>
      </c>
      <c r="V2668">
        <v>3230</v>
      </c>
      <c r="W2668">
        <v>2400</v>
      </c>
      <c r="X2668">
        <v>830</v>
      </c>
      <c r="Y2668" s="8">
        <v>0.25696594427244585</v>
      </c>
      <c r="Z2668" t="s">
        <v>2996</v>
      </c>
      <c r="AA2668" t="str">
        <f>IF(AND(SalesCleanTable[[#This Row],[Discount %]]&gt;0, SalesCleanTable[[#This Row],[Profit]]&lt;0), "Discount loss", "Safe")</f>
        <v>Safe</v>
      </c>
      <c r="AB2668" s="25">
        <f>(SalesCleanTable[[#This Row],[Unit Price]] - SalesCleanTable[[#This Row],[Unit Cost]]) / SalesCleanTable[[#This Row],[Unit Price]]</f>
        <v>0.36842105263157893</v>
      </c>
      <c r="AC2668" t="str">
        <f>IF(SalesCleanTable[[#This Row],[Discount %]] &gt; SalesCleanTable[[#This Row],[Max Allowed Discount]], "Discount loss", "Safe")</f>
        <v>Safe</v>
      </c>
      <c r="AD2668" s="4">
        <f>SalesCleanTable[[#This Row],[Unit Price]] - SalesCleanTable[[#This Row],[Unit Cost]]</f>
        <v>350</v>
      </c>
      <c r="AE2668" s="41">
        <f>(SalesCleanTable[[#This Row],[Unit Price]] - SalesCleanTable[[#This Row],[Unit Cost]]) / SalesCleanTable[[#This Row],[Unit Price]]</f>
        <v>0.36842105263157893</v>
      </c>
    </row>
    <row r="2669" spans="1:31">
      <c r="A2669" t="s">
        <v>2855</v>
      </c>
      <c r="B2669" s="6">
        <v>45921</v>
      </c>
      <c r="C2669" t="s">
        <v>41</v>
      </c>
      <c r="D2669" t="s">
        <v>42</v>
      </c>
      <c r="E2669" t="s">
        <v>26</v>
      </c>
      <c r="F2669" t="s">
        <v>43</v>
      </c>
      <c r="G2669" t="s">
        <v>44</v>
      </c>
      <c r="H2669" t="s">
        <v>145</v>
      </c>
      <c r="I2669" t="s">
        <v>146</v>
      </c>
      <c r="J2669" t="s">
        <v>147</v>
      </c>
      <c r="K2669" t="s">
        <v>148</v>
      </c>
      <c r="L2669" t="s">
        <v>166</v>
      </c>
      <c r="M2669" t="s">
        <v>171</v>
      </c>
      <c r="N2669">
        <v>2</v>
      </c>
      <c r="O2669" s="4">
        <v>850</v>
      </c>
      <c r="P2669" s="4">
        <v>1300</v>
      </c>
      <c r="Q2669" s="7">
        <v>0</v>
      </c>
      <c r="R2669" t="s">
        <v>197</v>
      </c>
      <c r="S2669">
        <v>11</v>
      </c>
      <c r="T2669">
        <v>2600</v>
      </c>
      <c r="U2669">
        <v>0</v>
      </c>
      <c r="V2669">
        <v>2600</v>
      </c>
      <c r="W2669">
        <v>1700</v>
      </c>
      <c r="X2669">
        <v>900</v>
      </c>
      <c r="Y2669" s="8">
        <v>0.34615384615384615</v>
      </c>
      <c r="Z2669" t="s">
        <v>2995</v>
      </c>
      <c r="AA2669" t="str">
        <f>IF(AND(SalesCleanTable[[#This Row],[Discount %]]&gt;0, SalesCleanTable[[#This Row],[Profit]]&lt;0), "Discount loss", "Safe")</f>
        <v>Safe</v>
      </c>
      <c r="AB2669" s="25">
        <f>(SalesCleanTable[[#This Row],[Unit Price]] - SalesCleanTable[[#This Row],[Unit Cost]]) / SalesCleanTable[[#This Row],[Unit Price]]</f>
        <v>0.34615384615384615</v>
      </c>
      <c r="AC2669" t="str">
        <f>IF(SalesCleanTable[[#This Row],[Discount %]] &gt; SalesCleanTable[[#This Row],[Max Allowed Discount]], "Discount loss", "Safe")</f>
        <v>Safe</v>
      </c>
      <c r="AD2669" s="4">
        <f>SalesCleanTable[[#This Row],[Unit Price]] - SalesCleanTable[[#This Row],[Unit Cost]]</f>
        <v>450</v>
      </c>
      <c r="AE2669" s="41">
        <f>(SalesCleanTable[[#This Row],[Unit Price]] - SalesCleanTable[[#This Row],[Unit Cost]]) / SalesCleanTable[[#This Row],[Unit Price]]</f>
        <v>0.34615384615384615</v>
      </c>
    </row>
    <row r="2670" spans="1:31">
      <c r="A2670" t="s">
        <v>2856</v>
      </c>
      <c r="B2670" s="6">
        <v>45838</v>
      </c>
      <c r="C2670" t="s">
        <v>78</v>
      </c>
      <c r="D2670" t="s">
        <v>79</v>
      </c>
      <c r="E2670" t="s">
        <v>75</v>
      </c>
      <c r="F2670" t="s">
        <v>80</v>
      </c>
      <c r="G2670" t="s">
        <v>81</v>
      </c>
      <c r="H2670" t="s">
        <v>153</v>
      </c>
      <c r="I2670" t="s">
        <v>154</v>
      </c>
      <c r="J2670" t="s">
        <v>155</v>
      </c>
      <c r="K2670" t="s">
        <v>131</v>
      </c>
      <c r="L2670" t="s">
        <v>183</v>
      </c>
      <c r="M2670" t="s">
        <v>167</v>
      </c>
      <c r="N2670">
        <v>3</v>
      </c>
      <c r="O2670" s="4">
        <v>1200</v>
      </c>
      <c r="P2670" s="4">
        <v>1900</v>
      </c>
      <c r="Q2670" s="7">
        <v>0.15</v>
      </c>
      <c r="R2670" t="s">
        <v>208</v>
      </c>
      <c r="S2670">
        <v>14</v>
      </c>
      <c r="T2670">
        <v>5700</v>
      </c>
      <c r="U2670">
        <v>855</v>
      </c>
      <c r="V2670">
        <v>4845</v>
      </c>
      <c r="W2670">
        <v>3600</v>
      </c>
      <c r="X2670">
        <v>1245</v>
      </c>
      <c r="Y2670" s="8">
        <v>0.25696594427244585</v>
      </c>
      <c r="Z2670" t="s">
        <v>2996</v>
      </c>
      <c r="AA2670" t="str">
        <f>IF(AND(SalesCleanTable[[#This Row],[Discount %]]&gt;0, SalesCleanTable[[#This Row],[Profit]]&lt;0), "Discount loss", "Safe")</f>
        <v>Safe</v>
      </c>
      <c r="AB2670" s="25">
        <f>(SalesCleanTable[[#This Row],[Unit Price]] - SalesCleanTable[[#This Row],[Unit Cost]]) / SalesCleanTable[[#This Row],[Unit Price]]</f>
        <v>0.36842105263157893</v>
      </c>
      <c r="AC2670" t="str">
        <f>IF(SalesCleanTable[[#This Row],[Discount %]] &gt; SalesCleanTable[[#This Row],[Max Allowed Discount]], "Discount loss", "Safe")</f>
        <v>Safe</v>
      </c>
      <c r="AD2670" s="4">
        <f>SalesCleanTable[[#This Row],[Unit Price]] - SalesCleanTable[[#This Row],[Unit Cost]]</f>
        <v>700</v>
      </c>
      <c r="AE2670" s="41">
        <f>(SalesCleanTable[[#This Row],[Unit Price]] - SalesCleanTable[[#This Row],[Unit Cost]]) / SalesCleanTable[[#This Row],[Unit Price]]</f>
        <v>0.36842105263157893</v>
      </c>
    </row>
    <row r="2671" spans="1:31">
      <c r="A2671" t="s">
        <v>2857</v>
      </c>
      <c r="B2671" s="6">
        <v>45818</v>
      </c>
      <c r="C2671" t="s">
        <v>41</v>
      </c>
      <c r="D2671" t="s">
        <v>42</v>
      </c>
      <c r="E2671" t="s">
        <v>26</v>
      </c>
      <c r="F2671" t="s">
        <v>43</v>
      </c>
      <c r="G2671" t="s">
        <v>44</v>
      </c>
      <c r="H2671" t="s">
        <v>128</v>
      </c>
      <c r="I2671" t="s">
        <v>129</v>
      </c>
      <c r="J2671" t="s">
        <v>130</v>
      </c>
      <c r="K2671" t="s">
        <v>131</v>
      </c>
      <c r="L2671" t="s">
        <v>166</v>
      </c>
      <c r="M2671" t="s">
        <v>186</v>
      </c>
      <c r="N2671">
        <v>4</v>
      </c>
      <c r="O2671" s="4">
        <v>850</v>
      </c>
      <c r="P2671" s="4">
        <v>1300</v>
      </c>
      <c r="Q2671" s="7">
        <v>0.05</v>
      </c>
      <c r="R2671" t="s">
        <v>173</v>
      </c>
      <c r="S2671">
        <v>10</v>
      </c>
      <c r="T2671">
        <v>5200</v>
      </c>
      <c r="U2671">
        <v>260</v>
      </c>
      <c r="V2671">
        <v>4940</v>
      </c>
      <c r="W2671">
        <v>3400</v>
      </c>
      <c r="X2671">
        <v>1540</v>
      </c>
      <c r="Y2671" s="8">
        <v>0.31174089068825911</v>
      </c>
      <c r="Z2671" t="s">
        <v>2995</v>
      </c>
      <c r="AA2671" t="str">
        <f>IF(AND(SalesCleanTable[[#This Row],[Discount %]]&gt;0, SalesCleanTable[[#This Row],[Profit]]&lt;0), "Discount loss", "Safe")</f>
        <v>Safe</v>
      </c>
      <c r="AB2671" s="25">
        <f>(SalesCleanTable[[#This Row],[Unit Price]] - SalesCleanTable[[#This Row],[Unit Cost]]) / SalesCleanTable[[#This Row],[Unit Price]]</f>
        <v>0.34615384615384615</v>
      </c>
      <c r="AC2671" t="str">
        <f>IF(SalesCleanTable[[#This Row],[Discount %]] &gt; SalesCleanTable[[#This Row],[Max Allowed Discount]], "Discount loss", "Safe")</f>
        <v>Safe</v>
      </c>
      <c r="AD2671" s="4">
        <f>SalesCleanTable[[#This Row],[Unit Price]] - SalesCleanTable[[#This Row],[Unit Cost]]</f>
        <v>450</v>
      </c>
      <c r="AE2671" s="41">
        <f>(SalesCleanTable[[#This Row],[Unit Price]] - SalesCleanTable[[#This Row],[Unit Cost]]) / SalesCleanTable[[#This Row],[Unit Price]]</f>
        <v>0.34615384615384615</v>
      </c>
    </row>
    <row r="2672" spans="1:31">
      <c r="A2672" t="s">
        <v>2858</v>
      </c>
      <c r="B2672" s="6">
        <v>45739</v>
      </c>
      <c r="C2672" t="s">
        <v>90</v>
      </c>
      <c r="D2672" t="s">
        <v>91</v>
      </c>
      <c r="E2672" t="s">
        <v>92</v>
      </c>
      <c r="F2672" t="s">
        <v>93</v>
      </c>
      <c r="G2672" t="s">
        <v>94</v>
      </c>
      <c r="H2672" t="s">
        <v>141</v>
      </c>
      <c r="I2672" t="s">
        <v>142</v>
      </c>
      <c r="J2672" t="s">
        <v>143</v>
      </c>
      <c r="K2672" t="s">
        <v>144</v>
      </c>
      <c r="L2672" t="s">
        <v>166</v>
      </c>
      <c r="M2672" t="s">
        <v>171</v>
      </c>
      <c r="N2672">
        <v>5</v>
      </c>
      <c r="O2672" s="4">
        <v>7500</v>
      </c>
      <c r="P2672" s="4">
        <v>10500</v>
      </c>
      <c r="Q2672" s="7">
        <v>0.2</v>
      </c>
      <c r="R2672" t="s">
        <v>217</v>
      </c>
      <c r="S2672">
        <v>5</v>
      </c>
      <c r="T2672">
        <v>52500</v>
      </c>
      <c r="U2672">
        <v>10500</v>
      </c>
      <c r="V2672">
        <v>42000</v>
      </c>
      <c r="W2672">
        <v>37500</v>
      </c>
      <c r="X2672">
        <v>4500</v>
      </c>
      <c r="Y2672" s="8">
        <v>0.10714285714285714</v>
      </c>
      <c r="Z2672" t="s">
        <v>2996</v>
      </c>
      <c r="AA2672" t="str">
        <f>IF(AND(SalesCleanTable[[#This Row],[Discount %]]&gt;0, SalesCleanTable[[#This Row],[Profit]]&lt;0), "Discount loss", "Safe")</f>
        <v>Safe</v>
      </c>
      <c r="AB2672" s="25">
        <f>(SalesCleanTable[[#This Row],[Unit Price]] - SalesCleanTable[[#This Row],[Unit Cost]]) / SalesCleanTable[[#This Row],[Unit Price]]</f>
        <v>0.2857142857142857</v>
      </c>
      <c r="AC2672" t="str">
        <f>IF(SalesCleanTable[[#This Row],[Discount %]] &gt; SalesCleanTable[[#This Row],[Max Allowed Discount]], "Discount loss", "Safe")</f>
        <v>Safe</v>
      </c>
      <c r="AD2672" s="4">
        <f>SalesCleanTable[[#This Row],[Unit Price]] - SalesCleanTable[[#This Row],[Unit Cost]]</f>
        <v>3000</v>
      </c>
      <c r="AE2672" s="41">
        <f>(SalesCleanTable[[#This Row],[Unit Price]] - SalesCleanTable[[#This Row],[Unit Cost]]) / SalesCleanTable[[#This Row],[Unit Price]]</f>
        <v>0.2857142857142857</v>
      </c>
    </row>
    <row r="2673" spans="1:31">
      <c r="A2673" t="s">
        <v>2859</v>
      </c>
      <c r="B2673" s="6">
        <v>45878</v>
      </c>
      <c r="C2673" t="s">
        <v>120</v>
      </c>
      <c r="D2673" t="s">
        <v>121</v>
      </c>
      <c r="E2673" t="s">
        <v>109</v>
      </c>
      <c r="F2673" t="s">
        <v>93</v>
      </c>
      <c r="G2673" t="s">
        <v>122</v>
      </c>
      <c r="H2673" t="s">
        <v>141</v>
      </c>
      <c r="I2673" t="s">
        <v>142</v>
      </c>
      <c r="J2673" t="s">
        <v>143</v>
      </c>
      <c r="K2673" t="s">
        <v>144</v>
      </c>
      <c r="L2673" t="s">
        <v>166</v>
      </c>
      <c r="M2673" t="s">
        <v>171</v>
      </c>
      <c r="N2673">
        <v>6</v>
      </c>
      <c r="O2673" s="4">
        <v>1700</v>
      </c>
      <c r="P2673" s="4">
        <v>2800</v>
      </c>
      <c r="Q2673" s="7">
        <v>0</v>
      </c>
      <c r="R2673" t="s">
        <v>220</v>
      </c>
      <c r="S2673">
        <v>6</v>
      </c>
      <c r="T2673">
        <v>16800</v>
      </c>
      <c r="U2673">
        <v>0</v>
      </c>
      <c r="V2673">
        <v>16800</v>
      </c>
      <c r="W2673">
        <v>10200</v>
      </c>
      <c r="X2673">
        <v>6600</v>
      </c>
      <c r="Y2673" s="8">
        <v>0.39285714285714285</v>
      </c>
      <c r="Z2673" t="s">
        <v>2997</v>
      </c>
      <c r="AA2673" t="str">
        <f>IF(AND(SalesCleanTable[[#This Row],[Discount %]]&gt;0, SalesCleanTable[[#This Row],[Profit]]&lt;0), "Discount loss", "Safe")</f>
        <v>Safe</v>
      </c>
      <c r="AB2673" s="25">
        <f>(SalesCleanTable[[#This Row],[Unit Price]] - SalesCleanTable[[#This Row],[Unit Cost]]) / SalesCleanTable[[#This Row],[Unit Price]]</f>
        <v>0.39285714285714285</v>
      </c>
      <c r="AC2673" t="str">
        <f>IF(SalesCleanTable[[#This Row],[Discount %]] &gt; SalesCleanTable[[#This Row],[Max Allowed Discount]], "Discount loss", "Safe")</f>
        <v>Safe</v>
      </c>
      <c r="AD2673" s="4">
        <f>SalesCleanTable[[#This Row],[Unit Price]] - SalesCleanTable[[#This Row],[Unit Cost]]</f>
        <v>1100</v>
      </c>
      <c r="AE2673" s="41">
        <f>(SalesCleanTable[[#This Row],[Unit Price]] - SalesCleanTable[[#This Row],[Unit Cost]]) / SalesCleanTable[[#This Row],[Unit Price]]</f>
        <v>0.39285714285714285</v>
      </c>
    </row>
    <row r="2674" spans="1:31">
      <c r="A2674" t="s">
        <v>2860</v>
      </c>
      <c r="B2674" s="6">
        <v>45842</v>
      </c>
      <c r="C2674" t="s">
        <v>120</v>
      </c>
      <c r="D2674" t="s">
        <v>121</v>
      </c>
      <c r="E2674" t="s">
        <v>109</v>
      </c>
      <c r="F2674" t="s">
        <v>93</v>
      </c>
      <c r="G2674" t="s">
        <v>122</v>
      </c>
      <c r="H2674" t="s">
        <v>128</v>
      </c>
      <c r="I2674" t="s">
        <v>129</v>
      </c>
      <c r="J2674" t="s">
        <v>130</v>
      </c>
      <c r="K2674" t="s">
        <v>131</v>
      </c>
      <c r="L2674" t="s">
        <v>166</v>
      </c>
      <c r="M2674" t="s">
        <v>171</v>
      </c>
      <c r="N2674">
        <v>1</v>
      </c>
      <c r="O2674" s="4">
        <v>1700</v>
      </c>
      <c r="P2674" s="4">
        <v>2800</v>
      </c>
      <c r="Q2674" s="7">
        <v>0.1</v>
      </c>
      <c r="R2674" t="s">
        <v>235</v>
      </c>
      <c r="S2674">
        <v>1</v>
      </c>
      <c r="T2674">
        <v>2800</v>
      </c>
      <c r="U2674">
        <v>280</v>
      </c>
      <c r="V2674">
        <v>2520</v>
      </c>
      <c r="W2674">
        <v>1700</v>
      </c>
      <c r="X2674">
        <v>820</v>
      </c>
      <c r="Y2674" s="8">
        <v>0.32539682539682541</v>
      </c>
      <c r="Z2674" t="s">
        <v>2997</v>
      </c>
      <c r="AA2674" t="str">
        <f>IF(AND(SalesCleanTable[[#This Row],[Discount %]]&gt;0, SalesCleanTable[[#This Row],[Profit]]&lt;0), "Discount loss", "Safe")</f>
        <v>Safe</v>
      </c>
      <c r="AB2674" s="25">
        <f>(SalesCleanTable[[#This Row],[Unit Price]] - SalesCleanTable[[#This Row],[Unit Cost]]) / SalesCleanTable[[#This Row],[Unit Price]]</f>
        <v>0.39285714285714285</v>
      </c>
      <c r="AC2674" t="str">
        <f>IF(SalesCleanTable[[#This Row],[Discount %]] &gt; SalesCleanTable[[#This Row],[Max Allowed Discount]], "Discount loss", "Safe")</f>
        <v>Safe</v>
      </c>
      <c r="AD2674" s="4">
        <f>SalesCleanTable[[#This Row],[Unit Price]] - SalesCleanTable[[#This Row],[Unit Cost]]</f>
        <v>1100</v>
      </c>
      <c r="AE2674" s="41">
        <f>(SalesCleanTable[[#This Row],[Unit Price]] - SalesCleanTable[[#This Row],[Unit Cost]]) / SalesCleanTable[[#This Row],[Unit Price]]</f>
        <v>0.39285714285714285</v>
      </c>
    </row>
    <row r="2675" spans="1:31">
      <c r="A2675" t="s">
        <v>2861</v>
      </c>
      <c r="B2675" s="6">
        <v>45801</v>
      </c>
      <c r="C2675" t="s">
        <v>36</v>
      </c>
      <c r="D2675" t="s">
        <v>37</v>
      </c>
      <c r="E2675" t="s">
        <v>38</v>
      </c>
      <c r="F2675" t="s">
        <v>39</v>
      </c>
      <c r="G2675" t="s">
        <v>40</v>
      </c>
      <c r="H2675" t="s">
        <v>153</v>
      </c>
      <c r="I2675" t="s">
        <v>154</v>
      </c>
      <c r="J2675" t="s">
        <v>155</v>
      </c>
      <c r="K2675" t="s">
        <v>131</v>
      </c>
      <c r="L2675" t="s">
        <v>166</v>
      </c>
      <c r="M2675" t="s">
        <v>186</v>
      </c>
      <c r="N2675">
        <v>3</v>
      </c>
      <c r="O2675" s="4">
        <v>1650</v>
      </c>
      <c r="P2675" s="4">
        <v>2200</v>
      </c>
      <c r="Q2675" s="7">
        <v>0</v>
      </c>
      <c r="R2675" t="s">
        <v>178</v>
      </c>
      <c r="S2675">
        <v>12</v>
      </c>
      <c r="T2675">
        <v>6600</v>
      </c>
      <c r="U2675">
        <v>0</v>
      </c>
      <c r="V2675">
        <v>6600</v>
      </c>
      <c r="W2675">
        <v>4950</v>
      </c>
      <c r="X2675">
        <v>1650</v>
      </c>
      <c r="Y2675" s="8">
        <v>0.25</v>
      </c>
      <c r="Z2675" t="s">
        <v>2995</v>
      </c>
      <c r="AA2675" t="str">
        <f>IF(AND(SalesCleanTable[[#This Row],[Discount %]]&gt;0, SalesCleanTable[[#This Row],[Profit]]&lt;0), "Discount loss", "Safe")</f>
        <v>Safe</v>
      </c>
      <c r="AB2675" s="25">
        <f>(SalesCleanTable[[#This Row],[Unit Price]] - SalesCleanTable[[#This Row],[Unit Cost]]) / SalesCleanTable[[#This Row],[Unit Price]]</f>
        <v>0.25</v>
      </c>
      <c r="AC2675" t="str">
        <f>IF(SalesCleanTable[[#This Row],[Discount %]] &gt; SalesCleanTable[[#This Row],[Max Allowed Discount]], "Discount loss", "Safe")</f>
        <v>Safe</v>
      </c>
      <c r="AD2675" s="4">
        <f>SalesCleanTable[[#This Row],[Unit Price]] - SalesCleanTable[[#This Row],[Unit Cost]]</f>
        <v>550</v>
      </c>
      <c r="AE2675" s="41">
        <f>(SalesCleanTable[[#This Row],[Unit Price]] - SalesCleanTable[[#This Row],[Unit Cost]]) / SalesCleanTable[[#This Row],[Unit Price]]</f>
        <v>0.25</v>
      </c>
    </row>
    <row r="2676" spans="1:31">
      <c r="A2676" t="s">
        <v>2862</v>
      </c>
      <c r="B2676" s="6">
        <v>45730</v>
      </c>
      <c r="C2676" t="s">
        <v>99</v>
      </c>
      <c r="D2676" t="s">
        <v>100</v>
      </c>
      <c r="E2676" t="s">
        <v>92</v>
      </c>
      <c r="F2676" t="s">
        <v>101</v>
      </c>
      <c r="G2676" t="s">
        <v>102</v>
      </c>
      <c r="H2676" t="s">
        <v>139</v>
      </c>
      <c r="I2676" t="s">
        <v>140</v>
      </c>
      <c r="J2676" t="s">
        <v>137</v>
      </c>
      <c r="K2676" t="s">
        <v>138</v>
      </c>
      <c r="L2676" t="s">
        <v>166</v>
      </c>
      <c r="M2676" t="s">
        <v>171</v>
      </c>
      <c r="N2676">
        <v>2</v>
      </c>
      <c r="O2676" s="4">
        <v>12500</v>
      </c>
      <c r="P2676" s="4">
        <v>18500</v>
      </c>
      <c r="Q2676" s="7">
        <v>0.15</v>
      </c>
      <c r="R2676" t="s">
        <v>215</v>
      </c>
      <c r="S2676">
        <v>1</v>
      </c>
      <c r="T2676">
        <v>37000</v>
      </c>
      <c r="U2676">
        <v>5550</v>
      </c>
      <c r="V2676">
        <v>31450</v>
      </c>
      <c r="W2676">
        <v>25000</v>
      </c>
      <c r="X2676">
        <v>6450</v>
      </c>
      <c r="Y2676" s="8">
        <v>0.20508744038155802</v>
      </c>
      <c r="Z2676" t="s">
        <v>2995</v>
      </c>
      <c r="AA2676" t="str">
        <f>IF(AND(SalesCleanTable[[#This Row],[Discount %]]&gt;0, SalesCleanTable[[#This Row],[Profit]]&lt;0), "Discount loss", "Safe")</f>
        <v>Safe</v>
      </c>
      <c r="AB2676" s="25">
        <f>(SalesCleanTable[[#This Row],[Unit Price]] - SalesCleanTable[[#This Row],[Unit Cost]]) / SalesCleanTable[[#This Row],[Unit Price]]</f>
        <v>0.32432432432432434</v>
      </c>
      <c r="AC2676" t="str">
        <f>IF(SalesCleanTable[[#This Row],[Discount %]] &gt; SalesCleanTable[[#This Row],[Max Allowed Discount]], "Discount loss", "Safe")</f>
        <v>Safe</v>
      </c>
      <c r="AD2676" s="4">
        <f>SalesCleanTable[[#This Row],[Unit Price]] - SalesCleanTable[[#This Row],[Unit Cost]]</f>
        <v>6000</v>
      </c>
      <c r="AE2676" s="41">
        <f>(SalesCleanTable[[#This Row],[Unit Price]] - SalesCleanTable[[#This Row],[Unit Cost]]) / SalesCleanTable[[#This Row],[Unit Price]]</f>
        <v>0.32432432432432434</v>
      </c>
    </row>
    <row r="2677" spans="1:31">
      <c r="A2677" t="s">
        <v>2863</v>
      </c>
      <c r="B2677" s="6">
        <v>45672</v>
      </c>
      <c r="C2677" t="s">
        <v>29</v>
      </c>
      <c r="D2677" t="s">
        <v>30</v>
      </c>
      <c r="E2677" t="s">
        <v>26</v>
      </c>
      <c r="F2677" t="s">
        <v>27</v>
      </c>
      <c r="G2677" t="s">
        <v>31</v>
      </c>
      <c r="H2677" t="s">
        <v>128</v>
      </c>
      <c r="I2677" t="s">
        <v>129</v>
      </c>
      <c r="J2677" t="s">
        <v>130</v>
      </c>
      <c r="K2677" t="s">
        <v>131</v>
      </c>
      <c r="L2677" t="s">
        <v>166</v>
      </c>
      <c r="M2677" t="s">
        <v>171</v>
      </c>
      <c r="N2677">
        <v>3</v>
      </c>
      <c r="O2677" s="4">
        <v>6200</v>
      </c>
      <c r="P2677" s="4">
        <v>7900</v>
      </c>
      <c r="Q2677" s="7">
        <v>0.05</v>
      </c>
      <c r="R2677" t="s">
        <v>173</v>
      </c>
      <c r="S2677">
        <v>12</v>
      </c>
      <c r="T2677">
        <v>23700</v>
      </c>
      <c r="U2677">
        <v>1185</v>
      </c>
      <c r="V2677">
        <v>22515</v>
      </c>
      <c r="W2677">
        <v>18600</v>
      </c>
      <c r="X2677">
        <v>3915</v>
      </c>
      <c r="Y2677" s="8">
        <v>0.17388407728181213</v>
      </c>
      <c r="Z2677" t="s">
        <v>2996</v>
      </c>
      <c r="AA2677" t="str">
        <f>IF(AND(SalesCleanTable[[#This Row],[Discount %]]&gt;0, SalesCleanTable[[#This Row],[Profit]]&lt;0), "Discount loss", "Safe")</f>
        <v>Safe</v>
      </c>
      <c r="AB2677" s="25">
        <f>(SalesCleanTable[[#This Row],[Unit Price]] - SalesCleanTable[[#This Row],[Unit Cost]]) / SalesCleanTable[[#This Row],[Unit Price]]</f>
        <v>0.21518987341772153</v>
      </c>
      <c r="AC2677" t="str">
        <f>IF(SalesCleanTable[[#This Row],[Discount %]] &gt; SalesCleanTable[[#This Row],[Max Allowed Discount]], "Discount loss", "Safe")</f>
        <v>Safe</v>
      </c>
      <c r="AD2677" s="4">
        <f>SalesCleanTable[[#This Row],[Unit Price]] - SalesCleanTable[[#This Row],[Unit Cost]]</f>
        <v>1700</v>
      </c>
      <c r="AE2677" s="41">
        <f>(SalesCleanTable[[#This Row],[Unit Price]] - SalesCleanTable[[#This Row],[Unit Cost]]) / SalesCleanTable[[#This Row],[Unit Price]]</f>
        <v>0.21518987341772153</v>
      </c>
    </row>
    <row r="2678" spans="1:31">
      <c r="A2678" t="s">
        <v>2864</v>
      </c>
      <c r="B2678" s="6">
        <v>45811</v>
      </c>
      <c r="C2678" t="s">
        <v>120</v>
      </c>
      <c r="D2678" t="s">
        <v>121</v>
      </c>
      <c r="E2678" t="s">
        <v>109</v>
      </c>
      <c r="F2678" t="s">
        <v>93</v>
      </c>
      <c r="G2678" t="s">
        <v>122</v>
      </c>
      <c r="H2678" t="s">
        <v>128</v>
      </c>
      <c r="I2678" t="s">
        <v>129</v>
      </c>
      <c r="J2678" t="s">
        <v>130</v>
      </c>
      <c r="K2678" t="s">
        <v>131</v>
      </c>
      <c r="L2678" t="s">
        <v>166</v>
      </c>
      <c r="M2678" t="s">
        <v>186</v>
      </c>
      <c r="N2678">
        <v>1</v>
      </c>
      <c r="O2678" s="4">
        <v>1700</v>
      </c>
      <c r="P2678" s="4">
        <v>2800</v>
      </c>
      <c r="Q2678" s="7">
        <v>0.15</v>
      </c>
      <c r="R2678" t="s">
        <v>235</v>
      </c>
      <c r="S2678">
        <v>3</v>
      </c>
      <c r="T2678">
        <v>2800</v>
      </c>
      <c r="U2678">
        <v>420</v>
      </c>
      <c r="V2678">
        <v>2380</v>
      </c>
      <c r="W2678">
        <v>1700</v>
      </c>
      <c r="X2678">
        <v>680</v>
      </c>
      <c r="Y2678" s="8">
        <v>0.2857142857142857</v>
      </c>
      <c r="Z2678" t="s">
        <v>2997</v>
      </c>
      <c r="AA2678" t="str">
        <f>IF(AND(SalesCleanTable[[#This Row],[Discount %]]&gt;0, SalesCleanTable[[#This Row],[Profit]]&lt;0), "Discount loss", "Safe")</f>
        <v>Safe</v>
      </c>
      <c r="AB2678" s="25">
        <f>(SalesCleanTable[[#This Row],[Unit Price]] - SalesCleanTable[[#This Row],[Unit Cost]]) / SalesCleanTable[[#This Row],[Unit Price]]</f>
        <v>0.39285714285714285</v>
      </c>
      <c r="AC2678" t="str">
        <f>IF(SalesCleanTable[[#This Row],[Discount %]] &gt; SalesCleanTable[[#This Row],[Max Allowed Discount]], "Discount loss", "Safe")</f>
        <v>Safe</v>
      </c>
      <c r="AD2678" s="4">
        <f>SalesCleanTable[[#This Row],[Unit Price]] - SalesCleanTable[[#This Row],[Unit Cost]]</f>
        <v>1100</v>
      </c>
      <c r="AE2678" s="41">
        <f>(SalesCleanTable[[#This Row],[Unit Price]] - SalesCleanTable[[#This Row],[Unit Cost]]) / SalesCleanTable[[#This Row],[Unit Price]]</f>
        <v>0.39285714285714285</v>
      </c>
    </row>
    <row r="2679" spans="1:31">
      <c r="A2679" t="s">
        <v>2865</v>
      </c>
      <c r="B2679" s="6">
        <v>45963</v>
      </c>
      <c r="C2679" t="s">
        <v>45</v>
      </c>
      <c r="D2679" t="s">
        <v>46</v>
      </c>
      <c r="E2679" t="s">
        <v>38</v>
      </c>
      <c r="F2679" t="s">
        <v>47</v>
      </c>
      <c r="G2679" t="s">
        <v>48</v>
      </c>
      <c r="H2679" t="s">
        <v>141</v>
      </c>
      <c r="I2679" t="s">
        <v>142</v>
      </c>
      <c r="J2679" t="s">
        <v>143</v>
      </c>
      <c r="K2679" t="s">
        <v>144</v>
      </c>
      <c r="L2679" t="s">
        <v>166</v>
      </c>
      <c r="M2679" t="s">
        <v>186</v>
      </c>
      <c r="N2679">
        <v>4</v>
      </c>
      <c r="O2679" s="4">
        <v>230</v>
      </c>
      <c r="P2679" s="4">
        <v>400</v>
      </c>
      <c r="Q2679" s="7">
        <v>0</v>
      </c>
      <c r="R2679" t="s">
        <v>175</v>
      </c>
      <c r="S2679">
        <v>4</v>
      </c>
      <c r="T2679">
        <v>1600</v>
      </c>
      <c r="U2679">
        <v>0</v>
      </c>
      <c r="V2679">
        <v>1600</v>
      </c>
      <c r="W2679">
        <v>920</v>
      </c>
      <c r="X2679">
        <v>680</v>
      </c>
      <c r="Y2679" s="8">
        <v>0.42499999999999999</v>
      </c>
      <c r="Z2679" t="s">
        <v>2995</v>
      </c>
      <c r="AA2679" t="str">
        <f>IF(AND(SalesCleanTable[[#This Row],[Discount %]]&gt;0, SalesCleanTable[[#This Row],[Profit]]&lt;0), "Discount loss", "Safe")</f>
        <v>Safe</v>
      </c>
      <c r="AB2679" s="25">
        <f>(SalesCleanTable[[#This Row],[Unit Price]] - SalesCleanTable[[#This Row],[Unit Cost]]) / SalesCleanTable[[#This Row],[Unit Price]]</f>
        <v>0.42499999999999999</v>
      </c>
      <c r="AC2679" t="str">
        <f>IF(SalesCleanTable[[#This Row],[Discount %]] &gt; SalesCleanTable[[#This Row],[Max Allowed Discount]], "Discount loss", "Safe")</f>
        <v>Safe</v>
      </c>
      <c r="AD2679" s="4">
        <f>SalesCleanTable[[#This Row],[Unit Price]] - SalesCleanTable[[#This Row],[Unit Cost]]</f>
        <v>170</v>
      </c>
      <c r="AE2679" s="41">
        <f>(SalesCleanTable[[#This Row],[Unit Price]] - SalesCleanTable[[#This Row],[Unit Cost]]) / SalesCleanTable[[#This Row],[Unit Price]]</f>
        <v>0.42499999999999999</v>
      </c>
    </row>
    <row r="2680" spans="1:31">
      <c r="A2680" t="s">
        <v>2866</v>
      </c>
      <c r="B2680" s="6">
        <v>45709</v>
      </c>
      <c r="C2680" t="s">
        <v>32</v>
      </c>
      <c r="D2680" t="s">
        <v>33</v>
      </c>
      <c r="E2680" t="s">
        <v>26</v>
      </c>
      <c r="F2680" t="s">
        <v>34</v>
      </c>
      <c r="G2680" t="s">
        <v>35</v>
      </c>
      <c r="H2680" t="s">
        <v>133</v>
      </c>
      <c r="I2680" t="s">
        <v>134</v>
      </c>
      <c r="J2680" t="s">
        <v>130</v>
      </c>
      <c r="K2680" t="s">
        <v>131</v>
      </c>
      <c r="L2680" t="s">
        <v>170</v>
      </c>
      <c r="M2680" t="s">
        <v>177</v>
      </c>
      <c r="N2680">
        <v>2</v>
      </c>
      <c r="O2680" s="4">
        <v>7800</v>
      </c>
      <c r="P2680" s="4">
        <v>9800</v>
      </c>
      <c r="Q2680" s="7">
        <v>0</v>
      </c>
      <c r="R2680" t="s">
        <v>194</v>
      </c>
      <c r="S2680">
        <v>3</v>
      </c>
      <c r="T2680">
        <v>19600</v>
      </c>
      <c r="U2680">
        <v>0</v>
      </c>
      <c r="V2680">
        <v>19600</v>
      </c>
      <c r="W2680">
        <v>15600</v>
      </c>
      <c r="X2680">
        <v>4000</v>
      </c>
      <c r="Y2680" s="8">
        <v>0.20408163265306123</v>
      </c>
      <c r="Z2680" t="s">
        <v>2995</v>
      </c>
      <c r="AA2680" t="str">
        <f>IF(AND(SalesCleanTable[[#This Row],[Discount %]]&gt;0, SalesCleanTable[[#This Row],[Profit]]&lt;0), "Discount loss", "Safe")</f>
        <v>Safe</v>
      </c>
      <c r="AB2680" s="25">
        <f>(SalesCleanTable[[#This Row],[Unit Price]] - SalesCleanTable[[#This Row],[Unit Cost]]) / SalesCleanTable[[#This Row],[Unit Price]]</f>
        <v>0.20408163265306123</v>
      </c>
      <c r="AC2680" t="str">
        <f>IF(SalesCleanTable[[#This Row],[Discount %]] &gt; SalesCleanTable[[#This Row],[Max Allowed Discount]], "Discount loss", "Safe")</f>
        <v>Safe</v>
      </c>
      <c r="AD2680" s="4">
        <f>SalesCleanTable[[#This Row],[Unit Price]] - SalesCleanTable[[#This Row],[Unit Cost]]</f>
        <v>2000</v>
      </c>
      <c r="AE2680" s="41">
        <f>(SalesCleanTable[[#This Row],[Unit Price]] - SalesCleanTable[[#This Row],[Unit Cost]]) / SalesCleanTable[[#This Row],[Unit Price]]</f>
        <v>0.20408163265306123</v>
      </c>
    </row>
    <row r="2681" spans="1:31">
      <c r="A2681" t="s">
        <v>2867</v>
      </c>
      <c r="B2681" s="6">
        <v>45793</v>
      </c>
      <c r="C2681" t="s">
        <v>36</v>
      </c>
      <c r="D2681" t="s">
        <v>37</v>
      </c>
      <c r="E2681" t="s">
        <v>38</v>
      </c>
      <c r="F2681" t="s">
        <v>39</v>
      </c>
      <c r="G2681" t="s">
        <v>40</v>
      </c>
      <c r="H2681" t="s">
        <v>135</v>
      </c>
      <c r="I2681" t="s">
        <v>136</v>
      </c>
      <c r="J2681" t="s">
        <v>137</v>
      </c>
      <c r="K2681" t="s">
        <v>138</v>
      </c>
      <c r="L2681" t="s">
        <v>183</v>
      </c>
      <c r="M2681" t="s">
        <v>186</v>
      </c>
      <c r="N2681">
        <v>4</v>
      </c>
      <c r="O2681" s="4">
        <v>1650</v>
      </c>
      <c r="P2681" s="4">
        <v>2200</v>
      </c>
      <c r="Q2681" s="7">
        <v>0.15</v>
      </c>
      <c r="R2681" t="s">
        <v>168</v>
      </c>
      <c r="S2681">
        <v>1</v>
      </c>
      <c r="T2681">
        <v>8800</v>
      </c>
      <c r="U2681">
        <v>1320</v>
      </c>
      <c r="V2681">
        <v>7480</v>
      </c>
      <c r="W2681">
        <v>6600</v>
      </c>
      <c r="X2681">
        <v>880</v>
      </c>
      <c r="Y2681" s="8">
        <v>0.11764705882352941</v>
      </c>
      <c r="Z2681" t="s">
        <v>2995</v>
      </c>
      <c r="AA2681" t="str">
        <f>IF(AND(SalesCleanTable[[#This Row],[Discount %]]&gt;0, SalesCleanTable[[#This Row],[Profit]]&lt;0), "Discount loss", "Safe")</f>
        <v>Safe</v>
      </c>
      <c r="AB2681" s="25">
        <f>(SalesCleanTable[[#This Row],[Unit Price]] - SalesCleanTable[[#This Row],[Unit Cost]]) / SalesCleanTable[[#This Row],[Unit Price]]</f>
        <v>0.25</v>
      </c>
      <c r="AC2681" t="str">
        <f>IF(SalesCleanTable[[#This Row],[Discount %]] &gt; SalesCleanTable[[#This Row],[Max Allowed Discount]], "Discount loss", "Safe")</f>
        <v>Safe</v>
      </c>
      <c r="AD2681" s="4">
        <f>SalesCleanTable[[#This Row],[Unit Price]] - SalesCleanTable[[#This Row],[Unit Cost]]</f>
        <v>550</v>
      </c>
      <c r="AE2681" s="41">
        <f>(SalesCleanTable[[#This Row],[Unit Price]] - SalesCleanTable[[#This Row],[Unit Cost]]) / SalesCleanTable[[#This Row],[Unit Price]]</f>
        <v>0.25</v>
      </c>
    </row>
    <row r="2682" spans="1:31">
      <c r="A2682" t="s">
        <v>2868</v>
      </c>
      <c r="B2682" s="6">
        <v>45911</v>
      </c>
      <c r="C2682" t="s">
        <v>41</v>
      </c>
      <c r="D2682" t="s">
        <v>42</v>
      </c>
      <c r="E2682" t="s">
        <v>26</v>
      </c>
      <c r="F2682" t="s">
        <v>43</v>
      </c>
      <c r="G2682" t="s">
        <v>44</v>
      </c>
      <c r="H2682" t="s">
        <v>133</v>
      </c>
      <c r="I2682" t="s">
        <v>134</v>
      </c>
      <c r="J2682" t="s">
        <v>130</v>
      </c>
      <c r="K2682" t="s">
        <v>131</v>
      </c>
      <c r="L2682" t="s">
        <v>166</v>
      </c>
      <c r="M2682" t="s">
        <v>171</v>
      </c>
      <c r="N2682">
        <v>4</v>
      </c>
      <c r="O2682" s="4">
        <v>850</v>
      </c>
      <c r="P2682" s="4">
        <v>1300</v>
      </c>
      <c r="Q2682" s="7">
        <v>0.05</v>
      </c>
      <c r="R2682" t="s">
        <v>194</v>
      </c>
      <c r="S2682">
        <v>11</v>
      </c>
      <c r="T2682">
        <v>5200</v>
      </c>
      <c r="U2682">
        <v>260</v>
      </c>
      <c r="V2682">
        <v>4940</v>
      </c>
      <c r="W2682">
        <v>3400</v>
      </c>
      <c r="X2682">
        <v>1540</v>
      </c>
      <c r="Y2682" s="8">
        <v>0.31174089068825911</v>
      </c>
      <c r="Z2682" t="s">
        <v>2995</v>
      </c>
      <c r="AA2682" t="str">
        <f>IF(AND(SalesCleanTable[[#This Row],[Discount %]]&gt;0, SalesCleanTable[[#This Row],[Profit]]&lt;0), "Discount loss", "Safe")</f>
        <v>Safe</v>
      </c>
      <c r="AB2682" s="25">
        <f>(SalesCleanTable[[#This Row],[Unit Price]] - SalesCleanTable[[#This Row],[Unit Cost]]) / SalesCleanTable[[#This Row],[Unit Price]]</f>
        <v>0.34615384615384615</v>
      </c>
      <c r="AC2682" t="str">
        <f>IF(SalesCleanTable[[#This Row],[Discount %]] &gt; SalesCleanTable[[#This Row],[Max Allowed Discount]], "Discount loss", "Safe")</f>
        <v>Safe</v>
      </c>
      <c r="AD2682" s="4">
        <f>SalesCleanTable[[#This Row],[Unit Price]] - SalesCleanTable[[#This Row],[Unit Cost]]</f>
        <v>450</v>
      </c>
      <c r="AE2682" s="41">
        <f>(SalesCleanTable[[#This Row],[Unit Price]] - SalesCleanTable[[#This Row],[Unit Cost]]) / SalesCleanTable[[#This Row],[Unit Price]]</f>
        <v>0.34615384615384615</v>
      </c>
    </row>
    <row r="2683" spans="1:31">
      <c r="A2683" t="s">
        <v>2869</v>
      </c>
      <c r="B2683" s="6">
        <v>45678</v>
      </c>
      <c r="C2683" t="s">
        <v>95</v>
      </c>
      <c r="D2683" t="s">
        <v>96</v>
      </c>
      <c r="E2683" t="s">
        <v>92</v>
      </c>
      <c r="F2683" t="s">
        <v>97</v>
      </c>
      <c r="G2683" t="s">
        <v>98</v>
      </c>
      <c r="H2683" t="s">
        <v>149</v>
      </c>
      <c r="I2683" t="s">
        <v>150</v>
      </c>
      <c r="J2683" t="s">
        <v>151</v>
      </c>
      <c r="K2683" t="s">
        <v>152</v>
      </c>
      <c r="L2683" t="s">
        <v>166</v>
      </c>
      <c r="M2683" t="s">
        <v>177</v>
      </c>
      <c r="N2683">
        <v>3</v>
      </c>
      <c r="O2683" s="4">
        <v>18000</v>
      </c>
      <c r="P2683" s="4">
        <v>24500</v>
      </c>
      <c r="Q2683" s="7">
        <v>0.1</v>
      </c>
      <c r="R2683" t="s">
        <v>215</v>
      </c>
      <c r="S2683">
        <v>5</v>
      </c>
      <c r="T2683">
        <v>73500</v>
      </c>
      <c r="U2683">
        <v>7350</v>
      </c>
      <c r="V2683">
        <v>66150</v>
      </c>
      <c r="W2683">
        <v>54000</v>
      </c>
      <c r="X2683">
        <v>12150</v>
      </c>
      <c r="Y2683" s="8">
        <v>0.18367346938775511</v>
      </c>
      <c r="Z2683" t="s">
        <v>2995</v>
      </c>
      <c r="AA2683" t="str">
        <f>IF(AND(SalesCleanTable[[#This Row],[Discount %]]&gt;0, SalesCleanTable[[#This Row],[Profit]]&lt;0), "Discount loss", "Safe")</f>
        <v>Safe</v>
      </c>
      <c r="AB2683" s="25">
        <f>(SalesCleanTable[[#This Row],[Unit Price]] - SalesCleanTable[[#This Row],[Unit Cost]]) / SalesCleanTable[[#This Row],[Unit Price]]</f>
        <v>0.26530612244897961</v>
      </c>
      <c r="AC2683" t="str">
        <f>IF(SalesCleanTable[[#This Row],[Discount %]] &gt; SalesCleanTable[[#This Row],[Max Allowed Discount]], "Discount loss", "Safe")</f>
        <v>Safe</v>
      </c>
      <c r="AD2683" s="4">
        <f>SalesCleanTable[[#This Row],[Unit Price]] - SalesCleanTable[[#This Row],[Unit Cost]]</f>
        <v>6500</v>
      </c>
      <c r="AE2683" s="41">
        <f>(SalesCleanTable[[#This Row],[Unit Price]] - SalesCleanTable[[#This Row],[Unit Cost]]) / SalesCleanTable[[#This Row],[Unit Price]]</f>
        <v>0.26530612244897961</v>
      </c>
    </row>
    <row r="2684" spans="1:31">
      <c r="A2684" t="s">
        <v>2870</v>
      </c>
      <c r="B2684" s="6">
        <v>45841</v>
      </c>
      <c r="C2684" t="s">
        <v>45</v>
      </c>
      <c r="D2684" t="s">
        <v>46</v>
      </c>
      <c r="E2684" t="s">
        <v>38</v>
      </c>
      <c r="F2684" t="s">
        <v>47</v>
      </c>
      <c r="G2684" t="s">
        <v>48</v>
      </c>
      <c r="H2684" t="s">
        <v>141</v>
      </c>
      <c r="I2684" t="s">
        <v>142</v>
      </c>
      <c r="J2684" t="s">
        <v>143</v>
      </c>
      <c r="K2684" t="s">
        <v>144</v>
      </c>
      <c r="L2684" t="s">
        <v>170</v>
      </c>
      <c r="M2684" t="s">
        <v>186</v>
      </c>
      <c r="N2684">
        <v>4</v>
      </c>
      <c r="O2684" s="4">
        <v>230</v>
      </c>
      <c r="P2684" s="4">
        <v>400</v>
      </c>
      <c r="Q2684" s="7">
        <v>0.1</v>
      </c>
      <c r="R2684" t="s">
        <v>175</v>
      </c>
      <c r="S2684">
        <v>3</v>
      </c>
      <c r="T2684">
        <v>1600</v>
      </c>
      <c r="U2684">
        <v>160</v>
      </c>
      <c r="V2684">
        <v>1440</v>
      </c>
      <c r="W2684">
        <v>920</v>
      </c>
      <c r="X2684">
        <v>520</v>
      </c>
      <c r="Y2684" s="8">
        <v>0.3611111111111111</v>
      </c>
      <c r="Z2684" t="s">
        <v>2995</v>
      </c>
      <c r="AA2684" t="str">
        <f>IF(AND(SalesCleanTable[[#This Row],[Discount %]]&gt;0, SalesCleanTable[[#This Row],[Profit]]&lt;0), "Discount loss", "Safe")</f>
        <v>Safe</v>
      </c>
      <c r="AB2684" s="25">
        <f>(SalesCleanTable[[#This Row],[Unit Price]] - SalesCleanTable[[#This Row],[Unit Cost]]) / SalesCleanTable[[#This Row],[Unit Price]]</f>
        <v>0.42499999999999999</v>
      </c>
      <c r="AC2684" t="str">
        <f>IF(SalesCleanTable[[#This Row],[Discount %]] &gt; SalesCleanTable[[#This Row],[Max Allowed Discount]], "Discount loss", "Safe")</f>
        <v>Safe</v>
      </c>
      <c r="AD2684" s="4">
        <f>SalesCleanTable[[#This Row],[Unit Price]] - SalesCleanTable[[#This Row],[Unit Cost]]</f>
        <v>170</v>
      </c>
      <c r="AE2684" s="41">
        <f>(SalesCleanTable[[#This Row],[Unit Price]] - SalesCleanTable[[#This Row],[Unit Cost]]) / SalesCleanTable[[#This Row],[Unit Price]]</f>
        <v>0.42499999999999999</v>
      </c>
    </row>
    <row r="2685" spans="1:31">
      <c r="A2685" t="s">
        <v>2871</v>
      </c>
      <c r="B2685" s="6">
        <v>45713</v>
      </c>
      <c r="C2685" t="s">
        <v>49</v>
      </c>
      <c r="D2685" t="s">
        <v>50</v>
      </c>
      <c r="E2685" t="s">
        <v>38</v>
      </c>
      <c r="F2685" t="s">
        <v>51</v>
      </c>
      <c r="G2685" t="s">
        <v>52</v>
      </c>
      <c r="H2685" t="s">
        <v>133</v>
      </c>
      <c r="I2685" t="s">
        <v>134</v>
      </c>
      <c r="J2685" t="s">
        <v>130</v>
      </c>
      <c r="K2685" t="s">
        <v>131</v>
      </c>
      <c r="L2685" t="s">
        <v>170</v>
      </c>
      <c r="M2685" t="s">
        <v>177</v>
      </c>
      <c r="N2685">
        <v>2</v>
      </c>
      <c r="O2685" s="4">
        <v>550</v>
      </c>
      <c r="P2685" s="4">
        <v>850</v>
      </c>
      <c r="Q2685" s="7">
        <v>0.05</v>
      </c>
      <c r="R2685" t="s">
        <v>178</v>
      </c>
      <c r="S2685">
        <v>11</v>
      </c>
      <c r="T2685">
        <v>1700</v>
      </c>
      <c r="U2685">
        <v>85</v>
      </c>
      <c r="V2685">
        <v>1615</v>
      </c>
      <c r="W2685">
        <v>1100</v>
      </c>
      <c r="X2685">
        <v>515</v>
      </c>
      <c r="Y2685" s="8">
        <v>0.31888544891640869</v>
      </c>
      <c r="Z2685" t="s">
        <v>2996</v>
      </c>
      <c r="AA2685" t="str">
        <f>IF(AND(SalesCleanTable[[#This Row],[Discount %]]&gt;0, SalesCleanTable[[#This Row],[Profit]]&lt;0), "Discount loss", "Safe")</f>
        <v>Safe</v>
      </c>
      <c r="AB2685" s="25">
        <f>(SalesCleanTable[[#This Row],[Unit Price]] - SalesCleanTable[[#This Row],[Unit Cost]]) / SalesCleanTable[[#This Row],[Unit Price]]</f>
        <v>0.35294117647058826</v>
      </c>
      <c r="AC2685" t="str">
        <f>IF(SalesCleanTable[[#This Row],[Discount %]] &gt; SalesCleanTable[[#This Row],[Max Allowed Discount]], "Discount loss", "Safe")</f>
        <v>Safe</v>
      </c>
      <c r="AD2685" s="4">
        <f>SalesCleanTable[[#This Row],[Unit Price]] - SalesCleanTable[[#This Row],[Unit Cost]]</f>
        <v>300</v>
      </c>
      <c r="AE2685" s="41">
        <f>(SalesCleanTable[[#This Row],[Unit Price]] - SalesCleanTable[[#This Row],[Unit Cost]]) / SalesCleanTable[[#This Row],[Unit Price]]</f>
        <v>0.35294117647058826</v>
      </c>
    </row>
    <row r="2686" spans="1:31">
      <c r="A2686" t="s">
        <v>2872</v>
      </c>
      <c r="B2686" s="6">
        <v>45901</v>
      </c>
      <c r="C2686" t="s">
        <v>49</v>
      </c>
      <c r="D2686" t="s">
        <v>50</v>
      </c>
      <c r="E2686" t="s">
        <v>38</v>
      </c>
      <c r="F2686" t="s">
        <v>51</v>
      </c>
      <c r="G2686" t="s">
        <v>52</v>
      </c>
      <c r="H2686" t="s">
        <v>135</v>
      </c>
      <c r="I2686" t="s">
        <v>136</v>
      </c>
      <c r="J2686" t="s">
        <v>137</v>
      </c>
      <c r="K2686" t="s">
        <v>138</v>
      </c>
      <c r="L2686" t="s">
        <v>166</v>
      </c>
      <c r="M2686" t="s">
        <v>186</v>
      </c>
      <c r="N2686">
        <v>4</v>
      </c>
      <c r="O2686" s="4">
        <v>550</v>
      </c>
      <c r="P2686" s="4">
        <v>850</v>
      </c>
      <c r="Q2686" s="7">
        <v>0.15</v>
      </c>
      <c r="R2686" t="s">
        <v>178</v>
      </c>
      <c r="S2686">
        <v>3</v>
      </c>
      <c r="T2686">
        <v>3400</v>
      </c>
      <c r="U2686">
        <v>510</v>
      </c>
      <c r="V2686">
        <v>2890</v>
      </c>
      <c r="W2686">
        <v>2200</v>
      </c>
      <c r="X2686">
        <v>690</v>
      </c>
      <c r="Y2686" s="8">
        <v>0.23875432525951557</v>
      </c>
      <c r="Z2686" t="s">
        <v>2996</v>
      </c>
      <c r="AA2686" t="str">
        <f>IF(AND(SalesCleanTable[[#This Row],[Discount %]]&gt;0, SalesCleanTable[[#This Row],[Profit]]&lt;0), "Discount loss", "Safe")</f>
        <v>Safe</v>
      </c>
      <c r="AB2686" s="25">
        <f>(SalesCleanTable[[#This Row],[Unit Price]] - SalesCleanTable[[#This Row],[Unit Cost]]) / SalesCleanTable[[#This Row],[Unit Price]]</f>
        <v>0.35294117647058826</v>
      </c>
      <c r="AC2686" t="str">
        <f>IF(SalesCleanTable[[#This Row],[Discount %]] &gt; SalesCleanTable[[#This Row],[Max Allowed Discount]], "Discount loss", "Safe")</f>
        <v>Safe</v>
      </c>
      <c r="AD2686" s="4">
        <f>SalesCleanTable[[#This Row],[Unit Price]] - SalesCleanTable[[#This Row],[Unit Cost]]</f>
        <v>300</v>
      </c>
      <c r="AE2686" s="41">
        <f>(SalesCleanTable[[#This Row],[Unit Price]] - SalesCleanTable[[#This Row],[Unit Cost]]) / SalesCleanTable[[#This Row],[Unit Price]]</f>
        <v>0.35294117647058826</v>
      </c>
    </row>
    <row r="2687" spans="1:31">
      <c r="A2687" t="s">
        <v>2873</v>
      </c>
      <c r="B2687" s="6">
        <v>45672</v>
      </c>
      <c r="C2687" t="s">
        <v>57</v>
      </c>
      <c r="D2687" t="s">
        <v>58</v>
      </c>
      <c r="E2687" t="s">
        <v>59</v>
      </c>
      <c r="F2687" t="s">
        <v>60</v>
      </c>
      <c r="G2687" t="s">
        <v>61</v>
      </c>
      <c r="H2687" t="s">
        <v>139</v>
      </c>
      <c r="I2687" t="s">
        <v>140</v>
      </c>
      <c r="J2687" t="s">
        <v>137</v>
      </c>
      <c r="K2687" t="s">
        <v>138</v>
      </c>
      <c r="L2687" t="s">
        <v>166</v>
      </c>
      <c r="M2687" t="s">
        <v>177</v>
      </c>
      <c r="N2687">
        <v>3</v>
      </c>
      <c r="O2687" s="4">
        <v>2400</v>
      </c>
      <c r="P2687" s="4">
        <v>3400</v>
      </c>
      <c r="Q2687" s="7">
        <v>0.15</v>
      </c>
      <c r="R2687" t="s">
        <v>173</v>
      </c>
      <c r="S2687">
        <v>10</v>
      </c>
      <c r="T2687">
        <v>10200</v>
      </c>
      <c r="U2687">
        <v>1530</v>
      </c>
      <c r="V2687">
        <v>8670</v>
      </c>
      <c r="W2687">
        <v>7200</v>
      </c>
      <c r="X2687">
        <v>1470</v>
      </c>
      <c r="Y2687" s="8">
        <v>0.16955017301038061</v>
      </c>
      <c r="Z2687" t="s">
        <v>2996</v>
      </c>
      <c r="AA2687" t="str">
        <f>IF(AND(SalesCleanTable[[#This Row],[Discount %]]&gt;0, SalesCleanTable[[#This Row],[Profit]]&lt;0), "Discount loss", "Safe")</f>
        <v>Safe</v>
      </c>
      <c r="AB2687" s="25">
        <f>(SalesCleanTable[[#This Row],[Unit Price]] - SalesCleanTable[[#This Row],[Unit Cost]]) / SalesCleanTable[[#This Row],[Unit Price]]</f>
        <v>0.29411764705882354</v>
      </c>
      <c r="AC2687" t="str">
        <f>IF(SalesCleanTable[[#This Row],[Discount %]] &gt; SalesCleanTable[[#This Row],[Max Allowed Discount]], "Discount loss", "Safe")</f>
        <v>Safe</v>
      </c>
      <c r="AD2687" s="4">
        <f>SalesCleanTable[[#This Row],[Unit Price]] - SalesCleanTable[[#This Row],[Unit Cost]]</f>
        <v>1000</v>
      </c>
      <c r="AE2687" s="41">
        <f>(SalesCleanTable[[#This Row],[Unit Price]] - SalesCleanTable[[#This Row],[Unit Cost]]) / SalesCleanTable[[#This Row],[Unit Price]]</f>
        <v>0.29411764705882354</v>
      </c>
    </row>
    <row r="2688" spans="1:31">
      <c r="A2688" t="s">
        <v>2874</v>
      </c>
      <c r="B2688" s="6">
        <v>45875</v>
      </c>
      <c r="C2688" t="s">
        <v>62</v>
      </c>
      <c r="D2688" t="s">
        <v>63</v>
      </c>
      <c r="E2688" t="s">
        <v>59</v>
      </c>
      <c r="F2688" t="s">
        <v>64</v>
      </c>
      <c r="G2688" t="s">
        <v>65</v>
      </c>
      <c r="H2688" t="s">
        <v>128</v>
      </c>
      <c r="I2688" t="s">
        <v>129</v>
      </c>
      <c r="J2688" t="s">
        <v>130</v>
      </c>
      <c r="K2688" t="s">
        <v>131</v>
      </c>
      <c r="L2688" t="s">
        <v>183</v>
      </c>
      <c r="M2688" t="s">
        <v>167</v>
      </c>
      <c r="N2688">
        <v>5</v>
      </c>
      <c r="O2688" s="4">
        <v>3200</v>
      </c>
      <c r="P2688" s="4">
        <v>4500</v>
      </c>
      <c r="Q2688" s="7">
        <v>0</v>
      </c>
      <c r="R2688" t="s">
        <v>173</v>
      </c>
      <c r="S2688">
        <v>10</v>
      </c>
      <c r="T2688">
        <v>22500</v>
      </c>
      <c r="U2688">
        <v>0</v>
      </c>
      <c r="V2688">
        <v>22500</v>
      </c>
      <c r="W2688">
        <v>16000</v>
      </c>
      <c r="X2688">
        <v>6500</v>
      </c>
      <c r="Y2688" s="8">
        <v>0.28888888888888886</v>
      </c>
      <c r="Z2688" t="s">
        <v>2996</v>
      </c>
      <c r="AA2688" t="str">
        <f>IF(AND(SalesCleanTable[[#This Row],[Discount %]]&gt;0, SalesCleanTable[[#This Row],[Profit]]&lt;0), "Discount loss", "Safe")</f>
        <v>Safe</v>
      </c>
      <c r="AB2688" s="25">
        <f>(SalesCleanTable[[#This Row],[Unit Price]] - SalesCleanTable[[#This Row],[Unit Cost]]) / SalesCleanTable[[#This Row],[Unit Price]]</f>
        <v>0.28888888888888886</v>
      </c>
      <c r="AC2688" t="str">
        <f>IF(SalesCleanTable[[#This Row],[Discount %]] &gt; SalesCleanTable[[#This Row],[Max Allowed Discount]], "Discount loss", "Safe")</f>
        <v>Safe</v>
      </c>
      <c r="AD2688" s="4">
        <f>SalesCleanTable[[#This Row],[Unit Price]] - SalesCleanTable[[#This Row],[Unit Cost]]</f>
        <v>1300</v>
      </c>
      <c r="AE2688" s="41">
        <f>(SalesCleanTable[[#This Row],[Unit Price]] - SalesCleanTable[[#This Row],[Unit Cost]]) / SalesCleanTable[[#This Row],[Unit Price]]</f>
        <v>0.28888888888888886</v>
      </c>
    </row>
    <row r="2689" spans="1:31">
      <c r="A2689" t="s">
        <v>2875</v>
      </c>
      <c r="B2689" s="6">
        <v>45695</v>
      </c>
      <c r="C2689" t="s">
        <v>53</v>
      </c>
      <c r="D2689" t="s">
        <v>54</v>
      </c>
      <c r="E2689" t="s">
        <v>38</v>
      </c>
      <c r="F2689" t="s">
        <v>55</v>
      </c>
      <c r="G2689" t="s">
        <v>56</v>
      </c>
      <c r="H2689" t="s">
        <v>139</v>
      </c>
      <c r="I2689" t="s">
        <v>140</v>
      </c>
      <c r="J2689" t="s">
        <v>137</v>
      </c>
      <c r="K2689" t="s">
        <v>138</v>
      </c>
      <c r="L2689" t="s">
        <v>183</v>
      </c>
      <c r="M2689" t="s">
        <v>171</v>
      </c>
      <c r="N2689">
        <v>1</v>
      </c>
      <c r="O2689" s="4">
        <v>330</v>
      </c>
      <c r="P2689" s="4">
        <v>550</v>
      </c>
      <c r="Q2689" s="7">
        <v>0.05</v>
      </c>
      <c r="R2689" t="s">
        <v>168</v>
      </c>
      <c r="S2689">
        <v>9</v>
      </c>
      <c r="T2689">
        <v>550</v>
      </c>
      <c r="U2689">
        <v>27.5</v>
      </c>
      <c r="V2689">
        <v>522.5</v>
      </c>
      <c r="W2689">
        <v>330</v>
      </c>
      <c r="X2689">
        <v>192.5</v>
      </c>
      <c r="Y2689" s="8">
        <v>0.36842105263157893</v>
      </c>
      <c r="Z2689" t="s">
        <v>2996</v>
      </c>
      <c r="AA2689" t="str">
        <f>IF(AND(SalesCleanTable[[#This Row],[Discount %]]&gt;0, SalesCleanTable[[#This Row],[Profit]]&lt;0), "Discount loss", "Safe")</f>
        <v>Safe</v>
      </c>
      <c r="AB2689" s="25">
        <f>(SalesCleanTable[[#This Row],[Unit Price]] - SalesCleanTable[[#This Row],[Unit Cost]]) / SalesCleanTable[[#This Row],[Unit Price]]</f>
        <v>0.4</v>
      </c>
      <c r="AC2689" t="str">
        <f>IF(SalesCleanTable[[#This Row],[Discount %]] &gt; SalesCleanTable[[#This Row],[Max Allowed Discount]], "Discount loss", "Safe")</f>
        <v>Safe</v>
      </c>
      <c r="AD2689" s="4">
        <f>SalesCleanTable[[#This Row],[Unit Price]] - SalesCleanTable[[#This Row],[Unit Cost]]</f>
        <v>220</v>
      </c>
      <c r="AE2689" s="41">
        <f>(SalesCleanTable[[#This Row],[Unit Price]] - SalesCleanTable[[#This Row],[Unit Cost]]) / SalesCleanTable[[#This Row],[Unit Price]]</f>
        <v>0.4</v>
      </c>
    </row>
    <row r="2690" spans="1:31">
      <c r="A2690" t="s">
        <v>2876</v>
      </c>
      <c r="B2690" s="6">
        <v>45722</v>
      </c>
      <c r="C2690" t="s">
        <v>112</v>
      </c>
      <c r="D2690" t="s">
        <v>113</v>
      </c>
      <c r="E2690" t="s">
        <v>109</v>
      </c>
      <c r="F2690" t="s">
        <v>114</v>
      </c>
      <c r="G2690" t="s">
        <v>115</v>
      </c>
      <c r="H2690" t="s">
        <v>145</v>
      </c>
      <c r="I2690" t="s">
        <v>146</v>
      </c>
      <c r="J2690" t="s">
        <v>147</v>
      </c>
      <c r="K2690" t="s">
        <v>148</v>
      </c>
      <c r="L2690" t="s">
        <v>183</v>
      </c>
      <c r="M2690" t="s">
        <v>171</v>
      </c>
      <c r="N2690">
        <v>2</v>
      </c>
      <c r="O2690" s="4">
        <v>1300</v>
      </c>
      <c r="P2690" s="4">
        <v>2100</v>
      </c>
      <c r="Q2690" s="7">
        <v>0</v>
      </c>
      <c r="R2690" t="s">
        <v>235</v>
      </c>
      <c r="S2690">
        <v>5</v>
      </c>
      <c r="T2690">
        <v>4200</v>
      </c>
      <c r="U2690">
        <v>0</v>
      </c>
      <c r="V2690">
        <v>4200</v>
      </c>
      <c r="W2690">
        <v>2600</v>
      </c>
      <c r="X2690">
        <v>1600</v>
      </c>
      <c r="Y2690" s="8">
        <v>0.38095238095238093</v>
      </c>
      <c r="Z2690" t="s">
        <v>2995</v>
      </c>
      <c r="AA2690" t="str">
        <f>IF(AND(SalesCleanTable[[#This Row],[Discount %]]&gt;0, SalesCleanTable[[#This Row],[Profit]]&lt;0), "Discount loss", "Safe")</f>
        <v>Safe</v>
      </c>
      <c r="AB2690" s="25">
        <f>(SalesCleanTable[[#This Row],[Unit Price]] - SalesCleanTable[[#This Row],[Unit Cost]]) / SalesCleanTable[[#This Row],[Unit Price]]</f>
        <v>0.38095238095238093</v>
      </c>
      <c r="AC2690" t="str">
        <f>IF(SalesCleanTable[[#This Row],[Discount %]] &gt; SalesCleanTable[[#This Row],[Max Allowed Discount]], "Discount loss", "Safe")</f>
        <v>Safe</v>
      </c>
      <c r="AD2690" s="4">
        <f>SalesCleanTable[[#This Row],[Unit Price]] - SalesCleanTable[[#This Row],[Unit Cost]]</f>
        <v>800</v>
      </c>
      <c r="AE2690" s="41">
        <f>(SalesCleanTable[[#This Row],[Unit Price]] - SalesCleanTable[[#This Row],[Unit Cost]]) / SalesCleanTable[[#This Row],[Unit Price]]</f>
        <v>0.38095238095238093</v>
      </c>
    </row>
    <row r="2691" spans="1:31">
      <c r="A2691" t="s">
        <v>2877</v>
      </c>
      <c r="B2691" s="6">
        <v>45929</v>
      </c>
      <c r="C2691" t="s">
        <v>112</v>
      </c>
      <c r="D2691" t="s">
        <v>113</v>
      </c>
      <c r="E2691" t="s">
        <v>109</v>
      </c>
      <c r="F2691" t="s">
        <v>114</v>
      </c>
      <c r="G2691" t="s">
        <v>115</v>
      </c>
      <c r="H2691" t="s">
        <v>139</v>
      </c>
      <c r="I2691" t="s">
        <v>140</v>
      </c>
      <c r="J2691" t="s">
        <v>137</v>
      </c>
      <c r="K2691" t="s">
        <v>138</v>
      </c>
      <c r="L2691" t="s">
        <v>183</v>
      </c>
      <c r="M2691" t="s">
        <v>177</v>
      </c>
      <c r="N2691">
        <v>1</v>
      </c>
      <c r="O2691" s="4">
        <v>1300</v>
      </c>
      <c r="P2691" s="4">
        <v>2100</v>
      </c>
      <c r="Q2691" s="7">
        <v>0.05</v>
      </c>
      <c r="R2691" t="s">
        <v>220</v>
      </c>
      <c r="S2691">
        <v>11</v>
      </c>
      <c r="T2691">
        <v>2100</v>
      </c>
      <c r="U2691">
        <v>105</v>
      </c>
      <c r="V2691">
        <v>1995</v>
      </c>
      <c r="W2691">
        <v>1300</v>
      </c>
      <c r="X2691">
        <v>695</v>
      </c>
      <c r="Y2691" s="8">
        <v>0.34837092731829572</v>
      </c>
      <c r="Z2691" t="s">
        <v>2995</v>
      </c>
      <c r="AA2691" t="str">
        <f>IF(AND(SalesCleanTable[[#This Row],[Discount %]]&gt;0, SalesCleanTable[[#This Row],[Profit]]&lt;0), "Discount loss", "Safe")</f>
        <v>Safe</v>
      </c>
      <c r="AB2691" s="25">
        <f>(SalesCleanTable[[#This Row],[Unit Price]] - SalesCleanTable[[#This Row],[Unit Cost]]) / SalesCleanTable[[#This Row],[Unit Price]]</f>
        <v>0.38095238095238093</v>
      </c>
      <c r="AC2691" t="str">
        <f>IF(SalesCleanTable[[#This Row],[Discount %]] &gt; SalesCleanTable[[#This Row],[Max Allowed Discount]], "Discount loss", "Safe")</f>
        <v>Safe</v>
      </c>
      <c r="AD2691" s="4">
        <f>SalesCleanTable[[#This Row],[Unit Price]] - SalesCleanTable[[#This Row],[Unit Cost]]</f>
        <v>800</v>
      </c>
      <c r="AE2691" s="41">
        <f>(SalesCleanTable[[#This Row],[Unit Price]] - SalesCleanTable[[#This Row],[Unit Cost]]) / SalesCleanTable[[#This Row],[Unit Price]]</f>
        <v>0.38095238095238093</v>
      </c>
    </row>
    <row r="2692" spans="1:31">
      <c r="A2692" t="s">
        <v>2878</v>
      </c>
      <c r="B2692" s="6">
        <v>45732</v>
      </c>
      <c r="C2692" t="s">
        <v>49</v>
      </c>
      <c r="D2692" t="s">
        <v>50</v>
      </c>
      <c r="E2692" t="s">
        <v>38</v>
      </c>
      <c r="F2692" t="s">
        <v>51</v>
      </c>
      <c r="G2692" t="s">
        <v>52</v>
      </c>
      <c r="H2692" t="s">
        <v>149</v>
      </c>
      <c r="I2692" t="s">
        <v>150</v>
      </c>
      <c r="J2692" t="s">
        <v>151</v>
      </c>
      <c r="K2692" t="s">
        <v>152</v>
      </c>
      <c r="L2692" t="s">
        <v>183</v>
      </c>
      <c r="M2692" t="s">
        <v>177</v>
      </c>
      <c r="N2692">
        <v>2</v>
      </c>
      <c r="O2692" s="4">
        <v>550</v>
      </c>
      <c r="P2692" s="4">
        <v>850</v>
      </c>
      <c r="Q2692" s="7">
        <v>0.05</v>
      </c>
      <c r="R2692" t="s">
        <v>178</v>
      </c>
      <c r="S2692">
        <v>13</v>
      </c>
      <c r="T2692">
        <v>1700</v>
      </c>
      <c r="U2692">
        <v>85</v>
      </c>
      <c r="V2692">
        <v>1615</v>
      </c>
      <c r="W2692">
        <v>1100</v>
      </c>
      <c r="X2692">
        <v>515</v>
      </c>
      <c r="Y2692" s="8">
        <v>0.31888544891640869</v>
      </c>
      <c r="Z2692" t="s">
        <v>2996</v>
      </c>
      <c r="AA2692" t="str">
        <f>IF(AND(SalesCleanTable[[#This Row],[Discount %]]&gt;0, SalesCleanTable[[#This Row],[Profit]]&lt;0), "Discount loss", "Safe")</f>
        <v>Safe</v>
      </c>
      <c r="AB2692" s="25">
        <f>(SalesCleanTable[[#This Row],[Unit Price]] - SalesCleanTable[[#This Row],[Unit Cost]]) / SalesCleanTable[[#This Row],[Unit Price]]</f>
        <v>0.35294117647058826</v>
      </c>
      <c r="AC2692" t="str">
        <f>IF(SalesCleanTable[[#This Row],[Discount %]] &gt; SalesCleanTable[[#This Row],[Max Allowed Discount]], "Discount loss", "Safe")</f>
        <v>Safe</v>
      </c>
      <c r="AD2692" s="4">
        <f>SalesCleanTable[[#This Row],[Unit Price]] - SalesCleanTable[[#This Row],[Unit Cost]]</f>
        <v>300</v>
      </c>
      <c r="AE2692" s="41">
        <f>(SalesCleanTable[[#This Row],[Unit Price]] - SalesCleanTable[[#This Row],[Unit Cost]]) / SalesCleanTable[[#This Row],[Unit Price]]</f>
        <v>0.35294117647058826</v>
      </c>
    </row>
    <row r="2693" spans="1:31">
      <c r="A2693" t="s">
        <v>2879</v>
      </c>
      <c r="B2693" s="6">
        <v>45712</v>
      </c>
      <c r="C2693" t="s">
        <v>41</v>
      </c>
      <c r="D2693" t="s">
        <v>42</v>
      </c>
      <c r="E2693" t="s">
        <v>26</v>
      </c>
      <c r="F2693" t="s">
        <v>43</v>
      </c>
      <c r="G2693" t="s">
        <v>44</v>
      </c>
      <c r="H2693" t="s">
        <v>128</v>
      </c>
      <c r="I2693" t="s">
        <v>129</v>
      </c>
      <c r="J2693" t="s">
        <v>130</v>
      </c>
      <c r="K2693" t="s">
        <v>131</v>
      </c>
      <c r="L2693" t="s">
        <v>166</v>
      </c>
      <c r="M2693" t="s">
        <v>177</v>
      </c>
      <c r="N2693">
        <v>2</v>
      </c>
      <c r="O2693" s="4">
        <v>850</v>
      </c>
      <c r="P2693" s="4">
        <v>1300</v>
      </c>
      <c r="Q2693" s="7">
        <v>0.05</v>
      </c>
      <c r="R2693" t="s">
        <v>173</v>
      </c>
      <c r="S2693">
        <v>2</v>
      </c>
      <c r="T2693">
        <v>2600</v>
      </c>
      <c r="U2693">
        <v>130</v>
      </c>
      <c r="V2693">
        <v>2470</v>
      </c>
      <c r="W2693">
        <v>1700</v>
      </c>
      <c r="X2693">
        <v>770</v>
      </c>
      <c r="Y2693" s="8">
        <v>0.31174089068825911</v>
      </c>
      <c r="Z2693" t="s">
        <v>2995</v>
      </c>
      <c r="AA2693" t="str">
        <f>IF(AND(SalesCleanTable[[#This Row],[Discount %]]&gt;0, SalesCleanTable[[#This Row],[Profit]]&lt;0), "Discount loss", "Safe")</f>
        <v>Safe</v>
      </c>
      <c r="AB2693" s="25">
        <f>(SalesCleanTable[[#This Row],[Unit Price]] - SalesCleanTable[[#This Row],[Unit Cost]]) / SalesCleanTable[[#This Row],[Unit Price]]</f>
        <v>0.34615384615384615</v>
      </c>
      <c r="AC2693" t="str">
        <f>IF(SalesCleanTable[[#This Row],[Discount %]] &gt; SalesCleanTable[[#This Row],[Max Allowed Discount]], "Discount loss", "Safe")</f>
        <v>Safe</v>
      </c>
      <c r="AD2693" s="4">
        <f>SalesCleanTable[[#This Row],[Unit Price]] - SalesCleanTable[[#This Row],[Unit Cost]]</f>
        <v>450</v>
      </c>
      <c r="AE2693" s="41">
        <f>(SalesCleanTable[[#This Row],[Unit Price]] - SalesCleanTable[[#This Row],[Unit Cost]]) / SalesCleanTable[[#This Row],[Unit Price]]</f>
        <v>0.34615384615384615</v>
      </c>
    </row>
    <row r="2694" spans="1:31">
      <c r="A2694" t="s">
        <v>2880</v>
      </c>
      <c r="B2694" s="6">
        <v>45827</v>
      </c>
      <c r="C2694" t="s">
        <v>45</v>
      </c>
      <c r="D2694" t="s">
        <v>46</v>
      </c>
      <c r="E2694" t="s">
        <v>38</v>
      </c>
      <c r="F2694" t="s">
        <v>47</v>
      </c>
      <c r="G2694" t="s">
        <v>48</v>
      </c>
      <c r="H2694" t="s">
        <v>128</v>
      </c>
      <c r="I2694" t="s">
        <v>129</v>
      </c>
      <c r="J2694" t="s">
        <v>130</v>
      </c>
      <c r="K2694" t="s">
        <v>131</v>
      </c>
      <c r="L2694" t="s">
        <v>183</v>
      </c>
      <c r="M2694" t="s">
        <v>171</v>
      </c>
      <c r="N2694">
        <v>2</v>
      </c>
      <c r="O2694" s="4">
        <v>230</v>
      </c>
      <c r="P2694" s="4">
        <v>400</v>
      </c>
      <c r="Q2694" s="7">
        <v>0</v>
      </c>
      <c r="R2694" t="s">
        <v>168</v>
      </c>
      <c r="S2694">
        <v>4</v>
      </c>
      <c r="T2694">
        <v>800</v>
      </c>
      <c r="U2694">
        <v>0</v>
      </c>
      <c r="V2694">
        <v>800</v>
      </c>
      <c r="W2694">
        <v>460</v>
      </c>
      <c r="X2694">
        <v>340</v>
      </c>
      <c r="Y2694" s="8">
        <v>0.42499999999999999</v>
      </c>
      <c r="Z2694" t="s">
        <v>2995</v>
      </c>
      <c r="AA2694" t="str">
        <f>IF(AND(SalesCleanTable[[#This Row],[Discount %]]&gt;0, SalesCleanTable[[#This Row],[Profit]]&lt;0), "Discount loss", "Safe")</f>
        <v>Safe</v>
      </c>
      <c r="AB2694" s="25">
        <f>(SalesCleanTable[[#This Row],[Unit Price]] - SalesCleanTable[[#This Row],[Unit Cost]]) / SalesCleanTable[[#This Row],[Unit Price]]</f>
        <v>0.42499999999999999</v>
      </c>
      <c r="AC2694" t="str">
        <f>IF(SalesCleanTable[[#This Row],[Discount %]] &gt; SalesCleanTable[[#This Row],[Max Allowed Discount]], "Discount loss", "Safe")</f>
        <v>Safe</v>
      </c>
      <c r="AD2694" s="4">
        <f>SalesCleanTable[[#This Row],[Unit Price]] - SalesCleanTable[[#This Row],[Unit Cost]]</f>
        <v>170</v>
      </c>
      <c r="AE2694" s="41">
        <f>(SalesCleanTable[[#This Row],[Unit Price]] - SalesCleanTable[[#This Row],[Unit Cost]]) / SalesCleanTable[[#This Row],[Unit Price]]</f>
        <v>0.42499999999999999</v>
      </c>
    </row>
    <row r="2695" spans="1:31">
      <c r="A2695" t="s">
        <v>2881</v>
      </c>
      <c r="B2695" s="6">
        <v>45785</v>
      </c>
      <c r="C2695" t="s">
        <v>53</v>
      </c>
      <c r="D2695" t="s">
        <v>54</v>
      </c>
      <c r="E2695" t="s">
        <v>38</v>
      </c>
      <c r="F2695" t="s">
        <v>55</v>
      </c>
      <c r="G2695" t="s">
        <v>56</v>
      </c>
      <c r="H2695" t="s">
        <v>141</v>
      </c>
      <c r="I2695" t="s">
        <v>142</v>
      </c>
      <c r="J2695" t="s">
        <v>143</v>
      </c>
      <c r="K2695" t="s">
        <v>144</v>
      </c>
      <c r="L2695" t="s">
        <v>183</v>
      </c>
      <c r="M2695" t="s">
        <v>171</v>
      </c>
      <c r="N2695">
        <v>2</v>
      </c>
      <c r="O2695" s="4">
        <v>330</v>
      </c>
      <c r="P2695" s="4">
        <v>550</v>
      </c>
      <c r="Q2695" s="7">
        <v>0.15</v>
      </c>
      <c r="R2695" t="s">
        <v>178</v>
      </c>
      <c r="S2695">
        <v>11</v>
      </c>
      <c r="T2695">
        <v>1100</v>
      </c>
      <c r="U2695">
        <v>165</v>
      </c>
      <c r="V2695">
        <v>935</v>
      </c>
      <c r="W2695">
        <v>660</v>
      </c>
      <c r="X2695">
        <v>275</v>
      </c>
      <c r="Y2695" s="8">
        <v>0.29411764705882354</v>
      </c>
      <c r="Z2695" t="s">
        <v>2996</v>
      </c>
      <c r="AA2695" t="str">
        <f>IF(AND(SalesCleanTable[[#This Row],[Discount %]]&gt;0, SalesCleanTable[[#This Row],[Profit]]&lt;0), "Discount loss", "Safe")</f>
        <v>Safe</v>
      </c>
      <c r="AB2695" s="25">
        <f>(SalesCleanTable[[#This Row],[Unit Price]] - SalesCleanTable[[#This Row],[Unit Cost]]) / SalesCleanTable[[#This Row],[Unit Price]]</f>
        <v>0.4</v>
      </c>
      <c r="AC2695" t="str">
        <f>IF(SalesCleanTable[[#This Row],[Discount %]] &gt; SalesCleanTable[[#This Row],[Max Allowed Discount]], "Discount loss", "Safe")</f>
        <v>Safe</v>
      </c>
      <c r="AD2695" s="4">
        <f>SalesCleanTable[[#This Row],[Unit Price]] - SalesCleanTable[[#This Row],[Unit Cost]]</f>
        <v>220</v>
      </c>
      <c r="AE2695" s="41">
        <f>(SalesCleanTable[[#This Row],[Unit Price]] - SalesCleanTable[[#This Row],[Unit Cost]]) / SalesCleanTable[[#This Row],[Unit Price]]</f>
        <v>0.4</v>
      </c>
    </row>
    <row r="2696" spans="1:31">
      <c r="A2696" t="s">
        <v>2882</v>
      </c>
      <c r="B2696" s="6">
        <v>45905</v>
      </c>
      <c r="C2696" t="s">
        <v>53</v>
      </c>
      <c r="D2696" t="s">
        <v>54</v>
      </c>
      <c r="E2696" t="s">
        <v>38</v>
      </c>
      <c r="F2696" t="s">
        <v>55</v>
      </c>
      <c r="G2696" t="s">
        <v>56</v>
      </c>
      <c r="H2696" t="s">
        <v>141</v>
      </c>
      <c r="I2696" t="s">
        <v>142</v>
      </c>
      <c r="J2696" t="s">
        <v>143</v>
      </c>
      <c r="K2696" t="s">
        <v>144</v>
      </c>
      <c r="L2696" t="s">
        <v>166</v>
      </c>
      <c r="M2696" t="s">
        <v>171</v>
      </c>
      <c r="N2696">
        <v>1</v>
      </c>
      <c r="O2696" s="4">
        <v>330</v>
      </c>
      <c r="P2696" s="4">
        <v>550</v>
      </c>
      <c r="Q2696" s="7">
        <v>0</v>
      </c>
      <c r="R2696" t="s">
        <v>168</v>
      </c>
      <c r="S2696">
        <v>8</v>
      </c>
      <c r="T2696">
        <v>550</v>
      </c>
      <c r="U2696">
        <v>0</v>
      </c>
      <c r="V2696">
        <v>550</v>
      </c>
      <c r="W2696">
        <v>330</v>
      </c>
      <c r="X2696">
        <v>220</v>
      </c>
      <c r="Y2696" s="8">
        <v>0.4</v>
      </c>
      <c r="Z2696" t="s">
        <v>2996</v>
      </c>
      <c r="AA2696" t="str">
        <f>IF(AND(SalesCleanTable[[#This Row],[Discount %]]&gt;0, SalesCleanTable[[#This Row],[Profit]]&lt;0), "Discount loss", "Safe")</f>
        <v>Safe</v>
      </c>
      <c r="AB2696" s="25">
        <f>(SalesCleanTable[[#This Row],[Unit Price]] - SalesCleanTable[[#This Row],[Unit Cost]]) / SalesCleanTable[[#This Row],[Unit Price]]</f>
        <v>0.4</v>
      </c>
      <c r="AC2696" t="str">
        <f>IF(SalesCleanTable[[#This Row],[Discount %]] &gt; SalesCleanTable[[#This Row],[Max Allowed Discount]], "Discount loss", "Safe")</f>
        <v>Safe</v>
      </c>
      <c r="AD2696" s="4">
        <f>SalesCleanTable[[#This Row],[Unit Price]] - SalesCleanTable[[#This Row],[Unit Cost]]</f>
        <v>220</v>
      </c>
      <c r="AE2696" s="41">
        <f>(SalesCleanTable[[#This Row],[Unit Price]] - SalesCleanTable[[#This Row],[Unit Cost]]) / SalesCleanTable[[#This Row],[Unit Price]]</f>
        <v>0.4</v>
      </c>
    </row>
    <row r="2697" spans="1:31">
      <c r="A2697" t="s">
        <v>2883</v>
      </c>
      <c r="B2697" s="6">
        <v>45857</v>
      </c>
      <c r="C2697" t="s">
        <v>107</v>
      </c>
      <c r="D2697" t="s">
        <v>108</v>
      </c>
      <c r="E2697" t="s">
        <v>109</v>
      </c>
      <c r="F2697" t="s">
        <v>110</v>
      </c>
      <c r="G2697" t="s">
        <v>111</v>
      </c>
      <c r="H2697" t="s">
        <v>153</v>
      </c>
      <c r="I2697" t="s">
        <v>154</v>
      </c>
      <c r="J2697" t="s">
        <v>155</v>
      </c>
      <c r="K2697" t="s">
        <v>131</v>
      </c>
      <c r="L2697" t="s">
        <v>166</v>
      </c>
      <c r="M2697" t="s">
        <v>177</v>
      </c>
      <c r="N2697">
        <v>5</v>
      </c>
      <c r="O2697" s="4">
        <v>5200</v>
      </c>
      <c r="P2697" s="4">
        <v>7000</v>
      </c>
      <c r="Q2697" s="7">
        <v>0.25</v>
      </c>
      <c r="R2697" t="s">
        <v>235</v>
      </c>
      <c r="S2697">
        <v>14</v>
      </c>
      <c r="T2697">
        <v>35000</v>
      </c>
      <c r="U2697">
        <v>8750</v>
      </c>
      <c r="V2697">
        <v>26250</v>
      </c>
      <c r="W2697">
        <v>26000</v>
      </c>
      <c r="X2697">
        <v>250</v>
      </c>
      <c r="Y2697" s="8">
        <v>9.5238095238095247E-3</v>
      </c>
      <c r="Z2697" t="s">
        <v>2997</v>
      </c>
      <c r="AA2697" t="str">
        <f>IF(AND(SalesCleanTable[[#This Row],[Discount %]]&gt;0, SalesCleanTable[[#This Row],[Profit]]&lt;0), "Discount loss", "Safe")</f>
        <v>Safe</v>
      </c>
      <c r="AB2697" s="25">
        <f>(SalesCleanTable[[#This Row],[Unit Price]] - SalesCleanTable[[#This Row],[Unit Cost]]) / SalesCleanTable[[#This Row],[Unit Price]]</f>
        <v>0.25714285714285712</v>
      </c>
      <c r="AC2697" t="str">
        <f>IF(SalesCleanTable[[#This Row],[Discount %]] &gt; SalesCleanTable[[#This Row],[Max Allowed Discount]], "Discount loss", "Safe")</f>
        <v>Safe</v>
      </c>
      <c r="AD2697" s="4">
        <f>SalesCleanTable[[#This Row],[Unit Price]] - SalesCleanTable[[#This Row],[Unit Cost]]</f>
        <v>1800</v>
      </c>
      <c r="AE2697" s="41">
        <f>(SalesCleanTable[[#This Row],[Unit Price]] - SalesCleanTable[[#This Row],[Unit Cost]]) / SalesCleanTable[[#This Row],[Unit Price]]</f>
        <v>0.25714285714285712</v>
      </c>
    </row>
    <row r="2698" spans="1:31">
      <c r="A2698" t="s">
        <v>2884</v>
      </c>
      <c r="B2698" s="6">
        <v>46008</v>
      </c>
      <c r="C2698" t="s">
        <v>69</v>
      </c>
      <c r="D2698" t="s">
        <v>70</v>
      </c>
      <c r="E2698" t="s">
        <v>59</v>
      </c>
      <c r="F2698" t="s">
        <v>71</v>
      </c>
      <c r="G2698" t="s">
        <v>72</v>
      </c>
      <c r="H2698" t="s">
        <v>145</v>
      </c>
      <c r="I2698" t="s">
        <v>146</v>
      </c>
      <c r="J2698" t="s">
        <v>147</v>
      </c>
      <c r="K2698" t="s">
        <v>148</v>
      </c>
      <c r="L2698" t="s">
        <v>183</v>
      </c>
      <c r="M2698" t="s">
        <v>177</v>
      </c>
      <c r="N2698">
        <v>4</v>
      </c>
      <c r="O2698" s="4">
        <v>1700</v>
      </c>
      <c r="P2698" s="4">
        <v>2600</v>
      </c>
      <c r="Q2698" s="7">
        <v>0.05</v>
      </c>
      <c r="R2698" t="s">
        <v>192</v>
      </c>
      <c r="S2698">
        <v>10</v>
      </c>
      <c r="T2698">
        <v>10400</v>
      </c>
      <c r="U2698">
        <v>520</v>
      </c>
      <c r="V2698">
        <v>9880</v>
      </c>
      <c r="W2698">
        <v>6800</v>
      </c>
      <c r="X2698">
        <v>3080</v>
      </c>
      <c r="Y2698" s="8">
        <v>0.31174089068825911</v>
      </c>
      <c r="Z2698" t="s">
        <v>2997</v>
      </c>
      <c r="AA2698" t="str">
        <f>IF(AND(SalesCleanTable[[#This Row],[Discount %]]&gt;0, SalesCleanTable[[#This Row],[Profit]]&lt;0), "Discount loss", "Safe")</f>
        <v>Safe</v>
      </c>
      <c r="AB2698" s="25">
        <f>(SalesCleanTable[[#This Row],[Unit Price]] - SalesCleanTable[[#This Row],[Unit Cost]]) / SalesCleanTable[[#This Row],[Unit Price]]</f>
        <v>0.34615384615384615</v>
      </c>
      <c r="AC2698" t="str">
        <f>IF(SalesCleanTable[[#This Row],[Discount %]] &gt; SalesCleanTable[[#This Row],[Max Allowed Discount]], "Discount loss", "Safe")</f>
        <v>Safe</v>
      </c>
      <c r="AD2698" s="4">
        <f>SalesCleanTable[[#This Row],[Unit Price]] - SalesCleanTable[[#This Row],[Unit Cost]]</f>
        <v>900</v>
      </c>
      <c r="AE2698" s="41">
        <f>(SalesCleanTable[[#This Row],[Unit Price]] - SalesCleanTable[[#This Row],[Unit Cost]]) / SalesCleanTable[[#This Row],[Unit Price]]</f>
        <v>0.34615384615384615</v>
      </c>
    </row>
    <row r="2699" spans="1:31">
      <c r="A2699" t="s">
        <v>2885</v>
      </c>
      <c r="B2699" s="6">
        <v>45861</v>
      </c>
      <c r="C2699" t="s">
        <v>62</v>
      </c>
      <c r="D2699" t="s">
        <v>63</v>
      </c>
      <c r="E2699" t="s">
        <v>59</v>
      </c>
      <c r="F2699" t="s">
        <v>64</v>
      </c>
      <c r="G2699" t="s">
        <v>65</v>
      </c>
      <c r="H2699" t="s">
        <v>128</v>
      </c>
      <c r="I2699" t="s">
        <v>129</v>
      </c>
      <c r="J2699" t="s">
        <v>130</v>
      </c>
      <c r="K2699" t="s">
        <v>131</v>
      </c>
      <c r="L2699" t="s">
        <v>166</v>
      </c>
      <c r="M2699" t="s">
        <v>171</v>
      </c>
      <c r="N2699">
        <v>2</v>
      </c>
      <c r="O2699" s="4">
        <v>3200</v>
      </c>
      <c r="P2699" s="4">
        <v>4500</v>
      </c>
      <c r="Q2699" s="7">
        <v>0</v>
      </c>
      <c r="R2699" t="s">
        <v>192</v>
      </c>
      <c r="S2699">
        <v>13</v>
      </c>
      <c r="T2699">
        <v>9000</v>
      </c>
      <c r="U2699">
        <v>0</v>
      </c>
      <c r="V2699">
        <v>9000</v>
      </c>
      <c r="W2699">
        <v>6400</v>
      </c>
      <c r="X2699">
        <v>2600</v>
      </c>
      <c r="Y2699" s="8">
        <v>0.28888888888888886</v>
      </c>
      <c r="Z2699" t="s">
        <v>2996</v>
      </c>
      <c r="AA2699" t="str">
        <f>IF(AND(SalesCleanTable[[#This Row],[Discount %]]&gt;0, SalesCleanTable[[#This Row],[Profit]]&lt;0), "Discount loss", "Safe")</f>
        <v>Safe</v>
      </c>
      <c r="AB2699" s="25">
        <f>(SalesCleanTable[[#This Row],[Unit Price]] - SalesCleanTable[[#This Row],[Unit Cost]]) / SalesCleanTable[[#This Row],[Unit Price]]</f>
        <v>0.28888888888888886</v>
      </c>
      <c r="AC2699" t="str">
        <f>IF(SalesCleanTable[[#This Row],[Discount %]] &gt; SalesCleanTable[[#This Row],[Max Allowed Discount]], "Discount loss", "Safe")</f>
        <v>Safe</v>
      </c>
      <c r="AD2699" s="4">
        <f>SalesCleanTable[[#This Row],[Unit Price]] - SalesCleanTable[[#This Row],[Unit Cost]]</f>
        <v>1300</v>
      </c>
      <c r="AE2699" s="41">
        <f>(SalesCleanTable[[#This Row],[Unit Price]] - SalesCleanTable[[#This Row],[Unit Cost]]) / SalesCleanTable[[#This Row],[Unit Price]]</f>
        <v>0.28888888888888886</v>
      </c>
    </row>
    <row r="2700" spans="1:31">
      <c r="A2700" t="s">
        <v>2886</v>
      </c>
      <c r="B2700" s="6">
        <v>45728</v>
      </c>
      <c r="C2700" t="s">
        <v>62</v>
      </c>
      <c r="D2700" t="s">
        <v>63</v>
      </c>
      <c r="E2700" t="s">
        <v>59</v>
      </c>
      <c r="F2700" t="s">
        <v>64</v>
      </c>
      <c r="G2700" t="s">
        <v>65</v>
      </c>
      <c r="H2700" t="s">
        <v>141</v>
      </c>
      <c r="I2700" t="s">
        <v>142</v>
      </c>
      <c r="J2700" t="s">
        <v>143</v>
      </c>
      <c r="K2700" t="s">
        <v>144</v>
      </c>
      <c r="L2700" t="s">
        <v>166</v>
      </c>
      <c r="M2700" t="s">
        <v>171</v>
      </c>
      <c r="N2700">
        <v>3</v>
      </c>
      <c r="O2700" s="4">
        <v>3200</v>
      </c>
      <c r="P2700" s="4">
        <v>4500</v>
      </c>
      <c r="Q2700" s="7">
        <v>0.05</v>
      </c>
      <c r="R2700" t="s">
        <v>173</v>
      </c>
      <c r="S2700">
        <v>10</v>
      </c>
      <c r="T2700">
        <v>13500</v>
      </c>
      <c r="U2700">
        <v>675</v>
      </c>
      <c r="V2700">
        <v>12825</v>
      </c>
      <c r="W2700">
        <v>9600</v>
      </c>
      <c r="X2700">
        <v>3225</v>
      </c>
      <c r="Y2700" s="8">
        <v>0.25146198830409355</v>
      </c>
      <c r="Z2700" t="s">
        <v>2996</v>
      </c>
      <c r="AA2700" t="str">
        <f>IF(AND(SalesCleanTable[[#This Row],[Discount %]]&gt;0, SalesCleanTable[[#This Row],[Profit]]&lt;0), "Discount loss", "Safe")</f>
        <v>Safe</v>
      </c>
      <c r="AB2700" s="25">
        <f>(SalesCleanTable[[#This Row],[Unit Price]] - SalesCleanTable[[#This Row],[Unit Cost]]) / SalesCleanTable[[#This Row],[Unit Price]]</f>
        <v>0.28888888888888886</v>
      </c>
      <c r="AC2700" t="str">
        <f>IF(SalesCleanTable[[#This Row],[Discount %]] &gt; SalesCleanTable[[#This Row],[Max Allowed Discount]], "Discount loss", "Safe")</f>
        <v>Safe</v>
      </c>
      <c r="AD2700" s="4">
        <f>SalesCleanTable[[#This Row],[Unit Price]] - SalesCleanTable[[#This Row],[Unit Cost]]</f>
        <v>1300</v>
      </c>
      <c r="AE2700" s="41">
        <f>(SalesCleanTable[[#This Row],[Unit Price]] - SalesCleanTable[[#This Row],[Unit Cost]]) / SalesCleanTable[[#This Row],[Unit Price]]</f>
        <v>0.28888888888888886</v>
      </c>
    </row>
    <row r="2701" spans="1:31">
      <c r="A2701" t="s">
        <v>2887</v>
      </c>
      <c r="B2701" s="6">
        <v>45699</v>
      </c>
      <c r="C2701" t="s">
        <v>49</v>
      </c>
      <c r="D2701" t="s">
        <v>50</v>
      </c>
      <c r="E2701" t="s">
        <v>38</v>
      </c>
      <c r="F2701" t="s">
        <v>51</v>
      </c>
      <c r="G2701" t="s">
        <v>52</v>
      </c>
      <c r="H2701" t="s">
        <v>133</v>
      </c>
      <c r="I2701" t="s">
        <v>134</v>
      </c>
      <c r="J2701" t="s">
        <v>130</v>
      </c>
      <c r="K2701" t="s">
        <v>131</v>
      </c>
      <c r="L2701" t="s">
        <v>166</v>
      </c>
      <c r="M2701" t="s">
        <v>171</v>
      </c>
      <c r="N2701">
        <v>2</v>
      </c>
      <c r="O2701" s="4">
        <v>550</v>
      </c>
      <c r="P2701" s="4">
        <v>850</v>
      </c>
      <c r="Q2701" s="7">
        <v>0.05</v>
      </c>
      <c r="R2701" t="s">
        <v>178</v>
      </c>
      <c r="S2701">
        <v>3</v>
      </c>
      <c r="T2701">
        <v>1700</v>
      </c>
      <c r="U2701">
        <v>85</v>
      </c>
      <c r="V2701">
        <v>1615</v>
      </c>
      <c r="W2701">
        <v>1100</v>
      </c>
      <c r="X2701">
        <v>515</v>
      </c>
      <c r="Y2701" s="8">
        <v>0.31888544891640869</v>
      </c>
      <c r="Z2701" t="s">
        <v>2996</v>
      </c>
      <c r="AA2701" t="str">
        <f>IF(AND(SalesCleanTable[[#This Row],[Discount %]]&gt;0, SalesCleanTable[[#This Row],[Profit]]&lt;0), "Discount loss", "Safe")</f>
        <v>Safe</v>
      </c>
      <c r="AB2701" s="25">
        <f>(SalesCleanTable[[#This Row],[Unit Price]] - SalesCleanTable[[#This Row],[Unit Cost]]) / SalesCleanTable[[#This Row],[Unit Price]]</f>
        <v>0.35294117647058826</v>
      </c>
      <c r="AC2701" t="str">
        <f>IF(SalesCleanTable[[#This Row],[Discount %]] &gt; SalesCleanTable[[#This Row],[Max Allowed Discount]], "Discount loss", "Safe")</f>
        <v>Safe</v>
      </c>
      <c r="AD2701" s="4">
        <f>SalesCleanTable[[#This Row],[Unit Price]] - SalesCleanTable[[#This Row],[Unit Cost]]</f>
        <v>300</v>
      </c>
      <c r="AE2701" s="41">
        <f>(SalesCleanTable[[#This Row],[Unit Price]] - SalesCleanTable[[#This Row],[Unit Cost]]) / SalesCleanTable[[#This Row],[Unit Price]]</f>
        <v>0.35294117647058826</v>
      </c>
    </row>
    <row r="2702" spans="1:31">
      <c r="A2702" t="s">
        <v>2888</v>
      </c>
      <c r="B2702" s="6">
        <v>45851</v>
      </c>
      <c r="C2702" t="s">
        <v>82</v>
      </c>
      <c r="D2702" t="s">
        <v>83</v>
      </c>
      <c r="E2702" t="s">
        <v>75</v>
      </c>
      <c r="F2702" t="s">
        <v>84</v>
      </c>
      <c r="G2702" t="s">
        <v>85</v>
      </c>
      <c r="H2702" t="s">
        <v>139</v>
      </c>
      <c r="I2702" t="s">
        <v>140</v>
      </c>
      <c r="J2702" t="s">
        <v>137</v>
      </c>
      <c r="K2702" t="s">
        <v>138</v>
      </c>
      <c r="L2702" t="s">
        <v>166</v>
      </c>
      <c r="M2702" t="s">
        <v>167</v>
      </c>
      <c r="N2702">
        <v>3</v>
      </c>
      <c r="O2702" s="4">
        <v>600</v>
      </c>
      <c r="P2702" s="4">
        <v>950</v>
      </c>
      <c r="Q2702" s="7">
        <v>0.1</v>
      </c>
      <c r="R2702" t="s">
        <v>208</v>
      </c>
      <c r="S2702">
        <v>11</v>
      </c>
      <c r="T2702">
        <v>2850</v>
      </c>
      <c r="U2702">
        <v>285</v>
      </c>
      <c r="V2702">
        <v>2565</v>
      </c>
      <c r="W2702">
        <v>1800</v>
      </c>
      <c r="X2702">
        <v>765</v>
      </c>
      <c r="Y2702" s="8">
        <v>0.2982456140350877</v>
      </c>
      <c r="Z2702" t="s">
        <v>2996</v>
      </c>
      <c r="AA2702" t="str">
        <f>IF(AND(SalesCleanTable[[#This Row],[Discount %]]&gt;0, SalesCleanTable[[#This Row],[Profit]]&lt;0), "Discount loss", "Safe")</f>
        <v>Safe</v>
      </c>
      <c r="AB2702" s="25">
        <f>(SalesCleanTable[[#This Row],[Unit Price]] - SalesCleanTable[[#This Row],[Unit Cost]]) / SalesCleanTable[[#This Row],[Unit Price]]</f>
        <v>0.36842105263157893</v>
      </c>
      <c r="AC2702" t="str">
        <f>IF(SalesCleanTable[[#This Row],[Discount %]] &gt; SalesCleanTable[[#This Row],[Max Allowed Discount]], "Discount loss", "Safe")</f>
        <v>Safe</v>
      </c>
      <c r="AD2702" s="4">
        <f>SalesCleanTable[[#This Row],[Unit Price]] - SalesCleanTable[[#This Row],[Unit Cost]]</f>
        <v>350</v>
      </c>
      <c r="AE2702" s="41">
        <f>(SalesCleanTable[[#This Row],[Unit Price]] - SalesCleanTable[[#This Row],[Unit Cost]]) / SalesCleanTable[[#This Row],[Unit Price]]</f>
        <v>0.36842105263157893</v>
      </c>
    </row>
    <row r="2703" spans="1:31">
      <c r="A2703" t="s">
        <v>2889</v>
      </c>
      <c r="B2703" s="6">
        <v>45686</v>
      </c>
      <c r="C2703" t="s">
        <v>36</v>
      </c>
      <c r="D2703" t="s">
        <v>37</v>
      </c>
      <c r="E2703" t="s">
        <v>38</v>
      </c>
      <c r="F2703" t="s">
        <v>39</v>
      </c>
      <c r="G2703" t="s">
        <v>40</v>
      </c>
      <c r="H2703" t="s">
        <v>135</v>
      </c>
      <c r="I2703" t="s">
        <v>136</v>
      </c>
      <c r="J2703" t="s">
        <v>137</v>
      </c>
      <c r="K2703" t="s">
        <v>138</v>
      </c>
      <c r="L2703" t="s">
        <v>166</v>
      </c>
      <c r="M2703" t="s">
        <v>171</v>
      </c>
      <c r="N2703">
        <v>-2</v>
      </c>
      <c r="O2703" s="4">
        <v>1650</v>
      </c>
      <c r="P2703" s="4">
        <v>2200</v>
      </c>
      <c r="Q2703" s="7">
        <v>0.1</v>
      </c>
      <c r="R2703" t="s">
        <v>178</v>
      </c>
      <c r="S2703">
        <v>5</v>
      </c>
      <c r="T2703">
        <v>-4400</v>
      </c>
      <c r="U2703">
        <v>-440</v>
      </c>
      <c r="V2703">
        <v>-3960</v>
      </c>
      <c r="W2703">
        <v>-3300</v>
      </c>
      <c r="X2703">
        <v>-660</v>
      </c>
      <c r="Y2703" s="8">
        <v>0.16666666666666666</v>
      </c>
      <c r="Z2703" t="s">
        <v>2995</v>
      </c>
      <c r="AA2703" t="str">
        <f>IF(AND(SalesCleanTable[[#This Row],[Discount %]]&gt;0, SalesCleanTable[[#This Row],[Profit]]&lt;0), "Discount loss", "Safe")</f>
        <v>Discount loss</v>
      </c>
      <c r="AB2703" s="25">
        <f>(SalesCleanTable[[#This Row],[Unit Price]] - SalesCleanTable[[#This Row],[Unit Cost]]) / SalesCleanTable[[#This Row],[Unit Price]]</f>
        <v>0.25</v>
      </c>
      <c r="AC2703" t="str">
        <f>IF(SalesCleanTable[[#This Row],[Discount %]] &gt; SalesCleanTable[[#This Row],[Max Allowed Discount]], "Discount loss", "Safe")</f>
        <v>Safe</v>
      </c>
      <c r="AD2703" s="4">
        <f>SalesCleanTable[[#This Row],[Unit Price]] - SalesCleanTable[[#This Row],[Unit Cost]]</f>
        <v>550</v>
      </c>
      <c r="AE2703" s="41">
        <f>(SalesCleanTable[[#This Row],[Unit Price]] - SalesCleanTable[[#This Row],[Unit Cost]]) / SalesCleanTable[[#This Row],[Unit Price]]</f>
        <v>0.25</v>
      </c>
    </row>
    <row r="2704" spans="1:31">
      <c r="A2704" t="s">
        <v>2890</v>
      </c>
      <c r="B2704" s="6">
        <v>45763</v>
      </c>
      <c r="C2704" t="s">
        <v>45</v>
      </c>
      <c r="D2704" t="s">
        <v>46</v>
      </c>
      <c r="E2704" t="s">
        <v>38</v>
      </c>
      <c r="F2704" t="s">
        <v>47</v>
      </c>
      <c r="G2704" t="s">
        <v>48</v>
      </c>
      <c r="H2704" t="s">
        <v>141</v>
      </c>
      <c r="I2704" t="s">
        <v>142</v>
      </c>
      <c r="J2704" t="s">
        <v>143</v>
      </c>
      <c r="K2704" t="s">
        <v>144</v>
      </c>
      <c r="L2704" t="s">
        <v>183</v>
      </c>
      <c r="M2704" t="s">
        <v>171</v>
      </c>
      <c r="N2704">
        <v>2</v>
      </c>
      <c r="O2704" s="4">
        <v>230</v>
      </c>
      <c r="P2704" s="4">
        <v>400</v>
      </c>
      <c r="Q2704" s="7">
        <v>0.05</v>
      </c>
      <c r="R2704" t="s">
        <v>168</v>
      </c>
      <c r="S2704">
        <v>3</v>
      </c>
      <c r="T2704">
        <v>800</v>
      </c>
      <c r="U2704">
        <v>40</v>
      </c>
      <c r="V2704">
        <v>760</v>
      </c>
      <c r="W2704">
        <v>460</v>
      </c>
      <c r="X2704">
        <v>300</v>
      </c>
      <c r="Y2704" s="8">
        <v>0.39473684210526316</v>
      </c>
      <c r="Z2704" t="s">
        <v>2995</v>
      </c>
      <c r="AA2704" t="str">
        <f>IF(AND(SalesCleanTable[[#This Row],[Discount %]]&gt;0, SalesCleanTable[[#This Row],[Profit]]&lt;0), "Discount loss", "Safe")</f>
        <v>Safe</v>
      </c>
      <c r="AB2704" s="25">
        <f>(SalesCleanTable[[#This Row],[Unit Price]] - SalesCleanTable[[#This Row],[Unit Cost]]) / SalesCleanTable[[#This Row],[Unit Price]]</f>
        <v>0.42499999999999999</v>
      </c>
      <c r="AC2704" t="str">
        <f>IF(SalesCleanTable[[#This Row],[Discount %]] &gt; SalesCleanTable[[#This Row],[Max Allowed Discount]], "Discount loss", "Safe")</f>
        <v>Safe</v>
      </c>
      <c r="AD2704" s="4">
        <f>SalesCleanTable[[#This Row],[Unit Price]] - SalesCleanTable[[#This Row],[Unit Cost]]</f>
        <v>170</v>
      </c>
      <c r="AE2704" s="41">
        <f>(SalesCleanTable[[#This Row],[Unit Price]] - SalesCleanTable[[#This Row],[Unit Cost]]) / SalesCleanTable[[#This Row],[Unit Price]]</f>
        <v>0.42499999999999999</v>
      </c>
    </row>
    <row r="2705" spans="1:31">
      <c r="A2705" t="s">
        <v>2891</v>
      </c>
      <c r="B2705" s="6">
        <v>45875</v>
      </c>
      <c r="C2705" t="s">
        <v>62</v>
      </c>
      <c r="D2705" t="s">
        <v>63</v>
      </c>
      <c r="E2705" t="s">
        <v>59</v>
      </c>
      <c r="F2705" t="s">
        <v>64</v>
      </c>
      <c r="G2705" t="s">
        <v>65</v>
      </c>
      <c r="H2705" t="s">
        <v>128</v>
      </c>
      <c r="I2705" t="s">
        <v>129</v>
      </c>
      <c r="J2705" t="s">
        <v>130</v>
      </c>
      <c r="K2705" t="s">
        <v>131</v>
      </c>
      <c r="L2705" t="s">
        <v>166</v>
      </c>
      <c r="M2705" t="s">
        <v>177</v>
      </c>
      <c r="N2705">
        <v>1</v>
      </c>
      <c r="O2705" s="4">
        <v>3200</v>
      </c>
      <c r="P2705" s="4">
        <v>4500</v>
      </c>
      <c r="Q2705" s="7">
        <v>0</v>
      </c>
      <c r="R2705" t="s">
        <v>192</v>
      </c>
      <c r="S2705">
        <v>2</v>
      </c>
      <c r="T2705">
        <v>4500</v>
      </c>
      <c r="U2705">
        <v>0</v>
      </c>
      <c r="V2705">
        <v>4500</v>
      </c>
      <c r="W2705">
        <v>3200</v>
      </c>
      <c r="X2705">
        <v>1300</v>
      </c>
      <c r="Y2705" s="8">
        <v>0.28888888888888886</v>
      </c>
      <c r="Z2705" t="s">
        <v>2996</v>
      </c>
      <c r="AA2705" t="str">
        <f>IF(AND(SalesCleanTable[[#This Row],[Discount %]]&gt;0, SalesCleanTable[[#This Row],[Profit]]&lt;0), "Discount loss", "Safe")</f>
        <v>Safe</v>
      </c>
      <c r="AB2705" s="25">
        <f>(SalesCleanTable[[#This Row],[Unit Price]] - SalesCleanTable[[#This Row],[Unit Cost]]) / SalesCleanTable[[#This Row],[Unit Price]]</f>
        <v>0.28888888888888886</v>
      </c>
      <c r="AC2705" t="str">
        <f>IF(SalesCleanTable[[#This Row],[Discount %]] &gt; SalesCleanTable[[#This Row],[Max Allowed Discount]], "Discount loss", "Safe")</f>
        <v>Safe</v>
      </c>
      <c r="AD2705" s="4">
        <f>SalesCleanTable[[#This Row],[Unit Price]] - SalesCleanTable[[#This Row],[Unit Cost]]</f>
        <v>1300</v>
      </c>
      <c r="AE2705" s="41">
        <f>(SalesCleanTable[[#This Row],[Unit Price]] - SalesCleanTable[[#This Row],[Unit Cost]]) / SalesCleanTable[[#This Row],[Unit Price]]</f>
        <v>0.28888888888888886</v>
      </c>
    </row>
    <row r="2706" spans="1:31">
      <c r="A2706" t="s">
        <v>2892</v>
      </c>
      <c r="B2706" s="6">
        <v>45818</v>
      </c>
      <c r="C2706" t="s">
        <v>32</v>
      </c>
      <c r="D2706" t="s">
        <v>33</v>
      </c>
      <c r="E2706" t="s">
        <v>26</v>
      </c>
      <c r="F2706" t="s">
        <v>34</v>
      </c>
      <c r="G2706" t="s">
        <v>35</v>
      </c>
      <c r="H2706" t="s">
        <v>133</v>
      </c>
      <c r="I2706" t="s">
        <v>134</v>
      </c>
      <c r="J2706" t="s">
        <v>130</v>
      </c>
      <c r="K2706" t="s">
        <v>131</v>
      </c>
      <c r="L2706" t="s">
        <v>166</v>
      </c>
      <c r="M2706" t="s">
        <v>177</v>
      </c>
      <c r="N2706">
        <v>2</v>
      </c>
      <c r="O2706" s="4">
        <v>7800</v>
      </c>
      <c r="P2706" s="4">
        <v>9800</v>
      </c>
      <c r="Q2706" s="7">
        <v>0</v>
      </c>
      <c r="R2706" t="s">
        <v>197</v>
      </c>
      <c r="S2706">
        <v>4</v>
      </c>
      <c r="T2706">
        <v>19600</v>
      </c>
      <c r="U2706">
        <v>0</v>
      </c>
      <c r="V2706">
        <v>19600</v>
      </c>
      <c r="W2706">
        <v>15600</v>
      </c>
      <c r="X2706">
        <v>4000</v>
      </c>
      <c r="Y2706" s="8">
        <v>0.20408163265306123</v>
      </c>
      <c r="Z2706" t="s">
        <v>2995</v>
      </c>
      <c r="AA2706" t="str">
        <f>IF(AND(SalesCleanTable[[#This Row],[Discount %]]&gt;0, SalesCleanTable[[#This Row],[Profit]]&lt;0), "Discount loss", "Safe")</f>
        <v>Safe</v>
      </c>
      <c r="AB2706" s="25">
        <f>(SalesCleanTable[[#This Row],[Unit Price]] - SalesCleanTable[[#This Row],[Unit Cost]]) / SalesCleanTable[[#This Row],[Unit Price]]</f>
        <v>0.20408163265306123</v>
      </c>
      <c r="AC2706" t="str">
        <f>IF(SalesCleanTable[[#This Row],[Discount %]] &gt; SalesCleanTable[[#This Row],[Max Allowed Discount]], "Discount loss", "Safe")</f>
        <v>Safe</v>
      </c>
      <c r="AD2706" s="4">
        <f>SalesCleanTable[[#This Row],[Unit Price]] - SalesCleanTable[[#This Row],[Unit Cost]]</f>
        <v>2000</v>
      </c>
      <c r="AE2706" s="41">
        <f>(SalesCleanTable[[#This Row],[Unit Price]] - SalesCleanTable[[#This Row],[Unit Cost]]) / SalesCleanTable[[#This Row],[Unit Price]]</f>
        <v>0.20408163265306123</v>
      </c>
    </row>
    <row r="2707" spans="1:31">
      <c r="A2707" t="s">
        <v>2893</v>
      </c>
      <c r="B2707" s="6">
        <v>45938</v>
      </c>
      <c r="C2707" t="s">
        <v>36</v>
      </c>
      <c r="D2707" t="s">
        <v>37</v>
      </c>
      <c r="E2707" t="s">
        <v>38</v>
      </c>
      <c r="F2707" t="s">
        <v>39</v>
      </c>
      <c r="G2707" t="s">
        <v>40</v>
      </c>
      <c r="H2707" t="s">
        <v>145</v>
      </c>
      <c r="I2707" t="s">
        <v>146</v>
      </c>
      <c r="J2707" t="s">
        <v>147</v>
      </c>
      <c r="K2707" t="s">
        <v>148</v>
      </c>
      <c r="L2707" t="s">
        <v>183</v>
      </c>
      <c r="M2707" t="s">
        <v>171</v>
      </c>
      <c r="N2707">
        <v>1</v>
      </c>
      <c r="O2707" s="4">
        <v>1650</v>
      </c>
      <c r="P2707" s="4">
        <v>2200</v>
      </c>
      <c r="Q2707" s="7">
        <v>0.15</v>
      </c>
      <c r="R2707" t="s">
        <v>178</v>
      </c>
      <c r="S2707">
        <v>13</v>
      </c>
      <c r="T2707">
        <v>2200</v>
      </c>
      <c r="U2707">
        <v>330</v>
      </c>
      <c r="V2707">
        <v>1870</v>
      </c>
      <c r="W2707">
        <v>1650</v>
      </c>
      <c r="X2707">
        <v>220</v>
      </c>
      <c r="Y2707" s="8">
        <v>0.11764705882352941</v>
      </c>
      <c r="Z2707" t="s">
        <v>2995</v>
      </c>
      <c r="AA2707" t="str">
        <f>IF(AND(SalesCleanTable[[#This Row],[Discount %]]&gt;0, SalesCleanTable[[#This Row],[Profit]]&lt;0), "Discount loss", "Safe")</f>
        <v>Safe</v>
      </c>
      <c r="AB2707" s="25">
        <f>(SalesCleanTable[[#This Row],[Unit Price]] - SalesCleanTable[[#This Row],[Unit Cost]]) / SalesCleanTable[[#This Row],[Unit Price]]</f>
        <v>0.25</v>
      </c>
      <c r="AC2707" t="str">
        <f>IF(SalesCleanTable[[#This Row],[Discount %]] &gt; SalesCleanTable[[#This Row],[Max Allowed Discount]], "Discount loss", "Safe")</f>
        <v>Safe</v>
      </c>
      <c r="AD2707" s="4">
        <f>SalesCleanTable[[#This Row],[Unit Price]] - SalesCleanTable[[#This Row],[Unit Cost]]</f>
        <v>550</v>
      </c>
      <c r="AE2707" s="41">
        <f>(SalesCleanTable[[#This Row],[Unit Price]] - SalesCleanTable[[#This Row],[Unit Cost]]) / SalesCleanTable[[#This Row],[Unit Price]]</f>
        <v>0.25</v>
      </c>
    </row>
    <row r="2708" spans="1:31">
      <c r="A2708" t="s">
        <v>2894</v>
      </c>
      <c r="B2708" s="6">
        <v>45925</v>
      </c>
      <c r="C2708" t="s">
        <v>32</v>
      </c>
      <c r="D2708" t="s">
        <v>33</v>
      </c>
      <c r="E2708" t="s">
        <v>26</v>
      </c>
      <c r="F2708" t="s">
        <v>34</v>
      </c>
      <c r="G2708" t="s">
        <v>35</v>
      </c>
      <c r="H2708" t="s">
        <v>145</v>
      </c>
      <c r="I2708" t="s">
        <v>146</v>
      </c>
      <c r="J2708" t="s">
        <v>147</v>
      </c>
      <c r="K2708" t="s">
        <v>148</v>
      </c>
      <c r="L2708" t="s">
        <v>166</v>
      </c>
      <c r="M2708" t="s">
        <v>171</v>
      </c>
      <c r="N2708">
        <v>2</v>
      </c>
      <c r="O2708" s="4">
        <v>7800</v>
      </c>
      <c r="P2708" s="4">
        <v>9800</v>
      </c>
      <c r="Q2708" s="7">
        <v>0.05</v>
      </c>
      <c r="R2708" t="s">
        <v>173</v>
      </c>
      <c r="S2708">
        <v>11</v>
      </c>
      <c r="T2708">
        <v>19600</v>
      </c>
      <c r="U2708">
        <v>980</v>
      </c>
      <c r="V2708">
        <v>18620</v>
      </c>
      <c r="W2708">
        <v>15600</v>
      </c>
      <c r="X2708">
        <v>3020</v>
      </c>
      <c r="Y2708" s="8">
        <v>0.16219119226638024</v>
      </c>
      <c r="Z2708" t="s">
        <v>2995</v>
      </c>
      <c r="AA2708" t="str">
        <f>IF(AND(SalesCleanTable[[#This Row],[Discount %]]&gt;0, SalesCleanTable[[#This Row],[Profit]]&lt;0), "Discount loss", "Safe")</f>
        <v>Safe</v>
      </c>
      <c r="AB2708" s="25">
        <f>(SalesCleanTable[[#This Row],[Unit Price]] - SalesCleanTable[[#This Row],[Unit Cost]]) / SalesCleanTable[[#This Row],[Unit Price]]</f>
        <v>0.20408163265306123</v>
      </c>
      <c r="AC2708" t="str">
        <f>IF(SalesCleanTable[[#This Row],[Discount %]] &gt; SalesCleanTable[[#This Row],[Max Allowed Discount]], "Discount loss", "Safe")</f>
        <v>Safe</v>
      </c>
      <c r="AD2708" s="4">
        <f>SalesCleanTable[[#This Row],[Unit Price]] - SalesCleanTable[[#This Row],[Unit Cost]]</f>
        <v>2000</v>
      </c>
      <c r="AE2708" s="41">
        <f>(SalesCleanTable[[#This Row],[Unit Price]] - SalesCleanTable[[#This Row],[Unit Cost]]) / SalesCleanTable[[#This Row],[Unit Price]]</f>
        <v>0.20408163265306123</v>
      </c>
    </row>
    <row r="2709" spans="1:31">
      <c r="A2709" t="s">
        <v>2895</v>
      </c>
      <c r="B2709" s="6">
        <v>45990</v>
      </c>
      <c r="C2709" t="s">
        <v>112</v>
      </c>
      <c r="D2709" t="s">
        <v>113</v>
      </c>
      <c r="E2709" t="s">
        <v>109</v>
      </c>
      <c r="F2709" t="s">
        <v>114</v>
      </c>
      <c r="G2709" t="s">
        <v>115</v>
      </c>
      <c r="H2709" t="s">
        <v>139</v>
      </c>
      <c r="I2709" t="s">
        <v>140</v>
      </c>
      <c r="J2709" t="s">
        <v>137</v>
      </c>
      <c r="K2709" t="s">
        <v>138</v>
      </c>
      <c r="L2709" t="s">
        <v>166</v>
      </c>
      <c r="M2709" t="s">
        <v>171</v>
      </c>
      <c r="N2709">
        <v>2</v>
      </c>
      <c r="O2709" s="4">
        <v>1300</v>
      </c>
      <c r="P2709" s="4">
        <v>2100</v>
      </c>
      <c r="Q2709" s="7">
        <v>0.05</v>
      </c>
      <c r="R2709" t="s">
        <v>184</v>
      </c>
      <c r="S2709">
        <v>12</v>
      </c>
      <c r="T2709">
        <v>4200</v>
      </c>
      <c r="U2709">
        <v>210</v>
      </c>
      <c r="V2709">
        <v>3990</v>
      </c>
      <c r="W2709">
        <v>2600</v>
      </c>
      <c r="X2709">
        <v>1390</v>
      </c>
      <c r="Y2709" s="8">
        <v>0.34837092731829572</v>
      </c>
      <c r="Z2709" t="s">
        <v>2995</v>
      </c>
      <c r="AA2709" t="str">
        <f>IF(AND(SalesCleanTable[[#This Row],[Discount %]]&gt;0, SalesCleanTable[[#This Row],[Profit]]&lt;0), "Discount loss", "Safe")</f>
        <v>Safe</v>
      </c>
      <c r="AB2709" s="25">
        <f>(SalesCleanTable[[#This Row],[Unit Price]] - SalesCleanTable[[#This Row],[Unit Cost]]) / SalesCleanTable[[#This Row],[Unit Price]]</f>
        <v>0.38095238095238093</v>
      </c>
      <c r="AC2709" t="str">
        <f>IF(SalesCleanTable[[#This Row],[Discount %]] &gt; SalesCleanTable[[#This Row],[Max Allowed Discount]], "Discount loss", "Safe")</f>
        <v>Safe</v>
      </c>
      <c r="AD2709" s="4">
        <f>SalesCleanTable[[#This Row],[Unit Price]] - SalesCleanTable[[#This Row],[Unit Cost]]</f>
        <v>800</v>
      </c>
      <c r="AE2709" s="41">
        <f>(SalesCleanTable[[#This Row],[Unit Price]] - SalesCleanTable[[#This Row],[Unit Cost]]) / SalesCleanTable[[#This Row],[Unit Price]]</f>
        <v>0.38095238095238093</v>
      </c>
    </row>
    <row r="2710" spans="1:31">
      <c r="A2710" t="s">
        <v>2896</v>
      </c>
      <c r="B2710" s="6">
        <v>45906</v>
      </c>
      <c r="C2710" t="s">
        <v>53</v>
      </c>
      <c r="D2710" t="s">
        <v>54</v>
      </c>
      <c r="E2710" t="s">
        <v>38</v>
      </c>
      <c r="F2710" t="s">
        <v>55</v>
      </c>
      <c r="G2710" t="s">
        <v>56</v>
      </c>
      <c r="H2710" t="s">
        <v>133</v>
      </c>
      <c r="I2710" t="s">
        <v>134</v>
      </c>
      <c r="J2710" t="s">
        <v>130</v>
      </c>
      <c r="K2710" t="s">
        <v>131</v>
      </c>
      <c r="L2710" t="s">
        <v>166</v>
      </c>
      <c r="M2710" t="s">
        <v>171</v>
      </c>
      <c r="N2710">
        <v>1</v>
      </c>
      <c r="O2710" s="4">
        <v>330</v>
      </c>
      <c r="P2710" s="4">
        <v>550</v>
      </c>
      <c r="Q2710" s="7">
        <v>0.05</v>
      </c>
      <c r="R2710" t="s">
        <v>178</v>
      </c>
      <c r="S2710">
        <v>13</v>
      </c>
      <c r="T2710">
        <v>550</v>
      </c>
      <c r="U2710">
        <v>27.5</v>
      </c>
      <c r="V2710">
        <v>522.5</v>
      </c>
      <c r="W2710">
        <v>330</v>
      </c>
      <c r="X2710">
        <v>192.5</v>
      </c>
      <c r="Y2710" s="8">
        <v>0.36842105263157893</v>
      </c>
      <c r="Z2710" t="s">
        <v>2996</v>
      </c>
      <c r="AA2710" t="str">
        <f>IF(AND(SalesCleanTable[[#This Row],[Discount %]]&gt;0, SalesCleanTable[[#This Row],[Profit]]&lt;0), "Discount loss", "Safe")</f>
        <v>Safe</v>
      </c>
      <c r="AB2710" s="25">
        <f>(SalesCleanTable[[#This Row],[Unit Price]] - SalesCleanTable[[#This Row],[Unit Cost]]) / SalesCleanTable[[#This Row],[Unit Price]]</f>
        <v>0.4</v>
      </c>
      <c r="AC2710" t="str">
        <f>IF(SalesCleanTable[[#This Row],[Discount %]] &gt; SalesCleanTable[[#This Row],[Max Allowed Discount]], "Discount loss", "Safe")</f>
        <v>Safe</v>
      </c>
      <c r="AD2710" s="4">
        <f>SalesCleanTable[[#This Row],[Unit Price]] - SalesCleanTable[[#This Row],[Unit Cost]]</f>
        <v>220</v>
      </c>
      <c r="AE2710" s="41">
        <f>(SalesCleanTable[[#This Row],[Unit Price]] - SalesCleanTable[[#This Row],[Unit Cost]]) / SalesCleanTable[[#This Row],[Unit Price]]</f>
        <v>0.4</v>
      </c>
    </row>
    <row r="2711" spans="1:31">
      <c r="A2711" t="s">
        <v>2897</v>
      </c>
      <c r="B2711" s="6">
        <v>45900</v>
      </c>
      <c r="C2711" t="s">
        <v>112</v>
      </c>
      <c r="D2711" t="s">
        <v>113</v>
      </c>
      <c r="E2711" t="s">
        <v>109</v>
      </c>
      <c r="F2711" t="s">
        <v>114</v>
      </c>
      <c r="G2711" t="s">
        <v>115</v>
      </c>
      <c r="H2711" t="s">
        <v>139</v>
      </c>
      <c r="I2711" t="s">
        <v>140</v>
      </c>
      <c r="J2711" t="s">
        <v>137</v>
      </c>
      <c r="K2711" t="s">
        <v>138</v>
      </c>
      <c r="L2711" t="s">
        <v>166</v>
      </c>
      <c r="M2711" t="s">
        <v>171</v>
      </c>
      <c r="N2711">
        <v>2</v>
      </c>
      <c r="O2711" s="4">
        <v>1300</v>
      </c>
      <c r="P2711" s="4">
        <v>2100</v>
      </c>
      <c r="Q2711" s="7">
        <v>0</v>
      </c>
      <c r="R2711" t="s">
        <v>184</v>
      </c>
      <c r="S2711">
        <v>11</v>
      </c>
      <c r="T2711">
        <v>4200</v>
      </c>
      <c r="U2711">
        <v>0</v>
      </c>
      <c r="V2711">
        <v>4200</v>
      </c>
      <c r="W2711">
        <v>2600</v>
      </c>
      <c r="X2711">
        <v>1600</v>
      </c>
      <c r="Y2711" s="8">
        <v>0.38095238095238093</v>
      </c>
      <c r="Z2711" t="s">
        <v>2995</v>
      </c>
      <c r="AA2711" t="str">
        <f>IF(AND(SalesCleanTable[[#This Row],[Discount %]]&gt;0, SalesCleanTable[[#This Row],[Profit]]&lt;0), "Discount loss", "Safe")</f>
        <v>Safe</v>
      </c>
      <c r="AB2711" s="25">
        <f>(SalesCleanTable[[#This Row],[Unit Price]] - SalesCleanTable[[#This Row],[Unit Cost]]) / SalesCleanTable[[#This Row],[Unit Price]]</f>
        <v>0.38095238095238093</v>
      </c>
      <c r="AC2711" t="str">
        <f>IF(SalesCleanTable[[#This Row],[Discount %]] &gt; SalesCleanTable[[#This Row],[Max Allowed Discount]], "Discount loss", "Safe")</f>
        <v>Safe</v>
      </c>
      <c r="AD2711" s="4">
        <f>SalesCleanTable[[#This Row],[Unit Price]] - SalesCleanTable[[#This Row],[Unit Cost]]</f>
        <v>800</v>
      </c>
      <c r="AE2711" s="41">
        <f>(SalesCleanTable[[#This Row],[Unit Price]] - SalesCleanTable[[#This Row],[Unit Cost]]) / SalesCleanTable[[#This Row],[Unit Price]]</f>
        <v>0.38095238095238093</v>
      </c>
    </row>
    <row r="2712" spans="1:31">
      <c r="A2712" t="s">
        <v>2898</v>
      </c>
      <c r="B2712" s="6">
        <v>45968</v>
      </c>
      <c r="C2712" t="s">
        <v>45</v>
      </c>
      <c r="D2712" t="s">
        <v>46</v>
      </c>
      <c r="E2712" t="s">
        <v>38</v>
      </c>
      <c r="F2712" t="s">
        <v>47</v>
      </c>
      <c r="G2712" t="s">
        <v>48</v>
      </c>
      <c r="H2712" t="s">
        <v>133</v>
      </c>
      <c r="I2712" t="s">
        <v>134</v>
      </c>
      <c r="J2712" t="s">
        <v>130</v>
      </c>
      <c r="K2712" t="s">
        <v>131</v>
      </c>
      <c r="L2712" t="s">
        <v>166</v>
      </c>
      <c r="M2712" t="s">
        <v>177</v>
      </c>
      <c r="N2712">
        <v>2</v>
      </c>
      <c r="O2712" s="4">
        <v>230</v>
      </c>
      <c r="P2712" s="4">
        <v>400</v>
      </c>
      <c r="Q2712" s="7">
        <v>0.05</v>
      </c>
      <c r="R2712" t="s">
        <v>168</v>
      </c>
      <c r="S2712">
        <v>13</v>
      </c>
      <c r="T2712">
        <v>800</v>
      </c>
      <c r="U2712">
        <v>40</v>
      </c>
      <c r="V2712">
        <v>760</v>
      </c>
      <c r="W2712">
        <v>460</v>
      </c>
      <c r="X2712">
        <v>300</v>
      </c>
      <c r="Y2712" s="8">
        <v>0.39473684210526316</v>
      </c>
      <c r="Z2712" t="s">
        <v>2995</v>
      </c>
      <c r="AA2712" t="str">
        <f>IF(AND(SalesCleanTable[[#This Row],[Discount %]]&gt;0, SalesCleanTable[[#This Row],[Profit]]&lt;0), "Discount loss", "Safe")</f>
        <v>Safe</v>
      </c>
      <c r="AB2712" s="25">
        <f>(SalesCleanTable[[#This Row],[Unit Price]] - SalesCleanTable[[#This Row],[Unit Cost]]) / SalesCleanTable[[#This Row],[Unit Price]]</f>
        <v>0.42499999999999999</v>
      </c>
      <c r="AC2712" t="str">
        <f>IF(SalesCleanTable[[#This Row],[Discount %]] &gt; SalesCleanTable[[#This Row],[Max Allowed Discount]], "Discount loss", "Safe")</f>
        <v>Safe</v>
      </c>
      <c r="AD2712" s="4">
        <f>SalesCleanTable[[#This Row],[Unit Price]] - SalesCleanTable[[#This Row],[Unit Cost]]</f>
        <v>170</v>
      </c>
      <c r="AE2712" s="41">
        <f>(SalesCleanTable[[#This Row],[Unit Price]] - SalesCleanTable[[#This Row],[Unit Cost]]) / SalesCleanTable[[#This Row],[Unit Price]]</f>
        <v>0.42499999999999999</v>
      </c>
    </row>
    <row r="2713" spans="1:31">
      <c r="A2713" t="s">
        <v>2899</v>
      </c>
      <c r="B2713" s="6">
        <v>45793</v>
      </c>
      <c r="C2713" t="s">
        <v>95</v>
      </c>
      <c r="D2713" t="s">
        <v>96</v>
      </c>
      <c r="E2713" t="s">
        <v>92</v>
      </c>
      <c r="F2713" t="s">
        <v>97</v>
      </c>
      <c r="G2713" t="s">
        <v>98</v>
      </c>
      <c r="H2713" t="s">
        <v>135</v>
      </c>
      <c r="I2713" t="s">
        <v>136</v>
      </c>
      <c r="J2713" t="s">
        <v>137</v>
      </c>
      <c r="K2713" t="s">
        <v>138</v>
      </c>
      <c r="L2713" t="s">
        <v>183</v>
      </c>
      <c r="M2713" t="s">
        <v>177</v>
      </c>
      <c r="N2713">
        <v>2</v>
      </c>
      <c r="O2713" s="4">
        <v>18000</v>
      </c>
      <c r="P2713" s="4">
        <v>24500</v>
      </c>
      <c r="Q2713" s="7">
        <v>0.05</v>
      </c>
      <c r="R2713" t="s">
        <v>217</v>
      </c>
      <c r="S2713">
        <v>6</v>
      </c>
      <c r="T2713">
        <v>49000</v>
      </c>
      <c r="U2713">
        <v>2450</v>
      </c>
      <c r="V2713">
        <v>46550</v>
      </c>
      <c r="W2713">
        <v>36000</v>
      </c>
      <c r="X2713">
        <v>10550</v>
      </c>
      <c r="Y2713" s="8">
        <v>0.22663802363050484</v>
      </c>
      <c r="Z2713" t="s">
        <v>2995</v>
      </c>
      <c r="AA2713" t="str">
        <f>IF(AND(SalesCleanTable[[#This Row],[Discount %]]&gt;0, SalesCleanTable[[#This Row],[Profit]]&lt;0), "Discount loss", "Safe")</f>
        <v>Safe</v>
      </c>
      <c r="AB2713" s="25">
        <f>(SalesCleanTable[[#This Row],[Unit Price]] - SalesCleanTable[[#This Row],[Unit Cost]]) / SalesCleanTable[[#This Row],[Unit Price]]</f>
        <v>0.26530612244897961</v>
      </c>
      <c r="AC2713" t="str">
        <f>IF(SalesCleanTable[[#This Row],[Discount %]] &gt; SalesCleanTable[[#This Row],[Max Allowed Discount]], "Discount loss", "Safe")</f>
        <v>Safe</v>
      </c>
      <c r="AD2713" s="4">
        <f>SalesCleanTable[[#This Row],[Unit Price]] - SalesCleanTable[[#This Row],[Unit Cost]]</f>
        <v>6500</v>
      </c>
      <c r="AE2713" s="41">
        <f>(SalesCleanTable[[#This Row],[Unit Price]] - SalesCleanTable[[#This Row],[Unit Cost]]) / SalesCleanTable[[#This Row],[Unit Price]]</f>
        <v>0.26530612244897961</v>
      </c>
    </row>
    <row r="2714" spans="1:31">
      <c r="A2714" t="s">
        <v>2900</v>
      </c>
      <c r="B2714" s="6">
        <v>45716</v>
      </c>
      <c r="C2714" t="s">
        <v>66</v>
      </c>
      <c r="D2714" t="s">
        <v>67</v>
      </c>
      <c r="E2714" t="s">
        <v>59</v>
      </c>
      <c r="F2714" t="s">
        <v>60</v>
      </c>
      <c r="G2714" t="s">
        <v>68</v>
      </c>
      <c r="H2714" t="s">
        <v>139</v>
      </c>
      <c r="I2714" t="s">
        <v>140</v>
      </c>
      <c r="J2714" t="s">
        <v>137</v>
      </c>
      <c r="K2714" t="s">
        <v>138</v>
      </c>
      <c r="L2714" t="s">
        <v>166</v>
      </c>
      <c r="M2714" t="s">
        <v>171</v>
      </c>
      <c r="N2714">
        <v>3</v>
      </c>
      <c r="O2714" s="4">
        <v>2800</v>
      </c>
      <c r="P2714" s="4">
        <v>3900</v>
      </c>
      <c r="Q2714" s="7">
        <v>0</v>
      </c>
      <c r="R2714" t="s">
        <v>192</v>
      </c>
      <c r="S2714">
        <v>12</v>
      </c>
      <c r="T2714">
        <v>11700</v>
      </c>
      <c r="U2714">
        <v>0</v>
      </c>
      <c r="V2714">
        <v>11700</v>
      </c>
      <c r="W2714">
        <v>8400</v>
      </c>
      <c r="X2714">
        <v>3300</v>
      </c>
      <c r="Y2714" s="8">
        <v>0.28205128205128205</v>
      </c>
      <c r="Z2714" t="s">
        <v>2996</v>
      </c>
      <c r="AA2714" t="str">
        <f>IF(AND(SalesCleanTable[[#This Row],[Discount %]]&gt;0, SalesCleanTable[[#This Row],[Profit]]&lt;0), "Discount loss", "Safe")</f>
        <v>Safe</v>
      </c>
      <c r="AB2714" s="25">
        <f>(SalesCleanTable[[#This Row],[Unit Price]] - SalesCleanTable[[#This Row],[Unit Cost]]) / SalesCleanTable[[#This Row],[Unit Price]]</f>
        <v>0.28205128205128205</v>
      </c>
      <c r="AC2714" t="str">
        <f>IF(SalesCleanTable[[#This Row],[Discount %]] &gt; SalesCleanTable[[#This Row],[Max Allowed Discount]], "Discount loss", "Safe")</f>
        <v>Safe</v>
      </c>
      <c r="AD2714" s="4">
        <f>SalesCleanTable[[#This Row],[Unit Price]] - SalesCleanTable[[#This Row],[Unit Cost]]</f>
        <v>1100</v>
      </c>
      <c r="AE2714" s="41">
        <f>(SalesCleanTable[[#This Row],[Unit Price]] - SalesCleanTable[[#This Row],[Unit Cost]]) / SalesCleanTable[[#This Row],[Unit Price]]</f>
        <v>0.28205128205128205</v>
      </c>
    </row>
    <row r="2715" spans="1:31">
      <c r="A2715" t="s">
        <v>2901</v>
      </c>
      <c r="B2715" s="6">
        <v>45914</v>
      </c>
      <c r="C2715" t="s">
        <v>57</v>
      </c>
      <c r="D2715" t="s">
        <v>58</v>
      </c>
      <c r="E2715" t="s">
        <v>59</v>
      </c>
      <c r="F2715" t="s">
        <v>60</v>
      </c>
      <c r="G2715" t="s">
        <v>61</v>
      </c>
      <c r="H2715" t="s">
        <v>145</v>
      </c>
      <c r="I2715" t="s">
        <v>146</v>
      </c>
      <c r="J2715" t="s">
        <v>147</v>
      </c>
      <c r="K2715" t="s">
        <v>148</v>
      </c>
      <c r="L2715" t="s">
        <v>166</v>
      </c>
      <c r="M2715" t="s">
        <v>177</v>
      </c>
      <c r="N2715">
        <v>5</v>
      </c>
      <c r="O2715" s="4">
        <v>2400</v>
      </c>
      <c r="P2715" s="4">
        <v>3400</v>
      </c>
      <c r="Q2715" s="7">
        <v>0</v>
      </c>
      <c r="R2715" t="s">
        <v>173</v>
      </c>
      <c r="S2715">
        <v>7</v>
      </c>
      <c r="T2715">
        <v>17000</v>
      </c>
      <c r="U2715">
        <v>0</v>
      </c>
      <c r="V2715">
        <v>17000</v>
      </c>
      <c r="W2715">
        <v>12000</v>
      </c>
      <c r="X2715">
        <v>5000</v>
      </c>
      <c r="Y2715" s="8">
        <v>0.29411764705882354</v>
      </c>
      <c r="Z2715" t="s">
        <v>2996</v>
      </c>
      <c r="AA2715" t="str">
        <f>IF(AND(SalesCleanTable[[#This Row],[Discount %]]&gt;0, SalesCleanTable[[#This Row],[Profit]]&lt;0), "Discount loss", "Safe")</f>
        <v>Safe</v>
      </c>
      <c r="AB2715" s="25">
        <f>(SalesCleanTable[[#This Row],[Unit Price]] - SalesCleanTable[[#This Row],[Unit Cost]]) / SalesCleanTable[[#This Row],[Unit Price]]</f>
        <v>0.29411764705882354</v>
      </c>
      <c r="AC2715" t="str">
        <f>IF(SalesCleanTable[[#This Row],[Discount %]] &gt; SalesCleanTable[[#This Row],[Max Allowed Discount]], "Discount loss", "Safe")</f>
        <v>Safe</v>
      </c>
      <c r="AD2715" s="4">
        <f>SalesCleanTable[[#This Row],[Unit Price]] - SalesCleanTable[[#This Row],[Unit Cost]]</f>
        <v>1000</v>
      </c>
      <c r="AE2715" s="41">
        <f>(SalesCleanTable[[#This Row],[Unit Price]] - SalesCleanTable[[#This Row],[Unit Cost]]) / SalesCleanTable[[#This Row],[Unit Price]]</f>
        <v>0.29411764705882354</v>
      </c>
    </row>
    <row r="2716" spans="1:31">
      <c r="A2716" t="s">
        <v>2902</v>
      </c>
      <c r="B2716" s="6">
        <v>45853</v>
      </c>
      <c r="C2716" t="s">
        <v>112</v>
      </c>
      <c r="D2716" t="s">
        <v>113</v>
      </c>
      <c r="E2716" t="s">
        <v>109</v>
      </c>
      <c r="F2716" t="s">
        <v>114</v>
      </c>
      <c r="G2716" t="s">
        <v>115</v>
      </c>
      <c r="H2716" t="s">
        <v>135</v>
      </c>
      <c r="I2716" t="s">
        <v>136</v>
      </c>
      <c r="J2716" t="s">
        <v>137</v>
      </c>
      <c r="K2716" t="s">
        <v>138</v>
      </c>
      <c r="L2716" t="s">
        <v>166</v>
      </c>
      <c r="M2716" t="s">
        <v>167</v>
      </c>
      <c r="N2716">
        <v>1</v>
      </c>
      <c r="O2716" s="4">
        <v>1300</v>
      </c>
      <c r="P2716" s="4">
        <v>2100</v>
      </c>
      <c r="Q2716" s="7">
        <v>0</v>
      </c>
      <c r="R2716" t="s">
        <v>235</v>
      </c>
      <c r="S2716">
        <v>4</v>
      </c>
      <c r="T2716">
        <v>2100</v>
      </c>
      <c r="U2716">
        <v>0</v>
      </c>
      <c r="V2716">
        <v>2100</v>
      </c>
      <c r="W2716">
        <v>1300</v>
      </c>
      <c r="X2716">
        <v>800</v>
      </c>
      <c r="Y2716" s="8">
        <v>0.38095238095238093</v>
      </c>
      <c r="Z2716" t="s">
        <v>2995</v>
      </c>
      <c r="AA2716" t="str">
        <f>IF(AND(SalesCleanTable[[#This Row],[Discount %]]&gt;0, SalesCleanTable[[#This Row],[Profit]]&lt;0), "Discount loss", "Safe")</f>
        <v>Safe</v>
      </c>
      <c r="AB2716" s="25">
        <f>(SalesCleanTable[[#This Row],[Unit Price]] - SalesCleanTable[[#This Row],[Unit Cost]]) / SalesCleanTable[[#This Row],[Unit Price]]</f>
        <v>0.38095238095238093</v>
      </c>
      <c r="AC2716" t="str">
        <f>IF(SalesCleanTable[[#This Row],[Discount %]] &gt; SalesCleanTable[[#This Row],[Max Allowed Discount]], "Discount loss", "Safe")</f>
        <v>Safe</v>
      </c>
      <c r="AD2716" s="4">
        <f>SalesCleanTable[[#This Row],[Unit Price]] - SalesCleanTable[[#This Row],[Unit Cost]]</f>
        <v>800</v>
      </c>
      <c r="AE2716" s="41">
        <f>(SalesCleanTable[[#This Row],[Unit Price]] - SalesCleanTable[[#This Row],[Unit Cost]]) / SalesCleanTable[[#This Row],[Unit Price]]</f>
        <v>0.38095238095238093</v>
      </c>
    </row>
    <row r="2717" spans="1:31">
      <c r="A2717" t="s">
        <v>2903</v>
      </c>
      <c r="B2717" s="6">
        <v>45926</v>
      </c>
      <c r="C2717" t="s">
        <v>53</v>
      </c>
      <c r="D2717" t="s">
        <v>54</v>
      </c>
      <c r="E2717" t="s">
        <v>38</v>
      </c>
      <c r="F2717" t="s">
        <v>55</v>
      </c>
      <c r="G2717" t="s">
        <v>56</v>
      </c>
      <c r="H2717" t="s">
        <v>135</v>
      </c>
      <c r="I2717" t="s">
        <v>136</v>
      </c>
      <c r="J2717" t="s">
        <v>137</v>
      </c>
      <c r="K2717" t="s">
        <v>138</v>
      </c>
      <c r="L2717" t="s">
        <v>166</v>
      </c>
      <c r="M2717" t="s">
        <v>171</v>
      </c>
      <c r="N2717">
        <v>10</v>
      </c>
      <c r="O2717" s="4">
        <v>330</v>
      </c>
      <c r="P2717" s="4">
        <v>550</v>
      </c>
      <c r="Q2717" s="7">
        <v>0</v>
      </c>
      <c r="R2717" t="s">
        <v>168</v>
      </c>
      <c r="S2717">
        <v>13</v>
      </c>
      <c r="T2717">
        <v>5500</v>
      </c>
      <c r="U2717">
        <v>0</v>
      </c>
      <c r="V2717">
        <v>5500</v>
      </c>
      <c r="W2717">
        <v>3300</v>
      </c>
      <c r="X2717">
        <v>2200</v>
      </c>
      <c r="Y2717" s="8">
        <v>0.4</v>
      </c>
      <c r="Z2717" t="s">
        <v>2996</v>
      </c>
      <c r="AA2717" t="str">
        <f>IF(AND(SalesCleanTable[[#This Row],[Discount %]]&gt;0, SalesCleanTable[[#This Row],[Profit]]&lt;0), "Discount loss", "Safe")</f>
        <v>Safe</v>
      </c>
      <c r="AB2717" s="25">
        <f>(SalesCleanTable[[#This Row],[Unit Price]] - SalesCleanTable[[#This Row],[Unit Cost]]) / SalesCleanTable[[#This Row],[Unit Price]]</f>
        <v>0.4</v>
      </c>
      <c r="AC2717" t="str">
        <f>IF(SalesCleanTable[[#This Row],[Discount %]] &gt; SalesCleanTable[[#This Row],[Max Allowed Discount]], "Discount loss", "Safe")</f>
        <v>Safe</v>
      </c>
      <c r="AD2717" s="4">
        <f>SalesCleanTable[[#This Row],[Unit Price]] - SalesCleanTable[[#This Row],[Unit Cost]]</f>
        <v>220</v>
      </c>
      <c r="AE2717" s="41">
        <f>(SalesCleanTable[[#This Row],[Unit Price]] - SalesCleanTable[[#This Row],[Unit Cost]]) / SalesCleanTable[[#This Row],[Unit Price]]</f>
        <v>0.4</v>
      </c>
    </row>
    <row r="2718" spans="1:31">
      <c r="A2718" t="s">
        <v>2904</v>
      </c>
      <c r="B2718" s="6">
        <v>45999</v>
      </c>
      <c r="C2718" t="s">
        <v>49</v>
      </c>
      <c r="D2718" t="s">
        <v>50</v>
      </c>
      <c r="E2718" t="s">
        <v>38</v>
      </c>
      <c r="F2718" t="s">
        <v>51</v>
      </c>
      <c r="G2718" t="s">
        <v>52</v>
      </c>
      <c r="H2718" t="s">
        <v>128</v>
      </c>
      <c r="I2718" t="s">
        <v>129</v>
      </c>
      <c r="J2718" t="s">
        <v>130</v>
      </c>
      <c r="K2718" t="s">
        <v>131</v>
      </c>
      <c r="L2718" t="s">
        <v>166</v>
      </c>
      <c r="M2718" t="s">
        <v>186</v>
      </c>
      <c r="N2718">
        <v>2</v>
      </c>
      <c r="O2718" s="4">
        <v>550</v>
      </c>
      <c r="P2718" s="4">
        <v>850</v>
      </c>
      <c r="Q2718" s="7">
        <v>0.05</v>
      </c>
      <c r="R2718" t="s">
        <v>178</v>
      </c>
      <c r="S2718">
        <v>12</v>
      </c>
      <c r="T2718">
        <v>1700</v>
      </c>
      <c r="U2718">
        <v>85</v>
      </c>
      <c r="V2718">
        <v>1615</v>
      </c>
      <c r="W2718">
        <v>1100</v>
      </c>
      <c r="X2718">
        <v>515</v>
      </c>
      <c r="Y2718" s="8">
        <v>0.31888544891640869</v>
      </c>
      <c r="Z2718" t="s">
        <v>2996</v>
      </c>
      <c r="AA2718" t="str">
        <f>IF(AND(SalesCleanTable[[#This Row],[Discount %]]&gt;0, SalesCleanTable[[#This Row],[Profit]]&lt;0), "Discount loss", "Safe")</f>
        <v>Safe</v>
      </c>
      <c r="AB2718" s="25">
        <f>(SalesCleanTable[[#This Row],[Unit Price]] - SalesCleanTable[[#This Row],[Unit Cost]]) / SalesCleanTable[[#This Row],[Unit Price]]</f>
        <v>0.35294117647058826</v>
      </c>
      <c r="AC2718" t="str">
        <f>IF(SalesCleanTable[[#This Row],[Discount %]] &gt; SalesCleanTable[[#This Row],[Max Allowed Discount]], "Discount loss", "Safe")</f>
        <v>Safe</v>
      </c>
      <c r="AD2718" s="4">
        <f>SalesCleanTable[[#This Row],[Unit Price]] - SalesCleanTable[[#This Row],[Unit Cost]]</f>
        <v>300</v>
      </c>
      <c r="AE2718" s="41">
        <f>(SalesCleanTable[[#This Row],[Unit Price]] - SalesCleanTable[[#This Row],[Unit Cost]]) / SalesCleanTable[[#This Row],[Unit Price]]</f>
        <v>0.35294117647058826</v>
      </c>
    </row>
    <row r="2719" spans="1:31">
      <c r="A2719" t="s">
        <v>2905</v>
      </c>
      <c r="B2719" s="6">
        <v>45809</v>
      </c>
      <c r="C2719" t="s">
        <v>112</v>
      </c>
      <c r="D2719" t="s">
        <v>113</v>
      </c>
      <c r="E2719" t="s">
        <v>109</v>
      </c>
      <c r="F2719" t="s">
        <v>114</v>
      </c>
      <c r="G2719" t="s">
        <v>115</v>
      </c>
      <c r="H2719" t="s">
        <v>128</v>
      </c>
      <c r="I2719" t="s">
        <v>129</v>
      </c>
      <c r="J2719" t="s">
        <v>130</v>
      </c>
      <c r="K2719" t="s">
        <v>131</v>
      </c>
      <c r="L2719" t="s">
        <v>166</v>
      </c>
      <c r="M2719" t="s">
        <v>167</v>
      </c>
      <c r="N2719">
        <v>5</v>
      </c>
      <c r="O2719" s="4">
        <v>1300</v>
      </c>
      <c r="P2719" s="4">
        <v>2100</v>
      </c>
      <c r="Q2719" s="7">
        <v>0.05</v>
      </c>
      <c r="R2719" t="s">
        <v>184</v>
      </c>
      <c r="S2719">
        <v>11</v>
      </c>
      <c r="T2719">
        <v>10500</v>
      </c>
      <c r="U2719">
        <v>525</v>
      </c>
      <c r="V2719">
        <v>9975</v>
      </c>
      <c r="W2719">
        <v>6500</v>
      </c>
      <c r="X2719">
        <v>3475</v>
      </c>
      <c r="Y2719" s="8">
        <v>0.34837092731829572</v>
      </c>
      <c r="Z2719" t="s">
        <v>2995</v>
      </c>
      <c r="AA2719" t="str">
        <f>IF(AND(SalesCleanTable[[#This Row],[Discount %]]&gt;0, SalesCleanTable[[#This Row],[Profit]]&lt;0), "Discount loss", "Safe")</f>
        <v>Safe</v>
      </c>
      <c r="AB2719" s="25">
        <f>(SalesCleanTable[[#This Row],[Unit Price]] - SalesCleanTable[[#This Row],[Unit Cost]]) / SalesCleanTable[[#This Row],[Unit Price]]</f>
        <v>0.38095238095238093</v>
      </c>
      <c r="AC2719" t="str">
        <f>IF(SalesCleanTable[[#This Row],[Discount %]] &gt; SalesCleanTable[[#This Row],[Max Allowed Discount]], "Discount loss", "Safe")</f>
        <v>Safe</v>
      </c>
      <c r="AD2719" s="4">
        <f>SalesCleanTable[[#This Row],[Unit Price]] - SalesCleanTable[[#This Row],[Unit Cost]]</f>
        <v>800</v>
      </c>
      <c r="AE2719" s="41">
        <f>(SalesCleanTable[[#This Row],[Unit Price]] - SalesCleanTable[[#This Row],[Unit Cost]]) / SalesCleanTable[[#This Row],[Unit Price]]</f>
        <v>0.38095238095238093</v>
      </c>
    </row>
    <row r="2720" spans="1:31">
      <c r="A2720" t="s">
        <v>2906</v>
      </c>
      <c r="B2720" s="6">
        <v>45753</v>
      </c>
      <c r="C2720" t="s">
        <v>45</v>
      </c>
      <c r="D2720" t="s">
        <v>46</v>
      </c>
      <c r="E2720" t="s">
        <v>38</v>
      </c>
      <c r="F2720" t="s">
        <v>47</v>
      </c>
      <c r="G2720" t="s">
        <v>48</v>
      </c>
      <c r="H2720" t="s">
        <v>133</v>
      </c>
      <c r="I2720" t="s">
        <v>134</v>
      </c>
      <c r="J2720" t="s">
        <v>130</v>
      </c>
      <c r="K2720" t="s">
        <v>131</v>
      </c>
      <c r="L2720" t="s">
        <v>183</v>
      </c>
      <c r="M2720" t="s">
        <v>167</v>
      </c>
      <c r="N2720">
        <v>3</v>
      </c>
      <c r="O2720" s="4">
        <v>230</v>
      </c>
      <c r="P2720" s="4">
        <v>400</v>
      </c>
      <c r="Q2720" s="7">
        <v>0.2</v>
      </c>
      <c r="R2720" t="s">
        <v>175</v>
      </c>
      <c r="S2720">
        <v>5</v>
      </c>
      <c r="T2720">
        <v>1200</v>
      </c>
      <c r="U2720">
        <v>240</v>
      </c>
      <c r="V2720">
        <v>960</v>
      </c>
      <c r="W2720">
        <v>690</v>
      </c>
      <c r="X2720">
        <v>270</v>
      </c>
      <c r="Y2720" s="8">
        <v>0.28125</v>
      </c>
      <c r="Z2720" t="s">
        <v>2995</v>
      </c>
      <c r="AA2720" t="str">
        <f>IF(AND(SalesCleanTable[[#This Row],[Discount %]]&gt;0, SalesCleanTable[[#This Row],[Profit]]&lt;0), "Discount loss", "Safe")</f>
        <v>Safe</v>
      </c>
      <c r="AB2720" s="25">
        <f>(SalesCleanTable[[#This Row],[Unit Price]] - SalesCleanTable[[#This Row],[Unit Cost]]) / SalesCleanTable[[#This Row],[Unit Price]]</f>
        <v>0.42499999999999999</v>
      </c>
      <c r="AC2720" t="str">
        <f>IF(SalesCleanTable[[#This Row],[Discount %]] &gt; SalesCleanTable[[#This Row],[Max Allowed Discount]], "Discount loss", "Safe")</f>
        <v>Safe</v>
      </c>
      <c r="AD2720" s="4">
        <f>SalesCleanTable[[#This Row],[Unit Price]] - SalesCleanTable[[#This Row],[Unit Cost]]</f>
        <v>170</v>
      </c>
      <c r="AE2720" s="41">
        <f>(SalesCleanTable[[#This Row],[Unit Price]] - SalesCleanTable[[#This Row],[Unit Cost]]) / SalesCleanTable[[#This Row],[Unit Price]]</f>
        <v>0.42499999999999999</v>
      </c>
    </row>
    <row r="2721" spans="1:31">
      <c r="A2721" t="s">
        <v>2907</v>
      </c>
      <c r="B2721" s="6">
        <v>45786</v>
      </c>
      <c r="C2721" t="s">
        <v>49</v>
      </c>
      <c r="D2721" t="s">
        <v>50</v>
      </c>
      <c r="E2721" t="s">
        <v>38</v>
      </c>
      <c r="F2721" t="s">
        <v>51</v>
      </c>
      <c r="G2721" t="s">
        <v>52</v>
      </c>
      <c r="H2721" t="s">
        <v>135</v>
      </c>
      <c r="I2721" t="s">
        <v>136</v>
      </c>
      <c r="J2721" t="s">
        <v>137</v>
      </c>
      <c r="K2721" t="s">
        <v>138</v>
      </c>
      <c r="L2721" t="s">
        <v>166</v>
      </c>
      <c r="M2721" t="s">
        <v>186</v>
      </c>
      <c r="N2721">
        <v>10</v>
      </c>
      <c r="O2721" s="4">
        <v>550</v>
      </c>
      <c r="P2721" s="4">
        <v>850</v>
      </c>
      <c r="Q2721" s="7">
        <v>0.05</v>
      </c>
      <c r="R2721" t="s">
        <v>178</v>
      </c>
      <c r="S2721">
        <v>4</v>
      </c>
      <c r="T2721">
        <v>8500</v>
      </c>
      <c r="U2721">
        <v>425</v>
      </c>
      <c r="V2721">
        <v>8075</v>
      </c>
      <c r="W2721">
        <v>5500</v>
      </c>
      <c r="X2721">
        <v>2575</v>
      </c>
      <c r="Y2721" s="8">
        <v>0.31888544891640869</v>
      </c>
      <c r="Z2721" t="s">
        <v>2996</v>
      </c>
      <c r="AA2721" t="str">
        <f>IF(AND(SalesCleanTable[[#This Row],[Discount %]]&gt;0, SalesCleanTable[[#This Row],[Profit]]&lt;0), "Discount loss", "Safe")</f>
        <v>Safe</v>
      </c>
      <c r="AB2721" s="25">
        <f>(SalesCleanTable[[#This Row],[Unit Price]] - SalesCleanTable[[#This Row],[Unit Cost]]) / SalesCleanTable[[#This Row],[Unit Price]]</f>
        <v>0.35294117647058826</v>
      </c>
      <c r="AC2721" t="str">
        <f>IF(SalesCleanTable[[#This Row],[Discount %]] &gt; SalesCleanTable[[#This Row],[Max Allowed Discount]], "Discount loss", "Safe")</f>
        <v>Safe</v>
      </c>
      <c r="AD2721" s="4">
        <f>SalesCleanTable[[#This Row],[Unit Price]] - SalesCleanTable[[#This Row],[Unit Cost]]</f>
        <v>300</v>
      </c>
      <c r="AE2721" s="41">
        <f>(SalesCleanTable[[#This Row],[Unit Price]] - SalesCleanTable[[#This Row],[Unit Cost]]) / SalesCleanTable[[#This Row],[Unit Price]]</f>
        <v>0.35294117647058826</v>
      </c>
    </row>
    <row r="2722" spans="1:31">
      <c r="A2722" t="s">
        <v>2908</v>
      </c>
      <c r="B2722" s="6">
        <v>45944</v>
      </c>
      <c r="C2722" t="s">
        <v>90</v>
      </c>
      <c r="D2722" t="s">
        <v>91</v>
      </c>
      <c r="E2722" t="s">
        <v>92</v>
      </c>
      <c r="F2722" t="s">
        <v>93</v>
      </c>
      <c r="G2722" t="s">
        <v>94</v>
      </c>
      <c r="H2722" t="s">
        <v>133</v>
      </c>
      <c r="I2722" t="s">
        <v>134</v>
      </c>
      <c r="J2722" t="s">
        <v>130</v>
      </c>
      <c r="K2722" t="s">
        <v>131</v>
      </c>
      <c r="L2722" t="s">
        <v>166</v>
      </c>
      <c r="M2722" t="s">
        <v>171</v>
      </c>
      <c r="N2722">
        <v>1</v>
      </c>
      <c r="O2722" s="4">
        <v>7500</v>
      </c>
      <c r="P2722" s="4">
        <v>10500</v>
      </c>
      <c r="Q2722" s="7">
        <v>0.15</v>
      </c>
      <c r="R2722" t="s">
        <v>215</v>
      </c>
      <c r="S2722">
        <v>4</v>
      </c>
      <c r="T2722">
        <v>10500</v>
      </c>
      <c r="U2722">
        <v>1575</v>
      </c>
      <c r="V2722">
        <v>8925</v>
      </c>
      <c r="W2722">
        <v>7500</v>
      </c>
      <c r="X2722">
        <v>1425</v>
      </c>
      <c r="Y2722" s="8">
        <v>0.15966386554621848</v>
      </c>
      <c r="Z2722" t="s">
        <v>2996</v>
      </c>
      <c r="AA2722" t="str">
        <f>IF(AND(SalesCleanTable[[#This Row],[Discount %]]&gt;0, SalesCleanTable[[#This Row],[Profit]]&lt;0), "Discount loss", "Safe")</f>
        <v>Safe</v>
      </c>
      <c r="AB2722" s="25">
        <f>(SalesCleanTable[[#This Row],[Unit Price]] - SalesCleanTable[[#This Row],[Unit Cost]]) / SalesCleanTable[[#This Row],[Unit Price]]</f>
        <v>0.2857142857142857</v>
      </c>
      <c r="AC2722" t="str">
        <f>IF(SalesCleanTable[[#This Row],[Discount %]] &gt; SalesCleanTable[[#This Row],[Max Allowed Discount]], "Discount loss", "Safe")</f>
        <v>Safe</v>
      </c>
      <c r="AD2722" s="4">
        <f>SalesCleanTable[[#This Row],[Unit Price]] - SalesCleanTable[[#This Row],[Unit Cost]]</f>
        <v>3000</v>
      </c>
      <c r="AE2722" s="41">
        <f>(SalesCleanTable[[#This Row],[Unit Price]] - SalesCleanTable[[#This Row],[Unit Cost]]) / SalesCleanTable[[#This Row],[Unit Price]]</f>
        <v>0.2857142857142857</v>
      </c>
    </row>
    <row r="2723" spans="1:31">
      <c r="A2723" t="s">
        <v>2909</v>
      </c>
      <c r="B2723" s="6">
        <v>45774</v>
      </c>
      <c r="C2723" t="s">
        <v>82</v>
      </c>
      <c r="D2723" t="s">
        <v>83</v>
      </c>
      <c r="E2723" t="s">
        <v>75</v>
      </c>
      <c r="F2723" t="s">
        <v>84</v>
      </c>
      <c r="G2723" t="s">
        <v>85</v>
      </c>
      <c r="H2723" t="s">
        <v>128</v>
      </c>
      <c r="I2723" t="s">
        <v>129</v>
      </c>
      <c r="J2723" t="s">
        <v>130</v>
      </c>
      <c r="K2723" t="s">
        <v>131</v>
      </c>
      <c r="L2723" t="s">
        <v>183</v>
      </c>
      <c r="M2723" t="s">
        <v>177</v>
      </c>
      <c r="N2723">
        <v>2</v>
      </c>
      <c r="O2723" s="4">
        <v>600</v>
      </c>
      <c r="P2723" s="4">
        <v>950</v>
      </c>
      <c r="Q2723" s="7">
        <v>0.2</v>
      </c>
      <c r="R2723" t="s">
        <v>204</v>
      </c>
      <c r="S2723">
        <v>10</v>
      </c>
      <c r="T2723">
        <v>1900</v>
      </c>
      <c r="U2723">
        <v>380</v>
      </c>
      <c r="V2723">
        <v>1520</v>
      </c>
      <c r="W2723">
        <v>1200</v>
      </c>
      <c r="X2723">
        <v>320</v>
      </c>
      <c r="Y2723" s="8">
        <v>0.21052631578947367</v>
      </c>
      <c r="Z2723" t="s">
        <v>2996</v>
      </c>
      <c r="AA2723" t="str">
        <f>IF(AND(SalesCleanTable[[#This Row],[Discount %]]&gt;0, SalesCleanTable[[#This Row],[Profit]]&lt;0), "Discount loss", "Safe")</f>
        <v>Safe</v>
      </c>
      <c r="AB2723" s="25">
        <f>(SalesCleanTable[[#This Row],[Unit Price]] - SalesCleanTable[[#This Row],[Unit Cost]]) / SalesCleanTable[[#This Row],[Unit Price]]</f>
        <v>0.36842105263157893</v>
      </c>
      <c r="AC2723" t="str">
        <f>IF(SalesCleanTable[[#This Row],[Discount %]] &gt; SalesCleanTable[[#This Row],[Max Allowed Discount]], "Discount loss", "Safe")</f>
        <v>Safe</v>
      </c>
      <c r="AD2723" s="4">
        <f>SalesCleanTable[[#This Row],[Unit Price]] - SalesCleanTable[[#This Row],[Unit Cost]]</f>
        <v>350</v>
      </c>
      <c r="AE2723" s="41">
        <f>(SalesCleanTable[[#This Row],[Unit Price]] - SalesCleanTable[[#This Row],[Unit Cost]]) / SalesCleanTable[[#This Row],[Unit Price]]</f>
        <v>0.36842105263157893</v>
      </c>
    </row>
    <row r="2724" spans="1:31">
      <c r="A2724" t="s">
        <v>2910</v>
      </c>
      <c r="B2724" s="6">
        <v>45987</v>
      </c>
      <c r="C2724" t="s">
        <v>36</v>
      </c>
      <c r="D2724" t="s">
        <v>37</v>
      </c>
      <c r="E2724" t="s">
        <v>38</v>
      </c>
      <c r="F2724" t="s">
        <v>39</v>
      </c>
      <c r="G2724" t="s">
        <v>40</v>
      </c>
      <c r="H2724" t="s">
        <v>153</v>
      </c>
      <c r="I2724" t="s">
        <v>154</v>
      </c>
      <c r="J2724" t="s">
        <v>155</v>
      </c>
      <c r="K2724" t="s">
        <v>131</v>
      </c>
      <c r="L2724" t="s">
        <v>166</v>
      </c>
      <c r="M2724" t="s">
        <v>177</v>
      </c>
      <c r="N2724">
        <v>2</v>
      </c>
      <c r="O2724" s="4">
        <v>1650</v>
      </c>
      <c r="P2724" s="4">
        <v>2200</v>
      </c>
      <c r="Q2724" s="7">
        <v>0.1</v>
      </c>
      <c r="R2724" t="s">
        <v>175</v>
      </c>
      <c r="S2724">
        <v>1</v>
      </c>
      <c r="T2724">
        <v>4400</v>
      </c>
      <c r="U2724">
        <v>440</v>
      </c>
      <c r="V2724">
        <v>3960</v>
      </c>
      <c r="W2724">
        <v>3300</v>
      </c>
      <c r="X2724">
        <v>660</v>
      </c>
      <c r="Y2724" s="8">
        <v>0.16666666666666666</v>
      </c>
      <c r="Z2724" t="s">
        <v>2995</v>
      </c>
      <c r="AA2724" t="str">
        <f>IF(AND(SalesCleanTable[[#This Row],[Discount %]]&gt;0, SalesCleanTable[[#This Row],[Profit]]&lt;0), "Discount loss", "Safe")</f>
        <v>Safe</v>
      </c>
      <c r="AB2724" s="25">
        <f>(SalesCleanTable[[#This Row],[Unit Price]] - SalesCleanTable[[#This Row],[Unit Cost]]) / SalesCleanTable[[#This Row],[Unit Price]]</f>
        <v>0.25</v>
      </c>
      <c r="AC2724" t="str">
        <f>IF(SalesCleanTable[[#This Row],[Discount %]] &gt; SalesCleanTable[[#This Row],[Max Allowed Discount]], "Discount loss", "Safe")</f>
        <v>Safe</v>
      </c>
      <c r="AD2724" s="4">
        <f>SalesCleanTable[[#This Row],[Unit Price]] - SalesCleanTable[[#This Row],[Unit Cost]]</f>
        <v>550</v>
      </c>
      <c r="AE2724" s="41">
        <f>(SalesCleanTable[[#This Row],[Unit Price]] - SalesCleanTable[[#This Row],[Unit Cost]]) / SalesCleanTable[[#This Row],[Unit Price]]</f>
        <v>0.25</v>
      </c>
    </row>
    <row r="2725" spans="1:31">
      <c r="A2725" t="s">
        <v>2911</v>
      </c>
      <c r="B2725" s="6">
        <v>46009</v>
      </c>
      <c r="C2725" t="s">
        <v>32</v>
      </c>
      <c r="D2725" t="s">
        <v>33</v>
      </c>
      <c r="E2725" t="s">
        <v>26</v>
      </c>
      <c r="F2725" t="s">
        <v>34</v>
      </c>
      <c r="G2725" t="s">
        <v>35</v>
      </c>
      <c r="H2725" t="s">
        <v>128</v>
      </c>
      <c r="I2725" t="s">
        <v>129</v>
      </c>
      <c r="J2725" t="s">
        <v>130</v>
      </c>
      <c r="K2725" t="s">
        <v>131</v>
      </c>
      <c r="L2725" t="s">
        <v>166</v>
      </c>
      <c r="M2725" t="s">
        <v>167</v>
      </c>
      <c r="N2725">
        <v>3</v>
      </c>
      <c r="O2725" s="4">
        <v>7800</v>
      </c>
      <c r="P2725" s="4">
        <v>9800</v>
      </c>
      <c r="Q2725" s="7">
        <v>0</v>
      </c>
      <c r="R2725" t="s">
        <v>197</v>
      </c>
      <c r="S2725">
        <v>9</v>
      </c>
      <c r="T2725">
        <v>29400</v>
      </c>
      <c r="U2725">
        <v>0</v>
      </c>
      <c r="V2725">
        <v>29400</v>
      </c>
      <c r="W2725">
        <v>23400</v>
      </c>
      <c r="X2725">
        <v>6000</v>
      </c>
      <c r="Y2725" s="8">
        <v>0.20408163265306123</v>
      </c>
      <c r="Z2725" t="s">
        <v>2995</v>
      </c>
      <c r="AA2725" t="str">
        <f>IF(AND(SalesCleanTable[[#This Row],[Discount %]]&gt;0, SalesCleanTable[[#This Row],[Profit]]&lt;0), "Discount loss", "Safe")</f>
        <v>Safe</v>
      </c>
      <c r="AB2725" s="25">
        <f>(SalesCleanTable[[#This Row],[Unit Price]] - SalesCleanTable[[#This Row],[Unit Cost]]) / SalesCleanTable[[#This Row],[Unit Price]]</f>
        <v>0.20408163265306123</v>
      </c>
      <c r="AC2725" t="str">
        <f>IF(SalesCleanTable[[#This Row],[Discount %]] &gt; SalesCleanTable[[#This Row],[Max Allowed Discount]], "Discount loss", "Safe")</f>
        <v>Safe</v>
      </c>
      <c r="AD2725" s="4">
        <f>SalesCleanTable[[#This Row],[Unit Price]] - SalesCleanTable[[#This Row],[Unit Cost]]</f>
        <v>2000</v>
      </c>
      <c r="AE2725" s="41">
        <f>(SalesCleanTable[[#This Row],[Unit Price]] - SalesCleanTable[[#This Row],[Unit Cost]]) / SalesCleanTable[[#This Row],[Unit Price]]</f>
        <v>0.20408163265306123</v>
      </c>
    </row>
    <row r="2726" spans="1:31">
      <c r="A2726" t="s">
        <v>2912</v>
      </c>
      <c r="B2726" s="6">
        <v>45702</v>
      </c>
      <c r="C2726" t="s">
        <v>57</v>
      </c>
      <c r="D2726" t="s">
        <v>58</v>
      </c>
      <c r="E2726" t="s">
        <v>59</v>
      </c>
      <c r="F2726" t="s">
        <v>60</v>
      </c>
      <c r="G2726" t="s">
        <v>61</v>
      </c>
      <c r="H2726" t="s">
        <v>139</v>
      </c>
      <c r="I2726" t="s">
        <v>140</v>
      </c>
      <c r="J2726" t="s">
        <v>137</v>
      </c>
      <c r="K2726" t="s">
        <v>138</v>
      </c>
      <c r="L2726" t="s">
        <v>166</v>
      </c>
      <c r="M2726" t="s">
        <v>177</v>
      </c>
      <c r="N2726">
        <v>3</v>
      </c>
      <c r="O2726" s="4">
        <v>2400</v>
      </c>
      <c r="P2726" s="4">
        <v>3400</v>
      </c>
      <c r="Q2726" s="7">
        <v>0.2</v>
      </c>
      <c r="R2726" t="s">
        <v>204</v>
      </c>
      <c r="S2726">
        <v>6</v>
      </c>
      <c r="T2726">
        <v>10200</v>
      </c>
      <c r="U2726">
        <v>2040</v>
      </c>
      <c r="V2726">
        <v>8160</v>
      </c>
      <c r="W2726">
        <v>7200</v>
      </c>
      <c r="X2726">
        <v>960</v>
      </c>
      <c r="Y2726" s="8">
        <v>0.11764705882352941</v>
      </c>
      <c r="Z2726" t="s">
        <v>2996</v>
      </c>
      <c r="AA2726" t="str">
        <f>IF(AND(SalesCleanTable[[#This Row],[Discount %]]&gt;0, SalesCleanTable[[#This Row],[Profit]]&lt;0), "Discount loss", "Safe")</f>
        <v>Safe</v>
      </c>
      <c r="AB2726" s="25">
        <f>(SalesCleanTable[[#This Row],[Unit Price]] - SalesCleanTable[[#This Row],[Unit Cost]]) / SalesCleanTable[[#This Row],[Unit Price]]</f>
        <v>0.29411764705882354</v>
      </c>
      <c r="AC2726" t="str">
        <f>IF(SalesCleanTable[[#This Row],[Discount %]] &gt; SalesCleanTable[[#This Row],[Max Allowed Discount]], "Discount loss", "Safe")</f>
        <v>Safe</v>
      </c>
      <c r="AD2726" s="4">
        <f>SalesCleanTable[[#This Row],[Unit Price]] - SalesCleanTable[[#This Row],[Unit Cost]]</f>
        <v>1000</v>
      </c>
      <c r="AE2726" s="41">
        <f>(SalesCleanTable[[#This Row],[Unit Price]] - SalesCleanTable[[#This Row],[Unit Cost]]) / SalesCleanTable[[#This Row],[Unit Price]]</f>
        <v>0.29411764705882354</v>
      </c>
    </row>
    <row r="2727" spans="1:31">
      <c r="A2727" t="s">
        <v>2913</v>
      </c>
      <c r="B2727" s="6">
        <v>45927</v>
      </c>
      <c r="C2727" t="s">
        <v>69</v>
      </c>
      <c r="D2727" t="s">
        <v>70</v>
      </c>
      <c r="E2727" t="s">
        <v>59</v>
      </c>
      <c r="F2727" t="s">
        <v>71</v>
      </c>
      <c r="G2727" t="s">
        <v>72</v>
      </c>
      <c r="H2727" t="s">
        <v>145</v>
      </c>
      <c r="I2727" t="s">
        <v>146</v>
      </c>
      <c r="J2727" t="s">
        <v>147</v>
      </c>
      <c r="K2727" t="s">
        <v>148</v>
      </c>
      <c r="L2727" t="s">
        <v>183</v>
      </c>
      <c r="M2727" t="s">
        <v>186</v>
      </c>
      <c r="N2727">
        <v>4</v>
      </c>
      <c r="O2727" s="4">
        <v>1700</v>
      </c>
      <c r="P2727" s="4">
        <v>2600</v>
      </c>
      <c r="Q2727" s="7">
        <v>0.1</v>
      </c>
      <c r="R2727" t="s">
        <v>204</v>
      </c>
      <c r="S2727">
        <v>10</v>
      </c>
      <c r="T2727">
        <v>10400</v>
      </c>
      <c r="U2727">
        <v>1040</v>
      </c>
      <c r="V2727">
        <v>9360</v>
      </c>
      <c r="W2727">
        <v>6800</v>
      </c>
      <c r="X2727">
        <v>2560</v>
      </c>
      <c r="Y2727" s="8">
        <v>0.27350427350427353</v>
      </c>
      <c r="Z2727" t="s">
        <v>2997</v>
      </c>
      <c r="AA2727" t="str">
        <f>IF(AND(SalesCleanTable[[#This Row],[Discount %]]&gt;0, SalesCleanTable[[#This Row],[Profit]]&lt;0), "Discount loss", "Safe")</f>
        <v>Safe</v>
      </c>
      <c r="AB2727" s="25">
        <f>(SalesCleanTable[[#This Row],[Unit Price]] - SalesCleanTable[[#This Row],[Unit Cost]]) / SalesCleanTable[[#This Row],[Unit Price]]</f>
        <v>0.34615384615384615</v>
      </c>
      <c r="AC2727" t="str">
        <f>IF(SalesCleanTable[[#This Row],[Discount %]] &gt; SalesCleanTable[[#This Row],[Max Allowed Discount]], "Discount loss", "Safe")</f>
        <v>Safe</v>
      </c>
      <c r="AD2727" s="4">
        <f>SalesCleanTable[[#This Row],[Unit Price]] - SalesCleanTable[[#This Row],[Unit Cost]]</f>
        <v>900</v>
      </c>
      <c r="AE2727" s="41">
        <f>(SalesCleanTable[[#This Row],[Unit Price]] - SalesCleanTable[[#This Row],[Unit Cost]]) / SalesCleanTable[[#This Row],[Unit Price]]</f>
        <v>0.34615384615384615</v>
      </c>
    </row>
    <row r="2728" spans="1:31">
      <c r="A2728" t="s">
        <v>2914</v>
      </c>
      <c r="B2728" s="6">
        <v>45977</v>
      </c>
      <c r="C2728" t="s">
        <v>66</v>
      </c>
      <c r="D2728" t="s">
        <v>67</v>
      </c>
      <c r="E2728" t="s">
        <v>59</v>
      </c>
      <c r="F2728" t="s">
        <v>60</v>
      </c>
      <c r="G2728" t="s">
        <v>68</v>
      </c>
      <c r="H2728" t="s">
        <v>135</v>
      </c>
      <c r="I2728" t="s">
        <v>136</v>
      </c>
      <c r="J2728" t="s">
        <v>137</v>
      </c>
      <c r="K2728" t="s">
        <v>138</v>
      </c>
      <c r="L2728" t="s">
        <v>166</v>
      </c>
      <c r="M2728" t="s">
        <v>177</v>
      </c>
      <c r="N2728">
        <v>8</v>
      </c>
      <c r="O2728" s="4">
        <v>2800</v>
      </c>
      <c r="P2728" s="4">
        <v>3900</v>
      </c>
      <c r="Q2728" s="7">
        <v>0</v>
      </c>
      <c r="R2728" t="s">
        <v>173</v>
      </c>
      <c r="S2728">
        <v>14</v>
      </c>
      <c r="T2728">
        <v>31200</v>
      </c>
      <c r="U2728">
        <v>0</v>
      </c>
      <c r="V2728">
        <v>31200</v>
      </c>
      <c r="W2728">
        <v>22400</v>
      </c>
      <c r="X2728">
        <v>8800</v>
      </c>
      <c r="Y2728" s="8">
        <v>0.28205128205128205</v>
      </c>
      <c r="Z2728" t="s">
        <v>2996</v>
      </c>
      <c r="AA2728" t="str">
        <f>IF(AND(SalesCleanTable[[#This Row],[Discount %]]&gt;0, SalesCleanTable[[#This Row],[Profit]]&lt;0), "Discount loss", "Safe")</f>
        <v>Safe</v>
      </c>
      <c r="AB2728" s="25">
        <f>(SalesCleanTable[[#This Row],[Unit Price]] - SalesCleanTable[[#This Row],[Unit Cost]]) / SalesCleanTable[[#This Row],[Unit Price]]</f>
        <v>0.28205128205128205</v>
      </c>
      <c r="AC2728" t="str">
        <f>IF(SalesCleanTable[[#This Row],[Discount %]] &gt; SalesCleanTable[[#This Row],[Max Allowed Discount]], "Discount loss", "Safe")</f>
        <v>Safe</v>
      </c>
      <c r="AD2728" s="4">
        <f>SalesCleanTable[[#This Row],[Unit Price]] - SalesCleanTable[[#This Row],[Unit Cost]]</f>
        <v>1100</v>
      </c>
      <c r="AE2728" s="41">
        <f>(SalesCleanTable[[#This Row],[Unit Price]] - SalesCleanTable[[#This Row],[Unit Cost]]) / SalesCleanTable[[#This Row],[Unit Price]]</f>
        <v>0.28205128205128205</v>
      </c>
    </row>
    <row r="2729" spans="1:31">
      <c r="A2729" t="s">
        <v>2915</v>
      </c>
      <c r="B2729" s="6">
        <v>45829</v>
      </c>
      <c r="C2729" t="s">
        <v>120</v>
      </c>
      <c r="D2729" t="s">
        <v>121</v>
      </c>
      <c r="E2729" t="s">
        <v>109</v>
      </c>
      <c r="F2729" t="s">
        <v>93</v>
      </c>
      <c r="G2729" t="s">
        <v>122</v>
      </c>
      <c r="H2729" t="s">
        <v>135</v>
      </c>
      <c r="I2729" t="s">
        <v>136</v>
      </c>
      <c r="J2729" t="s">
        <v>137</v>
      </c>
      <c r="K2729" t="s">
        <v>138</v>
      </c>
      <c r="L2729" t="s">
        <v>166</v>
      </c>
      <c r="M2729" t="s">
        <v>177</v>
      </c>
      <c r="N2729">
        <v>4</v>
      </c>
      <c r="O2729" s="4">
        <v>1700</v>
      </c>
      <c r="P2729" s="4">
        <v>2800</v>
      </c>
      <c r="Q2729" s="7">
        <v>0.15</v>
      </c>
      <c r="R2729" t="s">
        <v>235</v>
      </c>
      <c r="S2729">
        <v>7</v>
      </c>
      <c r="T2729">
        <v>11200</v>
      </c>
      <c r="U2729">
        <v>1680</v>
      </c>
      <c r="V2729">
        <v>9520</v>
      </c>
      <c r="W2729">
        <v>6800</v>
      </c>
      <c r="X2729">
        <v>2720</v>
      </c>
      <c r="Y2729" s="8">
        <v>0.2857142857142857</v>
      </c>
      <c r="Z2729" t="s">
        <v>2997</v>
      </c>
      <c r="AA2729" t="str">
        <f>IF(AND(SalesCleanTable[[#This Row],[Discount %]]&gt;0, SalesCleanTable[[#This Row],[Profit]]&lt;0), "Discount loss", "Safe")</f>
        <v>Safe</v>
      </c>
      <c r="AB2729" s="25">
        <f>(SalesCleanTable[[#This Row],[Unit Price]] - SalesCleanTable[[#This Row],[Unit Cost]]) / SalesCleanTable[[#This Row],[Unit Price]]</f>
        <v>0.39285714285714285</v>
      </c>
      <c r="AC2729" t="str">
        <f>IF(SalesCleanTable[[#This Row],[Discount %]] &gt; SalesCleanTable[[#This Row],[Max Allowed Discount]], "Discount loss", "Safe")</f>
        <v>Safe</v>
      </c>
      <c r="AD2729" s="4">
        <f>SalesCleanTable[[#This Row],[Unit Price]] - SalesCleanTable[[#This Row],[Unit Cost]]</f>
        <v>1100</v>
      </c>
      <c r="AE2729" s="41">
        <f>(SalesCleanTable[[#This Row],[Unit Price]] - SalesCleanTable[[#This Row],[Unit Cost]]) / SalesCleanTable[[#This Row],[Unit Price]]</f>
        <v>0.39285714285714285</v>
      </c>
    </row>
    <row r="2730" spans="1:31">
      <c r="A2730" t="s">
        <v>2916</v>
      </c>
      <c r="B2730" s="6">
        <v>45766</v>
      </c>
      <c r="C2730" t="s">
        <v>73</v>
      </c>
      <c r="D2730" t="s">
        <v>74</v>
      </c>
      <c r="E2730" t="s">
        <v>75</v>
      </c>
      <c r="F2730" t="s">
        <v>76</v>
      </c>
      <c r="G2730" t="s">
        <v>77</v>
      </c>
      <c r="H2730" t="s">
        <v>141</v>
      </c>
      <c r="I2730" t="s">
        <v>142</v>
      </c>
      <c r="J2730" t="s">
        <v>143</v>
      </c>
      <c r="K2730" t="s">
        <v>144</v>
      </c>
      <c r="L2730" t="s">
        <v>166</v>
      </c>
      <c r="M2730" t="s">
        <v>167</v>
      </c>
      <c r="N2730">
        <v>8</v>
      </c>
      <c r="O2730" s="4">
        <v>3500</v>
      </c>
      <c r="P2730" s="4">
        <v>5200</v>
      </c>
      <c r="Q2730" s="7">
        <v>0.1</v>
      </c>
      <c r="R2730" t="s">
        <v>208</v>
      </c>
      <c r="S2730">
        <v>4</v>
      </c>
      <c r="T2730">
        <v>41600</v>
      </c>
      <c r="U2730">
        <v>4160</v>
      </c>
      <c r="V2730">
        <v>37440</v>
      </c>
      <c r="W2730">
        <v>28000</v>
      </c>
      <c r="X2730">
        <v>9440</v>
      </c>
      <c r="Y2730" s="8">
        <v>0.25213675213675213</v>
      </c>
      <c r="Z2730" t="s">
        <v>2996</v>
      </c>
      <c r="AA2730" t="str">
        <f>IF(AND(SalesCleanTable[[#This Row],[Discount %]]&gt;0, SalesCleanTable[[#This Row],[Profit]]&lt;0), "Discount loss", "Safe")</f>
        <v>Safe</v>
      </c>
      <c r="AB2730" s="25">
        <f>(SalesCleanTable[[#This Row],[Unit Price]] - SalesCleanTable[[#This Row],[Unit Cost]]) / SalesCleanTable[[#This Row],[Unit Price]]</f>
        <v>0.32692307692307693</v>
      </c>
      <c r="AC2730" t="str">
        <f>IF(SalesCleanTable[[#This Row],[Discount %]] &gt; SalesCleanTable[[#This Row],[Max Allowed Discount]], "Discount loss", "Safe")</f>
        <v>Safe</v>
      </c>
      <c r="AD2730" s="4">
        <f>SalesCleanTable[[#This Row],[Unit Price]] - SalesCleanTable[[#This Row],[Unit Cost]]</f>
        <v>1700</v>
      </c>
      <c r="AE2730" s="41">
        <f>(SalesCleanTable[[#This Row],[Unit Price]] - SalesCleanTable[[#This Row],[Unit Cost]]) / SalesCleanTable[[#This Row],[Unit Price]]</f>
        <v>0.32692307692307693</v>
      </c>
    </row>
    <row r="2731" spans="1:31">
      <c r="A2731" t="s">
        <v>2917</v>
      </c>
      <c r="B2731" s="6">
        <v>45744</v>
      </c>
      <c r="C2731" t="s">
        <v>66</v>
      </c>
      <c r="D2731" t="s">
        <v>67</v>
      </c>
      <c r="E2731" t="s">
        <v>59</v>
      </c>
      <c r="F2731" t="s">
        <v>60</v>
      </c>
      <c r="G2731" t="s">
        <v>68</v>
      </c>
      <c r="H2731" t="s">
        <v>153</v>
      </c>
      <c r="I2731" t="s">
        <v>154</v>
      </c>
      <c r="J2731" t="s">
        <v>155</v>
      </c>
      <c r="K2731" t="s">
        <v>131</v>
      </c>
      <c r="L2731" t="s">
        <v>183</v>
      </c>
      <c r="M2731" t="s">
        <v>171</v>
      </c>
      <c r="N2731">
        <v>2</v>
      </c>
      <c r="O2731" s="4">
        <v>2800</v>
      </c>
      <c r="P2731" s="4">
        <v>3900</v>
      </c>
      <c r="Q2731" s="7">
        <v>0.05</v>
      </c>
      <c r="R2731" t="s">
        <v>204</v>
      </c>
      <c r="S2731">
        <v>2</v>
      </c>
      <c r="T2731">
        <v>7800</v>
      </c>
      <c r="U2731">
        <v>390</v>
      </c>
      <c r="V2731">
        <v>7410</v>
      </c>
      <c r="W2731">
        <v>5600</v>
      </c>
      <c r="X2731">
        <v>1810</v>
      </c>
      <c r="Y2731" s="8">
        <v>0.24426450742240216</v>
      </c>
      <c r="Z2731" t="s">
        <v>2996</v>
      </c>
      <c r="AA2731" t="str">
        <f>IF(AND(SalesCleanTable[[#This Row],[Discount %]]&gt;0, SalesCleanTable[[#This Row],[Profit]]&lt;0), "Discount loss", "Safe")</f>
        <v>Safe</v>
      </c>
      <c r="AB2731" s="25">
        <f>(SalesCleanTable[[#This Row],[Unit Price]] - SalesCleanTable[[#This Row],[Unit Cost]]) / SalesCleanTable[[#This Row],[Unit Price]]</f>
        <v>0.28205128205128205</v>
      </c>
      <c r="AC2731" t="str">
        <f>IF(SalesCleanTable[[#This Row],[Discount %]] &gt; SalesCleanTable[[#This Row],[Max Allowed Discount]], "Discount loss", "Safe")</f>
        <v>Safe</v>
      </c>
      <c r="AD2731" s="4">
        <f>SalesCleanTable[[#This Row],[Unit Price]] - SalesCleanTable[[#This Row],[Unit Cost]]</f>
        <v>1100</v>
      </c>
      <c r="AE2731" s="41">
        <f>(SalesCleanTable[[#This Row],[Unit Price]] - SalesCleanTable[[#This Row],[Unit Cost]]) / SalesCleanTable[[#This Row],[Unit Price]]</f>
        <v>0.28205128205128205</v>
      </c>
    </row>
    <row r="2732" spans="1:31">
      <c r="A2732" t="s">
        <v>2918</v>
      </c>
      <c r="B2732" s="6">
        <v>45814</v>
      </c>
      <c r="C2732" t="s">
        <v>69</v>
      </c>
      <c r="D2732" t="s">
        <v>70</v>
      </c>
      <c r="E2732" t="s">
        <v>59</v>
      </c>
      <c r="F2732" t="s">
        <v>71</v>
      </c>
      <c r="G2732" t="s">
        <v>72</v>
      </c>
      <c r="H2732" t="s">
        <v>133</v>
      </c>
      <c r="I2732" t="s">
        <v>134</v>
      </c>
      <c r="J2732" t="s">
        <v>130</v>
      </c>
      <c r="K2732" t="s">
        <v>131</v>
      </c>
      <c r="L2732" t="s">
        <v>166</v>
      </c>
      <c r="M2732" t="s">
        <v>171</v>
      </c>
      <c r="N2732">
        <v>6</v>
      </c>
      <c r="O2732" s="4">
        <v>1700</v>
      </c>
      <c r="P2732" s="4">
        <v>2600</v>
      </c>
      <c r="Q2732" s="7">
        <v>0.05</v>
      </c>
      <c r="R2732" t="s">
        <v>192</v>
      </c>
      <c r="S2732">
        <v>9</v>
      </c>
      <c r="T2732">
        <v>15600</v>
      </c>
      <c r="U2732">
        <v>780</v>
      </c>
      <c r="V2732">
        <v>14820</v>
      </c>
      <c r="W2732">
        <v>10200</v>
      </c>
      <c r="X2732">
        <v>4620</v>
      </c>
      <c r="Y2732" s="8">
        <v>0.31174089068825911</v>
      </c>
      <c r="Z2732" t="s">
        <v>2997</v>
      </c>
      <c r="AA2732" t="str">
        <f>IF(AND(SalesCleanTable[[#This Row],[Discount %]]&gt;0, SalesCleanTable[[#This Row],[Profit]]&lt;0), "Discount loss", "Safe")</f>
        <v>Safe</v>
      </c>
      <c r="AB2732" s="25">
        <f>(SalesCleanTable[[#This Row],[Unit Price]] - SalesCleanTable[[#This Row],[Unit Cost]]) / SalesCleanTable[[#This Row],[Unit Price]]</f>
        <v>0.34615384615384615</v>
      </c>
      <c r="AC2732" t="str">
        <f>IF(SalesCleanTable[[#This Row],[Discount %]] &gt; SalesCleanTable[[#This Row],[Max Allowed Discount]], "Discount loss", "Safe")</f>
        <v>Safe</v>
      </c>
      <c r="AD2732" s="4">
        <f>SalesCleanTable[[#This Row],[Unit Price]] - SalesCleanTable[[#This Row],[Unit Cost]]</f>
        <v>900</v>
      </c>
      <c r="AE2732" s="41">
        <f>(SalesCleanTable[[#This Row],[Unit Price]] - SalesCleanTable[[#This Row],[Unit Cost]]) / SalesCleanTable[[#This Row],[Unit Price]]</f>
        <v>0.34615384615384615</v>
      </c>
    </row>
    <row r="2733" spans="1:31">
      <c r="A2733" t="s">
        <v>2919</v>
      </c>
      <c r="B2733" s="6">
        <v>46021</v>
      </c>
      <c r="C2733" t="s">
        <v>66</v>
      </c>
      <c r="D2733" t="s">
        <v>67</v>
      </c>
      <c r="E2733" t="s">
        <v>59</v>
      </c>
      <c r="F2733" t="s">
        <v>60</v>
      </c>
      <c r="G2733" t="s">
        <v>68</v>
      </c>
      <c r="H2733" t="s">
        <v>139</v>
      </c>
      <c r="I2733" t="s">
        <v>140</v>
      </c>
      <c r="J2733" t="s">
        <v>137</v>
      </c>
      <c r="K2733" t="s">
        <v>138</v>
      </c>
      <c r="L2733" t="s">
        <v>170</v>
      </c>
      <c r="M2733" t="s">
        <v>177</v>
      </c>
      <c r="N2733">
        <v>3</v>
      </c>
      <c r="O2733" s="4">
        <v>2800</v>
      </c>
      <c r="P2733" s="4">
        <v>3900</v>
      </c>
      <c r="Q2733" s="7">
        <v>0.05</v>
      </c>
      <c r="R2733" t="s">
        <v>192</v>
      </c>
      <c r="S2733">
        <v>2</v>
      </c>
      <c r="T2733">
        <v>11700</v>
      </c>
      <c r="U2733">
        <v>585</v>
      </c>
      <c r="V2733">
        <v>11115</v>
      </c>
      <c r="W2733">
        <v>8400</v>
      </c>
      <c r="X2733">
        <v>2715</v>
      </c>
      <c r="Y2733" s="8">
        <v>0.24426450742240216</v>
      </c>
      <c r="Z2733" t="s">
        <v>2996</v>
      </c>
      <c r="AA2733" t="str">
        <f>IF(AND(SalesCleanTable[[#This Row],[Discount %]]&gt;0, SalesCleanTable[[#This Row],[Profit]]&lt;0), "Discount loss", "Safe")</f>
        <v>Safe</v>
      </c>
      <c r="AB2733" s="25">
        <f>(SalesCleanTable[[#This Row],[Unit Price]] - SalesCleanTable[[#This Row],[Unit Cost]]) / SalesCleanTable[[#This Row],[Unit Price]]</f>
        <v>0.28205128205128205</v>
      </c>
      <c r="AC2733" t="str">
        <f>IF(SalesCleanTable[[#This Row],[Discount %]] &gt; SalesCleanTable[[#This Row],[Max Allowed Discount]], "Discount loss", "Safe")</f>
        <v>Safe</v>
      </c>
      <c r="AD2733" s="4">
        <f>SalesCleanTable[[#This Row],[Unit Price]] - SalesCleanTable[[#This Row],[Unit Cost]]</f>
        <v>1100</v>
      </c>
      <c r="AE2733" s="41">
        <f>(SalesCleanTable[[#This Row],[Unit Price]] - SalesCleanTable[[#This Row],[Unit Cost]]) / SalesCleanTable[[#This Row],[Unit Price]]</f>
        <v>0.28205128205128205</v>
      </c>
    </row>
    <row r="2734" spans="1:31">
      <c r="A2734" t="s">
        <v>2920</v>
      </c>
      <c r="B2734" s="6">
        <v>45987</v>
      </c>
      <c r="C2734" t="s">
        <v>99</v>
      </c>
      <c r="D2734" t="s">
        <v>100</v>
      </c>
      <c r="E2734" t="s">
        <v>92</v>
      </c>
      <c r="F2734" t="s">
        <v>101</v>
      </c>
      <c r="G2734" t="s">
        <v>102</v>
      </c>
      <c r="H2734" t="s">
        <v>139</v>
      </c>
      <c r="I2734" t="s">
        <v>140</v>
      </c>
      <c r="J2734" t="s">
        <v>137</v>
      </c>
      <c r="K2734" t="s">
        <v>138</v>
      </c>
      <c r="L2734" t="s">
        <v>166</v>
      </c>
      <c r="M2734" t="s">
        <v>171</v>
      </c>
      <c r="N2734">
        <v>2</v>
      </c>
      <c r="O2734" s="4">
        <v>12500</v>
      </c>
      <c r="P2734" s="4">
        <v>18500</v>
      </c>
      <c r="Q2734" s="7">
        <v>0.05</v>
      </c>
      <c r="R2734" t="s">
        <v>181</v>
      </c>
      <c r="S2734">
        <v>2</v>
      </c>
      <c r="T2734">
        <v>37000</v>
      </c>
      <c r="U2734">
        <v>1850</v>
      </c>
      <c r="V2734">
        <v>35150</v>
      </c>
      <c r="W2734">
        <v>25000</v>
      </c>
      <c r="X2734">
        <v>10150</v>
      </c>
      <c r="Y2734" s="8">
        <v>0.28876244665718348</v>
      </c>
      <c r="Z2734" t="s">
        <v>2995</v>
      </c>
      <c r="AA2734" t="str">
        <f>IF(AND(SalesCleanTable[[#This Row],[Discount %]]&gt;0, SalesCleanTable[[#This Row],[Profit]]&lt;0), "Discount loss", "Safe")</f>
        <v>Safe</v>
      </c>
      <c r="AB2734" s="25">
        <f>(SalesCleanTable[[#This Row],[Unit Price]] - SalesCleanTable[[#This Row],[Unit Cost]]) / SalesCleanTable[[#This Row],[Unit Price]]</f>
        <v>0.32432432432432434</v>
      </c>
      <c r="AC2734" t="str">
        <f>IF(SalesCleanTable[[#This Row],[Discount %]] &gt; SalesCleanTable[[#This Row],[Max Allowed Discount]], "Discount loss", "Safe")</f>
        <v>Safe</v>
      </c>
      <c r="AD2734" s="4">
        <f>SalesCleanTable[[#This Row],[Unit Price]] - SalesCleanTable[[#This Row],[Unit Cost]]</f>
        <v>6000</v>
      </c>
      <c r="AE2734" s="41">
        <f>(SalesCleanTable[[#This Row],[Unit Price]] - SalesCleanTable[[#This Row],[Unit Cost]]) / SalesCleanTable[[#This Row],[Unit Price]]</f>
        <v>0.32432432432432434</v>
      </c>
    </row>
    <row r="2735" spans="1:31">
      <c r="A2735" t="s">
        <v>2921</v>
      </c>
      <c r="B2735" s="6">
        <v>46011</v>
      </c>
      <c r="C2735" t="s">
        <v>36</v>
      </c>
      <c r="D2735" t="s">
        <v>37</v>
      </c>
      <c r="E2735" t="s">
        <v>38</v>
      </c>
      <c r="F2735" t="s">
        <v>39</v>
      </c>
      <c r="G2735" t="s">
        <v>40</v>
      </c>
      <c r="H2735" t="s">
        <v>149</v>
      </c>
      <c r="I2735" t="s">
        <v>150</v>
      </c>
      <c r="J2735" t="s">
        <v>151</v>
      </c>
      <c r="K2735" t="s">
        <v>152</v>
      </c>
      <c r="L2735" t="s">
        <v>166</v>
      </c>
      <c r="M2735" t="s">
        <v>171</v>
      </c>
      <c r="N2735">
        <v>5</v>
      </c>
      <c r="O2735" s="4">
        <v>1650</v>
      </c>
      <c r="P2735" s="4">
        <v>2200</v>
      </c>
      <c r="Q2735" s="7">
        <v>0</v>
      </c>
      <c r="R2735" t="s">
        <v>175</v>
      </c>
      <c r="S2735">
        <v>5</v>
      </c>
      <c r="T2735">
        <v>11000</v>
      </c>
      <c r="U2735">
        <v>0</v>
      </c>
      <c r="V2735">
        <v>11000</v>
      </c>
      <c r="W2735">
        <v>8250</v>
      </c>
      <c r="X2735">
        <v>2750</v>
      </c>
      <c r="Y2735" s="8">
        <v>0.25</v>
      </c>
      <c r="Z2735" t="s">
        <v>2995</v>
      </c>
      <c r="AA2735" t="str">
        <f>IF(AND(SalesCleanTable[[#This Row],[Discount %]]&gt;0, SalesCleanTable[[#This Row],[Profit]]&lt;0), "Discount loss", "Safe")</f>
        <v>Safe</v>
      </c>
      <c r="AB2735" s="25">
        <f>(SalesCleanTable[[#This Row],[Unit Price]] - SalesCleanTable[[#This Row],[Unit Cost]]) / SalesCleanTable[[#This Row],[Unit Price]]</f>
        <v>0.25</v>
      </c>
      <c r="AC2735" t="str">
        <f>IF(SalesCleanTable[[#This Row],[Discount %]] &gt; SalesCleanTable[[#This Row],[Max Allowed Discount]], "Discount loss", "Safe")</f>
        <v>Safe</v>
      </c>
      <c r="AD2735" s="4">
        <f>SalesCleanTable[[#This Row],[Unit Price]] - SalesCleanTable[[#This Row],[Unit Cost]]</f>
        <v>550</v>
      </c>
      <c r="AE2735" s="41">
        <f>(SalesCleanTable[[#This Row],[Unit Price]] - SalesCleanTable[[#This Row],[Unit Cost]]) / SalesCleanTable[[#This Row],[Unit Price]]</f>
        <v>0.25</v>
      </c>
    </row>
    <row r="2736" spans="1:31">
      <c r="A2736" t="s">
        <v>2922</v>
      </c>
      <c r="B2736" s="6">
        <v>45681</v>
      </c>
      <c r="C2736" t="s">
        <v>45</v>
      </c>
      <c r="D2736" t="s">
        <v>46</v>
      </c>
      <c r="E2736" t="s">
        <v>38</v>
      </c>
      <c r="F2736" t="s">
        <v>47</v>
      </c>
      <c r="G2736" t="s">
        <v>48</v>
      </c>
      <c r="H2736" t="s">
        <v>141</v>
      </c>
      <c r="I2736" t="s">
        <v>142</v>
      </c>
      <c r="J2736" t="s">
        <v>143</v>
      </c>
      <c r="K2736" t="s">
        <v>144</v>
      </c>
      <c r="L2736" t="s">
        <v>166</v>
      </c>
      <c r="M2736" t="s">
        <v>186</v>
      </c>
      <c r="N2736">
        <v>1</v>
      </c>
      <c r="O2736" s="4">
        <v>230</v>
      </c>
      <c r="P2736" s="4">
        <v>400</v>
      </c>
      <c r="Q2736" s="7">
        <v>0.05</v>
      </c>
      <c r="R2736" t="s">
        <v>175</v>
      </c>
      <c r="S2736">
        <v>6</v>
      </c>
      <c r="T2736">
        <v>400</v>
      </c>
      <c r="U2736">
        <v>20</v>
      </c>
      <c r="V2736">
        <v>380</v>
      </c>
      <c r="W2736">
        <v>230</v>
      </c>
      <c r="X2736">
        <v>150</v>
      </c>
      <c r="Y2736" s="8">
        <v>0.39473684210526316</v>
      </c>
      <c r="Z2736" t="s">
        <v>2995</v>
      </c>
      <c r="AA2736" t="str">
        <f>IF(AND(SalesCleanTable[[#This Row],[Discount %]]&gt;0, SalesCleanTable[[#This Row],[Profit]]&lt;0), "Discount loss", "Safe")</f>
        <v>Safe</v>
      </c>
      <c r="AB2736" s="25">
        <f>(SalesCleanTable[[#This Row],[Unit Price]] - SalesCleanTable[[#This Row],[Unit Cost]]) / SalesCleanTable[[#This Row],[Unit Price]]</f>
        <v>0.42499999999999999</v>
      </c>
      <c r="AC2736" t="str">
        <f>IF(SalesCleanTable[[#This Row],[Discount %]] &gt; SalesCleanTable[[#This Row],[Max Allowed Discount]], "Discount loss", "Safe")</f>
        <v>Safe</v>
      </c>
      <c r="AD2736" s="4">
        <f>SalesCleanTable[[#This Row],[Unit Price]] - SalesCleanTable[[#This Row],[Unit Cost]]</f>
        <v>170</v>
      </c>
      <c r="AE2736" s="41">
        <f>(SalesCleanTable[[#This Row],[Unit Price]] - SalesCleanTable[[#This Row],[Unit Cost]]) / SalesCleanTable[[#This Row],[Unit Price]]</f>
        <v>0.42499999999999999</v>
      </c>
    </row>
    <row r="2737" spans="1:31">
      <c r="A2737" t="s">
        <v>2923</v>
      </c>
      <c r="B2737" s="6">
        <v>45828</v>
      </c>
      <c r="C2737" t="s">
        <v>57</v>
      </c>
      <c r="D2737" t="s">
        <v>58</v>
      </c>
      <c r="E2737" t="s">
        <v>59</v>
      </c>
      <c r="F2737" t="s">
        <v>60</v>
      </c>
      <c r="G2737" t="s">
        <v>61</v>
      </c>
      <c r="H2737" t="s">
        <v>135</v>
      </c>
      <c r="I2737" t="s">
        <v>136</v>
      </c>
      <c r="J2737" t="s">
        <v>137</v>
      </c>
      <c r="K2737" t="s">
        <v>138</v>
      </c>
      <c r="L2737" t="s">
        <v>183</v>
      </c>
      <c r="M2737" t="s">
        <v>171</v>
      </c>
      <c r="N2737">
        <v>2</v>
      </c>
      <c r="O2737" s="4">
        <v>2400</v>
      </c>
      <c r="P2737" s="4">
        <v>3400</v>
      </c>
      <c r="Q2737" s="7">
        <v>0.2</v>
      </c>
      <c r="R2737" t="s">
        <v>173</v>
      </c>
      <c r="S2737">
        <v>9</v>
      </c>
      <c r="T2737">
        <v>6800</v>
      </c>
      <c r="U2737">
        <v>1360</v>
      </c>
      <c r="V2737">
        <v>5440</v>
      </c>
      <c r="W2737">
        <v>4800</v>
      </c>
      <c r="X2737">
        <v>640</v>
      </c>
      <c r="Y2737" s="8">
        <v>0.11764705882352941</v>
      </c>
      <c r="Z2737" t="s">
        <v>2996</v>
      </c>
      <c r="AA2737" t="str">
        <f>IF(AND(SalesCleanTable[[#This Row],[Discount %]]&gt;0, SalesCleanTable[[#This Row],[Profit]]&lt;0), "Discount loss", "Safe")</f>
        <v>Safe</v>
      </c>
      <c r="AB2737" s="25">
        <f>(SalesCleanTable[[#This Row],[Unit Price]] - SalesCleanTable[[#This Row],[Unit Cost]]) / SalesCleanTable[[#This Row],[Unit Price]]</f>
        <v>0.29411764705882354</v>
      </c>
      <c r="AC2737" t="str">
        <f>IF(SalesCleanTable[[#This Row],[Discount %]] &gt; SalesCleanTable[[#This Row],[Max Allowed Discount]], "Discount loss", "Safe")</f>
        <v>Safe</v>
      </c>
      <c r="AD2737" s="4">
        <f>SalesCleanTable[[#This Row],[Unit Price]] - SalesCleanTable[[#This Row],[Unit Cost]]</f>
        <v>1000</v>
      </c>
      <c r="AE2737" s="41">
        <f>(SalesCleanTable[[#This Row],[Unit Price]] - SalesCleanTable[[#This Row],[Unit Cost]]) / SalesCleanTable[[#This Row],[Unit Price]]</f>
        <v>0.29411764705882354</v>
      </c>
    </row>
    <row r="2738" spans="1:31">
      <c r="A2738" t="s">
        <v>2924</v>
      </c>
      <c r="B2738" s="6">
        <v>45721</v>
      </c>
      <c r="C2738" t="s">
        <v>36</v>
      </c>
      <c r="D2738" t="s">
        <v>37</v>
      </c>
      <c r="E2738" t="s">
        <v>38</v>
      </c>
      <c r="F2738" t="s">
        <v>39</v>
      </c>
      <c r="G2738" t="s">
        <v>40</v>
      </c>
      <c r="H2738" t="s">
        <v>149</v>
      </c>
      <c r="I2738" t="s">
        <v>150</v>
      </c>
      <c r="J2738" t="s">
        <v>151</v>
      </c>
      <c r="K2738" t="s">
        <v>152</v>
      </c>
      <c r="L2738" t="s">
        <v>183</v>
      </c>
      <c r="M2738" t="s">
        <v>177</v>
      </c>
      <c r="N2738">
        <v>10</v>
      </c>
      <c r="O2738" s="4">
        <v>1650</v>
      </c>
      <c r="P2738" s="4">
        <v>2200</v>
      </c>
      <c r="Q2738" s="7">
        <v>0</v>
      </c>
      <c r="R2738" t="s">
        <v>175</v>
      </c>
      <c r="S2738">
        <v>13</v>
      </c>
      <c r="T2738">
        <v>22000</v>
      </c>
      <c r="U2738">
        <v>0</v>
      </c>
      <c r="V2738">
        <v>22000</v>
      </c>
      <c r="W2738">
        <v>16500</v>
      </c>
      <c r="X2738">
        <v>5500</v>
      </c>
      <c r="Y2738" s="8">
        <v>0.25</v>
      </c>
      <c r="Z2738" t="s">
        <v>2995</v>
      </c>
      <c r="AA2738" t="str">
        <f>IF(AND(SalesCleanTable[[#This Row],[Discount %]]&gt;0, SalesCleanTable[[#This Row],[Profit]]&lt;0), "Discount loss", "Safe")</f>
        <v>Safe</v>
      </c>
      <c r="AB2738" s="25">
        <f>(SalesCleanTable[[#This Row],[Unit Price]] - SalesCleanTable[[#This Row],[Unit Cost]]) / SalesCleanTable[[#This Row],[Unit Price]]</f>
        <v>0.25</v>
      </c>
      <c r="AC2738" t="str">
        <f>IF(SalesCleanTable[[#This Row],[Discount %]] &gt; SalesCleanTable[[#This Row],[Max Allowed Discount]], "Discount loss", "Safe")</f>
        <v>Safe</v>
      </c>
      <c r="AD2738" s="4">
        <f>SalesCleanTable[[#This Row],[Unit Price]] - SalesCleanTable[[#This Row],[Unit Cost]]</f>
        <v>550</v>
      </c>
      <c r="AE2738" s="41">
        <f>(SalesCleanTable[[#This Row],[Unit Price]] - SalesCleanTable[[#This Row],[Unit Cost]]) / SalesCleanTable[[#This Row],[Unit Price]]</f>
        <v>0.25</v>
      </c>
    </row>
    <row r="2739" spans="1:31">
      <c r="A2739" t="s">
        <v>2925</v>
      </c>
      <c r="B2739" s="6">
        <v>45833</v>
      </c>
      <c r="C2739" t="s">
        <v>32</v>
      </c>
      <c r="D2739" t="s">
        <v>33</v>
      </c>
      <c r="E2739" t="s">
        <v>26</v>
      </c>
      <c r="F2739" t="s">
        <v>34</v>
      </c>
      <c r="G2739" t="s">
        <v>35</v>
      </c>
      <c r="H2739" t="s">
        <v>145</v>
      </c>
      <c r="I2739" t="s">
        <v>146</v>
      </c>
      <c r="J2739" t="s">
        <v>147</v>
      </c>
      <c r="K2739" t="s">
        <v>148</v>
      </c>
      <c r="L2739" t="s">
        <v>183</v>
      </c>
      <c r="M2739" t="s">
        <v>186</v>
      </c>
      <c r="N2739">
        <v>1</v>
      </c>
      <c r="O2739" s="4">
        <v>7800</v>
      </c>
      <c r="P2739" s="4">
        <v>9800</v>
      </c>
      <c r="Q2739" s="7">
        <v>0.1</v>
      </c>
      <c r="R2739" t="s">
        <v>197</v>
      </c>
      <c r="S2739">
        <v>11</v>
      </c>
      <c r="T2739">
        <v>9800</v>
      </c>
      <c r="U2739">
        <v>980</v>
      </c>
      <c r="V2739">
        <v>8820</v>
      </c>
      <c r="W2739">
        <v>7800</v>
      </c>
      <c r="X2739">
        <v>1020</v>
      </c>
      <c r="Y2739" s="8">
        <v>0.11564625850340136</v>
      </c>
      <c r="Z2739" t="s">
        <v>2995</v>
      </c>
      <c r="AA2739" t="str">
        <f>IF(AND(SalesCleanTable[[#This Row],[Discount %]]&gt;0, SalesCleanTable[[#This Row],[Profit]]&lt;0), "Discount loss", "Safe")</f>
        <v>Safe</v>
      </c>
      <c r="AB2739" s="25">
        <f>(SalesCleanTable[[#This Row],[Unit Price]] - SalesCleanTable[[#This Row],[Unit Cost]]) / SalesCleanTable[[#This Row],[Unit Price]]</f>
        <v>0.20408163265306123</v>
      </c>
      <c r="AC2739" t="str">
        <f>IF(SalesCleanTable[[#This Row],[Discount %]] &gt; SalesCleanTable[[#This Row],[Max Allowed Discount]], "Discount loss", "Safe")</f>
        <v>Safe</v>
      </c>
      <c r="AD2739" s="4">
        <f>SalesCleanTable[[#This Row],[Unit Price]] - SalesCleanTable[[#This Row],[Unit Cost]]</f>
        <v>2000</v>
      </c>
      <c r="AE2739" s="41">
        <f>(SalesCleanTable[[#This Row],[Unit Price]] - SalesCleanTable[[#This Row],[Unit Cost]]) / SalesCleanTable[[#This Row],[Unit Price]]</f>
        <v>0.20408163265306123</v>
      </c>
    </row>
    <row r="2740" spans="1:31">
      <c r="A2740" t="s">
        <v>2926</v>
      </c>
      <c r="B2740" s="6">
        <v>45788</v>
      </c>
      <c r="C2740" t="s">
        <v>99</v>
      </c>
      <c r="D2740" t="s">
        <v>100</v>
      </c>
      <c r="E2740" t="s">
        <v>92</v>
      </c>
      <c r="F2740" t="s">
        <v>101</v>
      </c>
      <c r="G2740" t="s">
        <v>102</v>
      </c>
      <c r="H2740" t="s">
        <v>149</v>
      </c>
      <c r="I2740" t="s">
        <v>150</v>
      </c>
      <c r="J2740" t="s">
        <v>151</v>
      </c>
      <c r="K2740" t="s">
        <v>152</v>
      </c>
      <c r="L2740" t="s">
        <v>166</v>
      </c>
      <c r="M2740" t="s">
        <v>171</v>
      </c>
      <c r="N2740">
        <v>6</v>
      </c>
      <c r="O2740" s="4">
        <v>12500</v>
      </c>
      <c r="P2740" s="4">
        <v>18500</v>
      </c>
      <c r="Q2740" s="7">
        <v>0.15</v>
      </c>
      <c r="R2740" t="s">
        <v>181</v>
      </c>
      <c r="S2740">
        <v>12</v>
      </c>
      <c r="T2740">
        <v>111000</v>
      </c>
      <c r="U2740">
        <v>16650</v>
      </c>
      <c r="V2740">
        <v>94350</v>
      </c>
      <c r="W2740">
        <v>75000</v>
      </c>
      <c r="X2740">
        <v>19350</v>
      </c>
      <c r="Y2740" s="8">
        <v>0.20508744038155802</v>
      </c>
      <c r="Z2740" t="s">
        <v>2995</v>
      </c>
      <c r="AA2740" t="str">
        <f>IF(AND(SalesCleanTable[[#This Row],[Discount %]]&gt;0, SalesCleanTable[[#This Row],[Profit]]&lt;0), "Discount loss", "Safe")</f>
        <v>Safe</v>
      </c>
      <c r="AB2740" s="25">
        <f>(SalesCleanTable[[#This Row],[Unit Price]] - SalesCleanTable[[#This Row],[Unit Cost]]) / SalesCleanTable[[#This Row],[Unit Price]]</f>
        <v>0.32432432432432434</v>
      </c>
      <c r="AC2740" t="str">
        <f>IF(SalesCleanTable[[#This Row],[Discount %]] &gt; SalesCleanTable[[#This Row],[Max Allowed Discount]], "Discount loss", "Safe")</f>
        <v>Safe</v>
      </c>
      <c r="AD2740" s="4">
        <f>SalesCleanTable[[#This Row],[Unit Price]] - SalesCleanTable[[#This Row],[Unit Cost]]</f>
        <v>6000</v>
      </c>
      <c r="AE2740" s="41">
        <f>(SalesCleanTable[[#This Row],[Unit Price]] - SalesCleanTable[[#This Row],[Unit Cost]]) / SalesCleanTable[[#This Row],[Unit Price]]</f>
        <v>0.32432432432432434</v>
      </c>
    </row>
    <row r="2741" spans="1:31">
      <c r="A2741" t="s">
        <v>2927</v>
      </c>
      <c r="B2741" s="6">
        <v>45677</v>
      </c>
      <c r="C2741" t="s">
        <v>32</v>
      </c>
      <c r="D2741" t="s">
        <v>33</v>
      </c>
      <c r="E2741" t="s">
        <v>26</v>
      </c>
      <c r="F2741" t="s">
        <v>34</v>
      </c>
      <c r="G2741" t="s">
        <v>35</v>
      </c>
      <c r="H2741" t="s">
        <v>139</v>
      </c>
      <c r="I2741" t="s">
        <v>140</v>
      </c>
      <c r="J2741" t="s">
        <v>137</v>
      </c>
      <c r="K2741" t="s">
        <v>138</v>
      </c>
      <c r="L2741" t="s">
        <v>166</v>
      </c>
      <c r="M2741" t="s">
        <v>177</v>
      </c>
      <c r="N2741">
        <v>2</v>
      </c>
      <c r="O2741" s="4">
        <v>7800</v>
      </c>
      <c r="P2741" s="4">
        <v>9800</v>
      </c>
      <c r="Q2741" s="7">
        <v>0.1</v>
      </c>
      <c r="R2741" t="s">
        <v>197</v>
      </c>
      <c r="S2741">
        <v>12</v>
      </c>
      <c r="T2741">
        <v>19600</v>
      </c>
      <c r="U2741">
        <v>1960</v>
      </c>
      <c r="V2741">
        <v>17640</v>
      </c>
      <c r="W2741">
        <v>15600</v>
      </c>
      <c r="X2741">
        <v>2040</v>
      </c>
      <c r="Y2741" s="8">
        <v>0.11564625850340136</v>
      </c>
      <c r="Z2741" t="s">
        <v>2995</v>
      </c>
      <c r="AA2741" t="str">
        <f>IF(AND(SalesCleanTable[[#This Row],[Discount %]]&gt;0, SalesCleanTable[[#This Row],[Profit]]&lt;0), "Discount loss", "Safe")</f>
        <v>Safe</v>
      </c>
      <c r="AB2741" s="25">
        <f>(SalesCleanTable[[#This Row],[Unit Price]] - SalesCleanTable[[#This Row],[Unit Cost]]) / SalesCleanTable[[#This Row],[Unit Price]]</f>
        <v>0.20408163265306123</v>
      </c>
      <c r="AC2741" t="str">
        <f>IF(SalesCleanTable[[#This Row],[Discount %]] &gt; SalesCleanTable[[#This Row],[Max Allowed Discount]], "Discount loss", "Safe")</f>
        <v>Safe</v>
      </c>
      <c r="AD2741" s="4">
        <f>SalesCleanTable[[#This Row],[Unit Price]] - SalesCleanTable[[#This Row],[Unit Cost]]</f>
        <v>2000</v>
      </c>
      <c r="AE2741" s="41">
        <f>(SalesCleanTable[[#This Row],[Unit Price]] - SalesCleanTable[[#This Row],[Unit Cost]]) / SalesCleanTable[[#This Row],[Unit Price]]</f>
        <v>0.20408163265306123</v>
      </c>
    </row>
    <row r="2742" spans="1:31">
      <c r="A2742" t="s">
        <v>2928</v>
      </c>
      <c r="B2742" s="6">
        <v>45786</v>
      </c>
      <c r="C2742" t="s">
        <v>45</v>
      </c>
      <c r="D2742" t="s">
        <v>46</v>
      </c>
      <c r="E2742" t="s">
        <v>38</v>
      </c>
      <c r="F2742" t="s">
        <v>47</v>
      </c>
      <c r="G2742" t="s">
        <v>48</v>
      </c>
      <c r="H2742" t="s">
        <v>128</v>
      </c>
      <c r="I2742" t="s">
        <v>129</v>
      </c>
      <c r="J2742" t="s">
        <v>130</v>
      </c>
      <c r="K2742" t="s">
        <v>131</v>
      </c>
      <c r="L2742" t="s">
        <v>183</v>
      </c>
      <c r="M2742" t="s">
        <v>177</v>
      </c>
      <c r="N2742">
        <v>2</v>
      </c>
      <c r="O2742" s="4">
        <v>230</v>
      </c>
      <c r="P2742" s="4">
        <v>400</v>
      </c>
      <c r="Q2742" s="7">
        <v>0.15</v>
      </c>
      <c r="R2742" t="s">
        <v>175</v>
      </c>
      <c r="S2742">
        <v>10</v>
      </c>
      <c r="T2742">
        <v>800</v>
      </c>
      <c r="U2742">
        <v>120</v>
      </c>
      <c r="V2742">
        <v>680</v>
      </c>
      <c r="W2742">
        <v>460</v>
      </c>
      <c r="X2742">
        <v>220</v>
      </c>
      <c r="Y2742" s="8">
        <v>0.3235294117647059</v>
      </c>
      <c r="Z2742" t="s">
        <v>2995</v>
      </c>
      <c r="AA2742" t="str">
        <f>IF(AND(SalesCleanTable[[#This Row],[Discount %]]&gt;0, SalesCleanTable[[#This Row],[Profit]]&lt;0), "Discount loss", "Safe")</f>
        <v>Safe</v>
      </c>
      <c r="AB2742" s="25">
        <f>(SalesCleanTable[[#This Row],[Unit Price]] - SalesCleanTable[[#This Row],[Unit Cost]]) / SalesCleanTable[[#This Row],[Unit Price]]</f>
        <v>0.42499999999999999</v>
      </c>
      <c r="AC2742" t="str">
        <f>IF(SalesCleanTable[[#This Row],[Discount %]] &gt; SalesCleanTable[[#This Row],[Max Allowed Discount]], "Discount loss", "Safe")</f>
        <v>Safe</v>
      </c>
      <c r="AD2742" s="4">
        <f>SalesCleanTable[[#This Row],[Unit Price]] - SalesCleanTable[[#This Row],[Unit Cost]]</f>
        <v>170</v>
      </c>
      <c r="AE2742" s="41">
        <f>(SalesCleanTable[[#This Row],[Unit Price]] - SalesCleanTable[[#This Row],[Unit Cost]]) / SalesCleanTable[[#This Row],[Unit Price]]</f>
        <v>0.42499999999999999</v>
      </c>
    </row>
    <row r="2743" spans="1:31">
      <c r="A2743" t="s">
        <v>2929</v>
      </c>
      <c r="B2743" s="6">
        <v>45996</v>
      </c>
      <c r="C2743" t="s">
        <v>82</v>
      </c>
      <c r="D2743" t="s">
        <v>83</v>
      </c>
      <c r="E2743" t="s">
        <v>75</v>
      </c>
      <c r="F2743" t="s">
        <v>84</v>
      </c>
      <c r="G2743" t="s">
        <v>85</v>
      </c>
      <c r="H2743" t="s">
        <v>145</v>
      </c>
      <c r="I2743" t="s">
        <v>146</v>
      </c>
      <c r="J2743" t="s">
        <v>147</v>
      </c>
      <c r="K2743" t="s">
        <v>148</v>
      </c>
      <c r="L2743" t="s">
        <v>166</v>
      </c>
      <c r="M2743" t="s">
        <v>171</v>
      </c>
      <c r="N2743">
        <v>3</v>
      </c>
      <c r="O2743" s="4">
        <v>600</v>
      </c>
      <c r="P2743" s="4">
        <v>950</v>
      </c>
      <c r="Q2743" s="7">
        <v>0.1</v>
      </c>
      <c r="R2743" t="s">
        <v>208</v>
      </c>
      <c r="S2743">
        <v>13</v>
      </c>
      <c r="T2743">
        <v>2850</v>
      </c>
      <c r="U2743">
        <v>285</v>
      </c>
      <c r="V2743">
        <v>2565</v>
      </c>
      <c r="W2743">
        <v>1800</v>
      </c>
      <c r="X2743">
        <v>765</v>
      </c>
      <c r="Y2743" s="8">
        <v>0.2982456140350877</v>
      </c>
      <c r="Z2743" t="s">
        <v>2996</v>
      </c>
      <c r="AA2743" t="str">
        <f>IF(AND(SalesCleanTable[[#This Row],[Discount %]]&gt;0, SalesCleanTable[[#This Row],[Profit]]&lt;0), "Discount loss", "Safe")</f>
        <v>Safe</v>
      </c>
      <c r="AB2743" s="25">
        <f>(SalesCleanTable[[#This Row],[Unit Price]] - SalesCleanTable[[#This Row],[Unit Cost]]) / SalesCleanTable[[#This Row],[Unit Price]]</f>
        <v>0.36842105263157893</v>
      </c>
      <c r="AC2743" t="str">
        <f>IF(SalesCleanTable[[#This Row],[Discount %]] &gt; SalesCleanTable[[#This Row],[Max Allowed Discount]], "Discount loss", "Safe")</f>
        <v>Safe</v>
      </c>
      <c r="AD2743" s="4">
        <f>SalesCleanTable[[#This Row],[Unit Price]] - SalesCleanTable[[#This Row],[Unit Cost]]</f>
        <v>350</v>
      </c>
      <c r="AE2743" s="41">
        <f>(SalesCleanTable[[#This Row],[Unit Price]] - SalesCleanTable[[#This Row],[Unit Cost]]) / SalesCleanTable[[#This Row],[Unit Price]]</f>
        <v>0.36842105263157893</v>
      </c>
    </row>
    <row r="2744" spans="1:31">
      <c r="A2744" t="s">
        <v>2930</v>
      </c>
      <c r="B2744" s="6">
        <v>45895</v>
      </c>
      <c r="C2744" t="s">
        <v>32</v>
      </c>
      <c r="D2744" t="s">
        <v>33</v>
      </c>
      <c r="E2744" t="s">
        <v>26</v>
      </c>
      <c r="F2744" t="s">
        <v>34</v>
      </c>
      <c r="G2744" t="s">
        <v>35</v>
      </c>
      <c r="H2744" t="s">
        <v>135</v>
      </c>
      <c r="I2744" t="s">
        <v>136</v>
      </c>
      <c r="J2744" t="s">
        <v>137</v>
      </c>
      <c r="K2744" t="s">
        <v>138</v>
      </c>
      <c r="L2744" t="s">
        <v>183</v>
      </c>
      <c r="M2744" t="s">
        <v>171</v>
      </c>
      <c r="N2744">
        <v>4</v>
      </c>
      <c r="O2744" s="4">
        <v>7800</v>
      </c>
      <c r="P2744" s="4">
        <v>9800</v>
      </c>
      <c r="Q2744" s="7">
        <v>0.1</v>
      </c>
      <c r="R2744" t="s">
        <v>197</v>
      </c>
      <c r="S2744">
        <v>12</v>
      </c>
      <c r="T2744">
        <v>39200</v>
      </c>
      <c r="U2744">
        <v>3920</v>
      </c>
      <c r="V2744">
        <v>35280</v>
      </c>
      <c r="W2744">
        <v>31200</v>
      </c>
      <c r="X2744">
        <v>4080</v>
      </c>
      <c r="Y2744" s="8">
        <v>0.11564625850340136</v>
      </c>
      <c r="Z2744" t="s">
        <v>2995</v>
      </c>
      <c r="AA2744" t="str">
        <f>IF(AND(SalesCleanTable[[#This Row],[Discount %]]&gt;0, SalesCleanTable[[#This Row],[Profit]]&lt;0), "Discount loss", "Safe")</f>
        <v>Safe</v>
      </c>
      <c r="AB2744" s="25">
        <f>(SalesCleanTable[[#This Row],[Unit Price]] - SalesCleanTable[[#This Row],[Unit Cost]]) / SalesCleanTable[[#This Row],[Unit Price]]</f>
        <v>0.20408163265306123</v>
      </c>
      <c r="AC2744" t="str">
        <f>IF(SalesCleanTable[[#This Row],[Discount %]] &gt; SalesCleanTable[[#This Row],[Max Allowed Discount]], "Discount loss", "Safe")</f>
        <v>Safe</v>
      </c>
      <c r="AD2744" s="4">
        <f>SalesCleanTable[[#This Row],[Unit Price]] - SalesCleanTable[[#This Row],[Unit Cost]]</f>
        <v>2000</v>
      </c>
      <c r="AE2744" s="41">
        <f>(SalesCleanTable[[#This Row],[Unit Price]] - SalesCleanTable[[#This Row],[Unit Cost]]) / SalesCleanTable[[#This Row],[Unit Price]]</f>
        <v>0.20408163265306123</v>
      </c>
    </row>
    <row r="2745" spans="1:31">
      <c r="A2745" t="s">
        <v>2931</v>
      </c>
      <c r="B2745" s="6">
        <v>45905</v>
      </c>
      <c r="C2745" t="s">
        <v>73</v>
      </c>
      <c r="D2745" t="s">
        <v>74</v>
      </c>
      <c r="E2745" t="s">
        <v>75</v>
      </c>
      <c r="F2745" t="s">
        <v>76</v>
      </c>
      <c r="G2745" t="s">
        <v>77</v>
      </c>
      <c r="H2745" t="s">
        <v>149</v>
      </c>
      <c r="I2745" t="s">
        <v>150</v>
      </c>
      <c r="J2745" t="s">
        <v>151</v>
      </c>
      <c r="K2745" t="s">
        <v>152</v>
      </c>
      <c r="L2745" t="s">
        <v>170</v>
      </c>
      <c r="M2745" t="s">
        <v>186</v>
      </c>
      <c r="N2745">
        <v>2</v>
      </c>
      <c r="O2745" s="4">
        <v>3500</v>
      </c>
      <c r="P2745" s="4">
        <v>5200</v>
      </c>
      <c r="Q2745" s="7">
        <v>0.2</v>
      </c>
      <c r="R2745" t="s">
        <v>204</v>
      </c>
      <c r="S2745">
        <v>2</v>
      </c>
      <c r="T2745">
        <v>10400</v>
      </c>
      <c r="U2745">
        <v>2080</v>
      </c>
      <c r="V2745">
        <v>8320</v>
      </c>
      <c r="W2745">
        <v>7000</v>
      </c>
      <c r="X2745">
        <v>1320</v>
      </c>
      <c r="Y2745" s="8">
        <v>0.15865384615384615</v>
      </c>
      <c r="Z2745" t="s">
        <v>2996</v>
      </c>
      <c r="AA2745" t="str">
        <f>IF(AND(SalesCleanTable[[#This Row],[Discount %]]&gt;0, SalesCleanTable[[#This Row],[Profit]]&lt;0), "Discount loss", "Safe")</f>
        <v>Safe</v>
      </c>
      <c r="AB2745" s="25">
        <f>(SalesCleanTable[[#This Row],[Unit Price]] - SalesCleanTable[[#This Row],[Unit Cost]]) / SalesCleanTable[[#This Row],[Unit Price]]</f>
        <v>0.32692307692307693</v>
      </c>
      <c r="AC2745" t="str">
        <f>IF(SalesCleanTable[[#This Row],[Discount %]] &gt; SalesCleanTable[[#This Row],[Max Allowed Discount]], "Discount loss", "Safe")</f>
        <v>Safe</v>
      </c>
      <c r="AD2745" s="4">
        <f>SalesCleanTable[[#This Row],[Unit Price]] - SalesCleanTable[[#This Row],[Unit Cost]]</f>
        <v>1700</v>
      </c>
      <c r="AE2745" s="41">
        <f>(SalesCleanTable[[#This Row],[Unit Price]] - SalesCleanTable[[#This Row],[Unit Cost]]) / SalesCleanTable[[#This Row],[Unit Price]]</f>
        <v>0.32692307692307693</v>
      </c>
    </row>
    <row r="2746" spans="1:31">
      <c r="A2746" t="s">
        <v>2932</v>
      </c>
      <c r="B2746" s="6">
        <v>45763</v>
      </c>
      <c r="C2746" t="s">
        <v>41</v>
      </c>
      <c r="D2746" t="s">
        <v>42</v>
      </c>
      <c r="E2746" t="s">
        <v>26</v>
      </c>
      <c r="F2746" t="s">
        <v>43</v>
      </c>
      <c r="G2746" t="s">
        <v>44</v>
      </c>
      <c r="H2746" t="s">
        <v>141</v>
      </c>
      <c r="I2746" t="s">
        <v>142</v>
      </c>
      <c r="J2746" t="s">
        <v>143</v>
      </c>
      <c r="K2746" t="s">
        <v>144</v>
      </c>
      <c r="L2746" t="s">
        <v>166</v>
      </c>
      <c r="M2746" t="s">
        <v>171</v>
      </c>
      <c r="N2746">
        <v>1</v>
      </c>
      <c r="O2746" s="4">
        <v>850</v>
      </c>
      <c r="P2746" s="4">
        <v>1300</v>
      </c>
      <c r="Q2746" s="7">
        <v>0.05</v>
      </c>
      <c r="R2746" t="s">
        <v>197</v>
      </c>
      <c r="S2746">
        <v>8</v>
      </c>
      <c r="T2746">
        <v>1300</v>
      </c>
      <c r="U2746">
        <v>65</v>
      </c>
      <c r="V2746">
        <v>1235</v>
      </c>
      <c r="W2746">
        <v>850</v>
      </c>
      <c r="X2746">
        <v>385</v>
      </c>
      <c r="Y2746" s="8">
        <v>0.31174089068825911</v>
      </c>
      <c r="Z2746" t="s">
        <v>2995</v>
      </c>
      <c r="AA2746" t="str">
        <f>IF(AND(SalesCleanTable[[#This Row],[Discount %]]&gt;0, SalesCleanTable[[#This Row],[Profit]]&lt;0), "Discount loss", "Safe")</f>
        <v>Safe</v>
      </c>
      <c r="AB2746" s="25">
        <f>(SalesCleanTable[[#This Row],[Unit Price]] - SalesCleanTable[[#This Row],[Unit Cost]]) / SalesCleanTable[[#This Row],[Unit Price]]</f>
        <v>0.34615384615384615</v>
      </c>
      <c r="AC2746" t="str">
        <f>IF(SalesCleanTable[[#This Row],[Discount %]] &gt; SalesCleanTable[[#This Row],[Max Allowed Discount]], "Discount loss", "Safe")</f>
        <v>Safe</v>
      </c>
      <c r="AD2746" s="4">
        <f>SalesCleanTable[[#This Row],[Unit Price]] - SalesCleanTable[[#This Row],[Unit Cost]]</f>
        <v>450</v>
      </c>
      <c r="AE2746" s="41">
        <f>(SalesCleanTable[[#This Row],[Unit Price]] - SalesCleanTable[[#This Row],[Unit Cost]]) / SalesCleanTable[[#This Row],[Unit Price]]</f>
        <v>0.34615384615384615</v>
      </c>
    </row>
    <row r="2747" spans="1:31">
      <c r="A2747" t="s">
        <v>2933</v>
      </c>
      <c r="B2747" s="6">
        <v>46019</v>
      </c>
      <c r="C2747" t="s">
        <v>45</v>
      </c>
      <c r="D2747" t="s">
        <v>46</v>
      </c>
      <c r="E2747" t="s">
        <v>38</v>
      </c>
      <c r="F2747" t="s">
        <v>47</v>
      </c>
      <c r="G2747" t="s">
        <v>48</v>
      </c>
      <c r="H2747" t="s">
        <v>128</v>
      </c>
      <c r="I2747" t="s">
        <v>129</v>
      </c>
      <c r="J2747" t="s">
        <v>130</v>
      </c>
      <c r="K2747" t="s">
        <v>131</v>
      </c>
      <c r="L2747" t="s">
        <v>183</v>
      </c>
      <c r="M2747" t="s">
        <v>171</v>
      </c>
      <c r="N2747">
        <v>6</v>
      </c>
      <c r="O2747" s="4">
        <v>230</v>
      </c>
      <c r="P2747" s="4">
        <v>400</v>
      </c>
      <c r="Q2747" s="7">
        <v>0.05</v>
      </c>
      <c r="R2747" t="s">
        <v>168</v>
      </c>
      <c r="S2747">
        <v>14</v>
      </c>
      <c r="T2747">
        <v>2400</v>
      </c>
      <c r="U2747">
        <v>120</v>
      </c>
      <c r="V2747">
        <v>2280</v>
      </c>
      <c r="W2747">
        <v>1380</v>
      </c>
      <c r="X2747">
        <v>900</v>
      </c>
      <c r="Y2747" s="8">
        <v>0.39473684210526316</v>
      </c>
      <c r="Z2747" t="s">
        <v>2995</v>
      </c>
      <c r="AA2747" t="str">
        <f>IF(AND(SalesCleanTable[[#This Row],[Discount %]]&gt;0, SalesCleanTable[[#This Row],[Profit]]&lt;0), "Discount loss", "Safe")</f>
        <v>Safe</v>
      </c>
      <c r="AB2747" s="25">
        <f>(SalesCleanTable[[#This Row],[Unit Price]] - SalesCleanTable[[#This Row],[Unit Cost]]) / SalesCleanTable[[#This Row],[Unit Price]]</f>
        <v>0.42499999999999999</v>
      </c>
      <c r="AC2747" t="str">
        <f>IF(SalesCleanTable[[#This Row],[Discount %]] &gt; SalesCleanTable[[#This Row],[Max Allowed Discount]], "Discount loss", "Safe")</f>
        <v>Safe</v>
      </c>
      <c r="AD2747" s="4">
        <f>SalesCleanTable[[#This Row],[Unit Price]] - SalesCleanTable[[#This Row],[Unit Cost]]</f>
        <v>170</v>
      </c>
      <c r="AE2747" s="41">
        <f>(SalesCleanTable[[#This Row],[Unit Price]] - SalesCleanTable[[#This Row],[Unit Cost]]) / SalesCleanTable[[#This Row],[Unit Price]]</f>
        <v>0.42499999999999999</v>
      </c>
    </row>
    <row r="2748" spans="1:31">
      <c r="A2748" t="s">
        <v>2934</v>
      </c>
      <c r="B2748" s="6">
        <v>45706</v>
      </c>
      <c r="C2748" t="s">
        <v>78</v>
      </c>
      <c r="D2748" t="s">
        <v>79</v>
      </c>
      <c r="E2748" t="s">
        <v>75</v>
      </c>
      <c r="F2748" t="s">
        <v>80</v>
      </c>
      <c r="G2748" t="s">
        <v>81</v>
      </c>
      <c r="H2748" t="s">
        <v>139</v>
      </c>
      <c r="I2748" t="s">
        <v>140</v>
      </c>
      <c r="J2748" t="s">
        <v>137</v>
      </c>
      <c r="K2748" t="s">
        <v>138</v>
      </c>
      <c r="L2748" t="s">
        <v>183</v>
      </c>
      <c r="M2748" t="s">
        <v>177</v>
      </c>
      <c r="N2748">
        <v>5</v>
      </c>
      <c r="O2748" s="4">
        <v>1200</v>
      </c>
      <c r="P2748" s="4">
        <v>1900</v>
      </c>
      <c r="Q2748" s="7">
        <v>0.1</v>
      </c>
      <c r="R2748" t="s">
        <v>204</v>
      </c>
      <c r="S2748">
        <v>4</v>
      </c>
      <c r="T2748">
        <v>9500</v>
      </c>
      <c r="U2748">
        <v>950</v>
      </c>
      <c r="V2748">
        <v>8550</v>
      </c>
      <c r="W2748">
        <v>6000</v>
      </c>
      <c r="X2748">
        <v>2550</v>
      </c>
      <c r="Y2748" s="8">
        <v>0.2982456140350877</v>
      </c>
      <c r="Z2748" t="s">
        <v>2996</v>
      </c>
      <c r="AA2748" t="str">
        <f>IF(AND(SalesCleanTable[[#This Row],[Discount %]]&gt;0, SalesCleanTable[[#This Row],[Profit]]&lt;0), "Discount loss", "Safe")</f>
        <v>Safe</v>
      </c>
      <c r="AB2748" s="25">
        <f>(SalesCleanTable[[#This Row],[Unit Price]] - SalesCleanTable[[#This Row],[Unit Cost]]) / SalesCleanTable[[#This Row],[Unit Price]]</f>
        <v>0.36842105263157893</v>
      </c>
      <c r="AC2748" t="str">
        <f>IF(SalesCleanTable[[#This Row],[Discount %]] &gt; SalesCleanTable[[#This Row],[Max Allowed Discount]], "Discount loss", "Safe")</f>
        <v>Safe</v>
      </c>
      <c r="AD2748" s="4">
        <f>SalesCleanTable[[#This Row],[Unit Price]] - SalesCleanTable[[#This Row],[Unit Cost]]</f>
        <v>700</v>
      </c>
      <c r="AE2748" s="41">
        <f>(SalesCleanTable[[#This Row],[Unit Price]] - SalesCleanTable[[#This Row],[Unit Cost]]) / SalesCleanTable[[#This Row],[Unit Price]]</f>
        <v>0.36842105263157893</v>
      </c>
    </row>
    <row r="2749" spans="1:31">
      <c r="A2749" t="s">
        <v>2935</v>
      </c>
      <c r="B2749" s="6">
        <v>45778</v>
      </c>
      <c r="C2749" t="s">
        <v>53</v>
      </c>
      <c r="D2749" t="s">
        <v>54</v>
      </c>
      <c r="E2749" t="s">
        <v>38</v>
      </c>
      <c r="F2749" t="s">
        <v>55</v>
      </c>
      <c r="G2749" t="s">
        <v>56</v>
      </c>
      <c r="H2749" t="s">
        <v>135</v>
      </c>
      <c r="I2749" t="s">
        <v>136</v>
      </c>
      <c r="J2749" t="s">
        <v>137</v>
      </c>
      <c r="K2749" t="s">
        <v>138</v>
      </c>
      <c r="L2749" t="s">
        <v>166</v>
      </c>
      <c r="M2749" t="s">
        <v>171</v>
      </c>
      <c r="N2749">
        <v>1</v>
      </c>
      <c r="O2749" s="4">
        <v>330</v>
      </c>
      <c r="P2749" s="4">
        <v>550</v>
      </c>
      <c r="Q2749" s="7">
        <v>0.15</v>
      </c>
      <c r="R2749" t="s">
        <v>175</v>
      </c>
      <c r="S2749">
        <v>5</v>
      </c>
      <c r="T2749">
        <v>550</v>
      </c>
      <c r="U2749">
        <v>82.5</v>
      </c>
      <c r="V2749">
        <v>467.5</v>
      </c>
      <c r="W2749">
        <v>330</v>
      </c>
      <c r="X2749">
        <v>137.5</v>
      </c>
      <c r="Y2749" s="8">
        <v>0.29411764705882354</v>
      </c>
      <c r="Z2749" t="s">
        <v>2996</v>
      </c>
      <c r="AA2749" t="str">
        <f>IF(AND(SalesCleanTable[[#This Row],[Discount %]]&gt;0, SalesCleanTable[[#This Row],[Profit]]&lt;0), "Discount loss", "Safe")</f>
        <v>Safe</v>
      </c>
      <c r="AB2749" s="25">
        <f>(SalesCleanTable[[#This Row],[Unit Price]] - SalesCleanTable[[#This Row],[Unit Cost]]) / SalesCleanTable[[#This Row],[Unit Price]]</f>
        <v>0.4</v>
      </c>
      <c r="AC2749" t="str">
        <f>IF(SalesCleanTable[[#This Row],[Discount %]] &gt; SalesCleanTable[[#This Row],[Max Allowed Discount]], "Discount loss", "Safe")</f>
        <v>Safe</v>
      </c>
      <c r="AD2749" s="4">
        <f>SalesCleanTable[[#This Row],[Unit Price]] - SalesCleanTable[[#This Row],[Unit Cost]]</f>
        <v>220</v>
      </c>
      <c r="AE2749" s="41">
        <f>(SalesCleanTable[[#This Row],[Unit Price]] - SalesCleanTable[[#This Row],[Unit Cost]]) / SalesCleanTable[[#This Row],[Unit Price]]</f>
        <v>0.4</v>
      </c>
    </row>
    <row r="2750" spans="1:31">
      <c r="A2750" t="s">
        <v>2936</v>
      </c>
      <c r="B2750" s="6">
        <v>45941</v>
      </c>
      <c r="C2750" t="s">
        <v>103</v>
      </c>
      <c r="D2750" t="s">
        <v>104</v>
      </c>
      <c r="E2750" t="s">
        <v>92</v>
      </c>
      <c r="F2750" t="s">
        <v>105</v>
      </c>
      <c r="G2750" t="s">
        <v>106</v>
      </c>
      <c r="H2750" t="s">
        <v>135</v>
      </c>
      <c r="I2750" t="s">
        <v>136</v>
      </c>
      <c r="J2750" t="s">
        <v>137</v>
      </c>
      <c r="K2750" t="s">
        <v>138</v>
      </c>
      <c r="L2750" t="s">
        <v>166</v>
      </c>
      <c r="M2750" t="s">
        <v>167</v>
      </c>
      <c r="N2750">
        <v>4</v>
      </c>
      <c r="O2750" s="4">
        <v>1500</v>
      </c>
      <c r="P2750" s="4">
        <v>2500</v>
      </c>
      <c r="Q2750" s="7">
        <v>0.1</v>
      </c>
      <c r="R2750" t="s">
        <v>217</v>
      </c>
      <c r="S2750">
        <v>1</v>
      </c>
      <c r="T2750">
        <v>10000</v>
      </c>
      <c r="U2750">
        <v>1000</v>
      </c>
      <c r="V2750">
        <v>9000</v>
      </c>
      <c r="W2750">
        <v>6000</v>
      </c>
      <c r="X2750">
        <v>3000</v>
      </c>
      <c r="Y2750" s="8">
        <v>0.33333333333333331</v>
      </c>
      <c r="Z2750" t="s">
        <v>2996</v>
      </c>
      <c r="AA2750" t="str">
        <f>IF(AND(SalesCleanTable[[#This Row],[Discount %]]&gt;0, SalesCleanTable[[#This Row],[Profit]]&lt;0), "Discount loss", "Safe")</f>
        <v>Safe</v>
      </c>
      <c r="AB2750" s="25">
        <f>(SalesCleanTable[[#This Row],[Unit Price]] - SalesCleanTable[[#This Row],[Unit Cost]]) / SalesCleanTable[[#This Row],[Unit Price]]</f>
        <v>0.4</v>
      </c>
      <c r="AC2750" t="str">
        <f>IF(SalesCleanTable[[#This Row],[Discount %]] &gt; SalesCleanTable[[#This Row],[Max Allowed Discount]], "Discount loss", "Safe")</f>
        <v>Safe</v>
      </c>
      <c r="AD2750" s="4">
        <f>SalesCleanTable[[#This Row],[Unit Price]] - SalesCleanTable[[#This Row],[Unit Cost]]</f>
        <v>1000</v>
      </c>
      <c r="AE2750" s="41">
        <f>(SalesCleanTable[[#This Row],[Unit Price]] - SalesCleanTable[[#This Row],[Unit Cost]]) / SalesCleanTable[[#This Row],[Unit Price]]</f>
        <v>0.4</v>
      </c>
    </row>
    <row r="2751" spans="1:31">
      <c r="A2751" t="s">
        <v>2937</v>
      </c>
      <c r="B2751" s="6">
        <v>45815</v>
      </c>
      <c r="C2751" t="s">
        <v>53</v>
      </c>
      <c r="D2751" t="s">
        <v>54</v>
      </c>
      <c r="E2751" t="s">
        <v>38</v>
      </c>
      <c r="F2751" t="s">
        <v>55</v>
      </c>
      <c r="G2751" t="s">
        <v>56</v>
      </c>
      <c r="H2751" t="s">
        <v>135</v>
      </c>
      <c r="I2751" t="s">
        <v>136</v>
      </c>
      <c r="J2751" t="s">
        <v>137</v>
      </c>
      <c r="K2751" t="s">
        <v>138</v>
      </c>
      <c r="L2751" t="s">
        <v>183</v>
      </c>
      <c r="M2751" t="s">
        <v>186</v>
      </c>
      <c r="N2751">
        <v>6</v>
      </c>
      <c r="O2751" s="4">
        <v>330</v>
      </c>
      <c r="P2751" s="4">
        <v>550</v>
      </c>
      <c r="Q2751" s="7">
        <v>0</v>
      </c>
      <c r="R2751" t="s">
        <v>168</v>
      </c>
      <c r="S2751">
        <v>2</v>
      </c>
      <c r="T2751">
        <v>3300</v>
      </c>
      <c r="U2751">
        <v>0</v>
      </c>
      <c r="V2751">
        <v>3300</v>
      </c>
      <c r="W2751">
        <v>1980</v>
      </c>
      <c r="X2751">
        <v>1320</v>
      </c>
      <c r="Y2751" s="8">
        <v>0.4</v>
      </c>
      <c r="Z2751" t="s">
        <v>2996</v>
      </c>
      <c r="AA2751" t="str">
        <f>IF(AND(SalesCleanTable[[#This Row],[Discount %]]&gt;0, SalesCleanTable[[#This Row],[Profit]]&lt;0), "Discount loss", "Safe")</f>
        <v>Safe</v>
      </c>
      <c r="AB2751" s="25">
        <f>(SalesCleanTable[[#This Row],[Unit Price]] - SalesCleanTable[[#This Row],[Unit Cost]]) / SalesCleanTable[[#This Row],[Unit Price]]</f>
        <v>0.4</v>
      </c>
      <c r="AC2751" t="str">
        <f>IF(SalesCleanTable[[#This Row],[Discount %]] &gt; SalesCleanTable[[#This Row],[Max Allowed Discount]], "Discount loss", "Safe")</f>
        <v>Safe</v>
      </c>
      <c r="AD2751" s="4">
        <f>SalesCleanTable[[#This Row],[Unit Price]] - SalesCleanTable[[#This Row],[Unit Cost]]</f>
        <v>220</v>
      </c>
      <c r="AE2751" s="41">
        <f>(SalesCleanTable[[#This Row],[Unit Price]] - SalesCleanTable[[#This Row],[Unit Cost]]) / SalesCleanTable[[#This Row],[Unit Price]]</f>
        <v>0.4</v>
      </c>
    </row>
    <row r="2752" spans="1:31">
      <c r="A2752" t="s">
        <v>2938</v>
      </c>
      <c r="B2752" s="6">
        <v>45871</v>
      </c>
      <c r="C2752" t="s">
        <v>120</v>
      </c>
      <c r="D2752" t="s">
        <v>121</v>
      </c>
      <c r="E2752" t="s">
        <v>109</v>
      </c>
      <c r="F2752" t="s">
        <v>93</v>
      </c>
      <c r="G2752" t="s">
        <v>122</v>
      </c>
      <c r="H2752" t="s">
        <v>128</v>
      </c>
      <c r="I2752" t="s">
        <v>129</v>
      </c>
      <c r="J2752" t="s">
        <v>130</v>
      </c>
      <c r="K2752" t="s">
        <v>131</v>
      </c>
      <c r="L2752" t="s">
        <v>166</v>
      </c>
      <c r="M2752" t="s">
        <v>186</v>
      </c>
      <c r="N2752">
        <v>5</v>
      </c>
      <c r="O2752" s="4">
        <v>1700</v>
      </c>
      <c r="P2752" s="4">
        <v>2800</v>
      </c>
      <c r="Q2752" s="7">
        <v>0.1</v>
      </c>
      <c r="R2752" t="s">
        <v>184</v>
      </c>
      <c r="S2752">
        <v>9</v>
      </c>
      <c r="T2752">
        <v>14000</v>
      </c>
      <c r="U2752">
        <v>1400</v>
      </c>
      <c r="V2752">
        <v>12600</v>
      </c>
      <c r="W2752">
        <v>8500</v>
      </c>
      <c r="X2752">
        <v>4100</v>
      </c>
      <c r="Y2752" s="8">
        <v>0.32539682539682541</v>
      </c>
      <c r="Z2752" t="s">
        <v>2997</v>
      </c>
      <c r="AA2752" t="str">
        <f>IF(AND(SalesCleanTable[[#This Row],[Discount %]]&gt;0, SalesCleanTable[[#This Row],[Profit]]&lt;0), "Discount loss", "Safe")</f>
        <v>Safe</v>
      </c>
      <c r="AB2752" s="25">
        <f>(SalesCleanTable[[#This Row],[Unit Price]] - SalesCleanTable[[#This Row],[Unit Cost]]) / SalesCleanTable[[#This Row],[Unit Price]]</f>
        <v>0.39285714285714285</v>
      </c>
      <c r="AC2752" t="str">
        <f>IF(SalesCleanTable[[#This Row],[Discount %]] &gt; SalesCleanTable[[#This Row],[Max Allowed Discount]], "Discount loss", "Safe")</f>
        <v>Safe</v>
      </c>
      <c r="AD2752" s="4">
        <f>SalesCleanTable[[#This Row],[Unit Price]] - SalesCleanTable[[#This Row],[Unit Cost]]</f>
        <v>1100</v>
      </c>
      <c r="AE2752" s="41">
        <f>(SalesCleanTable[[#This Row],[Unit Price]] - SalesCleanTable[[#This Row],[Unit Cost]]) / SalesCleanTable[[#This Row],[Unit Price]]</f>
        <v>0.39285714285714285</v>
      </c>
    </row>
    <row r="2753" spans="1:31">
      <c r="A2753" t="s">
        <v>2939</v>
      </c>
      <c r="B2753" s="6">
        <v>45691</v>
      </c>
      <c r="C2753" t="s">
        <v>107</v>
      </c>
      <c r="D2753" t="s">
        <v>108</v>
      </c>
      <c r="E2753" t="s">
        <v>109</v>
      </c>
      <c r="F2753" t="s">
        <v>110</v>
      </c>
      <c r="G2753" t="s">
        <v>111</v>
      </c>
      <c r="H2753" t="s">
        <v>139</v>
      </c>
      <c r="I2753" t="s">
        <v>140</v>
      </c>
      <c r="J2753" t="s">
        <v>137</v>
      </c>
      <c r="K2753" t="s">
        <v>138</v>
      </c>
      <c r="L2753" t="s">
        <v>166</v>
      </c>
      <c r="M2753" t="s">
        <v>171</v>
      </c>
      <c r="N2753">
        <v>2</v>
      </c>
      <c r="O2753" s="4">
        <v>5200</v>
      </c>
      <c r="P2753" s="4">
        <v>7000</v>
      </c>
      <c r="Q2753" s="7">
        <v>0.25</v>
      </c>
      <c r="R2753" t="s">
        <v>235</v>
      </c>
      <c r="S2753">
        <v>11</v>
      </c>
      <c r="T2753">
        <v>14000</v>
      </c>
      <c r="U2753">
        <v>3500</v>
      </c>
      <c r="V2753">
        <v>10500</v>
      </c>
      <c r="W2753">
        <v>10400</v>
      </c>
      <c r="X2753">
        <v>100</v>
      </c>
      <c r="Y2753" s="8">
        <v>9.5238095238095247E-3</v>
      </c>
      <c r="Z2753" t="s">
        <v>2997</v>
      </c>
      <c r="AA2753" t="str">
        <f>IF(AND(SalesCleanTable[[#This Row],[Discount %]]&gt;0, SalesCleanTable[[#This Row],[Profit]]&lt;0), "Discount loss", "Safe")</f>
        <v>Safe</v>
      </c>
      <c r="AB2753" s="25">
        <f>(SalesCleanTable[[#This Row],[Unit Price]] - SalesCleanTable[[#This Row],[Unit Cost]]) / SalesCleanTable[[#This Row],[Unit Price]]</f>
        <v>0.25714285714285712</v>
      </c>
      <c r="AC2753" t="str">
        <f>IF(SalesCleanTable[[#This Row],[Discount %]] &gt; SalesCleanTable[[#This Row],[Max Allowed Discount]], "Discount loss", "Safe")</f>
        <v>Safe</v>
      </c>
      <c r="AD2753" s="4">
        <f>SalesCleanTable[[#This Row],[Unit Price]] - SalesCleanTable[[#This Row],[Unit Cost]]</f>
        <v>1800</v>
      </c>
      <c r="AE2753" s="41">
        <f>(SalesCleanTable[[#This Row],[Unit Price]] - SalesCleanTable[[#This Row],[Unit Cost]]) / SalesCleanTable[[#This Row],[Unit Price]]</f>
        <v>0.25714285714285712</v>
      </c>
    </row>
    <row r="2754" spans="1:31">
      <c r="A2754" t="s">
        <v>2940</v>
      </c>
      <c r="B2754" s="6">
        <v>45686</v>
      </c>
      <c r="C2754" t="s">
        <v>57</v>
      </c>
      <c r="D2754" t="s">
        <v>58</v>
      </c>
      <c r="E2754" t="s">
        <v>59</v>
      </c>
      <c r="F2754" t="s">
        <v>60</v>
      </c>
      <c r="G2754" t="s">
        <v>61</v>
      </c>
      <c r="H2754" t="s">
        <v>149</v>
      </c>
      <c r="I2754" t="s">
        <v>150</v>
      </c>
      <c r="J2754" t="s">
        <v>151</v>
      </c>
      <c r="K2754" t="s">
        <v>152</v>
      </c>
      <c r="L2754" t="s">
        <v>183</v>
      </c>
      <c r="M2754" t="s">
        <v>171</v>
      </c>
      <c r="N2754">
        <v>2</v>
      </c>
      <c r="O2754" s="4">
        <v>2400</v>
      </c>
      <c r="P2754" s="4">
        <v>3400</v>
      </c>
      <c r="Q2754" s="7">
        <v>0</v>
      </c>
      <c r="R2754" t="s">
        <v>192</v>
      </c>
      <c r="S2754">
        <v>11</v>
      </c>
      <c r="T2754">
        <v>6800</v>
      </c>
      <c r="U2754">
        <v>0</v>
      </c>
      <c r="V2754">
        <v>6800</v>
      </c>
      <c r="W2754">
        <v>4800</v>
      </c>
      <c r="X2754">
        <v>2000</v>
      </c>
      <c r="Y2754" s="8">
        <v>0.29411764705882354</v>
      </c>
      <c r="Z2754" t="s">
        <v>2996</v>
      </c>
      <c r="AA2754" t="str">
        <f>IF(AND(SalesCleanTable[[#This Row],[Discount %]]&gt;0, SalesCleanTable[[#This Row],[Profit]]&lt;0), "Discount loss", "Safe")</f>
        <v>Safe</v>
      </c>
      <c r="AB2754" s="25">
        <f>(SalesCleanTable[[#This Row],[Unit Price]] - SalesCleanTable[[#This Row],[Unit Cost]]) / SalesCleanTable[[#This Row],[Unit Price]]</f>
        <v>0.29411764705882354</v>
      </c>
      <c r="AC2754" t="str">
        <f>IF(SalesCleanTable[[#This Row],[Discount %]] &gt; SalesCleanTable[[#This Row],[Max Allowed Discount]], "Discount loss", "Safe")</f>
        <v>Safe</v>
      </c>
      <c r="AD2754" s="4">
        <f>SalesCleanTable[[#This Row],[Unit Price]] - SalesCleanTable[[#This Row],[Unit Cost]]</f>
        <v>1000</v>
      </c>
      <c r="AE2754" s="41">
        <f>(SalesCleanTable[[#This Row],[Unit Price]] - SalesCleanTable[[#This Row],[Unit Cost]]) / SalesCleanTable[[#This Row],[Unit Price]]</f>
        <v>0.29411764705882354</v>
      </c>
    </row>
    <row r="2755" spans="1:31">
      <c r="A2755" t="s">
        <v>2941</v>
      </c>
      <c r="B2755" s="6">
        <v>45854</v>
      </c>
      <c r="C2755" t="s">
        <v>45</v>
      </c>
      <c r="D2755" t="s">
        <v>46</v>
      </c>
      <c r="E2755" t="s">
        <v>38</v>
      </c>
      <c r="F2755" t="s">
        <v>47</v>
      </c>
      <c r="G2755" t="s">
        <v>48</v>
      </c>
      <c r="H2755" t="s">
        <v>135</v>
      </c>
      <c r="I2755" t="s">
        <v>136</v>
      </c>
      <c r="J2755" t="s">
        <v>137</v>
      </c>
      <c r="K2755" t="s">
        <v>138</v>
      </c>
      <c r="L2755" t="s">
        <v>166</v>
      </c>
      <c r="M2755" t="s">
        <v>171</v>
      </c>
      <c r="N2755">
        <v>4</v>
      </c>
      <c r="O2755" s="4">
        <v>230</v>
      </c>
      <c r="P2755" s="4">
        <v>400</v>
      </c>
      <c r="Q2755" s="7">
        <v>0.1</v>
      </c>
      <c r="R2755" t="s">
        <v>178</v>
      </c>
      <c r="S2755">
        <v>4</v>
      </c>
      <c r="T2755">
        <v>1600</v>
      </c>
      <c r="U2755">
        <v>160</v>
      </c>
      <c r="V2755">
        <v>1440</v>
      </c>
      <c r="W2755">
        <v>920</v>
      </c>
      <c r="X2755">
        <v>520</v>
      </c>
      <c r="Y2755" s="8">
        <v>0.3611111111111111</v>
      </c>
      <c r="Z2755" t="s">
        <v>2995</v>
      </c>
      <c r="AA2755" t="str">
        <f>IF(AND(SalesCleanTable[[#This Row],[Discount %]]&gt;0, SalesCleanTable[[#This Row],[Profit]]&lt;0), "Discount loss", "Safe")</f>
        <v>Safe</v>
      </c>
      <c r="AB2755" s="25">
        <f>(SalesCleanTable[[#This Row],[Unit Price]] - SalesCleanTable[[#This Row],[Unit Cost]]) / SalesCleanTable[[#This Row],[Unit Price]]</f>
        <v>0.42499999999999999</v>
      </c>
      <c r="AC2755" t="str">
        <f>IF(SalesCleanTable[[#This Row],[Discount %]] &gt; SalesCleanTable[[#This Row],[Max Allowed Discount]], "Discount loss", "Safe")</f>
        <v>Safe</v>
      </c>
      <c r="AD2755" s="4">
        <f>SalesCleanTable[[#This Row],[Unit Price]] - SalesCleanTable[[#This Row],[Unit Cost]]</f>
        <v>170</v>
      </c>
      <c r="AE2755" s="41">
        <f>(SalesCleanTable[[#This Row],[Unit Price]] - SalesCleanTable[[#This Row],[Unit Cost]]) / SalesCleanTable[[#This Row],[Unit Price]]</f>
        <v>0.42499999999999999</v>
      </c>
    </row>
    <row r="2756" spans="1:31">
      <c r="A2756" t="s">
        <v>2942</v>
      </c>
      <c r="B2756" s="6">
        <v>46022</v>
      </c>
      <c r="C2756" t="s">
        <v>49</v>
      </c>
      <c r="D2756" t="s">
        <v>50</v>
      </c>
      <c r="E2756" t="s">
        <v>38</v>
      </c>
      <c r="F2756" t="s">
        <v>51</v>
      </c>
      <c r="G2756" t="s">
        <v>52</v>
      </c>
      <c r="H2756" t="s">
        <v>139</v>
      </c>
      <c r="I2756" t="s">
        <v>140</v>
      </c>
      <c r="J2756" t="s">
        <v>137</v>
      </c>
      <c r="K2756" t="s">
        <v>138</v>
      </c>
      <c r="L2756" t="s">
        <v>166</v>
      </c>
      <c r="M2756" t="s">
        <v>177</v>
      </c>
      <c r="N2756">
        <v>8</v>
      </c>
      <c r="O2756" s="4">
        <v>550</v>
      </c>
      <c r="P2756" s="4">
        <v>850</v>
      </c>
      <c r="Q2756" s="7">
        <v>0.05</v>
      </c>
      <c r="R2756" t="s">
        <v>175</v>
      </c>
      <c r="S2756">
        <v>4</v>
      </c>
      <c r="T2756">
        <v>6800</v>
      </c>
      <c r="U2756">
        <v>340</v>
      </c>
      <c r="V2756">
        <v>6460</v>
      </c>
      <c r="W2756">
        <v>4400</v>
      </c>
      <c r="X2756">
        <v>2060</v>
      </c>
      <c r="Y2756" s="8">
        <v>0.31888544891640869</v>
      </c>
      <c r="Z2756" t="s">
        <v>2996</v>
      </c>
      <c r="AA2756" t="str">
        <f>IF(AND(SalesCleanTable[[#This Row],[Discount %]]&gt;0, SalesCleanTable[[#This Row],[Profit]]&lt;0), "Discount loss", "Safe")</f>
        <v>Safe</v>
      </c>
      <c r="AB2756" s="25">
        <f>(SalesCleanTable[[#This Row],[Unit Price]] - SalesCleanTable[[#This Row],[Unit Cost]]) / SalesCleanTable[[#This Row],[Unit Price]]</f>
        <v>0.35294117647058826</v>
      </c>
      <c r="AC2756" t="str">
        <f>IF(SalesCleanTable[[#This Row],[Discount %]] &gt; SalesCleanTable[[#This Row],[Max Allowed Discount]], "Discount loss", "Safe")</f>
        <v>Safe</v>
      </c>
      <c r="AD2756" s="4">
        <f>SalesCleanTable[[#This Row],[Unit Price]] - SalesCleanTable[[#This Row],[Unit Cost]]</f>
        <v>300</v>
      </c>
      <c r="AE2756" s="41">
        <f>(SalesCleanTable[[#This Row],[Unit Price]] - SalesCleanTable[[#This Row],[Unit Cost]]) / SalesCleanTable[[#This Row],[Unit Price]]</f>
        <v>0.35294117647058826</v>
      </c>
    </row>
    <row r="2757" spans="1:31">
      <c r="A2757" t="s">
        <v>2943</v>
      </c>
      <c r="B2757" s="6">
        <v>45854</v>
      </c>
      <c r="C2757" t="s">
        <v>29</v>
      </c>
      <c r="D2757" t="s">
        <v>30</v>
      </c>
      <c r="E2757" t="s">
        <v>26</v>
      </c>
      <c r="F2757" t="s">
        <v>27</v>
      </c>
      <c r="G2757" t="s">
        <v>31</v>
      </c>
      <c r="H2757" t="s">
        <v>135</v>
      </c>
      <c r="I2757" t="s">
        <v>136</v>
      </c>
      <c r="J2757" t="s">
        <v>137</v>
      </c>
      <c r="K2757" t="s">
        <v>138</v>
      </c>
      <c r="L2757" t="s">
        <v>166</v>
      </c>
      <c r="M2757" t="s">
        <v>171</v>
      </c>
      <c r="N2757">
        <v>-2</v>
      </c>
      <c r="O2757" s="4">
        <v>6200</v>
      </c>
      <c r="P2757" s="4">
        <v>7900</v>
      </c>
      <c r="Q2757" s="7">
        <v>0.1</v>
      </c>
      <c r="R2757" t="s">
        <v>173</v>
      </c>
      <c r="S2757">
        <v>11</v>
      </c>
      <c r="T2757">
        <v>-15800</v>
      </c>
      <c r="U2757">
        <v>-1580</v>
      </c>
      <c r="V2757">
        <v>-14220</v>
      </c>
      <c r="W2757">
        <v>-12400</v>
      </c>
      <c r="X2757">
        <v>-1820</v>
      </c>
      <c r="Y2757" s="8">
        <v>0.12798874824191281</v>
      </c>
      <c r="Z2757" t="s">
        <v>2996</v>
      </c>
      <c r="AA2757" t="str">
        <f>IF(AND(SalesCleanTable[[#This Row],[Discount %]]&gt;0, SalesCleanTable[[#This Row],[Profit]]&lt;0), "Discount loss", "Safe")</f>
        <v>Discount loss</v>
      </c>
      <c r="AB2757" s="25">
        <f>(SalesCleanTable[[#This Row],[Unit Price]] - SalesCleanTable[[#This Row],[Unit Cost]]) / SalesCleanTable[[#This Row],[Unit Price]]</f>
        <v>0.21518987341772153</v>
      </c>
      <c r="AC2757" t="str">
        <f>IF(SalesCleanTable[[#This Row],[Discount %]] &gt; SalesCleanTable[[#This Row],[Max Allowed Discount]], "Discount loss", "Safe")</f>
        <v>Safe</v>
      </c>
      <c r="AD2757" s="4">
        <f>SalesCleanTable[[#This Row],[Unit Price]] - SalesCleanTable[[#This Row],[Unit Cost]]</f>
        <v>1700</v>
      </c>
      <c r="AE2757" s="41">
        <f>(SalesCleanTable[[#This Row],[Unit Price]] - SalesCleanTable[[#This Row],[Unit Cost]]) / SalesCleanTable[[#This Row],[Unit Price]]</f>
        <v>0.21518987341772153</v>
      </c>
    </row>
    <row r="2758" spans="1:31">
      <c r="A2758" t="s">
        <v>2944</v>
      </c>
      <c r="B2758" s="6">
        <v>45776</v>
      </c>
      <c r="C2758" t="s">
        <v>90</v>
      </c>
      <c r="D2758" t="s">
        <v>91</v>
      </c>
      <c r="E2758" t="s">
        <v>92</v>
      </c>
      <c r="F2758" t="s">
        <v>93</v>
      </c>
      <c r="G2758" t="s">
        <v>94</v>
      </c>
      <c r="H2758" t="s">
        <v>135</v>
      </c>
      <c r="I2758" t="s">
        <v>136</v>
      </c>
      <c r="J2758" t="s">
        <v>137</v>
      </c>
      <c r="K2758" t="s">
        <v>138</v>
      </c>
      <c r="L2758" t="s">
        <v>166</v>
      </c>
      <c r="M2758" t="s">
        <v>177</v>
      </c>
      <c r="N2758">
        <v>2</v>
      </c>
      <c r="O2758" s="4">
        <v>7500</v>
      </c>
      <c r="P2758" s="4">
        <v>10500</v>
      </c>
      <c r="Q2758" s="7">
        <v>0.2</v>
      </c>
      <c r="R2758" t="s">
        <v>217</v>
      </c>
      <c r="S2758">
        <v>11</v>
      </c>
      <c r="T2758">
        <v>21000</v>
      </c>
      <c r="U2758">
        <v>4200</v>
      </c>
      <c r="V2758">
        <v>16800</v>
      </c>
      <c r="W2758">
        <v>15000</v>
      </c>
      <c r="X2758">
        <v>1800</v>
      </c>
      <c r="Y2758" s="8">
        <v>0.10714285714285714</v>
      </c>
      <c r="Z2758" t="s">
        <v>2996</v>
      </c>
      <c r="AA2758" t="str">
        <f>IF(AND(SalesCleanTable[[#This Row],[Discount %]]&gt;0, SalesCleanTable[[#This Row],[Profit]]&lt;0), "Discount loss", "Safe")</f>
        <v>Safe</v>
      </c>
      <c r="AB2758" s="25">
        <f>(SalesCleanTable[[#This Row],[Unit Price]] - SalesCleanTable[[#This Row],[Unit Cost]]) / SalesCleanTable[[#This Row],[Unit Price]]</f>
        <v>0.2857142857142857</v>
      </c>
      <c r="AC2758" t="str">
        <f>IF(SalesCleanTable[[#This Row],[Discount %]] &gt; SalesCleanTable[[#This Row],[Max Allowed Discount]], "Discount loss", "Safe")</f>
        <v>Safe</v>
      </c>
      <c r="AD2758" s="4">
        <f>SalesCleanTable[[#This Row],[Unit Price]] - SalesCleanTable[[#This Row],[Unit Cost]]</f>
        <v>3000</v>
      </c>
      <c r="AE2758" s="41">
        <f>(SalesCleanTable[[#This Row],[Unit Price]] - SalesCleanTable[[#This Row],[Unit Cost]]) / SalesCleanTable[[#This Row],[Unit Price]]</f>
        <v>0.2857142857142857</v>
      </c>
    </row>
    <row r="2759" spans="1:31">
      <c r="A2759" t="s">
        <v>2945</v>
      </c>
      <c r="B2759" s="6">
        <v>45754</v>
      </c>
      <c r="C2759" t="s">
        <v>45</v>
      </c>
      <c r="D2759" t="s">
        <v>46</v>
      </c>
      <c r="E2759" t="s">
        <v>38</v>
      </c>
      <c r="F2759" t="s">
        <v>47</v>
      </c>
      <c r="G2759" t="s">
        <v>48</v>
      </c>
      <c r="H2759" t="s">
        <v>133</v>
      </c>
      <c r="I2759" t="s">
        <v>134</v>
      </c>
      <c r="J2759" t="s">
        <v>130</v>
      </c>
      <c r="K2759" t="s">
        <v>131</v>
      </c>
      <c r="L2759" t="s">
        <v>166</v>
      </c>
      <c r="M2759" t="s">
        <v>167</v>
      </c>
      <c r="N2759">
        <v>5</v>
      </c>
      <c r="O2759" s="4">
        <v>230</v>
      </c>
      <c r="P2759" s="4">
        <v>400</v>
      </c>
      <c r="Q2759" s="7">
        <v>0.1</v>
      </c>
      <c r="R2759" t="s">
        <v>178</v>
      </c>
      <c r="S2759">
        <v>5</v>
      </c>
      <c r="T2759">
        <v>2000</v>
      </c>
      <c r="U2759">
        <v>200</v>
      </c>
      <c r="V2759">
        <v>1800</v>
      </c>
      <c r="W2759">
        <v>1150</v>
      </c>
      <c r="X2759">
        <v>650</v>
      </c>
      <c r="Y2759" s="8">
        <v>0.3611111111111111</v>
      </c>
      <c r="Z2759" t="s">
        <v>2995</v>
      </c>
      <c r="AA2759" t="str">
        <f>IF(AND(SalesCleanTable[[#This Row],[Discount %]]&gt;0, SalesCleanTable[[#This Row],[Profit]]&lt;0), "Discount loss", "Safe")</f>
        <v>Safe</v>
      </c>
      <c r="AB2759" s="25">
        <f>(SalesCleanTable[[#This Row],[Unit Price]] - SalesCleanTable[[#This Row],[Unit Cost]]) / SalesCleanTable[[#This Row],[Unit Price]]</f>
        <v>0.42499999999999999</v>
      </c>
      <c r="AC2759" t="str">
        <f>IF(SalesCleanTable[[#This Row],[Discount %]] &gt; SalesCleanTable[[#This Row],[Max Allowed Discount]], "Discount loss", "Safe")</f>
        <v>Safe</v>
      </c>
      <c r="AD2759" s="4">
        <f>SalesCleanTable[[#This Row],[Unit Price]] - SalesCleanTable[[#This Row],[Unit Cost]]</f>
        <v>170</v>
      </c>
      <c r="AE2759" s="41">
        <f>(SalesCleanTable[[#This Row],[Unit Price]] - SalesCleanTable[[#This Row],[Unit Cost]]) / SalesCleanTable[[#This Row],[Unit Price]]</f>
        <v>0.42499999999999999</v>
      </c>
    </row>
    <row r="2760" spans="1:31">
      <c r="A2760" t="s">
        <v>2946</v>
      </c>
      <c r="B2760" s="6">
        <v>45847</v>
      </c>
      <c r="C2760" t="s">
        <v>32</v>
      </c>
      <c r="D2760" t="s">
        <v>33</v>
      </c>
      <c r="E2760" t="s">
        <v>26</v>
      </c>
      <c r="F2760" t="s">
        <v>34</v>
      </c>
      <c r="G2760" t="s">
        <v>35</v>
      </c>
      <c r="H2760" t="s">
        <v>153</v>
      </c>
      <c r="I2760" t="s">
        <v>154</v>
      </c>
      <c r="J2760" t="s">
        <v>155</v>
      </c>
      <c r="K2760" t="s">
        <v>131</v>
      </c>
      <c r="L2760" t="s">
        <v>183</v>
      </c>
      <c r="M2760" t="s">
        <v>171</v>
      </c>
      <c r="N2760">
        <v>3</v>
      </c>
      <c r="O2760" s="4">
        <v>7800</v>
      </c>
      <c r="P2760" s="4">
        <v>9800</v>
      </c>
      <c r="Q2760" s="7">
        <v>0.05</v>
      </c>
      <c r="R2760" t="s">
        <v>173</v>
      </c>
      <c r="S2760">
        <v>7</v>
      </c>
      <c r="T2760">
        <v>29400</v>
      </c>
      <c r="U2760">
        <v>1470</v>
      </c>
      <c r="V2760">
        <v>27930</v>
      </c>
      <c r="W2760">
        <v>23400</v>
      </c>
      <c r="X2760">
        <v>4530</v>
      </c>
      <c r="Y2760" s="8">
        <v>0.16219119226638024</v>
      </c>
      <c r="Z2760" t="s">
        <v>2995</v>
      </c>
      <c r="AA2760" t="str">
        <f>IF(AND(SalesCleanTable[[#This Row],[Discount %]]&gt;0, SalesCleanTable[[#This Row],[Profit]]&lt;0), "Discount loss", "Safe")</f>
        <v>Safe</v>
      </c>
      <c r="AB2760" s="25">
        <f>(SalesCleanTable[[#This Row],[Unit Price]] - SalesCleanTable[[#This Row],[Unit Cost]]) / SalesCleanTable[[#This Row],[Unit Price]]</f>
        <v>0.20408163265306123</v>
      </c>
      <c r="AC2760" t="str">
        <f>IF(SalesCleanTable[[#This Row],[Discount %]] &gt; SalesCleanTable[[#This Row],[Max Allowed Discount]], "Discount loss", "Safe")</f>
        <v>Safe</v>
      </c>
      <c r="AD2760" s="4">
        <f>SalesCleanTable[[#This Row],[Unit Price]] - SalesCleanTable[[#This Row],[Unit Cost]]</f>
        <v>2000</v>
      </c>
      <c r="AE2760" s="41">
        <f>(SalesCleanTable[[#This Row],[Unit Price]] - SalesCleanTable[[#This Row],[Unit Cost]]) / SalesCleanTable[[#This Row],[Unit Price]]</f>
        <v>0.20408163265306123</v>
      </c>
    </row>
    <row r="2761" spans="1:31">
      <c r="A2761" t="s">
        <v>2947</v>
      </c>
      <c r="B2761" s="6">
        <v>45843</v>
      </c>
      <c r="C2761" t="s">
        <v>95</v>
      </c>
      <c r="D2761" t="s">
        <v>96</v>
      </c>
      <c r="E2761" t="s">
        <v>92</v>
      </c>
      <c r="F2761" t="s">
        <v>97</v>
      </c>
      <c r="G2761" t="s">
        <v>98</v>
      </c>
      <c r="H2761" t="s">
        <v>133</v>
      </c>
      <c r="I2761" t="s">
        <v>134</v>
      </c>
      <c r="J2761" t="s">
        <v>130</v>
      </c>
      <c r="K2761" t="s">
        <v>131</v>
      </c>
      <c r="L2761" t="s">
        <v>166</v>
      </c>
      <c r="M2761" t="s">
        <v>171</v>
      </c>
      <c r="N2761">
        <v>2</v>
      </c>
      <c r="O2761" s="4">
        <v>18000</v>
      </c>
      <c r="P2761" s="4">
        <v>24500</v>
      </c>
      <c r="Q2761" s="7">
        <v>0.1</v>
      </c>
      <c r="R2761" t="s">
        <v>181</v>
      </c>
      <c r="S2761">
        <v>9</v>
      </c>
      <c r="T2761">
        <v>49000</v>
      </c>
      <c r="U2761">
        <v>4900</v>
      </c>
      <c r="V2761">
        <v>44100</v>
      </c>
      <c r="W2761">
        <v>36000</v>
      </c>
      <c r="X2761">
        <v>8100</v>
      </c>
      <c r="Y2761" s="8">
        <v>0.18367346938775511</v>
      </c>
      <c r="Z2761" t="s">
        <v>2995</v>
      </c>
      <c r="AA2761" t="str">
        <f>IF(AND(SalesCleanTable[[#This Row],[Discount %]]&gt;0, SalesCleanTable[[#This Row],[Profit]]&lt;0), "Discount loss", "Safe")</f>
        <v>Safe</v>
      </c>
      <c r="AB2761" s="25">
        <f>(SalesCleanTable[[#This Row],[Unit Price]] - SalesCleanTable[[#This Row],[Unit Cost]]) / SalesCleanTable[[#This Row],[Unit Price]]</f>
        <v>0.26530612244897961</v>
      </c>
      <c r="AC2761" t="str">
        <f>IF(SalesCleanTable[[#This Row],[Discount %]] &gt; SalesCleanTable[[#This Row],[Max Allowed Discount]], "Discount loss", "Safe")</f>
        <v>Safe</v>
      </c>
      <c r="AD2761" s="4">
        <f>SalesCleanTable[[#This Row],[Unit Price]] - SalesCleanTable[[#This Row],[Unit Cost]]</f>
        <v>6500</v>
      </c>
      <c r="AE2761" s="41">
        <f>(SalesCleanTable[[#This Row],[Unit Price]] - SalesCleanTable[[#This Row],[Unit Cost]]) / SalesCleanTable[[#This Row],[Unit Price]]</f>
        <v>0.26530612244897961</v>
      </c>
    </row>
    <row r="2762" spans="1:31">
      <c r="A2762" t="s">
        <v>2948</v>
      </c>
      <c r="B2762" s="6">
        <v>45668</v>
      </c>
      <c r="C2762" t="s">
        <v>53</v>
      </c>
      <c r="D2762" t="s">
        <v>54</v>
      </c>
      <c r="E2762" t="s">
        <v>38</v>
      </c>
      <c r="F2762" t="s">
        <v>55</v>
      </c>
      <c r="G2762" t="s">
        <v>56</v>
      </c>
      <c r="H2762" t="s">
        <v>133</v>
      </c>
      <c r="I2762" t="s">
        <v>134</v>
      </c>
      <c r="J2762" t="s">
        <v>130</v>
      </c>
      <c r="K2762" t="s">
        <v>131</v>
      </c>
      <c r="L2762" t="s">
        <v>183</v>
      </c>
      <c r="M2762" t="s">
        <v>177</v>
      </c>
      <c r="N2762">
        <v>5</v>
      </c>
      <c r="O2762" s="4">
        <v>330</v>
      </c>
      <c r="P2762" s="4">
        <v>550</v>
      </c>
      <c r="Q2762" s="7">
        <v>0</v>
      </c>
      <c r="R2762" t="s">
        <v>168</v>
      </c>
      <c r="S2762">
        <v>11</v>
      </c>
      <c r="T2762">
        <v>2750</v>
      </c>
      <c r="U2762">
        <v>0</v>
      </c>
      <c r="V2762">
        <v>2750</v>
      </c>
      <c r="W2762">
        <v>1650</v>
      </c>
      <c r="X2762">
        <v>1100</v>
      </c>
      <c r="Y2762" s="8">
        <v>0.4</v>
      </c>
      <c r="Z2762" t="s">
        <v>2996</v>
      </c>
      <c r="AA2762" t="str">
        <f>IF(AND(SalesCleanTable[[#This Row],[Discount %]]&gt;0, SalesCleanTable[[#This Row],[Profit]]&lt;0), "Discount loss", "Safe")</f>
        <v>Safe</v>
      </c>
      <c r="AB2762" s="25">
        <f>(SalesCleanTable[[#This Row],[Unit Price]] - SalesCleanTable[[#This Row],[Unit Cost]]) / SalesCleanTable[[#This Row],[Unit Price]]</f>
        <v>0.4</v>
      </c>
      <c r="AC2762" t="str">
        <f>IF(SalesCleanTable[[#This Row],[Discount %]] &gt; SalesCleanTable[[#This Row],[Max Allowed Discount]], "Discount loss", "Safe")</f>
        <v>Safe</v>
      </c>
      <c r="AD2762" s="4">
        <f>SalesCleanTable[[#This Row],[Unit Price]] - SalesCleanTable[[#This Row],[Unit Cost]]</f>
        <v>220</v>
      </c>
      <c r="AE2762" s="41">
        <f>(SalesCleanTable[[#This Row],[Unit Price]] - SalesCleanTable[[#This Row],[Unit Cost]]) / SalesCleanTable[[#This Row],[Unit Price]]</f>
        <v>0.4</v>
      </c>
    </row>
    <row r="2763" spans="1:31">
      <c r="A2763" t="s">
        <v>2949</v>
      </c>
      <c r="B2763" s="6">
        <v>45925</v>
      </c>
      <c r="C2763" t="s">
        <v>95</v>
      </c>
      <c r="D2763" t="s">
        <v>96</v>
      </c>
      <c r="E2763" t="s">
        <v>92</v>
      </c>
      <c r="F2763" t="s">
        <v>97</v>
      </c>
      <c r="G2763" t="s">
        <v>98</v>
      </c>
      <c r="H2763" t="s">
        <v>153</v>
      </c>
      <c r="I2763" t="s">
        <v>154</v>
      </c>
      <c r="J2763" t="s">
        <v>155</v>
      </c>
      <c r="K2763" t="s">
        <v>131</v>
      </c>
      <c r="L2763" t="s">
        <v>170</v>
      </c>
      <c r="M2763" t="s">
        <v>171</v>
      </c>
      <c r="N2763">
        <v>3</v>
      </c>
      <c r="O2763" s="4">
        <v>18000</v>
      </c>
      <c r="P2763" s="4">
        <v>24500</v>
      </c>
      <c r="Q2763" s="7">
        <v>0.15</v>
      </c>
      <c r="R2763" t="s">
        <v>181</v>
      </c>
      <c r="S2763">
        <v>4</v>
      </c>
      <c r="T2763">
        <v>73500</v>
      </c>
      <c r="U2763">
        <v>11025</v>
      </c>
      <c r="V2763">
        <v>62475</v>
      </c>
      <c r="W2763">
        <v>54000</v>
      </c>
      <c r="X2763">
        <v>8475</v>
      </c>
      <c r="Y2763" s="8">
        <v>0.13565426170468187</v>
      </c>
      <c r="Z2763" t="s">
        <v>2995</v>
      </c>
      <c r="AA2763" t="str">
        <f>IF(AND(SalesCleanTable[[#This Row],[Discount %]]&gt;0, SalesCleanTable[[#This Row],[Profit]]&lt;0), "Discount loss", "Safe")</f>
        <v>Safe</v>
      </c>
      <c r="AB2763" s="25">
        <f>(SalesCleanTable[[#This Row],[Unit Price]] - SalesCleanTable[[#This Row],[Unit Cost]]) / SalesCleanTable[[#This Row],[Unit Price]]</f>
        <v>0.26530612244897961</v>
      </c>
      <c r="AC2763" t="str">
        <f>IF(SalesCleanTable[[#This Row],[Discount %]] &gt; SalesCleanTable[[#This Row],[Max Allowed Discount]], "Discount loss", "Safe")</f>
        <v>Safe</v>
      </c>
      <c r="AD2763" s="4">
        <f>SalesCleanTable[[#This Row],[Unit Price]] - SalesCleanTable[[#This Row],[Unit Cost]]</f>
        <v>6500</v>
      </c>
      <c r="AE2763" s="41">
        <f>(SalesCleanTable[[#This Row],[Unit Price]] - SalesCleanTable[[#This Row],[Unit Cost]]) / SalesCleanTable[[#This Row],[Unit Price]]</f>
        <v>0.26530612244897961</v>
      </c>
    </row>
    <row r="2764" spans="1:31">
      <c r="A2764" t="s">
        <v>2950</v>
      </c>
      <c r="B2764" s="6">
        <v>45967</v>
      </c>
      <c r="C2764" t="s">
        <v>103</v>
      </c>
      <c r="D2764" t="s">
        <v>104</v>
      </c>
      <c r="E2764" t="s">
        <v>92</v>
      </c>
      <c r="F2764" t="s">
        <v>105</v>
      </c>
      <c r="G2764" t="s">
        <v>106</v>
      </c>
      <c r="H2764" t="s">
        <v>135</v>
      </c>
      <c r="I2764" t="s">
        <v>136</v>
      </c>
      <c r="J2764" t="s">
        <v>137</v>
      </c>
      <c r="K2764" t="s">
        <v>138</v>
      </c>
      <c r="L2764" t="s">
        <v>166</v>
      </c>
      <c r="M2764" t="s">
        <v>171</v>
      </c>
      <c r="N2764">
        <v>2</v>
      </c>
      <c r="O2764" s="4">
        <v>1500</v>
      </c>
      <c r="P2764" s="4">
        <v>2500</v>
      </c>
      <c r="Q2764" s="7">
        <v>0.05</v>
      </c>
      <c r="R2764" t="s">
        <v>217</v>
      </c>
      <c r="S2764">
        <v>6</v>
      </c>
      <c r="T2764">
        <v>5000</v>
      </c>
      <c r="U2764">
        <v>250</v>
      </c>
      <c r="V2764">
        <v>4750</v>
      </c>
      <c r="W2764">
        <v>3000</v>
      </c>
      <c r="X2764">
        <v>1750</v>
      </c>
      <c r="Y2764" s="8">
        <v>0.36842105263157893</v>
      </c>
      <c r="Z2764" t="s">
        <v>2996</v>
      </c>
      <c r="AA2764" t="str">
        <f>IF(AND(SalesCleanTable[[#This Row],[Discount %]]&gt;0, SalesCleanTable[[#This Row],[Profit]]&lt;0), "Discount loss", "Safe")</f>
        <v>Safe</v>
      </c>
      <c r="AB2764" s="25">
        <f>(SalesCleanTable[[#This Row],[Unit Price]] - SalesCleanTable[[#This Row],[Unit Cost]]) / SalesCleanTable[[#This Row],[Unit Price]]</f>
        <v>0.4</v>
      </c>
      <c r="AC2764" t="str">
        <f>IF(SalesCleanTable[[#This Row],[Discount %]] &gt; SalesCleanTable[[#This Row],[Max Allowed Discount]], "Discount loss", "Safe")</f>
        <v>Safe</v>
      </c>
      <c r="AD2764" s="4">
        <f>SalesCleanTable[[#This Row],[Unit Price]] - SalesCleanTable[[#This Row],[Unit Cost]]</f>
        <v>1000</v>
      </c>
      <c r="AE2764" s="41">
        <f>(SalesCleanTable[[#This Row],[Unit Price]] - SalesCleanTable[[#This Row],[Unit Cost]]) / SalesCleanTable[[#This Row],[Unit Price]]</f>
        <v>0.4</v>
      </c>
    </row>
    <row r="2765" spans="1:31">
      <c r="A2765" t="s">
        <v>2951</v>
      </c>
      <c r="B2765" s="6">
        <v>45892</v>
      </c>
      <c r="C2765" t="s">
        <v>32</v>
      </c>
      <c r="D2765" t="s">
        <v>33</v>
      </c>
      <c r="E2765" t="s">
        <v>26</v>
      </c>
      <c r="F2765" t="s">
        <v>34</v>
      </c>
      <c r="G2765" t="s">
        <v>35</v>
      </c>
      <c r="H2765" t="s">
        <v>139</v>
      </c>
      <c r="I2765" t="s">
        <v>140</v>
      </c>
      <c r="J2765" t="s">
        <v>137</v>
      </c>
      <c r="K2765" t="s">
        <v>138</v>
      </c>
      <c r="L2765" t="s">
        <v>183</v>
      </c>
      <c r="M2765" t="s">
        <v>171</v>
      </c>
      <c r="N2765">
        <v>1</v>
      </c>
      <c r="O2765" s="4">
        <v>7800</v>
      </c>
      <c r="P2765" s="4">
        <v>9800</v>
      </c>
      <c r="Q2765" s="7">
        <v>0</v>
      </c>
      <c r="R2765" t="s">
        <v>194</v>
      </c>
      <c r="S2765">
        <v>3</v>
      </c>
      <c r="T2765">
        <v>9800</v>
      </c>
      <c r="U2765">
        <v>0</v>
      </c>
      <c r="V2765">
        <v>9800</v>
      </c>
      <c r="W2765">
        <v>7800</v>
      </c>
      <c r="X2765">
        <v>2000</v>
      </c>
      <c r="Y2765" s="8">
        <v>0.20408163265306123</v>
      </c>
      <c r="Z2765" t="s">
        <v>2995</v>
      </c>
      <c r="AA2765" t="str">
        <f>IF(AND(SalesCleanTable[[#This Row],[Discount %]]&gt;0, SalesCleanTable[[#This Row],[Profit]]&lt;0), "Discount loss", "Safe")</f>
        <v>Safe</v>
      </c>
      <c r="AB2765" s="25">
        <f>(SalesCleanTable[[#This Row],[Unit Price]] - SalesCleanTable[[#This Row],[Unit Cost]]) / SalesCleanTable[[#This Row],[Unit Price]]</f>
        <v>0.20408163265306123</v>
      </c>
      <c r="AC2765" t="str">
        <f>IF(SalesCleanTable[[#This Row],[Discount %]] &gt; SalesCleanTable[[#This Row],[Max Allowed Discount]], "Discount loss", "Safe")</f>
        <v>Safe</v>
      </c>
      <c r="AD2765" s="4">
        <f>SalesCleanTable[[#This Row],[Unit Price]] - SalesCleanTable[[#This Row],[Unit Cost]]</f>
        <v>2000</v>
      </c>
      <c r="AE2765" s="41">
        <f>(SalesCleanTable[[#This Row],[Unit Price]] - SalesCleanTable[[#This Row],[Unit Cost]]) / SalesCleanTable[[#This Row],[Unit Price]]</f>
        <v>0.20408163265306123</v>
      </c>
    </row>
    <row r="2766" spans="1:31">
      <c r="A2766" t="s">
        <v>2952</v>
      </c>
      <c r="B2766" s="6">
        <v>45891</v>
      </c>
      <c r="C2766" t="s">
        <v>41</v>
      </c>
      <c r="D2766" t="s">
        <v>42</v>
      </c>
      <c r="E2766" t="s">
        <v>26</v>
      </c>
      <c r="F2766" t="s">
        <v>43</v>
      </c>
      <c r="G2766" t="s">
        <v>44</v>
      </c>
      <c r="H2766" t="s">
        <v>135</v>
      </c>
      <c r="I2766" t="s">
        <v>136</v>
      </c>
      <c r="J2766" t="s">
        <v>137</v>
      </c>
      <c r="K2766" t="s">
        <v>138</v>
      </c>
      <c r="L2766" t="s">
        <v>183</v>
      </c>
      <c r="M2766" t="s">
        <v>171</v>
      </c>
      <c r="N2766">
        <v>2</v>
      </c>
      <c r="O2766" s="4">
        <v>850</v>
      </c>
      <c r="P2766" s="4">
        <v>1300</v>
      </c>
      <c r="Q2766" s="7">
        <v>0.1</v>
      </c>
      <c r="R2766" t="s">
        <v>173</v>
      </c>
      <c r="S2766">
        <v>7</v>
      </c>
      <c r="T2766">
        <v>2600</v>
      </c>
      <c r="U2766">
        <v>260</v>
      </c>
      <c r="V2766">
        <v>2340</v>
      </c>
      <c r="W2766">
        <v>1700</v>
      </c>
      <c r="X2766">
        <v>640</v>
      </c>
      <c r="Y2766" s="8">
        <v>0.27350427350427353</v>
      </c>
      <c r="Z2766" t="s">
        <v>2995</v>
      </c>
      <c r="AA2766" t="str">
        <f>IF(AND(SalesCleanTable[[#This Row],[Discount %]]&gt;0, SalesCleanTable[[#This Row],[Profit]]&lt;0), "Discount loss", "Safe")</f>
        <v>Safe</v>
      </c>
      <c r="AB2766" s="25">
        <f>(SalesCleanTable[[#This Row],[Unit Price]] - SalesCleanTable[[#This Row],[Unit Cost]]) / SalesCleanTable[[#This Row],[Unit Price]]</f>
        <v>0.34615384615384615</v>
      </c>
      <c r="AC2766" t="str">
        <f>IF(SalesCleanTable[[#This Row],[Discount %]] &gt; SalesCleanTable[[#This Row],[Max Allowed Discount]], "Discount loss", "Safe")</f>
        <v>Safe</v>
      </c>
      <c r="AD2766" s="4">
        <f>SalesCleanTable[[#This Row],[Unit Price]] - SalesCleanTable[[#This Row],[Unit Cost]]</f>
        <v>450</v>
      </c>
      <c r="AE2766" s="41">
        <f>(SalesCleanTable[[#This Row],[Unit Price]] - SalesCleanTable[[#This Row],[Unit Cost]]) / SalesCleanTable[[#This Row],[Unit Price]]</f>
        <v>0.34615384615384615</v>
      </c>
    </row>
    <row r="2767" spans="1:31">
      <c r="A2767" t="s">
        <v>2953</v>
      </c>
      <c r="B2767" s="6">
        <v>45959</v>
      </c>
      <c r="C2767" t="s">
        <v>57</v>
      </c>
      <c r="D2767" t="s">
        <v>58</v>
      </c>
      <c r="E2767" t="s">
        <v>59</v>
      </c>
      <c r="F2767" t="s">
        <v>60</v>
      </c>
      <c r="G2767" t="s">
        <v>61</v>
      </c>
      <c r="H2767" t="s">
        <v>139</v>
      </c>
      <c r="I2767" t="s">
        <v>140</v>
      </c>
      <c r="J2767" t="s">
        <v>137</v>
      </c>
      <c r="K2767" t="s">
        <v>138</v>
      </c>
      <c r="L2767" t="s">
        <v>166</v>
      </c>
      <c r="M2767" t="s">
        <v>171</v>
      </c>
      <c r="N2767">
        <v>2</v>
      </c>
      <c r="O2767" s="4">
        <v>2400</v>
      </c>
      <c r="P2767" s="4">
        <v>3400</v>
      </c>
      <c r="Q2767" s="7">
        <v>0.05</v>
      </c>
      <c r="R2767" t="s">
        <v>173</v>
      </c>
      <c r="S2767">
        <v>1</v>
      </c>
      <c r="T2767">
        <v>6800</v>
      </c>
      <c r="U2767">
        <v>340</v>
      </c>
      <c r="V2767">
        <v>6460</v>
      </c>
      <c r="W2767">
        <v>4800</v>
      </c>
      <c r="X2767">
        <v>1660</v>
      </c>
      <c r="Y2767" s="8">
        <v>0.25696594427244585</v>
      </c>
      <c r="Z2767" t="s">
        <v>2996</v>
      </c>
      <c r="AA2767" t="str">
        <f>IF(AND(SalesCleanTable[[#This Row],[Discount %]]&gt;0, SalesCleanTable[[#This Row],[Profit]]&lt;0), "Discount loss", "Safe")</f>
        <v>Safe</v>
      </c>
      <c r="AB2767" s="25">
        <f>(SalesCleanTable[[#This Row],[Unit Price]] - SalesCleanTable[[#This Row],[Unit Cost]]) / SalesCleanTable[[#This Row],[Unit Price]]</f>
        <v>0.29411764705882354</v>
      </c>
      <c r="AC2767" t="str">
        <f>IF(SalesCleanTable[[#This Row],[Discount %]] &gt; SalesCleanTable[[#This Row],[Max Allowed Discount]], "Discount loss", "Safe")</f>
        <v>Safe</v>
      </c>
      <c r="AD2767" s="4">
        <f>SalesCleanTable[[#This Row],[Unit Price]] - SalesCleanTable[[#This Row],[Unit Cost]]</f>
        <v>1000</v>
      </c>
      <c r="AE2767" s="41">
        <f>(SalesCleanTable[[#This Row],[Unit Price]] - SalesCleanTable[[#This Row],[Unit Cost]]) / SalesCleanTable[[#This Row],[Unit Price]]</f>
        <v>0.29411764705882354</v>
      </c>
    </row>
    <row r="2768" spans="1:31">
      <c r="A2768" t="s">
        <v>2954</v>
      </c>
      <c r="B2768" s="6">
        <v>45879</v>
      </c>
      <c r="C2768" t="s">
        <v>66</v>
      </c>
      <c r="D2768" t="s">
        <v>67</v>
      </c>
      <c r="E2768" t="s">
        <v>59</v>
      </c>
      <c r="F2768" t="s">
        <v>60</v>
      </c>
      <c r="G2768" t="s">
        <v>68</v>
      </c>
      <c r="H2768" t="s">
        <v>128</v>
      </c>
      <c r="I2768" t="s">
        <v>129</v>
      </c>
      <c r="J2768" t="s">
        <v>130</v>
      </c>
      <c r="K2768" t="s">
        <v>131</v>
      </c>
      <c r="L2768" t="s">
        <v>166</v>
      </c>
      <c r="M2768" t="s">
        <v>177</v>
      </c>
      <c r="N2768">
        <v>2</v>
      </c>
      <c r="O2768" s="4">
        <v>2800</v>
      </c>
      <c r="P2768" s="4">
        <v>3900</v>
      </c>
      <c r="Q2768" s="7">
        <v>0.05</v>
      </c>
      <c r="R2768" t="s">
        <v>192</v>
      </c>
      <c r="S2768">
        <v>13</v>
      </c>
      <c r="T2768">
        <v>7800</v>
      </c>
      <c r="U2768">
        <v>390</v>
      </c>
      <c r="V2768">
        <v>7410</v>
      </c>
      <c r="W2768">
        <v>5600</v>
      </c>
      <c r="X2768">
        <v>1810</v>
      </c>
      <c r="Y2768" s="8">
        <v>0.24426450742240216</v>
      </c>
      <c r="Z2768" t="s">
        <v>2996</v>
      </c>
      <c r="AA2768" t="str">
        <f>IF(AND(SalesCleanTable[[#This Row],[Discount %]]&gt;0, SalesCleanTable[[#This Row],[Profit]]&lt;0), "Discount loss", "Safe")</f>
        <v>Safe</v>
      </c>
      <c r="AB2768" s="25">
        <f>(SalesCleanTable[[#This Row],[Unit Price]] - SalesCleanTable[[#This Row],[Unit Cost]]) / SalesCleanTable[[#This Row],[Unit Price]]</f>
        <v>0.28205128205128205</v>
      </c>
      <c r="AC2768" t="str">
        <f>IF(SalesCleanTable[[#This Row],[Discount %]] &gt; SalesCleanTable[[#This Row],[Max Allowed Discount]], "Discount loss", "Safe")</f>
        <v>Safe</v>
      </c>
      <c r="AD2768" s="4">
        <f>SalesCleanTable[[#This Row],[Unit Price]] - SalesCleanTable[[#This Row],[Unit Cost]]</f>
        <v>1100</v>
      </c>
      <c r="AE2768" s="41">
        <f>(SalesCleanTable[[#This Row],[Unit Price]] - SalesCleanTable[[#This Row],[Unit Cost]]) / SalesCleanTable[[#This Row],[Unit Price]]</f>
        <v>0.28205128205128205</v>
      </c>
    </row>
    <row r="2769" spans="1:31">
      <c r="A2769" t="s">
        <v>2955</v>
      </c>
      <c r="B2769" s="6">
        <v>45887</v>
      </c>
      <c r="C2769" t="s">
        <v>32</v>
      </c>
      <c r="D2769" t="s">
        <v>33</v>
      </c>
      <c r="E2769" t="s">
        <v>26</v>
      </c>
      <c r="F2769" t="s">
        <v>34</v>
      </c>
      <c r="G2769" t="s">
        <v>35</v>
      </c>
      <c r="H2769" t="s">
        <v>135</v>
      </c>
      <c r="I2769" t="s">
        <v>136</v>
      </c>
      <c r="J2769" t="s">
        <v>137</v>
      </c>
      <c r="K2769" t="s">
        <v>138</v>
      </c>
      <c r="L2769" t="s">
        <v>183</v>
      </c>
      <c r="M2769" t="s">
        <v>177</v>
      </c>
      <c r="N2769">
        <v>5</v>
      </c>
      <c r="O2769" s="4">
        <v>7800</v>
      </c>
      <c r="P2769" s="4">
        <v>9800</v>
      </c>
      <c r="Q2769" s="7">
        <v>0.05</v>
      </c>
      <c r="R2769" t="s">
        <v>194</v>
      </c>
      <c r="S2769">
        <v>2</v>
      </c>
      <c r="T2769">
        <v>49000</v>
      </c>
      <c r="U2769">
        <v>2450</v>
      </c>
      <c r="V2769">
        <v>46550</v>
      </c>
      <c r="W2769">
        <v>39000</v>
      </c>
      <c r="X2769">
        <v>7550</v>
      </c>
      <c r="Y2769" s="8">
        <v>0.16219119226638024</v>
      </c>
      <c r="Z2769" t="s">
        <v>2995</v>
      </c>
      <c r="AA2769" t="str">
        <f>IF(AND(SalesCleanTable[[#This Row],[Discount %]]&gt;0, SalesCleanTable[[#This Row],[Profit]]&lt;0), "Discount loss", "Safe")</f>
        <v>Safe</v>
      </c>
      <c r="AB2769" s="25">
        <f>(SalesCleanTable[[#This Row],[Unit Price]] - SalesCleanTable[[#This Row],[Unit Cost]]) / SalesCleanTable[[#This Row],[Unit Price]]</f>
        <v>0.20408163265306123</v>
      </c>
      <c r="AC2769" t="str">
        <f>IF(SalesCleanTable[[#This Row],[Discount %]] &gt; SalesCleanTable[[#This Row],[Max Allowed Discount]], "Discount loss", "Safe")</f>
        <v>Safe</v>
      </c>
      <c r="AD2769" s="4">
        <f>SalesCleanTable[[#This Row],[Unit Price]] - SalesCleanTable[[#This Row],[Unit Cost]]</f>
        <v>2000</v>
      </c>
      <c r="AE2769" s="41">
        <f>(SalesCleanTable[[#This Row],[Unit Price]] - SalesCleanTable[[#This Row],[Unit Cost]]) / SalesCleanTable[[#This Row],[Unit Price]]</f>
        <v>0.20408163265306123</v>
      </c>
    </row>
    <row r="2770" spans="1:31">
      <c r="A2770" t="s">
        <v>2956</v>
      </c>
      <c r="B2770" s="6">
        <v>45916</v>
      </c>
      <c r="C2770" t="s">
        <v>53</v>
      </c>
      <c r="D2770" t="s">
        <v>54</v>
      </c>
      <c r="E2770" t="s">
        <v>38</v>
      </c>
      <c r="F2770" t="s">
        <v>55</v>
      </c>
      <c r="G2770" t="s">
        <v>56</v>
      </c>
      <c r="H2770" t="s">
        <v>128</v>
      </c>
      <c r="I2770" t="s">
        <v>129</v>
      </c>
      <c r="J2770" t="s">
        <v>130</v>
      </c>
      <c r="K2770" t="s">
        <v>131</v>
      </c>
      <c r="L2770" t="s">
        <v>166</v>
      </c>
      <c r="M2770" t="s">
        <v>171</v>
      </c>
      <c r="N2770">
        <v>1</v>
      </c>
      <c r="O2770" s="4">
        <v>330</v>
      </c>
      <c r="P2770" s="4">
        <v>550</v>
      </c>
      <c r="Q2770" s="7">
        <v>0.05</v>
      </c>
      <c r="R2770" t="s">
        <v>168</v>
      </c>
      <c r="S2770">
        <v>11</v>
      </c>
      <c r="T2770">
        <v>550</v>
      </c>
      <c r="U2770">
        <v>27.5</v>
      </c>
      <c r="V2770">
        <v>522.5</v>
      </c>
      <c r="W2770">
        <v>330</v>
      </c>
      <c r="X2770">
        <v>192.5</v>
      </c>
      <c r="Y2770" s="8">
        <v>0.36842105263157893</v>
      </c>
      <c r="Z2770" t="s">
        <v>2996</v>
      </c>
      <c r="AA2770" t="str">
        <f>IF(AND(SalesCleanTable[[#This Row],[Discount %]]&gt;0, SalesCleanTable[[#This Row],[Profit]]&lt;0), "Discount loss", "Safe")</f>
        <v>Safe</v>
      </c>
      <c r="AB2770" s="25">
        <f>(SalesCleanTable[[#This Row],[Unit Price]] - SalesCleanTable[[#This Row],[Unit Cost]]) / SalesCleanTable[[#This Row],[Unit Price]]</f>
        <v>0.4</v>
      </c>
      <c r="AC2770" t="str">
        <f>IF(SalesCleanTable[[#This Row],[Discount %]] &gt; SalesCleanTable[[#This Row],[Max Allowed Discount]], "Discount loss", "Safe")</f>
        <v>Safe</v>
      </c>
      <c r="AD2770" s="4">
        <f>SalesCleanTable[[#This Row],[Unit Price]] - SalesCleanTable[[#This Row],[Unit Cost]]</f>
        <v>220</v>
      </c>
      <c r="AE2770" s="41">
        <f>(SalesCleanTable[[#This Row],[Unit Price]] - SalesCleanTable[[#This Row],[Unit Cost]]) / SalesCleanTable[[#This Row],[Unit Price]]</f>
        <v>0.4</v>
      </c>
    </row>
    <row r="2771" spans="1:31">
      <c r="A2771" t="s">
        <v>2957</v>
      </c>
      <c r="B2771" s="6">
        <v>45803</v>
      </c>
      <c r="C2771" t="s">
        <v>82</v>
      </c>
      <c r="D2771" t="s">
        <v>83</v>
      </c>
      <c r="E2771" t="s">
        <v>75</v>
      </c>
      <c r="F2771" t="s">
        <v>84</v>
      </c>
      <c r="G2771" t="s">
        <v>85</v>
      </c>
      <c r="H2771" t="s">
        <v>153</v>
      </c>
      <c r="I2771" t="s">
        <v>154</v>
      </c>
      <c r="J2771" t="s">
        <v>155</v>
      </c>
      <c r="K2771" t="s">
        <v>131</v>
      </c>
      <c r="L2771" t="s">
        <v>170</v>
      </c>
      <c r="M2771" t="s">
        <v>171</v>
      </c>
      <c r="N2771">
        <v>2</v>
      </c>
      <c r="O2771" s="4">
        <v>600</v>
      </c>
      <c r="P2771" s="4">
        <v>950</v>
      </c>
      <c r="Q2771" s="7">
        <v>0.15</v>
      </c>
      <c r="R2771" t="s">
        <v>208</v>
      </c>
      <c r="S2771">
        <v>1</v>
      </c>
      <c r="T2771">
        <v>1900</v>
      </c>
      <c r="U2771">
        <v>285</v>
      </c>
      <c r="V2771">
        <v>1615</v>
      </c>
      <c r="W2771">
        <v>1200</v>
      </c>
      <c r="X2771">
        <v>415</v>
      </c>
      <c r="Y2771" s="8">
        <v>0.25696594427244585</v>
      </c>
      <c r="Z2771" t="s">
        <v>2996</v>
      </c>
      <c r="AA2771" t="str">
        <f>IF(AND(SalesCleanTable[[#This Row],[Discount %]]&gt;0, SalesCleanTable[[#This Row],[Profit]]&lt;0), "Discount loss", "Safe")</f>
        <v>Safe</v>
      </c>
      <c r="AB2771" s="25">
        <f>(SalesCleanTable[[#This Row],[Unit Price]] - SalesCleanTable[[#This Row],[Unit Cost]]) / SalesCleanTable[[#This Row],[Unit Price]]</f>
        <v>0.36842105263157893</v>
      </c>
      <c r="AC2771" t="str">
        <f>IF(SalesCleanTable[[#This Row],[Discount %]] &gt; SalesCleanTable[[#This Row],[Max Allowed Discount]], "Discount loss", "Safe")</f>
        <v>Safe</v>
      </c>
      <c r="AD2771" s="4">
        <f>SalesCleanTable[[#This Row],[Unit Price]] - SalesCleanTable[[#This Row],[Unit Cost]]</f>
        <v>350</v>
      </c>
      <c r="AE2771" s="41">
        <f>(SalesCleanTable[[#This Row],[Unit Price]] - SalesCleanTable[[#This Row],[Unit Cost]]) / SalesCleanTable[[#This Row],[Unit Price]]</f>
        <v>0.36842105263157893</v>
      </c>
    </row>
    <row r="2772" spans="1:31">
      <c r="A2772" t="s">
        <v>2958</v>
      </c>
      <c r="B2772" s="6">
        <v>45800</v>
      </c>
      <c r="C2772" t="s">
        <v>45</v>
      </c>
      <c r="D2772" t="s">
        <v>46</v>
      </c>
      <c r="E2772" t="s">
        <v>38</v>
      </c>
      <c r="F2772" t="s">
        <v>47</v>
      </c>
      <c r="G2772" t="s">
        <v>48</v>
      </c>
      <c r="H2772" t="s">
        <v>149</v>
      </c>
      <c r="I2772" t="s">
        <v>150</v>
      </c>
      <c r="J2772" t="s">
        <v>151</v>
      </c>
      <c r="K2772" t="s">
        <v>152</v>
      </c>
      <c r="L2772" t="s">
        <v>166</v>
      </c>
      <c r="M2772" t="s">
        <v>171</v>
      </c>
      <c r="N2772">
        <v>3</v>
      </c>
      <c r="O2772" s="4">
        <v>230</v>
      </c>
      <c r="P2772" s="4">
        <v>400</v>
      </c>
      <c r="Q2772" s="7">
        <v>0.15</v>
      </c>
      <c r="R2772" t="s">
        <v>178</v>
      </c>
      <c r="S2772">
        <v>8</v>
      </c>
      <c r="T2772">
        <v>1200</v>
      </c>
      <c r="U2772">
        <v>180</v>
      </c>
      <c r="V2772">
        <v>1020</v>
      </c>
      <c r="W2772">
        <v>690</v>
      </c>
      <c r="X2772">
        <v>330</v>
      </c>
      <c r="Y2772" s="8">
        <v>0.3235294117647059</v>
      </c>
      <c r="Z2772" t="s">
        <v>2995</v>
      </c>
      <c r="AA2772" t="str">
        <f>IF(AND(SalesCleanTable[[#This Row],[Discount %]]&gt;0, SalesCleanTable[[#This Row],[Profit]]&lt;0), "Discount loss", "Safe")</f>
        <v>Safe</v>
      </c>
      <c r="AB2772" s="25">
        <f>(SalesCleanTable[[#This Row],[Unit Price]] - SalesCleanTable[[#This Row],[Unit Cost]]) / SalesCleanTable[[#This Row],[Unit Price]]</f>
        <v>0.42499999999999999</v>
      </c>
      <c r="AC2772" t="str">
        <f>IF(SalesCleanTable[[#This Row],[Discount %]] &gt; SalesCleanTable[[#This Row],[Max Allowed Discount]], "Discount loss", "Safe")</f>
        <v>Safe</v>
      </c>
      <c r="AD2772" s="4">
        <f>SalesCleanTable[[#This Row],[Unit Price]] - SalesCleanTable[[#This Row],[Unit Cost]]</f>
        <v>170</v>
      </c>
      <c r="AE2772" s="41">
        <f>(SalesCleanTable[[#This Row],[Unit Price]] - SalesCleanTable[[#This Row],[Unit Cost]]) / SalesCleanTable[[#This Row],[Unit Price]]</f>
        <v>0.42499999999999999</v>
      </c>
    </row>
    <row r="2773" spans="1:31">
      <c r="A2773" t="s">
        <v>2959</v>
      </c>
      <c r="B2773" s="6">
        <v>45681</v>
      </c>
      <c r="C2773" t="s">
        <v>32</v>
      </c>
      <c r="D2773" t="s">
        <v>33</v>
      </c>
      <c r="E2773" t="s">
        <v>26</v>
      </c>
      <c r="F2773" t="s">
        <v>34</v>
      </c>
      <c r="G2773" t="s">
        <v>35</v>
      </c>
      <c r="H2773" t="s">
        <v>145</v>
      </c>
      <c r="I2773" t="s">
        <v>146</v>
      </c>
      <c r="J2773" t="s">
        <v>147</v>
      </c>
      <c r="K2773" t="s">
        <v>148</v>
      </c>
      <c r="L2773" t="s">
        <v>183</v>
      </c>
      <c r="M2773" t="s">
        <v>186</v>
      </c>
      <c r="N2773">
        <v>6</v>
      </c>
      <c r="O2773" s="4">
        <v>7800</v>
      </c>
      <c r="P2773" s="4">
        <v>9800</v>
      </c>
      <c r="Q2773" s="7">
        <v>0.15</v>
      </c>
      <c r="R2773" t="s">
        <v>194</v>
      </c>
      <c r="S2773">
        <v>14</v>
      </c>
      <c r="T2773">
        <v>58800</v>
      </c>
      <c r="U2773">
        <v>8820</v>
      </c>
      <c r="V2773">
        <v>49980</v>
      </c>
      <c r="W2773">
        <v>46800</v>
      </c>
      <c r="X2773">
        <v>3180</v>
      </c>
      <c r="Y2773" s="8">
        <v>6.3625450180072027E-2</v>
      </c>
      <c r="Z2773" t="s">
        <v>2995</v>
      </c>
      <c r="AA2773" t="str">
        <f>IF(AND(SalesCleanTable[[#This Row],[Discount %]]&gt;0, SalesCleanTable[[#This Row],[Profit]]&lt;0), "Discount loss", "Safe")</f>
        <v>Safe</v>
      </c>
      <c r="AB2773" s="25">
        <f>(SalesCleanTable[[#This Row],[Unit Price]] - SalesCleanTable[[#This Row],[Unit Cost]]) / SalesCleanTable[[#This Row],[Unit Price]]</f>
        <v>0.20408163265306123</v>
      </c>
      <c r="AC2773" t="str">
        <f>IF(SalesCleanTable[[#This Row],[Discount %]] &gt; SalesCleanTable[[#This Row],[Max Allowed Discount]], "Discount loss", "Safe")</f>
        <v>Safe</v>
      </c>
      <c r="AD2773" s="4">
        <f>SalesCleanTable[[#This Row],[Unit Price]] - SalesCleanTable[[#This Row],[Unit Cost]]</f>
        <v>2000</v>
      </c>
      <c r="AE2773" s="41">
        <f>(SalesCleanTable[[#This Row],[Unit Price]] - SalesCleanTable[[#This Row],[Unit Cost]]) / SalesCleanTable[[#This Row],[Unit Price]]</f>
        <v>0.20408163265306123</v>
      </c>
    </row>
    <row r="2774" spans="1:31">
      <c r="A2774" t="s">
        <v>2960</v>
      </c>
      <c r="B2774" s="6">
        <v>45958</v>
      </c>
      <c r="C2774" t="s">
        <v>36</v>
      </c>
      <c r="D2774" t="s">
        <v>37</v>
      </c>
      <c r="E2774" t="s">
        <v>38</v>
      </c>
      <c r="F2774" t="s">
        <v>39</v>
      </c>
      <c r="G2774" t="s">
        <v>40</v>
      </c>
      <c r="H2774" t="s">
        <v>135</v>
      </c>
      <c r="I2774" t="s">
        <v>136</v>
      </c>
      <c r="J2774" t="s">
        <v>137</v>
      </c>
      <c r="K2774" t="s">
        <v>138</v>
      </c>
      <c r="L2774" t="s">
        <v>166</v>
      </c>
      <c r="M2774" t="s">
        <v>177</v>
      </c>
      <c r="N2774">
        <v>2</v>
      </c>
      <c r="O2774" s="4">
        <v>1650</v>
      </c>
      <c r="P2774" s="4">
        <v>2200</v>
      </c>
      <c r="Q2774" s="7">
        <v>0.05</v>
      </c>
      <c r="R2774" t="s">
        <v>178</v>
      </c>
      <c r="S2774">
        <v>14</v>
      </c>
      <c r="T2774">
        <v>4400</v>
      </c>
      <c r="U2774">
        <v>220</v>
      </c>
      <c r="V2774">
        <v>4180</v>
      </c>
      <c r="W2774">
        <v>3300</v>
      </c>
      <c r="X2774">
        <v>880</v>
      </c>
      <c r="Y2774" s="8">
        <v>0.21052631578947367</v>
      </c>
      <c r="Z2774" t="s">
        <v>2995</v>
      </c>
      <c r="AA2774" t="str">
        <f>IF(AND(SalesCleanTable[[#This Row],[Discount %]]&gt;0, SalesCleanTable[[#This Row],[Profit]]&lt;0), "Discount loss", "Safe")</f>
        <v>Safe</v>
      </c>
      <c r="AB2774" s="25">
        <f>(SalesCleanTable[[#This Row],[Unit Price]] - SalesCleanTable[[#This Row],[Unit Cost]]) / SalesCleanTable[[#This Row],[Unit Price]]</f>
        <v>0.25</v>
      </c>
      <c r="AC2774" t="str">
        <f>IF(SalesCleanTable[[#This Row],[Discount %]] &gt; SalesCleanTable[[#This Row],[Max Allowed Discount]], "Discount loss", "Safe")</f>
        <v>Safe</v>
      </c>
      <c r="AD2774" s="4">
        <f>SalesCleanTable[[#This Row],[Unit Price]] - SalesCleanTable[[#This Row],[Unit Cost]]</f>
        <v>550</v>
      </c>
      <c r="AE2774" s="41">
        <f>(SalesCleanTable[[#This Row],[Unit Price]] - SalesCleanTable[[#This Row],[Unit Cost]]) / SalesCleanTable[[#This Row],[Unit Price]]</f>
        <v>0.25</v>
      </c>
    </row>
    <row r="2775" spans="1:31">
      <c r="A2775" t="s">
        <v>2961</v>
      </c>
      <c r="B2775" s="6">
        <v>45781</v>
      </c>
      <c r="C2775" t="s">
        <v>57</v>
      </c>
      <c r="D2775" t="s">
        <v>58</v>
      </c>
      <c r="E2775" t="s">
        <v>59</v>
      </c>
      <c r="F2775" t="s">
        <v>60</v>
      </c>
      <c r="G2775" t="s">
        <v>61</v>
      </c>
      <c r="H2775" t="s">
        <v>149</v>
      </c>
      <c r="I2775" t="s">
        <v>150</v>
      </c>
      <c r="J2775" t="s">
        <v>151</v>
      </c>
      <c r="K2775" t="s">
        <v>152</v>
      </c>
      <c r="L2775" t="s">
        <v>166</v>
      </c>
      <c r="M2775" t="s">
        <v>186</v>
      </c>
      <c r="N2775">
        <v>10</v>
      </c>
      <c r="O2775" s="4">
        <v>2400</v>
      </c>
      <c r="P2775" s="4">
        <v>3400</v>
      </c>
      <c r="Q2775" s="7">
        <v>0.05</v>
      </c>
      <c r="R2775" t="s">
        <v>204</v>
      </c>
      <c r="S2775">
        <v>9</v>
      </c>
      <c r="T2775">
        <v>34000</v>
      </c>
      <c r="U2775">
        <v>1700</v>
      </c>
      <c r="V2775">
        <v>32300</v>
      </c>
      <c r="W2775">
        <v>24000</v>
      </c>
      <c r="X2775">
        <v>8300</v>
      </c>
      <c r="Y2775" s="8">
        <v>0.25696594427244585</v>
      </c>
      <c r="Z2775" t="s">
        <v>2996</v>
      </c>
      <c r="AA2775" t="str">
        <f>IF(AND(SalesCleanTable[[#This Row],[Discount %]]&gt;0, SalesCleanTable[[#This Row],[Profit]]&lt;0), "Discount loss", "Safe")</f>
        <v>Safe</v>
      </c>
      <c r="AB2775" s="25">
        <f>(SalesCleanTable[[#This Row],[Unit Price]] - SalesCleanTable[[#This Row],[Unit Cost]]) / SalesCleanTable[[#This Row],[Unit Price]]</f>
        <v>0.29411764705882354</v>
      </c>
      <c r="AC2775" t="str">
        <f>IF(SalesCleanTable[[#This Row],[Discount %]] &gt; SalesCleanTable[[#This Row],[Max Allowed Discount]], "Discount loss", "Safe")</f>
        <v>Safe</v>
      </c>
      <c r="AD2775" s="4">
        <f>SalesCleanTable[[#This Row],[Unit Price]] - SalesCleanTable[[#This Row],[Unit Cost]]</f>
        <v>1000</v>
      </c>
      <c r="AE2775" s="41">
        <f>(SalesCleanTable[[#This Row],[Unit Price]] - SalesCleanTable[[#This Row],[Unit Cost]]) / SalesCleanTable[[#This Row],[Unit Price]]</f>
        <v>0.29411764705882354</v>
      </c>
    </row>
    <row r="2776" spans="1:31">
      <c r="A2776" t="s">
        <v>2962</v>
      </c>
      <c r="B2776" s="6">
        <v>45694</v>
      </c>
      <c r="C2776" t="s">
        <v>73</v>
      </c>
      <c r="D2776" t="s">
        <v>74</v>
      </c>
      <c r="E2776" t="s">
        <v>75</v>
      </c>
      <c r="F2776" t="s">
        <v>76</v>
      </c>
      <c r="G2776" t="s">
        <v>77</v>
      </c>
      <c r="H2776" t="s">
        <v>145</v>
      </c>
      <c r="I2776" t="s">
        <v>146</v>
      </c>
      <c r="J2776" t="s">
        <v>147</v>
      </c>
      <c r="K2776" t="s">
        <v>148</v>
      </c>
      <c r="L2776" t="s">
        <v>166</v>
      </c>
      <c r="M2776" t="s">
        <v>171</v>
      </c>
      <c r="N2776">
        <v>2</v>
      </c>
      <c r="O2776" s="4">
        <v>3500</v>
      </c>
      <c r="P2776" s="4">
        <v>5200</v>
      </c>
      <c r="Q2776" s="7">
        <v>0.1</v>
      </c>
      <c r="R2776" t="s">
        <v>187</v>
      </c>
      <c r="S2776">
        <v>14</v>
      </c>
      <c r="T2776">
        <v>10400</v>
      </c>
      <c r="U2776">
        <v>1040</v>
      </c>
      <c r="V2776">
        <v>9360</v>
      </c>
      <c r="W2776">
        <v>7000</v>
      </c>
      <c r="X2776">
        <v>2360</v>
      </c>
      <c r="Y2776" s="8">
        <v>0.25213675213675213</v>
      </c>
      <c r="Z2776" t="s">
        <v>2996</v>
      </c>
      <c r="AA2776" t="str">
        <f>IF(AND(SalesCleanTable[[#This Row],[Discount %]]&gt;0, SalesCleanTable[[#This Row],[Profit]]&lt;0), "Discount loss", "Safe")</f>
        <v>Safe</v>
      </c>
      <c r="AB2776" s="25">
        <f>(SalesCleanTable[[#This Row],[Unit Price]] - SalesCleanTable[[#This Row],[Unit Cost]]) / SalesCleanTable[[#This Row],[Unit Price]]</f>
        <v>0.32692307692307693</v>
      </c>
      <c r="AC2776" t="str">
        <f>IF(SalesCleanTable[[#This Row],[Discount %]] &gt; SalesCleanTable[[#This Row],[Max Allowed Discount]], "Discount loss", "Safe")</f>
        <v>Safe</v>
      </c>
      <c r="AD2776" s="4">
        <f>SalesCleanTable[[#This Row],[Unit Price]] - SalesCleanTable[[#This Row],[Unit Cost]]</f>
        <v>1700</v>
      </c>
      <c r="AE2776" s="41">
        <f>(SalesCleanTable[[#This Row],[Unit Price]] - SalesCleanTable[[#This Row],[Unit Cost]]) / SalesCleanTable[[#This Row],[Unit Price]]</f>
        <v>0.32692307692307693</v>
      </c>
    </row>
    <row r="2777" spans="1:31">
      <c r="A2777" t="s">
        <v>2963</v>
      </c>
      <c r="B2777" s="6">
        <v>45684</v>
      </c>
      <c r="C2777" t="s">
        <v>78</v>
      </c>
      <c r="D2777" t="s">
        <v>79</v>
      </c>
      <c r="E2777" t="s">
        <v>75</v>
      </c>
      <c r="F2777" t="s">
        <v>80</v>
      </c>
      <c r="G2777" t="s">
        <v>81</v>
      </c>
      <c r="H2777" t="s">
        <v>133</v>
      </c>
      <c r="I2777" t="s">
        <v>134</v>
      </c>
      <c r="J2777" t="s">
        <v>130</v>
      </c>
      <c r="K2777" t="s">
        <v>131</v>
      </c>
      <c r="L2777" t="s">
        <v>183</v>
      </c>
      <c r="M2777" t="s">
        <v>177</v>
      </c>
      <c r="N2777">
        <v>3</v>
      </c>
      <c r="O2777" s="4">
        <v>1200</v>
      </c>
      <c r="P2777" s="4">
        <v>1900</v>
      </c>
      <c r="Q2777" s="7">
        <v>0</v>
      </c>
      <c r="R2777" t="s">
        <v>187</v>
      </c>
      <c r="S2777">
        <v>14</v>
      </c>
      <c r="T2777">
        <v>5700</v>
      </c>
      <c r="U2777">
        <v>0</v>
      </c>
      <c r="V2777">
        <v>5700</v>
      </c>
      <c r="W2777">
        <v>3600</v>
      </c>
      <c r="X2777">
        <v>2100</v>
      </c>
      <c r="Y2777" s="8">
        <v>0.36842105263157893</v>
      </c>
      <c r="Z2777" t="s">
        <v>2996</v>
      </c>
      <c r="AA2777" t="str">
        <f>IF(AND(SalesCleanTable[[#This Row],[Discount %]]&gt;0, SalesCleanTable[[#This Row],[Profit]]&lt;0), "Discount loss", "Safe")</f>
        <v>Safe</v>
      </c>
      <c r="AB2777" s="25">
        <f>(SalesCleanTable[[#This Row],[Unit Price]] - SalesCleanTable[[#This Row],[Unit Cost]]) / SalesCleanTable[[#This Row],[Unit Price]]</f>
        <v>0.36842105263157893</v>
      </c>
      <c r="AC2777" t="str">
        <f>IF(SalesCleanTable[[#This Row],[Discount %]] &gt; SalesCleanTable[[#This Row],[Max Allowed Discount]], "Discount loss", "Safe")</f>
        <v>Safe</v>
      </c>
      <c r="AD2777" s="4">
        <f>SalesCleanTable[[#This Row],[Unit Price]] - SalesCleanTable[[#This Row],[Unit Cost]]</f>
        <v>700</v>
      </c>
      <c r="AE2777" s="41">
        <f>(SalesCleanTable[[#This Row],[Unit Price]] - SalesCleanTable[[#This Row],[Unit Cost]]) / SalesCleanTable[[#This Row],[Unit Price]]</f>
        <v>0.36842105263157893</v>
      </c>
    </row>
    <row r="2778" spans="1:31">
      <c r="A2778" t="s">
        <v>2964</v>
      </c>
      <c r="B2778" s="6">
        <v>45882</v>
      </c>
      <c r="C2778" t="s">
        <v>62</v>
      </c>
      <c r="D2778" t="s">
        <v>63</v>
      </c>
      <c r="E2778" t="s">
        <v>59</v>
      </c>
      <c r="F2778" t="s">
        <v>64</v>
      </c>
      <c r="G2778" t="s">
        <v>65</v>
      </c>
      <c r="H2778" t="s">
        <v>135</v>
      </c>
      <c r="I2778" t="s">
        <v>136</v>
      </c>
      <c r="J2778" t="s">
        <v>137</v>
      </c>
      <c r="K2778" t="s">
        <v>138</v>
      </c>
      <c r="L2778" t="s">
        <v>183</v>
      </c>
      <c r="M2778" t="s">
        <v>167</v>
      </c>
      <c r="N2778">
        <v>2</v>
      </c>
      <c r="O2778" s="4">
        <v>3200</v>
      </c>
      <c r="P2778" s="4">
        <v>4500</v>
      </c>
      <c r="Q2778" s="7">
        <v>0.2</v>
      </c>
      <c r="R2778" t="s">
        <v>204</v>
      </c>
      <c r="S2778">
        <v>11</v>
      </c>
      <c r="T2778">
        <v>9000</v>
      </c>
      <c r="U2778">
        <v>1800</v>
      </c>
      <c r="V2778">
        <v>7200</v>
      </c>
      <c r="W2778">
        <v>6400</v>
      </c>
      <c r="X2778">
        <v>800</v>
      </c>
      <c r="Y2778" s="8">
        <v>0.1111111111111111</v>
      </c>
      <c r="Z2778" t="s">
        <v>2996</v>
      </c>
      <c r="AA2778" t="str">
        <f>IF(AND(SalesCleanTable[[#This Row],[Discount %]]&gt;0, SalesCleanTable[[#This Row],[Profit]]&lt;0), "Discount loss", "Safe")</f>
        <v>Safe</v>
      </c>
      <c r="AB2778" s="25">
        <f>(SalesCleanTable[[#This Row],[Unit Price]] - SalesCleanTable[[#This Row],[Unit Cost]]) / SalesCleanTable[[#This Row],[Unit Price]]</f>
        <v>0.28888888888888886</v>
      </c>
      <c r="AC2778" t="str">
        <f>IF(SalesCleanTable[[#This Row],[Discount %]] &gt; SalesCleanTable[[#This Row],[Max Allowed Discount]], "Discount loss", "Safe")</f>
        <v>Safe</v>
      </c>
      <c r="AD2778" s="4">
        <f>SalesCleanTable[[#This Row],[Unit Price]] - SalesCleanTable[[#This Row],[Unit Cost]]</f>
        <v>1300</v>
      </c>
      <c r="AE2778" s="41">
        <f>(SalesCleanTable[[#This Row],[Unit Price]] - SalesCleanTable[[#This Row],[Unit Cost]]) / SalesCleanTable[[#This Row],[Unit Price]]</f>
        <v>0.28888888888888886</v>
      </c>
    </row>
    <row r="2779" spans="1:31">
      <c r="A2779" t="s">
        <v>2965</v>
      </c>
      <c r="B2779" s="6">
        <v>45846</v>
      </c>
      <c r="C2779" t="s">
        <v>32</v>
      </c>
      <c r="D2779" t="s">
        <v>33</v>
      </c>
      <c r="E2779" t="s">
        <v>26</v>
      </c>
      <c r="F2779" t="s">
        <v>34</v>
      </c>
      <c r="G2779" t="s">
        <v>35</v>
      </c>
      <c r="H2779" t="s">
        <v>149</v>
      </c>
      <c r="I2779" t="s">
        <v>150</v>
      </c>
      <c r="J2779" t="s">
        <v>151</v>
      </c>
      <c r="K2779" t="s">
        <v>152</v>
      </c>
      <c r="L2779" t="s">
        <v>166</v>
      </c>
      <c r="M2779" t="s">
        <v>171</v>
      </c>
      <c r="N2779">
        <v>4</v>
      </c>
      <c r="O2779" s="4">
        <v>7800</v>
      </c>
      <c r="P2779" s="4">
        <v>9800</v>
      </c>
      <c r="Q2779" s="7">
        <v>0.05</v>
      </c>
      <c r="R2779" t="s">
        <v>197</v>
      </c>
      <c r="S2779">
        <v>4</v>
      </c>
      <c r="T2779">
        <v>39200</v>
      </c>
      <c r="U2779">
        <v>1960</v>
      </c>
      <c r="V2779">
        <v>37240</v>
      </c>
      <c r="W2779">
        <v>31200</v>
      </c>
      <c r="X2779">
        <v>6040</v>
      </c>
      <c r="Y2779" s="8">
        <v>0.16219119226638024</v>
      </c>
      <c r="Z2779" t="s">
        <v>2995</v>
      </c>
      <c r="AA2779" t="str">
        <f>IF(AND(SalesCleanTable[[#This Row],[Discount %]]&gt;0, SalesCleanTable[[#This Row],[Profit]]&lt;0), "Discount loss", "Safe")</f>
        <v>Safe</v>
      </c>
      <c r="AB2779" s="25">
        <f>(SalesCleanTable[[#This Row],[Unit Price]] - SalesCleanTable[[#This Row],[Unit Cost]]) / SalesCleanTable[[#This Row],[Unit Price]]</f>
        <v>0.20408163265306123</v>
      </c>
      <c r="AC2779" t="str">
        <f>IF(SalesCleanTable[[#This Row],[Discount %]] &gt; SalesCleanTable[[#This Row],[Max Allowed Discount]], "Discount loss", "Safe")</f>
        <v>Safe</v>
      </c>
      <c r="AD2779" s="4">
        <f>SalesCleanTable[[#This Row],[Unit Price]] - SalesCleanTable[[#This Row],[Unit Cost]]</f>
        <v>2000</v>
      </c>
      <c r="AE2779" s="41">
        <f>(SalesCleanTable[[#This Row],[Unit Price]] - SalesCleanTable[[#This Row],[Unit Cost]]) / SalesCleanTable[[#This Row],[Unit Price]]</f>
        <v>0.20408163265306123</v>
      </c>
    </row>
    <row r="2780" spans="1:31">
      <c r="A2780" t="s">
        <v>2966</v>
      </c>
      <c r="B2780" s="6">
        <v>45870</v>
      </c>
      <c r="C2780" t="s">
        <v>32</v>
      </c>
      <c r="D2780" t="s">
        <v>33</v>
      </c>
      <c r="E2780" t="s">
        <v>26</v>
      </c>
      <c r="F2780" t="s">
        <v>34</v>
      </c>
      <c r="G2780" t="s">
        <v>35</v>
      </c>
      <c r="H2780" t="s">
        <v>153</v>
      </c>
      <c r="I2780" t="s">
        <v>154</v>
      </c>
      <c r="J2780" t="s">
        <v>155</v>
      </c>
      <c r="K2780" t="s">
        <v>131</v>
      </c>
      <c r="L2780" t="s">
        <v>166</v>
      </c>
      <c r="M2780" t="s">
        <v>167</v>
      </c>
      <c r="N2780">
        <v>4</v>
      </c>
      <c r="O2780" s="4">
        <v>7800</v>
      </c>
      <c r="P2780" s="4">
        <v>9800</v>
      </c>
      <c r="Q2780" s="7">
        <v>0</v>
      </c>
      <c r="R2780" t="s">
        <v>173</v>
      </c>
      <c r="S2780">
        <v>10</v>
      </c>
      <c r="T2780">
        <v>39200</v>
      </c>
      <c r="U2780">
        <v>0</v>
      </c>
      <c r="V2780">
        <v>39200</v>
      </c>
      <c r="W2780">
        <v>31200</v>
      </c>
      <c r="X2780">
        <v>8000</v>
      </c>
      <c r="Y2780" s="8">
        <v>0.20408163265306123</v>
      </c>
      <c r="Z2780" t="s">
        <v>2995</v>
      </c>
      <c r="AA2780" t="str">
        <f>IF(AND(SalesCleanTable[[#This Row],[Discount %]]&gt;0, SalesCleanTable[[#This Row],[Profit]]&lt;0), "Discount loss", "Safe")</f>
        <v>Safe</v>
      </c>
      <c r="AB2780" s="25">
        <f>(SalesCleanTable[[#This Row],[Unit Price]] - SalesCleanTable[[#This Row],[Unit Cost]]) / SalesCleanTable[[#This Row],[Unit Price]]</f>
        <v>0.20408163265306123</v>
      </c>
      <c r="AC2780" t="str">
        <f>IF(SalesCleanTable[[#This Row],[Discount %]] &gt; SalesCleanTable[[#This Row],[Max Allowed Discount]], "Discount loss", "Safe")</f>
        <v>Safe</v>
      </c>
      <c r="AD2780" s="4">
        <f>SalesCleanTable[[#This Row],[Unit Price]] - SalesCleanTable[[#This Row],[Unit Cost]]</f>
        <v>2000</v>
      </c>
      <c r="AE2780" s="41">
        <f>(SalesCleanTable[[#This Row],[Unit Price]] - SalesCleanTable[[#This Row],[Unit Cost]]) / SalesCleanTable[[#This Row],[Unit Price]]</f>
        <v>0.20408163265306123</v>
      </c>
    </row>
    <row r="2781" spans="1:31">
      <c r="A2781" t="s">
        <v>2967</v>
      </c>
      <c r="B2781" s="6">
        <v>45918</v>
      </c>
      <c r="C2781" t="s">
        <v>90</v>
      </c>
      <c r="D2781" t="s">
        <v>91</v>
      </c>
      <c r="E2781" t="s">
        <v>92</v>
      </c>
      <c r="F2781" t="s">
        <v>93</v>
      </c>
      <c r="G2781" t="s">
        <v>94</v>
      </c>
      <c r="H2781" t="s">
        <v>135</v>
      </c>
      <c r="I2781" t="s">
        <v>136</v>
      </c>
      <c r="J2781" t="s">
        <v>137</v>
      </c>
      <c r="K2781" t="s">
        <v>138</v>
      </c>
      <c r="L2781" t="s">
        <v>166</v>
      </c>
      <c r="M2781" t="s">
        <v>177</v>
      </c>
      <c r="N2781">
        <v>4</v>
      </c>
      <c r="O2781" s="4">
        <v>7500</v>
      </c>
      <c r="P2781" s="4">
        <v>10500</v>
      </c>
      <c r="Q2781" s="7">
        <v>0.1</v>
      </c>
      <c r="R2781" t="s">
        <v>181</v>
      </c>
      <c r="S2781">
        <v>4</v>
      </c>
      <c r="T2781">
        <v>42000</v>
      </c>
      <c r="U2781">
        <v>4200</v>
      </c>
      <c r="V2781">
        <v>37800</v>
      </c>
      <c r="W2781">
        <v>30000</v>
      </c>
      <c r="X2781">
        <v>7800</v>
      </c>
      <c r="Y2781" s="8">
        <v>0.20634920634920634</v>
      </c>
      <c r="Z2781" t="s">
        <v>2996</v>
      </c>
      <c r="AA2781" t="str">
        <f>IF(AND(SalesCleanTable[[#This Row],[Discount %]]&gt;0, SalesCleanTable[[#This Row],[Profit]]&lt;0), "Discount loss", "Safe")</f>
        <v>Safe</v>
      </c>
      <c r="AB2781" s="25">
        <f>(SalesCleanTable[[#This Row],[Unit Price]] - SalesCleanTable[[#This Row],[Unit Cost]]) / SalesCleanTable[[#This Row],[Unit Price]]</f>
        <v>0.2857142857142857</v>
      </c>
      <c r="AC2781" t="str">
        <f>IF(SalesCleanTable[[#This Row],[Discount %]] &gt; SalesCleanTable[[#This Row],[Max Allowed Discount]], "Discount loss", "Safe")</f>
        <v>Safe</v>
      </c>
      <c r="AD2781" s="4">
        <f>SalesCleanTable[[#This Row],[Unit Price]] - SalesCleanTable[[#This Row],[Unit Cost]]</f>
        <v>3000</v>
      </c>
      <c r="AE2781" s="41">
        <f>(SalesCleanTable[[#This Row],[Unit Price]] - SalesCleanTable[[#This Row],[Unit Cost]]) / SalesCleanTable[[#This Row],[Unit Price]]</f>
        <v>0.2857142857142857</v>
      </c>
    </row>
    <row r="2782" spans="1:31">
      <c r="A2782" t="s">
        <v>2968</v>
      </c>
      <c r="B2782" s="6">
        <v>45883</v>
      </c>
      <c r="C2782" t="s">
        <v>78</v>
      </c>
      <c r="D2782" t="s">
        <v>79</v>
      </c>
      <c r="E2782" t="s">
        <v>75</v>
      </c>
      <c r="F2782" t="s">
        <v>80</v>
      </c>
      <c r="G2782" t="s">
        <v>81</v>
      </c>
      <c r="H2782" t="s">
        <v>128</v>
      </c>
      <c r="I2782" t="s">
        <v>129</v>
      </c>
      <c r="J2782" t="s">
        <v>130</v>
      </c>
      <c r="K2782" t="s">
        <v>131</v>
      </c>
      <c r="L2782" t="s">
        <v>166</v>
      </c>
      <c r="M2782" t="s">
        <v>171</v>
      </c>
      <c r="N2782">
        <v>4</v>
      </c>
      <c r="O2782" s="4">
        <v>1200</v>
      </c>
      <c r="P2782" s="4">
        <v>1900</v>
      </c>
      <c r="Q2782" s="7">
        <v>0.1</v>
      </c>
      <c r="R2782" t="s">
        <v>187</v>
      </c>
      <c r="S2782">
        <v>8</v>
      </c>
      <c r="T2782">
        <v>7600</v>
      </c>
      <c r="U2782">
        <v>760</v>
      </c>
      <c r="V2782">
        <v>6840</v>
      </c>
      <c r="W2782">
        <v>4800</v>
      </c>
      <c r="X2782">
        <v>2040</v>
      </c>
      <c r="Y2782" s="8">
        <v>0.2982456140350877</v>
      </c>
      <c r="Z2782" t="s">
        <v>2996</v>
      </c>
      <c r="AA2782" t="str">
        <f>IF(AND(SalesCleanTable[[#This Row],[Discount %]]&gt;0, SalesCleanTable[[#This Row],[Profit]]&lt;0), "Discount loss", "Safe")</f>
        <v>Safe</v>
      </c>
      <c r="AB2782" s="25">
        <f>(SalesCleanTable[[#This Row],[Unit Price]] - SalesCleanTable[[#This Row],[Unit Cost]]) / SalesCleanTable[[#This Row],[Unit Price]]</f>
        <v>0.36842105263157893</v>
      </c>
      <c r="AC2782" t="str">
        <f>IF(SalesCleanTable[[#This Row],[Discount %]] &gt; SalesCleanTable[[#This Row],[Max Allowed Discount]], "Discount loss", "Safe")</f>
        <v>Safe</v>
      </c>
      <c r="AD2782" s="4">
        <f>SalesCleanTable[[#This Row],[Unit Price]] - SalesCleanTable[[#This Row],[Unit Cost]]</f>
        <v>700</v>
      </c>
      <c r="AE2782" s="41">
        <f>(SalesCleanTable[[#This Row],[Unit Price]] - SalesCleanTable[[#This Row],[Unit Cost]]) / SalesCleanTable[[#This Row],[Unit Price]]</f>
        <v>0.36842105263157893</v>
      </c>
    </row>
    <row r="2783" spans="1:31">
      <c r="A2783" t="s">
        <v>2969</v>
      </c>
      <c r="B2783" s="6">
        <v>45840</v>
      </c>
      <c r="C2783" t="s">
        <v>53</v>
      </c>
      <c r="D2783" t="s">
        <v>54</v>
      </c>
      <c r="E2783" t="s">
        <v>38</v>
      </c>
      <c r="F2783" t="s">
        <v>55</v>
      </c>
      <c r="G2783" t="s">
        <v>56</v>
      </c>
      <c r="H2783" t="s">
        <v>149</v>
      </c>
      <c r="I2783" t="s">
        <v>150</v>
      </c>
      <c r="J2783" t="s">
        <v>151</v>
      </c>
      <c r="K2783" t="s">
        <v>152</v>
      </c>
      <c r="L2783" t="s">
        <v>166</v>
      </c>
      <c r="M2783" t="s">
        <v>167</v>
      </c>
      <c r="N2783">
        <v>1</v>
      </c>
      <c r="O2783" s="4">
        <v>330</v>
      </c>
      <c r="P2783" s="4">
        <v>550</v>
      </c>
      <c r="Q2783" s="7">
        <v>0.05</v>
      </c>
      <c r="R2783" t="s">
        <v>175</v>
      </c>
      <c r="S2783">
        <v>8</v>
      </c>
      <c r="T2783">
        <v>550</v>
      </c>
      <c r="U2783">
        <v>27.5</v>
      </c>
      <c r="V2783">
        <v>522.5</v>
      </c>
      <c r="W2783">
        <v>330</v>
      </c>
      <c r="X2783">
        <v>192.5</v>
      </c>
      <c r="Y2783" s="8">
        <v>0.36842105263157893</v>
      </c>
      <c r="Z2783" t="s">
        <v>2996</v>
      </c>
      <c r="AA2783" t="str">
        <f>IF(AND(SalesCleanTable[[#This Row],[Discount %]]&gt;0, SalesCleanTable[[#This Row],[Profit]]&lt;0), "Discount loss", "Safe")</f>
        <v>Safe</v>
      </c>
      <c r="AB2783" s="25">
        <f>(SalesCleanTable[[#This Row],[Unit Price]] - SalesCleanTable[[#This Row],[Unit Cost]]) / SalesCleanTable[[#This Row],[Unit Price]]</f>
        <v>0.4</v>
      </c>
      <c r="AC2783" t="str">
        <f>IF(SalesCleanTable[[#This Row],[Discount %]] &gt; SalesCleanTable[[#This Row],[Max Allowed Discount]], "Discount loss", "Safe")</f>
        <v>Safe</v>
      </c>
      <c r="AD2783" s="4">
        <f>SalesCleanTable[[#This Row],[Unit Price]] - SalesCleanTable[[#This Row],[Unit Cost]]</f>
        <v>220</v>
      </c>
      <c r="AE2783" s="41">
        <f>(SalesCleanTable[[#This Row],[Unit Price]] - SalesCleanTable[[#This Row],[Unit Cost]]) / SalesCleanTable[[#This Row],[Unit Price]]</f>
        <v>0.4</v>
      </c>
    </row>
    <row r="2784" spans="1:31">
      <c r="A2784" t="s">
        <v>2970</v>
      </c>
      <c r="B2784" s="6">
        <v>46014</v>
      </c>
      <c r="C2784" t="s">
        <v>24</v>
      </c>
      <c r="D2784" t="s">
        <v>25</v>
      </c>
      <c r="E2784" t="s">
        <v>26</v>
      </c>
      <c r="F2784" t="s">
        <v>27</v>
      </c>
      <c r="G2784" t="s">
        <v>28</v>
      </c>
      <c r="H2784" t="s">
        <v>141</v>
      </c>
      <c r="I2784" t="s">
        <v>142</v>
      </c>
      <c r="J2784" t="s">
        <v>143</v>
      </c>
      <c r="K2784" t="s">
        <v>144</v>
      </c>
      <c r="L2784" t="s">
        <v>183</v>
      </c>
      <c r="M2784" t="s">
        <v>171</v>
      </c>
      <c r="N2784">
        <v>6</v>
      </c>
      <c r="O2784" s="4">
        <v>14500</v>
      </c>
      <c r="P2784" s="4">
        <v>17500</v>
      </c>
      <c r="Q2784" s="7">
        <v>0.15</v>
      </c>
      <c r="R2784" t="s">
        <v>194</v>
      </c>
      <c r="S2784">
        <v>13</v>
      </c>
      <c r="T2784">
        <v>105000</v>
      </c>
      <c r="U2784">
        <v>15750</v>
      </c>
      <c r="V2784">
        <v>89250</v>
      </c>
      <c r="W2784">
        <v>87000</v>
      </c>
      <c r="X2784">
        <v>2250</v>
      </c>
      <c r="Y2784" s="8">
        <v>2.5210084033613446E-2</v>
      </c>
      <c r="Z2784" t="s">
        <v>2995</v>
      </c>
      <c r="AA2784" t="str">
        <f>IF(AND(SalesCleanTable[[#This Row],[Discount %]]&gt;0, SalesCleanTable[[#This Row],[Profit]]&lt;0), "Discount loss", "Safe")</f>
        <v>Safe</v>
      </c>
      <c r="AB2784" s="25">
        <f>(SalesCleanTable[[#This Row],[Unit Price]] - SalesCleanTable[[#This Row],[Unit Cost]]) / SalesCleanTable[[#This Row],[Unit Price]]</f>
        <v>0.17142857142857143</v>
      </c>
      <c r="AC2784" t="str">
        <f>IF(SalesCleanTable[[#This Row],[Discount %]] &gt; SalesCleanTable[[#This Row],[Max Allowed Discount]], "Discount loss", "Safe")</f>
        <v>Safe</v>
      </c>
      <c r="AD2784" s="4">
        <f>SalesCleanTable[[#This Row],[Unit Price]] - SalesCleanTable[[#This Row],[Unit Cost]]</f>
        <v>3000</v>
      </c>
      <c r="AE2784" s="41">
        <f>(SalesCleanTable[[#This Row],[Unit Price]] - SalesCleanTable[[#This Row],[Unit Cost]]) / SalesCleanTable[[#This Row],[Unit Price]]</f>
        <v>0.17142857142857143</v>
      </c>
    </row>
    <row r="2785" spans="1:31">
      <c r="A2785" t="s">
        <v>2971</v>
      </c>
      <c r="B2785" s="6">
        <v>45849</v>
      </c>
      <c r="C2785" t="s">
        <v>69</v>
      </c>
      <c r="D2785" t="s">
        <v>70</v>
      </c>
      <c r="E2785" t="s">
        <v>59</v>
      </c>
      <c r="F2785" t="s">
        <v>71</v>
      </c>
      <c r="G2785" t="s">
        <v>72</v>
      </c>
      <c r="H2785" t="s">
        <v>141</v>
      </c>
      <c r="I2785" t="s">
        <v>142</v>
      </c>
      <c r="J2785" t="s">
        <v>143</v>
      </c>
      <c r="K2785" t="s">
        <v>144</v>
      </c>
      <c r="L2785" t="s">
        <v>183</v>
      </c>
      <c r="M2785" t="s">
        <v>171</v>
      </c>
      <c r="N2785">
        <v>4</v>
      </c>
      <c r="O2785" s="4">
        <v>1700</v>
      </c>
      <c r="P2785" s="4">
        <v>2600</v>
      </c>
      <c r="Q2785" s="7">
        <v>0.2</v>
      </c>
      <c r="R2785" t="s">
        <v>192</v>
      </c>
      <c r="S2785">
        <v>10</v>
      </c>
      <c r="T2785">
        <v>10400</v>
      </c>
      <c r="U2785">
        <v>2080</v>
      </c>
      <c r="V2785">
        <v>8320</v>
      </c>
      <c r="W2785">
        <v>6800</v>
      </c>
      <c r="X2785">
        <v>1520</v>
      </c>
      <c r="Y2785" s="8">
        <v>0.18269230769230768</v>
      </c>
      <c r="Z2785" t="s">
        <v>2997</v>
      </c>
      <c r="AA2785" t="str">
        <f>IF(AND(SalesCleanTable[[#This Row],[Discount %]]&gt;0, SalesCleanTable[[#This Row],[Profit]]&lt;0), "Discount loss", "Safe")</f>
        <v>Safe</v>
      </c>
      <c r="AB2785" s="25">
        <f>(SalesCleanTable[[#This Row],[Unit Price]] - SalesCleanTable[[#This Row],[Unit Cost]]) / SalesCleanTable[[#This Row],[Unit Price]]</f>
        <v>0.34615384615384615</v>
      </c>
      <c r="AC2785" t="str">
        <f>IF(SalesCleanTable[[#This Row],[Discount %]] &gt; SalesCleanTable[[#This Row],[Max Allowed Discount]], "Discount loss", "Safe")</f>
        <v>Safe</v>
      </c>
      <c r="AD2785" s="4">
        <f>SalesCleanTable[[#This Row],[Unit Price]] - SalesCleanTable[[#This Row],[Unit Cost]]</f>
        <v>900</v>
      </c>
      <c r="AE2785" s="41">
        <f>(SalesCleanTable[[#This Row],[Unit Price]] - SalesCleanTable[[#This Row],[Unit Cost]]) / SalesCleanTable[[#This Row],[Unit Price]]</f>
        <v>0.34615384615384615</v>
      </c>
    </row>
    <row r="2786" spans="1:31">
      <c r="A2786" t="s">
        <v>2972</v>
      </c>
      <c r="B2786" s="6">
        <v>45755</v>
      </c>
      <c r="C2786" t="s">
        <v>53</v>
      </c>
      <c r="D2786" t="s">
        <v>54</v>
      </c>
      <c r="E2786" t="s">
        <v>38</v>
      </c>
      <c r="F2786" t="s">
        <v>55</v>
      </c>
      <c r="G2786" t="s">
        <v>56</v>
      </c>
      <c r="H2786" t="s">
        <v>139</v>
      </c>
      <c r="I2786" t="s">
        <v>140</v>
      </c>
      <c r="J2786" t="s">
        <v>137</v>
      </c>
      <c r="K2786" t="s">
        <v>138</v>
      </c>
      <c r="L2786" t="s">
        <v>166</v>
      </c>
      <c r="M2786" t="s">
        <v>171</v>
      </c>
      <c r="N2786">
        <v>2</v>
      </c>
      <c r="O2786" s="4">
        <v>330</v>
      </c>
      <c r="P2786" s="4">
        <v>550</v>
      </c>
      <c r="Q2786" s="7">
        <v>0.15</v>
      </c>
      <c r="R2786" t="s">
        <v>178</v>
      </c>
      <c r="S2786">
        <v>8</v>
      </c>
      <c r="T2786">
        <v>1100</v>
      </c>
      <c r="U2786">
        <v>165</v>
      </c>
      <c r="V2786">
        <v>935</v>
      </c>
      <c r="W2786">
        <v>660</v>
      </c>
      <c r="X2786">
        <v>275</v>
      </c>
      <c r="Y2786" s="8">
        <v>0.29411764705882354</v>
      </c>
      <c r="Z2786" t="s">
        <v>2996</v>
      </c>
      <c r="AA2786" t="str">
        <f>IF(AND(SalesCleanTable[[#This Row],[Discount %]]&gt;0, SalesCleanTable[[#This Row],[Profit]]&lt;0), "Discount loss", "Safe")</f>
        <v>Safe</v>
      </c>
      <c r="AB2786" s="25">
        <f>(SalesCleanTable[[#This Row],[Unit Price]] - SalesCleanTable[[#This Row],[Unit Cost]]) / SalesCleanTable[[#This Row],[Unit Price]]</f>
        <v>0.4</v>
      </c>
      <c r="AC2786" t="str">
        <f>IF(SalesCleanTable[[#This Row],[Discount %]] &gt; SalesCleanTable[[#This Row],[Max Allowed Discount]], "Discount loss", "Safe")</f>
        <v>Safe</v>
      </c>
      <c r="AD2786" s="4">
        <f>SalesCleanTable[[#This Row],[Unit Price]] - SalesCleanTable[[#This Row],[Unit Cost]]</f>
        <v>220</v>
      </c>
      <c r="AE2786" s="41">
        <f>(SalesCleanTable[[#This Row],[Unit Price]] - SalesCleanTable[[#This Row],[Unit Cost]]) / SalesCleanTable[[#This Row],[Unit Price]]</f>
        <v>0.4</v>
      </c>
    </row>
    <row r="2787" spans="1:31">
      <c r="A2787" t="s">
        <v>2973</v>
      </c>
      <c r="B2787" s="6">
        <v>45872</v>
      </c>
      <c r="C2787" t="s">
        <v>62</v>
      </c>
      <c r="D2787" t="s">
        <v>63</v>
      </c>
      <c r="E2787" t="s">
        <v>59</v>
      </c>
      <c r="F2787" t="s">
        <v>64</v>
      </c>
      <c r="G2787" t="s">
        <v>65</v>
      </c>
      <c r="H2787" t="s">
        <v>135</v>
      </c>
      <c r="I2787" t="s">
        <v>136</v>
      </c>
      <c r="J2787" t="s">
        <v>137</v>
      </c>
      <c r="K2787" t="s">
        <v>138</v>
      </c>
      <c r="L2787" t="s">
        <v>170</v>
      </c>
      <c r="M2787" t="s">
        <v>186</v>
      </c>
      <c r="N2787">
        <v>2</v>
      </c>
      <c r="O2787" s="4">
        <v>3200</v>
      </c>
      <c r="P2787" s="4">
        <v>4500</v>
      </c>
      <c r="Q2787" s="7">
        <v>0</v>
      </c>
      <c r="R2787" t="s">
        <v>204</v>
      </c>
      <c r="S2787">
        <v>6</v>
      </c>
      <c r="T2787">
        <v>9000</v>
      </c>
      <c r="U2787">
        <v>0</v>
      </c>
      <c r="V2787">
        <v>9000</v>
      </c>
      <c r="W2787">
        <v>6400</v>
      </c>
      <c r="X2787">
        <v>2600</v>
      </c>
      <c r="Y2787" s="8">
        <v>0.28888888888888886</v>
      </c>
      <c r="Z2787" t="s">
        <v>2996</v>
      </c>
      <c r="AA2787" t="str">
        <f>IF(AND(SalesCleanTable[[#This Row],[Discount %]]&gt;0, SalesCleanTable[[#This Row],[Profit]]&lt;0), "Discount loss", "Safe")</f>
        <v>Safe</v>
      </c>
      <c r="AB2787" s="25">
        <f>(SalesCleanTable[[#This Row],[Unit Price]] - SalesCleanTable[[#This Row],[Unit Cost]]) / SalesCleanTable[[#This Row],[Unit Price]]</f>
        <v>0.28888888888888886</v>
      </c>
      <c r="AC2787" t="str">
        <f>IF(SalesCleanTable[[#This Row],[Discount %]] &gt; SalesCleanTable[[#This Row],[Max Allowed Discount]], "Discount loss", "Safe")</f>
        <v>Safe</v>
      </c>
      <c r="AD2787" s="4">
        <f>SalesCleanTable[[#This Row],[Unit Price]] - SalesCleanTable[[#This Row],[Unit Cost]]</f>
        <v>1300</v>
      </c>
      <c r="AE2787" s="41">
        <f>(SalesCleanTable[[#This Row],[Unit Price]] - SalesCleanTable[[#This Row],[Unit Cost]]) / SalesCleanTable[[#This Row],[Unit Price]]</f>
        <v>0.28888888888888886</v>
      </c>
    </row>
    <row r="2788" spans="1:31">
      <c r="A2788" t="s">
        <v>2974</v>
      </c>
      <c r="B2788" s="6">
        <v>45963</v>
      </c>
      <c r="C2788" t="s">
        <v>53</v>
      </c>
      <c r="D2788" t="s">
        <v>54</v>
      </c>
      <c r="E2788" t="s">
        <v>38</v>
      </c>
      <c r="F2788" t="s">
        <v>55</v>
      </c>
      <c r="G2788" t="s">
        <v>56</v>
      </c>
      <c r="H2788" t="s">
        <v>133</v>
      </c>
      <c r="I2788" t="s">
        <v>134</v>
      </c>
      <c r="J2788" t="s">
        <v>130</v>
      </c>
      <c r="K2788" t="s">
        <v>131</v>
      </c>
      <c r="L2788" t="s">
        <v>166</v>
      </c>
      <c r="M2788" t="s">
        <v>167</v>
      </c>
      <c r="N2788">
        <v>1</v>
      </c>
      <c r="O2788" s="4">
        <v>330</v>
      </c>
      <c r="P2788" s="4">
        <v>550</v>
      </c>
      <c r="Q2788" s="7">
        <v>0.05</v>
      </c>
      <c r="R2788" t="s">
        <v>178</v>
      </c>
      <c r="S2788">
        <v>1</v>
      </c>
      <c r="T2788">
        <v>550</v>
      </c>
      <c r="U2788">
        <v>27.5</v>
      </c>
      <c r="V2788">
        <v>522.5</v>
      </c>
      <c r="W2788">
        <v>330</v>
      </c>
      <c r="X2788">
        <v>192.5</v>
      </c>
      <c r="Y2788" s="8">
        <v>0.36842105263157893</v>
      </c>
      <c r="Z2788" t="s">
        <v>2996</v>
      </c>
      <c r="AA2788" t="str">
        <f>IF(AND(SalesCleanTable[[#This Row],[Discount %]]&gt;0, SalesCleanTable[[#This Row],[Profit]]&lt;0), "Discount loss", "Safe")</f>
        <v>Safe</v>
      </c>
      <c r="AB2788" s="25">
        <f>(SalesCleanTable[[#This Row],[Unit Price]] - SalesCleanTable[[#This Row],[Unit Cost]]) / SalesCleanTable[[#This Row],[Unit Price]]</f>
        <v>0.4</v>
      </c>
      <c r="AC2788" t="str">
        <f>IF(SalesCleanTable[[#This Row],[Discount %]] &gt; SalesCleanTable[[#This Row],[Max Allowed Discount]], "Discount loss", "Safe")</f>
        <v>Safe</v>
      </c>
      <c r="AD2788" s="4">
        <f>SalesCleanTable[[#This Row],[Unit Price]] - SalesCleanTable[[#This Row],[Unit Cost]]</f>
        <v>220</v>
      </c>
      <c r="AE2788" s="41">
        <f>(SalesCleanTable[[#This Row],[Unit Price]] - SalesCleanTable[[#This Row],[Unit Cost]]) / SalesCleanTable[[#This Row],[Unit Price]]</f>
        <v>0.4</v>
      </c>
    </row>
    <row r="2789" spans="1:31">
      <c r="A2789" t="s">
        <v>2975</v>
      </c>
      <c r="B2789" s="6">
        <v>45687</v>
      </c>
      <c r="C2789" t="s">
        <v>95</v>
      </c>
      <c r="D2789" t="s">
        <v>96</v>
      </c>
      <c r="E2789" t="s">
        <v>92</v>
      </c>
      <c r="F2789" t="s">
        <v>97</v>
      </c>
      <c r="G2789" t="s">
        <v>98</v>
      </c>
      <c r="H2789" t="s">
        <v>141</v>
      </c>
      <c r="I2789" t="s">
        <v>142</v>
      </c>
      <c r="J2789" t="s">
        <v>143</v>
      </c>
      <c r="K2789" t="s">
        <v>144</v>
      </c>
      <c r="L2789" t="s">
        <v>183</v>
      </c>
      <c r="M2789" t="s">
        <v>171</v>
      </c>
      <c r="N2789">
        <v>1</v>
      </c>
      <c r="O2789" s="4">
        <v>18000</v>
      </c>
      <c r="P2789" s="4">
        <v>24500</v>
      </c>
      <c r="Q2789" s="7">
        <v>0.15</v>
      </c>
      <c r="R2789" t="s">
        <v>217</v>
      </c>
      <c r="S2789">
        <v>7</v>
      </c>
      <c r="T2789">
        <v>24500</v>
      </c>
      <c r="U2789">
        <v>3675</v>
      </c>
      <c r="V2789">
        <v>20825</v>
      </c>
      <c r="W2789">
        <v>18000</v>
      </c>
      <c r="X2789">
        <v>2825</v>
      </c>
      <c r="Y2789" s="8">
        <v>0.13565426170468187</v>
      </c>
      <c r="Z2789" t="s">
        <v>2995</v>
      </c>
      <c r="AA2789" t="str">
        <f>IF(AND(SalesCleanTable[[#This Row],[Discount %]]&gt;0, SalesCleanTable[[#This Row],[Profit]]&lt;0), "Discount loss", "Safe")</f>
        <v>Safe</v>
      </c>
      <c r="AB2789" s="25">
        <f>(SalesCleanTable[[#This Row],[Unit Price]] - SalesCleanTable[[#This Row],[Unit Cost]]) / SalesCleanTable[[#This Row],[Unit Price]]</f>
        <v>0.26530612244897961</v>
      </c>
      <c r="AC2789" t="str">
        <f>IF(SalesCleanTable[[#This Row],[Discount %]] &gt; SalesCleanTable[[#This Row],[Max Allowed Discount]], "Discount loss", "Safe")</f>
        <v>Safe</v>
      </c>
      <c r="AD2789" s="4">
        <f>SalesCleanTable[[#This Row],[Unit Price]] - SalesCleanTable[[#This Row],[Unit Cost]]</f>
        <v>6500</v>
      </c>
      <c r="AE2789" s="41">
        <f>(SalesCleanTable[[#This Row],[Unit Price]] - SalesCleanTable[[#This Row],[Unit Cost]]) / SalesCleanTable[[#This Row],[Unit Price]]</f>
        <v>0.26530612244897961</v>
      </c>
    </row>
    <row r="2790" spans="1:31">
      <c r="A2790" t="s">
        <v>2976</v>
      </c>
      <c r="B2790" s="6">
        <v>45917</v>
      </c>
      <c r="C2790" t="s">
        <v>36</v>
      </c>
      <c r="D2790" t="s">
        <v>37</v>
      </c>
      <c r="E2790" t="s">
        <v>38</v>
      </c>
      <c r="F2790" t="s">
        <v>39</v>
      </c>
      <c r="G2790" t="s">
        <v>40</v>
      </c>
      <c r="H2790" t="s">
        <v>145</v>
      </c>
      <c r="I2790" t="s">
        <v>146</v>
      </c>
      <c r="J2790" t="s">
        <v>147</v>
      </c>
      <c r="K2790" t="s">
        <v>148</v>
      </c>
      <c r="L2790" t="s">
        <v>166</v>
      </c>
      <c r="M2790" t="s">
        <v>171</v>
      </c>
      <c r="N2790">
        <v>4</v>
      </c>
      <c r="O2790" s="4">
        <v>1650</v>
      </c>
      <c r="P2790" s="4">
        <v>2200</v>
      </c>
      <c r="Q2790" s="7">
        <v>0.05</v>
      </c>
      <c r="R2790" t="s">
        <v>175</v>
      </c>
      <c r="S2790">
        <v>11</v>
      </c>
      <c r="T2790">
        <v>8800</v>
      </c>
      <c r="U2790">
        <v>440</v>
      </c>
      <c r="V2790">
        <v>8360</v>
      </c>
      <c r="W2790">
        <v>6600</v>
      </c>
      <c r="X2790">
        <v>1760</v>
      </c>
      <c r="Y2790" s="8">
        <v>0.21052631578947367</v>
      </c>
      <c r="Z2790" t="s">
        <v>2995</v>
      </c>
      <c r="AA2790" t="str">
        <f>IF(AND(SalesCleanTable[[#This Row],[Discount %]]&gt;0, SalesCleanTable[[#This Row],[Profit]]&lt;0), "Discount loss", "Safe")</f>
        <v>Safe</v>
      </c>
      <c r="AB2790" s="25">
        <f>(SalesCleanTable[[#This Row],[Unit Price]] - SalesCleanTable[[#This Row],[Unit Cost]]) / SalesCleanTable[[#This Row],[Unit Price]]</f>
        <v>0.25</v>
      </c>
      <c r="AC2790" t="str">
        <f>IF(SalesCleanTable[[#This Row],[Discount %]] &gt; SalesCleanTable[[#This Row],[Max Allowed Discount]], "Discount loss", "Safe")</f>
        <v>Safe</v>
      </c>
      <c r="AD2790" s="4">
        <f>SalesCleanTable[[#This Row],[Unit Price]] - SalesCleanTable[[#This Row],[Unit Cost]]</f>
        <v>550</v>
      </c>
      <c r="AE2790" s="41">
        <f>(SalesCleanTable[[#This Row],[Unit Price]] - SalesCleanTable[[#This Row],[Unit Cost]]) / SalesCleanTable[[#This Row],[Unit Price]]</f>
        <v>0.25</v>
      </c>
    </row>
    <row r="2791" spans="1:31">
      <c r="A2791" t="s">
        <v>2977</v>
      </c>
      <c r="B2791" s="6">
        <v>45845</v>
      </c>
      <c r="C2791" t="s">
        <v>41</v>
      </c>
      <c r="D2791" t="s">
        <v>42</v>
      </c>
      <c r="E2791" t="s">
        <v>26</v>
      </c>
      <c r="F2791" t="s">
        <v>43</v>
      </c>
      <c r="G2791" t="s">
        <v>44</v>
      </c>
      <c r="H2791" t="s">
        <v>153</v>
      </c>
      <c r="I2791" t="s">
        <v>154</v>
      </c>
      <c r="J2791" t="s">
        <v>155</v>
      </c>
      <c r="K2791" t="s">
        <v>131</v>
      </c>
      <c r="L2791" t="s">
        <v>166</v>
      </c>
      <c r="M2791" t="s">
        <v>186</v>
      </c>
      <c r="N2791">
        <v>6</v>
      </c>
      <c r="O2791" s="4">
        <v>850</v>
      </c>
      <c r="P2791" s="4">
        <v>1300</v>
      </c>
      <c r="Q2791" s="7">
        <v>0.15</v>
      </c>
      <c r="R2791" t="s">
        <v>197</v>
      </c>
      <c r="S2791">
        <v>11</v>
      </c>
      <c r="T2791">
        <v>7800</v>
      </c>
      <c r="U2791">
        <v>1170</v>
      </c>
      <c r="V2791">
        <v>6630</v>
      </c>
      <c r="W2791">
        <v>5100</v>
      </c>
      <c r="X2791">
        <v>1530</v>
      </c>
      <c r="Y2791" s="8">
        <v>0.23076923076923078</v>
      </c>
      <c r="Z2791" t="s">
        <v>2995</v>
      </c>
      <c r="AA2791" t="str">
        <f>IF(AND(SalesCleanTable[[#This Row],[Discount %]]&gt;0, SalesCleanTable[[#This Row],[Profit]]&lt;0), "Discount loss", "Safe")</f>
        <v>Safe</v>
      </c>
      <c r="AB2791" s="25">
        <f>(SalesCleanTable[[#This Row],[Unit Price]] - SalesCleanTable[[#This Row],[Unit Cost]]) / SalesCleanTable[[#This Row],[Unit Price]]</f>
        <v>0.34615384615384615</v>
      </c>
      <c r="AC2791" t="str">
        <f>IF(SalesCleanTable[[#This Row],[Discount %]] &gt; SalesCleanTable[[#This Row],[Max Allowed Discount]], "Discount loss", "Safe")</f>
        <v>Safe</v>
      </c>
      <c r="AD2791" s="4">
        <f>SalesCleanTable[[#This Row],[Unit Price]] - SalesCleanTable[[#This Row],[Unit Cost]]</f>
        <v>450</v>
      </c>
      <c r="AE2791" s="41">
        <f>(SalesCleanTable[[#This Row],[Unit Price]] - SalesCleanTable[[#This Row],[Unit Cost]]) / SalesCleanTable[[#This Row],[Unit Price]]</f>
        <v>0.34615384615384615</v>
      </c>
    </row>
    <row r="2792" spans="1:31">
      <c r="A2792" t="s">
        <v>2978</v>
      </c>
      <c r="B2792" s="6">
        <v>46001</v>
      </c>
      <c r="C2792" t="s">
        <v>86</v>
      </c>
      <c r="D2792" t="s">
        <v>87</v>
      </c>
      <c r="E2792" t="s">
        <v>75</v>
      </c>
      <c r="F2792" t="s">
        <v>88</v>
      </c>
      <c r="G2792" t="s">
        <v>89</v>
      </c>
      <c r="H2792" t="s">
        <v>149</v>
      </c>
      <c r="I2792" t="s">
        <v>150</v>
      </c>
      <c r="J2792" t="s">
        <v>151</v>
      </c>
      <c r="K2792" t="s">
        <v>152</v>
      </c>
      <c r="L2792" t="s">
        <v>183</v>
      </c>
      <c r="M2792" t="s">
        <v>171</v>
      </c>
      <c r="N2792">
        <v>1</v>
      </c>
      <c r="O2792" s="4">
        <v>8500</v>
      </c>
      <c r="P2792" s="4">
        <v>12500</v>
      </c>
      <c r="Q2792" s="7">
        <v>0.15</v>
      </c>
      <c r="R2792" t="s">
        <v>187</v>
      </c>
      <c r="S2792">
        <v>2</v>
      </c>
      <c r="T2792">
        <v>12500</v>
      </c>
      <c r="U2792">
        <v>1875</v>
      </c>
      <c r="V2792">
        <v>10625</v>
      </c>
      <c r="W2792">
        <v>8500</v>
      </c>
      <c r="X2792">
        <v>2125</v>
      </c>
      <c r="Y2792" s="8">
        <v>0.2</v>
      </c>
      <c r="Z2792" t="s">
        <v>2997</v>
      </c>
      <c r="AA2792" t="str">
        <f>IF(AND(SalesCleanTable[[#This Row],[Discount %]]&gt;0, SalesCleanTable[[#This Row],[Profit]]&lt;0), "Discount loss", "Safe")</f>
        <v>Safe</v>
      </c>
      <c r="AB2792" s="25">
        <f>(SalesCleanTable[[#This Row],[Unit Price]] - SalesCleanTable[[#This Row],[Unit Cost]]) / SalesCleanTable[[#This Row],[Unit Price]]</f>
        <v>0.32</v>
      </c>
      <c r="AC2792" t="str">
        <f>IF(SalesCleanTable[[#This Row],[Discount %]] &gt; SalesCleanTable[[#This Row],[Max Allowed Discount]], "Discount loss", "Safe")</f>
        <v>Safe</v>
      </c>
      <c r="AD2792" s="4">
        <f>SalesCleanTable[[#This Row],[Unit Price]] - SalesCleanTable[[#This Row],[Unit Cost]]</f>
        <v>4000</v>
      </c>
      <c r="AE2792" s="41">
        <f>(SalesCleanTable[[#This Row],[Unit Price]] - SalesCleanTable[[#This Row],[Unit Cost]]) / SalesCleanTable[[#This Row],[Unit Price]]</f>
        <v>0.32</v>
      </c>
    </row>
    <row r="2793" spans="1:31">
      <c r="A2793" t="s">
        <v>2979</v>
      </c>
      <c r="B2793" s="6">
        <v>45783</v>
      </c>
      <c r="C2793" t="s">
        <v>95</v>
      </c>
      <c r="D2793" t="s">
        <v>96</v>
      </c>
      <c r="E2793" t="s">
        <v>92</v>
      </c>
      <c r="F2793" t="s">
        <v>97</v>
      </c>
      <c r="G2793" t="s">
        <v>98</v>
      </c>
      <c r="H2793" t="s">
        <v>139</v>
      </c>
      <c r="I2793" t="s">
        <v>140</v>
      </c>
      <c r="J2793" t="s">
        <v>137</v>
      </c>
      <c r="K2793" t="s">
        <v>138</v>
      </c>
      <c r="L2793" t="s">
        <v>166</v>
      </c>
      <c r="M2793" t="s">
        <v>177</v>
      </c>
      <c r="N2793">
        <v>4</v>
      </c>
      <c r="O2793" s="4">
        <v>18000</v>
      </c>
      <c r="P2793" s="4">
        <v>24500</v>
      </c>
      <c r="Q2793" s="7">
        <v>0.05</v>
      </c>
      <c r="R2793" t="s">
        <v>215</v>
      </c>
      <c r="S2793">
        <v>13</v>
      </c>
      <c r="T2793">
        <v>98000</v>
      </c>
      <c r="U2793">
        <v>4900</v>
      </c>
      <c r="V2793">
        <v>93100</v>
      </c>
      <c r="W2793">
        <v>72000</v>
      </c>
      <c r="X2793">
        <v>21100</v>
      </c>
      <c r="Y2793" s="8">
        <v>0.22663802363050484</v>
      </c>
      <c r="Z2793" t="s">
        <v>2995</v>
      </c>
      <c r="AA2793" t="str">
        <f>IF(AND(SalesCleanTable[[#This Row],[Discount %]]&gt;0, SalesCleanTable[[#This Row],[Profit]]&lt;0), "Discount loss", "Safe")</f>
        <v>Safe</v>
      </c>
      <c r="AB2793" s="25">
        <f>(SalesCleanTable[[#This Row],[Unit Price]] - SalesCleanTable[[#This Row],[Unit Cost]]) / SalesCleanTable[[#This Row],[Unit Price]]</f>
        <v>0.26530612244897961</v>
      </c>
      <c r="AC2793" t="str">
        <f>IF(SalesCleanTable[[#This Row],[Discount %]] &gt; SalesCleanTable[[#This Row],[Max Allowed Discount]], "Discount loss", "Safe")</f>
        <v>Safe</v>
      </c>
      <c r="AD2793" s="4">
        <f>SalesCleanTable[[#This Row],[Unit Price]] - SalesCleanTable[[#This Row],[Unit Cost]]</f>
        <v>6500</v>
      </c>
      <c r="AE2793" s="41">
        <f>(SalesCleanTable[[#This Row],[Unit Price]] - SalesCleanTable[[#This Row],[Unit Cost]]) / SalesCleanTable[[#This Row],[Unit Price]]</f>
        <v>0.26530612244897961</v>
      </c>
    </row>
    <row r="2794" spans="1:31">
      <c r="A2794" t="s">
        <v>2980</v>
      </c>
      <c r="B2794" s="6">
        <v>45948</v>
      </c>
      <c r="C2794" t="s">
        <v>66</v>
      </c>
      <c r="D2794" t="s">
        <v>67</v>
      </c>
      <c r="E2794" t="s">
        <v>59</v>
      </c>
      <c r="F2794" t="s">
        <v>60</v>
      </c>
      <c r="G2794" t="s">
        <v>68</v>
      </c>
      <c r="H2794" t="s">
        <v>135</v>
      </c>
      <c r="I2794" t="s">
        <v>136</v>
      </c>
      <c r="J2794" t="s">
        <v>137</v>
      </c>
      <c r="K2794" t="s">
        <v>138</v>
      </c>
      <c r="L2794" t="s">
        <v>166</v>
      </c>
      <c r="M2794" t="s">
        <v>171</v>
      </c>
      <c r="N2794">
        <v>2</v>
      </c>
      <c r="O2794" s="4">
        <v>2800</v>
      </c>
      <c r="P2794" s="4">
        <v>3900</v>
      </c>
      <c r="Q2794" s="7">
        <v>0</v>
      </c>
      <c r="R2794" t="s">
        <v>204</v>
      </c>
      <c r="S2794">
        <v>9</v>
      </c>
      <c r="T2794">
        <v>7800</v>
      </c>
      <c r="U2794">
        <v>0</v>
      </c>
      <c r="V2794">
        <v>7800</v>
      </c>
      <c r="W2794">
        <v>5600</v>
      </c>
      <c r="X2794">
        <v>2200</v>
      </c>
      <c r="Y2794" s="8">
        <v>0.28205128205128205</v>
      </c>
      <c r="Z2794" t="s">
        <v>2996</v>
      </c>
      <c r="AA2794" t="str">
        <f>IF(AND(SalesCleanTable[[#This Row],[Discount %]]&gt;0, SalesCleanTable[[#This Row],[Profit]]&lt;0), "Discount loss", "Safe")</f>
        <v>Safe</v>
      </c>
      <c r="AB2794" s="25">
        <f>(SalesCleanTable[[#This Row],[Unit Price]] - SalesCleanTable[[#This Row],[Unit Cost]]) / SalesCleanTable[[#This Row],[Unit Price]]</f>
        <v>0.28205128205128205</v>
      </c>
      <c r="AC2794" t="str">
        <f>IF(SalesCleanTable[[#This Row],[Discount %]] &gt; SalesCleanTable[[#This Row],[Max Allowed Discount]], "Discount loss", "Safe")</f>
        <v>Safe</v>
      </c>
      <c r="AD2794" s="4">
        <f>SalesCleanTable[[#This Row],[Unit Price]] - SalesCleanTable[[#This Row],[Unit Cost]]</f>
        <v>1100</v>
      </c>
      <c r="AE2794" s="41">
        <f>(SalesCleanTable[[#This Row],[Unit Price]] - SalesCleanTable[[#This Row],[Unit Cost]]) / SalesCleanTable[[#This Row],[Unit Price]]</f>
        <v>0.28205128205128205</v>
      </c>
    </row>
    <row r="2795" spans="1:31">
      <c r="A2795" t="s">
        <v>2981</v>
      </c>
      <c r="B2795" s="6">
        <v>45887</v>
      </c>
      <c r="C2795" t="s">
        <v>95</v>
      </c>
      <c r="D2795" t="s">
        <v>96</v>
      </c>
      <c r="E2795" t="s">
        <v>92</v>
      </c>
      <c r="F2795" t="s">
        <v>97</v>
      </c>
      <c r="G2795" t="s">
        <v>98</v>
      </c>
      <c r="H2795" t="s">
        <v>135</v>
      </c>
      <c r="I2795" t="s">
        <v>136</v>
      </c>
      <c r="J2795" t="s">
        <v>137</v>
      </c>
      <c r="K2795" t="s">
        <v>138</v>
      </c>
      <c r="L2795" t="s">
        <v>166</v>
      </c>
      <c r="M2795" t="s">
        <v>186</v>
      </c>
      <c r="N2795">
        <v>2</v>
      </c>
      <c r="O2795" s="4">
        <v>18000</v>
      </c>
      <c r="P2795" s="4">
        <v>24500</v>
      </c>
      <c r="Q2795" s="7">
        <v>0.05</v>
      </c>
      <c r="R2795" t="s">
        <v>181</v>
      </c>
      <c r="S2795">
        <v>9</v>
      </c>
      <c r="T2795">
        <v>49000</v>
      </c>
      <c r="U2795">
        <v>2450</v>
      </c>
      <c r="V2795">
        <v>46550</v>
      </c>
      <c r="W2795">
        <v>36000</v>
      </c>
      <c r="X2795">
        <v>10550</v>
      </c>
      <c r="Y2795" s="8">
        <v>0.22663802363050484</v>
      </c>
      <c r="Z2795" t="s">
        <v>2995</v>
      </c>
      <c r="AA2795" t="str">
        <f>IF(AND(SalesCleanTable[[#This Row],[Discount %]]&gt;0, SalesCleanTable[[#This Row],[Profit]]&lt;0), "Discount loss", "Safe")</f>
        <v>Safe</v>
      </c>
      <c r="AB2795" s="25">
        <f>(SalesCleanTable[[#This Row],[Unit Price]] - SalesCleanTable[[#This Row],[Unit Cost]]) / SalesCleanTable[[#This Row],[Unit Price]]</f>
        <v>0.26530612244897961</v>
      </c>
      <c r="AC2795" t="str">
        <f>IF(SalesCleanTable[[#This Row],[Discount %]] &gt; SalesCleanTable[[#This Row],[Max Allowed Discount]], "Discount loss", "Safe")</f>
        <v>Safe</v>
      </c>
      <c r="AD2795" s="4">
        <f>SalesCleanTable[[#This Row],[Unit Price]] - SalesCleanTable[[#This Row],[Unit Cost]]</f>
        <v>6500</v>
      </c>
      <c r="AE2795" s="41">
        <f>(SalesCleanTable[[#This Row],[Unit Price]] - SalesCleanTable[[#This Row],[Unit Cost]]) / SalesCleanTable[[#This Row],[Unit Price]]</f>
        <v>0.26530612244897961</v>
      </c>
    </row>
    <row r="2796" spans="1:31">
      <c r="A2796" t="s">
        <v>2982</v>
      </c>
      <c r="B2796" s="6">
        <v>45989</v>
      </c>
      <c r="C2796" t="s">
        <v>49</v>
      </c>
      <c r="D2796" t="s">
        <v>50</v>
      </c>
      <c r="E2796" t="s">
        <v>38</v>
      </c>
      <c r="F2796" t="s">
        <v>51</v>
      </c>
      <c r="G2796" t="s">
        <v>52</v>
      </c>
      <c r="H2796" t="s">
        <v>139</v>
      </c>
      <c r="I2796" t="s">
        <v>140</v>
      </c>
      <c r="J2796" t="s">
        <v>137</v>
      </c>
      <c r="K2796" t="s">
        <v>138</v>
      </c>
      <c r="L2796" t="s">
        <v>183</v>
      </c>
      <c r="M2796" t="s">
        <v>186</v>
      </c>
      <c r="N2796">
        <v>1</v>
      </c>
      <c r="O2796" s="4">
        <v>550</v>
      </c>
      <c r="P2796" s="4">
        <v>850</v>
      </c>
      <c r="Q2796" s="7">
        <v>0.1</v>
      </c>
      <c r="R2796" t="s">
        <v>168</v>
      </c>
      <c r="S2796">
        <v>11</v>
      </c>
      <c r="T2796">
        <v>850</v>
      </c>
      <c r="U2796">
        <v>85</v>
      </c>
      <c r="V2796">
        <v>765</v>
      </c>
      <c r="W2796">
        <v>550</v>
      </c>
      <c r="X2796">
        <v>215</v>
      </c>
      <c r="Y2796" s="8">
        <v>0.28104575163398693</v>
      </c>
      <c r="Z2796" t="s">
        <v>2996</v>
      </c>
      <c r="AA2796" t="str">
        <f>IF(AND(SalesCleanTable[[#This Row],[Discount %]]&gt;0, SalesCleanTable[[#This Row],[Profit]]&lt;0), "Discount loss", "Safe")</f>
        <v>Safe</v>
      </c>
      <c r="AB2796" s="25">
        <f>(SalesCleanTable[[#This Row],[Unit Price]] - SalesCleanTable[[#This Row],[Unit Cost]]) / SalesCleanTable[[#This Row],[Unit Price]]</f>
        <v>0.35294117647058826</v>
      </c>
      <c r="AC2796" t="str">
        <f>IF(SalesCleanTable[[#This Row],[Discount %]] &gt; SalesCleanTable[[#This Row],[Max Allowed Discount]], "Discount loss", "Safe")</f>
        <v>Safe</v>
      </c>
      <c r="AD2796" s="4">
        <f>SalesCleanTable[[#This Row],[Unit Price]] - SalesCleanTable[[#This Row],[Unit Cost]]</f>
        <v>300</v>
      </c>
      <c r="AE2796" s="41">
        <f>(SalesCleanTable[[#This Row],[Unit Price]] - SalesCleanTable[[#This Row],[Unit Cost]]) / SalesCleanTable[[#This Row],[Unit Price]]</f>
        <v>0.35294117647058826</v>
      </c>
    </row>
    <row r="2797" spans="1:31">
      <c r="A2797" t="s">
        <v>2983</v>
      </c>
      <c r="B2797" s="6">
        <v>45854</v>
      </c>
      <c r="C2797" t="s">
        <v>62</v>
      </c>
      <c r="D2797" t="s">
        <v>63</v>
      </c>
      <c r="E2797" t="s">
        <v>59</v>
      </c>
      <c r="F2797" t="s">
        <v>64</v>
      </c>
      <c r="G2797" t="s">
        <v>65</v>
      </c>
      <c r="H2797" t="s">
        <v>133</v>
      </c>
      <c r="I2797" t="s">
        <v>134</v>
      </c>
      <c r="J2797" t="s">
        <v>130</v>
      </c>
      <c r="K2797" t="s">
        <v>131</v>
      </c>
      <c r="L2797" t="s">
        <v>183</v>
      </c>
      <c r="M2797" t="s">
        <v>186</v>
      </c>
      <c r="N2797">
        <v>3</v>
      </c>
      <c r="O2797" s="4">
        <v>3200</v>
      </c>
      <c r="P2797" s="4">
        <v>4500</v>
      </c>
      <c r="Q2797" s="7">
        <v>0.1</v>
      </c>
      <c r="R2797" t="s">
        <v>204</v>
      </c>
      <c r="S2797">
        <v>10</v>
      </c>
      <c r="T2797">
        <v>13500</v>
      </c>
      <c r="U2797">
        <v>1350</v>
      </c>
      <c r="V2797">
        <v>12150</v>
      </c>
      <c r="W2797">
        <v>9600</v>
      </c>
      <c r="X2797">
        <v>2550</v>
      </c>
      <c r="Y2797" s="8">
        <v>0.20987654320987653</v>
      </c>
      <c r="Z2797" t="s">
        <v>2996</v>
      </c>
      <c r="AA2797" t="str">
        <f>IF(AND(SalesCleanTable[[#This Row],[Discount %]]&gt;0, SalesCleanTable[[#This Row],[Profit]]&lt;0), "Discount loss", "Safe")</f>
        <v>Safe</v>
      </c>
      <c r="AB2797" s="25">
        <f>(SalesCleanTable[[#This Row],[Unit Price]] - SalesCleanTable[[#This Row],[Unit Cost]]) / SalesCleanTable[[#This Row],[Unit Price]]</f>
        <v>0.28888888888888886</v>
      </c>
      <c r="AC2797" t="str">
        <f>IF(SalesCleanTable[[#This Row],[Discount %]] &gt; SalesCleanTable[[#This Row],[Max Allowed Discount]], "Discount loss", "Safe")</f>
        <v>Safe</v>
      </c>
      <c r="AD2797" s="4">
        <f>SalesCleanTable[[#This Row],[Unit Price]] - SalesCleanTable[[#This Row],[Unit Cost]]</f>
        <v>1300</v>
      </c>
      <c r="AE2797" s="41">
        <f>(SalesCleanTable[[#This Row],[Unit Price]] - SalesCleanTable[[#This Row],[Unit Cost]]) / SalesCleanTable[[#This Row],[Unit Price]]</f>
        <v>0.28888888888888886</v>
      </c>
    </row>
    <row r="2798" spans="1:31">
      <c r="A2798" t="s">
        <v>2984</v>
      </c>
      <c r="B2798" s="6">
        <v>45666</v>
      </c>
      <c r="C2798" t="s">
        <v>57</v>
      </c>
      <c r="D2798" t="s">
        <v>58</v>
      </c>
      <c r="E2798" t="s">
        <v>59</v>
      </c>
      <c r="F2798" t="s">
        <v>60</v>
      </c>
      <c r="G2798" t="s">
        <v>61</v>
      </c>
      <c r="H2798" t="s">
        <v>141</v>
      </c>
      <c r="I2798" t="s">
        <v>142</v>
      </c>
      <c r="J2798" t="s">
        <v>143</v>
      </c>
      <c r="K2798" t="s">
        <v>144</v>
      </c>
      <c r="L2798" t="s">
        <v>166</v>
      </c>
      <c r="M2798" t="s">
        <v>167</v>
      </c>
      <c r="N2798">
        <v>2</v>
      </c>
      <c r="O2798" s="4">
        <v>2400</v>
      </c>
      <c r="P2798" s="4">
        <v>3400</v>
      </c>
      <c r="Q2798" s="7">
        <v>0</v>
      </c>
      <c r="R2798" t="s">
        <v>173</v>
      </c>
      <c r="S2798">
        <v>3</v>
      </c>
      <c r="T2798">
        <v>6800</v>
      </c>
      <c r="U2798">
        <v>0</v>
      </c>
      <c r="V2798">
        <v>6800</v>
      </c>
      <c r="W2798">
        <v>4800</v>
      </c>
      <c r="X2798">
        <v>2000</v>
      </c>
      <c r="Y2798" s="8">
        <v>0.29411764705882354</v>
      </c>
      <c r="Z2798" t="s">
        <v>2996</v>
      </c>
      <c r="AA2798" t="str">
        <f>IF(AND(SalesCleanTable[[#This Row],[Discount %]]&gt;0, SalesCleanTable[[#This Row],[Profit]]&lt;0), "Discount loss", "Safe")</f>
        <v>Safe</v>
      </c>
      <c r="AB2798" s="25">
        <f>(SalesCleanTable[[#This Row],[Unit Price]] - SalesCleanTable[[#This Row],[Unit Cost]]) / SalesCleanTable[[#This Row],[Unit Price]]</f>
        <v>0.29411764705882354</v>
      </c>
      <c r="AC2798" t="str">
        <f>IF(SalesCleanTable[[#This Row],[Discount %]] &gt; SalesCleanTable[[#This Row],[Max Allowed Discount]], "Discount loss", "Safe")</f>
        <v>Safe</v>
      </c>
      <c r="AD2798" s="4">
        <f>SalesCleanTable[[#This Row],[Unit Price]] - SalesCleanTable[[#This Row],[Unit Cost]]</f>
        <v>1000</v>
      </c>
      <c r="AE2798" s="41">
        <f>(SalesCleanTable[[#This Row],[Unit Price]] - SalesCleanTable[[#This Row],[Unit Cost]]) / SalesCleanTable[[#This Row],[Unit Price]]</f>
        <v>0.29411764705882354</v>
      </c>
    </row>
    <row r="2799" spans="1:31">
      <c r="A2799" t="s">
        <v>2985</v>
      </c>
      <c r="B2799" s="6">
        <v>45753</v>
      </c>
      <c r="C2799" t="s">
        <v>53</v>
      </c>
      <c r="D2799" t="s">
        <v>54</v>
      </c>
      <c r="E2799" t="s">
        <v>38</v>
      </c>
      <c r="F2799" t="s">
        <v>55</v>
      </c>
      <c r="G2799" t="s">
        <v>56</v>
      </c>
      <c r="H2799" t="s">
        <v>149</v>
      </c>
      <c r="I2799" t="s">
        <v>150</v>
      </c>
      <c r="J2799" t="s">
        <v>151</v>
      </c>
      <c r="K2799" t="s">
        <v>152</v>
      </c>
      <c r="L2799" t="s">
        <v>183</v>
      </c>
      <c r="M2799" t="s">
        <v>171</v>
      </c>
      <c r="N2799">
        <v>5</v>
      </c>
      <c r="O2799" s="4">
        <v>330</v>
      </c>
      <c r="P2799" s="4">
        <v>550</v>
      </c>
      <c r="Q2799" s="7">
        <v>0.05</v>
      </c>
      <c r="R2799" t="s">
        <v>168</v>
      </c>
      <c r="S2799">
        <v>9</v>
      </c>
      <c r="T2799">
        <v>2750</v>
      </c>
      <c r="U2799">
        <v>137.5</v>
      </c>
      <c r="V2799">
        <v>2612.5</v>
      </c>
      <c r="W2799">
        <v>1650</v>
      </c>
      <c r="X2799">
        <v>962.5</v>
      </c>
      <c r="Y2799" s="8">
        <v>0.36842105263157893</v>
      </c>
      <c r="Z2799" t="s">
        <v>2996</v>
      </c>
      <c r="AA2799" t="str">
        <f>IF(AND(SalesCleanTable[[#This Row],[Discount %]]&gt;0, SalesCleanTable[[#This Row],[Profit]]&lt;0), "Discount loss", "Safe")</f>
        <v>Safe</v>
      </c>
      <c r="AB2799" s="25">
        <f>(SalesCleanTable[[#This Row],[Unit Price]] - SalesCleanTable[[#This Row],[Unit Cost]]) / SalesCleanTable[[#This Row],[Unit Price]]</f>
        <v>0.4</v>
      </c>
      <c r="AC2799" t="str">
        <f>IF(SalesCleanTable[[#This Row],[Discount %]] &gt; SalesCleanTable[[#This Row],[Max Allowed Discount]], "Discount loss", "Safe")</f>
        <v>Safe</v>
      </c>
      <c r="AD2799" s="4">
        <f>SalesCleanTable[[#This Row],[Unit Price]] - SalesCleanTable[[#This Row],[Unit Cost]]</f>
        <v>220</v>
      </c>
      <c r="AE2799" s="41">
        <f>(SalesCleanTable[[#This Row],[Unit Price]] - SalesCleanTable[[#This Row],[Unit Cost]]) / SalesCleanTable[[#This Row],[Unit Price]]</f>
        <v>0.4</v>
      </c>
    </row>
    <row r="2800" spans="1:31">
      <c r="A2800" t="s">
        <v>2986</v>
      </c>
      <c r="B2800" s="6">
        <v>45737</v>
      </c>
      <c r="C2800" t="s">
        <v>29</v>
      </c>
      <c r="D2800" t="s">
        <v>30</v>
      </c>
      <c r="E2800" t="s">
        <v>26</v>
      </c>
      <c r="F2800" t="s">
        <v>27</v>
      </c>
      <c r="G2800" t="s">
        <v>31</v>
      </c>
      <c r="H2800" t="s">
        <v>128</v>
      </c>
      <c r="I2800" t="s">
        <v>129</v>
      </c>
      <c r="J2800" t="s">
        <v>130</v>
      </c>
      <c r="K2800" t="s">
        <v>131</v>
      </c>
      <c r="L2800" t="s">
        <v>166</v>
      </c>
      <c r="M2800" t="s">
        <v>186</v>
      </c>
      <c r="N2800">
        <v>1</v>
      </c>
      <c r="O2800" s="4">
        <v>6200</v>
      </c>
      <c r="P2800" s="4">
        <v>7900</v>
      </c>
      <c r="Q2800" s="7">
        <v>0.15</v>
      </c>
      <c r="R2800" t="s">
        <v>194</v>
      </c>
      <c r="S2800">
        <v>8</v>
      </c>
      <c r="T2800">
        <v>7900</v>
      </c>
      <c r="U2800">
        <v>1185</v>
      </c>
      <c r="V2800">
        <v>6715</v>
      </c>
      <c r="W2800">
        <v>6200</v>
      </c>
      <c r="X2800">
        <v>515</v>
      </c>
      <c r="Y2800" s="8">
        <v>7.6693968726731204E-2</v>
      </c>
      <c r="Z2800" t="s">
        <v>2996</v>
      </c>
      <c r="AA2800" t="str">
        <f>IF(AND(SalesCleanTable[[#This Row],[Discount %]]&gt;0, SalesCleanTable[[#This Row],[Profit]]&lt;0), "Discount loss", "Safe")</f>
        <v>Safe</v>
      </c>
      <c r="AB2800" s="25">
        <f>(SalesCleanTable[[#This Row],[Unit Price]] - SalesCleanTable[[#This Row],[Unit Cost]]) / SalesCleanTable[[#This Row],[Unit Price]]</f>
        <v>0.21518987341772153</v>
      </c>
      <c r="AC2800" t="str">
        <f>IF(SalesCleanTable[[#This Row],[Discount %]] &gt; SalesCleanTable[[#This Row],[Max Allowed Discount]], "Discount loss", "Safe")</f>
        <v>Safe</v>
      </c>
      <c r="AD2800" s="4">
        <f>SalesCleanTable[[#This Row],[Unit Price]] - SalesCleanTable[[#This Row],[Unit Cost]]</f>
        <v>1700</v>
      </c>
      <c r="AE2800" s="41">
        <f>(SalesCleanTable[[#This Row],[Unit Price]] - SalesCleanTable[[#This Row],[Unit Cost]]) / SalesCleanTable[[#This Row],[Unit Price]]</f>
        <v>0.21518987341772153</v>
      </c>
    </row>
    <row r="2801" spans="1:31">
      <c r="A2801" t="s">
        <v>2987</v>
      </c>
      <c r="B2801" s="6">
        <v>45782</v>
      </c>
      <c r="C2801" t="s">
        <v>41</v>
      </c>
      <c r="D2801" t="s">
        <v>42</v>
      </c>
      <c r="E2801" t="s">
        <v>26</v>
      </c>
      <c r="F2801" t="s">
        <v>43</v>
      </c>
      <c r="G2801" t="s">
        <v>44</v>
      </c>
      <c r="H2801" t="s">
        <v>139</v>
      </c>
      <c r="I2801" t="s">
        <v>140</v>
      </c>
      <c r="J2801" t="s">
        <v>137</v>
      </c>
      <c r="K2801" t="s">
        <v>138</v>
      </c>
      <c r="L2801" t="s">
        <v>183</v>
      </c>
      <c r="M2801" t="s">
        <v>186</v>
      </c>
      <c r="N2801">
        <v>1</v>
      </c>
      <c r="O2801" s="4">
        <v>850</v>
      </c>
      <c r="P2801" s="4">
        <v>1300</v>
      </c>
      <c r="Q2801" s="7">
        <v>0.05</v>
      </c>
      <c r="R2801" t="s">
        <v>194</v>
      </c>
      <c r="S2801">
        <v>8</v>
      </c>
      <c r="T2801">
        <v>1300</v>
      </c>
      <c r="U2801">
        <v>65</v>
      </c>
      <c r="V2801">
        <v>1235</v>
      </c>
      <c r="W2801">
        <v>850</v>
      </c>
      <c r="X2801">
        <v>385</v>
      </c>
      <c r="Y2801" s="8">
        <v>0.31174089068825911</v>
      </c>
      <c r="Z2801" t="s">
        <v>2995</v>
      </c>
      <c r="AA2801" t="str">
        <f>IF(AND(SalesCleanTable[[#This Row],[Discount %]]&gt;0, SalesCleanTable[[#This Row],[Profit]]&lt;0), "Discount loss", "Safe")</f>
        <v>Safe</v>
      </c>
      <c r="AB2801" s="25">
        <f>(SalesCleanTable[[#This Row],[Unit Price]] - SalesCleanTable[[#This Row],[Unit Cost]]) / SalesCleanTable[[#This Row],[Unit Price]]</f>
        <v>0.34615384615384615</v>
      </c>
      <c r="AC2801" t="str">
        <f>IF(SalesCleanTable[[#This Row],[Discount %]] &gt; SalesCleanTable[[#This Row],[Max Allowed Discount]], "Discount loss", "Safe")</f>
        <v>Safe</v>
      </c>
      <c r="AD2801" s="4">
        <f>SalesCleanTable[[#This Row],[Unit Price]] - SalesCleanTable[[#This Row],[Unit Cost]]</f>
        <v>450</v>
      </c>
      <c r="AE2801" s="41">
        <f>(SalesCleanTable[[#This Row],[Unit Price]] - SalesCleanTable[[#This Row],[Unit Cost]]) / SalesCleanTable[[#This Row],[Unit Price]]</f>
        <v>0.34615384615384615</v>
      </c>
    </row>
    <row r="2802" spans="1:31">
      <c r="A2802" t="s">
        <v>1426</v>
      </c>
      <c r="B2802" s="6">
        <v>45717</v>
      </c>
      <c r="C2802" t="s">
        <v>95</v>
      </c>
      <c r="D2802" t="s">
        <v>96</v>
      </c>
      <c r="E2802" t="s">
        <v>92</v>
      </c>
      <c r="F2802" t="s">
        <v>97</v>
      </c>
      <c r="G2802" t="s">
        <v>98</v>
      </c>
      <c r="H2802" t="s">
        <v>139</v>
      </c>
      <c r="I2802" t="s">
        <v>140</v>
      </c>
      <c r="J2802" t="s">
        <v>137</v>
      </c>
      <c r="K2802" t="s">
        <v>138</v>
      </c>
      <c r="L2802" t="s">
        <v>166</v>
      </c>
      <c r="M2802" t="s">
        <v>171</v>
      </c>
      <c r="N2802">
        <v>10</v>
      </c>
      <c r="O2802" s="4">
        <v>18000</v>
      </c>
      <c r="P2802" s="4">
        <v>24500</v>
      </c>
      <c r="Q2802" s="7">
        <v>0.1</v>
      </c>
      <c r="R2802" t="s">
        <v>215</v>
      </c>
      <c r="S2802">
        <v>13</v>
      </c>
      <c r="T2802">
        <v>245000</v>
      </c>
      <c r="U2802">
        <v>24500</v>
      </c>
      <c r="V2802">
        <v>220500</v>
      </c>
      <c r="W2802">
        <v>180000</v>
      </c>
      <c r="X2802">
        <v>40500</v>
      </c>
      <c r="Y2802" s="8">
        <v>0.18367346938775511</v>
      </c>
      <c r="Z2802" t="s">
        <v>2995</v>
      </c>
      <c r="AA2802" t="str">
        <f>IF(AND(SalesCleanTable[[#This Row],[Discount %]]&gt;0, SalesCleanTable[[#This Row],[Profit]]&lt;0), "Discount loss", "Safe")</f>
        <v>Safe</v>
      </c>
      <c r="AB2802" s="25">
        <f>(SalesCleanTable[[#This Row],[Unit Price]] - SalesCleanTable[[#This Row],[Unit Cost]]) / SalesCleanTable[[#This Row],[Unit Price]]</f>
        <v>0.26530612244897961</v>
      </c>
      <c r="AC2802" t="str">
        <f>IF(SalesCleanTable[[#This Row],[Discount %]] &gt; SalesCleanTable[[#This Row],[Max Allowed Discount]], "Discount loss", "Safe")</f>
        <v>Safe</v>
      </c>
      <c r="AD2802" s="4">
        <f>SalesCleanTable[[#This Row],[Unit Price]] - SalesCleanTable[[#This Row],[Unit Cost]]</f>
        <v>6500</v>
      </c>
      <c r="AE2802" s="41">
        <f>(SalesCleanTable[[#This Row],[Unit Price]] - SalesCleanTable[[#This Row],[Unit Cost]]) / SalesCleanTable[[#This Row],[Unit Price]]</f>
        <v>0.26530612244897961</v>
      </c>
    </row>
  </sheetData>
  <phoneticPr fontId="14" type="noConversion"/>
  <conditionalFormatting sqref="Z2:Z2802">
    <cfRule type="expression" dxfId="86" priority="1">
      <formula>Z2="Understocked"</formula>
    </cfRule>
    <cfRule type="expression" dxfId="85" priority="2">
      <formula>Z2="Overstocked"</formula>
    </cfRule>
    <cfRule type="expression" dxfId="84" priority="3">
      <formula>Z2="Healthy"</formula>
    </cfRule>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5A395-8AA2-4CC0-BB78-99864E202CFF}">
  <dimension ref="A3:DJ32"/>
  <sheetViews>
    <sheetView topLeftCell="R1" zoomScale="86" zoomScaleNormal="100" workbookViewId="0">
      <selection activeCell="AB27" sqref="AB27"/>
    </sheetView>
  </sheetViews>
  <sheetFormatPr defaultRowHeight="13.8"/>
  <cols>
    <col min="1" max="1" width="19.3984375" bestFit="1" customWidth="1"/>
    <col min="2" max="2" width="12.5" bestFit="1" customWidth="1"/>
    <col min="3" max="3" width="22.69921875" bestFit="1" customWidth="1"/>
    <col min="4" max="4" width="22.09765625" bestFit="1" customWidth="1"/>
    <col min="5" max="5" width="17" bestFit="1" customWidth="1"/>
    <col min="8" max="8" width="19.19921875" bestFit="1" customWidth="1"/>
    <col min="9" max="9" width="21.3984375" bestFit="1" customWidth="1"/>
    <col min="10" max="10" width="16.5" bestFit="1" customWidth="1"/>
    <col min="11" max="11" width="21.19921875" bestFit="1" customWidth="1"/>
    <col min="12" max="12" width="19.19921875" bestFit="1" customWidth="1"/>
    <col min="13" max="13" width="12.296875" bestFit="1" customWidth="1"/>
    <col min="15" max="15" width="19.69921875" customWidth="1"/>
    <col min="17" max="17" width="21.3984375" bestFit="1" customWidth="1"/>
    <col min="19" max="19" width="17.69921875" customWidth="1"/>
    <col min="22" max="22" width="20.296875" customWidth="1"/>
    <col min="24" max="24" width="10.296875" customWidth="1"/>
    <col min="27" max="27" width="21.69921875" customWidth="1"/>
    <col min="31" max="31" width="8.796875" style="26"/>
    <col min="33" max="33" width="9.796875" bestFit="1" customWidth="1"/>
    <col min="34" max="34" width="12.796875" bestFit="1" customWidth="1"/>
    <col min="35" max="35" width="6.59765625" bestFit="1" customWidth="1"/>
    <col min="36" max="36" width="8.59765625" bestFit="1" customWidth="1"/>
    <col min="40" max="40" width="15.59765625" bestFit="1" customWidth="1"/>
    <col min="41" max="41" width="7.296875" bestFit="1" customWidth="1"/>
    <col min="42" max="42" width="12.796875" bestFit="1" customWidth="1"/>
    <col min="43" max="43" width="19.19921875" bestFit="1" customWidth="1"/>
    <col min="47" max="47" width="11.59765625" bestFit="1" customWidth="1"/>
    <col min="48" max="48" width="12.796875" bestFit="1" customWidth="1"/>
    <col min="49" max="49" width="6.59765625" bestFit="1" customWidth="1"/>
    <col min="55" max="55" width="13.09765625" bestFit="1" customWidth="1"/>
    <col min="56" max="56" width="24.5" customWidth="1"/>
    <col min="58" max="58" width="8.796875" style="30"/>
    <col min="61" max="61" width="22.796875" bestFit="1" customWidth="1"/>
    <col min="62" max="62" width="12.8984375" bestFit="1" customWidth="1"/>
    <col min="63" max="63" width="7" bestFit="1" customWidth="1"/>
    <col min="64" max="64" width="15.296875" bestFit="1" customWidth="1"/>
    <col min="65" max="65" width="15.296875" customWidth="1"/>
    <col min="66" max="66" width="17.5" customWidth="1"/>
    <col min="67" max="67" width="13.59765625" bestFit="1" customWidth="1"/>
    <col min="69" max="69" width="17.796875" bestFit="1" customWidth="1"/>
    <col min="70" max="70" width="15.09765625" bestFit="1" customWidth="1"/>
    <col min="71" max="71" width="12" bestFit="1" customWidth="1"/>
    <col min="73" max="73" width="17.19921875" bestFit="1" customWidth="1"/>
    <col min="74" max="74" width="14" bestFit="1" customWidth="1"/>
    <col min="79" max="79" width="22.3984375" bestFit="1" customWidth="1"/>
    <col min="80" max="80" width="12.8984375" bestFit="1" customWidth="1"/>
    <col min="81" max="81" width="6.59765625" bestFit="1" customWidth="1"/>
    <col min="82" max="82" width="15.09765625" bestFit="1" customWidth="1"/>
    <col min="83" max="83" width="11.296875" customWidth="1"/>
    <col min="84" max="84" width="11.3984375" bestFit="1" customWidth="1"/>
    <col min="86" max="86" width="13.09765625" customWidth="1"/>
    <col min="95" max="95" width="10" bestFit="1" customWidth="1"/>
    <col min="102" max="102" width="19.796875" bestFit="1" customWidth="1"/>
    <col min="103" max="103" width="10" bestFit="1" customWidth="1"/>
    <col min="104" max="104" width="4.3984375" bestFit="1" customWidth="1"/>
    <col min="105" max="105" width="4.296875" bestFit="1" customWidth="1"/>
    <col min="106" max="106" width="4.19921875" bestFit="1" customWidth="1"/>
    <col min="107" max="107" width="4.59765625" bestFit="1" customWidth="1"/>
    <col min="108" max="108" width="4.3984375" bestFit="1" customWidth="1"/>
    <col min="109" max="109" width="3.69921875" bestFit="1" customWidth="1"/>
    <col min="110" max="110" width="4.59765625" bestFit="1" customWidth="1"/>
    <col min="111" max="111" width="4.5" bestFit="1" customWidth="1"/>
    <col min="112" max="112" width="4.09765625" bestFit="1" customWidth="1"/>
    <col min="113" max="113" width="4.59765625" bestFit="1" customWidth="1"/>
    <col min="114" max="114" width="4.5" bestFit="1" customWidth="1"/>
    <col min="115" max="126" width="19.69921875" bestFit="1" customWidth="1"/>
    <col min="127" max="138" width="21.296875" bestFit="1" customWidth="1"/>
    <col min="139" max="150" width="23.3984375" bestFit="1" customWidth="1"/>
    <col min="151" max="832" width="19.69921875" bestFit="1" customWidth="1"/>
  </cols>
  <sheetData>
    <row r="3" spans="1:114">
      <c r="A3" t="s">
        <v>3097</v>
      </c>
      <c r="B3" t="s">
        <v>3098</v>
      </c>
      <c r="C3" t="s">
        <v>3099</v>
      </c>
      <c r="D3" t="s">
        <v>3104</v>
      </c>
      <c r="E3" t="s">
        <v>3108</v>
      </c>
    </row>
    <row r="4" spans="1:114">
      <c r="A4" s="4">
        <v>39764007.5</v>
      </c>
      <c r="B4" s="4">
        <v>8091717.5</v>
      </c>
      <c r="C4" s="8">
        <v>0.26395211321177398</v>
      </c>
      <c r="D4" s="42">
        <v>2801</v>
      </c>
      <c r="E4" s="4">
        <v>31672290</v>
      </c>
      <c r="I4" s="15" t="s">
        <v>3126</v>
      </c>
      <c r="J4" s="19" t="s">
        <v>3135</v>
      </c>
      <c r="K4" s="15" t="s">
        <v>3126</v>
      </c>
      <c r="L4" t="s">
        <v>3097</v>
      </c>
      <c r="M4" t="s">
        <v>3098</v>
      </c>
      <c r="N4" t="s">
        <v>3130</v>
      </c>
      <c r="O4" t="s">
        <v>3149</v>
      </c>
      <c r="Q4" s="15" t="s">
        <v>3126</v>
      </c>
      <c r="AG4" s="15" t="s">
        <v>3153</v>
      </c>
      <c r="AH4" t="s">
        <v>3150</v>
      </c>
      <c r="AI4" t="s">
        <v>3151</v>
      </c>
      <c r="AJ4" t="s">
        <v>3152</v>
      </c>
      <c r="AN4" s="15" t="s">
        <v>124</v>
      </c>
      <c r="AO4" t="s">
        <v>3151</v>
      </c>
      <c r="AP4" t="s">
        <v>3150</v>
      </c>
      <c r="AU4" s="15" t="s">
        <v>126</v>
      </c>
      <c r="AV4" t="s">
        <v>3150</v>
      </c>
      <c r="AW4" t="s">
        <v>3151</v>
      </c>
      <c r="BC4" s="15" t="s">
        <v>3155</v>
      </c>
      <c r="BD4" t="s">
        <v>3160</v>
      </c>
      <c r="BI4" s="15" t="s">
        <v>14</v>
      </c>
      <c r="BJ4" t="s">
        <v>3150</v>
      </c>
      <c r="BK4" t="s">
        <v>3151</v>
      </c>
      <c r="BL4" t="s">
        <v>3161</v>
      </c>
      <c r="BN4" s="31" t="s">
        <v>3103</v>
      </c>
      <c r="BO4" s="31" t="s">
        <v>3162</v>
      </c>
      <c r="BP4" s="31" t="s">
        <v>3163</v>
      </c>
      <c r="BQ4" s="31" t="s">
        <v>3164</v>
      </c>
      <c r="BR4" s="31" t="s">
        <v>3165</v>
      </c>
      <c r="BS4" s="31" t="s">
        <v>3166</v>
      </c>
      <c r="BT4" s="31" t="s">
        <v>3167</v>
      </c>
      <c r="BU4" s="31" t="s">
        <v>3168</v>
      </c>
      <c r="BV4" s="31" t="s">
        <v>3169</v>
      </c>
      <c r="CA4" s="15" t="s">
        <v>14</v>
      </c>
      <c r="CB4" t="s">
        <v>3150</v>
      </c>
      <c r="CE4" t="s">
        <v>3172</v>
      </c>
    </row>
    <row r="5" spans="1:114">
      <c r="I5" t="s">
        <v>3114</v>
      </c>
      <c r="J5">
        <v>1</v>
      </c>
      <c r="K5" t="s">
        <v>3114</v>
      </c>
      <c r="L5" s="5">
        <v>3164650</v>
      </c>
      <c r="M5" s="5">
        <v>600700</v>
      </c>
      <c r="N5" s="18">
        <f>M5/L5</f>
        <v>0.18981561942078903</v>
      </c>
      <c r="Q5" t="s">
        <v>3114</v>
      </c>
      <c r="S5" s="19"/>
      <c r="AG5" t="s">
        <v>3114</v>
      </c>
      <c r="AH5" s="28">
        <v>3164650</v>
      </c>
      <c r="AI5" s="28">
        <v>600700</v>
      </c>
      <c r="AJ5" s="8">
        <v>0.18981561942078903</v>
      </c>
      <c r="AN5" t="s">
        <v>136</v>
      </c>
      <c r="AO5" s="28">
        <v>1609720</v>
      </c>
      <c r="AP5" s="28">
        <v>7802760</v>
      </c>
      <c r="AQ5" s="25">
        <f>AO5/AP5</f>
        <v>0.20630136003157856</v>
      </c>
      <c r="AU5" t="s">
        <v>138</v>
      </c>
      <c r="AV5" s="28">
        <v>13966085</v>
      </c>
      <c r="AW5" s="28">
        <v>2882795</v>
      </c>
      <c r="BC5" s="29" t="s">
        <v>3156</v>
      </c>
      <c r="BD5">
        <v>11</v>
      </c>
      <c r="BI5" t="s">
        <v>46</v>
      </c>
      <c r="BJ5" s="28">
        <v>295440</v>
      </c>
      <c r="BK5" s="28">
        <v>111670</v>
      </c>
      <c r="BL5" s="5">
        <v>799</v>
      </c>
      <c r="BN5" s="8">
        <f>BK5/BJ5</f>
        <v>0.37797860817763335</v>
      </c>
      <c r="BO5" t="str">
        <f>_xlfn.XLOOKUP(BI5,ProductMasterTable[Product Name],ProductMasterTable[Stock status],)</f>
        <v>underStocked</v>
      </c>
      <c r="BP5" s="28">
        <f>BJ5</f>
        <v>295440</v>
      </c>
      <c r="BQ5" s="8">
        <f>IF(BO5="underStocked",BN5,NA())</f>
        <v>0.37797860817763335</v>
      </c>
      <c r="BR5">
        <f>IF(BO5="underStocked",BL5,NA())</f>
        <v>799</v>
      </c>
      <c r="BS5" s="8" t="e">
        <f>IF(BO5="Health",BN5,NA())</f>
        <v>#N/A</v>
      </c>
      <c r="BT5" t="e">
        <f>IF(BO5="Health",BL5,NA())</f>
        <v>#N/A</v>
      </c>
      <c r="BU5" s="8" t="e">
        <f>IF(BO5="overStocked",BN5,NA())</f>
        <v>#N/A</v>
      </c>
      <c r="BV5" t="e">
        <f>IF(BO5="overStocked",BL5,NA())</f>
        <v>#N/A</v>
      </c>
      <c r="CA5" t="s">
        <v>25</v>
      </c>
      <c r="CB5" s="28">
        <v>7868875</v>
      </c>
      <c r="CE5" s="4">
        <f>A4</f>
        <v>39764007.5</v>
      </c>
      <c r="CY5" s="15" t="s">
        <v>3153</v>
      </c>
    </row>
    <row r="6" spans="1:114">
      <c r="I6" t="s">
        <v>3115</v>
      </c>
      <c r="J6">
        <v>2</v>
      </c>
      <c r="K6" t="s">
        <v>3115</v>
      </c>
      <c r="L6" s="5">
        <v>3119687.5</v>
      </c>
      <c r="M6" s="5">
        <v>613917.5</v>
      </c>
      <c r="N6" s="18">
        <f t="shared" ref="N6:N16" si="0">M6/L6</f>
        <v>0.19678813983772414</v>
      </c>
      <c r="O6" s="18">
        <f>(L6-L5)/L5</f>
        <v>-1.4207732292670595E-2</v>
      </c>
      <c r="Q6" t="s">
        <v>3115</v>
      </c>
      <c r="S6" t="s">
        <v>3133</v>
      </c>
      <c r="AG6" t="s">
        <v>3115</v>
      </c>
      <c r="AH6" s="28">
        <v>3119687.5</v>
      </c>
      <c r="AI6" s="28">
        <v>613917.5</v>
      </c>
      <c r="AJ6" s="8">
        <v>0.19678813983772414</v>
      </c>
      <c r="AN6" t="s">
        <v>140</v>
      </c>
      <c r="AO6" s="28">
        <v>1273075</v>
      </c>
      <c r="AP6" s="28">
        <v>6163325</v>
      </c>
      <c r="AQ6" s="25">
        <f t="shared" ref="AQ6:AQ12" si="1">AO6/AP6</f>
        <v>0.2065565259011978</v>
      </c>
      <c r="AU6" t="s">
        <v>131</v>
      </c>
      <c r="AV6" s="28">
        <v>13049302.5</v>
      </c>
      <c r="AW6" s="28">
        <v>2595962.5</v>
      </c>
      <c r="BC6" s="29" t="s">
        <v>3157</v>
      </c>
      <c r="BD6">
        <v>4</v>
      </c>
      <c r="BI6" t="s">
        <v>58</v>
      </c>
      <c r="BJ6" s="28">
        <v>1248310</v>
      </c>
      <c r="BK6" s="28">
        <v>307510</v>
      </c>
      <c r="BL6" s="5">
        <v>392</v>
      </c>
      <c r="BN6" s="8">
        <f t="shared" ref="BN6:BN27" si="2">BK6/BJ6</f>
        <v>0.24634105310379634</v>
      </c>
      <c r="BO6" t="str">
        <f>_xlfn.XLOOKUP(BI6,ProductMasterTable[Product Name],ProductMasterTable[Stock status],)</f>
        <v>Health</v>
      </c>
      <c r="BP6" s="28">
        <f t="shared" ref="BP6:BP28" si="3">BJ6</f>
        <v>1248310</v>
      </c>
      <c r="BQ6" s="8" t="e">
        <f t="shared" ref="BQ6:BQ28" si="4">IF(BO6="underStocked",BN6,NA())</f>
        <v>#N/A</v>
      </c>
      <c r="BR6" t="e">
        <f t="shared" ref="BR6:BR28" si="5">IF(BO6="underStocked",BL6,NA())</f>
        <v>#N/A</v>
      </c>
      <c r="BS6" s="8">
        <f t="shared" ref="BS6:BS28" si="6">IF(BO6="Health",BN6,NA())</f>
        <v>0.24634105310379634</v>
      </c>
      <c r="BT6">
        <f t="shared" ref="BT6:BT28" si="7">IF(BO6="Health",BL6,NA())</f>
        <v>392</v>
      </c>
      <c r="BU6" s="8" t="e">
        <f t="shared" ref="BU6:BU28" si="8">IF(BO6="overStocked",BN6,NA())</f>
        <v>#N/A</v>
      </c>
      <c r="BV6" t="e">
        <f t="shared" ref="BV6:BV28" si="9">IF(BO6="overStocked",BL6,NA())</f>
        <v>#N/A</v>
      </c>
      <c r="CA6" t="s">
        <v>30</v>
      </c>
      <c r="CB6" s="28">
        <v>2005020</v>
      </c>
      <c r="CX6" s="15" t="s">
        <v>163</v>
      </c>
      <c r="CY6" t="s">
        <v>3114</v>
      </c>
      <c r="CZ6" t="s">
        <v>3115</v>
      </c>
      <c r="DA6" t="s">
        <v>3116</v>
      </c>
      <c r="DB6" t="s">
        <v>3117</v>
      </c>
      <c r="DC6" t="s">
        <v>3118</v>
      </c>
      <c r="DD6" t="s">
        <v>3119</v>
      </c>
      <c r="DE6" t="s">
        <v>3120</v>
      </c>
      <c r="DF6" t="s">
        <v>3121</v>
      </c>
      <c r="DG6" t="s">
        <v>3122</v>
      </c>
      <c r="DH6" t="s">
        <v>3123</v>
      </c>
      <c r="DI6" t="s">
        <v>3124</v>
      </c>
      <c r="DJ6" t="s">
        <v>3125</v>
      </c>
    </row>
    <row r="7" spans="1:114">
      <c r="I7" t="s">
        <v>3116</v>
      </c>
      <c r="J7">
        <v>3</v>
      </c>
      <c r="K7" t="s">
        <v>3116</v>
      </c>
      <c r="L7" s="5">
        <v>4116052.5</v>
      </c>
      <c r="M7" s="5">
        <v>805362.5</v>
      </c>
      <c r="N7" s="18">
        <f>M7/L7</f>
        <v>0.19566380652336188</v>
      </c>
      <c r="O7" s="18">
        <f>(L7-L6)/L6</f>
        <v>0.31937974556746468</v>
      </c>
      <c r="Q7" t="s">
        <v>3116</v>
      </c>
      <c r="S7">
        <f xml:space="preserve"> COUNTA(Q5:Q16)</f>
        <v>12</v>
      </c>
      <c r="AG7" t="s">
        <v>3116</v>
      </c>
      <c r="AH7" s="28">
        <v>4116052.5</v>
      </c>
      <c r="AI7" s="28">
        <v>805362.5</v>
      </c>
      <c r="AJ7" s="8">
        <v>0.19566380652336188</v>
      </c>
      <c r="AN7" t="s">
        <v>129</v>
      </c>
      <c r="AO7" s="28">
        <v>1209210</v>
      </c>
      <c r="AP7" s="28">
        <v>5842100</v>
      </c>
      <c r="AQ7" s="25">
        <f t="shared" si="1"/>
        <v>0.20698207836223276</v>
      </c>
      <c r="AU7" t="s">
        <v>152</v>
      </c>
      <c r="AV7" s="28">
        <v>4762662.5</v>
      </c>
      <c r="AW7" s="28">
        <v>991822.5</v>
      </c>
      <c r="BC7" s="29" t="s">
        <v>3158</v>
      </c>
      <c r="BD7">
        <v>9</v>
      </c>
      <c r="BI7" t="s">
        <v>67</v>
      </c>
      <c r="BJ7" s="28">
        <v>935025</v>
      </c>
      <c r="BK7" s="28">
        <v>218225</v>
      </c>
      <c r="BL7" s="5">
        <v>256</v>
      </c>
      <c r="BN7" s="8">
        <f t="shared" si="2"/>
        <v>0.23338948156466405</v>
      </c>
      <c r="BO7" t="str">
        <f>_xlfn.XLOOKUP(BI7,ProductMasterTable[Product Name],ProductMasterTable[Stock status],)</f>
        <v>Health</v>
      </c>
      <c r="BP7" s="28">
        <f t="shared" si="3"/>
        <v>935025</v>
      </c>
      <c r="BQ7" s="8" t="e">
        <f t="shared" si="4"/>
        <v>#N/A</v>
      </c>
      <c r="BR7" t="e">
        <f t="shared" si="5"/>
        <v>#N/A</v>
      </c>
      <c r="BS7" s="8">
        <f t="shared" si="6"/>
        <v>0.23338948156466405</v>
      </c>
      <c r="BT7">
        <f t="shared" si="7"/>
        <v>256</v>
      </c>
      <c r="BU7" s="8" t="e">
        <f t="shared" si="8"/>
        <v>#N/A</v>
      </c>
      <c r="BV7" t="e">
        <f t="shared" si="9"/>
        <v>#N/A</v>
      </c>
      <c r="CA7" t="s">
        <v>100</v>
      </c>
      <c r="CB7" s="28">
        <v>3438225</v>
      </c>
      <c r="CN7" s="38" t="s">
        <v>3176</v>
      </c>
      <c r="CO7" s="38"/>
      <c r="CP7" s="38"/>
      <c r="CQ7" s="38"/>
      <c r="CX7" t="s">
        <v>194</v>
      </c>
      <c r="CY7" s="5"/>
      <c r="CZ7" s="5"/>
      <c r="DA7" s="5"/>
      <c r="DB7" s="5"/>
      <c r="DC7" s="5"/>
      <c r="DD7" s="5"/>
      <c r="DE7" s="5"/>
      <c r="DF7" s="5"/>
      <c r="DG7" s="5"/>
      <c r="DH7" s="5"/>
      <c r="DI7" s="5"/>
      <c r="DJ7" s="5"/>
    </row>
    <row r="8" spans="1:114">
      <c r="C8" s="13" t="s">
        <v>3107</v>
      </c>
      <c r="D8" s="13" t="s">
        <v>3106</v>
      </c>
      <c r="E8" s="13" t="s">
        <v>3105</v>
      </c>
      <c r="I8" t="s">
        <v>3117</v>
      </c>
      <c r="J8">
        <v>4</v>
      </c>
      <c r="K8" t="s">
        <v>3117</v>
      </c>
      <c r="L8" s="5">
        <v>3081370</v>
      </c>
      <c r="M8" s="5">
        <v>676200</v>
      </c>
      <c r="N8" s="18">
        <f t="shared" si="0"/>
        <v>0.21944784300489717</v>
      </c>
      <c r="O8" s="18">
        <f t="shared" ref="O8:O16" si="10">(L8-L7)/L7</f>
        <v>-0.25137738160531237</v>
      </c>
      <c r="Q8" t="s">
        <v>3117</v>
      </c>
      <c r="S8" s="19"/>
      <c r="AG8" t="s">
        <v>3117</v>
      </c>
      <c r="AH8" s="28">
        <v>3081370</v>
      </c>
      <c r="AI8" s="28">
        <v>676200</v>
      </c>
      <c r="AJ8" s="8">
        <v>0.21944784300489717</v>
      </c>
      <c r="AN8" t="s">
        <v>150</v>
      </c>
      <c r="AO8" s="28">
        <v>991822.5</v>
      </c>
      <c r="AP8" s="28">
        <v>4762662.5</v>
      </c>
      <c r="AQ8" s="25">
        <f t="shared" si="1"/>
        <v>0.20824958728442336</v>
      </c>
      <c r="AU8" t="s">
        <v>148</v>
      </c>
      <c r="AV8" s="28">
        <v>4532182.5</v>
      </c>
      <c r="AW8" s="28">
        <v>905972.5</v>
      </c>
      <c r="BC8" s="29" t="s">
        <v>3159</v>
      </c>
      <c r="BD8">
        <v>24</v>
      </c>
      <c r="BI8" t="s">
        <v>42</v>
      </c>
      <c r="BJ8" s="28">
        <v>572455</v>
      </c>
      <c r="BK8" s="28">
        <v>166155</v>
      </c>
      <c r="BL8" s="5">
        <v>478</v>
      </c>
      <c r="BN8" s="8">
        <f t="shared" si="2"/>
        <v>0.29024988863753481</v>
      </c>
      <c r="BO8" t="str">
        <f>_xlfn.XLOOKUP(BI8,ProductMasterTable[Product Name],ProductMasterTable[Stock status],)</f>
        <v>underStocked</v>
      </c>
      <c r="BP8" s="28">
        <f t="shared" si="3"/>
        <v>572455</v>
      </c>
      <c r="BQ8" s="8">
        <f t="shared" si="4"/>
        <v>0.29024988863753481</v>
      </c>
      <c r="BR8">
        <f t="shared" si="5"/>
        <v>478</v>
      </c>
      <c r="BS8" s="8" t="e">
        <f t="shared" si="6"/>
        <v>#N/A</v>
      </c>
      <c r="BT8" t="e">
        <f t="shared" si="7"/>
        <v>#N/A</v>
      </c>
      <c r="BU8" s="8" t="e">
        <f t="shared" si="8"/>
        <v>#N/A</v>
      </c>
      <c r="BV8" t="e">
        <f t="shared" si="9"/>
        <v>#N/A</v>
      </c>
      <c r="CA8" t="s">
        <v>33</v>
      </c>
      <c r="CB8" s="28">
        <v>4767210</v>
      </c>
      <c r="CE8" t="s">
        <v>3173</v>
      </c>
      <c r="CF8" s="28">
        <f>SUM(CB5:CB9)</f>
        <v>24885430</v>
      </c>
      <c r="CH8" t="s">
        <v>3175</v>
      </c>
      <c r="CI8" s="18">
        <f>CF8/CE5</f>
        <v>0.62582801796322973</v>
      </c>
      <c r="CN8" s="40">
        <f>CORREL(Sales_Clean_Reference!Q:Q,Sales_Clean_Reference!Y:Y)</f>
        <v>-0.55334854994583527</v>
      </c>
      <c r="CO8" s="40"/>
      <c r="CP8" s="40"/>
      <c r="CQ8" s="40"/>
      <c r="CX8" t="s">
        <v>208</v>
      </c>
      <c r="CY8" s="5"/>
      <c r="CZ8" s="5"/>
      <c r="DA8" s="5"/>
      <c r="DB8" s="5"/>
      <c r="DC8" s="5"/>
      <c r="DD8" s="5"/>
      <c r="DE8" s="5"/>
      <c r="DF8" s="5"/>
      <c r="DG8" s="5"/>
      <c r="DH8" s="5"/>
      <c r="DI8" s="5"/>
      <c r="DJ8" s="5"/>
    </row>
    <row r="9" spans="1:114">
      <c r="C9" s="13" t="s">
        <v>2990</v>
      </c>
      <c r="D9" s="12">
        <f>GETPIVOTDATA("Sum of Net Revenue",$A$3)</f>
        <v>39764007.5</v>
      </c>
      <c r="E9" t="str">
        <f>IF(D9&gt;=1000000000, "$" &amp; TEXT(D9/1000000000, "0.0") &amp; "B", IF(D9&gt;=1000000, "$" &amp;TEXT(D9/1000000, "0.0") &amp; "M", IF(D9&gt;=1000, "$" &amp;TEXT(D9/1000, "0.0") &amp; "K", "$" &amp;TEXT(D9, "0.0"))))</f>
        <v>$39.8M</v>
      </c>
      <c r="F9" t="s">
        <v>3110</v>
      </c>
      <c r="I9" t="s">
        <v>3118</v>
      </c>
      <c r="J9">
        <v>5</v>
      </c>
      <c r="K9" t="s">
        <v>3118</v>
      </c>
      <c r="L9" s="5">
        <v>2862620</v>
      </c>
      <c r="M9" s="5">
        <v>606430</v>
      </c>
      <c r="N9" s="18">
        <f t="shared" si="0"/>
        <v>0.2118443942961343</v>
      </c>
      <c r="O9" s="18">
        <f t="shared" si="10"/>
        <v>-7.09911500404041E-2</v>
      </c>
      <c r="Q9" t="s">
        <v>3118</v>
      </c>
      <c r="S9" t="s">
        <v>3134</v>
      </c>
      <c r="AG9" t="s">
        <v>3118</v>
      </c>
      <c r="AH9" s="28">
        <v>2862620</v>
      </c>
      <c r="AI9" s="28">
        <v>606430</v>
      </c>
      <c r="AJ9" s="8">
        <v>0.2118443942961343</v>
      </c>
      <c r="AN9" t="s">
        <v>146</v>
      </c>
      <c r="AO9" s="28">
        <v>905972.5</v>
      </c>
      <c r="AP9" s="28">
        <v>4532182.5</v>
      </c>
      <c r="AQ9" s="25">
        <f t="shared" si="1"/>
        <v>0.19989762106887796</v>
      </c>
      <c r="AU9" t="s">
        <v>144</v>
      </c>
      <c r="AV9" s="28">
        <v>3453775</v>
      </c>
      <c r="AW9" s="28">
        <v>715165</v>
      </c>
      <c r="BI9" t="s">
        <v>121</v>
      </c>
      <c r="BJ9" s="28">
        <v>350000</v>
      </c>
      <c r="BK9" s="28">
        <v>101800</v>
      </c>
      <c r="BL9" s="5">
        <v>146</v>
      </c>
      <c r="BN9" s="8">
        <f t="shared" si="2"/>
        <v>0.29085714285714287</v>
      </c>
      <c r="BO9" t="str">
        <f>_xlfn.XLOOKUP(BI9,ProductMasterTable[Product Name],ProductMasterTable[Stock status],)</f>
        <v>overStocked</v>
      </c>
      <c r="BP9" s="28">
        <f t="shared" si="3"/>
        <v>350000</v>
      </c>
      <c r="BQ9" s="8" t="e">
        <f t="shared" si="4"/>
        <v>#N/A</v>
      </c>
      <c r="BR9" t="e">
        <f t="shared" si="5"/>
        <v>#N/A</v>
      </c>
      <c r="BS9" s="8" t="e">
        <f t="shared" si="6"/>
        <v>#N/A</v>
      </c>
      <c r="BT9" t="e">
        <f t="shared" si="7"/>
        <v>#N/A</v>
      </c>
      <c r="BU9" s="8">
        <f t="shared" si="8"/>
        <v>0.29085714285714287</v>
      </c>
      <c r="BV9">
        <f t="shared" si="9"/>
        <v>146</v>
      </c>
      <c r="CA9" t="s">
        <v>96</v>
      </c>
      <c r="CB9" s="28">
        <v>6806100</v>
      </c>
      <c r="CE9" t="s">
        <v>3174</v>
      </c>
      <c r="CF9" s="33">
        <f>CE5-CF8</f>
        <v>14878577.5</v>
      </c>
      <c r="CX9" t="s">
        <v>178</v>
      </c>
      <c r="CY9" s="5"/>
      <c r="CZ9" s="5"/>
      <c r="DA9" s="5"/>
      <c r="DB9" s="5"/>
      <c r="DC9" s="5"/>
      <c r="DD9" s="5"/>
      <c r="DE9" s="5"/>
      <c r="DF9" s="5"/>
      <c r="DG9" s="5"/>
      <c r="DH9" s="5"/>
      <c r="DI9" s="5"/>
      <c r="DJ9" s="5"/>
    </row>
    <row r="10" spans="1:114">
      <c r="C10" s="13" t="s">
        <v>3101</v>
      </c>
      <c r="D10" s="12">
        <f>GETPIVOTDATA("Sum of Profit",$A$3)</f>
        <v>8091717.5</v>
      </c>
      <c r="E10" t="str">
        <f t="shared" ref="E10:E12" si="11">IF(D10&gt;=1000000000, "$" &amp; TEXT(D10/1000000000, "0.0") &amp; "B", IF(D10&gt;=1000000, "$" &amp;TEXT(D10/1000000, "0.0") &amp; "M", IF(D10&gt;=1000, "$" &amp;TEXT(D10/1000, "0.0") &amp; "K", "$" &amp;TEXT(D10, "0.0"))))</f>
        <v>$8.1M</v>
      </c>
      <c r="F10" t="s">
        <v>3111</v>
      </c>
      <c r="I10" t="s">
        <v>3119</v>
      </c>
      <c r="J10">
        <v>6</v>
      </c>
      <c r="K10" t="s">
        <v>3119</v>
      </c>
      <c r="L10" s="5">
        <v>2994527.5</v>
      </c>
      <c r="M10" s="5">
        <v>691147.5</v>
      </c>
      <c r="N10" s="18">
        <f t="shared" si="0"/>
        <v>0.23080352409520366</v>
      </c>
      <c r="O10" s="18">
        <f t="shared" si="10"/>
        <v>4.6079290999154622E-2</v>
      </c>
      <c r="Q10" t="s">
        <v>3119</v>
      </c>
      <c r="S10" t="str">
        <f>IFERROR(MATCH(R21,K5:K16,0)-1,"No selection")</f>
        <v>No selection</v>
      </c>
      <c r="AG10" t="s">
        <v>3119</v>
      </c>
      <c r="AH10" s="28">
        <v>2994527.5</v>
      </c>
      <c r="AI10" s="28">
        <v>691147.5</v>
      </c>
      <c r="AJ10" s="8">
        <v>0.23080352409520366</v>
      </c>
      <c r="AN10" t="s">
        <v>134</v>
      </c>
      <c r="AO10" s="28">
        <v>875462.5</v>
      </c>
      <c r="AP10" s="28">
        <v>4472122.5</v>
      </c>
      <c r="AQ10" s="25">
        <f t="shared" si="1"/>
        <v>0.19575995514434141</v>
      </c>
      <c r="BI10" t="s">
        <v>37</v>
      </c>
      <c r="BJ10" s="28">
        <v>804540</v>
      </c>
      <c r="BK10" s="28">
        <v>149490</v>
      </c>
      <c r="BL10" s="5">
        <v>397</v>
      </c>
      <c r="BN10" s="8">
        <f t="shared" si="2"/>
        <v>0.18580803937653814</v>
      </c>
      <c r="BO10" t="str">
        <f>_xlfn.XLOOKUP(BI10,ProductMasterTable[Product Name],ProductMasterTable[Stock status],)</f>
        <v>underStocked</v>
      </c>
      <c r="BP10" s="28">
        <f t="shared" si="3"/>
        <v>804540</v>
      </c>
      <c r="BQ10" s="8">
        <f t="shared" si="4"/>
        <v>0.18580803937653814</v>
      </c>
      <c r="BR10">
        <f t="shared" si="5"/>
        <v>397</v>
      </c>
      <c r="BS10" s="8" t="e">
        <f t="shared" si="6"/>
        <v>#N/A</v>
      </c>
      <c r="BT10" t="e">
        <f t="shared" si="7"/>
        <v>#N/A</v>
      </c>
      <c r="BU10" s="8" t="e">
        <f t="shared" si="8"/>
        <v>#N/A</v>
      </c>
      <c r="BV10" t="e">
        <f t="shared" si="9"/>
        <v>#N/A</v>
      </c>
      <c r="CO10" s="38" t="s">
        <v>3179</v>
      </c>
      <c r="CP10" s="38"/>
      <c r="CQ10" s="38"/>
      <c r="CR10" s="38"/>
      <c r="CX10" t="s">
        <v>187</v>
      </c>
      <c r="CY10" s="5"/>
      <c r="CZ10" s="5"/>
      <c r="DA10" s="5"/>
      <c r="DB10" s="5"/>
      <c r="DC10" s="5"/>
      <c r="DD10" s="5"/>
      <c r="DE10" s="5"/>
      <c r="DF10" s="5"/>
      <c r="DG10" s="5"/>
      <c r="DH10" s="5"/>
      <c r="DI10" s="5"/>
      <c r="DJ10" s="5"/>
    </row>
    <row r="11" spans="1:114">
      <c r="C11" s="13" t="s">
        <v>3102</v>
      </c>
      <c r="D11">
        <f>GETPIVOTDATA("Count of Product Name",$A$3)</f>
        <v>2801</v>
      </c>
      <c r="E11" t="str">
        <f t="shared" si="11"/>
        <v>$2.8K</v>
      </c>
      <c r="F11" t="s">
        <v>3112</v>
      </c>
      <c r="I11" t="s">
        <v>3120</v>
      </c>
      <c r="J11">
        <v>7</v>
      </c>
      <c r="K11" t="s">
        <v>3120</v>
      </c>
      <c r="L11" s="5">
        <v>3453750</v>
      </c>
      <c r="M11" s="5">
        <v>671270</v>
      </c>
      <c r="N11" s="18">
        <f t="shared" si="0"/>
        <v>0.19435975389069851</v>
      </c>
      <c r="O11" s="18">
        <f t="shared" si="10"/>
        <v>0.15335390975704849</v>
      </c>
      <c r="Q11" t="s">
        <v>3120</v>
      </c>
      <c r="S11" s="19"/>
      <c r="AG11" t="s">
        <v>3120</v>
      </c>
      <c r="AH11" s="28">
        <v>3453750</v>
      </c>
      <c r="AI11" s="28">
        <v>671270</v>
      </c>
      <c r="AJ11" s="8">
        <v>0.19435975389069851</v>
      </c>
      <c r="AN11" t="s">
        <v>142</v>
      </c>
      <c r="AO11" s="28">
        <v>715165</v>
      </c>
      <c r="AP11" s="28">
        <v>3453775</v>
      </c>
      <c r="AQ11" s="25">
        <f t="shared" si="1"/>
        <v>0.20706762889881361</v>
      </c>
      <c r="BI11" t="s">
        <v>79</v>
      </c>
      <c r="BJ11" s="28">
        <v>755820</v>
      </c>
      <c r="BK11" s="28">
        <v>239820</v>
      </c>
      <c r="BL11" s="5">
        <v>430</v>
      </c>
      <c r="BN11" s="8">
        <f t="shared" si="2"/>
        <v>0.31729776931015319</v>
      </c>
      <c r="BO11" t="str">
        <f>_xlfn.XLOOKUP(BI11,ProductMasterTable[Product Name],ProductMasterTable[Stock status],)</f>
        <v>Health</v>
      </c>
      <c r="BP11" s="28">
        <f t="shared" si="3"/>
        <v>755820</v>
      </c>
      <c r="BQ11" s="8" t="e">
        <f t="shared" si="4"/>
        <v>#N/A</v>
      </c>
      <c r="BR11" t="e">
        <f t="shared" si="5"/>
        <v>#N/A</v>
      </c>
      <c r="BS11" s="8">
        <f t="shared" si="6"/>
        <v>0.31729776931015319</v>
      </c>
      <c r="BT11">
        <f t="shared" si="7"/>
        <v>430</v>
      </c>
      <c r="BU11" s="8" t="e">
        <f t="shared" si="8"/>
        <v>#N/A</v>
      </c>
      <c r="BV11" t="e">
        <f t="shared" si="9"/>
        <v>#N/A</v>
      </c>
      <c r="CO11" s="38">
        <f>SUMIFS(Sales_Clean_Reference!X:X, Sales_Clean_Reference!X:X, "&lt;0", Sales_Clean_Reference!Q:Q, "&gt;0")</f>
        <v>-63805</v>
      </c>
      <c r="CP11" s="38"/>
      <c r="CQ11" s="38"/>
      <c r="CR11" s="38"/>
      <c r="CX11" t="s">
        <v>192</v>
      </c>
      <c r="CY11" s="5"/>
      <c r="CZ11" s="5"/>
      <c r="DA11" s="5"/>
      <c r="DB11" s="5"/>
      <c r="DC11" s="5"/>
      <c r="DD11" s="5"/>
      <c r="DE11" s="5"/>
      <c r="DF11" s="5"/>
      <c r="DG11" s="5"/>
      <c r="DH11" s="5"/>
      <c r="DI11" s="5"/>
      <c r="DJ11" s="5"/>
    </row>
    <row r="12" spans="1:114">
      <c r="C12" s="13" t="s">
        <v>3103</v>
      </c>
      <c r="D12" s="11">
        <f>D10/D9</f>
        <v>0.20349351106022198</v>
      </c>
      <c r="E12" t="str">
        <f t="shared" si="11"/>
        <v>$0.2</v>
      </c>
      <c r="F12" t="s">
        <v>3113</v>
      </c>
      <c r="I12" t="s">
        <v>3121</v>
      </c>
      <c r="J12">
        <v>8</v>
      </c>
      <c r="K12" t="s">
        <v>3121</v>
      </c>
      <c r="L12" s="5">
        <v>3257970</v>
      </c>
      <c r="M12" s="5">
        <v>630800</v>
      </c>
      <c r="N12" s="18">
        <f t="shared" si="0"/>
        <v>0.19361749801256611</v>
      </c>
      <c r="O12" s="18">
        <f t="shared" si="10"/>
        <v>-5.6686210640608033E-2</v>
      </c>
      <c r="Q12" t="s">
        <v>3121</v>
      </c>
      <c r="AG12" t="s">
        <v>3121</v>
      </c>
      <c r="AH12" s="28">
        <v>3257970</v>
      </c>
      <c r="AI12" s="28">
        <v>630800</v>
      </c>
      <c r="AJ12" s="8">
        <v>0.19361749801256611</v>
      </c>
      <c r="AN12" t="s">
        <v>154</v>
      </c>
      <c r="AO12" s="28">
        <v>511290</v>
      </c>
      <c r="AP12" s="28">
        <v>2735080</v>
      </c>
      <c r="AQ12" s="25">
        <f t="shared" si="1"/>
        <v>0.18693785922166811</v>
      </c>
      <c r="BI12" t="s">
        <v>74</v>
      </c>
      <c r="BJ12" s="28">
        <v>1285700</v>
      </c>
      <c r="BK12" s="28">
        <v>358200</v>
      </c>
      <c r="BL12" s="5">
        <v>265</v>
      </c>
      <c r="BN12" s="8">
        <f t="shared" si="2"/>
        <v>0.278603095589951</v>
      </c>
      <c r="BO12" t="str">
        <f>_xlfn.XLOOKUP(BI12,ProductMasterTable[Product Name],ProductMasterTable[Stock status],)</f>
        <v>Health</v>
      </c>
      <c r="BP12" s="28">
        <f t="shared" si="3"/>
        <v>1285700</v>
      </c>
      <c r="BQ12" s="8" t="e">
        <f t="shared" si="4"/>
        <v>#N/A</v>
      </c>
      <c r="BR12" t="e">
        <f t="shared" si="5"/>
        <v>#N/A</v>
      </c>
      <c r="BS12" s="8">
        <f t="shared" si="6"/>
        <v>0.278603095589951</v>
      </c>
      <c r="BT12">
        <f t="shared" si="7"/>
        <v>265</v>
      </c>
      <c r="BU12" s="8" t="e">
        <f t="shared" si="8"/>
        <v>#N/A</v>
      </c>
      <c r="BV12" t="e">
        <f t="shared" si="9"/>
        <v>#N/A</v>
      </c>
      <c r="CO12" s="38" t="s">
        <v>3180</v>
      </c>
      <c r="CP12" s="38"/>
      <c r="CQ12" s="38"/>
      <c r="CR12" s="38"/>
      <c r="CS12" s="38"/>
      <c r="CT12" t="s">
        <v>3182</v>
      </c>
      <c r="CX12" t="s">
        <v>217</v>
      </c>
      <c r="CY12" s="5"/>
      <c r="CZ12" s="5"/>
      <c r="DA12" s="5"/>
      <c r="DB12" s="5"/>
      <c r="DC12" s="5"/>
      <c r="DD12" s="5"/>
      <c r="DE12" s="5"/>
      <c r="DF12" s="5"/>
      <c r="DG12" s="5"/>
      <c r="DH12" s="5"/>
      <c r="DI12" s="5"/>
      <c r="DJ12" s="5"/>
    </row>
    <row r="13" spans="1:114">
      <c r="C13" s="13" t="s">
        <v>3109</v>
      </c>
      <c r="D13" s="12">
        <f>GETPIVOTDATA("Sum of Total Cost",$A$3)</f>
        <v>31672290</v>
      </c>
      <c r="E13" t="str">
        <f>IF(D13&gt;=1000000000, "$" &amp; TEXT(D13/1000000000, "0.0") &amp; "B", IF(D13&gt;=1000000, "$" &amp;TEXT(D13/1000000, "0.0") &amp; "M", IF(D13&gt;=1000, "$" &amp;TEXT(D13/1000, "0.0") &amp; "K", "$" &amp;TEXT(D13, "0.0"))))</f>
        <v>$31.7M</v>
      </c>
      <c r="I13" t="s">
        <v>3122</v>
      </c>
      <c r="J13">
        <v>9</v>
      </c>
      <c r="K13" t="s">
        <v>3122</v>
      </c>
      <c r="L13" s="5">
        <v>3195660</v>
      </c>
      <c r="M13" s="5">
        <v>693190</v>
      </c>
      <c r="N13" s="18">
        <f t="shared" si="0"/>
        <v>0.21691606741643354</v>
      </c>
      <c r="O13" s="18">
        <f t="shared" si="10"/>
        <v>-1.9125406311292E-2</v>
      </c>
      <c r="Q13" t="s">
        <v>3122</v>
      </c>
      <c r="S13">
        <f xml:space="preserve"> COUNTA(Q5:Q16)</f>
        <v>12</v>
      </c>
      <c r="AG13" t="s">
        <v>3122</v>
      </c>
      <c r="AH13" s="28">
        <v>3195660</v>
      </c>
      <c r="AI13" s="28">
        <v>693190</v>
      </c>
      <c r="AJ13" s="8">
        <v>0.21691606741643354</v>
      </c>
      <c r="AN13" t="s">
        <v>3189</v>
      </c>
      <c r="AQ13" s="8">
        <f>AVERAGE(AQ5:AQ12)</f>
        <v>0.20221907698914171</v>
      </c>
      <c r="BI13" t="s">
        <v>25</v>
      </c>
      <c r="BJ13" s="28">
        <v>7868875</v>
      </c>
      <c r="BK13" s="28">
        <v>865375</v>
      </c>
      <c r="BL13" s="5">
        <v>483</v>
      </c>
      <c r="BN13" s="8">
        <f t="shared" si="2"/>
        <v>0.10997442455242967</v>
      </c>
      <c r="BO13" t="str">
        <f>_xlfn.XLOOKUP(BI13,ProductMasterTable[Product Name],ProductMasterTable[Stock status],)</f>
        <v>underStocked</v>
      </c>
      <c r="BP13" s="28">
        <f t="shared" si="3"/>
        <v>7868875</v>
      </c>
      <c r="BQ13" s="8">
        <f t="shared" si="4"/>
        <v>0.10997442455242967</v>
      </c>
      <c r="BR13">
        <f t="shared" si="5"/>
        <v>483</v>
      </c>
      <c r="BS13" s="8" t="e">
        <f t="shared" si="6"/>
        <v>#N/A</v>
      </c>
      <c r="BT13" t="e">
        <f t="shared" si="7"/>
        <v>#N/A</v>
      </c>
      <c r="BU13" s="8" t="e">
        <f t="shared" si="8"/>
        <v>#N/A</v>
      </c>
      <c r="BV13" t="e">
        <f t="shared" si="9"/>
        <v>#N/A</v>
      </c>
      <c r="CO13" s="38">
        <f>COUNTIFS(Sales_Clean_Reference!X:X, "&lt;0", Sales_Clean_Reference!Q:Q, "&gt;0")</f>
        <v>48</v>
      </c>
      <c r="CP13" s="38"/>
      <c r="CQ13" s="38"/>
      <c r="CR13" s="38"/>
      <c r="CS13" s="38"/>
      <c r="CT13">
        <f>COUNTA(Sales_Clean_Reference!A:A)</f>
        <v>2802</v>
      </c>
      <c r="CX13" t="s">
        <v>204</v>
      </c>
      <c r="CY13" s="5"/>
      <c r="CZ13" s="5"/>
      <c r="DA13" s="5"/>
      <c r="DB13" s="5"/>
      <c r="DC13" s="5"/>
      <c r="DD13" s="5"/>
      <c r="DE13" s="5"/>
      <c r="DF13" s="5"/>
      <c r="DG13" s="5"/>
      <c r="DH13" s="5"/>
      <c r="DI13" s="5"/>
      <c r="DJ13" s="5"/>
    </row>
    <row r="14" spans="1:114">
      <c r="C14" s="17" t="s">
        <v>3127</v>
      </c>
      <c r="D14" s="16">
        <f>D9/12</f>
        <v>3313667.2916666665</v>
      </c>
      <c r="E14" t="str">
        <f>IF(D14&gt;=1000000000, "$" &amp; TEXT(D14/1000000000, "0.0") &amp; "B", IF(D14&gt;=1000000, "$" &amp;TEXT(D14/1000000, "0.0") &amp; "M", IF(D14&gt;=1000, "$" &amp;TEXT(D14/1000, "0.0") &amp; "K", "$" &amp;TEXT(D14, "0.0"))))</f>
        <v>$3.3M</v>
      </c>
      <c r="I14" t="s">
        <v>3123</v>
      </c>
      <c r="J14">
        <v>10</v>
      </c>
      <c r="K14" t="s">
        <v>3123</v>
      </c>
      <c r="L14" s="5">
        <v>3749885</v>
      </c>
      <c r="M14" s="5">
        <v>752445</v>
      </c>
      <c r="N14" s="18">
        <f t="shared" si="0"/>
        <v>0.20065815351670785</v>
      </c>
      <c r="O14" s="18">
        <f t="shared" si="10"/>
        <v>0.17343052765312955</v>
      </c>
      <c r="Q14" t="s">
        <v>3123</v>
      </c>
      <c r="AG14" t="s">
        <v>3123</v>
      </c>
      <c r="AH14" s="28">
        <v>3749885</v>
      </c>
      <c r="AI14" s="28">
        <v>752445</v>
      </c>
      <c r="AJ14" s="8">
        <v>0.20065815351670785</v>
      </c>
      <c r="BI14" t="s">
        <v>70</v>
      </c>
      <c r="BJ14" s="28">
        <v>318240</v>
      </c>
      <c r="BK14" s="28">
        <v>90440</v>
      </c>
      <c r="BL14" s="5">
        <v>134</v>
      </c>
      <c r="BN14" s="8">
        <f t="shared" si="2"/>
        <v>0.28418803418803418</v>
      </c>
      <c r="BO14" t="str">
        <f>_xlfn.XLOOKUP(BI14,ProductMasterTable[Product Name],ProductMasterTable[Stock status],)</f>
        <v>overStocked</v>
      </c>
      <c r="BP14" s="28">
        <f t="shared" si="3"/>
        <v>318240</v>
      </c>
      <c r="BQ14" s="8" t="e">
        <f t="shared" si="4"/>
        <v>#N/A</v>
      </c>
      <c r="BR14" t="e">
        <f t="shared" si="5"/>
        <v>#N/A</v>
      </c>
      <c r="BS14" s="8" t="e">
        <f t="shared" si="6"/>
        <v>#N/A</v>
      </c>
      <c r="BT14" t="e">
        <f t="shared" si="7"/>
        <v>#N/A</v>
      </c>
      <c r="BU14" s="8">
        <f t="shared" si="8"/>
        <v>0.28418803418803418</v>
      </c>
      <c r="BV14">
        <f t="shared" si="9"/>
        <v>134</v>
      </c>
      <c r="CO14" s="38" t="s">
        <v>3181</v>
      </c>
      <c r="CP14" s="38"/>
      <c r="CQ14" s="38"/>
      <c r="CR14" s="38"/>
      <c r="CS14" s="38"/>
      <c r="CX14" t="s">
        <v>168</v>
      </c>
      <c r="CY14" s="5"/>
      <c r="CZ14" s="5"/>
      <c r="DA14" s="5"/>
      <c r="DB14" s="5"/>
      <c r="DC14" s="5"/>
      <c r="DD14" s="5"/>
      <c r="DE14" s="5"/>
      <c r="DF14" s="5"/>
      <c r="DG14" s="5"/>
      <c r="DH14" s="5"/>
      <c r="DI14" s="5"/>
      <c r="DJ14" s="5"/>
    </row>
    <row r="15" spans="1:114">
      <c r="C15" s="13" t="s">
        <v>3129</v>
      </c>
      <c r="D15" s="16">
        <f>D9/D16</f>
        <v>3313667.2916666665</v>
      </c>
      <c r="E15" t="str">
        <f>IF(D15&gt;=1000000000, "$" &amp; TEXT(D15/1000000000, "0.0") &amp; "B", IF(D15&gt;=1000000, "$" &amp;TEXT(D15/1000000, "0.0") &amp; "M", IF(D15&gt;=1000, "$" &amp;TEXT(D15/1000, "0.0") &amp; "K", "$" &amp;TEXT(D15, "0.0"))))</f>
        <v>$3.3M</v>
      </c>
      <c r="I15" t="s">
        <v>3124</v>
      </c>
      <c r="J15">
        <v>11</v>
      </c>
      <c r="K15" t="s">
        <v>3124</v>
      </c>
      <c r="L15" s="5">
        <v>3305695</v>
      </c>
      <c r="M15" s="5">
        <v>666675</v>
      </c>
      <c r="N15" s="18">
        <f t="shared" si="0"/>
        <v>0.20167468565611771</v>
      </c>
      <c r="O15" s="18">
        <f t="shared" si="10"/>
        <v>-0.11845429926517746</v>
      </c>
      <c r="Q15" t="s">
        <v>3124</v>
      </c>
      <c r="AG15" t="s">
        <v>3124</v>
      </c>
      <c r="AH15" s="28">
        <v>3305695</v>
      </c>
      <c r="AI15" s="28">
        <v>666675</v>
      </c>
      <c r="AJ15" s="8">
        <v>0.20167468565611771</v>
      </c>
      <c r="BI15" t="s">
        <v>104</v>
      </c>
      <c r="BJ15" s="28">
        <v>977125</v>
      </c>
      <c r="BK15" s="28">
        <v>335125</v>
      </c>
      <c r="BL15" s="5">
        <v>428</v>
      </c>
      <c r="BN15" s="8">
        <f t="shared" si="2"/>
        <v>0.3429704490213637</v>
      </c>
      <c r="BO15" t="str">
        <f>_xlfn.XLOOKUP(BI15,ProductMasterTable[Product Name],ProductMasterTable[Stock status],)</f>
        <v>Health</v>
      </c>
      <c r="BP15" s="28">
        <f t="shared" si="3"/>
        <v>977125</v>
      </c>
      <c r="BQ15" s="8" t="e">
        <f t="shared" si="4"/>
        <v>#N/A</v>
      </c>
      <c r="BR15" t="e">
        <f t="shared" si="5"/>
        <v>#N/A</v>
      </c>
      <c r="BS15" s="8">
        <f t="shared" si="6"/>
        <v>0.3429704490213637</v>
      </c>
      <c r="BT15">
        <f t="shared" si="7"/>
        <v>428</v>
      </c>
      <c r="BU15" s="8" t="e">
        <f t="shared" si="8"/>
        <v>#N/A</v>
      </c>
      <c r="BV15" t="e">
        <f t="shared" si="9"/>
        <v>#N/A</v>
      </c>
      <c r="CO15" s="39">
        <f>CO13/CT13</f>
        <v>1.7130620985010708E-2</v>
      </c>
      <c r="CP15" s="39"/>
      <c r="CQ15" s="39"/>
      <c r="CR15" s="39"/>
      <c r="CS15" s="39"/>
      <c r="CX15" t="s">
        <v>184</v>
      </c>
      <c r="CY15" s="5"/>
      <c r="CZ15" s="5"/>
      <c r="DA15" s="5"/>
      <c r="DB15" s="5"/>
      <c r="DC15" s="5"/>
      <c r="DD15" s="5"/>
      <c r="DE15" s="5"/>
      <c r="DF15" s="5"/>
      <c r="DG15" s="5"/>
      <c r="DH15" s="5"/>
      <c r="DI15" s="5"/>
      <c r="DJ15" s="5"/>
    </row>
    <row r="16" spans="1:114">
      <c r="C16" s="13" t="s">
        <v>3128</v>
      </c>
      <c r="D16">
        <f>COUNTA(I5:I16)</f>
        <v>12</v>
      </c>
      <c r="E16" t="str">
        <f t="shared" ref="E16:E17" si="12">IF(D16&gt;=1000000000, "$" &amp; TEXT(D16/1000000000, "0.0") &amp; "B", IF(D16&gt;=1000000, "$" &amp;TEXT(D16/1000000, "0.0") &amp; "M", IF(D16&gt;=1000, "$" &amp;TEXT(D16/1000, "0.0") &amp; "K", "$" &amp;TEXT(D16, "0.0"))))</f>
        <v>$12.0</v>
      </c>
      <c r="I16" t="s">
        <v>3125</v>
      </c>
      <c r="J16">
        <v>12</v>
      </c>
      <c r="K16" t="s">
        <v>3125</v>
      </c>
      <c r="L16" s="5">
        <v>3462140</v>
      </c>
      <c r="M16" s="5">
        <v>683580</v>
      </c>
      <c r="N16" s="18">
        <f t="shared" si="0"/>
        <v>0.19744435522538084</v>
      </c>
      <c r="O16" s="18">
        <f t="shared" si="10"/>
        <v>4.7325902722422972E-2</v>
      </c>
      <c r="Q16" t="s">
        <v>3125</v>
      </c>
      <c r="AG16" t="s">
        <v>3125</v>
      </c>
      <c r="AH16" s="28">
        <v>3462140</v>
      </c>
      <c r="AI16" s="28">
        <v>683580</v>
      </c>
      <c r="AJ16" s="8">
        <v>0.19744435522538084</v>
      </c>
      <c r="AO16" s="25">
        <f>SUM(AO5:AO7)/SUM(AO5:AO12)</f>
        <v>0.50570289929177581</v>
      </c>
      <c r="AP16" s="25">
        <f>SUM(AP5:AP7)/SUM(AP5:AP12)</f>
        <v>0.49814357871248266</v>
      </c>
      <c r="BI16" t="s">
        <v>30</v>
      </c>
      <c r="BJ16" s="28">
        <v>2005020</v>
      </c>
      <c r="BK16" s="28">
        <v>318620</v>
      </c>
      <c r="BL16" s="5">
        <v>272</v>
      </c>
      <c r="BN16" s="8">
        <f t="shared" si="2"/>
        <v>0.15891113305602936</v>
      </c>
      <c r="BO16" t="str">
        <f>_xlfn.XLOOKUP(BI16,ProductMasterTable[Product Name],ProductMasterTable[Stock status],)</f>
        <v>Health</v>
      </c>
      <c r="BP16" s="28">
        <f t="shared" si="3"/>
        <v>2005020</v>
      </c>
      <c r="BQ16" s="8" t="e">
        <f t="shared" si="4"/>
        <v>#N/A</v>
      </c>
      <c r="BR16" t="e">
        <f t="shared" si="5"/>
        <v>#N/A</v>
      </c>
      <c r="BS16" s="8">
        <f t="shared" si="6"/>
        <v>0.15891113305602936</v>
      </c>
      <c r="BT16">
        <f t="shared" si="7"/>
        <v>272</v>
      </c>
      <c r="BU16" s="8" t="e">
        <f t="shared" si="8"/>
        <v>#N/A</v>
      </c>
      <c r="BV16" t="e">
        <f t="shared" si="9"/>
        <v>#N/A</v>
      </c>
      <c r="CQ16" s="34"/>
      <c r="CS16">
        <f>100-1.7</f>
        <v>98.3</v>
      </c>
      <c r="CX16" t="s">
        <v>197</v>
      </c>
      <c r="CY16" s="5"/>
      <c r="CZ16" s="5"/>
      <c r="DA16" s="5"/>
      <c r="DB16" s="5"/>
      <c r="DC16" s="5"/>
      <c r="DD16" s="5"/>
      <c r="DE16" s="5"/>
      <c r="DF16" s="5"/>
      <c r="DG16" s="5"/>
      <c r="DH16" s="5"/>
      <c r="DI16" s="5"/>
      <c r="DJ16" s="5"/>
    </row>
    <row r="17" spans="3:114">
      <c r="C17" s="13" t="s">
        <v>3144</v>
      </c>
      <c r="D17">
        <f>B4/D16</f>
        <v>674309.79166666663</v>
      </c>
      <c r="E17" t="str">
        <f t="shared" si="12"/>
        <v>$674.3K</v>
      </c>
      <c r="BI17" t="s">
        <v>50</v>
      </c>
      <c r="BJ17" s="28">
        <v>442297.5</v>
      </c>
      <c r="BK17" s="28">
        <v>134297.5</v>
      </c>
      <c r="BL17" s="5">
        <v>560</v>
      </c>
      <c r="BN17" s="8">
        <f t="shared" si="2"/>
        <v>0.30363612726728051</v>
      </c>
      <c r="BO17" t="str">
        <f>_xlfn.XLOOKUP(BI17,ProductMasterTable[Product Name],ProductMasterTable[Stock status],)</f>
        <v>Health</v>
      </c>
      <c r="BP17" s="28">
        <f t="shared" si="3"/>
        <v>442297.5</v>
      </c>
      <c r="BQ17" s="8" t="e">
        <f t="shared" si="4"/>
        <v>#N/A</v>
      </c>
      <c r="BR17" t="e">
        <f t="shared" si="5"/>
        <v>#N/A</v>
      </c>
      <c r="BS17" s="8">
        <f t="shared" si="6"/>
        <v>0.30363612726728051</v>
      </c>
      <c r="BT17">
        <f t="shared" si="7"/>
        <v>560</v>
      </c>
      <c r="BU17" s="8" t="e">
        <f t="shared" si="8"/>
        <v>#N/A</v>
      </c>
      <c r="BV17" t="e">
        <f t="shared" si="9"/>
        <v>#N/A</v>
      </c>
      <c r="CX17" t="s">
        <v>235</v>
      </c>
      <c r="CY17" s="5"/>
      <c r="CZ17" s="5"/>
      <c r="DA17" s="5"/>
      <c r="DB17" s="5"/>
      <c r="DC17" s="5"/>
      <c r="DD17" s="5"/>
      <c r="DE17" s="5"/>
      <c r="DF17" s="5"/>
      <c r="DG17" s="5"/>
      <c r="DH17" s="5"/>
      <c r="DI17" s="5"/>
      <c r="DJ17" s="5"/>
    </row>
    <row r="18" spans="3:114">
      <c r="BI18" t="s">
        <v>108</v>
      </c>
      <c r="BJ18" s="28">
        <v>1046850</v>
      </c>
      <c r="BK18" s="28">
        <v>157650</v>
      </c>
      <c r="BL18" s="5">
        <v>171</v>
      </c>
      <c r="BN18" s="8">
        <f t="shared" si="2"/>
        <v>0.1505946410660553</v>
      </c>
      <c r="BO18" t="str">
        <f>_xlfn.XLOOKUP(BI18,ProductMasterTable[Product Name],ProductMasterTable[Stock status],)</f>
        <v>overStocked</v>
      </c>
      <c r="BP18" s="28">
        <f t="shared" si="3"/>
        <v>1046850</v>
      </c>
      <c r="BQ18" s="8" t="e">
        <f t="shared" si="4"/>
        <v>#N/A</v>
      </c>
      <c r="BR18" t="e">
        <f t="shared" si="5"/>
        <v>#N/A</v>
      </c>
      <c r="BS18" s="8" t="e">
        <f t="shared" si="6"/>
        <v>#N/A</v>
      </c>
      <c r="BT18" t="e">
        <f t="shared" si="7"/>
        <v>#N/A</v>
      </c>
      <c r="BU18" s="8">
        <f t="shared" si="8"/>
        <v>0.1505946410660553</v>
      </c>
      <c r="BV18">
        <f t="shared" si="9"/>
        <v>171</v>
      </c>
      <c r="CX18" t="s">
        <v>220</v>
      </c>
      <c r="CY18" s="5"/>
      <c r="CZ18" s="5"/>
      <c r="DA18" s="5"/>
      <c r="DB18" s="5"/>
      <c r="DC18" s="5"/>
      <c r="DD18" s="5"/>
      <c r="DE18" s="5"/>
      <c r="DF18" s="5"/>
      <c r="DG18" s="5"/>
      <c r="DH18" s="5"/>
      <c r="DI18" s="5"/>
      <c r="DJ18" s="5"/>
    </row>
    <row r="19" spans="3:114">
      <c r="Z19" s="21"/>
      <c r="BI19" t="s">
        <v>91</v>
      </c>
      <c r="BJ19" s="28">
        <v>1185450</v>
      </c>
      <c r="BK19" s="28">
        <v>195450</v>
      </c>
      <c r="BL19" s="5">
        <v>132</v>
      </c>
      <c r="BN19" s="8">
        <f t="shared" si="2"/>
        <v>0.16487409844362899</v>
      </c>
      <c r="BO19" t="str">
        <f>_xlfn.XLOOKUP(BI19,ProductMasterTable[Product Name],ProductMasterTable[Stock status],)</f>
        <v>Health</v>
      </c>
      <c r="BP19" s="28">
        <f t="shared" si="3"/>
        <v>1185450</v>
      </c>
      <c r="BQ19" s="8" t="e">
        <f t="shared" si="4"/>
        <v>#N/A</v>
      </c>
      <c r="BR19" t="e">
        <f t="shared" si="5"/>
        <v>#N/A</v>
      </c>
      <c r="BS19" s="8">
        <f t="shared" si="6"/>
        <v>0.16487409844362899</v>
      </c>
      <c r="BT19">
        <f t="shared" si="7"/>
        <v>132</v>
      </c>
      <c r="BU19" s="8" t="e">
        <f t="shared" si="8"/>
        <v>#N/A</v>
      </c>
      <c r="BV19" t="e">
        <f t="shared" si="9"/>
        <v>#N/A</v>
      </c>
      <c r="CO19" s="38" t="s">
        <v>3183</v>
      </c>
      <c r="CP19" s="38"/>
      <c r="CQ19" s="38"/>
      <c r="CR19" s="38"/>
      <c r="CS19" s="38"/>
      <c r="CX19" t="s">
        <v>173</v>
      </c>
      <c r="CY19" s="5"/>
      <c r="CZ19" s="5"/>
      <c r="DA19" s="5"/>
      <c r="DB19" s="5"/>
      <c r="DC19" s="5"/>
      <c r="DD19" s="5"/>
      <c r="DE19" s="5"/>
      <c r="DF19" s="5"/>
      <c r="DG19" s="5"/>
      <c r="DH19" s="5"/>
      <c r="DI19" s="5"/>
      <c r="DJ19" s="5"/>
    </row>
    <row r="20" spans="3:114">
      <c r="Q20" s="19"/>
      <c r="R20" s="19"/>
      <c r="U20" s="21"/>
      <c r="V20" s="23" t="s">
        <v>3101</v>
      </c>
      <c r="Z20" s="21"/>
      <c r="AA20" t="s">
        <v>3103</v>
      </c>
      <c r="BI20" t="s">
        <v>87</v>
      </c>
      <c r="BJ20" s="28">
        <v>686250</v>
      </c>
      <c r="BK20" s="28">
        <v>150750</v>
      </c>
      <c r="BL20" s="5">
        <v>63</v>
      </c>
      <c r="BN20" s="8">
        <f t="shared" si="2"/>
        <v>0.21967213114754097</v>
      </c>
      <c r="BO20" t="str">
        <f>_xlfn.XLOOKUP(BI20,ProductMasterTable[Product Name],ProductMasterTable[Stock status],)</f>
        <v>overStocked</v>
      </c>
      <c r="BP20" s="28">
        <f t="shared" si="3"/>
        <v>686250</v>
      </c>
      <c r="BQ20" s="8" t="e">
        <f t="shared" si="4"/>
        <v>#N/A</v>
      </c>
      <c r="BR20" t="e">
        <f t="shared" si="5"/>
        <v>#N/A</v>
      </c>
      <c r="BS20" s="8" t="e">
        <f t="shared" si="6"/>
        <v>#N/A</v>
      </c>
      <c r="BT20" t="e">
        <f t="shared" si="7"/>
        <v>#N/A</v>
      </c>
      <c r="BU20" s="8">
        <f t="shared" si="8"/>
        <v>0.21967213114754097</v>
      </c>
      <c r="BV20">
        <f t="shared" si="9"/>
        <v>63</v>
      </c>
      <c r="CO20" s="38">
        <f>SUMIF(Sales_Clean_Reference!X:X, "&lt;0")</f>
        <v>-82655</v>
      </c>
      <c r="CP20" s="38"/>
      <c r="CQ20" s="38"/>
      <c r="CR20" s="38"/>
      <c r="CS20" s="38"/>
      <c r="CX20" t="s">
        <v>175</v>
      </c>
      <c r="CY20" s="5"/>
      <c r="CZ20" s="5"/>
      <c r="DA20" s="5"/>
      <c r="DB20" s="5"/>
      <c r="DC20" s="5"/>
      <c r="DD20" s="5"/>
      <c r="DE20" s="5"/>
      <c r="DF20" s="5"/>
      <c r="DG20" s="5"/>
      <c r="DH20" s="5"/>
      <c r="DI20" s="5"/>
      <c r="DJ20" s="5"/>
    </row>
    <row r="21" spans="3:114">
      <c r="Q21" t="s">
        <v>3131</v>
      </c>
      <c r="R21" t="str">
        <f>IF(S7=1,Q5,"")</f>
        <v/>
      </c>
      <c r="U21" s="21"/>
      <c r="Z21" s="21"/>
      <c r="BI21" t="s">
        <v>83</v>
      </c>
      <c r="BJ21" s="28">
        <v>491767.5</v>
      </c>
      <c r="BK21" s="28">
        <v>152767.5</v>
      </c>
      <c r="BL21" s="5">
        <v>565</v>
      </c>
      <c r="BN21" s="8">
        <f t="shared" si="2"/>
        <v>0.31064984977657123</v>
      </c>
      <c r="BO21" t="str">
        <f>_xlfn.XLOOKUP(BI21,ProductMasterTable[Product Name],ProductMasterTable[Stock status],)</f>
        <v>Health</v>
      </c>
      <c r="BP21" s="28">
        <f t="shared" si="3"/>
        <v>491767.5</v>
      </c>
      <c r="BQ21" s="8" t="e">
        <f t="shared" si="4"/>
        <v>#N/A</v>
      </c>
      <c r="BR21" t="e">
        <f t="shared" si="5"/>
        <v>#N/A</v>
      </c>
      <c r="BS21" s="8">
        <f t="shared" si="6"/>
        <v>0.31064984977657123</v>
      </c>
      <c r="BT21">
        <f t="shared" si="7"/>
        <v>565</v>
      </c>
      <c r="BU21" s="8" t="e">
        <f t="shared" si="8"/>
        <v>#N/A</v>
      </c>
      <c r="BV21" t="e">
        <f t="shared" si="9"/>
        <v>#N/A</v>
      </c>
      <c r="CP21" s="38" t="s">
        <v>3185</v>
      </c>
      <c r="CQ21" s="38"/>
      <c r="CR21" s="38"/>
      <c r="CS21" s="38"/>
      <c r="CX21" t="s">
        <v>181</v>
      </c>
      <c r="CY21" s="5"/>
      <c r="CZ21" s="5"/>
      <c r="DA21" s="5"/>
      <c r="DB21" s="5"/>
      <c r="DC21" s="5"/>
      <c r="DD21" s="5"/>
      <c r="DE21" s="5"/>
      <c r="DF21" s="5"/>
      <c r="DG21" s="5"/>
      <c r="DH21" s="5"/>
      <c r="DI21" s="5"/>
      <c r="DJ21" s="5"/>
    </row>
    <row r="22" spans="3:114">
      <c r="Q22" t="s">
        <v>3132</v>
      </c>
      <c r="R22" t="str">
        <f>IFERROR(VLOOKUP(S10,J5:K16,2,0),"")</f>
        <v/>
      </c>
      <c r="U22" s="21"/>
      <c r="Z22" s="21"/>
      <c r="BI22" t="s">
        <v>63</v>
      </c>
      <c r="BJ22" s="28">
        <v>1276650</v>
      </c>
      <c r="BK22" s="28">
        <v>313450</v>
      </c>
      <c r="BL22" s="5">
        <v>301</v>
      </c>
      <c r="BN22" s="8">
        <f t="shared" si="2"/>
        <v>0.24552539850389693</v>
      </c>
      <c r="BO22" t="str">
        <f>_xlfn.XLOOKUP(BI22,ProductMasterTable[Product Name],ProductMasterTable[Stock status],)</f>
        <v>Health</v>
      </c>
      <c r="BP22" s="28">
        <f t="shared" si="3"/>
        <v>1276650</v>
      </c>
      <c r="BQ22" s="8" t="e">
        <f t="shared" si="4"/>
        <v>#N/A</v>
      </c>
      <c r="BR22" t="e">
        <f t="shared" si="5"/>
        <v>#N/A</v>
      </c>
      <c r="BS22" s="8">
        <f t="shared" si="6"/>
        <v>0.24552539850389693</v>
      </c>
      <c r="BT22">
        <f t="shared" si="7"/>
        <v>301</v>
      </c>
      <c r="BU22" s="8" t="e">
        <f t="shared" si="8"/>
        <v>#N/A</v>
      </c>
      <c r="BV22" t="e">
        <f t="shared" si="9"/>
        <v>#N/A</v>
      </c>
      <c r="CP22" s="38">
        <f>SUM(Sales_Clean_Reference!X:X)</f>
        <v>8091717.5</v>
      </c>
      <c r="CQ22" s="38"/>
      <c r="CR22" s="38"/>
      <c r="CX22" t="s">
        <v>215</v>
      </c>
      <c r="CY22" s="5"/>
      <c r="CZ22" s="5"/>
      <c r="DA22" s="5"/>
      <c r="DB22" s="5"/>
      <c r="DC22" s="5"/>
      <c r="DD22" s="5"/>
      <c r="DE22" s="5"/>
      <c r="DF22" s="5"/>
      <c r="DG22" s="5"/>
      <c r="DH22" s="5"/>
      <c r="DI22" s="5"/>
      <c r="DJ22" s="5"/>
    </row>
    <row r="23" spans="3:114">
      <c r="Q23" s="19"/>
      <c r="R23" s="19"/>
      <c r="U23" s="21"/>
      <c r="Z23" s="21"/>
      <c r="BI23" t="s">
        <v>100</v>
      </c>
      <c r="BJ23" s="28">
        <v>3438225</v>
      </c>
      <c r="BK23" s="28">
        <v>900725</v>
      </c>
      <c r="BL23" s="5">
        <v>203</v>
      </c>
      <c r="BN23" s="8">
        <f t="shared" si="2"/>
        <v>0.26197383824502468</v>
      </c>
      <c r="BO23" t="str">
        <f>_xlfn.XLOOKUP(BI23,ProductMasterTable[Product Name],ProductMasterTable[Stock status],)</f>
        <v>underStocked</v>
      </c>
      <c r="BP23" s="28">
        <f t="shared" si="3"/>
        <v>3438225</v>
      </c>
      <c r="BQ23" s="8">
        <f t="shared" si="4"/>
        <v>0.26197383824502468</v>
      </c>
      <c r="BR23">
        <f t="shared" si="5"/>
        <v>203</v>
      </c>
      <c r="BS23" s="8" t="e">
        <f t="shared" si="6"/>
        <v>#N/A</v>
      </c>
      <c r="BT23" t="e">
        <f t="shared" si="7"/>
        <v>#N/A</v>
      </c>
      <c r="BU23" s="8" t="e">
        <f t="shared" si="8"/>
        <v>#N/A</v>
      </c>
      <c r="BV23" t="e">
        <f t="shared" si="9"/>
        <v>#N/A</v>
      </c>
    </row>
    <row r="24" spans="3:114">
      <c r="Q24" t="s">
        <v>3136</v>
      </c>
      <c r="R24" t="str">
        <f>IFERROR(VLOOKUP(R21,K5:L16,2,0),"select month")</f>
        <v>select month</v>
      </c>
      <c r="U24" s="21"/>
      <c r="V24" t="s">
        <v>3145</v>
      </c>
      <c r="W24" t="e">
        <f>VLOOKUP(R21,K5:M16,3,0)</f>
        <v>#N/A</v>
      </c>
      <c r="X24" t="str">
        <f>IFERROR(IF(W24&gt;=1000000000, "$" &amp; TEXT(W24/1000000000, "0.0") &amp; "B", IF(W24&gt;=1000000, "$" &amp;TEXT(W24/1000000, "0.0") &amp; "M", IF(W24&gt;=1000, "$" &amp;TEXT(W24/1000, "0.0") &amp; "K", "$" &amp;TEXT(W24, "0.0")))),"")</f>
        <v/>
      </c>
      <c r="Z24" s="21"/>
      <c r="AA24" t="s">
        <v>3147</v>
      </c>
      <c r="AB24" s="18" t="e">
        <f>VLOOKUP(R21,K5:N16,4,0)</f>
        <v>#N/A</v>
      </c>
      <c r="BI24" t="s">
        <v>54</v>
      </c>
      <c r="BJ24" s="28">
        <v>383542.5</v>
      </c>
      <c r="BK24" s="28">
        <v>136372.5</v>
      </c>
      <c r="BL24" s="5">
        <v>749</v>
      </c>
      <c r="BN24" s="8">
        <f t="shared" si="2"/>
        <v>0.35556033555603356</v>
      </c>
      <c r="BO24" t="str">
        <f>_xlfn.XLOOKUP(BI24,ProductMasterTable[Product Name],ProductMasterTable[Stock status],)</f>
        <v>Health</v>
      </c>
      <c r="BP24" s="28">
        <f t="shared" si="3"/>
        <v>383542.5</v>
      </c>
      <c r="BQ24" s="8" t="e">
        <f t="shared" si="4"/>
        <v>#N/A</v>
      </c>
      <c r="BR24" t="e">
        <f t="shared" si="5"/>
        <v>#N/A</v>
      </c>
      <c r="BS24" s="8">
        <f t="shared" si="6"/>
        <v>0.35556033555603356</v>
      </c>
      <c r="BT24">
        <f t="shared" si="7"/>
        <v>749</v>
      </c>
      <c r="BU24" s="8" t="e">
        <f t="shared" si="8"/>
        <v>#N/A</v>
      </c>
      <c r="BV24" t="e">
        <f t="shared" si="9"/>
        <v>#N/A</v>
      </c>
      <c r="CP24" s="38" t="s">
        <v>3184</v>
      </c>
      <c r="CQ24" s="38"/>
      <c r="CR24" s="38"/>
      <c r="CS24" s="38"/>
      <c r="CT24" s="38"/>
      <c r="CU24" s="38"/>
    </row>
    <row r="25" spans="3:114">
      <c r="Q25" t="s">
        <v>3137</v>
      </c>
      <c r="R25" t="str">
        <f>IFERROR(VLOOKUP(R22,K5:L16,2,0),"")</f>
        <v/>
      </c>
      <c r="S25" t="str">
        <f>IFERROR(IF(R25&gt;=1000000000, "$" &amp; TEXT(R25/1000000000, "0.0") &amp; "B", IF(R25&gt;=1000000, "$" &amp;TEXT(R25/1000000, "0.0") &amp; "M", IF(R25&gt;=1000, "$" &amp;TEXT(R25/1000, "0.0") &amp; "K", "$" &amp;TEXT(R25, "0.0")))),"")</f>
        <v/>
      </c>
      <c r="U25" s="21"/>
      <c r="V25" t="s">
        <v>3146</v>
      </c>
      <c r="W25" t="e">
        <f>VLOOKUP(R22,K5:M16,3,0)</f>
        <v>#N/A</v>
      </c>
      <c r="X25" t="str">
        <f>IFERROR(IF(W25&gt;=1000000000, "$" &amp; TEXT(W25/1000000000, "0.0") &amp; "B", IF(W25&gt;=1000000, "$" &amp;TEXT(W25/1000000, "0.0") &amp; "M", IF(W25&gt;=1000, "$" &amp;TEXT(W25/1000, "0.0") &amp; "K", "$" &amp;TEXT(W25, "0.0")))),"")</f>
        <v/>
      </c>
      <c r="Z25" s="21"/>
      <c r="AA25" t="s">
        <v>3148</v>
      </c>
      <c r="AB25" s="18" t="e">
        <f>VLOOKUP(R22,K5:N16,4,0)</f>
        <v>#N/A</v>
      </c>
      <c r="BI25" t="s">
        <v>117</v>
      </c>
      <c r="BJ25" s="28">
        <v>1205820</v>
      </c>
      <c r="BK25" s="28">
        <v>346220</v>
      </c>
      <c r="BL25" s="5">
        <v>307</v>
      </c>
      <c r="BN25" s="8">
        <f t="shared" si="2"/>
        <v>0.28712411471032162</v>
      </c>
      <c r="BO25" t="str">
        <f>_xlfn.XLOOKUP(BI25,ProductMasterTable[Product Name],ProductMasterTable[Stock status],)</f>
        <v>underStocked</v>
      </c>
      <c r="BP25" s="28">
        <f t="shared" si="3"/>
        <v>1205820</v>
      </c>
      <c r="BQ25" s="8">
        <f t="shared" si="4"/>
        <v>0.28712411471032162</v>
      </c>
      <c r="BR25">
        <f t="shared" si="5"/>
        <v>307</v>
      </c>
      <c r="BS25" s="8" t="e">
        <f t="shared" si="6"/>
        <v>#N/A</v>
      </c>
      <c r="BT25" t="e">
        <f t="shared" si="7"/>
        <v>#N/A</v>
      </c>
      <c r="BU25" s="8" t="e">
        <f t="shared" si="8"/>
        <v>#N/A</v>
      </c>
      <c r="BV25" t="e">
        <f t="shared" si="9"/>
        <v>#N/A</v>
      </c>
      <c r="CQ25" s="39">
        <f>CO11/CO20</f>
        <v>0.77194362107555503</v>
      </c>
      <c r="CR25" s="39"/>
      <c r="CS25" s="39"/>
      <c r="CT25" s="39"/>
    </row>
    <row r="26" spans="3:114" ht="17.399999999999999">
      <c r="Q26" s="19"/>
      <c r="R26" s="19"/>
      <c r="U26" s="21"/>
      <c r="V26" t="s">
        <v>3138</v>
      </c>
      <c r="W26" s="18" t="str">
        <f>IFERROR((W24-W25)/W25,"")</f>
        <v/>
      </c>
      <c r="X26" s="22" t="str">
        <f>W26</f>
        <v/>
      </c>
      <c r="Z26" s="21"/>
      <c r="AA26" t="s">
        <v>3138</v>
      </c>
      <c r="AB26" s="18" t="str">
        <f>IFERROR((AB24-AB25)/AB25,"")</f>
        <v/>
      </c>
      <c r="AC26" s="24" t="str">
        <f>AB26</f>
        <v/>
      </c>
      <c r="BI26" t="s">
        <v>33</v>
      </c>
      <c r="BJ26" s="28">
        <v>4767210</v>
      </c>
      <c r="BK26" s="28">
        <v>695610</v>
      </c>
      <c r="BL26" s="5">
        <v>522</v>
      </c>
      <c r="BN26" s="8">
        <f t="shared" si="2"/>
        <v>0.14591553550189734</v>
      </c>
      <c r="BO26" t="str">
        <f>_xlfn.XLOOKUP(BI26,ProductMasterTable[Product Name],ProductMasterTable[Stock status],)</f>
        <v>underStocked</v>
      </c>
      <c r="BP26" s="28">
        <f t="shared" si="3"/>
        <v>4767210</v>
      </c>
      <c r="BQ26" s="8">
        <f t="shared" si="4"/>
        <v>0.14591553550189734</v>
      </c>
      <c r="BR26">
        <f t="shared" si="5"/>
        <v>522</v>
      </c>
      <c r="BS26" s="8" t="e">
        <f t="shared" si="6"/>
        <v>#N/A</v>
      </c>
      <c r="BT26" t="e">
        <f t="shared" si="7"/>
        <v>#N/A</v>
      </c>
      <c r="BU26" s="8" t="e">
        <f t="shared" si="8"/>
        <v>#N/A</v>
      </c>
      <c r="BV26" t="e">
        <f t="shared" si="9"/>
        <v>#N/A</v>
      </c>
      <c r="CP26" s="38" t="s">
        <v>3186</v>
      </c>
      <c r="CQ26" s="38"/>
      <c r="CR26" s="38"/>
      <c r="CS26" s="38"/>
      <c r="CT26" s="38"/>
      <c r="CU26" s="38"/>
    </row>
    <row r="27" spans="3:114" ht="15.6">
      <c r="Q27" t="s">
        <v>3138</v>
      </c>
      <c r="R27" s="18" t="e">
        <f>(R24-R25)/R25</f>
        <v>#VALUE!</v>
      </c>
      <c r="S27" s="20" t="str">
        <f>IFERROR(IF(R27&gt;0,T30&amp;TEXT(R27,"0.0%"),T31&amp;TEXT(R27,"0.0%")),"")</f>
        <v/>
      </c>
      <c r="U27" s="21"/>
      <c r="W27" s="25"/>
      <c r="Z27" s="21"/>
      <c r="AB27" s="25" t="e">
        <f>VLOOKUP(R21,K5:O16,5,0)</f>
        <v>#N/A</v>
      </c>
      <c r="BI27" t="s">
        <v>96</v>
      </c>
      <c r="BJ27" s="28">
        <v>6806100</v>
      </c>
      <c r="BK27" s="28">
        <v>1442100</v>
      </c>
      <c r="BL27" s="5">
        <v>298</v>
      </c>
      <c r="BN27" s="8">
        <f t="shared" si="2"/>
        <v>0.21188345748666637</v>
      </c>
      <c r="BO27" t="str">
        <f>_xlfn.XLOOKUP(BI27,ProductMasterTable[Product Name],ProductMasterTable[Stock status],)</f>
        <v>underStocked</v>
      </c>
      <c r="BP27" s="28">
        <f t="shared" si="3"/>
        <v>6806100</v>
      </c>
      <c r="BQ27" s="8">
        <f t="shared" si="4"/>
        <v>0.21188345748666637</v>
      </c>
      <c r="BR27">
        <f t="shared" si="5"/>
        <v>298</v>
      </c>
      <c r="BS27" s="8" t="e">
        <f t="shared" si="6"/>
        <v>#N/A</v>
      </c>
      <c r="BT27" t="e">
        <f t="shared" si="7"/>
        <v>#N/A</v>
      </c>
      <c r="BU27" s="8" t="e">
        <f t="shared" si="8"/>
        <v>#N/A</v>
      </c>
      <c r="BV27" t="e">
        <f t="shared" si="9"/>
        <v>#N/A</v>
      </c>
      <c r="CP27" s="39">
        <f>CO11/CP22</f>
        <v>-7.8852233781023622E-3</v>
      </c>
      <c r="CQ27" s="39"/>
      <c r="CR27" s="39"/>
      <c r="CS27" s="39"/>
      <c r="CT27" s="39"/>
    </row>
    <row r="28" spans="3:114">
      <c r="Q28" t="s">
        <v>3143</v>
      </c>
      <c r="R28" t="str">
        <f>"VS"&amp;" " &amp;R22</f>
        <v xml:space="preserve">VS </v>
      </c>
      <c r="U28" s="21"/>
      <c r="Z28" s="21"/>
      <c r="BI28" t="s">
        <v>113</v>
      </c>
      <c r="BJ28" s="28">
        <v>617295</v>
      </c>
      <c r="BK28" s="28">
        <v>203895</v>
      </c>
      <c r="BL28" s="5">
        <v>318</v>
      </c>
      <c r="BN28" s="18"/>
      <c r="BO28" t="str">
        <f>_xlfn.XLOOKUP(BI28,ProductMasterTable[Product Name],ProductMasterTable[Stock status],)</f>
        <v>underStocked</v>
      </c>
      <c r="BP28" s="28">
        <f t="shared" si="3"/>
        <v>617295</v>
      </c>
      <c r="BQ28" s="18">
        <f t="shared" si="4"/>
        <v>0</v>
      </c>
      <c r="BR28">
        <f t="shared" si="5"/>
        <v>318</v>
      </c>
      <c r="BS28" s="8" t="e">
        <f t="shared" si="6"/>
        <v>#N/A</v>
      </c>
      <c r="BT28" t="e">
        <f t="shared" si="7"/>
        <v>#N/A</v>
      </c>
      <c r="BU28" s="8" t="e">
        <f t="shared" si="8"/>
        <v>#N/A</v>
      </c>
      <c r="BV28" t="e">
        <f t="shared" si="9"/>
        <v>#N/A</v>
      </c>
    </row>
    <row r="29" spans="3:114">
      <c r="U29" s="21"/>
      <c r="Z29" s="21"/>
    </row>
    <row r="30" spans="3:114">
      <c r="S30" t="s">
        <v>3139</v>
      </c>
      <c r="T30" t="s">
        <v>3141</v>
      </c>
      <c r="U30" s="21"/>
      <c r="Z30" s="21"/>
    </row>
    <row r="31" spans="3:114">
      <c r="S31" t="s">
        <v>3140</v>
      </c>
      <c r="T31" t="s">
        <v>3142</v>
      </c>
      <c r="U31" s="21"/>
      <c r="Z31" s="21"/>
      <c r="BN31" t="s">
        <v>3170</v>
      </c>
      <c r="BO31" s="32">
        <f>AVERAGE(BP5:BP28)</f>
        <v>1656833.6458333333</v>
      </c>
    </row>
    <row r="32" spans="3:114">
      <c r="U32" s="21"/>
      <c r="Z32" s="21"/>
      <c r="BN32" t="s">
        <v>3171</v>
      </c>
      <c r="BO32" s="8">
        <f>AVERAGE(BN5:BN27)</f>
        <v>0.25104254987566038</v>
      </c>
    </row>
  </sheetData>
  <mergeCells count="16">
    <mergeCell ref="CO13:CS13"/>
    <mergeCell ref="CN7:CQ7"/>
    <mergeCell ref="CN8:CQ8"/>
    <mergeCell ref="CO10:CR10"/>
    <mergeCell ref="CO11:CR11"/>
    <mergeCell ref="CO12:CS12"/>
    <mergeCell ref="CP27:CT27"/>
    <mergeCell ref="CO14:CS14"/>
    <mergeCell ref="CO15:CS15"/>
    <mergeCell ref="CO19:CS19"/>
    <mergeCell ref="CO20:CS20"/>
    <mergeCell ref="CP24:CU24"/>
    <mergeCell ref="CQ25:CT25"/>
    <mergeCell ref="CP22:CR22"/>
    <mergeCell ref="CP21:CS21"/>
    <mergeCell ref="CP26:CU26"/>
  </mergeCells>
  <conditionalFormatting sqref="S27">
    <cfRule type="expression" dxfId="83" priority="7">
      <formula>$R$27&lt;0</formula>
    </cfRule>
    <cfRule type="expression" dxfId="82" priority="8">
      <formula>$R$27&gt;0</formula>
    </cfRule>
  </conditionalFormatting>
  <conditionalFormatting sqref="X26">
    <cfRule type="expression" dxfId="81" priority="3" stopIfTrue="1">
      <formula>$X$26&lt;0</formula>
    </cfRule>
    <cfRule type="expression" dxfId="80" priority="4" stopIfTrue="1">
      <formula>$X$26&gt;0</formula>
    </cfRule>
  </conditionalFormatting>
  <pageMargins left="0.7" right="0.7" top="0.75" bottom="0.75" header="0.3" footer="0.3"/>
  <pageSetup orientation="landscape" r:id="rId12"/>
  <drawing r:id="rId13"/>
  <extLs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D322-076A-4402-96FE-966DDB713BAC}">
  <dimension ref="A6:Z42"/>
  <sheetViews>
    <sheetView showGridLines="0" tabSelected="1" zoomScale="75" zoomScaleNormal="90" workbookViewId="0">
      <selection activeCell="AA20" sqref="AA20"/>
    </sheetView>
  </sheetViews>
  <sheetFormatPr defaultRowHeight="13.8"/>
  <cols>
    <col min="1" max="16384" width="8.796875" style="14"/>
  </cols>
  <sheetData>
    <row r="6" spans="25:25">
      <c r="Y6" s="27"/>
    </row>
    <row r="41" spans="1:26">
      <c r="A41" s="27"/>
      <c r="B41" s="27"/>
      <c r="C41" s="27"/>
      <c r="D41" s="27"/>
      <c r="E41" s="27"/>
      <c r="F41" s="27"/>
      <c r="G41" s="27"/>
      <c r="H41" s="27"/>
      <c r="I41" s="27"/>
      <c r="J41" s="27"/>
      <c r="K41" s="27"/>
      <c r="L41" s="27"/>
      <c r="M41" s="27"/>
      <c r="N41" s="27"/>
      <c r="O41" s="27"/>
      <c r="P41" s="27"/>
      <c r="Q41" s="27"/>
      <c r="R41" s="27"/>
      <c r="S41" s="27"/>
      <c r="T41" s="27"/>
      <c r="U41" s="27"/>
      <c r="V41" s="27"/>
      <c r="W41" s="27"/>
      <c r="X41" s="27"/>
    </row>
    <row r="42" spans="1:26">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sheetData>
  <pageMargins left="0.7" right="0.7" top="0.75" bottom="0.75" header="0.3" footer="0.3"/>
  <pageSetup orientation="landscape" r:id="rId1"/>
  <drawing r:id="rId2"/>
  <legacy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
  <sheetViews>
    <sheetView workbookViewId="0">
      <selection activeCell="B24" sqref="B24"/>
    </sheetView>
  </sheetViews>
  <sheetFormatPr defaultRowHeight="13.8"/>
  <cols>
    <col min="1" max="1" width="13.5" customWidth="1"/>
    <col min="2" max="2" width="40" customWidth="1"/>
    <col min="3" max="3" width="11.69921875" customWidth="1"/>
    <col min="4" max="4" width="50" customWidth="1"/>
  </cols>
  <sheetData>
    <row r="1" spans="1:4">
      <c r="A1" s="1" t="s">
        <v>2998</v>
      </c>
      <c r="B1" s="1" t="s">
        <v>2999</v>
      </c>
      <c r="C1" s="1" t="s">
        <v>3000</v>
      </c>
      <c r="D1" s="1" t="s">
        <v>3001</v>
      </c>
    </row>
    <row r="2" spans="1:4">
      <c r="A2" s="3" t="s">
        <v>157</v>
      </c>
      <c r="B2" s="3" t="s">
        <v>3002</v>
      </c>
      <c r="C2" s="3" t="s">
        <v>3003</v>
      </c>
      <c r="D2" s="3" t="s">
        <v>3004</v>
      </c>
    </row>
    <row r="3" spans="1:4">
      <c r="A3" s="3" t="s">
        <v>158</v>
      </c>
      <c r="B3" s="3" t="s">
        <v>3005</v>
      </c>
      <c r="C3" s="3" t="s">
        <v>3006</v>
      </c>
      <c r="D3" s="3" t="s">
        <v>3007</v>
      </c>
    </row>
    <row r="4" spans="1:4">
      <c r="A4" s="3" t="s">
        <v>13</v>
      </c>
      <c r="B4" s="3" t="s">
        <v>3008</v>
      </c>
      <c r="C4" s="3" t="s">
        <v>3003</v>
      </c>
      <c r="D4" s="3" t="s">
        <v>3009</v>
      </c>
    </row>
    <row r="5" spans="1:4" ht="27.6">
      <c r="A5" s="3" t="s">
        <v>14</v>
      </c>
      <c r="B5" s="3" t="s">
        <v>3010</v>
      </c>
      <c r="C5" s="3" t="s">
        <v>3003</v>
      </c>
      <c r="D5" s="3" t="s">
        <v>3011</v>
      </c>
    </row>
    <row r="6" spans="1:4">
      <c r="A6" s="3" t="s">
        <v>15</v>
      </c>
      <c r="B6" s="3" t="s">
        <v>3012</v>
      </c>
      <c r="C6" s="3" t="s">
        <v>3003</v>
      </c>
      <c r="D6" s="3" t="s">
        <v>3013</v>
      </c>
    </row>
    <row r="7" spans="1:4">
      <c r="A7" s="3" t="s">
        <v>16</v>
      </c>
      <c r="B7" s="3" t="s">
        <v>3014</v>
      </c>
      <c r="C7" s="3" t="s">
        <v>3003</v>
      </c>
      <c r="D7" s="3" t="s">
        <v>3015</v>
      </c>
    </row>
    <row r="8" spans="1:4">
      <c r="A8" s="3" t="s">
        <v>17</v>
      </c>
      <c r="B8" s="3" t="s">
        <v>3016</v>
      </c>
      <c r="C8" s="3" t="s">
        <v>3003</v>
      </c>
      <c r="D8" s="3" t="s">
        <v>3017</v>
      </c>
    </row>
    <row r="9" spans="1:4">
      <c r="A9" s="3" t="s">
        <v>123</v>
      </c>
      <c r="B9" s="3" t="s">
        <v>3018</v>
      </c>
      <c r="C9" s="3" t="s">
        <v>3003</v>
      </c>
      <c r="D9" s="3" t="s">
        <v>3019</v>
      </c>
    </row>
    <row r="10" spans="1:4">
      <c r="A10" s="3" t="s">
        <v>124</v>
      </c>
      <c r="B10" s="3" t="s">
        <v>3020</v>
      </c>
      <c r="C10" s="3" t="s">
        <v>3003</v>
      </c>
      <c r="D10" s="3" t="s">
        <v>3021</v>
      </c>
    </row>
    <row r="11" spans="1:4">
      <c r="A11" s="3" t="s">
        <v>125</v>
      </c>
      <c r="B11" s="3" t="s">
        <v>3022</v>
      </c>
      <c r="C11" s="3" t="s">
        <v>3003</v>
      </c>
      <c r="D11" s="3" t="s">
        <v>3023</v>
      </c>
    </row>
    <row r="12" spans="1:4">
      <c r="A12" s="3" t="s">
        <v>126</v>
      </c>
      <c r="B12" s="3" t="s">
        <v>3024</v>
      </c>
      <c r="C12" s="3" t="s">
        <v>3003</v>
      </c>
      <c r="D12" s="3" t="s">
        <v>3025</v>
      </c>
    </row>
    <row r="13" spans="1:4">
      <c r="A13" s="3" t="s">
        <v>159</v>
      </c>
      <c r="B13" s="3" t="s">
        <v>3026</v>
      </c>
      <c r="C13" s="3" t="s">
        <v>3003</v>
      </c>
      <c r="D13" s="3" t="s">
        <v>3027</v>
      </c>
    </row>
    <row r="14" spans="1:4" ht="27.6">
      <c r="A14" s="3" t="s">
        <v>160</v>
      </c>
      <c r="B14" s="3" t="s">
        <v>3028</v>
      </c>
      <c r="C14" s="3" t="s">
        <v>3003</v>
      </c>
      <c r="D14" s="3" t="s">
        <v>3029</v>
      </c>
    </row>
    <row r="15" spans="1:4" ht="27.6">
      <c r="A15" s="3" t="s">
        <v>161</v>
      </c>
      <c r="B15" s="3" t="s">
        <v>3030</v>
      </c>
      <c r="C15" s="3" t="s">
        <v>3031</v>
      </c>
      <c r="D15" s="3" t="s">
        <v>3032</v>
      </c>
    </row>
    <row r="16" spans="1:4">
      <c r="A16" s="3" t="s">
        <v>18</v>
      </c>
      <c r="B16" s="3" t="s">
        <v>3033</v>
      </c>
      <c r="C16" s="3" t="s">
        <v>3034</v>
      </c>
      <c r="D16" s="3" t="s">
        <v>3035</v>
      </c>
    </row>
    <row r="17" spans="1:4">
      <c r="A17" s="3" t="s">
        <v>19</v>
      </c>
      <c r="B17" s="3" t="s">
        <v>3036</v>
      </c>
      <c r="C17" s="3" t="s">
        <v>3034</v>
      </c>
      <c r="D17" s="3" t="s">
        <v>3037</v>
      </c>
    </row>
    <row r="18" spans="1:4">
      <c r="A18" s="3" t="s">
        <v>162</v>
      </c>
      <c r="B18" s="3" t="s">
        <v>3038</v>
      </c>
      <c r="C18" s="3" t="s">
        <v>3039</v>
      </c>
      <c r="D18" s="3" t="s">
        <v>3040</v>
      </c>
    </row>
    <row r="19" spans="1:4">
      <c r="A19" s="3" t="s">
        <v>163</v>
      </c>
      <c r="B19" s="3" t="s">
        <v>3041</v>
      </c>
      <c r="C19" s="3" t="s">
        <v>3003</v>
      </c>
      <c r="D19" s="3" t="s">
        <v>3042</v>
      </c>
    </row>
    <row r="20" spans="1:4" ht="27.6">
      <c r="A20" s="3" t="s">
        <v>164</v>
      </c>
      <c r="B20" s="3" t="s">
        <v>3043</v>
      </c>
      <c r="C20" s="3" t="s">
        <v>3031</v>
      </c>
      <c r="D20" s="3" t="s">
        <v>3044</v>
      </c>
    </row>
    <row r="21" spans="1:4">
      <c r="A21" s="3" t="s">
        <v>2988</v>
      </c>
      <c r="B21" s="3" t="s">
        <v>3045</v>
      </c>
      <c r="C21" s="3" t="s">
        <v>3034</v>
      </c>
      <c r="D21" s="3" t="s">
        <v>3046</v>
      </c>
    </row>
    <row r="22" spans="1:4" ht="27.6">
      <c r="A22" s="3" t="s">
        <v>2989</v>
      </c>
      <c r="B22" s="3" t="s">
        <v>3047</v>
      </c>
      <c r="C22" s="3" t="s">
        <v>3034</v>
      </c>
      <c r="D22" s="3" t="s">
        <v>3046</v>
      </c>
    </row>
    <row r="23" spans="1:4">
      <c r="A23" s="3" t="s">
        <v>2990</v>
      </c>
      <c r="B23" s="3" t="s">
        <v>3048</v>
      </c>
      <c r="C23" s="3" t="s">
        <v>3034</v>
      </c>
      <c r="D23" s="3" t="s">
        <v>3046</v>
      </c>
    </row>
    <row r="24" spans="1:4">
      <c r="A24" s="3" t="s">
        <v>2991</v>
      </c>
      <c r="B24" s="3" t="s">
        <v>3049</v>
      </c>
      <c r="C24" s="3" t="s">
        <v>3034</v>
      </c>
      <c r="D24" s="3" t="s">
        <v>3046</v>
      </c>
    </row>
    <row r="25" spans="1:4">
      <c r="A25" s="3" t="s">
        <v>2992</v>
      </c>
      <c r="B25" s="3" t="s">
        <v>3050</v>
      </c>
      <c r="C25" s="3" t="s">
        <v>3034</v>
      </c>
      <c r="D25" s="3" t="s">
        <v>3046</v>
      </c>
    </row>
    <row r="26" spans="1:4">
      <c r="A26" s="3" t="s">
        <v>2993</v>
      </c>
      <c r="B26" s="3" t="s">
        <v>3051</v>
      </c>
      <c r="C26" s="3" t="s">
        <v>3039</v>
      </c>
      <c r="D26" s="3" t="s">
        <v>3052</v>
      </c>
    </row>
    <row r="27" spans="1:4" ht="27.6">
      <c r="A27" s="3" t="s">
        <v>2994</v>
      </c>
      <c r="B27" s="3" t="s">
        <v>3053</v>
      </c>
      <c r="C27" s="3" t="s">
        <v>3003</v>
      </c>
      <c r="D27" s="3" t="s">
        <v>3054</v>
      </c>
    </row>
    <row r="28" spans="1:4">
      <c r="A28" s="3"/>
      <c r="B28" s="3"/>
      <c r="C28" s="3"/>
      <c r="D28" s="3"/>
    </row>
    <row r="29" spans="1:4">
      <c r="A29" s="3"/>
      <c r="B29" s="3"/>
      <c r="C29" s="3"/>
      <c r="D29" s="3"/>
    </row>
    <row r="30" spans="1:4">
      <c r="A30" s="3"/>
      <c r="B30" s="3"/>
      <c r="C30" s="3"/>
      <c r="D30"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0"/>
  <sheetViews>
    <sheetView workbookViewId="0">
      <selection activeCell="C20" sqref="C20"/>
    </sheetView>
  </sheetViews>
  <sheetFormatPr defaultRowHeight="13.8"/>
  <cols>
    <col min="1" max="1" width="10.19921875" customWidth="1"/>
    <col min="2" max="2" width="54" customWidth="1"/>
    <col min="3" max="3" width="44" customWidth="1"/>
    <col min="4" max="4" width="28" customWidth="1"/>
  </cols>
  <sheetData>
    <row r="1" spans="1:4">
      <c r="A1" s="1" t="s">
        <v>3055</v>
      </c>
      <c r="B1" s="1" t="s">
        <v>3056</v>
      </c>
      <c r="C1" s="1" t="s">
        <v>3057</v>
      </c>
      <c r="D1" s="1" t="s">
        <v>3058</v>
      </c>
    </row>
    <row r="2" spans="1:4">
      <c r="A2" s="3" t="s">
        <v>3059</v>
      </c>
      <c r="B2" s="9" t="s">
        <v>3060</v>
      </c>
      <c r="C2" s="3" t="s">
        <v>3061</v>
      </c>
      <c r="D2" s="3" t="s">
        <v>3062</v>
      </c>
    </row>
    <row r="3" spans="1:4">
      <c r="A3" s="3" t="s">
        <v>3059</v>
      </c>
      <c r="B3" s="3" t="s">
        <v>3093</v>
      </c>
      <c r="C3" s="3" t="s">
        <v>3094</v>
      </c>
      <c r="D3" s="3" t="s">
        <v>3063</v>
      </c>
    </row>
    <row r="4" spans="1:4" ht="27.6">
      <c r="A4" s="3" t="s">
        <v>3059</v>
      </c>
      <c r="B4" s="9" t="s">
        <v>3064</v>
      </c>
      <c r="C4" s="3" t="s">
        <v>3065</v>
      </c>
      <c r="D4" s="3" t="s">
        <v>3066</v>
      </c>
    </row>
    <row r="5" spans="1:4">
      <c r="A5" s="3" t="s">
        <v>3059</v>
      </c>
      <c r="B5" s="3" t="s">
        <v>3067</v>
      </c>
      <c r="C5" s="3" t="s">
        <v>3068</v>
      </c>
      <c r="D5" s="3" t="s">
        <v>3069</v>
      </c>
    </row>
    <row r="6" spans="1:4">
      <c r="A6" s="3" t="s">
        <v>3059</v>
      </c>
      <c r="B6" s="9" t="s">
        <v>3070</v>
      </c>
      <c r="C6" s="3" t="s">
        <v>3071</v>
      </c>
      <c r="D6" s="3" t="s">
        <v>3072</v>
      </c>
    </row>
    <row r="7" spans="1:4">
      <c r="A7" s="3" t="s">
        <v>3059</v>
      </c>
      <c r="B7" s="3" t="s">
        <v>3073</v>
      </c>
      <c r="C7" s="3" t="s">
        <v>3074</v>
      </c>
      <c r="D7" s="3" t="s">
        <v>3075</v>
      </c>
    </row>
    <row r="8" spans="1:4" ht="27.6">
      <c r="A8" s="3" t="s">
        <v>3076</v>
      </c>
      <c r="B8" s="3" t="s">
        <v>3077</v>
      </c>
      <c r="C8" s="3" t="s">
        <v>3078</v>
      </c>
      <c r="D8" s="3" t="s">
        <v>3079</v>
      </c>
    </row>
    <row r="9" spans="1:4">
      <c r="A9" s="3" t="s">
        <v>3076</v>
      </c>
      <c r="B9" s="3" t="s">
        <v>3080</v>
      </c>
      <c r="C9" s="3" t="s">
        <v>3081</v>
      </c>
      <c r="D9" s="3" t="s">
        <v>3082</v>
      </c>
    </row>
    <row r="10" spans="1:4" ht="27.6">
      <c r="A10" s="3" t="s">
        <v>3076</v>
      </c>
      <c r="B10" s="3" t="s">
        <v>3083</v>
      </c>
      <c r="C10" s="3" t="s">
        <v>3084</v>
      </c>
      <c r="D10" s="3" t="s">
        <v>3085</v>
      </c>
    </row>
    <row r="11" spans="1:4">
      <c r="A11" s="3" t="s">
        <v>3076</v>
      </c>
      <c r="B11" s="3" t="s">
        <v>3086</v>
      </c>
      <c r="C11" s="3" t="s">
        <v>3087</v>
      </c>
      <c r="D11" s="3" t="s">
        <v>3079</v>
      </c>
    </row>
    <row r="12" spans="1:4">
      <c r="A12" s="3" t="s">
        <v>3088</v>
      </c>
      <c r="B12" s="3" t="s">
        <v>3089</v>
      </c>
      <c r="C12" s="3" t="s">
        <v>3090</v>
      </c>
      <c r="D12" s="3" t="s">
        <v>3091</v>
      </c>
    </row>
    <row r="13" spans="1:4">
      <c r="A13" s="3"/>
      <c r="B13" s="3"/>
      <c r="C13" s="3"/>
      <c r="D13" s="3"/>
    </row>
    <row r="14" spans="1:4">
      <c r="A14" s="3"/>
      <c r="B14" s="3"/>
      <c r="C14" s="3"/>
      <c r="D14" s="3"/>
    </row>
    <row r="15" spans="1:4">
      <c r="A15" s="3"/>
      <c r="B15" s="3"/>
      <c r="C15" s="3"/>
      <c r="D15" s="3"/>
    </row>
    <row r="16" spans="1:4">
      <c r="A16" s="3"/>
      <c r="B16" s="3"/>
      <c r="C16" s="3"/>
      <c r="D16" s="3"/>
    </row>
    <row r="17" spans="1:4">
      <c r="A17" s="3"/>
      <c r="B17" s="3"/>
      <c r="C17" s="3"/>
      <c r="D17" s="3"/>
    </row>
    <row r="18" spans="1:4">
      <c r="A18" s="3"/>
      <c r="B18" s="3"/>
      <c r="C18" s="3"/>
      <c r="D18" s="3"/>
    </row>
    <row r="19" spans="1:4">
      <c r="A19" s="3"/>
      <c r="B19" s="3"/>
      <c r="C19" s="3"/>
      <c r="D19" s="3"/>
    </row>
    <row r="20" spans="1:4">
      <c r="A20" s="3"/>
      <c r="B20" s="3"/>
      <c r="C20" s="3"/>
      <c r="D20"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Business Case</vt:lpstr>
      <vt:lpstr>Course</vt:lpstr>
      <vt:lpstr>Product_Master</vt:lpstr>
      <vt:lpstr>Branch_Master</vt:lpstr>
      <vt:lpstr>Sales_Clean_Reference</vt:lpstr>
      <vt:lpstr>pivot table</vt:lpstr>
      <vt:lpstr>dashboard</vt:lpstr>
      <vt:lpstr>Data Dictionary</vt:lpstr>
      <vt:lpstr>Business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Abdallah Nasef</cp:lastModifiedBy>
  <dcterms:modified xsi:type="dcterms:W3CDTF">2026-08-20T18:09:29Z</dcterms:modified>
</cp:coreProperties>
</file>